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349b124f14c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入口" sheetId="1" r:id="Ra94d0b7e37a844fb"/>
    <x:sheet xmlns:r="http://schemas.openxmlformats.org/officeDocument/2006/relationships" name="01_逐怪爆率" sheetId="2" r:id="R6a558e370d514655"/>
    <x:sheet xmlns:r="http://schemas.openxmlformats.org/officeDocument/2006/relationships" name="02_候选池" sheetId="3" r:id="R2b0e3c2201614cb7"/>
    <x:sheet xmlns:r="http://schemas.openxmlformats.org/officeDocument/2006/relationships" name="03_击杀与刷新假设" sheetId="4" r:id="R328315c2ec1241f7"/>
    <x:sheet xmlns:r="http://schemas.openxmlformats.org/officeDocument/2006/relationships" name="04_本轮改动" sheetId="5" r:id="R438a8c394c5942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0"/>
    <x:numFmt numFmtId="202" formatCode="0.0%"/>
    <x:numFmt numFmtId="203" formatCode="0.000000%"/>
    <x:numFmt numFmtId="204" formatCode="0.000000"/>
    <x:numFmt numFmtId="205" formatCode="0.0000%"/>
    <x:numFmt numFmtId="206" formatCode="0.0"/>
  </x:numFmts>
  <x:fonts count="5">
    <x:font>
      <x:sz val="11"/>
      <x:name val="Carlito"/>
    </x:font>
    <x:font>
      <x:b/>
      <x:sz val="15"/>
      <x:color rgb="FFFFFFFF"/>
      <x:name val="Carlito"/>
    </x:font>
    <x:font>
      <x:sz val="10"/>
      <x:color rgb="FF546579"/>
      <x:name val="Carlito"/>
    </x:font>
    <x:font>
      <x:b/>
      <x:sz val="10"/>
      <x:color rgb="FFFFFFFF"/>
      <x:name val="Carlito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364A"/>
      </x:patternFill>
    </x:fill>
    <x:fill>
      <x:patternFill patternType="solid">
        <x:fgColor rgb="FF217C80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1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1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206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7262b62b14f2a" /><Relationship Type="http://schemas.openxmlformats.org/officeDocument/2006/relationships/theme" Target="/xl/theme/theme1.xml" Id="R81baab821e1d4f11" /><Relationship Type="http://schemas.openxmlformats.org/officeDocument/2006/relationships/sharedStrings" Target="/xl/sharedStrings.xml" Id="Rd4a3babc4dc94f9b" /><Relationship Type="http://schemas.openxmlformats.org/officeDocument/2006/relationships/worksheet" Target="/xl/worksheets/sheet1.xml" Id="Ra94d0b7e37a844fb" /><Relationship Type="http://schemas.openxmlformats.org/officeDocument/2006/relationships/worksheet" Target="/xl/worksheets/sheet2.xml" Id="R6a558e370d514655" /><Relationship Type="http://schemas.openxmlformats.org/officeDocument/2006/relationships/worksheet" Target="/xl/worksheets/sheet3.xml" Id="R2b0e3c2201614cb7" /><Relationship Type="http://schemas.openxmlformats.org/officeDocument/2006/relationships/worksheet" Target="/xl/worksheets/sheet4.xml" Id="R328315c2ec1241f7" /><Relationship Type="http://schemas.openxmlformats.org/officeDocument/2006/relationships/worksheet" Target="/xl/worksheets/sheet5.xml" Id="R438a8c394c59426f" /></Relationships>
</file>

<file path=xl/tables/table1.xml><?xml version="1.0" encoding="utf-8"?>
<x:table xmlns:x="http://schemas.openxmlformats.org/spreadsheetml/2006/main" id="1" name="Tbl_B1_S0" displayName="Tbl_B1_S0" ref="A4:C13" headerRowCount="1" totalsRowCount="0" totalsRowShown="0">
  <x:tableColumns count="3">
    <x:tableColumn id="1" name="项目"/>
    <x:tableColumn id="2" name="数值或规则"/>
    <x:tableColumn id="3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B1_S1" displayName="Tbl_B1_S1" ref="A4:R5355" headerRowCount="1" totalsRowCount="0" totalsRowShown="0">
  <x:tableColumns count="18">
    <x:tableColumn id="1" name="触发ID"/>
    <x:tableColumn id="2" name="大陆"/>
    <x:tableColumn id="3" name="组序"/>
    <x:tableColumn id="4" name="怪物ID"/>
    <x:tableColumn id="5" name="怪名"/>
    <x:tableColumn id="6" name="分类"/>
    <x:tableColumn id="7" name="池类别"/>
    <x:tableColumn id="8" name="物品或池ID"/>
    <x:tableColumn id="9" name="基础分母N"/>
    <x:tableColumn id="10" name="一次数量"/>
    <x:tableColumn id="11" name="候选数"/>
    <x:tableColumn id="12" name="计算人物倍率M"/>
    <x:tableColumn id="13" name="鞭尸概率"/>
    <x:tableColumn id="14" name="基准击杀每小时"/>
    <x:tableColumn id="15" name="单次有效概率"/>
    <x:tableColumn id="16" name="每杀期望数量"/>
    <x:tableColumn id="17" name="每小时期望数量"/>
    <x:tableColumn id="18" name="结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B1_S2" displayName="Tbl_B1_S2" ref="A4:F333" headerRowCount="1" totalsRowCount="0" totalsRowShown="0">
  <x:tableColumns count="6">
    <x:tableColumn id="1" name="池ID"/>
    <x:tableColumn id="2" name="类型"/>
    <x:tableColumn id="3" name="真实物品名"/>
    <x:tableColumn id="4" name="权重"/>
    <x:tableColumn id="5" name="总权重"/>
    <x:tableColumn id="6" name="池内概率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B1_S3" displayName="Tbl_B1_S3" ref="A4:K565" headerRowCount="1" totalsRowCount="0" totalsRowShown="0">
  <x:tableColumns count="11">
    <x:tableColumn id="1" name="怪物ID"/>
    <x:tableColumn id="2" name="怪名"/>
    <x:tableColumn id="3" name="大陆"/>
    <x:tableColumn id="4" name="组序"/>
    <x:tableColumn id="5" name="类型"/>
    <x:tableColumn id="6" name="沿用参考TTK秒"/>
    <x:tableColumn id="7" name="可用同时数量假设"/>
    <x:tableColumn id="8" name="刷新秒假设"/>
    <x:tableColumn id="9" name="供给上限每小时"/>
    <x:tableColumn id="10" name="采用击杀每小时"/>
    <x:tableColumn id="11" name="人物输入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B1_S4" displayName="Tbl_B1_S4" ref="A4:F855" headerRowCount="1" totalsRowCount="0" totalsRowShown="0">
  <x:tableColumns count="6">
    <x:tableColumn id="1" name="改动类型"/>
    <x:tableColumn id="2" name="怪物ID"/>
    <x:tableColumn id="3" name="物品"/>
    <x:tableColumn id="4" name="原值"/>
    <x:tableColumn id="5" name="本次值"/>
    <x:tableColumn id="6" name="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c11ecfcd2240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5c2a3190e541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7db3c2c8aa44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7e6076da6ce4c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0bb244c457b4b46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5" hidden="0" customWidth="1"/>
    <x:col min="3" max="3" width="64" hidden="0" customWidth="1"/>
  </x:cols>
  <x:sheetData>
    <x:row r="1" ht="30" customHeight="1">
      <x:c r="A1" s="4" t="str">
        <x:v>00 · 使用入口</x:v>
      </x:c>
      <x:c r="B1" s="4"/>
      <x:c r="C1" s="4"/>
    </x:row>
    <x:row r="2" ht="34" customHeight="1">
      <x:c r="A2" s="9" t="str">
        <x:v>本批只生成本地文件，不修改服务器或GitHub。</x:v>
      </x:c>
      <x:c r="B2" s="9"/>
      <x:c r="C2" s="9"/>
    </x:row>
    <x:row r="4" ht="30" customHeight="1">
      <x:c r="A4" s="14" t="str">
        <x:v>项目</x:v>
      </x:c>
      <x:c r="B4" s="14" t="str">
        <x:v>数值或规则</x:v>
      </x:c>
      <x:c r="C4" s="14" t="str">
        <x:v>说明</x:v>
      </x:c>
    </x:row>
    <x:row r="5" ht="19" customHeight="1">
      <x:c r="A5" s="19" t="str">
        <x:v>版本</x:v>
      </x:c>
      <x:c r="B5" s="19" t="str">
        <x:v>V1.0</x:v>
      </x:c>
      <x:c r="C5" s="19" t="str">
        <x:v>数值设计定稿；不是服务器已部署</x:v>
      </x:c>
    </x:row>
    <x:row r="6" ht="19" customHeight="1">
      <x:c r="A6" s="19" t="str">
        <x:v>怪物文件</x:v>
      </x:c>
      <x:c r="B6" s="19" t="n">
        <x:v>561</x:v>
      </x:c>
      <x:c r="C6" s="19" t="str">
        <x:v>每怪一个文件；UTF-8与GB18030两种编码，只部署一种</x:v>
      </x:c>
    </x:row>
    <x:row r="7" ht="19" customHeight="1">
      <x:c r="A7" s="19" t="str">
        <x:v>独立触发</x:v>
      </x:c>
      <x:c r="B7" s="19" t="n">
        <x:v>5351</x:v>
      </x:c>
      <x:c r="C7" s="19" t="str">
        <x:v>原5400候选关系归并；兼掉、制式、六神器池各只触发一次</x:v>
      </x:c>
    </x:row>
    <x:row r="8" ht="19" customHeight="1">
      <x:c r="A8" s="19" t="str">
        <x:v>基础分母</x:v>
      </x:c>
      <x:c r="B8" s="19" t="str">
        <x:v>全部已填</x:v>
      </x:c>
      <x:c r="C8" s="19" t="str">
        <x:v>1/N是基础概率；人物爆率加成由引擎处理，不在文件中再乘</x:v>
      </x:c>
    </x:row>
    <x:row r="9" ht="19" customHeight="1">
      <x:c r="A9" s="19" t="str">
        <x:v>叠加数</x:v>
      </x:c>
      <x:c r="B9" s="19" t="str">
        <x:v>最大40/次</x:v>
      </x:c>
      <x:c r="C9" s="19" t="str">
        <x:v>骨片等长期材料提高叠加数，有逐项变更记录</x:v>
      </x:c>
    </x:row>
    <x:row r="10" ht="19" customHeight="1">
      <x:c r="A10" s="19" t="str">
        <x:v>保留框架</x:v>
      </x:c>
      <x:c r="B10" s="19" t="str">
        <x:v>817装备、561怪属性不改</x:v>
      </x:c>
      <x:c r="C10" s="19" t="str">
        <x:v>仅爆率、叠加数量与既有缺漏的称号候选</x:v>
      </x:c>
    </x:row>
    <x:row r="11" ht="19" customHeight="1">
      <x:c r="A11" s="19" t="str">
        <x:v>失色</x:v>
      </x:c>
      <x:c r="B11" s="19" t="str">
        <x:v>只由619专属拆解</x:v>
      </x:c>
      <x:c r="C11" s="19" t="str">
        <x:v>穿戴/图鉴/合成留用件先扣除；材料不吃50%回收加成</x:v>
      </x:c>
    </x:row>
    <x:row r="12" ht="19" customHeight="1">
      <x:c r="A12" s="19" t="str">
        <x:v>六神器</x:v>
      </x:c>
      <x:c r="B12" s="19" t="str">
        <x:v>全C2–C10共用同一基础分母</x:v>
      </x:c>
      <x:c r="C12" s="19" t="str">
        <x:v>抽中公共池后六选一，不能按六个独立事件计算</x:v>
      </x:c>
    </x:row>
    <x:row r="13" ht="19" customHeight="1">
      <x:c r="A13" s="19" t="str">
        <x:v>部署预检</x:v>
      </x:c>
      <x:c r="B13" s="19" t="str">
        <x:v>第三列堆叠语法与真实名称</x:v>
      </x:c>
      <x:c r="C13" s="19" t="str">
        <x:v>独立1/N与#CHILD RANDOM沿用旧TXT；材料第三列数量必须经现平台解析确认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cec11ecfcd22403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8" hidden="0" customWidth="1"/>
    <x:col min="4" max="4" width="29" hidden="0" customWidth="1"/>
    <x:col min="5" max="5" width="29" hidden="0" customWidth="1"/>
    <x:col min="6" max="6" width="13" hidden="0" customWidth="1"/>
    <x:col min="7" max="7" width="22" hidden="0" customWidth="1"/>
    <x:col min="8" max="8" width="32" hidden="0" customWidth="1"/>
    <x:col min="9" max="9" width="16" hidden="0" customWidth="1"/>
    <x:col min="10" max="10" width="12" hidden="0" customWidth="1"/>
    <x:col min="11" max="11" width="10" hidden="0" customWidth="1"/>
    <x:col min="12" max="12" width="16" hidden="0" customWidth="1"/>
    <x:col min="13" max="13" width="14" hidden="0" customWidth="1"/>
    <x:col min="14" max="14" width="17" hidden="0" customWidth="1"/>
    <x:col min="15" max="15" width="18" hidden="0" customWidth="1"/>
    <x:col min="16" max="16" width="18" hidden="0" customWidth="1"/>
    <x:col min="17" max="17" width="18" hidden="0" customWidth="1"/>
    <x:col min="18" max="18" width="25" hidden="0" customWidth="1"/>
  </x:cols>
  <x:sheetData>
    <x:row r="1" ht="30" customHeight="1">
      <x:c r="A1" s="4" t="str">
        <x:v>01 · 逐怪爆率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34" customHeight="1">
      <x:c r="A2" s="9" t="str">
        <x:v>公式：p=min(1,M/N)；每杀期望=p×数量×(1+鞭尸)。只计算一次人物爆率和一次鞭尸；守关不纳入首杀前小时收入。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</x:row>
    <x:row r="4" ht="30" customHeight="1">
      <x:c r="A4" s="14" t="str">
        <x:v>触发ID</x:v>
      </x:c>
      <x:c r="B4" s="14" t="str">
        <x:v>大陆</x:v>
      </x:c>
      <x:c r="C4" s="14" t="str">
        <x:v>组序</x:v>
      </x:c>
      <x:c r="D4" s="14" t="str">
        <x:v>怪物ID</x:v>
      </x:c>
      <x:c r="E4" s="14" t="str">
        <x:v>怪名</x:v>
      </x:c>
      <x:c r="F4" s="14" t="str">
        <x:v>分类</x:v>
      </x:c>
      <x:c r="G4" s="14" t="str">
        <x:v>池类别</x:v>
      </x:c>
      <x:c r="H4" s="14" t="str">
        <x:v>物品或池ID</x:v>
      </x:c>
      <x:c r="I4" s="14" t="str">
        <x:v>基础分母N</x:v>
      </x:c>
      <x:c r="J4" s="14" t="str">
        <x:v>一次数量</x:v>
      </x:c>
      <x:c r="K4" s="14" t="str">
        <x:v>候选数</x:v>
      </x:c>
      <x:c r="L4" s="14" t="str">
        <x:v>计算人物倍率M</x:v>
      </x:c>
      <x:c r="M4" s="14" t="str">
        <x:v>鞭尸概率</x:v>
      </x:c>
      <x:c r="N4" s="14" t="str">
        <x:v>基准击杀每小时</x:v>
      </x:c>
      <x:c r="O4" s="14" t="str">
        <x:v>单次有效概率</x:v>
      </x:c>
      <x:c r="P4" s="14" t="str">
        <x:v>每杀期望数量</x:v>
      </x:c>
      <x:c r="Q4" s="14" t="str">
        <x:v>每小时期望数量</x:v>
      </x:c>
      <x:c r="R4" s="14" t="str">
        <x:v>结构</x:v>
      </x:c>
    </x:row>
    <x:row r="5" ht="19" customHeight="1">
      <x:c r="A5" s="19" t="str">
        <x:v>D00001</x:v>
      </x:c>
      <x:c r="B5" s="19" t="n">
        <x:v>1</x:v>
      </x:c>
      <x:c r="C5" s="19" t="n">
        <x:v>1</x:v>
      </x:c>
      <x:c r="D5" s="19" t="str">
        <x:v>EL-MON-SEA-001</x:v>
      </x:c>
      <x:c r="E5" s="19" t="str">
        <x:v>盐蚀流民</x:v>
      </x:c>
      <x:c r="F5" s="19" t="str">
        <x:v>普通</x:v>
      </x:c>
      <x:c r="G5" s="19" t="str">
        <x:v>自身专属</x:v>
      </x:c>
      <x:c r="H5" s="19" t="str">
        <x:v>盐蚀弯刃</x:v>
      </x:c>
      <x:c r="I5" s="22" t="n">
        <x:v>400</x:v>
      </x:c>
      <x:c r="J5" s="22" t="n">
        <x:v>1</x:v>
      </x:c>
      <x:c r="K5" s="19" t="n">
        <x:v>1</x:v>
      </x:c>
      <x:c r="L5" s="24" t="n">
        <x:v>11.5</x:v>
      </x:c>
      <x:c r="M5" s="26" t="n">
        <x:v>0</x:v>
      </x:c>
      <x:c r="N5" s="24" t="n">
        <x:v>71.73942994590593</x:v>
      </x:c>
      <x:c r="O5" s="28" t="n">
        <x:f>MIN(1,L5/I5)</x:f>
        <x:v>0.02875</x:v>
      </x:c>
      <x:c r="P5" s="30" t="n">
        <x:f>O5*J5*(1+M5)</x:f>
        <x:v>0.02875</x:v>
      </x:c>
      <x:c r="Q5" s="30" t="n">
        <x:f>P5*N5</x:f>
        <x:v>2.0625086109447954</x:v>
      </x:c>
      <x:c r="R5" s="19" t="str">
        <x:v>独立判定</x:v>
      </x:c>
    </x:row>
    <x:row r="6" ht="19" customHeight="1">
      <x:c r="A6" s="19" t="str">
        <x:v>D00002</x:v>
      </x:c>
      <x:c r="B6" s="19" t="n">
        <x:v>1</x:v>
      </x:c>
      <x:c r="C6" s="19" t="n">
        <x:v>1</x:v>
      </x:c>
      <x:c r="D6" s="19" t="str">
        <x:v>EL-MON-SEA-001</x:v>
      </x:c>
      <x:c r="E6" s="19" t="str">
        <x:v>盐蚀流民</x:v>
      </x:c>
      <x:c r="F6" s="19" t="str">
        <x:v>普通</x:v>
      </x:c>
      <x:c r="G6" s="19" t="str">
        <x:v>材料独立候选</x:v>
      </x:c>
      <x:c r="H6" s="19" t="str">
        <x:v>海蚀铁片</x:v>
      </x:c>
      <x:c r="I6" s="22" t="n">
        <x:v>400</x:v>
      </x:c>
      <x:c r="J6" s="22" t="n">
        <x:v>8</x:v>
      </x:c>
      <x:c r="K6" s="19" t="n">
        <x:v>1</x:v>
      </x:c>
      <x:c r="L6" s="24" t="n">
        <x:v>11.5</x:v>
      </x:c>
      <x:c r="M6" s="26" t="n">
        <x:v>0</x:v>
      </x:c>
      <x:c r="N6" s="24" t="n">
        <x:v>71.73942994590593</x:v>
      </x:c>
      <x:c r="O6" s="28" t="n">
        <x:f>MIN(1,L6/I6)</x:f>
        <x:v>0.02875</x:v>
      </x:c>
      <x:c r="P6" s="30" t="n">
        <x:f>O6*J6*(1+M6)</x:f>
        <x:v>0.23</x:v>
      </x:c>
      <x:c r="Q6" s="30" t="n">
        <x:f>P6*N6</x:f>
        <x:v>16.500068887558363</x:v>
      </x:c>
      <x:c r="R6" s="19" t="str">
        <x:v>独立判定</x:v>
      </x:c>
    </x:row>
    <x:row r="7" ht="19" customHeight="1">
      <x:c r="A7" s="19" t="str">
        <x:v>D00003</x:v>
      </x:c>
      <x:c r="B7" s="19" t="n">
        <x:v>1</x:v>
      </x:c>
      <x:c r="C7" s="19" t="n">
        <x:v>1</x:v>
      </x:c>
      <x:c r="D7" s="19" t="str">
        <x:v>EL-MON-SEA-001</x:v>
      </x:c>
      <x:c r="E7" s="19" t="str">
        <x:v>盐蚀流民</x:v>
      </x:c>
      <x:c r="F7" s="19" t="str">
        <x:v>普通</x:v>
      </x:c>
      <x:c r="G7" s="19" t="str">
        <x:v>材料独立候选</x:v>
      </x:c>
      <x:c r="H7" s="19" t="str">
        <x:v>技能残页</x:v>
      </x:c>
      <x:c r="I7" s="22" t="n">
        <x:v>60</x:v>
      </x:c>
      <x:c r="J7" s="22" t="n">
        <x:v>1</x:v>
      </x:c>
      <x:c r="K7" s="19" t="n">
        <x:v>1</x:v>
      </x:c>
      <x:c r="L7" s="24" t="n">
        <x:v>11.5</x:v>
      </x:c>
      <x:c r="M7" s="26" t="n">
        <x:v>0</x:v>
      </x:c>
      <x:c r="N7" s="24" t="n">
        <x:v>71.73942994590593</x:v>
      </x:c>
      <x:c r="O7" s="28" t="n">
        <x:f>MIN(1,L7/I7)</x:f>
        <x:v>0.19166666666666668</x:v>
      </x:c>
      <x:c r="P7" s="30" t="n">
        <x:f>O7*J7*(1+M7)</x:f>
        <x:v>0.19166666666666668</x:v>
      </x:c>
      <x:c r="Q7" s="30" t="n">
        <x:f>P7*N7</x:f>
        <x:v>13.750057406298637</x:v>
      </x:c>
      <x:c r="R7" s="19" t="str">
        <x:v>独立判定</x:v>
      </x:c>
    </x:row>
    <x:row r="8" ht="19" customHeight="1">
      <x:c r="A8" s="19" t="str">
        <x:v>D00004</x:v>
      </x:c>
      <x:c r="B8" s="19" t="n">
        <x:v>1</x:v>
      </x:c>
      <x:c r="C8" s="19" t="n">
        <x:v>1</x:v>
      </x:c>
      <x:c r="D8" s="19" t="str">
        <x:v>EL-MON-SEA-001</x:v>
      </x:c>
      <x:c r="E8" s="19" t="str">
        <x:v>盐蚀流民</x:v>
      </x:c>
      <x:c r="F8" s="19" t="str">
        <x:v>普通</x:v>
      </x:c>
      <x:c r="G8" s="19" t="str">
        <x:v>材料独立候选</x:v>
      </x:c>
      <x:c r="H8" s="19" t="str">
        <x:v>小卢恩</x:v>
      </x:c>
      <x:c r="I8" s="22" t="n">
        <x:v>2500</x:v>
      </x:c>
      <x:c r="J8" s="22" t="n">
        <x:v>1</x:v>
      </x:c>
      <x:c r="K8" s="19" t="n">
        <x:v>1</x:v>
      </x:c>
      <x:c r="L8" s="24" t="n">
        <x:v>11.5</x:v>
      </x:c>
      <x:c r="M8" s="26" t="n">
        <x:v>0</x:v>
      </x:c>
      <x:c r="N8" s="24" t="n">
        <x:v>71.73942994590593</x:v>
      </x:c>
      <x:c r="O8" s="28" t="n">
        <x:f>MIN(1,L8/I8)</x:f>
        <x:v>0.0046</x:v>
      </x:c>
      <x:c r="P8" s="30" t="n">
        <x:f>O8*J8*(1+M8)</x:f>
        <x:v>0.0046</x:v>
      </x:c>
      <x:c r="Q8" s="30" t="n">
        <x:f>P8*N8</x:f>
        <x:v>0.3300013777511672</x:v>
      </x:c>
      <x:c r="R8" s="19" t="str">
        <x:v>独立判定</x:v>
      </x:c>
    </x:row>
    <x:row r="9" ht="19" customHeight="1">
      <x:c r="A9" s="19" t="str">
        <x:v>D00005</x:v>
      </x:c>
      <x:c r="B9" s="19" t="n">
        <x:v>1</x:v>
      </x:c>
      <x:c r="C9" s="19" t="n">
        <x:v>1</x:v>
      </x:c>
      <x:c r="D9" s="19" t="str">
        <x:v>EL-MON-SEA-002</x:v>
      </x:c>
      <x:c r="E9" s="19" t="str">
        <x:v>断桨弩手</x:v>
      </x:c>
      <x:c r="F9" s="19" t="str">
        <x:v>普通</x:v>
      </x:c>
      <x:c r="G9" s="19" t="str">
        <x:v>自身专属</x:v>
      </x:c>
      <x:c r="H9" s="19" t="str">
        <x:v>断桨骨链</x:v>
      </x:c>
      <x:c r="I9" s="22" t="n">
        <x:v>400</x:v>
      </x:c>
      <x:c r="J9" s="22" t="n">
        <x:v>1</x:v>
      </x:c>
      <x:c r="K9" s="19" t="n">
        <x:v>1</x:v>
      </x:c>
      <x:c r="L9" s="24" t="n">
        <x:v>11.5</x:v>
      </x:c>
      <x:c r="M9" s="26" t="n">
        <x:v>0</x:v>
      </x:c>
      <x:c r="N9" s="24" t="n">
        <x:v>72</x:v>
      </x:c>
      <x:c r="O9" s="28" t="n">
        <x:f>MIN(1,L9/I9)</x:f>
        <x:v>0.02875</x:v>
      </x:c>
      <x:c r="P9" s="30" t="n">
        <x:f>O9*J9*(1+M9)</x:f>
        <x:v>0.02875</x:v>
      </x:c>
      <x:c r="Q9" s="30" t="n">
        <x:f>P9*N9</x:f>
        <x:v>2.0700000000000003</x:v>
      </x:c>
      <x:c r="R9" s="19" t="str">
        <x:v>独立判定</x:v>
      </x:c>
    </x:row>
    <x:row r="10" ht="19" customHeight="1">
      <x:c r="A10" s="19" t="str">
        <x:v>D00006</x:v>
      </x:c>
      <x:c r="B10" s="19" t="n">
        <x:v>1</x:v>
      </x:c>
      <x:c r="C10" s="19" t="n">
        <x:v>1</x:v>
      </x:c>
      <x:c r="D10" s="19" t="str">
        <x:v>EL-MON-SEA-002</x:v>
      </x:c>
      <x:c r="E10" s="19" t="str">
        <x:v>断桨弩手</x:v>
      </x:c>
      <x:c r="F10" s="19" t="str">
        <x:v>普通</x:v>
      </x:c>
      <x:c r="G10" s="19" t="str">
        <x:v>材料独立候选</x:v>
      </x:c>
      <x:c r="H10" s="19" t="str">
        <x:v>海蚀铁片</x:v>
      </x:c>
      <x:c r="I10" s="22" t="n">
        <x:v>400</x:v>
      </x:c>
      <x:c r="J10" s="22" t="n">
        <x:v>8</x:v>
      </x:c>
      <x:c r="K10" s="19" t="n">
        <x:v>1</x:v>
      </x:c>
      <x:c r="L10" s="24" t="n">
        <x:v>11.5</x:v>
      </x:c>
      <x:c r="M10" s="26" t="n">
        <x:v>0</x:v>
      </x:c>
      <x:c r="N10" s="24" t="n">
        <x:v>72</x:v>
      </x:c>
      <x:c r="O10" s="28" t="n">
        <x:f>MIN(1,L10/I10)</x:f>
        <x:v>0.02875</x:v>
      </x:c>
      <x:c r="P10" s="30" t="n">
        <x:f>O10*J10*(1+M10)</x:f>
        <x:v>0.23</x:v>
      </x:c>
      <x:c r="Q10" s="30" t="n">
        <x:f>P10*N10</x:f>
        <x:v>16.560000000000002</x:v>
      </x:c>
      <x:c r="R10" s="19" t="str">
        <x:v>独立判定</x:v>
      </x:c>
    </x:row>
    <x:row r="11" ht="19" customHeight="1">
      <x:c r="A11" s="19" t="str">
        <x:v>D00007</x:v>
      </x:c>
      <x:c r="B11" s="19" t="n">
        <x:v>1</x:v>
      </x:c>
      <x:c r="C11" s="19" t="n">
        <x:v>1</x:v>
      </x:c>
      <x:c r="D11" s="19" t="str">
        <x:v>EL-MON-SEA-002</x:v>
      </x:c>
      <x:c r="E11" s="19" t="str">
        <x:v>断桨弩手</x:v>
      </x:c>
      <x:c r="F11" s="19" t="str">
        <x:v>普通</x:v>
      </x:c>
      <x:c r="G11" s="19" t="str">
        <x:v>材料独立候选</x:v>
      </x:c>
      <x:c r="H11" s="19" t="str">
        <x:v>技能残页</x:v>
      </x:c>
      <x:c r="I11" s="22" t="n">
        <x:v>60</x:v>
      </x:c>
      <x:c r="J11" s="22" t="n">
        <x:v>1</x:v>
      </x:c>
      <x:c r="K11" s="19" t="n">
        <x:v>1</x:v>
      </x:c>
      <x:c r="L11" s="24" t="n">
        <x:v>11.5</x:v>
      </x:c>
      <x:c r="M11" s="26" t="n">
        <x:v>0</x:v>
      </x:c>
      <x:c r="N11" s="24" t="n">
        <x:v>72</x:v>
      </x:c>
      <x:c r="O11" s="28" t="n">
        <x:f>MIN(1,L11/I11)</x:f>
        <x:v>0.19166666666666668</x:v>
      </x:c>
      <x:c r="P11" s="30" t="n">
        <x:f>O11*J11*(1+M11)</x:f>
        <x:v>0.19166666666666668</x:v>
      </x:c>
      <x:c r="Q11" s="30" t="n">
        <x:f>P11*N11</x:f>
        <x:v>13.8</x:v>
      </x:c>
      <x:c r="R11" s="19" t="str">
        <x:v>独立判定</x:v>
      </x:c>
    </x:row>
    <x:row r="12" ht="19" customHeight="1">
      <x:c r="A12" s="19" t="str">
        <x:v>D00008</x:v>
      </x:c>
      <x:c r="B12" s="19" t="n">
        <x:v>1</x:v>
      </x:c>
      <x:c r="C12" s="19" t="n">
        <x:v>1</x:v>
      </x:c>
      <x:c r="D12" s="19" t="str">
        <x:v>EL-MON-SEA-002</x:v>
      </x:c>
      <x:c r="E12" s="19" t="str">
        <x:v>断桨弩手</x:v>
      </x:c>
      <x:c r="F12" s="19" t="str">
        <x:v>普通</x:v>
      </x:c>
      <x:c r="G12" s="19" t="str">
        <x:v>材料独立候选</x:v>
      </x:c>
      <x:c r="H12" s="19" t="str">
        <x:v>小卢恩</x:v>
      </x:c>
      <x:c r="I12" s="22" t="n">
        <x:v>2500</x:v>
      </x:c>
      <x:c r="J12" s="22" t="n">
        <x:v>1</x:v>
      </x:c>
      <x:c r="K12" s="19" t="n">
        <x:v>1</x:v>
      </x:c>
      <x:c r="L12" s="24" t="n">
        <x:v>11.5</x:v>
      </x:c>
      <x:c r="M12" s="26" t="n">
        <x:v>0</x:v>
      </x:c>
      <x:c r="N12" s="24" t="n">
        <x:v>72</x:v>
      </x:c>
      <x:c r="O12" s="28" t="n">
        <x:f>MIN(1,L12/I12)</x:f>
        <x:v>0.0046</x:v>
      </x:c>
      <x:c r="P12" s="30" t="n">
        <x:f>O12*J12*(1+M12)</x:f>
        <x:v>0.0046</x:v>
      </x:c>
      <x:c r="Q12" s="30" t="n">
        <x:f>P12*N12</x:f>
        <x:v>0.3312</x:v>
      </x:c>
      <x:c r="R12" s="19" t="str">
        <x:v>独立判定</x:v>
      </x:c>
    </x:row>
    <x:row r="13" ht="19" customHeight="1">
      <x:c r="A13" s="19" t="str">
        <x:v>D00009</x:v>
      </x:c>
      <x:c r="B13" s="19" t="n">
        <x:v>1</x:v>
      </x:c>
      <x:c r="C13" s="19" t="n">
        <x:v>1</x:v>
      </x:c>
      <x:c r="D13" s="19" t="str">
        <x:v>EL-MON-SEA-003</x:v>
      </x:c>
      <x:c r="E13" s="19" t="str">
        <x:v>漂流尸兵</x:v>
      </x:c>
      <x:c r="F13" s="19" t="str">
        <x:v>普通</x:v>
      </x:c>
      <x:c r="G13" s="19" t="str">
        <x:v>自身专属</x:v>
      </x:c>
      <x:c r="H13" s="19" t="str">
        <x:v>漂流尸甲</x:v>
      </x:c>
      <x:c r="I13" s="22" t="n">
        <x:v>400</x:v>
      </x:c>
      <x:c r="J13" s="22" t="n">
        <x:v>1</x:v>
      </x:c>
      <x:c r="K13" s="19" t="n">
        <x:v>1</x:v>
      </x:c>
      <x:c r="L13" s="24" t="n">
        <x:v>11.5</x:v>
      </x:c>
      <x:c r="M13" s="26" t="n">
        <x:v>0</x:v>
      </x:c>
      <x:c r="N13" s="24" t="n">
        <x:v>60.97851545402004</x:v>
      </x:c>
      <x:c r="O13" s="28" t="n">
        <x:f>MIN(1,L13/I13)</x:f>
        <x:v>0.02875</x:v>
      </x:c>
      <x:c r="P13" s="30" t="n">
        <x:f>O13*J13*(1+M13)</x:f>
        <x:v>0.02875</x:v>
      </x:c>
      <x:c r="Q13" s="30" t="n">
        <x:f>P13*N13</x:f>
        <x:v>1.7531323193030763</x:v>
      </x:c>
      <x:c r="R13" s="19" t="str">
        <x:v>独立判定</x:v>
      </x:c>
    </x:row>
    <x:row r="14" ht="19" customHeight="1">
      <x:c r="A14" s="19" t="str">
        <x:v>D00010</x:v>
      </x:c>
      <x:c r="B14" s="19" t="n">
        <x:v>1</x:v>
      </x:c>
      <x:c r="C14" s="19" t="n">
        <x:v>1</x:v>
      </x:c>
      <x:c r="D14" s="19" t="str">
        <x:v>EL-MON-SEA-003</x:v>
      </x:c>
      <x:c r="E14" s="19" t="str">
        <x:v>漂流尸兵</x:v>
      </x:c>
      <x:c r="F14" s="19" t="str">
        <x:v>普通</x:v>
      </x:c>
      <x:c r="G14" s="19" t="str">
        <x:v>材料独立候选</x:v>
      </x:c>
      <x:c r="H14" s="19" t="str">
        <x:v>海蚀铁片</x:v>
      </x:c>
      <x:c r="I14" s="22" t="n">
        <x:v>400</x:v>
      </x:c>
      <x:c r="J14" s="22" t="n">
        <x:v>8</x:v>
      </x:c>
      <x:c r="K14" s="19" t="n">
        <x:v>1</x:v>
      </x:c>
      <x:c r="L14" s="24" t="n">
        <x:v>11.5</x:v>
      </x:c>
      <x:c r="M14" s="26" t="n">
        <x:v>0</x:v>
      </x:c>
      <x:c r="N14" s="24" t="n">
        <x:v>60.97851545402004</x:v>
      </x:c>
      <x:c r="O14" s="28" t="n">
        <x:f>MIN(1,L14/I14)</x:f>
        <x:v>0.02875</x:v>
      </x:c>
      <x:c r="P14" s="30" t="n">
        <x:f>O14*J14*(1+M14)</x:f>
        <x:v>0.23</x:v>
      </x:c>
      <x:c r="Q14" s="30" t="n">
        <x:f>P14*N14</x:f>
        <x:v>14.02505855442461</x:v>
      </x:c>
      <x:c r="R14" s="19" t="str">
        <x:v>独立判定</x:v>
      </x:c>
    </x:row>
    <x:row r="15" ht="19" customHeight="1">
      <x:c r="A15" s="19" t="str">
        <x:v>D00011</x:v>
      </x:c>
      <x:c r="B15" s="19" t="n">
        <x:v>1</x:v>
      </x:c>
      <x:c r="C15" s="19" t="n">
        <x:v>1</x:v>
      </x:c>
      <x:c r="D15" s="19" t="str">
        <x:v>EL-MON-SEA-003</x:v>
      </x:c>
      <x:c r="E15" s="19" t="str">
        <x:v>漂流尸兵</x:v>
      </x:c>
      <x:c r="F15" s="19" t="str">
        <x:v>普通</x:v>
      </x:c>
      <x:c r="G15" s="19" t="str">
        <x:v>材料独立候选</x:v>
      </x:c>
      <x:c r="H15" s="19" t="str">
        <x:v>技能残页</x:v>
      </x:c>
      <x:c r="I15" s="22" t="n">
        <x:v>60</x:v>
      </x:c>
      <x:c r="J15" s="22" t="n">
        <x:v>1</x:v>
      </x:c>
      <x:c r="K15" s="19" t="n">
        <x:v>1</x:v>
      </x:c>
      <x:c r="L15" s="24" t="n">
        <x:v>11.5</x:v>
      </x:c>
      <x:c r="M15" s="26" t="n">
        <x:v>0</x:v>
      </x:c>
      <x:c r="N15" s="24" t="n">
        <x:v>60.97851545402004</x:v>
      </x:c>
      <x:c r="O15" s="28" t="n">
        <x:f>MIN(1,L15/I15)</x:f>
        <x:v>0.19166666666666668</x:v>
      </x:c>
      <x:c r="P15" s="30" t="n">
        <x:f>O15*J15*(1+M15)</x:f>
        <x:v>0.19166666666666668</x:v>
      </x:c>
      <x:c r="Q15" s="30" t="n">
        <x:f>P15*N15</x:f>
        <x:v>11.687548795353843</x:v>
      </x:c>
      <x:c r="R15" s="19" t="str">
        <x:v>独立判定</x:v>
      </x:c>
    </x:row>
    <x:row r="16" ht="19" customHeight="1">
      <x:c r="A16" s="19" t="str">
        <x:v>D00012</x:v>
      </x:c>
      <x:c r="B16" s="19" t="n">
        <x:v>1</x:v>
      </x:c>
      <x:c r="C16" s="19" t="n">
        <x:v>1</x:v>
      </x:c>
      <x:c r="D16" s="19" t="str">
        <x:v>EL-MON-SEA-003</x:v>
      </x:c>
      <x:c r="E16" s="19" t="str">
        <x:v>漂流尸兵</x:v>
      </x:c>
      <x:c r="F16" s="19" t="str">
        <x:v>普通</x:v>
      </x:c>
      <x:c r="G16" s="19" t="str">
        <x:v>材料独立候选</x:v>
      </x:c>
      <x:c r="H16" s="19" t="str">
        <x:v>小卢恩</x:v>
      </x:c>
      <x:c r="I16" s="22" t="n">
        <x:v>2500</x:v>
      </x:c>
      <x:c r="J16" s="22" t="n">
        <x:v>1</x:v>
      </x:c>
      <x:c r="K16" s="19" t="n">
        <x:v>1</x:v>
      </x:c>
      <x:c r="L16" s="24" t="n">
        <x:v>11.5</x:v>
      </x:c>
      <x:c r="M16" s="26" t="n">
        <x:v>0</x:v>
      </x:c>
      <x:c r="N16" s="24" t="n">
        <x:v>60.97851545402004</x:v>
      </x:c>
      <x:c r="O16" s="28" t="n">
        <x:f>MIN(1,L16/I16)</x:f>
        <x:v>0.0046</x:v>
      </x:c>
      <x:c r="P16" s="30" t="n">
        <x:f>O16*J16*(1+M16)</x:f>
        <x:v>0.0046</x:v>
      </x:c>
      <x:c r="Q16" s="30" t="n">
        <x:f>P16*N16</x:f>
        <x:v>0.2805011710884922</x:v>
      </x:c>
      <x:c r="R16" s="19" t="str">
        <x:v>独立判定</x:v>
      </x:c>
    </x:row>
    <x:row r="17" ht="19" customHeight="1">
      <x:c r="A17" s="19" t="str">
        <x:v>D00013</x:v>
      </x:c>
      <x:c r="B17" s="19" t="n">
        <x:v>1</x:v>
      </x:c>
      <x:c r="C17" s="19" t="n">
        <x:v>1</x:v>
      </x:c>
      <x:c r="D17" s="19" t="str">
        <x:v>EL-MON-SEA-004</x:v>
      </x:c>
      <x:c r="E17" s="19" t="str">
        <x:v>失乡猎犬</x:v>
      </x:c>
      <x:c r="F17" s="19" t="str">
        <x:v>普通</x:v>
      </x:c>
      <x:c r="G17" s="19" t="str">
        <x:v>自身专属</x:v>
      </x:c>
      <x:c r="H17" s="19" t="str">
        <x:v>猎犬骨戒</x:v>
      </x:c>
      <x:c r="I17" s="22" t="n">
        <x:v>400</x:v>
      </x:c>
      <x:c r="J17" s="22" t="n">
        <x:v>1</x:v>
      </x:c>
      <x:c r="K17" s="19" t="n">
        <x:v>1</x:v>
      </x:c>
      <x:c r="L17" s="24" t="n">
        <x:v>11.5</x:v>
      </x:c>
      <x:c r="M17" s="26" t="n">
        <x:v>0</x:v>
      </x:c>
      <x:c r="N17" s="24" t="n">
        <x:v>71.73942994590593</x:v>
      </x:c>
      <x:c r="O17" s="28" t="n">
        <x:f>MIN(1,L17/I17)</x:f>
        <x:v>0.02875</x:v>
      </x:c>
      <x:c r="P17" s="30" t="n">
        <x:f>O17*J17*(1+M17)</x:f>
        <x:v>0.02875</x:v>
      </x:c>
      <x:c r="Q17" s="30" t="n">
        <x:f>P17*N17</x:f>
        <x:v>2.0625086109447954</x:v>
      </x:c>
      <x:c r="R17" s="19" t="str">
        <x:v>独立判定</x:v>
      </x:c>
    </x:row>
    <x:row r="18" ht="19" customHeight="1">
      <x:c r="A18" s="19" t="str">
        <x:v>D00014</x:v>
      </x:c>
      <x:c r="B18" s="19" t="n">
        <x:v>1</x:v>
      </x:c>
      <x:c r="C18" s="19" t="n">
        <x:v>1</x:v>
      </x:c>
      <x:c r="D18" s="19" t="str">
        <x:v>EL-MON-SEA-004</x:v>
      </x:c>
      <x:c r="E18" s="19" t="str">
        <x:v>失乡猎犬</x:v>
      </x:c>
      <x:c r="F18" s="19" t="str">
        <x:v>普通</x:v>
      </x:c>
      <x:c r="G18" s="19" t="str">
        <x:v>材料独立候选</x:v>
      </x:c>
      <x:c r="H18" s="19" t="str">
        <x:v>海蚀铁片</x:v>
      </x:c>
      <x:c r="I18" s="22" t="n">
        <x:v>400</x:v>
      </x:c>
      <x:c r="J18" s="22" t="n">
        <x:v>8</x:v>
      </x:c>
      <x:c r="K18" s="19" t="n">
        <x:v>1</x:v>
      </x:c>
      <x:c r="L18" s="24" t="n">
        <x:v>11.5</x:v>
      </x:c>
      <x:c r="M18" s="26" t="n">
        <x:v>0</x:v>
      </x:c>
      <x:c r="N18" s="24" t="n">
        <x:v>71.73942994590593</x:v>
      </x:c>
      <x:c r="O18" s="28" t="n">
        <x:f>MIN(1,L18/I18)</x:f>
        <x:v>0.02875</x:v>
      </x:c>
      <x:c r="P18" s="30" t="n">
        <x:f>O18*J18*(1+M18)</x:f>
        <x:v>0.23</x:v>
      </x:c>
      <x:c r="Q18" s="30" t="n">
        <x:f>P18*N18</x:f>
        <x:v>16.500068887558363</x:v>
      </x:c>
      <x:c r="R18" s="19" t="str">
        <x:v>独立判定</x:v>
      </x:c>
    </x:row>
    <x:row r="19" ht="19" customHeight="1">
      <x:c r="A19" s="19" t="str">
        <x:v>D00015</x:v>
      </x:c>
      <x:c r="B19" s="19" t="n">
        <x:v>1</x:v>
      </x:c>
      <x:c r="C19" s="19" t="n">
        <x:v>1</x:v>
      </x:c>
      <x:c r="D19" s="19" t="str">
        <x:v>EL-MON-SEA-004</x:v>
      </x:c>
      <x:c r="E19" s="19" t="str">
        <x:v>失乡猎犬</x:v>
      </x:c>
      <x:c r="F19" s="19" t="str">
        <x:v>普通</x:v>
      </x:c>
      <x:c r="G19" s="19" t="str">
        <x:v>材料独立候选</x:v>
      </x:c>
      <x:c r="H19" s="19" t="str">
        <x:v>技能残页</x:v>
      </x:c>
      <x:c r="I19" s="22" t="n">
        <x:v>60</x:v>
      </x:c>
      <x:c r="J19" s="22" t="n">
        <x:v>1</x:v>
      </x:c>
      <x:c r="K19" s="19" t="n">
        <x:v>1</x:v>
      </x:c>
      <x:c r="L19" s="24" t="n">
        <x:v>11.5</x:v>
      </x:c>
      <x:c r="M19" s="26" t="n">
        <x:v>0</x:v>
      </x:c>
      <x:c r="N19" s="24" t="n">
        <x:v>71.73942994590593</x:v>
      </x:c>
      <x:c r="O19" s="28" t="n">
        <x:f>MIN(1,L19/I19)</x:f>
        <x:v>0.19166666666666668</x:v>
      </x:c>
      <x:c r="P19" s="30" t="n">
        <x:f>O19*J19*(1+M19)</x:f>
        <x:v>0.19166666666666668</x:v>
      </x:c>
      <x:c r="Q19" s="30" t="n">
        <x:f>P19*N19</x:f>
        <x:v>13.750057406298637</x:v>
      </x:c>
      <x:c r="R19" s="19" t="str">
        <x:v>独立判定</x:v>
      </x:c>
    </x:row>
    <x:row r="20" ht="19" customHeight="1">
      <x:c r="A20" s="19" t="str">
        <x:v>D00016</x:v>
      </x:c>
      <x:c r="B20" s="19" t="n">
        <x:v>1</x:v>
      </x:c>
      <x:c r="C20" s="19" t="n">
        <x:v>1</x:v>
      </x:c>
      <x:c r="D20" s="19" t="str">
        <x:v>EL-MON-SEA-004</x:v>
      </x:c>
      <x:c r="E20" s="19" t="str">
        <x:v>失乡猎犬</x:v>
      </x:c>
      <x:c r="F20" s="19" t="str">
        <x:v>普通</x:v>
      </x:c>
      <x:c r="G20" s="19" t="str">
        <x:v>材料独立候选</x:v>
      </x:c>
      <x:c r="H20" s="19" t="str">
        <x:v>小卢恩</x:v>
      </x:c>
      <x:c r="I20" s="22" t="n">
        <x:v>2500</x:v>
      </x:c>
      <x:c r="J20" s="22" t="n">
        <x:v>1</x:v>
      </x:c>
      <x:c r="K20" s="19" t="n">
        <x:v>1</x:v>
      </x:c>
      <x:c r="L20" s="24" t="n">
        <x:v>11.5</x:v>
      </x:c>
      <x:c r="M20" s="26" t="n">
        <x:v>0</x:v>
      </x:c>
      <x:c r="N20" s="24" t="n">
        <x:v>71.73942994590593</x:v>
      </x:c>
      <x:c r="O20" s="28" t="n">
        <x:f>MIN(1,L20/I20)</x:f>
        <x:v>0.0046</x:v>
      </x:c>
      <x:c r="P20" s="30" t="n">
        <x:f>O20*J20*(1+M20)</x:f>
        <x:v>0.0046</x:v>
      </x:c>
      <x:c r="Q20" s="30" t="n">
        <x:f>P20*N20</x:f>
        <x:v>0.3300013777511672</x:v>
      </x:c>
      <x:c r="R20" s="19" t="str">
        <x:v>独立判定</x:v>
      </x:c>
    </x:row>
    <x:row r="21" ht="19" customHeight="1">
      <x:c r="A21" s="19" t="str">
        <x:v>D00017</x:v>
      </x:c>
      <x:c r="B21" s="19" t="n">
        <x:v>1</x:v>
      </x:c>
      <x:c r="C21" s="19" t="n">
        <x:v>1</x:v>
      </x:c>
      <x:c r="D21" s="19" t="str">
        <x:v>EL-MON-SEA-005</x:v>
      </x:c>
      <x:c r="E21" s="19" t="str">
        <x:v>腐潮巨蟹</x:v>
      </x:c>
      <x:c r="F21" s="19" t="str">
        <x:v>普通</x:v>
      </x:c>
      <x:c r="G21" s="19" t="str">
        <x:v>自身专属</x:v>
      </x:c>
      <x:c r="H21" s="19" t="str">
        <x:v>腐潮钳镯</x:v>
      </x:c>
      <x:c r="I21" s="22" t="n">
        <x:v>400</x:v>
      </x:c>
      <x:c r="J21" s="22" t="n">
        <x:v>1</x:v>
      </x:c>
      <x:c r="K21" s="19" t="n">
        <x:v>1</x:v>
      </x:c>
      <x:c r="L21" s="24" t="n">
        <x:v>11.5</x:v>
      </x:c>
      <x:c r="M21" s="26" t="n">
        <x:v>0</x:v>
      </x:c>
      <x:c r="N21" s="24" t="n">
        <x:v>60.97851545402004</x:v>
      </x:c>
      <x:c r="O21" s="28" t="n">
        <x:f>MIN(1,L21/I21)</x:f>
        <x:v>0.02875</x:v>
      </x:c>
      <x:c r="P21" s="30" t="n">
        <x:f>O21*J21*(1+M21)</x:f>
        <x:v>0.02875</x:v>
      </x:c>
      <x:c r="Q21" s="30" t="n">
        <x:f>P21*N21</x:f>
        <x:v>1.7531323193030763</x:v>
      </x:c>
      <x:c r="R21" s="19" t="str">
        <x:v>独立判定</x:v>
      </x:c>
    </x:row>
    <x:row r="22" ht="19" customHeight="1">
      <x:c r="A22" s="19" t="str">
        <x:v>D00018</x:v>
      </x:c>
      <x:c r="B22" s="19" t="n">
        <x:v>1</x:v>
      </x:c>
      <x:c r="C22" s="19" t="n">
        <x:v>1</x:v>
      </x:c>
      <x:c r="D22" s="19" t="str">
        <x:v>EL-MON-SEA-005</x:v>
      </x:c>
      <x:c r="E22" s="19" t="str">
        <x:v>腐潮巨蟹</x:v>
      </x:c>
      <x:c r="F22" s="19" t="str">
        <x:v>普通</x:v>
      </x:c>
      <x:c r="G22" s="19" t="str">
        <x:v>材料独立候选</x:v>
      </x:c>
      <x:c r="H22" s="19" t="str">
        <x:v>海蚀铁片</x:v>
      </x:c>
      <x:c r="I22" s="22" t="n">
        <x:v>400</x:v>
      </x:c>
      <x:c r="J22" s="22" t="n">
        <x:v>8</x:v>
      </x:c>
      <x:c r="K22" s="19" t="n">
        <x:v>1</x:v>
      </x:c>
      <x:c r="L22" s="24" t="n">
        <x:v>11.5</x:v>
      </x:c>
      <x:c r="M22" s="26" t="n">
        <x:v>0</x:v>
      </x:c>
      <x:c r="N22" s="24" t="n">
        <x:v>60.97851545402004</x:v>
      </x:c>
      <x:c r="O22" s="28" t="n">
        <x:f>MIN(1,L22/I22)</x:f>
        <x:v>0.02875</x:v>
      </x:c>
      <x:c r="P22" s="30" t="n">
        <x:f>O22*J22*(1+M22)</x:f>
        <x:v>0.23</x:v>
      </x:c>
      <x:c r="Q22" s="30" t="n">
        <x:f>P22*N22</x:f>
        <x:v>14.02505855442461</x:v>
      </x:c>
      <x:c r="R22" s="19" t="str">
        <x:v>独立判定</x:v>
      </x:c>
    </x:row>
    <x:row r="23" ht="19" customHeight="1">
      <x:c r="A23" s="19" t="str">
        <x:v>D00019</x:v>
      </x:c>
      <x:c r="B23" s="19" t="n">
        <x:v>1</x:v>
      </x:c>
      <x:c r="C23" s="19" t="n">
        <x:v>1</x:v>
      </x:c>
      <x:c r="D23" s="19" t="str">
        <x:v>EL-MON-SEA-005</x:v>
      </x:c>
      <x:c r="E23" s="19" t="str">
        <x:v>腐潮巨蟹</x:v>
      </x:c>
      <x:c r="F23" s="19" t="str">
        <x:v>普通</x:v>
      </x:c>
      <x:c r="G23" s="19" t="str">
        <x:v>材料独立候选</x:v>
      </x:c>
      <x:c r="H23" s="19" t="str">
        <x:v>技能残页</x:v>
      </x:c>
      <x:c r="I23" s="22" t="n">
        <x:v>60</x:v>
      </x:c>
      <x:c r="J23" s="22" t="n">
        <x:v>1</x:v>
      </x:c>
      <x:c r="K23" s="19" t="n">
        <x:v>1</x:v>
      </x:c>
      <x:c r="L23" s="24" t="n">
        <x:v>11.5</x:v>
      </x:c>
      <x:c r="M23" s="26" t="n">
        <x:v>0</x:v>
      </x:c>
      <x:c r="N23" s="24" t="n">
        <x:v>60.97851545402004</x:v>
      </x:c>
      <x:c r="O23" s="28" t="n">
        <x:f>MIN(1,L23/I23)</x:f>
        <x:v>0.19166666666666668</x:v>
      </x:c>
      <x:c r="P23" s="30" t="n">
        <x:f>O23*J23*(1+M23)</x:f>
        <x:v>0.19166666666666668</x:v>
      </x:c>
      <x:c r="Q23" s="30" t="n">
        <x:f>P23*N23</x:f>
        <x:v>11.687548795353843</x:v>
      </x:c>
      <x:c r="R23" s="19" t="str">
        <x:v>独立判定</x:v>
      </x:c>
    </x:row>
    <x:row r="24" ht="19" customHeight="1">
      <x:c r="A24" s="19" t="str">
        <x:v>D00020</x:v>
      </x:c>
      <x:c r="B24" s="19" t="n">
        <x:v>1</x:v>
      </x:c>
      <x:c r="C24" s="19" t="n">
        <x:v>1</x:v>
      </x:c>
      <x:c r="D24" s="19" t="str">
        <x:v>EL-MON-SEA-005</x:v>
      </x:c>
      <x:c r="E24" s="19" t="str">
        <x:v>腐潮巨蟹</x:v>
      </x:c>
      <x:c r="F24" s="19" t="str">
        <x:v>普通</x:v>
      </x:c>
      <x:c r="G24" s="19" t="str">
        <x:v>材料独立候选</x:v>
      </x:c>
      <x:c r="H24" s="19" t="str">
        <x:v>小卢恩</x:v>
      </x:c>
      <x:c r="I24" s="22" t="n">
        <x:v>2500</x:v>
      </x:c>
      <x:c r="J24" s="22" t="n">
        <x:v>1</x:v>
      </x:c>
      <x:c r="K24" s="19" t="n">
        <x:v>1</x:v>
      </x:c>
      <x:c r="L24" s="24" t="n">
        <x:v>11.5</x:v>
      </x:c>
      <x:c r="M24" s="26" t="n">
        <x:v>0</x:v>
      </x:c>
      <x:c r="N24" s="24" t="n">
        <x:v>60.97851545402004</x:v>
      </x:c>
      <x:c r="O24" s="28" t="n">
        <x:f>MIN(1,L24/I24)</x:f>
        <x:v>0.0046</x:v>
      </x:c>
      <x:c r="P24" s="30" t="n">
        <x:f>O24*J24*(1+M24)</x:f>
        <x:v>0.0046</x:v>
      </x:c>
      <x:c r="Q24" s="30" t="n">
        <x:f>P24*N24</x:f>
        <x:v>0.2805011710884922</x:v>
      </x:c>
      <x:c r="R24" s="19" t="str">
        <x:v>独立判定</x:v>
      </x:c>
    </x:row>
    <x:row r="25" ht="19" customHeight="1">
      <x:c r="A25" s="19" t="str">
        <x:v>D00021</x:v>
      </x:c>
      <x:c r="B25" s="19" t="n">
        <x:v>1</x:v>
      </x:c>
      <x:c r="C25" s="19" t="n">
        <x:v>1</x:v>
      </x:c>
      <x:c r="D25" s="19" t="str">
        <x:v>EL-MON-SEA-006</x:v>
      </x:c>
      <x:c r="E25" s="19" t="str">
        <x:v>铁锚行刑者</x:v>
      </x:c>
      <x:c r="F25" s="19" t="str">
        <x:v>稀有</x:v>
      </x:c>
      <x:c r="G25" s="19" t="str">
        <x:v>自身专属</x:v>
      </x:c>
      <x:c r="H25" s="19" t="str">
        <x:v>行刑锚刃</x:v>
      </x:c>
      <x:c r="I25" s="22" t="n">
        <x:v>120</x:v>
      </x:c>
      <x:c r="J25" s="22" t="n">
        <x:v>1</x:v>
      </x:c>
      <x:c r="K25" s="19" t="n">
        <x:v>1</x:v>
      </x:c>
      <x:c r="L25" s="24" t="n">
        <x:v>11.5</x:v>
      </x:c>
      <x:c r="M25" s="26" t="n">
        <x:v>0</x:v>
      </x:c>
      <x:c r="N25" s="24" t="n">
        <x:v>6.601843977167103</x:v>
      </x:c>
      <x:c r="O25" s="28" t="n">
        <x:f>MIN(1,L25/I25)</x:f>
        <x:v>0.09583333333333334</x:v>
      </x:c>
      <x:c r="P25" s="30" t="n">
        <x:f>O25*J25*(1+M25)</x:f>
        <x:v>0.09583333333333334</x:v>
      </x:c>
      <x:c r="Q25" s="30" t="n">
        <x:f>P25*N25</x:f>
        <x:v>0.6326767144785141</x:v>
      </x:c>
      <x:c r="R25" s="19" t="str">
        <x:v>独立判定</x:v>
      </x:c>
    </x:row>
    <x:row r="26" ht="19" customHeight="1">
      <x:c r="A26" s="19" t="str">
        <x:v>D00022</x:v>
      </x:c>
      <x:c r="B26" s="19" t="n">
        <x:v>1</x:v>
      </x:c>
      <x:c r="C26" s="19" t="n">
        <x:v>1</x:v>
      </x:c>
      <x:c r="D26" s="19" t="str">
        <x:v>EL-MON-SEA-006</x:v>
      </x:c>
      <x:c r="E26" s="19" t="str">
        <x:v>铁锚行刑者</x:v>
      </x:c>
      <x:c r="F26" s="19" t="str">
        <x:v>稀有</x:v>
      </x:c>
      <x:c r="G26" s="19" t="str">
        <x:v>材料独立候选</x:v>
      </x:c>
      <x:c r="H26" s="19" t="str">
        <x:v>海蚀铁片</x:v>
      </x:c>
      <x:c r="I26" s="22" t="n">
        <x:v>300</x:v>
      </x:c>
      <x:c r="J26" s="22" t="n">
        <x:v>15</x:v>
      </x:c>
      <x:c r="K26" s="19" t="n">
        <x:v>1</x:v>
      </x:c>
      <x:c r="L26" s="24" t="n">
        <x:v>11.5</x:v>
      </x:c>
      <x:c r="M26" s="26" t="n">
        <x:v>0</x:v>
      </x:c>
      <x:c r="N26" s="24" t="n">
        <x:v>6.601843977167103</x:v>
      </x:c>
      <x:c r="O26" s="28" t="n">
        <x:f>MIN(1,L26/I26)</x:f>
        <x:v>0.03833333333333333</x:v>
      </x:c>
      <x:c r="P26" s="30" t="n">
        <x:f>O26*J26*(1+M26)</x:f>
        <x:v>0.575</x:v>
      </x:c>
      <x:c r="Q26" s="30" t="n">
        <x:f>P26*N26</x:f>
        <x:v>3.796060286871084</x:v>
      </x:c>
      <x:c r="R26" s="19" t="str">
        <x:v>独立判定</x:v>
      </x:c>
    </x:row>
    <x:row r="27" ht="19" customHeight="1">
      <x:c r="A27" s="19" t="str">
        <x:v>D00023</x:v>
      </x:c>
      <x:c r="B27" s="19" t="n">
        <x:v>1</x:v>
      </x:c>
      <x:c r="C27" s="19" t="n">
        <x:v>1</x:v>
      </x:c>
      <x:c r="D27" s="19" t="str">
        <x:v>EL-MON-SEA-006</x:v>
      </x:c>
      <x:c r="E27" s="19" t="str">
        <x:v>铁锚行刑者</x:v>
      </x:c>
      <x:c r="F27" s="19" t="str">
        <x:v>稀有</x:v>
      </x:c>
      <x:c r="G27" s="19" t="str">
        <x:v>材料独立候选</x:v>
      </x:c>
      <x:c r="H27" s="19" t="str">
        <x:v>潮痕结晶</x:v>
      </x:c>
      <x:c r="I27" s="22" t="n">
        <x:v>120</x:v>
      </x:c>
      <x:c r="J27" s="22" t="n">
        <x:v>1</x:v>
      </x:c>
      <x:c r="K27" s="19" t="n">
        <x:v>1</x:v>
      </x:c>
      <x:c r="L27" s="24" t="n">
        <x:v>11.5</x:v>
      </x:c>
      <x:c r="M27" s="26" t="n">
        <x:v>0</x:v>
      </x:c>
      <x:c r="N27" s="24" t="n">
        <x:v>6.601843977167103</x:v>
      </x:c>
      <x:c r="O27" s="28" t="n">
        <x:f>MIN(1,L27/I27)</x:f>
        <x:v>0.09583333333333334</x:v>
      </x:c>
      <x:c r="P27" s="30" t="n">
        <x:f>O27*J27*(1+M27)</x:f>
        <x:v>0.09583333333333334</x:v>
      </x:c>
      <x:c r="Q27" s="30" t="n">
        <x:f>P27*N27</x:f>
        <x:v>0.6326767144785141</x:v>
      </x:c>
      <x:c r="R27" s="19" t="str">
        <x:v>独立判定</x:v>
      </x:c>
    </x:row>
    <x:row r="28" ht="19" customHeight="1">
      <x:c r="A28" s="19" t="str">
        <x:v>D00024</x:v>
      </x:c>
      <x:c r="B28" s="19" t="n">
        <x:v>1</x:v>
      </x:c>
      <x:c r="C28" s="19" t="n">
        <x:v>1</x:v>
      </x:c>
      <x:c r="D28" s="19" t="str">
        <x:v>EL-MON-SEA-006</x:v>
      </x:c>
      <x:c r="E28" s="19" t="str">
        <x:v>铁锚行刑者</x:v>
      </x:c>
      <x:c r="F28" s="19" t="str">
        <x:v>稀有</x:v>
      </x:c>
      <x:c r="G28" s="19" t="str">
        <x:v>材料独立候选</x:v>
      </x:c>
      <x:c r="H28" s="19" t="str">
        <x:v>锈锚魂魄</x:v>
      </x:c>
      <x:c r="I28" s="22" t="n">
        <x:v>120</x:v>
      </x:c>
      <x:c r="J28" s="22" t="n">
        <x:v>1</x:v>
      </x:c>
      <x:c r="K28" s="19" t="n">
        <x:v>1</x:v>
      </x:c>
      <x:c r="L28" s="24" t="n">
        <x:v>11.5</x:v>
      </x:c>
      <x:c r="M28" s="26" t="n">
        <x:v>0</x:v>
      </x:c>
      <x:c r="N28" s="24" t="n">
        <x:v>6.601843977167103</x:v>
      </x:c>
      <x:c r="O28" s="28" t="n">
        <x:f>MIN(1,L28/I28)</x:f>
        <x:v>0.09583333333333334</x:v>
      </x:c>
      <x:c r="P28" s="30" t="n">
        <x:f>O28*J28*(1+M28)</x:f>
        <x:v>0.09583333333333334</x:v>
      </x:c>
      <x:c r="Q28" s="30" t="n">
        <x:f>P28*N28</x:f>
        <x:v>0.6326767144785141</x:v>
      </x:c>
      <x:c r="R28" s="19" t="str">
        <x:v>独立判定</x:v>
      </x:c>
    </x:row>
    <x:row r="29" ht="19" customHeight="1">
      <x:c r="A29" s="19" t="str">
        <x:v>D00025</x:v>
      </x:c>
      <x:c r="B29" s="19" t="n">
        <x:v>1</x:v>
      </x:c>
      <x:c r="C29" s="19" t="n">
        <x:v>1</x:v>
      </x:c>
      <x:c r="D29" s="19" t="str">
        <x:v>EL-MON-SEA-006</x:v>
      </x:c>
      <x:c r="E29" s="19" t="str">
        <x:v>铁锚行刑者</x:v>
      </x:c>
      <x:c r="F29" s="19" t="str">
        <x:v>稀有</x:v>
      </x:c>
      <x:c r="G29" s="19" t="str">
        <x:v>材料独立候选</x:v>
      </x:c>
      <x:c r="H29" s="19" t="str">
        <x:v>技能残页</x:v>
      </x:c>
      <x:c r="I29" s="22" t="n">
        <x:v>40</x:v>
      </x:c>
      <x:c r="J29" s="22" t="n">
        <x:v>1</x:v>
      </x:c>
      <x:c r="K29" s="19" t="n">
        <x:v>1</x:v>
      </x:c>
      <x:c r="L29" s="24" t="n">
        <x:v>11.5</x:v>
      </x:c>
      <x:c r="M29" s="26" t="n">
        <x:v>0</x:v>
      </x:c>
      <x:c r="N29" s="24" t="n">
        <x:v>6.601843977167103</x:v>
      </x:c>
      <x:c r="O29" s="28" t="n">
        <x:f>MIN(1,L29/I29)</x:f>
        <x:v>0.2875</x:v>
      </x:c>
      <x:c r="P29" s="30" t="n">
        <x:f>O29*J29*(1+M29)</x:f>
        <x:v>0.2875</x:v>
      </x:c>
      <x:c r="Q29" s="30" t="n">
        <x:f>P29*N29</x:f>
        <x:v>1.898030143435542</x:v>
      </x:c>
      <x:c r="R29" s="19" t="str">
        <x:v>独立判定</x:v>
      </x:c>
    </x:row>
    <x:row r="30" ht="19" customHeight="1">
      <x:c r="A30" s="19" t="str">
        <x:v>D00026</x:v>
      </x:c>
      <x:c r="B30" s="19" t="n">
        <x:v>1</x:v>
      </x:c>
      <x:c r="C30" s="19" t="n">
        <x:v>1</x:v>
      </x:c>
      <x:c r="D30" s="19" t="str">
        <x:v>EL-MON-SEA-006</x:v>
      </x:c>
      <x:c r="E30" s="19" t="str">
        <x:v>铁锚行刑者</x:v>
      </x:c>
      <x:c r="F30" s="19" t="str">
        <x:v>稀有</x:v>
      </x:c>
      <x:c r="G30" s="19" t="str">
        <x:v>材料独立候选</x:v>
      </x:c>
      <x:c r="H30" s="19" t="str">
        <x:v>小卢恩</x:v>
      </x:c>
      <x:c r="I30" s="22" t="n">
        <x:v>1500</x:v>
      </x:c>
      <x:c r="J30" s="22" t="n">
        <x:v>1</x:v>
      </x:c>
      <x:c r="K30" s="19" t="n">
        <x:v>1</x:v>
      </x:c>
      <x:c r="L30" s="24" t="n">
        <x:v>11.5</x:v>
      </x:c>
      <x:c r="M30" s="26" t="n">
        <x:v>0</x:v>
      </x:c>
      <x:c r="N30" s="24" t="n">
        <x:v>6.601843977167103</x:v>
      </x:c>
      <x:c r="O30" s="28" t="n">
        <x:f>MIN(1,L30/I30)</x:f>
        <x:v>0.007666666666666666</x:v>
      </x:c>
      <x:c r="P30" s="30" t="n">
        <x:f>O30*J30*(1+M30)</x:f>
        <x:v>0.007666666666666666</x:v>
      </x:c>
      <x:c r="Q30" s="30" t="n">
        <x:f>P30*N30</x:f>
        <x:v>0.05061413715828112</x:v>
      </x:c>
      <x:c r="R30" s="19" t="str">
        <x:v>独立判定</x:v>
      </x:c>
    </x:row>
    <x:row r="31" ht="19" customHeight="1">
      <x:c r="A31" s="19" t="str">
        <x:v>D00027</x:v>
      </x:c>
      <x:c r="B31" s="19" t="n">
        <x:v>1</x:v>
      </x:c>
      <x:c r="C31" s="19" t="n">
        <x:v>1</x:v>
      </x:c>
      <x:c r="D31" s="19" t="str">
        <x:v>EL-MON-SEA-007</x:v>
      </x:c>
      <x:c r="E31" s="19" t="str">
        <x:v>唤潮祷师</x:v>
      </x:c>
      <x:c r="F31" s="19" t="str">
        <x:v>稀有</x:v>
      </x:c>
      <x:c r="G31" s="19" t="str">
        <x:v>自身专属</x:v>
      </x:c>
      <x:c r="H31" s="19" t="str">
        <x:v>唤潮旧勋</x:v>
      </x:c>
      <x:c r="I31" s="22" t="n">
        <x:v>120</x:v>
      </x:c>
      <x:c r="J31" s="22" t="n">
        <x:v>1</x:v>
      </x:c>
      <x:c r="K31" s="19" t="n">
        <x:v>1</x:v>
      </x:c>
      <x:c r="L31" s="24" t="n">
        <x:v>11.5</x:v>
      </x:c>
      <x:c r="M31" s="26" t="n">
        <x:v>0</x:v>
      </x:c>
      <x:c r="N31" s="24" t="n">
        <x:v>8.006491631883508</x:v>
      </x:c>
      <x:c r="O31" s="28" t="n">
        <x:f>MIN(1,L31/I31)</x:f>
        <x:v>0.09583333333333334</x:v>
      </x:c>
      <x:c r="P31" s="30" t="n">
        <x:f>O31*J31*(1+M31)</x:f>
        <x:v>0.09583333333333334</x:v>
      </x:c>
      <x:c r="Q31" s="30" t="n">
        <x:f>P31*N31</x:f>
        <x:v>0.7672887813888362</x:v>
      </x:c>
      <x:c r="R31" s="19" t="str">
        <x:v>独立判定</x:v>
      </x:c>
    </x:row>
    <x:row r="32" ht="19" customHeight="1">
      <x:c r="A32" s="19" t="str">
        <x:v>D00028</x:v>
      </x:c>
      <x:c r="B32" s="19" t="n">
        <x:v>1</x:v>
      </x:c>
      <x:c r="C32" s="19" t="n">
        <x:v>1</x:v>
      </x:c>
      <x:c r="D32" s="19" t="str">
        <x:v>EL-MON-SEA-007</x:v>
      </x:c>
      <x:c r="E32" s="19" t="str">
        <x:v>唤潮祷师</x:v>
      </x:c>
      <x:c r="F32" s="19" t="str">
        <x:v>稀有</x:v>
      </x:c>
      <x:c r="G32" s="19" t="str">
        <x:v>材料独立候选</x:v>
      </x:c>
      <x:c r="H32" s="19" t="str">
        <x:v>海蚀铁片</x:v>
      </x:c>
      <x:c r="I32" s="22" t="n">
        <x:v>300</x:v>
      </x:c>
      <x:c r="J32" s="22" t="n">
        <x:v>15</x:v>
      </x:c>
      <x:c r="K32" s="19" t="n">
        <x:v>1</x:v>
      </x:c>
      <x:c r="L32" s="24" t="n">
        <x:v>11.5</x:v>
      </x:c>
      <x:c r="M32" s="26" t="n">
        <x:v>0</x:v>
      </x:c>
      <x:c r="N32" s="24" t="n">
        <x:v>8.006491631883508</x:v>
      </x:c>
      <x:c r="O32" s="28" t="n">
        <x:f>MIN(1,L32/I32)</x:f>
        <x:v>0.03833333333333333</x:v>
      </x:c>
      <x:c r="P32" s="30" t="n">
        <x:f>O32*J32*(1+M32)</x:f>
        <x:v>0.575</x:v>
      </x:c>
      <x:c r="Q32" s="30" t="n">
        <x:f>P32*N32</x:f>
        <x:v>4.603732688333016</x:v>
      </x:c>
      <x:c r="R32" s="19" t="str">
        <x:v>独立判定</x:v>
      </x:c>
    </x:row>
    <x:row r="33" ht="19" customHeight="1">
      <x:c r="A33" s="19" t="str">
        <x:v>D00029</x:v>
      </x:c>
      <x:c r="B33" s="19" t="n">
        <x:v>1</x:v>
      </x:c>
      <x:c r="C33" s="19" t="n">
        <x:v>1</x:v>
      </x:c>
      <x:c r="D33" s="19" t="str">
        <x:v>EL-MON-SEA-007</x:v>
      </x:c>
      <x:c r="E33" s="19" t="str">
        <x:v>唤潮祷师</x:v>
      </x:c>
      <x:c r="F33" s="19" t="str">
        <x:v>稀有</x:v>
      </x:c>
      <x:c r="G33" s="19" t="str">
        <x:v>材料独立候选</x:v>
      </x:c>
      <x:c r="H33" s="19" t="str">
        <x:v>潮痕结晶</x:v>
      </x:c>
      <x:c r="I33" s="22" t="n">
        <x:v>120</x:v>
      </x:c>
      <x:c r="J33" s="22" t="n">
        <x:v>1</x:v>
      </x:c>
      <x:c r="K33" s="19" t="n">
        <x:v>1</x:v>
      </x:c>
      <x:c r="L33" s="24" t="n">
        <x:v>11.5</x:v>
      </x:c>
      <x:c r="M33" s="26" t="n">
        <x:v>0</x:v>
      </x:c>
      <x:c r="N33" s="24" t="n">
        <x:v>8.006491631883508</x:v>
      </x:c>
      <x:c r="O33" s="28" t="n">
        <x:f>MIN(1,L33/I33)</x:f>
        <x:v>0.09583333333333334</x:v>
      </x:c>
      <x:c r="P33" s="30" t="n">
        <x:f>O33*J33*(1+M33)</x:f>
        <x:v>0.09583333333333334</x:v>
      </x:c>
      <x:c r="Q33" s="30" t="n">
        <x:f>P33*N33</x:f>
        <x:v>0.7672887813888362</x:v>
      </x:c>
      <x:c r="R33" s="19" t="str">
        <x:v>独立判定</x:v>
      </x:c>
    </x:row>
    <x:row r="34" ht="19" customHeight="1">
      <x:c r="A34" s="19" t="str">
        <x:v>D00030</x:v>
      </x:c>
      <x:c r="B34" s="19" t="n">
        <x:v>1</x:v>
      </x:c>
      <x:c r="C34" s="19" t="n">
        <x:v>1</x:v>
      </x:c>
      <x:c r="D34" s="19" t="str">
        <x:v>EL-MON-SEA-007</x:v>
      </x:c>
      <x:c r="E34" s="19" t="str">
        <x:v>唤潮祷师</x:v>
      </x:c>
      <x:c r="F34" s="19" t="str">
        <x:v>稀有</x:v>
      </x:c>
      <x:c r="G34" s="19" t="str">
        <x:v>材料独立候选</x:v>
      </x:c>
      <x:c r="H34" s="19" t="str">
        <x:v>技能残页</x:v>
      </x:c>
      <x:c r="I34" s="22" t="n">
        <x:v>40</x:v>
      </x:c>
      <x:c r="J34" s="22" t="n">
        <x:v>1</x:v>
      </x:c>
      <x:c r="K34" s="19" t="n">
        <x:v>1</x:v>
      </x:c>
      <x:c r="L34" s="24" t="n">
        <x:v>11.5</x:v>
      </x:c>
      <x:c r="M34" s="26" t="n">
        <x:v>0</x:v>
      </x:c>
      <x:c r="N34" s="24" t="n">
        <x:v>8.006491631883508</x:v>
      </x:c>
      <x:c r="O34" s="28" t="n">
        <x:f>MIN(1,L34/I34)</x:f>
        <x:v>0.2875</x:v>
      </x:c>
      <x:c r="P34" s="30" t="n">
        <x:f>O34*J34*(1+M34)</x:f>
        <x:v>0.2875</x:v>
      </x:c>
      <x:c r="Q34" s="30" t="n">
        <x:f>P34*N34</x:f>
        <x:v>2.301866344166508</x:v>
      </x:c>
      <x:c r="R34" s="19" t="str">
        <x:v>独立判定</x:v>
      </x:c>
    </x:row>
    <x:row r="35" ht="19" customHeight="1">
      <x:c r="A35" s="19" t="str">
        <x:v>D00031</x:v>
      </x:c>
      <x:c r="B35" s="19" t="n">
        <x:v>1</x:v>
      </x:c>
      <x:c r="C35" s="19" t="n">
        <x:v>1</x:v>
      </x:c>
      <x:c r="D35" s="19" t="str">
        <x:v>EL-MON-SEA-007</x:v>
      </x:c>
      <x:c r="E35" s="19" t="str">
        <x:v>唤潮祷师</x:v>
      </x:c>
      <x:c r="F35" s="19" t="str">
        <x:v>稀有</x:v>
      </x:c>
      <x:c r="G35" s="19" t="str">
        <x:v>材料独立候选</x:v>
      </x:c>
      <x:c r="H35" s="19" t="str">
        <x:v>小卢恩</x:v>
      </x:c>
      <x:c r="I35" s="22" t="n">
        <x:v>1500</x:v>
      </x:c>
      <x:c r="J35" s="22" t="n">
        <x:v>1</x:v>
      </x:c>
      <x:c r="K35" s="19" t="n">
        <x:v>1</x:v>
      </x:c>
      <x:c r="L35" s="24" t="n">
        <x:v>11.5</x:v>
      </x:c>
      <x:c r="M35" s="26" t="n">
        <x:v>0</x:v>
      </x:c>
      <x:c r="N35" s="24" t="n">
        <x:v>8.006491631883508</x:v>
      </x:c>
      <x:c r="O35" s="28" t="n">
        <x:f>MIN(1,L35/I35)</x:f>
        <x:v>0.007666666666666666</x:v>
      </x:c>
      <x:c r="P35" s="30" t="n">
        <x:f>O35*J35*(1+M35)</x:f>
        <x:v>0.007666666666666666</x:v>
      </x:c>
      <x:c r="Q35" s="30" t="n">
        <x:f>P35*N35</x:f>
        <x:v>0.06138310251110689</x:v>
      </x:c>
      <x:c r="R35" s="19" t="str">
        <x:v>独立判定</x:v>
      </x:c>
    </x:row>
    <x:row r="36" ht="19" customHeight="1">
      <x:c r="A36" s="19" t="str">
        <x:v>D00032</x:v>
      </x:c>
      <x:c r="B36" s="19" t="n">
        <x:v>1</x:v>
      </x:c>
      <x:c r="C36" s="19" t="n">
        <x:v>1</x:v>
      </x:c>
      <x:c r="D36" s="19" t="str">
        <x:v>EL-MON-SEA-008</x:v>
      </x:c>
      <x:c r="E36" s="19" t="str">
        <x:v>沉船守财者</x:v>
      </x:c>
      <x:c r="F36" s="19" t="str">
        <x:v>稀有</x:v>
      </x:c>
      <x:c r="G36" s="19" t="str">
        <x:v>自身专属</x:v>
      </x:c>
      <x:c r="H36" s="19" t="str">
        <x:v>沉金铁盔</x:v>
      </x:c>
      <x:c r="I36" s="22" t="n">
        <x:v>120</x:v>
      </x:c>
      <x:c r="J36" s="22" t="n">
        <x:v>1</x:v>
      </x:c>
      <x:c r="K36" s="19" t="n">
        <x:v>1</x:v>
      </x:c>
      <x:c r="L36" s="24" t="n">
        <x:v>11.5</x:v>
      </x:c>
      <x:c r="M36" s="26" t="n">
        <x:v>0</x:v>
      </x:c>
      <x:c r="N36" s="24" t="n">
        <x:v>7.236636667279324</x:v>
      </x:c>
      <x:c r="O36" s="28" t="n">
        <x:f>MIN(1,L36/I36)</x:f>
        <x:v>0.09583333333333334</x:v>
      </x:c>
      <x:c r="P36" s="30" t="n">
        <x:f>O36*J36*(1+M36)</x:f>
        <x:v>0.09583333333333334</x:v>
      </x:c>
      <x:c r="Q36" s="30" t="n">
        <x:f>P36*N36</x:f>
        <x:v>0.693511013947602</x:v>
      </x:c>
      <x:c r="R36" s="19" t="str">
        <x:v>独立判定</x:v>
      </x:c>
    </x:row>
    <x:row r="37" ht="19" customHeight="1">
      <x:c r="A37" s="19" t="str">
        <x:v>D00033</x:v>
      </x:c>
      <x:c r="B37" s="19" t="n">
        <x:v>1</x:v>
      </x:c>
      <x:c r="C37" s="19" t="n">
        <x:v>1</x:v>
      </x:c>
      <x:c r="D37" s="19" t="str">
        <x:v>EL-MON-SEA-008</x:v>
      </x:c>
      <x:c r="E37" s="19" t="str">
        <x:v>沉船守财者</x:v>
      </x:c>
      <x:c r="F37" s="19" t="str">
        <x:v>稀有</x:v>
      </x:c>
      <x:c r="G37" s="19" t="str">
        <x:v>材料独立候选</x:v>
      </x:c>
      <x:c r="H37" s="19" t="str">
        <x:v>海蚀铁片</x:v>
      </x:c>
      <x:c r="I37" s="22" t="n">
        <x:v>300</x:v>
      </x:c>
      <x:c r="J37" s="22" t="n">
        <x:v>15</x:v>
      </x:c>
      <x:c r="K37" s="19" t="n">
        <x:v>1</x:v>
      </x:c>
      <x:c r="L37" s="24" t="n">
        <x:v>11.5</x:v>
      </x:c>
      <x:c r="M37" s="26" t="n">
        <x:v>0</x:v>
      </x:c>
      <x:c r="N37" s="24" t="n">
        <x:v>7.236636667279324</x:v>
      </x:c>
      <x:c r="O37" s="28" t="n">
        <x:f>MIN(1,L37/I37)</x:f>
        <x:v>0.03833333333333333</x:v>
      </x:c>
      <x:c r="P37" s="30" t="n">
        <x:f>O37*J37*(1+M37)</x:f>
        <x:v>0.575</x:v>
      </x:c>
      <x:c r="Q37" s="30" t="n">
        <x:f>P37*N37</x:f>
        <x:v>4.161066083685611</x:v>
      </x:c>
      <x:c r="R37" s="19" t="str">
        <x:v>独立判定</x:v>
      </x:c>
    </x:row>
    <x:row r="38" ht="19" customHeight="1">
      <x:c r="A38" s="19" t="str">
        <x:v>D00034</x:v>
      </x:c>
      <x:c r="B38" s="19" t="n">
        <x:v>1</x:v>
      </x:c>
      <x:c r="C38" s="19" t="n">
        <x:v>1</x:v>
      </x:c>
      <x:c r="D38" s="19" t="str">
        <x:v>EL-MON-SEA-008</x:v>
      </x:c>
      <x:c r="E38" s="19" t="str">
        <x:v>沉船守财者</x:v>
      </x:c>
      <x:c r="F38" s="19" t="str">
        <x:v>稀有</x:v>
      </x:c>
      <x:c r="G38" s="19" t="str">
        <x:v>材料独立候选</x:v>
      </x:c>
      <x:c r="H38" s="19" t="str">
        <x:v>潮痕结晶</x:v>
      </x:c>
      <x:c r="I38" s="22" t="n">
        <x:v>120</x:v>
      </x:c>
      <x:c r="J38" s="22" t="n">
        <x:v>1</x:v>
      </x:c>
      <x:c r="K38" s="19" t="n">
        <x:v>1</x:v>
      </x:c>
      <x:c r="L38" s="24" t="n">
        <x:v>11.5</x:v>
      </x:c>
      <x:c r="M38" s="26" t="n">
        <x:v>0</x:v>
      </x:c>
      <x:c r="N38" s="24" t="n">
        <x:v>7.236636667279324</x:v>
      </x:c>
      <x:c r="O38" s="28" t="n">
        <x:f>MIN(1,L38/I38)</x:f>
        <x:v>0.09583333333333334</x:v>
      </x:c>
      <x:c r="P38" s="30" t="n">
        <x:f>O38*J38*(1+M38)</x:f>
        <x:v>0.09583333333333334</x:v>
      </x:c>
      <x:c r="Q38" s="30" t="n">
        <x:f>P38*N38</x:f>
        <x:v>0.693511013947602</x:v>
      </x:c>
      <x:c r="R38" s="19" t="str">
        <x:v>独立判定</x:v>
      </x:c>
    </x:row>
    <x:row r="39" ht="19" customHeight="1">
      <x:c r="A39" s="19" t="str">
        <x:v>D00035</x:v>
      </x:c>
      <x:c r="B39" s="19" t="n">
        <x:v>1</x:v>
      </x:c>
      <x:c r="C39" s="19" t="n">
        <x:v>1</x:v>
      </x:c>
      <x:c r="D39" s="19" t="str">
        <x:v>EL-MON-SEA-008</x:v>
      </x:c>
      <x:c r="E39" s="19" t="str">
        <x:v>沉船守财者</x:v>
      </x:c>
      <x:c r="F39" s="19" t="str">
        <x:v>稀有</x:v>
      </x:c>
      <x:c r="G39" s="19" t="str">
        <x:v>材料独立候选</x:v>
      </x:c>
      <x:c r="H39" s="19" t="str">
        <x:v>沉金魂魄</x:v>
      </x:c>
      <x:c r="I39" s="22" t="n">
        <x:v>150</x:v>
      </x:c>
      <x:c r="J39" s="22" t="n">
        <x:v>1</x:v>
      </x:c>
      <x:c r="K39" s="19" t="n">
        <x:v>1</x:v>
      </x:c>
      <x:c r="L39" s="24" t="n">
        <x:v>11.5</x:v>
      </x:c>
      <x:c r="M39" s="26" t="n">
        <x:v>0</x:v>
      </x:c>
      <x:c r="N39" s="24" t="n">
        <x:v>7.236636667279324</x:v>
      </x:c>
      <x:c r="O39" s="28" t="n">
        <x:f>MIN(1,L39/I39)</x:f>
        <x:v>0.07666666666666666</x:v>
      </x:c>
      <x:c r="P39" s="30" t="n">
        <x:f>O39*J39*(1+M39)</x:f>
        <x:v>0.07666666666666666</x:v>
      </x:c>
      <x:c r="Q39" s="30" t="n">
        <x:f>P39*N39</x:f>
        <x:v>0.5548088111580814</x:v>
      </x:c>
      <x:c r="R39" s="19" t="str">
        <x:v>独立判定</x:v>
      </x:c>
    </x:row>
    <x:row r="40" ht="19" customHeight="1">
      <x:c r="A40" s="19" t="str">
        <x:v>D00036</x:v>
      </x:c>
      <x:c r="B40" s="19" t="n">
        <x:v>1</x:v>
      </x:c>
      <x:c r="C40" s="19" t="n">
        <x:v>1</x:v>
      </x:c>
      <x:c r="D40" s="19" t="str">
        <x:v>EL-MON-SEA-008</x:v>
      </x:c>
      <x:c r="E40" s="19" t="str">
        <x:v>沉船守财者</x:v>
      </x:c>
      <x:c r="F40" s="19" t="str">
        <x:v>稀有</x:v>
      </x:c>
      <x:c r="G40" s="19" t="str">
        <x:v>材料独立候选</x:v>
      </x:c>
      <x:c r="H40" s="19" t="str">
        <x:v>技能残页</x:v>
      </x:c>
      <x:c r="I40" s="22" t="n">
        <x:v>40</x:v>
      </x:c>
      <x:c r="J40" s="22" t="n">
        <x:v>1</x:v>
      </x:c>
      <x:c r="K40" s="19" t="n">
        <x:v>1</x:v>
      </x:c>
      <x:c r="L40" s="24" t="n">
        <x:v>11.5</x:v>
      </x:c>
      <x:c r="M40" s="26" t="n">
        <x:v>0</x:v>
      </x:c>
      <x:c r="N40" s="24" t="n">
        <x:v>7.236636667279324</x:v>
      </x:c>
      <x:c r="O40" s="28" t="n">
        <x:f>MIN(1,L40/I40)</x:f>
        <x:v>0.2875</x:v>
      </x:c>
      <x:c r="P40" s="30" t="n">
        <x:f>O40*J40*(1+M40)</x:f>
        <x:v>0.2875</x:v>
      </x:c>
      <x:c r="Q40" s="30" t="n">
        <x:f>P40*N40</x:f>
        <x:v>2.0805330418428056</x:v>
      </x:c>
      <x:c r="R40" s="19" t="str">
        <x:v>独立判定</x:v>
      </x:c>
    </x:row>
    <x:row r="41" ht="19" customHeight="1">
      <x:c r="A41" s="19" t="str">
        <x:v>D00037</x:v>
      </x:c>
      <x:c r="B41" s="19" t="n">
        <x:v>1</x:v>
      </x:c>
      <x:c r="C41" s="19" t="n">
        <x:v>1</x:v>
      </x:c>
      <x:c r="D41" s="19" t="str">
        <x:v>EL-MON-SEA-008</x:v>
      </x:c>
      <x:c r="E41" s="19" t="str">
        <x:v>沉船守财者</x:v>
      </x:c>
      <x:c r="F41" s="19" t="str">
        <x:v>稀有</x:v>
      </x:c>
      <x:c r="G41" s="19" t="str">
        <x:v>材料独立候选</x:v>
      </x:c>
      <x:c r="H41" s="19" t="str">
        <x:v>小卢恩</x:v>
      </x:c>
      <x:c r="I41" s="22" t="n">
        <x:v>1500</x:v>
      </x:c>
      <x:c r="J41" s="22" t="n">
        <x:v>1</x:v>
      </x:c>
      <x:c r="K41" s="19" t="n">
        <x:v>1</x:v>
      </x:c>
      <x:c r="L41" s="24" t="n">
        <x:v>11.5</x:v>
      </x:c>
      <x:c r="M41" s="26" t="n">
        <x:v>0</x:v>
      </x:c>
      <x:c r="N41" s="24" t="n">
        <x:v>7.236636667279324</x:v>
      </x:c>
      <x:c r="O41" s="28" t="n">
        <x:f>MIN(1,L41/I41)</x:f>
        <x:v>0.007666666666666666</x:v>
      </x:c>
      <x:c r="P41" s="30" t="n">
        <x:f>O41*J41*(1+M41)</x:f>
        <x:v>0.007666666666666666</x:v>
      </x:c>
      <x:c r="Q41" s="30" t="n">
        <x:f>P41*N41</x:f>
        <x:v>0.05548088111580815</x:v>
      </x:c>
      <x:c r="R41" s="19" t="str">
        <x:v>独立判定</x:v>
      </x:c>
    </x:row>
    <x:row r="42" ht="19" customHeight="1">
      <x:c r="A42" s="19" t="str">
        <x:v>D00038</x:v>
      </x:c>
      <x:c r="B42" s="19" t="n">
        <x:v>1</x:v>
      </x:c>
      <x:c r="C42" s="19" t="n">
        <x:v>1</x:v>
      </x:c>
      <x:c r="D42" s="19" t="str">
        <x:v>EL-MON-SEA-009</x:v>
      </x:c>
      <x:c r="E42" s="19" t="str">
        <x:v>海雾骑士</x:v>
      </x:c>
      <x:c r="F42" s="19" t="str">
        <x:v>稀有</x:v>
      </x:c>
      <x:c r="G42" s="19" t="str">
        <x:v>自身专属</x:v>
      </x:c>
      <x:c r="H42" s="19" t="str">
        <x:v>海雾塔盾</x:v>
      </x:c>
      <x:c r="I42" s="22" t="n">
        <x:v>120</x:v>
      </x:c>
      <x:c r="J42" s="22" t="n">
        <x:v>1</x:v>
      </x:c>
      <x:c r="K42" s="19" t="n">
        <x:v>1</x:v>
      </x:c>
      <x:c r="L42" s="24" t="n">
        <x:v>11.5</x:v>
      </x:c>
      <x:c r="M42" s="26" t="n">
        <x:v>0</x:v>
      </x:c>
      <x:c r="N42" s="24" t="n">
        <x:v>6.271751778308747</x:v>
      </x:c>
      <x:c r="O42" s="28" t="n">
        <x:f>MIN(1,L42/I42)</x:f>
        <x:v>0.09583333333333334</x:v>
      </x:c>
      <x:c r="P42" s="30" t="n">
        <x:f>O42*J42*(1+M42)</x:f>
        <x:v>0.09583333333333334</x:v>
      </x:c>
      <x:c r="Q42" s="30" t="n">
        <x:f>P42*N42</x:f>
        <x:v>0.6010428787545883</x:v>
      </x:c>
      <x:c r="R42" s="19" t="str">
        <x:v>独立判定</x:v>
      </x:c>
    </x:row>
    <x:row r="43" ht="19" customHeight="1">
      <x:c r="A43" s="19" t="str">
        <x:v>D00039</x:v>
      </x:c>
      <x:c r="B43" s="19" t="n">
        <x:v>1</x:v>
      </x:c>
      <x:c r="C43" s="19" t="n">
        <x:v>1</x:v>
      </x:c>
      <x:c r="D43" s="19" t="str">
        <x:v>EL-MON-SEA-009</x:v>
      </x:c>
      <x:c r="E43" s="19" t="str">
        <x:v>海雾骑士</x:v>
      </x:c>
      <x:c r="F43" s="19" t="str">
        <x:v>稀有</x:v>
      </x:c>
      <x:c r="G43" s="19" t="str">
        <x:v>材料独立候选</x:v>
      </x:c>
      <x:c r="H43" s="19" t="str">
        <x:v>海蚀铁片</x:v>
      </x:c>
      <x:c r="I43" s="22" t="n">
        <x:v>300</x:v>
      </x:c>
      <x:c r="J43" s="22" t="n">
        <x:v>15</x:v>
      </x:c>
      <x:c r="K43" s="19" t="n">
        <x:v>1</x:v>
      </x:c>
      <x:c r="L43" s="24" t="n">
        <x:v>11.5</x:v>
      </x:c>
      <x:c r="M43" s="26" t="n">
        <x:v>0</x:v>
      </x:c>
      <x:c r="N43" s="24" t="n">
        <x:v>6.271751778308747</x:v>
      </x:c>
      <x:c r="O43" s="28" t="n">
        <x:f>MIN(1,L43/I43)</x:f>
        <x:v>0.03833333333333333</x:v>
      </x:c>
      <x:c r="P43" s="30" t="n">
        <x:f>O43*J43*(1+M43)</x:f>
        <x:v>0.575</x:v>
      </x:c>
      <x:c r="Q43" s="30" t="n">
        <x:f>P43*N43</x:f>
        <x:v>3.6062572725275293</x:v>
      </x:c>
      <x:c r="R43" s="19" t="str">
        <x:v>独立判定</x:v>
      </x:c>
    </x:row>
    <x:row r="44" ht="19" customHeight="1">
      <x:c r="A44" s="19" t="str">
        <x:v>D00040</x:v>
      </x:c>
      <x:c r="B44" s="19" t="n">
        <x:v>1</x:v>
      </x:c>
      <x:c r="C44" s="19" t="n">
        <x:v>1</x:v>
      </x:c>
      <x:c r="D44" s="19" t="str">
        <x:v>EL-MON-SEA-009</x:v>
      </x:c>
      <x:c r="E44" s="19" t="str">
        <x:v>海雾骑士</x:v>
      </x:c>
      <x:c r="F44" s="19" t="str">
        <x:v>稀有</x:v>
      </x:c>
      <x:c r="G44" s="19" t="str">
        <x:v>材料独立候选</x:v>
      </x:c>
      <x:c r="H44" s="19" t="str">
        <x:v>潮痕结晶</x:v>
      </x:c>
      <x:c r="I44" s="22" t="n">
        <x:v>120</x:v>
      </x:c>
      <x:c r="J44" s="22" t="n">
        <x:v>1</x:v>
      </x:c>
      <x:c r="K44" s="19" t="n">
        <x:v>1</x:v>
      </x:c>
      <x:c r="L44" s="24" t="n">
        <x:v>11.5</x:v>
      </x:c>
      <x:c r="M44" s="26" t="n">
        <x:v>0</x:v>
      </x:c>
      <x:c r="N44" s="24" t="n">
        <x:v>6.271751778308747</x:v>
      </x:c>
      <x:c r="O44" s="28" t="n">
        <x:f>MIN(1,L44/I44)</x:f>
        <x:v>0.09583333333333334</x:v>
      </x:c>
      <x:c r="P44" s="30" t="n">
        <x:f>O44*J44*(1+M44)</x:f>
        <x:v>0.09583333333333334</x:v>
      </x:c>
      <x:c r="Q44" s="30" t="n">
        <x:f>P44*N44</x:f>
        <x:v>0.6010428787545883</x:v>
      </x:c>
      <x:c r="R44" s="19" t="str">
        <x:v>独立判定</x:v>
      </x:c>
    </x:row>
    <x:row r="45" ht="19" customHeight="1">
      <x:c r="A45" s="19" t="str">
        <x:v>D00041</x:v>
      </x:c>
      <x:c r="B45" s="19" t="n">
        <x:v>1</x:v>
      </x:c>
      <x:c r="C45" s="19" t="n">
        <x:v>1</x:v>
      </x:c>
      <x:c r="D45" s="19" t="str">
        <x:v>EL-MON-SEA-009</x:v>
      </x:c>
      <x:c r="E45" s="19" t="str">
        <x:v>海雾骑士</x:v>
      </x:c>
      <x:c r="F45" s="19" t="str">
        <x:v>稀有</x:v>
      </x:c>
      <x:c r="G45" s="19" t="str">
        <x:v>材料独立候选</x:v>
      </x:c>
      <x:c r="H45" s="19" t="str">
        <x:v>技能残页</x:v>
      </x:c>
      <x:c r="I45" s="22" t="n">
        <x:v>40</x:v>
      </x:c>
      <x:c r="J45" s="22" t="n">
        <x:v>1</x:v>
      </x:c>
      <x:c r="K45" s="19" t="n">
        <x:v>1</x:v>
      </x:c>
      <x:c r="L45" s="24" t="n">
        <x:v>11.5</x:v>
      </x:c>
      <x:c r="M45" s="26" t="n">
        <x:v>0</x:v>
      </x:c>
      <x:c r="N45" s="24" t="n">
        <x:v>6.271751778308747</x:v>
      </x:c>
      <x:c r="O45" s="28" t="n">
        <x:f>MIN(1,L45/I45)</x:f>
        <x:v>0.2875</x:v>
      </x:c>
      <x:c r="P45" s="30" t="n">
        <x:f>O45*J45*(1+M45)</x:f>
        <x:v>0.2875</x:v>
      </x:c>
      <x:c r="Q45" s="30" t="n">
        <x:f>P45*N45</x:f>
        <x:v>1.8031286362637646</x:v>
      </x:c>
      <x:c r="R45" s="19" t="str">
        <x:v>独立判定</x:v>
      </x:c>
    </x:row>
    <x:row r="46" ht="19" customHeight="1">
      <x:c r="A46" s="19" t="str">
        <x:v>D00042</x:v>
      </x:c>
      <x:c r="B46" s="19" t="n">
        <x:v>1</x:v>
      </x:c>
      <x:c r="C46" s="19" t="n">
        <x:v>1</x:v>
      </x:c>
      <x:c r="D46" s="19" t="str">
        <x:v>EL-MON-SEA-009</x:v>
      </x:c>
      <x:c r="E46" s="19" t="str">
        <x:v>海雾骑士</x:v>
      </x:c>
      <x:c r="F46" s="19" t="str">
        <x:v>稀有</x:v>
      </x:c>
      <x:c r="G46" s="19" t="str">
        <x:v>材料独立候选</x:v>
      </x:c>
      <x:c r="H46" s="19" t="str">
        <x:v>小卢恩</x:v>
      </x:c>
      <x:c r="I46" s="22" t="n">
        <x:v>1500</x:v>
      </x:c>
      <x:c r="J46" s="22" t="n">
        <x:v>1</x:v>
      </x:c>
      <x:c r="K46" s="19" t="n">
        <x:v>1</x:v>
      </x:c>
      <x:c r="L46" s="24" t="n">
        <x:v>11.5</x:v>
      </x:c>
      <x:c r="M46" s="26" t="n">
        <x:v>0</x:v>
      </x:c>
      <x:c r="N46" s="24" t="n">
        <x:v>6.271751778308747</x:v>
      </x:c>
      <x:c r="O46" s="28" t="n">
        <x:f>MIN(1,L46/I46)</x:f>
        <x:v>0.007666666666666666</x:v>
      </x:c>
      <x:c r="P46" s="30" t="n">
        <x:f>O46*J46*(1+M46)</x:f>
        <x:v>0.007666666666666666</x:v>
      </x:c>
      <x:c r="Q46" s="30" t="n">
        <x:f>P46*N46</x:f>
        <x:v>0.04808343030036706</x:v>
      </x:c>
      <x:c r="R46" s="19" t="str">
        <x:v>独立判定</x:v>
      </x:c>
    </x:row>
    <x:row r="47" ht="19" customHeight="1">
      <x:c r="A47" s="19" t="str">
        <x:v>D00043</x:v>
      </x:c>
      <x:c r="B47" s="19" t="n">
        <x:v>1</x:v>
      </x:c>
      <x:c r="C47" s="19" t="n">
        <x:v>1</x:v>
      </x:c>
      <x:c r="D47" s="19" t="str">
        <x:v>EL-MON-SEA-010</x:v>
      </x:c>
      <x:c r="E47" s="19" t="str">
        <x:v>断桅船长·赫恩</x:v>
      </x:c>
      <x:c r="F47" s="19" t="str">
        <x:v>地图BOSS</x:v>
      </x:c>
      <x:c r="G47" s="19" t="str">
        <x:v>自身专属</x:v>
      </x:c>
      <x:c r="H47" s="19" t="str">
        <x:v>断桅血刃</x:v>
      </x:c>
      <x:c r="I47" s="22" t="n">
        <x:v>30</x:v>
      </x:c>
      <x:c r="J47" s="22" t="n">
        <x:v>1</x:v>
      </x:c>
      <x:c r="K47" s="19" t="n">
        <x:v>1</x:v>
      </x:c>
      <x:c r="L47" s="24" t="n">
        <x:v>11.5</x:v>
      </x:c>
      <x:c r="M47" s="26" t="n">
        <x:v>0</x:v>
      </x:c>
      <x:c r="N47" s="24" t="n">
        <x:v>2</x:v>
      </x:c>
      <x:c r="O47" s="28" t="n">
        <x:f>MIN(1,L47/I47)</x:f>
        <x:v>0.38333333333333336</x:v>
      </x:c>
      <x:c r="P47" s="30" t="n">
        <x:f>O47*J47*(1+M47)</x:f>
        <x:v>0.38333333333333336</x:v>
      </x:c>
      <x:c r="Q47" s="30" t="n">
        <x:f>P47*N47</x:f>
        <x:v>0.7666666666666667</x:v>
      </x:c>
      <x:c r="R47" s="19" t="str">
        <x:v>独立判定</x:v>
      </x:c>
    </x:row>
    <x:row r="48" ht="19" customHeight="1">
      <x:c r="A48" s="19" t="str">
        <x:v>D00044</x:v>
      </x:c>
      <x:c r="B48" s="19" t="n">
        <x:v>1</x:v>
      </x:c>
      <x:c r="C48" s="19" t="n">
        <x:v>1</x:v>
      </x:c>
      <x:c r="D48" s="19" t="str">
        <x:v>EL-MON-SEA-010</x:v>
      </x:c>
      <x:c r="E48" s="19" t="str">
        <x:v>断桅船长·赫恩</x:v>
      </x:c>
      <x:c r="F48" s="19" t="str">
        <x:v>地图BOSS</x:v>
      </x:c>
      <x:c r="G48" s="19" t="str">
        <x:v>本图普通兼掉候选</x:v>
      </x:c>
      <x:c r="H48" s="19" t="str">
        <x:v>POOL001</x:v>
      </x:c>
      <x:c r="I48" s="22" t="n">
        <x:v>30</x:v>
      </x:c>
      <x:c r="J48" s="22" t="n">
        <x:v>1</x:v>
      </x:c>
      <x:c r="K48" s="19" t="n">
        <x:v>3</x:v>
      </x:c>
      <x:c r="L48" s="24" t="n">
        <x:v>11.5</x:v>
      </x:c>
      <x:c r="M48" s="26" t="n">
        <x:v>0</x:v>
      </x:c>
      <x:c r="N48" s="24" t="n">
        <x:v>2</x:v>
      </x:c>
      <x:c r="O48" s="28" t="n">
        <x:f>MIN(1,L48/I48)</x:f>
        <x:v>0.38333333333333336</x:v>
      </x:c>
      <x:c r="P48" s="30" t="n">
        <x:f>O48*J48*(1+M48)</x:f>
        <x:v>0.38333333333333336</x:v>
      </x:c>
      <x:c r="Q48" s="30" t="n">
        <x:f>P48*N48</x:f>
        <x:v>0.7666666666666667</x:v>
      </x:c>
      <x:c r="R48" s="19" t="str">
        <x:v>单池选一</x:v>
      </x:c>
    </x:row>
    <x:row r="49" ht="19" customHeight="1">
      <x:c r="A49" s="19" t="str">
        <x:v>D00045</x:v>
      </x:c>
      <x:c r="B49" s="19" t="n">
        <x:v>1</x:v>
      </x:c>
      <x:c r="C49" s="19" t="n">
        <x:v>1</x:v>
      </x:c>
      <x:c r="D49" s="19" t="str">
        <x:v>EL-MON-SEA-010</x:v>
      </x:c>
      <x:c r="E49" s="19" t="str">
        <x:v>断桅船长·赫恩</x:v>
      </x:c>
      <x:c r="F49" s="19" t="str">
        <x:v>地图BOSS</x:v>
      </x:c>
      <x:c r="G49" s="19" t="str">
        <x:v>材料独立候选</x:v>
      </x:c>
      <x:c r="H49" s="19" t="str">
        <x:v>海蚀铁片</x:v>
      </x:c>
      <x:c r="I49" s="22" t="n">
        <x:v>150</x:v>
      </x:c>
      <x:c r="J49" s="22" t="n">
        <x:v>30</x:v>
      </x:c>
      <x:c r="K49" s="19" t="n">
        <x:v>1</x:v>
      </x:c>
      <x:c r="L49" s="24" t="n">
        <x:v>11.5</x:v>
      </x:c>
      <x:c r="M49" s="26" t="n">
        <x:v>0</x:v>
      </x:c>
      <x:c r="N49" s="24" t="n">
        <x:v>2</x:v>
      </x:c>
      <x:c r="O49" s="28" t="n">
        <x:f>MIN(1,L49/I49)</x:f>
        <x:v>0.07666666666666666</x:v>
      </x:c>
      <x:c r="P49" s="30" t="n">
        <x:f>O49*J49*(1+M49)</x:f>
        <x:v>2.3</x:v>
      </x:c>
      <x:c r="Q49" s="30" t="n">
        <x:f>P49*N49</x:f>
        <x:v>4.6</x:v>
      </x:c>
      <x:c r="R49" s="19" t="str">
        <x:v>独立判定</x:v>
      </x:c>
    </x:row>
    <x:row r="50" ht="19" customHeight="1">
      <x:c r="A50" s="19" t="str">
        <x:v>D00046</x:v>
      </x:c>
      <x:c r="B50" s="19" t="n">
        <x:v>1</x:v>
      </x:c>
      <x:c r="C50" s="19" t="n">
        <x:v>1</x:v>
      </x:c>
      <x:c r="D50" s="19" t="str">
        <x:v>EL-MON-SEA-010</x:v>
      </x:c>
      <x:c r="E50" s="19" t="str">
        <x:v>断桅船长·赫恩</x:v>
      </x:c>
      <x:c r="F50" s="19" t="str">
        <x:v>地图BOSS</x:v>
      </x:c>
      <x:c r="G50" s="19" t="str">
        <x:v>材料独立候选</x:v>
      </x:c>
      <x:c r="H50" s="19" t="str">
        <x:v>潮痕结晶</x:v>
      </x:c>
      <x:c r="I50" s="22" t="n">
        <x:v>80</x:v>
      </x:c>
      <x:c r="J50" s="22" t="n">
        <x:v>1</x:v>
      </x:c>
      <x:c r="K50" s="19" t="n">
        <x:v>1</x:v>
      </x:c>
      <x:c r="L50" s="24" t="n">
        <x:v>11.5</x:v>
      </x:c>
      <x:c r="M50" s="26" t="n">
        <x:v>0</x:v>
      </x:c>
      <x:c r="N50" s="24" t="n">
        <x:v>2</x:v>
      </x:c>
      <x:c r="O50" s="28" t="n">
        <x:f>MIN(1,L50/I50)</x:f>
        <x:v>0.14375</x:v>
      </x:c>
      <x:c r="P50" s="30" t="n">
        <x:f>O50*J50*(1+M50)</x:f>
        <x:v>0.14375</x:v>
      </x:c>
      <x:c r="Q50" s="30" t="n">
        <x:f>P50*N50</x:f>
        <x:v>0.2875</x:v>
      </x:c>
      <x:c r="R50" s="19" t="str">
        <x:v>独立判定</x:v>
      </x:c>
    </x:row>
    <x:row r="51" ht="19" customHeight="1">
      <x:c r="A51" s="19" t="str">
        <x:v>D00047</x:v>
      </x:c>
      <x:c r="B51" s="19" t="n">
        <x:v>1</x:v>
      </x:c>
      <x:c r="C51" s="19" t="n">
        <x:v>1</x:v>
      </x:c>
      <x:c r="D51" s="19" t="str">
        <x:v>EL-MON-SEA-010</x:v>
      </x:c>
      <x:c r="E51" s="19" t="str">
        <x:v>断桅船长·赫恩</x:v>
      </x:c>
      <x:c r="F51" s="19" t="str">
        <x:v>地图BOSS</x:v>
      </x:c>
      <x:c r="G51" s="19" t="str">
        <x:v>材料独立候选</x:v>
      </x:c>
      <x:c r="H51" s="19" t="str">
        <x:v>漂流大陆印记</x:v>
      </x:c>
      <x:c r="I51" s="22" t="n">
        <x:v>60</x:v>
      </x:c>
      <x:c r="J51" s="22" t="n">
        <x:v>3</x:v>
      </x:c>
      <x:c r="K51" s="19" t="n">
        <x:v>1</x:v>
      </x:c>
      <x:c r="L51" s="24" t="n">
        <x:v>11.5</x:v>
      </x:c>
      <x:c r="M51" s="26" t="n">
        <x:v>0</x:v>
      </x:c>
      <x:c r="N51" s="24" t="n">
        <x:v>2</x:v>
      </x:c>
      <x:c r="O51" s="28" t="n">
        <x:f>MIN(1,L51/I51)</x:f>
        <x:v>0.19166666666666668</x:v>
      </x:c>
      <x:c r="P51" s="30" t="n">
        <x:f>O51*J51*(1+M51)</x:f>
        <x:v>0.5750000000000001</x:v>
      </x:c>
      <x:c r="Q51" s="30" t="n">
        <x:f>P51*N51</x:f>
        <x:v>1.1500000000000001</x:v>
      </x:c>
      <x:c r="R51" s="19" t="str">
        <x:v>独立判定</x:v>
      </x:c>
    </x:row>
    <x:row r="52" ht="19" customHeight="1">
      <x:c r="A52" s="19" t="str">
        <x:v>D00048</x:v>
      </x:c>
      <x:c r="B52" s="19" t="n">
        <x:v>1</x:v>
      </x:c>
      <x:c r="C52" s="19" t="n">
        <x:v>1</x:v>
      </x:c>
      <x:c r="D52" s="19" t="str">
        <x:v>EL-MON-SEA-010</x:v>
      </x:c>
      <x:c r="E52" s="19" t="str">
        <x:v>断桅船长·赫恩</x:v>
      </x:c>
      <x:c r="F52" s="19" t="str">
        <x:v>地图BOSS</x:v>
      </x:c>
      <x:c r="G52" s="19" t="str">
        <x:v>材料独立候选</x:v>
      </x:c>
      <x:c r="H52" s="19" t="str">
        <x:v>船长残魂</x:v>
      </x:c>
      <x:c r="I52" s="22" t="n">
        <x:v>80</x:v>
      </x:c>
      <x:c r="J52" s="22" t="n">
        <x:v>2</x:v>
      </x:c>
      <x:c r="K52" s="19" t="n">
        <x:v>1</x:v>
      </x:c>
      <x:c r="L52" s="24" t="n">
        <x:v>11.5</x:v>
      </x:c>
      <x:c r="M52" s="26" t="n">
        <x:v>0</x:v>
      </x:c>
      <x:c r="N52" s="24" t="n">
        <x:v>2</x:v>
      </x:c>
      <x:c r="O52" s="28" t="n">
        <x:f>MIN(1,L52/I52)</x:f>
        <x:v>0.14375</x:v>
      </x:c>
      <x:c r="P52" s="30" t="n">
        <x:f>O52*J52*(1+M52)</x:f>
        <x:v>0.2875</x:v>
      </x:c>
      <x:c r="Q52" s="30" t="n">
        <x:f>P52*N52</x:f>
        <x:v>0.575</x:v>
      </x:c>
      <x:c r="R52" s="19" t="str">
        <x:v>独立判定</x:v>
      </x:c>
    </x:row>
    <x:row r="53" ht="19" customHeight="1">
      <x:c r="A53" s="19" t="str">
        <x:v>D00049</x:v>
      </x:c>
      <x:c r="B53" s="19" t="n">
        <x:v>1</x:v>
      </x:c>
      <x:c r="C53" s="19" t="n">
        <x:v>1</x:v>
      </x:c>
      <x:c r="D53" s="19" t="str">
        <x:v>EL-MON-SEA-010</x:v>
      </x:c>
      <x:c r="E53" s="19" t="str">
        <x:v>断桅船长·赫恩</x:v>
      </x:c>
      <x:c r="F53" s="19" t="str">
        <x:v>地图BOSS</x:v>
      </x:c>
      <x:c r="G53" s="19" t="str">
        <x:v>材料独立候选</x:v>
      </x:c>
      <x:c r="H53" s="19" t="str">
        <x:v>技能残页</x:v>
      </x:c>
      <x:c r="I53" s="22" t="n">
        <x:v>20</x:v>
      </x:c>
      <x:c r="J53" s="22" t="n">
        <x:v>1</x:v>
      </x:c>
      <x:c r="K53" s="19" t="n">
        <x:v>1</x:v>
      </x:c>
      <x:c r="L53" s="24" t="n">
        <x:v>11.5</x:v>
      </x:c>
      <x:c r="M53" s="26" t="n">
        <x:v>0</x:v>
      </x:c>
      <x:c r="N53" s="24" t="n">
        <x:v>2</x:v>
      </x:c>
      <x:c r="O53" s="28" t="n">
        <x:f>MIN(1,L53/I53)</x:f>
        <x:v>0.575</x:v>
      </x:c>
      <x:c r="P53" s="30" t="n">
        <x:f>O53*J53*(1+M53)</x:f>
        <x:v>0.575</x:v>
      </x:c>
      <x:c r="Q53" s="30" t="n">
        <x:f>P53*N53</x:f>
        <x:v>1.15</x:v>
      </x:c>
      <x:c r="R53" s="19" t="str">
        <x:v>独立判定</x:v>
      </x:c>
    </x:row>
    <x:row r="54" ht="19" customHeight="1">
      <x:c r="A54" s="19" t="str">
        <x:v>D00050</x:v>
      </x:c>
      <x:c r="B54" s="19" t="n">
        <x:v>1</x:v>
      </x:c>
      <x:c r="C54" s="19" t="n">
        <x:v>1</x:v>
      </x:c>
      <x:c r="D54" s="19" t="str">
        <x:v>EL-MON-SEA-010</x:v>
      </x:c>
      <x:c r="E54" s="19" t="str">
        <x:v>断桅船长·赫恩</x:v>
      </x:c>
      <x:c r="F54" s="19" t="str">
        <x:v>地图BOSS</x:v>
      </x:c>
      <x:c r="G54" s="19" t="str">
        <x:v>材料独立候选</x:v>
      </x:c>
      <x:c r="H54" s="19" t="str">
        <x:v>小卢恩</x:v>
      </x:c>
      <x:c r="I54" s="22" t="n">
        <x:v>800</x:v>
      </x:c>
      <x:c r="J54" s="22" t="n">
        <x:v>1</x:v>
      </x:c>
      <x:c r="K54" s="19" t="n">
        <x:v>1</x:v>
      </x:c>
      <x:c r="L54" s="24" t="n">
        <x:v>11.5</x:v>
      </x:c>
      <x:c r="M54" s="26" t="n">
        <x:v>0</x:v>
      </x:c>
      <x:c r="N54" s="24" t="n">
        <x:v>2</x:v>
      </x:c>
      <x:c r="O54" s="28" t="n">
        <x:f>MIN(1,L54/I54)</x:f>
        <x:v>0.014375</x:v>
      </x:c>
      <x:c r="P54" s="30" t="n">
        <x:f>O54*J54*(1+M54)</x:f>
        <x:v>0.014375</x:v>
      </x:c>
      <x:c r="Q54" s="30" t="n">
        <x:f>P54*N54</x:f>
        <x:v>0.02875</x:v>
      </x:c>
      <x:c r="R54" s="19" t="str">
        <x:v>独立判定</x:v>
      </x:c>
    </x:row>
    <x:row r="55" ht="19" customHeight="1">
      <x:c r="A55" s="19" t="str">
        <x:v>D00051</x:v>
      </x:c>
      <x:c r="B55" s="19" t="n">
        <x:v>1</x:v>
      </x:c>
      <x:c r="C55" s="19" t="n">
        <x:v>1</x:v>
      </x:c>
      <x:c r="D55" s="19" t="str">
        <x:v>EL-MON-SEA-010</x:v>
      </x:c>
      <x:c r="E55" s="19" t="str">
        <x:v>断桅船长·赫恩</x:v>
      </x:c>
      <x:c r="F55" s="19" t="str">
        <x:v>地图BOSS</x:v>
      </x:c>
      <x:c r="G55" s="19" t="str">
        <x:v>材料独立候选</x:v>
      </x:c>
      <x:c r="H55" s="19" t="str">
        <x:v>大卢恩</x:v>
      </x:c>
      <x:c r="I55" s="22" t="n">
        <x:v>100</x:v>
      </x:c>
      <x:c r="J55" s="22" t="n">
        <x:v>1</x:v>
      </x:c>
      <x:c r="K55" s="19" t="n">
        <x:v>1</x:v>
      </x:c>
      <x:c r="L55" s="24" t="n">
        <x:v>11.5</x:v>
      </x:c>
      <x:c r="M55" s="26" t="n">
        <x:v>0</x:v>
      </x:c>
      <x:c r="N55" s="24" t="n">
        <x:v>2</x:v>
      </x:c>
      <x:c r="O55" s="28" t="n">
        <x:f>MIN(1,L55/I55)</x:f>
        <x:v>0.115</x:v>
      </x:c>
      <x:c r="P55" s="30" t="n">
        <x:f>O55*J55*(1+M55)</x:f>
        <x:v>0.115</x:v>
      </x:c>
      <x:c r="Q55" s="30" t="n">
        <x:f>P55*N55</x:f>
        <x:v>0.23</x:v>
      </x:c>
      <x:c r="R55" s="19" t="str">
        <x:v>独立判定</x:v>
      </x:c>
    </x:row>
    <x:row r="56" ht="19" customHeight="1">
      <x:c r="A56" s="19" t="str">
        <x:v>D00052</x:v>
      </x:c>
      <x:c r="B56" s="19" t="n">
        <x:v>1</x:v>
      </x:c>
      <x:c r="C56" s="19" t="n">
        <x:v>1</x:v>
      </x:c>
      <x:c r="D56" s="19" t="str">
        <x:v>EL-MON-SEA-010</x:v>
      </x:c>
      <x:c r="E56" s="19" t="str">
        <x:v>断桅船长·赫恩</x:v>
      </x:c>
      <x:c r="F56" s="19" t="str">
        <x:v>地图BOSS</x:v>
      </x:c>
      <x:c r="G56" s="19" t="str">
        <x:v>材料独立候选</x:v>
      </x:c>
      <x:c r="H56" s="19" t="str">
        <x:v>漂流见证·潮</x:v>
      </x:c>
      <x:c r="I56" s="22" t="n">
        <x:v>50</x:v>
      </x:c>
      <x:c r="J56" s="22" t="n">
        <x:v>5</x:v>
      </x:c>
      <x:c r="K56" s="19" t="n">
        <x:v>1</x:v>
      </x:c>
      <x:c r="L56" s="24" t="n">
        <x:v>11.5</x:v>
      </x:c>
      <x:c r="M56" s="26" t="n">
        <x:v>0</x:v>
      </x:c>
      <x:c r="N56" s="24" t="n">
        <x:v>2</x:v>
      </x:c>
      <x:c r="O56" s="28" t="n">
        <x:f>MIN(1,L56/I56)</x:f>
        <x:v>0.23</x:v>
      </x:c>
      <x:c r="P56" s="30" t="n">
        <x:f>O56*J56*(1+M56)</x:f>
        <x:v>1.1500000000000001</x:v>
      </x:c>
      <x:c r="Q56" s="30" t="n">
        <x:f>P56*N56</x:f>
        <x:v>2.3000000000000003</x:v>
      </x:c>
      <x:c r="R56" s="19" t="str">
        <x:v>独立判定</x:v>
      </x:c>
    </x:row>
    <x:row r="57" ht="19" customHeight="1">
      <x:c r="A57" s="19" t="str">
        <x:v>D00053</x:v>
      </x:c>
      <x:c r="B57" s="19" t="n">
        <x:v>1</x:v>
      </x:c>
      <x:c r="C57" s="19" t="n">
        <x:v>1</x:v>
      </x:c>
      <x:c r="D57" s="19" t="str">
        <x:v>EL-MON-SEA-011</x:v>
      </x:c>
      <x:c r="E57" s="19" t="str">
        <x:v>吞岸巨兽·格拉姆</x:v>
      </x:c>
      <x:c r="F57" s="19" t="str">
        <x:v>地图BOSS</x:v>
      </x:c>
      <x:c r="G57" s="19" t="str">
        <x:v>自身专属</x:v>
      </x:c>
      <x:c r="H57" s="19" t="str">
        <x:v>吞岸重甲</x:v>
      </x:c>
      <x:c r="I57" s="22" t="n">
        <x:v>30</x:v>
      </x:c>
      <x:c r="J57" s="22" t="n">
        <x:v>1</x:v>
      </x:c>
      <x:c r="K57" s="19" t="n">
        <x:v>1</x:v>
      </x:c>
      <x:c r="L57" s="24" t="n">
        <x:v>11.5</x:v>
      </x:c>
      <x:c r="M57" s="26" t="n">
        <x:v>0</x:v>
      </x:c>
      <x:c r="N57" s="24" t="n">
        <x:v>2</x:v>
      </x:c>
      <x:c r="O57" s="28" t="n">
        <x:f>MIN(1,L57/I57)</x:f>
        <x:v>0.38333333333333336</x:v>
      </x:c>
      <x:c r="P57" s="30" t="n">
        <x:f>O57*J57*(1+M57)</x:f>
        <x:v>0.38333333333333336</x:v>
      </x:c>
      <x:c r="Q57" s="30" t="n">
        <x:f>P57*N57</x:f>
        <x:v>0.7666666666666667</x:v>
      </x:c>
      <x:c r="R57" s="19" t="str">
        <x:v>独立判定</x:v>
      </x:c>
    </x:row>
    <x:row r="58" ht="19" customHeight="1">
      <x:c r="A58" s="19" t="str">
        <x:v>D00054</x:v>
      </x:c>
      <x:c r="B58" s="19" t="n">
        <x:v>1</x:v>
      </x:c>
      <x:c r="C58" s="19" t="n">
        <x:v>1</x:v>
      </x:c>
      <x:c r="D58" s="19" t="str">
        <x:v>EL-MON-SEA-011</x:v>
      </x:c>
      <x:c r="E58" s="19" t="str">
        <x:v>吞岸巨兽·格拉姆</x:v>
      </x:c>
      <x:c r="F58" s="19" t="str">
        <x:v>地图BOSS</x:v>
      </x:c>
      <x:c r="G58" s="19" t="str">
        <x:v>本图普通兼掉候选</x:v>
      </x:c>
      <x:c r="H58" s="19" t="str">
        <x:v>POOL002</x:v>
      </x:c>
      <x:c r="I58" s="22" t="n">
        <x:v>30</x:v>
      </x:c>
      <x:c r="J58" s="22" t="n">
        <x:v>1</x:v>
      </x:c>
      <x:c r="K58" s="19" t="n">
        <x:v>1</x:v>
      </x:c>
      <x:c r="L58" s="24" t="n">
        <x:v>11.5</x:v>
      </x:c>
      <x:c r="M58" s="26" t="n">
        <x:v>0</x:v>
      </x:c>
      <x:c r="N58" s="24" t="n">
        <x:v>2</x:v>
      </x:c>
      <x:c r="O58" s="28" t="n">
        <x:f>MIN(1,L58/I58)</x:f>
        <x:v>0.38333333333333336</x:v>
      </x:c>
      <x:c r="P58" s="30" t="n">
        <x:f>O58*J58*(1+M58)</x:f>
        <x:v>0.38333333333333336</x:v>
      </x:c>
      <x:c r="Q58" s="30" t="n">
        <x:f>P58*N58</x:f>
        <x:v>0.7666666666666667</x:v>
      </x:c>
      <x:c r="R58" s="19" t="str">
        <x:v>单池选一</x:v>
      </x:c>
    </x:row>
    <x:row r="59" ht="19" customHeight="1">
      <x:c r="A59" s="19" t="str">
        <x:v>D00055</x:v>
      </x:c>
      <x:c r="B59" s="19" t="n">
        <x:v>1</x:v>
      </x:c>
      <x:c r="C59" s="19" t="n">
        <x:v>1</x:v>
      </x:c>
      <x:c r="D59" s="19" t="str">
        <x:v>EL-MON-SEA-011</x:v>
      </x:c>
      <x:c r="E59" s="19" t="str">
        <x:v>吞岸巨兽·格拉姆</x:v>
      </x:c>
      <x:c r="F59" s="19" t="str">
        <x:v>地图BOSS</x:v>
      </x:c>
      <x:c r="G59" s="19" t="str">
        <x:v>材料独立候选</x:v>
      </x:c>
      <x:c r="H59" s="19" t="str">
        <x:v>海蚀铁片</x:v>
      </x:c>
      <x:c r="I59" s="22" t="n">
        <x:v>150</x:v>
      </x:c>
      <x:c r="J59" s="22" t="n">
        <x:v>30</x:v>
      </x:c>
      <x:c r="K59" s="19" t="n">
        <x:v>1</x:v>
      </x:c>
      <x:c r="L59" s="24" t="n">
        <x:v>11.5</x:v>
      </x:c>
      <x:c r="M59" s="26" t="n">
        <x:v>0</x:v>
      </x:c>
      <x:c r="N59" s="24" t="n">
        <x:v>2</x:v>
      </x:c>
      <x:c r="O59" s="28" t="n">
        <x:f>MIN(1,L59/I59)</x:f>
        <x:v>0.07666666666666666</x:v>
      </x:c>
      <x:c r="P59" s="30" t="n">
        <x:f>O59*J59*(1+M59)</x:f>
        <x:v>2.3</x:v>
      </x:c>
      <x:c r="Q59" s="30" t="n">
        <x:f>P59*N59</x:f>
        <x:v>4.6</x:v>
      </x:c>
      <x:c r="R59" s="19" t="str">
        <x:v>独立判定</x:v>
      </x:c>
    </x:row>
    <x:row r="60" ht="19" customHeight="1">
      <x:c r="A60" s="19" t="str">
        <x:v>D00056</x:v>
      </x:c>
      <x:c r="B60" s="19" t="n">
        <x:v>1</x:v>
      </x:c>
      <x:c r="C60" s="19" t="n">
        <x:v>1</x:v>
      </x:c>
      <x:c r="D60" s="19" t="str">
        <x:v>EL-MON-SEA-011</x:v>
      </x:c>
      <x:c r="E60" s="19" t="str">
        <x:v>吞岸巨兽·格拉姆</x:v>
      </x:c>
      <x:c r="F60" s="19" t="str">
        <x:v>地图BOSS</x:v>
      </x:c>
      <x:c r="G60" s="19" t="str">
        <x:v>材料独立候选</x:v>
      </x:c>
      <x:c r="H60" s="19" t="str">
        <x:v>潮痕结晶</x:v>
      </x:c>
      <x:c r="I60" s="22" t="n">
        <x:v>80</x:v>
      </x:c>
      <x:c r="J60" s="22" t="n">
        <x:v>1</x:v>
      </x:c>
      <x:c r="K60" s="19" t="n">
        <x:v>1</x:v>
      </x:c>
      <x:c r="L60" s="24" t="n">
        <x:v>11.5</x:v>
      </x:c>
      <x:c r="M60" s="26" t="n">
        <x:v>0</x:v>
      </x:c>
      <x:c r="N60" s="24" t="n">
        <x:v>2</x:v>
      </x:c>
      <x:c r="O60" s="28" t="n">
        <x:f>MIN(1,L60/I60)</x:f>
        <x:v>0.14375</x:v>
      </x:c>
      <x:c r="P60" s="30" t="n">
        <x:f>O60*J60*(1+M60)</x:f>
        <x:v>0.14375</x:v>
      </x:c>
      <x:c r="Q60" s="30" t="n">
        <x:f>P60*N60</x:f>
        <x:v>0.2875</x:v>
      </x:c>
      <x:c r="R60" s="19" t="str">
        <x:v>独立判定</x:v>
      </x:c>
    </x:row>
    <x:row r="61" ht="19" customHeight="1">
      <x:c r="A61" s="19" t="str">
        <x:v>D00057</x:v>
      </x:c>
      <x:c r="B61" s="19" t="n">
        <x:v>1</x:v>
      </x:c>
      <x:c r="C61" s="19" t="n">
        <x:v>1</x:v>
      </x:c>
      <x:c r="D61" s="19" t="str">
        <x:v>EL-MON-SEA-011</x:v>
      </x:c>
      <x:c r="E61" s="19" t="str">
        <x:v>吞岸巨兽·格拉姆</x:v>
      </x:c>
      <x:c r="F61" s="19" t="str">
        <x:v>地图BOSS</x:v>
      </x:c>
      <x:c r="G61" s="19" t="str">
        <x:v>材料独立候选</x:v>
      </x:c>
      <x:c r="H61" s="19" t="str">
        <x:v>漂流大陆印记</x:v>
      </x:c>
      <x:c r="I61" s="22" t="n">
        <x:v>60</x:v>
      </x:c>
      <x:c r="J61" s="22" t="n">
        <x:v>3</x:v>
      </x:c>
      <x:c r="K61" s="19" t="n">
        <x:v>1</x:v>
      </x:c>
      <x:c r="L61" s="24" t="n">
        <x:v>11.5</x:v>
      </x:c>
      <x:c r="M61" s="26" t="n">
        <x:v>0</x:v>
      </x:c>
      <x:c r="N61" s="24" t="n">
        <x:v>2</x:v>
      </x:c>
      <x:c r="O61" s="28" t="n">
        <x:f>MIN(1,L61/I61)</x:f>
        <x:v>0.19166666666666668</x:v>
      </x:c>
      <x:c r="P61" s="30" t="n">
        <x:f>O61*J61*(1+M61)</x:f>
        <x:v>0.5750000000000001</x:v>
      </x:c>
      <x:c r="Q61" s="30" t="n">
        <x:f>P61*N61</x:f>
        <x:v>1.1500000000000001</x:v>
      </x:c>
      <x:c r="R61" s="19" t="str">
        <x:v>独立判定</x:v>
      </x:c>
    </x:row>
    <x:row r="62" ht="19" customHeight="1">
      <x:c r="A62" s="19" t="str">
        <x:v>D00058</x:v>
      </x:c>
      <x:c r="B62" s="19" t="n">
        <x:v>1</x:v>
      </x:c>
      <x:c r="C62" s="19" t="n">
        <x:v>1</x:v>
      </x:c>
      <x:c r="D62" s="19" t="str">
        <x:v>EL-MON-SEA-011</x:v>
      </x:c>
      <x:c r="E62" s="19" t="str">
        <x:v>吞岸巨兽·格拉姆</x:v>
      </x:c>
      <x:c r="F62" s="19" t="str">
        <x:v>地图BOSS</x:v>
      </x:c>
      <x:c r="G62" s="19" t="str">
        <x:v>材料独立候选</x:v>
      </x:c>
      <x:c r="H62" s="19" t="str">
        <x:v>吞岸王魂</x:v>
      </x:c>
      <x:c r="I62" s="22" t="n">
        <x:v>80</x:v>
      </x:c>
      <x:c r="J62" s="22" t="n">
        <x:v>2</x:v>
      </x:c>
      <x:c r="K62" s="19" t="n">
        <x:v>1</x:v>
      </x:c>
      <x:c r="L62" s="24" t="n">
        <x:v>11.5</x:v>
      </x:c>
      <x:c r="M62" s="26" t="n">
        <x:v>0</x:v>
      </x:c>
      <x:c r="N62" s="24" t="n">
        <x:v>2</x:v>
      </x:c>
      <x:c r="O62" s="28" t="n">
        <x:f>MIN(1,L62/I62)</x:f>
        <x:v>0.14375</x:v>
      </x:c>
      <x:c r="P62" s="30" t="n">
        <x:f>O62*J62*(1+M62)</x:f>
        <x:v>0.2875</x:v>
      </x:c>
      <x:c r="Q62" s="30" t="n">
        <x:f>P62*N62</x:f>
        <x:v>0.575</x:v>
      </x:c>
      <x:c r="R62" s="19" t="str">
        <x:v>独立判定</x:v>
      </x:c>
    </x:row>
    <x:row r="63" ht="19" customHeight="1">
      <x:c r="A63" s="19" t="str">
        <x:v>D00059</x:v>
      </x:c>
      <x:c r="B63" s="19" t="n">
        <x:v>1</x:v>
      </x:c>
      <x:c r="C63" s="19" t="n">
        <x:v>1</x:v>
      </x:c>
      <x:c r="D63" s="19" t="str">
        <x:v>EL-MON-SEA-011</x:v>
      </x:c>
      <x:c r="E63" s="19" t="str">
        <x:v>吞岸巨兽·格拉姆</x:v>
      </x:c>
      <x:c r="F63" s="19" t="str">
        <x:v>地图BOSS</x:v>
      </x:c>
      <x:c r="G63" s="19" t="str">
        <x:v>材料独立候选</x:v>
      </x:c>
      <x:c r="H63" s="19" t="str">
        <x:v>技能残页</x:v>
      </x:c>
      <x:c r="I63" s="22" t="n">
        <x:v>20</x:v>
      </x:c>
      <x:c r="J63" s="22" t="n">
        <x:v>1</x:v>
      </x:c>
      <x:c r="K63" s="19" t="n">
        <x:v>1</x:v>
      </x:c>
      <x:c r="L63" s="24" t="n">
        <x:v>11.5</x:v>
      </x:c>
      <x:c r="M63" s="26" t="n">
        <x:v>0</x:v>
      </x:c>
      <x:c r="N63" s="24" t="n">
        <x:v>2</x:v>
      </x:c>
      <x:c r="O63" s="28" t="n">
        <x:f>MIN(1,L63/I63)</x:f>
        <x:v>0.575</x:v>
      </x:c>
      <x:c r="P63" s="30" t="n">
        <x:f>O63*J63*(1+M63)</x:f>
        <x:v>0.575</x:v>
      </x:c>
      <x:c r="Q63" s="30" t="n">
        <x:f>P63*N63</x:f>
        <x:v>1.15</x:v>
      </x:c>
      <x:c r="R63" s="19" t="str">
        <x:v>独立判定</x:v>
      </x:c>
    </x:row>
    <x:row r="64" ht="19" customHeight="1">
      <x:c r="A64" s="19" t="str">
        <x:v>D00060</x:v>
      </x:c>
      <x:c r="B64" s="19" t="n">
        <x:v>1</x:v>
      </x:c>
      <x:c r="C64" s="19" t="n">
        <x:v>1</x:v>
      </x:c>
      <x:c r="D64" s="19" t="str">
        <x:v>EL-MON-SEA-011</x:v>
      </x:c>
      <x:c r="E64" s="19" t="str">
        <x:v>吞岸巨兽·格拉姆</x:v>
      </x:c>
      <x:c r="F64" s="19" t="str">
        <x:v>地图BOSS</x:v>
      </x:c>
      <x:c r="G64" s="19" t="str">
        <x:v>材料独立候选</x:v>
      </x:c>
      <x:c r="H64" s="19" t="str">
        <x:v>小卢恩</x:v>
      </x:c>
      <x:c r="I64" s="22" t="n">
        <x:v>800</x:v>
      </x:c>
      <x:c r="J64" s="22" t="n">
        <x:v>1</x:v>
      </x:c>
      <x:c r="K64" s="19" t="n">
        <x:v>1</x:v>
      </x:c>
      <x:c r="L64" s="24" t="n">
        <x:v>11.5</x:v>
      </x:c>
      <x:c r="M64" s="26" t="n">
        <x:v>0</x:v>
      </x:c>
      <x:c r="N64" s="24" t="n">
        <x:v>2</x:v>
      </x:c>
      <x:c r="O64" s="28" t="n">
        <x:f>MIN(1,L64/I64)</x:f>
        <x:v>0.014375</x:v>
      </x:c>
      <x:c r="P64" s="30" t="n">
        <x:f>O64*J64*(1+M64)</x:f>
        <x:v>0.014375</x:v>
      </x:c>
      <x:c r="Q64" s="30" t="n">
        <x:f>P64*N64</x:f>
        <x:v>0.02875</x:v>
      </x:c>
      <x:c r="R64" s="19" t="str">
        <x:v>独立判定</x:v>
      </x:c>
    </x:row>
    <x:row r="65" ht="19" customHeight="1">
      <x:c r="A65" s="19" t="str">
        <x:v>D00061</x:v>
      </x:c>
      <x:c r="B65" s="19" t="n">
        <x:v>1</x:v>
      </x:c>
      <x:c r="C65" s="19" t="n">
        <x:v>1</x:v>
      </x:c>
      <x:c r="D65" s="19" t="str">
        <x:v>EL-MON-SEA-011</x:v>
      </x:c>
      <x:c r="E65" s="19" t="str">
        <x:v>吞岸巨兽·格拉姆</x:v>
      </x:c>
      <x:c r="F65" s="19" t="str">
        <x:v>地图BOSS</x:v>
      </x:c>
      <x:c r="G65" s="19" t="str">
        <x:v>材料独立候选</x:v>
      </x:c>
      <x:c r="H65" s="19" t="str">
        <x:v>大卢恩</x:v>
      </x:c>
      <x:c r="I65" s="22" t="n">
        <x:v>100</x:v>
      </x:c>
      <x:c r="J65" s="22" t="n">
        <x:v>1</x:v>
      </x:c>
      <x:c r="K65" s="19" t="n">
        <x:v>1</x:v>
      </x:c>
      <x:c r="L65" s="24" t="n">
        <x:v>11.5</x:v>
      </x:c>
      <x:c r="M65" s="26" t="n">
        <x:v>0</x:v>
      </x:c>
      <x:c r="N65" s="24" t="n">
        <x:v>2</x:v>
      </x:c>
      <x:c r="O65" s="28" t="n">
        <x:f>MIN(1,L65/I65)</x:f>
        <x:v>0.115</x:v>
      </x:c>
      <x:c r="P65" s="30" t="n">
        <x:f>O65*J65*(1+M65)</x:f>
        <x:v>0.115</x:v>
      </x:c>
      <x:c r="Q65" s="30" t="n">
        <x:f>P65*N65</x:f>
        <x:v>0.23</x:v>
      </x:c>
      <x:c r="R65" s="19" t="str">
        <x:v>独立判定</x:v>
      </x:c>
    </x:row>
    <x:row r="66" ht="19" customHeight="1">
      <x:c r="A66" s="19" t="str">
        <x:v>D00062</x:v>
      </x:c>
      <x:c r="B66" s="19" t="n">
        <x:v>1</x:v>
      </x:c>
      <x:c r="C66" s="19" t="n">
        <x:v>1</x:v>
      </x:c>
      <x:c r="D66" s="19" t="str">
        <x:v>EL-MON-SEA-011</x:v>
      </x:c>
      <x:c r="E66" s="19" t="str">
        <x:v>吞岸巨兽·格拉姆</x:v>
      </x:c>
      <x:c r="F66" s="19" t="str">
        <x:v>地图BOSS</x:v>
      </x:c>
      <x:c r="G66" s="19" t="str">
        <x:v>材料独立候选</x:v>
      </x:c>
      <x:c r="H66" s="19" t="str">
        <x:v>漂流见证·潮</x:v>
      </x:c>
      <x:c r="I66" s="22" t="n">
        <x:v>50</x:v>
      </x:c>
      <x:c r="J66" s="22" t="n">
        <x:v>5</x:v>
      </x:c>
      <x:c r="K66" s="19" t="n">
        <x:v>1</x:v>
      </x:c>
      <x:c r="L66" s="24" t="n">
        <x:v>11.5</x:v>
      </x:c>
      <x:c r="M66" s="26" t="n">
        <x:v>0</x:v>
      </x:c>
      <x:c r="N66" s="24" t="n">
        <x:v>2</x:v>
      </x:c>
      <x:c r="O66" s="28" t="n">
        <x:f>MIN(1,L66/I66)</x:f>
        <x:v>0.23</x:v>
      </x:c>
      <x:c r="P66" s="30" t="n">
        <x:f>O66*J66*(1+M66)</x:f>
        <x:v>1.1500000000000001</x:v>
      </x:c>
      <x:c r="Q66" s="30" t="n">
        <x:f>P66*N66</x:f>
        <x:v>2.3000000000000003</x:v>
      </x:c>
      <x:c r="R66" s="19" t="str">
        <x:v>独立判定</x:v>
      </x:c>
    </x:row>
    <x:row r="67" ht="19" customHeight="1">
      <x:c r="A67" s="19" t="str">
        <x:v>D00063</x:v>
      </x:c>
      <x:c r="B67" s="19" t="n">
        <x:v>1</x:v>
      </x:c>
      <x:c r="C67" s="19" t="n">
        <x:v>2</x:v>
      </x:c>
      <x:c r="D67" s="19" t="str">
        <x:v>EL-MON-CLIFF-001</x:v>
      </x:c>
      <x:c r="E67" s="19" t="str">
        <x:v>风蚀守卫</x:v>
      </x:c>
      <x:c r="F67" s="19" t="str">
        <x:v>普通</x:v>
      </x:c>
      <x:c r="G67" s="19" t="str">
        <x:v>自身专属</x:v>
      </x:c>
      <x:c r="H67" s="19" t="str">
        <x:v>风蚀盔</x:v>
      </x:c>
      <x:c r="I67" s="22" t="n">
        <x:v>300</x:v>
      </x:c>
      <x:c r="J67" s="22" t="n">
        <x:v>1</x:v>
      </x:c>
      <x:c r="K67" s="19" t="n">
        <x:v>1</x:v>
      </x:c>
      <x:c r="L67" s="24" t="n">
        <x:v>11.5</x:v>
      </x:c>
      <x:c r="M67" s="26" t="n">
        <x:v>0</x:v>
      </x:c>
      <x:c r="N67" s="24" t="n">
        <x:v>66.5566069976355</x:v>
      </x:c>
      <x:c r="O67" s="28" t="n">
        <x:f>MIN(1,L67/I67)</x:f>
        <x:v>0.03833333333333333</x:v>
      </x:c>
      <x:c r="P67" s="30" t="n">
        <x:f>O67*J67*(1+M67)</x:f>
        <x:v>0.03833333333333333</x:v>
      </x:c>
      <x:c r="Q67" s="30" t="n">
        <x:f>P67*N67</x:f>
        <x:v>2.5513366015760273</x:v>
      </x:c>
      <x:c r="R67" s="19" t="str">
        <x:v>独立判定</x:v>
      </x:c>
    </x:row>
    <x:row r="68" ht="19" customHeight="1">
      <x:c r="A68" s="19" t="str">
        <x:v>D00064</x:v>
      </x:c>
      <x:c r="B68" s="19" t="n">
        <x:v>1</x:v>
      </x:c>
      <x:c r="C68" s="19" t="n">
        <x:v>2</x:v>
      </x:c>
      <x:c r="D68" s="19" t="str">
        <x:v>EL-MON-CLIFF-001</x:v>
      </x:c>
      <x:c r="E68" s="19" t="str">
        <x:v>风蚀守卫</x:v>
      </x:c>
      <x:c r="F68" s="19" t="str">
        <x:v>普通</x:v>
      </x:c>
      <x:c r="G68" s="19" t="str">
        <x:v>材料独立候选</x:v>
      </x:c>
      <x:c r="H68" s="19" t="str">
        <x:v>海蚀铁片</x:v>
      </x:c>
      <x:c r="I68" s="22" t="n">
        <x:v>400</x:v>
      </x:c>
      <x:c r="J68" s="22" t="n">
        <x:v>8</x:v>
      </x:c>
      <x:c r="K68" s="19" t="n">
        <x:v>1</x:v>
      </x:c>
      <x:c r="L68" s="24" t="n">
        <x:v>11.5</x:v>
      </x:c>
      <x:c r="M68" s="26" t="n">
        <x:v>0</x:v>
      </x:c>
      <x:c r="N68" s="24" t="n">
        <x:v>66.5566069976355</x:v>
      </x:c>
      <x:c r="O68" s="28" t="n">
        <x:f>MIN(1,L68/I68)</x:f>
        <x:v>0.02875</x:v>
      </x:c>
      <x:c r="P68" s="30" t="n">
        <x:f>O68*J68*(1+M68)</x:f>
        <x:v>0.23</x:v>
      </x:c>
      <x:c r="Q68" s="30" t="n">
        <x:f>P68*N68</x:f>
        <x:v>15.308019609456165</x:v>
      </x:c>
      <x:c r="R68" s="19" t="str">
        <x:v>独立判定</x:v>
      </x:c>
    </x:row>
    <x:row r="69" ht="19" customHeight="1">
      <x:c r="A69" s="19" t="str">
        <x:v>D00065</x:v>
      </x:c>
      <x:c r="B69" s="19" t="n">
        <x:v>1</x:v>
      </x:c>
      <x:c r="C69" s="19" t="n">
        <x:v>2</x:v>
      </x:c>
      <x:c r="D69" s="19" t="str">
        <x:v>EL-MON-CLIFF-001</x:v>
      </x:c>
      <x:c r="E69" s="19" t="str">
        <x:v>风蚀守卫</x:v>
      </x:c>
      <x:c r="F69" s="19" t="str">
        <x:v>普通</x:v>
      </x:c>
      <x:c r="G69" s="19" t="str">
        <x:v>材料独立候选</x:v>
      </x:c>
      <x:c r="H69" s="19" t="str">
        <x:v>技能残页</x:v>
      </x:c>
      <x:c r="I69" s="22" t="n">
        <x:v>60</x:v>
      </x:c>
      <x:c r="J69" s="22" t="n">
        <x:v>1</x:v>
      </x:c>
      <x:c r="K69" s="19" t="n">
        <x:v>1</x:v>
      </x:c>
      <x:c r="L69" s="24" t="n">
        <x:v>11.5</x:v>
      </x:c>
      <x:c r="M69" s="26" t="n">
        <x:v>0</x:v>
      </x:c>
      <x:c r="N69" s="24" t="n">
        <x:v>66.5566069976355</x:v>
      </x:c>
      <x:c r="O69" s="28" t="n">
        <x:f>MIN(1,L69/I69)</x:f>
        <x:v>0.19166666666666668</x:v>
      </x:c>
      <x:c r="P69" s="30" t="n">
        <x:f>O69*J69*(1+M69)</x:f>
        <x:v>0.19166666666666668</x:v>
      </x:c>
      <x:c r="Q69" s="30" t="n">
        <x:f>P69*N69</x:f>
        <x:v>12.756683007880138</x:v>
      </x:c>
      <x:c r="R69" s="19" t="str">
        <x:v>独立判定</x:v>
      </x:c>
    </x:row>
    <x:row r="70" ht="19" customHeight="1">
      <x:c r="A70" s="19" t="str">
        <x:v>D00066</x:v>
      </x:c>
      <x:c r="B70" s="19" t="n">
        <x:v>1</x:v>
      </x:c>
      <x:c r="C70" s="19" t="n">
        <x:v>2</x:v>
      </x:c>
      <x:c r="D70" s="19" t="str">
        <x:v>EL-MON-CLIFF-001</x:v>
      </x:c>
      <x:c r="E70" s="19" t="str">
        <x:v>风蚀守卫</x:v>
      </x:c>
      <x:c r="F70" s="19" t="str">
        <x:v>普通</x:v>
      </x:c>
      <x:c r="G70" s="19" t="str">
        <x:v>材料独立候选</x:v>
      </x:c>
      <x:c r="H70" s="19" t="str">
        <x:v>小卢恩</x:v>
      </x:c>
      <x:c r="I70" s="22" t="n">
        <x:v>2500</x:v>
      </x:c>
      <x:c r="J70" s="22" t="n">
        <x:v>1</x:v>
      </x:c>
      <x:c r="K70" s="19" t="n">
        <x:v>1</x:v>
      </x:c>
      <x:c r="L70" s="24" t="n">
        <x:v>11.5</x:v>
      </x:c>
      <x:c r="M70" s="26" t="n">
        <x:v>0</x:v>
      </x:c>
      <x:c r="N70" s="24" t="n">
        <x:v>66.5566069976355</x:v>
      </x:c>
      <x:c r="O70" s="28" t="n">
        <x:f>MIN(1,L70/I70)</x:f>
        <x:v>0.0046</x:v>
      </x:c>
      <x:c r="P70" s="30" t="n">
        <x:f>O70*J70*(1+M70)</x:f>
        <x:v>0.0046</x:v>
      </x:c>
      <x:c r="Q70" s="30" t="n">
        <x:f>P70*N70</x:f>
        <x:v>0.3061603921891233</x:v>
      </x:c>
      <x:c r="R70" s="19" t="str">
        <x:v>独立判定</x:v>
      </x:c>
    </x:row>
    <x:row r="71" ht="19" customHeight="1">
      <x:c r="A71" s="19" t="str">
        <x:v>D00067</x:v>
      </x:c>
      <x:c r="B71" s="19" t="n">
        <x:v>1</x:v>
      </x:c>
      <x:c r="C71" s="19" t="n">
        <x:v>2</x:v>
      </x:c>
      <x:c r="D71" s="19" t="str">
        <x:v>EL-MON-CLIFF-002</x:v>
      </x:c>
      <x:c r="E71" s="19" t="str">
        <x:v>断崖弩手</x:v>
      </x:c>
      <x:c r="F71" s="19" t="str">
        <x:v>普通</x:v>
      </x:c>
      <x:c r="G71" s="19" t="str">
        <x:v>自身专属</x:v>
      </x:c>
      <x:c r="H71" s="19" t="str">
        <x:v>鹰眼链</x:v>
      </x:c>
      <x:c r="I71" s="22" t="n">
        <x:v>300</x:v>
      </x:c>
      <x:c r="J71" s="22" t="n">
        <x:v>1</x:v>
      </x:c>
      <x:c r="K71" s="19" t="n">
        <x:v>1</x:v>
      </x:c>
      <x:c r="L71" s="24" t="n">
        <x:v>11.5</x:v>
      </x:c>
      <x:c r="M71" s="26" t="n">
        <x:v>0</x:v>
      </x:c>
      <x:c r="N71" s="24" t="n">
        <x:v>66.5566069976355</x:v>
      </x:c>
      <x:c r="O71" s="28" t="n">
        <x:f>MIN(1,L71/I71)</x:f>
        <x:v>0.03833333333333333</x:v>
      </x:c>
      <x:c r="P71" s="30" t="n">
        <x:f>O71*J71*(1+M71)</x:f>
        <x:v>0.03833333333333333</x:v>
      </x:c>
      <x:c r="Q71" s="30" t="n">
        <x:f>P71*N71</x:f>
        <x:v>2.5513366015760273</x:v>
      </x:c>
      <x:c r="R71" s="19" t="str">
        <x:v>独立判定</x:v>
      </x:c>
    </x:row>
    <x:row r="72" ht="19" customHeight="1">
      <x:c r="A72" s="19" t="str">
        <x:v>D00068</x:v>
      </x:c>
      <x:c r="B72" s="19" t="n">
        <x:v>1</x:v>
      </x:c>
      <x:c r="C72" s="19" t="n">
        <x:v>2</x:v>
      </x:c>
      <x:c r="D72" s="19" t="str">
        <x:v>EL-MON-CLIFF-002</x:v>
      </x:c>
      <x:c r="E72" s="19" t="str">
        <x:v>断崖弩手</x:v>
      </x:c>
      <x:c r="F72" s="19" t="str">
        <x:v>普通</x:v>
      </x:c>
      <x:c r="G72" s="19" t="str">
        <x:v>材料独立候选</x:v>
      </x:c>
      <x:c r="H72" s="19" t="str">
        <x:v>海蚀铁片</x:v>
      </x:c>
      <x:c r="I72" s="22" t="n">
        <x:v>400</x:v>
      </x:c>
      <x:c r="J72" s="22" t="n">
        <x:v>8</x:v>
      </x:c>
      <x:c r="K72" s="19" t="n">
        <x:v>1</x:v>
      </x:c>
      <x:c r="L72" s="24" t="n">
        <x:v>11.5</x:v>
      </x:c>
      <x:c r="M72" s="26" t="n">
        <x:v>0</x:v>
      </x:c>
      <x:c r="N72" s="24" t="n">
        <x:v>66.5566069976355</x:v>
      </x:c>
      <x:c r="O72" s="28" t="n">
        <x:f>MIN(1,L72/I72)</x:f>
        <x:v>0.02875</x:v>
      </x:c>
      <x:c r="P72" s="30" t="n">
        <x:f>O72*J72*(1+M72)</x:f>
        <x:v>0.23</x:v>
      </x:c>
      <x:c r="Q72" s="30" t="n">
        <x:f>P72*N72</x:f>
        <x:v>15.308019609456165</x:v>
      </x:c>
      <x:c r="R72" s="19" t="str">
        <x:v>独立判定</x:v>
      </x:c>
    </x:row>
    <x:row r="73" ht="19" customHeight="1">
      <x:c r="A73" s="19" t="str">
        <x:v>D00069</x:v>
      </x:c>
      <x:c r="B73" s="19" t="n">
        <x:v>1</x:v>
      </x:c>
      <x:c r="C73" s="19" t="n">
        <x:v>2</x:v>
      </x:c>
      <x:c r="D73" s="19" t="str">
        <x:v>EL-MON-CLIFF-002</x:v>
      </x:c>
      <x:c r="E73" s="19" t="str">
        <x:v>断崖弩手</x:v>
      </x:c>
      <x:c r="F73" s="19" t="str">
        <x:v>普通</x:v>
      </x:c>
      <x:c r="G73" s="19" t="str">
        <x:v>材料独立候选</x:v>
      </x:c>
      <x:c r="H73" s="19" t="str">
        <x:v>技能残页</x:v>
      </x:c>
      <x:c r="I73" s="22" t="n">
        <x:v>60</x:v>
      </x:c>
      <x:c r="J73" s="22" t="n">
        <x:v>1</x:v>
      </x:c>
      <x:c r="K73" s="19" t="n">
        <x:v>1</x:v>
      </x:c>
      <x:c r="L73" s="24" t="n">
        <x:v>11.5</x:v>
      </x:c>
      <x:c r="M73" s="26" t="n">
        <x:v>0</x:v>
      </x:c>
      <x:c r="N73" s="24" t="n">
        <x:v>66.5566069976355</x:v>
      </x:c>
      <x:c r="O73" s="28" t="n">
        <x:f>MIN(1,L73/I73)</x:f>
        <x:v>0.19166666666666668</x:v>
      </x:c>
      <x:c r="P73" s="30" t="n">
        <x:f>O73*J73*(1+M73)</x:f>
        <x:v>0.19166666666666668</x:v>
      </x:c>
      <x:c r="Q73" s="30" t="n">
        <x:f>P73*N73</x:f>
        <x:v>12.756683007880138</x:v>
      </x:c>
      <x:c r="R73" s="19" t="str">
        <x:v>独立判定</x:v>
      </x:c>
    </x:row>
    <x:row r="74" ht="19" customHeight="1">
      <x:c r="A74" s="19" t="str">
        <x:v>D00070</x:v>
      </x:c>
      <x:c r="B74" s="19" t="n">
        <x:v>1</x:v>
      </x:c>
      <x:c r="C74" s="19" t="n">
        <x:v>2</x:v>
      </x:c>
      <x:c r="D74" s="19" t="str">
        <x:v>EL-MON-CLIFF-002</x:v>
      </x:c>
      <x:c r="E74" s="19" t="str">
        <x:v>断崖弩手</x:v>
      </x:c>
      <x:c r="F74" s="19" t="str">
        <x:v>普通</x:v>
      </x:c>
      <x:c r="G74" s="19" t="str">
        <x:v>材料独立候选</x:v>
      </x:c>
      <x:c r="H74" s="19" t="str">
        <x:v>小卢恩</x:v>
      </x:c>
      <x:c r="I74" s="22" t="n">
        <x:v>2500</x:v>
      </x:c>
      <x:c r="J74" s="22" t="n">
        <x:v>1</x:v>
      </x:c>
      <x:c r="K74" s="19" t="n">
        <x:v>1</x:v>
      </x:c>
      <x:c r="L74" s="24" t="n">
        <x:v>11.5</x:v>
      </x:c>
      <x:c r="M74" s="26" t="n">
        <x:v>0</x:v>
      </x:c>
      <x:c r="N74" s="24" t="n">
        <x:v>66.5566069976355</x:v>
      </x:c>
      <x:c r="O74" s="28" t="n">
        <x:f>MIN(1,L74/I74)</x:f>
        <x:v>0.0046</x:v>
      </x:c>
      <x:c r="P74" s="30" t="n">
        <x:f>O74*J74*(1+M74)</x:f>
        <x:v>0.0046</x:v>
      </x:c>
      <x:c r="Q74" s="30" t="n">
        <x:f>P74*N74</x:f>
        <x:v>0.3061603921891233</x:v>
      </x:c>
      <x:c r="R74" s="19" t="str">
        <x:v>独立判定</x:v>
      </x:c>
    </x:row>
    <x:row r="75" ht="19" customHeight="1">
      <x:c r="A75" s="19" t="str">
        <x:v>D00071</x:v>
      </x:c>
      <x:c r="B75" s="19" t="n">
        <x:v>1</x:v>
      </x:c>
      <x:c r="C75" s="19" t="n">
        <x:v>2</x:v>
      </x:c>
      <x:c r="D75" s="19" t="str">
        <x:v>EL-MON-CLIFF-003</x:v>
      </x:c>
      <x:c r="E75" s="19" t="str">
        <x:v>雷羽鹰</x:v>
      </x:c>
      <x:c r="F75" s="19" t="str">
        <x:v>普通</x:v>
      </x:c>
      <x:c r="G75" s="19" t="str">
        <x:v>自身专属</x:v>
      </x:c>
      <x:c r="H75" s="19" t="str">
        <x:v>雷羽护腕</x:v>
      </x:c>
      <x:c r="I75" s="22" t="n">
        <x:v>300</x:v>
      </x:c>
      <x:c r="J75" s="22" t="n">
        <x:v>1</x:v>
      </x:c>
      <x:c r="K75" s="19" t="n">
        <x:v>1</x:v>
      </x:c>
      <x:c r="L75" s="24" t="n">
        <x:v>11.5</x:v>
      </x:c>
      <x:c r="M75" s="26" t="n">
        <x:v>0</x:v>
      </x:c>
      <x:c r="N75" s="24" t="n">
        <x:v>53.2452855981084</x:v>
      </x:c>
      <x:c r="O75" s="28" t="n">
        <x:f>MIN(1,L75/I75)</x:f>
        <x:v>0.03833333333333333</x:v>
      </x:c>
      <x:c r="P75" s="30" t="n">
        <x:f>O75*J75*(1+M75)</x:f>
        <x:v>0.03833333333333333</x:v>
      </x:c>
      <x:c r="Q75" s="30" t="n">
        <x:f>P75*N75</x:f>
        <x:v>2.041069281260822</x:v>
      </x:c>
      <x:c r="R75" s="19" t="str">
        <x:v>独立判定</x:v>
      </x:c>
    </x:row>
    <x:row r="76" ht="19" customHeight="1">
      <x:c r="A76" s="19" t="str">
        <x:v>D00072</x:v>
      </x:c>
      <x:c r="B76" s="19" t="n">
        <x:v>1</x:v>
      </x:c>
      <x:c r="C76" s="19" t="n">
        <x:v>2</x:v>
      </x:c>
      <x:c r="D76" s="19" t="str">
        <x:v>EL-MON-CLIFF-003</x:v>
      </x:c>
      <x:c r="E76" s="19" t="str">
        <x:v>雷羽鹰</x:v>
      </x:c>
      <x:c r="F76" s="19" t="str">
        <x:v>普通</x:v>
      </x:c>
      <x:c r="G76" s="19" t="str">
        <x:v>材料独立候选</x:v>
      </x:c>
      <x:c r="H76" s="19" t="str">
        <x:v>海蚀铁片</x:v>
      </x:c>
      <x:c r="I76" s="22" t="n">
        <x:v>400</x:v>
      </x:c>
      <x:c r="J76" s="22" t="n">
        <x:v>8</x:v>
      </x:c>
      <x:c r="K76" s="19" t="n">
        <x:v>1</x:v>
      </x:c>
      <x:c r="L76" s="24" t="n">
        <x:v>11.5</x:v>
      </x:c>
      <x:c r="M76" s="26" t="n">
        <x:v>0</x:v>
      </x:c>
      <x:c r="N76" s="24" t="n">
        <x:v>53.2452855981084</x:v>
      </x:c>
      <x:c r="O76" s="28" t="n">
        <x:f>MIN(1,L76/I76)</x:f>
        <x:v>0.02875</x:v>
      </x:c>
      <x:c r="P76" s="30" t="n">
        <x:f>O76*J76*(1+M76)</x:f>
        <x:v>0.23</x:v>
      </x:c>
      <x:c r="Q76" s="30" t="n">
        <x:f>P76*N76</x:f>
        <x:v>12.246415687564934</x:v>
      </x:c>
      <x:c r="R76" s="19" t="str">
        <x:v>独立判定</x:v>
      </x:c>
    </x:row>
    <x:row r="77" ht="19" customHeight="1">
      <x:c r="A77" s="19" t="str">
        <x:v>D00073</x:v>
      </x:c>
      <x:c r="B77" s="19" t="n">
        <x:v>1</x:v>
      </x:c>
      <x:c r="C77" s="19" t="n">
        <x:v>2</x:v>
      </x:c>
      <x:c r="D77" s="19" t="str">
        <x:v>EL-MON-CLIFF-003</x:v>
      </x:c>
      <x:c r="E77" s="19" t="str">
        <x:v>雷羽鹰</x:v>
      </x:c>
      <x:c r="F77" s="19" t="str">
        <x:v>普通</x:v>
      </x:c>
      <x:c r="G77" s="19" t="str">
        <x:v>材料独立候选</x:v>
      </x:c>
      <x:c r="H77" s="19" t="str">
        <x:v>技能残页</x:v>
      </x:c>
      <x:c r="I77" s="22" t="n">
        <x:v>60</x:v>
      </x:c>
      <x:c r="J77" s="22" t="n">
        <x:v>1</x:v>
      </x:c>
      <x:c r="K77" s="19" t="n">
        <x:v>1</x:v>
      </x:c>
      <x:c r="L77" s="24" t="n">
        <x:v>11.5</x:v>
      </x:c>
      <x:c r="M77" s="26" t="n">
        <x:v>0</x:v>
      </x:c>
      <x:c r="N77" s="24" t="n">
        <x:v>53.2452855981084</x:v>
      </x:c>
      <x:c r="O77" s="28" t="n">
        <x:f>MIN(1,L77/I77)</x:f>
        <x:v>0.19166666666666668</x:v>
      </x:c>
      <x:c r="P77" s="30" t="n">
        <x:f>O77*J77*(1+M77)</x:f>
        <x:v>0.19166666666666668</x:v>
      </x:c>
      <x:c r="Q77" s="30" t="n">
        <x:f>P77*N77</x:f>
        <x:v>10.20534640630411</x:v>
      </x:c>
      <x:c r="R77" s="19" t="str">
        <x:v>独立判定</x:v>
      </x:c>
    </x:row>
    <x:row r="78" ht="19" customHeight="1">
      <x:c r="A78" s="19" t="str">
        <x:v>D00074</x:v>
      </x:c>
      <x:c r="B78" s="19" t="n">
        <x:v>1</x:v>
      </x:c>
      <x:c r="C78" s="19" t="n">
        <x:v>2</x:v>
      </x:c>
      <x:c r="D78" s="19" t="str">
        <x:v>EL-MON-CLIFF-003</x:v>
      </x:c>
      <x:c r="E78" s="19" t="str">
        <x:v>雷羽鹰</x:v>
      </x:c>
      <x:c r="F78" s="19" t="str">
        <x:v>普通</x:v>
      </x:c>
      <x:c r="G78" s="19" t="str">
        <x:v>材料独立候选</x:v>
      </x:c>
      <x:c r="H78" s="19" t="str">
        <x:v>小卢恩</x:v>
      </x:c>
      <x:c r="I78" s="22" t="n">
        <x:v>2500</x:v>
      </x:c>
      <x:c r="J78" s="22" t="n">
        <x:v>1</x:v>
      </x:c>
      <x:c r="K78" s="19" t="n">
        <x:v>1</x:v>
      </x:c>
      <x:c r="L78" s="24" t="n">
        <x:v>11.5</x:v>
      </x:c>
      <x:c r="M78" s="26" t="n">
        <x:v>0</x:v>
      </x:c>
      <x:c r="N78" s="24" t="n">
        <x:v>53.2452855981084</x:v>
      </x:c>
      <x:c r="O78" s="28" t="n">
        <x:f>MIN(1,L78/I78)</x:f>
        <x:v>0.0046</x:v>
      </x:c>
      <x:c r="P78" s="30" t="n">
        <x:f>O78*J78*(1+M78)</x:f>
        <x:v>0.0046</x:v>
      </x:c>
      <x:c r="Q78" s="30" t="n">
        <x:f>P78*N78</x:f>
        <x:v>0.24492831375129864</x:v>
      </x:c>
      <x:c r="R78" s="19" t="str">
        <x:v>独立判定</x:v>
      </x:c>
    </x:row>
    <x:row r="79" ht="19" customHeight="1">
      <x:c r="A79" s="19" t="str">
        <x:v>D00075</x:v>
      </x:c>
      <x:c r="B79" s="19" t="n">
        <x:v>1</x:v>
      </x:c>
      <x:c r="C79" s="19" t="n">
        <x:v>2</x:v>
      </x:c>
      <x:c r="D79" s="19" t="str">
        <x:v>EL-MON-CLIFF-004</x:v>
      </x:c>
      <x:c r="E79" s="19" t="str">
        <x:v>狂风战奴</x:v>
      </x:c>
      <x:c r="F79" s="19" t="str">
        <x:v>普通</x:v>
      </x:c>
      <x:c r="G79" s="19" t="str">
        <x:v>自身专属</x:v>
      </x:c>
      <x:c r="H79" s="19" t="str">
        <x:v>狂风骨戒</x:v>
      </x:c>
      <x:c r="I79" s="22" t="n">
        <x:v>300</x:v>
      </x:c>
      <x:c r="J79" s="22" t="n">
        <x:v>1</x:v>
      </x:c>
      <x:c r="K79" s="19" t="n">
        <x:v>1</x:v>
      </x:c>
      <x:c r="L79" s="24" t="n">
        <x:v>11.5</x:v>
      </x:c>
      <x:c r="M79" s="26" t="n">
        <x:v>0</x:v>
      </x:c>
      <x:c r="N79" s="24" t="n">
        <x:v>66.5566069976355</x:v>
      </x:c>
      <x:c r="O79" s="28" t="n">
        <x:f>MIN(1,L79/I79)</x:f>
        <x:v>0.03833333333333333</x:v>
      </x:c>
      <x:c r="P79" s="30" t="n">
        <x:f>O79*J79*(1+M79)</x:f>
        <x:v>0.03833333333333333</x:v>
      </x:c>
      <x:c r="Q79" s="30" t="n">
        <x:f>P79*N79</x:f>
        <x:v>2.5513366015760273</x:v>
      </x:c>
      <x:c r="R79" s="19" t="str">
        <x:v>独立判定</x:v>
      </x:c>
    </x:row>
    <x:row r="80" ht="19" customHeight="1">
      <x:c r="A80" s="19" t="str">
        <x:v>D00076</x:v>
      </x:c>
      <x:c r="B80" s="19" t="n">
        <x:v>1</x:v>
      </x:c>
      <x:c r="C80" s="19" t="n">
        <x:v>2</x:v>
      </x:c>
      <x:c r="D80" s="19" t="str">
        <x:v>EL-MON-CLIFF-004</x:v>
      </x:c>
      <x:c r="E80" s="19" t="str">
        <x:v>狂风战奴</x:v>
      </x:c>
      <x:c r="F80" s="19" t="str">
        <x:v>普通</x:v>
      </x:c>
      <x:c r="G80" s="19" t="str">
        <x:v>材料独立候选</x:v>
      </x:c>
      <x:c r="H80" s="19" t="str">
        <x:v>海蚀铁片</x:v>
      </x:c>
      <x:c r="I80" s="22" t="n">
        <x:v>400</x:v>
      </x:c>
      <x:c r="J80" s="22" t="n">
        <x:v>8</x:v>
      </x:c>
      <x:c r="K80" s="19" t="n">
        <x:v>1</x:v>
      </x:c>
      <x:c r="L80" s="24" t="n">
        <x:v>11.5</x:v>
      </x:c>
      <x:c r="M80" s="26" t="n">
        <x:v>0</x:v>
      </x:c>
      <x:c r="N80" s="24" t="n">
        <x:v>66.5566069976355</x:v>
      </x:c>
      <x:c r="O80" s="28" t="n">
        <x:f>MIN(1,L80/I80)</x:f>
        <x:v>0.02875</x:v>
      </x:c>
      <x:c r="P80" s="30" t="n">
        <x:f>O80*J80*(1+M80)</x:f>
        <x:v>0.23</x:v>
      </x:c>
      <x:c r="Q80" s="30" t="n">
        <x:f>P80*N80</x:f>
        <x:v>15.308019609456165</x:v>
      </x:c>
      <x:c r="R80" s="19" t="str">
        <x:v>独立判定</x:v>
      </x:c>
    </x:row>
    <x:row r="81" ht="19" customHeight="1">
      <x:c r="A81" s="19" t="str">
        <x:v>D00077</x:v>
      </x:c>
      <x:c r="B81" s="19" t="n">
        <x:v>1</x:v>
      </x:c>
      <x:c r="C81" s="19" t="n">
        <x:v>2</x:v>
      </x:c>
      <x:c r="D81" s="19" t="str">
        <x:v>EL-MON-CLIFF-004</x:v>
      </x:c>
      <x:c r="E81" s="19" t="str">
        <x:v>狂风战奴</x:v>
      </x:c>
      <x:c r="F81" s="19" t="str">
        <x:v>普通</x:v>
      </x:c>
      <x:c r="G81" s="19" t="str">
        <x:v>材料独立候选</x:v>
      </x:c>
      <x:c r="H81" s="19" t="str">
        <x:v>技能残页</x:v>
      </x:c>
      <x:c r="I81" s="22" t="n">
        <x:v>60</x:v>
      </x:c>
      <x:c r="J81" s="22" t="n">
        <x:v>1</x:v>
      </x:c>
      <x:c r="K81" s="19" t="n">
        <x:v>1</x:v>
      </x:c>
      <x:c r="L81" s="24" t="n">
        <x:v>11.5</x:v>
      </x:c>
      <x:c r="M81" s="26" t="n">
        <x:v>0</x:v>
      </x:c>
      <x:c r="N81" s="24" t="n">
        <x:v>66.5566069976355</x:v>
      </x:c>
      <x:c r="O81" s="28" t="n">
        <x:f>MIN(1,L81/I81)</x:f>
        <x:v>0.19166666666666668</x:v>
      </x:c>
      <x:c r="P81" s="30" t="n">
        <x:f>O81*J81*(1+M81)</x:f>
        <x:v>0.19166666666666668</x:v>
      </x:c>
      <x:c r="Q81" s="30" t="n">
        <x:f>P81*N81</x:f>
        <x:v>12.756683007880138</x:v>
      </x:c>
      <x:c r="R81" s="19" t="str">
        <x:v>独立判定</x:v>
      </x:c>
    </x:row>
    <x:row r="82" ht="19" customHeight="1">
      <x:c r="A82" s="19" t="str">
        <x:v>D00078</x:v>
      </x:c>
      <x:c r="B82" s="19" t="n">
        <x:v>1</x:v>
      </x:c>
      <x:c r="C82" s="19" t="n">
        <x:v>2</x:v>
      </x:c>
      <x:c r="D82" s="19" t="str">
        <x:v>EL-MON-CLIFF-004</x:v>
      </x:c>
      <x:c r="E82" s="19" t="str">
        <x:v>狂风战奴</x:v>
      </x:c>
      <x:c r="F82" s="19" t="str">
        <x:v>普通</x:v>
      </x:c>
      <x:c r="G82" s="19" t="str">
        <x:v>材料独立候选</x:v>
      </x:c>
      <x:c r="H82" s="19" t="str">
        <x:v>小卢恩</x:v>
      </x:c>
      <x:c r="I82" s="22" t="n">
        <x:v>2500</x:v>
      </x:c>
      <x:c r="J82" s="22" t="n">
        <x:v>1</x:v>
      </x:c>
      <x:c r="K82" s="19" t="n">
        <x:v>1</x:v>
      </x:c>
      <x:c r="L82" s="24" t="n">
        <x:v>11.5</x:v>
      </x:c>
      <x:c r="M82" s="26" t="n">
        <x:v>0</x:v>
      </x:c>
      <x:c r="N82" s="24" t="n">
        <x:v>66.5566069976355</x:v>
      </x:c>
      <x:c r="O82" s="28" t="n">
        <x:f>MIN(1,L82/I82)</x:f>
        <x:v>0.0046</x:v>
      </x:c>
      <x:c r="P82" s="30" t="n">
        <x:f>O82*J82*(1+M82)</x:f>
        <x:v>0.0046</x:v>
      </x:c>
      <x:c r="Q82" s="30" t="n">
        <x:f>P82*N82</x:f>
        <x:v>0.3061603921891233</x:v>
      </x:c>
      <x:c r="R82" s="19" t="str">
        <x:v>独立判定</x:v>
      </x:c>
    </x:row>
    <x:row r="83" ht="19" customHeight="1">
      <x:c r="A83" s="19" t="str">
        <x:v>D00079</x:v>
      </x:c>
      <x:c r="B83" s="19" t="n">
        <x:v>1</x:v>
      </x:c>
      <x:c r="C83" s="19" t="n">
        <x:v>2</x:v>
      </x:c>
      <x:c r="D83" s="19" t="str">
        <x:v>EL-MON-CLIFF-005</x:v>
      </x:c>
      <x:c r="E83" s="19" t="str">
        <x:v>坠崖亡兵</x:v>
      </x:c>
      <x:c r="F83" s="19" t="str">
        <x:v>普通</x:v>
      </x:c>
      <x:c r="G83" s="19" t="str">
        <x:v>自身专属</x:v>
      </x:c>
      <x:c r="H83" s="19" t="str">
        <x:v>断崖束带</x:v>
      </x:c>
      <x:c r="I83" s="22" t="n">
        <x:v>300</x:v>
      </x:c>
      <x:c r="J83" s="22" t="n">
        <x:v>1</x:v>
      </x:c>
      <x:c r="K83" s="19" t="n">
        <x:v>1</x:v>
      </x:c>
      <x:c r="L83" s="24" t="n">
        <x:v>11.5</x:v>
      </x:c>
      <x:c r="M83" s="26" t="n">
        <x:v>0</x:v>
      </x:c>
      <x:c r="N83" s="24" t="n">
        <x:v>53.2452855981084</x:v>
      </x:c>
      <x:c r="O83" s="28" t="n">
        <x:f>MIN(1,L83/I83)</x:f>
        <x:v>0.03833333333333333</x:v>
      </x:c>
      <x:c r="P83" s="30" t="n">
        <x:f>O83*J83*(1+M83)</x:f>
        <x:v>0.03833333333333333</x:v>
      </x:c>
      <x:c r="Q83" s="30" t="n">
        <x:f>P83*N83</x:f>
        <x:v>2.041069281260822</x:v>
      </x:c>
      <x:c r="R83" s="19" t="str">
        <x:v>独立判定</x:v>
      </x:c>
    </x:row>
    <x:row r="84" ht="19" customHeight="1">
      <x:c r="A84" s="19" t="str">
        <x:v>D00080</x:v>
      </x:c>
      <x:c r="B84" s="19" t="n">
        <x:v>1</x:v>
      </x:c>
      <x:c r="C84" s="19" t="n">
        <x:v>2</x:v>
      </x:c>
      <x:c r="D84" s="19" t="str">
        <x:v>EL-MON-CLIFF-005</x:v>
      </x:c>
      <x:c r="E84" s="19" t="str">
        <x:v>坠崖亡兵</x:v>
      </x:c>
      <x:c r="F84" s="19" t="str">
        <x:v>普通</x:v>
      </x:c>
      <x:c r="G84" s="19" t="str">
        <x:v>材料独立候选</x:v>
      </x:c>
      <x:c r="H84" s="19" t="str">
        <x:v>海蚀铁片</x:v>
      </x:c>
      <x:c r="I84" s="22" t="n">
        <x:v>400</x:v>
      </x:c>
      <x:c r="J84" s="22" t="n">
        <x:v>8</x:v>
      </x:c>
      <x:c r="K84" s="19" t="n">
        <x:v>1</x:v>
      </x:c>
      <x:c r="L84" s="24" t="n">
        <x:v>11.5</x:v>
      </x:c>
      <x:c r="M84" s="26" t="n">
        <x:v>0</x:v>
      </x:c>
      <x:c r="N84" s="24" t="n">
        <x:v>53.2452855981084</x:v>
      </x:c>
      <x:c r="O84" s="28" t="n">
        <x:f>MIN(1,L84/I84)</x:f>
        <x:v>0.02875</x:v>
      </x:c>
      <x:c r="P84" s="30" t="n">
        <x:f>O84*J84*(1+M84)</x:f>
        <x:v>0.23</x:v>
      </x:c>
      <x:c r="Q84" s="30" t="n">
        <x:f>P84*N84</x:f>
        <x:v>12.246415687564934</x:v>
      </x:c>
      <x:c r="R84" s="19" t="str">
        <x:v>独立判定</x:v>
      </x:c>
    </x:row>
    <x:row r="85" ht="19" customHeight="1">
      <x:c r="A85" s="19" t="str">
        <x:v>D00081</x:v>
      </x:c>
      <x:c r="B85" s="19" t="n">
        <x:v>1</x:v>
      </x:c>
      <x:c r="C85" s="19" t="n">
        <x:v>2</x:v>
      </x:c>
      <x:c r="D85" s="19" t="str">
        <x:v>EL-MON-CLIFF-005</x:v>
      </x:c>
      <x:c r="E85" s="19" t="str">
        <x:v>坠崖亡兵</x:v>
      </x:c>
      <x:c r="F85" s="19" t="str">
        <x:v>普通</x:v>
      </x:c>
      <x:c r="G85" s="19" t="str">
        <x:v>材料独立候选</x:v>
      </x:c>
      <x:c r="H85" s="19" t="str">
        <x:v>技能残页</x:v>
      </x:c>
      <x:c r="I85" s="22" t="n">
        <x:v>60</x:v>
      </x:c>
      <x:c r="J85" s="22" t="n">
        <x:v>1</x:v>
      </x:c>
      <x:c r="K85" s="19" t="n">
        <x:v>1</x:v>
      </x:c>
      <x:c r="L85" s="24" t="n">
        <x:v>11.5</x:v>
      </x:c>
      <x:c r="M85" s="26" t="n">
        <x:v>0</x:v>
      </x:c>
      <x:c r="N85" s="24" t="n">
        <x:v>53.2452855981084</x:v>
      </x:c>
      <x:c r="O85" s="28" t="n">
        <x:f>MIN(1,L85/I85)</x:f>
        <x:v>0.19166666666666668</x:v>
      </x:c>
      <x:c r="P85" s="30" t="n">
        <x:f>O85*J85*(1+M85)</x:f>
        <x:v>0.19166666666666668</x:v>
      </x:c>
      <x:c r="Q85" s="30" t="n">
        <x:f>P85*N85</x:f>
        <x:v>10.20534640630411</x:v>
      </x:c>
      <x:c r="R85" s="19" t="str">
        <x:v>独立判定</x:v>
      </x:c>
    </x:row>
    <x:row r="86" ht="19" customHeight="1">
      <x:c r="A86" s="19" t="str">
        <x:v>D00082</x:v>
      </x:c>
      <x:c r="B86" s="19" t="n">
        <x:v>1</x:v>
      </x:c>
      <x:c r="C86" s="19" t="n">
        <x:v>2</x:v>
      </x:c>
      <x:c r="D86" s="19" t="str">
        <x:v>EL-MON-CLIFF-005</x:v>
      </x:c>
      <x:c r="E86" s="19" t="str">
        <x:v>坠崖亡兵</x:v>
      </x:c>
      <x:c r="F86" s="19" t="str">
        <x:v>普通</x:v>
      </x:c>
      <x:c r="G86" s="19" t="str">
        <x:v>材料独立候选</x:v>
      </x:c>
      <x:c r="H86" s="19" t="str">
        <x:v>小卢恩</x:v>
      </x:c>
      <x:c r="I86" s="22" t="n">
        <x:v>2500</x:v>
      </x:c>
      <x:c r="J86" s="22" t="n">
        <x:v>1</x:v>
      </x:c>
      <x:c r="K86" s="19" t="n">
        <x:v>1</x:v>
      </x:c>
      <x:c r="L86" s="24" t="n">
        <x:v>11.5</x:v>
      </x:c>
      <x:c r="M86" s="26" t="n">
        <x:v>0</x:v>
      </x:c>
      <x:c r="N86" s="24" t="n">
        <x:v>53.2452855981084</x:v>
      </x:c>
      <x:c r="O86" s="28" t="n">
        <x:f>MIN(1,L86/I86)</x:f>
        <x:v>0.0046</x:v>
      </x:c>
      <x:c r="P86" s="30" t="n">
        <x:f>O86*J86*(1+M86)</x:f>
        <x:v>0.0046</x:v>
      </x:c>
      <x:c r="Q86" s="30" t="n">
        <x:f>P86*N86</x:f>
        <x:v>0.24492831375129864</x:v>
      </x:c>
      <x:c r="R86" s="19" t="str">
        <x:v>独立判定</x:v>
      </x:c>
    </x:row>
    <x:row r="87" ht="19" customHeight="1">
      <x:c r="A87" s="19" t="str">
        <x:v>D00083</x:v>
      </x:c>
      <x:c r="B87" s="19" t="n">
        <x:v>1</x:v>
      </x:c>
      <x:c r="C87" s="19" t="n">
        <x:v>2</x:v>
      </x:c>
      <x:c r="D87" s="19" t="str">
        <x:v>EL-MON-CLIFF-006</x:v>
      </x:c>
      <x:c r="E87" s="19" t="str">
        <x:v>崖穴石蜥</x:v>
      </x:c>
      <x:c r="F87" s="19" t="str">
        <x:v>普通</x:v>
      </x:c>
      <x:c r="G87" s="19" t="str">
        <x:v>自身专属</x:v>
      </x:c>
      <x:c r="H87" s="19" t="str">
        <x:v>石蜥面巾</x:v>
      </x:c>
      <x:c r="I87" s="22" t="n">
        <x:v>300</x:v>
      </x:c>
      <x:c r="J87" s="22" t="n">
        <x:v>1</x:v>
      </x:c>
      <x:c r="K87" s="19" t="n">
        <x:v>1</x:v>
      </x:c>
      <x:c r="L87" s="24" t="n">
        <x:v>11.5</x:v>
      </x:c>
      <x:c r="M87" s="26" t="n">
        <x:v>0</x:v>
      </x:c>
      <x:c r="N87" s="24" t="n">
        <x:v>66.5566069976355</x:v>
      </x:c>
      <x:c r="O87" s="28" t="n">
        <x:f>MIN(1,L87/I87)</x:f>
        <x:v>0.03833333333333333</x:v>
      </x:c>
      <x:c r="P87" s="30" t="n">
        <x:f>O87*J87*(1+M87)</x:f>
        <x:v>0.03833333333333333</x:v>
      </x:c>
      <x:c r="Q87" s="30" t="n">
        <x:f>P87*N87</x:f>
        <x:v>2.5513366015760273</x:v>
      </x:c>
      <x:c r="R87" s="19" t="str">
        <x:v>独立判定</x:v>
      </x:c>
    </x:row>
    <x:row r="88" ht="19" customHeight="1">
      <x:c r="A88" s="19" t="str">
        <x:v>D00084</x:v>
      </x:c>
      <x:c r="B88" s="19" t="n">
        <x:v>1</x:v>
      </x:c>
      <x:c r="C88" s="19" t="n">
        <x:v>2</x:v>
      </x:c>
      <x:c r="D88" s="19" t="str">
        <x:v>EL-MON-CLIFF-006</x:v>
      </x:c>
      <x:c r="E88" s="19" t="str">
        <x:v>崖穴石蜥</x:v>
      </x:c>
      <x:c r="F88" s="19" t="str">
        <x:v>普通</x:v>
      </x:c>
      <x:c r="G88" s="19" t="str">
        <x:v>材料独立候选</x:v>
      </x:c>
      <x:c r="H88" s="19" t="str">
        <x:v>海蚀铁片</x:v>
      </x:c>
      <x:c r="I88" s="22" t="n">
        <x:v>400</x:v>
      </x:c>
      <x:c r="J88" s="22" t="n">
        <x:v>8</x:v>
      </x:c>
      <x:c r="K88" s="19" t="n">
        <x:v>1</x:v>
      </x:c>
      <x:c r="L88" s="24" t="n">
        <x:v>11.5</x:v>
      </x:c>
      <x:c r="M88" s="26" t="n">
        <x:v>0</x:v>
      </x:c>
      <x:c r="N88" s="24" t="n">
        <x:v>66.5566069976355</x:v>
      </x:c>
      <x:c r="O88" s="28" t="n">
        <x:f>MIN(1,L88/I88)</x:f>
        <x:v>0.02875</x:v>
      </x:c>
      <x:c r="P88" s="30" t="n">
        <x:f>O88*J88*(1+M88)</x:f>
        <x:v>0.23</x:v>
      </x:c>
      <x:c r="Q88" s="30" t="n">
        <x:f>P88*N88</x:f>
        <x:v>15.308019609456165</x:v>
      </x:c>
      <x:c r="R88" s="19" t="str">
        <x:v>独立判定</x:v>
      </x:c>
    </x:row>
    <x:row r="89" ht="19" customHeight="1">
      <x:c r="A89" s="19" t="str">
        <x:v>D00085</x:v>
      </x:c>
      <x:c r="B89" s="19" t="n">
        <x:v>1</x:v>
      </x:c>
      <x:c r="C89" s="19" t="n">
        <x:v>2</x:v>
      </x:c>
      <x:c r="D89" s="19" t="str">
        <x:v>EL-MON-CLIFF-006</x:v>
      </x:c>
      <x:c r="E89" s="19" t="str">
        <x:v>崖穴石蜥</x:v>
      </x:c>
      <x:c r="F89" s="19" t="str">
        <x:v>普通</x:v>
      </x:c>
      <x:c r="G89" s="19" t="str">
        <x:v>材料独立候选</x:v>
      </x:c>
      <x:c r="H89" s="19" t="str">
        <x:v>技能残页</x:v>
      </x:c>
      <x:c r="I89" s="22" t="n">
        <x:v>60</x:v>
      </x:c>
      <x:c r="J89" s="22" t="n">
        <x:v>1</x:v>
      </x:c>
      <x:c r="K89" s="19" t="n">
        <x:v>1</x:v>
      </x:c>
      <x:c r="L89" s="24" t="n">
        <x:v>11.5</x:v>
      </x:c>
      <x:c r="M89" s="26" t="n">
        <x:v>0</x:v>
      </x:c>
      <x:c r="N89" s="24" t="n">
        <x:v>66.5566069976355</x:v>
      </x:c>
      <x:c r="O89" s="28" t="n">
        <x:f>MIN(1,L89/I89)</x:f>
        <x:v>0.19166666666666668</x:v>
      </x:c>
      <x:c r="P89" s="30" t="n">
        <x:f>O89*J89*(1+M89)</x:f>
        <x:v>0.19166666666666668</x:v>
      </x:c>
      <x:c r="Q89" s="30" t="n">
        <x:f>P89*N89</x:f>
        <x:v>12.756683007880138</x:v>
      </x:c>
      <x:c r="R89" s="19" t="str">
        <x:v>独立判定</x:v>
      </x:c>
    </x:row>
    <x:row r="90" ht="19" customHeight="1">
      <x:c r="A90" s="19" t="str">
        <x:v>D00086</x:v>
      </x:c>
      <x:c r="B90" s="19" t="n">
        <x:v>1</x:v>
      </x:c>
      <x:c r="C90" s="19" t="n">
        <x:v>2</x:v>
      </x:c>
      <x:c r="D90" s="19" t="str">
        <x:v>EL-MON-CLIFF-006</x:v>
      </x:c>
      <x:c r="E90" s="19" t="str">
        <x:v>崖穴石蜥</x:v>
      </x:c>
      <x:c r="F90" s="19" t="str">
        <x:v>普通</x:v>
      </x:c>
      <x:c r="G90" s="19" t="str">
        <x:v>材料独立候选</x:v>
      </x:c>
      <x:c r="H90" s="19" t="str">
        <x:v>小卢恩</x:v>
      </x:c>
      <x:c r="I90" s="22" t="n">
        <x:v>2500</x:v>
      </x:c>
      <x:c r="J90" s="22" t="n">
        <x:v>1</x:v>
      </x:c>
      <x:c r="K90" s="19" t="n">
        <x:v>1</x:v>
      </x:c>
      <x:c r="L90" s="24" t="n">
        <x:v>11.5</x:v>
      </x:c>
      <x:c r="M90" s="26" t="n">
        <x:v>0</x:v>
      </x:c>
      <x:c r="N90" s="24" t="n">
        <x:v>66.5566069976355</x:v>
      </x:c>
      <x:c r="O90" s="28" t="n">
        <x:f>MIN(1,L90/I90)</x:f>
        <x:v>0.0046</x:v>
      </x:c>
      <x:c r="P90" s="30" t="n">
        <x:f>O90*J90*(1+M90)</x:f>
        <x:v>0.0046</x:v>
      </x:c>
      <x:c r="Q90" s="30" t="n">
        <x:f>P90*N90</x:f>
        <x:v>0.3061603921891233</x:v>
      </x:c>
      <x:c r="R90" s="19" t="str">
        <x:v>独立判定</x:v>
      </x:c>
    </x:row>
    <x:row r="91" ht="19" customHeight="1">
      <x:c r="A91" s="19" t="str">
        <x:v>D00087</x:v>
      </x:c>
      <x:c r="B91" s="19" t="n">
        <x:v>1</x:v>
      </x:c>
      <x:c r="C91" s="19" t="n">
        <x:v>2</x:v>
      </x:c>
      <x:c r="D91" s="19" t="str">
        <x:v>EL-MON-CLIFF-007</x:v>
      </x:c>
      <x:c r="E91" s="19" t="str">
        <x:v>逐雷骑士</x:v>
      </x:c>
      <x:c r="F91" s="19" t="str">
        <x:v>稀有</x:v>
      </x:c>
      <x:c r="G91" s="19" t="str">
        <x:v>自身专属</x:v>
      </x:c>
      <x:c r="H91" s="19" t="str">
        <x:v>逐雷战靴</x:v>
      </x:c>
      <x:c r="I91" s="22" t="n">
        <x:v>120</x:v>
      </x:c>
      <x:c r="J91" s="22" t="n">
        <x:v>1</x:v>
      </x:c>
      <x:c r="K91" s="19" t="n">
        <x:v>1</x:v>
      </x:c>
      <x:c r="L91" s="24" t="n">
        <x:v>11.5</x:v>
      </x:c>
      <x:c r="M91" s="26" t="n">
        <x:v>0</x:v>
      </x:c>
      <x:c r="N91" s="24" t="n">
        <x:v>7.403939007475026</x:v>
      </x:c>
      <x:c r="O91" s="28" t="n">
        <x:f>MIN(1,L91/I91)</x:f>
        <x:v>0.09583333333333334</x:v>
      </x:c>
      <x:c r="P91" s="30" t="n">
        <x:f>O91*J91*(1+M91)</x:f>
        <x:v>0.09583333333333334</x:v>
      </x:c>
      <x:c r="Q91" s="30" t="n">
        <x:f>P91*N91</x:f>
        <x:v>0.7095441548830234</x:v>
      </x:c>
      <x:c r="R91" s="19" t="str">
        <x:v>独立判定</x:v>
      </x:c>
    </x:row>
    <x:row r="92" ht="19" customHeight="1">
      <x:c r="A92" s="19" t="str">
        <x:v>D00088</x:v>
      </x:c>
      <x:c r="B92" s="19" t="n">
        <x:v>1</x:v>
      </x:c>
      <x:c r="C92" s="19" t="n">
        <x:v>2</x:v>
      </x:c>
      <x:c r="D92" s="19" t="str">
        <x:v>EL-MON-CLIFF-007</x:v>
      </x:c>
      <x:c r="E92" s="19" t="str">
        <x:v>逐雷骑士</x:v>
      </x:c>
      <x:c r="F92" s="19" t="str">
        <x:v>稀有</x:v>
      </x:c>
      <x:c r="G92" s="19" t="str">
        <x:v>材料独立候选</x:v>
      </x:c>
      <x:c r="H92" s="19" t="str">
        <x:v>海蚀铁片</x:v>
      </x:c>
      <x:c r="I92" s="22" t="n">
        <x:v>300</x:v>
      </x:c>
      <x:c r="J92" s="22" t="n">
        <x:v>15</x:v>
      </x:c>
      <x:c r="K92" s="19" t="n">
        <x:v>1</x:v>
      </x:c>
      <x:c r="L92" s="24" t="n">
        <x:v>11.5</x:v>
      </x:c>
      <x:c r="M92" s="26" t="n">
        <x:v>0</x:v>
      </x:c>
      <x:c r="N92" s="24" t="n">
        <x:v>7.403939007475026</x:v>
      </x:c>
      <x:c r="O92" s="28" t="n">
        <x:f>MIN(1,L92/I92)</x:f>
        <x:v>0.03833333333333333</x:v>
      </x:c>
      <x:c r="P92" s="30" t="n">
        <x:f>O92*J92*(1+M92)</x:f>
        <x:v>0.575</x:v>
      </x:c>
      <x:c r="Q92" s="30" t="n">
        <x:f>P92*N92</x:f>
        <x:v>4.25726492929814</x:v>
      </x:c>
      <x:c r="R92" s="19" t="str">
        <x:v>独立判定</x:v>
      </x:c>
    </x:row>
    <x:row r="93" ht="19" customHeight="1">
      <x:c r="A93" s="19" t="str">
        <x:v>D00089</x:v>
      </x:c>
      <x:c r="B93" s="19" t="n">
        <x:v>1</x:v>
      </x:c>
      <x:c r="C93" s="19" t="n">
        <x:v>2</x:v>
      </x:c>
      <x:c r="D93" s="19" t="str">
        <x:v>EL-MON-CLIFF-007</x:v>
      </x:c>
      <x:c r="E93" s="19" t="str">
        <x:v>逐雷骑士</x:v>
      </x:c>
      <x:c r="F93" s="19" t="str">
        <x:v>稀有</x:v>
      </x:c>
      <x:c r="G93" s="19" t="str">
        <x:v>材料独立候选</x:v>
      </x:c>
      <x:c r="H93" s="19" t="str">
        <x:v>潮痕结晶</x:v>
      </x:c>
      <x:c r="I93" s="22" t="n">
        <x:v>120</x:v>
      </x:c>
      <x:c r="J93" s="22" t="n">
        <x:v>1</x:v>
      </x:c>
      <x:c r="K93" s="19" t="n">
        <x:v>1</x:v>
      </x:c>
      <x:c r="L93" s="24" t="n">
        <x:v>11.5</x:v>
      </x:c>
      <x:c r="M93" s="26" t="n">
        <x:v>0</x:v>
      </x:c>
      <x:c r="N93" s="24" t="n">
        <x:v>7.403939007475026</x:v>
      </x:c>
      <x:c r="O93" s="28" t="n">
        <x:f>MIN(1,L93/I93)</x:f>
        <x:v>0.09583333333333334</x:v>
      </x:c>
      <x:c r="P93" s="30" t="n">
        <x:f>O93*J93*(1+M93)</x:f>
        <x:v>0.09583333333333334</x:v>
      </x:c>
      <x:c r="Q93" s="30" t="n">
        <x:f>P93*N93</x:f>
        <x:v>0.7095441548830234</x:v>
      </x:c>
      <x:c r="R93" s="19" t="str">
        <x:v>独立判定</x:v>
      </x:c>
    </x:row>
    <x:row r="94" ht="19" customHeight="1">
      <x:c r="A94" s="19" t="str">
        <x:v>D00090</x:v>
      </x:c>
      <x:c r="B94" s="19" t="n">
        <x:v>1</x:v>
      </x:c>
      <x:c r="C94" s="19" t="n">
        <x:v>2</x:v>
      </x:c>
      <x:c r="D94" s="19" t="str">
        <x:v>EL-MON-CLIFF-007</x:v>
      </x:c>
      <x:c r="E94" s="19" t="str">
        <x:v>逐雷骑士</x:v>
      </x:c>
      <x:c r="F94" s="19" t="str">
        <x:v>稀有</x:v>
      </x:c>
      <x:c r="G94" s="19" t="str">
        <x:v>材料独立候选</x:v>
      </x:c>
      <x:c r="H94" s="19" t="str">
        <x:v>逐雷魂印</x:v>
      </x:c>
      <x:c r="I94" s="22" t="n">
        <x:v>150</x:v>
      </x:c>
      <x:c r="J94" s="22" t="n">
        <x:v>1</x:v>
      </x:c>
      <x:c r="K94" s="19" t="n">
        <x:v>1</x:v>
      </x:c>
      <x:c r="L94" s="24" t="n">
        <x:v>11.5</x:v>
      </x:c>
      <x:c r="M94" s="26" t="n">
        <x:v>0</x:v>
      </x:c>
      <x:c r="N94" s="24" t="n">
        <x:v>7.403939007475026</x:v>
      </x:c>
      <x:c r="O94" s="28" t="n">
        <x:f>MIN(1,L94/I94)</x:f>
        <x:v>0.07666666666666666</x:v>
      </x:c>
      <x:c r="P94" s="30" t="n">
        <x:f>O94*J94*(1+M94)</x:f>
        <x:v>0.07666666666666666</x:v>
      </x:c>
      <x:c r="Q94" s="30" t="n">
        <x:f>P94*N94</x:f>
        <x:v>0.5676353239064186</x:v>
      </x:c>
      <x:c r="R94" s="19" t="str">
        <x:v>独立判定</x:v>
      </x:c>
    </x:row>
    <x:row r="95" ht="19" customHeight="1">
      <x:c r="A95" s="19" t="str">
        <x:v>D00091</x:v>
      </x:c>
      <x:c r="B95" s="19" t="n">
        <x:v>1</x:v>
      </x:c>
      <x:c r="C95" s="19" t="n">
        <x:v>2</x:v>
      </x:c>
      <x:c r="D95" s="19" t="str">
        <x:v>EL-MON-CLIFF-007</x:v>
      </x:c>
      <x:c r="E95" s="19" t="str">
        <x:v>逐雷骑士</x:v>
      </x:c>
      <x:c r="F95" s="19" t="str">
        <x:v>稀有</x:v>
      </x:c>
      <x:c r="G95" s="19" t="str">
        <x:v>材料独立候选</x:v>
      </x:c>
      <x:c r="H95" s="19" t="str">
        <x:v>技能残页</x:v>
      </x:c>
      <x:c r="I95" s="22" t="n">
        <x:v>40</x:v>
      </x:c>
      <x:c r="J95" s="22" t="n">
        <x:v>1</x:v>
      </x:c>
      <x:c r="K95" s="19" t="n">
        <x:v>1</x:v>
      </x:c>
      <x:c r="L95" s="24" t="n">
        <x:v>11.5</x:v>
      </x:c>
      <x:c r="M95" s="26" t="n">
        <x:v>0</x:v>
      </x:c>
      <x:c r="N95" s="24" t="n">
        <x:v>7.403939007475026</x:v>
      </x:c>
      <x:c r="O95" s="28" t="n">
        <x:f>MIN(1,L95/I95)</x:f>
        <x:v>0.2875</x:v>
      </x:c>
      <x:c r="P95" s="30" t="n">
        <x:f>O95*J95*(1+M95)</x:f>
        <x:v>0.2875</x:v>
      </x:c>
      <x:c r="Q95" s="30" t="n">
        <x:f>P95*N95</x:f>
        <x:v>2.12863246464907</x:v>
      </x:c>
      <x:c r="R95" s="19" t="str">
        <x:v>独立判定</x:v>
      </x:c>
    </x:row>
    <x:row r="96" ht="19" customHeight="1">
      <x:c r="A96" s="19" t="str">
        <x:v>D00092</x:v>
      </x:c>
      <x:c r="B96" s="19" t="n">
        <x:v>1</x:v>
      </x:c>
      <x:c r="C96" s="19" t="n">
        <x:v>2</x:v>
      </x:c>
      <x:c r="D96" s="19" t="str">
        <x:v>EL-MON-CLIFF-007</x:v>
      </x:c>
      <x:c r="E96" s="19" t="str">
        <x:v>逐雷骑士</x:v>
      </x:c>
      <x:c r="F96" s="19" t="str">
        <x:v>稀有</x:v>
      </x:c>
      <x:c r="G96" s="19" t="str">
        <x:v>材料独立候选</x:v>
      </x:c>
      <x:c r="H96" s="19" t="str">
        <x:v>小卢恩</x:v>
      </x:c>
      <x:c r="I96" s="22" t="n">
        <x:v>1500</x:v>
      </x:c>
      <x:c r="J96" s="22" t="n">
        <x:v>1</x:v>
      </x:c>
      <x:c r="K96" s="19" t="n">
        <x:v>1</x:v>
      </x:c>
      <x:c r="L96" s="24" t="n">
        <x:v>11.5</x:v>
      </x:c>
      <x:c r="M96" s="26" t="n">
        <x:v>0</x:v>
      </x:c>
      <x:c r="N96" s="24" t="n">
        <x:v>7.403939007475026</x:v>
      </x:c>
      <x:c r="O96" s="28" t="n">
        <x:f>MIN(1,L96/I96)</x:f>
        <x:v>0.007666666666666666</x:v>
      </x:c>
      <x:c r="P96" s="30" t="n">
        <x:f>O96*J96*(1+M96)</x:f>
        <x:v>0.007666666666666666</x:v>
      </x:c>
      <x:c r="Q96" s="30" t="n">
        <x:f>P96*N96</x:f>
        <x:v>0.056763532390641865</x:v>
      </x:c>
      <x:c r="R96" s="19" t="str">
        <x:v>独立判定</x:v>
      </x:c>
    </x:row>
    <x:row r="97" ht="19" customHeight="1">
      <x:c r="A97" s="19" t="str">
        <x:v>D00093</x:v>
      </x:c>
      <x:c r="B97" s="19" t="n">
        <x:v>1</x:v>
      </x:c>
      <x:c r="C97" s="19" t="n">
        <x:v>2</x:v>
      </x:c>
      <x:c r="D97" s="19" t="str">
        <x:v>EL-MON-CLIFF-008</x:v>
      </x:c>
      <x:c r="E97" s="19" t="str">
        <x:v>风暴祭司</x:v>
      </x:c>
      <x:c r="F97" s="19" t="str">
        <x:v>稀有</x:v>
      </x:c>
      <x:c r="G97" s="19" t="str">
        <x:v>自身专属</x:v>
      </x:c>
      <x:c r="H97" s="19" t="str">
        <x:v>风暴勋章</x:v>
      </x:c>
      <x:c r="I97" s="22" t="n">
        <x:v>120</x:v>
      </x:c>
      <x:c r="J97" s="22" t="n">
        <x:v>1</x:v>
      </x:c>
      <x:c r="K97" s="19" t="n">
        <x:v>1</x:v>
      </x:c>
      <x:c r="L97" s="24" t="n">
        <x:v>11.5</x:v>
      </x:c>
      <x:c r="M97" s="26" t="n">
        <x:v>0</x:v>
      </x:c>
      <x:c r="N97" s="24" t="n">
        <x:v>6.432930613052072</x:v>
      </x:c>
      <x:c r="O97" s="28" t="n">
        <x:f>MIN(1,L97/I97)</x:f>
        <x:v>0.09583333333333334</x:v>
      </x:c>
      <x:c r="P97" s="30" t="n">
        <x:f>O97*J97*(1+M97)</x:f>
        <x:v>0.09583333333333334</x:v>
      </x:c>
      <x:c r="Q97" s="30" t="n">
        <x:f>P97*N97</x:f>
        <x:v>0.6164891837508236</x:v>
      </x:c>
      <x:c r="R97" s="19" t="str">
        <x:v>独立判定</x:v>
      </x:c>
    </x:row>
    <x:row r="98" ht="19" customHeight="1">
      <x:c r="A98" s="19" t="str">
        <x:v>D00094</x:v>
      </x:c>
      <x:c r="B98" s="19" t="n">
        <x:v>1</x:v>
      </x:c>
      <x:c r="C98" s="19" t="n">
        <x:v>2</x:v>
      </x:c>
      <x:c r="D98" s="19" t="str">
        <x:v>EL-MON-CLIFF-008</x:v>
      </x:c>
      <x:c r="E98" s="19" t="str">
        <x:v>风暴祭司</x:v>
      </x:c>
      <x:c r="F98" s="19" t="str">
        <x:v>稀有</x:v>
      </x:c>
      <x:c r="G98" s="19" t="str">
        <x:v>材料独立候选</x:v>
      </x:c>
      <x:c r="H98" s="19" t="str">
        <x:v>海蚀铁片</x:v>
      </x:c>
      <x:c r="I98" s="22" t="n">
        <x:v>300</x:v>
      </x:c>
      <x:c r="J98" s="22" t="n">
        <x:v>15</x:v>
      </x:c>
      <x:c r="K98" s="19" t="n">
        <x:v>1</x:v>
      </x:c>
      <x:c r="L98" s="24" t="n">
        <x:v>11.5</x:v>
      </x:c>
      <x:c r="M98" s="26" t="n">
        <x:v>0</x:v>
      </x:c>
      <x:c r="N98" s="24" t="n">
        <x:v>6.432930613052072</x:v>
      </x:c>
      <x:c r="O98" s="28" t="n">
        <x:f>MIN(1,L98/I98)</x:f>
        <x:v>0.03833333333333333</x:v>
      </x:c>
      <x:c r="P98" s="30" t="n">
        <x:f>O98*J98*(1+M98)</x:f>
        <x:v>0.575</x:v>
      </x:c>
      <x:c r="Q98" s="30" t="n">
        <x:f>P98*N98</x:f>
        <x:v>3.698935102504941</x:v>
      </x:c>
      <x:c r="R98" s="19" t="str">
        <x:v>独立判定</x:v>
      </x:c>
    </x:row>
    <x:row r="99" ht="19" customHeight="1">
      <x:c r="A99" s="19" t="str">
        <x:v>D00095</x:v>
      </x:c>
      <x:c r="B99" s="19" t="n">
        <x:v>1</x:v>
      </x:c>
      <x:c r="C99" s="19" t="n">
        <x:v>2</x:v>
      </x:c>
      <x:c r="D99" s="19" t="str">
        <x:v>EL-MON-CLIFF-008</x:v>
      </x:c>
      <x:c r="E99" s="19" t="str">
        <x:v>风暴祭司</x:v>
      </x:c>
      <x:c r="F99" s="19" t="str">
        <x:v>稀有</x:v>
      </x:c>
      <x:c r="G99" s="19" t="str">
        <x:v>材料独立候选</x:v>
      </x:c>
      <x:c r="H99" s="19" t="str">
        <x:v>潮痕结晶</x:v>
      </x:c>
      <x:c r="I99" s="22" t="n">
        <x:v>120</x:v>
      </x:c>
      <x:c r="J99" s="22" t="n">
        <x:v>1</x:v>
      </x:c>
      <x:c r="K99" s="19" t="n">
        <x:v>1</x:v>
      </x:c>
      <x:c r="L99" s="24" t="n">
        <x:v>11.5</x:v>
      </x:c>
      <x:c r="M99" s="26" t="n">
        <x:v>0</x:v>
      </x:c>
      <x:c r="N99" s="24" t="n">
        <x:v>6.432930613052072</x:v>
      </x:c>
      <x:c r="O99" s="28" t="n">
        <x:f>MIN(1,L99/I99)</x:f>
        <x:v>0.09583333333333334</x:v>
      </x:c>
      <x:c r="P99" s="30" t="n">
        <x:f>O99*J99*(1+M99)</x:f>
        <x:v>0.09583333333333334</x:v>
      </x:c>
      <x:c r="Q99" s="30" t="n">
        <x:f>P99*N99</x:f>
        <x:v>0.6164891837508236</x:v>
      </x:c>
      <x:c r="R99" s="19" t="str">
        <x:v>独立判定</x:v>
      </x:c>
    </x:row>
    <x:row r="100" ht="19" customHeight="1">
      <x:c r="A100" s="19" t="str">
        <x:v>D00096</x:v>
      </x:c>
      <x:c r="B100" s="19" t="n">
        <x:v>1</x:v>
      </x:c>
      <x:c r="C100" s="19" t="n">
        <x:v>2</x:v>
      </x:c>
      <x:c r="D100" s="19" t="str">
        <x:v>EL-MON-CLIFF-008</x:v>
      </x:c>
      <x:c r="E100" s="19" t="str">
        <x:v>风暴祭司</x:v>
      </x:c>
      <x:c r="F100" s="19" t="str">
        <x:v>稀有</x:v>
      </x:c>
      <x:c r="G100" s="19" t="str">
        <x:v>材料独立候选</x:v>
      </x:c>
      <x:c r="H100" s="19" t="str">
        <x:v>技能残页</x:v>
      </x:c>
      <x:c r="I100" s="22" t="n">
        <x:v>40</x:v>
      </x:c>
      <x:c r="J100" s="22" t="n">
        <x:v>1</x:v>
      </x:c>
      <x:c r="K100" s="19" t="n">
        <x:v>1</x:v>
      </x:c>
      <x:c r="L100" s="24" t="n">
        <x:v>11.5</x:v>
      </x:c>
      <x:c r="M100" s="26" t="n">
        <x:v>0</x:v>
      </x:c>
      <x:c r="N100" s="24" t="n">
        <x:v>6.432930613052072</x:v>
      </x:c>
      <x:c r="O100" s="28" t="n">
        <x:f>MIN(1,L100/I100)</x:f>
        <x:v>0.2875</x:v>
      </x:c>
      <x:c r="P100" s="30" t="n">
        <x:f>O100*J100*(1+M100)</x:f>
        <x:v>0.2875</x:v>
      </x:c>
      <x:c r="Q100" s="30" t="n">
        <x:f>P100*N100</x:f>
        <x:v>1.8494675512524705</x:v>
      </x:c>
      <x:c r="R100" s="19" t="str">
        <x:v>独立判定</x:v>
      </x:c>
    </x:row>
    <x:row r="101" ht="19" customHeight="1">
      <x:c r="A101" s="19" t="str">
        <x:v>D00097</x:v>
      </x:c>
      <x:c r="B101" s="19" t="n">
        <x:v>1</x:v>
      </x:c>
      <x:c r="C101" s="19" t="n">
        <x:v>2</x:v>
      </x:c>
      <x:c r="D101" s="19" t="str">
        <x:v>EL-MON-CLIFF-008</x:v>
      </x:c>
      <x:c r="E101" s="19" t="str">
        <x:v>风暴祭司</x:v>
      </x:c>
      <x:c r="F101" s="19" t="str">
        <x:v>稀有</x:v>
      </x:c>
      <x:c r="G101" s="19" t="str">
        <x:v>材料独立候选</x:v>
      </x:c>
      <x:c r="H101" s="19" t="str">
        <x:v>小卢恩</x:v>
      </x:c>
      <x:c r="I101" s="22" t="n">
        <x:v>1500</x:v>
      </x:c>
      <x:c r="J101" s="22" t="n">
        <x:v>1</x:v>
      </x:c>
      <x:c r="K101" s="19" t="n">
        <x:v>1</x:v>
      </x:c>
      <x:c r="L101" s="24" t="n">
        <x:v>11.5</x:v>
      </x:c>
      <x:c r="M101" s="26" t="n">
        <x:v>0</x:v>
      </x:c>
      <x:c r="N101" s="24" t="n">
        <x:v>6.432930613052072</x:v>
      </x:c>
      <x:c r="O101" s="28" t="n">
        <x:f>MIN(1,L101/I101)</x:f>
        <x:v>0.007666666666666666</x:v>
      </x:c>
      <x:c r="P101" s="30" t="n">
        <x:f>O101*J101*(1+M101)</x:f>
        <x:v>0.007666666666666666</x:v>
      </x:c>
      <x:c r="Q101" s="30" t="n">
        <x:f>P101*N101</x:f>
        <x:v>0.04931913470006588</x:v>
      </x:c>
      <x:c r="R101" s="19" t="str">
        <x:v>独立判定</x:v>
      </x:c>
    </x:row>
    <x:row r="102" ht="19" customHeight="1">
      <x:c r="A102" s="19" t="str">
        <x:v>D00098</x:v>
      </x:c>
      <x:c r="B102" s="19" t="n">
        <x:v>1</x:v>
      </x:c>
      <x:c r="C102" s="19" t="n">
        <x:v>2</x:v>
      </x:c>
      <x:c r="D102" s="19" t="str">
        <x:v>EL-MON-CLIFF-009</x:v>
      </x:c>
      <x:c r="E102" s="19" t="str">
        <x:v>裂岩巨人</x:v>
      </x:c>
      <x:c r="F102" s="19" t="str">
        <x:v>稀有</x:v>
      </x:c>
      <x:c r="G102" s="19" t="str">
        <x:v>自身专属</x:v>
      </x:c>
      <x:c r="H102" s="19" t="str">
        <x:v>裂岩巨盾</x:v>
      </x:c>
      <x:c r="I102" s="22" t="n">
        <x:v>120</x:v>
      </x:c>
      <x:c r="J102" s="22" t="n">
        <x:v>1</x:v>
      </x:c>
      <x:c r="K102" s="19" t="n">
        <x:v>1</x:v>
      </x:c>
      <x:c r="L102" s="24" t="n">
        <x:v>11.5</x:v>
      </x:c>
      <x:c r="M102" s="26" t="n">
        <x:v>0</x:v>
      </x:c>
      <x:c r="N102" s="24" t="n">
        <x:v>7.403939007475026</x:v>
      </x:c>
      <x:c r="O102" s="28" t="n">
        <x:f>MIN(1,L102/I102)</x:f>
        <x:v>0.09583333333333334</x:v>
      </x:c>
      <x:c r="P102" s="30" t="n">
        <x:f>O102*J102*(1+M102)</x:f>
        <x:v>0.09583333333333334</x:v>
      </x:c>
      <x:c r="Q102" s="30" t="n">
        <x:f>P102*N102</x:f>
        <x:v>0.7095441548830234</x:v>
      </x:c>
      <x:c r="R102" s="19" t="str">
        <x:v>独立判定</x:v>
      </x:c>
    </x:row>
    <x:row r="103" ht="19" customHeight="1">
      <x:c r="A103" s="19" t="str">
        <x:v>D00099</x:v>
      </x:c>
      <x:c r="B103" s="19" t="n">
        <x:v>1</x:v>
      </x:c>
      <x:c r="C103" s="19" t="n">
        <x:v>2</x:v>
      </x:c>
      <x:c r="D103" s="19" t="str">
        <x:v>EL-MON-CLIFF-009</x:v>
      </x:c>
      <x:c r="E103" s="19" t="str">
        <x:v>裂岩巨人</x:v>
      </x:c>
      <x:c r="F103" s="19" t="str">
        <x:v>稀有</x:v>
      </x:c>
      <x:c r="G103" s="19" t="str">
        <x:v>材料独立候选</x:v>
      </x:c>
      <x:c r="H103" s="19" t="str">
        <x:v>海蚀铁片</x:v>
      </x:c>
      <x:c r="I103" s="22" t="n">
        <x:v>300</x:v>
      </x:c>
      <x:c r="J103" s="22" t="n">
        <x:v>15</x:v>
      </x:c>
      <x:c r="K103" s="19" t="n">
        <x:v>1</x:v>
      </x:c>
      <x:c r="L103" s="24" t="n">
        <x:v>11.5</x:v>
      </x:c>
      <x:c r="M103" s="26" t="n">
        <x:v>0</x:v>
      </x:c>
      <x:c r="N103" s="24" t="n">
        <x:v>7.403939007475026</x:v>
      </x:c>
      <x:c r="O103" s="28" t="n">
        <x:f>MIN(1,L103/I103)</x:f>
        <x:v>0.03833333333333333</x:v>
      </x:c>
      <x:c r="P103" s="30" t="n">
        <x:f>O103*J103*(1+M103)</x:f>
        <x:v>0.575</x:v>
      </x:c>
      <x:c r="Q103" s="30" t="n">
        <x:f>P103*N103</x:f>
        <x:v>4.25726492929814</x:v>
      </x:c>
      <x:c r="R103" s="19" t="str">
        <x:v>独立判定</x:v>
      </x:c>
    </x:row>
    <x:row r="104" ht="19" customHeight="1">
      <x:c r="A104" s="19" t="str">
        <x:v>D00100</x:v>
      </x:c>
      <x:c r="B104" s="19" t="n">
        <x:v>1</x:v>
      </x:c>
      <x:c r="C104" s="19" t="n">
        <x:v>2</x:v>
      </x:c>
      <x:c r="D104" s="19" t="str">
        <x:v>EL-MON-CLIFF-009</x:v>
      </x:c>
      <x:c r="E104" s="19" t="str">
        <x:v>裂岩巨人</x:v>
      </x:c>
      <x:c r="F104" s="19" t="str">
        <x:v>稀有</x:v>
      </x:c>
      <x:c r="G104" s="19" t="str">
        <x:v>材料独立候选</x:v>
      </x:c>
      <x:c r="H104" s="19" t="str">
        <x:v>潮痕结晶</x:v>
      </x:c>
      <x:c r="I104" s="22" t="n">
        <x:v>120</x:v>
      </x:c>
      <x:c r="J104" s="22" t="n">
        <x:v>1</x:v>
      </x:c>
      <x:c r="K104" s="19" t="n">
        <x:v>1</x:v>
      </x:c>
      <x:c r="L104" s="24" t="n">
        <x:v>11.5</x:v>
      </x:c>
      <x:c r="M104" s="26" t="n">
        <x:v>0</x:v>
      </x:c>
      <x:c r="N104" s="24" t="n">
        <x:v>7.403939007475026</x:v>
      </x:c>
      <x:c r="O104" s="28" t="n">
        <x:f>MIN(1,L104/I104)</x:f>
        <x:v>0.09583333333333334</x:v>
      </x:c>
      <x:c r="P104" s="30" t="n">
        <x:f>O104*J104*(1+M104)</x:f>
        <x:v>0.09583333333333334</x:v>
      </x:c>
      <x:c r="Q104" s="30" t="n">
        <x:f>P104*N104</x:f>
        <x:v>0.7095441548830234</x:v>
      </x:c>
      <x:c r="R104" s="19" t="str">
        <x:v>独立判定</x:v>
      </x:c>
    </x:row>
    <x:row r="105" ht="19" customHeight="1">
      <x:c r="A105" s="19" t="str">
        <x:v>D00101</x:v>
      </x:c>
      <x:c r="B105" s="19" t="n">
        <x:v>1</x:v>
      </x:c>
      <x:c r="C105" s="19" t="n">
        <x:v>2</x:v>
      </x:c>
      <x:c r="D105" s="19" t="str">
        <x:v>EL-MON-CLIFF-009</x:v>
      </x:c>
      <x:c r="E105" s="19" t="str">
        <x:v>裂岩巨人</x:v>
      </x:c>
      <x:c r="F105" s="19" t="str">
        <x:v>稀有</x:v>
      </x:c>
      <x:c r="G105" s="19" t="str">
        <x:v>材料独立候选</x:v>
      </x:c>
      <x:c r="H105" s="19" t="str">
        <x:v>裂岩之心</x:v>
      </x:c>
      <x:c r="I105" s="22" t="n">
        <x:v>150</x:v>
      </x:c>
      <x:c r="J105" s="22" t="n">
        <x:v>1</x:v>
      </x:c>
      <x:c r="K105" s="19" t="n">
        <x:v>1</x:v>
      </x:c>
      <x:c r="L105" s="24" t="n">
        <x:v>11.5</x:v>
      </x:c>
      <x:c r="M105" s="26" t="n">
        <x:v>0</x:v>
      </x:c>
      <x:c r="N105" s="24" t="n">
        <x:v>7.403939007475026</x:v>
      </x:c>
      <x:c r="O105" s="28" t="n">
        <x:f>MIN(1,L105/I105)</x:f>
        <x:v>0.07666666666666666</x:v>
      </x:c>
      <x:c r="P105" s="30" t="n">
        <x:f>O105*J105*(1+M105)</x:f>
        <x:v>0.07666666666666666</x:v>
      </x:c>
      <x:c r="Q105" s="30" t="n">
        <x:f>P105*N105</x:f>
        <x:v>0.5676353239064186</x:v>
      </x:c>
      <x:c r="R105" s="19" t="str">
        <x:v>独立判定</x:v>
      </x:c>
    </x:row>
    <x:row r="106" ht="19" customHeight="1">
      <x:c r="A106" s="19" t="str">
        <x:v>D00102</x:v>
      </x:c>
      <x:c r="B106" s="19" t="n">
        <x:v>1</x:v>
      </x:c>
      <x:c r="C106" s="19" t="n">
        <x:v>2</x:v>
      </x:c>
      <x:c r="D106" s="19" t="str">
        <x:v>EL-MON-CLIFF-009</x:v>
      </x:c>
      <x:c r="E106" s="19" t="str">
        <x:v>裂岩巨人</x:v>
      </x:c>
      <x:c r="F106" s="19" t="str">
        <x:v>稀有</x:v>
      </x:c>
      <x:c r="G106" s="19" t="str">
        <x:v>材料独立候选</x:v>
      </x:c>
      <x:c r="H106" s="19" t="str">
        <x:v>技能残页</x:v>
      </x:c>
      <x:c r="I106" s="22" t="n">
        <x:v>40</x:v>
      </x:c>
      <x:c r="J106" s="22" t="n">
        <x:v>1</x:v>
      </x:c>
      <x:c r="K106" s="19" t="n">
        <x:v>1</x:v>
      </x:c>
      <x:c r="L106" s="24" t="n">
        <x:v>11.5</x:v>
      </x:c>
      <x:c r="M106" s="26" t="n">
        <x:v>0</x:v>
      </x:c>
      <x:c r="N106" s="24" t="n">
        <x:v>7.403939007475026</x:v>
      </x:c>
      <x:c r="O106" s="28" t="n">
        <x:f>MIN(1,L106/I106)</x:f>
        <x:v>0.2875</x:v>
      </x:c>
      <x:c r="P106" s="30" t="n">
        <x:f>O106*J106*(1+M106)</x:f>
        <x:v>0.2875</x:v>
      </x:c>
      <x:c r="Q106" s="30" t="n">
        <x:f>P106*N106</x:f>
        <x:v>2.12863246464907</x:v>
      </x:c>
      <x:c r="R106" s="19" t="str">
        <x:v>独立判定</x:v>
      </x:c>
    </x:row>
    <x:row r="107" ht="19" customHeight="1">
      <x:c r="A107" s="19" t="str">
        <x:v>D00103</x:v>
      </x:c>
      <x:c r="B107" s="19" t="n">
        <x:v>1</x:v>
      </x:c>
      <x:c r="C107" s="19" t="n">
        <x:v>2</x:v>
      </x:c>
      <x:c r="D107" s="19" t="str">
        <x:v>EL-MON-CLIFF-009</x:v>
      </x:c>
      <x:c r="E107" s="19" t="str">
        <x:v>裂岩巨人</x:v>
      </x:c>
      <x:c r="F107" s="19" t="str">
        <x:v>稀有</x:v>
      </x:c>
      <x:c r="G107" s="19" t="str">
        <x:v>材料独立候选</x:v>
      </x:c>
      <x:c r="H107" s="19" t="str">
        <x:v>小卢恩</x:v>
      </x:c>
      <x:c r="I107" s="22" t="n">
        <x:v>1500</x:v>
      </x:c>
      <x:c r="J107" s="22" t="n">
        <x:v>1</x:v>
      </x:c>
      <x:c r="K107" s="19" t="n">
        <x:v>1</x:v>
      </x:c>
      <x:c r="L107" s="24" t="n">
        <x:v>11.5</x:v>
      </x:c>
      <x:c r="M107" s="26" t="n">
        <x:v>0</x:v>
      </x:c>
      <x:c r="N107" s="24" t="n">
        <x:v>7.403939007475026</x:v>
      </x:c>
      <x:c r="O107" s="28" t="n">
        <x:f>MIN(1,L107/I107)</x:f>
        <x:v>0.007666666666666666</x:v>
      </x:c>
      <x:c r="P107" s="30" t="n">
        <x:f>O107*J107*(1+M107)</x:f>
        <x:v>0.007666666666666666</x:v>
      </x:c>
      <x:c r="Q107" s="30" t="n">
        <x:f>P107*N107</x:f>
        <x:v>0.056763532390641865</x:v>
      </x:c>
      <x:c r="R107" s="19" t="str">
        <x:v>独立判定</x:v>
      </x:c>
    </x:row>
    <x:row r="108" ht="19" customHeight="1">
      <x:c r="A108" s="19" t="str">
        <x:v>D00104</x:v>
      </x:c>
      <x:c r="B108" s="19" t="n">
        <x:v>1</x:v>
      </x:c>
      <x:c r="C108" s="19" t="n">
        <x:v>2</x:v>
      </x:c>
      <x:c r="D108" s="19" t="str">
        <x:v>EL-MON-CLIFF-010</x:v>
      </x:c>
      <x:c r="E108" s="19" t="str">
        <x:v>黑翼猎杀者</x:v>
      </x:c>
      <x:c r="F108" s="19" t="str">
        <x:v>稀有</x:v>
      </x:c>
      <x:c r="G108" s="19" t="str">
        <x:v>自身专属</x:v>
      </x:c>
      <x:c r="H108" s="19" t="str">
        <x:v>黑翼灵玉</x:v>
      </x:c>
      <x:c r="I108" s="22" t="n">
        <x:v>120</x:v>
      </x:c>
      <x:c r="J108" s="22" t="n">
        <x:v>1</x:v>
      </x:c>
      <x:c r="K108" s="19" t="n">
        <x:v>1</x:v>
      </x:c>
      <x:c r="L108" s="24" t="n">
        <x:v>11.5</x:v>
      </x:c>
      <x:c r="M108" s="26" t="n">
        <x:v>0</x:v>
      </x:c>
      <x:c r="N108" s="24" t="n">
        <x:v>8.175182654087008</x:v>
      </x:c>
      <x:c r="O108" s="28" t="n">
        <x:f>MIN(1,L108/I108)</x:f>
        <x:v>0.09583333333333334</x:v>
      </x:c>
      <x:c r="P108" s="30" t="n">
        <x:f>O108*J108*(1+M108)</x:f>
        <x:v>0.09583333333333334</x:v>
      </x:c>
      <x:c r="Q108" s="30" t="n">
        <x:f>P108*N108</x:f>
        <x:v>0.783455004350005</x:v>
      </x:c>
      <x:c r="R108" s="19" t="str">
        <x:v>独立判定</x:v>
      </x:c>
    </x:row>
    <x:row r="109" ht="19" customHeight="1">
      <x:c r="A109" s="19" t="str">
        <x:v>D00105</x:v>
      </x:c>
      <x:c r="B109" s="19" t="n">
        <x:v>1</x:v>
      </x:c>
      <x:c r="C109" s="19" t="n">
        <x:v>2</x:v>
      </x:c>
      <x:c r="D109" s="19" t="str">
        <x:v>EL-MON-CLIFF-010</x:v>
      </x:c>
      <x:c r="E109" s="19" t="str">
        <x:v>黑翼猎杀者</x:v>
      </x:c>
      <x:c r="F109" s="19" t="str">
        <x:v>稀有</x:v>
      </x:c>
      <x:c r="G109" s="19" t="str">
        <x:v>材料独立候选</x:v>
      </x:c>
      <x:c r="H109" s="19" t="str">
        <x:v>海蚀铁片</x:v>
      </x:c>
      <x:c r="I109" s="22" t="n">
        <x:v>300</x:v>
      </x:c>
      <x:c r="J109" s="22" t="n">
        <x:v>15</x:v>
      </x:c>
      <x:c r="K109" s="19" t="n">
        <x:v>1</x:v>
      </x:c>
      <x:c r="L109" s="24" t="n">
        <x:v>11.5</x:v>
      </x:c>
      <x:c r="M109" s="26" t="n">
        <x:v>0</x:v>
      </x:c>
      <x:c r="N109" s="24" t="n">
        <x:v>8.175182654087008</x:v>
      </x:c>
      <x:c r="O109" s="28" t="n">
        <x:f>MIN(1,L109/I109)</x:f>
        <x:v>0.03833333333333333</x:v>
      </x:c>
      <x:c r="P109" s="30" t="n">
        <x:f>O109*J109*(1+M109)</x:f>
        <x:v>0.575</x:v>
      </x:c>
      <x:c r="Q109" s="30" t="n">
        <x:f>P109*N109</x:f>
        <x:v>4.700730026100029</x:v>
      </x:c>
      <x:c r="R109" s="19" t="str">
        <x:v>独立判定</x:v>
      </x:c>
    </x:row>
    <x:row r="110" ht="19" customHeight="1">
      <x:c r="A110" s="19" t="str">
        <x:v>D00106</x:v>
      </x:c>
      <x:c r="B110" s="19" t="n">
        <x:v>1</x:v>
      </x:c>
      <x:c r="C110" s="19" t="n">
        <x:v>2</x:v>
      </x:c>
      <x:c r="D110" s="19" t="str">
        <x:v>EL-MON-CLIFF-010</x:v>
      </x:c>
      <x:c r="E110" s="19" t="str">
        <x:v>黑翼猎杀者</x:v>
      </x:c>
      <x:c r="F110" s="19" t="str">
        <x:v>稀有</x:v>
      </x:c>
      <x:c r="G110" s="19" t="str">
        <x:v>材料独立候选</x:v>
      </x:c>
      <x:c r="H110" s="19" t="str">
        <x:v>潮痕结晶</x:v>
      </x:c>
      <x:c r="I110" s="22" t="n">
        <x:v>120</x:v>
      </x:c>
      <x:c r="J110" s="22" t="n">
        <x:v>1</x:v>
      </x:c>
      <x:c r="K110" s="19" t="n">
        <x:v>1</x:v>
      </x:c>
      <x:c r="L110" s="24" t="n">
        <x:v>11.5</x:v>
      </x:c>
      <x:c r="M110" s="26" t="n">
        <x:v>0</x:v>
      </x:c>
      <x:c r="N110" s="24" t="n">
        <x:v>8.175182654087008</x:v>
      </x:c>
      <x:c r="O110" s="28" t="n">
        <x:f>MIN(1,L110/I110)</x:f>
        <x:v>0.09583333333333334</x:v>
      </x:c>
      <x:c r="P110" s="30" t="n">
        <x:f>O110*J110*(1+M110)</x:f>
        <x:v>0.09583333333333334</x:v>
      </x:c>
      <x:c r="Q110" s="30" t="n">
        <x:f>P110*N110</x:f>
        <x:v>0.783455004350005</x:v>
      </x:c>
      <x:c r="R110" s="19" t="str">
        <x:v>独立判定</x:v>
      </x:c>
    </x:row>
    <x:row r="111" ht="19" customHeight="1">
      <x:c r="A111" s="19" t="str">
        <x:v>D00107</x:v>
      </x:c>
      <x:c r="B111" s="19" t="n">
        <x:v>1</x:v>
      </x:c>
      <x:c r="C111" s="19" t="n">
        <x:v>2</x:v>
      </x:c>
      <x:c r="D111" s="19" t="str">
        <x:v>EL-MON-CLIFF-010</x:v>
      </x:c>
      <x:c r="E111" s="19" t="str">
        <x:v>黑翼猎杀者</x:v>
      </x:c>
      <x:c r="F111" s="19" t="str">
        <x:v>稀有</x:v>
      </x:c>
      <x:c r="G111" s="19" t="str">
        <x:v>材料独立候选</x:v>
      </x:c>
      <x:c r="H111" s="19" t="str">
        <x:v>技能残页</x:v>
      </x:c>
      <x:c r="I111" s="22" t="n">
        <x:v>40</x:v>
      </x:c>
      <x:c r="J111" s="22" t="n">
        <x:v>1</x:v>
      </x:c>
      <x:c r="K111" s="19" t="n">
        <x:v>1</x:v>
      </x:c>
      <x:c r="L111" s="24" t="n">
        <x:v>11.5</x:v>
      </x:c>
      <x:c r="M111" s="26" t="n">
        <x:v>0</x:v>
      </x:c>
      <x:c r="N111" s="24" t="n">
        <x:v>8.175182654087008</x:v>
      </x:c>
      <x:c r="O111" s="28" t="n">
        <x:f>MIN(1,L111/I111)</x:f>
        <x:v>0.2875</x:v>
      </x:c>
      <x:c r="P111" s="30" t="n">
        <x:f>O111*J111*(1+M111)</x:f>
        <x:v>0.2875</x:v>
      </x:c>
      <x:c r="Q111" s="30" t="n">
        <x:f>P111*N111</x:f>
        <x:v>2.3503650130500144</x:v>
      </x:c>
      <x:c r="R111" s="19" t="str">
        <x:v>独立判定</x:v>
      </x:c>
    </x:row>
    <x:row r="112" ht="19" customHeight="1">
      <x:c r="A112" s="19" t="str">
        <x:v>D00108</x:v>
      </x:c>
      <x:c r="B112" s="19" t="n">
        <x:v>1</x:v>
      </x:c>
      <x:c r="C112" s="19" t="n">
        <x:v>2</x:v>
      </x:c>
      <x:c r="D112" s="19" t="str">
        <x:v>EL-MON-CLIFF-010</x:v>
      </x:c>
      <x:c r="E112" s="19" t="str">
        <x:v>黑翼猎杀者</x:v>
      </x:c>
      <x:c r="F112" s="19" t="str">
        <x:v>稀有</x:v>
      </x:c>
      <x:c r="G112" s="19" t="str">
        <x:v>材料独立候选</x:v>
      </x:c>
      <x:c r="H112" s="19" t="str">
        <x:v>小卢恩</x:v>
      </x:c>
      <x:c r="I112" s="22" t="n">
        <x:v>1500</x:v>
      </x:c>
      <x:c r="J112" s="22" t="n">
        <x:v>1</x:v>
      </x:c>
      <x:c r="K112" s="19" t="n">
        <x:v>1</x:v>
      </x:c>
      <x:c r="L112" s="24" t="n">
        <x:v>11.5</x:v>
      </x:c>
      <x:c r="M112" s="26" t="n">
        <x:v>0</x:v>
      </x:c>
      <x:c r="N112" s="24" t="n">
        <x:v>8.175182654087008</x:v>
      </x:c>
      <x:c r="O112" s="28" t="n">
        <x:f>MIN(1,L112/I112)</x:f>
        <x:v>0.007666666666666666</x:v>
      </x:c>
      <x:c r="P112" s="30" t="n">
        <x:f>O112*J112*(1+M112)</x:f>
        <x:v>0.007666666666666666</x:v>
      </x:c>
      <x:c r="Q112" s="30" t="n">
        <x:f>P112*N112</x:f>
        <x:v>0.06267640034800039</x:v>
      </x:c>
      <x:c r="R112" s="19" t="str">
        <x:v>独立判定</x:v>
      </x:c>
    </x:row>
    <x:row r="113" ht="19" customHeight="1">
      <x:c r="A113" s="19" t="str">
        <x:v>D00109</x:v>
      </x:c>
      <x:c r="B113" s="19" t="n">
        <x:v>1</x:v>
      </x:c>
      <x:c r="C113" s="19" t="n">
        <x:v>2</x:v>
      </x:c>
      <x:c r="D113" s="19" t="str">
        <x:v>EL-MON-CLIFF-011</x:v>
      </x:c>
      <x:c r="E113" s="19" t="str">
        <x:v>风暴执刑官·巴鲁克</x:v>
      </x:c>
      <x:c r="F113" s="19" t="str">
        <x:v>地图BOSS</x:v>
      </x:c>
      <x:c r="G113" s="19" t="str">
        <x:v>自身专属</x:v>
      </x:c>
      <x:c r="H113" s="19" t="str">
        <x:v>执刑雷刃</x:v>
      </x:c>
      <x:c r="I113" s="22" t="n">
        <x:v>30</x:v>
      </x:c>
      <x:c r="J113" s="22" t="n">
        <x:v>1</x:v>
      </x:c>
      <x:c r="K113" s="19" t="n">
        <x:v>1</x:v>
      </x:c>
      <x:c r="L113" s="24" t="n">
        <x:v>11.5</x:v>
      </x:c>
      <x:c r="M113" s="26" t="n">
        <x:v>0</x:v>
      </x:c>
      <x:c r="N113" s="24" t="n">
        <x:v>2</x:v>
      </x:c>
      <x:c r="O113" s="28" t="n">
        <x:f>MIN(1,L113/I113)</x:f>
        <x:v>0.38333333333333336</x:v>
      </x:c>
      <x:c r="P113" s="30" t="n">
        <x:f>O113*J113*(1+M113)</x:f>
        <x:v>0.38333333333333336</x:v>
      </x:c>
      <x:c r="Q113" s="30" t="n">
        <x:f>P113*N113</x:f>
        <x:v>0.7666666666666667</x:v>
      </x:c>
      <x:c r="R113" s="19" t="str">
        <x:v>独立判定</x:v>
      </x:c>
    </x:row>
    <x:row r="114" ht="19" customHeight="1">
      <x:c r="A114" s="19" t="str">
        <x:v>D00110</x:v>
      </x:c>
      <x:c r="B114" s="19" t="n">
        <x:v>1</x:v>
      </x:c>
      <x:c r="C114" s="19" t="n">
        <x:v>2</x:v>
      </x:c>
      <x:c r="D114" s="19" t="str">
        <x:v>EL-MON-CLIFF-011</x:v>
      </x:c>
      <x:c r="E114" s="19" t="str">
        <x:v>风暴执刑官·巴鲁克</x:v>
      </x:c>
      <x:c r="F114" s="19" t="str">
        <x:v>地图BOSS</x:v>
      </x:c>
      <x:c r="G114" s="19" t="str">
        <x:v>本图普通兼掉候选</x:v>
      </x:c>
      <x:c r="H114" s="19" t="str">
        <x:v>POOL003</x:v>
      </x:c>
      <x:c r="I114" s="22" t="n">
        <x:v>30</x:v>
      </x:c>
      <x:c r="J114" s="22" t="n">
        <x:v>1</x:v>
      </x:c>
      <x:c r="K114" s="19" t="n">
        <x:v>6</x:v>
      </x:c>
      <x:c r="L114" s="24" t="n">
        <x:v>11.5</x:v>
      </x:c>
      <x:c r="M114" s="26" t="n">
        <x:v>0</x:v>
      </x:c>
      <x:c r="N114" s="24" t="n">
        <x:v>2</x:v>
      </x:c>
      <x:c r="O114" s="28" t="n">
        <x:f>MIN(1,L114/I114)</x:f>
        <x:v>0.38333333333333336</x:v>
      </x:c>
      <x:c r="P114" s="30" t="n">
        <x:f>O114*J114*(1+M114)</x:f>
        <x:v>0.38333333333333336</x:v>
      </x:c>
      <x:c r="Q114" s="30" t="n">
        <x:f>P114*N114</x:f>
        <x:v>0.7666666666666667</x:v>
      </x:c>
      <x:c r="R114" s="19" t="str">
        <x:v>单池选一</x:v>
      </x:c>
    </x:row>
    <x:row r="115" ht="19" customHeight="1">
      <x:c r="A115" s="19" t="str">
        <x:v>D00111</x:v>
      </x:c>
      <x:c r="B115" s="19" t="n">
        <x:v>1</x:v>
      </x:c>
      <x:c r="C115" s="19" t="n">
        <x:v>2</x:v>
      </x:c>
      <x:c r="D115" s="19" t="str">
        <x:v>EL-MON-CLIFF-011</x:v>
      </x:c>
      <x:c r="E115" s="19" t="str">
        <x:v>风暴执刑官·巴鲁克</x:v>
      </x:c>
      <x:c r="F115" s="19" t="str">
        <x:v>地图BOSS</x:v>
      </x:c>
      <x:c r="G115" s="19" t="str">
        <x:v>材料独立候选</x:v>
      </x:c>
      <x:c r="H115" s="19" t="str">
        <x:v>海蚀铁片</x:v>
      </x:c>
      <x:c r="I115" s="22" t="n">
        <x:v>150</x:v>
      </x:c>
      <x:c r="J115" s="22" t="n">
        <x:v>30</x:v>
      </x:c>
      <x:c r="K115" s="19" t="n">
        <x:v>1</x:v>
      </x:c>
      <x:c r="L115" s="24" t="n">
        <x:v>11.5</x:v>
      </x:c>
      <x:c r="M115" s="26" t="n">
        <x:v>0</x:v>
      </x:c>
      <x:c r="N115" s="24" t="n">
        <x:v>2</x:v>
      </x:c>
      <x:c r="O115" s="28" t="n">
        <x:f>MIN(1,L115/I115)</x:f>
        <x:v>0.07666666666666666</x:v>
      </x:c>
      <x:c r="P115" s="30" t="n">
        <x:f>O115*J115*(1+M115)</x:f>
        <x:v>2.3</x:v>
      </x:c>
      <x:c r="Q115" s="30" t="n">
        <x:f>P115*N115</x:f>
        <x:v>4.6</x:v>
      </x:c>
      <x:c r="R115" s="19" t="str">
        <x:v>独立判定</x:v>
      </x:c>
    </x:row>
    <x:row r="116" ht="19" customHeight="1">
      <x:c r="A116" s="19" t="str">
        <x:v>D00112</x:v>
      </x:c>
      <x:c r="B116" s="19" t="n">
        <x:v>1</x:v>
      </x:c>
      <x:c r="C116" s="19" t="n">
        <x:v>2</x:v>
      </x:c>
      <x:c r="D116" s="19" t="str">
        <x:v>EL-MON-CLIFF-011</x:v>
      </x:c>
      <x:c r="E116" s="19" t="str">
        <x:v>风暴执刑官·巴鲁克</x:v>
      </x:c>
      <x:c r="F116" s="19" t="str">
        <x:v>地图BOSS</x:v>
      </x:c>
      <x:c r="G116" s="19" t="str">
        <x:v>材料独立候选</x:v>
      </x:c>
      <x:c r="H116" s="19" t="str">
        <x:v>潮痕结晶</x:v>
      </x:c>
      <x:c r="I116" s="22" t="n">
        <x:v>80</x:v>
      </x:c>
      <x:c r="J116" s="22" t="n">
        <x:v>1</x:v>
      </x:c>
      <x:c r="K116" s="19" t="n">
        <x:v>1</x:v>
      </x:c>
      <x:c r="L116" s="24" t="n">
        <x:v>11.5</x:v>
      </x:c>
      <x:c r="M116" s="26" t="n">
        <x:v>0</x:v>
      </x:c>
      <x:c r="N116" s="24" t="n">
        <x:v>2</x:v>
      </x:c>
      <x:c r="O116" s="28" t="n">
        <x:f>MIN(1,L116/I116)</x:f>
        <x:v>0.14375</x:v>
      </x:c>
      <x:c r="P116" s="30" t="n">
        <x:f>O116*J116*(1+M116)</x:f>
        <x:v>0.14375</x:v>
      </x:c>
      <x:c r="Q116" s="30" t="n">
        <x:f>P116*N116</x:f>
        <x:v>0.2875</x:v>
      </x:c>
      <x:c r="R116" s="19" t="str">
        <x:v>独立判定</x:v>
      </x:c>
    </x:row>
    <x:row r="117" ht="19" customHeight="1">
      <x:c r="A117" s="19" t="str">
        <x:v>D00113</x:v>
      </x:c>
      <x:c r="B117" s="19" t="n">
        <x:v>1</x:v>
      </x:c>
      <x:c r="C117" s="19" t="n">
        <x:v>2</x:v>
      </x:c>
      <x:c r="D117" s="19" t="str">
        <x:v>EL-MON-CLIFF-011</x:v>
      </x:c>
      <x:c r="E117" s="19" t="str">
        <x:v>风暴执刑官·巴鲁克</x:v>
      </x:c>
      <x:c r="F117" s="19" t="str">
        <x:v>地图BOSS</x:v>
      </x:c>
      <x:c r="G117" s="19" t="str">
        <x:v>材料独立候选</x:v>
      </x:c>
      <x:c r="H117" s="19" t="str">
        <x:v>漂流大陆印记</x:v>
      </x:c>
      <x:c r="I117" s="22" t="n">
        <x:v>60</x:v>
      </x:c>
      <x:c r="J117" s="22" t="n">
        <x:v>3</x:v>
      </x:c>
      <x:c r="K117" s="19" t="n">
        <x:v>1</x:v>
      </x:c>
      <x:c r="L117" s="24" t="n">
        <x:v>11.5</x:v>
      </x:c>
      <x:c r="M117" s="26" t="n">
        <x:v>0</x:v>
      </x:c>
      <x:c r="N117" s="24" t="n">
        <x:v>2</x:v>
      </x:c>
      <x:c r="O117" s="28" t="n">
        <x:f>MIN(1,L117/I117)</x:f>
        <x:v>0.19166666666666668</x:v>
      </x:c>
      <x:c r="P117" s="30" t="n">
        <x:f>O117*J117*(1+M117)</x:f>
        <x:v>0.5750000000000001</x:v>
      </x:c>
      <x:c r="Q117" s="30" t="n">
        <x:f>P117*N117</x:f>
        <x:v>1.1500000000000001</x:v>
      </x:c>
      <x:c r="R117" s="19" t="str">
        <x:v>独立判定</x:v>
      </x:c>
    </x:row>
    <x:row r="118" ht="19" customHeight="1">
      <x:c r="A118" s="19" t="str">
        <x:v>D00114</x:v>
      </x:c>
      <x:c r="B118" s="19" t="n">
        <x:v>1</x:v>
      </x:c>
      <x:c r="C118" s="19" t="n">
        <x:v>2</x:v>
      </x:c>
      <x:c r="D118" s="19" t="str">
        <x:v>EL-MON-CLIFF-011</x:v>
      </x:c>
      <x:c r="E118" s="19" t="str">
        <x:v>风暴执刑官·巴鲁克</x:v>
      </x:c>
      <x:c r="F118" s="19" t="str">
        <x:v>地图BOSS</x:v>
      </x:c>
      <x:c r="G118" s="19" t="str">
        <x:v>材料独立候选</x:v>
      </x:c>
      <x:c r="H118" s="19" t="str">
        <x:v>执刑官残魂</x:v>
      </x:c>
      <x:c r="I118" s="22" t="n">
        <x:v>80</x:v>
      </x:c>
      <x:c r="J118" s="22" t="n">
        <x:v>2</x:v>
      </x:c>
      <x:c r="K118" s="19" t="n">
        <x:v>1</x:v>
      </x:c>
      <x:c r="L118" s="24" t="n">
        <x:v>11.5</x:v>
      </x:c>
      <x:c r="M118" s="26" t="n">
        <x:v>0</x:v>
      </x:c>
      <x:c r="N118" s="24" t="n">
        <x:v>2</x:v>
      </x:c>
      <x:c r="O118" s="28" t="n">
        <x:f>MIN(1,L118/I118)</x:f>
        <x:v>0.14375</x:v>
      </x:c>
      <x:c r="P118" s="30" t="n">
        <x:f>O118*J118*(1+M118)</x:f>
        <x:v>0.2875</x:v>
      </x:c>
      <x:c r="Q118" s="30" t="n">
        <x:f>P118*N118</x:f>
        <x:v>0.575</x:v>
      </x:c>
      <x:c r="R118" s="19" t="str">
        <x:v>独立判定</x:v>
      </x:c>
    </x:row>
    <x:row r="119" ht="19" customHeight="1">
      <x:c r="A119" s="19" t="str">
        <x:v>D00115</x:v>
      </x:c>
      <x:c r="B119" s="19" t="n">
        <x:v>1</x:v>
      </x:c>
      <x:c r="C119" s="19" t="n">
        <x:v>2</x:v>
      </x:c>
      <x:c r="D119" s="19" t="str">
        <x:v>EL-MON-CLIFF-011</x:v>
      </x:c>
      <x:c r="E119" s="19" t="str">
        <x:v>风暴执刑官·巴鲁克</x:v>
      </x:c>
      <x:c r="F119" s="19" t="str">
        <x:v>地图BOSS</x:v>
      </x:c>
      <x:c r="G119" s="19" t="str">
        <x:v>材料独立候选</x:v>
      </x:c>
      <x:c r="H119" s="19" t="str">
        <x:v>技能残页</x:v>
      </x:c>
      <x:c r="I119" s="22" t="n">
        <x:v>20</x:v>
      </x:c>
      <x:c r="J119" s="22" t="n">
        <x:v>1</x:v>
      </x:c>
      <x:c r="K119" s="19" t="n">
        <x:v>1</x:v>
      </x:c>
      <x:c r="L119" s="24" t="n">
        <x:v>11.5</x:v>
      </x:c>
      <x:c r="M119" s="26" t="n">
        <x:v>0</x:v>
      </x:c>
      <x:c r="N119" s="24" t="n">
        <x:v>2</x:v>
      </x:c>
      <x:c r="O119" s="28" t="n">
        <x:f>MIN(1,L119/I119)</x:f>
        <x:v>0.575</x:v>
      </x:c>
      <x:c r="P119" s="30" t="n">
        <x:f>O119*J119*(1+M119)</x:f>
        <x:v>0.575</x:v>
      </x:c>
      <x:c r="Q119" s="30" t="n">
        <x:f>P119*N119</x:f>
        <x:v>1.15</x:v>
      </x:c>
      <x:c r="R119" s="19" t="str">
        <x:v>独立判定</x:v>
      </x:c>
    </x:row>
    <x:row r="120" ht="19" customHeight="1">
      <x:c r="A120" s="19" t="str">
        <x:v>D00116</x:v>
      </x:c>
      <x:c r="B120" s="19" t="n">
        <x:v>1</x:v>
      </x:c>
      <x:c r="C120" s="19" t="n">
        <x:v>2</x:v>
      </x:c>
      <x:c r="D120" s="19" t="str">
        <x:v>EL-MON-CLIFF-011</x:v>
      </x:c>
      <x:c r="E120" s="19" t="str">
        <x:v>风暴执刑官·巴鲁克</x:v>
      </x:c>
      <x:c r="F120" s="19" t="str">
        <x:v>地图BOSS</x:v>
      </x:c>
      <x:c r="G120" s="19" t="str">
        <x:v>材料独立候选</x:v>
      </x:c>
      <x:c r="H120" s="19" t="str">
        <x:v>小卢恩</x:v>
      </x:c>
      <x:c r="I120" s="22" t="n">
        <x:v>800</x:v>
      </x:c>
      <x:c r="J120" s="22" t="n">
        <x:v>1</x:v>
      </x:c>
      <x:c r="K120" s="19" t="n">
        <x:v>1</x:v>
      </x:c>
      <x:c r="L120" s="24" t="n">
        <x:v>11.5</x:v>
      </x:c>
      <x:c r="M120" s="26" t="n">
        <x:v>0</x:v>
      </x:c>
      <x:c r="N120" s="24" t="n">
        <x:v>2</x:v>
      </x:c>
      <x:c r="O120" s="28" t="n">
        <x:f>MIN(1,L120/I120)</x:f>
        <x:v>0.014375</x:v>
      </x:c>
      <x:c r="P120" s="30" t="n">
        <x:f>O120*J120*(1+M120)</x:f>
        <x:v>0.014375</x:v>
      </x:c>
      <x:c r="Q120" s="30" t="n">
        <x:f>P120*N120</x:f>
        <x:v>0.02875</x:v>
      </x:c>
      <x:c r="R120" s="19" t="str">
        <x:v>独立判定</x:v>
      </x:c>
    </x:row>
    <x:row r="121" ht="19" customHeight="1">
      <x:c r="A121" s="19" t="str">
        <x:v>D00117</x:v>
      </x:c>
      <x:c r="B121" s="19" t="n">
        <x:v>1</x:v>
      </x:c>
      <x:c r="C121" s="19" t="n">
        <x:v>2</x:v>
      </x:c>
      <x:c r="D121" s="19" t="str">
        <x:v>EL-MON-CLIFF-011</x:v>
      </x:c>
      <x:c r="E121" s="19" t="str">
        <x:v>风暴执刑官·巴鲁克</x:v>
      </x:c>
      <x:c r="F121" s="19" t="str">
        <x:v>地图BOSS</x:v>
      </x:c>
      <x:c r="G121" s="19" t="str">
        <x:v>材料独立候选</x:v>
      </x:c>
      <x:c r="H121" s="19" t="str">
        <x:v>大卢恩</x:v>
      </x:c>
      <x:c r="I121" s="22" t="n">
        <x:v>100</x:v>
      </x:c>
      <x:c r="J121" s="22" t="n">
        <x:v>1</x:v>
      </x:c>
      <x:c r="K121" s="19" t="n">
        <x:v>1</x:v>
      </x:c>
      <x:c r="L121" s="24" t="n">
        <x:v>11.5</x:v>
      </x:c>
      <x:c r="M121" s="26" t="n">
        <x:v>0</x:v>
      </x:c>
      <x:c r="N121" s="24" t="n">
        <x:v>2</x:v>
      </x:c>
      <x:c r="O121" s="28" t="n">
        <x:f>MIN(1,L121/I121)</x:f>
        <x:v>0.115</x:v>
      </x:c>
      <x:c r="P121" s="30" t="n">
        <x:f>O121*J121*(1+M121)</x:f>
        <x:v>0.115</x:v>
      </x:c>
      <x:c r="Q121" s="30" t="n">
        <x:f>P121*N121</x:f>
        <x:v>0.23</x:v>
      </x:c>
      <x:c r="R121" s="19" t="str">
        <x:v>独立判定</x:v>
      </x:c>
    </x:row>
    <x:row r="122" ht="19" customHeight="1">
      <x:c r="A122" s="19" t="str">
        <x:v>D00118</x:v>
      </x:c>
      <x:c r="B122" s="19" t="n">
        <x:v>1</x:v>
      </x:c>
      <x:c r="C122" s="19" t="n">
        <x:v>2</x:v>
      </x:c>
      <x:c r="D122" s="19" t="str">
        <x:v>EL-MON-CLIFF-011</x:v>
      </x:c>
      <x:c r="E122" s="19" t="str">
        <x:v>风暴执刑官·巴鲁克</x:v>
      </x:c>
      <x:c r="F122" s="19" t="str">
        <x:v>地图BOSS</x:v>
      </x:c>
      <x:c r="G122" s="19" t="str">
        <x:v>材料独立候选</x:v>
      </x:c>
      <x:c r="H122" s="19" t="str">
        <x:v>漂流见证·雷</x:v>
      </x:c>
      <x:c r="I122" s="22" t="n">
        <x:v>50</x:v>
      </x:c>
      <x:c r="J122" s="22" t="n">
        <x:v>5</x:v>
      </x:c>
      <x:c r="K122" s="19" t="n">
        <x:v>1</x:v>
      </x:c>
      <x:c r="L122" s="24" t="n">
        <x:v>11.5</x:v>
      </x:c>
      <x:c r="M122" s="26" t="n">
        <x:v>0</x:v>
      </x:c>
      <x:c r="N122" s="24" t="n">
        <x:v>2</x:v>
      </x:c>
      <x:c r="O122" s="28" t="n">
        <x:f>MIN(1,L122/I122)</x:f>
        <x:v>0.23</x:v>
      </x:c>
      <x:c r="P122" s="30" t="n">
        <x:f>O122*J122*(1+M122)</x:f>
        <x:v>1.1500000000000001</x:v>
      </x:c>
      <x:c r="Q122" s="30" t="n">
        <x:f>P122*N122</x:f>
        <x:v>2.3000000000000003</x:v>
      </x:c>
      <x:c r="R122" s="19" t="str">
        <x:v>独立判定</x:v>
      </x:c>
    </x:row>
    <x:row r="123" ht="19" customHeight="1">
      <x:c r="A123" s="19" t="str">
        <x:v>D00119</x:v>
      </x:c>
      <x:c r="B123" s="19" t="n">
        <x:v>1</x:v>
      </x:c>
      <x:c r="C123" s="19" t="n">
        <x:v>2</x:v>
      </x:c>
      <x:c r="D123" s="19" t="str">
        <x:v>EL-MON-CLIFF-012</x:v>
      </x:c>
      <x:c r="E123" s="19" t="str">
        <x:v>断崖古龙·赛尔</x:v>
      </x:c>
      <x:c r="F123" s="19" t="str">
        <x:v>地图BOSS</x:v>
      </x:c>
      <x:c r="G123" s="19" t="str">
        <x:v>自身专属</x:v>
      </x:c>
      <x:c r="H123" s="19" t="str">
        <x:v>古龙风铠</x:v>
      </x:c>
      <x:c r="I123" s="22" t="n">
        <x:v>30</x:v>
      </x:c>
      <x:c r="J123" s="22" t="n">
        <x:v>1</x:v>
      </x:c>
      <x:c r="K123" s="19" t="n">
        <x:v>1</x:v>
      </x:c>
      <x:c r="L123" s="24" t="n">
        <x:v>11.5</x:v>
      </x:c>
      <x:c r="M123" s="26" t="n">
        <x:v>0</x:v>
      </x:c>
      <x:c r="N123" s="24" t="n">
        <x:v>2</x:v>
      </x:c>
      <x:c r="O123" s="28" t="n">
        <x:f>MIN(1,L123/I123)</x:f>
        <x:v>0.38333333333333336</x:v>
      </x:c>
      <x:c r="P123" s="30" t="n">
        <x:f>O123*J123*(1+M123)</x:f>
        <x:v>0.38333333333333336</x:v>
      </x:c>
      <x:c r="Q123" s="30" t="n">
        <x:f>P123*N123</x:f>
        <x:v>0.7666666666666667</x:v>
      </x:c>
      <x:c r="R123" s="19" t="str">
        <x:v>独立判定</x:v>
      </x:c>
    </x:row>
    <x:row r="124" ht="19" customHeight="1">
      <x:c r="A124" s="19" t="str">
        <x:v>D00120</x:v>
      </x:c>
      <x:c r="B124" s="19" t="n">
        <x:v>1</x:v>
      </x:c>
      <x:c r="C124" s="19" t="n">
        <x:v>2</x:v>
      </x:c>
      <x:c r="D124" s="19" t="str">
        <x:v>EL-MON-CLIFF-012</x:v>
      </x:c>
      <x:c r="E124" s="19" t="str">
        <x:v>断崖古龙·赛尔</x:v>
      </x:c>
      <x:c r="F124" s="19" t="str">
        <x:v>地图BOSS</x:v>
      </x:c>
      <x:c r="G124" s="19" t="str">
        <x:v>本图普通兼掉候选</x:v>
      </x:c>
      <x:c r="H124" s="19" t="str">
        <x:v>POOL003</x:v>
      </x:c>
      <x:c r="I124" s="22" t="n">
        <x:v>30</x:v>
      </x:c>
      <x:c r="J124" s="22" t="n">
        <x:v>1</x:v>
      </x:c>
      <x:c r="K124" s="19" t="n">
        <x:v>6</x:v>
      </x:c>
      <x:c r="L124" s="24" t="n">
        <x:v>11.5</x:v>
      </x:c>
      <x:c r="M124" s="26" t="n">
        <x:v>0</x:v>
      </x:c>
      <x:c r="N124" s="24" t="n">
        <x:v>2</x:v>
      </x:c>
      <x:c r="O124" s="28" t="n">
        <x:f>MIN(1,L124/I124)</x:f>
        <x:v>0.38333333333333336</x:v>
      </x:c>
      <x:c r="P124" s="30" t="n">
        <x:f>O124*J124*(1+M124)</x:f>
        <x:v>0.38333333333333336</x:v>
      </x:c>
      <x:c r="Q124" s="30" t="n">
        <x:f>P124*N124</x:f>
        <x:v>0.7666666666666667</x:v>
      </x:c>
      <x:c r="R124" s="19" t="str">
        <x:v>单池选一</x:v>
      </x:c>
    </x:row>
    <x:row r="125" ht="19" customHeight="1">
      <x:c r="A125" s="19" t="str">
        <x:v>D00121</x:v>
      </x:c>
      <x:c r="B125" s="19" t="n">
        <x:v>1</x:v>
      </x:c>
      <x:c r="C125" s="19" t="n">
        <x:v>2</x:v>
      </x:c>
      <x:c r="D125" s="19" t="str">
        <x:v>EL-MON-CLIFF-012</x:v>
      </x:c>
      <x:c r="E125" s="19" t="str">
        <x:v>断崖古龙·赛尔</x:v>
      </x:c>
      <x:c r="F125" s="19" t="str">
        <x:v>地图BOSS</x:v>
      </x:c>
      <x:c r="G125" s="19" t="str">
        <x:v>材料独立候选</x:v>
      </x:c>
      <x:c r="H125" s="19" t="str">
        <x:v>海蚀铁片</x:v>
      </x:c>
      <x:c r="I125" s="22" t="n">
        <x:v>150</x:v>
      </x:c>
      <x:c r="J125" s="22" t="n">
        <x:v>30</x:v>
      </x:c>
      <x:c r="K125" s="19" t="n">
        <x:v>1</x:v>
      </x:c>
      <x:c r="L125" s="24" t="n">
        <x:v>11.5</x:v>
      </x:c>
      <x:c r="M125" s="26" t="n">
        <x:v>0</x:v>
      </x:c>
      <x:c r="N125" s="24" t="n">
        <x:v>2</x:v>
      </x:c>
      <x:c r="O125" s="28" t="n">
        <x:f>MIN(1,L125/I125)</x:f>
        <x:v>0.07666666666666666</x:v>
      </x:c>
      <x:c r="P125" s="30" t="n">
        <x:f>O125*J125*(1+M125)</x:f>
        <x:v>2.3</x:v>
      </x:c>
      <x:c r="Q125" s="30" t="n">
        <x:f>P125*N125</x:f>
        <x:v>4.6</x:v>
      </x:c>
      <x:c r="R125" s="19" t="str">
        <x:v>独立判定</x:v>
      </x:c>
    </x:row>
    <x:row r="126" ht="19" customHeight="1">
      <x:c r="A126" s="19" t="str">
        <x:v>D00122</x:v>
      </x:c>
      <x:c r="B126" s="19" t="n">
        <x:v>1</x:v>
      </x:c>
      <x:c r="C126" s="19" t="n">
        <x:v>2</x:v>
      </x:c>
      <x:c r="D126" s="19" t="str">
        <x:v>EL-MON-CLIFF-012</x:v>
      </x:c>
      <x:c r="E126" s="19" t="str">
        <x:v>断崖古龙·赛尔</x:v>
      </x:c>
      <x:c r="F126" s="19" t="str">
        <x:v>地图BOSS</x:v>
      </x:c>
      <x:c r="G126" s="19" t="str">
        <x:v>材料独立候选</x:v>
      </x:c>
      <x:c r="H126" s="19" t="str">
        <x:v>潮痕结晶</x:v>
      </x:c>
      <x:c r="I126" s="22" t="n">
        <x:v>80</x:v>
      </x:c>
      <x:c r="J126" s="22" t="n">
        <x:v>1</x:v>
      </x:c>
      <x:c r="K126" s="19" t="n">
        <x:v>1</x:v>
      </x:c>
      <x:c r="L126" s="24" t="n">
        <x:v>11.5</x:v>
      </x:c>
      <x:c r="M126" s="26" t="n">
        <x:v>0</x:v>
      </x:c>
      <x:c r="N126" s="24" t="n">
        <x:v>2</x:v>
      </x:c>
      <x:c r="O126" s="28" t="n">
        <x:f>MIN(1,L126/I126)</x:f>
        <x:v>0.14375</x:v>
      </x:c>
      <x:c r="P126" s="30" t="n">
        <x:f>O126*J126*(1+M126)</x:f>
        <x:v>0.14375</x:v>
      </x:c>
      <x:c r="Q126" s="30" t="n">
        <x:f>P126*N126</x:f>
        <x:v>0.2875</x:v>
      </x:c>
      <x:c r="R126" s="19" t="str">
        <x:v>独立判定</x:v>
      </x:c>
    </x:row>
    <x:row r="127" ht="19" customHeight="1">
      <x:c r="A127" s="19" t="str">
        <x:v>D00123</x:v>
      </x:c>
      <x:c r="B127" s="19" t="n">
        <x:v>1</x:v>
      </x:c>
      <x:c r="C127" s="19" t="n">
        <x:v>2</x:v>
      </x:c>
      <x:c r="D127" s="19" t="str">
        <x:v>EL-MON-CLIFF-012</x:v>
      </x:c>
      <x:c r="E127" s="19" t="str">
        <x:v>断崖古龙·赛尔</x:v>
      </x:c>
      <x:c r="F127" s="19" t="str">
        <x:v>地图BOSS</x:v>
      </x:c>
      <x:c r="G127" s="19" t="str">
        <x:v>材料独立候选</x:v>
      </x:c>
      <x:c r="H127" s="19" t="str">
        <x:v>漂流大陆印记</x:v>
      </x:c>
      <x:c r="I127" s="22" t="n">
        <x:v>60</x:v>
      </x:c>
      <x:c r="J127" s="22" t="n">
        <x:v>3</x:v>
      </x:c>
      <x:c r="K127" s="19" t="n">
        <x:v>1</x:v>
      </x:c>
      <x:c r="L127" s="24" t="n">
        <x:v>11.5</x:v>
      </x:c>
      <x:c r="M127" s="26" t="n">
        <x:v>0</x:v>
      </x:c>
      <x:c r="N127" s="24" t="n">
        <x:v>2</x:v>
      </x:c>
      <x:c r="O127" s="28" t="n">
        <x:f>MIN(1,L127/I127)</x:f>
        <x:v>0.19166666666666668</x:v>
      </x:c>
      <x:c r="P127" s="30" t="n">
        <x:f>O127*J127*(1+M127)</x:f>
        <x:v>0.5750000000000001</x:v>
      </x:c>
      <x:c r="Q127" s="30" t="n">
        <x:f>P127*N127</x:f>
        <x:v>1.1500000000000001</x:v>
      </x:c>
      <x:c r="R127" s="19" t="str">
        <x:v>独立判定</x:v>
      </x:c>
    </x:row>
    <x:row r="128" ht="19" customHeight="1">
      <x:c r="A128" s="19" t="str">
        <x:v>D00124</x:v>
      </x:c>
      <x:c r="B128" s="19" t="n">
        <x:v>1</x:v>
      </x:c>
      <x:c r="C128" s="19" t="n">
        <x:v>2</x:v>
      </x:c>
      <x:c r="D128" s="19" t="str">
        <x:v>EL-MON-CLIFF-012</x:v>
      </x:c>
      <x:c r="E128" s="19" t="str">
        <x:v>断崖古龙·赛尔</x:v>
      </x:c>
      <x:c r="F128" s="19" t="str">
        <x:v>地图BOSS</x:v>
      </x:c>
      <x:c r="G128" s="19" t="str">
        <x:v>材料独立候选</x:v>
      </x:c>
      <x:c r="H128" s="19" t="str">
        <x:v>古龙逆鳞</x:v>
      </x:c>
      <x:c r="I128" s="22" t="n">
        <x:v>80</x:v>
      </x:c>
      <x:c r="J128" s="22" t="n">
        <x:v>2</x:v>
      </x:c>
      <x:c r="K128" s="19" t="n">
        <x:v>1</x:v>
      </x:c>
      <x:c r="L128" s="24" t="n">
        <x:v>11.5</x:v>
      </x:c>
      <x:c r="M128" s="26" t="n">
        <x:v>0</x:v>
      </x:c>
      <x:c r="N128" s="24" t="n">
        <x:v>2</x:v>
      </x:c>
      <x:c r="O128" s="28" t="n">
        <x:f>MIN(1,L128/I128)</x:f>
        <x:v>0.14375</x:v>
      </x:c>
      <x:c r="P128" s="30" t="n">
        <x:f>O128*J128*(1+M128)</x:f>
        <x:v>0.2875</x:v>
      </x:c>
      <x:c r="Q128" s="30" t="n">
        <x:f>P128*N128</x:f>
        <x:v>0.575</x:v>
      </x:c>
      <x:c r="R128" s="19" t="str">
        <x:v>独立判定</x:v>
      </x:c>
    </x:row>
    <x:row r="129" ht="19" customHeight="1">
      <x:c r="A129" s="19" t="str">
        <x:v>D00125</x:v>
      </x:c>
      <x:c r="B129" s="19" t="n">
        <x:v>1</x:v>
      </x:c>
      <x:c r="C129" s="19" t="n">
        <x:v>2</x:v>
      </x:c>
      <x:c r="D129" s="19" t="str">
        <x:v>EL-MON-CLIFF-012</x:v>
      </x:c>
      <x:c r="E129" s="19" t="str">
        <x:v>断崖古龙·赛尔</x:v>
      </x:c>
      <x:c r="F129" s="19" t="str">
        <x:v>地图BOSS</x:v>
      </x:c>
      <x:c r="G129" s="19" t="str">
        <x:v>材料独立候选</x:v>
      </x:c>
      <x:c r="H129" s="19" t="str">
        <x:v>技能残页</x:v>
      </x:c>
      <x:c r="I129" s="22" t="n">
        <x:v>20</x:v>
      </x:c>
      <x:c r="J129" s="22" t="n">
        <x:v>1</x:v>
      </x:c>
      <x:c r="K129" s="19" t="n">
        <x:v>1</x:v>
      </x:c>
      <x:c r="L129" s="24" t="n">
        <x:v>11.5</x:v>
      </x:c>
      <x:c r="M129" s="26" t="n">
        <x:v>0</x:v>
      </x:c>
      <x:c r="N129" s="24" t="n">
        <x:v>2</x:v>
      </x:c>
      <x:c r="O129" s="28" t="n">
        <x:f>MIN(1,L129/I129)</x:f>
        <x:v>0.575</x:v>
      </x:c>
      <x:c r="P129" s="30" t="n">
        <x:f>O129*J129*(1+M129)</x:f>
        <x:v>0.575</x:v>
      </x:c>
      <x:c r="Q129" s="30" t="n">
        <x:f>P129*N129</x:f>
        <x:v>1.15</x:v>
      </x:c>
      <x:c r="R129" s="19" t="str">
        <x:v>独立判定</x:v>
      </x:c>
    </x:row>
    <x:row r="130" ht="19" customHeight="1">
      <x:c r="A130" s="19" t="str">
        <x:v>D00126</x:v>
      </x:c>
      <x:c r="B130" s="19" t="n">
        <x:v>1</x:v>
      </x:c>
      <x:c r="C130" s="19" t="n">
        <x:v>2</x:v>
      </x:c>
      <x:c r="D130" s="19" t="str">
        <x:v>EL-MON-CLIFF-012</x:v>
      </x:c>
      <x:c r="E130" s="19" t="str">
        <x:v>断崖古龙·赛尔</x:v>
      </x:c>
      <x:c r="F130" s="19" t="str">
        <x:v>地图BOSS</x:v>
      </x:c>
      <x:c r="G130" s="19" t="str">
        <x:v>材料独立候选</x:v>
      </x:c>
      <x:c r="H130" s="19" t="str">
        <x:v>小卢恩</x:v>
      </x:c>
      <x:c r="I130" s="22" t="n">
        <x:v>800</x:v>
      </x:c>
      <x:c r="J130" s="22" t="n">
        <x:v>1</x:v>
      </x:c>
      <x:c r="K130" s="19" t="n">
        <x:v>1</x:v>
      </x:c>
      <x:c r="L130" s="24" t="n">
        <x:v>11.5</x:v>
      </x:c>
      <x:c r="M130" s="26" t="n">
        <x:v>0</x:v>
      </x:c>
      <x:c r="N130" s="24" t="n">
        <x:v>2</x:v>
      </x:c>
      <x:c r="O130" s="28" t="n">
        <x:f>MIN(1,L130/I130)</x:f>
        <x:v>0.014375</x:v>
      </x:c>
      <x:c r="P130" s="30" t="n">
        <x:f>O130*J130*(1+M130)</x:f>
        <x:v>0.014375</x:v>
      </x:c>
      <x:c r="Q130" s="30" t="n">
        <x:f>P130*N130</x:f>
        <x:v>0.02875</x:v>
      </x:c>
      <x:c r="R130" s="19" t="str">
        <x:v>独立判定</x:v>
      </x:c>
    </x:row>
    <x:row r="131" ht="19" customHeight="1">
      <x:c r="A131" s="19" t="str">
        <x:v>D00127</x:v>
      </x:c>
      <x:c r="B131" s="19" t="n">
        <x:v>1</x:v>
      </x:c>
      <x:c r="C131" s="19" t="n">
        <x:v>2</x:v>
      </x:c>
      <x:c r="D131" s="19" t="str">
        <x:v>EL-MON-CLIFF-012</x:v>
      </x:c>
      <x:c r="E131" s="19" t="str">
        <x:v>断崖古龙·赛尔</x:v>
      </x:c>
      <x:c r="F131" s="19" t="str">
        <x:v>地图BOSS</x:v>
      </x:c>
      <x:c r="G131" s="19" t="str">
        <x:v>材料独立候选</x:v>
      </x:c>
      <x:c r="H131" s="19" t="str">
        <x:v>大卢恩</x:v>
      </x:c>
      <x:c r="I131" s="22" t="n">
        <x:v>100</x:v>
      </x:c>
      <x:c r="J131" s="22" t="n">
        <x:v>1</x:v>
      </x:c>
      <x:c r="K131" s="19" t="n">
        <x:v>1</x:v>
      </x:c>
      <x:c r="L131" s="24" t="n">
        <x:v>11.5</x:v>
      </x:c>
      <x:c r="M131" s="26" t="n">
        <x:v>0</x:v>
      </x:c>
      <x:c r="N131" s="24" t="n">
        <x:v>2</x:v>
      </x:c>
      <x:c r="O131" s="28" t="n">
        <x:f>MIN(1,L131/I131)</x:f>
        <x:v>0.115</x:v>
      </x:c>
      <x:c r="P131" s="30" t="n">
        <x:f>O131*J131*(1+M131)</x:f>
        <x:v>0.115</x:v>
      </x:c>
      <x:c r="Q131" s="30" t="n">
        <x:f>P131*N131</x:f>
        <x:v>0.23</x:v>
      </x:c>
      <x:c r="R131" s="19" t="str">
        <x:v>独立判定</x:v>
      </x:c>
    </x:row>
    <x:row r="132" ht="19" customHeight="1">
      <x:c r="A132" s="19" t="str">
        <x:v>D00128</x:v>
      </x:c>
      <x:c r="B132" s="19" t="n">
        <x:v>1</x:v>
      </x:c>
      <x:c r="C132" s="19" t="n">
        <x:v>2</x:v>
      </x:c>
      <x:c r="D132" s="19" t="str">
        <x:v>EL-MON-CLIFF-012</x:v>
      </x:c>
      <x:c r="E132" s="19" t="str">
        <x:v>断崖古龙·赛尔</x:v>
      </x:c>
      <x:c r="F132" s="19" t="str">
        <x:v>地图BOSS</x:v>
      </x:c>
      <x:c r="G132" s="19" t="str">
        <x:v>材料独立候选</x:v>
      </x:c>
      <x:c r="H132" s="19" t="str">
        <x:v>漂流见证·雷</x:v>
      </x:c>
      <x:c r="I132" s="22" t="n">
        <x:v>50</x:v>
      </x:c>
      <x:c r="J132" s="22" t="n">
        <x:v>5</x:v>
      </x:c>
      <x:c r="K132" s="19" t="n">
        <x:v>1</x:v>
      </x:c>
      <x:c r="L132" s="24" t="n">
        <x:v>11.5</x:v>
      </x:c>
      <x:c r="M132" s="26" t="n">
        <x:v>0</x:v>
      </x:c>
      <x:c r="N132" s="24" t="n">
        <x:v>2</x:v>
      </x:c>
      <x:c r="O132" s="28" t="n">
        <x:f>MIN(1,L132/I132)</x:f>
        <x:v>0.23</x:v>
      </x:c>
      <x:c r="P132" s="30" t="n">
        <x:f>O132*J132*(1+M132)</x:f>
        <x:v>1.1500000000000001</x:v>
      </x:c>
      <x:c r="Q132" s="30" t="n">
        <x:f>P132*N132</x:f>
        <x:v>2.3000000000000003</x:v>
      </x:c>
      <x:c r="R132" s="19" t="str">
        <x:v>独立判定</x:v>
      </x:c>
    </x:row>
    <x:row r="133" ht="19" customHeight="1">
      <x:c r="A133" s="19" t="str">
        <x:v>D00129</x:v>
      </x:c>
      <x:c r="B133" s="19" t="n">
        <x:v>1</x:v>
      </x:c>
      <x:c r="C133" s="19" t="n">
        <x:v>3</x:v>
      </x:c>
      <x:c r="D133" s="19" t="str">
        <x:v>EL-MON-COURT-001</x:v>
      </x:c>
      <x:c r="E133" s="19" t="str">
        <x:v>溺亡禁卫</x:v>
      </x:c>
      <x:c r="F133" s="19" t="str">
        <x:v>普通</x:v>
      </x:c>
      <x:c r="G133" s="19" t="str">
        <x:v>自身专属</x:v>
      </x:c>
      <x:c r="H133" s="19" t="str">
        <x:v>溺亡王盔</x:v>
      </x:c>
      <x:c r="I133" s="22" t="n">
        <x:v>300</x:v>
      </x:c>
      <x:c r="J133" s="22" t="n">
        <x:v>1</x:v>
      </x:c>
      <x:c r="K133" s="19" t="n">
        <x:v>1</x:v>
      </x:c>
      <x:c r="L133" s="24" t="n">
        <x:v>11.5</x:v>
      </x:c>
      <x:c r="M133" s="26" t="n">
        <x:v>0</x:v>
      </x:c>
      <x:c r="N133" s="24" t="n">
        <x:v>55.57985123612874</x:v>
      </x:c>
      <x:c r="O133" s="28" t="n">
        <x:f>MIN(1,L133/I133)</x:f>
        <x:v>0.03833333333333333</x:v>
      </x:c>
      <x:c r="P133" s="30" t="n">
        <x:f>O133*J133*(1+M133)</x:f>
        <x:v>0.03833333333333333</x:v>
      </x:c>
      <x:c r="Q133" s="30" t="n">
        <x:f>P133*N133</x:f>
        <x:v>2.1305609640516017</x:v>
      </x:c>
      <x:c r="R133" s="19" t="str">
        <x:v>独立判定</x:v>
      </x:c>
    </x:row>
    <x:row r="134" ht="19" customHeight="1">
      <x:c r="A134" s="19" t="str">
        <x:v>D00130</x:v>
      </x:c>
      <x:c r="B134" s="19" t="n">
        <x:v>1</x:v>
      </x:c>
      <x:c r="C134" s="19" t="n">
        <x:v>3</x:v>
      </x:c>
      <x:c r="D134" s="19" t="str">
        <x:v>EL-MON-COURT-001</x:v>
      </x:c>
      <x:c r="E134" s="19" t="str">
        <x:v>溺亡禁卫</x:v>
      </x:c>
      <x:c r="F134" s="19" t="str">
        <x:v>普通</x:v>
      </x:c>
      <x:c r="G134" s="19" t="str">
        <x:v>材料独立候选</x:v>
      </x:c>
      <x:c r="H134" s="19" t="str">
        <x:v>海蚀铁片</x:v>
      </x:c>
      <x:c r="I134" s="22" t="n">
        <x:v>400</x:v>
      </x:c>
      <x:c r="J134" s="22" t="n">
        <x:v>8</x:v>
      </x:c>
      <x:c r="K134" s="19" t="n">
        <x:v>1</x:v>
      </x:c>
      <x:c r="L134" s="24" t="n">
        <x:v>11.5</x:v>
      </x:c>
      <x:c r="M134" s="26" t="n">
        <x:v>0</x:v>
      </x:c>
      <x:c r="N134" s="24" t="n">
        <x:v>55.57985123612874</x:v>
      </x:c>
      <x:c r="O134" s="28" t="n">
        <x:f>MIN(1,L134/I134)</x:f>
        <x:v>0.02875</x:v>
      </x:c>
      <x:c r="P134" s="30" t="n">
        <x:f>O134*J134*(1+M134)</x:f>
        <x:v>0.23</x:v>
      </x:c>
      <x:c r="Q134" s="30" t="n">
        <x:f>P134*N134</x:f>
        <x:v>12.783365784309611</x:v>
      </x:c>
      <x:c r="R134" s="19" t="str">
        <x:v>独立判定</x:v>
      </x:c>
    </x:row>
    <x:row r="135" ht="19" customHeight="1">
      <x:c r="A135" s="19" t="str">
        <x:v>D00131</x:v>
      </x:c>
      <x:c r="B135" s="19" t="n">
        <x:v>1</x:v>
      </x:c>
      <x:c r="C135" s="19" t="n">
        <x:v>3</x:v>
      </x:c>
      <x:c r="D135" s="19" t="str">
        <x:v>EL-MON-COURT-001</x:v>
      </x:c>
      <x:c r="E135" s="19" t="str">
        <x:v>溺亡禁卫</x:v>
      </x:c>
      <x:c r="F135" s="19" t="str">
        <x:v>普通</x:v>
      </x:c>
      <x:c r="G135" s="19" t="str">
        <x:v>材料独立候选</x:v>
      </x:c>
      <x:c r="H135" s="19" t="str">
        <x:v>技能残页</x:v>
      </x:c>
      <x:c r="I135" s="22" t="n">
        <x:v>60</x:v>
      </x:c>
      <x:c r="J135" s="22" t="n">
        <x:v>1</x:v>
      </x:c>
      <x:c r="K135" s="19" t="n">
        <x:v>1</x:v>
      </x:c>
      <x:c r="L135" s="24" t="n">
        <x:v>11.5</x:v>
      </x:c>
      <x:c r="M135" s="26" t="n">
        <x:v>0</x:v>
      </x:c>
      <x:c r="N135" s="24" t="n">
        <x:v>55.57985123612874</x:v>
      </x:c>
      <x:c r="O135" s="28" t="n">
        <x:f>MIN(1,L135/I135)</x:f>
        <x:v>0.19166666666666668</x:v>
      </x:c>
      <x:c r="P135" s="30" t="n">
        <x:f>O135*J135*(1+M135)</x:f>
        <x:v>0.19166666666666668</x:v>
      </x:c>
      <x:c r="Q135" s="30" t="n">
        <x:f>P135*N135</x:f>
        <x:v>10.652804820258009</x:v>
      </x:c>
      <x:c r="R135" s="19" t="str">
        <x:v>独立判定</x:v>
      </x:c>
    </x:row>
    <x:row r="136" ht="19" customHeight="1">
      <x:c r="A136" s="19" t="str">
        <x:v>D00132</x:v>
      </x:c>
      <x:c r="B136" s="19" t="n">
        <x:v>1</x:v>
      </x:c>
      <x:c r="C136" s="19" t="n">
        <x:v>3</x:v>
      </x:c>
      <x:c r="D136" s="19" t="str">
        <x:v>EL-MON-COURT-001</x:v>
      </x:c>
      <x:c r="E136" s="19" t="str">
        <x:v>溺亡禁卫</x:v>
      </x:c>
      <x:c r="F136" s="19" t="str">
        <x:v>普通</x:v>
      </x:c>
      <x:c r="G136" s="19" t="str">
        <x:v>材料独立候选</x:v>
      </x:c>
      <x:c r="H136" s="19" t="str">
        <x:v>小卢恩</x:v>
      </x:c>
      <x:c r="I136" s="22" t="n">
        <x:v>2500</x:v>
      </x:c>
      <x:c r="J136" s="22" t="n">
        <x:v>1</x:v>
      </x:c>
      <x:c r="K136" s="19" t="n">
        <x:v>1</x:v>
      </x:c>
      <x:c r="L136" s="24" t="n">
        <x:v>11.5</x:v>
      </x:c>
      <x:c r="M136" s="26" t="n">
        <x:v>0</x:v>
      </x:c>
      <x:c r="N136" s="24" t="n">
        <x:v>55.57985123612874</x:v>
      </x:c>
      <x:c r="O136" s="28" t="n">
        <x:f>MIN(1,L136/I136)</x:f>
        <x:v>0.0046</x:v>
      </x:c>
      <x:c r="P136" s="30" t="n">
        <x:f>O136*J136*(1+M136)</x:f>
        <x:v>0.0046</x:v>
      </x:c>
      <x:c r="Q136" s="30" t="n">
        <x:f>P136*N136</x:f>
        <x:v>0.2556673156861922</x:v>
      </x:c>
      <x:c r="R136" s="19" t="str">
        <x:v>独立判定</x:v>
      </x:c>
    </x:row>
    <x:row r="137" ht="19" customHeight="1">
      <x:c r="A137" s="19" t="str">
        <x:v>D00133</x:v>
      </x:c>
      <x:c r="B137" s="19" t="n">
        <x:v>1</x:v>
      </x:c>
      <x:c r="C137" s="19" t="n">
        <x:v>3</x:v>
      </x:c>
      <x:c r="D137" s="19" t="str">
        <x:v>EL-MON-COURT-002</x:v>
      </x:c>
      <x:c r="E137" s="19" t="str">
        <x:v>沉宫侍从</x:v>
      </x:c>
      <x:c r="F137" s="19" t="str">
        <x:v>普通</x:v>
      </x:c>
      <x:c r="G137" s="19" t="str">
        <x:v>自身专属</x:v>
      </x:c>
      <x:c r="H137" s="19" t="str">
        <x:v>沉宫项链</x:v>
      </x:c>
      <x:c r="I137" s="22" t="n">
        <x:v>300</x:v>
      </x:c>
      <x:c r="J137" s="22" t="n">
        <x:v>1</x:v>
      </x:c>
      <x:c r="K137" s="19" t="n">
        <x:v>1</x:v>
      </x:c>
      <x:c r="L137" s="24" t="n">
        <x:v>11.5</x:v>
      </x:c>
      <x:c r="M137" s="26" t="n">
        <x:v>0</x:v>
      </x:c>
      <x:c r="N137" s="24" t="n">
        <x:v>63.91682892154805</x:v>
      </x:c>
      <x:c r="O137" s="28" t="n">
        <x:f>MIN(1,L137/I137)</x:f>
        <x:v>0.03833333333333333</x:v>
      </x:c>
      <x:c r="P137" s="30" t="n">
        <x:f>O137*J137*(1+M137)</x:f>
        <x:v>0.03833333333333333</x:v>
      </x:c>
      <x:c r="Q137" s="30" t="n">
        <x:f>P137*N137</x:f>
        <x:v>2.450145108659342</x:v>
      </x:c>
      <x:c r="R137" s="19" t="str">
        <x:v>独立判定</x:v>
      </x:c>
    </x:row>
    <x:row r="138" ht="19" customHeight="1">
      <x:c r="A138" s="19" t="str">
        <x:v>D00134</x:v>
      </x:c>
      <x:c r="B138" s="19" t="n">
        <x:v>1</x:v>
      </x:c>
      <x:c r="C138" s="19" t="n">
        <x:v>3</x:v>
      </x:c>
      <x:c r="D138" s="19" t="str">
        <x:v>EL-MON-COURT-002</x:v>
      </x:c>
      <x:c r="E138" s="19" t="str">
        <x:v>沉宫侍从</x:v>
      </x:c>
      <x:c r="F138" s="19" t="str">
        <x:v>普通</x:v>
      </x:c>
      <x:c r="G138" s="19" t="str">
        <x:v>材料独立候选</x:v>
      </x:c>
      <x:c r="H138" s="19" t="str">
        <x:v>海蚀铁片</x:v>
      </x:c>
      <x:c r="I138" s="22" t="n">
        <x:v>400</x:v>
      </x:c>
      <x:c r="J138" s="22" t="n">
        <x:v>8</x:v>
      </x:c>
      <x:c r="K138" s="19" t="n">
        <x:v>1</x:v>
      </x:c>
      <x:c r="L138" s="24" t="n">
        <x:v>11.5</x:v>
      </x:c>
      <x:c r="M138" s="26" t="n">
        <x:v>0</x:v>
      </x:c>
      <x:c r="N138" s="24" t="n">
        <x:v>63.91682892154805</x:v>
      </x:c>
      <x:c r="O138" s="28" t="n">
        <x:f>MIN(1,L138/I138)</x:f>
        <x:v>0.02875</x:v>
      </x:c>
      <x:c r="P138" s="30" t="n">
        <x:f>O138*J138*(1+M138)</x:f>
        <x:v>0.23</x:v>
      </x:c>
      <x:c r="Q138" s="30" t="n">
        <x:f>P138*N138</x:f>
        <x:v>14.700870651956052</x:v>
      </x:c>
      <x:c r="R138" s="19" t="str">
        <x:v>独立判定</x:v>
      </x:c>
    </x:row>
    <x:row r="139" ht="19" customHeight="1">
      <x:c r="A139" s="19" t="str">
        <x:v>D00135</x:v>
      </x:c>
      <x:c r="B139" s="19" t="n">
        <x:v>1</x:v>
      </x:c>
      <x:c r="C139" s="19" t="n">
        <x:v>3</x:v>
      </x:c>
      <x:c r="D139" s="19" t="str">
        <x:v>EL-MON-COURT-002</x:v>
      </x:c>
      <x:c r="E139" s="19" t="str">
        <x:v>沉宫侍从</x:v>
      </x:c>
      <x:c r="F139" s="19" t="str">
        <x:v>普通</x:v>
      </x:c>
      <x:c r="G139" s="19" t="str">
        <x:v>材料独立候选</x:v>
      </x:c>
      <x:c r="H139" s="19" t="str">
        <x:v>技能残页</x:v>
      </x:c>
      <x:c r="I139" s="22" t="n">
        <x:v>60</x:v>
      </x:c>
      <x:c r="J139" s="22" t="n">
        <x:v>1</x:v>
      </x:c>
      <x:c r="K139" s="19" t="n">
        <x:v>1</x:v>
      </x:c>
      <x:c r="L139" s="24" t="n">
        <x:v>11.5</x:v>
      </x:c>
      <x:c r="M139" s="26" t="n">
        <x:v>0</x:v>
      </x:c>
      <x:c r="N139" s="24" t="n">
        <x:v>63.91682892154805</x:v>
      </x:c>
      <x:c r="O139" s="28" t="n">
        <x:f>MIN(1,L139/I139)</x:f>
        <x:v>0.19166666666666668</x:v>
      </x:c>
      <x:c r="P139" s="30" t="n">
        <x:f>O139*J139*(1+M139)</x:f>
        <x:v>0.19166666666666668</x:v>
      </x:c>
      <x:c r="Q139" s="30" t="n">
        <x:f>P139*N139</x:f>
        <x:v>12.250725543296712</x:v>
      </x:c>
      <x:c r="R139" s="19" t="str">
        <x:v>独立判定</x:v>
      </x:c>
    </x:row>
    <x:row r="140" ht="19" customHeight="1">
      <x:c r="A140" s="19" t="str">
        <x:v>D00136</x:v>
      </x:c>
      <x:c r="B140" s="19" t="n">
        <x:v>1</x:v>
      </x:c>
      <x:c r="C140" s="19" t="n">
        <x:v>3</x:v>
      </x:c>
      <x:c r="D140" s="19" t="str">
        <x:v>EL-MON-COURT-002</x:v>
      </x:c>
      <x:c r="E140" s="19" t="str">
        <x:v>沉宫侍从</x:v>
      </x:c>
      <x:c r="F140" s="19" t="str">
        <x:v>普通</x:v>
      </x:c>
      <x:c r="G140" s="19" t="str">
        <x:v>材料独立候选</x:v>
      </x:c>
      <x:c r="H140" s="19" t="str">
        <x:v>小卢恩</x:v>
      </x:c>
      <x:c r="I140" s="22" t="n">
        <x:v>2500</x:v>
      </x:c>
      <x:c r="J140" s="22" t="n">
        <x:v>1</x:v>
      </x:c>
      <x:c r="K140" s="19" t="n">
        <x:v>1</x:v>
      </x:c>
      <x:c r="L140" s="24" t="n">
        <x:v>11.5</x:v>
      </x:c>
      <x:c r="M140" s="26" t="n">
        <x:v>0</x:v>
      </x:c>
      <x:c r="N140" s="24" t="n">
        <x:v>63.91682892154805</x:v>
      </x:c>
      <x:c r="O140" s="28" t="n">
        <x:f>MIN(1,L140/I140)</x:f>
        <x:v>0.0046</x:v>
      </x:c>
      <x:c r="P140" s="30" t="n">
        <x:f>O140*J140*(1+M140)</x:f>
        <x:v>0.0046</x:v>
      </x:c>
      <x:c r="Q140" s="30" t="n">
        <x:f>P140*N140</x:f>
        <x:v>0.29401741303912104</x:v>
      </x:c>
      <x:c r="R140" s="19" t="str">
        <x:v>独立判定</x:v>
      </x:c>
    </x:row>
    <x:row r="141" ht="19" customHeight="1">
      <x:c r="A141" s="19" t="str">
        <x:v>D00137</x:v>
      </x:c>
      <x:c r="B141" s="19" t="n">
        <x:v>1</x:v>
      </x:c>
      <x:c r="C141" s="19" t="n">
        <x:v>3</x:v>
      </x:c>
      <x:c r="D141" s="19" t="str">
        <x:v>EL-MON-COURT-003</x:v>
      </x:c>
      <x:c r="E141" s="19" t="str">
        <x:v>苔甲骑兵</x:v>
      </x:c>
      <x:c r="F141" s="19" t="str">
        <x:v>普通</x:v>
      </x:c>
      <x:c r="G141" s="19" t="str">
        <x:v>自身专属</x:v>
      </x:c>
      <x:c r="H141" s="19" t="str">
        <x:v>苔痕护腕</x:v>
      </x:c>
      <x:c r="I141" s="22" t="n">
        <x:v>300</x:v>
      </x:c>
      <x:c r="J141" s="22" t="n">
        <x:v>1</x:v>
      </x:c>
      <x:c r="K141" s="19" t="n">
        <x:v>1</x:v>
      </x:c>
      <x:c r="L141" s="24" t="n">
        <x:v>11.5</x:v>
      </x:c>
      <x:c r="M141" s="26" t="n">
        <x:v>0</x:v>
      </x:c>
      <x:c r="N141" s="24" t="n">
        <x:v>55.57985123612874</x:v>
      </x:c>
      <x:c r="O141" s="28" t="n">
        <x:f>MIN(1,L141/I141)</x:f>
        <x:v>0.03833333333333333</x:v>
      </x:c>
      <x:c r="P141" s="30" t="n">
        <x:f>O141*J141*(1+M141)</x:f>
        <x:v>0.03833333333333333</x:v>
      </x:c>
      <x:c r="Q141" s="30" t="n">
        <x:f>P141*N141</x:f>
        <x:v>2.1305609640516017</x:v>
      </x:c>
      <x:c r="R141" s="19" t="str">
        <x:v>独立判定</x:v>
      </x:c>
    </x:row>
    <x:row r="142" ht="19" customHeight="1">
      <x:c r="A142" s="19" t="str">
        <x:v>D00138</x:v>
      </x:c>
      <x:c r="B142" s="19" t="n">
        <x:v>1</x:v>
      </x:c>
      <x:c r="C142" s="19" t="n">
        <x:v>3</x:v>
      </x:c>
      <x:c r="D142" s="19" t="str">
        <x:v>EL-MON-COURT-003</x:v>
      </x:c>
      <x:c r="E142" s="19" t="str">
        <x:v>苔甲骑兵</x:v>
      </x:c>
      <x:c r="F142" s="19" t="str">
        <x:v>普通</x:v>
      </x:c>
      <x:c r="G142" s="19" t="str">
        <x:v>材料独立候选</x:v>
      </x:c>
      <x:c r="H142" s="19" t="str">
        <x:v>海蚀铁片</x:v>
      </x:c>
      <x:c r="I142" s="22" t="n">
        <x:v>400</x:v>
      </x:c>
      <x:c r="J142" s="22" t="n">
        <x:v>8</x:v>
      </x:c>
      <x:c r="K142" s="19" t="n">
        <x:v>1</x:v>
      </x:c>
      <x:c r="L142" s="24" t="n">
        <x:v>11.5</x:v>
      </x:c>
      <x:c r="M142" s="26" t="n">
        <x:v>0</x:v>
      </x:c>
      <x:c r="N142" s="24" t="n">
        <x:v>55.57985123612874</x:v>
      </x:c>
      <x:c r="O142" s="28" t="n">
        <x:f>MIN(1,L142/I142)</x:f>
        <x:v>0.02875</x:v>
      </x:c>
      <x:c r="P142" s="30" t="n">
        <x:f>O142*J142*(1+M142)</x:f>
        <x:v>0.23</x:v>
      </x:c>
      <x:c r="Q142" s="30" t="n">
        <x:f>P142*N142</x:f>
        <x:v>12.783365784309611</x:v>
      </x:c>
      <x:c r="R142" s="19" t="str">
        <x:v>独立判定</x:v>
      </x:c>
    </x:row>
    <x:row r="143" ht="19" customHeight="1">
      <x:c r="A143" s="19" t="str">
        <x:v>D00139</x:v>
      </x:c>
      <x:c r="B143" s="19" t="n">
        <x:v>1</x:v>
      </x:c>
      <x:c r="C143" s="19" t="n">
        <x:v>3</x:v>
      </x:c>
      <x:c r="D143" s="19" t="str">
        <x:v>EL-MON-COURT-003</x:v>
      </x:c>
      <x:c r="E143" s="19" t="str">
        <x:v>苔甲骑兵</x:v>
      </x:c>
      <x:c r="F143" s="19" t="str">
        <x:v>普通</x:v>
      </x:c>
      <x:c r="G143" s="19" t="str">
        <x:v>材料独立候选</x:v>
      </x:c>
      <x:c r="H143" s="19" t="str">
        <x:v>技能残页</x:v>
      </x:c>
      <x:c r="I143" s="22" t="n">
        <x:v>60</x:v>
      </x:c>
      <x:c r="J143" s="22" t="n">
        <x:v>1</x:v>
      </x:c>
      <x:c r="K143" s="19" t="n">
        <x:v>1</x:v>
      </x:c>
      <x:c r="L143" s="24" t="n">
        <x:v>11.5</x:v>
      </x:c>
      <x:c r="M143" s="26" t="n">
        <x:v>0</x:v>
      </x:c>
      <x:c r="N143" s="24" t="n">
        <x:v>55.57985123612874</x:v>
      </x:c>
      <x:c r="O143" s="28" t="n">
        <x:f>MIN(1,L143/I143)</x:f>
        <x:v>0.19166666666666668</x:v>
      </x:c>
      <x:c r="P143" s="30" t="n">
        <x:f>O143*J143*(1+M143)</x:f>
        <x:v>0.19166666666666668</x:v>
      </x:c>
      <x:c r="Q143" s="30" t="n">
        <x:f>P143*N143</x:f>
        <x:v>10.652804820258009</x:v>
      </x:c>
      <x:c r="R143" s="19" t="str">
        <x:v>独立判定</x:v>
      </x:c>
    </x:row>
    <x:row r="144" ht="19" customHeight="1">
      <x:c r="A144" s="19" t="str">
        <x:v>D00140</x:v>
      </x:c>
      <x:c r="B144" s="19" t="n">
        <x:v>1</x:v>
      </x:c>
      <x:c r="C144" s="19" t="n">
        <x:v>3</x:v>
      </x:c>
      <x:c r="D144" s="19" t="str">
        <x:v>EL-MON-COURT-003</x:v>
      </x:c>
      <x:c r="E144" s="19" t="str">
        <x:v>苔甲骑兵</x:v>
      </x:c>
      <x:c r="F144" s="19" t="str">
        <x:v>普通</x:v>
      </x:c>
      <x:c r="G144" s="19" t="str">
        <x:v>材料独立候选</x:v>
      </x:c>
      <x:c r="H144" s="19" t="str">
        <x:v>小卢恩</x:v>
      </x:c>
      <x:c r="I144" s="22" t="n">
        <x:v>2500</x:v>
      </x:c>
      <x:c r="J144" s="22" t="n">
        <x:v>1</x:v>
      </x:c>
      <x:c r="K144" s="19" t="n">
        <x:v>1</x:v>
      </x:c>
      <x:c r="L144" s="24" t="n">
        <x:v>11.5</x:v>
      </x:c>
      <x:c r="M144" s="26" t="n">
        <x:v>0</x:v>
      </x:c>
      <x:c r="N144" s="24" t="n">
        <x:v>55.57985123612874</x:v>
      </x:c>
      <x:c r="O144" s="28" t="n">
        <x:f>MIN(1,L144/I144)</x:f>
        <x:v>0.0046</x:v>
      </x:c>
      <x:c r="P144" s="30" t="n">
        <x:f>O144*J144*(1+M144)</x:f>
        <x:v>0.0046</x:v>
      </x:c>
      <x:c r="Q144" s="30" t="n">
        <x:f>P144*N144</x:f>
        <x:v>0.2556673156861922</x:v>
      </x:c>
      <x:c r="R144" s="19" t="str">
        <x:v>独立判定</x:v>
      </x:c>
    </x:row>
    <x:row r="145" ht="19" customHeight="1">
      <x:c r="A145" s="19" t="str">
        <x:v>D00141</x:v>
      </x:c>
      <x:c r="B145" s="19" t="n">
        <x:v>1</x:v>
      </x:c>
      <x:c r="C145" s="19" t="n">
        <x:v>3</x:v>
      </x:c>
      <x:c r="D145" s="19" t="str">
        <x:v>EL-MON-COURT-004</x:v>
      </x:c>
      <x:c r="E145" s="19" t="str">
        <x:v>王庭咒师</x:v>
      </x:c>
      <x:c r="F145" s="19" t="str">
        <x:v>普通</x:v>
      </x:c>
      <x:c r="G145" s="19" t="str">
        <x:v>自身专属</x:v>
      </x:c>
      <x:c r="H145" s="19" t="str">
        <x:v>王庭秘戒</x:v>
      </x:c>
      <x:c r="I145" s="22" t="n">
        <x:v>300</x:v>
      </x:c>
      <x:c r="J145" s="22" t="n">
        <x:v>1</x:v>
      </x:c>
      <x:c r="K145" s="19" t="n">
        <x:v>1</x:v>
      </x:c>
      <x:c r="L145" s="24" t="n">
        <x:v>11.5</x:v>
      </x:c>
      <x:c r="M145" s="26" t="n">
        <x:v>0</x:v>
      </x:c>
      <x:c r="N145" s="24" t="n">
        <x:v>58.10620811049823</x:v>
      </x:c>
      <x:c r="O145" s="28" t="n">
        <x:f>MIN(1,L145/I145)</x:f>
        <x:v>0.03833333333333333</x:v>
      </x:c>
      <x:c r="P145" s="30" t="n">
        <x:f>O145*J145*(1+M145)</x:f>
        <x:v>0.03833333333333333</x:v>
      </x:c>
      <x:c r="Q145" s="30" t="n">
        <x:f>P145*N145</x:f>
        <x:v>2.227404644235765</x:v>
      </x:c>
      <x:c r="R145" s="19" t="str">
        <x:v>独立判定</x:v>
      </x:c>
    </x:row>
    <x:row r="146" ht="19" customHeight="1">
      <x:c r="A146" s="19" t="str">
        <x:v>D00142</x:v>
      </x:c>
      <x:c r="B146" s="19" t="n">
        <x:v>1</x:v>
      </x:c>
      <x:c r="C146" s="19" t="n">
        <x:v>3</x:v>
      </x:c>
      <x:c r="D146" s="19" t="str">
        <x:v>EL-MON-COURT-004</x:v>
      </x:c>
      <x:c r="E146" s="19" t="str">
        <x:v>王庭咒师</x:v>
      </x:c>
      <x:c r="F146" s="19" t="str">
        <x:v>普通</x:v>
      </x:c>
      <x:c r="G146" s="19" t="str">
        <x:v>材料独立候选</x:v>
      </x:c>
      <x:c r="H146" s="19" t="str">
        <x:v>海蚀铁片</x:v>
      </x:c>
      <x:c r="I146" s="22" t="n">
        <x:v>400</x:v>
      </x:c>
      <x:c r="J146" s="22" t="n">
        <x:v>8</x:v>
      </x:c>
      <x:c r="K146" s="19" t="n">
        <x:v>1</x:v>
      </x:c>
      <x:c r="L146" s="24" t="n">
        <x:v>11.5</x:v>
      </x:c>
      <x:c r="M146" s="26" t="n">
        <x:v>0</x:v>
      </x:c>
      <x:c r="N146" s="24" t="n">
        <x:v>58.10620811049823</x:v>
      </x:c>
      <x:c r="O146" s="28" t="n">
        <x:f>MIN(1,L146/I146)</x:f>
        <x:v>0.02875</x:v>
      </x:c>
      <x:c r="P146" s="30" t="n">
        <x:f>O146*J146*(1+M146)</x:f>
        <x:v>0.23</x:v>
      </x:c>
      <x:c r="Q146" s="30" t="n">
        <x:f>P146*N146</x:f>
        <x:v>13.364427865414594</x:v>
      </x:c>
      <x:c r="R146" s="19" t="str">
        <x:v>独立判定</x:v>
      </x:c>
    </x:row>
    <x:row r="147" ht="19" customHeight="1">
      <x:c r="A147" s="19" t="str">
        <x:v>D00143</x:v>
      </x:c>
      <x:c r="B147" s="19" t="n">
        <x:v>1</x:v>
      </x:c>
      <x:c r="C147" s="19" t="n">
        <x:v>3</x:v>
      </x:c>
      <x:c r="D147" s="19" t="str">
        <x:v>EL-MON-COURT-004</x:v>
      </x:c>
      <x:c r="E147" s="19" t="str">
        <x:v>王庭咒师</x:v>
      </x:c>
      <x:c r="F147" s="19" t="str">
        <x:v>普通</x:v>
      </x:c>
      <x:c r="G147" s="19" t="str">
        <x:v>材料独立候选</x:v>
      </x:c>
      <x:c r="H147" s="19" t="str">
        <x:v>技能残页</x:v>
      </x:c>
      <x:c r="I147" s="22" t="n">
        <x:v>60</x:v>
      </x:c>
      <x:c r="J147" s="22" t="n">
        <x:v>1</x:v>
      </x:c>
      <x:c r="K147" s="19" t="n">
        <x:v>1</x:v>
      </x:c>
      <x:c r="L147" s="24" t="n">
        <x:v>11.5</x:v>
      </x:c>
      <x:c r="M147" s="26" t="n">
        <x:v>0</x:v>
      </x:c>
      <x:c r="N147" s="24" t="n">
        <x:v>58.10620811049823</x:v>
      </x:c>
      <x:c r="O147" s="28" t="n">
        <x:f>MIN(1,L147/I147)</x:f>
        <x:v>0.19166666666666668</x:v>
      </x:c>
      <x:c r="P147" s="30" t="n">
        <x:f>O147*J147*(1+M147)</x:f>
        <x:v>0.19166666666666668</x:v>
      </x:c>
      <x:c r="Q147" s="30" t="n">
        <x:f>P147*N147</x:f>
        <x:v>11.137023221178827</x:v>
      </x:c>
      <x:c r="R147" s="19" t="str">
        <x:v>独立判定</x:v>
      </x:c>
    </x:row>
    <x:row r="148" ht="19" customHeight="1">
      <x:c r="A148" s="19" t="str">
        <x:v>D00144</x:v>
      </x:c>
      <x:c r="B148" s="19" t="n">
        <x:v>1</x:v>
      </x:c>
      <x:c r="C148" s="19" t="n">
        <x:v>3</x:v>
      </x:c>
      <x:c r="D148" s="19" t="str">
        <x:v>EL-MON-COURT-004</x:v>
      </x:c>
      <x:c r="E148" s="19" t="str">
        <x:v>王庭咒师</x:v>
      </x:c>
      <x:c r="F148" s="19" t="str">
        <x:v>普通</x:v>
      </x:c>
      <x:c r="G148" s="19" t="str">
        <x:v>材料独立候选</x:v>
      </x:c>
      <x:c r="H148" s="19" t="str">
        <x:v>小卢恩</x:v>
      </x:c>
      <x:c r="I148" s="22" t="n">
        <x:v>2500</x:v>
      </x:c>
      <x:c r="J148" s="22" t="n">
        <x:v>1</x:v>
      </x:c>
      <x:c r="K148" s="19" t="n">
        <x:v>1</x:v>
      </x:c>
      <x:c r="L148" s="24" t="n">
        <x:v>11.5</x:v>
      </x:c>
      <x:c r="M148" s="26" t="n">
        <x:v>0</x:v>
      </x:c>
      <x:c r="N148" s="24" t="n">
        <x:v>58.10620811049823</x:v>
      </x:c>
      <x:c r="O148" s="28" t="n">
        <x:f>MIN(1,L148/I148)</x:f>
        <x:v>0.0046</x:v>
      </x:c>
      <x:c r="P148" s="30" t="n">
        <x:f>O148*J148*(1+M148)</x:f>
        <x:v>0.0046</x:v>
      </x:c>
      <x:c r="Q148" s="30" t="n">
        <x:f>P148*N148</x:f>
        <x:v>0.2672885573082919</x:v>
      </x:c>
      <x:c r="R148" s="19" t="str">
        <x:v>独立判定</x:v>
      </x:c>
    </x:row>
    <x:row r="149" ht="19" customHeight="1">
      <x:c r="A149" s="19" t="str">
        <x:v>D00145</x:v>
      </x:c>
      <x:c r="B149" s="19" t="n">
        <x:v>1</x:v>
      </x:c>
      <x:c r="C149" s="19" t="n">
        <x:v>3</x:v>
      </x:c>
      <x:c r="D149" s="19" t="str">
        <x:v>EL-MON-COURT-005</x:v>
      </x:c>
      <x:c r="E149" s="19" t="str">
        <x:v>深水石像</x:v>
      </x:c>
      <x:c r="F149" s="19" t="str">
        <x:v>普通</x:v>
      </x:c>
      <x:c r="G149" s="19" t="str">
        <x:v>自身专属</x:v>
      </x:c>
      <x:c r="H149" s="19" t="str">
        <x:v>深水束带</x:v>
      </x:c>
      <x:c r="I149" s="22" t="n">
        <x:v>300</x:v>
      </x:c>
      <x:c r="J149" s="22" t="n">
        <x:v>1</x:v>
      </x:c>
      <x:c r="K149" s="19" t="n">
        <x:v>1</x:v>
      </x:c>
      <x:c r="L149" s="24" t="n">
        <x:v>11.5</x:v>
      </x:c>
      <x:c r="M149" s="26" t="n">
        <x:v>0</x:v>
      </x:c>
      <x:c r="N149" s="24" t="n">
        <x:v>63.91682892154805</x:v>
      </x:c>
      <x:c r="O149" s="28" t="n">
        <x:f>MIN(1,L149/I149)</x:f>
        <x:v>0.03833333333333333</x:v>
      </x:c>
      <x:c r="P149" s="30" t="n">
        <x:f>O149*J149*(1+M149)</x:f>
        <x:v>0.03833333333333333</x:v>
      </x:c>
      <x:c r="Q149" s="30" t="n">
        <x:f>P149*N149</x:f>
        <x:v>2.450145108659342</x:v>
      </x:c>
      <x:c r="R149" s="19" t="str">
        <x:v>独立判定</x:v>
      </x:c>
    </x:row>
    <x:row r="150" ht="19" customHeight="1">
      <x:c r="A150" s="19" t="str">
        <x:v>D00146</x:v>
      </x:c>
      <x:c r="B150" s="19" t="n">
        <x:v>1</x:v>
      </x:c>
      <x:c r="C150" s="19" t="n">
        <x:v>3</x:v>
      </x:c>
      <x:c r="D150" s="19" t="str">
        <x:v>EL-MON-COURT-005</x:v>
      </x:c>
      <x:c r="E150" s="19" t="str">
        <x:v>深水石像</x:v>
      </x:c>
      <x:c r="F150" s="19" t="str">
        <x:v>普通</x:v>
      </x:c>
      <x:c r="G150" s="19" t="str">
        <x:v>材料独立候选</x:v>
      </x:c>
      <x:c r="H150" s="19" t="str">
        <x:v>海蚀铁片</x:v>
      </x:c>
      <x:c r="I150" s="22" t="n">
        <x:v>400</x:v>
      </x:c>
      <x:c r="J150" s="22" t="n">
        <x:v>8</x:v>
      </x:c>
      <x:c r="K150" s="19" t="n">
        <x:v>1</x:v>
      </x:c>
      <x:c r="L150" s="24" t="n">
        <x:v>11.5</x:v>
      </x:c>
      <x:c r="M150" s="26" t="n">
        <x:v>0</x:v>
      </x:c>
      <x:c r="N150" s="24" t="n">
        <x:v>63.91682892154805</x:v>
      </x:c>
      <x:c r="O150" s="28" t="n">
        <x:f>MIN(1,L150/I150)</x:f>
        <x:v>0.02875</x:v>
      </x:c>
      <x:c r="P150" s="30" t="n">
        <x:f>O150*J150*(1+M150)</x:f>
        <x:v>0.23</x:v>
      </x:c>
      <x:c r="Q150" s="30" t="n">
        <x:f>P150*N150</x:f>
        <x:v>14.700870651956052</x:v>
      </x:c>
      <x:c r="R150" s="19" t="str">
        <x:v>独立判定</x:v>
      </x:c>
    </x:row>
    <x:row r="151" ht="19" customHeight="1">
      <x:c r="A151" s="19" t="str">
        <x:v>D00147</x:v>
      </x:c>
      <x:c r="B151" s="19" t="n">
        <x:v>1</x:v>
      </x:c>
      <x:c r="C151" s="19" t="n">
        <x:v>3</x:v>
      </x:c>
      <x:c r="D151" s="19" t="str">
        <x:v>EL-MON-COURT-005</x:v>
      </x:c>
      <x:c r="E151" s="19" t="str">
        <x:v>深水石像</x:v>
      </x:c>
      <x:c r="F151" s="19" t="str">
        <x:v>普通</x:v>
      </x:c>
      <x:c r="G151" s="19" t="str">
        <x:v>材料独立候选</x:v>
      </x:c>
      <x:c r="H151" s="19" t="str">
        <x:v>技能残页</x:v>
      </x:c>
      <x:c r="I151" s="22" t="n">
        <x:v>60</x:v>
      </x:c>
      <x:c r="J151" s="22" t="n">
        <x:v>1</x:v>
      </x:c>
      <x:c r="K151" s="19" t="n">
        <x:v>1</x:v>
      </x:c>
      <x:c r="L151" s="24" t="n">
        <x:v>11.5</x:v>
      </x:c>
      <x:c r="M151" s="26" t="n">
        <x:v>0</x:v>
      </x:c>
      <x:c r="N151" s="24" t="n">
        <x:v>63.91682892154805</x:v>
      </x:c>
      <x:c r="O151" s="28" t="n">
        <x:f>MIN(1,L151/I151)</x:f>
        <x:v>0.19166666666666668</x:v>
      </x:c>
      <x:c r="P151" s="30" t="n">
        <x:f>O151*J151*(1+M151)</x:f>
        <x:v>0.19166666666666668</x:v>
      </x:c>
      <x:c r="Q151" s="30" t="n">
        <x:f>P151*N151</x:f>
        <x:v>12.250725543296712</x:v>
      </x:c>
      <x:c r="R151" s="19" t="str">
        <x:v>独立判定</x:v>
      </x:c>
    </x:row>
    <x:row r="152" ht="19" customHeight="1">
      <x:c r="A152" s="19" t="str">
        <x:v>D00148</x:v>
      </x:c>
      <x:c r="B152" s="19" t="n">
        <x:v>1</x:v>
      </x:c>
      <x:c r="C152" s="19" t="n">
        <x:v>3</x:v>
      </x:c>
      <x:c r="D152" s="19" t="str">
        <x:v>EL-MON-COURT-005</x:v>
      </x:c>
      <x:c r="E152" s="19" t="str">
        <x:v>深水石像</x:v>
      </x:c>
      <x:c r="F152" s="19" t="str">
        <x:v>普通</x:v>
      </x:c>
      <x:c r="G152" s="19" t="str">
        <x:v>材料独立候选</x:v>
      </x:c>
      <x:c r="H152" s="19" t="str">
        <x:v>小卢恩</x:v>
      </x:c>
      <x:c r="I152" s="22" t="n">
        <x:v>2500</x:v>
      </x:c>
      <x:c r="J152" s="22" t="n">
        <x:v>1</x:v>
      </x:c>
      <x:c r="K152" s="19" t="n">
        <x:v>1</x:v>
      </x:c>
      <x:c r="L152" s="24" t="n">
        <x:v>11.5</x:v>
      </x:c>
      <x:c r="M152" s="26" t="n">
        <x:v>0</x:v>
      </x:c>
      <x:c r="N152" s="24" t="n">
        <x:v>63.91682892154805</x:v>
      </x:c>
      <x:c r="O152" s="28" t="n">
        <x:f>MIN(1,L152/I152)</x:f>
        <x:v>0.0046</x:v>
      </x:c>
      <x:c r="P152" s="30" t="n">
        <x:f>O152*J152*(1+M152)</x:f>
        <x:v>0.0046</x:v>
      </x:c>
      <x:c r="Q152" s="30" t="n">
        <x:f>P152*N152</x:f>
        <x:v>0.29401741303912104</x:v>
      </x:c>
      <x:c r="R152" s="19" t="str">
        <x:v>独立判定</x:v>
      </x:c>
    </x:row>
    <x:row r="153" ht="19" customHeight="1">
      <x:c r="A153" s="19" t="str">
        <x:v>D00149</x:v>
      </x:c>
      <x:c r="B153" s="19" t="n">
        <x:v>1</x:v>
      </x:c>
      <x:c r="C153" s="19" t="n">
        <x:v>3</x:v>
      </x:c>
      <x:c r="D153" s="19" t="str">
        <x:v>EL-MON-COURT-006</x:v>
      </x:c>
      <x:c r="E153" s="19" t="str">
        <x:v>幽灯侍者</x:v>
      </x:c>
      <x:c r="F153" s="19" t="str">
        <x:v>普通</x:v>
      </x:c>
      <x:c r="G153" s="19" t="str">
        <x:v>自身专属</x:v>
      </x:c>
      <x:c r="H153" s="19" t="str">
        <x:v>幽灯面巾</x:v>
      </x:c>
      <x:c r="I153" s="22" t="n">
        <x:v>300</x:v>
      </x:c>
      <x:c r="J153" s="22" t="n">
        <x:v>1</x:v>
      </x:c>
      <x:c r="K153" s="19" t="n">
        <x:v>1</x:v>
      </x:c>
      <x:c r="L153" s="24" t="n">
        <x:v>11.5</x:v>
      </x:c>
      <x:c r="M153" s="26" t="n">
        <x:v>0</x:v>
      </x:c>
      <x:c r="N153" s="24" t="n">
        <x:v>63.91682892154805</x:v>
      </x:c>
      <x:c r="O153" s="28" t="n">
        <x:f>MIN(1,L153/I153)</x:f>
        <x:v>0.03833333333333333</x:v>
      </x:c>
      <x:c r="P153" s="30" t="n">
        <x:f>O153*J153*(1+M153)</x:f>
        <x:v>0.03833333333333333</x:v>
      </x:c>
      <x:c r="Q153" s="30" t="n">
        <x:f>P153*N153</x:f>
        <x:v>2.450145108659342</x:v>
      </x:c>
      <x:c r="R153" s="19" t="str">
        <x:v>独立判定</x:v>
      </x:c>
    </x:row>
    <x:row r="154" ht="19" customHeight="1">
      <x:c r="A154" s="19" t="str">
        <x:v>D00150</x:v>
      </x:c>
      <x:c r="B154" s="19" t="n">
        <x:v>1</x:v>
      </x:c>
      <x:c r="C154" s="19" t="n">
        <x:v>3</x:v>
      </x:c>
      <x:c r="D154" s="19" t="str">
        <x:v>EL-MON-COURT-006</x:v>
      </x:c>
      <x:c r="E154" s="19" t="str">
        <x:v>幽灯侍者</x:v>
      </x:c>
      <x:c r="F154" s="19" t="str">
        <x:v>普通</x:v>
      </x:c>
      <x:c r="G154" s="19" t="str">
        <x:v>材料独立候选</x:v>
      </x:c>
      <x:c r="H154" s="19" t="str">
        <x:v>海蚀铁片</x:v>
      </x:c>
      <x:c r="I154" s="22" t="n">
        <x:v>400</x:v>
      </x:c>
      <x:c r="J154" s="22" t="n">
        <x:v>8</x:v>
      </x:c>
      <x:c r="K154" s="19" t="n">
        <x:v>1</x:v>
      </x:c>
      <x:c r="L154" s="24" t="n">
        <x:v>11.5</x:v>
      </x:c>
      <x:c r="M154" s="26" t="n">
        <x:v>0</x:v>
      </x:c>
      <x:c r="N154" s="24" t="n">
        <x:v>63.91682892154805</x:v>
      </x:c>
      <x:c r="O154" s="28" t="n">
        <x:f>MIN(1,L154/I154)</x:f>
        <x:v>0.02875</x:v>
      </x:c>
      <x:c r="P154" s="30" t="n">
        <x:f>O154*J154*(1+M154)</x:f>
        <x:v>0.23</x:v>
      </x:c>
      <x:c r="Q154" s="30" t="n">
        <x:f>P154*N154</x:f>
        <x:v>14.700870651956052</x:v>
      </x:c>
      <x:c r="R154" s="19" t="str">
        <x:v>独立判定</x:v>
      </x:c>
    </x:row>
    <x:row r="155" ht="19" customHeight="1">
      <x:c r="A155" s="19" t="str">
        <x:v>D00151</x:v>
      </x:c>
      <x:c r="B155" s="19" t="n">
        <x:v>1</x:v>
      </x:c>
      <x:c r="C155" s="19" t="n">
        <x:v>3</x:v>
      </x:c>
      <x:c r="D155" s="19" t="str">
        <x:v>EL-MON-COURT-006</x:v>
      </x:c>
      <x:c r="E155" s="19" t="str">
        <x:v>幽灯侍者</x:v>
      </x:c>
      <x:c r="F155" s="19" t="str">
        <x:v>普通</x:v>
      </x:c>
      <x:c r="G155" s="19" t="str">
        <x:v>材料独立候选</x:v>
      </x:c>
      <x:c r="H155" s="19" t="str">
        <x:v>技能残页</x:v>
      </x:c>
      <x:c r="I155" s="22" t="n">
        <x:v>60</x:v>
      </x:c>
      <x:c r="J155" s="22" t="n">
        <x:v>1</x:v>
      </x:c>
      <x:c r="K155" s="19" t="n">
        <x:v>1</x:v>
      </x:c>
      <x:c r="L155" s="24" t="n">
        <x:v>11.5</x:v>
      </x:c>
      <x:c r="M155" s="26" t="n">
        <x:v>0</x:v>
      </x:c>
      <x:c r="N155" s="24" t="n">
        <x:v>63.91682892154805</x:v>
      </x:c>
      <x:c r="O155" s="28" t="n">
        <x:f>MIN(1,L155/I155)</x:f>
        <x:v>0.19166666666666668</x:v>
      </x:c>
      <x:c r="P155" s="30" t="n">
        <x:f>O155*J155*(1+M155)</x:f>
        <x:v>0.19166666666666668</x:v>
      </x:c>
      <x:c r="Q155" s="30" t="n">
        <x:f>P155*N155</x:f>
        <x:v>12.250725543296712</x:v>
      </x:c>
      <x:c r="R155" s="19" t="str">
        <x:v>独立判定</x:v>
      </x:c>
    </x:row>
    <x:row r="156" ht="19" customHeight="1">
      <x:c r="A156" s="19" t="str">
        <x:v>D00152</x:v>
      </x:c>
      <x:c r="B156" s="19" t="n">
        <x:v>1</x:v>
      </x:c>
      <x:c r="C156" s="19" t="n">
        <x:v>3</x:v>
      </x:c>
      <x:c r="D156" s="19" t="str">
        <x:v>EL-MON-COURT-006</x:v>
      </x:c>
      <x:c r="E156" s="19" t="str">
        <x:v>幽灯侍者</x:v>
      </x:c>
      <x:c r="F156" s="19" t="str">
        <x:v>普通</x:v>
      </x:c>
      <x:c r="G156" s="19" t="str">
        <x:v>材料独立候选</x:v>
      </x:c>
      <x:c r="H156" s="19" t="str">
        <x:v>小卢恩</x:v>
      </x:c>
      <x:c r="I156" s="22" t="n">
        <x:v>2500</x:v>
      </x:c>
      <x:c r="J156" s="22" t="n">
        <x:v>1</x:v>
      </x:c>
      <x:c r="K156" s="19" t="n">
        <x:v>1</x:v>
      </x:c>
      <x:c r="L156" s="24" t="n">
        <x:v>11.5</x:v>
      </x:c>
      <x:c r="M156" s="26" t="n">
        <x:v>0</x:v>
      </x:c>
      <x:c r="N156" s="24" t="n">
        <x:v>63.91682892154805</x:v>
      </x:c>
      <x:c r="O156" s="28" t="n">
        <x:f>MIN(1,L156/I156)</x:f>
        <x:v>0.0046</x:v>
      </x:c>
      <x:c r="P156" s="30" t="n">
        <x:f>O156*J156*(1+M156)</x:f>
        <x:v>0.0046</x:v>
      </x:c>
      <x:c r="Q156" s="30" t="n">
        <x:f>P156*N156</x:f>
        <x:v>0.29401741303912104</x:v>
      </x:c>
      <x:c r="R156" s="19" t="str">
        <x:v>独立判定</x:v>
      </x:c>
    </x:row>
    <x:row r="157" ht="19" customHeight="1">
      <x:c r="A157" s="19" t="str">
        <x:v>D00153</x:v>
      </x:c>
      <x:c r="B157" s="19" t="n">
        <x:v>1</x:v>
      </x:c>
      <x:c r="C157" s="19" t="n">
        <x:v>3</x:v>
      </x:c>
      <x:c r="D157" s="19" t="str">
        <x:v>EL-MON-COURT-007</x:v>
      </x:c>
      <x:c r="E157" s="19" t="str">
        <x:v>失冠王子</x:v>
      </x:c>
      <x:c r="F157" s="19" t="str">
        <x:v>稀有</x:v>
      </x:c>
      <x:c r="G157" s="19" t="str">
        <x:v>自身专属</x:v>
      </x:c>
      <x:c r="H157" s="19" t="str">
        <x:v>失冠战靴</x:v>
      </x:c>
      <x:c r="I157" s="22" t="n">
        <x:v>120</x:v>
      </x:c>
      <x:c r="J157" s="22" t="n">
        <x:v>1</x:v>
      </x:c>
      <x:c r="K157" s="19" t="n">
        <x:v>1</x:v>
      </x:c>
      <x:c r="L157" s="24" t="n">
        <x:v>11.5</x:v>
      </x:c>
      <x:c r="M157" s="26" t="n">
        <x:v>0</x:v>
      </x:c>
      <x:c r="N157" s="24" t="n">
        <x:v>7.080317800292339</x:v>
      </x:c>
      <x:c r="O157" s="28" t="n">
        <x:f>MIN(1,L157/I157)</x:f>
        <x:v>0.09583333333333334</x:v>
      </x:c>
      <x:c r="P157" s="30" t="n">
        <x:f>O157*J157*(1+M157)</x:f>
        <x:v>0.09583333333333334</x:v>
      </x:c>
      <x:c r="Q157" s="30" t="n">
        <x:f>P157*N157</x:f>
        <x:v>0.6785304558613492</x:v>
      </x:c>
      <x:c r="R157" s="19" t="str">
        <x:v>独立判定</x:v>
      </x:c>
    </x:row>
    <x:row r="158" ht="19" customHeight="1">
      <x:c r="A158" s="19" t="str">
        <x:v>D00154</x:v>
      </x:c>
      <x:c r="B158" s="19" t="n">
        <x:v>1</x:v>
      </x:c>
      <x:c r="C158" s="19" t="n">
        <x:v>3</x:v>
      </x:c>
      <x:c r="D158" s="19" t="str">
        <x:v>EL-MON-COURT-007</x:v>
      </x:c>
      <x:c r="E158" s="19" t="str">
        <x:v>失冠王子</x:v>
      </x:c>
      <x:c r="F158" s="19" t="str">
        <x:v>稀有</x:v>
      </x:c>
      <x:c r="G158" s="19" t="str">
        <x:v>材料独立候选</x:v>
      </x:c>
      <x:c r="H158" s="19" t="str">
        <x:v>海蚀铁片</x:v>
      </x:c>
      <x:c r="I158" s="22" t="n">
        <x:v>300</x:v>
      </x:c>
      <x:c r="J158" s="22" t="n">
        <x:v>15</x:v>
      </x:c>
      <x:c r="K158" s="19" t="n">
        <x:v>1</x:v>
      </x:c>
      <x:c r="L158" s="24" t="n">
        <x:v>11.5</x:v>
      </x:c>
      <x:c r="M158" s="26" t="n">
        <x:v>0</x:v>
      </x:c>
      <x:c r="N158" s="24" t="n">
        <x:v>7.080317800292339</x:v>
      </x:c>
      <x:c r="O158" s="28" t="n">
        <x:f>MIN(1,L158/I158)</x:f>
        <x:v>0.03833333333333333</x:v>
      </x:c>
      <x:c r="P158" s="30" t="n">
        <x:f>O158*J158*(1+M158)</x:f>
        <x:v>0.575</x:v>
      </x:c>
      <x:c r="Q158" s="30" t="n">
        <x:f>P158*N158</x:f>
        <x:v>4.071182735168095</x:v>
      </x:c>
      <x:c r="R158" s="19" t="str">
        <x:v>独立判定</x:v>
      </x:c>
    </x:row>
    <x:row r="159" ht="19" customHeight="1">
      <x:c r="A159" s="19" t="str">
        <x:v>D00155</x:v>
      </x:c>
      <x:c r="B159" s="19" t="n">
        <x:v>1</x:v>
      </x:c>
      <x:c r="C159" s="19" t="n">
        <x:v>3</x:v>
      </x:c>
      <x:c r="D159" s="19" t="str">
        <x:v>EL-MON-COURT-007</x:v>
      </x:c>
      <x:c r="E159" s="19" t="str">
        <x:v>失冠王子</x:v>
      </x:c>
      <x:c r="F159" s="19" t="str">
        <x:v>稀有</x:v>
      </x:c>
      <x:c r="G159" s="19" t="str">
        <x:v>材料独立候选</x:v>
      </x:c>
      <x:c r="H159" s="19" t="str">
        <x:v>潮痕结晶</x:v>
      </x:c>
      <x:c r="I159" s="22" t="n">
        <x:v>120</x:v>
      </x:c>
      <x:c r="J159" s="22" t="n">
        <x:v>1</x:v>
      </x:c>
      <x:c r="K159" s="19" t="n">
        <x:v>1</x:v>
      </x:c>
      <x:c r="L159" s="24" t="n">
        <x:v>11.5</x:v>
      </x:c>
      <x:c r="M159" s="26" t="n">
        <x:v>0</x:v>
      </x:c>
      <x:c r="N159" s="24" t="n">
        <x:v>7.080317800292339</x:v>
      </x:c>
      <x:c r="O159" s="28" t="n">
        <x:f>MIN(1,L159/I159)</x:f>
        <x:v>0.09583333333333334</x:v>
      </x:c>
      <x:c r="P159" s="30" t="n">
        <x:f>O159*J159*(1+M159)</x:f>
        <x:v>0.09583333333333334</x:v>
      </x:c>
      <x:c r="Q159" s="30" t="n">
        <x:f>P159*N159</x:f>
        <x:v>0.6785304558613492</x:v>
      </x:c>
      <x:c r="R159" s="19" t="str">
        <x:v>独立判定</x:v>
      </x:c>
    </x:row>
    <x:row r="160" ht="19" customHeight="1">
      <x:c r="A160" s="19" t="str">
        <x:v>D00156</x:v>
      </x:c>
      <x:c r="B160" s="19" t="n">
        <x:v>1</x:v>
      </x:c>
      <x:c r="C160" s="19" t="n">
        <x:v>3</x:v>
      </x:c>
      <x:c r="D160" s="19" t="str">
        <x:v>EL-MON-COURT-007</x:v>
      </x:c>
      <x:c r="E160" s="19" t="str">
        <x:v>失冠王子</x:v>
      </x:c>
      <x:c r="F160" s="19" t="str">
        <x:v>稀有</x:v>
      </x:c>
      <x:c r="G160" s="19" t="str">
        <x:v>材料独立候选</x:v>
      </x:c>
      <x:c r="H160" s="19" t="str">
        <x:v>失冠徽记</x:v>
      </x:c>
      <x:c r="I160" s="22" t="n">
        <x:v>50</x:v>
      </x:c>
      <x:c r="J160" s="22" t="n">
        <x:v>3</x:v>
      </x:c>
      <x:c r="K160" s="19" t="n">
        <x:v>1</x:v>
      </x:c>
      <x:c r="L160" s="24" t="n">
        <x:v>11.5</x:v>
      </x:c>
      <x:c r="M160" s="26" t="n">
        <x:v>0</x:v>
      </x:c>
      <x:c r="N160" s="24" t="n">
        <x:v>7.080317800292339</x:v>
      </x:c>
      <x:c r="O160" s="28" t="n">
        <x:f>MIN(1,L160/I160)</x:f>
        <x:v>0.23</x:v>
      </x:c>
      <x:c r="P160" s="30" t="n">
        <x:f>O160*J160*(1+M160)</x:f>
        <x:v>0.6900000000000001</x:v>
      </x:c>
      <x:c r="Q160" s="30" t="n">
        <x:f>P160*N160</x:f>
        <x:v>4.885419282201714</x:v>
      </x:c>
      <x:c r="R160" s="19" t="str">
        <x:v>独立判定</x:v>
      </x:c>
    </x:row>
    <x:row r="161" ht="19" customHeight="1">
      <x:c r="A161" s="19" t="str">
        <x:v>D00157</x:v>
      </x:c>
      <x:c r="B161" s="19" t="n">
        <x:v>1</x:v>
      </x:c>
      <x:c r="C161" s="19" t="n">
        <x:v>3</x:v>
      </x:c>
      <x:c r="D161" s="19" t="str">
        <x:v>EL-MON-COURT-007</x:v>
      </x:c>
      <x:c r="E161" s="19" t="str">
        <x:v>失冠王子</x:v>
      </x:c>
      <x:c r="F161" s="19" t="str">
        <x:v>稀有</x:v>
      </x:c>
      <x:c r="G161" s="19" t="str">
        <x:v>材料独立候选</x:v>
      </x:c>
      <x:c r="H161" s="19" t="str">
        <x:v>技能残页</x:v>
      </x:c>
      <x:c r="I161" s="22" t="n">
        <x:v>40</x:v>
      </x:c>
      <x:c r="J161" s="22" t="n">
        <x:v>1</x:v>
      </x:c>
      <x:c r="K161" s="19" t="n">
        <x:v>1</x:v>
      </x:c>
      <x:c r="L161" s="24" t="n">
        <x:v>11.5</x:v>
      </x:c>
      <x:c r="M161" s="26" t="n">
        <x:v>0</x:v>
      </x:c>
      <x:c r="N161" s="24" t="n">
        <x:v>7.080317800292339</x:v>
      </x:c>
      <x:c r="O161" s="28" t="n">
        <x:f>MIN(1,L161/I161)</x:f>
        <x:v>0.2875</x:v>
      </x:c>
      <x:c r="P161" s="30" t="n">
        <x:f>O161*J161*(1+M161)</x:f>
        <x:v>0.2875</x:v>
      </x:c>
      <x:c r="Q161" s="30" t="n">
        <x:f>P161*N161</x:f>
        <x:v>2.0355913675840474</x:v>
      </x:c>
      <x:c r="R161" s="19" t="str">
        <x:v>独立判定</x:v>
      </x:c>
    </x:row>
    <x:row r="162" ht="19" customHeight="1">
      <x:c r="A162" s="19" t="str">
        <x:v>D00158</x:v>
      </x:c>
      <x:c r="B162" s="19" t="n">
        <x:v>1</x:v>
      </x:c>
      <x:c r="C162" s="19" t="n">
        <x:v>3</x:v>
      </x:c>
      <x:c r="D162" s="19" t="str">
        <x:v>EL-MON-COURT-007</x:v>
      </x:c>
      <x:c r="E162" s="19" t="str">
        <x:v>失冠王子</x:v>
      </x:c>
      <x:c r="F162" s="19" t="str">
        <x:v>稀有</x:v>
      </x:c>
      <x:c r="G162" s="19" t="str">
        <x:v>材料独立候选</x:v>
      </x:c>
      <x:c r="H162" s="19" t="str">
        <x:v>小卢恩</x:v>
      </x:c>
      <x:c r="I162" s="22" t="n">
        <x:v>1500</x:v>
      </x:c>
      <x:c r="J162" s="22" t="n">
        <x:v>1</x:v>
      </x:c>
      <x:c r="K162" s="19" t="n">
        <x:v>1</x:v>
      </x:c>
      <x:c r="L162" s="24" t="n">
        <x:v>11.5</x:v>
      </x:c>
      <x:c r="M162" s="26" t="n">
        <x:v>0</x:v>
      </x:c>
      <x:c r="N162" s="24" t="n">
        <x:v>7.080317800292339</x:v>
      </x:c>
      <x:c r="O162" s="28" t="n">
        <x:f>MIN(1,L162/I162)</x:f>
        <x:v>0.007666666666666666</x:v>
      </x:c>
      <x:c r="P162" s="30" t="n">
        <x:f>O162*J162*(1+M162)</x:f>
        <x:v>0.007666666666666666</x:v>
      </x:c>
      <x:c r="Q162" s="30" t="n">
        <x:f>P162*N162</x:f>
        <x:v>0.05428243646890793</x:v>
      </x:c>
      <x:c r="R162" s="19" t="str">
        <x:v>独立判定</x:v>
      </x:c>
    </x:row>
    <x:row r="163" ht="19" customHeight="1">
      <x:c r="A163" s="19" t="str">
        <x:v>D00159</x:v>
      </x:c>
      <x:c r="B163" s="19" t="n">
        <x:v>1</x:v>
      </x:c>
      <x:c r="C163" s="19" t="n">
        <x:v>3</x:v>
      </x:c>
      <x:c r="D163" s="19" t="str">
        <x:v>EL-MON-COURT-008</x:v>
      </x:c>
      <x:c r="E163" s="19" t="str">
        <x:v>深渊看守</x:v>
      </x:c>
      <x:c r="F163" s="19" t="str">
        <x:v>稀有</x:v>
      </x:c>
      <x:c r="G163" s="19" t="str">
        <x:v>自身专属</x:v>
      </x:c>
      <x:c r="H163" s="19" t="str">
        <x:v>深渊勋章</x:v>
      </x:c>
      <x:c r="I163" s="22" t="n">
        <x:v>120</x:v>
      </x:c>
      <x:c r="J163" s="22" t="n">
        <x:v>1</x:v>
      </x:c>
      <x:c r="K163" s="19" t="n">
        <x:v>1</x:v>
      </x:c>
      <x:c r="L163" s="24" t="n">
        <x:v>11.5</x:v>
      </x:c>
      <x:c r="M163" s="26" t="n">
        <x:v>0</x:v>
      </x:c>
      <x:c r="N163" s="24" t="n">
        <x:v>6.772477895931803</x:v>
      </x:c>
      <x:c r="O163" s="28" t="n">
        <x:f>MIN(1,L163/I163)</x:f>
        <x:v>0.09583333333333334</x:v>
      </x:c>
      <x:c r="P163" s="30" t="n">
        <x:f>O163*J163*(1+M163)</x:f>
        <x:v>0.09583333333333334</x:v>
      </x:c>
      <x:c r="Q163" s="30" t="n">
        <x:f>P163*N163</x:f>
        <x:v>0.6490291316934644</x:v>
      </x:c>
      <x:c r="R163" s="19" t="str">
        <x:v>独立判定</x:v>
      </x:c>
    </x:row>
    <x:row r="164" ht="19" customHeight="1">
      <x:c r="A164" s="19" t="str">
        <x:v>D00160</x:v>
      </x:c>
      <x:c r="B164" s="19" t="n">
        <x:v>1</x:v>
      </x:c>
      <x:c r="C164" s="19" t="n">
        <x:v>3</x:v>
      </x:c>
      <x:c r="D164" s="19" t="str">
        <x:v>EL-MON-COURT-008</x:v>
      </x:c>
      <x:c r="E164" s="19" t="str">
        <x:v>深渊看守</x:v>
      </x:c>
      <x:c r="F164" s="19" t="str">
        <x:v>稀有</x:v>
      </x:c>
      <x:c r="G164" s="19" t="str">
        <x:v>材料独立候选</x:v>
      </x:c>
      <x:c r="H164" s="19" t="str">
        <x:v>海蚀铁片</x:v>
      </x:c>
      <x:c r="I164" s="22" t="n">
        <x:v>300</x:v>
      </x:c>
      <x:c r="J164" s="22" t="n">
        <x:v>15</x:v>
      </x:c>
      <x:c r="K164" s="19" t="n">
        <x:v>1</x:v>
      </x:c>
      <x:c r="L164" s="24" t="n">
        <x:v>11.5</x:v>
      </x:c>
      <x:c r="M164" s="26" t="n">
        <x:v>0</x:v>
      </x:c>
      <x:c r="N164" s="24" t="n">
        <x:v>6.772477895931803</x:v>
      </x:c>
      <x:c r="O164" s="28" t="n">
        <x:f>MIN(1,L164/I164)</x:f>
        <x:v>0.03833333333333333</x:v>
      </x:c>
      <x:c r="P164" s="30" t="n">
        <x:f>O164*J164*(1+M164)</x:f>
        <x:v>0.575</x:v>
      </x:c>
      <x:c r="Q164" s="30" t="n">
        <x:f>P164*N164</x:f>
        <x:v>3.894174790160786</x:v>
      </x:c>
      <x:c r="R164" s="19" t="str">
        <x:v>独立判定</x:v>
      </x:c>
    </x:row>
    <x:row r="165" ht="19" customHeight="1">
      <x:c r="A165" s="19" t="str">
        <x:v>D00161</x:v>
      </x:c>
      <x:c r="B165" s="19" t="n">
        <x:v>1</x:v>
      </x:c>
      <x:c r="C165" s="19" t="n">
        <x:v>3</x:v>
      </x:c>
      <x:c r="D165" s="19" t="str">
        <x:v>EL-MON-COURT-008</x:v>
      </x:c>
      <x:c r="E165" s="19" t="str">
        <x:v>深渊看守</x:v>
      </x:c>
      <x:c r="F165" s="19" t="str">
        <x:v>稀有</x:v>
      </x:c>
      <x:c r="G165" s="19" t="str">
        <x:v>材料独立候选</x:v>
      </x:c>
      <x:c r="H165" s="19" t="str">
        <x:v>潮痕结晶</x:v>
      </x:c>
      <x:c r="I165" s="22" t="n">
        <x:v>120</x:v>
      </x:c>
      <x:c r="J165" s="22" t="n">
        <x:v>1</x:v>
      </x:c>
      <x:c r="K165" s="19" t="n">
        <x:v>1</x:v>
      </x:c>
      <x:c r="L165" s="24" t="n">
        <x:v>11.5</x:v>
      </x:c>
      <x:c r="M165" s="26" t="n">
        <x:v>0</x:v>
      </x:c>
      <x:c r="N165" s="24" t="n">
        <x:v>6.772477895931803</x:v>
      </x:c>
      <x:c r="O165" s="28" t="n">
        <x:f>MIN(1,L165/I165)</x:f>
        <x:v>0.09583333333333334</x:v>
      </x:c>
      <x:c r="P165" s="30" t="n">
        <x:f>O165*J165*(1+M165)</x:f>
        <x:v>0.09583333333333334</x:v>
      </x:c>
      <x:c r="Q165" s="30" t="n">
        <x:f>P165*N165</x:f>
        <x:v>0.6490291316934644</x:v>
      </x:c>
      <x:c r="R165" s="19" t="str">
        <x:v>独立判定</x:v>
      </x:c>
    </x:row>
    <x:row r="166" ht="19" customHeight="1">
      <x:c r="A166" s="19" t="str">
        <x:v>D00162</x:v>
      </x:c>
      <x:c r="B166" s="19" t="n">
        <x:v>1</x:v>
      </x:c>
      <x:c r="C166" s="19" t="n">
        <x:v>3</x:v>
      </x:c>
      <x:c r="D166" s="19" t="str">
        <x:v>EL-MON-COURT-008</x:v>
      </x:c>
      <x:c r="E166" s="19" t="str">
        <x:v>深渊看守</x:v>
      </x:c>
      <x:c r="F166" s="19" t="str">
        <x:v>稀有</x:v>
      </x:c>
      <x:c r="G166" s="19" t="str">
        <x:v>材料独立候选</x:v>
      </x:c>
      <x:c r="H166" s="19" t="str">
        <x:v>技能残页</x:v>
      </x:c>
      <x:c r="I166" s="22" t="n">
        <x:v>40</x:v>
      </x:c>
      <x:c r="J166" s="22" t="n">
        <x:v>1</x:v>
      </x:c>
      <x:c r="K166" s="19" t="n">
        <x:v>1</x:v>
      </x:c>
      <x:c r="L166" s="24" t="n">
        <x:v>11.5</x:v>
      </x:c>
      <x:c r="M166" s="26" t="n">
        <x:v>0</x:v>
      </x:c>
      <x:c r="N166" s="24" t="n">
        <x:v>6.772477895931803</x:v>
      </x:c>
      <x:c r="O166" s="28" t="n">
        <x:f>MIN(1,L166/I166)</x:f>
        <x:v>0.2875</x:v>
      </x:c>
      <x:c r="P166" s="30" t="n">
        <x:f>O166*J166*(1+M166)</x:f>
        <x:v>0.2875</x:v>
      </x:c>
      <x:c r="Q166" s="30" t="n">
        <x:f>P166*N166</x:f>
        <x:v>1.947087395080393</x:v>
      </x:c>
      <x:c r="R166" s="19" t="str">
        <x:v>独立判定</x:v>
      </x:c>
    </x:row>
    <x:row r="167" ht="19" customHeight="1">
      <x:c r="A167" s="19" t="str">
        <x:v>D00163</x:v>
      </x:c>
      <x:c r="B167" s="19" t="n">
        <x:v>1</x:v>
      </x:c>
      <x:c r="C167" s="19" t="n">
        <x:v>3</x:v>
      </x:c>
      <x:c r="D167" s="19" t="str">
        <x:v>EL-MON-COURT-008</x:v>
      </x:c>
      <x:c r="E167" s="19" t="str">
        <x:v>深渊看守</x:v>
      </x:c>
      <x:c r="F167" s="19" t="str">
        <x:v>稀有</x:v>
      </x:c>
      <x:c r="G167" s="19" t="str">
        <x:v>材料独立候选</x:v>
      </x:c>
      <x:c r="H167" s="19" t="str">
        <x:v>小卢恩</x:v>
      </x:c>
      <x:c r="I167" s="22" t="n">
        <x:v>1500</x:v>
      </x:c>
      <x:c r="J167" s="22" t="n">
        <x:v>1</x:v>
      </x:c>
      <x:c r="K167" s="19" t="n">
        <x:v>1</x:v>
      </x:c>
      <x:c r="L167" s="24" t="n">
        <x:v>11.5</x:v>
      </x:c>
      <x:c r="M167" s="26" t="n">
        <x:v>0</x:v>
      </x:c>
      <x:c r="N167" s="24" t="n">
        <x:v>6.772477895931803</x:v>
      </x:c>
      <x:c r="O167" s="28" t="n">
        <x:f>MIN(1,L167/I167)</x:f>
        <x:v>0.007666666666666666</x:v>
      </x:c>
      <x:c r="P167" s="30" t="n">
        <x:f>O167*J167*(1+M167)</x:f>
        <x:v>0.007666666666666666</x:v>
      </x:c>
      <x:c r="Q167" s="30" t="n">
        <x:f>P167*N167</x:f>
        <x:v>0.05192233053547715</x:v>
      </x:c>
      <x:c r="R167" s="19" t="str">
        <x:v>独立判定</x:v>
      </x:c>
    </x:row>
    <x:row r="168" ht="19" customHeight="1">
      <x:c r="A168" s="19" t="str">
        <x:v>D00164</x:v>
      </x:c>
      <x:c r="B168" s="19" t="n">
        <x:v>1</x:v>
      </x:c>
      <x:c r="C168" s="19" t="n">
        <x:v>3</x:v>
      </x:c>
      <x:c r="D168" s="19" t="str">
        <x:v>EL-MON-COURT-009</x:v>
      </x:c>
      <x:c r="E168" s="19" t="str">
        <x:v>王庭裁决官</x:v>
      </x:c>
      <x:c r="F168" s="19" t="str">
        <x:v>稀有</x:v>
      </x:c>
      <x:c r="G168" s="19" t="str">
        <x:v>自身专属</x:v>
      </x:c>
      <x:c r="H168" s="19" t="str">
        <x:v>裁决王盾</x:v>
      </x:c>
      <x:c r="I168" s="22" t="n">
        <x:v>120</x:v>
      </x:c>
      <x:c r="J168" s="22" t="n">
        <x:v>1</x:v>
      </x:c>
      <x:c r="K168" s="19" t="n">
        <x:v>1</x:v>
      </x:c>
      <x:c r="L168" s="24" t="n">
        <x:v>11.5</x:v>
      </x:c>
      <x:c r="M168" s="26" t="n">
        <x:v>0</x:v>
      </x:c>
      <x:c r="N168" s="24" t="n">
        <x:v>7.788349580321572</x:v>
      </x:c>
      <x:c r="O168" s="28" t="n">
        <x:f>MIN(1,L168/I168)</x:f>
        <x:v>0.09583333333333334</x:v>
      </x:c>
      <x:c r="P168" s="30" t="n">
        <x:f>O168*J168*(1+M168)</x:f>
        <x:v>0.09583333333333334</x:v>
      </x:c>
      <x:c r="Q168" s="30" t="n">
        <x:f>P168*N168</x:f>
        <x:v>0.7463835014474841</x:v>
      </x:c>
      <x:c r="R168" s="19" t="str">
        <x:v>独立判定</x:v>
      </x:c>
    </x:row>
    <x:row r="169" ht="19" customHeight="1">
      <x:c r="A169" s="19" t="str">
        <x:v>D00165</x:v>
      </x:c>
      <x:c r="B169" s="19" t="n">
        <x:v>1</x:v>
      </x:c>
      <x:c r="C169" s="19" t="n">
        <x:v>3</x:v>
      </x:c>
      <x:c r="D169" s="19" t="str">
        <x:v>EL-MON-COURT-009</x:v>
      </x:c>
      <x:c r="E169" s="19" t="str">
        <x:v>王庭裁决官</x:v>
      </x:c>
      <x:c r="F169" s="19" t="str">
        <x:v>稀有</x:v>
      </x:c>
      <x:c r="G169" s="19" t="str">
        <x:v>材料独立候选</x:v>
      </x:c>
      <x:c r="H169" s="19" t="str">
        <x:v>海蚀铁片</x:v>
      </x:c>
      <x:c r="I169" s="22" t="n">
        <x:v>300</x:v>
      </x:c>
      <x:c r="J169" s="22" t="n">
        <x:v>15</x:v>
      </x:c>
      <x:c r="K169" s="19" t="n">
        <x:v>1</x:v>
      </x:c>
      <x:c r="L169" s="24" t="n">
        <x:v>11.5</x:v>
      </x:c>
      <x:c r="M169" s="26" t="n">
        <x:v>0</x:v>
      </x:c>
      <x:c r="N169" s="24" t="n">
        <x:v>7.788349580321572</x:v>
      </x:c>
      <x:c r="O169" s="28" t="n">
        <x:f>MIN(1,L169/I169)</x:f>
        <x:v>0.03833333333333333</x:v>
      </x:c>
      <x:c r="P169" s="30" t="n">
        <x:f>O169*J169*(1+M169)</x:f>
        <x:v>0.575</x:v>
      </x:c>
      <x:c r="Q169" s="30" t="n">
        <x:f>P169*N169</x:f>
        <x:v>4.4783010086849036</x:v>
      </x:c>
      <x:c r="R169" s="19" t="str">
        <x:v>独立判定</x:v>
      </x:c>
    </x:row>
    <x:row r="170" ht="19" customHeight="1">
      <x:c r="A170" s="19" t="str">
        <x:v>D00166</x:v>
      </x:c>
      <x:c r="B170" s="19" t="n">
        <x:v>1</x:v>
      </x:c>
      <x:c r="C170" s="19" t="n">
        <x:v>3</x:v>
      </x:c>
      <x:c r="D170" s="19" t="str">
        <x:v>EL-MON-COURT-009</x:v>
      </x:c>
      <x:c r="E170" s="19" t="str">
        <x:v>王庭裁决官</x:v>
      </x:c>
      <x:c r="F170" s="19" t="str">
        <x:v>稀有</x:v>
      </x:c>
      <x:c r="G170" s="19" t="str">
        <x:v>材料独立候选</x:v>
      </x:c>
      <x:c r="H170" s="19" t="str">
        <x:v>潮痕结晶</x:v>
      </x:c>
      <x:c r="I170" s="22" t="n">
        <x:v>120</x:v>
      </x:c>
      <x:c r="J170" s="22" t="n">
        <x:v>1</x:v>
      </x:c>
      <x:c r="K170" s="19" t="n">
        <x:v>1</x:v>
      </x:c>
      <x:c r="L170" s="24" t="n">
        <x:v>11.5</x:v>
      </x:c>
      <x:c r="M170" s="26" t="n">
        <x:v>0</x:v>
      </x:c>
      <x:c r="N170" s="24" t="n">
        <x:v>7.788349580321572</x:v>
      </x:c>
      <x:c r="O170" s="28" t="n">
        <x:f>MIN(1,L170/I170)</x:f>
        <x:v>0.09583333333333334</x:v>
      </x:c>
      <x:c r="P170" s="30" t="n">
        <x:f>O170*J170*(1+M170)</x:f>
        <x:v>0.09583333333333334</x:v>
      </x:c>
      <x:c r="Q170" s="30" t="n">
        <x:f>P170*N170</x:f>
        <x:v>0.7463835014474841</x:v>
      </x:c>
      <x:c r="R170" s="19" t="str">
        <x:v>独立判定</x:v>
      </x:c>
    </x:row>
    <x:row r="171" ht="19" customHeight="1">
      <x:c r="A171" s="19" t="str">
        <x:v>D00167</x:v>
      </x:c>
      <x:c r="B171" s="19" t="n">
        <x:v>1</x:v>
      </x:c>
      <x:c r="C171" s="19" t="n">
        <x:v>3</x:v>
      </x:c>
      <x:c r="D171" s="19" t="str">
        <x:v>EL-MON-COURT-009</x:v>
      </x:c>
      <x:c r="E171" s="19" t="str">
        <x:v>王庭裁决官</x:v>
      </x:c>
      <x:c r="F171" s="19" t="str">
        <x:v>稀有</x:v>
      </x:c>
      <x:c r="G171" s="19" t="str">
        <x:v>材料独立候选</x:v>
      </x:c>
      <x:c r="H171" s="19" t="str">
        <x:v>技能残页</x:v>
      </x:c>
      <x:c r="I171" s="22" t="n">
        <x:v>40</x:v>
      </x:c>
      <x:c r="J171" s="22" t="n">
        <x:v>1</x:v>
      </x:c>
      <x:c r="K171" s="19" t="n">
        <x:v>1</x:v>
      </x:c>
      <x:c r="L171" s="24" t="n">
        <x:v>11.5</x:v>
      </x:c>
      <x:c r="M171" s="26" t="n">
        <x:v>0</x:v>
      </x:c>
      <x:c r="N171" s="24" t="n">
        <x:v>7.788349580321572</x:v>
      </x:c>
      <x:c r="O171" s="28" t="n">
        <x:f>MIN(1,L171/I171)</x:f>
        <x:v>0.2875</x:v>
      </x:c>
      <x:c r="P171" s="30" t="n">
        <x:f>O171*J171*(1+M171)</x:f>
        <x:v>0.2875</x:v>
      </x:c>
      <x:c r="Q171" s="30" t="n">
        <x:f>P171*N171</x:f>
        <x:v>2.2391505043424518</x:v>
      </x:c>
      <x:c r="R171" s="19" t="str">
        <x:v>独立判定</x:v>
      </x:c>
    </x:row>
    <x:row r="172" ht="19" customHeight="1">
      <x:c r="A172" s="19" t="str">
        <x:v>D00168</x:v>
      </x:c>
      <x:c r="B172" s="19" t="n">
        <x:v>1</x:v>
      </x:c>
      <x:c r="C172" s="19" t="n">
        <x:v>3</x:v>
      </x:c>
      <x:c r="D172" s="19" t="str">
        <x:v>EL-MON-COURT-009</x:v>
      </x:c>
      <x:c r="E172" s="19" t="str">
        <x:v>王庭裁决官</x:v>
      </x:c>
      <x:c r="F172" s="19" t="str">
        <x:v>稀有</x:v>
      </x:c>
      <x:c r="G172" s="19" t="str">
        <x:v>材料独立候选</x:v>
      </x:c>
      <x:c r="H172" s="19" t="str">
        <x:v>小卢恩</x:v>
      </x:c>
      <x:c r="I172" s="22" t="n">
        <x:v>1500</x:v>
      </x:c>
      <x:c r="J172" s="22" t="n">
        <x:v>1</x:v>
      </x:c>
      <x:c r="K172" s="19" t="n">
        <x:v>1</x:v>
      </x:c>
      <x:c r="L172" s="24" t="n">
        <x:v>11.5</x:v>
      </x:c>
      <x:c r="M172" s="26" t="n">
        <x:v>0</x:v>
      </x:c>
      <x:c r="N172" s="24" t="n">
        <x:v>7.788349580321572</x:v>
      </x:c>
      <x:c r="O172" s="28" t="n">
        <x:f>MIN(1,L172/I172)</x:f>
        <x:v>0.007666666666666666</x:v>
      </x:c>
      <x:c r="P172" s="30" t="n">
        <x:f>O172*J172*(1+M172)</x:f>
        <x:v>0.007666666666666666</x:v>
      </x:c>
      <x:c r="Q172" s="30" t="n">
        <x:f>P172*N172</x:f>
        <x:v>0.05971068011579872</x:v>
      </x:c>
      <x:c r="R172" s="19" t="str">
        <x:v>独立判定</x:v>
      </x:c>
    </x:row>
    <x:row r="173" ht="19" customHeight="1">
      <x:c r="A173" s="19" t="str">
        <x:v>D00169</x:v>
      </x:c>
      <x:c r="B173" s="19" t="n">
        <x:v>1</x:v>
      </x:c>
      <x:c r="C173" s="19" t="n">
        <x:v>3</x:v>
      </x:c>
      <x:c r="D173" s="19" t="str">
        <x:v>EL-MON-COURT-010</x:v>
      </x:c>
      <x:c r="E173" s="19" t="str">
        <x:v>沉默女祭司</x:v>
      </x:c>
      <x:c r="F173" s="19" t="str">
        <x:v>稀有</x:v>
      </x:c>
      <x:c r="G173" s="19" t="str">
        <x:v>自身专属</x:v>
      </x:c>
      <x:c r="H173" s="19" t="str">
        <x:v>沉默灵玉</x:v>
      </x:c>
      <x:c r="I173" s="22" t="n">
        <x:v>120</x:v>
      </x:c>
      <x:c r="J173" s="22" t="n">
        <x:v>1</x:v>
      </x:c>
      <x:c r="K173" s="19" t="n">
        <x:v>1</x:v>
      </x:c>
      <x:c r="L173" s="24" t="n">
        <x:v>11.5</x:v>
      </x:c>
      <x:c r="M173" s="26" t="n">
        <x:v>0</x:v>
      </x:c>
      <x:c r="N173" s="24" t="n">
        <x:v>7.788349580321572</x:v>
      </x:c>
      <x:c r="O173" s="28" t="n">
        <x:f>MIN(1,L173/I173)</x:f>
        <x:v>0.09583333333333334</x:v>
      </x:c>
      <x:c r="P173" s="30" t="n">
        <x:f>O173*J173*(1+M173)</x:f>
        <x:v>0.09583333333333334</x:v>
      </x:c>
      <x:c r="Q173" s="30" t="n">
        <x:f>P173*N173</x:f>
        <x:v>0.7463835014474841</x:v>
      </x:c>
      <x:c r="R173" s="19" t="str">
        <x:v>独立判定</x:v>
      </x:c>
    </x:row>
    <x:row r="174" ht="19" customHeight="1">
      <x:c r="A174" s="19" t="str">
        <x:v>D00170</x:v>
      </x:c>
      <x:c r="B174" s="19" t="n">
        <x:v>1</x:v>
      </x:c>
      <x:c r="C174" s="19" t="n">
        <x:v>3</x:v>
      </x:c>
      <x:c r="D174" s="19" t="str">
        <x:v>EL-MON-COURT-010</x:v>
      </x:c>
      <x:c r="E174" s="19" t="str">
        <x:v>沉默女祭司</x:v>
      </x:c>
      <x:c r="F174" s="19" t="str">
        <x:v>稀有</x:v>
      </x:c>
      <x:c r="G174" s="19" t="str">
        <x:v>材料独立候选</x:v>
      </x:c>
      <x:c r="H174" s="19" t="str">
        <x:v>海蚀铁片</x:v>
      </x:c>
      <x:c r="I174" s="22" t="n">
        <x:v>300</x:v>
      </x:c>
      <x:c r="J174" s="22" t="n">
        <x:v>15</x:v>
      </x:c>
      <x:c r="K174" s="19" t="n">
        <x:v>1</x:v>
      </x:c>
      <x:c r="L174" s="24" t="n">
        <x:v>11.5</x:v>
      </x:c>
      <x:c r="M174" s="26" t="n">
        <x:v>0</x:v>
      </x:c>
      <x:c r="N174" s="24" t="n">
        <x:v>7.788349580321572</x:v>
      </x:c>
      <x:c r="O174" s="28" t="n">
        <x:f>MIN(1,L174/I174)</x:f>
        <x:v>0.03833333333333333</x:v>
      </x:c>
      <x:c r="P174" s="30" t="n">
        <x:f>O174*J174*(1+M174)</x:f>
        <x:v>0.575</x:v>
      </x:c>
      <x:c r="Q174" s="30" t="n">
        <x:f>P174*N174</x:f>
        <x:v>4.4783010086849036</x:v>
      </x:c>
      <x:c r="R174" s="19" t="str">
        <x:v>独立判定</x:v>
      </x:c>
    </x:row>
    <x:row r="175" ht="19" customHeight="1">
      <x:c r="A175" s="19" t="str">
        <x:v>D00171</x:v>
      </x:c>
      <x:c r="B175" s="19" t="n">
        <x:v>1</x:v>
      </x:c>
      <x:c r="C175" s="19" t="n">
        <x:v>3</x:v>
      </x:c>
      <x:c r="D175" s="19" t="str">
        <x:v>EL-MON-COURT-010</x:v>
      </x:c>
      <x:c r="E175" s="19" t="str">
        <x:v>沉默女祭司</x:v>
      </x:c>
      <x:c r="F175" s="19" t="str">
        <x:v>稀有</x:v>
      </x:c>
      <x:c r="G175" s="19" t="str">
        <x:v>材料独立候选</x:v>
      </x:c>
      <x:c r="H175" s="19" t="str">
        <x:v>潮痕结晶</x:v>
      </x:c>
      <x:c r="I175" s="22" t="n">
        <x:v>120</x:v>
      </x:c>
      <x:c r="J175" s="22" t="n">
        <x:v>1</x:v>
      </x:c>
      <x:c r="K175" s="19" t="n">
        <x:v>1</x:v>
      </x:c>
      <x:c r="L175" s="24" t="n">
        <x:v>11.5</x:v>
      </x:c>
      <x:c r="M175" s="26" t="n">
        <x:v>0</x:v>
      </x:c>
      <x:c r="N175" s="24" t="n">
        <x:v>7.788349580321572</x:v>
      </x:c>
      <x:c r="O175" s="28" t="n">
        <x:f>MIN(1,L175/I175)</x:f>
        <x:v>0.09583333333333334</x:v>
      </x:c>
      <x:c r="P175" s="30" t="n">
        <x:f>O175*J175*(1+M175)</x:f>
        <x:v>0.09583333333333334</x:v>
      </x:c>
      <x:c r="Q175" s="30" t="n">
        <x:f>P175*N175</x:f>
        <x:v>0.7463835014474841</x:v>
      </x:c>
      <x:c r="R175" s="19" t="str">
        <x:v>独立判定</x:v>
      </x:c>
    </x:row>
    <x:row r="176" ht="19" customHeight="1">
      <x:c r="A176" s="19" t="str">
        <x:v>D00172</x:v>
      </x:c>
      <x:c r="B176" s="19" t="n">
        <x:v>1</x:v>
      </x:c>
      <x:c r="C176" s="19" t="n">
        <x:v>3</x:v>
      </x:c>
      <x:c r="D176" s="19" t="str">
        <x:v>EL-MON-COURT-010</x:v>
      </x:c>
      <x:c r="E176" s="19" t="str">
        <x:v>沉默女祭司</x:v>
      </x:c>
      <x:c r="F176" s="19" t="str">
        <x:v>稀有</x:v>
      </x:c>
      <x:c r="G176" s="19" t="str">
        <x:v>材料独立候选</x:v>
      </x:c>
      <x:c r="H176" s="19" t="str">
        <x:v>沉默祷文</x:v>
      </x:c>
      <x:c r="I176" s="22" t="n">
        <x:v>60</x:v>
      </x:c>
      <x:c r="J176" s="22" t="n">
        <x:v>3</x:v>
      </x:c>
      <x:c r="K176" s="19" t="n">
        <x:v>1</x:v>
      </x:c>
      <x:c r="L176" s="24" t="n">
        <x:v>11.5</x:v>
      </x:c>
      <x:c r="M176" s="26" t="n">
        <x:v>0</x:v>
      </x:c>
      <x:c r="N176" s="24" t="n">
        <x:v>7.788349580321572</x:v>
      </x:c>
      <x:c r="O176" s="28" t="n">
        <x:f>MIN(1,L176/I176)</x:f>
        <x:v>0.19166666666666668</x:v>
      </x:c>
      <x:c r="P176" s="30" t="n">
        <x:f>O176*J176*(1+M176)</x:f>
        <x:v>0.5750000000000001</x:v>
      </x:c>
      <x:c r="Q176" s="30" t="n">
        <x:f>P176*N176</x:f>
        <x:v>4.478301008684904</x:v>
      </x:c>
      <x:c r="R176" s="19" t="str">
        <x:v>独立判定</x:v>
      </x:c>
    </x:row>
    <x:row r="177" ht="19" customHeight="1">
      <x:c r="A177" s="19" t="str">
        <x:v>D00173</x:v>
      </x:c>
      <x:c r="B177" s="19" t="n">
        <x:v>1</x:v>
      </x:c>
      <x:c r="C177" s="19" t="n">
        <x:v>3</x:v>
      </x:c>
      <x:c r="D177" s="19" t="str">
        <x:v>EL-MON-COURT-010</x:v>
      </x:c>
      <x:c r="E177" s="19" t="str">
        <x:v>沉默女祭司</x:v>
      </x:c>
      <x:c r="F177" s="19" t="str">
        <x:v>稀有</x:v>
      </x:c>
      <x:c r="G177" s="19" t="str">
        <x:v>材料独立候选</x:v>
      </x:c>
      <x:c r="H177" s="19" t="str">
        <x:v>技能残页</x:v>
      </x:c>
      <x:c r="I177" s="22" t="n">
        <x:v>40</x:v>
      </x:c>
      <x:c r="J177" s="22" t="n">
        <x:v>1</x:v>
      </x:c>
      <x:c r="K177" s="19" t="n">
        <x:v>1</x:v>
      </x:c>
      <x:c r="L177" s="24" t="n">
        <x:v>11.5</x:v>
      </x:c>
      <x:c r="M177" s="26" t="n">
        <x:v>0</x:v>
      </x:c>
      <x:c r="N177" s="24" t="n">
        <x:v>7.788349580321572</x:v>
      </x:c>
      <x:c r="O177" s="28" t="n">
        <x:f>MIN(1,L177/I177)</x:f>
        <x:v>0.2875</x:v>
      </x:c>
      <x:c r="P177" s="30" t="n">
        <x:f>O177*J177*(1+M177)</x:f>
        <x:v>0.2875</x:v>
      </x:c>
      <x:c r="Q177" s="30" t="n">
        <x:f>P177*N177</x:f>
        <x:v>2.2391505043424518</x:v>
      </x:c>
      <x:c r="R177" s="19" t="str">
        <x:v>独立判定</x:v>
      </x:c>
    </x:row>
    <x:row r="178" ht="19" customHeight="1">
      <x:c r="A178" s="19" t="str">
        <x:v>D00174</x:v>
      </x:c>
      <x:c r="B178" s="19" t="n">
        <x:v>1</x:v>
      </x:c>
      <x:c r="C178" s="19" t="n">
        <x:v>3</x:v>
      </x:c>
      <x:c r="D178" s="19" t="str">
        <x:v>EL-MON-COURT-010</x:v>
      </x:c>
      <x:c r="E178" s="19" t="str">
        <x:v>沉默女祭司</x:v>
      </x:c>
      <x:c r="F178" s="19" t="str">
        <x:v>稀有</x:v>
      </x:c>
      <x:c r="G178" s="19" t="str">
        <x:v>材料独立候选</x:v>
      </x:c>
      <x:c r="H178" s="19" t="str">
        <x:v>小卢恩</x:v>
      </x:c>
      <x:c r="I178" s="22" t="n">
        <x:v>1500</x:v>
      </x:c>
      <x:c r="J178" s="22" t="n">
        <x:v>1</x:v>
      </x:c>
      <x:c r="K178" s="19" t="n">
        <x:v>1</x:v>
      </x:c>
      <x:c r="L178" s="24" t="n">
        <x:v>11.5</x:v>
      </x:c>
      <x:c r="M178" s="26" t="n">
        <x:v>0</x:v>
      </x:c>
      <x:c r="N178" s="24" t="n">
        <x:v>7.788349580321572</x:v>
      </x:c>
      <x:c r="O178" s="28" t="n">
        <x:f>MIN(1,L178/I178)</x:f>
        <x:v>0.007666666666666666</x:v>
      </x:c>
      <x:c r="P178" s="30" t="n">
        <x:f>O178*J178*(1+M178)</x:f>
        <x:v>0.007666666666666666</x:v>
      </x:c>
      <x:c r="Q178" s="30" t="n">
        <x:f>P178*N178</x:f>
        <x:v>0.05971068011579872</x:v>
      </x:c>
      <x:c r="R178" s="19" t="str">
        <x:v>独立判定</x:v>
      </x:c>
    </x:row>
    <x:row r="179" ht="19" customHeight="1">
      <x:c r="A179" s="19" t="str">
        <x:v>D00175</x:v>
      </x:c>
      <x:c r="B179" s="19" t="n">
        <x:v>1</x:v>
      </x:c>
      <x:c r="C179" s="19" t="n">
        <x:v>3</x:v>
      </x:c>
      <x:c r="D179" s="19" t="str">
        <x:v>EL-MON-COURT-011</x:v>
      </x:c>
      <x:c r="E179" s="19" t="str">
        <x:v>溺王亲卫长·萨恩</x:v>
      </x:c>
      <x:c r="F179" s="19" t="str">
        <x:v>地图BOSS</x:v>
      </x:c>
      <x:c r="G179" s="19" t="str">
        <x:v>自身专属</x:v>
      </x:c>
      <x:c r="H179" s="19" t="str">
        <x:v>亲卫王剑</x:v>
      </x:c>
      <x:c r="I179" s="22" t="n">
        <x:v>30</x:v>
      </x:c>
      <x:c r="J179" s="22" t="n">
        <x:v>1</x:v>
      </x:c>
      <x:c r="K179" s="19" t="n">
        <x:v>1</x:v>
      </x:c>
      <x:c r="L179" s="24" t="n">
        <x:v>11.5</x:v>
      </x:c>
      <x:c r="M179" s="26" t="n">
        <x:v>0</x:v>
      </x:c>
      <x:c r="N179" s="24" t="n">
        <x:v>2</x:v>
      </x:c>
      <x:c r="O179" s="28" t="n">
        <x:f>MIN(1,L179/I179)</x:f>
        <x:v>0.38333333333333336</x:v>
      </x:c>
      <x:c r="P179" s="30" t="n">
        <x:f>O179*J179*(1+M179)</x:f>
        <x:v>0.38333333333333336</x:v>
      </x:c>
      <x:c r="Q179" s="30" t="n">
        <x:f>P179*N179</x:f>
        <x:v>0.7666666666666667</x:v>
      </x:c>
      <x:c r="R179" s="19" t="str">
        <x:v>独立判定</x:v>
      </x:c>
    </x:row>
    <x:row r="180" ht="19" customHeight="1">
      <x:c r="A180" s="19" t="str">
        <x:v>D00176</x:v>
      </x:c>
      <x:c r="B180" s="19" t="n">
        <x:v>1</x:v>
      </x:c>
      <x:c r="C180" s="19" t="n">
        <x:v>3</x:v>
      </x:c>
      <x:c r="D180" s="19" t="str">
        <x:v>EL-MON-COURT-011</x:v>
      </x:c>
      <x:c r="E180" s="19" t="str">
        <x:v>溺王亲卫长·萨恩</x:v>
      </x:c>
      <x:c r="F180" s="19" t="str">
        <x:v>地图BOSS</x:v>
      </x:c>
      <x:c r="G180" s="19" t="str">
        <x:v>本图普通兼掉候选</x:v>
      </x:c>
      <x:c r="H180" s="19" t="str">
        <x:v>POOL004</x:v>
      </x:c>
      <x:c r="I180" s="22" t="n">
        <x:v>30</x:v>
      </x:c>
      <x:c r="J180" s="22" t="n">
        <x:v>1</x:v>
      </x:c>
      <x:c r="K180" s="19" t="n">
        <x:v>5</x:v>
      </x:c>
      <x:c r="L180" s="24" t="n">
        <x:v>11.5</x:v>
      </x:c>
      <x:c r="M180" s="26" t="n">
        <x:v>0</x:v>
      </x:c>
      <x:c r="N180" s="24" t="n">
        <x:v>2</x:v>
      </x:c>
      <x:c r="O180" s="28" t="n">
        <x:f>MIN(1,L180/I180)</x:f>
        <x:v>0.38333333333333336</x:v>
      </x:c>
      <x:c r="P180" s="30" t="n">
        <x:f>O180*J180*(1+M180)</x:f>
        <x:v>0.38333333333333336</x:v>
      </x:c>
      <x:c r="Q180" s="30" t="n">
        <x:f>P180*N180</x:f>
        <x:v>0.7666666666666667</x:v>
      </x:c>
      <x:c r="R180" s="19" t="str">
        <x:v>单池选一</x:v>
      </x:c>
    </x:row>
    <x:row r="181" ht="19" customHeight="1">
      <x:c r="A181" s="19" t="str">
        <x:v>D00177</x:v>
      </x:c>
      <x:c r="B181" s="19" t="n">
        <x:v>1</x:v>
      </x:c>
      <x:c r="C181" s="19" t="n">
        <x:v>3</x:v>
      </x:c>
      <x:c r="D181" s="19" t="str">
        <x:v>EL-MON-COURT-011</x:v>
      </x:c>
      <x:c r="E181" s="19" t="str">
        <x:v>溺王亲卫长·萨恩</x:v>
      </x:c>
      <x:c r="F181" s="19" t="str">
        <x:v>地图BOSS</x:v>
      </x:c>
      <x:c r="G181" s="19" t="str">
        <x:v>材料独立候选</x:v>
      </x:c>
      <x:c r="H181" s="19" t="str">
        <x:v>海蚀铁片</x:v>
      </x:c>
      <x:c r="I181" s="22" t="n">
        <x:v>150</x:v>
      </x:c>
      <x:c r="J181" s="22" t="n">
        <x:v>30</x:v>
      </x:c>
      <x:c r="K181" s="19" t="n">
        <x:v>1</x:v>
      </x:c>
      <x:c r="L181" s="24" t="n">
        <x:v>11.5</x:v>
      </x:c>
      <x:c r="M181" s="26" t="n">
        <x:v>0</x:v>
      </x:c>
      <x:c r="N181" s="24" t="n">
        <x:v>2</x:v>
      </x:c>
      <x:c r="O181" s="28" t="n">
        <x:f>MIN(1,L181/I181)</x:f>
        <x:v>0.07666666666666666</x:v>
      </x:c>
      <x:c r="P181" s="30" t="n">
        <x:f>O181*J181*(1+M181)</x:f>
        <x:v>2.3</x:v>
      </x:c>
      <x:c r="Q181" s="30" t="n">
        <x:f>P181*N181</x:f>
        <x:v>4.6</x:v>
      </x:c>
      <x:c r="R181" s="19" t="str">
        <x:v>独立判定</x:v>
      </x:c>
    </x:row>
    <x:row r="182" ht="19" customHeight="1">
      <x:c r="A182" s="19" t="str">
        <x:v>D00178</x:v>
      </x:c>
      <x:c r="B182" s="19" t="n">
        <x:v>1</x:v>
      </x:c>
      <x:c r="C182" s="19" t="n">
        <x:v>3</x:v>
      </x:c>
      <x:c r="D182" s="19" t="str">
        <x:v>EL-MON-COURT-011</x:v>
      </x:c>
      <x:c r="E182" s="19" t="str">
        <x:v>溺王亲卫长·萨恩</x:v>
      </x:c>
      <x:c r="F182" s="19" t="str">
        <x:v>地图BOSS</x:v>
      </x:c>
      <x:c r="G182" s="19" t="str">
        <x:v>材料独立候选</x:v>
      </x:c>
      <x:c r="H182" s="19" t="str">
        <x:v>潮痕结晶</x:v>
      </x:c>
      <x:c r="I182" s="22" t="n">
        <x:v>80</x:v>
      </x:c>
      <x:c r="J182" s="22" t="n">
        <x:v>1</x:v>
      </x:c>
      <x:c r="K182" s="19" t="n">
        <x:v>1</x:v>
      </x:c>
      <x:c r="L182" s="24" t="n">
        <x:v>11.5</x:v>
      </x:c>
      <x:c r="M182" s="26" t="n">
        <x:v>0</x:v>
      </x:c>
      <x:c r="N182" s="24" t="n">
        <x:v>2</x:v>
      </x:c>
      <x:c r="O182" s="28" t="n">
        <x:f>MIN(1,L182/I182)</x:f>
        <x:v>0.14375</x:v>
      </x:c>
      <x:c r="P182" s="30" t="n">
        <x:f>O182*J182*(1+M182)</x:f>
        <x:v>0.14375</x:v>
      </x:c>
      <x:c r="Q182" s="30" t="n">
        <x:f>P182*N182</x:f>
        <x:v>0.2875</x:v>
      </x:c>
      <x:c r="R182" s="19" t="str">
        <x:v>独立判定</x:v>
      </x:c>
    </x:row>
    <x:row r="183" ht="19" customHeight="1">
      <x:c r="A183" s="19" t="str">
        <x:v>D00179</x:v>
      </x:c>
      <x:c r="B183" s="19" t="n">
        <x:v>1</x:v>
      </x:c>
      <x:c r="C183" s="19" t="n">
        <x:v>3</x:v>
      </x:c>
      <x:c r="D183" s="19" t="str">
        <x:v>EL-MON-COURT-011</x:v>
      </x:c>
      <x:c r="E183" s="19" t="str">
        <x:v>溺王亲卫长·萨恩</x:v>
      </x:c>
      <x:c r="F183" s="19" t="str">
        <x:v>地图BOSS</x:v>
      </x:c>
      <x:c r="G183" s="19" t="str">
        <x:v>材料独立候选</x:v>
      </x:c>
      <x:c r="H183" s="19" t="str">
        <x:v>漂流大陆印记</x:v>
      </x:c>
      <x:c r="I183" s="22" t="n">
        <x:v>60</x:v>
      </x:c>
      <x:c r="J183" s="22" t="n">
        <x:v>3</x:v>
      </x:c>
      <x:c r="K183" s="19" t="n">
        <x:v>1</x:v>
      </x:c>
      <x:c r="L183" s="24" t="n">
        <x:v>11.5</x:v>
      </x:c>
      <x:c r="M183" s="26" t="n">
        <x:v>0</x:v>
      </x:c>
      <x:c r="N183" s="24" t="n">
        <x:v>2</x:v>
      </x:c>
      <x:c r="O183" s="28" t="n">
        <x:f>MIN(1,L183/I183)</x:f>
        <x:v>0.19166666666666668</x:v>
      </x:c>
      <x:c r="P183" s="30" t="n">
        <x:f>O183*J183*(1+M183)</x:f>
        <x:v>0.5750000000000001</x:v>
      </x:c>
      <x:c r="Q183" s="30" t="n">
        <x:f>P183*N183</x:f>
        <x:v>1.1500000000000001</x:v>
      </x:c>
      <x:c r="R183" s="19" t="str">
        <x:v>独立判定</x:v>
      </x:c>
    </x:row>
    <x:row r="184" ht="19" customHeight="1">
      <x:c r="A184" s="19" t="str">
        <x:v>D00180</x:v>
      </x:c>
      <x:c r="B184" s="19" t="n">
        <x:v>1</x:v>
      </x:c>
      <x:c r="C184" s="19" t="n">
        <x:v>3</x:v>
      </x:c>
      <x:c r="D184" s="19" t="str">
        <x:v>EL-MON-COURT-011</x:v>
      </x:c>
      <x:c r="E184" s="19" t="str">
        <x:v>溺王亲卫长·萨恩</x:v>
      </x:c>
      <x:c r="F184" s="19" t="str">
        <x:v>地图BOSS</x:v>
      </x:c>
      <x:c r="G184" s="19" t="str">
        <x:v>材料独立候选</x:v>
      </x:c>
      <x:c r="H184" s="19" t="str">
        <x:v>亲卫长残魂</x:v>
      </x:c>
      <x:c r="I184" s="22" t="n">
        <x:v>60</x:v>
      </x:c>
      <x:c r="J184" s="22" t="n">
        <x:v>3</x:v>
      </x:c>
      <x:c r="K184" s="19" t="n">
        <x:v>1</x:v>
      </x:c>
      <x:c r="L184" s="24" t="n">
        <x:v>11.5</x:v>
      </x:c>
      <x:c r="M184" s="26" t="n">
        <x:v>0</x:v>
      </x:c>
      <x:c r="N184" s="24" t="n">
        <x:v>2</x:v>
      </x:c>
      <x:c r="O184" s="28" t="n">
        <x:f>MIN(1,L184/I184)</x:f>
        <x:v>0.19166666666666668</x:v>
      </x:c>
      <x:c r="P184" s="30" t="n">
        <x:f>O184*J184*(1+M184)</x:f>
        <x:v>0.5750000000000001</x:v>
      </x:c>
      <x:c r="Q184" s="30" t="n">
        <x:f>P184*N184</x:f>
        <x:v>1.1500000000000001</x:v>
      </x:c>
      <x:c r="R184" s="19" t="str">
        <x:v>独立判定</x:v>
      </x:c>
    </x:row>
    <x:row r="185" ht="19" customHeight="1">
      <x:c r="A185" s="19" t="str">
        <x:v>D00181</x:v>
      </x:c>
      <x:c r="B185" s="19" t="n">
        <x:v>1</x:v>
      </x:c>
      <x:c r="C185" s="19" t="n">
        <x:v>3</x:v>
      </x:c>
      <x:c r="D185" s="19" t="str">
        <x:v>EL-MON-COURT-011</x:v>
      </x:c>
      <x:c r="E185" s="19" t="str">
        <x:v>溺王亲卫长·萨恩</x:v>
      </x:c>
      <x:c r="F185" s="19" t="str">
        <x:v>地图BOSS</x:v>
      </x:c>
      <x:c r="G185" s="19" t="str">
        <x:v>材料独立候选</x:v>
      </x:c>
      <x:c r="H185" s="19" t="str">
        <x:v>技能残页</x:v>
      </x:c>
      <x:c r="I185" s="22" t="n">
        <x:v>20</x:v>
      </x:c>
      <x:c r="J185" s="22" t="n">
        <x:v>1</x:v>
      </x:c>
      <x:c r="K185" s="19" t="n">
        <x:v>1</x:v>
      </x:c>
      <x:c r="L185" s="24" t="n">
        <x:v>11.5</x:v>
      </x:c>
      <x:c r="M185" s="26" t="n">
        <x:v>0</x:v>
      </x:c>
      <x:c r="N185" s="24" t="n">
        <x:v>2</x:v>
      </x:c>
      <x:c r="O185" s="28" t="n">
        <x:f>MIN(1,L185/I185)</x:f>
        <x:v>0.575</x:v>
      </x:c>
      <x:c r="P185" s="30" t="n">
        <x:f>O185*J185*(1+M185)</x:f>
        <x:v>0.575</x:v>
      </x:c>
      <x:c r="Q185" s="30" t="n">
        <x:f>P185*N185</x:f>
        <x:v>1.15</x:v>
      </x:c>
      <x:c r="R185" s="19" t="str">
        <x:v>独立判定</x:v>
      </x:c>
    </x:row>
    <x:row r="186" ht="19" customHeight="1">
      <x:c r="A186" s="19" t="str">
        <x:v>D00182</x:v>
      </x:c>
      <x:c r="B186" s="19" t="n">
        <x:v>1</x:v>
      </x:c>
      <x:c r="C186" s="19" t="n">
        <x:v>3</x:v>
      </x:c>
      <x:c r="D186" s="19" t="str">
        <x:v>EL-MON-COURT-011</x:v>
      </x:c>
      <x:c r="E186" s="19" t="str">
        <x:v>溺王亲卫长·萨恩</x:v>
      </x:c>
      <x:c r="F186" s="19" t="str">
        <x:v>地图BOSS</x:v>
      </x:c>
      <x:c r="G186" s="19" t="str">
        <x:v>材料独立候选</x:v>
      </x:c>
      <x:c r="H186" s="19" t="str">
        <x:v>小卢恩</x:v>
      </x:c>
      <x:c r="I186" s="22" t="n">
        <x:v>800</x:v>
      </x:c>
      <x:c r="J186" s="22" t="n">
        <x:v>1</x:v>
      </x:c>
      <x:c r="K186" s="19" t="n">
        <x:v>1</x:v>
      </x:c>
      <x:c r="L186" s="24" t="n">
        <x:v>11.5</x:v>
      </x:c>
      <x:c r="M186" s="26" t="n">
        <x:v>0</x:v>
      </x:c>
      <x:c r="N186" s="24" t="n">
        <x:v>2</x:v>
      </x:c>
      <x:c r="O186" s="28" t="n">
        <x:f>MIN(1,L186/I186)</x:f>
        <x:v>0.014375</x:v>
      </x:c>
      <x:c r="P186" s="30" t="n">
        <x:f>O186*J186*(1+M186)</x:f>
        <x:v>0.014375</x:v>
      </x:c>
      <x:c r="Q186" s="30" t="n">
        <x:f>P186*N186</x:f>
        <x:v>0.02875</x:v>
      </x:c>
      <x:c r="R186" s="19" t="str">
        <x:v>独立判定</x:v>
      </x:c>
    </x:row>
    <x:row r="187" ht="19" customHeight="1">
      <x:c r="A187" s="19" t="str">
        <x:v>D00183</x:v>
      </x:c>
      <x:c r="B187" s="19" t="n">
        <x:v>1</x:v>
      </x:c>
      <x:c r="C187" s="19" t="n">
        <x:v>3</x:v>
      </x:c>
      <x:c r="D187" s="19" t="str">
        <x:v>EL-MON-COURT-011</x:v>
      </x:c>
      <x:c r="E187" s="19" t="str">
        <x:v>溺王亲卫长·萨恩</x:v>
      </x:c>
      <x:c r="F187" s="19" t="str">
        <x:v>地图BOSS</x:v>
      </x:c>
      <x:c r="G187" s="19" t="str">
        <x:v>材料独立候选</x:v>
      </x:c>
      <x:c r="H187" s="19" t="str">
        <x:v>大卢恩</x:v>
      </x:c>
      <x:c r="I187" s="22" t="n">
        <x:v>100</x:v>
      </x:c>
      <x:c r="J187" s="22" t="n">
        <x:v>1</x:v>
      </x:c>
      <x:c r="K187" s="19" t="n">
        <x:v>1</x:v>
      </x:c>
      <x:c r="L187" s="24" t="n">
        <x:v>11.5</x:v>
      </x:c>
      <x:c r="M187" s="26" t="n">
        <x:v>0</x:v>
      </x:c>
      <x:c r="N187" s="24" t="n">
        <x:v>2</x:v>
      </x:c>
      <x:c r="O187" s="28" t="n">
        <x:f>MIN(1,L187/I187)</x:f>
        <x:v>0.115</x:v>
      </x:c>
      <x:c r="P187" s="30" t="n">
        <x:f>O187*J187*(1+M187)</x:f>
        <x:v>0.115</x:v>
      </x:c>
      <x:c r="Q187" s="30" t="n">
        <x:f>P187*N187</x:f>
        <x:v>0.23</x:v>
      </x:c>
      <x:c r="R187" s="19" t="str">
        <x:v>独立判定</x:v>
      </x:c>
    </x:row>
    <x:row r="188" ht="19" customHeight="1">
      <x:c r="A188" s="19" t="str">
        <x:v>D00184</x:v>
      </x:c>
      <x:c r="B188" s="19" t="n">
        <x:v>1</x:v>
      </x:c>
      <x:c r="C188" s="19" t="n">
        <x:v>3</x:v>
      </x:c>
      <x:c r="D188" s="19" t="str">
        <x:v>EL-MON-COURT-012</x:v>
      </x:c>
      <x:c r="E188" s="19" t="str">
        <x:v>深潮大祭司·伊莱娜</x:v>
      </x:c>
      <x:c r="F188" s="19" t="str">
        <x:v>地图BOSS</x:v>
      </x:c>
      <x:c r="G188" s="19" t="str">
        <x:v>自身专属</x:v>
      </x:c>
      <x:c r="H188" s="19" t="str">
        <x:v>深潮王铠</x:v>
      </x:c>
      <x:c r="I188" s="22" t="n">
        <x:v>30</x:v>
      </x:c>
      <x:c r="J188" s="22" t="n">
        <x:v>1</x:v>
      </x:c>
      <x:c r="K188" s="19" t="n">
        <x:v>1</x:v>
      </x:c>
      <x:c r="L188" s="24" t="n">
        <x:v>11.5</x:v>
      </x:c>
      <x:c r="M188" s="26" t="n">
        <x:v>0</x:v>
      </x:c>
      <x:c r="N188" s="24" t="n">
        <x:v>2</x:v>
      </x:c>
      <x:c r="O188" s="28" t="n">
        <x:f>MIN(1,L188/I188)</x:f>
        <x:v>0.38333333333333336</x:v>
      </x:c>
      <x:c r="P188" s="30" t="n">
        <x:f>O188*J188*(1+M188)</x:f>
        <x:v>0.38333333333333336</x:v>
      </x:c>
      <x:c r="Q188" s="30" t="n">
        <x:f>P188*N188</x:f>
        <x:v>0.7666666666666667</x:v>
      </x:c>
      <x:c r="R188" s="19" t="str">
        <x:v>独立判定</x:v>
      </x:c>
    </x:row>
    <x:row r="189" ht="19" customHeight="1">
      <x:c r="A189" s="19" t="str">
        <x:v>D00185</x:v>
      </x:c>
      <x:c r="B189" s="19" t="n">
        <x:v>1</x:v>
      </x:c>
      <x:c r="C189" s="19" t="n">
        <x:v>3</x:v>
      </x:c>
      <x:c r="D189" s="19" t="str">
        <x:v>EL-MON-COURT-012</x:v>
      </x:c>
      <x:c r="E189" s="19" t="str">
        <x:v>深潮大祭司·伊莱娜</x:v>
      </x:c>
      <x:c r="F189" s="19" t="str">
        <x:v>地图BOSS</x:v>
      </x:c>
      <x:c r="G189" s="19" t="str">
        <x:v>本图普通兼掉候选</x:v>
      </x:c>
      <x:c r="H189" s="19" t="str">
        <x:v>POOL005</x:v>
      </x:c>
      <x:c r="I189" s="22" t="n">
        <x:v>30</x:v>
      </x:c>
      <x:c r="J189" s="22" t="n">
        <x:v>1</x:v>
      </x:c>
      <x:c r="K189" s="19" t="n">
        <x:v>6</x:v>
      </x:c>
      <x:c r="L189" s="24" t="n">
        <x:v>11.5</x:v>
      </x:c>
      <x:c r="M189" s="26" t="n">
        <x:v>0</x:v>
      </x:c>
      <x:c r="N189" s="24" t="n">
        <x:v>2</x:v>
      </x:c>
      <x:c r="O189" s="28" t="n">
        <x:f>MIN(1,L189/I189)</x:f>
        <x:v>0.38333333333333336</x:v>
      </x:c>
      <x:c r="P189" s="30" t="n">
        <x:f>O189*J189*(1+M189)</x:f>
        <x:v>0.38333333333333336</x:v>
      </x:c>
      <x:c r="Q189" s="30" t="n">
        <x:f>P189*N189</x:f>
        <x:v>0.7666666666666667</x:v>
      </x:c>
      <x:c r="R189" s="19" t="str">
        <x:v>单池选一</x:v>
      </x:c>
    </x:row>
    <x:row r="190" ht="19" customHeight="1">
      <x:c r="A190" s="19" t="str">
        <x:v>D00186</x:v>
      </x:c>
      <x:c r="B190" s="19" t="n">
        <x:v>1</x:v>
      </x:c>
      <x:c r="C190" s="19" t="n">
        <x:v>3</x:v>
      </x:c>
      <x:c r="D190" s="19" t="str">
        <x:v>EL-MON-COURT-012</x:v>
      </x:c>
      <x:c r="E190" s="19" t="str">
        <x:v>深潮大祭司·伊莱娜</x:v>
      </x:c>
      <x:c r="F190" s="19" t="str">
        <x:v>地图BOSS</x:v>
      </x:c>
      <x:c r="G190" s="19" t="str">
        <x:v>材料独立候选</x:v>
      </x:c>
      <x:c r="H190" s="19" t="str">
        <x:v>海蚀铁片</x:v>
      </x:c>
      <x:c r="I190" s="22" t="n">
        <x:v>150</x:v>
      </x:c>
      <x:c r="J190" s="22" t="n">
        <x:v>30</x:v>
      </x:c>
      <x:c r="K190" s="19" t="n">
        <x:v>1</x:v>
      </x:c>
      <x:c r="L190" s="24" t="n">
        <x:v>11.5</x:v>
      </x:c>
      <x:c r="M190" s="26" t="n">
        <x:v>0</x:v>
      </x:c>
      <x:c r="N190" s="24" t="n">
        <x:v>2</x:v>
      </x:c>
      <x:c r="O190" s="28" t="n">
        <x:f>MIN(1,L190/I190)</x:f>
        <x:v>0.07666666666666666</x:v>
      </x:c>
      <x:c r="P190" s="30" t="n">
        <x:f>O190*J190*(1+M190)</x:f>
        <x:v>2.3</x:v>
      </x:c>
      <x:c r="Q190" s="30" t="n">
        <x:f>P190*N190</x:f>
        <x:v>4.6</x:v>
      </x:c>
      <x:c r="R190" s="19" t="str">
        <x:v>独立判定</x:v>
      </x:c>
    </x:row>
    <x:row r="191" ht="19" customHeight="1">
      <x:c r="A191" s="19" t="str">
        <x:v>D00187</x:v>
      </x:c>
      <x:c r="B191" s="19" t="n">
        <x:v>1</x:v>
      </x:c>
      <x:c r="C191" s="19" t="n">
        <x:v>3</x:v>
      </x:c>
      <x:c r="D191" s="19" t="str">
        <x:v>EL-MON-COURT-012</x:v>
      </x:c>
      <x:c r="E191" s="19" t="str">
        <x:v>深潮大祭司·伊莱娜</x:v>
      </x:c>
      <x:c r="F191" s="19" t="str">
        <x:v>地图BOSS</x:v>
      </x:c>
      <x:c r="G191" s="19" t="str">
        <x:v>材料独立候选</x:v>
      </x:c>
      <x:c r="H191" s="19" t="str">
        <x:v>潮痕结晶</x:v>
      </x:c>
      <x:c r="I191" s="22" t="n">
        <x:v>80</x:v>
      </x:c>
      <x:c r="J191" s="22" t="n">
        <x:v>1</x:v>
      </x:c>
      <x:c r="K191" s="19" t="n">
        <x:v>1</x:v>
      </x:c>
      <x:c r="L191" s="24" t="n">
        <x:v>11.5</x:v>
      </x:c>
      <x:c r="M191" s="26" t="n">
        <x:v>0</x:v>
      </x:c>
      <x:c r="N191" s="24" t="n">
        <x:v>2</x:v>
      </x:c>
      <x:c r="O191" s="28" t="n">
        <x:f>MIN(1,L191/I191)</x:f>
        <x:v>0.14375</x:v>
      </x:c>
      <x:c r="P191" s="30" t="n">
        <x:f>O191*J191*(1+M191)</x:f>
        <x:v>0.14375</x:v>
      </x:c>
      <x:c r="Q191" s="30" t="n">
        <x:f>P191*N191</x:f>
        <x:v>0.2875</x:v>
      </x:c>
      <x:c r="R191" s="19" t="str">
        <x:v>独立判定</x:v>
      </x:c>
    </x:row>
    <x:row r="192" ht="19" customHeight="1">
      <x:c r="A192" s="19" t="str">
        <x:v>D00188</x:v>
      </x:c>
      <x:c r="B192" s="19" t="n">
        <x:v>1</x:v>
      </x:c>
      <x:c r="C192" s="19" t="n">
        <x:v>3</x:v>
      </x:c>
      <x:c r="D192" s="19" t="str">
        <x:v>EL-MON-COURT-012</x:v>
      </x:c>
      <x:c r="E192" s="19" t="str">
        <x:v>深潮大祭司·伊莱娜</x:v>
      </x:c>
      <x:c r="F192" s="19" t="str">
        <x:v>地图BOSS</x:v>
      </x:c>
      <x:c r="G192" s="19" t="str">
        <x:v>材料独立候选</x:v>
      </x:c>
      <x:c r="H192" s="19" t="str">
        <x:v>漂流大陆印记</x:v>
      </x:c>
      <x:c r="I192" s="22" t="n">
        <x:v>60</x:v>
      </x:c>
      <x:c r="J192" s="22" t="n">
        <x:v>3</x:v>
      </x:c>
      <x:c r="K192" s="19" t="n">
        <x:v>1</x:v>
      </x:c>
      <x:c r="L192" s="24" t="n">
        <x:v>11.5</x:v>
      </x:c>
      <x:c r="M192" s="26" t="n">
        <x:v>0</x:v>
      </x:c>
      <x:c r="N192" s="24" t="n">
        <x:v>2</x:v>
      </x:c>
      <x:c r="O192" s="28" t="n">
        <x:f>MIN(1,L192/I192)</x:f>
        <x:v>0.19166666666666668</x:v>
      </x:c>
      <x:c r="P192" s="30" t="n">
        <x:f>O192*J192*(1+M192)</x:f>
        <x:v>0.5750000000000001</x:v>
      </x:c>
      <x:c r="Q192" s="30" t="n">
        <x:f>P192*N192</x:f>
        <x:v>1.1500000000000001</x:v>
      </x:c>
      <x:c r="R192" s="19" t="str">
        <x:v>独立判定</x:v>
      </x:c>
    </x:row>
    <x:row r="193" ht="19" customHeight="1">
      <x:c r="A193" s="19" t="str">
        <x:v>D00189</x:v>
      </x:c>
      <x:c r="B193" s="19" t="n">
        <x:v>1</x:v>
      </x:c>
      <x:c r="C193" s="19" t="n">
        <x:v>3</x:v>
      </x:c>
      <x:c r="D193" s="19" t="str">
        <x:v>EL-MON-COURT-012</x:v>
      </x:c>
      <x:c r="E193" s="19" t="str">
        <x:v>深潮大祭司·伊莱娜</x:v>
      </x:c>
      <x:c r="F193" s="19" t="str">
        <x:v>地图BOSS</x:v>
      </x:c>
      <x:c r="G193" s="19" t="str">
        <x:v>材料独立候选</x:v>
      </x:c>
      <x:c r="H193" s="19" t="str">
        <x:v>深潮祭冠</x:v>
      </x:c>
      <x:c r="I193" s="22" t="n">
        <x:v>60</x:v>
      </x:c>
      <x:c r="J193" s="22" t="n">
        <x:v>3</x:v>
      </x:c>
      <x:c r="K193" s="19" t="n">
        <x:v>1</x:v>
      </x:c>
      <x:c r="L193" s="24" t="n">
        <x:v>11.5</x:v>
      </x:c>
      <x:c r="M193" s="26" t="n">
        <x:v>0</x:v>
      </x:c>
      <x:c r="N193" s="24" t="n">
        <x:v>2</x:v>
      </x:c>
      <x:c r="O193" s="28" t="n">
        <x:f>MIN(1,L193/I193)</x:f>
        <x:v>0.19166666666666668</x:v>
      </x:c>
      <x:c r="P193" s="30" t="n">
        <x:f>O193*J193*(1+M193)</x:f>
        <x:v>0.5750000000000001</x:v>
      </x:c>
      <x:c r="Q193" s="30" t="n">
        <x:f>P193*N193</x:f>
        <x:v>1.1500000000000001</x:v>
      </x:c>
      <x:c r="R193" s="19" t="str">
        <x:v>独立判定</x:v>
      </x:c>
    </x:row>
    <x:row r="194" ht="19" customHeight="1">
      <x:c r="A194" s="19" t="str">
        <x:v>D00190</x:v>
      </x:c>
      <x:c r="B194" s="19" t="n">
        <x:v>1</x:v>
      </x:c>
      <x:c r="C194" s="19" t="n">
        <x:v>3</x:v>
      </x:c>
      <x:c r="D194" s="19" t="str">
        <x:v>EL-MON-COURT-012</x:v>
      </x:c>
      <x:c r="E194" s="19" t="str">
        <x:v>深潮大祭司·伊莱娜</x:v>
      </x:c>
      <x:c r="F194" s="19" t="str">
        <x:v>地图BOSS</x:v>
      </x:c>
      <x:c r="G194" s="19" t="str">
        <x:v>材料独立候选</x:v>
      </x:c>
      <x:c r="H194" s="19" t="str">
        <x:v>技能残页</x:v>
      </x:c>
      <x:c r="I194" s="22" t="n">
        <x:v>20</x:v>
      </x:c>
      <x:c r="J194" s="22" t="n">
        <x:v>1</x:v>
      </x:c>
      <x:c r="K194" s="19" t="n">
        <x:v>1</x:v>
      </x:c>
      <x:c r="L194" s="24" t="n">
        <x:v>11.5</x:v>
      </x:c>
      <x:c r="M194" s="26" t="n">
        <x:v>0</x:v>
      </x:c>
      <x:c r="N194" s="24" t="n">
        <x:v>2</x:v>
      </x:c>
      <x:c r="O194" s="28" t="n">
        <x:f>MIN(1,L194/I194)</x:f>
        <x:v>0.575</x:v>
      </x:c>
      <x:c r="P194" s="30" t="n">
        <x:f>O194*J194*(1+M194)</x:f>
        <x:v>0.575</x:v>
      </x:c>
      <x:c r="Q194" s="30" t="n">
        <x:f>P194*N194</x:f>
        <x:v>1.15</x:v>
      </x:c>
      <x:c r="R194" s="19" t="str">
        <x:v>独立判定</x:v>
      </x:c>
    </x:row>
    <x:row r="195" ht="19" customHeight="1">
      <x:c r="A195" s="19" t="str">
        <x:v>D00191</x:v>
      </x:c>
      <x:c r="B195" s="19" t="n">
        <x:v>1</x:v>
      </x:c>
      <x:c r="C195" s="19" t="n">
        <x:v>3</x:v>
      </x:c>
      <x:c r="D195" s="19" t="str">
        <x:v>EL-MON-COURT-012</x:v>
      </x:c>
      <x:c r="E195" s="19" t="str">
        <x:v>深潮大祭司·伊莱娜</x:v>
      </x:c>
      <x:c r="F195" s="19" t="str">
        <x:v>地图BOSS</x:v>
      </x:c>
      <x:c r="G195" s="19" t="str">
        <x:v>材料独立候选</x:v>
      </x:c>
      <x:c r="H195" s="19" t="str">
        <x:v>小卢恩</x:v>
      </x:c>
      <x:c r="I195" s="22" t="n">
        <x:v>800</x:v>
      </x:c>
      <x:c r="J195" s="22" t="n">
        <x:v>1</x:v>
      </x:c>
      <x:c r="K195" s="19" t="n">
        <x:v>1</x:v>
      </x:c>
      <x:c r="L195" s="24" t="n">
        <x:v>11.5</x:v>
      </x:c>
      <x:c r="M195" s="26" t="n">
        <x:v>0</x:v>
      </x:c>
      <x:c r="N195" s="24" t="n">
        <x:v>2</x:v>
      </x:c>
      <x:c r="O195" s="28" t="n">
        <x:f>MIN(1,L195/I195)</x:f>
        <x:v>0.014375</x:v>
      </x:c>
      <x:c r="P195" s="30" t="n">
        <x:f>O195*J195*(1+M195)</x:f>
        <x:v>0.014375</x:v>
      </x:c>
      <x:c r="Q195" s="30" t="n">
        <x:f>P195*N195</x:f>
        <x:v>0.02875</x:v>
      </x:c>
      <x:c r="R195" s="19" t="str">
        <x:v>独立判定</x:v>
      </x:c>
    </x:row>
    <x:row r="196" ht="19" customHeight="1">
      <x:c r="A196" s="19" t="str">
        <x:v>D00192</x:v>
      </x:c>
      <x:c r="B196" s="19" t="n">
        <x:v>1</x:v>
      </x:c>
      <x:c r="C196" s="19" t="n">
        <x:v>3</x:v>
      </x:c>
      <x:c r="D196" s="19" t="str">
        <x:v>EL-MON-COURT-012</x:v>
      </x:c>
      <x:c r="E196" s="19" t="str">
        <x:v>深潮大祭司·伊莱娜</x:v>
      </x:c>
      <x:c r="F196" s="19" t="str">
        <x:v>地图BOSS</x:v>
      </x:c>
      <x:c r="G196" s="19" t="str">
        <x:v>材料独立候选</x:v>
      </x:c>
      <x:c r="H196" s="19" t="str">
        <x:v>大卢恩</x:v>
      </x:c>
      <x:c r="I196" s="22" t="n">
        <x:v>100</x:v>
      </x:c>
      <x:c r="J196" s="22" t="n">
        <x:v>1</x:v>
      </x:c>
      <x:c r="K196" s="19" t="n">
        <x:v>1</x:v>
      </x:c>
      <x:c r="L196" s="24" t="n">
        <x:v>11.5</x:v>
      </x:c>
      <x:c r="M196" s="26" t="n">
        <x:v>0</x:v>
      </x:c>
      <x:c r="N196" s="24" t="n">
        <x:v>2</x:v>
      </x:c>
      <x:c r="O196" s="28" t="n">
        <x:f>MIN(1,L196/I196)</x:f>
        <x:v>0.115</x:v>
      </x:c>
      <x:c r="P196" s="30" t="n">
        <x:f>O196*J196*(1+M196)</x:f>
        <x:v>0.115</x:v>
      </x:c>
      <x:c r="Q196" s="30" t="n">
        <x:f>P196*N196</x:f>
        <x:v>0.23</x:v>
      </x:c>
      <x:c r="R196" s="19" t="str">
        <x:v>独立判定</x:v>
      </x:c>
    </x:row>
    <x:row r="197" ht="19" customHeight="1">
      <x:c r="A197" s="19" t="str">
        <x:v>D00193</x:v>
      </x:c>
      <x:c r="B197" s="19" t="n">
        <x:v>1</x:v>
      </x:c>
      <x:c r="C197" s="19" t="n">
        <x:v>3</x:v>
      </x:c>
      <x:c r="D197" s="19" t="str">
        <x:v>EL-MON-COURT-013</x:v>
      </x:c>
      <x:c r="E197" s="19" t="str">
        <x:v>沉没之王·奥德里安</x:v>
      </x:c>
      <x:c r="F197" s="19" t="str">
        <x:v>守关BOSS</x:v>
      </x:c>
      <x:c r="G197" s="19" t="str">
        <x:v>自身专属</x:v>
      </x:c>
      <x:c r="H197" s="19" t="str">
        <x:v>沉没王权</x:v>
      </x:c>
      <x:c r="I197" s="22" t="n">
        <x:v>40</x:v>
      </x:c>
      <x:c r="J197" s="22" t="n">
        <x:v>1</x:v>
      </x:c>
      <x:c r="K197" s="19" t="n">
        <x:v>1</x:v>
      </x:c>
      <x:c r="L197" s="24" t="n">
        <x:v>11.5</x:v>
      </x:c>
      <x:c r="M197" s="26" t="n">
        <x:v>0</x:v>
      </x:c>
      <x:c r="N197" s="24" t="n">
        <x:v>0</x:v>
      </x:c>
      <x:c r="O197" s="28" t="n">
        <x:f>MIN(1,L197/I197)</x:f>
        <x:v>0.2875</x:v>
      </x:c>
      <x:c r="P197" s="30" t="n">
        <x:f>O197*J197*(1+M197)</x:f>
        <x:v>0.2875</x:v>
      </x:c>
      <x:c r="Q197" s="30" t="n">
        <x:f>P197*N197</x:f>
        <x:v>0</x:v>
      </x:c>
      <x:c r="R197" s="19" t="str">
        <x:v>独立判定</x:v>
      </x:c>
    </x:row>
    <x:row r="198" ht="19" customHeight="1">
      <x:c r="A198" s="19" t="str">
        <x:v>D00194</x:v>
      </x:c>
      <x:c r="B198" s="19" t="n">
        <x:v>1</x:v>
      </x:c>
      <x:c r="C198" s="19" t="n">
        <x:v>3</x:v>
      </x:c>
      <x:c r="D198" s="19" t="str">
        <x:v>EL-MON-COURT-013</x:v>
      </x:c>
      <x:c r="E198" s="19" t="str">
        <x:v>沉没之王·奥德里安</x:v>
      </x:c>
      <x:c r="F198" s="19" t="str">
        <x:v>守关BOSS</x:v>
      </x:c>
      <x:c r="G198" s="19" t="str">
        <x:v>自身专属</x:v>
      </x:c>
      <x:c r="H198" s="19" t="str">
        <x:v>潮葬礼剑</x:v>
      </x:c>
      <x:c r="I198" s="22" t="n">
        <x:v>40</x:v>
      </x:c>
      <x:c r="J198" s="22" t="n">
        <x:v>1</x:v>
      </x:c>
      <x:c r="K198" s="19" t="n">
        <x:v>1</x:v>
      </x:c>
      <x:c r="L198" s="24" t="n">
        <x:v>11.5</x:v>
      </x:c>
      <x:c r="M198" s="26" t="n">
        <x:v>0</x:v>
      </x:c>
      <x:c r="N198" s="24" t="n">
        <x:v>0</x:v>
      </x:c>
      <x:c r="O198" s="28" t="n">
        <x:f>MIN(1,L198/I198)</x:f>
        <x:v>0.2875</x:v>
      </x:c>
      <x:c r="P198" s="30" t="n">
        <x:f>O198*J198*(1+M198)</x:f>
        <x:v>0.2875</x:v>
      </x:c>
      <x:c r="Q198" s="30" t="n">
        <x:f>P198*N198</x:f>
        <x:v>0</x:v>
      </x:c>
      <x:c r="R198" s="19" t="str">
        <x:v>独立判定</x:v>
      </x:c>
    </x:row>
    <x:row r="199" ht="19" customHeight="1">
      <x:c r="A199" s="19" t="str">
        <x:v>D00195</x:v>
      </x:c>
      <x:c r="B199" s="19" t="n">
        <x:v>1</x:v>
      </x:c>
      <x:c r="C199" s="19" t="n">
        <x:v>3</x:v>
      </x:c>
      <x:c r="D199" s="19" t="str">
        <x:v>EL-MON-COURT-013</x:v>
      </x:c>
      <x:c r="E199" s="19" t="str">
        <x:v>沉没之王·奥德里安</x:v>
      </x:c>
      <x:c r="F199" s="19" t="str">
        <x:v>守关BOSS</x:v>
      </x:c>
      <x:c r="G199" s="19" t="str">
        <x:v>自身专属</x:v>
      </x:c>
      <x:c r="H199" s="19" t="str">
        <x:v>无冠王衣</x:v>
      </x:c>
      <x:c r="I199" s="22" t="n">
        <x:v>40</x:v>
      </x:c>
      <x:c r="J199" s="22" t="n">
        <x:v>1</x:v>
      </x:c>
      <x:c r="K199" s="19" t="n">
        <x:v>1</x:v>
      </x:c>
      <x:c r="L199" s="24" t="n">
        <x:v>11.5</x:v>
      </x:c>
      <x:c r="M199" s="26" t="n">
        <x:v>0</x:v>
      </x:c>
      <x:c r="N199" s="24" t="n">
        <x:v>0</x:v>
      </x:c>
      <x:c r="O199" s="28" t="n">
        <x:f>MIN(1,L199/I199)</x:f>
        <x:v>0.2875</x:v>
      </x:c>
      <x:c r="P199" s="30" t="n">
        <x:f>O199*J199*(1+M199)</x:f>
        <x:v>0.2875</x:v>
      </x:c>
      <x:c r="Q199" s="30" t="n">
        <x:f>P199*N199</x:f>
        <x:v>0</x:v>
      </x:c>
      <x:c r="R199" s="19" t="str">
        <x:v>独立判定</x:v>
      </x:c>
    </x:row>
    <x:row r="200" ht="19" customHeight="1">
      <x:c r="A200" s="19" t="str">
        <x:v>D00196</x:v>
      </x:c>
      <x:c r="B200" s="19" t="n">
        <x:v>1</x:v>
      </x:c>
      <x:c r="C200" s="19" t="n">
        <x:v>3</x:v>
      </x:c>
      <x:c r="D200" s="19" t="str">
        <x:v>EL-MON-COURT-013</x:v>
      </x:c>
      <x:c r="E200" s="19" t="str">
        <x:v>沉没之王·奥德里安</x:v>
      </x:c>
      <x:c r="F200" s="19" t="str">
        <x:v>守关BOSS</x:v>
      </x:c>
      <x:c r="G200" s="19" t="str">
        <x:v>材料独立候选</x:v>
      </x:c>
      <x:c r="H200" s="19" t="str">
        <x:v>海蚀铁片</x:v>
      </x:c>
      <x:c r="I200" s="22" t="n">
        <x:v>1</x:v>
      </x:c>
      <x:c r="J200" s="22" t="n">
        <x:v>40</x:v>
      </x:c>
      <x:c r="K200" s="19" t="n">
        <x:v>1</x:v>
      </x:c>
      <x:c r="L200" s="24" t="n">
        <x:v>11.5</x:v>
      </x:c>
      <x:c r="M200" s="26" t="n">
        <x:v>0</x:v>
      </x:c>
      <x:c r="N200" s="24" t="n">
        <x:v>0</x:v>
      </x:c>
      <x:c r="O200" s="28" t="n">
        <x:f>MIN(1,L200/I200)</x:f>
        <x:v>1</x:v>
      </x:c>
      <x:c r="P200" s="30" t="n">
        <x:f>O200*J200*(1+M200)</x:f>
        <x:v>40</x:v>
      </x:c>
      <x:c r="Q200" s="30" t="n">
        <x:f>P200*N200</x:f>
        <x:v>0</x:v>
      </x:c>
      <x:c r="R200" s="19" t="str">
        <x:v>独立判定</x:v>
      </x:c>
    </x:row>
    <x:row r="201" ht="19" customHeight="1">
      <x:c r="A201" s="19" t="str">
        <x:v>D00197</x:v>
      </x:c>
      <x:c r="B201" s="19" t="n">
        <x:v>1</x:v>
      </x:c>
      <x:c r="C201" s="19" t="n">
        <x:v>3</x:v>
      </x:c>
      <x:c r="D201" s="19" t="str">
        <x:v>EL-MON-COURT-013</x:v>
      </x:c>
      <x:c r="E201" s="19" t="str">
        <x:v>沉没之王·奥德里安</x:v>
      </x:c>
      <x:c r="F201" s="19" t="str">
        <x:v>守关BOSS</x:v>
      </x:c>
      <x:c r="G201" s="19" t="str">
        <x:v>材料独立候选</x:v>
      </x:c>
      <x:c r="H201" s="19" t="str">
        <x:v>潮痕结晶</x:v>
      </x:c>
      <x:c r="I201" s="22" t="n">
        <x:v>1</x:v>
      </x:c>
      <x:c r="J201" s="22" t="n">
        <x:v>1</x:v>
      </x:c>
      <x:c r="K201" s="19" t="n">
        <x:v>1</x:v>
      </x:c>
      <x:c r="L201" s="24" t="n">
        <x:v>11.5</x:v>
      </x:c>
      <x:c r="M201" s="26" t="n">
        <x:v>0</x:v>
      </x:c>
      <x:c r="N201" s="24" t="n">
        <x:v>0</x:v>
      </x:c>
      <x:c r="O201" s="28" t="n">
        <x:f>MIN(1,L201/I201)</x:f>
        <x:v>1</x:v>
      </x:c>
      <x:c r="P201" s="30" t="n">
        <x:f>O201*J201*(1+M201)</x:f>
        <x:v>1</x:v>
      </x:c>
      <x:c r="Q201" s="30" t="n">
        <x:f>P201*N201</x:f>
        <x:v>0</x:v>
      </x:c>
      <x:c r="R201" s="19" t="str">
        <x:v>独立判定</x:v>
      </x:c>
    </x:row>
    <x:row r="202" ht="19" customHeight="1">
      <x:c r="A202" s="19" t="str">
        <x:v>D00198</x:v>
      </x:c>
      <x:c r="B202" s="19" t="n">
        <x:v>1</x:v>
      </x:c>
      <x:c r="C202" s="19" t="n">
        <x:v>3</x:v>
      </x:c>
      <x:c r="D202" s="19" t="str">
        <x:v>EL-MON-COURT-013</x:v>
      </x:c>
      <x:c r="E202" s="19" t="str">
        <x:v>沉没之王·奥德里安</x:v>
      </x:c>
      <x:c r="F202" s="19" t="str">
        <x:v>守关BOSS</x:v>
      </x:c>
      <x:c r="G202" s="19" t="str">
        <x:v>材料独立候选</x:v>
      </x:c>
      <x:c r="H202" s="19" t="str">
        <x:v>漂流大陆印记</x:v>
      </x:c>
      <x:c r="I202" s="22" t="n">
        <x:v>1</x:v>
      </x:c>
      <x:c r="J202" s="22" t="n">
        <x:v>1</x:v>
      </x:c>
      <x:c r="K202" s="19" t="n">
        <x:v>1</x:v>
      </x:c>
      <x:c r="L202" s="24" t="n">
        <x:v>11.5</x:v>
      </x:c>
      <x:c r="M202" s="26" t="n">
        <x:v>0</x:v>
      </x:c>
      <x:c r="N202" s="24" t="n">
        <x:v>0</x:v>
      </x:c>
      <x:c r="O202" s="28" t="n">
        <x:f>MIN(1,L202/I202)</x:f>
        <x:v>1</x:v>
      </x:c>
      <x:c r="P202" s="30" t="n">
        <x:f>O202*J202*(1+M202)</x:f>
        <x:v>1</x:v>
      </x:c>
      <x:c r="Q202" s="30" t="n">
        <x:f>P202*N202</x:f>
        <x:v>0</x:v>
      </x:c>
      <x:c r="R202" s="19" t="str">
        <x:v>独立判定</x:v>
      </x:c>
    </x:row>
    <x:row r="203" ht="19" customHeight="1">
      <x:c r="A203" s="19" t="str">
        <x:v>D00199</x:v>
      </x:c>
      <x:c r="B203" s="19" t="n">
        <x:v>1</x:v>
      </x:c>
      <x:c r="C203" s="19" t="n">
        <x:v>3</x:v>
      </x:c>
      <x:c r="D203" s="19" t="str">
        <x:v>EL-MON-COURT-013</x:v>
      </x:c>
      <x:c r="E203" s="19" t="str">
        <x:v>沉没之王·奥德里安</x:v>
      </x:c>
      <x:c r="F203" s="19" t="str">
        <x:v>守关BOSS</x:v>
      </x:c>
      <x:c r="G203" s="19" t="str">
        <x:v>材料独立候选</x:v>
      </x:c>
      <x:c r="H203" s="19" t="str">
        <x:v>沉王魂核</x:v>
      </x:c>
      <x:c r="I203" s="22" t="n">
        <x:v>1</x:v>
      </x:c>
      <x:c r="J203" s="22" t="n">
        <x:v>1</x:v>
      </x:c>
      <x:c r="K203" s="19" t="n">
        <x:v>1</x:v>
      </x:c>
      <x:c r="L203" s="24" t="n">
        <x:v>11.5</x:v>
      </x:c>
      <x:c r="M203" s="26" t="n">
        <x:v>0</x:v>
      </x:c>
      <x:c r="N203" s="24" t="n">
        <x:v>0</x:v>
      </x:c>
      <x:c r="O203" s="28" t="n">
        <x:f>MIN(1,L203/I203)</x:f>
        <x:v>1</x:v>
      </x:c>
      <x:c r="P203" s="30" t="n">
        <x:f>O203*J203*(1+M203)</x:f>
        <x:v>1</x:v>
      </x:c>
      <x:c r="Q203" s="30" t="n">
        <x:f>P203*N203</x:f>
        <x:v>0</x:v>
      </x:c>
      <x:c r="R203" s="19" t="str">
        <x:v>独立判定</x:v>
      </x:c>
    </x:row>
    <x:row r="204" ht="19" customHeight="1">
      <x:c r="A204" s="19" t="str">
        <x:v>D00200</x:v>
      </x:c>
      <x:c r="B204" s="19" t="n">
        <x:v>2</x:v>
      </x:c>
      <x:c r="C204" s="19" t="n">
        <x:v>1</x:v>
      </x:c>
      <x:c r="D204" s="19" t="str">
        <x:v>EL-MON-LIM-GRAVE-001</x:v>
      </x:c>
      <x:c r="E204" s="19" t="str">
        <x:v>褪色墓卒</x:v>
      </x:c>
      <x:c r="F204" s="19" t="str">
        <x:v>普通</x:v>
      </x:c>
      <x:c r="G204" s="19" t="str">
        <x:v>自身专属</x:v>
      </x:c>
      <x:c r="H204" s="19" t="str">
        <x:v>褪色墓刃</x:v>
      </x:c>
      <x:c r="I204" s="22" t="n">
        <x:v>600</x:v>
      </x:c>
      <x:c r="J204" s="22" t="n">
        <x:v>1</x:v>
      </x:c>
      <x:c r="K204" s="19" t="n">
        <x:v>1</x:v>
      </x:c>
      <x:c r="L204" s="24" t="n">
        <x:v>13.799999999999999</x:v>
      </x:c>
      <x:c r="M204" s="26" t="n">
        <x:v>0.1</x:v>
      </x:c>
      <x:c r="N204" s="24" t="n">
        <x:v>72</x:v>
      </x:c>
      <x:c r="O204" s="28" t="n">
        <x:f>MIN(1,L204/I204)</x:f>
        <x:v>0.023</x:v>
      </x:c>
      <x:c r="P204" s="30" t="n">
        <x:f>O204*J204*(1+M204)</x:f>
        <x:v>0.025300000000000003</x:v>
      </x:c>
      <x:c r="Q204" s="30" t="n">
        <x:f>P204*N204</x:f>
        <x:v>1.8216</x:v>
      </x:c>
      <x:c r="R204" s="19" t="str">
        <x:v>独立判定</x:v>
      </x:c>
    </x:row>
    <x:row r="205" ht="19" customHeight="1">
      <x:c r="A205" s="19" t="str">
        <x:v>D00201</x:v>
      </x:c>
      <x:c r="B205" s="19" t="n">
        <x:v>2</x:v>
      </x:c>
      <x:c r="C205" s="19" t="n">
        <x:v>1</x:v>
      </x:c>
      <x:c r="D205" s="19" t="str">
        <x:v>EL-MON-LIM-GRAVE-001</x:v>
      </x:c>
      <x:c r="E205" s="19" t="str">
        <x:v>褪色墓卒</x:v>
      </x:c>
      <x:c r="F205" s="19" t="str">
        <x:v>普通</x:v>
      </x:c>
      <x:c r="G205" s="19" t="str">
        <x:v>材料独立候选</x:v>
      </x:c>
      <x:c r="H205" s="19" t="str">
        <x:v>风暴石片</x:v>
      </x:c>
      <x:c r="I205" s="22" t="n">
        <x:v>500</x:v>
      </x:c>
      <x:c r="J205" s="22" t="n">
        <x:v>8</x:v>
      </x:c>
      <x:c r="K205" s="19" t="n">
        <x:v>1</x:v>
      </x:c>
      <x:c r="L205" s="24" t="n">
        <x:v>13.799999999999999</x:v>
      </x:c>
      <x:c r="M205" s="26" t="n">
        <x:v>0.1</x:v>
      </x:c>
      <x:c r="N205" s="24" t="n">
        <x:v>72</x:v>
      </x:c>
      <x:c r="O205" s="28" t="n">
        <x:f>MIN(1,L205/I205)</x:f>
        <x:v>0.0276</x:v>
      </x:c>
      <x:c r="P205" s="30" t="n">
        <x:f>O205*J205*(1+M205)</x:f>
        <x:v>0.24288</x:v>
      </x:c>
      <x:c r="Q205" s="30" t="n">
        <x:f>P205*N205</x:f>
        <x:v>17.487360000000002</x:v>
      </x:c>
      <x:c r="R205" s="19" t="str">
        <x:v>独立判定</x:v>
      </x:c>
    </x:row>
    <x:row r="206" ht="19" customHeight="1">
      <x:c r="A206" s="19" t="str">
        <x:v>D00202</x:v>
      </x:c>
      <x:c r="B206" s="19" t="n">
        <x:v>2</x:v>
      </x:c>
      <x:c r="C206" s="19" t="n">
        <x:v>1</x:v>
      </x:c>
      <x:c r="D206" s="19" t="str">
        <x:v>EL-MON-LIM-GRAVE-001</x:v>
      </x:c>
      <x:c r="E206" s="19" t="str">
        <x:v>褪色墓卒</x:v>
      </x:c>
      <x:c r="F206" s="19" t="str">
        <x:v>普通</x:v>
      </x:c>
      <x:c r="G206" s="19" t="str">
        <x:v>材料独立候选</x:v>
      </x:c>
      <x:c r="H206" s="19" t="str">
        <x:v>野兽骨片</x:v>
      </x:c>
      <x:c r="I206" s="22" t="n">
        <x:v>100</x:v>
      </x:c>
      <x:c r="J206" s="22" t="n">
        <x:v>2</x:v>
      </x:c>
      <x:c r="K206" s="19" t="n">
        <x:v>1</x:v>
      </x:c>
      <x:c r="L206" s="24" t="n">
        <x:v>13.799999999999999</x:v>
      </x:c>
      <x:c r="M206" s="26" t="n">
        <x:v>0.1</x:v>
      </x:c>
      <x:c r="N206" s="24" t="n">
        <x:v>72</x:v>
      </x:c>
      <x:c r="O206" s="28" t="n">
        <x:f>MIN(1,L206/I206)</x:f>
        <x:v>0.13799999999999998</x:v>
      </x:c>
      <x:c r="P206" s="30" t="n">
        <x:f>O206*J206*(1+M206)</x:f>
        <x:v>0.3036</x:v>
      </x:c>
      <x:c r="Q206" s="30" t="n">
        <x:f>P206*N206</x:f>
        <x:v>21.859199999999998</x:v>
      </x:c>
      <x:c r="R206" s="19" t="str">
        <x:v>独立判定</x:v>
      </x:c>
    </x:row>
    <x:row r="207" ht="19" customHeight="1">
      <x:c r="A207" s="19" t="str">
        <x:v>D00203</x:v>
      </x:c>
      <x:c r="B207" s="19" t="n">
        <x:v>2</x:v>
      </x:c>
      <x:c r="C207" s="19" t="n">
        <x:v>1</x:v>
      </x:c>
      <x:c r="D207" s="19" t="str">
        <x:v>EL-MON-LIM-GRAVE-001</x:v>
      </x:c>
      <x:c r="E207" s="19" t="str">
        <x:v>褪色墓卒</x:v>
      </x:c>
      <x:c r="F207" s="19" t="str">
        <x:v>普通</x:v>
      </x:c>
      <x:c r="G207" s="19" t="str">
        <x:v>材料独立候选</x:v>
      </x:c>
      <x:c r="H207" s="19" t="str">
        <x:v>技能残页</x:v>
      </x:c>
      <x:c r="I207" s="22" t="n">
        <x:v>100</x:v>
      </x:c>
      <x:c r="J207" s="22" t="n">
        <x:v>1</x:v>
      </x:c>
      <x:c r="K207" s="19" t="n">
        <x:v>1</x:v>
      </x:c>
      <x:c r="L207" s="24" t="n">
        <x:v>13.799999999999999</x:v>
      </x:c>
      <x:c r="M207" s="26" t="n">
        <x:v>0.1</x:v>
      </x:c>
      <x:c r="N207" s="24" t="n">
        <x:v>72</x:v>
      </x:c>
      <x:c r="O207" s="28" t="n">
        <x:f>MIN(1,L207/I207)</x:f>
        <x:v>0.13799999999999998</x:v>
      </x:c>
      <x:c r="P207" s="30" t="n">
        <x:f>O207*J207*(1+M207)</x:f>
        <x:v>0.1518</x:v>
      </x:c>
      <x:c r="Q207" s="30" t="n">
        <x:f>P207*N207</x:f>
        <x:v>10.929599999999999</x:v>
      </x:c>
      <x:c r="R207" s="19" t="str">
        <x:v>独立判定</x:v>
      </x:c>
    </x:row>
    <x:row r="208" ht="19" customHeight="1">
      <x:c r="A208" s="19" t="str">
        <x:v>D00204</x:v>
      </x:c>
      <x:c r="B208" s="19" t="n">
        <x:v>2</x:v>
      </x:c>
      <x:c r="C208" s="19" t="n">
        <x:v>1</x:v>
      </x:c>
      <x:c r="D208" s="19" t="str">
        <x:v>EL-MON-LIM-GRAVE-001</x:v>
      </x:c>
      <x:c r="E208" s="19" t="str">
        <x:v>褪色墓卒</x:v>
      </x:c>
      <x:c r="F208" s="19" t="str">
        <x:v>普通</x:v>
      </x:c>
      <x:c r="G208" s="19" t="str">
        <x:v>材料独立候选</x:v>
      </x:c>
      <x:c r="H208" s="19" t="str">
        <x:v>小卢恩</x:v>
      </x:c>
      <x:c r="I208" s="22" t="n">
        <x:v>4000</x:v>
      </x:c>
      <x:c r="J208" s="22" t="n">
        <x:v>1</x:v>
      </x:c>
      <x:c r="K208" s="19" t="n">
        <x:v>1</x:v>
      </x:c>
      <x:c r="L208" s="24" t="n">
        <x:v>13.799999999999999</x:v>
      </x:c>
      <x:c r="M208" s="26" t="n">
        <x:v>0.1</x:v>
      </x:c>
      <x:c r="N208" s="24" t="n">
        <x:v>72</x:v>
      </x:c>
      <x:c r="O208" s="28" t="n">
        <x:f>MIN(1,L208/I208)</x:f>
        <x:v>0.00345</x:v>
      </x:c>
      <x:c r="P208" s="30" t="n">
        <x:f>O208*J208*(1+M208)</x:f>
        <x:v>0.003795</x:v>
      </x:c>
      <x:c r="Q208" s="30" t="n">
        <x:f>P208*N208</x:f>
        <x:v>0.27324000000000004</x:v>
      </x:c>
      <x:c r="R208" s="19" t="str">
        <x:v>独立判定</x:v>
      </x:c>
    </x:row>
    <x:row r="209" ht="19" customHeight="1">
      <x:c r="A209" s="19" t="str">
        <x:v>D00205</x:v>
      </x:c>
      <x:c r="B209" s="19" t="n">
        <x:v>2</x:v>
      </x:c>
      <x:c r="C209" s="19" t="n">
        <x:v>1</x:v>
      </x:c>
      <x:c r="D209" s="19" t="str">
        <x:v>EL-MON-LIM-GRAVE-001</x:v>
      </x:c>
      <x:c r="E209" s="19" t="str">
        <x:v>褪色墓卒</x:v>
      </x:c>
      <x:c r="F209" s="19" t="str">
        <x:v>普通</x:v>
      </x:c>
      <x:c r="G209" s="19" t="str">
        <x:v>六神器公共池</x:v>
      </x:c>
      <x:c r="H209" s="19" t="str">
        <x:v>POOL006</x:v>
      </x:c>
      <x:c r="I209" s="22" t="n">
        <x:v>20000000</x:v>
      </x:c>
      <x:c r="J209" s="22" t="n">
        <x:v>1</x:v>
      </x:c>
      <x:c r="K209" s="19" t="n">
        <x:v>6</x:v>
      </x:c>
      <x:c r="L209" s="24" t="n">
        <x:v>13.799999999999999</x:v>
      </x:c>
      <x:c r="M209" s="26" t="n">
        <x:v>0.1</x:v>
      </x:c>
      <x:c r="N209" s="24" t="n">
        <x:v>72</x:v>
      </x:c>
      <x:c r="O209" s="28" t="n">
        <x:f>MIN(1,L209/I209)</x:f>
        <x:v>6.9e-7</x:v>
      </x:c>
      <x:c r="P209" s="30" t="n">
        <x:f>O209*J209*(1+M209)</x:f>
        <x:v>7.590000000000001e-7</x:v>
      </x:c>
      <x:c r="Q209" s="30" t="n">
        <x:f>P209*N209</x:f>
        <x:v>0.000054648</x:v>
      </x:c>
      <x:c r="R209" s="19" t="str">
        <x:v>六选一；非6个独立爆率</x:v>
      </x:c>
    </x:row>
    <x:row r="210" ht="19" customHeight="1">
      <x:c r="A210" s="19" t="str">
        <x:v>D00206</x:v>
      </x:c>
      <x:c r="B210" s="19" t="n">
        <x:v>2</x:v>
      </x:c>
      <x:c r="C210" s="19" t="n">
        <x:v>1</x:v>
      </x:c>
      <x:c r="D210" s="19" t="str">
        <x:v>EL-MON-LIM-GRAVE-002</x:v>
      </x:c>
      <x:c r="E210" s="19" t="str">
        <x:v>漂泊腐尸</x:v>
      </x:c>
      <x:c r="F210" s="19" t="str">
        <x:v>普通</x:v>
      </x:c>
      <x:c r="G210" s="19" t="str">
        <x:v>自身专属</x:v>
      </x:c>
      <x:c r="H210" s="19" t="str">
        <x:v>漂腐寿衣</x:v>
      </x:c>
      <x:c r="I210" s="22" t="n">
        <x:v>600</x:v>
      </x:c>
      <x:c r="J210" s="22" t="n">
        <x:v>1</x:v>
      </x:c>
      <x:c r="K210" s="19" t="n">
        <x:v>1</x:v>
      </x:c>
      <x:c r="L210" s="24" t="n">
        <x:v>13.799999999999999</x:v>
      </x:c>
      <x:c r="M210" s="26" t="n">
        <x:v>0.1</x:v>
      </x:c>
      <x:c r="N210" s="24" t="n">
        <x:v>72</x:v>
      </x:c>
      <x:c r="O210" s="28" t="n">
        <x:f>MIN(1,L210/I210)</x:f>
        <x:v>0.023</x:v>
      </x:c>
      <x:c r="P210" s="30" t="n">
        <x:f>O210*J210*(1+M210)</x:f>
        <x:v>0.025300000000000003</x:v>
      </x:c>
      <x:c r="Q210" s="30" t="n">
        <x:f>P210*N210</x:f>
        <x:v>1.8216</x:v>
      </x:c>
      <x:c r="R210" s="19" t="str">
        <x:v>独立判定</x:v>
      </x:c>
    </x:row>
    <x:row r="211" ht="19" customHeight="1">
      <x:c r="A211" s="19" t="str">
        <x:v>D00207</x:v>
      </x:c>
      <x:c r="B211" s="19" t="n">
        <x:v>2</x:v>
      </x:c>
      <x:c r="C211" s="19" t="n">
        <x:v>1</x:v>
      </x:c>
      <x:c r="D211" s="19" t="str">
        <x:v>EL-MON-LIM-GRAVE-002</x:v>
      </x:c>
      <x:c r="E211" s="19" t="str">
        <x:v>漂泊腐尸</x:v>
      </x:c>
      <x:c r="F211" s="19" t="str">
        <x:v>普通</x:v>
      </x:c>
      <x:c r="G211" s="19" t="str">
        <x:v>材料独立候选</x:v>
      </x:c>
      <x:c r="H211" s="19" t="str">
        <x:v>风暴石片</x:v>
      </x:c>
      <x:c r="I211" s="22" t="n">
        <x:v>500</x:v>
      </x:c>
      <x:c r="J211" s="22" t="n">
        <x:v>8</x:v>
      </x:c>
      <x:c r="K211" s="19" t="n">
        <x:v>1</x:v>
      </x:c>
      <x:c r="L211" s="24" t="n">
        <x:v>13.799999999999999</x:v>
      </x:c>
      <x:c r="M211" s="26" t="n">
        <x:v>0.1</x:v>
      </x:c>
      <x:c r="N211" s="24" t="n">
        <x:v>72</x:v>
      </x:c>
      <x:c r="O211" s="28" t="n">
        <x:f>MIN(1,L211/I211)</x:f>
        <x:v>0.0276</x:v>
      </x:c>
      <x:c r="P211" s="30" t="n">
        <x:f>O211*J211*(1+M211)</x:f>
        <x:v>0.24288</x:v>
      </x:c>
      <x:c r="Q211" s="30" t="n">
        <x:f>P211*N211</x:f>
        <x:v>17.487360000000002</x:v>
      </x:c>
      <x:c r="R211" s="19" t="str">
        <x:v>独立判定</x:v>
      </x:c>
    </x:row>
    <x:row r="212" ht="19" customHeight="1">
      <x:c r="A212" s="19" t="str">
        <x:v>D00208</x:v>
      </x:c>
      <x:c r="B212" s="19" t="n">
        <x:v>2</x:v>
      </x:c>
      <x:c r="C212" s="19" t="n">
        <x:v>1</x:v>
      </x:c>
      <x:c r="D212" s="19" t="str">
        <x:v>EL-MON-LIM-GRAVE-002</x:v>
      </x:c>
      <x:c r="E212" s="19" t="str">
        <x:v>漂泊腐尸</x:v>
      </x:c>
      <x:c r="F212" s="19" t="str">
        <x:v>普通</x:v>
      </x:c>
      <x:c r="G212" s="19" t="str">
        <x:v>材料独立候选</x:v>
      </x:c>
      <x:c r="H212" s="19" t="str">
        <x:v>野兽骨片</x:v>
      </x:c>
      <x:c r="I212" s="22" t="n">
        <x:v>100</x:v>
      </x:c>
      <x:c r="J212" s="22" t="n">
        <x:v>2</x:v>
      </x:c>
      <x:c r="K212" s="19" t="n">
        <x:v>1</x:v>
      </x:c>
      <x:c r="L212" s="24" t="n">
        <x:v>13.799999999999999</x:v>
      </x:c>
      <x:c r="M212" s="26" t="n">
        <x:v>0.1</x:v>
      </x:c>
      <x:c r="N212" s="24" t="n">
        <x:v>72</x:v>
      </x:c>
      <x:c r="O212" s="28" t="n">
        <x:f>MIN(1,L212/I212)</x:f>
        <x:v>0.13799999999999998</x:v>
      </x:c>
      <x:c r="P212" s="30" t="n">
        <x:f>O212*J212*(1+M212)</x:f>
        <x:v>0.3036</x:v>
      </x:c>
      <x:c r="Q212" s="30" t="n">
        <x:f>P212*N212</x:f>
        <x:v>21.859199999999998</x:v>
      </x:c>
      <x:c r="R212" s="19" t="str">
        <x:v>独立判定</x:v>
      </x:c>
    </x:row>
    <x:row r="213" ht="19" customHeight="1">
      <x:c r="A213" s="19" t="str">
        <x:v>D00209</x:v>
      </x:c>
      <x:c r="B213" s="19" t="n">
        <x:v>2</x:v>
      </x:c>
      <x:c r="C213" s="19" t="n">
        <x:v>1</x:v>
      </x:c>
      <x:c r="D213" s="19" t="str">
        <x:v>EL-MON-LIM-GRAVE-002</x:v>
      </x:c>
      <x:c r="E213" s="19" t="str">
        <x:v>漂泊腐尸</x:v>
      </x:c>
      <x:c r="F213" s="19" t="str">
        <x:v>普通</x:v>
      </x:c>
      <x:c r="G213" s="19" t="str">
        <x:v>材料独立候选</x:v>
      </x:c>
      <x:c r="H213" s="19" t="str">
        <x:v>技能残页</x:v>
      </x:c>
      <x:c r="I213" s="22" t="n">
        <x:v>100</x:v>
      </x:c>
      <x:c r="J213" s="22" t="n">
        <x:v>1</x:v>
      </x:c>
      <x:c r="K213" s="19" t="n">
        <x:v>1</x:v>
      </x:c>
      <x:c r="L213" s="24" t="n">
        <x:v>13.799999999999999</x:v>
      </x:c>
      <x:c r="M213" s="26" t="n">
        <x:v>0.1</x:v>
      </x:c>
      <x:c r="N213" s="24" t="n">
        <x:v>72</x:v>
      </x:c>
      <x:c r="O213" s="28" t="n">
        <x:f>MIN(1,L213/I213)</x:f>
        <x:v>0.13799999999999998</x:v>
      </x:c>
      <x:c r="P213" s="30" t="n">
        <x:f>O213*J213*(1+M213)</x:f>
        <x:v>0.1518</x:v>
      </x:c>
      <x:c r="Q213" s="30" t="n">
        <x:f>P213*N213</x:f>
        <x:v>10.929599999999999</x:v>
      </x:c>
      <x:c r="R213" s="19" t="str">
        <x:v>独立判定</x:v>
      </x:c>
    </x:row>
    <x:row r="214" ht="19" customHeight="1">
      <x:c r="A214" s="19" t="str">
        <x:v>D00210</x:v>
      </x:c>
      <x:c r="B214" s="19" t="n">
        <x:v>2</x:v>
      </x:c>
      <x:c r="C214" s="19" t="n">
        <x:v>1</x:v>
      </x:c>
      <x:c r="D214" s="19" t="str">
        <x:v>EL-MON-LIM-GRAVE-002</x:v>
      </x:c>
      <x:c r="E214" s="19" t="str">
        <x:v>漂泊腐尸</x:v>
      </x:c>
      <x:c r="F214" s="19" t="str">
        <x:v>普通</x:v>
      </x:c>
      <x:c r="G214" s="19" t="str">
        <x:v>材料独立候选</x:v>
      </x:c>
      <x:c r="H214" s="19" t="str">
        <x:v>小卢恩</x:v>
      </x:c>
      <x:c r="I214" s="22" t="n">
        <x:v>4000</x:v>
      </x:c>
      <x:c r="J214" s="22" t="n">
        <x:v>1</x:v>
      </x:c>
      <x:c r="K214" s="19" t="n">
        <x:v>1</x:v>
      </x:c>
      <x:c r="L214" s="24" t="n">
        <x:v>13.799999999999999</x:v>
      </x:c>
      <x:c r="M214" s="26" t="n">
        <x:v>0.1</x:v>
      </x:c>
      <x:c r="N214" s="24" t="n">
        <x:v>72</x:v>
      </x:c>
      <x:c r="O214" s="28" t="n">
        <x:f>MIN(1,L214/I214)</x:f>
        <x:v>0.00345</x:v>
      </x:c>
      <x:c r="P214" s="30" t="n">
        <x:f>O214*J214*(1+M214)</x:f>
        <x:v>0.003795</x:v>
      </x:c>
      <x:c r="Q214" s="30" t="n">
        <x:f>P214*N214</x:f>
        <x:v>0.27324000000000004</x:v>
      </x:c>
      <x:c r="R214" s="19" t="str">
        <x:v>独立判定</x:v>
      </x:c>
    </x:row>
    <x:row r="215" ht="19" customHeight="1">
      <x:c r="A215" s="19" t="str">
        <x:v>D00211</x:v>
      </x:c>
      <x:c r="B215" s="19" t="n">
        <x:v>2</x:v>
      </x:c>
      <x:c r="C215" s="19" t="n">
        <x:v>1</x:v>
      </x:c>
      <x:c r="D215" s="19" t="str">
        <x:v>EL-MON-LIM-GRAVE-002</x:v>
      </x:c>
      <x:c r="E215" s="19" t="str">
        <x:v>漂泊腐尸</x:v>
      </x:c>
      <x:c r="F215" s="19" t="str">
        <x:v>普通</x:v>
      </x:c>
      <x:c r="G215" s="19" t="str">
        <x:v>六神器公共池</x:v>
      </x:c>
      <x:c r="H215" s="19" t="str">
        <x:v>POOL006</x:v>
      </x:c>
      <x:c r="I215" s="22" t="n">
        <x:v>20000000</x:v>
      </x:c>
      <x:c r="J215" s="22" t="n">
        <x:v>1</x:v>
      </x:c>
      <x:c r="K215" s="19" t="n">
        <x:v>6</x:v>
      </x:c>
      <x:c r="L215" s="24" t="n">
        <x:v>13.799999999999999</x:v>
      </x:c>
      <x:c r="M215" s="26" t="n">
        <x:v>0.1</x:v>
      </x:c>
      <x:c r="N215" s="24" t="n">
        <x:v>72</x:v>
      </x:c>
      <x:c r="O215" s="28" t="n">
        <x:f>MIN(1,L215/I215)</x:f>
        <x:v>6.9e-7</x:v>
      </x:c>
      <x:c r="P215" s="30" t="n">
        <x:f>O215*J215*(1+M215)</x:f>
        <x:v>7.590000000000001e-7</x:v>
      </x:c>
      <x:c r="Q215" s="30" t="n">
        <x:f>P215*N215</x:f>
        <x:v>0.000054648</x:v>
      </x:c>
      <x:c r="R215" s="19" t="str">
        <x:v>六选一；非6个独立爆率</x:v>
      </x:c>
    </x:row>
    <x:row r="216" ht="19" customHeight="1">
      <x:c r="A216" s="19" t="str">
        <x:v>D00212</x:v>
      </x:c>
      <x:c r="B216" s="19" t="n">
        <x:v>2</x:v>
      </x:c>
      <x:c r="C216" s="19" t="n">
        <x:v>1</x:v>
      </x:c>
      <x:c r="D216" s="19" t="str">
        <x:v>EL-MON-LIM-GRAVE-003</x:v>
      </x:c>
      <x:c r="E216" s="19" t="str">
        <x:v>墓穴尖牙鬼</x:v>
      </x:c>
      <x:c r="F216" s="19" t="str">
        <x:v>普通</x:v>
      </x:c>
      <x:c r="G216" s="19" t="str">
        <x:v>自身专属</x:v>
      </x:c>
      <x:c r="H216" s="19" t="str">
        <x:v>尖牙骨链</x:v>
      </x:c>
      <x:c r="I216" s="22" t="n">
        <x:v>600</x:v>
      </x:c>
      <x:c r="J216" s="22" t="n">
        <x:v>1</x:v>
      </x:c>
      <x:c r="K216" s="19" t="n">
        <x:v>1</x:v>
      </x:c>
      <x:c r="L216" s="24" t="n">
        <x:v>13.799999999999999</x:v>
      </x:c>
      <x:c r="M216" s="26" t="n">
        <x:v>0.1</x:v>
      </x:c>
      <x:c r="N216" s="24" t="n">
        <x:v>72</x:v>
      </x:c>
      <x:c r="O216" s="28" t="n">
        <x:f>MIN(1,L216/I216)</x:f>
        <x:v>0.023</x:v>
      </x:c>
      <x:c r="P216" s="30" t="n">
        <x:f>O216*J216*(1+M216)</x:f>
        <x:v>0.025300000000000003</x:v>
      </x:c>
      <x:c r="Q216" s="30" t="n">
        <x:f>P216*N216</x:f>
        <x:v>1.8216</x:v>
      </x:c>
      <x:c r="R216" s="19" t="str">
        <x:v>独立判定</x:v>
      </x:c>
    </x:row>
    <x:row r="217" ht="19" customHeight="1">
      <x:c r="A217" s="19" t="str">
        <x:v>D00213</x:v>
      </x:c>
      <x:c r="B217" s="19" t="n">
        <x:v>2</x:v>
      </x:c>
      <x:c r="C217" s="19" t="n">
        <x:v>1</x:v>
      </x:c>
      <x:c r="D217" s="19" t="str">
        <x:v>EL-MON-LIM-GRAVE-003</x:v>
      </x:c>
      <x:c r="E217" s="19" t="str">
        <x:v>墓穴尖牙鬼</x:v>
      </x:c>
      <x:c r="F217" s="19" t="str">
        <x:v>普通</x:v>
      </x:c>
      <x:c r="G217" s="19" t="str">
        <x:v>材料独立候选</x:v>
      </x:c>
      <x:c r="H217" s="19" t="str">
        <x:v>风暴石片</x:v>
      </x:c>
      <x:c r="I217" s="22" t="n">
        <x:v>500</x:v>
      </x:c>
      <x:c r="J217" s="22" t="n">
        <x:v>8</x:v>
      </x:c>
      <x:c r="K217" s="19" t="n">
        <x:v>1</x:v>
      </x:c>
      <x:c r="L217" s="24" t="n">
        <x:v>13.799999999999999</x:v>
      </x:c>
      <x:c r="M217" s="26" t="n">
        <x:v>0.1</x:v>
      </x:c>
      <x:c r="N217" s="24" t="n">
        <x:v>72</x:v>
      </x:c>
      <x:c r="O217" s="28" t="n">
        <x:f>MIN(1,L217/I217)</x:f>
        <x:v>0.0276</x:v>
      </x:c>
      <x:c r="P217" s="30" t="n">
        <x:f>O217*J217*(1+M217)</x:f>
        <x:v>0.24288</x:v>
      </x:c>
      <x:c r="Q217" s="30" t="n">
        <x:f>P217*N217</x:f>
        <x:v>17.487360000000002</x:v>
      </x:c>
      <x:c r="R217" s="19" t="str">
        <x:v>独立判定</x:v>
      </x:c>
    </x:row>
    <x:row r="218" ht="19" customHeight="1">
      <x:c r="A218" s="19" t="str">
        <x:v>D00214</x:v>
      </x:c>
      <x:c r="B218" s="19" t="n">
        <x:v>2</x:v>
      </x:c>
      <x:c r="C218" s="19" t="n">
        <x:v>1</x:v>
      </x:c>
      <x:c r="D218" s="19" t="str">
        <x:v>EL-MON-LIM-GRAVE-003</x:v>
      </x:c>
      <x:c r="E218" s="19" t="str">
        <x:v>墓穴尖牙鬼</x:v>
      </x:c>
      <x:c r="F218" s="19" t="str">
        <x:v>普通</x:v>
      </x:c>
      <x:c r="G218" s="19" t="str">
        <x:v>材料独立候选</x:v>
      </x:c>
      <x:c r="H218" s="19" t="str">
        <x:v>野兽骨片</x:v>
      </x:c>
      <x:c r="I218" s="22" t="n">
        <x:v>100</x:v>
      </x:c>
      <x:c r="J218" s="22" t="n">
        <x:v>2</x:v>
      </x:c>
      <x:c r="K218" s="19" t="n">
        <x:v>1</x:v>
      </x:c>
      <x:c r="L218" s="24" t="n">
        <x:v>13.799999999999999</x:v>
      </x:c>
      <x:c r="M218" s="26" t="n">
        <x:v>0.1</x:v>
      </x:c>
      <x:c r="N218" s="24" t="n">
        <x:v>72</x:v>
      </x:c>
      <x:c r="O218" s="28" t="n">
        <x:f>MIN(1,L218/I218)</x:f>
        <x:v>0.13799999999999998</x:v>
      </x:c>
      <x:c r="P218" s="30" t="n">
        <x:f>O218*J218*(1+M218)</x:f>
        <x:v>0.3036</x:v>
      </x:c>
      <x:c r="Q218" s="30" t="n">
        <x:f>P218*N218</x:f>
        <x:v>21.859199999999998</x:v>
      </x:c>
      <x:c r="R218" s="19" t="str">
        <x:v>独立判定</x:v>
      </x:c>
    </x:row>
    <x:row r="219" ht="19" customHeight="1">
      <x:c r="A219" s="19" t="str">
        <x:v>D00215</x:v>
      </x:c>
      <x:c r="B219" s="19" t="n">
        <x:v>2</x:v>
      </x:c>
      <x:c r="C219" s="19" t="n">
        <x:v>1</x:v>
      </x:c>
      <x:c r="D219" s="19" t="str">
        <x:v>EL-MON-LIM-GRAVE-003</x:v>
      </x:c>
      <x:c r="E219" s="19" t="str">
        <x:v>墓穴尖牙鬼</x:v>
      </x:c>
      <x:c r="F219" s="19" t="str">
        <x:v>普通</x:v>
      </x:c>
      <x:c r="G219" s="19" t="str">
        <x:v>材料独立候选</x:v>
      </x:c>
      <x:c r="H219" s="19" t="str">
        <x:v>技能残页</x:v>
      </x:c>
      <x:c r="I219" s="22" t="n">
        <x:v>100</x:v>
      </x:c>
      <x:c r="J219" s="22" t="n">
        <x:v>1</x:v>
      </x:c>
      <x:c r="K219" s="19" t="n">
        <x:v>1</x:v>
      </x:c>
      <x:c r="L219" s="24" t="n">
        <x:v>13.799999999999999</x:v>
      </x:c>
      <x:c r="M219" s="26" t="n">
        <x:v>0.1</x:v>
      </x:c>
      <x:c r="N219" s="24" t="n">
        <x:v>72</x:v>
      </x:c>
      <x:c r="O219" s="28" t="n">
        <x:f>MIN(1,L219/I219)</x:f>
        <x:v>0.13799999999999998</x:v>
      </x:c>
      <x:c r="P219" s="30" t="n">
        <x:f>O219*J219*(1+M219)</x:f>
        <x:v>0.1518</x:v>
      </x:c>
      <x:c r="Q219" s="30" t="n">
        <x:f>P219*N219</x:f>
        <x:v>10.929599999999999</x:v>
      </x:c>
      <x:c r="R219" s="19" t="str">
        <x:v>独立判定</x:v>
      </x:c>
    </x:row>
    <x:row r="220" ht="19" customHeight="1">
      <x:c r="A220" s="19" t="str">
        <x:v>D00216</x:v>
      </x:c>
      <x:c r="B220" s="19" t="n">
        <x:v>2</x:v>
      </x:c>
      <x:c r="C220" s="19" t="n">
        <x:v>1</x:v>
      </x:c>
      <x:c r="D220" s="19" t="str">
        <x:v>EL-MON-LIM-GRAVE-003</x:v>
      </x:c>
      <x:c r="E220" s="19" t="str">
        <x:v>墓穴尖牙鬼</x:v>
      </x:c>
      <x:c r="F220" s="19" t="str">
        <x:v>普通</x:v>
      </x:c>
      <x:c r="G220" s="19" t="str">
        <x:v>材料独立候选</x:v>
      </x:c>
      <x:c r="H220" s="19" t="str">
        <x:v>小卢恩</x:v>
      </x:c>
      <x:c r="I220" s="22" t="n">
        <x:v>4000</x:v>
      </x:c>
      <x:c r="J220" s="22" t="n">
        <x:v>1</x:v>
      </x:c>
      <x:c r="K220" s="19" t="n">
        <x:v>1</x:v>
      </x:c>
      <x:c r="L220" s="24" t="n">
        <x:v>13.799999999999999</x:v>
      </x:c>
      <x:c r="M220" s="26" t="n">
        <x:v>0.1</x:v>
      </x:c>
      <x:c r="N220" s="24" t="n">
        <x:v>72</x:v>
      </x:c>
      <x:c r="O220" s="28" t="n">
        <x:f>MIN(1,L220/I220)</x:f>
        <x:v>0.00345</x:v>
      </x:c>
      <x:c r="P220" s="30" t="n">
        <x:f>O220*J220*(1+M220)</x:f>
        <x:v>0.003795</x:v>
      </x:c>
      <x:c r="Q220" s="30" t="n">
        <x:f>P220*N220</x:f>
        <x:v>0.27324000000000004</x:v>
      </x:c>
      <x:c r="R220" s="19" t="str">
        <x:v>独立判定</x:v>
      </x:c>
    </x:row>
    <x:row r="221" ht="19" customHeight="1">
      <x:c r="A221" s="19" t="str">
        <x:v>D00217</x:v>
      </x:c>
      <x:c r="B221" s="19" t="n">
        <x:v>2</x:v>
      </x:c>
      <x:c r="C221" s="19" t="n">
        <x:v>1</x:v>
      </x:c>
      <x:c r="D221" s="19" t="str">
        <x:v>EL-MON-LIM-GRAVE-003</x:v>
      </x:c>
      <x:c r="E221" s="19" t="str">
        <x:v>墓穴尖牙鬼</x:v>
      </x:c>
      <x:c r="F221" s="19" t="str">
        <x:v>普通</x:v>
      </x:c>
      <x:c r="G221" s="19" t="str">
        <x:v>六神器公共池</x:v>
      </x:c>
      <x:c r="H221" s="19" t="str">
        <x:v>POOL006</x:v>
      </x:c>
      <x:c r="I221" s="22" t="n">
        <x:v>20000000</x:v>
      </x:c>
      <x:c r="J221" s="22" t="n">
        <x:v>1</x:v>
      </x:c>
      <x:c r="K221" s="19" t="n">
        <x:v>6</x:v>
      </x:c>
      <x:c r="L221" s="24" t="n">
        <x:v>13.799999999999999</x:v>
      </x:c>
      <x:c r="M221" s="26" t="n">
        <x:v>0.1</x:v>
      </x:c>
      <x:c r="N221" s="24" t="n">
        <x:v>72</x:v>
      </x:c>
      <x:c r="O221" s="28" t="n">
        <x:f>MIN(1,L221/I221)</x:f>
        <x:v>6.9e-7</x:v>
      </x:c>
      <x:c r="P221" s="30" t="n">
        <x:f>O221*J221*(1+M221)</x:f>
        <x:v>7.590000000000001e-7</x:v>
      </x:c>
      <x:c r="Q221" s="30" t="n">
        <x:f>P221*N221</x:f>
        <x:v>0.000054648</x:v>
      </x:c>
      <x:c r="R221" s="19" t="str">
        <x:v>六选一；非6个独立爆率</x:v>
      </x:c>
    </x:row>
    <x:row r="222" ht="19" customHeight="1">
      <x:c r="A222" s="19" t="str">
        <x:v>D00218</x:v>
      </x:c>
      <x:c r="B222" s="19" t="n">
        <x:v>2</x:v>
      </x:c>
      <x:c r="C222" s="19" t="n">
        <x:v>1</x:v>
      </x:c>
      <x:c r="D222" s="19" t="str">
        <x:v>EL-MON-LIM-GRAVE-004</x:v>
      </x:c>
      <x:c r="E222" s="19" t="str">
        <x:v>石肤守墓人</x:v>
      </x:c>
      <x:c r="F222" s="19" t="str">
        <x:v>普通</x:v>
      </x:c>
      <x:c r="G222" s="19" t="str">
        <x:v>自身专属</x:v>
      </x:c>
      <x:c r="H222" s="19" t="str">
        <x:v>守墓石盔</x:v>
      </x:c>
      <x:c r="I222" s="22" t="n">
        <x:v>600</x:v>
      </x:c>
      <x:c r="J222" s="22" t="n">
        <x:v>1</x:v>
      </x:c>
      <x:c r="K222" s="19" t="n">
        <x:v>1</x:v>
      </x:c>
      <x:c r="L222" s="24" t="n">
        <x:v>13.799999999999999</x:v>
      </x:c>
      <x:c r="M222" s="26" t="n">
        <x:v>0.1</x:v>
      </x:c>
      <x:c r="N222" s="24" t="n">
        <x:v>72</x:v>
      </x:c>
      <x:c r="O222" s="28" t="n">
        <x:f>MIN(1,L222/I222)</x:f>
        <x:v>0.023</x:v>
      </x:c>
      <x:c r="P222" s="30" t="n">
        <x:f>O222*J222*(1+M222)</x:f>
        <x:v>0.025300000000000003</x:v>
      </x:c>
      <x:c r="Q222" s="30" t="n">
        <x:f>P222*N222</x:f>
        <x:v>1.8216</x:v>
      </x:c>
      <x:c r="R222" s="19" t="str">
        <x:v>独立判定</x:v>
      </x:c>
    </x:row>
    <x:row r="223" ht="19" customHeight="1">
      <x:c r="A223" s="19" t="str">
        <x:v>D00219</x:v>
      </x:c>
      <x:c r="B223" s="19" t="n">
        <x:v>2</x:v>
      </x:c>
      <x:c r="C223" s="19" t="n">
        <x:v>1</x:v>
      </x:c>
      <x:c r="D223" s="19" t="str">
        <x:v>EL-MON-LIM-GRAVE-004</x:v>
      </x:c>
      <x:c r="E223" s="19" t="str">
        <x:v>石肤守墓人</x:v>
      </x:c>
      <x:c r="F223" s="19" t="str">
        <x:v>普通</x:v>
      </x:c>
      <x:c r="G223" s="19" t="str">
        <x:v>材料独立候选</x:v>
      </x:c>
      <x:c r="H223" s="19" t="str">
        <x:v>风暴石片</x:v>
      </x:c>
      <x:c r="I223" s="22" t="n">
        <x:v>500</x:v>
      </x:c>
      <x:c r="J223" s="22" t="n">
        <x:v>8</x:v>
      </x:c>
      <x:c r="K223" s="19" t="n">
        <x:v>1</x:v>
      </x:c>
      <x:c r="L223" s="24" t="n">
        <x:v>13.799999999999999</x:v>
      </x:c>
      <x:c r="M223" s="26" t="n">
        <x:v>0.1</x:v>
      </x:c>
      <x:c r="N223" s="24" t="n">
        <x:v>72</x:v>
      </x:c>
      <x:c r="O223" s="28" t="n">
        <x:f>MIN(1,L223/I223)</x:f>
        <x:v>0.0276</x:v>
      </x:c>
      <x:c r="P223" s="30" t="n">
        <x:f>O223*J223*(1+M223)</x:f>
        <x:v>0.24288</x:v>
      </x:c>
      <x:c r="Q223" s="30" t="n">
        <x:f>P223*N223</x:f>
        <x:v>17.487360000000002</x:v>
      </x:c>
      <x:c r="R223" s="19" t="str">
        <x:v>独立判定</x:v>
      </x:c>
    </x:row>
    <x:row r="224" ht="19" customHeight="1">
      <x:c r="A224" s="19" t="str">
        <x:v>D00220</x:v>
      </x:c>
      <x:c r="B224" s="19" t="n">
        <x:v>2</x:v>
      </x:c>
      <x:c r="C224" s="19" t="n">
        <x:v>1</x:v>
      </x:c>
      <x:c r="D224" s="19" t="str">
        <x:v>EL-MON-LIM-GRAVE-004</x:v>
      </x:c>
      <x:c r="E224" s="19" t="str">
        <x:v>石肤守墓人</x:v>
      </x:c>
      <x:c r="F224" s="19" t="str">
        <x:v>普通</x:v>
      </x:c>
      <x:c r="G224" s="19" t="str">
        <x:v>材料独立候选</x:v>
      </x:c>
      <x:c r="H224" s="19" t="str">
        <x:v>野兽骨片</x:v>
      </x:c>
      <x:c r="I224" s="22" t="n">
        <x:v>100</x:v>
      </x:c>
      <x:c r="J224" s="22" t="n">
        <x:v>2</x:v>
      </x:c>
      <x:c r="K224" s="19" t="n">
        <x:v>1</x:v>
      </x:c>
      <x:c r="L224" s="24" t="n">
        <x:v>13.799999999999999</x:v>
      </x:c>
      <x:c r="M224" s="26" t="n">
        <x:v>0.1</x:v>
      </x:c>
      <x:c r="N224" s="24" t="n">
        <x:v>72</x:v>
      </x:c>
      <x:c r="O224" s="28" t="n">
        <x:f>MIN(1,L224/I224)</x:f>
        <x:v>0.13799999999999998</x:v>
      </x:c>
      <x:c r="P224" s="30" t="n">
        <x:f>O224*J224*(1+M224)</x:f>
        <x:v>0.3036</x:v>
      </x:c>
      <x:c r="Q224" s="30" t="n">
        <x:f>P224*N224</x:f>
        <x:v>21.859199999999998</x:v>
      </x:c>
      <x:c r="R224" s="19" t="str">
        <x:v>独立判定</x:v>
      </x:c>
    </x:row>
    <x:row r="225" ht="19" customHeight="1">
      <x:c r="A225" s="19" t="str">
        <x:v>D00221</x:v>
      </x:c>
      <x:c r="B225" s="19" t="n">
        <x:v>2</x:v>
      </x:c>
      <x:c r="C225" s="19" t="n">
        <x:v>1</x:v>
      </x:c>
      <x:c r="D225" s="19" t="str">
        <x:v>EL-MON-LIM-GRAVE-004</x:v>
      </x:c>
      <x:c r="E225" s="19" t="str">
        <x:v>石肤守墓人</x:v>
      </x:c>
      <x:c r="F225" s="19" t="str">
        <x:v>普通</x:v>
      </x:c>
      <x:c r="G225" s="19" t="str">
        <x:v>材料独立候选</x:v>
      </x:c>
      <x:c r="H225" s="19" t="str">
        <x:v>技能残页</x:v>
      </x:c>
      <x:c r="I225" s="22" t="n">
        <x:v>100</x:v>
      </x:c>
      <x:c r="J225" s="22" t="n">
        <x:v>1</x:v>
      </x:c>
      <x:c r="K225" s="19" t="n">
        <x:v>1</x:v>
      </x:c>
      <x:c r="L225" s="24" t="n">
        <x:v>13.799999999999999</x:v>
      </x:c>
      <x:c r="M225" s="26" t="n">
        <x:v>0.1</x:v>
      </x:c>
      <x:c r="N225" s="24" t="n">
        <x:v>72</x:v>
      </x:c>
      <x:c r="O225" s="28" t="n">
        <x:f>MIN(1,L225/I225)</x:f>
        <x:v>0.13799999999999998</x:v>
      </x:c>
      <x:c r="P225" s="30" t="n">
        <x:f>O225*J225*(1+M225)</x:f>
        <x:v>0.1518</x:v>
      </x:c>
      <x:c r="Q225" s="30" t="n">
        <x:f>P225*N225</x:f>
        <x:v>10.929599999999999</x:v>
      </x:c>
      <x:c r="R225" s="19" t="str">
        <x:v>独立判定</x:v>
      </x:c>
    </x:row>
    <x:row r="226" ht="19" customHeight="1">
      <x:c r="A226" s="19" t="str">
        <x:v>D00222</x:v>
      </x:c>
      <x:c r="B226" s="19" t="n">
        <x:v>2</x:v>
      </x:c>
      <x:c r="C226" s="19" t="n">
        <x:v>1</x:v>
      </x:c>
      <x:c r="D226" s="19" t="str">
        <x:v>EL-MON-LIM-GRAVE-004</x:v>
      </x:c>
      <x:c r="E226" s="19" t="str">
        <x:v>石肤守墓人</x:v>
      </x:c>
      <x:c r="F226" s="19" t="str">
        <x:v>普通</x:v>
      </x:c>
      <x:c r="G226" s="19" t="str">
        <x:v>材料独立候选</x:v>
      </x:c>
      <x:c r="H226" s="19" t="str">
        <x:v>小卢恩</x:v>
      </x:c>
      <x:c r="I226" s="22" t="n">
        <x:v>4000</x:v>
      </x:c>
      <x:c r="J226" s="22" t="n">
        <x:v>1</x:v>
      </x:c>
      <x:c r="K226" s="19" t="n">
        <x:v>1</x:v>
      </x:c>
      <x:c r="L226" s="24" t="n">
        <x:v>13.799999999999999</x:v>
      </x:c>
      <x:c r="M226" s="26" t="n">
        <x:v>0.1</x:v>
      </x:c>
      <x:c r="N226" s="24" t="n">
        <x:v>72</x:v>
      </x:c>
      <x:c r="O226" s="28" t="n">
        <x:f>MIN(1,L226/I226)</x:f>
        <x:v>0.00345</x:v>
      </x:c>
      <x:c r="P226" s="30" t="n">
        <x:f>O226*J226*(1+M226)</x:f>
        <x:v>0.003795</x:v>
      </x:c>
      <x:c r="Q226" s="30" t="n">
        <x:f>P226*N226</x:f>
        <x:v>0.27324000000000004</x:v>
      </x:c>
      <x:c r="R226" s="19" t="str">
        <x:v>独立判定</x:v>
      </x:c>
    </x:row>
    <x:row r="227" ht="19" customHeight="1">
      <x:c r="A227" s="19" t="str">
        <x:v>D00223</x:v>
      </x:c>
      <x:c r="B227" s="19" t="n">
        <x:v>2</x:v>
      </x:c>
      <x:c r="C227" s="19" t="n">
        <x:v>1</x:v>
      </x:c>
      <x:c r="D227" s="19" t="str">
        <x:v>EL-MON-LIM-GRAVE-004</x:v>
      </x:c>
      <x:c r="E227" s="19" t="str">
        <x:v>石肤守墓人</x:v>
      </x:c>
      <x:c r="F227" s="19" t="str">
        <x:v>普通</x:v>
      </x:c>
      <x:c r="G227" s="19" t="str">
        <x:v>六神器公共池</x:v>
      </x:c>
      <x:c r="H227" s="19" t="str">
        <x:v>POOL006</x:v>
      </x:c>
      <x:c r="I227" s="22" t="n">
        <x:v>20000000</x:v>
      </x:c>
      <x:c r="J227" s="22" t="n">
        <x:v>1</x:v>
      </x:c>
      <x:c r="K227" s="19" t="n">
        <x:v>6</x:v>
      </x:c>
      <x:c r="L227" s="24" t="n">
        <x:v>13.799999999999999</x:v>
      </x:c>
      <x:c r="M227" s="26" t="n">
        <x:v>0.1</x:v>
      </x:c>
      <x:c r="N227" s="24" t="n">
        <x:v>72</x:v>
      </x:c>
      <x:c r="O227" s="28" t="n">
        <x:f>MIN(1,L227/I227)</x:f>
        <x:v>6.9e-7</x:v>
      </x:c>
      <x:c r="P227" s="30" t="n">
        <x:f>O227*J227*(1+M227)</x:f>
        <x:v>7.590000000000001e-7</x:v>
      </x:c>
      <x:c r="Q227" s="30" t="n">
        <x:f>P227*N227</x:f>
        <x:v>0.000054648</x:v>
      </x:c>
      <x:c r="R227" s="19" t="str">
        <x:v>六选一；非6个独立爆率</x:v>
      </x:c>
    </x:row>
    <x:row r="228" ht="19" customHeight="1">
      <x:c r="A228" s="19" t="str">
        <x:v>D00224</x:v>
      </x:c>
      <x:c r="B228" s="19" t="n">
        <x:v>2</x:v>
      </x:c>
      <x:c r="C228" s="19" t="n">
        <x:v>1</x:v>
      </x:c>
      <x:c r="D228" s="19" t="str">
        <x:v>EL-MON-LIM-GRAVE-005</x:v>
      </x:c>
      <x:c r="E228" s="19" t="str">
        <x:v>失乡弩尸</x:v>
      </x:c>
      <x:c r="F228" s="19" t="str">
        <x:v>普通</x:v>
      </x:c>
      <x:c r="G228" s="19" t="str">
        <x:v>自身专属</x:v>
      </x:c>
      <x:c r="H228" s="19" t="str">
        <x:v>归乡弩戒</x:v>
      </x:c>
      <x:c r="I228" s="22" t="n">
        <x:v>600</x:v>
      </x:c>
      <x:c r="J228" s="22" t="n">
        <x:v>1</x:v>
      </x:c>
      <x:c r="K228" s="19" t="n">
        <x:v>1</x:v>
      </x:c>
      <x:c r="L228" s="24" t="n">
        <x:v>13.799999999999999</x:v>
      </x:c>
      <x:c r="M228" s="26" t="n">
        <x:v>0.1</x:v>
      </x:c>
      <x:c r="N228" s="24" t="n">
        <x:v>72</x:v>
      </x:c>
      <x:c r="O228" s="28" t="n">
        <x:f>MIN(1,L228/I228)</x:f>
        <x:v>0.023</x:v>
      </x:c>
      <x:c r="P228" s="30" t="n">
        <x:f>O228*J228*(1+M228)</x:f>
        <x:v>0.025300000000000003</x:v>
      </x:c>
      <x:c r="Q228" s="30" t="n">
        <x:f>P228*N228</x:f>
        <x:v>1.8216</x:v>
      </x:c>
      <x:c r="R228" s="19" t="str">
        <x:v>独立判定</x:v>
      </x:c>
    </x:row>
    <x:row r="229" ht="19" customHeight="1">
      <x:c r="A229" s="19" t="str">
        <x:v>D00225</x:v>
      </x:c>
      <x:c r="B229" s="19" t="n">
        <x:v>2</x:v>
      </x:c>
      <x:c r="C229" s="19" t="n">
        <x:v>1</x:v>
      </x:c>
      <x:c r="D229" s="19" t="str">
        <x:v>EL-MON-LIM-GRAVE-005</x:v>
      </x:c>
      <x:c r="E229" s="19" t="str">
        <x:v>失乡弩尸</x:v>
      </x:c>
      <x:c r="F229" s="19" t="str">
        <x:v>普通</x:v>
      </x:c>
      <x:c r="G229" s="19" t="str">
        <x:v>材料独立候选</x:v>
      </x:c>
      <x:c r="H229" s="19" t="str">
        <x:v>风暴石片</x:v>
      </x:c>
      <x:c r="I229" s="22" t="n">
        <x:v>500</x:v>
      </x:c>
      <x:c r="J229" s="22" t="n">
        <x:v>8</x:v>
      </x:c>
      <x:c r="K229" s="19" t="n">
        <x:v>1</x:v>
      </x:c>
      <x:c r="L229" s="24" t="n">
        <x:v>13.799999999999999</x:v>
      </x:c>
      <x:c r="M229" s="26" t="n">
        <x:v>0.1</x:v>
      </x:c>
      <x:c r="N229" s="24" t="n">
        <x:v>72</x:v>
      </x:c>
      <x:c r="O229" s="28" t="n">
        <x:f>MIN(1,L229/I229)</x:f>
        <x:v>0.0276</x:v>
      </x:c>
      <x:c r="P229" s="30" t="n">
        <x:f>O229*J229*(1+M229)</x:f>
        <x:v>0.24288</x:v>
      </x:c>
      <x:c r="Q229" s="30" t="n">
        <x:f>P229*N229</x:f>
        <x:v>17.487360000000002</x:v>
      </x:c>
      <x:c r="R229" s="19" t="str">
        <x:v>独立判定</x:v>
      </x:c>
    </x:row>
    <x:row r="230" ht="19" customHeight="1">
      <x:c r="A230" s="19" t="str">
        <x:v>D00226</x:v>
      </x:c>
      <x:c r="B230" s="19" t="n">
        <x:v>2</x:v>
      </x:c>
      <x:c r="C230" s="19" t="n">
        <x:v>1</x:v>
      </x:c>
      <x:c r="D230" s="19" t="str">
        <x:v>EL-MON-LIM-GRAVE-005</x:v>
      </x:c>
      <x:c r="E230" s="19" t="str">
        <x:v>失乡弩尸</x:v>
      </x:c>
      <x:c r="F230" s="19" t="str">
        <x:v>普通</x:v>
      </x:c>
      <x:c r="G230" s="19" t="str">
        <x:v>材料独立候选</x:v>
      </x:c>
      <x:c r="H230" s="19" t="str">
        <x:v>野兽骨片</x:v>
      </x:c>
      <x:c r="I230" s="22" t="n">
        <x:v>100</x:v>
      </x:c>
      <x:c r="J230" s="22" t="n">
        <x:v>2</x:v>
      </x:c>
      <x:c r="K230" s="19" t="n">
        <x:v>1</x:v>
      </x:c>
      <x:c r="L230" s="24" t="n">
        <x:v>13.799999999999999</x:v>
      </x:c>
      <x:c r="M230" s="26" t="n">
        <x:v>0.1</x:v>
      </x:c>
      <x:c r="N230" s="24" t="n">
        <x:v>72</x:v>
      </x:c>
      <x:c r="O230" s="28" t="n">
        <x:f>MIN(1,L230/I230)</x:f>
        <x:v>0.13799999999999998</x:v>
      </x:c>
      <x:c r="P230" s="30" t="n">
        <x:f>O230*J230*(1+M230)</x:f>
        <x:v>0.3036</x:v>
      </x:c>
      <x:c r="Q230" s="30" t="n">
        <x:f>P230*N230</x:f>
        <x:v>21.859199999999998</x:v>
      </x:c>
      <x:c r="R230" s="19" t="str">
        <x:v>独立判定</x:v>
      </x:c>
    </x:row>
    <x:row r="231" ht="19" customHeight="1">
      <x:c r="A231" s="19" t="str">
        <x:v>D00227</x:v>
      </x:c>
      <x:c r="B231" s="19" t="n">
        <x:v>2</x:v>
      </x:c>
      <x:c r="C231" s="19" t="n">
        <x:v>1</x:v>
      </x:c>
      <x:c r="D231" s="19" t="str">
        <x:v>EL-MON-LIM-GRAVE-005</x:v>
      </x:c>
      <x:c r="E231" s="19" t="str">
        <x:v>失乡弩尸</x:v>
      </x:c>
      <x:c r="F231" s="19" t="str">
        <x:v>普通</x:v>
      </x:c>
      <x:c r="G231" s="19" t="str">
        <x:v>材料独立候选</x:v>
      </x:c>
      <x:c r="H231" s="19" t="str">
        <x:v>技能残页</x:v>
      </x:c>
      <x:c r="I231" s="22" t="n">
        <x:v>100</x:v>
      </x:c>
      <x:c r="J231" s="22" t="n">
        <x:v>1</x:v>
      </x:c>
      <x:c r="K231" s="19" t="n">
        <x:v>1</x:v>
      </x:c>
      <x:c r="L231" s="24" t="n">
        <x:v>13.799999999999999</x:v>
      </x:c>
      <x:c r="M231" s="26" t="n">
        <x:v>0.1</x:v>
      </x:c>
      <x:c r="N231" s="24" t="n">
        <x:v>72</x:v>
      </x:c>
      <x:c r="O231" s="28" t="n">
        <x:f>MIN(1,L231/I231)</x:f>
        <x:v>0.13799999999999998</x:v>
      </x:c>
      <x:c r="P231" s="30" t="n">
        <x:f>O231*J231*(1+M231)</x:f>
        <x:v>0.1518</x:v>
      </x:c>
      <x:c r="Q231" s="30" t="n">
        <x:f>P231*N231</x:f>
        <x:v>10.929599999999999</x:v>
      </x:c>
      <x:c r="R231" s="19" t="str">
        <x:v>独立判定</x:v>
      </x:c>
    </x:row>
    <x:row r="232" ht="19" customHeight="1">
      <x:c r="A232" s="19" t="str">
        <x:v>D00228</x:v>
      </x:c>
      <x:c r="B232" s="19" t="n">
        <x:v>2</x:v>
      </x:c>
      <x:c r="C232" s="19" t="n">
        <x:v>1</x:v>
      </x:c>
      <x:c r="D232" s="19" t="str">
        <x:v>EL-MON-LIM-GRAVE-005</x:v>
      </x:c>
      <x:c r="E232" s="19" t="str">
        <x:v>失乡弩尸</x:v>
      </x:c>
      <x:c r="F232" s="19" t="str">
        <x:v>普通</x:v>
      </x:c>
      <x:c r="G232" s="19" t="str">
        <x:v>材料独立候选</x:v>
      </x:c>
      <x:c r="H232" s="19" t="str">
        <x:v>小卢恩</x:v>
      </x:c>
      <x:c r="I232" s="22" t="n">
        <x:v>4000</x:v>
      </x:c>
      <x:c r="J232" s="22" t="n">
        <x:v>1</x:v>
      </x:c>
      <x:c r="K232" s="19" t="n">
        <x:v>1</x:v>
      </x:c>
      <x:c r="L232" s="24" t="n">
        <x:v>13.799999999999999</x:v>
      </x:c>
      <x:c r="M232" s="26" t="n">
        <x:v>0.1</x:v>
      </x:c>
      <x:c r="N232" s="24" t="n">
        <x:v>72</x:v>
      </x:c>
      <x:c r="O232" s="28" t="n">
        <x:f>MIN(1,L232/I232)</x:f>
        <x:v>0.00345</x:v>
      </x:c>
      <x:c r="P232" s="30" t="n">
        <x:f>O232*J232*(1+M232)</x:f>
        <x:v>0.003795</x:v>
      </x:c>
      <x:c r="Q232" s="30" t="n">
        <x:f>P232*N232</x:f>
        <x:v>0.27324000000000004</x:v>
      </x:c>
      <x:c r="R232" s="19" t="str">
        <x:v>独立判定</x:v>
      </x:c>
    </x:row>
    <x:row r="233" ht="19" customHeight="1">
      <x:c r="A233" s="19" t="str">
        <x:v>D00229</x:v>
      </x:c>
      <x:c r="B233" s="19" t="n">
        <x:v>2</x:v>
      </x:c>
      <x:c r="C233" s="19" t="n">
        <x:v>1</x:v>
      </x:c>
      <x:c r="D233" s="19" t="str">
        <x:v>EL-MON-LIM-GRAVE-005</x:v>
      </x:c>
      <x:c r="E233" s="19" t="str">
        <x:v>失乡弩尸</x:v>
      </x:c>
      <x:c r="F233" s="19" t="str">
        <x:v>普通</x:v>
      </x:c>
      <x:c r="G233" s="19" t="str">
        <x:v>六神器公共池</x:v>
      </x:c>
      <x:c r="H233" s="19" t="str">
        <x:v>POOL006</x:v>
      </x:c>
      <x:c r="I233" s="22" t="n">
        <x:v>20000000</x:v>
      </x:c>
      <x:c r="J233" s="22" t="n">
        <x:v>1</x:v>
      </x:c>
      <x:c r="K233" s="19" t="n">
        <x:v>6</x:v>
      </x:c>
      <x:c r="L233" s="24" t="n">
        <x:v>13.799999999999999</x:v>
      </x:c>
      <x:c r="M233" s="26" t="n">
        <x:v>0.1</x:v>
      </x:c>
      <x:c r="N233" s="24" t="n">
        <x:v>72</x:v>
      </x:c>
      <x:c r="O233" s="28" t="n">
        <x:f>MIN(1,L233/I233)</x:f>
        <x:v>6.9e-7</x:v>
      </x:c>
      <x:c r="P233" s="30" t="n">
        <x:f>O233*J233*(1+M233)</x:f>
        <x:v>7.590000000000001e-7</x:v>
      </x:c>
      <x:c r="Q233" s="30" t="n">
        <x:f>P233*N233</x:f>
        <x:v>0.000054648</x:v>
      </x:c>
      <x:c r="R233" s="19" t="str">
        <x:v>六选一；非6个独立爆率</x:v>
      </x:c>
    </x:row>
    <x:row r="234" ht="19" customHeight="1">
      <x:c r="A234" s="19" t="str">
        <x:v>D00230</x:v>
      </x:c>
      <x:c r="B234" s="19" t="n">
        <x:v>2</x:v>
      </x:c>
      <x:c r="C234" s="19" t="n">
        <x:v>1</x:v>
      </x:c>
      <x:c r="D234" s="19" t="str">
        <x:v>EL-MON-LIM-GRAVE-006</x:v>
      </x:c>
      <x:c r="E234" s="19" t="str">
        <x:v>幽火墓蛾</x:v>
      </x:c>
      <x:c r="F234" s="19" t="str">
        <x:v>普通</x:v>
      </x:c>
      <x:c r="G234" s="19" t="str">
        <x:v>自身专属</x:v>
      </x:c>
      <x:c r="H234" s="19" t="str">
        <x:v>幽火鳞镯</x:v>
      </x:c>
      <x:c r="I234" s="22" t="n">
        <x:v>600</x:v>
      </x:c>
      <x:c r="J234" s="22" t="n">
        <x:v>1</x:v>
      </x:c>
      <x:c r="K234" s="19" t="n">
        <x:v>1</x:v>
      </x:c>
      <x:c r="L234" s="24" t="n">
        <x:v>13.799999999999999</x:v>
      </x:c>
      <x:c r="M234" s="26" t="n">
        <x:v>0.1</x:v>
      </x:c>
      <x:c r="N234" s="24" t="n">
        <x:v>72</x:v>
      </x:c>
      <x:c r="O234" s="28" t="n">
        <x:f>MIN(1,L234/I234)</x:f>
        <x:v>0.023</x:v>
      </x:c>
      <x:c r="P234" s="30" t="n">
        <x:f>O234*J234*(1+M234)</x:f>
        <x:v>0.025300000000000003</x:v>
      </x:c>
      <x:c r="Q234" s="30" t="n">
        <x:f>P234*N234</x:f>
        <x:v>1.8216</x:v>
      </x:c>
      <x:c r="R234" s="19" t="str">
        <x:v>独立判定</x:v>
      </x:c>
    </x:row>
    <x:row r="235" ht="19" customHeight="1">
      <x:c r="A235" s="19" t="str">
        <x:v>D00231</x:v>
      </x:c>
      <x:c r="B235" s="19" t="n">
        <x:v>2</x:v>
      </x:c>
      <x:c r="C235" s="19" t="n">
        <x:v>1</x:v>
      </x:c>
      <x:c r="D235" s="19" t="str">
        <x:v>EL-MON-LIM-GRAVE-006</x:v>
      </x:c>
      <x:c r="E235" s="19" t="str">
        <x:v>幽火墓蛾</x:v>
      </x:c>
      <x:c r="F235" s="19" t="str">
        <x:v>普通</x:v>
      </x:c>
      <x:c r="G235" s="19" t="str">
        <x:v>材料独立候选</x:v>
      </x:c>
      <x:c r="H235" s="19" t="str">
        <x:v>风暴石片</x:v>
      </x:c>
      <x:c r="I235" s="22" t="n">
        <x:v>500</x:v>
      </x:c>
      <x:c r="J235" s="22" t="n">
        <x:v>8</x:v>
      </x:c>
      <x:c r="K235" s="19" t="n">
        <x:v>1</x:v>
      </x:c>
      <x:c r="L235" s="24" t="n">
        <x:v>13.799999999999999</x:v>
      </x:c>
      <x:c r="M235" s="26" t="n">
        <x:v>0.1</x:v>
      </x:c>
      <x:c r="N235" s="24" t="n">
        <x:v>72</x:v>
      </x:c>
      <x:c r="O235" s="28" t="n">
        <x:f>MIN(1,L235/I235)</x:f>
        <x:v>0.0276</x:v>
      </x:c>
      <x:c r="P235" s="30" t="n">
        <x:f>O235*J235*(1+M235)</x:f>
        <x:v>0.24288</x:v>
      </x:c>
      <x:c r="Q235" s="30" t="n">
        <x:f>P235*N235</x:f>
        <x:v>17.487360000000002</x:v>
      </x:c>
      <x:c r="R235" s="19" t="str">
        <x:v>独立判定</x:v>
      </x:c>
    </x:row>
    <x:row r="236" ht="19" customHeight="1">
      <x:c r="A236" s="19" t="str">
        <x:v>D00232</x:v>
      </x:c>
      <x:c r="B236" s="19" t="n">
        <x:v>2</x:v>
      </x:c>
      <x:c r="C236" s="19" t="n">
        <x:v>1</x:v>
      </x:c>
      <x:c r="D236" s="19" t="str">
        <x:v>EL-MON-LIM-GRAVE-006</x:v>
      </x:c>
      <x:c r="E236" s="19" t="str">
        <x:v>幽火墓蛾</x:v>
      </x:c>
      <x:c r="F236" s="19" t="str">
        <x:v>普通</x:v>
      </x:c>
      <x:c r="G236" s="19" t="str">
        <x:v>材料独立候选</x:v>
      </x:c>
      <x:c r="H236" s="19" t="str">
        <x:v>野兽骨片</x:v>
      </x:c>
      <x:c r="I236" s="22" t="n">
        <x:v>100</x:v>
      </x:c>
      <x:c r="J236" s="22" t="n">
        <x:v>2</x:v>
      </x:c>
      <x:c r="K236" s="19" t="n">
        <x:v>1</x:v>
      </x:c>
      <x:c r="L236" s="24" t="n">
        <x:v>13.799999999999999</x:v>
      </x:c>
      <x:c r="M236" s="26" t="n">
        <x:v>0.1</x:v>
      </x:c>
      <x:c r="N236" s="24" t="n">
        <x:v>72</x:v>
      </x:c>
      <x:c r="O236" s="28" t="n">
        <x:f>MIN(1,L236/I236)</x:f>
        <x:v>0.13799999999999998</x:v>
      </x:c>
      <x:c r="P236" s="30" t="n">
        <x:f>O236*J236*(1+M236)</x:f>
        <x:v>0.3036</x:v>
      </x:c>
      <x:c r="Q236" s="30" t="n">
        <x:f>P236*N236</x:f>
        <x:v>21.859199999999998</x:v>
      </x:c>
      <x:c r="R236" s="19" t="str">
        <x:v>独立判定</x:v>
      </x:c>
    </x:row>
    <x:row r="237" ht="19" customHeight="1">
      <x:c r="A237" s="19" t="str">
        <x:v>D00233</x:v>
      </x:c>
      <x:c r="B237" s="19" t="n">
        <x:v>2</x:v>
      </x:c>
      <x:c r="C237" s="19" t="n">
        <x:v>1</x:v>
      </x:c>
      <x:c r="D237" s="19" t="str">
        <x:v>EL-MON-LIM-GRAVE-006</x:v>
      </x:c>
      <x:c r="E237" s="19" t="str">
        <x:v>幽火墓蛾</x:v>
      </x:c>
      <x:c r="F237" s="19" t="str">
        <x:v>普通</x:v>
      </x:c>
      <x:c r="G237" s="19" t="str">
        <x:v>材料独立候选</x:v>
      </x:c>
      <x:c r="H237" s="19" t="str">
        <x:v>技能残页</x:v>
      </x:c>
      <x:c r="I237" s="22" t="n">
        <x:v>100</x:v>
      </x:c>
      <x:c r="J237" s="22" t="n">
        <x:v>1</x:v>
      </x:c>
      <x:c r="K237" s="19" t="n">
        <x:v>1</x:v>
      </x:c>
      <x:c r="L237" s="24" t="n">
        <x:v>13.799999999999999</x:v>
      </x:c>
      <x:c r="M237" s="26" t="n">
        <x:v>0.1</x:v>
      </x:c>
      <x:c r="N237" s="24" t="n">
        <x:v>72</x:v>
      </x:c>
      <x:c r="O237" s="28" t="n">
        <x:f>MIN(1,L237/I237)</x:f>
        <x:v>0.13799999999999998</x:v>
      </x:c>
      <x:c r="P237" s="30" t="n">
        <x:f>O237*J237*(1+M237)</x:f>
        <x:v>0.1518</x:v>
      </x:c>
      <x:c r="Q237" s="30" t="n">
        <x:f>P237*N237</x:f>
        <x:v>10.929599999999999</x:v>
      </x:c>
      <x:c r="R237" s="19" t="str">
        <x:v>独立判定</x:v>
      </x:c>
    </x:row>
    <x:row r="238" ht="19" customHeight="1">
      <x:c r="A238" s="19" t="str">
        <x:v>D00234</x:v>
      </x:c>
      <x:c r="B238" s="19" t="n">
        <x:v>2</x:v>
      </x:c>
      <x:c r="C238" s="19" t="n">
        <x:v>1</x:v>
      </x:c>
      <x:c r="D238" s="19" t="str">
        <x:v>EL-MON-LIM-GRAVE-006</x:v>
      </x:c>
      <x:c r="E238" s="19" t="str">
        <x:v>幽火墓蛾</x:v>
      </x:c>
      <x:c r="F238" s="19" t="str">
        <x:v>普通</x:v>
      </x:c>
      <x:c r="G238" s="19" t="str">
        <x:v>材料独立候选</x:v>
      </x:c>
      <x:c r="H238" s="19" t="str">
        <x:v>小卢恩</x:v>
      </x:c>
      <x:c r="I238" s="22" t="n">
        <x:v>4000</x:v>
      </x:c>
      <x:c r="J238" s="22" t="n">
        <x:v>1</x:v>
      </x:c>
      <x:c r="K238" s="19" t="n">
        <x:v>1</x:v>
      </x:c>
      <x:c r="L238" s="24" t="n">
        <x:v>13.799999999999999</x:v>
      </x:c>
      <x:c r="M238" s="26" t="n">
        <x:v>0.1</x:v>
      </x:c>
      <x:c r="N238" s="24" t="n">
        <x:v>72</x:v>
      </x:c>
      <x:c r="O238" s="28" t="n">
        <x:f>MIN(1,L238/I238)</x:f>
        <x:v>0.00345</x:v>
      </x:c>
      <x:c r="P238" s="30" t="n">
        <x:f>O238*J238*(1+M238)</x:f>
        <x:v>0.003795</x:v>
      </x:c>
      <x:c r="Q238" s="30" t="n">
        <x:f>P238*N238</x:f>
        <x:v>0.27324000000000004</x:v>
      </x:c>
      <x:c r="R238" s="19" t="str">
        <x:v>独立判定</x:v>
      </x:c>
    </x:row>
    <x:row r="239" ht="19" customHeight="1">
      <x:c r="A239" s="19" t="str">
        <x:v>D00235</x:v>
      </x:c>
      <x:c r="B239" s="19" t="n">
        <x:v>2</x:v>
      </x:c>
      <x:c r="C239" s="19" t="n">
        <x:v>1</x:v>
      </x:c>
      <x:c r="D239" s="19" t="str">
        <x:v>EL-MON-LIM-GRAVE-006</x:v>
      </x:c>
      <x:c r="E239" s="19" t="str">
        <x:v>幽火墓蛾</x:v>
      </x:c>
      <x:c r="F239" s="19" t="str">
        <x:v>普通</x:v>
      </x:c>
      <x:c r="G239" s="19" t="str">
        <x:v>六神器公共池</x:v>
      </x:c>
      <x:c r="H239" s="19" t="str">
        <x:v>POOL006</x:v>
      </x:c>
      <x:c r="I239" s="22" t="n">
        <x:v>20000000</x:v>
      </x:c>
      <x:c r="J239" s="22" t="n">
        <x:v>1</x:v>
      </x:c>
      <x:c r="K239" s="19" t="n">
        <x:v>6</x:v>
      </x:c>
      <x:c r="L239" s="24" t="n">
        <x:v>13.799999999999999</x:v>
      </x:c>
      <x:c r="M239" s="26" t="n">
        <x:v>0.1</x:v>
      </x:c>
      <x:c r="N239" s="24" t="n">
        <x:v>72</x:v>
      </x:c>
      <x:c r="O239" s="28" t="n">
        <x:f>MIN(1,L239/I239)</x:f>
        <x:v>6.9e-7</x:v>
      </x:c>
      <x:c r="P239" s="30" t="n">
        <x:f>O239*J239*(1+M239)</x:f>
        <x:v>7.590000000000001e-7</x:v>
      </x:c>
      <x:c r="Q239" s="30" t="n">
        <x:f>P239*N239</x:f>
        <x:v>0.000054648</x:v>
      </x:c>
      <x:c r="R239" s="19" t="str">
        <x:v>六选一；非6个独立爆率</x:v>
      </x:c>
    </x:row>
    <x:row r="240" ht="19" customHeight="1">
      <x:c r="A240" s="19" t="str">
        <x:v>D00236</x:v>
      </x:c>
      <x:c r="B240" s="19" t="n">
        <x:v>2</x:v>
      </x:c>
      <x:c r="C240" s="19" t="n">
        <x:v>1</x:v>
      </x:c>
      <x:c r="D240" s="19" t="str">
        <x:v>EL-MON-LIM-GRAVE-007</x:v>
      </x:c>
      <x:c r="E240" s="19" t="str">
        <x:v>归树看门犬</x:v>
      </x:c>
      <x:c r="F240" s="19" t="str">
        <x:v>稀有</x:v>
      </x:c>
      <x:c r="G240" s="19" t="str">
        <x:v>自身专属</x:v>
      </x:c>
      <x:c r="H240" s="19" t="str">
        <x:v>归树犬徽</x:v>
      </x:c>
      <x:c r="I240" s="22" t="n">
        <x:v>180</x:v>
      </x:c>
      <x:c r="J240" s="22" t="n">
        <x:v>1</x:v>
      </x:c>
      <x:c r="K240" s="19" t="n">
        <x:v>1</x:v>
      </x:c>
      <x:c r="L240" s="24" t="n">
        <x:v>13.799999999999999</x:v>
      </x:c>
      <x:c r="M240" s="26" t="n">
        <x:v>0.1</x:v>
      </x:c>
      <x:c r="N240" s="24" t="n">
        <x:v>11.539476758391105</x:v>
      </x:c>
      <x:c r="O240" s="28" t="n">
        <x:f>MIN(1,L240/I240)</x:f>
        <x:v>0.07666666666666666</x:v>
      </x:c>
      <x:c r="P240" s="30" t="n">
        <x:f>O240*J240*(1+M240)</x:f>
        <x:v>0.08433333333333333</x:v>
      </x:c>
      <x:c r="Q240" s="30" t="n">
        <x:f>P240*N240</x:f>
        <x:v>0.9731625399576498</x:v>
      </x:c>
      <x:c r="R240" s="19" t="str">
        <x:v>独立判定</x:v>
      </x:c>
    </x:row>
    <x:row r="241" ht="19" customHeight="1">
      <x:c r="A241" s="19" t="str">
        <x:v>D00237</x:v>
      </x:c>
      <x:c r="B241" s="19" t="n">
        <x:v>2</x:v>
      </x:c>
      <x:c r="C241" s="19" t="n">
        <x:v>1</x:v>
      </x:c>
      <x:c r="D241" s="19" t="str">
        <x:v>EL-MON-LIM-GRAVE-007</x:v>
      </x:c>
      <x:c r="E241" s="19" t="str">
        <x:v>归树看门犬</x:v>
      </x:c>
      <x:c r="F241" s="19" t="str">
        <x:v>稀有</x:v>
      </x:c>
      <x:c r="G241" s="19" t="str">
        <x:v>材料独立候选</x:v>
      </x:c>
      <x:c r="H241" s="19" t="str">
        <x:v>风暴石片</x:v>
      </x:c>
      <x:c r="I241" s="22" t="n">
        <x:v>300</x:v>
      </x:c>
      <x:c r="J241" s="22" t="n">
        <x:v>15</x:v>
      </x:c>
      <x:c r="K241" s="19" t="n">
        <x:v>1</x:v>
      </x:c>
      <x:c r="L241" s="24" t="n">
        <x:v>13.799999999999999</x:v>
      </x:c>
      <x:c r="M241" s="26" t="n">
        <x:v>0.1</x:v>
      </x:c>
      <x:c r="N241" s="24" t="n">
        <x:v>11.539476758391105</x:v>
      </x:c>
      <x:c r="O241" s="28" t="n">
        <x:f>MIN(1,L241/I241)</x:f>
        <x:v>0.046</x:v>
      </x:c>
      <x:c r="P241" s="30" t="n">
        <x:f>O241*J241*(1+M241)</x:f>
        <x:v>0.759</x:v>
      </x:c>
      <x:c r="Q241" s="30" t="n">
        <x:f>P241*N241</x:f>
        <x:v>8.758462859618849</x:v>
      </x:c>
      <x:c r="R241" s="19" t="str">
        <x:v>独立判定</x:v>
      </x:c>
    </x:row>
    <x:row r="242" ht="19" customHeight="1">
      <x:c r="A242" s="19" t="str">
        <x:v>D00238</x:v>
      </x:c>
      <x:c r="B242" s="19" t="n">
        <x:v>2</x:v>
      </x:c>
      <x:c r="C242" s="19" t="n">
        <x:v>1</x:v>
      </x:c>
      <x:c r="D242" s="19" t="str">
        <x:v>EL-MON-LIM-GRAVE-007</x:v>
      </x:c>
      <x:c r="E242" s="19" t="str">
        <x:v>归树看门犬</x:v>
      </x:c>
      <x:c r="F242" s="19" t="str">
        <x:v>稀有</x:v>
      </x:c>
      <x:c r="G242" s="19" t="str">
        <x:v>材料独立候选</x:v>
      </x:c>
      <x:c r="H242" s="19" t="str">
        <x:v>黄金树芽</x:v>
      </x:c>
      <x:c r="I242" s="22" t="n">
        <x:v>60</x:v>
      </x:c>
      <x:c r="J242" s="22" t="n">
        <x:v>2</x:v>
      </x:c>
      <x:c r="K242" s="19" t="n">
        <x:v>1</x:v>
      </x:c>
      <x:c r="L242" s="24" t="n">
        <x:v>13.799999999999999</x:v>
      </x:c>
      <x:c r="M242" s="26" t="n">
        <x:v>0.1</x:v>
      </x:c>
      <x:c r="N242" s="24" t="n">
        <x:v>11.539476758391105</x:v>
      </x:c>
      <x:c r="O242" s="28" t="n">
        <x:f>MIN(1,L242/I242)</x:f>
        <x:v>0.22999999999999998</x:v>
      </x:c>
      <x:c r="P242" s="30" t="n">
        <x:f>O242*J242*(1+M242)</x:f>
        <x:v>0.506</x:v>
      </x:c>
      <x:c r="Q242" s="30" t="n">
        <x:f>P242*N242</x:f>
        <x:v>5.838975239745899</x:v>
      </x:c>
      <x:c r="R242" s="19" t="str">
        <x:v>独立判定</x:v>
      </x:c>
    </x:row>
    <x:row r="243" ht="19" customHeight="1">
      <x:c r="A243" s="19" t="str">
        <x:v>D00239</x:v>
      </x:c>
      <x:c r="B243" s="19" t="n">
        <x:v>2</x:v>
      </x:c>
      <x:c r="C243" s="19" t="n">
        <x:v>1</x:v>
      </x:c>
      <x:c r="D243" s="19" t="str">
        <x:v>EL-MON-LIM-GRAVE-007</x:v>
      </x:c>
      <x:c r="E243" s="19" t="str">
        <x:v>归树看门犬</x:v>
      </x:c>
      <x:c r="F243" s="19" t="str">
        <x:v>稀有</x:v>
      </x:c>
      <x:c r="G243" s="19" t="str">
        <x:v>材料独立候选</x:v>
      </x:c>
      <x:c r="H243" s="19" t="str">
        <x:v>看门犬石心</x:v>
      </x:c>
      <x:c r="I243" s="22" t="n">
        <x:v>180</x:v>
      </x:c>
      <x:c r="J243" s="22" t="n">
        <x:v>1</x:v>
      </x:c>
      <x:c r="K243" s="19" t="n">
        <x:v>1</x:v>
      </x:c>
      <x:c r="L243" s="24" t="n">
        <x:v>13.799999999999999</x:v>
      </x:c>
      <x:c r="M243" s="26" t="n">
        <x:v>0.1</x:v>
      </x:c>
      <x:c r="N243" s="24" t="n">
        <x:v>11.539476758391105</x:v>
      </x:c>
      <x:c r="O243" s="28" t="n">
        <x:f>MIN(1,L243/I243)</x:f>
        <x:v>0.07666666666666666</x:v>
      </x:c>
      <x:c r="P243" s="30" t="n">
        <x:f>O243*J243*(1+M243)</x:f>
        <x:v>0.08433333333333333</x:v>
      </x:c>
      <x:c r="Q243" s="30" t="n">
        <x:f>P243*N243</x:f>
        <x:v>0.9731625399576498</x:v>
      </x:c>
      <x:c r="R243" s="19" t="str">
        <x:v>独立判定</x:v>
      </x:c>
    </x:row>
    <x:row r="244" ht="19" customHeight="1">
      <x:c r="A244" s="19" t="str">
        <x:v>D00240</x:v>
      </x:c>
      <x:c r="B244" s="19" t="n">
        <x:v>2</x:v>
      </x:c>
      <x:c r="C244" s="19" t="n">
        <x:v>1</x:v>
      </x:c>
      <x:c r="D244" s="19" t="str">
        <x:v>EL-MON-LIM-GRAVE-007</x:v>
      </x:c>
      <x:c r="E244" s="19" t="str">
        <x:v>归树看门犬</x:v>
      </x:c>
      <x:c r="F244" s="19" t="str">
        <x:v>稀有</x:v>
      </x:c>
      <x:c r="G244" s="19" t="str">
        <x:v>材料独立候选</x:v>
      </x:c>
      <x:c r="H244" s="19" t="str">
        <x:v>野兽骨片</x:v>
      </x:c>
      <x:c r="I244" s="22" t="n">
        <x:v>60</x:v>
      </x:c>
      <x:c r="J244" s="22" t="n">
        <x:v>2</x:v>
      </x:c>
      <x:c r="K244" s="19" t="n">
        <x:v>1</x:v>
      </x:c>
      <x:c r="L244" s="24" t="n">
        <x:v>13.799999999999999</x:v>
      </x:c>
      <x:c r="M244" s="26" t="n">
        <x:v>0.1</x:v>
      </x:c>
      <x:c r="N244" s="24" t="n">
        <x:v>11.539476758391105</x:v>
      </x:c>
      <x:c r="O244" s="28" t="n">
        <x:f>MIN(1,L244/I244)</x:f>
        <x:v>0.22999999999999998</x:v>
      </x:c>
      <x:c r="P244" s="30" t="n">
        <x:f>O244*J244*(1+M244)</x:f>
        <x:v>0.506</x:v>
      </x:c>
      <x:c r="Q244" s="30" t="n">
        <x:f>P244*N244</x:f>
        <x:v>5.838975239745899</x:v>
      </x:c>
      <x:c r="R244" s="19" t="str">
        <x:v>独立判定</x:v>
      </x:c>
    </x:row>
    <x:row r="245" ht="19" customHeight="1">
      <x:c r="A245" s="19" t="str">
        <x:v>D00241</x:v>
      </x:c>
      <x:c r="B245" s="19" t="n">
        <x:v>2</x:v>
      </x:c>
      <x:c r="C245" s="19" t="n">
        <x:v>1</x:v>
      </x:c>
      <x:c r="D245" s="19" t="str">
        <x:v>EL-MON-LIM-GRAVE-007</x:v>
      </x:c>
      <x:c r="E245" s="19" t="str">
        <x:v>归树看门犬</x:v>
      </x:c>
      <x:c r="F245" s="19" t="str">
        <x:v>稀有</x:v>
      </x:c>
      <x:c r="G245" s="19" t="str">
        <x:v>材料独立候选</x:v>
      </x:c>
      <x:c r="H245" s="19" t="str">
        <x:v>技能残页</x:v>
      </x:c>
      <x:c r="I245" s="22" t="n">
        <x:v>60</x:v>
      </x:c>
      <x:c r="J245" s="22" t="n">
        <x:v>1</x:v>
      </x:c>
      <x:c r="K245" s="19" t="n">
        <x:v>1</x:v>
      </x:c>
      <x:c r="L245" s="24" t="n">
        <x:v>13.799999999999999</x:v>
      </x:c>
      <x:c r="M245" s="26" t="n">
        <x:v>0.1</x:v>
      </x:c>
      <x:c r="N245" s="24" t="n">
        <x:v>11.539476758391105</x:v>
      </x:c>
      <x:c r="O245" s="28" t="n">
        <x:f>MIN(1,L245/I245)</x:f>
        <x:v>0.22999999999999998</x:v>
      </x:c>
      <x:c r="P245" s="30" t="n">
        <x:f>O245*J245*(1+M245)</x:f>
        <x:v>0.253</x:v>
      </x:c>
      <x:c r="Q245" s="30" t="n">
        <x:f>P245*N245</x:f>
        <x:v>2.9194876198729496</x:v>
      </x:c>
      <x:c r="R245" s="19" t="str">
        <x:v>独立判定</x:v>
      </x:c>
    </x:row>
    <x:row r="246" ht="19" customHeight="1">
      <x:c r="A246" s="19" t="str">
        <x:v>D00242</x:v>
      </x:c>
      <x:c r="B246" s="19" t="n">
        <x:v>2</x:v>
      </x:c>
      <x:c r="C246" s="19" t="n">
        <x:v>1</x:v>
      </x:c>
      <x:c r="D246" s="19" t="str">
        <x:v>EL-MON-LIM-GRAVE-007</x:v>
      </x:c>
      <x:c r="E246" s="19" t="str">
        <x:v>归树看门犬</x:v>
      </x:c>
      <x:c r="F246" s="19" t="str">
        <x:v>稀有</x:v>
      </x:c>
      <x:c r="G246" s="19" t="str">
        <x:v>材料独立候选</x:v>
      </x:c>
      <x:c r="H246" s="19" t="str">
        <x:v>小卢恩</x:v>
      </x:c>
      <x:c r="I246" s="22" t="n">
        <x:v>2500</x:v>
      </x:c>
      <x:c r="J246" s="22" t="n">
        <x:v>1</x:v>
      </x:c>
      <x:c r="K246" s="19" t="n">
        <x:v>1</x:v>
      </x:c>
      <x:c r="L246" s="24" t="n">
        <x:v>13.799999999999999</x:v>
      </x:c>
      <x:c r="M246" s="26" t="n">
        <x:v>0.1</x:v>
      </x:c>
      <x:c r="N246" s="24" t="n">
        <x:v>11.539476758391105</x:v>
      </x:c>
      <x:c r="O246" s="28" t="n">
        <x:f>MIN(1,L246/I246)</x:f>
        <x:v>0.00552</x:v>
      </x:c>
      <x:c r="P246" s="30" t="n">
        <x:f>O246*J246*(1+M246)</x:f>
        <x:v>0.006072</x:v>
      </x:c>
      <x:c r="Q246" s="30" t="n">
        <x:f>P246*N246</x:f>
        <x:v>0.07006770287695079</x:v>
      </x:c>
      <x:c r="R246" s="19" t="str">
        <x:v>独立判定</x:v>
      </x:c>
    </x:row>
    <x:row r="247" ht="19" customHeight="1">
      <x:c r="A247" s="19" t="str">
        <x:v>D00243</x:v>
      </x:c>
      <x:c r="B247" s="19" t="n">
        <x:v>2</x:v>
      </x:c>
      <x:c r="C247" s="19" t="n">
        <x:v>1</x:v>
      </x:c>
      <x:c r="D247" s="19" t="str">
        <x:v>EL-MON-LIM-GRAVE-007</x:v>
      </x:c>
      <x:c r="E247" s="19" t="str">
        <x:v>归树看门犬</x:v>
      </x:c>
      <x:c r="F247" s="19" t="str">
        <x:v>稀有</x:v>
      </x:c>
      <x:c r="G247" s="19" t="str">
        <x:v>六神器公共池</x:v>
      </x:c>
      <x:c r="H247" s="19" t="str">
        <x:v>POOL006</x:v>
      </x:c>
      <x:c r="I247" s="22" t="n">
        <x:v>5000000</x:v>
      </x:c>
      <x:c r="J247" s="22" t="n">
        <x:v>1</x:v>
      </x:c>
      <x:c r="K247" s="19" t="n">
        <x:v>6</x:v>
      </x:c>
      <x:c r="L247" s="24" t="n">
        <x:v>13.799999999999999</x:v>
      </x:c>
      <x:c r="M247" s="26" t="n">
        <x:v>0.1</x:v>
      </x:c>
      <x:c r="N247" s="24" t="n">
        <x:v>11.539476758391105</x:v>
      </x:c>
      <x:c r="O247" s="28" t="n">
        <x:f>MIN(1,L247/I247)</x:f>
        <x:v>0.00000276</x:v>
      </x:c>
      <x:c r="P247" s="30" t="n">
        <x:f>O247*J247*(1+M247)</x:f>
        <x:v>0.0000030360000000000002</x:v>
      </x:c>
      <x:c r="Q247" s="30" t="n">
        <x:f>P247*N247</x:f>
        <x:v>0.0000350338514384754</x:v>
      </x:c>
      <x:c r="R247" s="19" t="str">
        <x:v>六选一；非6个独立爆率</x:v>
      </x:c>
    </x:row>
    <x:row r="248" ht="19" customHeight="1">
      <x:c r="A248" s="19" t="str">
        <x:v>D00244</x:v>
      </x:c>
      <x:c r="B248" s="19" t="n">
        <x:v>2</x:v>
      </x:c>
      <x:c r="C248" s="19" t="n">
        <x:v>1</x:v>
      </x:c>
      <x:c r="D248" s="19" t="str">
        <x:v>EL-MON-LIM-GRAVE-008</x:v>
      </x:c>
      <x:c r="E248" s="19" t="str">
        <x:v>腐败树根兽</x:v>
      </x:c>
      <x:c r="F248" s="19" t="str">
        <x:v>稀有</x:v>
      </x:c>
      <x:c r="G248" s="19" t="str">
        <x:v>自身专属</x:v>
      </x:c>
      <x:c r="H248" s="19" t="str">
        <x:v>腐根塔盾</x:v>
      </x:c>
      <x:c r="I248" s="22" t="n">
        <x:v>180</x:v>
      </x:c>
      <x:c r="J248" s="22" t="n">
        <x:v>1</x:v>
      </x:c>
      <x:c r="K248" s="19" t="n">
        <x:v>1</x:v>
      </x:c>
      <x:c r="L248" s="24" t="n">
        <x:v>13.799999999999999</x:v>
      </x:c>
      <x:c r="M248" s="26" t="n">
        <x:v>0.1</x:v>
      </x:c>
      <x:c r="N248" s="24" t="n">
        <x:v>12</x:v>
      </x:c>
      <x:c r="O248" s="28" t="n">
        <x:f>MIN(1,L248/I248)</x:f>
        <x:v>0.07666666666666666</x:v>
      </x:c>
      <x:c r="P248" s="30" t="n">
        <x:f>O248*J248*(1+M248)</x:f>
        <x:v>0.08433333333333333</x:v>
      </x:c>
      <x:c r="Q248" s="30" t="n">
        <x:f>P248*N248</x:f>
        <x:v>1.012</x:v>
      </x:c>
      <x:c r="R248" s="19" t="str">
        <x:v>独立判定</x:v>
      </x:c>
    </x:row>
    <x:row r="249" ht="19" customHeight="1">
      <x:c r="A249" s="19" t="str">
        <x:v>D00245</x:v>
      </x:c>
      <x:c r="B249" s="19" t="n">
        <x:v>2</x:v>
      </x:c>
      <x:c r="C249" s="19" t="n">
        <x:v>1</x:v>
      </x:c>
      <x:c r="D249" s="19" t="str">
        <x:v>EL-MON-LIM-GRAVE-008</x:v>
      </x:c>
      <x:c r="E249" s="19" t="str">
        <x:v>腐败树根兽</x:v>
      </x:c>
      <x:c r="F249" s="19" t="str">
        <x:v>稀有</x:v>
      </x:c>
      <x:c r="G249" s="19" t="str">
        <x:v>材料独立候选</x:v>
      </x:c>
      <x:c r="H249" s="19" t="str">
        <x:v>风暴石片</x:v>
      </x:c>
      <x:c r="I249" s="22" t="n">
        <x:v>300</x:v>
      </x:c>
      <x:c r="J249" s="22" t="n">
        <x:v>15</x:v>
      </x:c>
      <x:c r="K249" s="19" t="n">
        <x:v>1</x:v>
      </x:c>
      <x:c r="L249" s="24" t="n">
        <x:v>13.799999999999999</x:v>
      </x:c>
      <x:c r="M249" s="26" t="n">
        <x:v>0.1</x:v>
      </x:c>
      <x:c r="N249" s="24" t="n">
        <x:v>12</x:v>
      </x:c>
      <x:c r="O249" s="28" t="n">
        <x:f>MIN(1,L249/I249)</x:f>
        <x:v>0.046</x:v>
      </x:c>
      <x:c r="P249" s="30" t="n">
        <x:f>O249*J249*(1+M249)</x:f>
        <x:v>0.759</x:v>
      </x:c>
      <x:c r="Q249" s="30" t="n">
        <x:f>P249*N249</x:f>
        <x:v>9.108</x:v>
      </x:c>
      <x:c r="R249" s="19" t="str">
        <x:v>独立判定</x:v>
      </x:c>
    </x:row>
    <x:row r="250" ht="19" customHeight="1">
      <x:c r="A250" s="19" t="str">
        <x:v>D00246</x:v>
      </x:c>
      <x:c r="B250" s="19" t="n">
        <x:v>2</x:v>
      </x:c>
      <x:c r="C250" s="19" t="n">
        <x:v>1</x:v>
      </x:c>
      <x:c r="D250" s="19" t="str">
        <x:v>EL-MON-LIM-GRAVE-008</x:v>
      </x:c>
      <x:c r="E250" s="19" t="str">
        <x:v>腐败树根兽</x:v>
      </x:c>
      <x:c r="F250" s="19" t="str">
        <x:v>稀有</x:v>
      </x:c>
      <x:c r="G250" s="19" t="str">
        <x:v>材料独立候选</x:v>
      </x:c>
      <x:c r="H250" s="19" t="str">
        <x:v>黄金树芽</x:v>
      </x:c>
      <x:c r="I250" s="22" t="n">
        <x:v>60</x:v>
      </x:c>
      <x:c r="J250" s="22" t="n">
        <x:v>2</x:v>
      </x:c>
      <x:c r="K250" s="19" t="n">
        <x:v>1</x:v>
      </x:c>
      <x:c r="L250" s="24" t="n">
        <x:v>13.799999999999999</x:v>
      </x:c>
      <x:c r="M250" s="26" t="n">
        <x:v>0.1</x:v>
      </x:c>
      <x:c r="N250" s="24" t="n">
        <x:v>12</x:v>
      </x:c>
      <x:c r="O250" s="28" t="n">
        <x:f>MIN(1,L250/I250)</x:f>
        <x:v>0.22999999999999998</x:v>
      </x:c>
      <x:c r="P250" s="30" t="n">
        <x:f>O250*J250*(1+M250)</x:f>
        <x:v>0.506</x:v>
      </x:c>
      <x:c r="Q250" s="30" t="n">
        <x:f>P250*N250</x:f>
        <x:v>6.072</x:v>
      </x:c>
      <x:c r="R250" s="19" t="str">
        <x:v>独立判定</x:v>
      </x:c>
    </x:row>
    <x:row r="251" ht="19" customHeight="1">
      <x:c r="A251" s="19" t="str">
        <x:v>D00247</x:v>
      </x:c>
      <x:c r="B251" s="19" t="n">
        <x:v>2</x:v>
      </x:c>
      <x:c r="C251" s="19" t="n">
        <x:v>1</x:v>
      </x:c>
      <x:c r="D251" s="19" t="str">
        <x:v>EL-MON-LIM-GRAVE-008</x:v>
      </x:c>
      <x:c r="E251" s="19" t="str">
        <x:v>腐败树根兽</x:v>
      </x:c>
      <x:c r="F251" s="19" t="str">
        <x:v>稀有</x:v>
      </x:c>
      <x:c r="G251" s="19" t="str">
        <x:v>材料独立候选</x:v>
      </x:c>
      <x:c r="H251" s="19" t="str">
        <x:v>腐根魂结</x:v>
      </x:c>
      <x:c r="I251" s="22" t="n">
        <x:v>180</x:v>
      </x:c>
      <x:c r="J251" s="22" t="n">
        <x:v>1</x:v>
      </x:c>
      <x:c r="K251" s="19" t="n">
        <x:v>1</x:v>
      </x:c>
      <x:c r="L251" s="24" t="n">
        <x:v>13.799999999999999</x:v>
      </x:c>
      <x:c r="M251" s="26" t="n">
        <x:v>0.1</x:v>
      </x:c>
      <x:c r="N251" s="24" t="n">
        <x:v>12</x:v>
      </x:c>
      <x:c r="O251" s="28" t="n">
        <x:f>MIN(1,L251/I251)</x:f>
        <x:v>0.07666666666666666</x:v>
      </x:c>
      <x:c r="P251" s="30" t="n">
        <x:f>O251*J251*(1+M251)</x:f>
        <x:v>0.08433333333333333</x:v>
      </x:c>
      <x:c r="Q251" s="30" t="n">
        <x:f>P251*N251</x:f>
        <x:v>1.012</x:v>
      </x:c>
      <x:c r="R251" s="19" t="str">
        <x:v>独立判定</x:v>
      </x:c>
    </x:row>
    <x:row r="252" ht="19" customHeight="1">
      <x:c r="A252" s="19" t="str">
        <x:v>D00248</x:v>
      </x:c>
      <x:c r="B252" s="19" t="n">
        <x:v>2</x:v>
      </x:c>
      <x:c r="C252" s="19" t="n">
        <x:v>1</x:v>
      </x:c>
      <x:c r="D252" s="19" t="str">
        <x:v>EL-MON-LIM-GRAVE-008</x:v>
      </x:c>
      <x:c r="E252" s="19" t="str">
        <x:v>腐败树根兽</x:v>
      </x:c>
      <x:c r="F252" s="19" t="str">
        <x:v>稀有</x:v>
      </x:c>
      <x:c r="G252" s="19" t="str">
        <x:v>材料独立候选</x:v>
      </x:c>
      <x:c r="H252" s="19" t="str">
        <x:v>野兽骨片</x:v>
      </x:c>
      <x:c r="I252" s="22" t="n">
        <x:v>60</x:v>
      </x:c>
      <x:c r="J252" s="22" t="n">
        <x:v>2</x:v>
      </x:c>
      <x:c r="K252" s="19" t="n">
        <x:v>1</x:v>
      </x:c>
      <x:c r="L252" s="24" t="n">
        <x:v>13.799999999999999</x:v>
      </x:c>
      <x:c r="M252" s="26" t="n">
        <x:v>0.1</x:v>
      </x:c>
      <x:c r="N252" s="24" t="n">
        <x:v>12</x:v>
      </x:c>
      <x:c r="O252" s="28" t="n">
        <x:f>MIN(1,L252/I252)</x:f>
        <x:v>0.22999999999999998</x:v>
      </x:c>
      <x:c r="P252" s="30" t="n">
        <x:f>O252*J252*(1+M252)</x:f>
        <x:v>0.506</x:v>
      </x:c>
      <x:c r="Q252" s="30" t="n">
        <x:f>P252*N252</x:f>
        <x:v>6.072</x:v>
      </x:c>
      <x:c r="R252" s="19" t="str">
        <x:v>独立判定</x:v>
      </x:c>
    </x:row>
    <x:row r="253" ht="19" customHeight="1">
      <x:c r="A253" s="19" t="str">
        <x:v>D00249</x:v>
      </x:c>
      <x:c r="B253" s="19" t="n">
        <x:v>2</x:v>
      </x:c>
      <x:c r="C253" s="19" t="n">
        <x:v>1</x:v>
      </x:c>
      <x:c r="D253" s="19" t="str">
        <x:v>EL-MON-LIM-GRAVE-008</x:v>
      </x:c>
      <x:c r="E253" s="19" t="str">
        <x:v>腐败树根兽</x:v>
      </x:c>
      <x:c r="F253" s="19" t="str">
        <x:v>稀有</x:v>
      </x:c>
      <x:c r="G253" s="19" t="str">
        <x:v>材料独立候选</x:v>
      </x:c>
      <x:c r="H253" s="19" t="str">
        <x:v>技能残页</x:v>
      </x:c>
      <x:c r="I253" s="22" t="n">
        <x:v>60</x:v>
      </x:c>
      <x:c r="J253" s="22" t="n">
        <x:v>1</x:v>
      </x:c>
      <x:c r="K253" s="19" t="n">
        <x:v>1</x:v>
      </x:c>
      <x:c r="L253" s="24" t="n">
        <x:v>13.799999999999999</x:v>
      </x:c>
      <x:c r="M253" s="26" t="n">
        <x:v>0.1</x:v>
      </x:c>
      <x:c r="N253" s="24" t="n">
        <x:v>12</x:v>
      </x:c>
      <x:c r="O253" s="28" t="n">
        <x:f>MIN(1,L253/I253)</x:f>
        <x:v>0.22999999999999998</x:v>
      </x:c>
      <x:c r="P253" s="30" t="n">
        <x:f>O253*J253*(1+M253)</x:f>
        <x:v>0.253</x:v>
      </x:c>
      <x:c r="Q253" s="30" t="n">
        <x:f>P253*N253</x:f>
        <x:v>3.036</x:v>
      </x:c>
      <x:c r="R253" s="19" t="str">
        <x:v>独立判定</x:v>
      </x:c>
    </x:row>
    <x:row r="254" ht="19" customHeight="1">
      <x:c r="A254" s="19" t="str">
        <x:v>D00250</x:v>
      </x:c>
      <x:c r="B254" s="19" t="n">
        <x:v>2</x:v>
      </x:c>
      <x:c r="C254" s="19" t="n">
        <x:v>1</x:v>
      </x:c>
      <x:c r="D254" s="19" t="str">
        <x:v>EL-MON-LIM-GRAVE-008</x:v>
      </x:c>
      <x:c r="E254" s="19" t="str">
        <x:v>腐败树根兽</x:v>
      </x:c>
      <x:c r="F254" s="19" t="str">
        <x:v>稀有</x:v>
      </x:c>
      <x:c r="G254" s="19" t="str">
        <x:v>材料独立候选</x:v>
      </x:c>
      <x:c r="H254" s="19" t="str">
        <x:v>小卢恩</x:v>
      </x:c>
      <x:c r="I254" s="22" t="n">
        <x:v>2500</x:v>
      </x:c>
      <x:c r="J254" s="22" t="n">
        <x:v>1</x:v>
      </x:c>
      <x:c r="K254" s="19" t="n">
        <x:v>1</x:v>
      </x:c>
      <x:c r="L254" s="24" t="n">
        <x:v>13.799999999999999</x:v>
      </x:c>
      <x:c r="M254" s="26" t="n">
        <x:v>0.1</x:v>
      </x:c>
      <x:c r="N254" s="24" t="n">
        <x:v>12</x:v>
      </x:c>
      <x:c r="O254" s="28" t="n">
        <x:f>MIN(1,L254/I254)</x:f>
        <x:v>0.00552</x:v>
      </x:c>
      <x:c r="P254" s="30" t="n">
        <x:f>O254*J254*(1+M254)</x:f>
        <x:v>0.006072</x:v>
      </x:c>
      <x:c r="Q254" s="30" t="n">
        <x:f>P254*N254</x:f>
        <x:v>0.072864</x:v>
      </x:c>
      <x:c r="R254" s="19" t="str">
        <x:v>独立判定</x:v>
      </x:c>
    </x:row>
    <x:row r="255" ht="19" customHeight="1">
      <x:c r="A255" s="19" t="str">
        <x:v>D00251</x:v>
      </x:c>
      <x:c r="B255" s="19" t="n">
        <x:v>2</x:v>
      </x:c>
      <x:c r="C255" s="19" t="n">
        <x:v>1</x:v>
      </x:c>
      <x:c r="D255" s="19" t="str">
        <x:v>EL-MON-LIM-GRAVE-008</x:v>
      </x:c>
      <x:c r="E255" s="19" t="str">
        <x:v>腐败树根兽</x:v>
      </x:c>
      <x:c r="F255" s="19" t="str">
        <x:v>稀有</x:v>
      </x:c>
      <x:c r="G255" s="19" t="str">
        <x:v>六神器公共池</x:v>
      </x:c>
      <x:c r="H255" s="19" t="str">
        <x:v>POOL006</x:v>
      </x:c>
      <x:c r="I255" s="22" t="n">
        <x:v>5000000</x:v>
      </x:c>
      <x:c r="J255" s="22" t="n">
        <x:v>1</x:v>
      </x:c>
      <x:c r="K255" s="19" t="n">
        <x:v>6</x:v>
      </x:c>
      <x:c r="L255" s="24" t="n">
        <x:v>13.799999999999999</x:v>
      </x:c>
      <x:c r="M255" s="26" t="n">
        <x:v>0.1</x:v>
      </x:c>
      <x:c r="N255" s="24" t="n">
        <x:v>12</x:v>
      </x:c>
      <x:c r="O255" s="28" t="n">
        <x:f>MIN(1,L255/I255)</x:f>
        <x:v>0.00000276</x:v>
      </x:c>
      <x:c r="P255" s="30" t="n">
        <x:f>O255*J255*(1+M255)</x:f>
        <x:v>0.0000030360000000000002</x:v>
      </x:c>
      <x:c r="Q255" s="30" t="n">
        <x:f>P255*N255</x:f>
        <x:v>0.000036432000000000006</x:v>
      </x:c>
      <x:c r="R255" s="19" t="str">
        <x:v>六选一；非6个独立爆率</x:v>
      </x:c>
    </x:row>
    <x:row r="256" ht="19" customHeight="1">
      <x:c r="A256" s="19" t="str">
        <x:v>D00252</x:v>
      </x:c>
      <x:c r="B256" s="19" t="n">
        <x:v>2</x:v>
      </x:c>
      <x:c r="C256" s="19" t="n">
        <x:v>1</x:v>
      </x:c>
      <x:c r="D256" s="19" t="str">
        <x:v>EL-MON-LIM-GRAVE-009</x:v>
      </x:c>
      <x:c r="E256" s="19" t="str">
        <x:v>失乡熔炉骑士</x:v>
      </x:c>
      <x:c r="F256" s="19" t="str">
        <x:v>稀有</x:v>
      </x:c>
      <x:c r="G256" s="19" t="str">
        <x:v>自身专属</x:v>
      </x:c>
      <x:c r="H256" s="19" t="str">
        <x:v>初火兜鍪</x:v>
      </x:c>
      <x:c r="I256" s="22" t="n">
        <x:v>180</x:v>
      </x:c>
      <x:c r="J256" s="22" t="n">
        <x:v>1</x:v>
      </x:c>
      <x:c r="K256" s="19" t="n">
        <x:v>1</x:v>
      </x:c>
      <x:c r="L256" s="24" t="n">
        <x:v>13.799999999999999</x:v>
      </x:c>
      <x:c r="M256" s="26" t="n">
        <x:v>0.1</x:v>
      </x:c>
      <x:c r="N256" s="24" t="n">
        <x:v>12</x:v>
      </x:c>
      <x:c r="O256" s="28" t="n">
        <x:f>MIN(1,L256/I256)</x:f>
        <x:v>0.07666666666666666</x:v>
      </x:c>
      <x:c r="P256" s="30" t="n">
        <x:f>O256*J256*(1+M256)</x:f>
        <x:v>0.08433333333333333</x:v>
      </x:c>
      <x:c r="Q256" s="30" t="n">
        <x:f>P256*N256</x:f>
        <x:v>1.012</x:v>
      </x:c>
      <x:c r="R256" s="19" t="str">
        <x:v>独立判定</x:v>
      </x:c>
    </x:row>
    <x:row r="257" ht="19" customHeight="1">
      <x:c r="A257" s="19" t="str">
        <x:v>D00253</x:v>
      </x:c>
      <x:c r="B257" s="19" t="n">
        <x:v>2</x:v>
      </x:c>
      <x:c r="C257" s="19" t="n">
        <x:v>1</x:v>
      </x:c>
      <x:c r="D257" s="19" t="str">
        <x:v>EL-MON-LIM-GRAVE-009</x:v>
      </x:c>
      <x:c r="E257" s="19" t="str">
        <x:v>失乡熔炉骑士</x:v>
      </x:c>
      <x:c r="F257" s="19" t="str">
        <x:v>稀有</x:v>
      </x:c>
      <x:c r="G257" s="19" t="str">
        <x:v>材料独立候选</x:v>
      </x:c>
      <x:c r="H257" s="19" t="str">
        <x:v>风暴石片</x:v>
      </x:c>
      <x:c r="I257" s="22" t="n">
        <x:v>300</x:v>
      </x:c>
      <x:c r="J257" s="22" t="n">
        <x:v>15</x:v>
      </x:c>
      <x:c r="K257" s="19" t="n">
        <x:v>1</x:v>
      </x:c>
      <x:c r="L257" s="24" t="n">
        <x:v>13.799999999999999</x:v>
      </x:c>
      <x:c r="M257" s="26" t="n">
        <x:v>0.1</x:v>
      </x:c>
      <x:c r="N257" s="24" t="n">
        <x:v>12</x:v>
      </x:c>
      <x:c r="O257" s="28" t="n">
        <x:f>MIN(1,L257/I257)</x:f>
        <x:v>0.046</x:v>
      </x:c>
      <x:c r="P257" s="30" t="n">
        <x:f>O257*J257*(1+M257)</x:f>
        <x:v>0.759</x:v>
      </x:c>
      <x:c r="Q257" s="30" t="n">
        <x:f>P257*N257</x:f>
        <x:v>9.108</x:v>
      </x:c>
      <x:c r="R257" s="19" t="str">
        <x:v>独立判定</x:v>
      </x:c>
    </x:row>
    <x:row r="258" ht="19" customHeight="1">
      <x:c r="A258" s="19" t="str">
        <x:v>D00254</x:v>
      </x:c>
      <x:c r="B258" s="19" t="n">
        <x:v>2</x:v>
      </x:c>
      <x:c r="C258" s="19" t="n">
        <x:v>1</x:v>
      </x:c>
      <x:c r="D258" s="19" t="str">
        <x:v>EL-MON-LIM-GRAVE-009</x:v>
      </x:c>
      <x:c r="E258" s="19" t="str">
        <x:v>失乡熔炉骑士</x:v>
      </x:c>
      <x:c r="F258" s="19" t="str">
        <x:v>稀有</x:v>
      </x:c>
      <x:c r="G258" s="19" t="str">
        <x:v>材料独立候选</x:v>
      </x:c>
      <x:c r="H258" s="19" t="str">
        <x:v>黄金树芽</x:v>
      </x:c>
      <x:c r="I258" s="22" t="n">
        <x:v>60</x:v>
      </x:c>
      <x:c r="J258" s="22" t="n">
        <x:v>2</x:v>
      </x:c>
      <x:c r="K258" s="19" t="n">
        <x:v>1</x:v>
      </x:c>
      <x:c r="L258" s="24" t="n">
        <x:v>13.799999999999999</x:v>
      </x:c>
      <x:c r="M258" s="26" t="n">
        <x:v>0.1</x:v>
      </x:c>
      <x:c r="N258" s="24" t="n">
        <x:v>12</x:v>
      </x:c>
      <x:c r="O258" s="28" t="n">
        <x:f>MIN(1,L258/I258)</x:f>
        <x:v>0.22999999999999998</x:v>
      </x:c>
      <x:c r="P258" s="30" t="n">
        <x:f>O258*J258*(1+M258)</x:f>
        <x:v>0.506</x:v>
      </x:c>
      <x:c r="Q258" s="30" t="n">
        <x:f>P258*N258</x:f>
        <x:v>6.072</x:v>
      </x:c>
      <x:c r="R258" s="19" t="str">
        <x:v>独立判定</x:v>
      </x:c>
    </x:row>
    <x:row r="259" ht="19" customHeight="1">
      <x:c r="A259" s="19" t="str">
        <x:v>D00255</x:v>
      </x:c>
      <x:c r="B259" s="19" t="n">
        <x:v>2</x:v>
      </x:c>
      <x:c r="C259" s="19" t="n">
        <x:v>1</x:v>
      </x:c>
      <x:c r="D259" s="19" t="str">
        <x:v>EL-MON-LIM-GRAVE-009</x:v>
      </x:c>
      <x:c r="E259" s="19" t="str">
        <x:v>失乡熔炉骑士</x:v>
      </x:c>
      <x:c r="F259" s="19" t="str">
        <x:v>稀有</x:v>
      </x:c>
      <x:c r="G259" s="19" t="str">
        <x:v>材料独立候选</x:v>
      </x:c>
      <x:c r="H259" s="19" t="str">
        <x:v>野兽骨片</x:v>
      </x:c>
      <x:c r="I259" s="22" t="n">
        <x:v>60</x:v>
      </x:c>
      <x:c r="J259" s="22" t="n">
        <x:v>2</x:v>
      </x:c>
      <x:c r="K259" s="19" t="n">
        <x:v>1</x:v>
      </x:c>
      <x:c r="L259" s="24" t="n">
        <x:v>13.799999999999999</x:v>
      </x:c>
      <x:c r="M259" s="26" t="n">
        <x:v>0.1</x:v>
      </x:c>
      <x:c r="N259" s="24" t="n">
        <x:v>12</x:v>
      </x:c>
      <x:c r="O259" s="28" t="n">
        <x:f>MIN(1,L259/I259)</x:f>
        <x:v>0.22999999999999998</x:v>
      </x:c>
      <x:c r="P259" s="30" t="n">
        <x:f>O259*J259*(1+M259)</x:f>
        <x:v>0.506</x:v>
      </x:c>
      <x:c r="Q259" s="30" t="n">
        <x:f>P259*N259</x:f>
        <x:v>6.072</x:v>
      </x:c>
      <x:c r="R259" s="19" t="str">
        <x:v>独立判定</x:v>
      </x:c>
    </x:row>
    <x:row r="260" ht="19" customHeight="1">
      <x:c r="A260" s="19" t="str">
        <x:v>D00256</x:v>
      </x:c>
      <x:c r="B260" s="19" t="n">
        <x:v>2</x:v>
      </x:c>
      <x:c r="C260" s="19" t="n">
        <x:v>1</x:v>
      </x:c>
      <x:c r="D260" s="19" t="str">
        <x:v>EL-MON-LIM-GRAVE-009</x:v>
      </x:c>
      <x:c r="E260" s="19" t="str">
        <x:v>失乡熔炉骑士</x:v>
      </x:c>
      <x:c r="F260" s="19" t="str">
        <x:v>稀有</x:v>
      </x:c>
      <x:c r="G260" s="19" t="str">
        <x:v>材料独立候选</x:v>
      </x:c>
      <x:c r="H260" s="19" t="str">
        <x:v>技能残页</x:v>
      </x:c>
      <x:c r="I260" s="22" t="n">
        <x:v>60</x:v>
      </x:c>
      <x:c r="J260" s="22" t="n">
        <x:v>1</x:v>
      </x:c>
      <x:c r="K260" s="19" t="n">
        <x:v>1</x:v>
      </x:c>
      <x:c r="L260" s="24" t="n">
        <x:v>13.799999999999999</x:v>
      </x:c>
      <x:c r="M260" s="26" t="n">
        <x:v>0.1</x:v>
      </x:c>
      <x:c r="N260" s="24" t="n">
        <x:v>12</x:v>
      </x:c>
      <x:c r="O260" s="28" t="n">
        <x:f>MIN(1,L260/I260)</x:f>
        <x:v>0.22999999999999998</x:v>
      </x:c>
      <x:c r="P260" s="30" t="n">
        <x:f>O260*J260*(1+M260)</x:f>
        <x:v>0.253</x:v>
      </x:c>
      <x:c r="Q260" s="30" t="n">
        <x:f>P260*N260</x:f>
        <x:v>3.036</x:v>
      </x:c>
      <x:c r="R260" s="19" t="str">
        <x:v>独立判定</x:v>
      </x:c>
    </x:row>
    <x:row r="261" ht="19" customHeight="1">
      <x:c r="A261" s="19" t="str">
        <x:v>D00257</x:v>
      </x:c>
      <x:c r="B261" s="19" t="n">
        <x:v>2</x:v>
      </x:c>
      <x:c r="C261" s="19" t="n">
        <x:v>1</x:v>
      </x:c>
      <x:c r="D261" s="19" t="str">
        <x:v>EL-MON-LIM-GRAVE-009</x:v>
      </x:c>
      <x:c r="E261" s="19" t="str">
        <x:v>失乡熔炉骑士</x:v>
      </x:c>
      <x:c r="F261" s="19" t="str">
        <x:v>稀有</x:v>
      </x:c>
      <x:c r="G261" s="19" t="str">
        <x:v>材料独立候选</x:v>
      </x:c>
      <x:c r="H261" s="19" t="str">
        <x:v>小卢恩</x:v>
      </x:c>
      <x:c r="I261" s="22" t="n">
        <x:v>2500</x:v>
      </x:c>
      <x:c r="J261" s="22" t="n">
        <x:v>1</x:v>
      </x:c>
      <x:c r="K261" s="19" t="n">
        <x:v>1</x:v>
      </x:c>
      <x:c r="L261" s="24" t="n">
        <x:v>13.799999999999999</x:v>
      </x:c>
      <x:c r="M261" s="26" t="n">
        <x:v>0.1</x:v>
      </x:c>
      <x:c r="N261" s="24" t="n">
        <x:v>12</x:v>
      </x:c>
      <x:c r="O261" s="28" t="n">
        <x:f>MIN(1,L261/I261)</x:f>
        <x:v>0.00552</x:v>
      </x:c>
      <x:c r="P261" s="30" t="n">
        <x:f>O261*J261*(1+M261)</x:f>
        <x:v>0.006072</x:v>
      </x:c>
      <x:c r="Q261" s="30" t="n">
        <x:f>P261*N261</x:f>
        <x:v>0.072864</x:v>
      </x:c>
      <x:c r="R261" s="19" t="str">
        <x:v>独立判定</x:v>
      </x:c>
    </x:row>
    <x:row r="262" ht="19" customHeight="1">
      <x:c r="A262" s="19" t="str">
        <x:v>D00258</x:v>
      </x:c>
      <x:c r="B262" s="19" t="n">
        <x:v>2</x:v>
      </x:c>
      <x:c r="C262" s="19" t="n">
        <x:v>1</x:v>
      </x:c>
      <x:c r="D262" s="19" t="str">
        <x:v>EL-MON-LIM-GRAVE-009</x:v>
      </x:c>
      <x:c r="E262" s="19" t="str">
        <x:v>失乡熔炉骑士</x:v>
      </x:c>
      <x:c r="F262" s="19" t="str">
        <x:v>稀有</x:v>
      </x:c>
      <x:c r="G262" s="19" t="str">
        <x:v>六神器公共池</x:v>
      </x:c>
      <x:c r="H262" s="19" t="str">
        <x:v>POOL006</x:v>
      </x:c>
      <x:c r="I262" s="22" t="n">
        <x:v>5000000</x:v>
      </x:c>
      <x:c r="J262" s="22" t="n">
        <x:v>1</x:v>
      </x:c>
      <x:c r="K262" s="19" t="n">
        <x:v>6</x:v>
      </x:c>
      <x:c r="L262" s="24" t="n">
        <x:v>13.799999999999999</x:v>
      </x:c>
      <x:c r="M262" s="26" t="n">
        <x:v>0.1</x:v>
      </x:c>
      <x:c r="N262" s="24" t="n">
        <x:v>12</x:v>
      </x:c>
      <x:c r="O262" s="28" t="n">
        <x:f>MIN(1,L262/I262)</x:f>
        <x:v>0.00000276</x:v>
      </x:c>
      <x:c r="P262" s="30" t="n">
        <x:f>O262*J262*(1+M262)</x:f>
        <x:v>0.0000030360000000000002</x:v>
      </x:c>
      <x:c r="Q262" s="30" t="n">
        <x:f>P262*N262</x:f>
        <x:v>0.000036432000000000006</x:v>
      </x:c>
      <x:c r="R262" s="19" t="str">
        <x:v>六选一；非6个独立爆率</x:v>
      </x:c>
    </x:row>
    <x:row r="263" ht="19" customHeight="1">
      <x:c r="A263" s="19" t="str">
        <x:v>D00259</x:v>
      </x:c>
      <x:c r="B263" s="19" t="n">
        <x:v>2</x:v>
      </x:c>
      <x:c r="C263" s="19" t="n">
        <x:v>1</x:v>
      </x:c>
      <x:c r="D263" s="19" t="str">
        <x:v>EL-MON-LIM-GRAVE-010</x:v>
      </x:c>
      <x:c r="E263" s="19" t="str">
        <x:v>英雄墓影</x:v>
      </x:c>
      <x:c r="F263" s="19" t="str">
        <x:v>稀有</x:v>
      </x:c>
      <x:c r="G263" s="19" t="str">
        <x:v>自身专属</x:v>
      </x:c>
      <x:c r="H263" s="19" t="str">
        <x:v>英雄余誓</x:v>
      </x:c>
      <x:c r="I263" s="22" t="n">
        <x:v>180</x:v>
      </x:c>
      <x:c r="J263" s="22" t="n">
        <x:v>1</x:v>
      </x:c>
      <x:c r="K263" s="19" t="n">
        <x:v>1</x:v>
      </x:c>
      <x:c r="L263" s="24" t="n">
        <x:v>13.799999999999999</x:v>
      </x:c>
      <x:c r="M263" s="26" t="n">
        <x:v>0.1</x:v>
      </x:c>
      <x:c r="N263" s="24" t="n">
        <x:v>11.539476758391105</x:v>
      </x:c>
      <x:c r="O263" s="28" t="n">
        <x:f>MIN(1,L263/I263)</x:f>
        <x:v>0.07666666666666666</x:v>
      </x:c>
      <x:c r="P263" s="30" t="n">
        <x:f>O263*J263*(1+M263)</x:f>
        <x:v>0.08433333333333333</x:v>
      </x:c>
      <x:c r="Q263" s="30" t="n">
        <x:f>P263*N263</x:f>
        <x:v>0.9731625399576498</x:v>
      </x:c>
      <x:c r="R263" s="19" t="str">
        <x:v>独立判定</x:v>
      </x:c>
    </x:row>
    <x:row r="264" ht="19" customHeight="1">
      <x:c r="A264" s="19" t="str">
        <x:v>D00260</x:v>
      </x:c>
      <x:c r="B264" s="19" t="n">
        <x:v>2</x:v>
      </x:c>
      <x:c r="C264" s="19" t="n">
        <x:v>1</x:v>
      </x:c>
      <x:c r="D264" s="19" t="str">
        <x:v>EL-MON-LIM-GRAVE-010</x:v>
      </x:c>
      <x:c r="E264" s="19" t="str">
        <x:v>英雄墓影</x:v>
      </x:c>
      <x:c r="F264" s="19" t="str">
        <x:v>稀有</x:v>
      </x:c>
      <x:c r="G264" s="19" t="str">
        <x:v>材料独立候选</x:v>
      </x:c>
      <x:c r="H264" s="19" t="str">
        <x:v>风暴石片</x:v>
      </x:c>
      <x:c r="I264" s="22" t="n">
        <x:v>300</x:v>
      </x:c>
      <x:c r="J264" s="22" t="n">
        <x:v>15</x:v>
      </x:c>
      <x:c r="K264" s="19" t="n">
        <x:v>1</x:v>
      </x:c>
      <x:c r="L264" s="24" t="n">
        <x:v>13.799999999999999</x:v>
      </x:c>
      <x:c r="M264" s="26" t="n">
        <x:v>0.1</x:v>
      </x:c>
      <x:c r="N264" s="24" t="n">
        <x:v>11.539476758391105</x:v>
      </x:c>
      <x:c r="O264" s="28" t="n">
        <x:f>MIN(1,L264/I264)</x:f>
        <x:v>0.046</x:v>
      </x:c>
      <x:c r="P264" s="30" t="n">
        <x:f>O264*J264*(1+M264)</x:f>
        <x:v>0.759</x:v>
      </x:c>
      <x:c r="Q264" s="30" t="n">
        <x:f>P264*N264</x:f>
        <x:v>8.758462859618849</x:v>
      </x:c>
      <x:c r="R264" s="19" t="str">
        <x:v>独立判定</x:v>
      </x:c>
    </x:row>
    <x:row r="265" ht="19" customHeight="1">
      <x:c r="A265" s="19" t="str">
        <x:v>D00261</x:v>
      </x:c>
      <x:c r="B265" s="19" t="n">
        <x:v>2</x:v>
      </x:c>
      <x:c r="C265" s="19" t="n">
        <x:v>1</x:v>
      </x:c>
      <x:c r="D265" s="19" t="str">
        <x:v>EL-MON-LIM-GRAVE-010</x:v>
      </x:c>
      <x:c r="E265" s="19" t="str">
        <x:v>英雄墓影</x:v>
      </x:c>
      <x:c r="F265" s="19" t="str">
        <x:v>稀有</x:v>
      </x:c>
      <x:c r="G265" s="19" t="str">
        <x:v>材料独立候选</x:v>
      </x:c>
      <x:c r="H265" s="19" t="str">
        <x:v>黄金树芽</x:v>
      </x:c>
      <x:c r="I265" s="22" t="n">
        <x:v>60</x:v>
      </x:c>
      <x:c r="J265" s="22" t="n">
        <x:v>2</x:v>
      </x:c>
      <x:c r="K265" s="19" t="n">
        <x:v>1</x:v>
      </x:c>
      <x:c r="L265" s="24" t="n">
        <x:v>13.799999999999999</x:v>
      </x:c>
      <x:c r="M265" s="26" t="n">
        <x:v>0.1</x:v>
      </x:c>
      <x:c r="N265" s="24" t="n">
        <x:v>11.539476758391105</x:v>
      </x:c>
      <x:c r="O265" s="28" t="n">
        <x:f>MIN(1,L265/I265)</x:f>
        <x:v>0.22999999999999998</x:v>
      </x:c>
      <x:c r="P265" s="30" t="n">
        <x:f>O265*J265*(1+M265)</x:f>
        <x:v>0.506</x:v>
      </x:c>
      <x:c r="Q265" s="30" t="n">
        <x:f>P265*N265</x:f>
        <x:v>5.838975239745899</x:v>
      </x:c>
      <x:c r="R265" s="19" t="str">
        <x:v>独立判定</x:v>
      </x:c>
    </x:row>
    <x:row r="266" ht="19" customHeight="1">
      <x:c r="A266" s="19" t="str">
        <x:v>D00262</x:v>
      </x:c>
      <x:c r="B266" s="19" t="n">
        <x:v>2</x:v>
      </x:c>
      <x:c r="C266" s="19" t="n">
        <x:v>1</x:v>
      </x:c>
      <x:c r="D266" s="19" t="str">
        <x:v>EL-MON-LIM-GRAVE-010</x:v>
      </x:c>
      <x:c r="E266" s="19" t="str">
        <x:v>英雄墓影</x:v>
      </x:c>
      <x:c r="F266" s="19" t="str">
        <x:v>稀有</x:v>
      </x:c>
      <x:c r="G266" s="19" t="str">
        <x:v>材料独立候选</x:v>
      </x:c>
      <x:c r="H266" s="19" t="str">
        <x:v>野兽骨片</x:v>
      </x:c>
      <x:c r="I266" s="22" t="n">
        <x:v>60</x:v>
      </x:c>
      <x:c r="J266" s="22" t="n">
        <x:v>2</x:v>
      </x:c>
      <x:c r="K266" s="19" t="n">
        <x:v>1</x:v>
      </x:c>
      <x:c r="L266" s="24" t="n">
        <x:v>13.799999999999999</x:v>
      </x:c>
      <x:c r="M266" s="26" t="n">
        <x:v>0.1</x:v>
      </x:c>
      <x:c r="N266" s="24" t="n">
        <x:v>11.539476758391105</x:v>
      </x:c>
      <x:c r="O266" s="28" t="n">
        <x:f>MIN(1,L266/I266)</x:f>
        <x:v>0.22999999999999998</x:v>
      </x:c>
      <x:c r="P266" s="30" t="n">
        <x:f>O266*J266*(1+M266)</x:f>
        <x:v>0.506</x:v>
      </x:c>
      <x:c r="Q266" s="30" t="n">
        <x:f>P266*N266</x:f>
        <x:v>5.838975239745899</x:v>
      </x:c>
      <x:c r="R266" s="19" t="str">
        <x:v>独立判定</x:v>
      </x:c>
    </x:row>
    <x:row r="267" ht="19" customHeight="1">
      <x:c r="A267" s="19" t="str">
        <x:v>D00263</x:v>
      </x:c>
      <x:c r="B267" s="19" t="n">
        <x:v>2</x:v>
      </x:c>
      <x:c r="C267" s="19" t="n">
        <x:v>1</x:v>
      </x:c>
      <x:c r="D267" s="19" t="str">
        <x:v>EL-MON-LIM-GRAVE-010</x:v>
      </x:c>
      <x:c r="E267" s="19" t="str">
        <x:v>英雄墓影</x:v>
      </x:c>
      <x:c r="F267" s="19" t="str">
        <x:v>稀有</x:v>
      </x:c>
      <x:c r="G267" s="19" t="str">
        <x:v>材料独立候选</x:v>
      </x:c>
      <x:c r="H267" s="19" t="str">
        <x:v>技能残页</x:v>
      </x:c>
      <x:c r="I267" s="22" t="n">
        <x:v>60</x:v>
      </x:c>
      <x:c r="J267" s="22" t="n">
        <x:v>1</x:v>
      </x:c>
      <x:c r="K267" s="19" t="n">
        <x:v>1</x:v>
      </x:c>
      <x:c r="L267" s="24" t="n">
        <x:v>13.799999999999999</x:v>
      </x:c>
      <x:c r="M267" s="26" t="n">
        <x:v>0.1</x:v>
      </x:c>
      <x:c r="N267" s="24" t="n">
        <x:v>11.539476758391105</x:v>
      </x:c>
      <x:c r="O267" s="28" t="n">
        <x:f>MIN(1,L267/I267)</x:f>
        <x:v>0.22999999999999998</x:v>
      </x:c>
      <x:c r="P267" s="30" t="n">
        <x:f>O267*J267*(1+M267)</x:f>
        <x:v>0.253</x:v>
      </x:c>
      <x:c r="Q267" s="30" t="n">
        <x:f>P267*N267</x:f>
        <x:v>2.9194876198729496</x:v>
      </x:c>
      <x:c r="R267" s="19" t="str">
        <x:v>独立判定</x:v>
      </x:c>
    </x:row>
    <x:row r="268" ht="19" customHeight="1">
      <x:c r="A268" s="19" t="str">
        <x:v>D00264</x:v>
      </x:c>
      <x:c r="B268" s="19" t="n">
        <x:v>2</x:v>
      </x:c>
      <x:c r="C268" s="19" t="n">
        <x:v>1</x:v>
      </x:c>
      <x:c r="D268" s="19" t="str">
        <x:v>EL-MON-LIM-GRAVE-010</x:v>
      </x:c>
      <x:c r="E268" s="19" t="str">
        <x:v>英雄墓影</x:v>
      </x:c>
      <x:c r="F268" s="19" t="str">
        <x:v>稀有</x:v>
      </x:c>
      <x:c r="G268" s="19" t="str">
        <x:v>材料独立候选</x:v>
      </x:c>
      <x:c r="H268" s="19" t="str">
        <x:v>小卢恩</x:v>
      </x:c>
      <x:c r="I268" s="22" t="n">
        <x:v>2500</x:v>
      </x:c>
      <x:c r="J268" s="22" t="n">
        <x:v>1</x:v>
      </x:c>
      <x:c r="K268" s="19" t="n">
        <x:v>1</x:v>
      </x:c>
      <x:c r="L268" s="24" t="n">
        <x:v>13.799999999999999</x:v>
      </x:c>
      <x:c r="M268" s="26" t="n">
        <x:v>0.1</x:v>
      </x:c>
      <x:c r="N268" s="24" t="n">
        <x:v>11.539476758391105</x:v>
      </x:c>
      <x:c r="O268" s="28" t="n">
        <x:f>MIN(1,L268/I268)</x:f>
        <x:v>0.00552</x:v>
      </x:c>
      <x:c r="P268" s="30" t="n">
        <x:f>O268*J268*(1+M268)</x:f>
        <x:v>0.006072</x:v>
      </x:c>
      <x:c r="Q268" s="30" t="n">
        <x:f>P268*N268</x:f>
        <x:v>0.07006770287695079</x:v>
      </x:c>
      <x:c r="R268" s="19" t="str">
        <x:v>独立判定</x:v>
      </x:c>
    </x:row>
    <x:row r="269" ht="19" customHeight="1">
      <x:c r="A269" s="19" t="str">
        <x:v>D00265</x:v>
      </x:c>
      <x:c r="B269" s="19" t="n">
        <x:v>2</x:v>
      </x:c>
      <x:c r="C269" s="19" t="n">
        <x:v>1</x:v>
      </x:c>
      <x:c r="D269" s="19" t="str">
        <x:v>EL-MON-LIM-GRAVE-010</x:v>
      </x:c>
      <x:c r="E269" s="19" t="str">
        <x:v>英雄墓影</x:v>
      </x:c>
      <x:c r="F269" s="19" t="str">
        <x:v>稀有</x:v>
      </x:c>
      <x:c r="G269" s="19" t="str">
        <x:v>六神器公共池</x:v>
      </x:c>
      <x:c r="H269" s="19" t="str">
        <x:v>POOL006</x:v>
      </x:c>
      <x:c r="I269" s="22" t="n">
        <x:v>5000000</x:v>
      </x:c>
      <x:c r="J269" s="22" t="n">
        <x:v>1</x:v>
      </x:c>
      <x:c r="K269" s="19" t="n">
        <x:v>6</x:v>
      </x:c>
      <x:c r="L269" s="24" t="n">
        <x:v>13.799999999999999</x:v>
      </x:c>
      <x:c r="M269" s="26" t="n">
        <x:v>0.1</x:v>
      </x:c>
      <x:c r="N269" s="24" t="n">
        <x:v>11.539476758391105</x:v>
      </x:c>
      <x:c r="O269" s="28" t="n">
        <x:f>MIN(1,L269/I269)</x:f>
        <x:v>0.00000276</x:v>
      </x:c>
      <x:c r="P269" s="30" t="n">
        <x:f>O269*J269*(1+M269)</x:f>
        <x:v>0.0000030360000000000002</x:v>
      </x:c>
      <x:c r="Q269" s="30" t="n">
        <x:f>P269*N269</x:f>
        <x:v>0.0000350338514384754</x:v>
      </x:c>
      <x:c r="R269" s="19" t="str">
        <x:v>六选一；非6个独立爆率</x:v>
      </x:c>
    </x:row>
    <x:row r="270" ht="19" customHeight="1">
      <x:c r="A270" s="19" t="str">
        <x:v>D00266</x:v>
      </x:c>
      <x:c r="B270" s="19" t="n">
        <x:v>2</x:v>
      </x:c>
      <x:c r="C270" s="19" t="n">
        <x:v>1</x:v>
      </x:c>
      <x:c r="D270" s="19" t="str">
        <x:v>EL-MON-LIM-GRAVE-011</x:v>
      </x:c>
      <x:c r="E270" s="19" t="str">
        <x:v>溃烂树灵·乌尔德</x:v>
      </x:c>
      <x:c r="F270" s="19" t="str">
        <x:v>地图BOSS</x:v>
      </x:c>
      <x:c r="G270" s="19" t="str">
        <x:v>自身专属</x:v>
      </x:c>
      <x:c r="H270" s="19" t="str">
        <x:v>腐树子鼠</x:v>
      </x:c>
      <x:c r="I270" s="22" t="n">
        <x:v>30</x:v>
      </x:c>
      <x:c r="J270" s="22" t="n">
        <x:v>1</x:v>
      </x:c>
      <x:c r="K270" s="19" t="n">
        <x:v>1</x:v>
      </x:c>
      <x:c r="L270" s="24" t="n">
        <x:v>13.799999999999999</x:v>
      </x:c>
      <x:c r="M270" s="26" t="n">
        <x:v>0.1</x:v>
      </x:c>
      <x:c r="N270" s="24" t="n">
        <x:v>2</x:v>
      </x:c>
      <x:c r="O270" s="28" t="n">
        <x:f>MIN(1,L270/I270)</x:f>
        <x:v>0.45999999999999996</x:v>
      </x:c>
      <x:c r="P270" s="30" t="n">
        <x:f>O270*J270*(1+M270)</x:f>
        <x:v>0.506</x:v>
      </x:c>
      <x:c r="Q270" s="30" t="n">
        <x:f>P270*N270</x:f>
        <x:v>1.012</x:v>
      </x:c>
      <x:c r="R270" s="19" t="str">
        <x:v>独立判定</x:v>
      </x:c>
    </x:row>
    <x:row r="271" ht="19" customHeight="1">
      <x:c r="A271" s="19" t="str">
        <x:v>D00267</x:v>
      </x:c>
      <x:c r="B271" s="19" t="n">
        <x:v>2</x:v>
      </x:c>
      <x:c r="C271" s="19" t="n">
        <x:v>1</x:v>
      </x:c>
      <x:c r="D271" s="19" t="str">
        <x:v>EL-MON-LIM-GRAVE-011</x:v>
      </x:c>
      <x:c r="E271" s="19" t="str">
        <x:v>溃烂树灵·乌尔德</x:v>
      </x:c>
      <x:c r="F271" s="19" t="str">
        <x:v>地图BOSS</x:v>
      </x:c>
      <x:c r="G271" s="19" t="str">
        <x:v>本图普通兼掉候选</x:v>
      </x:c>
      <x:c r="H271" s="19" t="str">
        <x:v>POOL007</x:v>
      </x:c>
      <x:c r="I271" s="22" t="n">
        <x:v>30</x:v>
      </x:c>
      <x:c r="J271" s="22" t="n">
        <x:v>1</x:v>
      </x:c>
      <x:c r="K271" s="19" t="n">
        <x:v>2</x:v>
      </x:c>
      <x:c r="L271" s="24" t="n">
        <x:v>13.799999999999999</x:v>
      </x:c>
      <x:c r="M271" s="26" t="n">
        <x:v>0.1</x:v>
      </x:c>
      <x:c r="N271" s="24" t="n">
        <x:v>2</x:v>
      </x:c>
      <x:c r="O271" s="28" t="n">
        <x:f>MIN(1,L271/I271)</x:f>
        <x:v>0.45999999999999996</x:v>
      </x:c>
      <x:c r="P271" s="30" t="n">
        <x:f>O271*J271*(1+M271)</x:f>
        <x:v>0.506</x:v>
      </x:c>
      <x:c r="Q271" s="30" t="n">
        <x:f>P271*N271</x:f>
        <x:v>1.012</x:v>
      </x:c>
      <x:c r="R271" s="19" t="str">
        <x:v>单池选一</x:v>
      </x:c>
    </x:row>
    <x:row r="272" ht="19" customHeight="1">
      <x:c r="A272" s="19" t="str">
        <x:v>D00268</x:v>
      </x:c>
      <x:c r="B272" s="19" t="n">
        <x:v>2</x:v>
      </x:c>
      <x:c r="C272" s="19" t="n">
        <x:v>1</x:v>
      </x:c>
      <x:c r="D272" s="19" t="str">
        <x:v>EL-MON-LIM-GRAVE-011</x:v>
      </x:c>
      <x:c r="E272" s="19" t="str">
        <x:v>溃烂树灵·乌尔德</x:v>
      </x:c>
      <x:c r="F272" s="19" t="str">
        <x:v>地图BOSS</x:v>
      </x:c>
      <x:c r="G272" s="19" t="str">
        <x:v>材料独立候选</x:v>
      </x:c>
      <x:c r="H272" s="19" t="str">
        <x:v>风暴石片</x:v>
      </x:c>
      <x:c r="I272" s="22" t="n">
        <x:v>150</x:v>
      </x:c>
      <x:c r="J272" s="22" t="n">
        <x:v>30</x:v>
      </x:c>
      <x:c r="K272" s="19" t="n">
        <x:v>1</x:v>
      </x:c>
      <x:c r="L272" s="24" t="n">
        <x:v>13.799999999999999</x:v>
      </x:c>
      <x:c r="M272" s="26" t="n">
        <x:v>0.1</x:v>
      </x:c>
      <x:c r="N272" s="24" t="n">
        <x:v>2</x:v>
      </x:c>
      <x:c r="O272" s="28" t="n">
        <x:f>MIN(1,L272/I272)</x:f>
        <x:v>0.092</x:v>
      </x:c>
      <x:c r="P272" s="30" t="n">
        <x:f>O272*J272*(1+M272)</x:f>
        <x:v>3.036</x:v>
      </x:c>
      <x:c r="Q272" s="30" t="n">
        <x:f>P272*N272</x:f>
        <x:v>6.072</x:v>
      </x:c>
      <x:c r="R272" s="19" t="str">
        <x:v>独立判定</x:v>
      </x:c>
    </x:row>
    <x:row r="273" ht="19" customHeight="1">
      <x:c r="A273" s="19" t="str">
        <x:v>D00269</x:v>
      </x:c>
      <x:c r="B273" s="19" t="n">
        <x:v>2</x:v>
      </x:c>
      <x:c r="C273" s="19" t="n">
        <x:v>1</x:v>
      </x:c>
      <x:c r="D273" s="19" t="str">
        <x:v>EL-MON-LIM-GRAVE-011</x:v>
      </x:c>
      <x:c r="E273" s="19" t="str">
        <x:v>溃烂树灵·乌尔德</x:v>
      </x:c>
      <x:c r="F273" s="19" t="str">
        <x:v>地图BOSS</x:v>
      </x:c>
      <x:c r="G273" s="19" t="str">
        <x:v>材料独立候选</x:v>
      </x:c>
      <x:c r="H273" s="19" t="str">
        <x:v>黄金树芽</x:v>
      </x:c>
      <x:c r="I273" s="22" t="n">
        <x:v>30</x:v>
      </x:c>
      <x:c r="J273" s="22" t="n">
        <x:v>2</x:v>
      </x:c>
      <x:c r="K273" s="19" t="n">
        <x:v>1</x:v>
      </x:c>
      <x:c r="L273" s="24" t="n">
        <x:v>13.799999999999999</x:v>
      </x:c>
      <x:c r="M273" s="26" t="n">
        <x:v>0.1</x:v>
      </x:c>
      <x:c r="N273" s="24" t="n">
        <x:v>2</x:v>
      </x:c>
      <x:c r="O273" s="28" t="n">
        <x:f>MIN(1,L273/I273)</x:f>
        <x:v>0.45999999999999996</x:v>
      </x:c>
      <x:c r="P273" s="30" t="n">
        <x:f>O273*J273*(1+M273)</x:f>
        <x:v>1.012</x:v>
      </x:c>
      <x:c r="Q273" s="30" t="n">
        <x:f>P273*N273</x:f>
        <x:v>2.024</x:v>
      </x:c>
      <x:c r="R273" s="19" t="str">
        <x:v>独立判定</x:v>
      </x:c>
    </x:row>
    <x:row r="274" ht="19" customHeight="1">
      <x:c r="A274" s="19" t="str">
        <x:v>D00270</x:v>
      </x:c>
      <x:c r="B274" s="19" t="n">
        <x:v>2</x:v>
      </x:c>
      <x:c r="C274" s="19" t="n">
        <x:v>1</x:v>
      </x:c>
      <x:c r="D274" s="19" t="str">
        <x:v>EL-MON-LIM-GRAVE-011</x:v>
      </x:c>
      <x:c r="E274" s="19" t="str">
        <x:v>溃烂树灵·乌尔德</x:v>
      </x:c>
      <x:c r="F274" s="19" t="str">
        <x:v>地图BOSS</x:v>
      </x:c>
      <x:c r="G274" s="19" t="str">
        <x:v>材料独立候选</x:v>
      </x:c>
      <x:c r="H274" s="19" t="str">
        <x:v>接肢王印</x:v>
      </x:c>
      <x:c r="I274" s="22" t="n">
        <x:v>80</x:v>
      </x:c>
      <x:c r="J274" s="22" t="n">
        <x:v>2</x:v>
      </x:c>
      <x:c r="K274" s="19" t="n">
        <x:v>1</x:v>
      </x:c>
      <x:c r="L274" s="24" t="n">
        <x:v>13.799999999999999</x:v>
      </x:c>
      <x:c r="M274" s="26" t="n">
        <x:v>0.1</x:v>
      </x:c>
      <x:c r="N274" s="24" t="n">
        <x:v>2</x:v>
      </x:c>
      <x:c r="O274" s="28" t="n">
        <x:f>MIN(1,L274/I274)</x:f>
        <x:v>0.1725</x:v>
      </x:c>
      <x:c r="P274" s="30" t="n">
        <x:f>O274*J274*(1+M274)</x:f>
        <x:v>0.3795</x:v>
      </x:c>
      <x:c r="Q274" s="30" t="n">
        <x:f>P274*N274</x:f>
        <x:v>0.759</x:v>
      </x:c>
      <x:c r="R274" s="19" t="str">
        <x:v>独立判定</x:v>
      </x:c>
    </x:row>
    <x:row r="275" ht="19" customHeight="1">
      <x:c r="A275" s="19" t="str">
        <x:v>D00271</x:v>
      </x:c>
      <x:c r="B275" s="19" t="n">
        <x:v>2</x:v>
      </x:c>
      <x:c r="C275" s="19" t="n">
        <x:v>1</x:v>
      </x:c>
      <x:c r="D275" s="19" t="str">
        <x:v>EL-MON-LIM-GRAVE-011</x:v>
      </x:c>
      <x:c r="E275" s="19" t="str">
        <x:v>溃烂树灵·乌尔德</x:v>
      </x:c>
      <x:c r="F275" s="19" t="str">
        <x:v>地图BOSS</x:v>
      </x:c>
      <x:c r="G275" s="19" t="str">
        <x:v>材料独立候选</x:v>
      </x:c>
      <x:c r="H275" s="19" t="str">
        <x:v>溃烂树核</x:v>
      </x:c>
      <x:c r="I275" s="22" t="n">
        <x:v>60</x:v>
      </x:c>
      <x:c r="J275" s="22" t="n">
        <x:v>1</x:v>
      </x:c>
      <x:c r="K275" s="19" t="n">
        <x:v>1</x:v>
      </x:c>
      <x:c r="L275" s="24" t="n">
        <x:v>13.799999999999999</x:v>
      </x:c>
      <x:c r="M275" s="26" t="n">
        <x:v>0.1</x:v>
      </x:c>
      <x:c r="N275" s="24" t="n">
        <x:v>2</x:v>
      </x:c>
      <x:c r="O275" s="28" t="n">
        <x:f>MIN(1,L275/I275)</x:f>
        <x:v>0.22999999999999998</x:v>
      </x:c>
      <x:c r="P275" s="30" t="n">
        <x:f>O275*J275*(1+M275)</x:f>
        <x:v>0.253</x:v>
      </x:c>
      <x:c r="Q275" s="30" t="n">
        <x:f>P275*N275</x:f>
        <x:v>0.506</x:v>
      </x:c>
      <x:c r="R275" s="19" t="str">
        <x:v>独立判定</x:v>
      </x:c>
    </x:row>
    <x:row r="276" ht="19" customHeight="1">
      <x:c r="A276" s="19" t="str">
        <x:v>D00272</x:v>
      </x:c>
      <x:c r="B276" s="19" t="n">
        <x:v>2</x:v>
      </x:c>
      <x:c r="C276" s="19" t="n">
        <x:v>1</x:v>
      </x:c>
      <x:c r="D276" s="19" t="str">
        <x:v>EL-MON-LIM-GRAVE-011</x:v>
      </x:c>
      <x:c r="E276" s="19" t="str">
        <x:v>溃烂树灵·乌尔德</x:v>
      </x:c>
      <x:c r="F276" s="19" t="str">
        <x:v>地图BOSS</x:v>
      </x:c>
      <x:c r="G276" s="19" t="str">
        <x:v>材料独立候选</x:v>
      </x:c>
      <x:c r="H276" s="19" t="str">
        <x:v>野兽骨片</x:v>
      </x:c>
      <x:c r="I276" s="22" t="n">
        <x:v>40</x:v>
      </x:c>
      <x:c r="J276" s="22" t="n">
        <x:v>2</x:v>
      </x:c>
      <x:c r="K276" s="19" t="n">
        <x:v>1</x:v>
      </x:c>
      <x:c r="L276" s="24" t="n">
        <x:v>13.799999999999999</x:v>
      </x:c>
      <x:c r="M276" s="26" t="n">
        <x:v>0.1</x:v>
      </x:c>
      <x:c r="N276" s="24" t="n">
        <x:v>2</x:v>
      </x:c>
      <x:c r="O276" s="28" t="n">
        <x:f>MIN(1,L276/I276)</x:f>
        <x:v>0.345</x:v>
      </x:c>
      <x:c r="P276" s="30" t="n">
        <x:f>O276*J276*(1+M276)</x:f>
        <x:v>0.759</x:v>
      </x:c>
      <x:c r="Q276" s="30" t="n">
        <x:f>P276*N276</x:f>
        <x:v>1.518</x:v>
      </x:c>
      <x:c r="R276" s="19" t="str">
        <x:v>独立判定</x:v>
      </x:c>
    </x:row>
    <x:row r="277" ht="19" customHeight="1">
      <x:c r="A277" s="19" t="str">
        <x:v>D00273</x:v>
      </x:c>
      <x:c r="B277" s="19" t="n">
        <x:v>2</x:v>
      </x:c>
      <x:c r="C277" s="19" t="n">
        <x:v>1</x:v>
      </x:c>
      <x:c r="D277" s="19" t="str">
        <x:v>EL-MON-LIM-GRAVE-011</x:v>
      </x:c>
      <x:c r="E277" s="19" t="str">
        <x:v>溃烂树灵·乌尔德</x:v>
      </x:c>
      <x:c r="F277" s="19" t="str">
        <x:v>地图BOSS</x:v>
      </x:c>
      <x:c r="G277" s="19" t="str">
        <x:v>材料独立候选</x:v>
      </x:c>
      <x:c r="H277" s="19" t="str">
        <x:v>技能残页</x:v>
      </x:c>
      <x:c r="I277" s="22" t="n">
        <x:v>30</x:v>
      </x:c>
      <x:c r="J277" s="22" t="n">
        <x:v>1</x:v>
      </x:c>
      <x:c r="K277" s="19" t="n">
        <x:v>1</x:v>
      </x:c>
      <x:c r="L277" s="24" t="n">
        <x:v>13.799999999999999</x:v>
      </x:c>
      <x:c r="M277" s="26" t="n">
        <x:v>0.1</x:v>
      </x:c>
      <x:c r="N277" s="24" t="n">
        <x:v>2</x:v>
      </x:c>
      <x:c r="O277" s="28" t="n">
        <x:f>MIN(1,L277/I277)</x:f>
        <x:v>0.45999999999999996</x:v>
      </x:c>
      <x:c r="P277" s="30" t="n">
        <x:f>O277*J277*(1+M277)</x:f>
        <x:v>0.506</x:v>
      </x:c>
      <x:c r="Q277" s="30" t="n">
        <x:f>P277*N277</x:f>
        <x:v>1.012</x:v>
      </x:c>
      <x:c r="R277" s="19" t="str">
        <x:v>独立判定</x:v>
      </x:c>
    </x:row>
    <x:row r="278" ht="19" customHeight="1">
      <x:c r="A278" s="19" t="str">
        <x:v>D00274</x:v>
      </x:c>
      <x:c r="B278" s="19" t="n">
        <x:v>2</x:v>
      </x:c>
      <x:c r="C278" s="19" t="n">
        <x:v>1</x:v>
      </x:c>
      <x:c r="D278" s="19" t="str">
        <x:v>EL-MON-LIM-GRAVE-011</x:v>
      </x:c>
      <x:c r="E278" s="19" t="str">
        <x:v>溃烂树灵·乌尔德</x:v>
      </x:c>
      <x:c r="F278" s="19" t="str">
        <x:v>地图BOSS</x:v>
      </x:c>
      <x:c r="G278" s="19" t="str">
        <x:v>材料独立候选</x:v>
      </x:c>
      <x:c r="H278" s="19" t="str">
        <x:v>宁姆格福誓页</x:v>
      </x:c>
      <x:c r="I278" s="22" t="n">
        <x:v>180</x:v>
      </x:c>
      <x:c r="J278" s="22" t="n">
        <x:v>1</x:v>
      </x:c>
      <x:c r="K278" s="19" t="n">
        <x:v>1</x:v>
      </x:c>
      <x:c r="L278" s="24" t="n">
        <x:v>13.799999999999999</x:v>
      </x:c>
      <x:c r="M278" s="26" t="n">
        <x:v>0.1</x:v>
      </x:c>
      <x:c r="N278" s="24" t="n">
        <x:v>2</x:v>
      </x:c>
      <x:c r="O278" s="28" t="n">
        <x:f>MIN(1,L278/I278)</x:f>
        <x:v>0.07666666666666666</x:v>
      </x:c>
      <x:c r="P278" s="30" t="n">
        <x:f>O278*J278*(1+M278)</x:f>
        <x:v>0.08433333333333333</x:v>
      </x:c>
      <x:c r="Q278" s="30" t="n">
        <x:f>P278*N278</x:f>
        <x:v>0.16866666666666666</x:v>
      </x:c>
      <x:c r="R278" s="19" t="str">
        <x:v>独立判定</x:v>
      </x:c>
    </x:row>
    <x:row r="279" ht="19" customHeight="1">
      <x:c r="A279" s="19" t="str">
        <x:v>D00275</x:v>
      </x:c>
      <x:c r="B279" s="19" t="n">
        <x:v>2</x:v>
      </x:c>
      <x:c r="C279" s="19" t="n">
        <x:v>1</x:v>
      </x:c>
      <x:c r="D279" s="19" t="str">
        <x:v>EL-MON-LIM-GRAVE-011</x:v>
      </x:c>
      <x:c r="E279" s="19" t="str">
        <x:v>溃烂树灵·乌尔德</x:v>
      </x:c>
      <x:c r="F279" s="19" t="str">
        <x:v>地图BOSS</x:v>
      </x:c>
      <x:c r="G279" s="19" t="str">
        <x:v>材料独立候选</x:v>
      </x:c>
      <x:c r="H279" s="19" t="str">
        <x:v>小卢恩</x:v>
      </x:c>
      <x:c r="I279" s="22" t="n">
        <x:v>1200</x:v>
      </x:c>
      <x:c r="J279" s="22" t="n">
        <x:v>1</x:v>
      </x:c>
      <x:c r="K279" s="19" t="n">
        <x:v>1</x:v>
      </x:c>
      <x:c r="L279" s="24" t="n">
        <x:v>13.799999999999999</x:v>
      </x:c>
      <x:c r="M279" s="26" t="n">
        <x:v>0.1</x:v>
      </x:c>
      <x:c r="N279" s="24" t="n">
        <x:v>2</x:v>
      </x:c>
      <x:c r="O279" s="28" t="n">
        <x:f>MIN(1,L279/I279)</x:f>
        <x:v>0.0115</x:v>
      </x:c>
      <x:c r="P279" s="30" t="n">
        <x:f>O279*J279*(1+M279)</x:f>
        <x:v>0.012650000000000002</x:v>
      </x:c>
      <x:c r="Q279" s="30" t="n">
        <x:f>P279*N279</x:f>
        <x:v>0.025300000000000003</x:v>
      </x:c>
      <x:c r="R279" s="19" t="str">
        <x:v>独立判定</x:v>
      </x:c>
    </x:row>
    <x:row r="280" ht="19" customHeight="1">
      <x:c r="A280" s="19" t="str">
        <x:v>D00276</x:v>
      </x:c>
      <x:c r="B280" s="19" t="n">
        <x:v>2</x:v>
      </x:c>
      <x:c r="C280" s="19" t="n">
        <x:v>1</x:v>
      </x:c>
      <x:c r="D280" s="19" t="str">
        <x:v>EL-MON-LIM-GRAVE-011</x:v>
      </x:c>
      <x:c r="E280" s="19" t="str">
        <x:v>溃烂树灵·乌尔德</x:v>
      </x:c>
      <x:c r="F280" s="19" t="str">
        <x:v>地图BOSS</x:v>
      </x:c>
      <x:c r="G280" s="19" t="str">
        <x:v>材料独立候选</x:v>
      </x:c>
      <x:c r="H280" s="19" t="str">
        <x:v>大卢恩</x:v>
      </x:c>
      <x:c r="I280" s="22" t="n">
        <x:v>120</x:v>
      </x:c>
      <x:c r="J280" s="22" t="n">
        <x:v>1</x:v>
      </x:c>
      <x:c r="K280" s="19" t="n">
        <x:v>1</x:v>
      </x:c>
      <x:c r="L280" s="24" t="n">
        <x:v>13.799999999999999</x:v>
      </x:c>
      <x:c r="M280" s="26" t="n">
        <x:v>0.1</x:v>
      </x:c>
      <x:c r="N280" s="24" t="n">
        <x:v>2</x:v>
      </x:c>
      <x:c r="O280" s="28" t="n">
        <x:f>MIN(1,L280/I280)</x:f>
        <x:v>0.11499999999999999</x:v>
      </x:c>
      <x:c r="P280" s="30" t="n">
        <x:f>O280*J280*(1+M280)</x:f>
        <x:v>0.1265</x:v>
      </x:c>
      <x:c r="Q280" s="30" t="n">
        <x:f>P280*N280</x:f>
        <x:v>0.253</x:v>
      </x:c>
      <x:c r="R280" s="19" t="str">
        <x:v>独立判定</x:v>
      </x:c>
    </x:row>
    <x:row r="281" ht="19" customHeight="1">
      <x:c r="A281" s="19" t="str">
        <x:v>D00277</x:v>
      </x:c>
      <x:c r="B281" s="19" t="n">
        <x:v>2</x:v>
      </x:c>
      <x:c r="C281" s="19" t="n">
        <x:v>1</x:v>
      </x:c>
      <x:c r="D281" s="19" t="str">
        <x:v>EL-MON-LIM-GRAVE-011</x:v>
      </x:c>
      <x:c r="E281" s="19" t="str">
        <x:v>溃烂树灵·乌尔德</x:v>
      </x:c>
      <x:c r="F281" s="19" t="str">
        <x:v>地图BOSS</x:v>
      </x:c>
      <x:c r="G281" s="19" t="str">
        <x:v>六神器公共池</x:v>
      </x:c>
      <x:c r="H281" s="19" t="str">
        <x:v>POOL006</x:v>
      </x:c>
      <x:c r="I281" s="22" t="n">
        <x:v>200000</x:v>
      </x:c>
      <x:c r="J281" s="22" t="n">
        <x:v>1</x:v>
      </x:c>
      <x:c r="K281" s="19" t="n">
        <x:v>6</x:v>
      </x:c>
      <x:c r="L281" s="24" t="n">
        <x:v>13.799999999999999</x:v>
      </x:c>
      <x:c r="M281" s="26" t="n">
        <x:v>0.1</x:v>
      </x:c>
      <x:c r="N281" s="24" t="n">
        <x:v>2</x:v>
      </x:c>
      <x:c r="O281" s="28" t="n">
        <x:f>MIN(1,L281/I281)</x:f>
        <x:v>0.000069</x:v>
      </x:c>
      <x:c r="P281" s="30" t="n">
        <x:f>O281*J281*(1+M281)</x:f>
        <x:v>0.0000759</x:v>
      </x:c>
      <x:c r="Q281" s="30" t="n">
        <x:f>P281*N281</x:f>
        <x:v>0.0001518</x:v>
      </x:c>
      <x:c r="R281" s="19" t="str">
        <x:v>六选一；非6个独立爆率</x:v>
      </x:c>
    </x:row>
    <x:row r="282" ht="19" customHeight="1">
      <x:c r="A282" s="19" t="str">
        <x:v>D00278</x:v>
      </x:c>
      <x:c r="B282" s="19" t="n">
        <x:v>2</x:v>
      </x:c>
      <x:c r="C282" s="19" t="n">
        <x:v>1</x:v>
      </x:c>
      <x:c r="D282" s="19" t="str">
        <x:v>EL-MON-LIM-GRAVE-012</x:v>
      </x:c>
      <x:c r="E282" s="19" t="str">
        <x:v>接肢贵胄·格雷姆</x:v>
      </x:c>
      <x:c r="F282" s="19" t="str">
        <x:v>地图BOSS</x:v>
      </x:c>
      <x:c r="G282" s="19" t="str">
        <x:v>自身专属</x:v>
      </x:c>
      <x:c r="H282" s="19" t="str">
        <x:v>百臂丑牛</x:v>
      </x:c>
      <x:c r="I282" s="22" t="n">
        <x:v>30</x:v>
      </x:c>
      <x:c r="J282" s="22" t="n">
        <x:v>1</x:v>
      </x:c>
      <x:c r="K282" s="19" t="n">
        <x:v>1</x:v>
      </x:c>
      <x:c r="L282" s="24" t="n">
        <x:v>13.799999999999999</x:v>
      </x:c>
      <x:c r="M282" s="26" t="n">
        <x:v>0.1</x:v>
      </x:c>
      <x:c r="N282" s="24" t="n">
        <x:v>2</x:v>
      </x:c>
      <x:c r="O282" s="28" t="n">
        <x:f>MIN(1,L282/I282)</x:f>
        <x:v>0.45999999999999996</x:v>
      </x:c>
      <x:c r="P282" s="30" t="n">
        <x:f>O282*J282*(1+M282)</x:f>
        <x:v>0.506</x:v>
      </x:c>
      <x:c r="Q282" s="30" t="n">
        <x:f>P282*N282</x:f>
        <x:v>1.012</x:v>
      </x:c>
      <x:c r="R282" s="19" t="str">
        <x:v>独立判定</x:v>
      </x:c>
    </x:row>
    <x:row r="283" ht="19" customHeight="1">
      <x:c r="A283" s="19" t="str">
        <x:v>D00279</x:v>
      </x:c>
      <x:c r="B283" s="19" t="n">
        <x:v>2</x:v>
      </x:c>
      <x:c r="C283" s="19" t="n">
        <x:v>1</x:v>
      </x:c>
      <x:c r="D283" s="19" t="str">
        <x:v>EL-MON-LIM-GRAVE-012</x:v>
      </x:c>
      <x:c r="E283" s="19" t="str">
        <x:v>接肢贵胄·格雷姆</x:v>
      </x:c>
      <x:c r="F283" s="19" t="str">
        <x:v>地图BOSS</x:v>
      </x:c>
      <x:c r="G283" s="19" t="str">
        <x:v>本图普通兼掉候选</x:v>
      </x:c>
      <x:c r="H283" s="19" t="str">
        <x:v>POOL007</x:v>
      </x:c>
      <x:c r="I283" s="22" t="n">
        <x:v>30</x:v>
      </x:c>
      <x:c r="J283" s="22" t="n">
        <x:v>1</x:v>
      </x:c>
      <x:c r="K283" s="19" t="n">
        <x:v>2</x:v>
      </x:c>
      <x:c r="L283" s="24" t="n">
        <x:v>13.799999999999999</x:v>
      </x:c>
      <x:c r="M283" s="26" t="n">
        <x:v>0.1</x:v>
      </x:c>
      <x:c r="N283" s="24" t="n">
        <x:v>2</x:v>
      </x:c>
      <x:c r="O283" s="28" t="n">
        <x:f>MIN(1,L283/I283)</x:f>
        <x:v>0.45999999999999996</x:v>
      </x:c>
      <x:c r="P283" s="30" t="n">
        <x:f>O283*J283*(1+M283)</x:f>
        <x:v>0.506</x:v>
      </x:c>
      <x:c r="Q283" s="30" t="n">
        <x:f>P283*N283</x:f>
        <x:v>1.012</x:v>
      </x:c>
      <x:c r="R283" s="19" t="str">
        <x:v>单池选一</x:v>
      </x:c>
    </x:row>
    <x:row r="284" ht="19" customHeight="1">
      <x:c r="A284" s="19" t="str">
        <x:v>D00280</x:v>
      </x:c>
      <x:c r="B284" s="19" t="n">
        <x:v>2</x:v>
      </x:c>
      <x:c r="C284" s="19" t="n">
        <x:v>1</x:v>
      </x:c>
      <x:c r="D284" s="19" t="str">
        <x:v>EL-MON-LIM-GRAVE-012</x:v>
      </x:c>
      <x:c r="E284" s="19" t="str">
        <x:v>接肢贵胄·格雷姆</x:v>
      </x:c>
      <x:c r="F284" s="19" t="str">
        <x:v>地图BOSS</x:v>
      </x:c>
      <x:c r="G284" s="19" t="str">
        <x:v>材料独立候选</x:v>
      </x:c>
      <x:c r="H284" s="19" t="str">
        <x:v>风暴石片</x:v>
      </x:c>
      <x:c r="I284" s="22" t="n">
        <x:v>150</x:v>
      </x:c>
      <x:c r="J284" s="22" t="n">
        <x:v>30</x:v>
      </x:c>
      <x:c r="K284" s="19" t="n">
        <x:v>1</x:v>
      </x:c>
      <x:c r="L284" s="24" t="n">
        <x:v>13.799999999999999</x:v>
      </x:c>
      <x:c r="M284" s="26" t="n">
        <x:v>0.1</x:v>
      </x:c>
      <x:c r="N284" s="24" t="n">
        <x:v>2</x:v>
      </x:c>
      <x:c r="O284" s="28" t="n">
        <x:f>MIN(1,L284/I284)</x:f>
        <x:v>0.092</x:v>
      </x:c>
      <x:c r="P284" s="30" t="n">
        <x:f>O284*J284*(1+M284)</x:f>
        <x:v>3.036</x:v>
      </x:c>
      <x:c r="Q284" s="30" t="n">
        <x:f>P284*N284</x:f>
        <x:v>6.072</x:v>
      </x:c>
      <x:c r="R284" s="19" t="str">
        <x:v>独立判定</x:v>
      </x:c>
    </x:row>
    <x:row r="285" ht="19" customHeight="1">
      <x:c r="A285" s="19" t="str">
        <x:v>D00281</x:v>
      </x:c>
      <x:c r="B285" s="19" t="n">
        <x:v>2</x:v>
      </x:c>
      <x:c r="C285" s="19" t="n">
        <x:v>1</x:v>
      </x:c>
      <x:c r="D285" s="19" t="str">
        <x:v>EL-MON-LIM-GRAVE-012</x:v>
      </x:c>
      <x:c r="E285" s="19" t="str">
        <x:v>接肢贵胄·格雷姆</x:v>
      </x:c>
      <x:c r="F285" s="19" t="str">
        <x:v>地图BOSS</x:v>
      </x:c>
      <x:c r="G285" s="19" t="str">
        <x:v>材料独立候选</x:v>
      </x:c>
      <x:c r="H285" s="19" t="str">
        <x:v>黄金树芽</x:v>
      </x:c>
      <x:c r="I285" s="22" t="n">
        <x:v>30</x:v>
      </x:c>
      <x:c r="J285" s="22" t="n">
        <x:v>2</x:v>
      </x:c>
      <x:c r="K285" s="19" t="n">
        <x:v>1</x:v>
      </x:c>
      <x:c r="L285" s="24" t="n">
        <x:v>13.799999999999999</x:v>
      </x:c>
      <x:c r="M285" s="26" t="n">
        <x:v>0.1</x:v>
      </x:c>
      <x:c r="N285" s="24" t="n">
        <x:v>2</x:v>
      </x:c>
      <x:c r="O285" s="28" t="n">
        <x:f>MIN(1,L285/I285)</x:f>
        <x:v>0.45999999999999996</x:v>
      </x:c>
      <x:c r="P285" s="30" t="n">
        <x:f>O285*J285*(1+M285)</x:f>
        <x:v>1.012</x:v>
      </x:c>
      <x:c r="Q285" s="30" t="n">
        <x:f>P285*N285</x:f>
        <x:v>2.024</x:v>
      </x:c>
      <x:c r="R285" s="19" t="str">
        <x:v>独立判定</x:v>
      </x:c>
    </x:row>
    <x:row r="286" ht="19" customHeight="1">
      <x:c r="A286" s="19" t="str">
        <x:v>D00282</x:v>
      </x:c>
      <x:c r="B286" s="19" t="n">
        <x:v>2</x:v>
      </x:c>
      <x:c r="C286" s="19" t="n">
        <x:v>1</x:v>
      </x:c>
      <x:c r="D286" s="19" t="str">
        <x:v>EL-MON-LIM-GRAVE-012</x:v>
      </x:c>
      <x:c r="E286" s="19" t="str">
        <x:v>接肢贵胄·格雷姆</x:v>
      </x:c>
      <x:c r="F286" s="19" t="str">
        <x:v>地图BOSS</x:v>
      </x:c>
      <x:c r="G286" s="19" t="str">
        <x:v>材料独立候选</x:v>
      </x:c>
      <x:c r="H286" s="19" t="str">
        <x:v>接肢王印</x:v>
      </x:c>
      <x:c r="I286" s="22" t="n">
        <x:v>80</x:v>
      </x:c>
      <x:c r="J286" s="22" t="n">
        <x:v>2</x:v>
      </x:c>
      <x:c r="K286" s="19" t="n">
        <x:v>1</x:v>
      </x:c>
      <x:c r="L286" s="24" t="n">
        <x:v>13.799999999999999</x:v>
      </x:c>
      <x:c r="M286" s="26" t="n">
        <x:v>0.1</x:v>
      </x:c>
      <x:c r="N286" s="24" t="n">
        <x:v>2</x:v>
      </x:c>
      <x:c r="O286" s="28" t="n">
        <x:f>MIN(1,L286/I286)</x:f>
        <x:v>0.1725</x:v>
      </x:c>
      <x:c r="P286" s="30" t="n">
        <x:f>O286*J286*(1+M286)</x:f>
        <x:v>0.3795</x:v>
      </x:c>
      <x:c r="Q286" s="30" t="n">
        <x:f>P286*N286</x:f>
        <x:v>0.759</x:v>
      </x:c>
      <x:c r="R286" s="19" t="str">
        <x:v>独立判定</x:v>
      </x:c>
    </x:row>
    <x:row r="287" ht="19" customHeight="1">
      <x:c r="A287" s="19" t="str">
        <x:v>D00283</x:v>
      </x:c>
      <x:c r="B287" s="19" t="n">
        <x:v>2</x:v>
      </x:c>
      <x:c r="C287" s="19" t="n">
        <x:v>1</x:v>
      </x:c>
      <x:c r="D287" s="19" t="str">
        <x:v>EL-MON-LIM-GRAVE-012</x:v>
      </x:c>
      <x:c r="E287" s="19" t="str">
        <x:v>接肢贵胄·格雷姆</x:v>
      </x:c>
      <x:c r="F287" s="19" t="str">
        <x:v>地图BOSS</x:v>
      </x:c>
      <x:c r="G287" s="19" t="str">
        <x:v>材料独立候选</x:v>
      </x:c>
      <x:c r="H287" s="19" t="str">
        <x:v>贵胄断指</x:v>
      </x:c>
      <x:c r="I287" s="22" t="n">
        <x:v>60</x:v>
      </x:c>
      <x:c r="J287" s="22" t="n">
        <x:v>1</x:v>
      </x:c>
      <x:c r="K287" s="19" t="n">
        <x:v>1</x:v>
      </x:c>
      <x:c r="L287" s="24" t="n">
        <x:v>13.799999999999999</x:v>
      </x:c>
      <x:c r="M287" s="26" t="n">
        <x:v>0.1</x:v>
      </x:c>
      <x:c r="N287" s="24" t="n">
        <x:v>2</x:v>
      </x:c>
      <x:c r="O287" s="28" t="n">
        <x:f>MIN(1,L287/I287)</x:f>
        <x:v>0.22999999999999998</x:v>
      </x:c>
      <x:c r="P287" s="30" t="n">
        <x:f>O287*J287*(1+M287)</x:f>
        <x:v>0.253</x:v>
      </x:c>
      <x:c r="Q287" s="30" t="n">
        <x:f>P287*N287</x:f>
        <x:v>0.506</x:v>
      </x:c>
      <x:c r="R287" s="19" t="str">
        <x:v>独立判定</x:v>
      </x:c>
    </x:row>
    <x:row r="288" ht="19" customHeight="1">
      <x:c r="A288" s="19" t="str">
        <x:v>D00284</x:v>
      </x:c>
      <x:c r="B288" s="19" t="n">
        <x:v>2</x:v>
      </x:c>
      <x:c r="C288" s="19" t="n">
        <x:v>1</x:v>
      </x:c>
      <x:c r="D288" s="19" t="str">
        <x:v>EL-MON-LIM-GRAVE-012</x:v>
      </x:c>
      <x:c r="E288" s="19" t="str">
        <x:v>接肢贵胄·格雷姆</x:v>
      </x:c>
      <x:c r="F288" s="19" t="str">
        <x:v>地图BOSS</x:v>
      </x:c>
      <x:c r="G288" s="19" t="str">
        <x:v>材料独立候选</x:v>
      </x:c>
      <x:c r="H288" s="19" t="str">
        <x:v>野兽骨片</x:v>
      </x:c>
      <x:c r="I288" s="22" t="n">
        <x:v>40</x:v>
      </x:c>
      <x:c r="J288" s="22" t="n">
        <x:v>2</x:v>
      </x:c>
      <x:c r="K288" s="19" t="n">
        <x:v>1</x:v>
      </x:c>
      <x:c r="L288" s="24" t="n">
        <x:v>13.799999999999999</x:v>
      </x:c>
      <x:c r="M288" s="26" t="n">
        <x:v>0.1</x:v>
      </x:c>
      <x:c r="N288" s="24" t="n">
        <x:v>2</x:v>
      </x:c>
      <x:c r="O288" s="28" t="n">
        <x:f>MIN(1,L288/I288)</x:f>
        <x:v>0.345</x:v>
      </x:c>
      <x:c r="P288" s="30" t="n">
        <x:f>O288*J288*(1+M288)</x:f>
        <x:v>0.759</x:v>
      </x:c>
      <x:c r="Q288" s="30" t="n">
        <x:f>P288*N288</x:f>
        <x:v>1.518</x:v>
      </x:c>
      <x:c r="R288" s="19" t="str">
        <x:v>独立判定</x:v>
      </x:c>
    </x:row>
    <x:row r="289" ht="19" customHeight="1">
      <x:c r="A289" s="19" t="str">
        <x:v>D00285</x:v>
      </x:c>
      <x:c r="B289" s="19" t="n">
        <x:v>2</x:v>
      </x:c>
      <x:c r="C289" s="19" t="n">
        <x:v>1</x:v>
      </x:c>
      <x:c r="D289" s="19" t="str">
        <x:v>EL-MON-LIM-GRAVE-012</x:v>
      </x:c>
      <x:c r="E289" s="19" t="str">
        <x:v>接肢贵胄·格雷姆</x:v>
      </x:c>
      <x:c r="F289" s="19" t="str">
        <x:v>地图BOSS</x:v>
      </x:c>
      <x:c r="G289" s="19" t="str">
        <x:v>材料独立候选</x:v>
      </x:c>
      <x:c r="H289" s="19" t="str">
        <x:v>技能残页</x:v>
      </x:c>
      <x:c r="I289" s="22" t="n">
        <x:v>30</x:v>
      </x:c>
      <x:c r="J289" s="22" t="n">
        <x:v>1</x:v>
      </x:c>
      <x:c r="K289" s="19" t="n">
        <x:v>1</x:v>
      </x:c>
      <x:c r="L289" s="24" t="n">
        <x:v>13.799999999999999</x:v>
      </x:c>
      <x:c r="M289" s="26" t="n">
        <x:v>0.1</x:v>
      </x:c>
      <x:c r="N289" s="24" t="n">
        <x:v>2</x:v>
      </x:c>
      <x:c r="O289" s="28" t="n">
        <x:f>MIN(1,L289/I289)</x:f>
        <x:v>0.45999999999999996</x:v>
      </x:c>
      <x:c r="P289" s="30" t="n">
        <x:f>O289*J289*(1+M289)</x:f>
        <x:v>0.506</x:v>
      </x:c>
      <x:c r="Q289" s="30" t="n">
        <x:f>P289*N289</x:f>
        <x:v>1.012</x:v>
      </x:c>
      <x:c r="R289" s="19" t="str">
        <x:v>独立判定</x:v>
      </x:c>
    </x:row>
    <x:row r="290" ht="19" customHeight="1">
      <x:c r="A290" s="19" t="str">
        <x:v>D00286</x:v>
      </x:c>
      <x:c r="B290" s="19" t="n">
        <x:v>2</x:v>
      </x:c>
      <x:c r="C290" s="19" t="n">
        <x:v>1</x:v>
      </x:c>
      <x:c r="D290" s="19" t="str">
        <x:v>EL-MON-LIM-GRAVE-012</x:v>
      </x:c>
      <x:c r="E290" s="19" t="str">
        <x:v>接肢贵胄·格雷姆</x:v>
      </x:c>
      <x:c r="F290" s="19" t="str">
        <x:v>地图BOSS</x:v>
      </x:c>
      <x:c r="G290" s="19" t="str">
        <x:v>材料独立候选</x:v>
      </x:c>
      <x:c r="H290" s="19" t="str">
        <x:v>宁姆格福誓页</x:v>
      </x:c>
      <x:c r="I290" s="22" t="n">
        <x:v>180</x:v>
      </x:c>
      <x:c r="J290" s="22" t="n">
        <x:v>1</x:v>
      </x:c>
      <x:c r="K290" s="19" t="n">
        <x:v>1</x:v>
      </x:c>
      <x:c r="L290" s="24" t="n">
        <x:v>13.799999999999999</x:v>
      </x:c>
      <x:c r="M290" s="26" t="n">
        <x:v>0.1</x:v>
      </x:c>
      <x:c r="N290" s="24" t="n">
        <x:v>2</x:v>
      </x:c>
      <x:c r="O290" s="28" t="n">
        <x:f>MIN(1,L290/I290)</x:f>
        <x:v>0.07666666666666666</x:v>
      </x:c>
      <x:c r="P290" s="30" t="n">
        <x:f>O290*J290*(1+M290)</x:f>
        <x:v>0.08433333333333333</x:v>
      </x:c>
      <x:c r="Q290" s="30" t="n">
        <x:f>P290*N290</x:f>
        <x:v>0.16866666666666666</x:v>
      </x:c>
      <x:c r="R290" s="19" t="str">
        <x:v>独立判定</x:v>
      </x:c>
    </x:row>
    <x:row r="291" ht="19" customHeight="1">
      <x:c r="A291" s="19" t="str">
        <x:v>D00287</x:v>
      </x:c>
      <x:c r="B291" s="19" t="n">
        <x:v>2</x:v>
      </x:c>
      <x:c r="C291" s="19" t="n">
        <x:v>1</x:v>
      </x:c>
      <x:c r="D291" s="19" t="str">
        <x:v>EL-MON-LIM-GRAVE-012</x:v>
      </x:c>
      <x:c r="E291" s="19" t="str">
        <x:v>接肢贵胄·格雷姆</x:v>
      </x:c>
      <x:c r="F291" s="19" t="str">
        <x:v>地图BOSS</x:v>
      </x:c>
      <x:c r="G291" s="19" t="str">
        <x:v>材料独立候选</x:v>
      </x:c>
      <x:c r="H291" s="19" t="str">
        <x:v>小卢恩</x:v>
      </x:c>
      <x:c r="I291" s="22" t="n">
        <x:v>1200</x:v>
      </x:c>
      <x:c r="J291" s="22" t="n">
        <x:v>1</x:v>
      </x:c>
      <x:c r="K291" s="19" t="n">
        <x:v>1</x:v>
      </x:c>
      <x:c r="L291" s="24" t="n">
        <x:v>13.799999999999999</x:v>
      </x:c>
      <x:c r="M291" s="26" t="n">
        <x:v>0.1</x:v>
      </x:c>
      <x:c r="N291" s="24" t="n">
        <x:v>2</x:v>
      </x:c>
      <x:c r="O291" s="28" t="n">
        <x:f>MIN(1,L291/I291)</x:f>
        <x:v>0.0115</x:v>
      </x:c>
      <x:c r="P291" s="30" t="n">
        <x:f>O291*J291*(1+M291)</x:f>
        <x:v>0.012650000000000002</x:v>
      </x:c>
      <x:c r="Q291" s="30" t="n">
        <x:f>P291*N291</x:f>
        <x:v>0.025300000000000003</x:v>
      </x:c>
      <x:c r="R291" s="19" t="str">
        <x:v>独立判定</x:v>
      </x:c>
    </x:row>
    <x:row r="292" ht="19" customHeight="1">
      <x:c r="A292" s="19" t="str">
        <x:v>D00288</x:v>
      </x:c>
      <x:c r="B292" s="19" t="n">
        <x:v>2</x:v>
      </x:c>
      <x:c r="C292" s="19" t="n">
        <x:v>1</x:v>
      </x:c>
      <x:c r="D292" s="19" t="str">
        <x:v>EL-MON-LIM-GRAVE-012</x:v>
      </x:c>
      <x:c r="E292" s="19" t="str">
        <x:v>接肢贵胄·格雷姆</x:v>
      </x:c>
      <x:c r="F292" s="19" t="str">
        <x:v>地图BOSS</x:v>
      </x:c>
      <x:c r="G292" s="19" t="str">
        <x:v>材料独立候选</x:v>
      </x:c>
      <x:c r="H292" s="19" t="str">
        <x:v>大卢恩</x:v>
      </x:c>
      <x:c r="I292" s="22" t="n">
        <x:v>120</x:v>
      </x:c>
      <x:c r="J292" s="22" t="n">
        <x:v>1</x:v>
      </x:c>
      <x:c r="K292" s="19" t="n">
        <x:v>1</x:v>
      </x:c>
      <x:c r="L292" s="24" t="n">
        <x:v>13.799999999999999</x:v>
      </x:c>
      <x:c r="M292" s="26" t="n">
        <x:v>0.1</x:v>
      </x:c>
      <x:c r="N292" s="24" t="n">
        <x:v>2</x:v>
      </x:c>
      <x:c r="O292" s="28" t="n">
        <x:f>MIN(1,L292/I292)</x:f>
        <x:v>0.11499999999999999</x:v>
      </x:c>
      <x:c r="P292" s="30" t="n">
        <x:f>O292*J292*(1+M292)</x:f>
        <x:v>0.1265</x:v>
      </x:c>
      <x:c r="Q292" s="30" t="n">
        <x:f>P292*N292</x:f>
        <x:v>0.253</x:v>
      </x:c>
      <x:c r="R292" s="19" t="str">
        <x:v>独立判定</x:v>
      </x:c>
    </x:row>
    <x:row r="293" ht="19" customHeight="1">
      <x:c r="A293" s="19" t="str">
        <x:v>D00289</x:v>
      </x:c>
      <x:c r="B293" s="19" t="n">
        <x:v>2</x:v>
      </x:c>
      <x:c r="C293" s="19" t="n">
        <x:v>1</x:v>
      </x:c>
      <x:c r="D293" s="19" t="str">
        <x:v>EL-MON-LIM-GRAVE-012</x:v>
      </x:c>
      <x:c r="E293" s="19" t="str">
        <x:v>接肢贵胄·格雷姆</x:v>
      </x:c>
      <x:c r="F293" s="19" t="str">
        <x:v>地图BOSS</x:v>
      </x:c>
      <x:c r="G293" s="19" t="str">
        <x:v>六神器公共池</x:v>
      </x:c>
      <x:c r="H293" s="19" t="str">
        <x:v>POOL006</x:v>
      </x:c>
      <x:c r="I293" s="22" t="n">
        <x:v>200000</x:v>
      </x:c>
      <x:c r="J293" s="22" t="n">
        <x:v>1</x:v>
      </x:c>
      <x:c r="K293" s="19" t="n">
        <x:v>6</x:v>
      </x:c>
      <x:c r="L293" s="24" t="n">
        <x:v>13.799999999999999</x:v>
      </x:c>
      <x:c r="M293" s="26" t="n">
        <x:v>0.1</x:v>
      </x:c>
      <x:c r="N293" s="24" t="n">
        <x:v>2</x:v>
      </x:c>
      <x:c r="O293" s="28" t="n">
        <x:f>MIN(1,L293/I293)</x:f>
        <x:v>0.000069</x:v>
      </x:c>
      <x:c r="P293" s="30" t="n">
        <x:f>O293*J293*(1+M293)</x:f>
        <x:v>0.0000759</x:v>
      </x:c>
      <x:c r="Q293" s="30" t="n">
        <x:f>P293*N293</x:f>
        <x:v>0.0001518</x:v>
      </x:c>
      <x:c r="R293" s="19" t="str">
        <x:v>六选一；非6个独立爆率</x:v>
      </x:c>
    </x:row>
    <x:row r="294" ht="19" customHeight="1">
      <x:c r="A294" s="19" t="str">
        <x:v>D00290</x:v>
      </x:c>
      <x:c r="B294" s="19" t="n">
        <x:v>2</x:v>
      </x:c>
      <x:c r="C294" s="19" t="n">
        <x:v>2</x:v>
      </x:c>
      <x:c r="D294" s="19" t="str">
        <x:v>EL-MON-LIM-GATE-001</x:v>
      </x:c>
      <x:c r="E294" s="19" t="str">
        <x:v>葛瑞克步兵</x:v>
      </x:c>
      <x:c r="F294" s="19" t="str">
        <x:v>普通</x:v>
      </x:c>
      <x:c r="G294" s="19" t="str">
        <x:v>自身专属</x:v>
      </x:c>
      <x:c r="H294" s="19" t="str">
        <x:v>断旗军刀</x:v>
      </x:c>
      <x:c r="I294" s="22" t="n">
        <x:v>600</x:v>
      </x:c>
      <x:c r="J294" s="22" t="n">
        <x:v>1</x:v>
      </x:c>
      <x:c r="K294" s="19" t="n">
        <x:v>1</x:v>
      </x:c>
      <x:c r="L294" s="24" t="n">
        <x:v>13.839999999999998</x:v>
      </x:c>
      <x:c r="M294" s="26" t="n">
        <x:v>0.1</x:v>
      </x:c>
      <x:c r="N294" s="24" t="n">
        <x:v>72</x:v>
      </x:c>
      <x:c r="O294" s="28" t="n">
        <x:f>MIN(1,L294/I294)</x:f>
        <x:v>0.023066666666666662</x:v>
      </x:c>
      <x:c r="P294" s="30" t="n">
        <x:f>O294*J294*(1+M294)</x:f>
        <x:v>0.02537333333333333</x:v>
      </x:c>
      <x:c r="Q294" s="30" t="n">
        <x:f>P294*N294</x:f>
        <x:v>1.8268799999999998</x:v>
      </x:c>
      <x:c r="R294" s="19" t="str">
        <x:v>独立判定</x:v>
      </x:c>
    </x:row>
    <x:row r="295" ht="19" customHeight="1">
      <x:c r="A295" s="19" t="str">
        <x:v>D00291</x:v>
      </x:c>
      <x:c r="B295" s="19" t="n">
        <x:v>2</x:v>
      </x:c>
      <x:c r="C295" s="19" t="n">
        <x:v>2</x:v>
      </x:c>
      <x:c r="D295" s="19" t="str">
        <x:v>EL-MON-LIM-GATE-001</x:v>
      </x:c>
      <x:c r="E295" s="19" t="str">
        <x:v>葛瑞克步兵</x:v>
      </x:c>
      <x:c r="F295" s="19" t="str">
        <x:v>普通</x:v>
      </x:c>
      <x:c r="G295" s="19" t="str">
        <x:v>材料独立候选</x:v>
      </x:c>
      <x:c r="H295" s="19" t="str">
        <x:v>风暴石片</x:v>
      </x:c>
      <x:c r="I295" s="22" t="n">
        <x:v>500</x:v>
      </x:c>
      <x:c r="J295" s="22" t="n">
        <x:v>8</x:v>
      </x:c>
      <x:c r="K295" s="19" t="n">
        <x:v>1</x:v>
      </x:c>
      <x:c r="L295" s="24" t="n">
        <x:v>13.839999999999998</x:v>
      </x:c>
      <x:c r="M295" s="26" t="n">
        <x:v>0.1</x:v>
      </x:c>
      <x:c r="N295" s="24" t="n">
        <x:v>72</x:v>
      </x:c>
      <x:c r="O295" s="28" t="n">
        <x:f>MIN(1,L295/I295)</x:f>
        <x:v>0.027679999999999996</x:v>
      </x:c>
      <x:c r="P295" s="30" t="n">
        <x:f>O295*J295*(1+M295)</x:f>
        <x:v>0.243584</x:v>
      </x:c>
      <x:c r="Q295" s="30" t="n">
        <x:f>P295*N295</x:f>
        <x:v>17.538048</x:v>
      </x:c>
      <x:c r="R295" s="19" t="str">
        <x:v>独立判定</x:v>
      </x:c>
    </x:row>
    <x:row r="296" ht="19" customHeight="1">
      <x:c r="A296" s="19" t="str">
        <x:v>D00292</x:v>
      </x:c>
      <x:c r="B296" s="19" t="n">
        <x:v>2</x:v>
      </x:c>
      <x:c r="C296" s="19" t="n">
        <x:v>2</x:v>
      </x:c>
      <x:c r="D296" s="19" t="str">
        <x:v>EL-MON-LIM-GATE-001</x:v>
      </x:c>
      <x:c r="E296" s="19" t="str">
        <x:v>葛瑞克步兵</x:v>
      </x:c>
      <x:c r="F296" s="19" t="str">
        <x:v>普通</x:v>
      </x:c>
      <x:c r="G296" s="19" t="str">
        <x:v>材料独立候选</x:v>
      </x:c>
      <x:c r="H296" s="19" t="str">
        <x:v>野兽骨片</x:v>
      </x:c>
      <x:c r="I296" s="22" t="n">
        <x:v>100</x:v>
      </x:c>
      <x:c r="J296" s="22" t="n">
        <x:v>2</x:v>
      </x:c>
      <x:c r="K296" s="19" t="n">
        <x:v>1</x:v>
      </x:c>
      <x:c r="L296" s="24" t="n">
        <x:v>13.839999999999998</x:v>
      </x:c>
      <x:c r="M296" s="26" t="n">
        <x:v>0.1</x:v>
      </x:c>
      <x:c r="N296" s="24" t="n">
        <x:v>72</x:v>
      </x:c>
      <x:c r="O296" s="28" t="n">
        <x:f>MIN(1,L296/I296)</x:f>
        <x:v>0.13839999999999997</x:v>
      </x:c>
      <x:c r="P296" s="30" t="n">
        <x:f>O296*J296*(1+M296)</x:f>
        <x:v>0.30448</x:v>
      </x:c>
      <x:c r="Q296" s="30" t="n">
        <x:f>P296*N296</x:f>
        <x:v>21.922559999999997</x:v>
      </x:c>
      <x:c r="R296" s="19" t="str">
        <x:v>独立判定</x:v>
      </x:c>
    </x:row>
    <x:row r="297" ht="19" customHeight="1">
      <x:c r="A297" s="19" t="str">
        <x:v>D00293</x:v>
      </x:c>
      <x:c r="B297" s="19" t="n">
        <x:v>2</x:v>
      </x:c>
      <x:c r="C297" s="19" t="n">
        <x:v>2</x:v>
      </x:c>
      <x:c r="D297" s="19" t="str">
        <x:v>EL-MON-LIM-GATE-001</x:v>
      </x:c>
      <x:c r="E297" s="19" t="str">
        <x:v>葛瑞克步兵</x:v>
      </x:c>
      <x:c r="F297" s="19" t="str">
        <x:v>普通</x:v>
      </x:c>
      <x:c r="G297" s="19" t="str">
        <x:v>材料独立候选</x:v>
      </x:c>
      <x:c r="H297" s="19" t="str">
        <x:v>技能残页</x:v>
      </x:c>
      <x:c r="I297" s="22" t="n">
        <x:v>100</x:v>
      </x:c>
      <x:c r="J297" s="22" t="n">
        <x:v>1</x:v>
      </x:c>
      <x:c r="K297" s="19" t="n">
        <x:v>1</x:v>
      </x:c>
      <x:c r="L297" s="24" t="n">
        <x:v>13.839999999999998</x:v>
      </x:c>
      <x:c r="M297" s="26" t="n">
        <x:v>0.1</x:v>
      </x:c>
      <x:c r="N297" s="24" t="n">
        <x:v>72</x:v>
      </x:c>
      <x:c r="O297" s="28" t="n">
        <x:f>MIN(1,L297/I297)</x:f>
        <x:v>0.13839999999999997</x:v>
      </x:c>
      <x:c r="P297" s="30" t="n">
        <x:f>O297*J297*(1+M297)</x:f>
        <x:v>0.15224</x:v>
      </x:c>
      <x:c r="Q297" s="30" t="n">
        <x:f>P297*N297</x:f>
        <x:v>10.961279999999999</x:v>
      </x:c>
      <x:c r="R297" s="19" t="str">
        <x:v>独立判定</x:v>
      </x:c>
    </x:row>
    <x:row r="298" ht="19" customHeight="1">
      <x:c r="A298" s="19" t="str">
        <x:v>D00294</x:v>
      </x:c>
      <x:c r="B298" s="19" t="n">
        <x:v>2</x:v>
      </x:c>
      <x:c r="C298" s="19" t="n">
        <x:v>2</x:v>
      </x:c>
      <x:c r="D298" s="19" t="str">
        <x:v>EL-MON-LIM-GATE-001</x:v>
      </x:c>
      <x:c r="E298" s="19" t="str">
        <x:v>葛瑞克步兵</x:v>
      </x:c>
      <x:c r="F298" s="19" t="str">
        <x:v>普通</x:v>
      </x:c>
      <x:c r="G298" s="19" t="str">
        <x:v>材料独立候选</x:v>
      </x:c>
      <x:c r="H298" s="19" t="str">
        <x:v>小卢恩</x:v>
      </x:c>
      <x:c r="I298" s="22" t="n">
        <x:v>4000</x:v>
      </x:c>
      <x:c r="J298" s="22" t="n">
        <x:v>1</x:v>
      </x:c>
      <x:c r="K298" s="19" t="n">
        <x:v>1</x:v>
      </x:c>
      <x:c r="L298" s="24" t="n">
        <x:v>13.839999999999998</x:v>
      </x:c>
      <x:c r="M298" s="26" t="n">
        <x:v>0.1</x:v>
      </x:c>
      <x:c r="N298" s="24" t="n">
        <x:v>72</x:v>
      </x:c>
      <x:c r="O298" s="28" t="n">
        <x:f>MIN(1,L298/I298)</x:f>
        <x:v>0.0034599999999999995</x:v>
      </x:c>
      <x:c r="P298" s="30" t="n">
        <x:f>O298*J298*(1+M298)</x:f>
        <x:v>0.003806</x:v>
      </x:c>
      <x:c r="Q298" s="30" t="n">
        <x:f>P298*N298</x:f>
        <x:v>0.274032</x:v>
      </x:c>
      <x:c r="R298" s="19" t="str">
        <x:v>独立判定</x:v>
      </x:c>
    </x:row>
    <x:row r="299" ht="19" customHeight="1">
      <x:c r="A299" s="19" t="str">
        <x:v>D00295</x:v>
      </x:c>
      <x:c r="B299" s="19" t="n">
        <x:v>2</x:v>
      </x:c>
      <x:c r="C299" s="19" t="n">
        <x:v>2</x:v>
      </x:c>
      <x:c r="D299" s="19" t="str">
        <x:v>EL-MON-LIM-GATE-001</x:v>
      </x:c>
      <x:c r="E299" s="19" t="str">
        <x:v>葛瑞克步兵</x:v>
      </x:c>
      <x:c r="F299" s="19" t="str">
        <x:v>普通</x:v>
      </x:c>
      <x:c r="G299" s="19" t="str">
        <x:v>六神器公共池</x:v>
      </x:c>
      <x:c r="H299" s="19" t="str">
        <x:v>POOL006</x:v>
      </x:c>
      <x:c r="I299" s="22" t="n">
        <x:v>20000000</x:v>
      </x:c>
      <x:c r="J299" s="22" t="n">
        <x:v>1</x:v>
      </x:c>
      <x:c r="K299" s="19" t="n">
        <x:v>6</x:v>
      </x:c>
      <x:c r="L299" s="24" t="n">
        <x:v>13.839999999999998</x:v>
      </x:c>
      <x:c r="M299" s="26" t="n">
        <x:v>0.1</x:v>
      </x:c>
      <x:c r="N299" s="24" t="n">
        <x:v>72</x:v>
      </x:c>
      <x:c r="O299" s="28" t="n">
        <x:f>MIN(1,L299/I299)</x:f>
        <x:v>6.919999999999999e-7</x:v>
      </x:c>
      <x:c r="P299" s="30" t="n">
        <x:f>O299*J299*(1+M299)</x:f>
        <x:v>7.611999999999999e-7</x:v>
      </x:c>
      <x:c r="Q299" s="30" t="n">
        <x:f>P299*N299</x:f>
        <x:v>0.00005480639999999999</x:v>
      </x:c>
      <x:c r="R299" s="19" t="str">
        <x:v>六选一；非6个独立爆率</x:v>
      </x:c>
    </x:row>
    <x:row r="300" ht="19" customHeight="1">
      <x:c r="A300" s="19" t="str">
        <x:v>D00296</x:v>
      </x:c>
      <x:c r="B300" s="19" t="n">
        <x:v>2</x:v>
      </x:c>
      <x:c r="C300" s="19" t="n">
        <x:v>2</x:v>
      </x:c>
      <x:c r="D300" s="19" t="str">
        <x:v>EL-MON-LIM-GATE-002</x:v>
      </x:c>
      <x:c r="E300" s="19" t="str">
        <x:v>关卡长枪兵</x:v>
      </x:c>
      <x:c r="F300" s="19" t="str">
        <x:v>普通</x:v>
      </x:c>
      <x:c r="G300" s="19" t="str">
        <x:v>自身专属</x:v>
      </x:c>
      <x:c r="H300" s="19" t="str">
        <x:v>关隘铁甲</x:v>
      </x:c>
      <x:c r="I300" s="22" t="n">
        <x:v>600</x:v>
      </x:c>
      <x:c r="J300" s="22" t="n">
        <x:v>1</x:v>
      </x:c>
      <x:c r="K300" s="19" t="n">
        <x:v>1</x:v>
      </x:c>
      <x:c r="L300" s="24" t="n">
        <x:v>13.839999999999998</x:v>
      </x:c>
      <x:c r="M300" s="26" t="n">
        <x:v>0.1</x:v>
      </x:c>
      <x:c r="N300" s="24" t="n">
        <x:v>72</x:v>
      </x:c>
      <x:c r="O300" s="28" t="n">
        <x:f>MIN(1,L300/I300)</x:f>
        <x:v>0.023066666666666662</x:v>
      </x:c>
      <x:c r="P300" s="30" t="n">
        <x:f>O300*J300*(1+M300)</x:f>
        <x:v>0.02537333333333333</x:v>
      </x:c>
      <x:c r="Q300" s="30" t="n">
        <x:f>P300*N300</x:f>
        <x:v>1.8268799999999998</x:v>
      </x:c>
      <x:c r="R300" s="19" t="str">
        <x:v>独立判定</x:v>
      </x:c>
    </x:row>
    <x:row r="301" ht="19" customHeight="1">
      <x:c r="A301" s="19" t="str">
        <x:v>D00297</x:v>
      </x:c>
      <x:c r="B301" s="19" t="n">
        <x:v>2</x:v>
      </x:c>
      <x:c r="C301" s="19" t="n">
        <x:v>2</x:v>
      </x:c>
      <x:c r="D301" s="19" t="str">
        <x:v>EL-MON-LIM-GATE-002</x:v>
      </x:c>
      <x:c r="E301" s="19" t="str">
        <x:v>关卡长枪兵</x:v>
      </x:c>
      <x:c r="F301" s="19" t="str">
        <x:v>普通</x:v>
      </x:c>
      <x:c r="G301" s="19" t="str">
        <x:v>材料独立候选</x:v>
      </x:c>
      <x:c r="H301" s="19" t="str">
        <x:v>风暴石片</x:v>
      </x:c>
      <x:c r="I301" s="22" t="n">
        <x:v>500</x:v>
      </x:c>
      <x:c r="J301" s="22" t="n">
        <x:v>8</x:v>
      </x:c>
      <x:c r="K301" s="19" t="n">
        <x:v>1</x:v>
      </x:c>
      <x:c r="L301" s="24" t="n">
        <x:v>13.839999999999998</x:v>
      </x:c>
      <x:c r="M301" s="26" t="n">
        <x:v>0.1</x:v>
      </x:c>
      <x:c r="N301" s="24" t="n">
        <x:v>72</x:v>
      </x:c>
      <x:c r="O301" s="28" t="n">
        <x:f>MIN(1,L301/I301)</x:f>
        <x:v>0.027679999999999996</x:v>
      </x:c>
      <x:c r="P301" s="30" t="n">
        <x:f>O301*J301*(1+M301)</x:f>
        <x:v>0.243584</x:v>
      </x:c>
      <x:c r="Q301" s="30" t="n">
        <x:f>P301*N301</x:f>
        <x:v>17.538048</x:v>
      </x:c>
      <x:c r="R301" s="19" t="str">
        <x:v>独立判定</x:v>
      </x:c>
    </x:row>
    <x:row r="302" ht="19" customHeight="1">
      <x:c r="A302" s="19" t="str">
        <x:v>D00298</x:v>
      </x:c>
      <x:c r="B302" s="19" t="n">
        <x:v>2</x:v>
      </x:c>
      <x:c r="C302" s="19" t="n">
        <x:v>2</x:v>
      </x:c>
      <x:c r="D302" s="19" t="str">
        <x:v>EL-MON-LIM-GATE-002</x:v>
      </x:c>
      <x:c r="E302" s="19" t="str">
        <x:v>关卡长枪兵</x:v>
      </x:c>
      <x:c r="F302" s="19" t="str">
        <x:v>普通</x:v>
      </x:c>
      <x:c r="G302" s="19" t="str">
        <x:v>材料独立候选</x:v>
      </x:c>
      <x:c r="H302" s="19" t="str">
        <x:v>野兽骨片</x:v>
      </x:c>
      <x:c r="I302" s="22" t="n">
        <x:v>100</x:v>
      </x:c>
      <x:c r="J302" s="22" t="n">
        <x:v>2</x:v>
      </x:c>
      <x:c r="K302" s="19" t="n">
        <x:v>1</x:v>
      </x:c>
      <x:c r="L302" s="24" t="n">
        <x:v>13.839999999999998</x:v>
      </x:c>
      <x:c r="M302" s="26" t="n">
        <x:v>0.1</x:v>
      </x:c>
      <x:c r="N302" s="24" t="n">
        <x:v>72</x:v>
      </x:c>
      <x:c r="O302" s="28" t="n">
        <x:f>MIN(1,L302/I302)</x:f>
        <x:v>0.13839999999999997</x:v>
      </x:c>
      <x:c r="P302" s="30" t="n">
        <x:f>O302*J302*(1+M302)</x:f>
        <x:v>0.30448</x:v>
      </x:c>
      <x:c r="Q302" s="30" t="n">
        <x:f>P302*N302</x:f>
        <x:v>21.922559999999997</x:v>
      </x:c>
      <x:c r="R302" s="19" t="str">
        <x:v>独立判定</x:v>
      </x:c>
    </x:row>
    <x:row r="303" ht="19" customHeight="1">
      <x:c r="A303" s="19" t="str">
        <x:v>D00299</x:v>
      </x:c>
      <x:c r="B303" s="19" t="n">
        <x:v>2</x:v>
      </x:c>
      <x:c r="C303" s="19" t="n">
        <x:v>2</x:v>
      </x:c>
      <x:c r="D303" s="19" t="str">
        <x:v>EL-MON-LIM-GATE-002</x:v>
      </x:c>
      <x:c r="E303" s="19" t="str">
        <x:v>关卡长枪兵</x:v>
      </x:c>
      <x:c r="F303" s="19" t="str">
        <x:v>普通</x:v>
      </x:c>
      <x:c r="G303" s="19" t="str">
        <x:v>材料独立候选</x:v>
      </x:c>
      <x:c r="H303" s="19" t="str">
        <x:v>技能残页</x:v>
      </x:c>
      <x:c r="I303" s="22" t="n">
        <x:v>100</x:v>
      </x:c>
      <x:c r="J303" s="22" t="n">
        <x:v>1</x:v>
      </x:c>
      <x:c r="K303" s="19" t="n">
        <x:v>1</x:v>
      </x:c>
      <x:c r="L303" s="24" t="n">
        <x:v>13.839999999999998</x:v>
      </x:c>
      <x:c r="M303" s="26" t="n">
        <x:v>0.1</x:v>
      </x:c>
      <x:c r="N303" s="24" t="n">
        <x:v>72</x:v>
      </x:c>
      <x:c r="O303" s="28" t="n">
        <x:f>MIN(1,L303/I303)</x:f>
        <x:v>0.13839999999999997</x:v>
      </x:c>
      <x:c r="P303" s="30" t="n">
        <x:f>O303*J303*(1+M303)</x:f>
        <x:v>0.15224</x:v>
      </x:c>
      <x:c r="Q303" s="30" t="n">
        <x:f>P303*N303</x:f>
        <x:v>10.961279999999999</x:v>
      </x:c>
      <x:c r="R303" s="19" t="str">
        <x:v>独立判定</x:v>
      </x:c>
    </x:row>
    <x:row r="304" ht="19" customHeight="1">
      <x:c r="A304" s="19" t="str">
        <x:v>D00300</x:v>
      </x:c>
      <x:c r="B304" s="19" t="n">
        <x:v>2</x:v>
      </x:c>
      <x:c r="C304" s="19" t="n">
        <x:v>2</x:v>
      </x:c>
      <x:c r="D304" s="19" t="str">
        <x:v>EL-MON-LIM-GATE-002</x:v>
      </x:c>
      <x:c r="E304" s="19" t="str">
        <x:v>关卡长枪兵</x:v>
      </x:c>
      <x:c r="F304" s="19" t="str">
        <x:v>普通</x:v>
      </x:c>
      <x:c r="G304" s="19" t="str">
        <x:v>材料独立候选</x:v>
      </x:c>
      <x:c r="H304" s="19" t="str">
        <x:v>小卢恩</x:v>
      </x:c>
      <x:c r="I304" s="22" t="n">
        <x:v>4000</x:v>
      </x:c>
      <x:c r="J304" s="22" t="n">
        <x:v>1</x:v>
      </x:c>
      <x:c r="K304" s="19" t="n">
        <x:v>1</x:v>
      </x:c>
      <x:c r="L304" s="24" t="n">
        <x:v>13.839999999999998</x:v>
      </x:c>
      <x:c r="M304" s="26" t="n">
        <x:v>0.1</x:v>
      </x:c>
      <x:c r="N304" s="24" t="n">
        <x:v>72</x:v>
      </x:c>
      <x:c r="O304" s="28" t="n">
        <x:f>MIN(1,L304/I304)</x:f>
        <x:v>0.0034599999999999995</x:v>
      </x:c>
      <x:c r="P304" s="30" t="n">
        <x:f>O304*J304*(1+M304)</x:f>
        <x:v>0.003806</x:v>
      </x:c>
      <x:c r="Q304" s="30" t="n">
        <x:f>P304*N304</x:f>
        <x:v>0.274032</x:v>
      </x:c>
      <x:c r="R304" s="19" t="str">
        <x:v>独立判定</x:v>
      </x:c>
    </x:row>
    <x:row r="305" ht="19" customHeight="1">
      <x:c r="A305" s="19" t="str">
        <x:v>D00301</x:v>
      </x:c>
      <x:c r="B305" s="19" t="n">
        <x:v>2</x:v>
      </x:c>
      <x:c r="C305" s="19" t="n">
        <x:v>2</x:v>
      </x:c>
      <x:c r="D305" s="19" t="str">
        <x:v>EL-MON-LIM-GATE-002</x:v>
      </x:c>
      <x:c r="E305" s="19" t="str">
        <x:v>关卡长枪兵</x:v>
      </x:c>
      <x:c r="F305" s="19" t="str">
        <x:v>普通</x:v>
      </x:c>
      <x:c r="G305" s="19" t="str">
        <x:v>六神器公共池</x:v>
      </x:c>
      <x:c r="H305" s="19" t="str">
        <x:v>POOL006</x:v>
      </x:c>
      <x:c r="I305" s="22" t="n">
        <x:v>20000000</x:v>
      </x:c>
      <x:c r="J305" s="22" t="n">
        <x:v>1</x:v>
      </x:c>
      <x:c r="K305" s="19" t="n">
        <x:v>6</x:v>
      </x:c>
      <x:c r="L305" s="24" t="n">
        <x:v>13.839999999999998</x:v>
      </x:c>
      <x:c r="M305" s="26" t="n">
        <x:v>0.1</x:v>
      </x:c>
      <x:c r="N305" s="24" t="n">
        <x:v>72</x:v>
      </x:c>
      <x:c r="O305" s="28" t="n">
        <x:f>MIN(1,L305/I305)</x:f>
        <x:v>6.919999999999999e-7</x:v>
      </x:c>
      <x:c r="P305" s="30" t="n">
        <x:f>O305*J305*(1+M305)</x:f>
        <x:v>7.611999999999999e-7</x:v>
      </x:c>
      <x:c r="Q305" s="30" t="n">
        <x:f>P305*N305</x:f>
        <x:v>0.00005480639999999999</x:v>
      </x:c>
      <x:c r="R305" s="19" t="str">
        <x:v>六选一；非6个独立爆率</x:v>
      </x:c>
    </x:row>
    <x:row r="306" ht="19" customHeight="1">
      <x:c r="A306" s="19" t="str">
        <x:v>D00302</x:v>
      </x:c>
      <x:c r="B306" s="19" t="n">
        <x:v>2</x:v>
      </x:c>
      <x:c r="C306" s="19" t="n">
        <x:v>2</x:v>
      </x:c>
      <x:c r="D306" s="19" t="str">
        <x:v>EL-MON-LIM-GATE-003</x:v>
      </x:c>
      <x:c r="E306" s="19" t="str">
        <x:v>废墟弩手</x:v>
      </x:c>
      <x:c r="F306" s="19" t="str">
        <x:v>普通</x:v>
      </x:c>
      <x:c r="G306" s="19" t="str">
        <x:v>自身专属</x:v>
      </x:c>
      <x:c r="H306" s="19" t="str">
        <x:v>破垒鹰链</x:v>
      </x:c>
      <x:c r="I306" s="22" t="n">
        <x:v>600</x:v>
      </x:c>
      <x:c r="J306" s="22" t="n">
        <x:v>1</x:v>
      </x:c>
      <x:c r="K306" s="19" t="n">
        <x:v>1</x:v>
      </x:c>
      <x:c r="L306" s="24" t="n">
        <x:v>13.839999999999998</x:v>
      </x:c>
      <x:c r="M306" s="26" t="n">
        <x:v>0.1</x:v>
      </x:c>
      <x:c r="N306" s="24" t="n">
        <x:v>72</x:v>
      </x:c>
      <x:c r="O306" s="28" t="n">
        <x:f>MIN(1,L306/I306)</x:f>
        <x:v>0.023066666666666662</x:v>
      </x:c>
      <x:c r="P306" s="30" t="n">
        <x:f>O306*J306*(1+M306)</x:f>
        <x:v>0.02537333333333333</x:v>
      </x:c>
      <x:c r="Q306" s="30" t="n">
        <x:f>P306*N306</x:f>
        <x:v>1.8268799999999998</x:v>
      </x:c>
      <x:c r="R306" s="19" t="str">
        <x:v>独立判定</x:v>
      </x:c>
    </x:row>
    <x:row r="307" ht="19" customHeight="1">
      <x:c r="A307" s="19" t="str">
        <x:v>D00303</x:v>
      </x:c>
      <x:c r="B307" s="19" t="n">
        <x:v>2</x:v>
      </x:c>
      <x:c r="C307" s="19" t="n">
        <x:v>2</x:v>
      </x:c>
      <x:c r="D307" s="19" t="str">
        <x:v>EL-MON-LIM-GATE-003</x:v>
      </x:c>
      <x:c r="E307" s="19" t="str">
        <x:v>废墟弩手</x:v>
      </x:c>
      <x:c r="F307" s="19" t="str">
        <x:v>普通</x:v>
      </x:c>
      <x:c r="G307" s="19" t="str">
        <x:v>材料独立候选</x:v>
      </x:c>
      <x:c r="H307" s="19" t="str">
        <x:v>风暴石片</x:v>
      </x:c>
      <x:c r="I307" s="22" t="n">
        <x:v>500</x:v>
      </x:c>
      <x:c r="J307" s="22" t="n">
        <x:v>8</x:v>
      </x:c>
      <x:c r="K307" s="19" t="n">
        <x:v>1</x:v>
      </x:c>
      <x:c r="L307" s="24" t="n">
        <x:v>13.839999999999998</x:v>
      </x:c>
      <x:c r="M307" s="26" t="n">
        <x:v>0.1</x:v>
      </x:c>
      <x:c r="N307" s="24" t="n">
        <x:v>72</x:v>
      </x:c>
      <x:c r="O307" s="28" t="n">
        <x:f>MIN(1,L307/I307)</x:f>
        <x:v>0.027679999999999996</x:v>
      </x:c>
      <x:c r="P307" s="30" t="n">
        <x:f>O307*J307*(1+M307)</x:f>
        <x:v>0.243584</x:v>
      </x:c>
      <x:c r="Q307" s="30" t="n">
        <x:f>P307*N307</x:f>
        <x:v>17.538048</x:v>
      </x:c>
      <x:c r="R307" s="19" t="str">
        <x:v>独立判定</x:v>
      </x:c>
    </x:row>
    <x:row r="308" ht="19" customHeight="1">
      <x:c r="A308" s="19" t="str">
        <x:v>D00304</x:v>
      </x:c>
      <x:c r="B308" s="19" t="n">
        <x:v>2</x:v>
      </x:c>
      <x:c r="C308" s="19" t="n">
        <x:v>2</x:v>
      </x:c>
      <x:c r="D308" s="19" t="str">
        <x:v>EL-MON-LIM-GATE-003</x:v>
      </x:c>
      <x:c r="E308" s="19" t="str">
        <x:v>废墟弩手</x:v>
      </x:c>
      <x:c r="F308" s="19" t="str">
        <x:v>普通</x:v>
      </x:c>
      <x:c r="G308" s="19" t="str">
        <x:v>材料独立候选</x:v>
      </x:c>
      <x:c r="H308" s="19" t="str">
        <x:v>野兽骨片</x:v>
      </x:c>
      <x:c r="I308" s="22" t="n">
        <x:v>100</x:v>
      </x:c>
      <x:c r="J308" s="22" t="n">
        <x:v>2</x:v>
      </x:c>
      <x:c r="K308" s="19" t="n">
        <x:v>1</x:v>
      </x:c>
      <x:c r="L308" s="24" t="n">
        <x:v>13.839999999999998</x:v>
      </x:c>
      <x:c r="M308" s="26" t="n">
        <x:v>0.1</x:v>
      </x:c>
      <x:c r="N308" s="24" t="n">
        <x:v>72</x:v>
      </x:c>
      <x:c r="O308" s="28" t="n">
        <x:f>MIN(1,L308/I308)</x:f>
        <x:v>0.13839999999999997</x:v>
      </x:c>
      <x:c r="P308" s="30" t="n">
        <x:f>O308*J308*(1+M308)</x:f>
        <x:v>0.30448</x:v>
      </x:c>
      <x:c r="Q308" s="30" t="n">
        <x:f>P308*N308</x:f>
        <x:v>21.922559999999997</x:v>
      </x:c>
      <x:c r="R308" s="19" t="str">
        <x:v>独立判定</x:v>
      </x:c>
    </x:row>
    <x:row r="309" ht="19" customHeight="1">
      <x:c r="A309" s="19" t="str">
        <x:v>D00305</x:v>
      </x:c>
      <x:c r="B309" s="19" t="n">
        <x:v>2</x:v>
      </x:c>
      <x:c r="C309" s="19" t="n">
        <x:v>2</x:v>
      </x:c>
      <x:c r="D309" s="19" t="str">
        <x:v>EL-MON-LIM-GATE-003</x:v>
      </x:c>
      <x:c r="E309" s="19" t="str">
        <x:v>废墟弩手</x:v>
      </x:c>
      <x:c r="F309" s="19" t="str">
        <x:v>普通</x:v>
      </x:c>
      <x:c r="G309" s="19" t="str">
        <x:v>材料独立候选</x:v>
      </x:c>
      <x:c r="H309" s="19" t="str">
        <x:v>技能残页</x:v>
      </x:c>
      <x:c r="I309" s="22" t="n">
        <x:v>100</x:v>
      </x:c>
      <x:c r="J309" s="22" t="n">
        <x:v>1</x:v>
      </x:c>
      <x:c r="K309" s="19" t="n">
        <x:v>1</x:v>
      </x:c>
      <x:c r="L309" s="24" t="n">
        <x:v>13.839999999999998</x:v>
      </x:c>
      <x:c r="M309" s="26" t="n">
        <x:v>0.1</x:v>
      </x:c>
      <x:c r="N309" s="24" t="n">
        <x:v>72</x:v>
      </x:c>
      <x:c r="O309" s="28" t="n">
        <x:f>MIN(1,L309/I309)</x:f>
        <x:v>0.13839999999999997</x:v>
      </x:c>
      <x:c r="P309" s="30" t="n">
        <x:f>O309*J309*(1+M309)</x:f>
        <x:v>0.15224</x:v>
      </x:c>
      <x:c r="Q309" s="30" t="n">
        <x:f>P309*N309</x:f>
        <x:v>10.961279999999999</x:v>
      </x:c>
      <x:c r="R309" s="19" t="str">
        <x:v>独立判定</x:v>
      </x:c>
    </x:row>
    <x:row r="310" ht="19" customHeight="1">
      <x:c r="A310" s="19" t="str">
        <x:v>D00306</x:v>
      </x:c>
      <x:c r="B310" s="19" t="n">
        <x:v>2</x:v>
      </x:c>
      <x:c r="C310" s="19" t="n">
        <x:v>2</x:v>
      </x:c>
      <x:c r="D310" s="19" t="str">
        <x:v>EL-MON-LIM-GATE-003</x:v>
      </x:c>
      <x:c r="E310" s="19" t="str">
        <x:v>废墟弩手</x:v>
      </x:c>
      <x:c r="F310" s="19" t="str">
        <x:v>普通</x:v>
      </x:c>
      <x:c r="G310" s="19" t="str">
        <x:v>材料独立候选</x:v>
      </x:c>
      <x:c r="H310" s="19" t="str">
        <x:v>小卢恩</x:v>
      </x:c>
      <x:c r="I310" s="22" t="n">
        <x:v>4000</x:v>
      </x:c>
      <x:c r="J310" s="22" t="n">
        <x:v>1</x:v>
      </x:c>
      <x:c r="K310" s="19" t="n">
        <x:v>1</x:v>
      </x:c>
      <x:c r="L310" s="24" t="n">
        <x:v>13.839999999999998</x:v>
      </x:c>
      <x:c r="M310" s="26" t="n">
        <x:v>0.1</x:v>
      </x:c>
      <x:c r="N310" s="24" t="n">
        <x:v>72</x:v>
      </x:c>
      <x:c r="O310" s="28" t="n">
        <x:f>MIN(1,L310/I310)</x:f>
        <x:v>0.0034599999999999995</x:v>
      </x:c>
      <x:c r="P310" s="30" t="n">
        <x:f>O310*J310*(1+M310)</x:f>
        <x:v>0.003806</x:v>
      </x:c>
      <x:c r="Q310" s="30" t="n">
        <x:f>P310*N310</x:f>
        <x:v>0.274032</x:v>
      </x:c>
      <x:c r="R310" s="19" t="str">
        <x:v>独立判定</x:v>
      </x:c>
    </x:row>
    <x:row r="311" ht="19" customHeight="1">
      <x:c r="A311" s="19" t="str">
        <x:v>D00307</x:v>
      </x:c>
      <x:c r="B311" s="19" t="n">
        <x:v>2</x:v>
      </x:c>
      <x:c r="C311" s="19" t="n">
        <x:v>2</x:v>
      </x:c>
      <x:c r="D311" s="19" t="str">
        <x:v>EL-MON-LIM-GATE-003</x:v>
      </x:c>
      <x:c r="E311" s="19" t="str">
        <x:v>废墟弩手</x:v>
      </x:c>
      <x:c r="F311" s="19" t="str">
        <x:v>普通</x:v>
      </x:c>
      <x:c r="G311" s="19" t="str">
        <x:v>六神器公共池</x:v>
      </x:c>
      <x:c r="H311" s="19" t="str">
        <x:v>POOL006</x:v>
      </x:c>
      <x:c r="I311" s="22" t="n">
        <x:v>20000000</x:v>
      </x:c>
      <x:c r="J311" s="22" t="n">
        <x:v>1</x:v>
      </x:c>
      <x:c r="K311" s="19" t="n">
        <x:v>6</x:v>
      </x:c>
      <x:c r="L311" s="24" t="n">
        <x:v>13.839999999999998</x:v>
      </x:c>
      <x:c r="M311" s="26" t="n">
        <x:v>0.1</x:v>
      </x:c>
      <x:c r="N311" s="24" t="n">
        <x:v>72</x:v>
      </x:c>
      <x:c r="O311" s="28" t="n">
        <x:f>MIN(1,L311/I311)</x:f>
        <x:v>6.919999999999999e-7</x:v>
      </x:c>
      <x:c r="P311" s="30" t="n">
        <x:f>O311*J311*(1+M311)</x:f>
        <x:v>7.611999999999999e-7</x:v>
      </x:c>
      <x:c r="Q311" s="30" t="n">
        <x:f>P311*N311</x:f>
        <x:v>0.00005480639999999999</x:v>
      </x:c>
      <x:c r="R311" s="19" t="str">
        <x:v>六选一；非6个独立爆率</x:v>
      </x:c>
    </x:row>
    <x:row r="312" ht="19" customHeight="1">
      <x:c r="A312" s="19" t="str">
        <x:v>D00308</x:v>
      </x:c>
      <x:c r="B312" s="19" t="n">
        <x:v>2</x:v>
      </x:c>
      <x:c r="C312" s="19" t="n">
        <x:v>2</x:v>
      </x:c>
      <x:c r="D312" s="19" t="str">
        <x:v>EL-MON-LIM-GATE-004</x:v>
      </x:c>
      <x:c r="E312" s="19" t="str">
        <x:v>风暴战狼</x:v>
      </x:c>
      <x:c r="F312" s="19" t="str">
        <x:v>普通</x:v>
      </x:c>
      <x:c r="G312" s="19" t="str">
        <x:v>自身专属</x:v>
      </x:c>
      <x:c r="H312" s="19" t="str">
        <x:v>战狼铁盔</x:v>
      </x:c>
      <x:c r="I312" s="22" t="n">
        <x:v>600</x:v>
      </x:c>
      <x:c r="J312" s="22" t="n">
        <x:v>1</x:v>
      </x:c>
      <x:c r="K312" s="19" t="n">
        <x:v>1</x:v>
      </x:c>
      <x:c r="L312" s="24" t="n">
        <x:v>13.839999999999998</x:v>
      </x:c>
      <x:c r="M312" s="26" t="n">
        <x:v>0.1</x:v>
      </x:c>
      <x:c r="N312" s="24" t="n">
        <x:v>72</x:v>
      </x:c>
      <x:c r="O312" s="28" t="n">
        <x:f>MIN(1,L312/I312)</x:f>
        <x:v>0.023066666666666662</x:v>
      </x:c>
      <x:c r="P312" s="30" t="n">
        <x:f>O312*J312*(1+M312)</x:f>
        <x:v>0.02537333333333333</x:v>
      </x:c>
      <x:c r="Q312" s="30" t="n">
        <x:f>P312*N312</x:f>
        <x:v>1.8268799999999998</x:v>
      </x:c>
      <x:c r="R312" s="19" t="str">
        <x:v>独立判定</x:v>
      </x:c>
    </x:row>
    <x:row r="313" ht="19" customHeight="1">
      <x:c r="A313" s="19" t="str">
        <x:v>D00309</x:v>
      </x:c>
      <x:c r="B313" s="19" t="n">
        <x:v>2</x:v>
      </x:c>
      <x:c r="C313" s="19" t="n">
        <x:v>2</x:v>
      </x:c>
      <x:c r="D313" s="19" t="str">
        <x:v>EL-MON-LIM-GATE-004</x:v>
      </x:c>
      <x:c r="E313" s="19" t="str">
        <x:v>风暴战狼</x:v>
      </x:c>
      <x:c r="F313" s="19" t="str">
        <x:v>普通</x:v>
      </x:c>
      <x:c r="G313" s="19" t="str">
        <x:v>材料独立候选</x:v>
      </x:c>
      <x:c r="H313" s="19" t="str">
        <x:v>风暴石片</x:v>
      </x:c>
      <x:c r="I313" s="22" t="n">
        <x:v>500</x:v>
      </x:c>
      <x:c r="J313" s="22" t="n">
        <x:v>8</x:v>
      </x:c>
      <x:c r="K313" s="19" t="n">
        <x:v>1</x:v>
      </x:c>
      <x:c r="L313" s="24" t="n">
        <x:v>13.839999999999998</x:v>
      </x:c>
      <x:c r="M313" s="26" t="n">
        <x:v>0.1</x:v>
      </x:c>
      <x:c r="N313" s="24" t="n">
        <x:v>72</x:v>
      </x:c>
      <x:c r="O313" s="28" t="n">
        <x:f>MIN(1,L313/I313)</x:f>
        <x:v>0.027679999999999996</x:v>
      </x:c>
      <x:c r="P313" s="30" t="n">
        <x:f>O313*J313*(1+M313)</x:f>
        <x:v>0.243584</x:v>
      </x:c>
      <x:c r="Q313" s="30" t="n">
        <x:f>P313*N313</x:f>
        <x:v>17.538048</x:v>
      </x:c>
      <x:c r="R313" s="19" t="str">
        <x:v>独立判定</x:v>
      </x:c>
    </x:row>
    <x:row r="314" ht="19" customHeight="1">
      <x:c r="A314" s="19" t="str">
        <x:v>D00310</x:v>
      </x:c>
      <x:c r="B314" s="19" t="n">
        <x:v>2</x:v>
      </x:c>
      <x:c r="C314" s="19" t="n">
        <x:v>2</x:v>
      </x:c>
      <x:c r="D314" s="19" t="str">
        <x:v>EL-MON-LIM-GATE-004</x:v>
      </x:c>
      <x:c r="E314" s="19" t="str">
        <x:v>风暴战狼</x:v>
      </x:c>
      <x:c r="F314" s="19" t="str">
        <x:v>普通</x:v>
      </x:c>
      <x:c r="G314" s="19" t="str">
        <x:v>材料独立候选</x:v>
      </x:c>
      <x:c r="H314" s="19" t="str">
        <x:v>野兽骨片</x:v>
      </x:c>
      <x:c r="I314" s="22" t="n">
        <x:v>100</x:v>
      </x:c>
      <x:c r="J314" s="22" t="n">
        <x:v>2</x:v>
      </x:c>
      <x:c r="K314" s="19" t="n">
        <x:v>1</x:v>
      </x:c>
      <x:c r="L314" s="24" t="n">
        <x:v>13.839999999999998</x:v>
      </x:c>
      <x:c r="M314" s="26" t="n">
        <x:v>0.1</x:v>
      </x:c>
      <x:c r="N314" s="24" t="n">
        <x:v>72</x:v>
      </x:c>
      <x:c r="O314" s="28" t="n">
        <x:f>MIN(1,L314/I314)</x:f>
        <x:v>0.13839999999999997</x:v>
      </x:c>
      <x:c r="P314" s="30" t="n">
        <x:f>O314*J314*(1+M314)</x:f>
        <x:v>0.30448</x:v>
      </x:c>
      <x:c r="Q314" s="30" t="n">
        <x:f>P314*N314</x:f>
        <x:v>21.922559999999997</x:v>
      </x:c>
      <x:c r="R314" s="19" t="str">
        <x:v>独立判定</x:v>
      </x:c>
    </x:row>
    <x:row r="315" ht="19" customHeight="1">
      <x:c r="A315" s="19" t="str">
        <x:v>D00311</x:v>
      </x:c>
      <x:c r="B315" s="19" t="n">
        <x:v>2</x:v>
      </x:c>
      <x:c r="C315" s="19" t="n">
        <x:v>2</x:v>
      </x:c>
      <x:c r="D315" s="19" t="str">
        <x:v>EL-MON-LIM-GATE-004</x:v>
      </x:c>
      <x:c r="E315" s="19" t="str">
        <x:v>风暴战狼</x:v>
      </x:c>
      <x:c r="F315" s="19" t="str">
        <x:v>普通</x:v>
      </x:c>
      <x:c r="G315" s="19" t="str">
        <x:v>材料独立候选</x:v>
      </x:c>
      <x:c r="H315" s="19" t="str">
        <x:v>技能残页</x:v>
      </x:c>
      <x:c r="I315" s="22" t="n">
        <x:v>100</x:v>
      </x:c>
      <x:c r="J315" s="22" t="n">
        <x:v>1</x:v>
      </x:c>
      <x:c r="K315" s="19" t="n">
        <x:v>1</x:v>
      </x:c>
      <x:c r="L315" s="24" t="n">
        <x:v>13.839999999999998</x:v>
      </x:c>
      <x:c r="M315" s="26" t="n">
        <x:v>0.1</x:v>
      </x:c>
      <x:c r="N315" s="24" t="n">
        <x:v>72</x:v>
      </x:c>
      <x:c r="O315" s="28" t="n">
        <x:f>MIN(1,L315/I315)</x:f>
        <x:v>0.13839999999999997</x:v>
      </x:c>
      <x:c r="P315" s="30" t="n">
        <x:f>O315*J315*(1+M315)</x:f>
        <x:v>0.15224</x:v>
      </x:c>
      <x:c r="Q315" s="30" t="n">
        <x:f>P315*N315</x:f>
        <x:v>10.961279999999999</x:v>
      </x:c>
      <x:c r="R315" s="19" t="str">
        <x:v>独立判定</x:v>
      </x:c>
    </x:row>
    <x:row r="316" ht="19" customHeight="1">
      <x:c r="A316" s="19" t="str">
        <x:v>D00312</x:v>
      </x:c>
      <x:c r="B316" s="19" t="n">
        <x:v>2</x:v>
      </x:c>
      <x:c r="C316" s="19" t="n">
        <x:v>2</x:v>
      </x:c>
      <x:c r="D316" s="19" t="str">
        <x:v>EL-MON-LIM-GATE-004</x:v>
      </x:c>
      <x:c r="E316" s="19" t="str">
        <x:v>风暴战狼</x:v>
      </x:c>
      <x:c r="F316" s="19" t="str">
        <x:v>普通</x:v>
      </x:c>
      <x:c r="G316" s="19" t="str">
        <x:v>材料独立候选</x:v>
      </x:c>
      <x:c r="H316" s="19" t="str">
        <x:v>小卢恩</x:v>
      </x:c>
      <x:c r="I316" s="22" t="n">
        <x:v>4000</x:v>
      </x:c>
      <x:c r="J316" s="22" t="n">
        <x:v>1</x:v>
      </x:c>
      <x:c r="K316" s="19" t="n">
        <x:v>1</x:v>
      </x:c>
      <x:c r="L316" s="24" t="n">
        <x:v>13.839999999999998</x:v>
      </x:c>
      <x:c r="M316" s="26" t="n">
        <x:v>0.1</x:v>
      </x:c>
      <x:c r="N316" s="24" t="n">
        <x:v>72</x:v>
      </x:c>
      <x:c r="O316" s="28" t="n">
        <x:f>MIN(1,L316/I316)</x:f>
        <x:v>0.0034599999999999995</x:v>
      </x:c>
      <x:c r="P316" s="30" t="n">
        <x:f>O316*J316*(1+M316)</x:f>
        <x:v>0.003806</x:v>
      </x:c>
      <x:c r="Q316" s="30" t="n">
        <x:f>P316*N316</x:f>
        <x:v>0.274032</x:v>
      </x:c>
      <x:c r="R316" s="19" t="str">
        <x:v>独立判定</x:v>
      </x:c>
    </x:row>
    <x:row r="317" ht="19" customHeight="1">
      <x:c r="A317" s="19" t="str">
        <x:v>D00313</x:v>
      </x:c>
      <x:c r="B317" s="19" t="n">
        <x:v>2</x:v>
      </x:c>
      <x:c r="C317" s="19" t="n">
        <x:v>2</x:v>
      </x:c>
      <x:c r="D317" s="19" t="str">
        <x:v>EL-MON-LIM-GATE-004</x:v>
      </x:c>
      <x:c r="E317" s="19" t="str">
        <x:v>风暴战狼</x:v>
      </x:c>
      <x:c r="F317" s="19" t="str">
        <x:v>普通</x:v>
      </x:c>
      <x:c r="G317" s="19" t="str">
        <x:v>六神器公共池</x:v>
      </x:c>
      <x:c r="H317" s="19" t="str">
        <x:v>POOL006</x:v>
      </x:c>
      <x:c r="I317" s="22" t="n">
        <x:v>20000000</x:v>
      </x:c>
      <x:c r="J317" s="22" t="n">
        <x:v>1</x:v>
      </x:c>
      <x:c r="K317" s="19" t="n">
        <x:v>6</x:v>
      </x:c>
      <x:c r="L317" s="24" t="n">
        <x:v>13.839999999999998</x:v>
      </x:c>
      <x:c r="M317" s="26" t="n">
        <x:v>0.1</x:v>
      </x:c>
      <x:c r="N317" s="24" t="n">
        <x:v>72</x:v>
      </x:c>
      <x:c r="O317" s="28" t="n">
        <x:f>MIN(1,L317/I317)</x:f>
        <x:v>6.919999999999999e-7</x:v>
      </x:c>
      <x:c r="P317" s="30" t="n">
        <x:f>O317*J317*(1+M317)</x:f>
        <x:v>7.611999999999999e-7</x:v>
      </x:c>
      <x:c r="Q317" s="30" t="n">
        <x:f>P317*N317</x:f>
        <x:v>0.00005480639999999999</x:v>
      </x:c>
      <x:c r="R317" s="19" t="str">
        <x:v>六选一；非6个独立爆率</x:v>
      </x:c>
    </x:row>
    <x:row r="318" ht="19" customHeight="1">
      <x:c r="A318" s="19" t="str">
        <x:v>D00314</x:v>
      </x:c>
      <x:c r="B318" s="19" t="n">
        <x:v>2</x:v>
      </x:c>
      <x:c r="C318" s="19" t="n">
        <x:v>2</x:v>
      </x:c>
      <x:c r="D318" s="19" t="str">
        <x:v>EL-MON-LIM-GATE-005</x:v>
      </x:c>
      <x:c r="E318" s="19" t="str">
        <x:v>流放军士</x:v>
      </x:c>
      <x:c r="F318" s="19" t="str">
        <x:v>普通</x:v>
      </x:c>
      <x:c r="G318" s="19" t="str">
        <x:v>自身专属</x:v>
      </x:c>
      <x:c r="H318" s="19" t="str">
        <x:v>流放腕铠</x:v>
      </x:c>
      <x:c r="I318" s="22" t="n">
        <x:v>600</x:v>
      </x:c>
      <x:c r="J318" s="22" t="n">
        <x:v>1</x:v>
      </x:c>
      <x:c r="K318" s="19" t="n">
        <x:v>1</x:v>
      </x:c>
      <x:c r="L318" s="24" t="n">
        <x:v>13.839999999999998</x:v>
      </x:c>
      <x:c r="M318" s="26" t="n">
        <x:v>0.1</x:v>
      </x:c>
      <x:c r="N318" s="24" t="n">
        <x:v>72</x:v>
      </x:c>
      <x:c r="O318" s="28" t="n">
        <x:f>MIN(1,L318/I318)</x:f>
        <x:v>0.023066666666666662</x:v>
      </x:c>
      <x:c r="P318" s="30" t="n">
        <x:f>O318*J318*(1+M318)</x:f>
        <x:v>0.02537333333333333</x:v>
      </x:c>
      <x:c r="Q318" s="30" t="n">
        <x:f>P318*N318</x:f>
        <x:v>1.8268799999999998</x:v>
      </x:c>
      <x:c r="R318" s="19" t="str">
        <x:v>独立判定</x:v>
      </x:c>
    </x:row>
    <x:row r="319" ht="19" customHeight="1">
      <x:c r="A319" s="19" t="str">
        <x:v>D00315</x:v>
      </x:c>
      <x:c r="B319" s="19" t="n">
        <x:v>2</x:v>
      </x:c>
      <x:c r="C319" s="19" t="n">
        <x:v>2</x:v>
      </x:c>
      <x:c r="D319" s="19" t="str">
        <x:v>EL-MON-LIM-GATE-005</x:v>
      </x:c>
      <x:c r="E319" s="19" t="str">
        <x:v>流放军士</x:v>
      </x:c>
      <x:c r="F319" s="19" t="str">
        <x:v>普通</x:v>
      </x:c>
      <x:c r="G319" s="19" t="str">
        <x:v>材料独立候选</x:v>
      </x:c>
      <x:c r="H319" s="19" t="str">
        <x:v>风暴石片</x:v>
      </x:c>
      <x:c r="I319" s="22" t="n">
        <x:v>500</x:v>
      </x:c>
      <x:c r="J319" s="22" t="n">
        <x:v>8</x:v>
      </x:c>
      <x:c r="K319" s="19" t="n">
        <x:v>1</x:v>
      </x:c>
      <x:c r="L319" s="24" t="n">
        <x:v>13.839999999999998</x:v>
      </x:c>
      <x:c r="M319" s="26" t="n">
        <x:v>0.1</x:v>
      </x:c>
      <x:c r="N319" s="24" t="n">
        <x:v>72</x:v>
      </x:c>
      <x:c r="O319" s="28" t="n">
        <x:f>MIN(1,L319/I319)</x:f>
        <x:v>0.027679999999999996</x:v>
      </x:c>
      <x:c r="P319" s="30" t="n">
        <x:f>O319*J319*(1+M319)</x:f>
        <x:v>0.243584</x:v>
      </x:c>
      <x:c r="Q319" s="30" t="n">
        <x:f>P319*N319</x:f>
        <x:v>17.538048</x:v>
      </x:c>
      <x:c r="R319" s="19" t="str">
        <x:v>独立判定</x:v>
      </x:c>
    </x:row>
    <x:row r="320" ht="19" customHeight="1">
      <x:c r="A320" s="19" t="str">
        <x:v>D00316</x:v>
      </x:c>
      <x:c r="B320" s="19" t="n">
        <x:v>2</x:v>
      </x:c>
      <x:c r="C320" s="19" t="n">
        <x:v>2</x:v>
      </x:c>
      <x:c r="D320" s="19" t="str">
        <x:v>EL-MON-LIM-GATE-005</x:v>
      </x:c>
      <x:c r="E320" s="19" t="str">
        <x:v>流放军士</x:v>
      </x:c>
      <x:c r="F320" s="19" t="str">
        <x:v>普通</x:v>
      </x:c>
      <x:c r="G320" s="19" t="str">
        <x:v>材料独立候选</x:v>
      </x:c>
      <x:c r="H320" s="19" t="str">
        <x:v>野兽骨片</x:v>
      </x:c>
      <x:c r="I320" s="22" t="n">
        <x:v>100</x:v>
      </x:c>
      <x:c r="J320" s="22" t="n">
        <x:v>2</x:v>
      </x:c>
      <x:c r="K320" s="19" t="n">
        <x:v>1</x:v>
      </x:c>
      <x:c r="L320" s="24" t="n">
        <x:v>13.839999999999998</x:v>
      </x:c>
      <x:c r="M320" s="26" t="n">
        <x:v>0.1</x:v>
      </x:c>
      <x:c r="N320" s="24" t="n">
        <x:v>72</x:v>
      </x:c>
      <x:c r="O320" s="28" t="n">
        <x:f>MIN(1,L320/I320)</x:f>
        <x:v>0.13839999999999997</x:v>
      </x:c>
      <x:c r="P320" s="30" t="n">
        <x:f>O320*J320*(1+M320)</x:f>
        <x:v>0.30448</x:v>
      </x:c>
      <x:c r="Q320" s="30" t="n">
        <x:f>P320*N320</x:f>
        <x:v>21.922559999999997</x:v>
      </x:c>
      <x:c r="R320" s="19" t="str">
        <x:v>独立判定</x:v>
      </x:c>
    </x:row>
    <x:row r="321" ht="19" customHeight="1">
      <x:c r="A321" s="19" t="str">
        <x:v>D00317</x:v>
      </x:c>
      <x:c r="B321" s="19" t="n">
        <x:v>2</x:v>
      </x:c>
      <x:c r="C321" s="19" t="n">
        <x:v>2</x:v>
      </x:c>
      <x:c r="D321" s="19" t="str">
        <x:v>EL-MON-LIM-GATE-005</x:v>
      </x:c>
      <x:c r="E321" s="19" t="str">
        <x:v>流放军士</x:v>
      </x:c>
      <x:c r="F321" s="19" t="str">
        <x:v>普通</x:v>
      </x:c>
      <x:c r="G321" s="19" t="str">
        <x:v>材料独立候选</x:v>
      </x:c>
      <x:c r="H321" s="19" t="str">
        <x:v>技能残页</x:v>
      </x:c>
      <x:c r="I321" s="22" t="n">
        <x:v>100</x:v>
      </x:c>
      <x:c r="J321" s="22" t="n">
        <x:v>1</x:v>
      </x:c>
      <x:c r="K321" s="19" t="n">
        <x:v>1</x:v>
      </x:c>
      <x:c r="L321" s="24" t="n">
        <x:v>13.839999999999998</x:v>
      </x:c>
      <x:c r="M321" s="26" t="n">
        <x:v>0.1</x:v>
      </x:c>
      <x:c r="N321" s="24" t="n">
        <x:v>72</x:v>
      </x:c>
      <x:c r="O321" s="28" t="n">
        <x:f>MIN(1,L321/I321)</x:f>
        <x:v>0.13839999999999997</x:v>
      </x:c>
      <x:c r="P321" s="30" t="n">
        <x:f>O321*J321*(1+M321)</x:f>
        <x:v>0.15224</x:v>
      </x:c>
      <x:c r="Q321" s="30" t="n">
        <x:f>P321*N321</x:f>
        <x:v>10.961279999999999</x:v>
      </x:c>
      <x:c r="R321" s="19" t="str">
        <x:v>独立判定</x:v>
      </x:c>
    </x:row>
    <x:row r="322" ht="19" customHeight="1">
      <x:c r="A322" s="19" t="str">
        <x:v>D00318</x:v>
      </x:c>
      <x:c r="B322" s="19" t="n">
        <x:v>2</x:v>
      </x:c>
      <x:c r="C322" s="19" t="n">
        <x:v>2</x:v>
      </x:c>
      <x:c r="D322" s="19" t="str">
        <x:v>EL-MON-LIM-GATE-005</x:v>
      </x:c>
      <x:c r="E322" s="19" t="str">
        <x:v>流放军士</x:v>
      </x:c>
      <x:c r="F322" s="19" t="str">
        <x:v>普通</x:v>
      </x:c>
      <x:c r="G322" s="19" t="str">
        <x:v>材料独立候选</x:v>
      </x:c>
      <x:c r="H322" s="19" t="str">
        <x:v>小卢恩</x:v>
      </x:c>
      <x:c r="I322" s="22" t="n">
        <x:v>4000</x:v>
      </x:c>
      <x:c r="J322" s="22" t="n">
        <x:v>1</x:v>
      </x:c>
      <x:c r="K322" s="19" t="n">
        <x:v>1</x:v>
      </x:c>
      <x:c r="L322" s="24" t="n">
        <x:v>13.839999999999998</x:v>
      </x:c>
      <x:c r="M322" s="26" t="n">
        <x:v>0.1</x:v>
      </x:c>
      <x:c r="N322" s="24" t="n">
        <x:v>72</x:v>
      </x:c>
      <x:c r="O322" s="28" t="n">
        <x:f>MIN(1,L322/I322)</x:f>
        <x:v>0.0034599999999999995</x:v>
      </x:c>
      <x:c r="P322" s="30" t="n">
        <x:f>O322*J322*(1+M322)</x:f>
        <x:v>0.003806</x:v>
      </x:c>
      <x:c r="Q322" s="30" t="n">
        <x:f>P322*N322</x:f>
        <x:v>0.274032</x:v>
      </x:c>
      <x:c r="R322" s="19" t="str">
        <x:v>独立判定</x:v>
      </x:c>
    </x:row>
    <x:row r="323" ht="19" customHeight="1">
      <x:c r="A323" s="19" t="str">
        <x:v>D00319</x:v>
      </x:c>
      <x:c r="B323" s="19" t="n">
        <x:v>2</x:v>
      </x:c>
      <x:c r="C323" s="19" t="n">
        <x:v>2</x:v>
      </x:c>
      <x:c r="D323" s="19" t="str">
        <x:v>EL-MON-LIM-GATE-005</x:v>
      </x:c>
      <x:c r="E323" s="19" t="str">
        <x:v>流放军士</x:v>
      </x:c>
      <x:c r="F323" s="19" t="str">
        <x:v>普通</x:v>
      </x:c>
      <x:c r="G323" s="19" t="str">
        <x:v>六神器公共池</x:v>
      </x:c>
      <x:c r="H323" s="19" t="str">
        <x:v>POOL006</x:v>
      </x:c>
      <x:c r="I323" s="22" t="n">
        <x:v>20000000</x:v>
      </x:c>
      <x:c r="J323" s="22" t="n">
        <x:v>1</x:v>
      </x:c>
      <x:c r="K323" s="19" t="n">
        <x:v>6</x:v>
      </x:c>
      <x:c r="L323" s="24" t="n">
        <x:v>13.839999999999998</x:v>
      </x:c>
      <x:c r="M323" s="26" t="n">
        <x:v>0.1</x:v>
      </x:c>
      <x:c r="N323" s="24" t="n">
        <x:v>72</x:v>
      </x:c>
      <x:c r="O323" s="28" t="n">
        <x:f>MIN(1,L323/I323)</x:f>
        <x:v>6.919999999999999e-7</x:v>
      </x:c>
      <x:c r="P323" s="30" t="n">
        <x:f>O323*J323*(1+M323)</x:f>
        <x:v>7.611999999999999e-7</x:v>
      </x:c>
      <x:c r="Q323" s="30" t="n">
        <x:f>P323*N323</x:f>
        <x:v>0.00005480639999999999</x:v>
      </x:c>
      <x:c r="R323" s="19" t="str">
        <x:v>六选一；非6个独立爆率</x:v>
      </x:c>
    </x:row>
    <x:row r="324" ht="19" customHeight="1">
      <x:c r="A324" s="19" t="str">
        <x:v>D00320</x:v>
      </x:c>
      <x:c r="B324" s="19" t="n">
        <x:v>2</x:v>
      </x:c>
      <x:c r="C324" s="19" t="n">
        <x:v>2</x:v>
      </x:c>
      <x:c r="D324" s="19" t="str">
        <x:v>EL-MON-LIM-GATE-006</x:v>
      </x:c>
      <x:c r="E324" s="19" t="str">
        <x:v>断旗骑兵</x:v>
      </x:c>
      <x:c r="F324" s="19" t="str">
        <x:v>普通</x:v>
      </x:c>
      <x:c r="G324" s="19" t="str">
        <x:v>自身专属</x:v>
      </x:c>
      <x:c r="H324" s="19" t="str">
        <x:v>断旗马戒</x:v>
      </x:c>
      <x:c r="I324" s="22" t="n">
        <x:v>600</x:v>
      </x:c>
      <x:c r="J324" s="22" t="n">
        <x:v>1</x:v>
      </x:c>
      <x:c r="K324" s="19" t="n">
        <x:v>1</x:v>
      </x:c>
      <x:c r="L324" s="24" t="n">
        <x:v>13.839999999999998</x:v>
      </x:c>
      <x:c r="M324" s="26" t="n">
        <x:v>0.1</x:v>
      </x:c>
      <x:c r="N324" s="24" t="n">
        <x:v>72</x:v>
      </x:c>
      <x:c r="O324" s="28" t="n">
        <x:f>MIN(1,L324/I324)</x:f>
        <x:v>0.023066666666666662</x:v>
      </x:c>
      <x:c r="P324" s="30" t="n">
        <x:f>O324*J324*(1+M324)</x:f>
        <x:v>0.02537333333333333</x:v>
      </x:c>
      <x:c r="Q324" s="30" t="n">
        <x:f>P324*N324</x:f>
        <x:v>1.8268799999999998</x:v>
      </x:c>
      <x:c r="R324" s="19" t="str">
        <x:v>独立判定</x:v>
      </x:c>
    </x:row>
    <x:row r="325" ht="19" customHeight="1">
      <x:c r="A325" s="19" t="str">
        <x:v>D00321</x:v>
      </x:c>
      <x:c r="B325" s="19" t="n">
        <x:v>2</x:v>
      </x:c>
      <x:c r="C325" s="19" t="n">
        <x:v>2</x:v>
      </x:c>
      <x:c r="D325" s="19" t="str">
        <x:v>EL-MON-LIM-GATE-006</x:v>
      </x:c>
      <x:c r="E325" s="19" t="str">
        <x:v>断旗骑兵</x:v>
      </x:c>
      <x:c r="F325" s="19" t="str">
        <x:v>普通</x:v>
      </x:c>
      <x:c r="G325" s="19" t="str">
        <x:v>材料独立候选</x:v>
      </x:c>
      <x:c r="H325" s="19" t="str">
        <x:v>风暴石片</x:v>
      </x:c>
      <x:c r="I325" s="22" t="n">
        <x:v>500</x:v>
      </x:c>
      <x:c r="J325" s="22" t="n">
        <x:v>8</x:v>
      </x:c>
      <x:c r="K325" s="19" t="n">
        <x:v>1</x:v>
      </x:c>
      <x:c r="L325" s="24" t="n">
        <x:v>13.839999999999998</x:v>
      </x:c>
      <x:c r="M325" s="26" t="n">
        <x:v>0.1</x:v>
      </x:c>
      <x:c r="N325" s="24" t="n">
        <x:v>72</x:v>
      </x:c>
      <x:c r="O325" s="28" t="n">
        <x:f>MIN(1,L325/I325)</x:f>
        <x:v>0.027679999999999996</x:v>
      </x:c>
      <x:c r="P325" s="30" t="n">
        <x:f>O325*J325*(1+M325)</x:f>
        <x:v>0.243584</x:v>
      </x:c>
      <x:c r="Q325" s="30" t="n">
        <x:f>P325*N325</x:f>
        <x:v>17.538048</x:v>
      </x:c>
      <x:c r="R325" s="19" t="str">
        <x:v>独立判定</x:v>
      </x:c>
    </x:row>
    <x:row r="326" ht="19" customHeight="1">
      <x:c r="A326" s="19" t="str">
        <x:v>D00322</x:v>
      </x:c>
      <x:c r="B326" s="19" t="n">
        <x:v>2</x:v>
      </x:c>
      <x:c r="C326" s="19" t="n">
        <x:v>2</x:v>
      </x:c>
      <x:c r="D326" s="19" t="str">
        <x:v>EL-MON-LIM-GATE-006</x:v>
      </x:c>
      <x:c r="E326" s="19" t="str">
        <x:v>断旗骑兵</x:v>
      </x:c>
      <x:c r="F326" s="19" t="str">
        <x:v>普通</x:v>
      </x:c>
      <x:c r="G326" s="19" t="str">
        <x:v>材料独立候选</x:v>
      </x:c>
      <x:c r="H326" s="19" t="str">
        <x:v>野兽骨片</x:v>
      </x:c>
      <x:c r="I326" s="22" t="n">
        <x:v>100</x:v>
      </x:c>
      <x:c r="J326" s="22" t="n">
        <x:v>2</x:v>
      </x:c>
      <x:c r="K326" s="19" t="n">
        <x:v>1</x:v>
      </x:c>
      <x:c r="L326" s="24" t="n">
        <x:v>13.839999999999998</x:v>
      </x:c>
      <x:c r="M326" s="26" t="n">
        <x:v>0.1</x:v>
      </x:c>
      <x:c r="N326" s="24" t="n">
        <x:v>72</x:v>
      </x:c>
      <x:c r="O326" s="28" t="n">
        <x:f>MIN(1,L326/I326)</x:f>
        <x:v>0.13839999999999997</x:v>
      </x:c>
      <x:c r="P326" s="30" t="n">
        <x:f>O326*J326*(1+M326)</x:f>
        <x:v>0.30448</x:v>
      </x:c>
      <x:c r="Q326" s="30" t="n">
        <x:f>P326*N326</x:f>
        <x:v>21.922559999999997</x:v>
      </x:c>
      <x:c r="R326" s="19" t="str">
        <x:v>独立判定</x:v>
      </x:c>
    </x:row>
    <x:row r="327" ht="19" customHeight="1">
      <x:c r="A327" s="19" t="str">
        <x:v>D00323</x:v>
      </x:c>
      <x:c r="B327" s="19" t="n">
        <x:v>2</x:v>
      </x:c>
      <x:c r="C327" s="19" t="n">
        <x:v>2</x:v>
      </x:c>
      <x:c r="D327" s="19" t="str">
        <x:v>EL-MON-LIM-GATE-006</x:v>
      </x:c>
      <x:c r="E327" s="19" t="str">
        <x:v>断旗骑兵</x:v>
      </x:c>
      <x:c r="F327" s="19" t="str">
        <x:v>普通</x:v>
      </x:c>
      <x:c r="G327" s="19" t="str">
        <x:v>材料独立候选</x:v>
      </x:c>
      <x:c r="H327" s="19" t="str">
        <x:v>技能残页</x:v>
      </x:c>
      <x:c r="I327" s="22" t="n">
        <x:v>100</x:v>
      </x:c>
      <x:c r="J327" s="22" t="n">
        <x:v>1</x:v>
      </x:c>
      <x:c r="K327" s="19" t="n">
        <x:v>1</x:v>
      </x:c>
      <x:c r="L327" s="24" t="n">
        <x:v>13.839999999999998</x:v>
      </x:c>
      <x:c r="M327" s="26" t="n">
        <x:v>0.1</x:v>
      </x:c>
      <x:c r="N327" s="24" t="n">
        <x:v>72</x:v>
      </x:c>
      <x:c r="O327" s="28" t="n">
        <x:f>MIN(1,L327/I327)</x:f>
        <x:v>0.13839999999999997</x:v>
      </x:c>
      <x:c r="P327" s="30" t="n">
        <x:f>O327*J327*(1+M327)</x:f>
        <x:v>0.15224</x:v>
      </x:c>
      <x:c r="Q327" s="30" t="n">
        <x:f>P327*N327</x:f>
        <x:v>10.961279999999999</x:v>
      </x:c>
      <x:c r="R327" s="19" t="str">
        <x:v>独立判定</x:v>
      </x:c>
    </x:row>
    <x:row r="328" ht="19" customHeight="1">
      <x:c r="A328" s="19" t="str">
        <x:v>D00324</x:v>
      </x:c>
      <x:c r="B328" s="19" t="n">
        <x:v>2</x:v>
      </x:c>
      <x:c r="C328" s="19" t="n">
        <x:v>2</x:v>
      </x:c>
      <x:c r="D328" s="19" t="str">
        <x:v>EL-MON-LIM-GATE-006</x:v>
      </x:c>
      <x:c r="E328" s="19" t="str">
        <x:v>断旗骑兵</x:v>
      </x:c>
      <x:c r="F328" s="19" t="str">
        <x:v>普通</x:v>
      </x:c>
      <x:c r="G328" s="19" t="str">
        <x:v>材料独立候选</x:v>
      </x:c>
      <x:c r="H328" s="19" t="str">
        <x:v>小卢恩</x:v>
      </x:c>
      <x:c r="I328" s="22" t="n">
        <x:v>4000</x:v>
      </x:c>
      <x:c r="J328" s="22" t="n">
        <x:v>1</x:v>
      </x:c>
      <x:c r="K328" s="19" t="n">
        <x:v>1</x:v>
      </x:c>
      <x:c r="L328" s="24" t="n">
        <x:v>13.839999999999998</x:v>
      </x:c>
      <x:c r="M328" s="26" t="n">
        <x:v>0.1</x:v>
      </x:c>
      <x:c r="N328" s="24" t="n">
        <x:v>72</x:v>
      </x:c>
      <x:c r="O328" s="28" t="n">
        <x:f>MIN(1,L328/I328)</x:f>
        <x:v>0.0034599999999999995</x:v>
      </x:c>
      <x:c r="P328" s="30" t="n">
        <x:f>O328*J328*(1+M328)</x:f>
        <x:v>0.003806</x:v>
      </x:c>
      <x:c r="Q328" s="30" t="n">
        <x:f>P328*N328</x:f>
        <x:v>0.274032</x:v>
      </x:c>
      <x:c r="R328" s="19" t="str">
        <x:v>独立判定</x:v>
      </x:c>
    </x:row>
    <x:row r="329" ht="19" customHeight="1">
      <x:c r="A329" s="19" t="str">
        <x:v>D00325</x:v>
      </x:c>
      <x:c r="B329" s="19" t="n">
        <x:v>2</x:v>
      </x:c>
      <x:c r="C329" s="19" t="n">
        <x:v>2</x:v>
      </x:c>
      <x:c r="D329" s="19" t="str">
        <x:v>EL-MON-LIM-GATE-006</x:v>
      </x:c>
      <x:c r="E329" s="19" t="str">
        <x:v>断旗骑兵</x:v>
      </x:c>
      <x:c r="F329" s="19" t="str">
        <x:v>普通</x:v>
      </x:c>
      <x:c r="G329" s="19" t="str">
        <x:v>六神器公共池</x:v>
      </x:c>
      <x:c r="H329" s="19" t="str">
        <x:v>POOL006</x:v>
      </x:c>
      <x:c r="I329" s="22" t="n">
        <x:v>20000000</x:v>
      </x:c>
      <x:c r="J329" s="22" t="n">
        <x:v>1</x:v>
      </x:c>
      <x:c r="K329" s="19" t="n">
        <x:v>6</x:v>
      </x:c>
      <x:c r="L329" s="24" t="n">
        <x:v>13.839999999999998</x:v>
      </x:c>
      <x:c r="M329" s="26" t="n">
        <x:v>0.1</x:v>
      </x:c>
      <x:c r="N329" s="24" t="n">
        <x:v>72</x:v>
      </x:c>
      <x:c r="O329" s="28" t="n">
        <x:f>MIN(1,L329/I329)</x:f>
        <x:v>6.919999999999999e-7</x:v>
      </x:c>
      <x:c r="P329" s="30" t="n">
        <x:f>O329*J329*(1+M329)</x:f>
        <x:v>7.611999999999999e-7</x:v>
      </x:c>
      <x:c r="Q329" s="30" t="n">
        <x:f>P329*N329</x:f>
        <x:v>0.00005480639999999999</x:v>
      </x:c>
      <x:c r="R329" s="19" t="str">
        <x:v>六选一；非6个独立爆率</x:v>
      </x:c>
    </x:row>
    <x:row r="330" ht="19" customHeight="1">
      <x:c r="A330" s="19" t="str">
        <x:v>D00326</x:v>
      </x:c>
      <x:c r="B330" s="19" t="n">
        <x:v>2</x:v>
      </x:c>
      <x:c r="C330" s="19" t="n">
        <x:v>2</x:v>
      </x:c>
      <x:c r="D330" s="19" t="str">
        <x:v>EL-MON-LIM-GATE-007</x:v>
      </x:c>
      <x:c r="E330" s="19" t="str">
        <x:v>黄金重骑</x:v>
      </x:c>
      <x:c r="F330" s="19" t="str">
        <x:v>稀有</x:v>
      </x:c>
      <x:c r="G330" s="19" t="str">
        <x:v>自身专属</x:v>
      </x:c>
      <x:c r="H330" s="19" t="str">
        <x:v>黄金战带</x:v>
      </x:c>
      <x:c r="I330" s="22" t="n">
        <x:v>180</x:v>
      </x:c>
      <x:c r="J330" s="22" t="n">
        <x:v>1</x:v>
      </x:c>
      <x:c r="K330" s="19" t="n">
        <x:v>1</x:v>
      </x:c>
      <x:c r="L330" s="24" t="n">
        <x:v>13.839999999999998</x:v>
      </x:c>
      <x:c r="M330" s="26" t="n">
        <x:v>0.1</x:v>
      </x:c>
      <x:c r="N330" s="24" t="n">
        <x:v>12</x:v>
      </x:c>
      <x:c r="O330" s="28" t="n">
        <x:f>MIN(1,L330/I330)</x:f>
        <x:v>0.07688888888888888</x:v>
      </x:c>
      <x:c r="P330" s="30" t="n">
        <x:f>O330*J330*(1+M330)</x:f>
        <x:v>0.08457777777777778</x:v>
      </x:c>
      <x:c r="Q330" s="30" t="n">
        <x:f>P330*N330</x:f>
        <x:v>1.0149333333333335</x:v>
      </x:c>
      <x:c r="R330" s="19" t="str">
        <x:v>独立判定</x:v>
      </x:c>
    </x:row>
    <x:row r="331" ht="19" customHeight="1">
      <x:c r="A331" s="19" t="str">
        <x:v>D00327</x:v>
      </x:c>
      <x:c r="B331" s="19" t="n">
        <x:v>2</x:v>
      </x:c>
      <x:c r="C331" s="19" t="n">
        <x:v>2</x:v>
      </x:c>
      <x:c r="D331" s="19" t="str">
        <x:v>EL-MON-LIM-GATE-007</x:v>
      </x:c>
      <x:c r="E331" s="19" t="str">
        <x:v>黄金重骑</x:v>
      </x:c>
      <x:c r="F331" s="19" t="str">
        <x:v>稀有</x:v>
      </x:c>
      <x:c r="G331" s="19" t="str">
        <x:v>材料独立候选</x:v>
      </x:c>
      <x:c r="H331" s="19" t="str">
        <x:v>风暴石片</x:v>
      </x:c>
      <x:c r="I331" s="22" t="n">
        <x:v>300</x:v>
      </x:c>
      <x:c r="J331" s="22" t="n">
        <x:v>15</x:v>
      </x:c>
      <x:c r="K331" s="19" t="n">
        <x:v>1</x:v>
      </x:c>
      <x:c r="L331" s="24" t="n">
        <x:v>13.839999999999998</x:v>
      </x:c>
      <x:c r="M331" s="26" t="n">
        <x:v>0.1</x:v>
      </x:c>
      <x:c r="N331" s="24" t="n">
        <x:v>12</x:v>
      </x:c>
      <x:c r="O331" s="28" t="n">
        <x:f>MIN(1,L331/I331)</x:f>
        <x:v>0.046133333333333325</x:v>
      </x:c>
      <x:c r="P331" s="30" t="n">
        <x:f>O331*J331*(1+M331)</x:f>
        <x:v>0.7611999999999999</x:v>
      </x:c>
      <x:c r="Q331" s="30" t="n">
        <x:f>P331*N331</x:f>
        <x:v>9.1344</x:v>
      </x:c>
      <x:c r="R331" s="19" t="str">
        <x:v>独立判定</x:v>
      </x:c>
    </x:row>
    <x:row r="332" ht="19" customHeight="1">
      <x:c r="A332" s="19" t="str">
        <x:v>D00328</x:v>
      </x:c>
      <x:c r="B332" s="19" t="n">
        <x:v>2</x:v>
      </x:c>
      <x:c r="C332" s="19" t="n">
        <x:v>2</x:v>
      </x:c>
      <x:c r="D332" s="19" t="str">
        <x:v>EL-MON-LIM-GATE-007</x:v>
      </x:c>
      <x:c r="E332" s="19" t="str">
        <x:v>黄金重骑</x:v>
      </x:c>
      <x:c r="F332" s="19" t="str">
        <x:v>稀有</x:v>
      </x:c>
      <x:c r="G332" s="19" t="str">
        <x:v>材料独立候选</x:v>
      </x:c>
      <x:c r="H332" s="19" t="str">
        <x:v>黄金树芽</x:v>
      </x:c>
      <x:c r="I332" s="22" t="n">
        <x:v>60</x:v>
      </x:c>
      <x:c r="J332" s="22" t="n">
        <x:v>2</x:v>
      </x:c>
      <x:c r="K332" s="19" t="n">
        <x:v>1</x:v>
      </x:c>
      <x:c r="L332" s="24" t="n">
        <x:v>13.839999999999998</x:v>
      </x:c>
      <x:c r="M332" s="26" t="n">
        <x:v>0.1</x:v>
      </x:c>
      <x:c r="N332" s="24" t="n">
        <x:v>12</x:v>
      </x:c>
      <x:c r="O332" s="28" t="n">
        <x:f>MIN(1,L332/I332)</x:f>
        <x:v>0.23066666666666663</x:v>
      </x:c>
      <x:c r="P332" s="30" t="n">
        <x:f>O332*J332*(1+M332)</x:f>
        <x:v>0.5074666666666666</x:v>
      </x:c>
      <x:c r="Q332" s="30" t="n">
        <x:f>P332*N332</x:f>
        <x:v>6.089599999999999</x:v>
      </x:c>
      <x:c r="R332" s="19" t="str">
        <x:v>独立判定</x:v>
      </x:c>
    </x:row>
    <x:row r="333" ht="19" customHeight="1">
      <x:c r="A333" s="19" t="str">
        <x:v>D00329</x:v>
      </x:c>
      <x:c r="B333" s="19" t="n">
        <x:v>2</x:v>
      </x:c>
      <x:c r="C333" s="19" t="n">
        <x:v>2</x:v>
      </x:c>
      <x:c r="D333" s="19" t="str">
        <x:v>EL-MON-LIM-GATE-007</x:v>
      </x:c>
      <x:c r="E333" s="19" t="str">
        <x:v>黄金重骑</x:v>
      </x:c>
      <x:c r="F333" s="19" t="str">
        <x:v>稀有</x:v>
      </x:c>
      <x:c r="G333" s="19" t="str">
        <x:v>材料独立候选</x:v>
      </x:c>
      <x:c r="H333" s="19" t="str">
        <x:v>黄金骑徽</x:v>
      </x:c>
      <x:c r="I333" s="22" t="n">
        <x:v>180</x:v>
      </x:c>
      <x:c r="J333" s="22" t="n">
        <x:v>1</x:v>
      </x:c>
      <x:c r="K333" s="19" t="n">
        <x:v>1</x:v>
      </x:c>
      <x:c r="L333" s="24" t="n">
        <x:v>13.839999999999998</x:v>
      </x:c>
      <x:c r="M333" s="26" t="n">
        <x:v>0.1</x:v>
      </x:c>
      <x:c r="N333" s="24" t="n">
        <x:v>12</x:v>
      </x:c>
      <x:c r="O333" s="28" t="n">
        <x:f>MIN(1,L333/I333)</x:f>
        <x:v>0.07688888888888888</x:v>
      </x:c>
      <x:c r="P333" s="30" t="n">
        <x:f>O333*J333*(1+M333)</x:f>
        <x:v>0.08457777777777778</x:v>
      </x:c>
      <x:c r="Q333" s="30" t="n">
        <x:f>P333*N333</x:f>
        <x:v>1.0149333333333335</x:v>
      </x:c>
      <x:c r="R333" s="19" t="str">
        <x:v>独立判定</x:v>
      </x:c>
    </x:row>
    <x:row r="334" ht="19" customHeight="1">
      <x:c r="A334" s="19" t="str">
        <x:v>D00330</x:v>
      </x:c>
      <x:c r="B334" s="19" t="n">
        <x:v>2</x:v>
      </x:c>
      <x:c r="C334" s="19" t="n">
        <x:v>2</x:v>
      </x:c>
      <x:c r="D334" s="19" t="str">
        <x:v>EL-MON-LIM-GATE-007</x:v>
      </x:c>
      <x:c r="E334" s="19" t="str">
        <x:v>黄金重骑</x:v>
      </x:c>
      <x:c r="F334" s="19" t="str">
        <x:v>稀有</x:v>
      </x:c>
      <x:c r="G334" s="19" t="str">
        <x:v>材料独立候选</x:v>
      </x:c>
      <x:c r="H334" s="19" t="str">
        <x:v>野兽骨片</x:v>
      </x:c>
      <x:c r="I334" s="22" t="n">
        <x:v>60</x:v>
      </x:c>
      <x:c r="J334" s="22" t="n">
        <x:v>2</x:v>
      </x:c>
      <x:c r="K334" s="19" t="n">
        <x:v>1</x:v>
      </x:c>
      <x:c r="L334" s="24" t="n">
        <x:v>13.839999999999998</x:v>
      </x:c>
      <x:c r="M334" s="26" t="n">
        <x:v>0.1</x:v>
      </x:c>
      <x:c r="N334" s="24" t="n">
        <x:v>12</x:v>
      </x:c>
      <x:c r="O334" s="28" t="n">
        <x:f>MIN(1,L334/I334)</x:f>
        <x:v>0.23066666666666663</x:v>
      </x:c>
      <x:c r="P334" s="30" t="n">
        <x:f>O334*J334*(1+M334)</x:f>
        <x:v>0.5074666666666666</x:v>
      </x:c>
      <x:c r="Q334" s="30" t="n">
        <x:f>P334*N334</x:f>
        <x:v>6.089599999999999</x:v>
      </x:c>
      <x:c r="R334" s="19" t="str">
        <x:v>独立判定</x:v>
      </x:c>
    </x:row>
    <x:row r="335" ht="19" customHeight="1">
      <x:c r="A335" s="19" t="str">
        <x:v>D00331</x:v>
      </x:c>
      <x:c r="B335" s="19" t="n">
        <x:v>2</x:v>
      </x:c>
      <x:c r="C335" s="19" t="n">
        <x:v>2</x:v>
      </x:c>
      <x:c r="D335" s="19" t="str">
        <x:v>EL-MON-LIM-GATE-007</x:v>
      </x:c>
      <x:c r="E335" s="19" t="str">
        <x:v>黄金重骑</x:v>
      </x:c>
      <x:c r="F335" s="19" t="str">
        <x:v>稀有</x:v>
      </x:c>
      <x:c r="G335" s="19" t="str">
        <x:v>材料独立候选</x:v>
      </x:c>
      <x:c r="H335" s="19" t="str">
        <x:v>技能残页</x:v>
      </x:c>
      <x:c r="I335" s="22" t="n">
        <x:v>60</x:v>
      </x:c>
      <x:c r="J335" s="22" t="n">
        <x:v>1</x:v>
      </x:c>
      <x:c r="K335" s="19" t="n">
        <x:v>1</x:v>
      </x:c>
      <x:c r="L335" s="24" t="n">
        <x:v>13.839999999999998</x:v>
      </x:c>
      <x:c r="M335" s="26" t="n">
        <x:v>0.1</x:v>
      </x:c>
      <x:c r="N335" s="24" t="n">
        <x:v>12</x:v>
      </x:c>
      <x:c r="O335" s="28" t="n">
        <x:f>MIN(1,L335/I335)</x:f>
        <x:v>0.23066666666666663</x:v>
      </x:c>
      <x:c r="P335" s="30" t="n">
        <x:f>O335*J335*(1+M335)</x:f>
        <x:v>0.2537333333333333</x:v>
      </x:c>
      <x:c r="Q335" s="30" t="n">
        <x:f>P335*N335</x:f>
        <x:v>3.0447999999999995</x:v>
      </x:c>
      <x:c r="R335" s="19" t="str">
        <x:v>独立判定</x:v>
      </x:c>
    </x:row>
    <x:row r="336" ht="19" customHeight="1">
      <x:c r="A336" s="19" t="str">
        <x:v>D00332</x:v>
      </x:c>
      <x:c r="B336" s="19" t="n">
        <x:v>2</x:v>
      </x:c>
      <x:c r="C336" s="19" t="n">
        <x:v>2</x:v>
      </x:c>
      <x:c r="D336" s="19" t="str">
        <x:v>EL-MON-LIM-GATE-007</x:v>
      </x:c>
      <x:c r="E336" s="19" t="str">
        <x:v>黄金重骑</x:v>
      </x:c>
      <x:c r="F336" s="19" t="str">
        <x:v>稀有</x:v>
      </x:c>
      <x:c r="G336" s="19" t="str">
        <x:v>材料独立候选</x:v>
      </x:c>
      <x:c r="H336" s="19" t="str">
        <x:v>小卢恩</x:v>
      </x:c>
      <x:c r="I336" s="22" t="n">
        <x:v>2500</x:v>
      </x:c>
      <x:c r="J336" s="22" t="n">
        <x:v>1</x:v>
      </x:c>
      <x:c r="K336" s="19" t="n">
        <x:v>1</x:v>
      </x:c>
      <x:c r="L336" s="24" t="n">
        <x:v>13.839999999999998</x:v>
      </x:c>
      <x:c r="M336" s="26" t="n">
        <x:v>0.1</x:v>
      </x:c>
      <x:c r="N336" s="24" t="n">
        <x:v>12</x:v>
      </x:c>
      <x:c r="O336" s="28" t="n">
        <x:f>MIN(1,L336/I336)</x:f>
        <x:v>0.005535999999999999</x:v>
      </x:c>
      <x:c r="P336" s="30" t="n">
        <x:f>O336*J336*(1+M336)</x:f>
        <x:v>0.0060896</x:v>
      </x:c>
      <x:c r="Q336" s="30" t="n">
        <x:f>P336*N336</x:f>
        <x:v>0.07307519999999999</x:v>
      </x:c>
      <x:c r="R336" s="19" t="str">
        <x:v>独立判定</x:v>
      </x:c>
    </x:row>
    <x:row r="337" ht="19" customHeight="1">
      <x:c r="A337" s="19" t="str">
        <x:v>D00333</x:v>
      </x:c>
      <x:c r="B337" s="19" t="n">
        <x:v>2</x:v>
      </x:c>
      <x:c r="C337" s="19" t="n">
        <x:v>2</x:v>
      </x:c>
      <x:c r="D337" s="19" t="str">
        <x:v>EL-MON-LIM-GATE-007</x:v>
      </x:c>
      <x:c r="E337" s="19" t="str">
        <x:v>黄金重骑</x:v>
      </x:c>
      <x:c r="F337" s="19" t="str">
        <x:v>稀有</x:v>
      </x:c>
      <x:c r="G337" s="19" t="str">
        <x:v>六神器公共池</x:v>
      </x:c>
      <x:c r="H337" s="19" t="str">
        <x:v>POOL006</x:v>
      </x:c>
      <x:c r="I337" s="22" t="n">
        <x:v>5000000</x:v>
      </x:c>
      <x:c r="J337" s="22" t="n">
        <x:v>1</x:v>
      </x:c>
      <x:c r="K337" s="19" t="n">
        <x:v>6</x:v>
      </x:c>
      <x:c r="L337" s="24" t="n">
        <x:v>13.839999999999998</x:v>
      </x:c>
      <x:c r="M337" s="26" t="n">
        <x:v>0.1</x:v>
      </x:c>
      <x:c r="N337" s="24" t="n">
        <x:v>12</x:v>
      </x:c>
      <x:c r="O337" s="28" t="n">
        <x:f>MIN(1,L337/I337)</x:f>
        <x:v>0.0000027679999999999996</x:v>
      </x:c>
      <x:c r="P337" s="30" t="n">
        <x:f>O337*J337*(1+M337)</x:f>
        <x:v>0.0000030447999999999996</x:v>
      </x:c>
      <x:c r="Q337" s="30" t="n">
        <x:f>P337*N337</x:f>
        <x:v>0.000036537599999999994</x:v>
      </x:c>
      <x:c r="R337" s="19" t="str">
        <x:v>六选一；非6个独立爆率</x:v>
      </x:c>
    </x:row>
    <x:row r="338" ht="19" customHeight="1">
      <x:c r="A338" s="19" t="str">
        <x:v>D00334</x:v>
      </x:c>
      <x:c r="B338" s="19" t="n">
        <x:v>2</x:v>
      </x:c>
      <x:c r="C338" s="19" t="n">
        <x:v>2</x:v>
      </x:c>
      <x:c r="D338" s="19" t="str">
        <x:v>EL-MON-LIM-GATE-008</x:v>
      </x:c>
      <x:c r="E338" s="19" t="str">
        <x:v>失乡骑士</x:v>
      </x:c>
      <x:c r="F338" s="19" t="str">
        <x:v>稀有</x:v>
      </x:c>
      <x:c r="G338" s="19" t="str">
        <x:v>自身专属</x:v>
      </x:c>
      <x:c r="H338" s="19" t="str">
        <x:v>失乡战靴</x:v>
      </x:c>
      <x:c r="I338" s="22" t="n">
        <x:v>180</x:v>
      </x:c>
      <x:c r="J338" s="22" t="n">
        <x:v>1</x:v>
      </x:c>
      <x:c r="K338" s="19" t="n">
        <x:v>1</x:v>
      </x:c>
      <x:c r="L338" s="24" t="n">
        <x:v>13.839999999999998</x:v>
      </x:c>
      <x:c r="M338" s="26" t="n">
        <x:v>0.1</x:v>
      </x:c>
      <x:c r="N338" s="24" t="n">
        <x:v>12</x:v>
      </x:c>
      <x:c r="O338" s="28" t="n">
        <x:f>MIN(1,L338/I338)</x:f>
        <x:v>0.07688888888888888</x:v>
      </x:c>
      <x:c r="P338" s="30" t="n">
        <x:f>O338*J338*(1+M338)</x:f>
        <x:v>0.08457777777777778</x:v>
      </x:c>
      <x:c r="Q338" s="30" t="n">
        <x:f>P338*N338</x:f>
        <x:v>1.0149333333333335</x:v>
      </x:c>
      <x:c r="R338" s="19" t="str">
        <x:v>独立判定</x:v>
      </x:c>
    </x:row>
    <x:row r="339" ht="19" customHeight="1">
      <x:c r="A339" s="19" t="str">
        <x:v>D00335</x:v>
      </x:c>
      <x:c r="B339" s="19" t="n">
        <x:v>2</x:v>
      </x:c>
      <x:c r="C339" s="19" t="n">
        <x:v>2</x:v>
      </x:c>
      <x:c r="D339" s="19" t="str">
        <x:v>EL-MON-LIM-GATE-008</x:v>
      </x:c>
      <x:c r="E339" s="19" t="str">
        <x:v>失乡骑士</x:v>
      </x:c>
      <x:c r="F339" s="19" t="str">
        <x:v>稀有</x:v>
      </x:c>
      <x:c r="G339" s="19" t="str">
        <x:v>材料独立候选</x:v>
      </x:c>
      <x:c r="H339" s="19" t="str">
        <x:v>风暴石片</x:v>
      </x:c>
      <x:c r="I339" s="22" t="n">
        <x:v>300</x:v>
      </x:c>
      <x:c r="J339" s="22" t="n">
        <x:v>15</x:v>
      </x:c>
      <x:c r="K339" s="19" t="n">
        <x:v>1</x:v>
      </x:c>
      <x:c r="L339" s="24" t="n">
        <x:v>13.839999999999998</x:v>
      </x:c>
      <x:c r="M339" s="26" t="n">
        <x:v>0.1</x:v>
      </x:c>
      <x:c r="N339" s="24" t="n">
        <x:v>12</x:v>
      </x:c>
      <x:c r="O339" s="28" t="n">
        <x:f>MIN(1,L339/I339)</x:f>
        <x:v>0.046133333333333325</x:v>
      </x:c>
      <x:c r="P339" s="30" t="n">
        <x:f>O339*J339*(1+M339)</x:f>
        <x:v>0.7611999999999999</x:v>
      </x:c>
      <x:c r="Q339" s="30" t="n">
        <x:f>P339*N339</x:f>
        <x:v>9.1344</x:v>
      </x:c>
      <x:c r="R339" s="19" t="str">
        <x:v>独立判定</x:v>
      </x:c>
    </x:row>
    <x:row r="340" ht="19" customHeight="1">
      <x:c r="A340" s="19" t="str">
        <x:v>D00336</x:v>
      </x:c>
      <x:c r="B340" s="19" t="n">
        <x:v>2</x:v>
      </x:c>
      <x:c r="C340" s="19" t="n">
        <x:v>2</x:v>
      </x:c>
      <x:c r="D340" s="19" t="str">
        <x:v>EL-MON-LIM-GATE-008</x:v>
      </x:c>
      <x:c r="E340" s="19" t="str">
        <x:v>失乡骑士</x:v>
      </x:c>
      <x:c r="F340" s="19" t="str">
        <x:v>稀有</x:v>
      </x:c>
      <x:c r="G340" s="19" t="str">
        <x:v>材料独立候选</x:v>
      </x:c>
      <x:c r="H340" s="19" t="str">
        <x:v>黄金树芽</x:v>
      </x:c>
      <x:c r="I340" s="22" t="n">
        <x:v>60</x:v>
      </x:c>
      <x:c r="J340" s="22" t="n">
        <x:v>2</x:v>
      </x:c>
      <x:c r="K340" s="19" t="n">
        <x:v>1</x:v>
      </x:c>
      <x:c r="L340" s="24" t="n">
        <x:v>13.839999999999998</x:v>
      </x:c>
      <x:c r="M340" s="26" t="n">
        <x:v>0.1</x:v>
      </x:c>
      <x:c r="N340" s="24" t="n">
        <x:v>12</x:v>
      </x:c>
      <x:c r="O340" s="28" t="n">
        <x:f>MIN(1,L340/I340)</x:f>
        <x:v>0.23066666666666663</x:v>
      </x:c>
      <x:c r="P340" s="30" t="n">
        <x:f>O340*J340*(1+M340)</x:f>
        <x:v>0.5074666666666666</x:v>
      </x:c>
      <x:c r="Q340" s="30" t="n">
        <x:f>P340*N340</x:f>
        <x:v>6.089599999999999</x:v>
      </x:c>
      <x:c r="R340" s="19" t="str">
        <x:v>独立判定</x:v>
      </x:c>
    </x:row>
    <x:row r="341" ht="19" customHeight="1">
      <x:c r="A341" s="19" t="str">
        <x:v>D00337</x:v>
      </x:c>
      <x:c r="B341" s="19" t="n">
        <x:v>2</x:v>
      </x:c>
      <x:c r="C341" s="19" t="n">
        <x:v>2</x:v>
      </x:c>
      <x:c r="D341" s="19" t="str">
        <x:v>EL-MON-LIM-GATE-008</x:v>
      </x:c>
      <x:c r="E341" s="19" t="str">
        <x:v>失乡骑士</x:v>
      </x:c>
      <x:c r="F341" s="19" t="str">
        <x:v>稀有</x:v>
      </x:c>
      <x:c r="G341" s="19" t="str">
        <x:v>材料独立候选</x:v>
      </x:c>
      <x:c r="H341" s="19" t="str">
        <x:v>失乡军令</x:v>
      </x:c>
      <x:c r="I341" s="22" t="n">
        <x:v>180</x:v>
      </x:c>
      <x:c r="J341" s="22" t="n">
        <x:v>1</x:v>
      </x:c>
      <x:c r="K341" s="19" t="n">
        <x:v>1</x:v>
      </x:c>
      <x:c r="L341" s="24" t="n">
        <x:v>13.839999999999998</x:v>
      </x:c>
      <x:c r="M341" s="26" t="n">
        <x:v>0.1</x:v>
      </x:c>
      <x:c r="N341" s="24" t="n">
        <x:v>12</x:v>
      </x:c>
      <x:c r="O341" s="28" t="n">
        <x:f>MIN(1,L341/I341)</x:f>
        <x:v>0.07688888888888888</x:v>
      </x:c>
      <x:c r="P341" s="30" t="n">
        <x:f>O341*J341*(1+M341)</x:f>
        <x:v>0.08457777777777778</x:v>
      </x:c>
      <x:c r="Q341" s="30" t="n">
        <x:f>P341*N341</x:f>
        <x:v>1.0149333333333335</x:v>
      </x:c>
      <x:c r="R341" s="19" t="str">
        <x:v>独立判定</x:v>
      </x:c>
    </x:row>
    <x:row r="342" ht="19" customHeight="1">
      <x:c r="A342" s="19" t="str">
        <x:v>D00338</x:v>
      </x:c>
      <x:c r="B342" s="19" t="n">
        <x:v>2</x:v>
      </x:c>
      <x:c r="C342" s="19" t="n">
        <x:v>2</x:v>
      </x:c>
      <x:c r="D342" s="19" t="str">
        <x:v>EL-MON-LIM-GATE-008</x:v>
      </x:c>
      <x:c r="E342" s="19" t="str">
        <x:v>失乡骑士</x:v>
      </x:c>
      <x:c r="F342" s="19" t="str">
        <x:v>稀有</x:v>
      </x:c>
      <x:c r="G342" s="19" t="str">
        <x:v>材料独立候选</x:v>
      </x:c>
      <x:c r="H342" s="19" t="str">
        <x:v>野兽骨片</x:v>
      </x:c>
      <x:c r="I342" s="22" t="n">
        <x:v>60</x:v>
      </x:c>
      <x:c r="J342" s="22" t="n">
        <x:v>2</x:v>
      </x:c>
      <x:c r="K342" s="19" t="n">
        <x:v>1</x:v>
      </x:c>
      <x:c r="L342" s="24" t="n">
        <x:v>13.839999999999998</x:v>
      </x:c>
      <x:c r="M342" s="26" t="n">
        <x:v>0.1</x:v>
      </x:c>
      <x:c r="N342" s="24" t="n">
        <x:v>12</x:v>
      </x:c>
      <x:c r="O342" s="28" t="n">
        <x:f>MIN(1,L342/I342)</x:f>
        <x:v>0.23066666666666663</x:v>
      </x:c>
      <x:c r="P342" s="30" t="n">
        <x:f>O342*J342*(1+M342)</x:f>
        <x:v>0.5074666666666666</x:v>
      </x:c>
      <x:c r="Q342" s="30" t="n">
        <x:f>P342*N342</x:f>
        <x:v>6.089599999999999</x:v>
      </x:c>
      <x:c r="R342" s="19" t="str">
        <x:v>独立判定</x:v>
      </x:c>
    </x:row>
    <x:row r="343" ht="19" customHeight="1">
      <x:c r="A343" s="19" t="str">
        <x:v>D00339</x:v>
      </x:c>
      <x:c r="B343" s="19" t="n">
        <x:v>2</x:v>
      </x:c>
      <x:c r="C343" s="19" t="n">
        <x:v>2</x:v>
      </x:c>
      <x:c r="D343" s="19" t="str">
        <x:v>EL-MON-LIM-GATE-008</x:v>
      </x:c>
      <x:c r="E343" s="19" t="str">
        <x:v>失乡骑士</x:v>
      </x:c>
      <x:c r="F343" s="19" t="str">
        <x:v>稀有</x:v>
      </x:c>
      <x:c r="G343" s="19" t="str">
        <x:v>材料独立候选</x:v>
      </x:c>
      <x:c r="H343" s="19" t="str">
        <x:v>技能残页</x:v>
      </x:c>
      <x:c r="I343" s="22" t="n">
        <x:v>60</x:v>
      </x:c>
      <x:c r="J343" s="22" t="n">
        <x:v>1</x:v>
      </x:c>
      <x:c r="K343" s="19" t="n">
        <x:v>1</x:v>
      </x:c>
      <x:c r="L343" s="24" t="n">
        <x:v>13.839999999999998</x:v>
      </x:c>
      <x:c r="M343" s="26" t="n">
        <x:v>0.1</x:v>
      </x:c>
      <x:c r="N343" s="24" t="n">
        <x:v>12</x:v>
      </x:c>
      <x:c r="O343" s="28" t="n">
        <x:f>MIN(1,L343/I343)</x:f>
        <x:v>0.23066666666666663</x:v>
      </x:c>
      <x:c r="P343" s="30" t="n">
        <x:f>O343*J343*(1+M343)</x:f>
        <x:v>0.2537333333333333</x:v>
      </x:c>
      <x:c r="Q343" s="30" t="n">
        <x:f>P343*N343</x:f>
        <x:v>3.0447999999999995</x:v>
      </x:c>
      <x:c r="R343" s="19" t="str">
        <x:v>独立判定</x:v>
      </x:c>
    </x:row>
    <x:row r="344" ht="19" customHeight="1">
      <x:c r="A344" s="19" t="str">
        <x:v>D00340</x:v>
      </x:c>
      <x:c r="B344" s="19" t="n">
        <x:v>2</x:v>
      </x:c>
      <x:c r="C344" s="19" t="n">
        <x:v>2</x:v>
      </x:c>
      <x:c r="D344" s="19" t="str">
        <x:v>EL-MON-LIM-GATE-008</x:v>
      </x:c>
      <x:c r="E344" s="19" t="str">
        <x:v>失乡骑士</x:v>
      </x:c>
      <x:c r="F344" s="19" t="str">
        <x:v>稀有</x:v>
      </x:c>
      <x:c r="G344" s="19" t="str">
        <x:v>材料独立候选</x:v>
      </x:c>
      <x:c r="H344" s="19" t="str">
        <x:v>小卢恩</x:v>
      </x:c>
      <x:c r="I344" s="22" t="n">
        <x:v>2500</x:v>
      </x:c>
      <x:c r="J344" s="22" t="n">
        <x:v>1</x:v>
      </x:c>
      <x:c r="K344" s="19" t="n">
        <x:v>1</x:v>
      </x:c>
      <x:c r="L344" s="24" t="n">
        <x:v>13.839999999999998</x:v>
      </x:c>
      <x:c r="M344" s="26" t="n">
        <x:v>0.1</x:v>
      </x:c>
      <x:c r="N344" s="24" t="n">
        <x:v>12</x:v>
      </x:c>
      <x:c r="O344" s="28" t="n">
        <x:f>MIN(1,L344/I344)</x:f>
        <x:v>0.005535999999999999</x:v>
      </x:c>
      <x:c r="P344" s="30" t="n">
        <x:f>O344*J344*(1+M344)</x:f>
        <x:v>0.0060896</x:v>
      </x:c>
      <x:c r="Q344" s="30" t="n">
        <x:f>P344*N344</x:f>
        <x:v>0.07307519999999999</x:v>
      </x:c>
      <x:c r="R344" s="19" t="str">
        <x:v>独立判定</x:v>
      </x:c>
    </x:row>
    <x:row r="345" ht="19" customHeight="1">
      <x:c r="A345" s="19" t="str">
        <x:v>D00341</x:v>
      </x:c>
      <x:c r="B345" s="19" t="n">
        <x:v>2</x:v>
      </x:c>
      <x:c r="C345" s="19" t="n">
        <x:v>2</x:v>
      </x:c>
      <x:c r="D345" s="19" t="str">
        <x:v>EL-MON-LIM-GATE-008</x:v>
      </x:c>
      <x:c r="E345" s="19" t="str">
        <x:v>失乡骑士</x:v>
      </x:c>
      <x:c r="F345" s="19" t="str">
        <x:v>稀有</x:v>
      </x:c>
      <x:c r="G345" s="19" t="str">
        <x:v>六神器公共池</x:v>
      </x:c>
      <x:c r="H345" s="19" t="str">
        <x:v>POOL006</x:v>
      </x:c>
      <x:c r="I345" s="22" t="n">
        <x:v>5000000</x:v>
      </x:c>
      <x:c r="J345" s="22" t="n">
        <x:v>1</x:v>
      </x:c>
      <x:c r="K345" s="19" t="n">
        <x:v>6</x:v>
      </x:c>
      <x:c r="L345" s="24" t="n">
        <x:v>13.839999999999998</x:v>
      </x:c>
      <x:c r="M345" s="26" t="n">
        <x:v>0.1</x:v>
      </x:c>
      <x:c r="N345" s="24" t="n">
        <x:v>12</x:v>
      </x:c>
      <x:c r="O345" s="28" t="n">
        <x:f>MIN(1,L345/I345)</x:f>
        <x:v>0.0000027679999999999996</x:v>
      </x:c>
      <x:c r="P345" s="30" t="n">
        <x:f>O345*J345*(1+M345)</x:f>
        <x:v>0.0000030447999999999996</x:v>
      </x:c>
      <x:c r="Q345" s="30" t="n">
        <x:f>P345*N345</x:f>
        <x:v>0.000036537599999999994</x:v>
      </x:c>
      <x:c r="R345" s="19" t="str">
        <x:v>六选一；非6个独立爆率</x:v>
      </x:c>
    </x:row>
    <x:row r="346" ht="19" customHeight="1">
      <x:c r="A346" s="19" t="str">
        <x:v>D00342</x:v>
      </x:c>
      <x:c r="B346" s="19" t="n">
        <x:v>2</x:v>
      </x:c>
      <x:c r="C346" s="19" t="n">
        <x:v>2</x:v>
      </x:c>
      <x:c r="D346" s="19" t="str">
        <x:v>EL-MON-LIM-GATE-009</x:v>
      </x:c>
      <x:c r="E346" s="19" t="str">
        <x:v>军营兽爪官</x:v>
      </x:c>
      <x:c r="F346" s="19" t="str">
        <x:v>稀有</x:v>
      </x:c>
      <x:c r="G346" s="19" t="str">
        <x:v>自身专属</x:v>
      </x:c>
      <x:c r="H346" s="19" t="str">
        <x:v>兽爪礼刃</x:v>
      </x:c>
      <x:c r="I346" s="22" t="n">
        <x:v>180</x:v>
      </x:c>
      <x:c r="J346" s="22" t="n">
        <x:v>1</x:v>
      </x:c>
      <x:c r="K346" s="19" t="n">
        <x:v>1</x:v>
      </x:c>
      <x:c r="L346" s="24" t="n">
        <x:v>13.839999999999998</x:v>
      </x:c>
      <x:c r="M346" s="26" t="n">
        <x:v>0.1</x:v>
      </x:c>
      <x:c r="N346" s="24" t="n">
        <x:v>11.344246099955937</x:v>
      </x:c>
      <x:c r="O346" s="28" t="n">
        <x:f>MIN(1,L346/I346)</x:f>
        <x:v>0.07688888888888888</x:v>
      </x:c>
      <x:c r="P346" s="30" t="n">
        <x:f>O346*J346*(1+M346)</x:f>
        <x:v>0.08457777777777778</x:v>
      </x:c>
      <x:c r="Q346" s="30" t="n">
        <x:f>P346*N346</x:f>
        <x:v>0.9594711256984955</x:v>
      </x:c>
      <x:c r="R346" s="19" t="str">
        <x:v>独立判定</x:v>
      </x:c>
    </x:row>
    <x:row r="347" ht="19" customHeight="1">
      <x:c r="A347" s="19" t="str">
        <x:v>D00343</x:v>
      </x:c>
      <x:c r="B347" s="19" t="n">
        <x:v>2</x:v>
      </x:c>
      <x:c r="C347" s="19" t="n">
        <x:v>2</x:v>
      </x:c>
      <x:c r="D347" s="19" t="str">
        <x:v>EL-MON-LIM-GATE-009</x:v>
      </x:c>
      <x:c r="E347" s="19" t="str">
        <x:v>军营兽爪官</x:v>
      </x:c>
      <x:c r="F347" s="19" t="str">
        <x:v>稀有</x:v>
      </x:c>
      <x:c r="G347" s="19" t="str">
        <x:v>材料独立候选</x:v>
      </x:c>
      <x:c r="H347" s="19" t="str">
        <x:v>风暴石片</x:v>
      </x:c>
      <x:c r="I347" s="22" t="n">
        <x:v>300</x:v>
      </x:c>
      <x:c r="J347" s="22" t="n">
        <x:v>15</x:v>
      </x:c>
      <x:c r="K347" s="19" t="n">
        <x:v>1</x:v>
      </x:c>
      <x:c r="L347" s="24" t="n">
        <x:v>13.839999999999998</x:v>
      </x:c>
      <x:c r="M347" s="26" t="n">
        <x:v>0.1</x:v>
      </x:c>
      <x:c r="N347" s="24" t="n">
        <x:v>11.344246099955937</x:v>
      </x:c>
      <x:c r="O347" s="28" t="n">
        <x:f>MIN(1,L347/I347)</x:f>
        <x:v>0.046133333333333325</x:v>
      </x:c>
      <x:c r="P347" s="30" t="n">
        <x:f>O347*J347*(1+M347)</x:f>
        <x:v>0.7611999999999999</x:v>
      </x:c>
      <x:c r="Q347" s="30" t="n">
        <x:f>P347*N347</x:f>
        <x:v>8.635240131286459</x:v>
      </x:c>
      <x:c r="R347" s="19" t="str">
        <x:v>独立判定</x:v>
      </x:c>
    </x:row>
    <x:row r="348" ht="19" customHeight="1">
      <x:c r="A348" s="19" t="str">
        <x:v>D00344</x:v>
      </x:c>
      <x:c r="B348" s="19" t="n">
        <x:v>2</x:v>
      </x:c>
      <x:c r="C348" s="19" t="n">
        <x:v>2</x:v>
      </x:c>
      <x:c r="D348" s="19" t="str">
        <x:v>EL-MON-LIM-GATE-009</x:v>
      </x:c>
      <x:c r="E348" s="19" t="str">
        <x:v>军营兽爪官</x:v>
      </x:c>
      <x:c r="F348" s="19" t="str">
        <x:v>稀有</x:v>
      </x:c>
      <x:c r="G348" s="19" t="str">
        <x:v>材料独立候选</x:v>
      </x:c>
      <x:c r="H348" s="19" t="str">
        <x:v>黄金树芽</x:v>
      </x:c>
      <x:c r="I348" s="22" t="n">
        <x:v>60</x:v>
      </x:c>
      <x:c r="J348" s="22" t="n">
        <x:v>2</x:v>
      </x:c>
      <x:c r="K348" s="19" t="n">
        <x:v>1</x:v>
      </x:c>
      <x:c r="L348" s="24" t="n">
        <x:v>13.839999999999998</x:v>
      </x:c>
      <x:c r="M348" s="26" t="n">
        <x:v>0.1</x:v>
      </x:c>
      <x:c r="N348" s="24" t="n">
        <x:v>11.344246099955937</x:v>
      </x:c>
      <x:c r="O348" s="28" t="n">
        <x:f>MIN(1,L348/I348)</x:f>
        <x:v>0.23066666666666663</x:v>
      </x:c>
      <x:c r="P348" s="30" t="n">
        <x:f>O348*J348*(1+M348)</x:f>
        <x:v>0.5074666666666666</x:v>
      </x:c>
      <x:c r="Q348" s="30" t="n">
        <x:f>P348*N348</x:f>
        <x:v>5.756826754190972</x:v>
      </x:c>
      <x:c r="R348" s="19" t="str">
        <x:v>独立判定</x:v>
      </x:c>
    </x:row>
    <x:row r="349" ht="19" customHeight="1">
      <x:c r="A349" s="19" t="str">
        <x:v>D00345</x:v>
      </x:c>
      <x:c r="B349" s="19" t="n">
        <x:v>2</x:v>
      </x:c>
      <x:c r="C349" s="19" t="n">
        <x:v>2</x:v>
      </x:c>
      <x:c r="D349" s="19" t="str">
        <x:v>EL-MON-LIM-GATE-009</x:v>
      </x:c>
      <x:c r="E349" s="19" t="str">
        <x:v>军营兽爪官</x:v>
      </x:c>
      <x:c r="F349" s="19" t="str">
        <x:v>稀有</x:v>
      </x:c>
      <x:c r="G349" s="19" t="str">
        <x:v>材料独立候选</x:v>
      </x:c>
      <x:c r="H349" s="19" t="str">
        <x:v>野兽骨片</x:v>
      </x:c>
      <x:c r="I349" s="22" t="n">
        <x:v>60</x:v>
      </x:c>
      <x:c r="J349" s="22" t="n">
        <x:v>2</x:v>
      </x:c>
      <x:c r="K349" s="19" t="n">
        <x:v>1</x:v>
      </x:c>
      <x:c r="L349" s="24" t="n">
        <x:v>13.839999999999998</x:v>
      </x:c>
      <x:c r="M349" s="26" t="n">
        <x:v>0.1</x:v>
      </x:c>
      <x:c r="N349" s="24" t="n">
        <x:v>11.344246099955937</x:v>
      </x:c>
      <x:c r="O349" s="28" t="n">
        <x:f>MIN(1,L349/I349)</x:f>
        <x:v>0.23066666666666663</x:v>
      </x:c>
      <x:c r="P349" s="30" t="n">
        <x:f>O349*J349*(1+M349)</x:f>
        <x:v>0.5074666666666666</x:v>
      </x:c>
      <x:c r="Q349" s="30" t="n">
        <x:f>P349*N349</x:f>
        <x:v>5.756826754190972</x:v>
      </x:c>
      <x:c r="R349" s="19" t="str">
        <x:v>独立判定</x:v>
      </x:c>
    </x:row>
    <x:row r="350" ht="19" customHeight="1">
      <x:c r="A350" s="19" t="str">
        <x:v>D00346</x:v>
      </x:c>
      <x:c r="B350" s="19" t="n">
        <x:v>2</x:v>
      </x:c>
      <x:c r="C350" s="19" t="n">
        <x:v>2</x:v>
      </x:c>
      <x:c r="D350" s="19" t="str">
        <x:v>EL-MON-LIM-GATE-009</x:v>
      </x:c>
      <x:c r="E350" s="19" t="str">
        <x:v>军营兽爪官</x:v>
      </x:c>
      <x:c r="F350" s="19" t="str">
        <x:v>稀有</x:v>
      </x:c>
      <x:c r="G350" s="19" t="str">
        <x:v>材料独立候选</x:v>
      </x:c>
      <x:c r="H350" s="19" t="str">
        <x:v>技能残页</x:v>
      </x:c>
      <x:c r="I350" s="22" t="n">
        <x:v>60</x:v>
      </x:c>
      <x:c r="J350" s="22" t="n">
        <x:v>1</x:v>
      </x:c>
      <x:c r="K350" s="19" t="n">
        <x:v>1</x:v>
      </x:c>
      <x:c r="L350" s="24" t="n">
        <x:v>13.839999999999998</x:v>
      </x:c>
      <x:c r="M350" s="26" t="n">
        <x:v>0.1</x:v>
      </x:c>
      <x:c r="N350" s="24" t="n">
        <x:v>11.344246099955937</x:v>
      </x:c>
      <x:c r="O350" s="28" t="n">
        <x:f>MIN(1,L350/I350)</x:f>
        <x:v>0.23066666666666663</x:v>
      </x:c>
      <x:c r="P350" s="30" t="n">
        <x:f>O350*J350*(1+M350)</x:f>
        <x:v>0.2537333333333333</x:v>
      </x:c>
      <x:c r="Q350" s="30" t="n">
        <x:f>P350*N350</x:f>
        <x:v>2.878413377095486</x:v>
      </x:c>
      <x:c r="R350" s="19" t="str">
        <x:v>独立判定</x:v>
      </x:c>
    </x:row>
    <x:row r="351" ht="19" customHeight="1">
      <x:c r="A351" s="19" t="str">
        <x:v>D00347</x:v>
      </x:c>
      <x:c r="B351" s="19" t="n">
        <x:v>2</x:v>
      </x:c>
      <x:c r="C351" s="19" t="n">
        <x:v>2</x:v>
      </x:c>
      <x:c r="D351" s="19" t="str">
        <x:v>EL-MON-LIM-GATE-009</x:v>
      </x:c>
      <x:c r="E351" s="19" t="str">
        <x:v>军营兽爪官</x:v>
      </x:c>
      <x:c r="F351" s="19" t="str">
        <x:v>稀有</x:v>
      </x:c>
      <x:c r="G351" s="19" t="str">
        <x:v>材料独立候选</x:v>
      </x:c>
      <x:c r="H351" s="19" t="str">
        <x:v>小卢恩</x:v>
      </x:c>
      <x:c r="I351" s="22" t="n">
        <x:v>2500</x:v>
      </x:c>
      <x:c r="J351" s="22" t="n">
        <x:v>1</x:v>
      </x:c>
      <x:c r="K351" s="19" t="n">
        <x:v>1</x:v>
      </x:c>
      <x:c r="L351" s="24" t="n">
        <x:v>13.839999999999998</x:v>
      </x:c>
      <x:c r="M351" s="26" t="n">
        <x:v>0.1</x:v>
      </x:c>
      <x:c r="N351" s="24" t="n">
        <x:v>11.344246099955937</x:v>
      </x:c>
      <x:c r="O351" s="28" t="n">
        <x:f>MIN(1,L351/I351)</x:f>
        <x:v>0.005535999999999999</x:v>
      </x:c>
      <x:c r="P351" s="30" t="n">
        <x:f>O351*J351*(1+M351)</x:f>
        <x:v>0.0060896</x:v>
      </x:c>
      <x:c r="Q351" s="30" t="n">
        <x:f>P351*N351</x:f>
        <x:v>0.06908192105029166</x:v>
      </x:c>
      <x:c r="R351" s="19" t="str">
        <x:v>独立判定</x:v>
      </x:c>
    </x:row>
    <x:row r="352" ht="19" customHeight="1">
      <x:c r="A352" s="19" t="str">
        <x:v>D00348</x:v>
      </x:c>
      <x:c r="B352" s="19" t="n">
        <x:v>2</x:v>
      </x:c>
      <x:c r="C352" s="19" t="n">
        <x:v>2</x:v>
      </x:c>
      <x:c r="D352" s="19" t="str">
        <x:v>EL-MON-LIM-GATE-009</x:v>
      </x:c>
      <x:c r="E352" s="19" t="str">
        <x:v>军营兽爪官</x:v>
      </x:c>
      <x:c r="F352" s="19" t="str">
        <x:v>稀有</x:v>
      </x:c>
      <x:c r="G352" s="19" t="str">
        <x:v>六神器公共池</x:v>
      </x:c>
      <x:c r="H352" s="19" t="str">
        <x:v>POOL006</x:v>
      </x:c>
      <x:c r="I352" s="22" t="n">
        <x:v>5000000</x:v>
      </x:c>
      <x:c r="J352" s="22" t="n">
        <x:v>1</x:v>
      </x:c>
      <x:c r="K352" s="19" t="n">
        <x:v>6</x:v>
      </x:c>
      <x:c r="L352" s="24" t="n">
        <x:v>13.839999999999998</x:v>
      </x:c>
      <x:c r="M352" s="26" t="n">
        <x:v>0.1</x:v>
      </x:c>
      <x:c r="N352" s="24" t="n">
        <x:v>11.344246099955937</x:v>
      </x:c>
      <x:c r="O352" s="28" t="n">
        <x:f>MIN(1,L352/I352)</x:f>
        <x:v>0.0000027679999999999996</x:v>
      </x:c>
      <x:c r="P352" s="30" t="n">
        <x:f>O352*J352*(1+M352)</x:f>
        <x:v>0.0000030447999999999996</x:v>
      </x:c>
      <x:c r="Q352" s="30" t="n">
        <x:f>P352*N352</x:f>
        <x:v>0.000034540960525145835</x:v>
      </x:c>
      <x:c r="R352" s="19" t="str">
        <x:v>六选一；非6个独立爆率</x:v>
      </x:c>
    </x:row>
    <x:row r="353" ht="19" customHeight="1">
      <x:c r="A353" s="19" t="str">
        <x:v>D00349</x:v>
      </x:c>
      <x:c r="B353" s="19" t="n">
        <x:v>2</x:v>
      </x:c>
      <x:c r="C353" s="19" t="n">
        <x:v>2</x:v>
      </x:c>
      <x:c r="D353" s="19" t="str">
        <x:v>EL-MON-LIM-GATE-010</x:v>
      </x:c>
      <x:c r="E353" s="19" t="str">
        <x:v>关隘战车</x:v>
      </x:c>
      <x:c r="F353" s="19" t="str">
        <x:v>稀有</x:v>
      </x:c>
      <x:c r="G353" s="19" t="str">
        <x:v>自身专属</x:v>
      </x:c>
      <x:c r="H353" s="19" t="str">
        <x:v>破阵军袍</x:v>
      </x:c>
      <x:c r="I353" s="22" t="n">
        <x:v>180</x:v>
      </x:c>
      <x:c r="J353" s="22" t="n">
        <x:v>1</x:v>
      </x:c>
      <x:c r="K353" s="19" t="n">
        <x:v>1</x:v>
      </x:c>
      <x:c r="L353" s="24" t="n">
        <x:v>13.839999999999998</x:v>
      </x:c>
      <x:c r="M353" s="26" t="n">
        <x:v>0.1</x:v>
      </x:c>
      <x:c r="N353" s="24" t="n">
        <x:v>10.150114931539523</x:v>
      </x:c>
      <x:c r="O353" s="28" t="n">
        <x:f>MIN(1,L353/I353)</x:f>
        <x:v>0.07688888888888888</x:v>
      </x:c>
      <x:c r="P353" s="30" t="n">
        <x:f>O353*J353*(1+M353)</x:f>
        <x:v>0.08457777777777778</x:v>
      </x:c>
      <x:c r="Q353" s="30" t="n">
        <x:f>P353*N353</x:f>
        <x:v>0.8584741650986539</x:v>
      </x:c>
      <x:c r="R353" s="19" t="str">
        <x:v>独立判定</x:v>
      </x:c>
    </x:row>
    <x:row r="354" ht="19" customHeight="1">
      <x:c r="A354" s="19" t="str">
        <x:v>D00350</x:v>
      </x:c>
      <x:c r="B354" s="19" t="n">
        <x:v>2</x:v>
      </x:c>
      <x:c r="C354" s="19" t="n">
        <x:v>2</x:v>
      </x:c>
      <x:c r="D354" s="19" t="str">
        <x:v>EL-MON-LIM-GATE-010</x:v>
      </x:c>
      <x:c r="E354" s="19" t="str">
        <x:v>关隘战车</x:v>
      </x:c>
      <x:c r="F354" s="19" t="str">
        <x:v>稀有</x:v>
      </x:c>
      <x:c r="G354" s="19" t="str">
        <x:v>材料独立候选</x:v>
      </x:c>
      <x:c r="H354" s="19" t="str">
        <x:v>风暴石片</x:v>
      </x:c>
      <x:c r="I354" s="22" t="n">
        <x:v>300</x:v>
      </x:c>
      <x:c r="J354" s="22" t="n">
        <x:v>15</x:v>
      </x:c>
      <x:c r="K354" s="19" t="n">
        <x:v>1</x:v>
      </x:c>
      <x:c r="L354" s="24" t="n">
        <x:v>13.839999999999998</x:v>
      </x:c>
      <x:c r="M354" s="26" t="n">
        <x:v>0.1</x:v>
      </x:c>
      <x:c r="N354" s="24" t="n">
        <x:v>10.150114931539523</x:v>
      </x:c>
      <x:c r="O354" s="28" t="n">
        <x:f>MIN(1,L354/I354)</x:f>
        <x:v>0.046133333333333325</x:v>
      </x:c>
      <x:c r="P354" s="30" t="n">
        <x:f>O354*J354*(1+M354)</x:f>
        <x:v>0.7611999999999999</x:v>
      </x:c>
      <x:c r="Q354" s="30" t="n">
        <x:f>P354*N354</x:f>
        <x:v>7.726267485887884</x:v>
      </x:c>
      <x:c r="R354" s="19" t="str">
        <x:v>独立判定</x:v>
      </x:c>
    </x:row>
    <x:row r="355" ht="19" customHeight="1">
      <x:c r="A355" s="19" t="str">
        <x:v>D00351</x:v>
      </x:c>
      <x:c r="B355" s="19" t="n">
        <x:v>2</x:v>
      </x:c>
      <x:c r="C355" s="19" t="n">
        <x:v>2</x:v>
      </x:c>
      <x:c r="D355" s="19" t="str">
        <x:v>EL-MON-LIM-GATE-010</x:v>
      </x:c>
      <x:c r="E355" s="19" t="str">
        <x:v>关隘战车</x:v>
      </x:c>
      <x:c r="F355" s="19" t="str">
        <x:v>稀有</x:v>
      </x:c>
      <x:c r="G355" s="19" t="str">
        <x:v>材料独立候选</x:v>
      </x:c>
      <x:c r="H355" s="19" t="str">
        <x:v>黄金树芽</x:v>
      </x:c>
      <x:c r="I355" s="22" t="n">
        <x:v>60</x:v>
      </x:c>
      <x:c r="J355" s="22" t="n">
        <x:v>2</x:v>
      </x:c>
      <x:c r="K355" s="19" t="n">
        <x:v>1</x:v>
      </x:c>
      <x:c r="L355" s="24" t="n">
        <x:v>13.839999999999998</x:v>
      </x:c>
      <x:c r="M355" s="26" t="n">
        <x:v>0.1</x:v>
      </x:c>
      <x:c r="N355" s="24" t="n">
        <x:v>10.150114931539523</x:v>
      </x:c>
      <x:c r="O355" s="28" t="n">
        <x:f>MIN(1,L355/I355)</x:f>
        <x:v>0.23066666666666663</x:v>
      </x:c>
      <x:c r="P355" s="30" t="n">
        <x:f>O355*J355*(1+M355)</x:f>
        <x:v>0.5074666666666666</x:v>
      </x:c>
      <x:c r="Q355" s="30" t="n">
        <x:f>P355*N355</x:f>
        <x:v>5.1508449905919225</x:v>
      </x:c>
      <x:c r="R355" s="19" t="str">
        <x:v>独立判定</x:v>
      </x:c>
    </x:row>
    <x:row r="356" ht="19" customHeight="1">
      <x:c r="A356" s="19" t="str">
        <x:v>D00352</x:v>
      </x:c>
      <x:c r="B356" s="19" t="n">
        <x:v>2</x:v>
      </x:c>
      <x:c r="C356" s="19" t="n">
        <x:v>2</x:v>
      </x:c>
      <x:c r="D356" s="19" t="str">
        <x:v>EL-MON-LIM-GATE-010</x:v>
      </x:c>
      <x:c r="E356" s="19" t="str">
        <x:v>关隘战车</x:v>
      </x:c>
      <x:c r="F356" s="19" t="str">
        <x:v>稀有</x:v>
      </x:c>
      <x:c r="G356" s="19" t="str">
        <x:v>材料独立候选</x:v>
      </x:c>
      <x:c r="H356" s="19" t="str">
        <x:v>野兽骨片</x:v>
      </x:c>
      <x:c r="I356" s="22" t="n">
        <x:v>60</x:v>
      </x:c>
      <x:c r="J356" s="22" t="n">
        <x:v>2</x:v>
      </x:c>
      <x:c r="K356" s="19" t="n">
        <x:v>1</x:v>
      </x:c>
      <x:c r="L356" s="24" t="n">
        <x:v>13.839999999999998</x:v>
      </x:c>
      <x:c r="M356" s="26" t="n">
        <x:v>0.1</x:v>
      </x:c>
      <x:c r="N356" s="24" t="n">
        <x:v>10.150114931539523</x:v>
      </x:c>
      <x:c r="O356" s="28" t="n">
        <x:f>MIN(1,L356/I356)</x:f>
        <x:v>0.23066666666666663</x:v>
      </x:c>
      <x:c r="P356" s="30" t="n">
        <x:f>O356*J356*(1+M356)</x:f>
        <x:v>0.5074666666666666</x:v>
      </x:c>
      <x:c r="Q356" s="30" t="n">
        <x:f>P356*N356</x:f>
        <x:v>5.1508449905919225</x:v>
      </x:c>
      <x:c r="R356" s="19" t="str">
        <x:v>独立判定</x:v>
      </x:c>
    </x:row>
    <x:row r="357" ht="19" customHeight="1">
      <x:c r="A357" s="19" t="str">
        <x:v>D00353</x:v>
      </x:c>
      <x:c r="B357" s="19" t="n">
        <x:v>2</x:v>
      </x:c>
      <x:c r="C357" s="19" t="n">
        <x:v>2</x:v>
      </x:c>
      <x:c r="D357" s="19" t="str">
        <x:v>EL-MON-LIM-GATE-010</x:v>
      </x:c>
      <x:c r="E357" s="19" t="str">
        <x:v>关隘战车</x:v>
      </x:c>
      <x:c r="F357" s="19" t="str">
        <x:v>稀有</x:v>
      </x:c>
      <x:c r="G357" s="19" t="str">
        <x:v>材料独立候选</x:v>
      </x:c>
      <x:c r="H357" s="19" t="str">
        <x:v>技能残页</x:v>
      </x:c>
      <x:c r="I357" s="22" t="n">
        <x:v>60</x:v>
      </x:c>
      <x:c r="J357" s="22" t="n">
        <x:v>1</x:v>
      </x:c>
      <x:c r="K357" s="19" t="n">
        <x:v>1</x:v>
      </x:c>
      <x:c r="L357" s="24" t="n">
        <x:v>13.839999999999998</x:v>
      </x:c>
      <x:c r="M357" s="26" t="n">
        <x:v>0.1</x:v>
      </x:c>
      <x:c r="N357" s="24" t="n">
        <x:v>10.150114931539523</x:v>
      </x:c>
      <x:c r="O357" s="28" t="n">
        <x:f>MIN(1,L357/I357)</x:f>
        <x:v>0.23066666666666663</x:v>
      </x:c>
      <x:c r="P357" s="30" t="n">
        <x:f>O357*J357*(1+M357)</x:f>
        <x:v>0.2537333333333333</x:v>
      </x:c>
      <x:c r="Q357" s="30" t="n">
        <x:f>P357*N357</x:f>
        <x:v>2.5754224952959612</x:v>
      </x:c>
      <x:c r="R357" s="19" t="str">
        <x:v>独立判定</x:v>
      </x:c>
    </x:row>
    <x:row r="358" ht="19" customHeight="1">
      <x:c r="A358" s="19" t="str">
        <x:v>D00354</x:v>
      </x:c>
      <x:c r="B358" s="19" t="n">
        <x:v>2</x:v>
      </x:c>
      <x:c r="C358" s="19" t="n">
        <x:v>2</x:v>
      </x:c>
      <x:c r="D358" s="19" t="str">
        <x:v>EL-MON-LIM-GATE-010</x:v>
      </x:c>
      <x:c r="E358" s="19" t="str">
        <x:v>关隘战车</x:v>
      </x:c>
      <x:c r="F358" s="19" t="str">
        <x:v>稀有</x:v>
      </x:c>
      <x:c r="G358" s="19" t="str">
        <x:v>材料独立候选</x:v>
      </x:c>
      <x:c r="H358" s="19" t="str">
        <x:v>小卢恩</x:v>
      </x:c>
      <x:c r="I358" s="22" t="n">
        <x:v>2500</x:v>
      </x:c>
      <x:c r="J358" s="22" t="n">
        <x:v>1</x:v>
      </x:c>
      <x:c r="K358" s="19" t="n">
        <x:v>1</x:v>
      </x:c>
      <x:c r="L358" s="24" t="n">
        <x:v>13.839999999999998</x:v>
      </x:c>
      <x:c r="M358" s="26" t="n">
        <x:v>0.1</x:v>
      </x:c>
      <x:c r="N358" s="24" t="n">
        <x:v>10.150114931539523</x:v>
      </x:c>
      <x:c r="O358" s="28" t="n">
        <x:f>MIN(1,L358/I358)</x:f>
        <x:v>0.005535999999999999</x:v>
      </x:c>
      <x:c r="P358" s="30" t="n">
        <x:f>O358*J358*(1+M358)</x:f>
        <x:v>0.0060896</x:v>
      </x:c>
      <x:c r="Q358" s="30" t="n">
        <x:f>P358*N358</x:f>
        <x:v>0.06181013988710308</x:v>
      </x:c>
      <x:c r="R358" s="19" t="str">
        <x:v>独立判定</x:v>
      </x:c>
    </x:row>
    <x:row r="359" ht="19" customHeight="1">
      <x:c r="A359" s="19" t="str">
        <x:v>D00355</x:v>
      </x:c>
      <x:c r="B359" s="19" t="n">
        <x:v>2</x:v>
      </x:c>
      <x:c r="C359" s="19" t="n">
        <x:v>2</x:v>
      </x:c>
      <x:c r="D359" s="19" t="str">
        <x:v>EL-MON-LIM-GATE-010</x:v>
      </x:c>
      <x:c r="E359" s="19" t="str">
        <x:v>关隘战车</x:v>
      </x:c>
      <x:c r="F359" s="19" t="str">
        <x:v>稀有</x:v>
      </x:c>
      <x:c r="G359" s="19" t="str">
        <x:v>六神器公共池</x:v>
      </x:c>
      <x:c r="H359" s="19" t="str">
        <x:v>POOL006</x:v>
      </x:c>
      <x:c r="I359" s="22" t="n">
        <x:v>5000000</x:v>
      </x:c>
      <x:c r="J359" s="22" t="n">
        <x:v>1</x:v>
      </x:c>
      <x:c r="K359" s="19" t="n">
        <x:v>6</x:v>
      </x:c>
      <x:c r="L359" s="24" t="n">
        <x:v>13.839999999999998</x:v>
      </x:c>
      <x:c r="M359" s="26" t="n">
        <x:v>0.1</x:v>
      </x:c>
      <x:c r="N359" s="24" t="n">
        <x:v>10.150114931539523</x:v>
      </x:c>
      <x:c r="O359" s="28" t="n">
        <x:f>MIN(1,L359/I359)</x:f>
        <x:v>0.0000027679999999999996</x:v>
      </x:c>
      <x:c r="P359" s="30" t="n">
        <x:f>O359*J359*(1+M359)</x:f>
        <x:v>0.0000030447999999999996</x:v>
      </x:c>
      <x:c r="Q359" s="30" t="n">
        <x:f>P359*N359</x:f>
        <x:v>0.00003090506994355154</x:v>
      </x:c>
      <x:c r="R359" s="19" t="str">
        <x:v>六选一；非6个独立爆率</x:v>
      </x:c>
    </x:row>
    <x:row r="360" ht="19" customHeight="1">
      <x:c r="A360" s="19" t="str">
        <x:v>D00356</x:v>
      </x:c>
      <x:c r="B360" s="19" t="n">
        <x:v>2</x:v>
      </x:c>
      <x:c r="C360" s="19" t="n">
        <x:v>2</x:v>
      </x:c>
      <x:c r="D360" s="19" t="str">
        <x:v>EL-MON-LIM-GATE-011</x:v>
      </x:c>
      <x:c r="E360" s="19" t="str">
        <x:v>大树守卫·罗兰</x:v>
      </x:c>
      <x:c r="F360" s="19" t="str">
        <x:v>地图BOSS</x:v>
      </x:c>
      <x:c r="G360" s="19" t="str">
        <x:v>自身专属</x:v>
      </x:c>
      <x:c r="H360" s="19" t="str">
        <x:v>长戟寅虎</x:v>
      </x:c>
      <x:c r="I360" s="22" t="n">
        <x:v>30</x:v>
      </x:c>
      <x:c r="J360" s="22" t="n">
        <x:v>1</x:v>
      </x:c>
      <x:c r="K360" s="19" t="n">
        <x:v>1</x:v>
      </x:c>
      <x:c r="L360" s="24" t="n">
        <x:v>13.839999999999998</x:v>
      </x:c>
      <x:c r="M360" s="26" t="n">
        <x:v>0.1</x:v>
      </x:c>
      <x:c r="N360" s="24" t="n">
        <x:v>2</x:v>
      </x:c>
      <x:c r="O360" s="28" t="n">
        <x:f>MIN(1,L360/I360)</x:f>
        <x:v>0.46133333333333326</x:v>
      </x:c>
      <x:c r="P360" s="30" t="n">
        <x:f>O360*J360*(1+M360)</x:f>
        <x:v>0.5074666666666666</x:v>
      </x:c>
      <x:c r="Q360" s="30" t="n">
        <x:f>P360*N360</x:f>
        <x:v>1.0149333333333332</x:v>
      </x:c>
      <x:c r="R360" s="19" t="str">
        <x:v>独立判定</x:v>
      </x:c>
    </x:row>
    <x:row r="361" ht="19" customHeight="1">
      <x:c r="A361" s="19" t="str">
        <x:v>D00357</x:v>
      </x:c>
      <x:c r="B361" s="19" t="n">
        <x:v>2</x:v>
      </x:c>
      <x:c r="C361" s="19" t="n">
        <x:v>2</x:v>
      </x:c>
      <x:c r="D361" s="19" t="str">
        <x:v>EL-MON-LIM-GATE-011</x:v>
      </x:c>
      <x:c r="E361" s="19" t="str">
        <x:v>大树守卫·罗兰</x:v>
      </x:c>
      <x:c r="F361" s="19" t="str">
        <x:v>地图BOSS</x:v>
      </x:c>
      <x:c r="G361" s="19" t="str">
        <x:v>本图普通兼掉候选</x:v>
      </x:c>
      <x:c r="H361" s="19" t="str">
        <x:v>POOL008</x:v>
      </x:c>
      <x:c r="I361" s="22" t="n">
        <x:v>30</x:v>
      </x:c>
      <x:c r="J361" s="22" t="n">
        <x:v>1</x:v>
      </x:c>
      <x:c r="K361" s="19" t="n">
        <x:v>2</x:v>
      </x:c>
      <x:c r="L361" s="24" t="n">
        <x:v>13.839999999999998</x:v>
      </x:c>
      <x:c r="M361" s="26" t="n">
        <x:v>0.1</x:v>
      </x:c>
      <x:c r="N361" s="24" t="n">
        <x:v>2</x:v>
      </x:c>
      <x:c r="O361" s="28" t="n">
        <x:f>MIN(1,L361/I361)</x:f>
        <x:v>0.46133333333333326</x:v>
      </x:c>
      <x:c r="P361" s="30" t="n">
        <x:f>O361*J361*(1+M361)</x:f>
        <x:v>0.5074666666666666</x:v>
      </x:c>
      <x:c r="Q361" s="30" t="n">
        <x:f>P361*N361</x:f>
        <x:v>1.0149333333333332</x:v>
      </x:c>
      <x:c r="R361" s="19" t="str">
        <x:v>单池选一</x:v>
      </x:c>
    </x:row>
    <x:row r="362" ht="19" customHeight="1">
      <x:c r="A362" s="19" t="str">
        <x:v>D00358</x:v>
      </x:c>
      <x:c r="B362" s="19" t="n">
        <x:v>2</x:v>
      </x:c>
      <x:c r="C362" s="19" t="n">
        <x:v>2</x:v>
      </x:c>
      <x:c r="D362" s="19" t="str">
        <x:v>EL-MON-LIM-GATE-011</x:v>
      </x:c>
      <x:c r="E362" s="19" t="str">
        <x:v>大树守卫·罗兰</x:v>
      </x:c>
      <x:c r="F362" s="19" t="str">
        <x:v>地图BOSS</x:v>
      </x:c>
      <x:c r="G362" s="19" t="str">
        <x:v>材料独立候选</x:v>
      </x:c>
      <x:c r="H362" s="19" t="str">
        <x:v>风暴石片</x:v>
      </x:c>
      <x:c r="I362" s="22" t="n">
        <x:v>150</x:v>
      </x:c>
      <x:c r="J362" s="22" t="n">
        <x:v>30</x:v>
      </x:c>
      <x:c r="K362" s="19" t="n">
        <x:v>1</x:v>
      </x:c>
      <x:c r="L362" s="24" t="n">
        <x:v>13.839999999999998</x:v>
      </x:c>
      <x:c r="M362" s="26" t="n">
        <x:v>0.1</x:v>
      </x:c>
      <x:c r="N362" s="24" t="n">
        <x:v>2</x:v>
      </x:c>
      <x:c r="O362" s="28" t="n">
        <x:f>MIN(1,L362/I362)</x:f>
        <x:v>0.09226666666666665</x:v>
      </x:c>
      <x:c r="P362" s="30" t="n">
        <x:f>O362*J362*(1+M362)</x:f>
        <x:v>3.0447999999999995</x:v>
      </x:c>
      <x:c r="Q362" s="30" t="n">
        <x:f>P362*N362</x:f>
        <x:v>6.089599999999999</x:v>
      </x:c>
      <x:c r="R362" s="19" t="str">
        <x:v>独立判定</x:v>
      </x:c>
    </x:row>
    <x:row r="363" ht="19" customHeight="1">
      <x:c r="A363" s="19" t="str">
        <x:v>D00359</x:v>
      </x:c>
      <x:c r="B363" s="19" t="n">
        <x:v>2</x:v>
      </x:c>
      <x:c r="C363" s="19" t="n">
        <x:v>2</x:v>
      </x:c>
      <x:c r="D363" s="19" t="str">
        <x:v>EL-MON-LIM-GATE-011</x:v>
      </x:c>
      <x:c r="E363" s="19" t="str">
        <x:v>大树守卫·罗兰</x:v>
      </x:c>
      <x:c r="F363" s="19" t="str">
        <x:v>地图BOSS</x:v>
      </x:c>
      <x:c r="G363" s="19" t="str">
        <x:v>材料独立候选</x:v>
      </x:c>
      <x:c r="H363" s="19" t="str">
        <x:v>黄金树芽</x:v>
      </x:c>
      <x:c r="I363" s="22" t="n">
        <x:v>30</x:v>
      </x:c>
      <x:c r="J363" s="22" t="n">
        <x:v>2</x:v>
      </x:c>
      <x:c r="K363" s="19" t="n">
        <x:v>1</x:v>
      </x:c>
      <x:c r="L363" s="24" t="n">
        <x:v>13.839999999999998</x:v>
      </x:c>
      <x:c r="M363" s="26" t="n">
        <x:v>0.1</x:v>
      </x:c>
      <x:c r="N363" s="24" t="n">
        <x:v>2</x:v>
      </x:c>
      <x:c r="O363" s="28" t="n">
        <x:f>MIN(1,L363/I363)</x:f>
        <x:v>0.46133333333333326</x:v>
      </x:c>
      <x:c r="P363" s="30" t="n">
        <x:f>O363*J363*(1+M363)</x:f>
        <x:v>1.0149333333333332</x:v>
      </x:c>
      <x:c r="Q363" s="30" t="n">
        <x:f>P363*N363</x:f>
        <x:v>2.0298666666666665</x:v>
      </x:c>
      <x:c r="R363" s="19" t="str">
        <x:v>独立判定</x:v>
      </x:c>
    </x:row>
    <x:row r="364" ht="19" customHeight="1">
      <x:c r="A364" s="19" t="str">
        <x:v>D00360</x:v>
      </x:c>
      <x:c r="B364" s="19" t="n">
        <x:v>2</x:v>
      </x:c>
      <x:c r="C364" s="19" t="n">
        <x:v>2</x:v>
      </x:c>
      <x:c r="D364" s="19" t="str">
        <x:v>EL-MON-LIM-GATE-011</x:v>
      </x:c>
      <x:c r="E364" s="19" t="str">
        <x:v>大树守卫·罗兰</x:v>
      </x:c>
      <x:c r="F364" s="19" t="str">
        <x:v>地图BOSS</x:v>
      </x:c>
      <x:c r="G364" s="19" t="str">
        <x:v>材料独立候选</x:v>
      </x:c>
      <x:c r="H364" s="19" t="str">
        <x:v>接肢王印</x:v>
      </x:c>
      <x:c r="I364" s="22" t="n">
        <x:v>80</x:v>
      </x:c>
      <x:c r="J364" s="22" t="n">
        <x:v>2</x:v>
      </x:c>
      <x:c r="K364" s="19" t="n">
        <x:v>1</x:v>
      </x:c>
      <x:c r="L364" s="24" t="n">
        <x:v>13.839999999999998</x:v>
      </x:c>
      <x:c r="M364" s="26" t="n">
        <x:v>0.1</x:v>
      </x:c>
      <x:c r="N364" s="24" t="n">
        <x:v>2</x:v>
      </x:c>
      <x:c r="O364" s="28" t="n">
        <x:f>MIN(1,L364/I364)</x:f>
        <x:v>0.173</x:v>
      </x:c>
      <x:c r="P364" s="30" t="n">
        <x:f>O364*J364*(1+M364)</x:f>
        <x:v>0.3806</x:v>
      </x:c>
      <x:c r="Q364" s="30" t="n">
        <x:f>P364*N364</x:f>
        <x:v>0.7612</x:v>
      </x:c>
      <x:c r="R364" s="19" t="str">
        <x:v>独立判定</x:v>
      </x:c>
    </x:row>
    <x:row r="365" ht="19" customHeight="1">
      <x:c r="A365" s="19" t="str">
        <x:v>D00361</x:v>
      </x:c>
      <x:c r="B365" s="19" t="n">
        <x:v>2</x:v>
      </x:c>
      <x:c r="C365" s="19" t="n">
        <x:v>2</x:v>
      </x:c>
      <x:c r="D365" s="19" t="str">
        <x:v>EL-MON-LIM-GATE-011</x:v>
      </x:c>
      <x:c r="E365" s="19" t="str">
        <x:v>大树守卫·罗兰</x:v>
      </x:c>
      <x:c r="F365" s="19" t="str">
        <x:v>地图BOSS</x:v>
      </x:c>
      <x:c r="G365" s="19" t="str">
        <x:v>材料独立候选</x:v>
      </x:c>
      <x:c r="H365" s="19" t="str">
        <x:v>树卫枪穗</x:v>
      </x:c>
      <x:c r="I365" s="22" t="n">
        <x:v>60</x:v>
      </x:c>
      <x:c r="J365" s="22" t="n">
        <x:v>1</x:v>
      </x:c>
      <x:c r="K365" s="19" t="n">
        <x:v>1</x:v>
      </x:c>
      <x:c r="L365" s="24" t="n">
        <x:v>13.839999999999998</x:v>
      </x:c>
      <x:c r="M365" s="26" t="n">
        <x:v>0.1</x:v>
      </x:c>
      <x:c r="N365" s="24" t="n">
        <x:v>2</x:v>
      </x:c>
      <x:c r="O365" s="28" t="n">
        <x:f>MIN(1,L365/I365)</x:f>
        <x:v>0.23066666666666663</x:v>
      </x:c>
      <x:c r="P365" s="30" t="n">
        <x:f>O365*J365*(1+M365)</x:f>
        <x:v>0.2537333333333333</x:v>
      </x:c>
      <x:c r="Q365" s="30" t="n">
        <x:f>P365*N365</x:f>
        <x:v>0.5074666666666666</x:v>
      </x:c>
      <x:c r="R365" s="19" t="str">
        <x:v>独立判定</x:v>
      </x:c>
    </x:row>
    <x:row r="366" ht="19" customHeight="1">
      <x:c r="A366" s="19" t="str">
        <x:v>D00362</x:v>
      </x:c>
      <x:c r="B366" s="19" t="n">
        <x:v>2</x:v>
      </x:c>
      <x:c r="C366" s="19" t="n">
        <x:v>2</x:v>
      </x:c>
      <x:c r="D366" s="19" t="str">
        <x:v>EL-MON-LIM-GATE-011</x:v>
      </x:c>
      <x:c r="E366" s="19" t="str">
        <x:v>大树守卫·罗兰</x:v>
      </x:c>
      <x:c r="F366" s="19" t="str">
        <x:v>地图BOSS</x:v>
      </x:c>
      <x:c r="G366" s="19" t="str">
        <x:v>材料独立候选</x:v>
      </x:c>
      <x:c r="H366" s="19" t="str">
        <x:v>野兽骨片</x:v>
      </x:c>
      <x:c r="I366" s="22" t="n">
        <x:v>40</x:v>
      </x:c>
      <x:c r="J366" s="22" t="n">
        <x:v>2</x:v>
      </x:c>
      <x:c r="K366" s="19" t="n">
        <x:v>1</x:v>
      </x:c>
      <x:c r="L366" s="24" t="n">
        <x:v>13.839999999999998</x:v>
      </x:c>
      <x:c r="M366" s="26" t="n">
        <x:v>0.1</x:v>
      </x:c>
      <x:c r="N366" s="24" t="n">
        <x:v>2</x:v>
      </x:c>
      <x:c r="O366" s="28" t="n">
        <x:f>MIN(1,L366/I366)</x:f>
        <x:v>0.346</x:v>
      </x:c>
      <x:c r="P366" s="30" t="n">
        <x:f>O366*J366*(1+M366)</x:f>
        <x:v>0.7612</x:v>
      </x:c>
      <x:c r="Q366" s="30" t="n">
        <x:f>P366*N366</x:f>
        <x:v>1.5224</x:v>
      </x:c>
      <x:c r="R366" s="19" t="str">
        <x:v>独立判定</x:v>
      </x:c>
    </x:row>
    <x:row r="367" ht="19" customHeight="1">
      <x:c r="A367" s="19" t="str">
        <x:v>D00363</x:v>
      </x:c>
      <x:c r="B367" s="19" t="n">
        <x:v>2</x:v>
      </x:c>
      <x:c r="C367" s="19" t="n">
        <x:v>2</x:v>
      </x:c>
      <x:c r="D367" s="19" t="str">
        <x:v>EL-MON-LIM-GATE-011</x:v>
      </x:c>
      <x:c r="E367" s="19" t="str">
        <x:v>大树守卫·罗兰</x:v>
      </x:c>
      <x:c r="F367" s="19" t="str">
        <x:v>地图BOSS</x:v>
      </x:c>
      <x:c r="G367" s="19" t="str">
        <x:v>材料独立候选</x:v>
      </x:c>
      <x:c r="H367" s="19" t="str">
        <x:v>技能残页</x:v>
      </x:c>
      <x:c r="I367" s="22" t="n">
        <x:v>30</x:v>
      </x:c>
      <x:c r="J367" s="22" t="n">
        <x:v>1</x:v>
      </x:c>
      <x:c r="K367" s="19" t="n">
        <x:v>1</x:v>
      </x:c>
      <x:c r="L367" s="24" t="n">
        <x:v>13.839999999999998</x:v>
      </x:c>
      <x:c r="M367" s="26" t="n">
        <x:v>0.1</x:v>
      </x:c>
      <x:c r="N367" s="24" t="n">
        <x:v>2</x:v>
      </x:c>
      <x:c r="O367" s="28" t="n">
        <x:f>MIN(1,L367/I367)</x:f>
        <x:v>0.46133333333333326</x:v>
      </x:c>
      <x:c r="P367" s="30" t="n">
        <x:f>O367*J367*(1+M367)</x:f>
        <x:v>0.5074666666666666</x:v>
      </x:c>
      <x:c r="Q367" s="30" t="n">
        <x:f>P367*N367</x:f>
        <x:v>1.0149333333333332</x:v>
      </x:c>
      <x:c r="R367" s="19" t="str">
        <x:v>独立判定</x:v>
      </x:c>
    </x:row>
    <x:row r="368" ht="19" customHeight="1">
      <x:c r="A368" s="19" t="str">
        <x:v>D00364</x:v>
      </x:c>
      <x:c r="B368" s="19" t="n">
        <x:v>2</x:v>
      </x:c>
      <x:c r="C368" s="19" t="n">
        <x:v>2</x:v>
      </x:c>
      <x:c r="D368" s="19" t="str">
        <x:v>EL-MON-LIM-GATE-011</x:v>
      </x:c>
      <x:c r="E368" s="19" t="str">
        <x:v>大树守卫·罗兰</x:v>
      </x:c>
      <x:c r="F368" s="19" t="str">
        <x:v>地图BOSS</x:v>
      </x:c>
      <x:c r="G368" s="19" t="str">
        <x:v>材料独立候选</x:v>
      </x:c>
      <x:c r="H368" s="19" t="str">
        <x:v>宁姆格福誓页</x:v>
      </x:c>
      <x:c r="I368" s="22" t="n">
        <x:v>180</x:v>
      </x:c>
      <x:c r="J368" s="22" t="n">
        <x:v>1</x:v>
      </x:c>
      <x:c r="K368" s="19" t="n">
        <x:v>1</x:v>
      </x:c>
      <x:c r="L368" s="24" t="n">
        <x:v>13.839999999999998</x:v>
      </x:c>
      <x:c r="M368" s="26" t="n">
        <x:v>0.1</x:v>
      </x:c>
      <x:c r="N368" s="24" t="n">
        <x:v>2</x:v>
      </x:c>
      <x:c r="O368" s="28" t="n">
        <x:f>MIN(1,L368/I368)</x:f>
        <x:v>0.07688888888888888</x:v>
      </x:c>
      <x:c r="P368" s="30" t="n">
        <x:f>O368*J368*(1+M368)</x:f>
        <x:v>0.08457777777777778</x:v>
      </x:c>
      <x:c r="Q368" s="30" t="n">
        <x:f>P368*N368</x:f>
        <x:v>0.16915555555555556</x:v>
      </x:c>
      <x:c r="R368" s="19" t="str">
        <x:v>独立判定</x:v>
      </x:c>
    </x:row>
    <x:row r="369" ht="19" customHeight="1">
      <x:c r="A369" s="19" t="str">
        <x:v>D00365</x:v>
      </x:c>
      <x:c r="B369" s="19" t="n">
        <x:v>2</x:v>
      </x:c>
      <x:c r="C369" s="19" t="n">
        <x:v>2</x:v>
      </x:c>
      <x:c r="D369" s="19" t="str">
        <x:v>EL-MON-LIM-GATE-011</x:v>
      </x:c>
      <x:c r="E369" s="19" t="str">
        <x:v>大树守卫·罗兰</x:v>
      </x:c>
      <x:c r="F369" s="19" t="str">
        <x:v>地图BOSS</x:v>
      </x:c>
      <x:c r="G369" s="19" t="str">
        <x:v>材料独立候选</x:v>
      </x:c>
      <x:c r="H369" s="19" t="str">
        <x:v>小卢恩</x:v>
      </x:c>
      <x:c r="I369" s="22" t="n">
        <x:v>1200</x:v>
      </x:c>
      <x:c r="J369" s="22" t="n">
        <x:v>1</x:v>
      </x:c>
      <x:c r="K369" s="19" t="n">
        <x:v>1</x:v>
      </x:c>
      <x:c r="L369" s="24" t="n">
        <x:v>13.839999999999998</x:v>
      </x:c>
      <x:c r="M369" s="26" t="n">
        <x:v>0.1</x:v>
      </x:c>
      <x:c r="N369" s="24" t="n">
        <x:v>2</x:v>
      </x:c>
      <x:c r="O369" s="28" t="n">
        <x:f>MIN(1,L369/I369)</x:f>
        <x:v>0.011533333333333331</x:v>
      </x:c>
      <x:c r="P369" s="30" t="n">
        <x:f>O369*J369*(1+M369)</x:f>
        <x:v>0.012686666666666666</x:v>
      </x:c>
      <x:c r="Q369" s="30" t="n">
        <x:f>P369*N369</x:f>
        <x:v>0.02537333333333333</x:v>
      </x:c>
      <x:c r="R369" s="19" t="str">
        <x:v>独立判定</x:v>
      </x:c>
    </x:row>
    <x:row r="370" ht="19" customHeight="1">
      <x:c r="A370" s="19" t="str">
        <x:v>D00366</x:v>
      </x:c>
      <x:c r="B370" s="19" t="n">
        <x:v>2</x:v>
      </x:c>
      <x:c r="C370" s="19" t="n">
        <x:v>2</x:v>
      </x:c>
      <x:c r="D370" s="19" t="str">
        <x:v>EL-MON-LIM-GATE-011</x:v>
      </x:c>
      <x:c r="E370" s="19" t="str">
        <x:v>大树守卫·罗兰</x:v>
      </x:c>
      <x:c r="F370" s="19" t="str">
        <x:v>地图BOSS</x:v>
      </x:c>
      <x:c r="G370" s="19" t="str">
        <x:v>材料独立候选</x:v>
      </x:c>
      <x:c r="H370" s="19" t="str">
        <x:v>大卢恩</x:v>
      </x:c>
      <x:c r="I370" s="22" t="n">
        <x:v>120</x:v>
      </x:c>
      <x:c r="J370" s="22" t="n">
        <x:v>1</x:v>
      </x:c>
      <x:c r="K370" s="19" t="n">
        <x:v>1</x:v>
      </x:c>
      <x:c r="L370" s="24" t="n">
        <x:v>13.839999999999998</x:v>
      </x:c>
      <x:c r="M370" s="26" t="n">
        <x:v>0.1</x:v>
      </x:c>
      <x:c r="N370" s="24" t="n">
        <x:v>2</x:v>
      </x:c>
      <x:c r="O370" s="28" t="n">
        <x:f>MIN(1,L370/I370)</x:f>
        <x:v>0.11533333333333332</x:v>
      </x:c>
      <x:c r="P370" s="30" t="n">
        <x:f>O370*J370*(1+M370)</x:f>
        <x:v>0.12686666666666666</x:v>
      </x:c>
      <x:c r="Q370" s="30" t="n">
        <x:f>P370*N370</x:f>
        <x:v>0.2537333333333333</x:v>
      </x:c>
      <x:c r="R370" s="19" t="str">
        <x:v>独立判定</x:v>
      </x:c>
    </x:row>
    <x:row r="371" ht="19" customHeight="1">
      <x:c r="A371" s="19" t="str">
        <x:v>D00367</x:v>
      </x:c>
      <x:c r="B371" s="19" t="n">
        <x:v>2</x:v>
      </x:c>
      <x:c r="C371" s="19" t="n">
        <x:v>2</x:v>
      </x:c>
      <x:c r="D371" s="19" t="str">
        <x:v>EL-MON-LIM-GATE-011</x:v>
      </x:c>
      <x:c r="E371" s="19" t="str">
        <x:v>大树守卫·罗兰</x:v>
      </x:c>
      <x:c r="F371" s="19" t="str">
        <x:v>地图BOSS</x:v>
      </x:c>
      <x:c r="G371" s="19" t="str">
        <x:v>六神器公共池</x:v>
      </x:c>
      <x:c r="H371" s="19" t="str">
        <x:v>POOL006</x:v>
      </x:c>
      <x:c r="I371" s="22" t="n">
        <x:v>200000</x:v>
      </x:c>
      <x:c r="J371" s="22" t="n">
        <x:v>1</x:v>
      </x:c>
      <x:c r="K371" s="19" t="n">
        <x:v>6</x:v>
      </x:c>
      <x:c r="L371" s="24" t="n">
        <x:v>13.839999999999998</x:v>
      </x:c>
      <x:c r="M371" s="26" t="n">
        <x:v>0.1</x:v>
      </x:c>
      <x:c r="N371" s="24" t="n">
        <x:v>2</x:v>
      </x:c>
      <x:c r="O371" s="28" t="n">
        <x:f>MIN(1,L371/I371)</x:f>
        <x:v>0.00006919999999999999</x:v>
      </x:c>
      <x:c r="P371" s="30" t="n">
        <x:f>O371*J371*(1+M371)</x:f>
        <x:v>0.00007612</x:v>
      </x:c>
      <x:c r="Q371" s="30" t="n">
        <x:f>P371*N371</x:f>
        <x:v>0.00015224</x:v>
      </x:c>
      <x:c r="R371" s="19" t="str">
        <x:v>六选一；非6个独立爆率</x:v>
      </x:c>
    </x:row>
    <x:row r="372" ht="19" customHeight="1">
      <x:c r="A372" s="19" t="str">
        <x:v>D00368</x:v>
      </x:c>
      <x:c r="B372" s="19" t="n">
        <x:v>2</x:v>
      </x:c>
      <x:c r="C372" s="19" t="n">
        <x:v>2</x:v>
      </x:c>
      <x:c r="D372" s="19" t="str">
        <x:v>EL-MON-LIM-GATE-012</x:v>
      </x:c>
      <x:c r="E372" s="19" t="str">
        <x:v>黑夜骑兵·莫尔</x:v>
      </x:c>
      <x:c r="F372" s="19" t="str">
        <x:v>地图BOSS</x:v>
      </x:c>
      <x:c r="G372" s="19" t="str">
        <x:v>自身专属</x:v>
      </x:c>
      <x:c r="H372" s="19" t="str">
        <x:v>无月卯兔</x:v>
      </x:c>
      <x:c r="I372" s="22" t="n">
        <x:v>30</x:v>
      </x:c>
      <x:c r="J372" s="22" t="n">
        <x:v>1</x:v>
      </x:c>
      <x:c r="K372" s="19" t="n">
        <x:v>1</x:v>
      </x:c>
      <x:c r="L372" s="24" t="n">
        <x:v>13.839999999999998</x:v>
      </x:c>
      <x:c r="M372" s="26" t="n">
        <x:v>0.1</x:v>
      </x:c>
      <x:c r="N372" s="24" t="n">
        <x:v>2</x:v>
      </x:c>
      <x:c r="O372" s="28" t="n">
        <x:f>MIN(1,L372/I372)</x:f>
        <x:v>0.46133333333333326</x:v>
      </x:c>
      <x:c r="P372" s="30" t="n">
        <x:f>O372*J372*(1+M372)</x:f>
        <x:v>0.5074666666666666</x:v>
      </x:c>
      <x:c r="Q372" s="30" t="n">
        <x:f>P372*N372</x:f>
        <x:v>1.0149333333333332</x:v>
      </x:c>
      <x:c r="R372" s="19" t="str">
        <x:v>独立判定</x:v>
      </x:c>
    </x:row>
    <x:row r="373" ht="19" customHeight="1">
      <x:c r="A373" s="19" t="str">
        <x:v>D00369</x:v>
      </x:c>
      <x:c r="B373" s="19" t="n">
        <x:v>2</x:v>
      </x:c>
      <x:c r="C373" s="19" t="n">
        <x:v>2</x:v>
      </x:c>
      <x:c r="D373" s="19" t="str">
        <x:v>EL-MON-LIM-GATE-012</x:v>
      </x:c>
      <x:c r="E373" s="19" t="str">
        <x:v>黑夜骑兵·莫尔</x:v>
      </x:c>
      <x:c r="F373" s="19" t="str">
        <x:v>地图BOSS</x:v>
      </x:c>
      <x:c r="G373" s="19" t="str">
        <x:v>本图普通兼掉候选</x:v>
      </x:c>
      <x:c r="H373" s="19" t="str">
        <x:v>POOL008</x:v>
      </x:c>
      <x:c r="I373" s="22" t="n">
        <x:v>30</x:v>
      </x:c>
      <x:c r="J373" s="22" t="n">
        <x:v>1</x:v>
      </x:c>
      <x:c r="K373" s="19" t="n">
        <x:v>2</x:v>
      </x:c>
      <x:c r="L373" s="24" t="n">
        <x:v>13.839999999999998</x:v>
      </x:c>
      <x:c r="M373" s="26" t="n">
        <x:v>0.1</x:v>
      </x:c>
      <x:c r="N373" s="24" t="n">
        <x:v>2</x:v>
      </x:c>
      <x:c r="O373" s="28" t="n">
        <x:f>MIN(1,L373/I373)</x:f>
        <x:v>0.46133333333333326</x:v>
      </x:c>
      <x:c r="P373" s="30" t="n">
        <x:f>O373*J373*(1+M373)</x:f>
        <x:v>0.5074666666666666</x:v>
      </x:c>
      <x:c r="Q373" s="30" t="n">
        <x:f>P373*N373</x:f>
        <x:v>1.0149333333333332</x:v>
      </x:c>
      <x:c r="R373" s="19" t="str">
        <x:v>单池选一</x:v>
      </x:c>
    </x:row>
    <x:row r="374" ht="19" customHeight="1">
      <x:c r="A374" s="19" t="str">
        <x:v>D00370</x:v>
      </x:c>
      <x:c r="B374" s="19" t="n">
        <x:v>2</x:v>
      </x:c>
      <x:c r="C374" s="19" t="n">
        <x:v>2</x:v>
      </x:c>
      <x:c r="D374" s="19" t="str">
        <x:v>EL-MON-LIM-GATE-012</x:v>
      </x:c>
      <x:c r="E374" s="19" t="str">
        <x:v>黑夜骑兵·莫尔</x:v>
      </x:c>
      <x:c r="F374" s="19" t="str">
        <x:v>地图BOSS</x:v>
      </x:c>
      <x:c r="G374" s="19" t="str">
        <x:v>材料独立候选</x:v>
      </x:c>
      <x:c r="H374" s="19" t="str">
        <x:v>风暴石片</x:v>
      </x:c>
      <x:c r="I374" s="22" t="n">
        <x:v>150</x:v>
      </x:c>
      <x:c r="J374" s="22" t="n">
        <x:v>30</x:v>
      </x:c>
      <x:c r="K374" s="19" t="n">
        <x:v>1</x:v>
      </x:c>
      <x:c r="L374" s="24" t="n">
        <x:v>13.839999999999998</x:v>
      </x:c>
      <x:c r="M374" s="26" t="n">
        <x:v>0.1</x:v>
      </x:c>
      <x:c r="N374" s="24" t="n">
        <x:v>2</x:v>
      </x:c>
      <x:c r="O374" s="28" t="n">
        <x:f>MIN(1,L374/I374)</x:f>
        <x:v>0.09226666666666665</x:v>
      </x:c>
      <x:c r="P374" s="30" t="n">
        <x:f>O374*J374*(1+M374)</x:f>
        <x:v>3.0447999999999995</x:v>
      </x:c>
      <x:c r="Q374" s="30" t="n">
        <x:f>P374*N374</x:f>
        <x:v>6.089599999999999</x:v>
      </x:c>
      <x:c r="R374" s="19" t="str">
        <x:v>独立判定</x:v>
      </x:c>
    </x:row>
    <x:row r="375" ht="19" customHeight="1">
      <x:c r="A375" s="19" t="str">
        <x:v>D00371</x:v>
      </x:c>
      <x:c r="B375" s="19" t="n">
        <x:v>2</x:v>
      </x:c>
      <x:c r="C375" s="19" t="n">
        <x:v>2</x:v>
      </x:c>
      <x:c r="D375" s="19" t="str">
        <x:v>EL-MON-LIM-GATE-012</x:v>
      </x:c>
      <x:c r="E375" s="19" t="str">
        <x:v>黑夜骑兵·莫尔</x:v>
      </x:c>
      <x:c r="F375" s="19" t="str">
        <x:v>地图BOSS</x:v>
      </x:c>
      <x:c r="G375" s="19" t="str">
        <x:v>材料独立候选</x:v>
      </x:c>
      <x:c r="H375" s="19" t="str">
        <x:v>黄金树芽</x:v>
      </x:c>
      <x:c r="I375" s="22" t="n">
        <x:v>30</x:v>
      </x:c>
      <x:c r="J375" s="22" t="n">
        <x:v>2</x:v>
      </x:c>
      <x:c r="K375" s="19" t="n">
        <x:v>1</x:v>
      </x:c>
      <x:c r="L375" s="24" t="n">
        <x:v>13.839999999999998</x:v>
      </x:c>
      <x:c r="M375" s="26" t="n">
        <x:v>0.1</x:v>
      </x:c>
      <x:c r="N375" s="24" t="n">
        <x:v>2</x:v>
      </x:c>
      <x:c r="O375" s="28" t="n">
        <x:f>MIN(1,L375/I375)</x:f>
        <x:v>0.46133333333333326</x:v>
      </x:c>
      <x:c r="P375" s="30" t="n">
        <x:f>O375*J375*(1+M375)</x:f>
        <x:v>1.0149333333333332</x:v>
      </x:c>
      <x:c r="Q375" s="30" t="n">
        <x:f>P375*N375</x:f>
        <x:v>2.0298666666666665</x:v>
      </x:c>
      <x:c r="R375" s="19" t="str">
        <x:v>独立判定</x:v>
      </x:c>
    </x:row>
    <x:row r="376" ht="19" customHeight="1">
      <x:c r="A376" s="19" t="str">
        <x:v>D00372</x:v>
      </x:c>
      <x:c r="B376" s="19" t="n">
        <x:v>2</x:v>
      </x:c>
      <x:c r="C376" s="19" t="n">
        <x:v>2</x:v>
      </x:c>
      <x:c r="D376" s="19" t="str">
        <x:v>EL-MON-LIM-GATE-012</x:v>
      </x:c>
      <x:c r="E376" s="19" t="str">
        <x:v>黑夜骑兵·莫尔</x:v>
      </x:c>
      <x:c r="F376" s="19" t="str">
        <x:v>地图BOSS</x:v>
      </x:c>
      <x:c r="G376" s="19" t="str">
        <x:v>材料独立候选</x:v>
      </x:c>
      <x:c r="H376" s="19" t="str">
        <x:v>接肢王印</x:v>
      </x:c>
      <x:c r="I376" s="22" t="n">
        <x:v>80</x:v>
      </x:c>
      <x:c r="J376" s="22" t="n">
        <x:v>2</x:v>
      </x:c>
      <x:c r="K376" s="19" t="n">
        <x:v>1</x:v>
      </x:c>
      <x:c r="L376" s="24" t="n">
        <x:v>13.839999999999998</x:v>
      </x:c>
      <x:c r="M376" s="26" t="n">
        <x:v>0.1</x:v>
      </x:c>
      <x:c r="N376" s="24" t="n">
        <x:v>2</x:v>
      </x:c>
      <x:c r="O376" s="28" t="n">
        <x:f>MIN(1,L376/I376)</x:f>
        <x:v>0.173</x:v>
      </x:c>
      <x:c r="P376" s="30" t="n">
        <x:f>O376*J376*(1+M376)</x:f>
        <x:v>0.3806</x:v>
      </x:c>
      <x:c r="Q376" s="30" t="n">
        <x:f>P376*N376</x:f>
        <x:v>0.7612</x:v>
      </x:c>
      <x:c r="R376" s="19" t="str">
        <x:v>独立判定</x:v>
      </x:c>
    </x:row>
    <x:row r="377" ht="19" customHeight="1">
      <x:c r="A377" s="19" t="str">
        <x:v>D00373</x:v>
      </x:c>
      <x:c r="B377" s="19" t="n">
        <x:v>2</x:v>
      </x:c>
      <x:c r="C377" s="19" t="n">
        <x:v>2</x:v>
      </x:c>
      <x:c r="D377" s="19" t="str">
        <x:v>EL-MON-LIM-GATE-012</x:v>
      </x:c>
      <x:c r="E377" s="19" t="str">
        <x:v>黑夜骑兵·莫尔</x:v>
      </x:c>
      <x:c r="F377" s="19" t="str">
        <x:v>地图BOSS</x:v>
      </x:c>
      <x:c r="G377" s="19" t="str">
        <x:v>材料独立候选</x:v>
      </x:c>
      <x:c r="H377" s="19" t="str">
        <x:v>夜骑黑印</x:v>
      </x:c>
      <x:c r="I377" s="22" t="n">
        <x:v>60</x:v>
      </x:c>
      <x:c r="J377" s="22" t="n">
        <x:v>1</x:v>
      </x:c>
      <x:c r="K377" s="19" t="n">
        <x:v>1</x:v>
      </x:c>
      <x:c r="L377" s="24" t="n">
        <x:v>13.839999999999998</x:v>
      </x:c>
      <x:c r="M377" s="26" t="n">
        <x:v>0.1</x:v>
      </x:c>
      <x:c r="N377" s="24" t="n">
        <x:v>2</x:v>
      </x:c>
      <x:c r="O377" s="28" t="n">
        <x:f>MIN(1,L377/I377)</x:f>
        <x:v>0.23066666666666663</x:v>
      </x:c>
      <x:c r="P377" s="30" t="n">
        <x:f>O377*J377*(1+M377)</x:f>
        <x:v>0.2537333333333333</x:v>
      </x:c>
      <x:c r="Q377" s="30" t="n">
        <x:f>P377*N377</x:f>
        <x:v>0.5074666666666666</x:v>
      </x:c>
      <x:c r="R377" s="19" t="str">
        <x:v>独立判定</x:v>
      </x:c>
    </x:row>
    <x:row r="378" ht="19" customHeight="1">
      <x:c r="A378" s="19" t="str">
        <x:v>D00374</x:v>
      </x:c>
      <x:c r="B378" s="19" t="n">
        <x:v>2</x:v>
      </x:c>
      <x:c r="C378" s="19" t="n">
        <x:v>2</x:v>
      </x:c>
      <x:c r="D378" s="19" t="str">
        <x:v>EL-MON-LIM-GATE-012</x:v>
      </x:c>
      <x:c r="E378" s="19" t="str">
        <x:v>黑夜骑兵·莫尔</x:v>
      </x:c>
      <x:c r="F378" s="19" t="str">
        <x:v>地图BOSS</x:v>
      </x:c>
      <x:c r="G378" s="19" t="str">
        <x:v>材料独立候选</x:v>
      </x:c>
      <x:c r="H378" s="19" t="str">
        <x:v>野兽骨片</x:v>
      </x:c>
      <x:c r="I378" s="22" t="n">
        <x:v>40</x:v>
      </x:c>
      <x:c r="J378" s="22" t="n">
        <x:v>2</x:v>
      </x:c>
      <x:c r="K378" s="19" t="n">
        <x:v>1</x:v>
      </x:c>
      <x:c r="L378" s="24" t="n">
        <x:v>13.839999999999998</x:v>
      </x:c>
      <x:c r="M378" s="26" t="n">
        <x:v>0.1</x:v>
      </x:c>
      <x:c r="N378" s="24" t="n">
        <x:v>2</x:v>
      </x:c>
      <x:c r="O378" s="28" t="n">
        <x:f>MIN(1,L378/I378)</x:f>
        <x:v>0.346</x:v>
      </x:c>
      <x:c r="P378" s="30" t="n">
        <x:f>O378*J378*(1+M378)</x:f>
        <x:v>0.7612</x:v>
      </x:c>
      <x:c r="Q378" s="30" t="n">
        <x:f>P378*N378</x:f>
        <x:v>1.5224</x:v>
      </x:c>
      <x:c r="R378" s="19" t="str">
        <x:v>独立判定</x:v>
      </x:c>
    </x:row>
    <x:row r="379" ht="19" customHeight="1">
      <x:c r="A379" s="19" t="str">
        <x:v>D00375</x:v>
      </x:c>
      <x:c r="B379" s="19" t="n">
        <x:v>2</x:v>
      </x:c>
      <x:c r="C379" s="19" t="n">
        <x:v>2</x:v>
      </x:c>
      <x:c r="D379" s="19" t="str">
        <x:v>EL-MON-LIM-GATE-012</x:v>
      </x:c>
      <x:c r="E379" s="19" t="str">
        <x:v>黑夜骑兵·莫尔</x:v>
      </x:c>
      <x:c r="F379" s="19" t="str">
        <x:v>地图BOSS</x:v>
      </x:c>
      <x:c r="G379" s="19" t="str">
        <x:v>材料独立候选</x:v>
      </x:c>
      <x:c r="H379" s="19" t="str">
        <x:v>技能残页</x:v>
      </x:c>
      <x:c r="I379" s="22" t="n">
        <x:v>30</x:v>
      </x:c>
      <x:c r="J379" s="22" t="n">
        <x:v>1</x:v>
      </x:c>
      <x:c r="K379" s="19" t="n">
        <x:v>1</x:v>
      </x:c>
      <x:c r="L379" s="24" t="n">
        <x:v>13.839999999999998</x:v>
      </x:c>
      <x:c r="M379" s="26" t="n">
        <x:v>0.1</x:v>
      </x:c>
      <x:c r="N379" s="24" t="n">
        <x:v>2</x:v>
      </x:c>
      <x:c r="O379" s="28" t="n">
        <x:f>MIN(1,L379/I379)</x:f>
        <x:v>0.46133333333333326</x:v>
      </x:c>
      <x:c r="P379" s="30" t="n">
        <x:f>O379*J379*(1+M379)</x:f>
        <x:v>0.5074666666666666</x:v>
      </x:c>
      <x:c r="Q379" s="30" t="n">
        <x:f>P379*N379</x:f>
        <x:v>1.0149333333333332</x:v>
      </x:c>
      <x:c r="R379" s="19" t="str">
        <x:v>独立判定</x:v>
      </x:c>
    </x:row>
    <x:row r="380" ht="19" customHeight="1">
      <x:c r="A380" s="19" t="str">
        <x:v>D00376</x:v>
      </x:c>
      <x:c r="B380" s="19" t="n">
        <x:v>2</x:v>
      </x:c>
      <x:c r="C380" s="19" t="n">
        <x:v>2</x:v>
      </x:c>
      <x:c r="D380" s="19" t="str">
        <x:v>EL-MON-LIM-GATE-012</x:v>
      </x:c>
      <x:c r="E380" s="19" t="str">
        <x:v>黑夜骑兵·莫尔</x:v>
      </x:c>
      <x:c r="F380" s="19" t="str">
        <x:v>地图BOSS</x:v>
      </x:c>
      <x:c r="G380" s="19" t="str">
        <x:v>材料独立候选</x:v>
      </x:c>
      <x:c r="H380" s="19" t="str">
        <x:v>宁姆格福誓页</x:v>
      </x:c>
      <x:c r="I380" s="22" t="n">
        <x:v>180</x:v>
      </x:c>
      <x:c r="J380" s="22" t="n">
        <x:v>1</x:v>
      </x:c>
      <x:c r="K380" s="19" t="n">
        <x:v>1</x:v>
      </x:c>
      <x:c r="L380" s="24" t="n">
        <x:v>13.839999999999998</x:v>
      </x:c>
      <x:c r="M380" s="26" t="n">
        <x:v>0.1</x:v>
      </x:c>
      <x:c r="N380" s="24" t="n">
        <x:v>2</x:v>
      </x:c>
      <x:c r="O380" s="28" t="n">
        <x:f>MIN(1,L380/I380)</x:f>
        <x:v>0.07688888888888888</x:v>
      </x:c>
      <x:c r="P380" s="30" t="n">
        <x:f>O380*J380*(1+M380)</x:f>
        <x:v>0.08457777777777778</x:v>
      </x:c>
      <x:c r="Q380" s="30" t="n">
        <x:f>P380*N380</x:f>
        <x:v>0.16915555555555556</x:v>
      </x:c>
      <x:c r="R380" s="19" t="str">
        <x:v>独立判定</x:v>
      </x:c>
    </x:row>
    <x:row r="381" ht="19" customHeight="1">
      <x:c r="A381" s="19" t="str">
        <x:v>D00377</x:v>
      </x:c>
      <x:c r="B381" s="19" t="n">
        <x:v>2</x:v>
      </x:c>
      <x:c r="C381" s="19" t="n">
        <x:v>2</x:v>
      </x:c>
      <x:c r="D381" s="19" t="str">
        <x:v>EL-MON-LIM-GATE-012</x:v>
      </x:c>
      <x:c r="E381" s="19" t="str">
        <x:v>黑夜骑兵·莫尔</x:v>
      </x:c>
      <x:c r="F381" s="19" t="str">
        <x:v>地图BOSS</x:v>
      </x:c>
      <x:c r="G381" s="19" t="str">
        <x:v>材料独立候选</x:v>
      </x:c>
      <x:c r="H381" s="19" t="str">
        <x:v>小卢恩</x:v>
      </x:c>
      <x:c r="I381" s="22" t="n">
        <x:v>1200</x:v>
      </x:c>
      <x:c r="J381" s="22" t="n">
        <x:v>1</x:v>
      </x:c>
      <x:c r="K381" s="19" t="n">
        <x:v>1</x:v>
      </x:c>
      <x:c r="L381" s="24" t="n">
        <x:v>13.839999999999998</x:v>
      </x:c>
      <x:c r="M381" s="26" t="n">
        <x:v>0.1</x:v>
      </x:c>
      <x:c r="N381" s="24" t="n">
        <x:v>2</x:v>
      </x:c>
      <x:c r="O381" s="28" t="n">
        <x:f>MIN(1,L381/I381)</x:f>
        <x:v>0.011533333333333331</x:v>
      </x:c>
      <x:c r="P381" s="30" t="n">
        <x:f>O381*J381*(1+M381)</x:f>
        <x:v>0.012686666666666666</x:v>
      </x:c>
      <x:c r="Q381" s="30" t="n">
        <x:f>P381*N381</x:f>
        <x:v>0.02537333333333333</x:v>
      </x:c>
      <x:c r="R381" s="19" t="str">
        <x:v>独立判定</x:v>
      </x:c>
    </x:row>
    <x:row r="382" ht="19" customHeight="1">
      <x:c r="A382" s="19" t="str">
        <x:v>D00378</x:v>
      </x:c>
      <x:c r="B382" s="19" t="n">
        <x:v>2</x:v>
      </x:c>
      <x:c r="C382" s="19" t="n">
        <x:v>2</x:v>
      </x:c>
      <x:c r="D382" s="19" t="str">
        <x:v>EL-MON-LIM-GATE-012</x:v>
      </x:c>
      <x:c r="E382" s="19" t="str">
        <x:v>黑夜骑兵·莫尔</x:v>
      </x:c>
      <x:c r="F382" s="19" t="str">
        <x:v>地图BOSS</x:v>
      </x:c>
      <x:c r="G382" s="19" t="str">
        <x:v>材料独立候选</x:v>
      </x:c>
      <x:c r="H382" s="19" t="str">
        <x:v>大卢恩</x:v>
      </x:c>
      <x:c r="I382" s="22" t="n">
        <x:v>120</x:v>
      </x:c>
      <x:c r="J382" s="22" t="n">
        <x:v>1</x:v>
      </x:c>
      <x:c r="K382" s="19" t="n">
        <x:v>1</x:v>
      </x:c>
      <x:c r="L382" s="24" t="n">
        <x:v>13.839999999999998</x:v>
      </x:c>
      <x:c r="M382" s="26" t="n">
        <x:v>0.1</x:v>
      </x:c>
      <x:c r="N382" s="24" t="n">
        <x:v>2</x:v>
      </x:c>
      <x:c r="O382" s="28" t="n">
        <x:f>MIN(1,L382/I382)</x:f>
        <x:v>0.11533333333333332</x:v>
      </x:c>
      <x:c r="P382" s="30" t="n">
        <x:f>O382*J382*(1+M382)</x:f>
        <x:v>0.12686666666666666</x:v>
      </x:c>
      <x:c r="Q382" s="30" t="n">
        <x:f>P382*N382</x:f>
        <x:v>0.2537333333333333</x:v>
      </x:c>
      <x:c r="R382" s="19" t="str">
        <x:v>独立判定</x:v>
      </x:c>
    </x:row>
    <x:row r="383" ht="19" customHeight="1">
      <x:c r="A383" s="19" t="str">
        <x:v>D00379</x:v>
      </x:c>
      <x:c r="B383" s="19" t="n">
        <x:v>2</x:v>
      </x:c>
      <x:c r="C383" s="19" t="n">
        <x:v>2</x:v>
      </x:c>
      <x:c r="D383" s="19" t="str">
        <x:v>EL-MON-LIM-GATE-012</x:v>
      </x:c>
      <x:c r="E383" s="19" t="str">
        <x:v>黑夜骑兵·莫尔</x:v>
      </x:c>
      <x:c r="F383" s="19" t="str">
        <x:v>地图BOSS</x:v>
      </x:c>
      <x:c r="G383" s="19" t="str">
        <x:v>六神器公共池</x:v>
      </x:c>
      <x:c r="H383" s="19" t="str">
        <x:v>POOL006</x:v>
      </x:c>
      <x:c r="I383" s="22" t="n">
        <x:v>200000</x:v>
      </x:c>
      <x:c r="J383" s="22" t="n">
        <x:v>1</x:v>
      </x:c>
      <x:c r="K383" s="19" t="n">
        <x:v>6</x:v>
      </x:c>
      <x:c r="L383" s="24" t="n">
        <x:v>13.839999999999998</x:v>
      </x:c>
      <x:c r="M383" s="26" t="n">
        <x:v>0.1</x:v>
      </x:c>
      <x:c r="N383" s="24" t="n">
        <x:v>2</x:v>
      </x:c>
      <x:c r="O383" s="28" t="n">
        <x:f>MIN(1,L383/I383)</x:f>
        <x:v>0.00006919999999999999</x:v>
      </x:c>
      <x:c r="P383" s="30" t="n">
        <x:f>O383*J383*(1+M383)</x:f>
        <x:v>0.00007612</x:v>
      </x:c>
      <x:c r="Q383" s="30" t="n">
        <x:f>P383*N383</x:f>
        <x:v>0.00015224</x:v>
      </x:c>
      <x:c r="R383" s="19" t="str">
        <x:v>六选一；非6个独立爆率</x:v>
      </x:c>
    </x:row>
    <x:row r="384" ht="19" customHeight="1">
      <x:c r="A384" s="19" t="str">
        <x:v>D00380</x:v>
      </x:c>
      <x:c r="B384" s="19" t="n">
        <x:v>2</x:v>
      </x:c>
      <x:c r="C384" s="19" t="n">
        <x:v>3</x:v>
      </x:c>
      <x:c r="D384" s="19" t="str">
        <x:v>EL-MON-LIM-MIST-001</x:v>
      </x:c>
      <x:c r="E384" s="19" t="str">
        <x:v>雾林野狼</x:v>
      </x:c>
      <x:c r="F384" s="19" t="str">
        <x:v>普通</x:v>
      </x:c>
      <x:c r="G384" s="19" t="str">
        <x:v>自身专属</x:v>
      </x:c>
      <x:c r="H384" s="19" t="str">
        <x:v>雾牙短刃</x:v>
      </x:c>
      <x:c r="I384" s="22" t="n">
        <x:v>600</x:v>
      </x:c>
      <x:c r="J384" s="22" t="n">
        <x:v>1</x:v>
      </x:c>
      <x:c r="K384" s="19" t="n">
        <x:v>1</x:v>
      </x:c>
      <x:c r="L384" s="24" t="n">
        <x:v>13.839999999999998</x:v>
      </x:c>
      <x:c r="M384" s="26" t="n">
        <x:v>0.1</x:v>
      </x:c>
      <x:c r="N384" s="24" t="n">
        <x:v>72</x:v>
      </x:c>
      <x:c r="O384" s="28" t="n">
        <x:f>MIN(1,L384/I384)</x:f>
        <x:v>0.023066666666666662</x:v>
      </x:c>
      <x:c r="P384" s="30" t="n">
        <x:f>O384*J384*(1+M384)</x:f>
        <x:v>0.02537333333333333</x:v>
      </x:c>
      <x:c r="Q384" s="30" t="n">
        <x:f>P384*N384</x:f>
        <x:v>1.8268799999999998</x:v>
      </x:c>
      <x:c r="R384" s="19" t="str">
        <x:v>独立判定</x:v>
      </x:c>
    </x:row>
    <x:row r="385" ht="19" customHeight="1">
      <x:c r="A385" s="19" t="str">
        <x:v>D00381</x:v>
      </x:c>
      <x:c r="B385" s="19" t="n">
        <x:v>2</x:v>
      </x:c>
      <x:c r="C385" s="19" t="n">
        <x:v>3</x:v>
      </x:c>
      <x:c r="D385" s="19" t="str">
        <x:v>EL-MON-LIM-MIST-001</x:v>
      </x:c>
      <x:c r="E385" s="19" t="str">
        <x:v>雾林野狼</x:v>
      </x:c>
      <x:c r="F385" s="19" t="str">
        <x:v>普通</x:v>
      </x:c>
      <x:c r="G385" s="19" t="str">
        <x:v>材料独立候选</x:v>
      </x:c>
      <x:c r="H385" s="19" t="str">
        <x:v>风暴石片</x:v>
      </x:c>
      <x:c r="I385" s="22" t="n">
        <x:v>500</x:v>
      </x:c>
      <x:c r="J385" s="22" t="n">
        <x:v>8</x:v>
      </x:c>
      <x:c r="K385" s="19" t="n">
        <x:v>1</x:v>
      </x:c>
      <x:c r="L385" s="24" t="n">
        <x:v>13.839999999999998</x:v>
      </x:c>
      <x:c r="M385" s="26" t="n">
        <x:v>0.1</x:v>
      </x:c>
      <x:c r="N385" s="24" t="n">
        <x:v>72</x:v>
      </x:c>
      <x:c r="O385" s="28" t="n">
        <x:f>MIN(1,L385/I385)</x:f>
        <x:v>0.027679999999999996</x:v>
      </x:c>
      <x:c r="P385" s="30" t="n">
        <x:f>O385*J385*(1+M385)</x:f>
        <x:v>0.243584</x:v>
      </x:c>
      <x:c r="Q385" s="30" t="n">
        <x:f>P385*N385</x:f>
        <x:v>17.538048</x:v>
      </x:c>
      <x:c r="R385" s="19" t="str">
        <x:v>独立判定</x:v>
      </x:c>
    </x:row>
    <x:row r="386" ht="19" customHeight="1">
      <x:c r="A386" s="19" t="str">
        <x:v>D00382</x:v>
      </x:c>
      <x:c r="B386" s="19" t="n">
        <x:v>2</x:v>
      </x:c>
      <x:c r="C386" s="19" t="n">
        <x:v>3</x:v>
      </x:c>
      <x:c r="D386" s="19" t="str">
        <x:v>EL-MON-LIM-MIST-001</x:v>
      </x:c>
      <x:c r="E386" s="19" t="str">
        <x:v>雾林野狼</x:v>
      </x:c>
      <x:c r="F386" s="19" t="str">
        <x:v>普通</x:v>
      </x:c>
      <x:c r="G386" s="19" t="str">
        <x:v>材料独立候选</x:v>
      </x:c>
      <x:c r="H386" s="19" t="str">
        <x:v>野兽骨片</x:v>
      </x:c>
      <x:c r="I386" s="22" t="n">
        <x:v>100</x:v>
      </x:c>
      <x:c r="J386" s="22" t="n">
        <x:v>2</x:v>
      </x:c>
      <x:c r="K386" s="19" t="n">
        <x:v>1</x:v>
      </x:c>
      <x:c r="L386" s="24" t="n">
        <x:v>13.839999999999998</x:v>
      </x:c>
      <x:c r="M386" s="26" t="n">
        <x:v>0.1</x:v>
      </x:c>
      <x:c r="N386" s="24" t="n">
        <x:v>72</x:v>
      </x:c>
      <x:c r="O386" s="28" t="n">
        <x:f>MIN(1,L386/I386)</x:f>
        <x:v>0.13839999999999997</x:v>
      </x:c>
      <x:c r="P386" s="30" t="n">
        <x:f>O386*J386*(1+M386)</x:f>
        <x:v>0.30448</x:v>
      </x:c>
      <x:c r="Q386" s="30" t="n">
        <x:f>P386*N386</x:f>
        <x:v>21.922559999999997</x:v>
      </x:c>
      <x:c r="R386" s="19" t="str">
        <x:v>独立判定</x:v>
      </x:c>
    </x:row>
    <x:row r="387" ht="19" customHeight="1">
      <x:c r="A387" s="19" t="str">
        <x:v>D00383</x:v>
      </x:c>
      <x:c r="B387" s="19" t="n">
        <x:v>2</x:v>
      </x:c>
      <x:c r="C387" s="19" t="n">
        <x:v>3</x:v>
      </x:c>
      <x:c r="D387" s="19" t="str">
        <x:v>EL-MON-LIM-MIST-001</x:v>
      </x:c>
      <x:c r="E387" s="19" t="str">
        <x:v>雾林野狼</x:v>
      </x:c>
      <x:c r="F387" s="19" t="str">
        <x:v>普通</x:v>
      </x:c>
      <x:c r="G387" s="19" t="str">
        <x:v>材料独立候选</x:v>
      </x:c>
      <x:c r="H387" s="19" t="str">
        <x:v>技能残页</x:v>
      </x:c>
      <x:c r="I387" s="22" t="n">
        <x:v>100</x:v>
      </x:c>
      <x:c r="J387" s="22" t="n">
        <x:v>1</x:v>
      </x:c>
      <x:c r="K387" s="19" t="n">
        <x:v>1</x:v>
      </x:c>
      <x:c r="L387" s="24" t="n">
        <x:v>13.839999999999998</x:v>
      </x:c>
      <x:c r="M387" s="26" t="n">
        <x:v>0.1</x:v>
      </x:c>
      <x:c r="N387" s="24" t="n">
        <x:v>72</x:v>
      </x:c>
      <x:c r="O387" s="28" t="n">
        <x:f>MIN(1,L387/I387)</x:f>
        <x:v>0.13839999999999997</x:v>
      </x:c>
      <x:c r="P387" s="30" t="n">
        <x:f>O387*J387*(1+M387)</x:f>
        <x:v>0.15224</x:v>
      </x:c>
      <x:c r="Q387" s="30" t="n">
        <x:f>P387*N387</x:f>
        <x:v>10.961279999999999</x:v>
      </x:c>
      <x:c r="R387" s="19" t="str">
        <x:v>独立判定</x:v>
      </x:c>
    </x:row>
    <x:row r="388" ht="19" customHeight="1">
      <x:c r="A388" s="19" t="str">
        <x:v>D00384</x:v>
      </x:c>
      <x:c r="B388" s="19" t="n">
        <x:v>2</x:v>
      </x:c>
      <x:c r="C388" s="19" t="n">
        <x:v>3</x:v>
      </x:c>
      <x:c r="D388" s="19" t="str">
        <x:v>EL-MON-LIM-MIST-001</x:v>
      </x:c>
      <x:c r="E388" s="19" t="str">
        <x:v>雾林野狼</x:v>
      </x:c>
      <x:c r="F388" s="19" t="str">
        <x:v>普通</x:v>
      </x:c>
      <x:c r="G388" s="19" t="str">
        <x:v>材料独立候选</x:v>
      </x:c>
      <x:c r="H388" s="19" t="str">
        <x:v>小卢恩</x:v>
      </x:c>
      <x:c r="I388" s="22" t="n">
        <x:v>4000</x:v>
      </x:c>
      <x:c r="J388" s="22" t="n">
        <x:v>1</x:v>
      </x:c>
      <x:c r="K388" s="19" t="n">
        <x:v>1</x:v>
      </x:c>
      <x:c r="L388" s="24" t="n">
        <x:v>13.839999999999998</x:v>
      </x:c>
      <x:c r="M388" s="26" t="n">
        <x:v>0.1</x:v>
      </x:c>
      <x:c r="N388" s="24" t="n">
        <x:v>72</x:v>
      </x:c>
      <x:c r="O388" s="28" t="n">
        <x:f>MIN(1,L388/I388)</x:f>
        <x:v>0.0034599999999999995</x:v>
      </x:c>
      <x:c r="P388" s="30" t="n">
        <x:f>O388*J388*(1+M388)</x:f>
        <x:v>0.003806</x:v>
      </x:c>
      <x:c r="Q388" s="30" t="n">
        <x:f>P388*N388</x:f>
        <x:v>0.274032</x:v>
      </x:c>
      <x:c r="R388" s="19" t="str">
        <x:v>独立判定</x:v>
      </x:c>
    </x:row>
    <x:row r="389" ht="19" customHeight="1">
      <x:c r="A389" s="19" t="str">
        <x:v>D00385</x:v>
      </x:c>
      <x:c r="B389" s="19" t="n">
        <x:v>2</x:v>
      </x:c>
      <x:c r="C389" s="19" t="n">
        <x:v>3</x:v>
      </x:c>
      <x:c r="D389" s="19" t="str">
        <x:v>EL-MON-LIM-MIST-001</x:v>
      </x:c>
      <x:c r="E389" s="19" t="str">
        <x:v>雾林野狼</x:v>
      </x:c>
      <x:c r="F389" s="19" t="str">
        <x:v>普通</x:v>
      </x:c>
      <x:c r="G389" s="19" t="str">
        <x:v>六神器公共池</x:v>
      </x:c>
      <x:c r="H389" s="19" t="str">
        <x:v>POOL006</x:v>
      </x:c>
      <x:c r="I389" s="22" t="n">
        <x:v>20000000</x:v>
      </x:c>
      <x:c r="J389" s="22" t="n">
        <x:v>1</x:v>
      </x:c>
      <x:c r="K389" s="19" t="n">
        <x:v>6</x:v>
      </x:c>
      <x:c r="L389" s="24" t="n">
        <x:v>13.839999999999998</x:v>
      </x:c>
      <x:c r="M389" s="26" t="n">
        <x:v>0.1</x:v>
      </x:c>
      <x:c r="N389" s="24" t="n">
        <x:v>72</x:v>
      </x:c>
      <x:c r="O389" s="28" t="n">
        <x:f>MIN(1,L389/I389)</x:f>
        <x:v>6.919999999999999e-7</x:v>
      </x:c>
      <x:c r="P389" s="30" t="n">
        <x:f>O389*J389*(1+M389)</x:f>
        <x:v>7.611999999999999e-7</x:v>
      </x:c>
      <x:c r="Q389" s="30" t="n">
        <x:f>P389*N389</x:f>
        <x:v>0.00005480639999999999</x:v>
      </x:c>
      <x:c r="R389" s="19" t="str">
        <x:v>六选一；非6个独立爆率</x:v>
      </x:c>
    </x:row>
    <x:row r="390" ht="19" customHeight="1">
      <x:c r="A390" s="19" t="str">
        <x:v>D00386</x:v>
      </x:c>
      <x:c r="B390" s="19" t="n">
        <x:v>2</x:v>
      </x:c>
      <x:c r="C390" s="19" t="n">
        <x:v>3</x:v>
      </x:c>
      <x:c r="D390" s="19" t="str">
        <x:v>EL-MON-LIM-MIST-002</x:v>
      </x:c>
      <x:c r="E390" s="19" t="str">
        <x:v>卢恩巨熊</x:v>
      </x:c>
      <x:c r="F390" s="19" t="str">
        <x:v>普通</x:v>
      </x:c>
      <x:c r="G390" s="19" t="str">
        <x:v>自身专属</x:v>
      </x:c>
      <x:c r="H390" s="19" t="str">
        <x:v>熊王战靴</x:v>
      </x:c>
      <x:c r="I390" s="22" t="n">
        <x:v>600</x:v>
      </x:c>
      <x:c r="J390" s="22" t="n">
        <x:v>1</x:v>
      </x:c>
      <x:c r="K390" s="19" t="n">
        <x:v>1</x:v>
      </x:c>
      <x:c r="L390" s="24" t="n">
        <x:v>13.839999999999998</x:v>
      </x:c>
      <x:c r="M390" s="26" t="n">
        <x:v>0.1</x:v>
      </x:c>
      <x:c r="N390" s="24" t="n">
        <x:v>72</x:v>
      </x:c>
      <x:c r="O390" s="28" t="n">
        <x:f>MIN(1,L390/I390)</x:f>
        <x:v>0.023066666666666662</x:v>
      </x:c>
      <x:c r="P390" s="30" t="n">
        <x:f>O390*J390*(1+M390)</x:f>
        <x:v>0.02537333333333333</x:v>
      </x:c>
      <x:c r="Q390" s="30" t="n">
        <x:f>P390*N390</x:f>
        <x:v>1.8268799999999998</x:v>
      </x:c>
      <x:c r="R390" s="19" t="str">
        <x:v>独立判定</x:v>
      </x:c>
    </x:row>
    <x:row r="391" ht="19" customHeight="1">
      <x:c r="A391" s="19" t="str">
        <x:v>D00387</x:v>
      </x:c>
      <x:c r="B391" s="19" t="n">
        <x:v>2</x:v>
      </x:c>
      <x:c r="C391" s="19" t="n">
        <x:v>3</x:v>
      </x:c>
      <x:c r="D391" s="19" t="str">
        <x:v>EL-MON-LIM-MIST-002</x:v>
      </x:c>
      <x:c r="E391" s="19" t="str">
        <x:v>卢恩巨熊</x:v>
      </x:c>
      <x:c r="F391" s="19" t="str">
        <x:v>普通</x:v>
      </x:c>
      <x:c r="G391" s="19" t="str">
        <x:v>材料独立候选</x:v>
      </x:c>
      <x:c r="H391" s="19" t="str">
        <x:v>风暴石片</x:v>
      </x:c>
      <x:c r="I391" s="22" t="n">
        <x:v>500</x:v>
      </x:c>
      <x:c r="J391" s="22" t="n">
        <x:v>8</x:v>
      </x:c>
      <x:c r="K391" s="19" t="n">
        <x:v>1</x:v>
      </x:c>
      <x:c r="L391" s="24" t="n">
        <x:v>13.839999999999998</x:v>
      </x:c>
      <x:c r="M391" s="26" t="n">
        <x:v>0.1</x:v>
      </x:c>
      <x:c r="N391" s="24" t="n">
        <x:v>72</x:v>
      </x:c>
      <x:c r="O391" s="28" t="n">
        <x:f>MIN(1,L391/I391)</x:f>
        <x:v>0.027679999999999996</x:v>
      </x:c>
      <x:c r="P391" s="30" t="n">
        <x:f>O391*J391*(1+M391)</x:f>
        <x:v>0.243584</x:v>
      </x:c>
      <x:c r="Q391" s="30" t="n">
        <x:f>P391*N391</x:f>
        <x:v>17.538048</x:v>
      </x:c>
      <x:c r="R391" s="19" t="str">
        <x:v>独立判定</x:v>
      </x:c>
    </x:row>
    <x:row r="392" ht="19" customHeight="1">
      <x:c r="A392" s="19" t="str">
        <x:v>D00388</x:v>
      </x:c>
      <x:c r="B392" s="19" t="n">
        <x:v>2</x:v>
      </x:c>
      <x:c r="C392" s="19" t="n">
        <x:v>3</x:v>
      </x:c>
      <x:c r="D392" s="19" t="str">
        <x:v>EL-MON-LIM-MIST-002</x:v>
      </x:c>
      <x:c r="E392" s="19" t="str">
        <x:v>卢恩巨熊</x:v>
      </x:c>
      <x:c r="F392" s="19" t="str">
        <x:v>普通</x:v>
      </x:c>
      <x:c r="G392" s="19" t="str">
        <x:v>材料独立候选</x:v>
      </x:c>
      <x:c r="H392" s="19" t="str">
        <x:v>野兽骨片</x:v>
      </x:c>
      <x:c r="I392" s="22" t="n">
        <x:v>100</x:v>
      </x:c>
      <x:c r="J392" s="22" t="n">
        <x:v>2</x:v>
      </x:c>
      <x:c r="K392" s="19" t="n">
        <x:v>1</x:v>
      </x:c>
      <x:c r="L392" s="24" t="n">
        <x:v>13.839999999999998</x:v>
      </x:c>
      <x:c r="M392" s="26" t="n">
        <x:v>0.1</x:v>
      </x:c>
      <x:c r="N392" s="24" t="n">
        <x:v>72</x:v>
      </x:c>
      <x:c r="O392" s="28" t="n">
        <x:f>MIN(1,L392/I392)</x:f>
        <x:v>0.13839999999999997</x:v>
      </x:c>
      <x:c r="P392" s="30" t="n">
        <x:f>O392*J392*(1+M392)</x:f>
        <x:v>0.30448</x:v>
      </x:c>
      <x:c r="Q392" s="30" t="n">
        <x:f>P392*N392</x:f>
        <x:v>21.922559999999997</x:v>
      </x:c>
      <x:c r="R392" s="19" t="str">
        <x:v>独立判定</x:v>
      </x:c>
    </x:row>
    <x:row r="393" ht="19" customHeight="1">
      <x:c r="A393" s="19" t="str">
        <x:v>D00389</x:v>
      </x:c>
      <x:c r="B393" s="19" t="n">
        <x:v>2</x:v>
      </x:c>
      <x:c r="C393" s="19" t="n">
        <x:v>3</x:v>
      </x:c>
      <x:c r="D393" s="19" t="str">
        <x:v>EL-MON-LIM-MIST-002</x:v>
      </x:c>
      <x:c r="E393" s="19" t="str">
        <x:v>卢恩巨熊</x:v>
      </x:c>
      <x:c r="F393" s="19" t="str">
        <x:v>普通</x:v>
      </x:c>
      <x:c r="G393" s="19" t="str">
        <x:v>材料独立候选</x:v>
      </x:c>
      <x:c r="H393" s="19" t="str">
        <x:v>技能残页</x:v>
      </x:c>
      <x:c r="I393" s="22" t="n">
        <x:v>100</x:v>
      </x:c>
      <x:c r="J393" s="22" t="n">
        <x:v>1</x:v>
      </x:c>
      <x:c r="K393" s="19" t="n">
        <x:v>1</x:v>
      </x:c>
      <x:c r="L393" s="24" t="n">
        <x:v>13.839999999999998</x:v>
      </x:c>
      <x:c r="M393" s="26" t="n">
        <x:v>0.1</x:v>
      </x:c>
      <x:c r="N393" s="24" t="n">
        <x:v>72</x:v>
      </x:c>
      <x:c r="O393" s="28" t="n">
        <x:f>MIN(1,L393/I393)</x:f>
        <x:v>0.13839999999999997</x:v>
      </x:c>
      <x:c r="P393" s="30" t="n">
        <x:f>O393*J393*(1+M393)</x:f>
        <x:v>0.15224</x:v>
      </x:c>
      <x:c r="Q393" s="30" t="n">
        <x:f>P393*N393</x:f>
        <x:v>10.961279999999999</x:v>
      </x:c>
      <x:c r="R393" s="19" t="str">
        <x:v>独立判定</x:v>
      </x:c>
    </x:row>
    <x:row r="394" ht="19" customHeight="1">
      <x:c r="A394" s="19" t="str">
        <x:v>D00390</x:v>
      </x:c>
      <x:c r="B394" s="19" t="n">
        <x:v>2</x:v>
      </x:c>
      <x:c r="C394" s="19" t="n">
        <x:v>3</x:v>
      </x:c>
      <x:c r="D394" s="19" t="str">
        <x:v>EL-MON-LIM-MIST-002</x:v>
      </x:c>
      <x:c r="E394" s="19" t="str">
        <x:v>卢恩巨熊</x:v>
      </x:c>
      <x:c r="F394" s="19" t="str">
        <x:v>普通</x:v>
      </x:c>
      <x:c r="G394" s="19" t="str">
        <x:v>材料独立候选</x:v>
      </x:c>
      <x:c r="H394" s="19" t="str">
        <x:v>小卢恩</x:v>
      </x:c>
      <x:c r="I394" s="22" t="n">
        <x:v>4000</x:v>
      </x:c>
      <x:c r="J394" s="22" t="n">
        <x:v>1</x:v>
      </x:c>
      <x:c r="K394" s="19" t="n">
        <x:v>1</x:v>
      </x:c>
      <x:c r="L394" s="24" t="n">
        <x:v>13.839999999999998</x:v>
      </x:c>
      <x:c r="M394" s="26" t="n">
        <x:v>0.1</x:v>
      </x:c>
      <x:c r="N394" s="24" t="n">
        <x:v>72</x:v>
      </x:c>
      <x:c r="O394" s="28" t="n">
        <x:f>MIN(1,L394/I394)</x:f>
        <x:v>0.0034599999999999995</x:v>
      </x:c>
      <x:c r="P394" s="30" t="n">
        <x:f>O394*J394*(1+M394)</x:f>
        <x:v>0.003806</x:v>
      </x:c>
      <x:c r="Q394" s="30" t="n">
        <x:f>P394*N394</x:f>
        <x:v>0.274032</x:v>
      </x:c>
      <x:c r="R394" s="19" t="str">
        <x:v>独立判定</x:v>
      </x:c>
    </x:row>
    <x:row r="395" ht="19" customHeight="1">
      <x:c r="A395" s="19" t="str">
        <x:v>D00391</x:v>
      </x:c>
      <x:c r="B395" s="19" t="n">
        <x:v>2</x:v>
      </x:c>
      <x:c r="C395" s="19" t="n">
        <x:v>3</x:v>
      </x:c>
      <x:c r="D395" s="19" t="str">
        <x:v>EL-MON-LIM-MIST-002</x:v>
      </x:c>
      <x:c r="E395" s="19" t="str">
        <x:v>卢恩巨熊</x:v>
      </x:c>
      <x:c r="F395" s="19" t="str">
        <x:v>普通</x:v>
      </x:c>
      <x:c r="G395" s="19" t="str">
        <x:v>六神器公共池</x:v>
      </x:c>
      <x:c r="H395" s="19" t="str">
        <x:v>POOL006</x:v>
      </x:c>
      <x:c r="I395" s="22" t="n">
        <x:v>20000000</x:v>
      </x:c>
      <x:c r="J395" s="22" t="n">
        <x:v>1</x:v>
      </x:c>
      <x:c r="K395" s="19" t="n">
        <x:v>6</x:v>
      </x:c>
      <x:c r="L395" s="24" t="n">
        <x:v>13.839999999999998</x:v>
      </x:c>
      <x:c r="M395" s="26" t="n">
        <x:v>0.1</x:v>
      </x:c>
      <x:c r="N395" s="24" t="n">
        <x:v>72</x:v>
      </x:c>
      <x:c r="O395" s="28" t="n">
        <x:f>MIN(1,L395/I395)</x:f>
        <x:v>6.919999999999999e-7</x:v>
      </x:c>
      <x:c r="P395" s="30" t="n">
        <x:f>O395*J395*(1+M395)</x:f>
        <x:v>7.611999999999999e-7</x:v>
      </x:c>
      <x:c r="Q395" s="30" t="n">
        <x:f>P395*N395</x:f>
        <x:v>0.00005480639999999999</x:v>
      </x:c>
      <x:c r="R395" s="19" t="str">
        <x:v>六选一；非6个独立爆率</x:v>
      </x:c>
    </x:row>
    <x:row r="396" ht="19" customHeight="1">
      <x:c r="A396" s="19" t="str">
        <x:v>D00392</x:v>
      </x:c>
      <x:c r="B396" s="19" t="n">
        <x:v>2</x:v>
      </x:c>
      <x:c r="C396" s="19" t="n">
        <x:v>3</x:v>
      </x:c>
      <x:c r="D396" s="19" t="str">
        <x:v>EL-MON-LIM-MIST-003</x:v>
      </x:c>
      <x:c r="E396" s="19" t="str">
        <x:v>祖灵鹿</x:v>
      </x:c>
      <x:c r="F396" s="19" t="str">
        <x:v>普通</x:v>
      </x:c>
      <x:c r="G396" s="19" t="str">
        <x:v>自身专属</x:v>
      </x:c>
      <x:c r="H396" s="19" t="str">
        <x:v>祖灵皮衣</x:v>
      </x:c>
      <x:c r="I396" s="22" t="n">
        <x:v>600</x:v>
      </x:c>
      <x:c r="J396" s="22" t="n">
        <x:v>1</x:v>
      </x:c>
      <x:c r="K396" s="19" t="n">
        <x:v>1</x:v>
      </x:c>
      <x:c r="L396" s="24" t="n">
        <x:v>13.839999999999998</x:v>
      </x:c>
      <x:c r="M396" s="26" t="n">
        <x:v>0.1</x:v>
      </x:c>
      <x:c r="N396" s="24" t="n">
        <x:v>72</x:v>
      </x:c>
      <x:c r="O396" s="28" t="n">
        <x:f>MIN(1,L396/I396)</x:f>
        <x:v>0.023066666666666662</x:v>
      </x:c>
      <x:c r="P396" s="30" t="n">
        <x:f>O396*J396*(1+M396)</x:f>
        <x:v>0.02537333333333333</x:v>
      </x:c>
      <x:c r="Q396" s="30" t="n">
        <x:f>P396*N396</x:f>
        <x:v>1.8268799999999998</x:v>
      </x:c>
      <x:c r="R396" s="19" t="str">
        <x:v>独立判定</x:v>
      </x:c>
    </x:row>
    <x:row r="397" ht="19" customHeight="1">
      <x:c r="A397" s="19" t="str">
        <x:v>D00393</x:v>
      </x:c>
      <x:c r="B397" s="19" t="n">
        <x:v>2</x:v>
      </x:c>
      <x:c r="C397" s="19" t="n">
        <x:v>3</x:v>
      </x:c>
      <x:c r="D397" s="19" t="str">
        <x:v>EL-MON-LIM-MIST-003</x:v>
      </x:c>
      <x:c r="E397" s="19" t="str">
        <x:v>祖灵鹿</x:v>
      </x:c>
      <x:c r="F397" s="19" t="str">
        <x:v>普通</x:v>
      </x:c>
      <x:c r="G397" s="19" t="str">
        <x:v>材料独立候选</x:v>
      </x:c>
      <x:c r="H397" s="19" t="str">
        <x:v>风暴石片</x:v>
      </x:c>
      <x:c r="I397" s="22" t="n">
        <x:v>500</x:v>
      </x:c>
      <x:c r="J397" s="22" t="n">
        <x:v>8</x:v>
      </x:c>
      <x:c r="K397" s="19" t="n">
        <x:v>1</x:v>
      </x:c>
      <x:c r="L397" s="24" t="n">
        <x:v>13.839999999999998</x:v>
      </x:c>
      <x:c r="M397" s="26" t="n">
        <x:v>0.1</x:v>
      </x:c>
      <x:c r="N397" s="24" t="n">
        <x:v>72</x:v>
      </x:c>
      <x:c r="O397" s="28" t="n">
        <x:f>MIN(1,L397/I397)</x:f>
        <x:v>0.027679999999999996</x:v>
      </x:c>
      <x:c r="P397" s="30" t="n">
        <x:f>O397*J397*(1+M397)</x:f>
        <x:v>0.243584</x:v>
      </x:c>
      <x:c r="Q397" s="30" t="n">
        <x:f>P397*N397</x:f>
        <x:v>17.538048</x:v>
      </x:c>
      <x:c r="R397" s="19" t="str">
        <x:v>独立判定</x:v>
      </x:c>
    </x:row>
    <x:row r="398" ht="19" customHeight="1">
      <x:c r="A398" s="19" t="str">
        <x:v>D00394</x:v>
      </x:c>
      <x:c r="B398" s="19" t="n">
        <x:v>2</x:v>
      </x:c>
      <x:c r="C398" s="19" t="n">
        <x:v>3</x:v>
      </x:c>
      <x:c r="D398" s="19" t="str">
        <x:v>EL-MON-LIM-MIST-003</x:v>
      </x:c>
      <x:c r="E398" s="19" t="str">
        <x:v>祖灵鹿</x:v>
      </x:c>
      <x:c r="F398" s="19" t="str">
        <x:v>普通</x:v>
      </x:c>
      <x:c r="G398" s="19" t="str">
        <x:v>材料独立候选</x:v>
      </x:c>
      <x:c r="H398" s="19" t="str">
        <x:v>野兽骨片</x:v>
      </x:c>
      <x:c r="I398" s="22" t="n">
        <x:v>100</x:v>
      </x:c>
      <x:c r="J398" s="22" t="n">
        <x:v>2</x:v>
      </x:c>
      <x:c r="K398" s="19" t="n">
        <x:v>1</x:v>
      </x:c>
      <x:c r="L398" s="24" t="n">
        <x:v>13.839999999999998</x:v>
      </x:c>
      <x:c r="M398" s="26" t="n">
        <x:v>0.1</x:v>
      </x:c>
      <x:c r="N398" s="24" t="n">
        <x:v>72</x:v>
      </x:c>
      <x:c r="O398" s="28" t="n">
        <x:f>MIN(1,L398/I398)</x:f>
        <x:v>0.13839999999999997</x:v>
      </x:c>
      <x:c r="P398" s="30" t="n">
        <x:f>O398*J398*(1+M398)</x:f>
        <x:v>0.30448</x:v>
      </x:c>
      <x:c r="Q398" s="30" t="n">
        <x:f>P398*N398</x:f>
        <x:v>21.922559999999997</x:v>
      </x:c>
      <x:c r="R398" s="19" t="str">
        <x:v>独立判定</x:v>
      </x:c>
    </x:row>
    <x:row r="399" ht="19" customHeight="1">
      <x:c r="A399" s="19" t="str">
        <x:v>D00395</x:v>
      </x:c>
      <x:c r="B399" s="19" t="n">
        <x:v>2</x:v>
      </x:c>
      <x:c r="C399" s="19" t="n">
        <x:v>3</x:v>
      </x:c>
      <x:c r="D399" s="19" t="str">
        <x:v>EL-MON-LIM-MIST-003</x:v>
      </x:c>
      <x:c r="E399" s="19" t="str">
        <x:v>祖灵鹿</x:v>
      </x:c>
      <x:c r="F399" s="19" t="str">
        <x:v>普通</x:v>
      </x:c>
      <x:c r="G399" s="19" t="str">
        <x:v>材料独立候选</x:v>
      </x:c>
      <x:c r="H399" s="19" t="str">
        <x:v>技能残页</x:v>
      </x:c>
      <x:c r="I399" s="22" t="n">
        <x:v>100</x:v>
      </x:c>
      <x:c r="J399" s="22" t="n">
        <x:v>1</x:v>
      </x:c>
      <x:c r="K399" s="19" t="n">
        <x:v>1</x:v>
      </x:c>
      <x:c r="L399" s="24" t="n">
        <x:v>13.839999999999998</x:v>
      </x:c>
      <x:c r="M399" s="26" t="n">
        <x:v>0.1</x:v>
      </x:c>
      <x:c r="N399" s="24" t="n">
        <x:v>72</x:v>
      </x:c>
      <x:c r="O399" s="28" t="n">
        <x:f>MIN(1,L399/I399)</x:f>
        <x:v>0.13839999999999997</x:v>
      </x:c>
      <x:c r="P399" s="30" t="n">
        <x:f>O399*J399*(1+M399)</x:f>
        <x:v>0.15224</x:v>
      </x:c>
      <x:c r="Q399" s="30" t="n">
        <x:f>P399*N399</x:f>
        <x:v>10.961279999999999</x:v>
      </x:c>
      <x:c r="R399" s="19" t="str">
        <x:v>独立判定</x:v>
      </x:c>
    </x:row>
    <x:row r="400" ht="19" customHeight="1">
      <x:c r="A400" s="19" t="str">
        <x:v>D00396</x:v>
      </x:c>
      <x:c r="B400" s="19" t="n">
        <x:v>2</x:v>
      </x:c>
      <x:c r="C400" s="19" t="n">
        <x:v>3</x:v>
      </x:c>
      <x:c r="D400" s="19" t="str">
        <x:v>EL-MON-LIM-MIST-003</x:v>
      </x:c>
      <x:c r="E400" s="19" t="str">
        <x:v>祖灵鹿</x:v>
      </x:c>
      <x:c r="F400" s="19" t="str">
        <x:v>普通</x:v>
      </x:c>
      <x:c r="G400" s="19" t="str">
        <x:v>材料独立候选</x:v>
      </x:c>
      <x:c r="H400" s="19" t="str">
        <x:v>小卢恩</x:v>
      </x:c>
      <x:c r="I400" s="22" t="n">
        <x:v>4000</x:v>
      </x:c>
      <x:c r="J400" s="22" t="n">
        <x:v>1</x:v>
      </x:c>
      <x:c r="K400" s="19" t="n">
        <x:v>1</x:v>
      </x:c>
      <x:c r="L400" s="24" t="n">
        <x:v>13.839999999999998</x:v>
      </x:c>
      <x:c r="M400" s="26" t="n">
        <x:v>0.1</x:v>
      </x:c>
      <x:c r="N400" s="24" t="n">
        <x:v>72</x:v>
      </x:c>
      <x:c r="O400" s="28" t="n">
        <x:f>MIN(1,L400/I400)</x:f>
        <x:v>0.0034599999999999995</x:v>
      </x:c>
      <x:c r="P400" s="30" t="n">
        <x:f>O400*J400*(1+M400)</x:f>
        <x:v>0.003806</x:v>
      </x:c>
      <x:c r="Q400" s="30" t="n">
        <x:f>P400*N400</x:f>
        <x:v>0.274032</x:v>
      </x:c>
      <x:c r="R400" s="19" t="str">
        <x:v>独立判定</x:v>
      </x:c>
    </x:row>
    <x:row r="401" ht="19" customHeight="1">
      <x:c r="A401" s="19" t="str">
        <x:v>D00397</x:v>
      </x:c>
      <x:c r="B401" s="19" t="n">
        <x:v>2</x:v>
      </x:c>
      <x:c r="C401" s="19" t="n">
        <x:v>3</x:v>
      </x:c>
      <x:c r="D401" s="19" t="str">
        <x:v>EL-MON-LIM-MIST-003</x:v>
      </x:c>
      <x:c r="E401" s="19" t="str">
        <x:v>祖灵鹿</x:v>
      </x:c>
      <x:c r="F401" s="19" t="str">
        <x:v>普通</x:v>
      </x:c>
      <x:c r="G401" s="19" t="str">
        <x:v>六神器公共池</x:v>
      </x:c>
      <x:c r="H401" s="19" t="str">
        <x:v>POOL006</x:v>
      </x:c>
      <x:c r="I401" s="22" t="n">
        <x:v>20000000</x:v>
      </x:c>
      <x:c r="J401" s="22" t="n">
        <x:v>1</x:v>
      </x:c>
      <x:c r="K401" s="19" t="n">
        <x:v>6</x:v>
      </x:c>
      <x:c r="L401" s="24" t="n">
        <x:v>13.839999999999998</x:v>
      </x:c>
      <x:c r="M401" s="26" t="n">
        <x:v>0.1</x:v>
      </x:c>
      <x:c r="N401" s="24" t="n">
        <x:v>72</x:v>
      </x:c>
      <x:c r="O401" s="28" t="n">
        <x:f>MIN(1,L401/I401)</x:f>
        <x:v>6.919999999999999e-7</x:v>
      </x:c>
      <x:c r="P401" s="30" t="n">
        <x:f>O401*J401*(1+M401)</x:f>
        <x:v>7.611999999999999e-7</x:v>
      </x:c>
      <x:c r="Q401" s="30" t="n">
        <x:f>P401*N401</x:f>
        <x:v>0.00005480639999999999</x:v>
      </x:c>
      <x:c r="R401" s="19" t="str">
        <x:v>六选一；非6个独立爆率</x:v>
      </x:c>
    </x:row>
    <x:row r="402" ht="19" customHeight="1">
      <x:c r="A402" s="19" t="str">
        <x:v>D00398</x:v>
      </x:c>
      <x:c r="B402" s="19" t="n">
        <x:v>2</x:v>
      </x:c>
      <x:c r="C402" s="19" t="n">
        <x:v>3</x:v>
      </x:c>
      <x:c r="D402" s="19" t="str">
        <x:v>EL-MON-LIM-MIST-004</x:v>
      </x:c>
      <x:c r="E402" s="19" t="str">
        <x:v>腐根树妖</x:v>
      </x:c>
      <x:c r="F402" s="19" t="str">
        <x:v>普通</x:v>
      </x:c>
      <x:c r="G402" s="19" t="str">
        <x:v>自身专属</x:v>
      </x:c>
      <x:c r="H402" s="19" t="str">
        <x:v>古树祷链</x:v>
      </x:c>
      <x:c r="I402" s="22" t="n">
        <x:v>600</x:v>
      </x:c>
      <x:c r="J402" s="22" t="n">
        <x:v>1</x:v>
      </x:c>
      <x:c r="K402" s="19" t="n">
        <x:v>1</x:v>
      </x:c>
      <x:c r="L402" s="24" t="n">
        <x:v>13.839999999999998</x:v>
      </x:c>
      <x:c r="M402" s="26" t="n">
        <x:v>0.1</x:v>
      </x:c>
      <x:c r="N402" s="24" t="n">
        <x:v>72</x:v>
      </x:c>
      <x:c r="O402" s="28" t="n">
        <x:f>MIN(1,L402/I402)</x:f>
        <x:v>0.023066666666666662</x:v>
      </x:c>
      <x:c r="P402" s="30" t="n">
        <x:f>O402*J402*(1+M402)</x:f>
        <x:v>0.02537333333333333</x:v>
      </x:c>
      <x:c r="Q402" s="30" t="n">
        <x:f>P402*N402</x:f>
        <x:v>1.8268799999999998</x:v>
      </x:c>
      <x:c r="R402" s="19" t="str">
        <x:v>独立判定</x:v>
      </x:c>
    </x:row>
    <x:row r="403" ht="19" customHeight="1">
      <x:c r="A403" s="19" t="str">
        <x:v>D00399</x:v>
      </x:c>
      <x:c r="B403" s="19" t="n">
        <x:v>2</x:v>
      </x:c>
      <x:c r="C403" s="19" t="n">
        <x:v>3</x:v>
      </x:c>
      <x:c r="D403" s="19" t="str">
        <x:v>EL-MON-LIM-MIST-004</x:v>
      </x:c>
      <x:c r="E403" s="19" t="str">
        <x:v>腐根树妖</x:v>
      </x:c>
      <x:c r="F403" s="19" t="str">
        <x:v>普通</x:v>
      </x:c>
      <x:c r="G403" s="19" t="str">
        <x:v>材料独立候选</x:v>
      </x:c>
      <x:c r="H403" s="19" t="str">
        <x:v>风暴石片</x:v>
      </x:c>
      <x:c r="I403" s="22" t="n">
        <x:v>500</x:v>
      </x:c>
      <x:c r="J403" s="22" t="n">
        <x:v>8</x:v>
      </x:c>
      <x:c r="K403" s="19" t="n">
        <x:v>1</x:v>
      </x:c>
      <x:c r="L403" s="24" t="n">
        <x:v>13.839999999999998</x:v>
      </x:c>
      <x:c r="M403" s="26" t="n">
        <x:v>0.1</x:v>
      </x:c>
      <x:c r="N403" s="24" t="n">
        <x:v>72</x:v>
      </x:c>
      <x:c r="O403" s="28" t="n">
        <x:f>MIN(1,L403/I403)</x:f>
        <x:v>0.027679999999999996</x:v>
      </x:c>
      <x:c r="P403" s="30" t="n">
        <x:f>O403*J403*(1+M403)</x:f>
        <x:v>0.243584</x:v>
      </x:c>
      <x:c r="Q403" s="30" t="n">
        <x:f>P403*N403</x:f>
        <x:v>17.538048</x:v>
      </x:c>
      <x:c r="R403" s="19" t="str">
        <x:v>独立判定</x:v>
      </x:c>
    </x:row>
    <x:row r="404" ht="19" customHeight="1">
      <x:c r="A404" s="19" t="str">
        <x:v>D00400</x:v>
      </x:c>
      <x:c r="B404" s="19" t="n">
        <x:v>2</x:v>
      </x:c>
      <x:c r="C404" s="19" t="n">
        <x:v>3</x:v>
      </x:c>
      <x:c r="D404" s="19" t="str">
        <x:v>EL-MON-LIM-MIST-004</x:v>
      </x:c>
      <x:c r="E404" s="19" t="str">
        <x:v>腐根树妖</x:v>
      </x:c>
      <x:c r="F404" s="19" t="str">
        <x:v>普通</x:v>
      </x:c>
      <x:c r="G404" s="19" t="str">
        <x:v>材料独立候选</x:v>
      </x:c>
      <x:c r="H404" s="19" t="str">
        <x:v>野兽骨片</x:v>
      </x:c>
      <x:c r="I404" s="22" t="n">
        <x:v>100</x:v>
      </x:c>
      <x:c r="J404" s="22" t="n">
        <x:v>2</x:v>
      </x:c>
      <x:c r="K404" s="19" t="n">
        <x:v>1</x:v>
      </x:c>
      <x:c r="L404" s="24" t="n">
        <x:v>13.839999999999998</x:v>
      </x:c>
      <x:c r="M404" s="26" t="n">
        <x:v>0.1</x:v>
      </x:c>
      <x:c r="N404" s="24" t="n">
        <x:v>72</x:v>
      </x:c>
      <x:c r="O404" s="28" t="n">
        <x:f>MIN(1,L404/I404)</x:f>
        <x:v>0.13839999999999997</x:v>
      </x:c>
      <x:c r="P404" s="30" t="n">
        <x:f>O404*J404*(1+M404)</x:f>
        <x:v>0.30448</x:v>
      </x:c>
      <x:c r="Q404" s="30" t="n">
        <x:f>P404*N404</x:f>
        <x:v>21.922559999999997</x:v>
      </x:c>
      <x:c r="R404" s="19" t="str">
        <x:v>独立判定</x:v>
      </x:c>
    </x:row>
    <x:row r="405" ht="19" customHeight="1">
      <x:c r="A405" s="19" t="str">
        <x:v>D00401</x:v>
      </x:c>
      <x:c r="B405" s="19" t="n">
        <x:v>2</x:v>
      </x:c>
      <x:c r="C405" s="19" t="n">
        <x:v>3</x:v>
      </x:c>
      <x:c r="D405" s="19" t="str">
        <x:v>EL-MON-LIM-MIST-004</x:v>
      </x:c>
      <x:c r="E405" s="19" t="str">
        <x:v>腐根树妖</x:v>
      </x:c>
      <x:c r="F405" s="19" t="str">
        <x:v>普通</x:v>
      </x:c>
      <x:c r="G405" s="19" t="str">
        <x:v>材料独立候选</x:v>
      </x:c>
      <x:c r="H405" s="19" t="str">
        <x:v>技能残页</x:v>
      </x:c>
      <x:c r="I405" s="22" t="n">
        <x:v>100</x:v>
      </x:c>
      <x:c r="J405" s="22" t="n">
        <x:v>1</x:v>
      </x:c>
      <x:c r="K405" s="19" t="n">
        <x:v>1</x:v>
      </x:c>
      <x:c r="L405" s="24" t="n">
        <x:v>13.839999999999998</x:v>
      </x:c>
      <x:c r="M405" s="26" t="n">
        <x:v>0.1</x:v>
      </x:c>
      <x:c r="N405" s="24" t="n">
        <x:v>72</x:v>
      </x:c>
      <x:c r="O405" s="28" t="n">
        <x:f>MIN(1,L405/I405)</x:f>
        <x:v>0.13839999999999997</x:v>
      </x:c>
      <x:c r="P405" s="30" t="n">
        <x:f>O405*J405*(1+M405)</x:f>
        <x:v>0.15224</x:v>
      </x:c>
      <x:c r="Q405" s="30" t="n">
        <x:f>P405*N405</x:f>
        <x:v>10.961279999999999</x:v>
      </x:c>
      <x:c r="R405" s="19" t="str">
        <x:v>独立判定</x:v>
      </x:c>
    </x:row>
    <x:row r="406" ht="19" customHeight="1">
      <x:c r="A406" s="19" t="str">
        <x:v>D00402</x:v>
      </x:c>
      <x:c r="B406" s="19" t="n">
        <x:v>2</x:v>
      </x:c>
      <x:c r="C406" s="19" t="n">
        <x:v>3</x:v>
      </x:c>
      <x:c r="D406" s="19" t="str">
        <x:v>EL-MON-LIM-MIST-004</x:v>
      </x:c>
      <x:c r="E406" s="19" t="str">
        <x:v>腐根树妖</x:v>
      </x:c>
      <x:c r="F406" s="19" t="str">
        <x:v>普通</x:v>
      </x:c>
      <x:c r="G406" s="19" t="str">
        <x:v>材料独立候选</x:v>
      </x:c>
      <x:c r="H406" s="19" t="str">
        <x:v>小卢恩</x:v>
      </x:c>
      <x:c r="I406" s="22" t="n">
        <x:v>4000</x:v>
      </x:c>
      <x:c r="J406" s="22" t="n">
        <x:v>1</x:v>
      </x:c>
      <x:c r="K406" s="19" t="n">
        <x:v>1</x:v>
      </x:c>
      <x:c r="L406" s="24" t="n">
        <x:v>13.839999999999998</x:v>
      </x:c>
      <x:c r="M406" s="26" t="n">
        <x:v>0.1</x:v>
      </x:c>
      <x:c r="N406" s="24" t="n">
        <x:v>72</x:v>
      </x:c>
      <x:c r="O406" s="28" t="n">
        <x:f>MIN(1,L406/I406)</x:f>
        <x:v>0.0034599999999999995</x:v>
      </x:c>
      <x:c r="P406" s="30" t="n">
        <x:f>O406*J406*(1+M406)</x:f>
        <x:v>0.003806</x:v>
      </x:c>
      <x:c r="Q406" s="30" t="n">
        <x:f>P406*N406</x:f>
        <x:v>0.274032</x:v>
      </x:c>
      <x:c r="R406" s="19" t="str">
        <x:v>独立判定</x:v>
      </x:c>
    </x:row>
    <x:row r="407" ht="19" customHeight="1">
      <x:c r="A407" s="19" t="str">
        <x:v>D00403</x:v>
      </x:c>
      <x:c r="B407" s="19" t="n">
        <x:v>2</x:v>
      </x:c>
      <x:c r="C407" s="19" t="n">
        <x:v>3</x:v>
      </x:c>
      <x:c r="D407" s="19" t="str">
        <x:v>EL-MON-LIM-MIST-004</x:v>
      </x:c>
      <x:c r="E407" s="19" t="str">
        <x:v>腐根树妖</x:v>
      </x:c>
      <x:c r="F407" s="19" t="str">
        <x:v>普通</x:v>
      </x:c>
      <x:c r="G407" s="19" t="str">
        <x:v>六神器公共池</x:v>
      </x:c>
      <x:c r="H407" s="19" t="str">
        <x:v>POOL006</x:v>
      </x:c>
      <x:c r="I407" s="22" t="n">
        <x:v>20000000</x:v>
      </x:c>
      <x:c r="J407" s="22" t="n">
        <x:v>1</x:v>
      </x:c>
      <x:c r="K407" s="19" t="n">
        <x:v>6</x:v>
      </x:c>
      <x:c r="L407" s="24" t="n">
        <x:v>13.839999999999998</x:v>
      </x:c>
      <x:c r="M407" s="26" t="n">
        <x:v>0.1</x:v>
      </x:c>
      <x:c r="N407" s="24" t="n">
        <x:v>72</x:v>
      </x:c>
      <x:c r="O407" s="28" t="n">
        <x:f>MIN(1,L407/I407)</x:f>
        <x:v>6.919999999999999e-7</x:v>
      </x:c>
      <x:c r="P407" s="30" t="n">
        <x:f>O407*J407*(1+M407)</x:f>
        <x:v>7.611999999999999e-7</x:v>
      </x:c>
      <x:c r="Q407" s="30" t="n">
        <x:f>P407*N407</x:f>
        <x:v>0.00005480639999999999</x:v>
      </x:c>
      <x:c r="R407" s="19" t="str">
        <x:v>六选一；非6个独立爆率</x:v>
      </x:c>
    </x:row>
    <x:row r="408" ht="19" customHeight="1">
      <x:c r="A408" s="19" t="str">
        <x:v>D00404</x:v>
      </x:c>
      <x:c r="B408" s="19" t="n">
        <x:v>2</x:v>
      </x:c>
      <x:c r="C408" s="19" t="n">
        <x:v>3</x:v>
      </x:c>
      <x:c r="D408" s="19" t="str">
        <x:v>EL-MON-LIM-MIST-005</x:v>
      </x:c>
      <x:c r="E408" s="19" t="str">
        <x:v>半兽哨兵</x:v>
      </x:c>
      <x:c r="F408" s="19" t="str">
        <x:v>普通</x:v>
      </x:c>
      <x:c r="G408" s="19" t="str">
        <x:v>自身专属</x:v>
      </x:c>
      <x:c r="H408" s="19" t="str">
        <x:v>半兽战勋</x:v>
      </x:c>
      <x:c r="I408" s="22" t="n">
        <x:v>600</x:v>
      </x:c>
      <x:c r="J408" s="22" t="n">
        <x:v>1</x:v>
      </x:c>
      <x:c r="K408" s="19" t="n">
        <x:v>1</x:v>
      </x:c>
      <x:c r="L408" s="24" t="n">
        <x:v>13.839999999999998</x:v>
      </x:c>
      <x:c r="M408" s="26" t="n">
        <x:v>0.1</x:v>
      </x:c>
      <x:c r="N408" s="24" t="n">
        <x:v>72</x:v>
      </x:c>
      <x:c r="O408" s="28" t="n">
        <x:f>MIN(1,L408/I408)</x:f>
        <x:v>0.023066666666666662</x:v>
      </x:c>
      <x:c r="P408" s="30" t="n">
        <x:f>O408*J408*(1+M408)</x:f>
        <x:v>0.02537333333333333</x:v>
      </x:c>
      <x:c r="Q408" s="30" t="n">
        <x:f>P408*N408</x:f>
        <x:v>1.8268799999999998</x:v>
      </x:c>
      <x:c r="R408" s="19" t="str">
        <x:v>独立判定</x:v>
      </x:c>
    </x:row>
    <x:row r="409" ht="19" customHeight="1">
      <x:c r="A409" s="19" t="str">
        <x:v>D00405</x:v>
      </x:c>
      <x:c r="B409" s="19" t="n">
        <x:v>2</x:v>
      </x:c>
      <x:c r="C409" s="19" t="n">
        <x:v>3</x:v>
      </x:c>
      <x:c r="D409" s="19" t="str">
        <x:v>EL-MON-LIM-MIST-005</x:v>
      </x:c>
      <x:c r="E409" s="19" t="str">
        <x:v>半兽哨兵</x:v>
      </x:c>
      <x:c r="F409" s="19" t="str">
        <x:v>普通</x:v>
      </x:c>
      <x:c r="G409" s="19" t="str">
        <x:v>材料独立候选</x:v>
      </x:c>
      <x:c r="H409" s="19" t="str">
        <x:v>风暴石片</x:v>
      </x:c>
      <x:c r="I409" s="22" t="n">
        <x:v>500</x:v>
      </x:c>
      <x:c r="J409" s="22" t="n">
        <x:v>8</x:v>
      </x:c>
      <x:c r="K409" s="19" t="n">
        <x:v>1</x:v>
      </x:c>
      <x:c r="L409" s="24" t="n">
        <x:v>13.839999999999998</x:v>
      </x:c>
      <x:c r="M409" s="26" t="n">
        <x:v>0.1</x:v>
      </x:c>
      <x:c r="N409" s="24" t="n">
        <x:v>72</x:v>
      </x:c>
      <x:c r="O409" s="28" t="n">
        <x:f>MIN(1,L409/I409)</x:f>
        <x:v>0.027679999999999996</x:v>
      </x:c>
      <x:c r="P409" s="30" t="n">
        <x:f>O409*J409*(1+M409)</x:f>
        <x:v>0.243584</x:v>
      </x:c>
      <x:c r="Q409" s="30" t="n">
        <x:f>P409*N409</x:f>
        <x:v>17.538048</x:v>
      </x:c>
      <x:c r="R409" s="19" t="str">
        <x:v>独立判定</x:v>
      </x:c>
    </x:row>
    <x:row r="410" ht="19" customHeight="1">
      <x:c r="A410" s="19" t="str">
        <x:v>D00406</x:v>
      </x:c>
      <x:c r="B410" s="19" t="n">
        <x:v>2</x:v>
      </x:c>
      <x:c r="C410" s="19" t="n">
        <x:v>3</x:v>
      </x:c>
      <x:c r="D410" s="19" t="str">
        <x:v>EL-MON-LIM-MIST-005</x:v>
      </x:c>
      <x:c r="E410" s="19" t="str">
        <x:v>半兽哨兵</x:v>
      </x:c>
      <x:c r="F410" s="19" t="str">
        <x:v>普通</x:v>
      </x:c>
      <x:c r="G410" s="19" t="str">
        <x:v>材料独立候选</x:v>
      </x:c>
      <x:c r="H410" s="19" t="str">
        <x:v>野兽骨片</x:v>
      </x:c>
      <x:c r="I410" s="22" t="n">
        <x:v>100</x:v>
      </x:c>
      <x:c r="J410" s="22" t="n">
        <x:v>2</x:v>
      </x:c>
      <x:c r="K410" s="19" t="n">
        <x:v>1</x:v>
      </x:c>
      <x:c r="L410" s="24" t="n">
        <x:v>13.839999999999998</x:v>
      </x:c>
      <x:c r="M410" s="26" t="n">
        <x:v>0.1</x:v>
      </x:c>
      <x:c r="N410" s="24" t="n">
        <x:v>72</x:v>
      </x:c>
      <x:c r="O410" s="28" t="n">
        <x:f>MIN(1,L410/I410)</x:f>
        <x:v>0.13839999999999997</x:v>
      </x:c>
      <x:c r="P410" s="30" t="n">
        <x:f>O410*J410*(1+M410)</x:f>
        <x:v>0.30448</x:v>
      </x:c>
      <x:c r="Q410" s="30" t="n">
        <x:f>P410*N410</x:f>
        <x:v>21.922559999999997</x:v>
      </x:c>
      <x:c r="R410" s="19" t="str">
        <x:v>独立判定</x:v>
      </x:c>
    </x:row>
    <x:row r="411" ht="19" customHeight="1">
      <x:c r="A411" s="19" t="str">
        <x:v>D00407</x:v>
      </x:c>
      <x:c r="B411" s="19" t="n">
        <x:v>2</x:v>
      </x:c>
      <x:c r="C411" s="19" t="n">
        <x:v>3</x:v>
      </x:c>
      <x:c r="D411" s="19" t="str">
        <x:v>EL-MON-LIM-MIST-005</x:v>
      </x:c>
      <x:c r="E411" s="19" t="str">
        <x:v>半兽哨兵</x:v>
      </x:c>
      <x:c r="F411" s="19" t="str">
        <x:v>普通</x:v>
      </x:c>
      <x:c r="G411" s="19" t="str">
        <x:v>材料独立候选</x:v>
      </x:c>
      <x:c r="H411" s="19" t="str">
        <x:v>技能残页</x:v>
      </x:c>
      <x:c r="I411" s="22" t="n">
        <x:v>100</x:v>
      </x:c>
      <x:c r="J411" s="22" t="n">
        <x:v>1</x:v>
      </x:c>
      <x:c r="K411" s="19" t="n">
        <x:v>1</x:v>
      </x:c>
      <x:c r="L411" s="24" t="n">
        <x:v>13.839999999999998</x:v>
      </x:c>
      <x:c r="M411" s="26" t="n">
        <x:v>0.1</x:v>
      </x:c>
      <x:c r="N411" s="24" t="n">
        <x:v>72</x:v>
      </x:c>
      <x:c r="O411" s="28" t="n">
        <x:f>MIN(1,L411/I411)</x:f>
        <x:v>0.13839999999999997</x:v>
      </x:c>
      <x:c r="P411" s="30" t="n">
        <x:f>O411*J411*(1+M411)</x:f>
        <x:v>0.15224</x:v>
      </x:c>
      <x:c r="Q411" s="30" t="n">
        <x:f>P411*N411</x:f>
        <x:v>10.961279999999999</x:v>
      </x:c>
      <x:c r="R411" s="19" t="str">
        <x:v>独立判定</x:v>
      </x:c>
    </x:row>
    <x:row r="412" ht="19" customHeight="1">
      <x:c r="A412" s="19" t="str">
        <x:v>D00408</x:v>
      </x:c>
      <x:c r="B412" s="19" t="n">
        <x:v>2</x:v>
      </x:c>
      <x:c r="C412" s="19" t="n">
        <x:v>3</x:v>
      </x:c>
      <x:c r="D412" s="19" t="str">
        <x:v>EL-MON-LIM-MIST-005</x:v>
      </x:c>
      <x:c r="E412" s="19" t="str">
        <x:v>半兽哨兵</x:v>
      </x:c>
      <x:c r="F412" s="19" t="str">
        <x:v>普通</x:v>
      </x:c>
      <x:c r="G412" s="19" t="str">
        <x:v>材料独立候选</x:v>
      </x:c>
      <x:c r="H412" s="19" t="str">
        <x:v>小卢恩</x:v>
      </x:c>
      <x:c r="I412" s="22" t="n">
        <x:v>4000</x:v>
      </x:c>
      <x:c r="J412" s="22" t="n">
        <x:v>1</x:v>
      </x:c>
      <x:c r="K412" s="19" t="n">
        <x:v>1</x:v>
      </x:c>
      <x:c r="L412" s="24" t="n">
        <x:v>13.839999999999998</x:v>
      </x:c>
      <x:c r="M412" s="26" t="n">
        <x:v>0.1</x:v>
      </x:c>
      <x:c r="N412" s="24" t="n">
        <x:v>72</x:v>
      </x:c>
      <x:c r="O412" s="28" t="n">
        <x:f>MIN(1,L412/I412)</x:f>
        <x:v>0.0034599999999999995</x:v>
      </x:c>
      <x:c r="P412" s="30" t="n">
        <x:f>O412*J412*(1+M412)</x:f>
        <x:v>0.003806</x:v>
      </x:c>
      <x:c r="Q412" s="30" t="n">
        <x:f>P412*N412</x:f>
        <x:v>0.274032</x:v>
      </x:c>
      <x:c r="R412" s="19" t="str">
        <x:v>独立判定</x:v>
      </x:c>
    </x:row>
    <x:row r="413" ht="19" customHeight="1">
      <x:c r="A413" s="19" t="str">
        <x:v>D00409</x:v>
      </x:c>
      <x:c r="B413" s="19" t="n">
        <x:v>2</x:v>
      </x:c>
      <x:c r="C413" s="19" t="n">
        <x:v>3</x:v>
      </x:c>
      <x:c r="D413" s="19" t="str">
        <x:v>EL-MON-LIM-MIST-005</x:v>
      </x:c>
      <x:c r="E413" s="19" t="str">
        <x:v>半兽哨兵</x:v>
      </x:c>
      <x:c r="F413" s="19" t="str">
        <x:v>普通</x:v>
      </x:c>
      <x:c r="G413" s="19" t="str">
        <x:v>六神器公共池</x:v>
      </x:c>
      <x:c r="H413" s="19" t="str">
        <x:v>POOL006</x:v>
      </x:c>
      <x:c r="I413" s="22" t="n">
        <x:v>20000000</x:v>
      </x:c>
      <x:c r="J413" s="22" t="n">
        <x:v>1</x:v>
      </x:c>
      <x:c r="K413" s="19" t="n">
        <x:v>6</x:v>
      </x:c>
      <x:c r="L413" s="24" t="n">
        <x:v>13.839999999999998</x:v>
      </x:c>
      <x:c r="M413" s="26" t="n">
        <x:v>0.1</x:v>
      </x:c>
      <x:c r="N413" s="24" t="n">
        <x:v>72</x:v>
      </x:c>
      <x:c r="O413" s="28" t="n">
        <x:f>MIN(1,L413/I413)</x:f>
        <x:v>6.919999999999999e-7</x:v>
      </x:c>
      <x:c r="P413" s="30" t="n">
        <x:f>O413*J413*(1+M413)</x:f>
        <x:v>7.611999999999999e-7</x:v>
      </x:c>
      <x:c r="Q413" s="30" t="n">
        <x:f>P413*N413</x:f>
        <x:v>0.00005480639999999999</x:v>
      </x:c>
      <x:c r="R413" s="19" t="str">
        <x:v>六选一；非6个独立爆率</x:v>
      </x:c>
    </x:row>
    <x:row r="414" ht="19" customHeight="1">
      <x:c r="A414" s="19" t="str">
        <x:v>D00410</x:v>
      </x:c>
      <x:c r="B414" s="19" t="n">
        <x:v>2</x:v>
      </x:c>
      <x:c r="C414" s="19" t="n">
        <x:v>3</x:v>
      </x:c>
      <x:c r="D414" s="19" t="str">
        <x:v>EL-MON-LIM-MIST-006</x:v>
      </x:c>
      <x:c r="E414" s="19" t="str">
        <x:v>林地毒花</x:v>
      </x:c>
      <x:c r="F414" s="19" t="str">
        <x:v>普通</x:v>
      </x:c>
      <x:c r="G414" s="19" t="str">
        <x:v>自身专属</x:v>
      </x:c>
      <x:c r="H414" s="19" t="str">
        <x:v>毒花巨盾</x:v>
      </x:c>
      <x:c r="I414" s="22" t="n">
        <x:v>600</x:v>
      </x:c>
      <x:c r="J414" s="22" t="n">
        <x:v>1</x:v>
      </x:c>
      <x:c r="K414" s="19" t="n">
        <x:v>1</x:v>
      </x:c>
      <x:c r="L414" s="24" t="n">
        <x:v>13.839999999999998</x:v>
      </x:c>
      <x:c r="M414" s="26" t="n">
        <x:v>0.1</x:v>
      </x:c>
      <x:c r="N414" s="24" t="n">
        <x:v>72</x:v>
      </x:c>
      <x:c r="O414" s="28" t="n">
        <x:f>MIN(1,L414/I414)</x:f>
        <x:v>0.023066666666666662</x:v>
      </x:c>
      <x:c r="P414" s="30" t="n">
        <x:f>O414*J414*(1+M414)</x:f>
        <x:v>0.02537333333333333</x:v>
      </x:c>
      <x:c r="Q414" s="30" t="n">
        <x:f>P414*N414</x:f>
        <x:v>1.8268799999999998</x:v>
      </x:c>
      <x:c r="R414" s="19" t="str">
        <x:v>独立判定</x:v>
      </x:c>
    </x:row>
    <x:row r="415" ht="19" customHeight="1">
      <x:c r="A415" s="19" t="str">
        <x:v>D00411</x:v>
      </x:c>
      <x:c r="B415" s="19" t="n">
        <x:v>2</x:v>
      </x:c>
      <x:c r="C415" s="19" t="n">
        <x:v>3</x:v>
      </x:c>
      <x:c r="D415" s="19" t="str">
        <x:v>EL-MON-LIM-MIST-006</x:v>
      </x:c>
      <x:c r="E415" s="19" t="str">
        <x:v>林地毒花</x:v>
      </x:c>
      <x:c r="F415" s="19" t="str">
        <x:v>普通</x:v>
      </x:c>
      <x:c r="G415" s="19" t="str">
        <x:v>材料独立候选</x:v>
      </x:c>
      <x:c r="H415" s="19" t="str">
        <x:v>风暴石片</x:v>
      </x:c>
      <x:c r="I415" s="22" t="n">
        <x:v>500</x:v>
      </x:c>
      <x:c r="J415" s="22" t="n">
        <x:v>8</x:v>
      </x:c>
      <x:c r="K415" s="19" t="n">
        <x:v>1</x:v>
      </x:c>
      <x:c r="L415" s="24" t="n">
        <x:v>13.839999999999998</x:v>
      </x:c>
      <x:c r="M415" s="26" t="n">
        <x:v>0.1</x:v>
      </x:c>
      <x:c r="N415" s="24" t="n">
        <x:v>72</x:v>
      </x:c>
      <x:c r="O415" s="28" t="n">
        <x:f>MIN(1,L415/I415)</x:f>
        <x:v>0.027679999999999996</x:v>
      </x:c>
      <x:c r="P415" s="30" t="n">
        <x:f>O415*J415*(1+M415)</x:f>
        <x:v>0.243584</x:v>
      </x:c>
      <x:c r="Q415" s="30" t="n">
        <x:f>P415*N415</x:f>
        <x:v>17.538048</x:v>
      </x:c>
      <x:c r="R415" s="19" t="str">
        <x:v>独立判定</x:v>
      </x:c>
    </x:row>
    <x:row r="416" ht="19" customHeight="1">
      <x:c r="A416" s="19" t="str">
        <x:v>D00412</x:v>
      </x:c>
      <x:c r="B416" s="19" t="n">
        <x:v>2</x:v>
      </x:c>
      <x:c r="C416" s="19" t="n">
        <x:v>3</x:v>
      </x:c>
      <x:c r="D416" s="19" t="str">
        <x:v>EL-MON-LIM-MIST-006</x:v>
      </x:c>
      <x:c r="E416" s="19" t="str">
        <x:v>林地毒花</x:v>
      </x:c>
      <x:c r="F416" s="19" t="str">
        <x:v>普通</x:v>
      </x:c>
      <x:c r="G416" s="19" t="str">
        <x:v>材料独立候选</x:v>
      </x:c>
      <x:c r="H416" s="19" t="str">
        <x:v>野兽骨片</x:v>
      </x:c>
      <x:c r="I416" s="22" t="n">
        <x:v>100</x:v>
      </x:c>
      <x:c r="J416" s="22" t="n">
        <x:v>2</x:v>
      </x:c>
      <x:c r="K416" s="19" t="n">
        <x:v>1</x:v>
      </x:c>
      <x:c r="L416" s="24" t="n">
        <x:v>13.839999999999998</x:v>
      </x:c>
      <x:c r="M416" s="26" t="n">
        <x:v>0.1</x:v>
      </x:c>
      <x:c r="N416" s="24" t="n">
        <x:v>72</x:v>
      </x:c>
      <x:c r="O416" s="28" t="n">
        <x:f>MIN(1,L416/I416)</x:f>
        <x:v>0.13839999999999997</x:v>
      </x:c>
      <x:c r="P416" s="30" t="n">
        <x:f>O416*J416*(1+M416)</x:f>
        <x:v>0.30448</x:v>
      </x:c>
      <x:c r="Q416" s="30" t="n">
        <x:f>P416*N416</x:f>
        <x:v>21.922559999999997</x:v>
      </x:c>
      <x:c r="R416" s="19" t="str">
        <x:v>独立判定</x:v>
      </x:c>
    </x:row>
    <x:row r="417" ht="19" customHeight="1">
      <x:c r="A417" s="19" t="str">
        <x:v>D00413</x:v>
      </x:c>
      <x:c r="B417" s="19" t="n">
        <x:v>2</x:v>
      </x:c>
      <x:c r="C417" s="19" t="n">
        <x:v>3</x:v>
      </x:c>
      <x:c r="D417" s="19" t="str">
        <x:v>EL-MON-LIM-MIST-006</x:v>
      </x:c>
      <x:c r="E417" s="19" t="str">
        <x:v>林地毒花</x:v>
      </x:c>
      <x:c r="F417" s="19" t="str">
        <x:v>普通</x:v>
      </x:c>
      <x:c r="G417" s="19" t="str">
        <x:v>材料独立候选</x:v>
      </x:c>
      <x:c r="H417" s="19" t="str">
        <x:v>技能残页</x:v>
      </x:c>
      <x:c r="I417" s="22" t="n">
        <x:v>100</x:v>
      </x:c>
      <x:c r="J417" s="22" t="n">
        <x:v>1</x:v>
      </x:c>
      <x:c r="K417" s="19" t="n">
        <x:v>1</x:v>
      </x:c>
      <x:c r="L417" s="24" t="n">
        <x:v>13.839999999999998</x:v>
      </x:c>
      <x:c r="M417" s="26" t="n">
        <x:v>0.1</x:v>
      </x:c>
      <x:c r="N417" s="24" t="n">
        <x:v>72</x:v>
      </x:c>
      <x:c r="O417" s="28" t="n">
        <x:f>MIN(1,L417/I417)</x:f>
        <x:v>0.13839999999999997</x:v>
      </x:c>
      <x:c r="P417" s="30" t="n">
        <x:f>O417*J417*(1+M417)</x:f>
        <x:v>0.15224</x:v>
      </x:c>
      <x:c r="Q417" s="30" t="n">
        <x:f>P417*N417</x:f>
        <x:v>10.961279999999999</x:v>
      </x:c>
      <x:c r="R417" s="19" t="str">
        <x:v>独立判定</x:v>
      </x:c>
    </x:row>
    <x:row r="418" ht="19" customHeight="1">
      <x:c r="A418" s="19" t="str">
        <x:v>D00414</x:v>
      </x:c>
      <x:c r="B418" s="19" t="n">
        <x:v>2</x:v>
      </x:c>
      <x:c r="C418" s="19" t="n">
        <x:v>3</x:v>
      </x:c>
      <x:c r="D418" s="19" t="str">
        <x:v>EL-MON-LIM-MIST-006</x:v>
      </x:c>
      <x:c r="E418" s="19" t="str">
        <x:v>林地毒花</x:v>
      </x:c>
      <x:c r="F418" s="19" t="str">
        <x:v>普通</x:v>
      </x:c>
      <x:c r="G418" s="19" t="str">
        <x:v>材料独立候选</x:v>
      </x:c>
      <x:c r="H418" s="19" t="str">
        <x:v>小卢恩</x:v>
      </x:c>
      <x:c r="I418" s="22" t="n">
        <x:v>4000</x:v>
      </x:c>
      <x:c r="J418" s="22" t="n">
        <x:v>1</x:v>
      </x:c>
      <x:c r="K418" s="19" t="n">
        <x:v>1</x:v>
      </x:c>
      <x:c r="L418" s="24" t="n">
        <x:v>13.839999999999998</x:v>
      </x:c>
      <x:c r="M418" s="26" t="n">
        <x:v>0.1</x:v>
      </x:c>
      <x:c r="N418" s="24" t="n">
        <x:v>72</x:v>
      </x:c>
      <x:c r="O418" s="28" t="n">
        <x:f>MIN(1,L418/I418)</x:f>
        <x:v>0.0034599999999999995</x:v>
      </x:c>
      <x:c r="P418" s="30" t="n">
        <x:f>O418*J418*(1+M418)</x:f>
        <x:v>0.003806</x:v>
      </x:c>
      <x:c r="Q418" s="30" t="n">
        <x:f>P418*N418</x:f>
        <x:v>0.274032</x:v>
      </x:c>
      <x:c r="R418" s="19" t="str">
        <x:v>独立判定</x:v>
      </x:c>
    </x:row>
    <x:row r="419" ht="19" customHeight="1">
      <x:c r="A419" s="19" t="str">
        <x:v>D00415</x:v>
      </x:c>
      <x:c r="B419" s="19" t="n">
        <x:v>2</x:v>
      </x:c>
      <x:c r="C419" s="19" t="n">
        <x:v>3</x:v>
      </x:c>
      <x:c r="D419" s="19" t="str">
        <x:v>EL-MON-LIM-MIST-006</x:v>
      </x:c>
      <x:c r="E419" s="19" t="str">
        <x:v>林地毒花</x:v>
      </x:c>
      <x:c r="F419" s="19" t="str">
        <x:v>普通</x:v>
      </x:c>
      <x:c r="G419" s="19" t="str">
        <x:v>六神器公共池</x:v>
      </x:c>
      <x:c r="H419" s="19" t="str">
        <x:v>POOL006</x:v>
      </x:c>
      <x:c r="I419" s="22" t="n">
        <x:v>20000000</x:v>
      </x:c>
      <x:c r="J419" s="22" t="n">
        <x:v>1</x:v>
      </x:c>
      <x:c r="K419" s="19" t="n">
        <x:v>6</x:v>
      </x:c>
      <x:c r="L419" s="24" t="n">
        <x:v>13.839999999999998</x:v>
      </x:c>
      <x:c r="M419" s="26" t="n">
        <x:v>0.1</x:v>
      </x:c>
      <x:c r="N419" s="24" t="n">
        <x:v>72</x:v>
      </x:c>
      <x:c r="O419" s="28" t="n">
        <x:f>MIN(1,L419/I419)</x:f>
        <x:v>6.919999999999999e-7</x:v>
      </x:c>
      <x:c r="P419" s="30" t="n">
        <x:f>O419*J419*(1+M419)</x:f>
        <x:v>7.611999999999999e-7</x:v>
      </x:c>
      <x:c r="Q419" s="30" t="n">
        <x:f>P419*N419</x:f>
        <x:v>0.00005480639999999999</x:v>
      </x:c>
      <x:c r="R419" s="19" t="str">
        <x:v>六选一；非6个独立爆率</x:v>
      </x:c>
    </x:row>
    <x:row r="420" ht="19" customHeight="1">
      <x:c r="A420" s="19" t="str">
        <x:v>D00416</x:v>
      </x:c>
      <x:c r="B420" s="19" t="n">
        <x:v>2</x:v>
      </x:c>
      <x:c r="C420" s="19" t="n">
        <x:v>3</x:v>
      </x:c>
      <x:c r="D420" s="19" t="str">
        <x:v>EL-MON-LIM-MIST-007</x:v>
      </x:c>
      <x:c r="E420" s="19" t="str">
        <x:v>卢恩熊王</x:v>
      </x:c>
      <x:c r="F420" s="19" t="str">
        <x:v>稀有</x:v>
      </x:c>
      <x:c r="G420" s="19" t="str">
        <x:v>自身专属</x:v>
      </x:c>
      <x:c r="H420" s="19" t="str">
        <x:v>卢恩血镯</x:v>
      </x:c>
      <x:c r="I420" s="22" t="n">
        <x:v>180</x:v>
      </x:c>
      <x:c r="J420" s="22" t="n">
        <x:v>1</x:v>
      </x:c>
      <x:c r="K420" s="19" t="n">
        <x:v>1</x:v>
      </x:c>
      <x:c r="L420" s="24" t="n">
        <x:v>13.839999999999998</x:v>
      </x:c>
      <x:c r="M420" s="26" t="n">
        <x:v>0.1</x:v>
      </x:c>
      <x:c r="N420" s="24" t="n">
        <x:v>11.205590639153453</x:v>
      </x:c>
      <x:c r="O420" s="28" t="n">
        <x:f>MIN(1,L420/I420)</x:f>
        <x:v>0.07688888888888888</x:v>
      </x:c>
      <x:c r="P420" s="30" t="n">
        <x:f>O420*J420*(1+M420)</x:f>
        <x:v>0.08457777777777778</x:v>
      </x:c>
      <x:c r="Q420" s="30" t="n">
        <x:f>P420*N420</x:f>
        <x:v>0.9477439549470676</x:v>
      </x:c>
      <x:c r="R420" s="19" t="str">
        <x:v>独立判定</x:v>
      </x:c>
    </x:row>
    <x:row r="421" ht="19" customHeight="1">
      <x:c r="A421" s="19" t="str">
        <x:v>D00417</x:v>
      </x:c>
      <x:c r="B421" s="19" t="n">
        <x:v>2</x:v>
      </x:c>
      <x:c r="C421" s="19" t="n">
        <x:v>3</x:v>
      </x:c>
      <x:c r="D421" s="19" t="str">
        <x:v>EL-MON-LIM-MIST-007</x:v>
      </x:c>
      <x:c r="E421" s="19" t="str">
        <x:v>卢恩熊王</x:v>
      </x:c>
      <x:c r="F421" s="19" t="str">
        <x:v>稀有</x:v>
      </x:c>
      <x:c r="G421" s="19" t="str">
        <x:v>材料独立候选</x:v>
      </x:c>
      <x:c r="H421" s="19" t="str">
        <x:v>风暴石片</x:v>
      </x:c>
      <x:c r="I421" s="22" t="n">
        <x:v>300</x:v>
      </x:c>
      <x:c r="J421" s="22" t="n">
        <x:v>15</x:v>
      </x:c>
      <x:c r="K421" s="19" t="n">
        <x:v>1</x:v>
      </x:c>
      <x:c r="L421" s="24" t="n">
        <x:v>13.839999999999998</x:v>
      </x:c>
      <x:c r="M421" s="26" t="n">
        <x:v>0.1</x:v>
      </x:c>
      <x:c r="N421" s="24" t="n">
        <x:v>11.205590639153453</x:v>
      </x:c>
      <x:c r="O421" s="28" t="n">
        <x:f>MIN(1,L421/I421)</x:f>
        <x:v>0.046133333333333325</x:v>
      </x:c>
      <x:c r="P421" s="30" t="n">
        <x:f>O421*J421*(1+M421)</x:f>
        <x:v>0.7611999999999999</x:v>
      </x:c>
      <x:c r="Q421" s="30" t="n">
        <x:f>P421*N421</x:f>
        <x:v>8.529695594523607</x:v>
      </x:c>
      <x:c r="R421" s="19" t="str">
        <x:v>独立判定</x:v>
      </x:c>
    </x:row>
    <x:row r="422" ht="19" customHeight="1">
      <x:c r="A422" s="19" t="str">
        <x:v>D00418</x:v>
      </x:c>
      <x:c r="B422" s="19" t="n">
        <x:v>2</x:v>
      </x:c>
      <x:c r="C422" s="19" t="n">
        <x:v>3</x:v>
      </x:c>
      <x:c r="D422" s="19" t="str">
        <x:v>EL-MON-LIM-MIST-007</x:v>
      </x:c>
      <x:c r="E422" s="19" t="str">
        <x:v>卢恩熊王</x:v>
      </x:c>
      <x:c r="F422" s="19" t="str">
        <x:v>稀有</x:v>
      </x:c>
      <x:c r="G422" s="19" t="str">
        <x:v>材料独立候选</x:v>
      </x:c>
      <x:c r="H422" s="19" t="str">
        <x:v>黄金树芽</x:v>
      </x:c>
      <x:c r="I422" s="22" t="n">
        <x:v>60</x:v>
      </x:c>
      <x:c r="J422" s="22" t="n">
        <x:v>2</x:v>
      </x:c>
      <x:c r="K422" s="19" t="n">
        <x:v>1</x:v>
      </x:c>
      <x:c r="L422" s="24" t="n">
        <x:v>13.839999999999998</x:v>
      </x:c>
      <x:c r="M422" s="26" t="n">
        <x:v>0.1</x:v>
      </x:c>
      <x:c r="N422" s="24" t="n">
        <x:v>11.205590639153453</x:v>
      </x:c>
      <x:c r="O422" s="28" t="n">
        <x:f>MIN(1,L422/I422)</x:f>
        <x:v>0.23066666666666663</x:v>
      </x:c>
      <x:c r="P422" s="30" t="n">
        <x:f>O422*J422*(1+M422)</x:f>
        <x:v>0.5074666666666666</x:v>
      </x:c>
      <x:c r="Q422" s="30" t="n">
        <x:f>P422*N422</x:f>
        <x:v>5.686463729682405</x:v>
      </x:c>
      <x:c r="R422" s="19" t="str">
        <x:v>独立判定</x:v>
      </x:c>
    </x:row>
    <x:row r="423" ht="19" customHeight="1">
      <x:c r="A423" s="19" t="str">
        <x:v>D00419</x:v>
      </x:c>
      <x:c r="B423" s="19" t="n">
        <x:v>2</x:v>
      </x:c>
      <x:c r="C423" s="19" t="n">
        <x:v>3</x:v>
      </x:c>
      <x:c r="D423" s="19" t="str">
        <x:v>EL-MON-LIM-MIST-007</x:v>
      </x:c>
      <x:c r="E423" s="19" t="str">
        <x:v>卢恩熊王</x:v>
      </x:c>
      <x:c r="F423" s="19" t="str">
        <x:v>稀有</x:v>
      </x:c>
      <x:c r="G423" s="19" t="str">
        <x:v>材料独立候选</x:v>
      </x:c>
      <x:c r="H423" s="19" t="str">
        <x:v>熊王心脏</x:v>
      </x:c>
      <x:c r="I423" s="22" t="n">
        <x:v>180</x:v>
      </x:c>
      <x:c r="J423" s="22" t="n">
        <x:v>1</x:v>
      </x:c>
      <x:c r="K423" s="19" t="n">
        <x:v>1</x:v>
      </x:c>
      <x:c r="L423" s="24" t="n">
        <x:v>13.839999999999998</x:v>
      </x:c>
      <x:c r="M423" s="26" t="n">
        <x:v>0.1</x:v>
      </x:c>
      <x:c r="N423" s="24" t="n">
        <x:v>11.205590639153453</x:v>
      </x:c>
      <x:c r="O423" s="28" t="n">
        <x:f>MIN(1,L423/I423)</x:f>
        <x:v>0.07688888888888888</x:v>
      </x:c>
      <x:c r="P423" s="30" t="n">
        <x:f>O423*J423*(1+M423)</x:f>
        <x:v>0.08457777777777778</x:v>
      </x:c>
      <x:c r="Q423" s="30" t="n">
        <x:f>P423*N423</x:f>
        <x:v>0.9477439549470676</x:v>
      </x:c>
      <x:c r="R423" s="19" t="str">
        <x:v>独立判定</x:v>
      </x:c>
    </x:row>
    <x:row r="424" ht="19" customHeight="1">
      <x:c r="A424" s="19" t="str">
        <x:v>D00420</x:v>
      </x:c>
      <x:c r="B424" s="19" t="n">
        <x:v>2</x:v>
      </x:c>
      <x:c r="C424" s="19" t="n">
        <x:v>3</x:v>
      </x:c>
      <x:c r="D424" s="19" t="str">
        <x:v>EL-MON-LIM-MIST-007</x:v>
      </x:c>
      <x:c r="E424" s="19" t="str">
        <x:v>卢恩熊王</x:v>
      </x:c>
      <x:c r="F424" s="19" t="str">
        <x:v>稀有</x:v>
      </x:c>
      <x:c r="G424" s="19" t="str">
        <x:v>材料独立候选</x:v>
      </x:c>
      <x:c r="H424" s="19" t="str">
        <x:v>野兽骨片</x:v>
      </x:c>
      <x:c r="I424" s="22" t="n">
        <x:v>60</x:v>
      </x:c>
      <x:c r="J424" s="22" t="n">
        <x:v>2</x:v>
      </x:c>
      <x:c r="K424" s="19" t="n">
        <x:v>1</x:v>
      </x:c>
      <x:c r="L424" s="24" t="n">
        <x:v>13.839999999999998</x:v>
      </x:c>
      <x:c r="M424" s="26" t="n">
        <x:v>0.1</x:v>
      </x:c>
      <x:c r="N424" s="24" t="n">
        <x:v>11.205590639153453</x:v>
      </x:c>
      <x:c r="O424" s="28" t="n">
        <x:f>MIN(1,L424/I424)</x:f>
        <x:v>0.23066666666666663</x:v>
      </x:c>
      <x:c r="P424" s="30" t="n">
        <x:f>O424*J424*(1+M424)</x:f>
        <x:v>0.5074666666666666</x:v>
      </x:c>
      <x:c r="Q424" s="30" t="n">
        <x:f>P424*N424</x:f>
        <x:v>5.686463729682405</x:v>
      </x:c>
      <x:c r="R424" s="19" t="str">
        <x:v>独立判定</x:v>
      </x:c>
    </x:row>
    <x:row r="425" ht="19" customHeight="1">
      <x:c r="A425" s="19" t="str">
        <x:v>D00421</x:v>
      </x:c>
      <x:c r="B425" s="19" t="n">
        <x:v>2</x:v>
      </x:c>
      <x:c r="C425" s="19" t="n">
        <x:v>3</x:v>
      </x:c>
      <x:c r="D425" s="19" t="str">
        <x:v>EL-MON-LIM-MIST-007</x:v>
      </x:c>
      <x:c r="E425" s="19" t="str">
        <x:v>卢恩熊王</x:v>
      </x:c>
      <x:c r="F425" s="19" t="str">
        <x:v>稀有</x:v>
      </x:c>
      <x:c r="G425" s="19" t="str">
        <x:v>材料独立候选</x:v>
      </x:c>
      <x:c r="H425" s="19" t="str">
        <x:v>技能残页</x:v>
      </x:c>
      <x:c r="I425" s="22" t="n">
        <x:v>60</x:v>
      </x:c>
      <x:c r="J425" s="22" t="n">
        <x:v>1</x:v>
      </x:c>
      <x:c r="K425" s="19" t="n">
        <x:v>1</x:v>
      </x:c>
      <x:c r="L425" s="24" t="n">
        <x:v>13.839999999999998</x:v>
      </x:c>
      <x:c r="M425" s="26" t="n">
        <x:v>0.1</x:v>
      </x:c>
      <x:c r="N425" s="24" t="n">
        <x:v>11.205590639153453</x:v>
      </x:c>
      <x:c r="O425" s="28" t="n">
        <x:f>MIN(1,L425/I425)</x:f>
        <x:v>0.23066666666666663</x:v>
      </x:c>
      <x:c r="P425" s="30" t="n">
        <x:f>O425*J425*(1+M425)</x:f>
        <x:v>0.2537333333333333</x:v>
      </x:c>
      <x:c r="Q425" s="30" t="n">
        <x:f>P425*N425</x:f>
        <x:v>2.8432318648412025</x:v>
      </x:c>
      <x:c r="R425" s="19" t="str">
        <x:v>独立判定</x:v>
      </x:c>
    </x:row>
    <x:row r="426" ht="19" customHeight="1">
      <x:c r="A426" s="19" t="str">
        <x:v>D00422</x:v>
      </x:c>
      <x:c r="B426" s="19" t="n">
        <x:v>2</x:v>
      </x:c>
      <x:c r="C426" s="19" t="n">
        <x:v>3</x:v>
      </x:c>
      <x:c r="D426" s="19" t="str">
        <x:v>EL-MON-LIM-MIST-007</x:v>
      </x:c>
      <x:c r="E426" s="19" t="str">
        <x:v>卢恩熊王</x:v>
      </x:c>
      <x:c r="F426" s="19" t="str">
        <x:v>稀有</x:v>
      </x:c>
      <x:c r="G426" s="19" t="str">
        <x:v>材料独立候选</x:v>
      </x:c>
      <x:c r="H426" s="19" t="str">
        <x:v>小卢恩</x:v>
      </x:c>
      <x:c r="I426" s="22" t="n">
        <x:v>2500</x:v>
      </x:c>
      <x:c r="J426" s="22" t="n">
        <x:v>1</x:v>
      </x:c>
      <x:c r="K426" s="19" t="n">
        <x:v>1</x:v>
      </x:c>
      <x:c r="L426" s="24" t="n">
        <x:v>13.839999999999998</x:v>
      </x:c>
      <x:c r="M426" s="26" t="n">
        <x:v>0.1</x:v>
      </x:c>
      <x:c r="N426" s="24" t="n">
        <x:v>11.205590639153453</x:v>
      </x:c>
      <x:c r="O426" s="28" t="n">
        <x:f>MIN(1,L426/I426)</x:f>
        <x:v>0.005535999999999999</x:v>
      </x:c>
      <x:c r="P426" s="30" t="n">
        <x:f>O426*J426*(1+M426)</x:f>
        <x:v>0.0060896</x:v>
      </x:c>
      <x:c r="Q426" s="30" t="n">
        <x:f>P426*N426</x:f>
        <x:v>0.06823756475618886</x:v>
      </x:c>
      <x:c r="R426" s="19" t="str">
        <x:v>独立判定</x:v>
      </x:c>
    </x:row>
    <x:row r="427" ht="19" customHeight="1">
      <x:c r="A427" s="19" t="str">
        <x:v>D00423</x:v>
      </x:c>
      <x:c r="B427" s="19" t="n">
        <x:v>2</x:v>
      </x:c>
      <x:c r="C427" s="19" t="n">
        <x:v>3</x:v>
      </x:c>
      <x:c r="D427" s="19" t="str">
        <x:v>EL-MON-LIM-MIST-007</x:v>
      </x:c>
      <x:c r="E427" s="19" t="str">
        <x:v>卢恩熊王</x:v>
      </x:c>
      <x:c r="F427" s="19" t="str">
        <x:v>稀有</x:v>
      </x:c>
      <x:c r="G427" s="19" t="str">
        <x:v>六神器公共池</x:v>
      </x:c>
      <x:c r="H427" s="19" t="str">
        <x:v>POOL006</x:v>
      </x:c>
      <x:c r="I427" s="22" t="n">
        <x:v>5000000</x:v>
      </x:c>
      <x:c r="J427" s="22" t="n">
        <x:v>1</x:v>
      </x:c>
      <x:c r="K427" s="19" t="n">
        <x:v>6</x:v>
      </x:c>
      <x:c r="L427" s="24" t="n">
        <x:v>13.839999999999998</x:v>
      </x:c>
      <x:c r="M427" s="26" t="n">
        <x:v>0.1</x:v>
      </x:c>
      <x:c r="N427" s="24" t="n">
        <x:v>11.205590639153453</x:v>
      </x:c>
      <x:c r="O427" s="28" t="n">
        <x:f>MIN(1,L427/I427)</x:f>
        <x:v>0.0000027679999999999996</x:v>
      </x:c>
      <x:c r="P427" s="30" t="n">
        <x:f>O427*J427*(1+M427)</x:f>
        <x:v>0.0000030447999999999996</x:v>
      </x:c>
      <x:c r="Q427" s="30" t="n">
        <x:f>P427*N427</x:f>
        <x:v>0.00003411878237809443</x:v>
      </x:c>
      <x:c r="R427" s="19" t="str">
        <x:v>六选一；非6个独立爆率</x:v>
      </x:c>
    </x:row>
    <x:row r="428" ht="19" customHeight="1">
      <x:c r="A428" s="19" t="str">
        <x:v>D00424</x:v>
      </x:c>
      <x:c r="B428" s="19" t="n">
        <x:v>2</x:v>
      </x:c>
      <x:c r="C428" s="19" t="n">
        <x:v>3</x:v>
      </x:c>
      <x:c r="D428" s="19" t="str">
        <x:v>EL-MON-LIM-MIST-008</x:v>
      </x:c>
      <x:c r="E428" s="19" t="str">
        <x:v>小黄金树化身</x:v>
      </x:c>
      <x:c r="F428" s="19" t="str">
        <x:v>稀有</x:v>
      </x:c>
      <x:c r="G428" s="19" t="str">
        <x:v>自身专属</x:v>
      </x:c>
      <x:c r="H428" s="19" t="str">
        <x:v>黄金树戒</x:v>
      </x:c>
      <x:c r="I428" s="22" t="n">
        <x:v>180</x:v>
      </x:c>
      <x:c r="J428" s="22" t="n">
        <x:v>1</x:v>
      </x:c>
      <x:c r="K428" s="19" t="n">
        <x:v>1</x:v>
      </x:c>
      <x:c r="L428" s="24" t="n">
        <x:v>13.839999999999998</x:v>
      </x:c>
      <x:c r="M428" s="26" t="n">
        <x:v>0.1</x:v>
      </x:c>
      <x:c r="N428" s="24" t="n">
        <x:v>11.205590639153453</x:v>
      </x:c>
      <x:c r="O428" s="28" t="n">
        <x:f>MIN(1,L428/I428)</x:f>
        <x:v>0.07688888888888888</x:v>
      </x:c>
      <x:c r="P428" s="30" t="n">
        <x:f>O428*J428*(1+M428)</x:f>
        <x:v>0.08457777777777778</x:v>
      </x:c>
      <x:c r="Q428" s="30" t="n">
        <x:f>P428*N428</x:f>
        <x:v>0.9477439549470676</x:v>
      </x:c>
      <x:c r="R428" s="19" t="str">
        <x:v>独立判定</x:v>
      </x:c>
    </x:row>
    <x:row r="429" ht="19" customHeight="1">
      <x:c r="A429" s="19" t="str">
        <x:v>D00425</x:v>
      </x:c>
      <x:c r="B429" s="19" t="n">
        <x:v>2</x:v>
      </x:c>
      <x:c r="C429" s="19" t="n">
        <x:v>3</x:v>
      </x:c>
      <x:c r="D429" s="19" t="str">
        <x:v>EL-MON-LIM-MIST-008</x:v>
      </x:c>
      <x:c r="E429" s="19" t="str">
        <x:v>小黄金树化身</x:v>
      </x:c>
      <x:c r="F429" s="19" t="str">
        <x:v>稀有</x:v>
      </x:c>
      <x:c r="G429" s="19" t="str">
        <x:v>材料独立候选</x:v>
      </x:c>
      <x:c r="H429" s="19" t="str">
        <x:v>风暴石片</x:v>
      </x:c>
      <x:c r="I429" s="22" t="n">
        <x:v>300</x:v>
      </x:c>
      <x:c r="J429" s="22" t="n">
        <x:v>15</x:v>
      </x:c>
      <x:c r="K429" s="19" t="n">
        <x:v>1</x:v>
      </x:c>
      <x:c r="L429" s="24" t="n">
        <x:v>13.839999999999998</x:v>
      </x:c>
      <x:c r="M429" s="26" t="n">
        <x:v>0.1</x:v>
      </x:c>
      <x:c r="N429" s="24" t="n">
        <x:v>11.205590639153453</x:v>
      </x:c>
      <x:c r="O429" s="28" t="n">
        <x:f>MIN(1,L429/I429)</x:f>
        <x:v>0.046133333333333325</x:v>
      </x:c>
      <x:c r="P429" s="30" t="n">
        <x:f>O429*J429*(1+M429)</x:f>
        <x:v>0.7611999999999999</x:v>
      </x:c>
      <x:c r="Q429" s="30" t="n">
        <x:f>P429*N429</x:f>
        <x:v>8.529695594523607</x:v>
      </x:c>
      <x:c r="R429" s="19" t="str">
        <x:v>独立判定</x:v>
      </x:c>
    </x:row>
    <x:row r="430" ht="19" customHeight="1">
      <x:c r="A430" s="19" t="str">
        <x:v>D00426</x:v>
      </x:c>
      <x:c r="B430" s="19" t="n">
        <x:v>2</x:v>
      </x:c>
      <x:c r="C430" s="19" t="n">
        <x:v>3</x:v>
      </x:c>
      <x:c r="D430" s="19" t="str">
        <x:v>EL-MON-LIM-MIST-008</x:v>
      </x:c>
      <x:c r="E430" s="19" t="str">
        <x:v>小黄金树化身</x:v>
      </x:c>
      <x:c r="F430" s="19" t="str">
        <x:v>稀有</x:v>
      </x:c>
      <x:c r="G430" s="19" t="str">
        <x:v>材料独立候选</x:v>
      </x:c>
      <x:c r="H430" s="19" t="str">
        <x:v>黄金树芽</x:v>
      </x:c>
      <x:c r="I430" s="22" t="n">
        <x:v>60</x:v>
      </x:c>
      <x:c r="J430" s="22" t="n">
        <x:v>2</x:v>
      </x:c>
      <x:c r="K430" s="19" t="n">
        <x:v>1</x:v>
      </x:c>
      <x:c r="L430" s="24" t="n">
        <x:v>13.839999999999998</x:v>
      </x:c>
      <x:c r="M430" s="26" t="n">
        <x:v>0.1</x:v>
      </x:c>
      <x:c r="N430" s="24" t="n">
        <x:v>11.205590639153453</x:v>
      </x:c>
      <x:c r="O430" s="28" t="n">
        <x:f>MIN(1,L430/I430)</x:f>
        <x:v>0.23066666666666663</x:v>
      </x:c>
      <x:c r="P430" s="30" t="n">
        <x:f>O430*J430*(1+M430)</x:f>
        <x:v>0.5074666666666666</x:v>
      </x:c>
      <x:c r="Q430" s="30" t="n">
        <x:f>P430*N430</x:f>
        <x:v>5.686463729682405</x:v>
      </x:c>
      <x:c r="R430" s="19" t="str">
        <x:v>独立判定</x:v>
      </x:c>
    </x:row>
    <x:row r="431" ht="19" customHeight="1">
      <x:c r="A431" s="19" t="str">
        <x:v>D00427</x:v>
      </x:c>
      <x:c r="B431" s="19" t="n">
        <x:v>2</x:v>
      </x:c>
      <x:c r="C431" s="19" t="n">
        <x:v>3</x:v>
      </x:c>
      <x:c r="D431" s="19" t="str">
        <x:v>EL-MON-LIM-MIST-008</x:v>
      </x:c>
      <x:c r="E431" s="19" t="str">
        <x:v>小黄金树化身</x:v>
      </x:c>
      <x:c r="F431" s="19" t="str">
        <x:v>稀有</x:v>
      </x:c>
      <x:c r="G431" s="19" t="str">
        <x:v>材料独立候选</x:v>
      </x:c>
      <x:c r="H431" s="19" t="str">
        <x:v>黄金树碎核</x:v>
      </x:c>
      <x:c r="I431" s="22" t="n">
        <x:v>180</x:v>
      </x:c>
      <x:c r="J431" s="22" t="n">
        <x:v>1</x:v>
      </x:c>
      <x:c r="K431" s="19" t="n">
        <x:v>1</x:v>
      </x:c>
      <x:c r="L431" s="24" t="n">
        <x:v>13.839999999999998</x:v>
      </x:c>
      <x:c r="M431" s="26" t="n">
        <x:v>0.1</x:v>
      </x:c>
      <x:c r="N431" s="24" t="n">
        <x:v>11.205590639153453</x:v>
      </x:c>
      <x:c r="O431" s="28" t="n">
        <x:f>MIN(1,L431/I431)</x:f>
        <x:v>0.07688888888888888</x:v>
      </x:c>
      <x:c r="P431" s="30" t="n">
        <x:f>O431*J431*(1+M431)</x:f>
        <x:v>0.08457777777777778</x:v>
      </x:c>
      <x:c r="Q431" s="30" t="n">
        <x:f>P431*N431</x:f>
        <x:v>0.9477439549470676</x:v>
      </x:c>
      <x:c r="R431" s="19" t="str">
        <x:v>独立判定</x:v>
      </x:c>
    </x:row>
    <x:row r="432" ht="19" customHeight="1">
      <x:c r="A432" s="19" t="str">
        <x:v>D00428</x:v>
      </x:c>
      <x:c r="B432" s="19" t="n">
        <x:v>2</x:v>
      </x:c>
      <x:c r="C432" s="19" t="n">
        <x:v>3</x:v>
      </x:c>
      <x:c r="D432" s="19" t="str">
        <x:v>EL-MON-LIM-MIST-008</x:v>
      </x:c>
      <x:c r="E432" s="19" t="str">
        <x:v>小黄金树化身</x:v>
      </x:c>
      <x:c r="F432" s="19" t="str">
        <x:v>稀有</x:v>
      </x:c>
      <x:c r="G432" s="19" t="str">
        <x:v>材料独立候选</x:v>
      </x:c>
      <x:c r="H432" s="19" t="str">
        <x:v>野兽骨片</x:v>
      </x:c>
      <x:c r="I432" s="22" t="n">
        <x:v>60</x:v>
      </x:c>
      <x:c r="J432" s="22" t="n">
        <x:v>2</x:v>
      </x:c>
      <x:c r="K432" s="19" t="n">
        <x:v>1</x:v>
      </x:c>
      <x:c r="L432" s="24" t="n">
        <x:v>13.839999999999998</x:v>
      </x:c>
      <x:c r="M432" s="26" t="n">
        <x:v>0.1</x:v>
      </x:c>
      <x:c r="N432" s="24" t="n">
        <x:v>11.205590639153453</x:v>
      </x:c>
      <x:c r="O432" s="28" t="n">
        <x:f>MIN(1,L432/I432)</x:f>
        <x:v>0.23066666666666663</x:v>
      </x:c>
      <x:c r="P432" s="30" t="n">
        <x:f>O432*J432*(1+M432)</x:f>
        <x:v>0.5074666666666666</x:v>
      </x:c>
      <x:c r="Q432" s="30" t="n">
        <x:f>P432*N432</x:f>
        <x:v>5.686463729682405</x:v>
      </x:c>
      <x:c r="R432" s="19" t="str">
        <x:v>独立判定</x:v>
      </x:c>
    </x:row>
    <x:row r="433" ht="19" customHeight="1">
      <x:c r="A433" s="19" t="str">
        <x:v>D00429</x:v>
      </x:c>
      <x:c r="B433" s="19" t="n">
        <x:v>2</x:v>
      </x:c>
      <x:c r="C433" s="19" t="n">
        <x:v>3</x:v>
      </x:c>
      <x:c r="D433" s="19" t="str">
        <x:v>EL-MON-LIM-MIST-008</x:v>
      </x:c>
      <x:c r="E433" s="19" t="str">
        <x:v>小黄金树化身</x:v>
      </x:c>
      <x:c r="F433" s="19" t="str">
        <x:v>稀有</x:v>
      </x:c>
      <x:c r="G433" s="19" t="str">
        <x:v>材料独立候选</x:v>
      </x:c>
      <x:c r="H433" s="19" t="str">
        <x:v>技能残页</x:v>
      </x:c>
      <x:c r="I433" s="22" t="n">
        <x:v>60</x:v>
      </x:c>
      <x:c r="J433" s="22" t="n">
        <x:v>1</x:v>
      </x:c>
      <x:c r="K433" s="19" t="n">
        <x:v>1</x:v>
      </x:c>
      <x:c r="L433" s="24" t="n">
        <x:v>13.839999999999998</x:v>
      </x:c>
      <x:c r="M433" s="26" t="n">
        <x:v>0.1</x:v>
      </x:c>
      <x:c r="N433" s="24" t="n">
        <x:v>11.205590639153453</x:v>
      </x:c>
      <x:c r="O433" s="28" t="n">
        <x:f>MIN(1,L433/I433)</x:f>
        <x:v>0.23066666666666663</x:v>
      </x:c>
      <x:c r="P433" s="30" t="n">
        <x:f>O433*J433*(1+M433)</x:f>
        <x:v>0.2537333333333333</x:v>
      </x:c>
      <x:c r="Q433" s="30" t="n">
        <x:f>P433*N433</x:f>
        <x:v>2.8432318648412025</x:v>
      </x:c>
      <x:c r="R433" s="19" t="str">
        <x:v>独立判定</x:v>
      </x:c>
    </x:row>
    <x:row r="434" ht="19" customHeight="1">
      <x:c r="A434" s="19" t="str">
        <x:v>D00430</x:v>
      </x:c>
      <x:c r="B434" s="19" t="n">
        <x:v>2</x:v>
      </x:c>
      <x:c r="C434" s="19" t="n">
        <x:v>3</x:v>
      </x:c>
      <x:c r="D434" s="19" t="str">
        <x:v>EL-MON-LIM-MIST-008</x:v>
      </x:c>
      <x:c r="E434" s="19" t="str">
        <x:v>小黄金树化身</x:v>
      </x:c>
      <x:c r="F434" s="19" t="str">
        <x:v>稀有</x:v>
      </x:c>
      <x:c r="G434" s="19" t="str">
        <x:v>材料独立候选</x:v>
      </x:c>
      <x:c r="H434" s="19" t="str">
        <x:v>小卢恩</x:v>
      </x:c>
      <x:c r="I434" s="22" t="n">
        <x:v>2500</x:v>
      </x:c>
      <x:c r="J434" s="22" t="n">
        <x:v>1</x:v>
      </x:c>
      <x:c r="K434" s="19" t="n">
        <x:v>1</x:v>
      </x:c>
      <x:c r="L434" s="24" t="n">
        <x:v>13.839999999999998</x:v>
      </x:c>
      <x:c r="M434" s="26" t="n">
        <x:v>0.1</x:v>
      </x:c>
      <x:c r="N434" s="24" t="n">
        <x:v>11.205590639153453</x:v>
      </x:c>
      <x:c r="O434" s="28" t="n">
        <x:f>MIN(1,L434/I434)</x:f>
        <x:v>0.005535999999999999</x:v>
      </x:c>
      <x:c r="P434" s="30" t="n">
        <x:f>O434*J434*(1+M434)</x:f>
        <x:v>0.0060896</x:v>
      </x:c>
      <x:c r="Q434" s="30" t="n">
        <x:f>P434*N434</x:f>
        <x:v>0.06823756475618886</x:v>
      </x:c>
      <x:c r="R434" s="19" t="str">
        <x:v>独立判定</x:v>
      </x:c>
    </x:row>
    <x:row r="435" ht="19" customHeight="1">
      <x:c r="A435" s="19" t="str">
        <x:v>D00431</x:v>
      </x:c>
      <x:c r="B435" s="19" t="n">
        <x:v>2</x:v>
      </x:c>
      <x:c r="C435" s="19" t="n">
        <x:v>3</x:v>
      </x:c>
      <x:c r="D435" s="19" t="str">
        <x:v>EL-MON-LIM-MIST-008</x:v>
      </x:c>
      <x:c r="E435" s="19" t="str">
        <x:v>小黄金树化身</x:v>
      </x:c>
      <x:c r="F435" s="19" t="str">
        <x:v>稀有</x:v>
      </x:c>
      <x:c r="G435" s="19" t="str">
        <x:v>六神器公共池</x:v>
      </x:c>
      <x:c r="H435" s="19" t="str">
        <x:v>POOL006</x:v>
      </x:c>
      <x:c r="I435" s="22" t="n">
        <x:v>5000000</x:v>
      </x:c>
      <x:c r="J435" s="22" t="n">
        <x:v>1</x:v>
      </x:c>
      <x:c r="K435" s="19" t="n">
        <x:v>6</x:v>
      </x:c>
      <x:c r="L435" s="24" t="n">
        <x:v>13.839999999999998</x:v>
      </x:c>
      <x:c r="M435" s="26" t="n">
        <x:v>0.1</x:v>
      </x:c>
      <x:c r="N435" s="24" t="n">
        <x:v>11.205590639153453</x:v>
      </x:c>
      <x:c r="O435" s="28" t="n">
        <x:f>MIN(1,L435/I435)</x:f>
        <x:v>0.0000027679999999999996</x:v>
      </x:c>
      <x:c r="P435" s="30" t="n">
        <x:f>O435*J435*(1+M435)</x:f>
        <x:v>0.0000030447999999999996</x:v>
      </x:c>
      <x:c r="Q435" s="30" t="n">
        <x:f>P435*N435</x:f>
        <x:v>0.00003411878237809443</x:v>
      </x:c>
      <x:c r="R435" s="19" t="str">
        <x:v>六选一；非6个独立爆率</x:v>
      </x:c>
    </x:row>
    <x:row r="436" ht="19" customHeight="1">
      <x:c r="A436" s="19" t="str">
        <x:v>D00432</x:v>
      </x:c>
      <x:c r="B436" s="19" t="n">
        <x:v>2</x:v>
      </x:c>
      <x:c r="C436" s="19" t="n">
        <x:v>3</x:v>
      </x:c>
      <x:c r="D436" s="19" t="str">
        <x:v>EL-MON-LIM-MIST-009</x:v>
      </x:c>
      <x:c r="E436" s="19" t="str">
        <x:v>猎犬骑士·达瑞威尔</x:v>
      </x:c>
      <x:c r="F436" s="19" t="str">
        <x:v>稀有</x:v>
      </x:c>
      <x:c r="G436" s="19" t="str">
        <x:v>自身专属</x:v>
      </x:c>
      <x:c r="H436" s="19" t="str">
        <x:v>猎犬辰龙</x:v>
      </x:c>
      <x:c r="I436" s="22" t="n">
        <x:v>180</x:v>
      </x:c>
      <x:c r="J436" s="22" t="n">
        <x:v>1</x:v>
      </x:c>
      <x:c r="K436" s="19" t="n">
        <x:v>1</x:v>
      </x:c>
      <x:c r="L436" s="24" t="n">
        <x:v>13.839999999999998</x:v>
      </x:c>
      <x:c r="M436" s="26" t="n">
        <x:v>0.1</x:v>
      </x:c>
      <x:c r="N436" s="24" t="n">
        <x:v>10.37554688810505</x:v>
      </x:c>
      <x:c r="O436" s="28" t="n">
        <x:f>MIN(1,L436/I436)</x:f>
        <x:v>0.07688888888888888</x:v>
      </x:c>
      <x:c r="P436" s="30" t="n">
        <x:f>O436*J436*(1+M436)</x:f>
        <x:v>0.08457777777777778</x:v>
      </x:c>
      <x:c r="Q436" s="30" t="n">
        <x:f>P436*N436</x:f>
        <x:v>0.8775406990250627</x:v>
      </x:c>
      <x:c r="R436" s="19" t="str">
        <x:v>独立判定</x:v>
      </x:c>
    </x:row>
    <x:row r="437" ht="19" customHeight="1">
      <x:c r="A437" s="19" t="str">
        <x:v>D00433</x:v>
      </x:c>
      <x:c r="B437" s="19" t="n">
        <x:v>2</x:v>
      </x:c>
      <x:c r="C437" s="19" t="n">
        <x:v>3</x:v>
      </x:c>
      <x:c r="D437" s="19" t="str">
        <x:v>EL-MON-LIM-MIST-009</x:v>
      </x:c>
      <x:c r="E437" s="19" t="str">
        <x:v>猎犬骑士·达瑞威尔</x:v>
      </x:c>
      <x:c r="F437" s="19" t="str">
        <x:v>稀有</x:v>
      </x:c>
      <x:c r="G437" s="19" t="str">
        <x:v>材料独立候选</x:v>
      </x:c>
      <x:c r="H437" s="19" t="str">
        <x:v>风暴石片</x:v>
      </x:c>
      <x:c r="I437" s="22" t="n">
        <x:v>300</x:v>
      </x:c>
      <x:c r="J437" s="22" t="n">
        <x:v>15</x:v>
      </x:c>
      <x:c r="K437" s="19" t="n">
        <x:v>1</x:v>
      </x:c>
      <x:c r="L437" s="24" t="n">
        <x:v>13.839999999999998</x:v>
      </x:c>
      <x:c r="M437" s="26" t="n">
        <x:v>0.1</x:v>
      </x:c>
      <x:c r="N437" s="24" t="n">
        <x:v>10.37554688810505</x:v>
      </x:c>
      <x:c r="O437" s="28" t="n">
        <x:f>MIN(1,L437/I437)</x:f>
        <x:v>0.046133333333333325</x:v>
      </x:c>
      <x:c r="P437" s="30" t="n">
        <x:f>O437*J437*(1+M437)</x:f>
        <x:v>0.7611999999999999</x:v>
      </x:c>
      <x:c r="Q437" s="30" t="n">
        <x:f>P437*N437</x:f>
        <x:v>7.897866291225563</x:v>
      </x:c>
      <x:c r="R437" s="19" t="str">
        <x:v>独立判定</x:v>
      </x:c>
    </x:row>
    <x:row r="438" ht="19" customHeight="1">
      <x:c r="A438" s="19" t="str">
        <x:v>D00434</x:v>
      </x:c>
      <x:c r="B438" s="19" t="n">
        <x:v>2</x:v>
      </x:c>
      <x:c r="C438" s="19" t="n">
        <x:v>3</x:v>
      </x:c>
      <x:c r="D438" s="19" t="str">
        <x:v>EL-MON-LIM-MIST-009</x:v>
      </x:c>
      <x:c r="E438" s="19" t="str">
        <x:v>猎犬骑士·达瑞威尔</x:v>
      </x:c>
      <x:c r="F438" s="19" t="str">
        <x:v>稀有</x:v>
      </x:c>
      <x:c r="G438" s="19" t="str">
        <x:v>材料独立候选</x:v>
      </x:c>
      <x:c r="H438" s="19" t="str">
        <x:v>黄金树芽</x:v>
      </x:c>
      <x:c r="I438" s="22" t="n">
        <x:v>60</x:v>
      </x:c>
      <x:c r="J438" s="22" t="n">
        <x:v>2</x:v>
      </x:c>
      <x:c r="K438" s="19" t="n">
        <x:v>1</x:v>
      </x:c>
      <x:c r="L438" s="24" t="n">
        <x:v>13.839999999999998</x:v>
      </x:c>
      <x:c r="M438" s="26" t="n">
        <x:v>0.1</x:v>
      </x:c>
      <x:c r="N438" s="24" t="n">
        <x:v>10.37554688810505</x:v>
      </x:c>
      <x:c r="O438" s="28" t="n">
        <x:f>MIN(1,L438/I438)</x:f>
        <x:v>0.23066666666666663</x:v>
      </x:c>
      <x:c r="P438" s="30" t="n">
        <x:f>O438*J438*(1+M438)</x:f>
        <x:v>0.5074666666666666</x:v>
      </x:c>
      <x:c r="Q438" s="30" t="n">
        <x:f>P438*N438</x:f>
        <x:v>5.265244194150376</x:v>
      </x:c>
      <x:c r="R438" s="19" t="str">
        <x:v>独立判定</x:v>
      </x:c>
    </x:row>
    <x:row r="439" ht="19" customHeight="1">
      <x:c r="A439" s="19" t="str">
        <x:v>D00435</x:v>
      </x:c>
      <x:c r="B439" s="19" t="n">
        <x:v>2</x:v>
      </x:c>
      <x:c r="C439" s="19" t="n">
        <x:v>3</x:v>
      </x:c>
      <x:c r="D439" s="19" t="str">
        <x:v>EL-MON-LIM-MIST-009</x:v>
      </x:c>
      <x:c r="E439" s="19" t="str">
        <x:v>猎犬骑士·达瑞威尔</x:v>
      </x:c>
      <x:c r="F439" s="19" t="str">
        <x:v>稀有</x:v>
      </x:c>
      <x:c r="G439" s="19" t="str">
        <x:v>材料独立候选</x:v>
      </x:c>
      <x:c r="H439" s="19" t="str">
        <x:v>野兽骨片</x:v>
      </x:c>
      <x:c r="I439" s="22" t="n">
        <x:v>60</x:v>
      </x:c>
      <x:c r="J439" s="22" t="n">
        <x:v>2</x:v>
      </x:c>
      <x:c r="K439" s="19" t="n">
        <x:v>1</x:v>
      </x:c>
      <x:c r="L439" s="24" t="n">
        <x:v>13.839999999999998</x:v>
      </x:c>
      <x:c r="M439" s="26" t="n">
        <x:v>0.1</x:v>
      </x:c>
      <x:c r="N439" s="24" t="n">
        <x:v>10.37554688810505</x:v>
      </x:c>
      <x:c r="O439" s="28" t="n">
        <x:f>MIN(1,L439/I439)</x:f>
        <x:v>0.23066666666666663</x:v>
      </x:c>
      <x:c r="P439" s="30" t="n">
        <x:f>O439*J439*(1+M439)</x:f>
        <x:v>0.5074666666666666</x:v>
      </x:c>
      <x:c r="Q439" s="30" t="n">
        <x:f>P439*N439</x:f>
        <x:v>5.265244194150376</x:v>
      </x:c>
      <x:c r="R439" s="19" t="str">
        <x:v>独立判定</x:v>
      </x:c>
    </x:row>
    <x:row r="440" ht="19" customHeight="1">
      <x:c r="A440" s="19" t="str">
        <x:v>D00436</x:v>
      </x:c>
      <x:c r="B440" s="19" t="n">
        <x:v>2</x:v>
      </x:c>
      <x:c r="C440" s="19" t="n">
        <x:v>3</x:v>
      </x:c>
      <x:c r="D440" s="19" t="str">
        <x:v>EL-MON-LIM-MIST-009</x:v>
      </x:c>
      <x:c r="E440" s="19" t="str">
        <x:v>猎犬骑士·达瑞威尔</x:v>
      </x:c>
      <x:c r="F440" s="19" t="str">
        <x:v>稀有</x:v>
      </x:c>
      <x:c r="G440" s="19" t="str">
        <x:v>材料独立候选</x:v>
      </x:c>
      <x:c r="H440" s="19" t="str">
        <x:v>技能残页</x:v>
      </x:c>
      <x:c r="I440" s="22" t="n">
        <x:v>60</x:v>
      </x:c>
      <x:c r="J440" s="22" t="n">
        <x:v>1</x:v>
      </x:c>
      <x:c r="K440" s="19" t="n">
        <x:v>1</x:v>
      </x:c>
      <x:c r="L440" s="24" t="n">
        <x:v>13.839999999999998</x:v>
      </x:c>
      <x:c r="M440" s="26" t="n">
        <x:v>0.1</x:v>
      </x:c>
      <x:c r="N440" s="24" t="n">
        <x:v>10.37554688810505</x:v>
      </x:c>
      <x:c r="O440" s="28" t="n">
        <x:f>MIN(1,L440/I440)</x:f>
        <x:v>0.23066666666666663</x:v>
      </x:c>
      <x:c r="P440" s="30" t="n">
        <x:f>O440*J440*(1+M440)</x:f>
        <x:v>0.2537333333333333</x:v>
      </x:c>
      <x:c r="Q440" s="30" t="n">
        <x:f>P440*N440</x:f>
        <x:v>2.632622097075188</x:v>
      </x:c>
      <x:c r="R440" s="19" t="str">
        <x:v>独立判定</x:v>
      </x:c>
    </x:row>
    <x:row r="441" ht="19" customHeight="1">
      <x:c r="A441" s="19" t="str">
        <x:v>D00437</x:v>
      </x:c>
      <x:c r="B441" s="19" t="n">
        <x:v>2</x:v>
      </x:c>
      <x:c r="C441" s="19" t="n">
        <x:v>3</x:v>
      </x:c>
      <x:c r="D441" s="19" t="str">
        <x:v>EL-MON-LIM-MIST-009</x:v>
      </x:c>
      <x:c r="E441" s="19" t="str">
        <x:v>猎犬骑士·达瑞威尔</x:v>
      </x:c>
      <x:c r="F441" s="19" t="str">
        <x:v>稀有</x:v>
      </x:c>
      <x:c r="G441" s="19" t="str">
        <x:v>材料独立候选</x:v>
      </x:c>
      <x:c r="H441" s="19" t="str">
        <x:v>小卢恩</x:v>
      </x:c>
      <x:c r="I441" s="22" t="n">
        <x:v>2500</x:v>
      </x:c>
      <x:c r="J441" s="22" t="n">
        <x:v>1</x:v>
      </x:c>
      <x:c r="K441" s="19" t="n">
        <x:v>1</x:v>
      </x:c>
      <x:c r="L441" s="24" t="n">
        <x:v>13.839999999999998</x:v>
      </x:c>
      <x:c r="M441" s="26" t="n">
        <x:v>0.1</x:v>
      </x:c>
      <x:c r="N441" s="24" t="n">
        <x:v>10.37554688810505</x:v>
      </x:c>
      <x:c r="O441" s="28" t="n">
        <x:f>MIN(1,L441/I441)</x:f>
        <x:v>0.005535999999999999</x:v>
      </x:c>
      <x:c r="P441" s="30" t="n">
        <x:f>O441*J441*(1+M441)</x:f>
        <x:v>0.0060896</x:v>
      </x:c>
      <x:c r="Q441" s="30" t="n">
        <x:f>P441*N441</x:f>
        <x:v>0.06318293032980452</x:v>
      </x:c>
      <x:c r="R441" s="19" t="str">
        <x:v>独立判定</x:v>
      </x:c>
    </x:row>
    <x:row r="442" ht="19" customHeight="1">
      <x:c r="A442" s="19" t="str">
        <x:v>D00438</x:v>
      </x:c>
      <x:c r="B442" s="19" t="n">
        <x:v>2</x:v>
      </x:c>
      <x:c r="C442" s="19" t="n">
        <x:v>3</x:v>
      </x:c>
      <x:c r="D442" s="19" t="str">
        <x:v>EL-MON-LIM-MIST-009</x:v>
      </x:c>
      <x:c r="E442" s="19" t="str">
        <x:v>猎犬骑士·达瑞威尔</x:v>
      </x:c>
      <x:c r="F442" s="19" t="str">
        <x:v>稀有</x:v>
      </x:c>
      <x:c r="G442" s="19" t="str">
        <x:v>六神器公共池</x:v>
      </x:c>
      <x:c r="H442" s="19" t="str">
        <x:v>POOL006</x:v>
      </x:c>
      <x:c r="I442" s="22" t="n">
        <x:v>5000000</x:v>
      </x:c>
      <x:c r="J442" s="22" t="n">
        <x:v>1</x:v>
      </x:c>
      <x:c r="K442" s="19" t="n">
        <x:v>6</x:v>
      </x:c>
      <x:c r="L442" s="24" t="n">
        <x:v>13.839999999999998</x:v>
      </x:c>
      <x:c r="M442" s="26" t="n">
        <x:v>0.1</x:v>
      </x:c>
      <x:c r="N442" s="24" t="n">
        <x:v>10.37554688810505</x:v>
      </x:c>
      <x:c r="O442" s="28" t="n">
        <x:f>MIN(1,L442/I442)</x:f>
        <x:v>0.0000027679999999999996</x:v>
      </x:c>
      <x:c r="P442" s="30" t="n">
        <x:f>O442*J442*(1+M442)</x:f>
        <x:v>0.0000030447999999999996</x:v>
      </x:c>
      <x:c r="Q442" s="30" t="n">
        <x:f>P442*N442</x:f>
        <x:v>0.00003159146516490225</x:v>
      </x:c>
      <x:c r="R442" s="19" t="str">
        <x:v>六选一；非6个独立爆率</x:v>
      </x:c>
    </x:row>
    <x:row r="443" ht="19" customHeight="1">
      <x:c r="A443" s="19" t="str">
        <x:v>D00439</x:v>
      </x:c>
      <x:c r="B443" s="19" t="n">
        <x:v>2</x:v>
      </x:c>
      <x:c r="C443" s="19" t="n">
        <x:v>3</x:v>
      </x:c>
      <x:c r="D443" s="19" t="str">
        <x:v>EL-MON-LIM-MIST-010</x:v>
      </x:c>
      <x:c r="E443" s="19" t="str">
        <x:v>永眠祖灵</x:v>
      </x:c>
      <x:c r="F443" s="19" t="str">
        <x:v>稀有</x:v>
      </x:c>
      <x:c r="G443" s="19" t="str">
        <x:v>自身专属</x:v>
      </x:c>
      <x:c r="H443" s="19" t="str">
        <x:v>祖魂巳蛇</x:v>
      </x:c>
      <x:c r="I443" s="22" t="n">
        <x:v>180</x:v>
      </x:c>
      <x:c r="J443" s="22" t="n">
        <x:v>1</x:v>
      </x:c>
      <x:c r="K443" s="19" t="n">
        <x:v>1</x:v>
      </x:c>
      <x:c r="L443" s="24" t="n">
        <x:v>13.839999999999998</x:v>
      </x:c>
      <x:c r="M443" s="26" t="n">
        <x:v>0.1</x:v>
      </x:c>
      <x:c r="N443" s="24" t="n">
        <x:v>11.205590639153453</x:v>
      </x:c>
      <x:c r="O443" s="28" t="n">
        <x:f>MIN(1,L443/I443)</x:f>
        <x:v>0.07688888888888888</x:v>
      </x:c>
      <x:c r="P443" s="30" t="n">
        <x:f>O443*J443*(1+M443)</x:f>
        <x:v>0.08457777777777778</x:v>
      </x:c>
      <x:c r="Q443" s="30" t="n">
        <x:f>P443*N443</x:f>
        <x:v>0.9477439549470676</x:v>
      </x:c>
      <x:c r="R443" s="19" t="str">
        <x:v>独立判定</x:v>
      </x:c>
    </x:row>
    <x:row r="444" ht="19" customHeight="1">
      <x:c r="A444" s="19" t="str">
        <x:v>D00440</x:v>
      </x:c>
      <x:c r="B444" s="19" t="n">
        <x:v>2</x:v>
      </x:c>
      <x:c r="C444" s="19" t="n">
        <x:v>3</x:v>
      </x:c>
      <x:c r="D444" s="19" t="str">
        <x:v>EL-MON-LIM-MIST-010</x:v>
      </x:c>
      <x:c r="E444" s="19" t="str">
        <x:v>永眠祖灵</x:v>
      </x:c>
      <x:c r="F444" s="19" t="str">
        <x:v>稀有</x:v>
      </x:c>
      <x:c r="G444" s="19" t="str">
        <x:v>材料独立候选</x:v>
      </x:c>
      <x:c r="H444" s="19" t="str">
        <x:v>风暴石片</x:v>
      </x:c>
      <x:c r="I444" s="22" t="n">
        <x:v>300</x:v>
      </x:c>
      <x:c r="J444" s="22" t="n">
        <x:v>15</x:v>
      </x:c>
      <x:c r="K444" s="19" t="n">
        <x:v>1</x:v>
      </x:c>
      <x:c r="L444" s="24" t="n">
        <x:v>13.839999999999998</x:v>
      </x:c>
      <x:c r="M444" s="26" t="n">
        <x:v>0.1</x:v>
      </x:c>
      <x:c r="N444" s="24" t="n">
        <x:v>11.205590639153453</x:v>
      </x:c>
      <x:c r="O444" s="28" t="n">
        <x:f>MIN(1,L444/I444)</x:f>
        <x:v>0.046133333333333325</x:v>
      </x:c>
      <x:c r="P444" s="30" t="n">
        <x:f>O444*J444*(1+M444)</x:f>
        <x:v>0.7611999999999999</x:v>
      </x:c>
      <x:c r="Q444" s="30" t="n">
        <x:f>P444*N444</x:f>
        <x:v>8.529695594523607</x:v>
      </x:c>
      <x:c r="R444" s="19" t="str">
        <x:v>独立判定</x:v>
      </x:c>
    </x:row>
    <x:row r="445" ht="19" customHeight="1">
      <x:c r="A445" s="19" t="str">
        <x:v>D00441</x:v>
      </x:c>
      <x:c r="B445" s="19" t="n">
        <x:v>2</x:v>
      </x:c>
      <x:c r="C445" s="19" t="n">
        <x:v>3</x:v>
      </x:c>
      <x:c r="D445" s="19" t="str">
        <x:v>EL-MON-LIM-MIST-010</x:v>
      </x:c>
      <x:c r="E445" s="19" t="str">
        <x:v>永眠祖灵</x:v>
      </x:c>
      <x:c r="F445" s="19" t="str">
        <x:v>稀有</x:v>
      </x:c>
      <x:c r="G445" s="19" t="str">
        <x:v>材料独立候选</x:v>
      </x:c>
      <x:c r="H445" s="19" t="str">
        <x:v>黄金树芽</x:v>
      </x:c>
      <x:c r="I445" s="22" t="n">
        <x:v>60</x:v>
      </x:c>
      <x:c r="J445" s="22" t="n">
        <x:v>2</x:v>
      </x:c>
      <x:c r="K445" s="19" t="n">
        <x:v>1</x:v>
      </x:c>
      <x:c r="L445" s="24" t="n">
        <x:v>13.839999999999998</x:v>
      </x:c>
      <x:c r="M445" s="26" t="n">
        <x:v>0.1</x:v>
      </x:c>
      <x:c r="N445" s="24" t="n">
        <x:v>11.205590639153453</x:v>
      </x:c>
      <x:c r="O445" s="28" t="n">
        <x:f>MIN(1,L445/I445)</x:f>
        <x:v>0.23066666666666663</x:v>
      </x:c>
      <x:c r="P445" s="30" t="n">
        <x:f>O445*J445*(1+M445)</x:f>
        <x:v>0.5074666666666666</x:v>
      </x:c>
      <x:c r="Q445" s="30" t="n">
        <x:f>P445*N445</x:f>
        <x:v>5.686463729682405</x:v>
      </x:c>
      <x:c r="R445" s="19" t="str">
        <x:v>独立判定</x:v>
      </x:c>
    </x:row>
    <x:row r="446" ht="19" customHeight="1">
      <x:c r="A446" s="19" t="str">
        <x:v>D00442</x:v>
      </x:c>
      <x:c r="B446" s="19" t="n">
        <x:v>2</x:v>
      </x:c>
      <x:c r="C446" s="19" t="n">
        <x:v>3</x:v>
      </x:c>
      <x:c r="D446" s="19" t="str">
        <x:v>EL-MON-LIM-MIST-010</x:v>
      </x:c>
      <x:c r="E446" s="19" t="str">
        <x:v>永眠祖灵</x:v>
      </x:c>
      <x:c r="F446" s="19" t="str">
        <x:v>稀有</x:v>
      </x:c>
      <x:c r="G446" s="19" t="str">
        <x:v>材料独立候选</x:v>
      </x:c>
      <x:c r="H446" s="19" t="str">
        <x:v>野兽骨片</x:v>
      </x:c>
      <x:c r="I446" s="22" t="n">
        <x:v>60</x:v>
      </x:c>
      <x:c r="J446" s="22" t="n">
        <x:v>2</x:v>
      </x:c>
      <x:c r="K446" s="19" t="n">
        <x:v>1</x:v>
      </x:c>
      <x:c r="L446" s="24" t="n">
        <x:v>13.839999999999998</x:v>
      </x:c>
      <x:c r="M446" s="26" t="n">
        <x:v>0.1</x:v>
      </x:c>
      <x:c r="N446" s="24" t="n">
        <x:v>11.205590639153453</x:v>
      </x:c>
      <x:c r="O446" s="28" t="n">
        <x:f>MIN(1,L446/I446)</x:f>
        <x:v>0.23066666666666663</x:v>
      </x:c>
      <x:c r="P446" s="30" t="n">
        <x:f>O446*J446*(1+M446)</x:f>
        <x:v>0.5074666666666666</x:v>
      </x:c>
      <x:c r="Q446" s="30" t="n">
        <x:f>P446*N446</x:f>
        <x:v>5.686463729682405</x:v>
      </x:c>
      <x:c r="R446" s="19" t="str">
        <x:v>独立判定</x:v>
      </x:c>
    </x:row>
    <x:row r="447" ht="19" customHeight="1">
      <x:c r="A447" s="19" t="str">
        <x:v>D00443</x:v>
      </x:c>
      <x:c r="B447" s="19" t="n">
        <x:v>2</x:v>
      </x:c>
      <x:c r="C447" s="19" t="n">
        <x:v>3</x:v>
      </x:c>
      <x:c r="D447" s="19" t="str">
        <x:v>EL-MON-LIM-MIST-010</x:v>
      </x:c>
      <x:c r="E447" s="19" t="str">
        <x:v>永眠祖灵</x:v>
      </x:c>
      <x:c r="F447" s="19" t="str">
        <x:v>稀有</x:v>
      </x:c>
      <x:c r="G447" s="19" t="str">
        <x:v>材料独立候选</x:v>
      </x:c>
      <x:c r="H447" s="19" t="str">
        <x:v>技能残页</x:v>
      </x:c>
      <x:c r="I447" s="22" t="n">
        <x:v>60</x:v>
      </x:c>
      <x:c r="J447" s="22" t="n">
        <x:v>1</x:v>
      </x:c>
      <x:c r="K447" s="19" t="n">
        <x:v>1</x:v>
      </x:c>
      <x:c r="L447" s="24" t="n">
        <x:v>13.839999999999998</x:v>
      </x:c>
      <x:c r="M447" s="26" t="n">
        <x:v>0.1</x:v>
      </x:c>
      <x:c r="N447" s="24" t="n">
        <x:v>11.205590639153453</x:v>
      </x:c>
      <x:c r="O447" s="28" t="n">
        <x:f>MIN(1,L447/I447)</x:f>
        <x:v>0.23066666666666663</x:v>
      </x:c>
      <x:c r="P447" s="30" t="n">
        <x:f>O447*J447*(1+M447)</x:f>
        <x:v>0.2537333333333333</x:v>
      </x:c>
      <x:c r="Q447" s="30" t="n">
        <x:f>P447*N447</x:f>
        <x:v>2.8432318648412025</x:v>
      </x:c>
      <x:c r="R447" s="19" t="str">
        <x:v>独立判定</x:v>
      </x:c>
    </x:row>
    <x:row r="448" ht="19" customHeight="1">
      <x:c r="A448" s="19" t="str">
        <x:v>D00444</x:v>
      </x:c>
      <x:c r="B448" s="19" t="n">
        <x:v>2</x:v>
      </x:c>
      <x:c r="C448" s="19" t="n">
        <x:v>3</x:v>
      </x:c>
      <x:c r="D448" s="19" t="str">
        <x:v>EL-MON-LIM-MIST-010</x:v>
      </x:c>
      <x:c r="E448" s="19" t="str">
        <x:v>永眠祖灵</x:v>
      </x:c>
      <x:c r="F448" s="19" t="str">
        <x:v>稀有</x:v>
      </x:c>
      <x:c r="G448" s="19" t="str">
        <x:v>材料独立候选</x:v>
      </x:c>
      <x:c r="H448" s="19" t="str">
        <x:v>小卢恩</x:v>
      </x:c>
      <x:c r="I448" s="22" t="n">
        <x:v>2500</x:v>
      </x:c>
      <x:c r="J448" s="22" t="n">
        <x:v>1</x:v>
      </x:c>
      <x:c r="K448" s="19" t="n">
        <x:v>1</x:v>
      </x:c>
      <x:c r="L448" s="24" t="n">
        <x:v>13.839999999999998</x:v>
      </x:c>
      <x:c r="M448" s="26" t="n">
        <x:v>0.1</x:v>
      </x:c>
      <x:c r="N448" s="24" t="n">
        <x:v>11.205590639153453</x:v>
      </x:c>
      <x:c r="O448" s="28" t="n">
        <x:f>MIN(1,L448/I448)</x:f>
        <x:v>0.005535999999999999</x:v>
      </x:c>
      <x:c r="P448" s="30" t="n">
        <x:f>O448*J448*(1+M448)</x:f>
        <x:v>0.0060896</x:v>
      </x:c>
      <x:c r="Q448" s="30" t="n">
        <x:f>P448*N448</x:f>
        <x:v>0.06823756475618886</x:v>
      </x:c>
      <x:c r="R448" s="19" t="str">
        <x:v>独立判定</x:v>
      </x:c>
    </x:row>
    <x:row r="449" ht="19" customHeight="1">
      <x:c r="A449" s="19" t="str">
        <x:v>D00445</x:v>
      </x:c>
      <x:c r="B449" s="19" t="n">
        <x:v>2</x:v>
      </x:c>
      <x:c r="C449" s="19" t="n">
        <x:v>3</x:v>
      </x:c>
      <x:c r="D449" s="19" t="str">
        <x:v>EL-MON-LIM-MIST-010</x:v>
      </x:c>
      <x:c r="E449" s="19" t="str">
        <x:v>永眠祖灵</x:v>
      </x:c>
      <x:c r="F449" s="19" t="str">
        <x:v>稀有</x:v>
      </x:c>
      <x:c r="G449" s="19" t="str">
        <x:v>六神器公共池</x:v>
      </x:c>
      <x:c r="H449" s="19" t="str">
        <x:v>POOL006</x:v>
      </x:c>
      <x:c r="I449" s="22" t="n">
        <x:v>5000000</x:v>
      </x:c>
      <x:c r="J449" s="22" t="n">
        <x:v>1</x:v>
      </x:c>
      <x:c r="K449" s="19" t="n">
        <x:v>6</x:v>
      </x:c>
      <x:c r="L449" s="24" t="n">
        <x:v>13.839999999999998</x:v>
      </x:c>
      <x:c r="M449" s="26" t="n">
        <x:v>0.1</x:v>
      </x:c>
      <x:c r="N449" s="24" t="n">
        <x:v>11.205590639153453</x:v>
      </x:c>
      <x:c r="O449" s="28" t="n">
        <x:f>MIN(1,L449/I449)</x:f>
        <x:v>0.0000027679999999999996</x:v>
      </x:c>
      <x:c r="P449" s="30" t="n">
        <x:f>O449*J449*(1+M449)</x:f>
        <x:v>0.0000030447999999999996</x:v>
      </x:c>
      <x:c r="Q449" s="30" t="n">
        <x:f>P449*N449</x:f>
        <x:v>0.00003411878237809443</x:v>
      </x:c>
      <x:c r="R449" s="19" t="str">
        <x:v>六选一；非6个独立爆率</x:v>
      </x:c>
    </x:row>
    <x:row r="450" ht="19" customHeight="1">
      <x:c r="A450" s="19" t="str">
        <x:v>D00446</x:v>
      </x:c>
      <x:c r="B450" s="19" t="n">
        <x:v>2</x:v>
      </x:c>
      <x:c r="C450" s="19" t="n">
        <x:v>3</x:v>
      </x:c>
      <x:c r="D450" s="19" t="str">
        <x:v>EL-MON-LIM-MIST-011</x:v>
      </x:c>
      <x:c r="E450" s="19" t="str">
        <x:v>提比亚唤船人·赫洛</x:v>
      </x:c>
      <x:c r="F450" s="19" t="str">
        <x:v>地图BOSS</x:v>
      </x:c>
      <x:c r="G450" s="19" t="str">
        <x:v>自身专属</x:v>
      </x:c>
      <x:c r="H450" s="19" t="str">
        <x:v>死水午马</x:v>
      </x:c>
      <x:c r="I450" s="22" t="n">
        <x:v>30</x:v>
      </x:c>
      <x:c r="J450" s="22" t="n">
        <x:v>1</x:v>
      </x:c>
      <x:c r="K450" s="19" t="n">
        <x:v>1</x:v>
      </x:c>
      <x:c r="L450" s="24" t="n">
        <x:v>13.839999999999998</x:v>
      </x:c>
      <x:c r="M450" s="26" t="n">
        <x:v>0.1</x:v>
      </x:c>
      <x:c r="N450" s="24" t="n">
        <x:v>2</x:v>
      </x:c>
      <x:c r="O450" s="28" t="n">
        <x:f>MIN(1,L450/I450)</x:f>
        <x:v>0.46133333333333326</x:v>
      </x:c>
      <x:c r="P450" s="30" t="n">
        <x:f>O450*J450*(1+M450)</x:f>
        <x:v>0.5074666666666666</x:v>
      </x:c>
      <x:c r="Q450" s="30" t="n">
        <x:f>P450*N450</x:f>
        <x:v>1.0149333333333332</x:v>
      </x:c>
      <x:c r="R450" s="19" t="str">
        <x:v>独立判定</x:v>
      </x:c>
    </x:row>
    <x:row r="451" ht="19" customHeight="1">
      <x:c r="A451" s="19" t="str">
        <x:v>D00447</x:v>
      </x:c>
      <x:c r="B451" s="19" t="n">
        <x:v>2</x:v>
      </x:c>
      <x:c r="C451" s="19" t="n">
        <x:v>3</x:v>
      </x:c>
      <x:c r="D451" s="19" t="str">
        <x:v>EL-MON-LIM-MIST-011</x:v>
      </x:c>
      <x:c r="E451" s="19" t="str">
        <x:v>提比亚唤船人·赫洛</x:v>
      </x:c>
      <x:c r="F451" s="19" t="str">
        <x:v>地图BOSS</x:v>
      </x:c>
      <x:c r="G451" s="19" t="str">
        <x:v>本图普通兼掉候选</x:v>
      </x:c>
      <x:c r="H451" s="19" t="str">
        <x:v>POOL009</x:v>
      </x:c>
      <x:c r="I451" s="22" t="n">
        <x:v>30</x:v>
      </x:c>
      <x:c r="J451" s="22" t="n">
        <x:v>1</x:v>
      </x:c>
      <x:c r="K451" s="19" t="n">
        <x:v>2</x:v>
      </x:c>
      <x:c r="L451" s="24" t="n">
        <x:v>13.839999999999998</x:v>
      </x:c>
      <x:c r="M451" s="26" t="n">
        <x:v>0.1</x:v>
      </x:c>
      <x:c r="N451" s="24" t="n">
        <x:v>2</x:v>
      </x:c>
      <x:c r="O451" s="28" t="n">
        <x:f>MIN(1,L451/I451)</x:f>
        <x:v>0.46133333333333326</x:v>
      </x:c>
      <x:c r="P451" s="30" t="n">
        <x:f>O451*J451*(1+M451)</x:f>
        <x:v>0.5074666666666666</x:v>
      </x:c>
      <x:c r="Q451" s="30" t="n">
        <x:f>P451*N451</x:f>
        <x:v>1.0149333333333332</x:v>
      </x:c>
      <x:c r="R451" s="19" t="str">
        <x:v>单池选一</x:v>
      </x:c>
    </x:row>
    <x:row r="452" ht="19" customHeight="1">
      <x:c r="A452" s="19" t="str">
        <x:v>D00448</x:v>
      </x:c>
      <x:c r="B452" s="19" t="n">
        <x:v>2</x:v>
      </x:c>
      <x:c r="C452" s="19" t="n">
        <x:v>3</x:v>
      </x:c>
      <x:c r="D452" s="19" t="str">
        <x:v>EL-MON-LIM-MIST-011</x:v>
      </x:c>
      <x:c r="E452" s="19" t="str">
        <x:v>提比亚唤船人·赫洛</x:v>
      </x:c>
      <x:c r="F452" s="19" t="str">
        <x:v>地图BOSS</x:v>
      </x:c>
      <x:c r="G452" s="19" t="str">
        <x:v>材料独立候选</x:v>
      </x:c>
      <x:c r="H452" s="19" t="str">
        <x:v>风暴石片</x:v>
      </x:c>
      <x:c r="I452" s="22" t="n">
        <x:v>150</x:v>
      </x:c>
      <x:c r="J452" s="22" t="n">
        <x:v>30</x:v>
      </x:c>
      <x:c r="K452" s="19" t="n">
        <x:v>1</x:v>
      </x:c>
      <x:c r="L452" s="24" t="n">
        <x:v>13.839999999999998</x:v>
      </x:c>
      <x:c r="M452" s="26" t="n">
        <x:v>0.1</x:v>
      </x:c>
      <x:c r="N452" s="24" t="n">
        <x:v>2</x:v>
      </x:c>
      <x:c r="O452" s="28" t="n">
        <x:f>MIN(1,L452/I452)</x:f>
        <x:v>0.09226666666666665</x:v>
      </x:c>
      <x:c r="P452" s="30" t="n">
        <x:f>O452*J452*(1+M452)</x:f>
        <x:v>3.0447999999999995</x:v>
      </x:c>
      <x:c r="Q452" s="30" t="n">
        <x:f>P452*N452</x:f>
        <x:v>6.089599999999999</x:v>
      </x:c>
      <x:c r="R452" s="19" t="str">
        <x:v>独立判定</x:v>
      </x:c>
    </x:row>
    <x:row r="453" ht="19" customHeight="1">
      <x:c r="A453" s="19" t="str">
        <x:v>D00449</x:v>
      </x:c>
      <x:c r="B453" s="19" t="n">
        <x:v>2</x:v>
      </x:c>
      <x:c r="C453" s="19" t="n">
        <x:v>3</x:v>
      </x:c>
      <x:c r="D453" s="19" t="str">
        <x:v>EL-MON-LIM-MIST-011</x:v>
      </x:c>
      <x:c r="E453" s="19" t="str">
        <x:v>提比亚唤船人·赫洛</x:v>
      </x:c>
      <x:c r="F453" s="19" t="str">
        <x:v>地图BOSS</x:v>
      </x:c>
      <x:c r="G453" s="19" t="str">
        <x:v>材料独立候选</x:v>
      </x:c>
      <x:c r="H453" s="19" t="str">
        <x:v>黄金树芽</x:v>
      </x:c>
      <x:c r="I453" s="22" t="n">
        <x:v>30</x:v>
      </x:c>
      <x:c r="J453" s="22" t="n">
        <x:v>2</x:v>
      </x:c>
      <x:c r="K453" s="19" t="n">
        <x:v>1</x:v>
      </x:c>
      <x:c r="L453" s="24" t="n">
        <x:v>13.839999999999998</x:v>
      </x:c>
      <x:c r="M453" s="26" t="n">
        <x:v>0.1</x:v>
      </x:c>
      <x:c r="N453" s="24" t="n">
        <x:v>2</x:v>
      </x:c>
      <x:c r="O453" s="28" t="n">
        <x:f>MIN(1,L453/I453)</x:f>
        <x:v>0.46133333333333326</x:v>
      </x:c>
      <x:c r="P453" s="30" t="n">
        <x:f>O453*J453*(1+M453)</x:f>
        <x:v>1.0149333333333332</x:v>
      </x:c>
      <x:c r="Q453" s="30" t="n">
        <x:f>P453*N453</x:f>
        <x:v>2.0298666666666665</x:v>
      </x:c>
      <x:c r="R453" s="19" t="str">
        <x:v>独立判定</x:v>
      </x:c>
    </x:row>
    <x:row r="454" ht="19" customHeight="1">
      <x:c r="A454" s="19" t="str">
        <x:v>D00450</x:v>
      </x:c>
      <x:c r="B454" s="19" t="n">
        <x:v>2</x:v>
      </x:c>
      <x:c r="C454" s="19" t="n">
        <x:v>3</x:v>
      </x:c>
      <x:c r="D454" s="19" t="str">
        <x:v>EL-MON-LIM-MIST-011</x:v>
      </x:c>
      <x:c r="E454" s="19" t="str">
        <x:v>提比亚唤船人·赫洛</x:v>
      </x:c>
      <x:c r="F454" s="19" t="str">
        <x:v>地图BOSS</x:v>
      </x:c>
      <x:c r="G454" s="19" t="str">
        <x:v>材料独立候选</x:v>
      </x:c>
      <x:c r="H454" s="19" t="str">
        <x:v>接肢王印</x:v>
      </x:c>
      <x:c r="I454" s="22" t="n">
        <x:v>80</x:v>
      </x:c>
      <x:c r="J454" s="22" t="n">
        <x:v>2</x:v>
      </x:c>
      <x:c r="K454" s="19" t="n">
        <x:v>1</x:v>
      </x:c>
      <x:c r="L454" s="24" t="n">
        <x:v>13.839999999999998</x:v>
      </x:c>
      <x:c r="M454" s="26" t="n">
        <x:v>0.1</x:v>
      </x:c>
      <x:c r="N454" s="24" t="n">
        <x:v>2</x:v>
      </x:c>
      <x:c r="O454" s="28" t="n">
        <x:f>MIN(1,L454/I454)</x:f>
        <x:v>0.173</x:v>
      </x:c>
      <x:c r="P454" s="30" t="n">
        <x:f>O454*J454*(1+M454)</x:f>
        <x:v>0.3806</x:v>
      </x:c>
      <x:c r="Q454" s="30" t="n">
        <x:f>P454*N454</x:f>
        <x:v>0.7612</x:v>
      </x:c>
      <x:c r="R454" s="19" t="str">
        <x:v>独立判定</x:v>
      </x:c>
    </x:row>
    <x:row r="455" ht="19" customHeight="1">
      <x:c r="A455" s="19" t="str">
        <x:v>D00451</x:v>
      </x:c>
      <x:c r="B455" s="19" t="n">
        <x:v>2</x:v>
      </x:c>
      <x:c r="C455" s="19" t="n">
        <x:v>3</x:v>
      </x:c>
      <x:c r="D455" s="19" t="str">
        <x:v>EL-MON-LIM-MIST-011</x:v>
      </x:c>
      <x:c r="E455" s="19" t="str">
        <x:v>提比亚唤船人·赫洛</x:v>
      </x:c>
      <x:c r="F455" s="19" t="str">
        <x:v>地图BOSS</x:v>
      </x:c>
      <x:c r="G455" s="19" t="str">
        <x:v>材料独立候选</x:v>
      </x:c>
      <x:c r="H455" s="19" t="str">
        <x:v>唤船骨铃</x:v>
      </x:c>
      <x:c r="I455" s="22" t="n">
        <x:v>60</x:v>
      </x:c>
      <x:c r="J455" s="22" t="n">
        <x:v>1</x:v>
      </x:c>
      <x:c r="K455" s="19" t="n">
        <x:v>1</x:v>
      </x:c>
      <x:c r="L455" s="24" t="n">
        <x:v>13.839999999999998</x:v>
      </x:c>
      <x:c r="M455" s="26" t="n">
        <x:v>0.1</x:v>
      </x:c>
      <x:c r="N455" s="24" t="n">
        <x:v>2</x:v>
      </x:c>
      <x:c r="O455" s="28" t="n">
        <x:f>MIN(1,L455/I455)</x:f>
        <x:v>0.23066666666666663</x:v>
      </x:c>
      <x:c r="P455" s="30" t="n">
        <x:f>O455*J455*(1+M455)</x:f>
        <x:v>0.2537333333333333</x:v>
      </x:c>
      <x:c r="Q455" s="30" t="n">
        <x:f>P455*N455</x:f>
        <x:v>0.5074666666666666</x:v>
      </x:c>
      <x:c r="R455" s="19" t="str">
        <x:v>独立判定</x:v>
      </x:c>
    </x:row>
    <x:row r="456" ht="19" customHeight="1">
      <x:c r="A456" s="19" t="str">
        <x:v>D00452</x:v>
      </x:c>
      <x:c r="B456" s="19" t="n">
        <x:v>2</x:v>
      </x:c>
      <x:c r="C456" s="19" t="n">
        <x:v>3</x:v>
      </x:c>
      <x:c r="D456" s="19" t="str">
        <x:v>EL-MON-LIM-MIST-011</x:v>
      </x:c>
      <x:c r="E456" s="19" t="str">
        <x:v>提比亚唤船人·赫洛</x:v>
      </x:c>
      <x:c r="F456" s="19" t="str">
        <x:v>地图BOSS</x:v>
      </x:c>
      <x:c r="G456" s="19" t="str">
        <x:v>材料独立候选</x:v>
      </x:c>
      <x:c r="H456" s="19" t="str">
        <x:v>野兽骨片</x:v>
      </x:c>
      <x:c r="I456" s="22" t="n">
        <x:v>40</x:v>
      </x:c>
      <x:c r="J456" s="22" t="n">
        <x:v>2</x:v>
      </x:c>
      <x:c r="K456" s="19" t="n">
        <x:v>1</x:v>
      </x:c>
      <x:c r="L456" s="24" t="n">
        <x:v>13.839999999999998</x:v>
      </x:c>
      <x:c r="M456" s="26" t="n">
        <x:v>0.1</x:v>
      </x:c>
      <x:c r="N456" s="24" t="n">
        <x:v>2</x:v>
      </x:c>
      <x:c r="O456" s="28" t="n">
        <x:f>MIN(1,L456/I456)</x:f>
        <x:v>0.346</x:v>
      </x:c>
      <x:c r="P456" s="30" t="n">
        <x:f>O456*J456*(1+M456)</x:f>
        <x:v>0.7612</x:v>
      </x:c>
      <x:c r="Q456" s="30" t="n">
        <x:f>P456*N456</x:f>
        <x:v>1.5224</x:v>
      </x:c>
      <x:c r="R456" s="19" t="str">
        <x:v>独立判定</x:v>
      </x:c>
    </x:row>
    <x:row r="457" ht="19" customHeight="1">
      <x:c r="A457" s="19" t="str">
        <x:v>D00453</x:v>
      </x:c>
      <x:c r="B457" s="19" t="n">
        <x:v>2</x:v>
      </x:c>
      <x:c r="C457" s="19" t="n">
        <x:v>3</x:v>
      </x:c>
      <x:c r="D457" s="19" t="str">
        <x:v>EL-MON-LIM-MIST-011</x:v>
      </x:c>
      <x:c r="E457" s="19" t="str">
        <x:v>提比亚唤船人·赫洛</x:v>
      </x:c>
      <x:c r="F457" s="19" t="str">
        <x:v>地图BOSS</x:v>
      </x:c>
      <x:c r="G457" s="19" t="str">
        <x:v>材料独立候选</x:v>
      </x:c>
      <x:c r="H457" s="19" t="str">
        <x:v>技能残页</x:v>
      </x:c>
      <x:c r="I457" s="22" t="n">
        <x:v>30</x:v>
      </x:c>
      <x:c r="J457" s="22" t="n">
        <x:v>1</x:v>
      </x:c>
      <x:c r="K457" s="19" t="n">
        <x:v>1</x:v>
      </x:c>
      <x:c r="L457" s="24" t="n">
        <x:v>13.839999999999998</x:v>
      </x:c>
      <x:c r="M457" s="26" t="n">
        <x:v>0.1</x:v>
      </x:c>
      <x:c r="N457" s="24" t="n">
        <x:v>2</x:v>
      </x:c>
      <x:c r="O457" s="28" t="n">
        <x:f>MIN(1,L457/I457)</x:f>
        <x:v>0.46133333333333326</x:v>
      </x:c>
      <x:c r="P457" s="30" t="n">
        <x:f>O457*J457*(1+M457)</x:f>
        <x:v>0.5074666666666666</x:v>
      </x:c>
      <x:c r="Q457" s="30" t="n">
        <x:f>P457*N457</x:f>
        <x:v>1.0149333333333332</x:v>
      </x:c>
      <x:c r="R457" s="19" t="str">
        <x:v>独立判定</x:v>
      </x:c>
    </x:row>
    <x:row r="458" ht="19" customHeight="1">
      <x:c r="A458" s="19" t="str">
        <x:v>D00454</x:v>
      </x:c>
      <x:c r="B458" s="19" t="n">
        <x:v>2</x:v>
      </x:c>
      <x:c r="C458" s="19" t="n">
        <x:v>3</x:v>
      </x:c>
      <x:c r="D458" s="19" t="str">
        <x:v>EL-MON-LIM-MIST-011</x:v>
      </x:c>
      <x:c r="E458" s="19" t="str">
        <x:v>提比亚唤船人·赫洛</x:v>
      </x:c>
      <x:c r="F458" s="19" t="str">
        <x:v>地图BOSS</x:v>
      </x:c>
      <x:c r="G458" s="19" t="str">
        <x:v>材料独立候选</x:v>
      </x:c>
      <x:c r="H458" s="19" t="str">
        <x:v>宁姆格福誓页</x:v>
      </x:c>
      <x:c r="I458" s="22" t="n">
        <x:v>180</x:v>
      </x:c>
      <x:c r="J458" s="22" t="n">
        <x:v>1</x:v>
      </x:c>
      <x:c r="K458" s="19" t="n">
        <x:v>1</x:v>
      </x:c>
      <x:c r="L458" s="24" t="n">
        <x:v>13.839999999999998</x:v>
      </x:c>
      <x:c r="M458" s="26" t="n">
        <x:v>0.1</x:v>
      </x:c>
      <x:c r="N458" s="24" t="n">
        <x:v>2</x:v>
      </x:c>
      <x:c r="O458" s="28" t="n">
        <x:f>MIN(1,L458/I458)</x:f>
        <x:v>0.07688888888888888</x:v>
      </x:c>
      <x:c r="P458" s="30" t="n">
        <x:f>O458*J458*(1+M458)</x:f>
        <x:v>0.08457777777777778</x:v>
      </x:c>
      <x:c r="Q458" s="30" t="n">
        <x:f>P458*N458</x:f>
        <x:v>0.16915555555555556</x:v>
      </x:c>
      <x:c r="R458" s="19" t="str">
        <x:v>独立判定</x:v>
      </x:c>
    </x:row>
    <x:row r="459" ht="19" customHeight="1">
      <x:c r="A459" s="19" t="str">
        <x:v>D00455</x:v>
      </x:c>
      <x:c r="B459" s="19" t="n">
        <x:v>2</x:v>
      </x:c>
      <x:c r="C459" s="19" t="n">
        <x:v>3</x:v>
      </x:c>
      <x:c r="D459" s="19" t="str">
        <x:v>EL-MON-LIM-MIST-011</x:v>
      </x:c>
      <x:c r="E459" s="19" t="str">
        <x:v>提比亚唤船人·赫洛</x:v>
      </x:c>
      <x:c r="F459" s="19" t="str">
        <x:v>地图BOSS</x:v>
      </x:c>
      <x:c r="G459" s="19" t="str">
        <x:v>材料独立候选</x:v>
      </x:c>
      <x:c r="H459" s="19" t="str">
        <x:v>小卢恩</x:v>
      </x:c>
      <x:c r="I459" s="22" t="n">
        <x:v>1200</x:v>
      </x:c>
      <x:c r="J459" s="22" t="n">
        <x:v>1</x:v>
      </x:c>
      <x:c r="K459" s="19" t="n">
        <x:v>1</x:v>
      </x:c>
      <x:c r="L459" s="24" t="n">
        <x:v>13.839999999999998</x:v>
      </x:c>
      <x:c r="M459" s="26" t="n">
        <x:v>0.1</x:v>
      </x:c>
      <x:c r="N459" s="24" t="n">
        <x:v>2</x:v>
      </x:c>
      <x:c r="O459" s="28" t="n">
        <x:f>MIN(1,L459/I459)</x:f>
        <x:v>0.011533333333333331</x:v>
      </x:c>
      <x:c r="P459" s="30" t="n">
        <x:f>O459*J459*(1+M459)</x:f>
        <x:v>0.012686666666666666</x:v>
      </x:c>
      <x:c r="Q459" s="30" t="n">
        <x:f>P459*N459</x:f>
        <x:v>0.02537333333333333</x:v>
      </x:c>
      <x:c r="R459" s="19" t="str">
        <x:v>独立判定</x:v>
      </x:c>
    </x:row>
    <x:row r="460" ht="19" customHeight="1">
      <x:c r="A460" s="19" t="str">
        <x:v>D00456</x:v>
      </x:c>
      <x:c r="B460" s="19" t="n">
        <x:v>2</x:v>
      </x:c>
      <x:c r="C460" s="19" t="n">
        <x:v>3</x:v>
      </x:c>
      <x:c r="D460" s="19" t="str">
        <x:v>EL-MON-LIM-MIST-011</x:v>
      </x:c>
      <x:c r="E460" s="19" t="str">
        <x:v>提比亚唤船人·赫洛</x:v>
      </x:c>
      <x:c r="F460" s="19" t="str">
        <x:v>地图BOSS</x:v>
      </x:c>
      <x:c r="G460" s="19" t="str">
        <x:v>材料独立候选</x:v>
      </x:c>
      <x:c r="H460" s="19" t="str">
        <x:v>大卢恩</x:v>
      </x:c>
      <x:c r="I460" s="22" t="n">
        <x:v>120</x:v>
      </x:c>
      <x:c r="J460" s="22" t="n">
        <x:v>1</x:v>
      </x:c>
      <x:c r="K460" s="19" t="n">
        <x:v>1</x:v>
      </x:c>
      <x:c r="L460" s="24" t="n">
        <x:v>13.839999999999998</x:v>
      </x:c>
      <x:c r="M460" s="26" t="n">
        <x:v>0.1</x:v>
      </x:c>
      <x:c r="N460" s="24" t="n">
        <x:v>2</x:v>
      </x:c>
      <x:c r="O460" s="28" t="n">
        <x:f>MIN(1,L460/I460)</x:f>
        <x:v>0.11533333333333332</x:v>
      </x:c>
      <x:c r="P460" s="30" t="n">
        <x:f>O460*J460*(1+M460)</x:f>
        <x:v>0.12686666666666666</x:v>
      </x:c>
      <x:c r="Q460" s="30" t="n">
        <x:f>P460*N460</x:f>
        <x:v>0.2537333333333333</x:v>
      </x:c>
      <x:c r="R460" s="19" t="str">
        <x:v>独立判定</x:v>
      </x:c>
    </x:row>
    <x:row r="461" ht="19" customHeight="1">
      <x:c r="A461" s="19" t="str">
        <x:v>D00457</x:v>
      </x:c>
      <x:c r="B461" s="19" t="n">
        <x:v>2</x:v>
      </x:c>
      <x:c r="C461" s="19" t="n">
        <x:v>3</x:v>
      </x:c>
      <x:c r="D461" s="19" t="str">
        <x:v>EL-MON-LIM-MIST-011</x:v>
      </x:c>
      <x:c r="E461" s="19" t="str">
        <x:v>提比亚唤船人·赫洛</x:v>
      </x:c>
      <x:c r="F461" s="19" t="str">
        <x:v>地图BOSS</x:v>
      </x:c>
      <x:c r="G461" s="19" t="str">
        <x:v>六神器公共池</x:v>
      </x:c>
      <x:c r="H461" s="19" t="str">
        <x:v>POOL006</x:v>
      </x:c>
      <x:c r="I461" s="22" t="n">
        <x:v>200000</x:v>
      </x:c>
      <x:c r="J461" s="22" t="n">
        <x:v>1</x:v>
      </x:c>
      <x:c r="K461" s="19" t="n">
        <x:v>6</x:v>
      </x:c>
      <x:c r="L461" s="24" t="n">
        <x:v>13.839999999999998</x:v>
      </x:c>
      <x:c r="M461" s="26" t="n">
        <x:v>0.1</x:v>
      </x:c>
      <x:c r="N461" s="24" t="n">
        <x:v>2</x:v>
      </x:c>
      <x:c r="O461" s="28" t="n">
        <x:f>MIN(1,L461/I461)</x:f>
        <x:v>0.00006919999999999999</x:v>
      </x:c>
      <x:c r="P461" s="30" t="n">
        <x:f>O461*J461*(1+M461)</x:f>
        <x:v>0.00007612</x:v>
      </x:c>
      <x:c r="Q461" s="30" t="n">
        <x:f>P461*N461</x:f>
        <x:v>0.00015224</x:v>
      </x:c>
      <x:c r="R461" s="19" t="str">
        <x:v>六选一；非6个独立爆率</x:v>
      </x:c>
    </x:row>
    <x:row r="462" ht="19" customHeight="1">
      <x:c r="A462" s="19" t="str">
        <x:v>D00458</x:v>
      </x:c>
      <x:c r="B462" s="19" t="n">
        <x:v>2</x:v>
      </x:c>
      <x:c r="C462" s="19" t="n">
        <x:v>3</x:v>
      </x:c>
      <x:c r="D462" s="19" t="str">
        <x:v>EL-MON-LIM-MIST-012</x:v>
      </x:c>
      <x:c r="E462" s="19" t="str">
        <x:v>雾林熔炉骑士·奥德</x:v>
      </x:c>
      <x:c r="F462" s="19" t="str">
        <x:v>地图BOSS</x:v>
      </x:c>
      <x:c r="G462" s="19" t="str">
        <x:v>自身专属</x:v>
      </x:c>
      <x:c r="H462" s="19" t="str">
        <x:v>熔炉古玉</x:v>
      </x:c>
      <x:c r="I462" s="22" t="n">
        <x:v>30</x:v>
      </x:c>
      <x:c r="J462" s="22" t="n">
        <x:v>1</x:v>
      </x:c>
      <x:c r="K462" s="19" t="n">
        <x:v>1</x:v>
      </x:c>
      <x:c r="L462" s="24" t="n">
        <x:v>13.839999999999998</x:v>
      </x:c>
      <x:c r="M462" s="26" t="n">
        <x:v>0.1</x:v>
      </x:c>
      <x:c r="N462" s="24" t="n">
        <x:v>2</x:v>
      </x:c>
      <x:c r="O462" s="28" t="n">
        <x:f>MIN(1,L462/I462)</x:f>
        <x:v>0.46133333333333326</x:v>
      </x:c>
      <x:c r="P462" s="30" t="n">
        <x:f>O462*J462*(1+M462)</x:f>
        <x:v>0.5074666666666666</x:v>
      </x:c>
      <x:c r="Q462" s="30" t="n">
        <x:f>P462*N462</x:f>
        <x:v>1.0149333333333332</x:v>
      </x:c>
      <x:c r="R462" s="19" t="str">
        <x:v>独立判定</x:v>
      </x:c>
    </x:row>
    <x:row r="463" ht="19" customHeight="1">
      <x:c r="A463" s="19" t="str">
        <x:v>D00459</x:v>
      </x:c>
      <x:c r="B463" s="19" t="n">
        <x:v>2</x:v>
      </x:c>
      <x:c r="C463" s="19" t="n">
        <x:v>3</x:v>
      </x:c>
      <x:c r="D463" s="19" t="str">
        <x:v>EL-MON-LIM-MIST-012</x:v>
      </x:c>
      <x:c r="E463" s="19" t="str">
        <x:v>雾林熔炉骑士·奥德</x:v>
      </x:c>
      <x:c r="F463" s="19" t="str">
        <x:v>地图BOSS</x:v>
      </x:c>
      <x:c r="G463" s="19" t="str">
        <x:v>本图普通兼掉候选</x:v>
      </x:c>
      <x:c r="H463" s="19" t="str">
        <x:v>POOL009</x:v>
      </x:c>
      <x:c r="I463" s="22" t="n">
        <x:v>30</x:v>
      </x:c>
      <x:c r="J463" s="22" t="n">
        <x:v>1</x:v>
      </x:c>
      <x:c r="K463" s="19" t="n">
        <x:v>2</x:v>
      </x:c>
      <x:c r="L463" s="24" t="n">
        <x:v>13.839999999999998</x:v>
      </x:c>
      <x:c r="M463" s="26" t="n">
        <x:v>0.1</x:v>
      </x:c>
      <x:c r="N463" s="24" t="n">
        <x:v>2</x:v>
      </x:c>
      <x:c r="O463" s="28" t="n">
        <x:f>MIN(1,L463/I463)</x:f>
        <x:v>0.46133333333333326</x:v>
      </x:c>
      <x:c r="P463" s="30" t="n">
        <x:f>O463*J463*(1+M463)</x:f>
        <x:v>0.5074666666666666</x:v>
      </x:c>
      <x:c r="Q463" s="30" t="n">
        <x:f>P463*N463</x:f>
        <x:v>1.0149333333333332</x:v>
      </x:c>
      <x:c r="R463" s="19" t="str">
        <x:v>单池选一</x:v>
      </x:c>
    </x:row>
    <x:row r="464" ht="19" customHeight="1">
      <x:c r="A464" s="19" t="str">
        <x:v>D00460</x:v>
      </x:c>
      <x:c r="B464" s="19" t="n">
        <x:v>2</x:v>
      </x:c>
      <x:c r="C464" s="19" t="n">
        <x:v>3</x:v>
      </x:c>
      <x:c r="D464" s="19" t="str">
        <x:v>EL-MON-LIM-MIST-012</x:v>
      </x:c>
      <x:c r="E464" s="19" t="str">
        <x:v>雾林熔炉骑士·奥德</x:v>
      </x:c>
      <x:c r="F464" s="19" t="str">
        <x:v>地图BOSS</x:v>
      </x:c>
      <x:c r="G464" s="19" t="str">
        <x:v>材料独立候选</x:v>
      </x:c>
      <x:c r="H464" s="19" t="str">
        <x:v>风暴石片</x:v>
      </x:c>
      <x:c r="I464" s="22" t="n">
        <x:v>150</x:v>
      </x:c>
      <x:c r="J464" s="22" t="n">
        <x:v>30</x:v>
      </x:c>
      <x:c r="K464" s="19" t="n">
        <x:v>1</x:v>
      </x:c>
      <x:c r="L464" s="24" t="n">
        <x:v>13.839999999999998</x:v>
      </x:c>
      <x:c r="M464" s="26" t="n">
        <x:v>0.1</x:v>
      </x:c>
      <x:c r="N464" s="24" t="n">
        <x:v>2</x:v>
      </x:c>
      <x:c r="O464" s="28" t="n">
        <x:f>MIN(1,L464/I464)</x:f>
        <x:v>0.09226666666666665</x:v>
      </x:c>
      <x:c r="P464" s="30" t="n">
        <x:f>O464*J464*(1+M464)</x:f>
        <x:v>3.0447999999999995</x:v>
      </x:c>
      <x:c r="Q464" s="30" t="n">
        <x:f>P464*N464</x:f>
        <x:v>6.089599999999999</x:v>
      </x:c>
      <x:c r="R464" s="19" t="str">
        <x:v>独立判定</x:v>
      </x:c>
    </x:row>
    <x:row r="465" ht="19" customHeight="1">
      <x:c r="A465" s="19" t="str">
        <x:v>D00461</x:v>
      </x:c>
      <x:c r="B465" s="19" t="n">
        <x:v>2</x:v>
      </x:c>
      <x:c r="C465" s="19" t="n">
        <x:v>3</x:v>
      </x:c>
      <x:c r="D465" s="19" t="str">
        <x:v>EL-MON-LIM-MIST-012</x:v>
      </x:c>
      <x:c r="E465" s="19" t="str">
        <x:v>雾林熔炉骑士·奥德</x:v>
      </x:c>
      <x:c r="F465" s="19" t="str">
        <x:v>地图BOSS</x:v>
      </x:c>
      <x:c r="G465" s="19" t="str">
        <x:v>材料独立候选</x:v>
      </x:c>
      <x:c r="H465" s="19" t="str">
        <x:v>黄金树芽</x:v>
      </x:c>
      <x:c r="I465" s="22" t="n">
        <x:v>30</x:v>
      </x:c>
      <x:c r="J465" s="22" t="n">
        <x:v>2</x:v>
      </x:c>
      <x:c r="K465" s="19" t="n">
        <x:v>1</x:v>
      </x:c>
      <x:c r="L465" s="24" t="n">
        <x:v>13.839999999999998</x:v>
      </x:c>
      <x:c r="M465" s="26" t="n">
        <x:v>0.1</x:v>
      </x:c>
      <x:c r="N465" s="24" t="n">
        <x:v>2</x:v>
      </x:c>
      <x:c r="O465" s="28" t="n">
        <x:f>MIN(1,L465/I465)</x:f>
        <x:v>0.46133333333333326</x:v>
      </x:c>
      <x:c r="P465" s="30" t="n">
        <x:f>O465*J465*(1+M465)</x:f>
        <x:v>1.0149333333333332</x:v>
      </x:c>
      <x:c r="Q465" s="30" t="n">
        <x:f>P465*N465</x:f>
        <x:v>2.0298666666666665</x:v>
      </x:c>
      <x:c r="R465" s="19" t="str">
        <x:v>独立判定</x:v>
      </x:c>
    </x:row>
    <x:row r="466" ht="19" customHeight="1">
      <x:c r="A466" s="19" t="str">
        <x:v>D00462</x:v>
      </x:c>
      <x:c r="B466" s="19" t="n">
        <x:v>2</x:v>
      </x:c>
      <x:c r="C466" s="19" t="n">
        <x:v>3</x:v>
      </x:c>
      <x:c r="D466" s="19" t="str">
        <x:v>EL-MON-LIM-MIST-012</x:v>
      </x:c>
      <x:c r="E466" s="19" t="str">
        <x:v>雾林熔炉骑士·奥德</x:v>
      </x:c>
      <x:c r="F466" s="19" t="str">
        <x:v>地图BOSS</x:v>
      </x:c>
      <x:c r="G466" s="19" t="str">
        <x:v>材料独立候选</x:v>
      </x:c>
      <x:c r="H466" s="19" t="str">
        <x:v>接肢王印</x:v>
      </x:c>
      <x:c r="I466" s="22" t="n">
        <x:v>80</x:v>
      </x:c>
      <x:c r="J466" s="22" t="n">
        <x:v>2</x:v>
      </x:c>
      <x:c r="K466" s="19" t="n">
        <x:v>1</x:v>
      </x:c>
      <x:c r="L466" s="24" t="n">
        <x:v>13.839999999999998</x:v>
      </x:c>
      <x:c r="M466" s="26" t="n">
        <x:v>0.1</x:v>
      </x:c>
      <x:c r="N466" s="24" t="n">
        <x:v>2</x:v>
      </x:c>
      <x:c r="O466" s="28" t="n">
        <x:f>MIN(1,L466/I466)</x:f>
        <x:v>0.173</x:v>
      </x:c>
      <x:c r="P466" s="30" t="n">
        <x:f>O466*J466*(1+M466)</x:f>
        <x:v>0.3806</x:v>
      </x:c>
      <x:c r="Q466" s="30" t="n">
        <x:f>P466*N466</x:f>
        <x:v>0.7612</x:v>
      </x:c>
      <x:c r="R466" s="19" t="str">
        <x:v>独立判定</x:v>
      </x:c>
    </x:row>
    <x:row r="467" ht="19" customHeight="1">
      <x:c r="A467" s="19" t="str">
        <x:v>D00463</x:v>
      </x:c>
      <x:c r="B467" s="19" t="n">
        <x:v>2</x:v>
      </x:c>
      <x:c r="C467" s="19" t="n">
        <x:v>3</x:v>
      </x:c>
      <x:c r="D467" s="19" t="str">
        <x:v>EL-MON-LIM-MIST-012</x:v>
      </x:c>
      <x:c r="E467" s="19" t="str">
        <x:v>雾林熔炉骑士·奥德</x:v>
      </x:c>
      <x:c r="F467" s="19" t="str">
        <x:v>地图BOSS</x:v>
      </x:c>
      <x:c r="G467" s="19" t="str">
        <x:v>材料独立候选</x:v>
      </x:c>
      <x:c r="H467" s="19" t="str">
        <x:v>熔炉角片</x:v>
      </x:c>
      <x:c r="I467" s="22" t="n">
        <x:v>60</x:v>
      </x:c>
      <x:c r="J467" s="22" t="n">
        <x:v>1</x:v>
      </x:c>
      <x:c r="K467" s="19" t="n">
        <x:v>1</x:v>
      </x:c>
      <x:c r="L467" s="24" t="n">
        <x:v>13.839999999999998</x:v>
      </x:c>
      <x:c r="M467" s="26" t="n">
        <x:v>0.1</x:v>
      </x:c>
      <x:c r="N467" s="24" t="n">
        <x:v>2</x:v>
      </x:c>
      <x:c r="O467" s="28" t="n">
        <x:f>MIN(1,L467/I467)</x:f>
        <x:v>0.23066666666666663</x:v>
      </x:c>
      <x:c r="P467" s="30" t="n">
        <x:f>O467*J467*(1+M467)</x:f>
        <x:v>0.2537333333333333</x:v>
      </x:c>
      <x:c r="Q467" s="30" t="n">
        <x:f>P467*N467</x:f>
        <x:v>0.5074666666666666</x:v>
      </x:c>
      <x:c r="R467" s="19" t="str">
        <x:v>独立判定</x:v>
      </x:c>
    </x:row>
    <x:row r="468" ht="19" customHeight="1">
      <x:c r="A468" s="19" t="str">
        <x:v>D00464</x:v>
      </x:c>
      <x:c r="B468" s="19" t="n">
        <x:v>2</x:v>
      </x:c>
      <x:c r="C468" s="19" t="n">
        <x:v>3</x:v>
      </x:c>
      <x:c r="D468" s="19" t="str">
        <x:v>EL-MON-LIM-MIST-012</x:v>
      </x:c>
      <x:c r="E468" s="19" t="str">
        <x:v>雾林熔炉骑士·奥德</x:v>
      </x:c>
      <x:c r="F468" s="19" t="str">
        <x:v>地图BOSS</x:v>
      </x:c>
      <x:c r="G468" s="19" t="str">
        <x:v>材料独立候选</x:v>
      </x:c>
      <x:c r="H468" s="19" t="str">
        <x:v>野兽骨片</x:v>
      </x:c>
      <x:c r="I468" s="22" t="n">
        <x:v>40</x:v>
      </x:c>
      <x:c r="J468" s="22" t="n">
        <x:v>2</x:v>
      </x:c>
      <x:c r="K468" s="19" t="n">
        <x:v>1</x:v>
      </x:c>
      <x:c r="L468" s="24" t="n">
        <x:v>13.839999999999998</x:v>
      </x:c>
      <x:c r="M468" s="26" t="n">
        <x:v>0.1</x:v>
      </x:c>
      <x:c r="N468" s="24" t="n">
        <x:v>2</x:v>
      </x:c>
      <x:c r="O468" s="28" t="n">
        <x:f>MIN(1,L468/I468)</x:f>
        <x:v>0.346</x:v>
      </x:c>
      <x:c r="P468" s="30" t="n">
        <x:f>O468*J468*(1+M468)</x:f>
        <x:v>0.7612</x:v>
      </x:c>
      <x:c r="Q468" s="30" t="n">
        <x:f>P468*N468</x:f>
        <x:v>1.5224</x:v>
      </x:c>
      <x:c r="R468" s="19" t="str">
        <x:v>独立判定</x:v>
      </x:c>
    </x:row>
    <x:row r="469" ht="19" customHeight="1">
      <x:c r="A469" s="19" t="str">
        <x:v>D00465</x:v>
      </x:c>
      <x:c r="B469" s="19" t="n">
        <x:v>2</x:v>
      </x:c>
      <x:c r="C469" s="19" t="n">
        <x:v>3</x:v>
      </x:c>
      <x:c r="D469" s="19" t="str">
        <x:v>EL-MON-LIM-MIST-012</x:v>
      </x:c>
      <x:c r="E469" s="19" t="str">
        <x:v>雾林熔炉骑士·奥德</x:v>
      </x:c>
      <x:c r="F469" s="19" t="str">
        <x:v>地图BOSS</x:v>
      </x:c>
      <x:c r="G469" s="19" t="str">
        <x:v>材料独立候选</x:v>
      </x:c>
      <x:c r="H469" s="19" t="str">
        <x:v>技能残页</x:v>
      </x:c>
      <x:c r="I469" s="22" t="n">
        <x:v>30</x:v>
      </x:c>
      <x:c r="J469" s="22" t="n">
        <x:v>1</x:v>
      </x:c>
      <x:c r="K469" s="19" t="n">
        <x:v>1</x:v>
      </x:c>
      <x:c r="L469" s="24" t="n">
        <x:v>13.839999999999998</x:v>
      </x:c>
      <x:c r="M469" s="26" t="n">
        <x:v>0.1</x:v>
      </x:c>
      <x:c r="N469" s="24" t="n">
        <x:v>2</x:v>
      </x:c>
      <x:c r="O469" s="28" t="n">
        <x:f>MIN(1,L469/I469)</x:f>
        <x:v>0.46133333333333326</x:v>
      </x:c>
      <x:c r="P469" s="30" t="n">
        <x:f>O469*J469*(1+M469)</x:f>
        <x:v>0.5074666666666666</x:v>
      </x:c>
      <x:c r="Q469" s="30" t="n">
        <x:f>P469*N469</x:f>
        <x:v>1.0149333333333332</x:v>
      </x:c>
      <x:c r="R469" s="19" t="str">
        <x:v>独立判定</x:v>
      </x:c>
    </x:row>
    <x:row r="470" ht="19" customHeight="1">
      <x:c r="A470" s="19" t="str">
        <x:v>D00466</x:v>
      </x:c>
      <x:c r="B470" s="19" t="n">
        <x:v>2</x:v>
      </x:c>
      <x:c r="C470" s="19" t="n">
        <x:v>3</x:v>
      </x:c>
      <x:c r="D470" s="19" t="str">
        <x:v>EL-MON-LIM-MIST-012</x:v>
      </x:c>
      <x:c r="E470" s="19" t="str">
        <x:v>雾林熔炉骑士·奥德</x:v>
      </x:c>
      <x:c r="F470" s="19" t="str">
        <x:v>地图BOSS</x:v>
      </x:c>
      <x:c r="G470" s="19" t="str">
        <x:v>材料独立候选</x:v>
      </x:c>
      <x:c r="H470" s="19" t="str">
        <x:v>宁姆格福誓页</x:v>
      </x:c>
      <x:c r="I470" s="22" t="n">
        <x:v>180</x:v>
      </x:c>
      <x:c r="J470" s="22" t="n">
        <x:v>1</x:v>
      </x:c>
      <x:c r="K470" s="19" t="n">
        <x:v>1</x:v>
      </x:c>
      <x:c r="L470" s="24" t="n">
        <x:v>13.839999999999998</x:v>
      </x:c>
      <x:c r="M470" s="26" t="n">
        <x:v>0.1</x:v>
      </x:c>
      <x:c r="N470" s="24" t="n">
        <x:v>2</x:v>
      </x:c>
      <x:c r="O470" s="28" t="n">
        <x:f>MIN(1,L470/I470)</x:f>
        <x:v>0.07688888888888888</x:v>
      </x:c>
      <x:c r="P470" s="30" t="n">
        <x:f>O470*J470*(1+M470)</x:f>
        <x:v>0.08457777777777778</x:v>
      </x:c>
      <x:c r="Q470" s="30" t="n">
        <x:f>P470*N470</x:f>
        <x:v>0.16915555555555556</x:v>
      </x:c>
      <x:c r="R470" s="19" t="str">
        <x:v>独立判定</x:v>
      </x:c>
    </x:row>
    <x:row r="471" ht="19" customHeight="1">
      <x:c r="A471" s="19" t="str">
        <x:v>D00467</x:v>
      </x:c>
      <x:c r="B471" s="19" t="n">
        <x:v>2</x:v>
      </x:c>
      <x:c r="C471" s="19" t="n">
        <x:v>3</x:v>
      </x:c>
      <x:c r="D471" s="19" t="str">
        <x:v>EL-MON-LIM-MIST-012</x:v>
      </x:c>
      <x:c r="E471" s="19" t="str">
        <x:v>雾林熔炉骑士·奥德</x:v>
      </x:c>
      <x:c r="F471" s="19" t="str">
        <x:v>地图BOSS</x:v>
      </x:c>
      <x:c r="G471" s="19" t="str">
        <x:v>材料独立候选</x:v>
      </x:c>
      <x:c r="H471" s="19" t="str">
        <x:v>小卢恩</x:v>
      </x:c>
      <x:c r="I471" s="22" t="n">
        <x:v>1200</x:v>
      </x:c>
      <x:c r="J471" s="22" t="n">
        <x:v>1</x:v>
      </x:c>
      <x:c r="K471" s="19" t="n">
        <x:v>1</x:v>
      </x:c>
      <x:c r="L471" s="24" t="n">
        <x:v>13.839999999999998</x:v>
      </x:c>
      <x:c r="M471" s="26" t="n">
        <x:v>0.1</x:v>
      </x:c>
      <x:c r="N471" s="24" t="n">
        <x:v>2</x:v>
      </x:c>
      <x:c r="O471" s="28" t="n">
        <x:f>MIN(1,L471/I471)</x:f>
        <x:v>0.011533333333333331</x:v>
      </x:c>
      <x:c r="P471" s="30" t="n">
        <x:f>O471*J471*(1+M471)</x:f>
        <x:v>0.012686666666666666</x:v>
      </x:c>
      <x:c r="Q471" s="30" t="n">
        <x:f>P471*N471</x:f>
        <x:v>0.02537333333333333</x:v>
      </x:c>
      <x:c r="R471" s="19" t="str">
        <x:v>独立判定</x:v>
      </x:c>
    </x:row>
    <x:row r="472" ht="19" customHeight="1">
      <x:c r="A472" s="19" t="str">
        <x:v>D00468</x:v>
      </x:c>
      <x:c r="B472" s="19" t="n">
        <x:v>2</x:v>
      </x:c>
      <x:c r="C472" s="19" t="n">
        <x:v>3</x:v>
      </x:c>
      <x:c r="D472" s="19" t="str">
        <x:v>EL-MON-LIM-MIST-012</x:v>
      </x:c>
      <x:c r="E472" s="19" t="str">
        <x:v>雾林熔炉骑士·奥德</x:v>
      </x:c>
      <x:c r="F472" s="19" t="str">
        <x:v>地图BOSS</x:v>
      </x:c>
      <x:c r="G472" s="19" t="str">
        <x:v>材料独立候选</x:v>
      </x:c>
      <x:c r="H472" s="19" t="str">
        <x:v>大卢恩</x:v>
      </x:c>
      <x:c r="I472" s="22" t="n">
        <x:v>120</x:v>
      </x:c>
      <x:c r="J472" s="22" t="n">
        <x:v>1</x:v>
      </x:c>
      <x:c r="K472" s="19" t="n">
        <x:v>1</x:v>
      </x:c>
      <x:c r="L472" s="24" t="n">
        <x:v>13.839999999999998</x:v>
      </x:c>
      <x:c r="M472" s="26" t="n">
        <x:v>0.1</x:v>
      </x:c>
      <x:c r="N472" s="24" t="n">
        <x:v>2</x:v>
      </x:c>
      <x:c r="O472" s="28" t="n">
        <x:f>MIN(1,L472/I472)</x:f>
        <x:v>0.11533333333333332</x:v>
      </x:c>
      <x:c r="P472" s="30" t="n">
        <x:f>O472*J472*(1+M472)</x:f>
        <x:v>0.12686666666666666</x:v>
      </x:c>
      <x:c r="Q472" s="30" t="n">
        <x:f>P472*N472</x:f>
        <x:v>0.2537333333333333</x:v>
      </x:c>
      <x:c r="R472" s="19" t="str">
        <x:v>独立判定</x:v>
      </x:c>
    </x:row>
    <x:row r="473" ht="19" customHeight="1">
      <x:c r="A473" s="19" t="str">
        <x:v>D00469</x:v>
      </x:c>
      <x:c r="B473" s="19" t="n">
        <x:v>2</x:v>
      </x:c>
      <x:c r="C473" s="19" t="n">
        <x:v>3</x:v>
      </x:c>
      <x:c r="D473" s="19" t="str">
        <x:v>EL-MON-LIM-MIST-012</x:v>
      </x:c>
      <x:c r="E473" s="19" t="str">
        <x:v>雾林熔炉骑士·奥德</x:v>
      </x:c>
      <x:c r="F473" s="19" t="str">
        <x:v>地图BOSS</x:v>
      </x:c>
      <x:c r="G473" s="19" t="str">
        <x:v>六神器公共池</x:v>
      </x:c>
      <x:c r="H473" s="19" t="str">
        <x:v>POOL006</x:v>
      </x:c>
      <x:c r="I473" s="22" t="n">
        <x:v>200000</x:v>
      </x:c>
      <x:c r="J473" s="22" t="n">
        <x:v>1</x:v>
      </x:c>
      <x:c r="K473" s="19" t="n">
        <x:v>6</x:v>
      </x:c>
      <x:c r="L473" s="24" t="n">
        <x:v>13.839999999999998</x:v>
      </x:c>
      <x:c r="M473" s="26" t="n">
        <x:v>0.1</x:v>
      </x:c>
      <x:c r="N473" s="24" t="n">
        <x:v>2</x:v>
      </x:c>
      <x:c r="O473" s="28" t="n">
        <x:f>MIN(1,L473/I473)</x:f>
        <x:v>0.00006919999999999999</x:v>
      </x:c>
      <x:c r="P473" s="30" t="n">
        <x:f>O473*J473*(1+M473)</x:f>
        <x:v>0.00007612</x:v>
      </x:c>
      <x:c r="Q473" s="30" t="n">
        <x:f>P473*N473</x:f>
        <x:v>0.00015224</x:v>
      </x:c>
      <x:c r="R473" s="19" t="str">
        <x:v>六选一；非6个独立爆率</x:v>
      </x:c>
    </x:row>
    <x:row r="474" ht="19" customHeight="1">
      <x:c r="A474" s="19" t="str">
        <x:v>D00470</x:v>
      </x:c>
      <x:c r="B474" s="19" t="n">
        <x:v>2</x:v>
      </x:c>
      <x:c r="C474" s="19" t="n">
        <x:v>4</x:v>
      </x:c>
      <x:c r="D474" s="19" t="str">
        <x:v>EL-MON-LIM-STORM-001</x:v>
      </x:c>
      <x:c r="E474" s="19" t="str">
        <x:v>风暴鹰</x:v>
      </x:c>
      <x:c r="F474" s="19" t="str">
        <x:v>普通</x:v>
      </x:c>
      <x:c r="G474" s="19" t="str">
        <x:v>自身专属</x:v>
      </x:c>
      <x:c r="H474" s="19" t="str">
        <x:v>风羽战刃</x:v>
      </x:c>
      <x:c r="I474" s="22" t="n">
        <x:v>600</x:v>
      </x:c>
      <x:c r="J474" s="22" t="n">
        <x:v>1</x:v>
      </x:c>
      <x:c r="K474" s="19" t="n">
        <x:v>1</x:v>
      </x:c>
      <x:c r="L474" s="24" t="n">
        <x:v>13.799999999999999</x:v>
      </x:c>
      <x:c r="M474" s="26" t="n">
        <x:v>0.1</x:v>
      </x:c>
      <x:c r="N474" s="24" t="n">
        <x:v>72</x:v>
      </x:c>
      <x:c r="O474" s="28" t="n">
        <x:f>MIN(1,L474/I474)</x:f>
        <x:v>0.023</x:v>
      </x:c>
      <x:c r="P474" s="30" t="n">
        <x:f>O474*J474*(1+M474)</x:f>
        <x:v>0.025300000000000003</x:v>
      </x:c>
      <x:c r="Q474" s="30" t="n">
        <x:f>P474*N474</x:f>
        <x:v>1.8216</x:v>
      </x:c>
      <x:c r="R474" s="19" t="str">
        <x:v>独立判定</x:v>
      </x:c>
    </x:row>
    <x:row r="475" ht="19" customHeight="1">
      <x:c r="A475" s="19" t="str">
        <x:v>D00471</x:v>
      </x:c>
      <x:c r="B475" s="19" t="n">
        <x:v>2</x:v>
      </x:c>
      <x:c r="C475" s="19" t="n">
        <x:v>4</x:v>
      </x:c>
      <x:c r="D475" s="19" t="str">
        <x:v>EL-MON-LIM-STORM-001</x:v>
      </x:c>
      <x:c r="E475" s="19" t="str">
        <x:v>风暴鹰</x:v>
      </x:c>
      <x:c r="F475" s="19" t="str">
        <x:v>普通</x:v>
      </x:c>
      <x:c r="G475" s="19" t="str">
        <x:v>材料独立候选</x:v>
      </x:c>
      <x:c r="H475" s="19" t="str">
        <x:v>风暴石片</x:v>
      </x:c>
      <x:c r="I475" s="22" t="n">
        <x:v>500</x:v>
      </x:c>
      <x:c r="J475" s="22" t="n">
        <x:v>8</x:v>
      </x:c>
      <x:c r="K475" s="19" t="n">
        <x:v>1</x:v>
      </x:c>
      <x:c r="L475" s="24" t="n">
        <x:v>13.799999999999999</x:v>
      </x:c>
      <x:c r="M475" s="26" t="n">
        <x:v>0.1</x:v>
      </x:c>
      <x:c r="N475" s="24" t="n">
        <x:v>72</x:v>
      </x:c>
      <x:c r="O475" s="28" t="n">
        <x:f>MIN(1,L475/I475)</x:f>
        <x:v>0.0276</x:v>
      </x:c>
      <x:c r="P475" s="30" t="n">
        <x:f>O475*J475*(1+M475)</x:f>
        <x:v>0.24288</x:v>
      </x:c>
      <x:c r="Q475" s="30" t="n">
        <x:f>P475*N475</x:f>
        <x:v>17.487360000000002</x:v>
      </x:c>
      <x:c r="R475" s="19" t="str">
        <x:v>独立判定</x:v>
      </x:c>
    </x:row>
    <x:row r="476" ht="19" customHeight="1">
      <x:c r="A476" s="19" t="str">
        <x:v>D00472</x:v>
      </x:c>
      <x:c r="B476" s="19" t="n">
        <x:v>2</x:v>
      </x:c>
      <x:c r="C476" s="19" t="n">
        <x:v>4</x:v>
      </x:c>
      <x:c r="D476" s="19" t="str">
        <x:v>EL-MON-LIM-STORM-001</x:v>
      </x:c>
      <x:c r="E476" s="19" t="str">
        <x:v>风暴鹰</x:v>
      </x:c>
      <x:c r="F476" s="19" t="str">
        <x:v>普通</x:v>
      </x:c>
      <x:c r="G476" s="19" t="str">
        <x:v>材料独立候选</x:v>
      </x:c>
      <x:c r="H476" s="19" t="str">
        <x:v>野兽骨片</x:v>
      </x:c>
      <x:c r="I476" s="22" t="n">
        <x:v>100</x:v>
      </x:c>
      <x:c r="J476" s="22" t="n">
        <x:v>2</x:v>
      </x:c>
      <x:c r="K476" s="19" t="n">
        <x:v>1</x:v>
      </x:c>
      <x:c r="L476" s="24" t="n">
        <x:v>13.799999999999999</x:v>
      </x:c>
      <x:c r="M476" s="26" t="n">
        <x:v>0.1</x:v>
      </x:c>
      <x:c r="N476" s="24" t="n">
        <x:v>72</x:v>
      </x:c>
      <x:c r="O476" s="28" t="n">
        <x:f>MIN(1,L476/I476)</x:f>
        <x:v>0.13799999999999998</x:v>
      </x:c>
      <x:c r="P476" s="30" t="n">
        <x:f>O476*J476*(1+M476)</x:f>
        <x:v>0.3036</x:v>
      </x:c>
      <x:c r="Q476" s="30" t="n">
        <x:f>P476*N476</x:f>
        <x:v>21.859199999999998</x:v>
      </x:c>
      <x:c r="R476" s="19" t="str">
        <x:v>独立判定</x:v>
      </x:c>
    </x:row>
    <x:row r="477" ht="19" customHeight="1">
      <x:c r="A477" s="19" t="str">
        <x:v>D00473</x:v>
      </x:c>
      <x:c r="B477" s="19" t="n">
        <x:v>2</x:v>
      </x:c>
      <x:c r="C477" s="19" t="n">
        <x:v>4</x:v>
      </x:c>
      <x:c r="D477" s="19" t="str">
        <x:v>EL-MON-LIM-STORM-001</x:v>
      </x:c>
      <x:c r="E477" s="19" t="str">
        <x:v>风暴鹰</x:v>
      </x:c>
      <x:c r="F477" s="19" t="str">
        <x:v>普通</x:v>
      </x:c>
      <x:c r="G477" s="19" t="str">
        <x:v>材料独立候选</x:v>
      </x:c>
      <x:c r="H477" s="19" t="str">
        <x:v>技能残页</x:v>
      </x:c>
      <x:c r="I477" s="22" t="n">
        <x:v>100</x:v>
      </x:c>
      <x:c r="J477" s="22" t="n">
        <x:v>1</x:v>
      </x:c>
      <x:c r="K477" s="19" t="n">
        <x:v>1</x:v>
      </x:c>
      <x:c r="L477" s="24" t="n">
        <x:v>13.799999999999999</x:v>
      </x:c>
      <x:c r="M477" s="26" t="n">
        <x:v>0.1</x:v>
      </x:c>
      <x:c r="N477" s="24" t="n">
        <x:v>72</x:v>
      </x:c>
      <x:c r="O477" s="28" t="n">
        <x:f>MIN(1,L477/I477)</x:f>
        <x:v>0.13799999999999998</x:v>
      </x:c>
      <x:c r="P477" s="30" t="n">
        <x:f>O477*J477*(1+M477)</x:f>
        <x:v>0.1518</x:v>
      </x:c>
      <x:c r="Q477" s="30" t="n">
        <x:f>P477*N477</x:f>
        <x:v>10.929599999999999</x:v>
      </x:c>
      <x:c r="R477" s="19" t="str">
        <x:v>独立判定</x:v>
      </x:c>
    </x:row>
    <x:row r="478" ht="19" customHeight="1">
      <x:c r="A478" s="19" t="str">
        <x:v>D00474</x:v>
      </x:c>
      <x:c r="B478" s="19" t="n">
        <x:v>2</x:v>
      </x:c>
      <x:c r="C478" s="19" t="n">
        <x:v>4</x:v>
      </x:c>
      <x:c r="D478" s="19" t="str">
        <x:v>EL-MON-LIM-STORM-001</x:v>
      </x:c>
      <x:c r="E478" s="19" t="str">
        <x:v>风暴鹰</x:v>
      </x:c>
      <x:c r="F478" s="19" t="str">
        <x:v>普通</x:v>
      </x:c>
      <x:c r="G478" s="19" t="str">
        <x:v>材料独立候选</x:v>
      </x:c>
      <x:c r="H478" s="19" t="str">
        <x:v>小卢恩</x:v>
      </x:c>
      <x:c r="I478" s="22" t="n">
        <x:v>4000</x:v>
      </x:c>
      <x:c r="J478" s="22" t="n">
        <x:v>1</x:v>
      </x:c>
      <x:c r="K478" s="19" t="n">
        <x:v>1</x:v>
      </x:c>
      <x:c r="L478" s="24" t="n">
        <x:v>13.799999999999999</x:v>
      </x:c>
      <x:c r="M478" s="26" t="n">
        <x:v>0.1</x:v>
      </x:c>
      <x:c r="N478" s="24" t="n">
        <x:v>72</x:v>
      </x:c>
      <x:c r="O478" s="28" t="n">
        <x:f>MIN(1,L478/I478)</x:f>
        <x:v>0.00345</x:v>
      </x:c>
      <x:c r="P478" s="30" t="n">
        <x:f>O478*J478*(1+M478)</x:f>
        <x:v>0.003795</x:v>
      </x:c>
      <x:c r="Q478" s="30" t="n">
        <x:f>P478*N478</x:f>
        <x:v>0.27324000000000004</x:v>
      </x:c>
      <x:c r="R478" s="19" t="str">
        <x:v>独立判定</x:v>
      </x:c>
    </x:row>
    <x:row r="479" ht="19" customHeight="1">
      <x:c r="A479" s="19" t="str">
        <x:v>D00475</x:v>
      </x:c>
      <x:c r="B479" s="19" t="n">
        <x:v>2</x:v>
      </x:c>
      <x:c r="C479" s="19" t="n">
        <x:v>4</x:v>
      </x:c>
      <x:c r="D479" s="19" t="str">
        <x:v>EL-MON-LIM-STORM-001</x:v>
      </x:c>
      <x:c r="E479" s="19" t="str">
        <x:v>风暴鹰</x:v>
      </x:c>
      <x:c r="F479" s="19" t="str">
        <x:v>普通</x:v>
      </x:c>
      <x:c r="G479" s="19" t="str">
        <x:v>六神器公共池</x:v>
      </x:c>
      <x:c r="H479" s="19" t="str">
        <x:v>POOL006</x:v>
      </x:c>
      <x:c r="I479" s="22" t="n">
        <x:v>20000000</x:v>
      </x:c>
      <x:c r="J479" s="22" t="n">
        <x:v>1</x:v>
      </x:c>
      <x:c r="K479" s="19" t="n">
        <x:v>6</x:v>
      </x:c>
      <x:c r="L479" s="24" t="n">
        <x:v>13.799999999999999</x:v>
      </x:c>
      <x:c r="M479" s="26" t="n">
        <x:v>0.1</x:v>
      </x:c>
      <x:c r="N479" s="24" t="n">
        <x:v>72</x:v>
      </x:c>
      <x:c r="O479" s="28" t="n">
        <x:f>MIN(1,L479/I479)</x:f>
        <x:v>6.9e-7</x:v>
      </x:c>
      <x:c r="P479" s="30" t="n">
        <x:f>O479*J479*(1+M479)</x:f>
        <x:v>7.590000000000001e-7</x:v>
      </x:c>
      <x:c r="Q479" s="30" t="n">
        <x:f>P479*N479</x:f>
        <x:v>0.000054648</x:v>
      </x:c>
      <x:c r="R479" s="19" t="str">
        <x:v>六选一；非6个独立爆率</x:v>
      </x:c>
    </x:row>
    <x:row r="480" ht="19" customHeight="1">
      <x:c r="A480" s="19" t="str">
        <x:v>D00476</x:v>
      </x:c>
      <x:c r="B480" s="19" t="n">
        <x:v>2</x:v>
      </x:c>
      <x:c r="C480" s="19" t="n">
        <x:v>4</x:v>
      </x:c>
      <x:c r="D480" s="19" t="str">
        <x:v>EL-MON-LIM-STORM-002</x:v>
      </x:c>
      <x:c r="E480" s="19" t="str">
        <x:v>雷羽战鹰</x:v>
      </x:c>
      <x:c r="F480" s="19" t="str">
        <x:v>普通</x:v>
      </x:c>
      <x:c r="G480" s="19" t="str">
        <x:v>自身专属</x:v>
      </x:c>
      <x:c r="H480" s="19" t="str">
        <x:v>雷羽战衣</x:v>
      </x:c>
      <x:c r="I480" s="22" t="n">
        <x:v>600</x:v>
      </x:c>
      <x:c r="J480" s="22" t="n">
        <x:v>1</x:v>
      </x:c>
      <x:c r="K480" s="19" t="n">
        <x:v>1</x:v>
      </x:c>
      <x:c r="L480" s="24" t="n">
        <x:v>13.799999999999999</x:v>
      </x:c>
      <x:c r="M480" s="26" t="n">
        <x:v>0.1</x:v>
      </x:c>
      <x:c r="N480" s="24" t="n">
        <x:v>72</x:v>
      </x:c>
      <x:c r="O480" s="28" t="n">
        <x:f>MIN(1,L480/I480)</x:f>
        <x:v>0.023</x:v>
      </x:c>
      <x:c r="P480" s="30" t="n">
        <x:f>O480*J480*(1+M480)</x:f>
        <x:v>0.025300000000000003</x:v>
      </x:c>
      <x:c r="Q480" s="30" t="n">
        <x:f>P480*N480</x:f>
        <x:v>1.8216</x:v>
      </x:c>
      <x:c r="R480" s="19" t="str">
        <x:v>独立判定</x:v>
      </x:c>
    </x:row>
    <x:row r="481" ht="19" customHeight="1">
      <x:c r="A481" s="19" t="str">
        <x:v>D00477</x:v>
      </x:c>
      <x:c r="B481" s="19" t="n">
        <x:v>2</x:v>
      </x:c>
      <x:c r="C481" s="19" t="n">
        <x:v>4</x:v>
      </x:c>
      <x:c r="D481" s="19" t="str">
        <x:v>EL-MON-LIM-STORM-002</x:v>
      </x:c>
      <x:c r="E481" s="19" t="str">
        <x:v>雷羽战鹰</x:v>
      </x:c>
      <x:c r="F481" s="19" t="str">
        <x:v>普通</x:v>
      </x:c>
      <x:c r="G481" s="19" t="str">
        <x:v>材料独立候选</x:v>
      </x:c>
      <x:c r="H481" s="19" t="str">
        <x:v>风暴石片</x:v>
      </x:c>
      <x:c r="I481" s="22" t="n">
        <x:v>500</x:v>
      </x:c>
      <x:c r="J481" s="22" t="n">
        <x:v>8</x:v>
      </x:c>
      <x:c r="K481" s="19" t="n">
        <x:v>1</x:v>
      </x:c>
      <x:c r="L481" s="24" t="n">
        <x:v>13.799999999999999</x:v>
      </x:c>
      <x:c r="M481" s="26" t="n">
        <x:v>0.1</x:v>
      </x:c>
      <x:c r="N481" s="24" t="n">
        <x:v>72</x:v>
      </x:c>
      <x:c r="O481" s="28" t="n">
        <x:f>MIN(1,L481/I481)</x:f>
        <x:v>0.0276</x:v>
      </x:c>
      <x:c r="P481" s="30" t="n">
        <x:f>O481*J481*(1+M481)</x:f>
        <x:v>0.24288</x:v>
      </x:c>
      <x:c r="Q481" s="30" t="n">
        <x:f>P481*N481</x:f>
        <x:v>17.487360000000002</x:v>
      </x:c>
      <x:c r="R481" s="19" t="str">
        <x:v>独立判定</x:v>
      </x:c>
    </x:row>
    <x:row r="482" ht="19" customHeight="1">
      <x:c r="A482" s="19" t="str">
        <x:v>D00478</x:v>
      </x:c>
      <x:c r="B482" s="19" t="n">
        <x:v>2</x:v>
      </x:c>
      <x:c r="C482" s="19" t="n">
        <x:v>4</x:v>
      </x:c>
      <x:c r="D482" s="19" t="str">
        <x:v>EL-MON-LIM-STORM-002</x:v>
      </x:c>
      <x:c r="E482" s="19" t="str">
        <x:v>雷羽战鹰</x:v>
      </x:c>
      <x:c r="F482" s="19" t="str">
        <x:v>普通</x:v>
      </x:c>
      <x:c r="G482" s="19" t="str">
        <x:v>材料独立候选</x:v>
      </x:c>
      <x:c r="H482" s="19" t="str">
        <x:v>野兽骨片</x:v>
      </x:c>
      <x:c r="I482" s="22" t="n">
        <x:v>100</x:v>
      </x:c>
      <x:c r="J482" s="22" t="n">
        <x:v>2</x:v>
      </x:c>
      <x:c r="K482" s="19" t="n">
        <x:v>1</x:v>
      </x:c>
      <x:c r="L482" s="24" t="n">
        <x:v>13.799999999999999</x:v>
      </x:c>
      <x:c r="M482" s="26" t="n">
        <x:v>0.1</x:v>
      </x:c>
      <x:c r="N482" s="24" t="n">
        <x:v>72</x:v>
      </x:c>
      <x:c r="O482" s="28" t="n">
        <x:f>MIN(1,L482/I482)</x:f>
        <x:v>0.13799999999999998</x:v>
      </x:c>
      <x:c r="P482" s="30" t="n">
        <x:f>O482*J482*(1+M482)</x:f>
        <x:v>0.3036</x:v>
      </x:c>
      <x:c r="Q482" s="30" t="n">
        <x:f>P482*N482</x:f>
        <x:v>21.859199999999998</x:v>
      </x:c>
      <x:c r="R482" s="19" t="str">
        <x:v>独立判定</x:v>
      </x:c>
    </x:row>
    <x:row r="483" ht="19" customHeight="1">
      <x:c r="A483" s="19" t="str">
        <x:v>D00479</x:v>
      </x:c>
      <x:c r="B483" s="19" t="n">
        <x:v>2</x:v>
      </x:c>
      <x:c r="C483" s="19" t="n">
        <x:v>4</x:v>
      </x:c>
      <x:c r="D483" s="19" t="str">
        <x:v>EL-MON-LIM-STORM-002</x:v>
      </x:c>
      <x:c r="E483" s="19" t="str">
        <x:v>雷羽战鹰</x:v>
      </x:c>
      <x:c r="F483" s="19" t="str">
        <x:v>普通</x:v>
      </x:c>
      <x:c r="G483" s="19" t="str">
        <x:v>材料独立候选</x:v>
      </x:c>
      <x:c r="H483" s="19" t="str">
        <x:v>技能残页</x:v>
      </x:c>
      <x:c r="I483" s="22" t="n">
        <x:v>100</x:v>
      </x:c>
      <x:c r="J483" s="22" t="n">
        <x:v>1</x:v>
      </x:c>
      <x:c r="K483" s="19" t="n">
        <x:v>1</x:v>
      </x:c>
      <x:c r="L483" s="24" t="n">
        <x:v>13.799999999999999</x:v>
      </x:c>
      <x:c r="M483" s="26" t="n">
        <x:v>0.1</x:v>
      </x:c>
      <x:c r="N483" s="24" t="n">
        <x:v>72</x:v>
      </x:c>
      <x:c r="O483" s="28" t="n">
        <x:f>MIN(1,L483/I483)</x:f>
        <x:v>0.13799999999999998</x:v>
      </x:c>
      <x:c r="P483" s="30" t="n">
        <x:f>O483*J483*(1+M483)</x:f>
        <x:v>0.1518</x:v>
      </x:c>
      <x:c r="Q483" s="30" t="n">
        <x:f>P483*N483</x:f>
        <x:v>10.929599999999999</x:v>
      </x:c>
      <x:c r="R483" s="19" t="str">
        <x:v>独立判定</x:v>
      </x:c>
    </x:row>
    <x:row r="484" ht="19" customHeight="1">
      <x:c r="A484" s="19" t="str">
        <x:v>D00480</x:v>
      </x:c>
      <x:c r="B484" s="19" t="n">
        <x:v>2</x:v>
      </x:c>
      <x:c r="C484" s="19" t="n">
        <x:v>4</x:v>
      </x:c>
      <x:c r="D484" s="19" t="str">
        <x:v>EL-MON-LIM-STORM-002</x:v>
      </x:c>
      <x:c r="E484" s="19" t="str">
        <x:v>雷羽战鹰</x:v>
      </x:c>
      <x:c r="F484" s="19" t="str">
        <x:v>普通</x:v>
      </x:c>
      <x:c r="G484" s="19" t="str">
        <x:v>材料独立候选</x:v>
      </x:c>
      <x:c r="H484" s="19" t="str">
        <x:v>小卢恩</x:v>
      </x:c>
      <x:c r="I484" s="22" t="n">
        <x:v>4000</x:v>
      </x:c>
      <x:c r="J484" s="22" t="n">
        <x:v>1</x:v>
      </x:c>
      <x:c r="K484" s="19" t="n">
        <x:v>1</x:v>
      </x:c>
      <x:c r="L484" s="24" t="n">
        <x:v>13.799999999999999</x:v>
      </x:c>
      <x:c r="M484" s="26" t="n">
        <x:v>0.1</x:v>
      </x:c>
      <x:c r="N484" s="24" t="n">
        <x:v>72</x:v>
      </x:c>
      <x:c r="O484" s="28" t="n">
        <x:f>MIN(1,L484/I484)</x:f>
        <x:v>0.00345</x:v>
      </x:c>
      <x:c r="P484" s="30" t="n">
        <x:f>O484*J484*(1+M484)</x:f>
        <x:v>0.003795</x:v>
      </x:c>
      <x:c r="Q484" s="30" t="n">
        <x:f>P484*N484</x:f>
        <x:v>0.27324000000000004</x:v>
      </x:c>
      <x:c r="R484" s="19" t="str">
        <x:v>独立判定</x:v>
      </x:c>
    </x:row>
    <x:row r="485" ht="19" customHeight="1">
      <x:c r="A485" s="19" t="str">
        <x:v>D00481</x:v>
      </x:c>
      <x:c r="B485" s="19" t="n">
        <x:v>2</x:v>
      </x:c>
      <x:c r="C485" s="19" t="n">
        <x:v>4</x:v>
      </x:c>
      <x:c r="D485" s="19" t="str">
        <x:v>EL-MON-LIM-STORM-002</x:v>
      </x:c>
      <x:c r="E485" s="19" t="str">
        <x:v>雷羽战鹰</x:v>
      </x:c>
      <x:c r="F485" s="19" t="str">
        <x:v>普通</x:v>
      </x:c>
      <x:c r="G485" s="19" t="str">
        <x:v>六神器公共池</x:v>
      </x:c>
      <x:c r="H485" s="19" t="str">
        <x:v>POOL006</x:v>
      </x:c>
      <x:c r="I485" s="22" t="n">
        <x:v>20000000</x:v>
      </x:c>
      <x:c r="J485" s="22" t="n">
        <x:v>1</x:v>
      </x:c>
      <x:c r="K485" s="19" t="n">
        <x:v>6</x:v>
      </x:c>
      <x:c r="L485" s="24" t="n">
        <x:v>13.799999999999999</x:v>
      </x:c>
      <x:c r="M485" s="26" t="n">
        <x:v>0.1</x:v>
      </x:c>
      <x:c r="N485" s="24" t="n">
        <x:v>72</x:v>
      </x:c>
      <x:c r="O485" s="28" t="n">
        <x:f>MIN(1,L485/I485)</x:f>
        <x:v>6.9e-7</x:v>
      </x:c>
      <x:c r="P485" s="30" t="n">
        <x:f>O485*J485*(1+M485)</x:f>
        <x:v>7.590000000000001e-7</x:v>
      </x:c>
      <x:c r="Q485" s="30" t="n">
        <x:f>P485*N485</x:f>
        <x:v>0.000054648</x:v>
      </x:c>
      <x:c r="R485" s="19" t="str">
        <x:v>六选一；非6个独立爆率</x:v>
      </x:c>
    </x:row>
    <x:row r="486" ht="19" customHeight="1">
      <x:c r="A486" s="19" t="str">
        <x:v>D00482</x:v>
      </x:c>
      <x:c r="B486" s="19" t="n">
        <x:v>2</x:v>
      </x:c>
      <x:c r="C486" s="19" t="n">
        <x:v>4</x:v>
      </x:c>
      <x:c r="D486" s="19" t="str">
        <x:v>EL-MON-LIM-STORM-003</x:v>
      </x:c>
      <x:c r="E486" s="19" t="str">
        <x:v>山谷巨人</x:v>
      </x:c>
      <x:c r="F486" s="19" t="str">
        <x:v>普通</x:v>
      </x:c>
      <x:c r="G486" s="19" t="str">
        <x:v>自身专属</x:v>
      </x:c>
      <x:c r="H486" s="19" t="str">
        <x:v>巨人铁盔</x:v>
      </x:c>
      <x:c r="I486" s="22" t="n">
        <x:v>600</x:v>
      </x:c>
      <x:c r="J486" s="22" t="n">
        <x:v>1</x:v>
      </x:c>
      <x:c r="K486" s="19" t="n">
        <x:v>1</x:v>
      </x:c>
      <x:c r="L486" s="24" t="n">
        <x:v>13.799999999999999</x:v>
      </x:c>
      <x:c r="M486" s="26" t="n">
        <x:v>0.1</x:v>
      </x:c>
      <x:c r="N486" s="24" t="n">
        <x:v>72</x:v>
      </x:c>
      <x:c r="O486" s="28" t="n">
        <x:f>MIN(1,L486/I486)</x:f>
        <x:v>0.023</x:v>
      </x:c>
      <x:c r="P486" s="30" t="n">
        <x:f>O486*J486*(1+M486)</x:f>
        <x:v>0.025300000000000003</x:v>
      </x:c>
      <x:c r="Q486" s="30" t="n">
        <x:f>P486*N486</x:f>
        <x:v>1.8216</x:v>
      </x:c>
      <x:c r="R486" s="19" t="str">
        <x:v>独立判定</x:v>
      </x:c>
    </x:row>
    <x:row r="487" ht="19" customHeight="1">
      <x:c r="A487" s="19" t="str">
        <x:v>D00483</x:v>
      </x:c>
      <x:c r="B487" s="19" t="n">
        <x:v>2</x:v>
      </x:c>
      <x:c r="C487" s="19" t="n">
        <x:v>4</x:v>
      </x:c>
      <x:c r="D487" s="19" t="str">
        <x:v>EL-MON-LIM-STORM-003</x:v>
      </x:c>
      <x:c r="E487" s="19" t="str">
        <x:v>山谷巨人</x:v>
      </x:c>
      <x:c r="F487" s="19" t="str">
        <x:v>普通</x:v>
      </x:c>
      <x:c r="G487" s="19" t="str">
        <x:v>材料独立候选</x:v>
      </x:c>
      <x:c r="H487" s="19" t="str">
        <x:v>风暴石片</x:v>
      </x:c>
      <x:c r="I487" s="22" t="n">
        <x:v>500</x:v>
      </x:c>
      <x:c r="J487" s="22" t="n">
        <x:v>8</x:v>
      </x:c>
      <x:c r="K487" s="19" t="n">
        <x:v>1</x:v>
      </x:c>
      <x:c r="L487" s="24" t="n">
        <x:v>13.799999999999999</x:v>
      </x:c>
      <x:c r="M487" s="26" t="n">
        <x:v>0.1</x:v>
      </x:c>
      <x:c r="N487" s="24" t="n">
        <x:v>72</x:v>
      </x:c>
      <x:c r="O487" s="28" t="n">
        <x:f>MIN(1,L487/I487)</x:f>
        <x:v>0.0276</x:v>
      </x:c>
      <x:c r="P487" s="30" t="n">
        <x:f>O487*J487*(1+M487)</x:f>
        <x:v>0.24288</x:v>
      </x:c>
      <x:c r="Q487" s="30" t="n">
        <x:f>P487*N487</x:f>
        <x:v>17.487360000000002</x:v>
      </x:c>
      <x:c r="R487" s="19" t="str">
        <x:v>独立判定</x:v>
      </x:c>
    </x:row>
    <x:row r="488" ht="19" customHeight="1">
      <x:c r="A488" s="19" t="str">
        <x:v>D00484</x:v>
      </x:c>
      <x:c r="B488" s="19" t="n">
        <x:v>2</x:v>
      </x:c>
      <x:c r="C488" s="19" t="n">
        <x:v>4</x:v>
      </x:c>
      <x:c r="D488" s="19" t="str">
        <x:v>EL-MON-LIM-STORM-003</x:v>
      </x:c>
      <x:c r="E488" s="19" t="str">
        <x:v>山谷巨人</x:v>
      </x:c>
      <x:c r="F488" s="19" t="str">
        <x:v>普通</x:v>
      </x:c>
      <x:c r="G488" s="19" t="str">
        <x:v>材料独立候选</x:v>
      </x:c>
      <x:c r="H488" s="19" t="str">
        <x:v>野兽骨片</x:v>
      </x:c>
      <x:c r="I488" s="22" t="n">
        <x:v>100</x:v>
      </x:c>
      <x:c r="J488" s="22" t="n">
        <x:v>2</x:v>
      </x:c>
      <x:c r="K488" s="19" t="n">
        <x:v>1</x:v>
      </x:c>
      <x:c r="L488" s="24" t="n">
        <x:v>13.799999999999999</x:v>
      </x:c>
      <x:c r="M488" s="26" t="n">
        <x:v>0.1</x:v>
      </x:c>
      <x:c r="N488" s="24" t="n">
        <x:v>72</x:v>
      </x:c>
      <x:c r="O488" s="28" t="n">
        <x:f>MIN(1,L488/I488)</x:f>
        <x:v>0.13799999999999998</x:v>
      </x:c>
      <x:c r="P488" s="30" t="n">
        <x:f>O488*J488*(1+M488)</x:f>
        <x:v>0.3036</x:v>
      </x:c>
      <x:c r="Q488" s="30" t="n">
        <x:f>P488*N488</x:f>
        <x:v>21.859199999999998</x:v>
      </x:c>
      <x:c r="R488" s="19" t="str">
        <x:v>独立判定</x:v>
      </x:c>
    </x:row>
    <x:row r="489" ht="19" customHeight="1">
      <x:c r="A489" s="19" t="str">
        <x:v>D00485</x:v>
      </x:c>
      <x:c r="B489" s="19" t="n">
        <x:v>2</x:v>
      </x:c>
      <x:c r="C489" s="19" t="n">
        <x:v>4</x:v>
      </x:c>
      <x:c r="D489" s="19" t="str">
        <x:v>EL-MON-LIM-STORM-003</x:v>
      </x:c>
      <x:c r="E489" s="19" t="str">
        <x:v>山谷巨人</x:v>
      </x:c>
      <x:c r="F489" s="19" t="str">
        <x:v>普通</x:v>
      </x:c>
      <x:c r="G489" s="19" t="str">
        <x:v>材料独立候选</x:v>
      </x:c>
      <x:c r="H489" s="19" t="str">
        <x:v>技能残页</x:v>
      </x:c>
      <x:c r="I489" s="22" t="n">
        <x:v>100</x:v>
      </x:c>
      <x:c r="J489" s="22" t="n">
        <x:v>1</x:v>
      </x:c>
      <x:c r="K489" s="19" t="n">
        <x:v>1</x:v>
      </x:c>
      <x:c r="L489" s="24" t="n">
        <x:v>13.799999999999999</x:v>
      </x:c>
      <x:c r="M489" s="26" t="n">
        <x:v>0.1</x:v>
      </x:c>
      <x:c r="N489" s="24" t="n">
        <x:v>72</x:v>
      </x:c>
      <x:c r="O489" s="28" t="n">
        <x:f>MIN(1,L489/I489)</x:f>
        <x:v>0.13799999999999998</x:v>
      </x:c>
      <x:c r="P489" s="30" t="n">
        <x:f>O489*J489*(1+M489)</x:f>
        <x:v>0.1518</x:v>
      </x:c>
      <x:c r="Q489" s="30" t="n">
        <x:f>P489*N489</x:f>
        <x:v>10.929599999999999</x:v>
      </x:c>
      <x:c r="R489" s="19" t="str">
        <x:v>独立判定</x:v>
      </x:c>
    </x:row>
    <x:row r="490" ht="19" customHeight="1">
      <x:c r="A490" s="19" t="str">
        <x:v>D00486</x:v>
      </x:c>
      <x:c r="B490" s="19" t="n">
        <x:v>2</x:v>
      </x:c>
      <x:c r="C490" s="19" t="n">
        <x:v>4</x:v>
      </x:c>
      <x:c r="D490" s="19" t="str">
        <x:v>EL-MON-LIM-STORM-003</x:v>
      </x:c>
      <x:c r="E490" s="19" t="str">
        <x:v>山谷巨人</x:v>
      </x:c>
      <x:c r="F490" s="19" t="str">
        <x:v>普通</x:v>
      </x:c>
      <x:c r="G490" s="19" t="str">
        <x:v>材料独立候选</x:v>
      </x:c>
      <x:c r="H490" s="19" t="str">
        <x:v>小卢恩</x:v>
      </x:c>
      <x:c r="I490" s="22" t="n">
        <x:v>4000</x:v>
      </x:c>
      <x:c r="J490" s="22" t="n">
        <x:v>1</x:v>
      </x:c>
      <x:c r="K490" s="19" t="n">
        <x:v>1</x:v>
      </x:c>
      <x:c r="L490" s="24" t="n">
        <x:v>13.799999999999999</x:v>
      </x:c>
      <x:c r="M490" s="26" t="n">
        <x:v>0.1</x:v>
      </x:c>
      <x:c r="N490" s="24" t="n">
        <x:v>72</x:v>
      </x:c>
      <x:c r="O490" s="28" t="n">
        <x:f>MIN(1,L490/I490)</x:f>
        <x:v>0.00345</x:v>
      </x:c>
      <x:c r="P490" s="30" t="n">
        <x:f>O490*J490*(1+M490)</x:f>
        <x:v>0.003795</x:v>
      </x:c>
      <x:c r="Q490" s="30" t="n">
        <x:f>P490*N490</x:f>
        <x:v>0.27324000000000004</x:v>
      </x:c>
      <x:c r="R490" s="19" t="str">
        <x:v>独立判定</x:v>
      </x:c>
    </x:row>
    <x:row r="491" ht="19" customHeight="1">
      <x:c r="A491" s="19" t="str">
        <x:v>D00487</x:v>
      </x:c>
      <x:c r="B491" s="19" t="n">
        <x:v>2</x:v>
      </x:c>
      <x:c r="C491" s="19" t="n">
        <x:v>4</x:v>
      </x:c>
      <x:c r="D491" s="19" t="str">
        <x:v>EL-MON-LIM-STORM-003</x:v>
      </x:c>
      <x:c r="E491" s="19" t="str">
        <x:v>山谷巨人</x:v>
      </x:c>
      <x:c r="F491" s="19" t="str">
        <x:v>普通</x:v>
      </x:c>
      <x:c r="G491" s="19" t="str">
        <x:v>六神器公共池</x:v>
      </x:c>
      <x:c r="H491" s="19" t="str">
        <x:v>POOL006</x:v>
      </x:c>
      <x:c r="I491" s="22" t="n">
        <x:v>20000000</x:v>
      </x:c>
      <x:c r="J491" s="22" t="n">
        <x:v>1</x:v>
      </x:c>
      <x:c r="K491" s="19" t="n">
        <x:v>6</x:v>
      </x:c>
      <x:c r="L491" s="24" t="n">
        <x:v>13.799999999999999</x:v>
      </x:c>
      <x:c r="M491" s="26" t="n">
        <x:v>0.1</x:v>
      </x:c>
      <x:c r="N491" s="24" t="n">
        <x:v>72</x:v>
      </x:c>
      <x:c r="O491" s="28" t="n">
        <x:f>MIN(1,L491/I491)</x:f>
        <x:v>6.9e-7</x:v>
      </x:c>
      <x:c r="P491" s="30" t="n">
        <x:f>O491*J491*(1+M491)</x:f>
        <x:v>7.590000000000001e-7</x:v>
      </x:c>
      <x:c r="Q491" s="30" t="n">
        <x:f>P491*N491</x:f>
        <x:v>0.000054648</x:v>
      </x:c>
      <x:c r="R491" s="19" t="str">
        <x:v>六选一；非6个独立爆率</x:v>
      </x:c>
    </x:row>
    <x:row r="492" ht="19" customHeight="1">
      <x:c r="A492" s="19" t="str">
        <x:v>D00488</x:v>
      </x:c>
      <x:c r="B492" s="19" t="n">
        <x:v>2</x:v>
      </x:c>
      <x:c r="C492" s="19" t="n">
        <x:v>4</x:v>
      </x:c>
      <x:c r="D492" s="19" t="str">
        <x:v>EL-MON-LIM-STORM-004</x:v>
      </x:c>
      <x:c r="E492" s="19" t="str">
        <x:v>风蚀山羊</x:v>
      </x:c>
      <x:c r="F492" s="19" t="str">
        <x:v>普通</x:v>
      </x:c>
      <x:c r="G492" s="19" t="str">
        <x:v>自身专属</x:v>
      </x:c>
      <x:c r="H492" s="19" t="str">
        <x:v>风角骨戒</x:v>
      </x:c>
      <x:c r="I492" s="22" t="n">
        <x:v>600</x:v>
      </x:c>
      <x:c r="J492" s="22" t="n">
        <x:v>1</x:v>
      </x:c>
      <x:c r="K492" s="19" t="n">
        <x:v>1</x:v>
      </x:c>
      <x:c r="L492" s="24" t="n">
        <x:v>13.799999999999999</x:v>
      </x:c>
      <x:c r="M492" s="26" t="n">
        <x:v>0.1</x:v>
      </x:c>
      <x:c r="N492" s="24" t="n">
        <x:v>72</x:v>
      </x:c>
      <x:c r="O492" s="28" t="n">
        <x:f>MIN(1,L492/I492)</x:f>
        <x:v>0.023</x:v>
      </x:c>
      <x:c r="P492" s="30" t="n">
        <x:f>O492*J492*(1+M492)</x:f>
        <x:v>0.025300000000000003</x:v>
      </x:c>
      <x:c r="Q492" s="30" t="n">
        <x:f>P492*N492</x:f>
        <x:v>1.8216</x:v>
      </x:c>
      <x:c r="R492" s="19" t="str">
        <x:v>独立判定</x:v>
      </x:c>
    </x:row>
    <x:row r="493" ht="19" customHeight="1">
      <x:c r="A493" s="19" t="str">
        <x:v>D00489</x:v>
      </x:c>
      <x:c r="B493" s="19" t="n">
        <x:v>2</x:v>
      </x:c>
      <x:c r="C493" s="19" t="n">
        <x:v>4</x:v>
      </x:c>
      <x:c r="D493" s="19" t="str">
        <x:v>EL-MON-LIM-STORM-004</x:v>
      </x:c>
      <x:c r="E493" s="19" t="str">
        <x:v>风蚀山羊</x:v>
      </x:c>
      <x:c r="F493" s="19" t="str">
        <x:v>普通</x:v>
      </x:c>
      <x:c r="G493" s="19" t="str">
        <x:v>材料独立候选</x:v>
      </x:c>
      <x:c r="H493" s="19" t="str">
        <x:v>风暴石片</x:v>
      </x:c>
      <x:c r="I493" s="22" t="n">
        <x:v>500</x:v>
      </x:c>
      <x:c r="J493" s="22" t="n">
        <x:v>8</x:v>
      </x:c>
      <x:c r="K493" s="19" t="n">
        <x:v>1</x:v>
      </x:c>
      <x:c r="L493" s="24" t="n">
        <x:v>13.799999999999999</x:v>
      </x:c>
      <x:c r="M493" s="26" t="n">
        <x:v>0.1</x:v>
      </x:c>
      <x:c r="N493" s="24" t="n">
        <x:v>72</x:v>
      </x:c>
      <x:c r="O493" s="28" t="n">
        <x:f>MIN(1,L493/I493)</x:f>
        <x:v>0.0276</x:v>
      </x:c>
      <x:c r="P493" s="30" t="n">
        <x:f>O493*J493*(1+M493)</x:f>
        <x:v>0.24288</x:v>
      </x:c>
      <x:c r="Q493" s="30" t="n">
        <x:f>P493*N493</x:f>
        <x:v>17.487360000000002</x:v>
      </x:c>
      <x:c r="R493" s="19" t="str">
        <x:v>独立判定</x:v>
      </x:c>
    </x:row>
    <x:row r="494" ht="19" customHeight="1">
      <x:c r="A494" s="19" t="str">
        <x:v>D00490</x:v>
      </x:c>
      <x:c r="B494" s="19" t="n">
        <x:v>2</x:v>
      </x:c>
      <x:c r="C494" s="19" t="n">
        <x:v>4</x:v>
      </x:c>
      <x:c r="D494" s="19" t="str">
        <x:v>EL-MON-LIM-STORM-004</x:v>
      </x:c>
      <x:c r="E494" s="19" t="str">
        <x:v>风蚀山羊</x:v>
      </x:c>
      <x:c r="F494" s="19" t="str">
        <x:v>普通</x:v>
      </x:c>
      <x:c r="G494" s="19" t="str">
        <x:v>材料独立候选</x:v>
      </x:c>
      <x:c r="H494" s="19" t="str">
        <x:v>野兽骨片</x:v>
      </x:c>
      <x:c r="I494" s="22" t="n">
        <x:v>100</x:v>
      </x:c>
      <x:c r="J494" s="22" t="n">
        <x:v>2</x:v>
      </x:c>
      <x:c r="K494" s="19" t="n">
        <x:v>1</x:v>
      </x:c>
      <x:c r="L494" s="24" t="n">
        <x:v>13.799999999999999</x:v>
      </x:c>
      <x:c r="M494" s="26" t="n">
        <x:v>0.1</x:v>
      </x:c>
      <x:c r="N494" s="24" t="n">
        <x:v>72</x:v>
      </x:c>
      <x:c r="O494" s="28" t="n">
        <x:f>MIN(1,L494/I494)</x:f>
        <x:v>0.13799999999999998</x:v>
      </x:c>
      <x:c r="P494" s="30" t="n">
        <x:f>O494*J494*(1+M494)</x:f>
        <x:v>0.3036</x:v>
      </x:c>
      <x:c r="Q494" s="30" t="n">
        <x:f>P494*N494</x:f>
        <x:v>21.859199999999998</x:v>
      </x:c>
      <x:c r="R494" s="19" t="str">
        <x:v>独立判定</x:v>
      </x:c>
    </x:row>
    <x:row r="495" ht="19" customHeight="1">
      <x:c r="A495" s="19" t="str">
        <x:v>D00491</x:v>
      </x:c>
      <x:c r="B495" s="19" t="n">
        <x:v>2</x:v>
      </x:c>
      <x:c r="C495" s="19" t="n">
        <x:v>4</x:v>
      </x:c>
      <x:c r="D495" s="19" t="str">
        <x:v>EL-MON-LIM-STORM-004</x:v>
      </x:c>
      <x:c r="E495" s="19" t="str">
        <x:v>风蚀山羊</x:v>
      </x:c>
      <x:c r="F495" s="19" t="str">
        <x:v>普通</x:v>
      </x:c>
      <x:c r="G495" s="19" t="str">
        <x:v>材料独立候选</x:v>
      </x:c>
      <x:c r="H495" s="19" t="str">
        <x:v>技能残页</x:v>
      </x:c>
      <x:c r="I495" s="22" t="n">
        <x:v>100</x:v>
      </x:c>
      <x:c r="J495" s="22" t="n">
        <x:v>1</x:v>
      </x:c>
      <x:c r="K495" s="19" t="n">
        <x:v>1</x:v>
      </x:c>
      <x:c r="L495" s="24" t="n">
        <x:v>13.799999999999999</x:v>
      </x:c>
      <x:c r="M495" s="26" t="n">
        <x:v>0.1</x:v>
      </x:c>
      <x:c r="N495" s="24" t="n">
        <x:v>72</x:v>
      </x:c>
      <x:c r="O495" s="28" t="n">
        <x:f>MIN(1,L495/I495)</x:f>
        <x:v>0.13799999999999998</x:v>
      </x:c>
      <x:c r="P495" s="30" t="n">
        <x:f>O495*J495*(1+M495)</x:f>
        <x:v>0.1518</x:v>
      </x:c>
      <x:c r="Q495" s="30" t="n">
        <x:f>P495*N495</x:f>
        <x:v>10.929599999999999</x:v>
      </x:c>
      <x:c r="R495" s="19" t="str">
        <x:v>独立判定</x:v>
      </x:c>
    </x:row>
    <x:row r="496" ht="19" customHeight="1">
      <x:c r="A496" s="19" t="str">
        <x:v>D00492</x:v>
      </x:c>
      <x:c r="B496" s="19" t="n">
        <x:v>2</x:v>
      </x:c>
      <x:c r="C496" s="19" t="n">
        <x:v>4</x:v>
      </x:c>
      <x:c r="D496" s="19" t="str">
        <x:v>EL-MON-LIM-STORM-004</x:v>
      </x:c>
      <x:c r="E496" s="19" t="str">
        <x:v>风蚀山羊</x:v>
      </x:c>
      <x:c r="F496" s="19" t="str">
        <x:v>普通</x:v>
      </x:c>
      <x:c r="G496" s="19" t="str">
        <x:v>材料独立候选</x:v>
      </x:c>
      <x:c r="H496" s="19" t="str">
        <x:v>小卢恩</x:v>
      </x:c>
      <x:c r="I496" s="22" t="n">
        <x:v>4000</x:v>
      </x:c>
      <x:c r="J496" s="22" t="n">
        <x:v>1</x:v>
      </x:c>
      <x:c r="K496" s="19" t="n">
        <x:v>1</x:v>
      </x:c>
      <x:c r="L496" s="24" t="n">
        <x:v>13.799999999999999</x:v>
      </x:c>
      <x:c r="M496" s="26" t="n">
        <x:v>0.1</x:v>
      </x:c>
      <x:c r="N496" s="24" t="n">
        <x:v>72</x:v>
      </x:c>
      <x:c r="O496" s="28" t="n">
        <x:f>MIN(1,L496/I496)</x:f>
        <x:v>0.00345</x:v>
      </x:c>
      <x:c r="P496" s="30" t="n">
        <x:f>O496*J496*(1+M496)</x:f>
        <x:v>0.003795</x:v>
      </x:c>
      <x:c r="Q496" s="30" t="n">
        <x:f>P496*N496</x:f>
        <x:v>0.27324000000000004</x:v>
      </x:c>
      <x:c r="R496" s="19" t="str">
        <x:v>独立判定</x:v>
      </x:c>
    </x:row>
    <x:row r="497" ht="19" customHeight="1">
      <x:c r="A497" s="19" t="str">
        <x:v>D00493</x:v>
      </x:c>
      <x:c r="B497" s="19" t="n">
        <x:v>2</x:v>
      </x:c>
      <x:c r="C497" s="19" t="n">
        <x:v>4</x:v>
      </x:c>
      <x:c r="D497" s="19" t="str">
        <x:v>EL-MON-LIM-STORM-004</x:v>
      </x:c>
      <x:c r="E497" s="19" t="str">
        <x:v>风蚀山羊</x:v>
      </x:c>
      <x:c r="F497" s="19" t="str">
        <x:v>普通</x:v>
      </x:c>
      <x:c r="G497" s="19" t="str">
        <x:v>六神器公共池</x:v>
      </x:c>
      <x:c r="H497" s="19" t="str">
        <x:v>POOL006</x:v>
      </x:c>
      <x:c r="I497" s="22" t="n">
        <x:v>20000000</x:v>
      </x:c>
      <x:c r="J497" s="22" t="n">
        <x:v>1</x:v>
      </x:c>
      <x:c r="K497" s="19" t="n">
        <x:v>6</x:v>
      </x:c>
      <x:c r="L497" s="24" t="n">
        <x:v>13.799999999999999</x:v>
      </x:c>
      <x:c r="M497" s="26" t="n">
        <x:v>0.1</x:v>
      </x:c>
      <x:c r="N497" s="24" t="n">
        <x:v>72</x:v>
      </x:c>
      <x:c r="O497" s="28" t="n">
        <x:f>MIN(1,L497/I497)</x:f>
        <x:v>6.9e-7</x:v>
      </x:c>
      <x:c r="P497" s="30" t="n">
        <x:f>O497*J497*(1+M497)</x:f>
        <x:v>7.590000000000001e-7</x:v>
      </x:c>
      <x:c r="Q497" s="30" t="n">
        <x:f>P497*N497</x:f>
        <x:v>0.000054648</x:v>
      </x:c>
      <x:c r="R497" s="19" t="str">
        <x:v>六选一；非6个独立爆率</x:v>
      </x:c>
    </x:row>
    <x:row r="498" ht="19" customHeight="1">
      <x:c r="A498" s="19" t="str">
        <x:v>D00494</x:v>
      </x:c>
      <x:c r="B498" s="19" t="n">
        <x:v>2</x:v>
      </x:c>
      <x:c r="C498" s="19" t="n">
        <x:v>4</x:v>
      </x:c>
      <x:c r="D498" s="19" t="str">
        <x:v>EL-MON-LIM-STORM-005</x:v>
      </x:c>
      <x:c r="E498" s="19" t="str">
        <x:v>风暴流寇</x:v>
      </x:c>
      <x:c r="F498" s="19" t="str">
        <x:v>普通</x:v>
      </x:c>
      <x:c r="G498" s="19" t="str">
        <x:v>自身专属</x:v>
      </x:c>
      <x:c r="H498" s="19" t="str">
        <x:v>流寇束带</x:v>
      </x:c>
      <x:c r="I498" s="22" t="n">
        <x:v>600</x:v>
      </x:c>
      <x:c r="J498" s="22" t="n">
        <x:v>1</x:v>
      </x:c>
      <x:c r="K498" s="19" t="n">
        <x:v>1</x:v>
      </x:c>
      <x:c r="L498" s="24" t="n">
        <x:v>13.799999999999999</x:v>
      </x:c>
      <x:c r="M498" s="26" t="n">
        <x:v>0.1</x:v>
      </x:c>
      <x:c r="N498" s="24" t="n">
        <x:v>72</x:v>
      </x:c>
      <x:c r="O498" s="28" t="n">
        <x:f>MIN(1,L498/I498)</x:f>
        <x:v>0.023</x:v>
      </x:c>
      <x:c r="P498" s="30" t="n">
        <x:f>O498*J498*(1+M498)</x:f>
        <x:v>0.025300000000000003</x:v>
      </x:c>
      <x:c r="Q498" s="30" t="n">
        <x:f>P498*N498</x:f>
        <x:v>1.8216</x:v>
      </x:c>
      <x:c r="R498" s="19" t="str">
        <x:v>独立判定</x:v>
      </x:c>
    </x:row>
    <x:row r="499" ht="19" customHeight="1">
      <x:c r="A499" s="19" t="str">
        <x:v>D00495</x:v>
      </x:c>
      <x:c r="B499" s="19" t="n">
        <x:v>2</x:v>
      </x:c>
      <x:c r="C499" s="19" t="n">
        <x:v>4</x:v>
      </x:c>
      <x:c r="D499" s="19" t="str">
        <x:v>EL-MON-LIM-STORM-005</x:v>
      </x:c>
      <x:c r="E499" s="19" t="str">
        <x:v>风暴流寇</x:v>
      </x:c>
      <x:c r="F499" s="19" t="str">
        <x:v>普通</x:v>
      </x:c>
      <x:c r="G499" s="19" t="str">
        <x:v>材料独立候选</x:v>
      </x:c>
      <x:c r="H499" s="19" t="str">
        <x:v>风暴石片</x:v>
      </x:c>
      <x:c r="I499" s="22" t="n">
        <x:v>500</x:v>
      </x:c>
      <x:c r="J499" s="22" t="n">
        <x:v>8</x:v>
      </x:c>
      <x:c r="K499" s="19" t="n">
        <x:v>1</x:v>
      </x:c>
      <x:c r="L499" s="24" t="n">
        <x:v>13.799999999999999</x:v>
      </x:c>
      <x:c r="M499" s="26" t="n">
        <x:v>0.1</x:v>
      </x:c>
      <x:c r="N499" s="24" t="n">
        <x:v>72</x:v>
      </x:c>
      <x:c r="O499" s="28" t="n">
        <x:f>MIN(1,L499/I499)</x:f>
        <x:v>0.0276</x:v>
      </x:c>
      <x:c r="P499" s="30" t="n">
        <x:f>O499*J499*(1+M499)</x:f>
        <x:v>0.24288</x:v>
      </x:c>
      <x:c r="Q499" s="30" t="n">
        <x:f>P499*N499</x:f>
        <x:v>17.487360000000002</x:v>
      </x:c>
      <x:c r="R499" s="19" t="str">
        <x:v>独立判定</x:v>
      </x:c>
    </x:row>
    <x:row r="500" ht="19" customHeight="1">
      <x:c r="A500" s="19" t="str">
        <x:v>D00496</x:v>
      </x:c>
      <x:c r="B500" s="19" t="n">
        <x:v>2</x:v>
      </x:c>
      <x:c r="C500" s="19" t="n">
        <x:v>4</x:v>
      </x:c>
      <x:c r="D500" s="19" t="str">
        <x:v>EL-MON-LIM-STORM-005</x:v>
      </x:c>
      <x:c r="E500" s="19" t="str">
        <x:v>风暴流寇</x:v>
      </x:c>
      <x:c r="F500" s="19" t="str">
        <x:v>普通</x:v>
      </x:c>
      <x:c r="G500" s="19" t="str">
        <x:v>材料独立候选</x:v>
      </x:c>
      <x:c r="H500" s="19" t="str">
        <x:v>野兽骨片</x:v>
      </x:c>
      <x:c r="I500" s="22" t="n">
        <x:v>100</x:v>
      </x:c>
      <x:c r="J500" s="22" t="n">
        <x:v>2</x:v>
      </x:c>
      <x:c r="K500" s="19" t="n">
        <x:v>1</x:v>
      </x:c>
      <x:c r="L500" s="24" t="n">
        <x:v>13.799999999999999</x:v>
      </x:c>
      <x:c r="M500" s="26" t="n">
        <x:v>0.1</x:v>
      </x:c>
      <x:c r="N500" s="24" t="n">
        <x:v>72</x:v>
      </x:c>
      <x:c r="O500" s="28" t="n">
        <x:f>MIN(1,L500/I500)</x:f>
        <x:v>0.13799999999999998</x:v>
      </x:c>
      <x:c r="P500" s="30" t="n">
        <x:f>O500*J500*(1+M500)</x:f>
        <x:v>0.3036</x:v>
      </x:c>
      <x:c r="Q500" s="30" t="n">
        <x:f>P500*N500</x:f>
        <x:v>21.859199999999998</x:v>
      </x:c>
      <x:c r="R500" s="19" t="str">
        <x:v>独立判定</x:v>
      </x:c>
    </x:row>
    <x:row r="501" ht="19" customHeight="1">
      <x:c r="A501" s="19" t="str">
        <x:v>D00497</x:v>
      </x:c>
      <x:c r="B501" s="19" t="n">
        <x:v>2</x:v>
      </x:c>
      <x:c r="C501" s="19" t="n">
        <x:v>4</x:v>
      </x:c>
      <x:c r="D501" s="19" t="str">
        <x:v>EL-MON-LIM-STORM-005</x:v>
      </x:c>
      <x:c r="E501" s="19" t="str">
        <x:v>风暴流寇</x:v>
      </x:c>
      <x:c r="F501" s="19" t="str">
        <x:v>普通</x:v>
      </x:c>
      <x:c r="G501" s="19" t="str">
        <x:v>材料独立候选</x:v>
      </x:c>
      <x:c r="H501" s="19" t="str">
        <x:v>技能残页</x:v>
      </x:c>
      <x:c r="I501" s="22" t="n">
        <x:v>100</x:v>
      </x:c>
      <x:c r="J501" s="22" t="n">
        <x:v>1</x:v>
      </x:c>
      <x:c r="K501" s="19" t="n">
        <x:v>1</x:v>
      </x:c>
      <x:c r="L501" s="24" t="n">
        <x:v>13.799999999999999</x:v>
      </x:c>
      <x:c r="M501" s="26" t="n">
        <x:v>0.1</x:v>
      </x:c>
      <x:c r="N501" s="24" t="n">
        <x:v>72</x:v>
      </x:c>
      <x:c r="O501" s="28" t="n">
        <x:f>MIN(1,L501/I501)</x:f>
        <x:v>0.13799999999999998</x:v>
      </x:c>
      <x:c r="P501" s="30" t="n">
        <x:f>O501*J501*(1+M501)</x:f>
        <x:v>0.1518</x:v>
      </x:c>
      <x:c r="Q501" s="30" t="n">
        <x:f>P501*N501</x:f>
        <x:v>10.929599999999999</x:v>
      </x:c>
      <x:c r="R501" s="19" t="str">
        <x:v>独立判定</x:v>
      </x:c>
    </x:row>
    <x:row r="502" ht="19" customHeight="1">
      <x:c r="A502" s="19" t="str">
        <x:v>D00498</x:v>
      </x:c>
      <x:c r="B502" s="19" t="n">
        <x:v>2</x:v>
      </x:c>
      <x:c r="C502" s="19" t="n">
        <x:v>4</x:v>
      </x:c>
      <x:c r="D502" s="19" t="str">
        <x:v>EL-MON-LIM-STORM-005</x:v>
      </x:c>
      <x:c r="E502" s="19" t="str">
        <x:v>风暴流寇</x:v>
      </x:c>
      <x:c r="F502" s="19" t="str">
        <x:v>普通</x:v>
      </x:c>
      <x:c r="G502" s="19" t="str">
        <x:v>材料独立候选</x:v>
      </x:c>
      <x:c r="H502" s="19" t="str">
        <x:v>小卢恩</x:v>
      </x:c>
      <x:c r="I502" s="22" t="n">
        <x:v>4000</x:v>
      </x:c>
      <x:c r="J502" s="22" t="n">
        <x:v>1</x:v>
      </x:c>
      <x:c r="K502" s="19" t="n">
        <x:v>1</x:v>
      </x:c>
      <x:c r="L502" s="24" t="n">
        <x:v>13.799999999999999</x:v>
      </x:c>
      <x:c r="M502" s="26" t="n">
        <x:v>0.1</x:v>
      </x:c>
      <x:c r="N502" s="24" t="n">
        <x:v>72</x:v>
      </x:c>
      <x:c r="O502" s="28" t="n">
        <x:f>MIN(1,L502/I502)</x:f>
        <x:v>0.00345</x:v>
      </x:c>
      <x:c r="P502" s="30" t="n">
        <x:f>O502*J502*(1+M502)</x:f>
        <x:v>0.003795</x:v>
      </x:c>
      <x:c r="Q502" s="30" t="n">
        <x:f>P502*N502</x:f>
        <x:v>0.27324000000000004</x:v>
      </x:c>
      <x:c r="R502" s="19" t="str">
        <x:v>独立判定</x:v>
      </x:c>
    </x:row>
    <x:row r="503" ht="19" customHeight="1">
      <x:c r="A503" s="19" t="str">
        <x:v>D00499</x:v>
      </x:c>
      <x:c r="B503" s="19" t="n">
        <x:v>2</x:v>
      </x:c>
      <x:c r="C503" s="19" t="n">
        <x:v>4</x:v>
      </x:c>
      <x:c r="D503" s="19" t="str">
        <x:v>EL-MON-LIM-STORM-005</x:v>
      </x:c>
      <x:c r="E503" s="19" t="str">
        <x:v>风暴流寇</x:v>
      </x:c>
      <x:c r="F503" s="19" t="str">
        <x:v>普通</x:v>
      </x:c>
      <x:c r="G503" s="19" t="str">
        <x:v>六神器公共池</x:v>
      </x:c>
      <x:c r="H503" s="19" t="str">
        <x:v>POOL006</x:v>
      </x:c>
      <x:c r="I503" s="22" t="n">
        <x:v>20000000</x:v>
      </x:c>
      <x:c r="J503" s="22" t="n">
        <x:v>1</x:v>
      </x:c>
      <x:c r="K503" s="19" t="n">
        <x:v>6</x:v>
      </x:c>
      <x:c r="L503" s="24" t="n">
        <x:v>13.799999999999999</x:v>
      </x:c>
      <x:c r="M503" s="26" t="n">
        <x:v>0.1</x:v>
      </x:c>
      <x:c r="N503" s="24" t="n">
        <x:v>72</x:v>
      </x:c>
      <x:c r="O503" s="28" t="n">
        <x:f>MIN(1,L503/I503)</x:f>
        <x:v>6.9e-7</x:v>
      </x:c>
      <x:c r="P503" s="30" t="n">
        <x:f>O503*J503*(1+M503)</x:f>
        <x:v>7.590000000000001e-7</x:v>
      </x:c>
      <x:c r="Q503" s="30" t="n">
        <x:f>P503*N503</x:f>
        <x:v>0.000054648</x:v>
      </x:c>
      <x:c r="R503" s="19" t="str">
        <x:v>六选一；非6个独立爆率</x:v>
      </x:c>
    </x:row>
    <x:row r="504" ht="19" customHeight="1">
      <x:c r="A504" s="19" t="str">
        <x:v>D00500</x:v>
      </x:c>
      <x:c r="B504" s="19" t="n">
        <x:v>2</x:v>
      </x:c>
      <x:c r="C504" s="19" t="n">
        <x:v>4</x:v>
      </x:c>
      <x:c r="D504" s="19" t="str">
        <x:v>EL-MON-LIM-STORM-006</x:v>
      </x:c>
      <x:c r="E504" s="19" t="str">
        <x:v>雷痕石蜥</x:v>
      </x:c>
      <x:c r="F504" s="19" t="str">
        <x:v>普通</x:v>
      </x:c>
      <x:c r="G504" s="19" t="str">
        <x:v>自身专属</x:v>
      </x:c>
      <x:c r="H504" s="19" t="str">
        <x:v>雷痕石盾</x:v>
      </x:c>
      <x:c r="I504" s="22" t="n">
        <x:v>600</x:v>
      </x:c>
      <x:c r="J504" s="22" t="n">
        <x:v>1</x:v>
      </x:c>
      <x:c r="K504" s="19" t="n">
        <x:v>1</x:v>
      </x:c>
      <x:c r="L504" s="24" t="n">
        <x:v>13.799999999999999</x:v>
      </x:c>
      <x:c r="M504" s="26" t="n">
        <x:v>0.1</x:v>
      </x:c>
      <x:c r="N504" s="24" t="n">
        <x:v>72</x:v>
      </x:c>
      <x:c r="O504" s="28" t="n">
        <x:f>MIN(1,L504/I504)</x:f>
        <x:v>0.023</x:v>
      </x:c>
      <x:c r="P504" s="30" t="n">
        <x:f>O504*J504*(1+M504)</x:f>
        <x:v>0.025300000000000003</x:v>
      </x:c>
      <x:c r="Q504" s="30" t="n">
        <x:f>P504*N504</x:f>
        <x:v>1.8216</x:v>
      </x:c>
      <x:c r="R504" s="19" t="str">
        <x:v>独立判定</x:v>
      </x:c>
    </x:row>
    <x:row r="505" ht="19" customHeight="1">
      <x:c r="A505" s="19" t="str">
        <x:v>D00501</x:v>
      </x:c>
      <x:c r="B505" s="19" t="n">
        <x:v>2</x:v>
      </x:c>
      <x:c r="C505" s="19" t="n">
        <x:v>4</x:v>
      </x:c>
      <x:c r="D505" s="19" t="str">
        <x:v>EL-MON-LIM-STORM-006</x:v>
      </x:c>
      <x:c r="E505" s="19" t="str">
        <x:v>雷痕石蜥</x:v>
      </x:c>
      <x:c r="F505" s="19" t="str">
        <x:v>普通</x:v>
      </x:c>
      <x:c r="G505" s="19" t="str">
        <x:v>材料独立候选</x:v>
      </x:c>
      <x:c r="H505" s="19" t="str">
        <x:v>风暴石片</x:v>
      </x:c>
      <x:c r="I505" s="22" t="n">
        <x:v>500</x:v>
      </x:c>
      <x:c r="J505" s="22" t="n">
        <x:v>8</x:v>
      </x:c>
      <x:c r="K505" s="19" t="n">
        <x:v>1</x:v>
      </x:c>
      <x:c r="L505" s="24" t="n">
        <x:v>13.799999999999999</x:v>
      </x:c>
      <x:c r="M505" s="26" t="n">
        <x:v>0.1</x:v>
      </x:c>
      <x:c r="N505" s="24" t="n">
        <x:v>72</x:v>
      </x:c>
      <x:c r="O505" s="28" t="n">
        <x:f>MIN(1,L505/I505)</x:f>
        <x:v>0.0276</x:v>
      </x:c>
      <x:c r="P505" s="30" t="n">
        <x:f>O505*J505*(1+M505)</x:f>
        <x:v>0.24288</x:v>
      </x:c>
      <x:c r="Q505" s="30" t="n">
        <x:f>P505*N505</x:f>
        <x:v>17.487360000000002</x:v>
      </x:c>
      <x:c r="R505" s="19" t="str">
        <x:v>独立判定</x:v>
      </x:c>
    </x:row>
    <x:row r="506" ht="19" customHeight="1">
      <x:c r="A506" s="19" t="str">
        <x:v>D00502</x:v>
      </x:c>
      <x:c r="B506" s="19" t="n">
        <x:v>2</x:v>
      </x:c>
      <x:c r="C506" s="19" t="n">
        <x:v>4</x:v>
      </x:c>
      <x:c r="D506" s="19" t="str">
        <x:v>EL-MON-LIM-STORM-006</x:v>
      </x:c>
      <x:c r="E506" s="19" t="str">
        <x:v>雷痕石蜥</x:v>
      </x:c>
      <x:c r="F506" s="19" t="str">
        <x:v>普通</x:v>
      </x:c>
      <x:c r="G506" s="19" t="str">
        <x:v>材料独立候选</x:v>
      </x:c>
      <x:c r="H506" s="19" t="str">
        <x:v>野兽骨片</x:v>
      </x:c>
      <x:c r="I506" s="22" t="n">
        <x:v>100</x:v>
      </x:c>
      <x:c r="J506" s="22" t="n">
        <x:v>2</x:v>
      </x:c>
      <x:c r="K506" s="19" t="n">
        <x:v>1</x:v>
      </x:c>
      <x:c r="L506" s="24" t="n">
        <x:v>13.799999999999999</x:v>
      </x:c>
      <x:c r="M506" s="26" t="n">
        <x:v>0.1</x:v>
      </x:c>
      <x:c r="N506" s="24" t="n">
        <x:v>72</x:v>
      </x:c>
      <x:c r="O506" s="28" t="n">
        <x:f>MIN(1,L506/I506)</x:f>
        <x:v>0.13799999999999998</x:v>
      </x:c>
      <x:c r="P506" s="30" t="n">
        <x:f>O506*J506*(1+M506)</x:f>
        <x:v>0.3036</x:v>
      </x:c>
      <x:c r="Q506" s="30" t="n">
        <x:f>P506*N506</x:f>
        <x:v>21.859199999999998</x:v>
      </x:c>
      <x:c r="R506" s="19" t="str">
        <x:v>独立判定</x:v>
      </x:c>
    </x:row>
    <x:row r="507" ht="19" customHeight="1">
      <x:c r="A507" s="19" t="str">
        <x:v>D00503</x:v>
      </x:c>
      <x:c r="B507" s="19" t="n">
        <x:v>2</x:v>
      </x:c>
      <x:c r="C507" s="19" t="n">
        <x:v>4</x:v>
      </x:c>
      <x:c r="D507" s="19" t="str">
        <x:v>EL-MON-LIM-STORM-006</x:v>
      </x:c>
      <x:c r="E507" s="19" t="str">
        <x:v>雷痕石蜥</x:v>
      </x:c>
      <x:c r="F507" s="19" t="str">
        <x:v>普通</x:v>
      </x:c>
      <x:c r="G507" s="19" t="str">
        <x:v>材料独立候选</x:v>
      </x:c>
      <x:c r="H507" s="19" t="str">
        <x:v>技能残页</x:v>
      </x:c>
      <x:c r="I507" s="22" t="n">
        <x:v>100</x:v>
      </x:c>
      <x:c r="J507" s="22" t="n">
        <x:v>1</x:v>
      </x:c>
      <x:c r="K507" s="19" t="n">
        <x:v>1</x:v>
      </x:c>
      <x:c r="L507" s="24" t="n">
        <x:v>13.799999999999999</x:v>
      </x:c>
      <x:c r="M507" s="26" t="n">
        <x:v>0.1</x:v>
      </x:c>
      <x:c r="N507" s="24" t="n">
        <x:v>72</x:v>
      </x:c>
      <x:c r="O507" s="28" t="n">
        <x:f>MIN(1,L507/I507)</x:f>
        <x:v>0.13799999999999998</x:v>
      </x:c>
      <x:c r="P507" s="30" t="n">
        <x:f>O507*J507*(1+M507)</x:f>
        <x:v>0.1518</x:v>
      </x:c>
      <x:c r="Q507" s="30" t="n">
        <x:f>P507*N507</x:f>
        <x:v>10.929599999999999</x:v>
      </x:c>
      <x:c r="R507" s="19" t="str">
        <x:v>独立判定</x:v>
      </x:c>
    </x:row>
    <x:row r="508" ht="19" customHeight="1">
      <x:c r="A508" s="19" t="str">
        <x:v>D00504</x:v>
      </x:c>
      <x:c r="B508" s="19" t="n">
        <x:v>2</x:v>
      </x:c>
      <x:c r="C508" s="19" t="n">
        <x:v>4</x:v>
      </x:c>
      <x:c r="D508" s="19" t="str">
        <x:v>EL-MON-LIM-STORM-006</x:v>
      </x:c>
      <x:c r="E508" s="19" t="str">
        <x:v>雷痕石蜥</x:v>
      </x:c>
      <x:c r="F508" s="19" t="str">
        <x:v>普通</x:v>
      </x:c>
      <x:c r="G508" s="19" t="str">
        <x:v>材料独立候选</x:v>
      </x:c>
      <x:c r="H508" s="19" t="str">
        <x:v>小卢恩</x:v>
      </x:c>
      <x:c r="I508" s="22" t="n">
        <x:v>4000</x:v>
      </x:c>
      <x:c r="J508" s="22" t="n">
        <x:v>1</x:v>
      </x:c>
      <x:c r="K508" s="19" t="n">
        <x:v>1</x:v>
      </x:c>
      <x:c r="L508" s="24" t="n">
        <x:v>13.799999999999999</x:v>
      </x:c>
      <x:c r="M508" s="26" t="n">
        <x:v>0.1</x:v>
      </x:c>
      <x:c r="N508" s="24" t="n">
        <x:v>72</x:v>
      </x:c>
      <x:c r="O508" s="28" t="n">
        <x:f>MIN(1,L508/I508)</x:f>
        <x:v>0.00345</x:v>
      </x:c>
      <x:c r="P508" s="30" t="n">
        <x:f>O508*J508*(1+M508)</x:f>
        <x:v>0.003795</x:v>
      </x:c>
      <x:c r="Q508" s="30" t="n">
        <x:f>P508*N508</x:f>
        <x:v>0.27324000000000004</x:v>
      </x:c>
      <x:c r="R508" s="19" t="str">
        <x:v>独立判定</x:v>
      </x:c>
    </x:row>
    <x:row r="509" ht="19" customHeight="1">
      <x:c r="A509" s="19" t="str">
        <x:v>D00505</x:v>
      </x:c>
      <x:c r="B509" s="19" t="n">
        <x:v>2</x:v>
      </x:c>
      <x:c r="C509" s="19" t="n">
        <x:v>4</x:v>
      </x:c>
      <x:c r="D509" s="19" t="str">
        <x:v>EL-MON-LIM-STORM-006</x:v>
      </x:c>
      <x:c r="E509" s="19" t="str">
        <x:v>雷痕石蜥</x:v>
      </x:c>
      <x:c r="F509" s="19" t="str">
        <x:v>普通</x:v>
      </x:c>
      <x:c r="G509" s="19" t="str">
        <x:v>六神器公共池</x:v>
      </x:c>
      <x:c r="H509" s="19" t="str">
        <x:v>POOL006</x:v>
      </x:c>
      <x:c r="I509" s="22" t="n">
        <x:v>20000000</x:v>
      </x:c>
      <x:c r="J509" s="22" t="n">
        <x:v>1</x:v>
      </x:c>
      <x:c r="K509" s="19" t="n">
        <x:v>6</x:v>
      </x:c>
      <x:c r="L509" s="24" t="n">
        <x:v>13.799999999999999</x:v>
      </x:c>
      <x:c r="M509" s="26" t="n">
        <x:v>0.1</x:v>
      </x:c>
      <x:c r="N509" s="24" t="n">
        <x:v>72</x:v>
      </x:c>
      <x:c r="O509" s="28" t="n">
        <x:f>MIN(1,L509/I509)</x:f>
        <x:v>6.9e-7</x:v>
      </x:c>
      <x:c r="P509" s="30" t="n">
        <x:f>O509*J509*(1+M509)</x:f>
        <x:v>7.590000000000001e-7</x:v>
      </x:c>
      <x:c r="Q509" s="30" t="n">
        <x:f>P509*N509</x:f>
        <x:v>0.000054648</x:v>
      </x:c>
      <x:c r="R509" s="19" t="str">
        <x:v>六选一；非6个独立爆率</x:v>
      </x:c>
    </x:row>
    <x:row r="510" ht="19" customHeight="1">
      <x:c r="A510" s="19" t="str">
        <x:v>D00506</x:v>
      </x:c>
      <x:c r="B510" s="19" t="n">
        <x:v>2</x:v>
      </x:c>
      <x:c r="C510" s="19" t="n">
        <x:v>4</x:v>
      </x:c>
      <x:c r="D510" s="19" t="str">
        <x:v>EL-MON-LIM-STORM-007</x:v>
      </x:c>
      <x:c r="E510" s="19" t="str">
        <x:v>山妖统领</x:v>
      </x:c>
      <x:c r="F510" s="19" t="str">
        <x:v>稀有</x:v>
      </x:c>
      <x:c r="G510" s="19" t="str">
        <x:v>自身专属</x:v>
      </x:c>
      <x:c r="H510" s="19" t="str">
        <x:v>山妖魂玉</x:v>
      </x:c>
      <x:c r="I510" s="22" t="n">
        <x:v>180</x:v>
      </x:c>
      <x:c r="J510" s="22" t="n">
        <x:v>1</x:v>
      </x:c>
      <x:c r="K510" s="19" t="n">
        <x:v>1</x:v>
      </x:c>
      <x:c r="L510" s="24" t="n">
        <x:v>13.799999999999999</x:v>
      </x:c>
      <x:c r="M510" s="26" t="n">
        <x:v>0.1</x:v>
      </x:c>
      <x:c r="N510" s="24" t="n">
        <x:v>10.224967412845931</x:v>
      </x:c>
      <x:c r="O510" s="28" t="n">
        <x:f>MIN(1,L510/I510)</x:f>
        <x:v>0.07666666666666666</x:v>
      </x:c>
      <x:c r="P510" s="30" t="n">
        <x:f>O510*J510*(1+M510)</x:f>
        <x:v>0.08433333333333333</x:v>
      </x:c>
      <x:c r="Q510" s="30" t="n">
        <x:f>P510*N510</x:f>
        <x:v>0.8623055851500068</x:v>
      </x:c>
      <x:c r="R510" s="19" t="str">
        <x:v>独立判定</x:v>
      </x:c>
    </x:row>
    <x:row r="511" ht="19" customHeight="1">
      <x:c r="A511" s="19" t="str">
        <x:v>D00507</x:v>
      </x:c>
      <x:c r="B511" s="19" t="n">
        <x:v>2</x:v>
      </x:c>
      <x:c r="C511" s="19" t="n">
        <x:v>4</x:v>
      </x:c>
      <x:c r="D511" s="19" t="str">
        <x:v>EL-MON-LIM-STORM-007</x:v>
      </x:c>
      <x:c r="E511" s="19" t="str">
        <x:v>山妖统领</x:v>
      </x:c>
      <x:c r="F511" s="19" t="str">
        <x:v>稀有</x:v>
      </x:c>
      <x:c r="G511" s="19" t="str">
        <x:v>材料独立候选</x:v>
      </x:c>
      <x:c r="H511" s="19" t="str">
        <x:v>风暴石片</x:v>
      </x:c>
      <x:c r="I511" s="22" t="n">
        <x:v>300</x:v>
      </x:c>
      <x:c r="J511" s="22" t="n">
        <x:v>15</x:v>
      </x:c>
      <x:c r="K511" s="19" t="n">
        <x:v>1</x:v>
      </x:c>
      <x:c r="L511" s="24" t="n">
        <x:v>13.799999999999999</x:v>
      </x:c>
      <x:c r="M511" s="26" t="n">
        <x:v>0.1</x:v>
      </x:c>
      <x:c r="N511" s="24" t="n">
        <x:v>10.224967412845931</x:v>
      </x:c>
      <x:c r="O511" s="28" t="n">
        <x:f>MIN(1,L511/I511)</x:f>
        <x:v>0.046</x:v>
      </x:c>
      <x:c r="P511" s="30" t="n">
        <x:f>O511*J511*(1+M511)</x:f>
        <x:v>0.759</x:v>
      </x:c>
      <x:c r="Q511" s="30" t="n">
        <x:f>P511*N511</x:f>
        <x:v>7.760750266350062</x:v>
      </x:c>
      <x:c r="R511" s="19" t="str">
        <x:v>独立判定</x:v>
      </x:c>
    </x:row>
    <x:row r="512" ht="19" customHeight="1">
      <x:c r="A512" s="19" t="str">
        <x:v>D00508</x:v>
      </x:c>
      <x:c r="B512" s="19" t="n">
        <x:v>2</x:v>
      </x:c>
      <x:c r="C512" s="19" t="n">
        <x:v>4</x:v>
      </x:c>
      <x:c r="D512" s="19" t="str">
        <x:v>EL-MON-LIM-STORM-007</x:v>
      </x:c>
      <x:c r="E512" s="19" t="str">
        <x:v>山妖统领</x:v>
      </x:c>
      <x:c r="F512" s="19" t="str">
        <x:v>稀有</x:v>
      </x:c>
      <x:c r="G512" s="19" t="str">
        <x:v>材料独立候选</x:v>
      </x:c>
      <x:c r="H512" s="19" t="str">
        <x:v>黄金树芽</x:v>
      </x:c>
      <x:c r="I512" s="22" t="n">
        <x:v>60</x:v>
      </x:c>
      <x:c r="J512" s="22" t="n">
        <x:v>2</x:v>
      </x:c>
      <x:c r="K512" s="19" t="n">
        <x:v>1</x:v>
      </x:c>
      <x:c r="L512" s="24" t="n">
        <x:v>13.799999999999999</x:v>
      </x:c>
      <x:c r="M512" s="26" t="n">
        <x:v>0.1</x:v>
      </x:c>
      <x:c r="N512" s="24" t="n">
        <x:v>10.224967412845931</x:v>
      </x:c>
      <x:c r="O512" s="28" t="n">
        <x:f>MIN(1,L512/I512)</x:f>
        <x:v>0.22999999999999998</x:v>
      </x:c>
      <x:c r="P512" s="30" t="n">
        <x:f>O512*J512*(1+M512)</x:f>
        <x:v>0.506</x:v>
      </x:c>
      <x:c r="Q512" s="30" t="n">
        <x:f>P512*N512</x:f>
        <x:v>5.1738335109000415</x:v>
      </x:c>
      <x:c r="R512" s="19" t="str">
        <x:v>独立判定</x:v>
      </x:c>
    </x:row>
    <x:row r="513" ht="19" customHeight="1">
      <x:c r="A513" s="19" t="str">
        <x:v>D00509</x:v>
      </x:c>
      <x:c r="B513" s="19" t="n">
        <x:v>2</x:v>
      </x:c>
      <x:c r="C513" s="19" t="n">
        <x:v>4</x:v>
      </x:c>
      <x:c r="D513" s="19" t="str">
        <x:v>EL-MON-LIM-STORM-007</x:v>
      </x:c>
      <x:c r="E513" s="19" t="str">
        <x:v>山妖统领</x:v>
      </x:c>
      <x:c r="F513" s="19" t="str">
        <x:v>稀有</x:v>
      </x:c>
      <x:c r="G513" s="19" t="str">
        <x:v>材料独立候选</x:v>
      </x:c>
      <x:c r="H513" s="19" t="str">
        <x:v>山妖王角</x:v>
      </x:c>
      <x:c r="I513" s="22" t="n">
        <x:v>150</x:v>
      </x:c>
      <x:c r="J513" s="22" t="n">
        <x:v>1</x:v>
      </x:c>
      <x:c r="K513" s="19" t="n">
        <x:v>1</x:v>
      </x:c>
      <x:c r="L513" s="24" t="n">
        <x:v>13.799999999999999</x:v>
      </x:c>
      <x:c r="M513" s="26" t="n">
        <x:v>0.1</x:v>
      </x:c>
      <x:c r="N513" s="24" t="n">
        <x:v>10.224967412845931</x:v>
      </x:c>
      <x:c r="O513" s="28" t="n">
        <x:f>MIN(1,L513/I513)</x:f>
        <x:v>0.092</x:v>
      </x:c>
      <x:c r="P513" s="30" t="n">
        <x:f>O513*J513*(1+M513)</x:f>
        <x:v>0.10120000000000001</x:v>
      </x:c>
      <x:c r="Q513" s="30" t="n">
        <x:f>P513*N513</x:f>
        <x:v>1.0347667021800084</x:v>
      </x:c>
      <x:c r="R513" s="19" t="str">
        <x:v>独立判定</x:v>
      </x:c>
    </x:row>
    <x:row r="514" ht="19" customHeight="1">
      <x:c r="A514" s="19" t="str">
        <x:v>D00510</x:v>
      </x:c>
      <x:c r="B514" s="19" t="n">
        <x:v>2</x:v>
      </x:c>
      <x:c r="C514" s="19" t="n">
        <x:v>4</x:v>
      </x:c>
      <x:c r="D514" s="19" t="str">
        <x:v>EL-MON-LIM-STORM-007</x:v>
      </x:c>
      <x:c r="E514" s="19" t="str">
        <x:v>山妖统领</x:v>
      </x:c>
      <x:c r="F514" s="19" t="str">
        <x:v>稀有</x:v>
      </x:c>
      <x:c r="G514" s="19" t="str">
        <x:v>材料独立候选</x:v>
      </x:c>
      <x:c r="H514" s="19" t="str">
        <x:v>野兽骨片</x:v>
      </x:c>
      <x:c r="I514" s="22" t="n">
        <x:v>60</x:v>
      </x:c>
      <x:c r="J514" s="22" t="n">
        <x:v>2</x:v>
      </x:c>
      <x:c r="K514" s="19" t="n">
        <x:v>1</x:v>
      </x:c>
      <x:c r="L514" s="24" t="n">
        <x:v>13.799999999999999</x:v>
      </x:c>
      <x:c r="M514" s="26" t="n">
        <x:v>0.1</x:v>
      </x:c>
      <x:c r="N514" s="24" t="n">
        <x:v>10.224967412845931</x:v>
      </x:c>
      <x:c r="O514" s="28" t="n">
        <x:f>MIN(1,L514/I514)</x:f>
        <x:v>0.22999999999999998</x:v>
      </x:c>
      <x:c r="P514" s="30" t="n">
        <x:f>O514*J514*(1+M514)</x:f>
        <x:v>0.506</x:v>
      </x:c>
      <x:c r="Q514" s="30" t="n">
        <x:f>P514*N514</x:f>
        <x:v>5.1738335109000415</x:v>
      </x:c>
      <x:c r="R514" s="19" t="str">
        <x:v>独立判定</x:v>
      </x:c>
    </x:row>
    <x:row r="515" ht="19" customHeight="1">
      <x:c r="A515" s="19" t="str">
        <x:v>D00511</x:v>
      </x:c>
      <x:c r="B515" s="19" t="n">
        <x:v>2</x:v>
      </x:c>
      <x:c r="C515" s="19" t="n">
        <x:v>4</x:v>
      </x:c>
      <x:c r="D515" s="19" t="str">
        <x:v>EL-MON-LIM-STORM-007</x:v>
      </x:c>
      <x:c r="E515" s="19" t="str">
        <x:v>山妖统领</x:v>
      </x:c>
      <x:c r="F515" s="19" t="str">
        <x:v>稀有</x:v>
      </x:c>
      <x:c r="G515" s="19" t="str">
        <x:v>材料独立候选</x:v>
      </x:c>
      <x:c r="H515" s="19" t="str">
        <x:v>技能残页</x:v>
      </x:c>
      <x:c r="I515" s="22" t="n">
        <x:v>60</x:v>
      </x:c>
      <x:c r="J515" s="22" t="n">
        <x:v>1</x:v>
      </x:c>
      <x:c r="K515" s="19" t="n">
        <x:v>1</x:v>
      </x:c>
      <x:c r="L515" s="24" t="n">
        <x:v>13.799999999999999</x:v>
      </x:c>
      <x:c r="M515" s="26" t="n">
        <x:v>0.1</x:v>
      </x:c>
      <x:c r="N515" s="24" t="n">
        <x:v>10.224967412845931</x:v>
      </x:c>
      <x:c r="O515" s="28" t="n">
        <x:f>MIN(1,L515/I515)</x:f>
        <x:v>0.22999999999999998</x:v>
      </x:c>
      <x:c r="P515" s="30" t="n">
        <x:f>O515*J515*(1+M515)</x:f>
        <x:v>0.253</x:v>
      </x:c>
      <x:c r="Q515" s="30" t="n">
        <x:f>P515*N515</x:f>
        <x:v>2.5869167554500208</x:v>
      </x:c>
      <x:c r="R515" s="19" t="str">
        <x:v>独立判定</x:v>
      </x:c>
    </x:row>
    <x:row r="516" ht="19" customHeight="1">
      <x:c r="A516" s="19" t="str">
        <x:v>D00512</x:v>
      </x:c>
      <x:c r="B516" s="19" t="n">
        <x:v>2</x:v>
      </x:c>
      <x:c r="C516" s="19" t="n">
        <x:v>4</x:v>
      </x:c>
      <x:c r="D516" s="19" t="str">
        <x:v>EL-MON-LIM-STORM-007</x:v>
      </x:c>
      <x:c r="E516" s="19" t="str">
        <x:v>山妖统领</x:v>
      </x:c>
      <x:c r="F516" s="19" t="str">
        <x:v>稀有</x:v>
      </x:c>
      <x:c r="G516" s="19" t="str">
        <x:v>材料独立候选</x:v>
      </x:c>
      <x:c r="H516" s="19" t="str">
        <x:v>小卢恩</x:v>
      </x:c>
      <x:c r="I516" s="22" t="n">
        <x:v>2500</x:v>
      </x:c>
      <x:c r="J516" s="22" t="n">
        <x:v>1</x:v>
      </x:c>
      <x:c r="K516" s="19" t="n">
        <x:v>1</x:v>
      </x:c>
      <x:c r="L516" s="24" t="n">
        <x:v>13.799999999999999</x:v>
      </x:c>
      <x:c r="M516" s="26" t="n">
        <x:v>0.1</x:v>
      </x:c>
      <x:c r="N516" s="24" t="n">
        <x:v>10.224967412845931</x:v>
      </x:c>
      <x:c r="O516" s="28" t="n">
        <x:f>MIN(1,L516/I516)</x:f>
        <x:v>0.00552</x:v>
      </x:c>
      <x:c r="P516" s="30" t="n">
        <x:f>O516*J516*(1+M516)</x:f>
        <x:v>0.006072</x:v>
      </x:c>
      <x:c r="Q516" s="30" t="n">
        <x:f>P516*N516</x:f>
        <x:v>0.0620860021308005</x:v>
      </x:c>
      <x:c r="R516" s="19" t="str">
        <x:v>独立判定</x:v>
      </x:c>
    </x:row>
    <x:row r="517" ht="19" customHeight="1">
      <x:c r="A517" s="19" t="str">
        <x:v>D00513</x:v>
      </x:c>
      <x:c r="B517" s="19" t="n">
        <x:v>2</x:v>
      </x:c>
      <x:c r="C517" s="19" t="n">
        <x:v>4</x:v>
      </x:c>
      <x:c r="D517" s="19" t="str">
        <x:v>EL-MON-LIM-STORM-007</x:v>
      </x:c>
      <x:c r="E517" s="19" t="str">
        <x:v>山妖统领</x:v>
      </x:c>
      <x:c r="F517" s="19" t="str">
        <x:v>稀有</x:v>
      </x:c>
      <x:c r="G517" s="19" t="str">
        <x:v>六神器公共池</x:v>
      </x:c>
      <x:c r="H517" s="19" t="str">
        <x:v>POOL006</x:v>
      </x:c>
      <x:c r="I517" s="22" t="n">
        <x:v>5000000</x:v>
      </x:c>
      <x:c r="J517" s="22" t="n">
        <x:v>1</x:v>
      </x:c>
      <x:c r="K517" s="19" t="n">
        <x:v>6</x:v>
      </x:c>
      <x:c r="L517" s="24" t="n">
        <x:v>13.799999999999999</x:v>
      </x:c>
      <x:c r="M517" s="26" t="n">
        <x:v>0.1</x:v>
      </x:c>
      <x:c r="N517" s="24" t="n">
        <x:v>10.224967412845931</x:v>
      </x:c>
      <x:c r="O517" s="28" t="n">
        <x:f>MIN(1,L517/I517)</x:f>
        <x:v>0.00000276</x:v>
      </x:c>
      <x:c r="P517" s="30" t="n">
        <x:f>O517*J517*(1+M517)</x:f>
        <x:v>0.0000030360000000000002</x:v>
      </x:c>
      <x:c r="Q517" s="30" t="n">
        <x:f>P517*N517</x:f>
        <x:v>0.00003104300106540025</x:v>
      </x:c>
      <x:c r="R517" s="19" t="str">
        <x:v>六选一；非6个独立爆率</x:v>
      </x:c>
    </x:row>
    <x:row r="518" ht="19" customHeight="1">
      <x:c r="A518" s="19" t="str">
        <x:v>D00514</x:v>
      </x:c>
      <x:c r="B518" s="19" t="n">
        <x:v>2</x:v>
      </x:c>
      <x:c r="C518" s="19" t="n">
        <x:v>4</x:v>
      </x:c>
      <x:c r="D518" s="19" t="str">
        <x:v>EL-MON-LIM-STORM-008</x:v>
      </x:c>
      <x:c r="E518" s="19" t="str">
        <x:v>战鹰驯兽师</x:v>
      </x:c>
      <x:c r="F518" s="19" t="str">
        <x:v>稀有</x:v>
      </x:c>
      <x:c r="G518" s="19" t="str">
        <x:v>自身专属</x:v>
      </x:c>
      <x:c r="H518" s="19" t="str">
        <x:v>鹰主风冠</x:v>
      </x:c>
      <x:c r="I518" s="22" t="n">
        <x:v>180</x:v>
      </x:c>
      <x:c r="J518" s="22" t="n">
        <x:v>1</x:v>
      </x:c>
      <x:c r="K518" s="19" t="n">
        <x:v>1</x:v>
      </x:c>
      <x:c r="L518" s="24" t="n">
        <x:v>13.799999999999999</x:v>
      </x:c>
      <x:c r="M518" s="26" t="n">
        <x:v>0.1</x:v>
      </x:c>
      <x:c r="N518" s="24" t="n">
        <x:v>12</x:v>
      </x:c>
      <x:c r="O518" s="28" t="n">
        <x:f>MIN(1,L518/I518)</x:f>
        <x:v>0.07666666666666666</x:v>
      </x:c>
      <x:c r="P518" s="30" t="n">
        <x:f>O518*J518*(1+M518)</x:f>
        <x:v>0.08433333333333333</x:v>
      </x:c>
      <x:c r="Q518" s="30" t="n">
        <x:f>P518*N518</x:f>
        <x:v>1.012</x:v>
      </x:c>
      <x:c r="R518" s="19" t="str">
        <x:v>独立判定</x:v>
      </x:c>
    </x:row>
    <x:row r="519" ht="19" customHeight="1">
      <x:c r="A519" s="19" t="str">
        <x:v>D00515</x:v>
      </x:c>
      <x:c r="B519" s="19" t="n">
        <x:v>2</x:v>
      </x:c>
      <x:c r="C519" s="19" t="n">
        <x:v>4</x:v>
      </x:c>
      <x:c r="D519" s="19" t="str">
        <x:v>EL-MON-LIM-STORM-008</x:v>
      </x:c>
      <x:c r="E519" s="19" t="str">
        <x:v>战鹰驯兽师</x:v>
      </x:c>
      <x:c r="F519" s="19" t="str">
        <x:v>稀有</x:v>
      </x:c>
      <x:c r="G519" s="19" t="str">
        <x:v>材料独立候选</x:v>
      </x:c>
      <x:c r="H519" s="19" t="str">
        <x:v>风暴石片</x:v>
      </x:c>
      <x:c r="I519" s="22" t="n">
        <x:v>300</x:v>
      </x:c>
      <x:c r="J519" s="22" t="n">
        <x:v>15</x:v>
      </x:c>
      <x:c r="K519" s="19" t="n">
        <x:v>1</x:v>
      </x:c>
      <x:c r="L519" s="24" t="n">
        <x:v>13.799999999999999</x:v>
      </x:c>
      <x:c r="M519" s="26" t="n">
        <x:v>0.1</x:v>
      </x:c>
      <x:c r="N519" s="24" t="n">
        <x:v>12</x:v>
      </x:c>
      <x:c r="O519" s="28" t="n">
        <x:f>MIN(1,L519/I519)</x:f>
        <x:v>0.046</x:v>
      </x:c>
      <x:c r="P519" s="30" t="n">
        <x:f>O519*J519*(1+M519)</x:f>
        <x:v>0.759</x:v>
      </x:c>
      <x:c r="Q519" s="30" t="n">
        <x:f>P519*N519</x:f>
        <x:v>9.108</x:v>
      </x:c>
      <x:c r="R519" s="19" t="str">
        <x:v>独立判定</x:v>
      </x:c>
    </x:row>
    <x:row r="520" ht="19" customHeight="1">
      <x:c r="A520" s="19" t="str">
        <x:v>D00516</x:v>
      </x:c>
      <x:c r="B520" s="19" t="n">
        <x:v>2</x:v>
      </x:c>
      <x:c r="C520" s="19" t="n">
        <x:v>4</x:v>
      </x:c>
      <x:c r="D520" s="19" t="str">
        <x:v>EL-MON-LIM-STORM-008</x:v>
      </x:c>
      <x:c r="E520" s="19" t="str">
        <x:v>战鹰驯兽师</x:v>
      </x:c>
      <x:c r="F520" s="19" t="str">
        <x:v>稀有</x:v>
      </x:c>
      <x:c r="G520" s="19" t="str">
        <x:v>材料独立候选</x:v>
      </x:c>
      <x:c r="H520" s="19" t="str">
        <x:v>黄金树芽</x:v>
      </x:c>
      <x:c r="I520" s="22" t="n">
        <x:v>60</x:v>
      </x:c>
      <x:c r="J520" s="22" t="n">
        <x:v>2</x:v>
      </x:c>
      <x:c r="K520" s="19" t="n">
        <x:v>1</x:v>
      </x:c>
      <x:c r="L520" s="24" t="n">
        <x:v>13.799999999999999</x:v>
      </x:c>
      <x:c r="M520" s="26" t="n">
        <x:v>0.1</x:v>
      </x:c>
      <x:c r="N520" s="24" t="n">
        <x:v>12</x:v>
      </x:c>
      <x:c r="O520" s="28" t="n">
        <x:f>MIN(1,L520/I520)</x:f>
        <x:v>0.22999999999999998</x:v>
      </x:c>
      <x:c r="P520" s="30" t="n">
        <x:f>O520*J520*(1+M520)</x:f>
        <x:v>0.506</x:v>
      </x:c>
      <x:c r="Q520" s="30" t="n">
        <x:f>P520*N520</x:f>
        <x:v>6.072</x:v>
      </x:c>
      <x:c r="R520" s="19" t="str">
        <x:v>独立判定</x:v>
      </x:c>
    </x:row>
    <x:row r="521" ht="19" customHeight="1">
      <x:c r="A521" s="19" t="str">
        <x:v>D00517</x:v>
      </x:c>
      <x:c r="B521" s="19" t="n">
        <x:v>2</x:v>
      </x:c>
      <x:c r="C521" s="19" t="n">
        <x:v>4</x:v>
      </x:c>
      <x:c r="D521" s="19" t="str">
        <x:v>EL-MON-LIM-STORM-008</x:v>
      </x:c>
      <x:c r="E521" s="19" t="str">
        <x:v>战鹰驯兽师</x:v>
      </x:c>
      <x:c r="F521" s="19" t="str">
        <x:v>稀有</x:v>
      </x:c>
      <x:c r="G521" s="19" t="str">
        <x:v>材料独立候选</x:v>
      </x:c>
      <x:c r="H521" s="19" t="str">
        <x:v>野兽骨片</x:v>
      </x:c>
      <x:c r="I521" s="22" t="n">
        <x:v>60</x:v>
      </x:c>
      <x:c r="J521" s="22" t="n">
        <x:v>2</x:v>
      </x:c>
      <x:c r="K521" s="19" t="n">
        <x:v>1</x:v>
      </x:c>
      <x:c r="L521" s="24" t="n">
        <x:v>13.799999999999999</x:v>
      </x:c>
      <x:c r="M521" s="26" t="n">
        <x:v>0.1</x:v>
      </x:c>
      <x:c r="N521" s="24" t="n">
        <x:v>12</x:v>
      </x:c>
      <x:c r="O521" s="28" t="n">
        <x:f>MIN(1,L521/I521)</x:f>
        <x:v>0.22999999999999998</x:v>
      </x:c>
      <x:c r="P521" s="30" t="n">
        <x:f>O521*J521*(1+M521)</x:f>
        <x:v>0.506</x:v>
      </x:c>
      <x:c r="Q521" s="30" t="n">
        <x:f>P521*N521</x:f>
        <x:v>6.072</x:v>
      </x:c>
      <x:c r="R521" s="19" t="str">
        <x:v>独立判定</x:v>
      </x:c>
    </x:row>
    <x:row r="522" ht="19" customHeight="1">
      <x:c r="A522" s="19" t="str">
        <x:v>D00518</x:v>
      </x:c>
      <x:c r="B522" s="19" t="n">
        <x:v>2</x:v>
      </x:c>
      <x:c r="C522" s="19" t="n">
        <x:v>4</x:v>
      </x:c>
      <x:c r="D522" s="19" t="str">
        <x:v>EL-MON-LIM-STORM-008</x:v>
      </x:c>
      <x:c r="E522" s="19" t="str">
        <x:v>战鹰驯兽师</x:v>
      </x:c>
      <x:c r="F522" s="19" t="str">
        <x:v>稀有</x:v>
      </x:c>
      <x:c r="G522" s="19" t="str">
        <x:v>材料独立候选</x:v>
      </x:c>
      <x:c r="H522" s="19" t="str">
        <x:v>技能残页</x:v>
      </x:c>
      <x:c r="I522" s="22" t="n">
        <x:v>60</x:v>
      </x:c>
      <x:c r="J522" s="22" t="n">
        <x:v>1</x:v>
      </x:c>
      <x:c r="K522" s="19" t="n">
        <x:v>1</x:v>
      </x:c>
      <x:c r="L522" s="24" t="n">
        <x:v>13.799999999999999</x:v>
      </x:c>
      <x:c r="M522" s="26" t="n">
        <x:v>0.1</x:v>
      </x:c>
      <x:c r="N522" s="24" t="n">
        <x:v>12</x:v>
      </x:c>
      <x:c r="O522" s="28" t="n">
        <x:f>MIN(1,L522/I522)</x:f>
        <x:v>0.22999999999999998</x:v>
      </x:c>
      <x:c r="P522" s="30" t="n">
        <x:f>O522*J522*(1+M522)</x:f>
        <x:v>0.253</x:v>
      </x:c>
      <x:c r="Q522" s="30" t="n">
        <x:f>P522*N522</x:f>
        <x:v>3.036</x:v>
      </x:c>
      <x:c r="R522" s="19" t="str">
        <x:v>独立判定</x:v>
      </x:c>
    </x:row>
    <x:row r="523" ht="19" customHeight="1">
      <x:c r="A523" s="19" t="str">
        <x:v>D00519</x:v>
      </x:c>
      <x:c r="B523" s="19" t="n">
        <x:v>2</x:v>
      </x:c>
      <x:c r="C523" s="19" t="n">
        <x:v>4</x:v>
      </x:c>
      <x:c r="D523" s="19" t="str">
        <x:v>EL-MON-LIM-STORM-008</x:v>
      </x:c>
      <x:c r="E523" s="19" t="str">
        <x:v>战鹰驯兽师</x:v>
      </x:c>
      <x:c r="F523" s="19" t="str">
        <x:v>稀有</x:v>
      </x:c>
      <x:c r="G523" s="19" t="str">
        <x:v>材料独立候选</x:v>
      </x:c>
      <x:c r="H523" s="19" t="str">
        <x:v>小卢恩</x:v>
      </x:c>
      <x:c r="I523" s="22" t="n">
        <x:v>2500</x:v>
      </x:c>
      <x:c r="J523" s="22" t="n">
        <x:v>1</x:v>
      </x:c>
      <x:c r="K523" s="19" t="n">
        <x:v>1</x:v>
      </x:c>
      <x:c r="L523" s="24" t="n">
        <x:v>13.799999999999999</x:v>
      </x:c>
      <x:c r="M523" s="26" t="n">
        <x:v>0.1</x:v>
      </x:c>
      <x:c r="N523" s="24" t="n">
        <x:v>12</x:v>
      </x:c>
      <x:c r="O523" s="28" t="n">
        <x:f>MIN(1,L523/I523)</x:f>
        <x:v>0.00552</x:v>
      </x:c>
      <x:c r="P523" s="30" t="n">
        <x:f>O523*J523*(1+M523)</x:f>
        <x:v>0.006072</x:v>
      </x:c>
      <x:c r="Q523" s="30" t="n">
        <x:f>P523*N523</x:f>
        <x:v>0.072864</x:v>
      </x:c>
      <x:c r="R523" s="19" t="str">
        <x:v>独立判定</x:v>
      </x:c>
    </x:row>
    <x:row r="524" ht="19" customHeight="1">
      <x:c r="A524" s="19" t="str">
        <x:v>D00520</x:v>
      </x:c>
      <x:c r="B524" s="19" t="n">
        <x:v>2</x:v>
      </x:c>
      <x:c r="C524" s="19" t="n">
        <x:v>4</x:v>
      </x:c>
      <x:c r="D524" s="19" t="str">
        <x:v>EL-MON-LIM-STORM-008</x:v>
      </x:c>
      <x:c r="E524" s="19" t="str">
        <x:v>战鹰驯兽师</x:v>
      </x:c>
      <x:c r="F524" s="19" t="str">
        <x:v>稀有</x:v>
      </x:c>
      <x:c r="G524" s="19" t="str">
        <x:v>六神器公共池</x:v>
      </x:c>
      <x:c r="H524" s="19" t="str">
        <x:v>POOL006</x:v>
      </x:c>
      <x:c r="I524" s="22" t="n">
        <x:v>5000000</x:v>
      </x:c>
      <x:c r="J524" s="22" t="n">
        <x:v>1</x:v>
      </x:c>
      <x:c r="K524" s="19" t="n">
        <x:v>6</x:v>
      </x:c>
      <x:c r="L524" s="24" t="n">
        <x:v>13.799999999999999</x:v>
      </x:c>
      <x:c r="M524" s="26" t="n">
        <x:v>0.1</x:v>
      </x:c>
      <x:c r="N524" s="24" t="n">
        <x:v>12</x:v>
      </x:c>
      <x:c r="O524" s="28" t="n">
        <x:f>MIN(1,L524/I524)</x:f>
        <x:v>0.00000276</x:v>
      </x:c>
      <x:c r="P524" s="30" t="n">
        <x:f>O524*J524*(1+M524)</x:f>
        <x:v>0.0000030360000000000002</x:v>
      </x:c>
      <x:c r="Q524" s="30" t="n">
        <x:f>P524*N524</x:f>
        <x:v>0.000036432000000000006</x:v>
      </x:c>
      <x:c r="R524" s="19" t="str">
        <x:v>六选一；非6个独立爆率</x:v>
      </x:c>
    </x:row>
    <x:row r="525" ht="19" customHeight="1">
      <x:c r="A525" s="19" t="str">
        <x:v>D00521</x:v>
      </x:c>
      <x:c r="B525" s="19" t="n">
        <x:v>2</x:v>
      </x:c>
      <x:c r="C525" s="19" t="n">
        <x:v>4</x:v>
      </x:c>
      <x:c r="D525" s="19" t="str">
        <x:v>EL-MON-LIM-STORM-009</x:v>
      </x:c>
      <x:c r="E525" s="19" t="str">
        <x:v>熔炉百夫长</x:v>
      </x:c>
      <x:c r="F525" s="19" t="str">
        <x:v>稀有</x:v>
      </x:c>
      <x:c r="G525" s="19" t="str">
        <x:v>自身专属</x:v>
      </x:c>
      <x:c r="H525" s="19" t="str">
        <x:v>百夫熔戟</x:v>
      </x:c>
      <x:c r="I525" s="22" t="n">
        <x:v>180</x:v>
      </x:c>
      <x:c r="J525" s="22" t="n">
        <x:v>1</x:v>
      </x:c>
      <x:c r="K525" s="19" t="n">
        <x:v>1</x:v>
      </x:c>
      <x:c r="L525" s="24" t="n">
        <x:v>13.799999999999999</x:v>
      </x:c>
      <x:c r="M525" s="26" t="n">
        <x:v>0.1</x:v>
      </x:c>
      <x:c r="N525" s="24" t="n">
        <x:v>10.224967412845931</x:v>
      </x:c>
      <x:c r="O525" s="28" t="n">
        <x:f>MIN(1,L525/I525)</x:f>
        <x:v>0.07666666666666666</x:v>
      </x:c>
      <x:c r="P525" s="30" t="n">
        <x:f>O525*J525*(1+M525)</x:f>
        <x:v>0.08433333333333333</x:v>
      </x:c>
      <x:c r="Q525" s="30" t="n">
        <x:f>P525*N525</x:f>
        <x:v>0.8623055851500068</x:v>
      </x:c>
      <x:c r="R525" s="19" t="str">
        <x:v>独立判定</x:v>
      </x:c>
    </x:row>
    <x:row r="526" ht="19" customHeight="1">
      <x:c r="A526" s="19" t="str">
        <x:v>D00522</x:v>
      </x:c>
      <x:c r="B526" s="19" t="n">
        <x:v>2</x:v>
      </x:c>
      <x:c r="C526" s="19" t="n">
        <x:v>4</x:v>
      </x:c>
      <x:c r="D526" s="19" t="str">
        <x:v>EL-MON-LIM-STORM-009</x:v>
      </x:c>
      <x:c r="E526" s="19" t="str">
        <x:v>熔炉百夫长</x:v>
      </x:c>
      <x:c r="F526" s="19" t="str">
        <x:v>稀有</x:v>
      </x:c>
      <x:c r="G526" s="19" t="str">
        <x:v>材料独立候选</x:v>
      </x:c>
      <x:c r="H526" s="19" t="str">
        <x:v>风暴石片</x:v>
      </x:c>
      <x:c r="I526" s="22" t="n">
        <x:v>300</x:v>
      </x:c>
      <x:c r="J526" s="22" t="n">
        <x:v>15</x:v>
      </x:c>
      <x:c r="K526" s="19" t="n">
        <x:v>1</x:v>
      </x:c>
      <x:c r="L526" s="24" t="n">
        <x:v>13.799999999999999</x:v>
      </x:c>
      <x:c r="M526" s="26" t="n">
        <x:v>0.1</x:v>
      </x:c>
      <x:c r="N526" s="24" t="n">
        <x:v>10.224967412845931</x:v>
      </x:c>
      <x:c r="O526" s="28" t="n">
        <x:f>MIN(1,L526/I526)</x:f>
        <x:v>0.046</x:v>
      </x:c>
      <x:c r="P526" s="30" t="n">
        <x:f>O526*J526*(1+M526)</x:f>
        <x:v>0.759</x:v>
      </x:c>
      <x:c r="Q526" s="30" t="n">
        <x:f>P526*N526</x:f>
        <x:v>7.760750266350062</x:v>
      </x:c>
      <x:c r="R526" s="19" t="str">
        <x:v>独立判定</x:v>
      </x:c>
    </x:row>
    <x:row r="527" ht="19" customHeight="1">
      <x:c r="A527" s="19" t="str">
        <x:v>D00523</x:v>
      </x:c>
      <x:c r="B527" s="19" t="n">
        <x:v>2</x:v>
      </x:c>
      <x:c r="C527" s="19" t="n">
        <x:v>4</x:v>
      </x:c>
      <x:c r="D527" s="19" t="str">
        <x:v>EL-MON-LIM-STORM-009</x:v>
      </x:c>
      <x:c r="E527" s="19" t="str">
        <x:v>熔炉百夫长</x:v>
      </x:c>
      <x:c r="F527" s="19" t="str">
        <x:v>稀有</x:v>
      </x:c>
      <x:c r="G527" s="19" t="str">
        <x:v>材料独立候选</x:v>
      </x:c>
      <x:c r="H527" s="19" t="str">
        <x:v>黄金树芽</x:v>
      </x:c>
      <x:c r="I527" s="22" t="n">
        <x:v>60</x:v>
      </x:c>
      <x:c r="J527" s="22" t="n">
        <x:v>2</x:v>
      </x:c>
      <x:c r="K527" s="19" t="n">
        <x:v>1</x:v>
      </x:c>
      <x:c r="L527" s="24" t="n">
        <x:v>13.799999999999999</x:v>
      </x:c>
      <x:c r="M527" s="26" t="n">
        <x:v>0.1</x:v>
      </x:c>
      <x:c r="N527" s="24" t="n">
        <x:v>10.224967412845931</x:v>
      </x:c>
      <x:c r="O527" s="28" t="n">
        <x:f>MIN(1,L527/I527)</x:f>
        <x:v>0.22999999999999998</x:v>
      </x:c>
      <x:c r="P527" s="30" t="n">
        <x:f>O527*J527*(1+M527)</x:f>
        <x:v>0.506</x:v>
      </x:c>
      <x:c r="Q527" s="30" t="n">
        <x:f>P527*N527</x:f>
        <x:v>5.1738335109000415</x:v>
      </x:c>
      <x:c r="R527" s="19" t="str">
        <x:v>独立判定</x:v>
      </x:c>
    </x:row>
    <x:row r="528" ht="19" customHeight="1">
      <x:c r="A528" s="19" t="str">
        <x:v>D00524</x:v>
      </x:c>
      <x:c r="B528" s="19" t="n">
        <x:v>2</x:v>
      </x:c>
      <x:c r="C528" s="19" t="n">
        <x:v>4</x:v>
      </x:c>
      <x:c r="D528" s="19" t="str">
        <x:v>EL-MON-LIM-STORM-009</x:v>
      </x:c>
      <x:c r="E528" s="19" t="str">
        <x:v>熔炉百夫长</x:v>
      </x:c>
      <x:c r="F528" s="19" t="str">
        <x:v>稀有</x:v>
      </x:c>
      <x:c r="G528" s="19" t="str">
        <x:v>材料独立候选</x:v>
      </x:c>
      <x:c r="H528" s="19" t="str">
        <x:v>野兽骨片</x:v>
      </x:c>
      <x:c r="I528" s="22" t="n">
        <x:v>60</x:v>
      </x:c>
      <x:c r="J528" s="22" t="n">
        <x:v>2</x:v>
      </x:c>
      <x:c r="K528" s="19" t="n">
        <x:v>1</x:v>
      </x:c>
      <x:c r="L528" s="24" t="n">
        <x:v>13.799999999999999</x:v>
      </x:c>
      <x:c r="M528" s="26" t="n">
        <x:v>0.1</x:v>
      </x:c>
      <x:c r="N528" s="24" t="n">
        <x:v>10.224967412845931</x:v>
      </x:c>
      <x:c r="O528" s="28" t="n">
        <x:f>MIN(1,L528/I528)</x:f>
        <x:v>0.22999999999999998</x:v>
      </x:c>
      <x:c r="P528" s="30" t="n">
        <x:f>O528*J528*(1+M528)</x:f>
        <x:v>0.506</x:v>
      </x:c>
      <x:c r="Q528" s="30" t="n">
        <x:f>P528*N528</x:f>
        <x:v>5.1738335109000415</x:v>
      </x:c>
      <x:c r="R528" s="19" t="str">
        <x:v>独立判定</x:v>
      </x:c>
    </x:row>
    <x:row r="529" ht="19" customHeight="1">
      <x:c r="A529" s="19" t="str">
        <x:v>D00525</x:v>
      </x:c>
      <x:c r="B529" s="19" t="n">
        <x:v>2</x:v>
      </x:c>
      <x:c r="C529" s="19" t="n">
        <x:v>4</x:v>
      </x:c>
      <x:c r="D529" s="19" t="str">
        <x:v>EL-MON-LIM-STORM-009</x:v>
      </x:c>
      <x:c r="E529" s="19" t="str">
        <x:v>熔炉百夫长</x:v>
      </x:c>
      <x:c r="F529" s="19" t="str">
        <x:v>稀有</x:v>
      </x:c>
      <x:c r="G529" s="19" t="str">
        <x:v>材料独立候选</x:v>
      </x:c>
      <x:c r="H529" s="19" t="str">
        <x:v>技能残页</x:v>
      </x:c>
      <x:c r="I529" s="22" t="n">
        <x:v>60</x:v>
      </x:c>
      <x:c r="J529" s="22" t="n">
        <x:v>1</x:v>
      </x:c>
      <x:c r="K529" s="19" t="n">
        <x:v>1</x:v>
      </x:c>
      <x:c r="L529" s="24" t="n">
        <x:v>13.799999999999999</x:v>
      </x:c>
      <x:c r="M529" s="26" t="n">
        <x:v>0.1</x:v>
      </x:c>
      <x:c r="N529" s="24" t="n">
        <x:v>10.224967412845931</x:v>
      </x:c>
      <x:c r="O529" s="28" t="n">
        <x:f>MIN(1,L529/I529)</x:f>
        <x:v>0.22999999999999998</x:v>
      </x:c>
      <x:c r="P529" s="30" t="n">
        <x:f>O529*J529*(1+M529)</x:f>
        <x:v>0.253</x:v>
      </x:c>
      <x:c r="Q529" s="30" t="n">
        <x:f>P529*N529</x:f>
        <x:v>2.5869167554500208</x:v>
      </x:c>
      <x:c r="R529" s="19" t="str">
        <x:v>独立判定</x:v>
      </x:c>
    </x:row>
    <x:row r="530" ht="19" customHeight="1">
      <x:c r="A530" s="19" t="str">
        <x:v>D00526</x:v>
      </x:c>
      <x:c r="B530" s="19" t="n">
        <x:v>2</x:v>
      </x:c>
      <x:c r="C530" s="19" t="n">
        <x:v>4</x:v>
      </x:c>
      <x:c r="D530" s="19" t="str">
        <x:v>EL-MON-LIM-STORM-009</x:v>
      </x:c>
      <x:c r="E530" s="19" t="str">
        <x:v>熔炉百夫长</x:v>
      </x:c>
      <x:c r="F530" s="19" t="str">
        <x:v>稀有</x:v>
      </x:c>
      <x:c r="G530" s="19" t="str">
        <x:v>材料独立候选</x:v>
      </x:c>
      <x:c r="H530" s="19" t="str">
        <x:v>小卢恩</x:v>
      </x:c>
      <x:c r="I530" s="22" t="n">
        <x:v>2500</x:v>
      </x:c>
      <x:c r="J530" s="22" t="n">
        <x:v>1</x:v>
      </x:c>
      <x:c r="K530" s="19" t="n">
        <x:v>1</x:v>
      </x:c>
      <x:c r="L530" s="24" t="n">
        <x:v>13.799999999999999</x:v>
      </x:c>
      <x:c r="M530" s="26" t="n">
        <x:v>0.1</x:v>
      </x:c>
      <x:c r="N530" s="24" t="n">
        <x:v>10.224967412845931</x:v>
      </x:c>
      <x:c r="O530" s="28" t="n">
        <x:f>MIN(1,L530/I530)</x:f>
        <x:v>0.00552</x:v>
      </x:c>
      <x:c r="P530" s="30" t="n">
        <x:f>O530*J530*(1+M530)</x:f>
        <x:v>0.006072</x:v>
      </x:c>
      <x:c r="Q530" s="30" t="n">
        <x:f>P530*N530</x:f>
        <x:v>0.0620860021308005</x:v>
      </x:c>
      <x:c r="R530" s="19" t="str">
        <x:v>独立判定</x:v>
      </x:c>
    </x:row>
    <x:row r="531" ht="19" customHeight="1">
      <x:c r="A531" s="19" t="str">
        <x:v>D00527</x:v>
      </x:c>
      <x:c r="B531" s="19" t="n">
        <x:v>2</x:v>
      </x:c>
      <x:c r="C531" s="19" t="n">
        <x:v>4</x:v>
      </x:c>
      <x:c r="D531" s="19" t="str">
        <x:v>EL-MON-LIM-STORM-009</x:v>
      </x:c>
      <x:c r="E531" s="19" t="str">
        <x:v>熔炉百夫长</x:v>
      </x:c>
      <x:c r="F531" s="19" t="str">
        <x:v>稀有</x:v>
      </x:c>
      <x:c r="G531" s="19" t="str">
        <x:v>六神器公共池</x:v>
      </x:c>
      <x:c r="H531" s="19" t="str">
        <x:v>POOL006</x:v>
      </x:c>
      <x:c r="I531" s="22" t="n">
        <x:v>5000000</x:v>
      </x:c>
      <x:c r="J531" s="22" t="n">
        <x:v>1</x:v>
      </x:c>
      <x:c r="K531" s="19" t="n">
        <x:v>6</x:v>
      </x:c>
      <x:c r="L531" s="24" t="n">
        <x:v>13.799999999999999</x:v>
      </x:c>
      <x:c r="M531" s="26" t="n">
        <x:v>0.1</x:v>
      </x:c>
      <x:c r="N531" s="24" t="n">
        <x:v>10.224967412845931</x:v>
      </x:c>
      <x:c r="O531" s="28" t="n">
        <x:f>MIN(1,L531/I531)</x:f>
        <x:v>0.00000276</x:v>
      </x:c>
      <x:c r="P531" s="30" t="n">
        <x:f>O531*J531*(1+M531)</x:f>
        <x:v>0.0000030360000000000002</x:v>
      </x:c>
      <x:c r="Q531" s="30" t="n">
        <x:f>P531*N531</x:f>
        <x:v>0.00003104300106540025</x:v>
      </x:c>
      <x:c r="R531" s="19" t="str">
        <x:v>六选一；非6个独立爆率</x:v>
      </x:c>
    </x:row>
    <x:row r="532" ht="19" customHeight="1">
      <x:c r="A532" s="19" t="str">
        <x:v>D00528</x:v>
      </x:c>
      <x:c r="B532" s="19" t="n">
        <x:v>2</x:v>
      </x:c>
      <x:c r="C532" s="19" t="n">
        <x:v>4</x:v>
      </x:c>
      <x:c r="D532" s="19" t="str">
        <x:v>EL-MON-LIM-STORM-010</x:v>
      </x:c>
      <x:c r="E532" s="19" t="str">
        <x:v>死亡仪鸟</x:v>
      </x:c>
      <x:c r="F532" s="19" t="str">
        <x:v>稀有</x:v>
      </x:c>
      <x:c r="G532" s="19" t="str">
        <x:v>自身专属</x:v>
      </x:c>
      <x:c r="H532" s="19" t="str">
        <x:v>葬日未羊</x:v>
      </x:c>
      <x:c r="I532" s="22" t="n">
        <x:v>180</x:v>
      </x:c>
      <x:c r="J532" s="22" t="n">
        <x:v>1</x:v>
      </x:c>
      <x:c r="K532" s="19" t="n">
        <x:v>1</x:v>
      </x:c>
      <x:c r="L532" s="24" t="n">
        <x:v>13.799999999999999</x:v>
      </x:c>
      <x:c r="M532" s="26" t="n">
        <x:v>0.1</x:v>
      </x:c>
      <x:c r="N532" s="24" t="n">
        <x:v>12</x:v>
      </x:c>
      <x:c r="O532" s="28" t="n">
        <x:f>MIN(1,L532/I532)</x:f>
        <x:v>0.07666666666666666</x:v>
      </x:c>
      <x:c r="P532" s="30" t="n">
        <x:f>O532*J532*(1+M532)</x:f>
        <x:v>0.08433333333333333</x:v>
      </x:c>
      <x:c r="Q532" s="30" t="n">
        <x:f>P532*N532</x:f>
        <x:v>1.012</x:v>
      </x:c>
      <x:c r="R532" s="19" t="str">
        <x:v>独立判定</x:v>
      </x:c>
    </x:row>
    <x:row r="533" ht="19" customHeight="1">
      <x:c r="A533" s="19" t="str">
        <x:v>D00529</x:v>
      </x:c>
      <x:c r="B533" s="19" t="n">
        <x:v>2</x:v>
      </x:c>
      <x:c r="C533" s="19" t="n">
        <x:v>4</x:v>
      </x:c>
      <x:c r="D533" s="19" t="str">
        <x:v>EL-MON-LIM-STORM-010</x:v>
      </x:c>
      <x:c r="E533" s="19" t="str">
        <x:v>死亡仪鸟</x:v>
      </x:c>
      <x:c r="F533" s="19" t="str">
        <x:v>稀有</x:v>
      </x:c>
      <x:c r="G533" s="19" t="str">
        <x:v>材料独立候选</x:v>
      </x:c>
      <x:c r="H533" s="19" t="str">
        <x:v>风暴石片</x:v>
      </x:c>
      <x:c r="I533" s="22" t="n">
        <x:v>300</x:v>
      </x:c>
      <x:c r="J533" s="22" t="n">
        <x:v>15</x:v>
      </x:c>
      <x:c r="K533" s="19" t="n">
        <x:v>1</x:v>
      </x:c>
      <x:c r="L533" s="24" t="n">
        <x:v>13.799999999999999</x:v>
      </x:c>
      <x:c r="M533" s="26" t="n">
        <x:v>0.1</x:v>
      </x:c>
      <x:c r="N533" s="24" t="n">
        <x:v>12</x:v>
      </x:c>
      <x:c r="O533" s="28" t="n">
        <x:f>MIN(1,L533/I533)</x:f>
        <x:v>0.046</x:v>
      </x:c>
      <x:c r="P533" s="30" t="n">
        <x:f>O533*J533*(1+M533)</x:f>
        <x:v>0.759</x:v>
      </x:c>
      <x:c r="Q533" s="30" t="n">
        <x:f>P533*N533</x:f>
        <x:v>9.108</x:v>
      </x:c>
      <x:c r="R533" s="19" t="str">
        <x:v>独立判定</x:v>
      </x:c>
    </x:row>
    <x:row r="534" ht="19" customHeight="1">
      <x:c r="A534" s="19" t="str">
        <x:v>D00530</x:v>
      </x:c>
      <x:c r="B534" s="19" t="n">
        <x:v>2</x:v>
      </x:c>
      <x:c r="C534" s="19" t="n">
        <x:v>4</x:v>
      </x:c>
      <x:c r="D534" s="19" t="str">
        <x:v>EL-MON-LIM-STORM-010</x:v>
      </x:c>
      <x:c r="E534" s="19" t="str">
        <x:v>死亡仪鸟</x:v>
      </x:c>
      <x:c r="F534" s="19" t="str">
        <x:v>稀有</x:v>
      </x:c>
      <x:c r="G534" s="19" t="str">
        <x:v>材料独立候选</x:v>
      </x:c>
      <x:c r="H534" s="19" t="str">
        <x:v>黄金树芽</x:v>
      </x:c>
      <x:c r="I534" s="22" t="n">
        <x:v>60</x:v>
      </x:c>
      <x:c r="J534" s="22" t="n">
        <x:v>2</x:v>
      </x:c>
      <x:c r="K534" s="19" t="n">
        <x:v>1</x:v>
      </x:c>
      <x:c r="L534" s="24" t="n">
        <x:v>13.799999999999999</x:v>
      </x:c>
      <x:c r="M534" s="26" t="n">
        <x:v>0.1</x:v>
      </x:c>
      <x:c r="N534" s="24" t="n">
        <x:v>12</x:v>
      </x:c>
      <x:c r="O534" s="28" t="n">
        <x:f>MIN(1,L534/I534)</x:f>
        <x:v>0.22999999999999998</x:v>
      </x:c>
      <x:c r="P534" s="30" t="n">
        <x:f>O534*J534*(1+M534)</x:f>
        <x:v>0.506</x:v>
      </x:c>
      <x:c r="Q534" s="30" t="n">
        <x:f>P534*N534</x:f>
        <x:v>6.072</x:v>
      </x:c>
      <x:c r="R534" s="19" t="str">
        <x:v>独立判定</x:v>
      </x:c>
    </x:row>
    <x:row r="535" ht="19" customHeight="1">
      <x:c r="A535" s="19" t="str">
        <x:v>D00531</x:v>
      </x:c>
      <x:c r="B535" s="19" t="n">
        <x:v>2</x:v>
      </x:c>
      <x:c r="C535" s="19" t="n">
        <x:v>4</x:v>
      </x:c>
      <x:c r="D535" s="19" t="str">
        <x:v>EL-MON-LIM-STORM-010</x:v>
      </x:c>
      <x:c r="E535" s="19" t="str">
        <x:v>死亡仪鸟</x:v>
      </x:c>
      <x:c r="F535" s="19" t="str">
        <x:v>稀有</x:v>
      </x:c>
      <x:c r="G535" s="19" t="str">
        <x:v>材料独立候选</x:v>
      </x:c>
      <x:c r="H535" s="19" t="str">
        <x:v>死亡仪羽</x:v>
      </x:c>
      <x:c r="I535" s="22" t="n">
        <x:v>180</x:v>
      </x:c>
      <x:c r="J535" s="22" t="n">
        <x:v>1</x:v>
      </x:c>
      <x:c r="K535" s="19" t="n">
        <x:v>1</x:v>
      </x:c>
      <x:c r="L535" s="24" t="n">
        <x:v>13.799999999999999</x:v>
      </x:c>
      <x:c r="M535" s="26" t="n">
        <x:v>0.1</x:v>
      </x:c>
      <x:c r="N535" s="24" t="n">
        <x:v>12</x:v>
      </x:c>
      <x:c r="O535" s="28" t="n">
        <x:f>MIN(1,L535/I535)</x:f>
        <x:v>0.07666666666666666</x:v>
      </x:c>
      <x:c r="P535" s="30" t="n">
        <x:f>O535*J535*(1+M535)</x:f>
        <x:v>0.08433333333333333</x:v>
      </x:c>
      <x:c r="Q535" s="30" t="n">
        <x:f>P535*N535</x:f>
        <x:v>1.012</x:v>
      </x:c>
      <x:c r="R535" s="19" t="str">
        <x:v>独立判定</x:v>
      </x:c>
    </x:row>
    <x:row r="536" ht="19" customHeight="1">
      <x:c r="A536" s="19" t="str">
        <x:v>D00532</x:v>
      </x:c>
      <x:c r="B536" s="19" t="n">
        <x:v>2</x:v>
      </x:c>
      <x:c r="C536" s="19" t="n">
        <x:v>4</x:v>
      </x:c>
      <x:c r="D536" s="19" t="str">
        <x:v>EL-MON-LIM-STORM-010</x:v>
      </x:c>
      <x:c r="E536" s="19" t="str">
        <x:v>死亡仪鸟</x:v>
      </x:c>
      <x:c r="F536" s="19" t="str">
        <x:v>稀有</x:v>
      </x:c>
      <x:c r="G536" s="19" t="str">
        <x:v>材料独立候选</x:v>
      </x:c>
      <x:c r="H536" s="19" t="str">
        <x:v>野兽骨片</x:v>
      </x:c>
      <x:c r="I536" s="22" t="n">
        <x:v>60</x:v>
      </x:c>
      <x:c r="J536" s="22" t="n">
        <x:v>2</x:v>
      </x:c>
      <x:c r="K536" s="19" t="n">
        <x:v>1</x:v>
      </x:c>
      <x:c r="L536" s="24" t="n">
        <x:v>13.799999999999999</x:v>
      </x:c>
      <x:c r="M536" s="26" t="n">
        <x:v>0.1</x:v>
      </x:c>
      <x:c r="N536" s="24" t="n">
        <x:v>12</x:v>
      </x:c>
      <x:c r="O536" s="28" t="n">
        <x:f>MIN(1,L536/I536)</x:f>
        <x:v>0.22999999999999998</x:v>
      </x:c>
      <x:c r="P536" s="30" t="n">
        <x:f>O536*J536*(1+M536)</x:f>
        <x:v>0.506</x:v>
      </x:c>
      <x:c r="Q536" s="30" t="n">
        <x:f>P536*N536</x:f>
        <x:v>6.072</x:v>
      </x:c>
      <x:c r="R536" s="19" t="str">
        <x:v>独立判定</x:v>
      </x:c>
    </x:row>
    <x:row r="537" ht="19" customHeight="1">
      <x:c r="A537" s="19" t="str">
        <x:v>D00533</x:v>
      </x:c>
      <x:c r="B537" s="19" t="n">
        <x:v>2</x:v>
      </x:c>
      <x:c r="C537" s="19" t="n">
        <x:v>4</x:v>
      </x:c>
      <x:c r="D537" s="19" t="str">
        <x:v>EL-MON-LIM-STORM-010</x:v>
      </x:c>
      <x:c r="E537" s="19" t="str">
        <x:v>死亡仪鸟</x:v>
      </x:c>
      <x:c r="F537" s="19" t="str">
        <x:v>稀有</x:v>
      </x:c>
      <x:c r="G537" s="19" t="str">
        <x:v>材料独立候选</x:v>
      </x:c>
      <x:c r="H537" s="19" t="str">
        <x:v>技能残页</x:v>
      </x:c>
      <x:c r="I537" s="22" t="n">
        <x:v>60</x:v>
      </x:c>
      <x:c r="J537" s="22" t="n">
        <x:v>1</x:v>
      </x:c>
      <x:c r="K537" s="19" t="n">
        <x:v>1</x:v>
      </x:c>
      <x:c r="L537" s="24" t="n">
        <x:v>13.799999999999999</x:v>
      </x:c>
      <x:c r="M537" s="26" t="n">
        <x:v>0.1</x:v>
      </x:c>
      <x:c r="N537" s="24" t="n">
        <x:v>12</x:v>
      </x:c>
      <x:c r="O537" s="28" t="n">
        <x:f>MIN(1,L537/I537)</x:f>
        <x:v>0.22999999999999998</x:v>
      </x:c>
      <x:c r="P537" s="30" t="n">
        <x:f>O537*J537*(1+M537)</x:f>
        <x:v>0.253</x:v>
      </x:c>
      <x:c r="Q537" s="30" t="n">
        <x:f>P537*N537</x:f>
        <x:v>3.036</x:v>
      </x:c>
      <x:c r="R537" s="19" t="str">
        <x:v>独立判定</x:v>
      </x:c>
    </x:row>
    <x:row r="538" ht="19" customHeight="1">
      <x:c r="A538" s="19" t="str">
        <x:v>D00534</x:v>
      </x:c>
      <x:c r="B538" s="19" t="n">
        <x:v>2</x:v>
      </x:c>
      <x:c r="C538" s="19" t="n">
        <x:v>4</x:v>
      </x:c>
      <x:c r="D538" s="19" t="str">
        <x:v>EL-MON-LIM-STORM-010</x:v>
      </x:c>
      <x:c r="E538" s="19" t="str">
        <x:v>死亡仪鸟</x:v>
      </x:c>
      <x:c r="F538" s="19" t="str">
        <x:v>稀有</x:v>
      </x:c>
      <x:c r="G538" s="19" t="str">
        <x:v>材料独立候选</x:v>
      </x:c>
      <x:c r="H538" s="19" t="str">
        <x:v>小卢恩</x:v>
      </x:c>
      <x:c r="I538" s="22" t="n">
        <x:v>2500</x:v>
      </x:c>
      <x:c r="J538" s="22" t="n">
        <x:v>1</x:v>
      </x:c>
      <x:c r="K538" s="19" t="n">
        <x:v>1</x:v>
      </x:c>
      <x:c r="L538" s="24" t="n">
        <x:v>13.799999999999999</x:v>
      </x:c>
      <x:c r="M538" s="26" t="n">
        <x:v>0.1</x:v>
      </x:c>
      <x:c r="N538" s="24" t="n">
        <x:v>12</x:v>
      </x:c>
      <x:c r="O538" s="28" t="n">
        <x:f>MIN(1,L538/I538)</x:f>
        <x:v>0.00552</x:v>
      </x:c>
      <x:c r="P538" s="30" t="n">
        <x:f>O538*J538*(1+M538)</x:f>
        <x:v>0.006072</x:v>
      </x:c>
      <x:c r="Q538" s="30" t="n">
        <x:f>P538*N538</x:f>
        <x:v>0.072864</x:v>
      </x:c>
      <x:c r="R538" s="19" t="str">
        <x:v>独立判定</x:v>
      </x:c>
    </x:row>
    <x:row r="539" ht="19" customHeight="1">
      <x:c r="A539" s="19" t="str">
        <x:v>D00535</x:v>
      </x:c>
      <x:c r="B539" s="19" t="n">
        <x:v>2</x:v>
      </x:c>
      <x:c r="C539" s="19" t="n">
        <x:v>4</x:v>
      </x:c>
      <x:c r="D539" s="19" t="str">
        <x:v>EL-MON-LIM-STORM-010</x:v>
      </x:c>
      <x:c r="E539" s="19" t="str">
        <x:v>死亡仪鸟</x:v>
      </x:c>
      <x:c r="F539" s="19" t="str">
        <x:v>稀有</x:v>
      </x:c>
      <x:c r="G539" s="19" t="str">
        <x:v>六神器公共池</x:v>
      </x:c>
      <x:c r="H539" s="19" t="str">
        <x:v>POOL006</x:v>
      </x:c>
      <x:c r="I539" s="22" t="n">
        <x:v>5000000</x:v>
      </x:c>
      <x:c r="J539" s="22" t="n">
        <x:v>1</x:v>
      </x:c>
      <x:c r="K539" s="19" t="n">
        <x:v>6</x:v>
      </x:c>
      <x:c r="L539" s="24" t="n">
        <x:v>13.799999999999999</x:v>
      </x:c>
      <x:c r="M539" s="26" t="n">
        <x:v>0.1</x:v>
      </x:c>
      <x:c r="N539" s="24" t="n">
        <x:v>12</x:v>
      </x:c>
      <x:c r="O539" s="28" t="n">
        <x:f>MIN(1,L539/I539)</x:f>
        <x:v>0.00000276</x:v>
      </x:c>
      <x:c r="P539" s="30" t="n">
        <x:f>O539*J539*(1+M539)</x:f>
        <x:v>0.0000030360000000000002</x:v>
      </x:c>
      <x:c r="Q539" s="30" t="n">
        <x:f>P539*N539</x:f>
        <x:v>0.000036432000000000006</x:v>
      </x:c>
      <x:c r="R539" s="19" t="str">
        <x:v>六选一；非6个独立爆率</x:v>
      </x:c>
    </x:row>
    <x:row r="540" ht="19" customHeight="1">
      <x:c r="A540" s="19" t="str">
        <x:v>D00536</x:v>
      </x:c>
      <x:c r="B540" s="19" t="n">
        <x:v>2</x:v>
      </x:c>
      <x:c r="C540" s="19" t="n">
        <x:v>4</x:v>
      </x:c>
      <x:c r="D540" s="19" t="str">
        <x:v>EL-MON-LIM-STORM-011</x:v>
      </x:c>
      <x:c r="E540" s="19" t="str">
        <x:v>风暴君王·奥雷格</x:v>
      </x:c>
      <x:c r="F540" s="19" t="str">
        <x:v>地图BOSS</x:v>
      </x:c>
      <x:c r="G540" s="19" t="str">
        <x:v>自身专属</x:v>
      </x:c>
      <x:c r="H540" s="19" t="str">
        <x:v>雷冠申猴</x:v>
      </x:c>
      <x:c r="I540" s="22" t="n">
        <x:v>30</x:v>
      </x:c>
      <x:c r="J540" s="22" t="n">
        <x:v>1</x:v>
      </x:c>
      <x:c r="K540" s="19" t="n">
        <x:v>1</x:v>
      </x:c>
      <x:c r="L540" s="24" t="n">
        <x:v>13.799999999999999</x:v>
      </x:c>
      <x:c r="M540" s="26" t="n">
        <x:v>0.1</x:v>
      </x:c>
      <x:c r="N540" s="24" t="n">
        <x:v>2</x:v>
      </x:c>
      <x:c r="O540" s="28" t="n">
        <x:f>MIN(1,L540/I540)</x:f>
        <x:v>0.45999999999999996</x:v>
      </x:c>
      <x:c r="P540" s="30" t="n">
        <x:f>O540*J540*(1+M540)</x:f>
        <x:v>0.506</x:v>
      </x:c>
      <x:c r="Q540" s="30" t="n">
        <x:f>P540*N540</x:f>
        <x:v>1.012</x:v>
      </x:c>
      <x:c r="R540" s="19" t="str">
        <x:v>独立判定</x:v>
      </x:c>
    </x:row>
    <x:row r="541" ht="19" customHeight="1">
      <x:c r="A541" s="19" t="str">
        <x:v>D00537</x:v>
      </x:c>
      <x:c r="B541" s="19" t="n">
        <x:v>2</x:v>
      </x:c>
      <x:c r="C541" s="19" t="n">
        <x:v>4</x:v>
      </x:c>
      <x:c r="D541" s="19" t="str">
        <x:v>EL-MON-LIM-STORM-011</x:v>
      </x:c>
      <x:c r="E541" s="19" t="str">
        <x:v>风暴君王·奥雷格</x:v>
      </x:c>
      <x:c r="F541" s="19" t="str">
        <x:v>地图BOSS</x:v>
      </x:c>
      <x:c r="G541" s="19" t="str">
        <x:v>本图普通兼掉候选</x:v>
      </x:c>
      <x:c r="H541" s="19" t="str">
        <x:v>POOL010</x:v>
      </x:c>
      <x:c r="I541" s="22" t="n">
        <x:v>30</x:v>
      </x:c>
      <x:c r="J541" s="22" t="n">
        <x:v>1</x:v>
      </x:c>
      <x:c r="K541" s="19" t="n">
        <x:v>2</x:v>
      </x:c>
      <x:c r="L541" s="24" t="n">
        <x:v>13.799999999999999</x:v>
      </x:c>
      <x:c r="M541" s="26" t="n">
        <x:v>0.1</x:v>
      </x:c>
      <x:c r="N541" s="24" t="n">
        <x:v>2</x:v>
      </x:c>
      <x:c r="O541" s="28" t="n">
        <x:f>MIN(1,L541/I541)</x:f>
        <x:v>0.45999999999999996</x:v>
      </x:c>
      <x:c r="P541" s="30" t="n">
        <x:f>O541*J541*(1+M541)</x:f>
        <x:v>0.506</x:v>
      </x:c>
      <x:c r="Q541" s="30" t="n">
        <x:f>P541*N541</x:f>
        <x:v>1.012</x:v>
      </x:c>
      <x:c r="R541" s="19" t="str">
        <x:v>单池选一</x:v>
      </x:c>
    </x:row>
    <x:row r="542" ht="19" customHeight="1">
      <x:c r="A542" s="19" t="str">
        <x:v>D00538</x:v>
      </x:c>
      <x:c r="B542" s="19" t="n">
        <x:v>2</x:v>
      </x:c>
      <x:c r="C542" s="19" t="n">
        <x:v>4</x:v>
      </x:c>
      <x:c r="D542" s="19" t="str">
        <x:v>EL-MON-LIM-STORM-011</x:v>
      </x:c>
      <x:c r="E542" s="19" t="str">
        <x:v>风暴君王·奥雷格</x:v>
      </x:c>
      <x:c r="F542" s="19" t="str">
        <x:v>地图BOSS</x:v>
      </x:c>
      <x:c r="G542" s="19" t="str">
        <x:v>材料独立候选</x:v>
      </x:c>
      <x:c r="H542" s="19" t="str">
        <x:v>风暴石片</x:v>
      </x:c>
      <x:c r="I542" s="22" t="n">
        <x:v>150</x:v>
      </x:c>
      <x:c r="J542" s="22" t="n">
        <x:v>30</x:v>
      </x:c>
      <x:c r="K542" s="19" t="n">
        <x:v>1</x:v>
      </x:c>
      <x:c r="L542" s="24" t="n">
        <x:v>13.799999999999999</x:v>
      </x:c>
      <x:c r="M542" s="26" t="n">
        <x:v>0.1</x:v>
      </x:c>
      <x:c r="N542" s="24" t="n">
        <x:v>2</x:v>
      </x:c>
      <x:c r="O542" s="28" t="n">
        <x:f>MIN(1,L542/I542)</x:f>
        <x:v>0.092</x:v>
      </x:c>
      <x:c r="P542" s="30" t="n">
        <x:f>O542*J542*(1+M542)</x:f>
        <x:v>3.036</x:v>
      </x:c>
      <x:c r="Q542" s="30" t="n">
        <x:f>P542*N542</x:f>
        <x:v>6.072</x:v>
      </x:c>
      <x:c r="R542" s="19" t="str">
        <x:v>独立判定</x:v>
      </x:c>
    </x:row>
    <x:row r="543" ht="19" customHeight="1">
      <x:c r="A543" s="19" t="str">
        <x:v>D00539</x:v>
      </x:c>
      <x:c r="B543" s="19" t="n">
        <x:v>2</x:v>
      </x:c>
      <x:c r="C543" s="19" t="n">
        <x:v>4</x:v>
      </x:c>
      <x:c r="D543" s="19" t="str">
        <x:v>EL-MON-LIM-STORM-011</x:v>
      </x:c>
      <x:c r="E543" s="19" t="str">
        <x:v>风暴君王·奥雷格</x:v>
      </x:c>
      <x:c r="F543" s="19" t="str">
        <x:v>地图BOSS</x:v>
      </x:c>
      <x:c r="G543" s="19" t="str">
        <x:v>材料独立候选</x:v>
      </x:c>
      <x:c r="H543" s="19" t="str">
        <x:v>黄金树芽</x:v>
      </x:c>
      <x:c r="I543" s="22" t="n">
        <x:v>30</x:v>
      </x:c>
      <x:c r="J543" s="22" t="n">
        <x:v>2</x:v>
      </x:c>
      <x:c r="K543" s="19" t="n">
        <x:v>1</x:v>
      </x:c>
      <x:c r="L543" s="24" t="n">
        <x:v>13.799999999999999</x:v>
      </x:c>
      <x:c r="M543" s="26" t="n">
        <x:v>0.1</x:v>
      </x:c>
      <x:c r="N543" s="24" t="n">
        <x:v>2</x:v>
      </x:c>
      <x:c r="O543" s="28" t="n">
        <x:f>MIN(1,L543/I543)</x:f>
        <x:v>0.45999999999999996</x:v>
      </x:c>
      <x:c r="P543" s="30" t="n">
        <x:f>O543*J543*(1+M543)</x:f>
        <x:v>1.012</x:v>
      </x:c>
      <x:c r="Q543" s="30" t="n">
        <x:f>P543*N543</x:f>
        <x:v>2.024</x:v>
      </x:c>
      <x:c r="R543" s="19" t="str">
        <x:v>独立判定</x:v>
      </x:c>
    </x:row>
    <x:row r="544" ht="19" customHeight="1">
      <x:c r="A544" s="19" t="str">
        <x:v>D00540</x:v>
      </x:c>
      <x:c r="B544" s="19" t="n">
        <x:v>2</x:v>
      </x:c>
      <x:c r="C544" s="19" t="n">
        <x:v>4</x:v>
      </x:c>
      <x:c r="D544" s="19" t="str">
        <x:v>EL-MON-LIM-STORM-011</x:v>
      </x:c>
      <x:c r="E544" s="19" t="str">
        <x:v>风暴君王·奥雷格</x:v>
      </x:c>
      <x:c r="F544" s="19" t="str">
        <x:v>地图BOSS</x:v>
      </x:c>
      <x:c r="G544" s="19" t="str">
        <x:v>材料独立候选</x:v>
      </x:c>
      <x:c r="H544" s="19" t="str">
        <x:v>接肢王印</x:v>
      </x:c>
      <x:c r="I544" s="22" t="n">
        <x:v>80</x:v>
      </x:c>
      <x:c r="J544" s="22" t="n">
        <x:v>2</x:v>
      </x:c>
      <x:c r="K544" s="19" t="n">
        <x:v>1</x:v>
      </x:c>
      <x:c r="L544" s="24" t="n">
        <x:v>13.799999999999999</x:v>
      </x:c>
      <x:c r="M544" s="26" t="n">
        <x:v>0.1</x:v>
      </x:c>
      <x:c r="N544" s="24" t="n">
        <x:v>2</x:v>
      </x:c>
      <x:c r="O544" s="28" t="n">
        <x:f>MIN(1,L544/I544)</x:f>
        <x:v>0.1725</x:v>
      </x:c>
      <x:c r="P544" s="30" t="n">
        <x:f>O544*J544*(1+M544)</x:f>
        <x:v>0.3795</x:v>
      </x:c>
      <x:c r="Q544" s="30" t="n">
        <x:f>P544*N544</x:f>
        <x:v>0.759</x:v>
      </x:c>
      <x:c r="R544" s="19" t="str">
        <x:v>独立判定</x:v>
      </x:c>
    </x:row>
    <x:row r="545" ht="19" customHeight="1">
      <x:c r="A545" s="19" t="str">
        <x:v>D00541</x:v>
      </x:c>
      <x:c r="B545" s="19" t="n">
        <x:v>2</x:v>
      </x:c>
      <x:c r="C545" s="19" t="n">
        <x:v>4</x:v>
      </x:c>
      <x:c r="D545" s="19" t="str">
        <x:v>EL-MON-LIM-STORM-011</x:v>
      </x:c>
      <x:c r="E545" s="19" t="str">
        <x:v>风暴君王·奥雷格</x:v>
      </x:c>
      <x:c r="F545" s="19" t="str">
        <x:v>地图BOSS</x:v>
      </x:c>
      <x:c r="G545" s="19" t="str">
        <x:v>材料独立候选</x:v>
      </x:c>
      <x:c r="H545" s="19" t="str">
        <x:v>风暴王核</x:v>
      </x:c>
      <x:c r="I545" s="22" t="n">
        <x:v>60</x:v>
      </x:c>
      <x:c r="J545" s="22" t="n">
        <x:v>1</x:v>
      </x:c>
      <x:c r="K545" s="19" t="n">
        <x:v>1</x:v>
      </x:c>
      <x:c r="L545" s="24" t="n">
        <x:v>13.799999999999999</x:v>
      </x:c>
      <x:c r="M545" s="26" t="n">
        <x:v>0.1</x:v>
      </x:c>
      <x:c r="N545" s="24" t="n">
        <x:v>2</x:v>
      </x:c>
      <x:c r="O545" s="28" t="n">
        <x:f>MIN(1,L545/I545)</x:f>
        <x:v>0.22999999999999998</x:v>
      </x:c>
      <x:c r="P545" s="30" t="n">
        <x:f>O545*J545*(1+M545)</x:f>
        <x:v>0.253</x:v>
      </x:c>
      <x:c r="Q545" s="30" t="n">
        <x:f>P545*N545</x:f>
        <x:v>0.506</x:v>
      </x:c>
      <x:c r="R545" s="19" t="str">
        <x:v>独立判定</x:v>
      </x:c>
    </x:row>
    <x:row r="546" ht="19" customHeight="1">
      <x:c r="A546" s="19" t="str">
        <x:v>D00542</x:v>
      </x:c>
      <x:c r="B546" s="19" t="n">
        <x:v>2</x:v>
      </x:c>
      <x:c r="C546" s="19" t="n">
        <x:v>4</x:v>
      </x:c>
      <x:c r="D546" s="19" t="str">
        <x:v>EL-MON-LIM-STORM-011</x:v>
      </x:c>
      <x:c r="E546" s="19" t="str">
        <x:v>风暴君王·奥雷格</x:v>
      </x:c>
      <x:c r="F546" s="19" t="str">
        <x:v>地图BOSS</x:v>
      </x:c>
      <x:c r="G546" s="19" t="str">
        <x:v>材料独立候选</x:v>
      </x:c>
      <x:c r="H546" s="19" t="str">
        <x:v>野兽骨片</x:v>
      </x:c>
      <x:c r="I546" s="22" t="n">
        <x:v>40</x:v>
      </x:c>
      <x:c r="J546" s="22" t="n">
        <x:v>2</x:v>
      </x:c>
      <x:c r="K546" s="19" t="n">
        <x:v>1</x:v>
      </x:c>
      <x:c r="L546" s="24" t="n">
        <x:v>13.799999999999999</x:v>
      </x:c>
      <x:c r="M546" s="26" t="n">
        <x:v>0.1</x:v>
      </x:c>
      <x:c r="N546" s="24" t="n">
        <x:v>2</x:v>
      </x:c>
      <x:c r="O546" s="28" t="n">
        <x:f>MIN(1,L546/I546)</x:f>
        <x:v>0.345</x:v>
      </x:c>
      <x:c r="P546" s="30" t="n">
        <x:f>O546*J546*(1+M546)</x:f>
        <x:v>0.759</x:v>
      </x:c>
      <x:c r="Q546" s="30" t="n">
        <x:f>P546*N546</x:f>
        <x:v>1.518</x:v>
      </x:c>
      <x:c r="R546" s="19" t="str">
        <x:v>独立判定</x:v>
      </x:c>
    </x:row>
    <x:row r="547" ht="19" customHeight="1">
      <x:c r="A547" s="19" t="str">
        <x:v>D00543</x:v>
      </x:c>
      <x:c r="B547" s="19" t="n">
        <x:v>2</x:v>
      </x:c>
      <x:c r="C547" s="19" t="n">
        <x:v>4</x:v>
      </x:c>
      <x:c r="D547" s="19" t="str">
        <x:v>EL-MON-LIM-STORM-011</x:v>
      </x:c>
      <x:c r="E547" s="19" t="str">
        <x:v>风暴君王·奥雷格</x:v>
      </x:c>
      <x:c r="F547" s="19" t="str">
        <x:v>地图BOSS</x:v>
      </x:c>
      <x:c r="G547" s="19" t="str">
        <x:v>材料独立候选</x:v>
      </x:c>
      <x:c r="H547" s="19" t="str">
        <x:v>技能残页</x:v>
      </x:c>
      <x:c r="I547" s="22" t="n">
        <x:v>30</x:v>
      </x:c>
      <x:c r="J547" s="22" t="n">
        <x:v>1</x:v>
      </x:c>
      <x:c r="K547" s="19" t="n">
        <x:v>1</x:v>
      </x:c>
      <x:c r="L547" s="24" t="n">
        <x:v>13.799999999999999</x:v>
      </x:c>
      <x:c r="M547" s="26" t="n">
        <x:v>0.1</x:v>
      </x:c>
      <x:c r="N547" s="24" t="n">
        <x:v>2</x:v>
      </x:c>
      <x:c r="O547" s="28" t="n">
        <x:f>MIN(1,L547/I547)</x:f>
        <x:v>0.45999999999999996</x:v>
      </x:c>
      <x:c r="P547" s="30" t="n">
        <x:f>O547*J547*(1+M547)</x:f>
        <x:v>0.506</x:v>
      </x:c>
      <x:c r="Q547" s="30" t="n">
        <x:f>P547*N547</x:f>
        <x:v>1.012</x:v>
      </x:c>
      <x:c r="R547" s="19" t="str">
        <x:v>独立判定</x:v>
      </x:c>
    </x:row>
    <x:row r="548" ht="19" customHeight="1">
      <x:c r="A548" s="19" t="str">
        <x:v>D00544</x:v>
      </x:c>
      <x:c r="B548" s="19" t="n">
        <x:v>2</x:v>
      </x:c>
      <x:c r="C548" s="19" t="n">
        <x:v>4</x:v>
      </x:c>
      <x:c r="D548" s="19" t="str">
        <x:v>EL-MON-LIM-STORM-011</x:v>
      </x:c>
      <x:c r="E548" s="19" t="str">
        <x:v>风暴君王·奥雷格</x:v>
      </x:c>
      <x:c r="F548" s="19" t="str">
        <x:v>地图BOSS</x:v>
      </x:c>
      <x:c r="G548" s="19" t="str">
        <x:v>材料独立候选</x:v>
      </x:c>
      <x:c r="H548" s="19" t="str">
        <x:v>宁姆格福誓页</x:v>
      </x:c>
      <x:c r="I548" s="22" t="n">
        <x:v>180</x:v>
      </x:c>
      <x:c r="J548" s="22" t="n">
        <x:v>1</x:v>
      </x:c>
      <x:c r="K548" s="19" t="n">
        <x:v>1</x:v>
      </x:c>
      <x:c r="L548" s="24" t="n">
        <x:v>13.799999999999999</x:v>
      </x:c>
      <x:c r="M548" s="26" t="n">
        <x:v>0.1</x:v>
      </x:c>
      <x:c r="N548" s="24" t="n">
        <x:v>2</x:v>
      </x:c>
      <x:c r="O548" s="28" t="n">
        <x:f>MIN(1,L548/I548)</x:f>
        <x:v>0.07666666666666666</x:v>
      </x:c>
      <x:c r="P548" s="30" t="n">
        <x:f>O548*J548*(1+M548)</x:f>
        <x:v>0.08433333333333333</x:v>
      </x:c>
      <x:c r="Q548" s="30" t="n">
        <x:f>P548*N548</x:f>
        <x:v>0.16866666666666666</x:v>
      </x:c>
      <x:c r="R548" s="19" t="str">
        <x:v>独立判定</x:v>
      </x:c>
    </x:row>
    <x:row r="549" ht="19" customHeight="1">
      <x:c r="A549" s="19" t="str">
        <x:v>D00545</x:v>
      </x:c>
      <x:c r="B549" s="19" t="n">
        <x:v>2</x:v>
      </x:c>
      <x:c r="C549" s="19" t="n">
        <x:v>4</x:v>
      </x:c>
      <x:c r="D549" s="19" t="str">
        <x:v>EL-MON-LIM-STORM-011</x:v>
      </x:c>
      <x:c r="E549" s="19" t="str">
        <x:v>风暴君王·奥雷格</x:v>
      </x:c>
      <x:c r="F549" s="19" t="str">
        <x:v>地图BOSS</x:v>
      </x:c>
      <x:c r="G549" s="19" t="str">
        <x:v>材料独立候选</x:v>
      </x:c>
      <x:c r="H549" s="19" t="str">
        <x:v>小卢恩</x:v>
      </x:c>
      <x:c r="I549" s="22" t="n">
        <x:v>1200</x:v>
      </x:c>
      <x:c r="J549" s="22" t="n">
        <x:v>1</x:v>
      </x:c>
      <x:c r="K549" s="19" t="n">
        <x:v>1</x:v>
      </x:c>
      <x:c r="L549" s="24" t="n">
        <x:v>13.799999999999999</x:v>
      </x:c>
      <x:c r="M549" s="26" t="n">
        <x:v>0.1</x:v>
      </x:c>
      <x:c r="N549" s="24" t="n">
        <x:v>2</x:v>
      </x:c>
      <x:c r="O549" s="28" t="n">
        <x:f>MIN(1,L549/I549)</x:f>
        <x:v>0.0115</x:v>
      </x:c>
      <x:c r="P549" s="30" t="n">
        <x:f>O549*J549*(1+M549)</x:f>
        <x:v>0.012650000000000002</x:v>
      </x:c>
      <x:c r="Q549" s="30" t="n">
        <x:f>P549*N549</x:f>
        <x:v>0.025300000000000003</x:v>
      </x:c>
      <x:c r="R549" s="19" t="str">
        <x:v>独立判定</x:v>
      </x:c>
    </x:row>
    <x:row r="550" ht="19" customHeight="1">
      <x:c r="A550" s="19" t="str">
        <x:v>D00546</x:v>
      </x:c>
      <x:c r="B550" s="19" t="n">
        <x:v>2</x:v>
      </x:c>
      <x:c r="C550" s="19" t="n">
        <x:v>4</x:v>
      </x:c>
      <x:c r="D550" s="19" t="str">
        <x:v>EL-MON-LIM-STORM-011</x:v>
      </x:c>
      <x:c r="E550" s="19" t="str">
        <x:v>风暴君王·奥雷格</x:v>
      </x:c>
      <x:c r="F550" s="19" t="str">
        <x:v>地图BOSS</x:v>
      </x:c>
      <x:c r="G550" s="19" t="str">
        <x:v>材料独立候选</x:v>
      </x:c>
      <x:c r="H550" s="19" t="str">
        <x:v>大卢恩</x:v>
      </x:c>
      <x:c r="I550" s="22" t="n">
        <x:v>120</x:v>
      </x:c>
      <x:c r="J550" s="22" t="n">
        <x:v>1</x:v>
      </x:c>
      <x:c r="K550" s="19" t="n">
        <x:v>1</x:v>
      </x:c>
      <x:c r="L550" s="24" t="n">
        <x:v>13.799999999999999</x:v>
      </x:c>
      <x:c r="M550" s="26" t="n">
        <x:v>0.1</x:v>
      </x:c>
      <x:c r="N550" s="24" t="n">
        <x:v>2</x:v>
      </x:c>
      <x:c r="O550" s="28" t="n">
        <x:f>MIN(1,L550/I550)</x:f>
        <x:v>0.11499999999999999</x:v>
      </x:c>
      <x:c r="P550" s="30" t="n">
        <x:f>O550*J550*(1+M550)</x:f>
        <x:v>0.1265</x:v>
      </x:c>
      <x:c r="Q550" s="30" t="n">
        <x:f>P550*N550</x:f>
        <x:v>0.253</x:v>
      </x:c>
      <x:c r="R550" s="19" t="str">
        <x:v>独立判定</x:v>
      </x:c>
    </x:row>
    <x:row r="551" ht="19" customHeight="1">
      <x:c r="A551" s="19" t="str">
        <x:v>D00547</x:v>
      </x:c>
      <x:c r="B551" s="19" t="n">
        <x:v>2</x:v>
      </x:c>
      <x:c r="C551" s="19" t="n">
        <x:v>4</x:v>
      </x:c>
      <x:c r="D551" s="19" t="str">
        <x:v>EL-MON-LIM-STORM-011</x:v>
      </x:c>
      <x:c r="E551" s="19" t="str">
        <x:v>风暴君王·奥雷格</x:v>
      </x:c>
      <x:c r="F551" s="19" t="str">
        <x:v>地图BOSS</x:v>
      </x:c>
      <x:c r="G551" s="19" t="str">
        <x:v>六神器公共池</x:v>
      </x:c>
      <x:c r="H551" s="19" t="str">
        <x:v>POOL006</x:v>
      </x:c>
      <x:c r="I551" s="22" t="n">
        <x:v>200000</x:v>
      </x:c>
      <x:c r="J551" s="22" t="n">
        <x:v>1</x:v>
      </x:c>
      <x:c r="K551" s="19" t="n">
        <x:v>6</x:v>
      </x:c>
      <x:c r="L551" s="24" t="n">
        <x:v>13.799999999999999</x:v>
      </x:c>
      <x:c r="M551" s="26" t="n">
        <x:v>0.1</x:v>
      </x:c>
      <x:c r="N551" s="24" t="n">
        <x:v>2</x:v>
      </x:c>
      <x:c r="O551" s="28" t="n">
        <x:f>MIN(1,L551/I551)</x:f>
        <x:v>0.000069</x:v>
      </x:c>
      <x:c r="P551" s="30" t="n">
        <x:f>O551*J551*(1+M551)</x:f>
        <x:v>0.0000759</x:v>
      </x:c>
      <x:c r="Q551" s="30" t="n">
        <x:f>P551*N551</x:f>
        <x:v>0.0001518</x:v>
      </x:c>
      <x:c r="R551" s="19" t="str">
        <x:v>六选一；非6个独立爆率</x:v>
      </x:c>
    </x:row>
    <x:row r="552" ht="19" customHeight="1">
      <x:c r="A552" s="19" t="str">
        <x:v>D00548</x:v>
      </x:c>
      <x:c r="B552" s="19" t="n">
        <x:v>2</x:v>
      </x:c>
      <x:c r="C552" s="19" t="n">
        <x:v>4</x:v>
      </x:c>
      <x:c r="D552" s="19" t="str">
        <x:v>EL-MON-LIM-STORM-012</x:v>
      </x:c>
      <x:c r="E552" s="19" t="str">
        <x:v>恶兆妖鬼·玛尔基特</x:v>
      </x:c>
      <x:c r="F552" s="19" t="str">
        <x:v>地图BOSS</x:v>
      </x:c>
      <x:c r="G552" s="19" t="str">
        <x:v>自身专属</x:v>
      </x:c>
      <x:c r="H552" s="19" t="str">
        <x:v>恶兆酉鸡</x:v>
      </x:c>
      <x:c r="I552" s="22" t="n">
        <x:v>30</x:v>
      </x:c>
      <x:c r="J552" s="22" t="n">
        <x:v>1</x:v>
      </x:c>
      <x:c r="K552" s="19" t="n">
        <x:v>1</x:v>
      </x:c>
      <x:c r="L552" s="24" t="n">
        <x:v>13.799999999999999</x:v>
      </x:c>
      <x:c r="M552" s="26" t="n">
        <x:v>0.1</x:v>
      </x:c>
      <x:c r="N552" s="24" t="n">
        <x:v>2</x:v>
      </x:c>
      <x:c r="O552" s="28" t="n">
        <x:f>MIN(1,L552/I552)</x:f>
        <x:v>0.45999999999999996</x:v>
      </x:c>
      <x:c r="P552" s="30" t="n">
        <x:f>O552*J552*(1+M552)</x:f>
        <x:v>0.506</x:v>
      </x:c>
      <x:c r="Q552" s="30" t="n">
        <x:f>P552*N552</x:f>
        <x:v>1.012</x:v>
      </x:c>
      <x:c r="R552" s="19" t="str">
        <x:v>独立判定</x:v>
      </x:c>
    </x:row>
    <x:row r="553" ht="19" customHeight="1">
      <x:c r="A553" s="19" t="str">
        <x:v>D00549</x:v>
      </x:c>
      <x:c r="B553" s="19" t="n">
        <x:v>2</x:v>
      </x:c>
      <x:c r="C553" s="19" t="n">
        <x:v>4</x:v>
      </x:c>
      <x:c r="D553" s="19" t="str">
        <x:v>EL-MON-LIM-STORM-012</x:v>
      </x:c>
      <x:c r="E553" s="19" t="str">
        <x:v>恶兆妖鬼·玛尔基特</x:v>
      </x:c>
      <x:c r="F553" s="19" t="str">
        <x:v>地图BOSS</x:v>
      </x:c>
      <x:c r="G553" s="19" t="str">
        <x:v>本图普通兼掉候选</x:v>
      </x:c>
      <x:c r="H553" s="19" t="str">
        <x:v>POOL010</x:v>
      </x:c>
      <x:c r="I553" s="22" t="n">
        <x:v>30</x:v>
      </x:c>
      <x:c r="J553" s="22" t="n">
        <x:v>1</x:v>
      </x:c>
      <x:c r="K553" s="19" t="n">
        <x:v>2</x:v>
      </x:c>
      <x:c r="L553" s="24" t="n">
        <x:v>13.799999999999999</x:v>
      </x:c>
      <x:c r="M553" s="26" t="n">
        <x:v>0.1</x:v>
      </x:c>
      <x:c r="N553" s="24" t="n">
        <x:v>2</x:v>
      </x:c>
      <x:c r="O553" s="28" t="n">
        <x:f>MIN(1,L553/I553)</x:f>
        <x:v>0.45999999999999996</x:v>
      </x:c>
      <x:c r="P553" s="30" t="n">
        <x:f>O553*J553*(1+M553)</x:f>
        <x:v>0.506</x:v>
      </x:c>
      <x:c r="Q553" s="30" t="n">
        <x:f>P553*N553</x:f>
        <x:v>1.012</x:v>
      </x:c>
      <x:c r="R553" s="19" t="str">
        <x:v>单池选一</x:v>
      </x:c>
    </x:row>
    <x:row r="554" ht="19" customHeight="1">
      <x:c r="A554" s="19" t="str">
        <x:v>D00550</x:v>
      </x:c>
      <x:c r="B554" s="19" t="n">
        <x:v>2</x:v>
      </x:c>
      <x:c r="C554" s="19" t="n">
        <x:v>4</x:v>
      </x:c>
      <x:c r="D554" s="19" t="str">
        <x:v>EL-MON-LIM-STORM-012</x:v>
      </x:c>
      <x:c r="E554" s="19" t="str">
        <x:v>恶兆妖鬼·玛尔基特</x:v>
      </x:c>
      <x:c r="F554" s="19" t="str">
        <x:v>地图BOSS</x:v>
      </x:c>
      <x:c r="G554" s="19" t="str">
        <x:v>材料独立候选</x:v>
      </x:c>
      <x:c r="H554" s="19" t="str">
        <x:v>风暴石片</x:v>
      </x:c>
      <x:c r="I554" s="22" t="n">
        <x:v>150</x:v>
      </x:c>
      <x:c r="J554" s="22" t="n">
        <x:v>30</x:v>
      </x:c>
      <x:c r="K554" s="19" t="n">
        <x:v>1</x:v>
      </x:c>
      <x:c r="L554" s="24" t="n">
        <x:v>13.799999999999999</x:v>
      </x:c>
      <x:c r="M554" s="26" t="n">
        <x:v>0.1</x:v>
      </x:c>
      <x:c r="N554" s="24" t="n">
        <x:v>2</x:v>
      </x:c>
      <x:c r="O554" s="28" t="n">
        <x:f>MIN(1,L554/I554)</x:f>
        <x:v>0.092</x:v>
      </x:c>
      <x:c r="P554" s="30" t="n">
        <x:f>O554*J554*(1+M554)</x:f>
        <x:v>3.036</x:v>
      </x:c>
      <x:c r="Q554" s="30" t="n">
        <x:f>P554*N554</x:f>
        <x:v>6.072</x:v>
      </x:c>
      <x:c r="R554" s="19" t="str">
        <x:v>独立判定</x:v>
      </x:c>
    </x:row>
    <x:row r="555" ht="19" customHeight="1">
      <x:c r="A555" s="19" t="str">
        <x:v>D00551</x:v>
      </x:c>
      <x:c r="B555" s="19" t="n">
        <x:v>2</x:v>
      </x:c>
      <x:c r="C555" s="19" t="n">
        <x:v>4</x:v>
      </x:c>
      <x:c r="D555" s="19" t="str">
        <x:v>EL-MON-LIM-STORM-012</x:v>
      </x:c>
      <x:c r="E555" s="19" t="str">
        <x:v>恶兆妖鬼·玛尔基特</x:v>
      </x:c>
      <x:c r="F555" s="19" t="str">
        <x:v>地图BOSS</x:v>
      </x:c>
      <x:c r="G555" s="19" t="str">
        <x:v>材料独立候选</x:v>
      </x:c>
      <x:c r="H555" s="19" t="str">
        <x:v>黄金树芽</x:v>
      </x:c>
      <x:c r="I555" s="22" t="n">
        <x:v>30</x:v>
      </x:c>
      <x:c r="J555" s="22" t="n">
        <x:v>2</x:v>
      </x:c>
      <x:c r="K555" s="19" t="n">
        <x:v>1</x:v>
      </x:c>
      <x:c r="L555" s="24" t="n">
        <x:v>13.799999999999999</x:v>
      </x:c>
      <x:c r="M555" s="26" t="n">
        <x:v>0.1</x:v>
      </x:c>
      <x:c r="N555" s="24" t="n">
        <x:v>2</x:v>
      </x:c>
      <x:c r="O555" s="28" t="n">
        <x:f>MIN(1,L555/I555)</x:f>
        <x:v>0.45999999999999996</x:v>
      </x:c>
      <x:c r="P555" s="30" t="n">
        <x:f>O555*J555*(1+M555)</x:f>
        <x:v>1.012</x:v>
      </x:c>
      <x:c r="Q555" s="30" t="n">
        <x:f>P555*N555</x:f>
        <x:v>2.024</x:v>
      </x:c>
      <x:c r="R555" s="19" t="str">
        <x:v>独立判定</x:v>
      </x:c>
    </x:row>
    <x:row r="556" ht="19" customHeight="1">
      <x:c r="A556" s="19" t="str">
        <x:v>D00552</x:v>
      </x:c>
      <x:c r="B556" s="19" t="n">
        <x:v>2</x:v>
      </x:c>
      <x:c r="C556" s="19" t="n">
        <x:v>4</x:v>
      </x:c>
      <x:c r="D556" s="19" t="str">
        <x:v>EL-MON-LIM-STORM-012</x:v>
      </x:c>
      <x:c r="E556" s="19" t="str">
        <x:v>恶兆妖鬼·玛尔基特</x:v>
      </x:c>
      <x:c r="F556" s="19" t="str">
        <x:v>地图BOSS</x:v>
      </x:c>
      <x:c r="G556" s="19" t="str">
        <x:v>材料独立候选</x:v>
      </x:c>
      <x:c r="H556" s="19" t="str">
        <x:v>接肢王印</x:v>
      </x:c>
      <x:c r="I556" s="22" t="n">
        <x:v>80</x:v>
      </x:c>
      <x:c r="J556" s="22" t="n">
        <x:v>2</x:v>
      </x:c>
      <x:c r="K556" s="19" t="n">
        <x:v>1</x:v>
      </x:c>
      <x:c r="L556" s="24" t="n">
        <x:v>13.799999999999999</x:v>
      </x:c>
      <x:c r="M556" s="26" t="n">
        <x:v>0.1</x:v>
      </x:c>
      <x:c r="N556" s="24" t="n">
        <x:v>2</x:v>
      </x:c>
      <x:c r="O556" s="28" t="n">
        <x:f>MIN(1,L556/I556)</x:f>
        <x:v>0.1725</x:v>
      </x:c>
      <x:c r="P556" s="30" t="n">
        <x:f>O556*J556*(1+M556)</x:f>
        <x:v>0.3795</x:v>
      </x:c>
      <x:c r="Q556" s="30" t="n">
        <x:f>P556*N556</x:f>
        <x:v>0.759</x:v>
      </x:c>
      <x:c r="R556" s="19" t="str">
        <x:v>独立判定</x:v>
      </x:c>
    </x:row>
    <x:row r="557" ht="19" customHeight="1">
      <x:c r="A557" s="19" t="str">
        <x:v>D00553</x:v>
      </x:c>
      <x:c r="B557" s="19" t="n">
        <x:v>2</x:v>
      </x:c>
      <x:c r="C557" s="19" t="n">
        <x:v>4</x:v>
      </x:c>
      <x:c r="D557" s="19" t="str">
        <x:v>EL-MON-LIM-STORM-012</x:v>
      </x:c>
      <x:c r="E557" s="19" t="str">
        <x:v>恶兆妖鬼·玛尔基特</x:v>
      </x:c>
      <x:c r="F557" s="19" t="str">
        <x:v>地图BOSS</x:v>
      </x:c>
      <x:c r="G557" s="19" t="str">
        <x:v>材料独立候选</x:v>
      </x:c>
      <x:c r="H557" s="19" t="str">
        <x:v>恶兆残角</x:v>
      </x:c>
      <x:c r="I557" s="22" t="n">
        <x:v>60</x:v>
      </x:c>
      <x:c r="J557" s="22" t="n">
        <x:v>1</x:v>
      </x:c>
      <x:c r="K557" s="19" t="n">
        <x:v>1</x:v>
      </x:c>
      <x:c r="L557" s="24" t="n">
        <x:v>13.799999999999999</x:v>
      </x:c>
      <x:c r="M557" s="26" t="n">
        <x:v>0.1</x:v>
      </x:c>
      <x:c r="N557" s="24" t="n">
        <x:v>2</x:v>
      </x:c>
      <x:c r="O557" s="28" t="n">
        <x:f>MIN(1,L557/I557)</x:f>
        <x:v>0.22999999999999998</x:v>
      </x:c>
      <x:c r="P557" s="30" t="n">
        <x:f>O557*J557*(1+M557)</x:f>
        <x:v>0.253</x:v>
      </x:c>
      <x:c r="Q557" s="30" t="n">
        <x:f>P557*N557</x:f>
        <x:v>0.506</x:v>
      </x:c>
      <x:c r="R557" s="19" t="str">
        <x:v>独立判定</x:v>
      </x:c>
    </x:row>
    <x:row r="558" ht="19" customHeight="1">
      <x:c r="A558" s="19" t="str">
        <x:v>D00554</x:v>
      </x:c>
      <x:c r="B558" s="19" t="n">
        <x:v>2</x:v>
      </x:c>
      <x:c r="C558" s="19" t="n">
        <x:v>4</x:v>
      </x:c>
      <x:c r="D558" s="19" t="str">
        <x:v>EL-MON-LIM-STORM-012</x:v>
      </x:c>
      <x:c r="E558" s="19" t="str">
        <x:v>恶兆妖鬼·玛尔基特</x:v>
      </x:c>
      <x:c r="F558" s="19" t="str">
        <x:v>地图BOSS</x:v>
      </x:c>
      <x:c r="G558" s="19" t="str">
        <x:v>材料独立候选</x:v>
      </x:c>
      <x:c r="H558" s="19" t="str">
        <x:v>野兽骨片</x:v>
      </x:c>
      <x:c r="I558" s="22" t="n">
        <x:v>40</x:v>
      </x:c>
      <x:c r="J558" s="22" t="n">
        <x:v>2</x:v>
      </x:c>
      <x:c r="K558" s="19" t="n">
        <x:v>1</x:v>
      </x:c>
      <x:c r="L558" s="24" t="n">
        <x:v>13.799999999999999</x:v>
      </x:c>
      <x:c r="M558" s="26" t="n">
        <x:v>0.1</x:v>
      </x:c>
      <x:c r="N558" s="24" t="n">
        <x:v>2</x:v>
      </x:c>
      <x:c r="O558" s="28" t="n">
        <x:f>MIN(1,L558/I558)</x:f>
        <x:v>0.345</x:v>
      </x:c>
      <x:c r="P558" s="30" t="n">
        <x:f>O558*J558*(1+M558)</x:f>
        <x:v>0.759</x:v>
      </x:c>
      <x:c r="Q558" s="30" t="n">
        <x:f>P558*N558</x:f>
        <x:v>1.518</x:v>
      </x:c>
      <x:c r="R558" s="19" t="str">
        <x:v>独立判定</x:v>
      </x:c>
    </x:row>
    <x:row r="559" ht="19" customHeight="1">
      <x:c r="A559" s="19" t="str">
        <x:v>D00555</x:v>
      </x:c>
      <x:c r="B559" s="19" t="n">
        <x:v>2</x:v>
      </x:c>
      <x:c r="C559" s="19" t="n">
        <x:v>4</x:v>
      </x:c>
      <x:c r="D559" s="19" t="str">
        <x:v>EL-MON-LIM-STORM-012</x:v>
      </x:c>
      <x:c r="E559" s="19" t="str">
        <x:v>恶兆妖鬼·玛尔基特</x:v>
      </x:c>
      <x:c r="F559" s="19" t="str">
        <x:v>地图BOSS</x:v>
      </x:c>
      <x:c r="G559" s="19" t="str">
        <x:v>材料独立候选</x:v>
      </x:c>
      <x:c r="H559" s="19" t="str">
        <x:v>技能残页</x:v>
      </x:c>
      <x:c r="I559" s="22" t="n">
        <x:v>30</x:v>
      </x:c>
      <x:c r="J559" s="22" t="n">
        <x:v>1</x:v>
      </x:c>
      <x:c r="K559" s="19" t="n">
        <x:v>1</x:v>
      </x:c>
      <x:c r="L559" s="24" t="n">
        <x:v>13.799999999999999</x:v>
      </x:c>
      <x:c r="M559" s="26" t="n">
        <x:v>0.1</x:v>
      </x:c>
      <x:c r="N559" s="24" t="n">
        <x:v>2</x:v>
      </x:c>
      <x:c r="O559" s="28" t="n">
        <x:f>MIN(1,L559/I559)</x:f>
        <x:v>0.45999999999999996</x:v>
      </x:c>
      <x:c r="P559" s="30" t="n">
        <x:f>O559*J559*(1+M559)</x:f>
        <x:v>0.506</x:v>
      </x:c>
      <x:c r="Q559" s="30" t="n">
        <x:f>P559*N559</x:f>
        <x:v>1.012</x:v>
      </x:c>
      <x:c r="R559" s="19" t="str">
        <x:v>独立判定</x:v>
      </x:c>
    </x:row>
    <x:row r="560" ht="19" customHeight="1">
      <x:c r="A560" s="19" t="str">
        <x:v>D00556</x:v>
      </x:c>
      <x:c r="B560" s="19" t="n">
        <x:v>2</x:v>
      </x:c>
      <x:c r="C560" s="19" t="n">
        <x:v>4</x:v>
      </x:c>
      <x:c r="D560" s="19" t="str">
        <x:v>EL-MON-LIM-STORM-012</x:v>
      </x:c>
      <x:c r="E560" s="19" t="str">
        <x:v>恶兆妖鬼·玛尔基特</x:v>
      </x:c>
      <x:c r="F560" s="19" t="str">
        <x:v>地图BOSS</x:v>
      </x:c>
      <x:c r="G560" s="19" t="str">
        <x:v>材料独立候选</x:v>
      </x:c>
      <x:c r="H560" s="19" t="str">
        <x:v>宁姆格福誓页</x:v>
      </x:c>
      <x:c r="I560" s="22" t="n">
        <x:v>180</x:v>
      </x:c>
      <x:c r="J560" s="22" t="n">
        <x:v>1</x:v>
      </x:c>
      <x:c r="K560" s="19" t="n">
        <x:v>1</x:v>
      </x:c>
      <x:c r="L560" s="24" t="n">
        <x:v>13.799999999999999</x:v>
      </x:c>
      <x:c r="M560" s="26" t="n">
        <x:v>0.1</x:v>
      </x:c>
      <x:c r="N560" s="24" t="n">
        <x:v>2</x:v>
      </x:c>
      <x:c r="O560" s="28" t="n">
        <x:f>MIN(1,L560/I560)</x:f>
        <x:v>0.07666666666666666</x:v>
      </x:c>
      <x:c r="P560" s="30" t="n">
        <x:f>O560*J560*(1+M560)</x:f>
        <x:v>0.08433333333333333</x:v>
      </x:c>
      <x:c r="Q560" s="30" t="n">
        <x:f>P560*N560</x:f>
        <x:v>0.16866666666666666</x:v>
      </x:c>
      <x:c r="R560" s="19" t="str">
        <x:v>独立判定</x:v>
      </x:c>
    </x:row>
    <x:row r="561" ht="19" customHeight="1">
      <x:c r="A561" s="19" t="str">
        <x:v>D00557</x:v>
      </x:c>
      <x:c r="B561" s="19" t="n">
        <x:v>2</x:v>
      </x:c>
      <x:c r="C561" s="19" t="n">
        <x:v>4</x:v>
      </x:c>
      <x:c r="D561" s="19" t="str">
        <x:v>EL-MON-LIM-STORM-012</x:v>
      </x:c>
      <x:c r="E561" s="19" t="str">
        <x:v>恶兆妖鬼·玛尔基特</x:v>
      </x:c>
      <x:c r="F561" s="19" t="str">
        <x:v>地图BOSS</x:v>
      </x:c>
      <x:c r="G561" s="19" t="str">
        <x:v>材料独立候选</x:v>
      </x:c>
      <x:c r="H561" s="19" t="str">
        <x:v>小卢恩</x:v>
      </x:c>
      <x:c r="I561" s="22" t="n">
        <x:v>1200</x:v>
      </x:c>
      <x:c r="J561" s="22" t="n">
        <x:v>1</x:v>
      </x:c>
      <x:c r="K561" s="19" t="n">
        <x:v>1</x:v>
      </x:c>
      <x:c r="L561" s="24" t="n">
        <x:v>13.799999999999999</x:v>
      </x:c>
      <x:c r="M561" s="26" t="n">
        <x:v>0.1</x:v>
      </x:c>
      <x:c r="N561" s="24" t="n">
        <x:v>2</x:v>
      </x:c>
      <x:c r="O561" s="28" t="n">
        <x:f>MIN(1,L561/I561)</x:f>
        <x:v>0.0115</x:v>
      </x:c>
      <x:c r="P561" s="30" t="n">
        <x:f>O561*J561*(1+M561)</x:f>
        <x:v>0.012650000000000002</x:v>
      </x:c>
      <x:c r="Q561" s="30" t="n">
        <x:f>P561*N561</x:f>
        <x:v>0.025300000000000003</x:v>
      </x:c>
      <x:c r="R561" s="19" t="str">
        <x:v>独立判定</x:v>
      </x:c>
    </x:row>
    <x:row r="562" ht="19" customHeight="1">
      <x:c r="A562" s="19" t="str">
        <x:v>D00558</x:v>
      </x:c>
      <x:c r="B562" s="19" t="n">
        <x:v>2</x:v>
      </x:c>
      <x:c r="C562" s="19" t="n">
        <x:v>4</x:v>
      </x:c>
      <x:c r="D562" s="19" t="str">
        <x:v>EL-MON-LIM-STORM-012</x:v>
      </x:c>
      <x:c r="E562" s="19" t="str">
        <x:v>恶兆妖鬼·玛尔基特</x:v>
      </x:c>
      <x:c r="F562" s="19" t="str">
        <x:v>地图BOSS</x:v>
      </x:c>
      <x:c r="G562" s="19" t="str">
        <x:v>材料独立候选</x:v>
      </x:c>
      <x:c r="H562" s="19" t="str">
        <x:v>大卢恩</x:v>
      </x:c>
      <x:c r="I562" s="22" t="n">
        <x:v>120</x:v>
      </x:c>
      <x:c r="J562" s="22" t="n">
        <x:v>1</x:v>
      </x:c>
      <x:c r="K562" s="19" t="n">
        <x:v>1</x:v>
      </x:c>
      <x:c r="L562" s="24" t="n">
        <x:v>13.799999999999999</x:v>
      </x:c>
      <x:c r="M562" s="26" t="n">
        <x:v>0.1</x:v>
      </x:c>
      <x:c r="N562" s="24" t="n">
        <x:v>2</x:v>
      </x:c>
      <x:c r="O562" s="28" t="n">
        <x:f>MIN(1,L562/I562)</x:f>
        <x:v>0.11499999999999999</x:v>
      </x:c>
      <x:c r="P562" s="30" t="n">
        <x:f>O562*J562*(1+M562)</x:f>
        <x:v>0.1265</x:v>
      </x:c>
      <x:c r="Q562" s="30" t="n">
        <x:f>P562*N562</x:f>
        <x:v>0.253</x:v>
      </x:c>
      <x:c r="R562" s="19" t="str">
        <x:v>独立判定</x:v>
      </x:c>
    </x:row>
    <x:row r="563" ht="19" customHeight="1">
      <x:c r="A563" s="19" t="str">
        <x:v>D00559</x:v>
      </x:c>
      <x:c r="B563" s="19" t="n">
        <x:v>2</x:v>
      </x:c>
      <x:c r="C563" s="19" t="n">
        <x:v>4</x:v>
      </x:c>
      <x:c r="D563" s="19" t="str">
        <x:v>EL-MON-LIM-STORM-012</x:v>
      </x:c>
      <x:c r="E563" s="19" t="str">
        <x:v>恶兆妖鬼·玛尔基特</x:v>
      </x:c>
      <x:c r="F563" s="19" t="str">
        <x:v>地图BOSS</x:v>
      </x:c>
      <x:c r="G563" s="19" t="str">
        <x:v>六神器公共池</x:v>
      </x:c>
      <x:c r="H563" s="19" t="str">
        <x:v>POOL006</x:v>
      </x:c>
      <x:c r="I563" s="22" t="n">
        <x:v>200000</x:v>
      </x:c>
      <x:c r="J563" s="22" t="n">
        <x:v>1</x:v>
      </x:c>
      <x:c r="K563" s="19" t="n">
        <x:v>6</x:v>
      </x:c>
      <x:c r="L563" s="24" t="n">
        <x:v>13.799999999999999</x:v>
      </x:c>
      <x:c r="M563" s="26" t="n">
        <x:v>0.1</x:v>
      </x:c>
      <x:c r="N563" s="24" t="n">
        <x:v>2</x:v>
      </x:c>
      <x:c r="O563" s="28" t="n">
        <x:f>MIN(1,L563/I563)</x:f>
        <x:v>0.000069</x:v>
      </x:c>
      <x:c r="P563" s="30" t="n">
        <x:f>O563*J563*(1+M563)</x:f>
        <x:v>0.0000759</x:v>
      </x:c>
      <x:c r="Q563" s="30" t="n">
        <x:f>P563*N563</x:f>
        <x:v>0.0001518</x:v>
      </x:c>
      <x:c r="R563" s="19" t="str">
        <x:v>六选一；非6个独立爆率</x:v>
      </x:c>
    </x:row>
    <x:row r="564" ht="19" customHeight="1">
      <x:c r="A564" s="19" t="str">
        <x:v>D00560</x:v>
      </x:c>
      <x:c r="B564" s="19" t="n">
        <x:v>2</x:v>
      </x:c>
      <x:c r="C564" s="19" t="n">
        <x:v>5</x:v>
      </x:c>
      <x:c r="D564" s="19" t="str">
        <x:v>EL-MON-LIM-CASTLE-001</x:v>
      </x:c>
      <x:c r="E564" s="19" t="str">
        <x:v>王城流刑兵</x:v>
      </x:c>
      <x:c r="F564" s="19" t="str">
        <x:v>普通</x:v>
      </x:c>
      <x:c r="G564" s="19" t="str">
        <x:v>自身专属</x:v>
      </x:c>
      <x:c r="H564" s="19" t="str">
        <x:v>流刑王刃</x:v>
      </x:c>
      <x:c r="I564" s="22" t="n">
        <x:v>600</x:v>
      </x:c>
      <x:c r="J564" s="22" t="n">
        <x:v>1</x:v>
      </x:c>
      <x:c r="K564" s="19" t="n">
        <x:v>1</x:v>
      </x:c>
      <x:c r="L564" s="24" t="n">
        <x:v>13.799999999999999</x:v>
      </x:c>
      <x:c r="M564" s="26" t="n">
        <x:v>0.1</x:v>
      </x:c>
      <x:c r="N564" s="24" t="n">
        <x:v>72</x:v>
      </x:c>
      <x:c r="O564" s="28" t="n">
        <x:f>MIN(1,L564/I564)</x:f>
        <x:v>0.023</x:v>
      </x:c>
      <x:c r="P564" s="30" t="n">
        <x:f>O564*J564*(1+M564)</x:f>
        <x:v>0.025300000000000003</x:v>
      </x:c>
      <x:c r="Q564" s="30" t="n">
        <x:f>P564*N564</x:f>
        <x:v>1.8216</x:v>
      </x:c>
      <x:c r="R564" s="19" t="str">
        <x:v>独立判定</x:v>
      </x:c>
    </x:row>
    <x:row r="565" ht="19" customHeight="1">
      <x:c r="A565" s="19" t="str">
        <x:v>D00561</x:v>
      </x:c>
      <x:c r="B565" s="19" t="n">
        <x:v>2</x:v>
      </x:c>
      <x:c r="C565" s="19" t="n">
        <x:v>5</x:v>
      </x:c>
      <x:c r="D565" s="19" t="str">
        <x:v>EL-MON-LIM-CASTLE-001</x:v>
      </x:c>
      <x:c r="E565" s="19" t="str">
        <x:v>王城流刑兵</x:v>
      </x:c>
      <x:c r="F565" s="19" t="str">
        <x:v>普通</x:v>
      </x:c>
      <x:c r="G565" s="19" t="str">
        <x:v>材料独立候选</x:v>
      </x:c>
      <x:c r="H565" s="19" t="str">
        <x:v>风暴石片</x:v>
      </x:c>
      <x:c r="I565" s="22" t="n">
        <x:v>500</x:v>
      </x:c>
      <x:c r="J565" s="22" t="n">
        <x:v>8</x:v>
      </x:c>
      <x:c r="K565" s="19" t="n">
        <x:v>1</x:v>
      </x:c>
      <x:c r="L565" s="24" t="n">
        <x:v>13.799999999999999</x:v>
      </x:c>
      <x:c r="M565" s="26" t="n">
        <x:v>0.1</x:v>
      </x:c>
      <x:c r="N565" s="24" t="n">
        <x:v>72</x:v>
      </x:c>
      <x:c r="O565" s="28" t="n">
        <x:f>MIN(1,L565/I565)</x:f>
        <x:v>0.0276</x:v>
      </x:c>
      <x:c r="P565" s="30" t="n">
        <x:f>O565*J565*(1+M565)</x:f>
        <x:v>0.24288</x:v>
      </x:c>
      <x:c r="Q565" s="30" t="n">
        <x:f>P565*N565</x:f>
        <x:v>17.487360000000002</x:v>
      </x:c>
      <x:c r="R565" s="19" t="str">
        <x:v>独立判定</x:v>
      </x:c>
    </x:row>
    <x:row r="566" ht="19" customHeight="1">
      <x:c r="A566" s="19" t="str">
        <x:v>D00562</x:v>
      </x:c>
      <x:c r="B566" s="19" t="n">
        <x:v>2</x:v>
      </x:c>
      <x:c r="C566" s="19" t="n">
        <x:v>5</x:v>
      </x:c>
      <x:c r="D566" s="19" t="str">
        <x:v>EL-MON-LIM-CASTLE-001</x:v>
      </x:c>
      <x:c r="E566" s="19" t="str">
        <x:v>王城流刑兵</x:v>
      </x:c>
      <x:c r="F566" s="19" t="str">
        <x:v>普通</x:v>
      </x:c>
      <x:c r="G566" s="19" t="str">
        <x:v>材料独立候选</x:v>
      </x:c>
      <x:c r="H566" s="19" t="str">
        <x:v>野兽骨片</x:v>
      </x:c>
      <x:c r="I566" s="22" t="n">
        <x:v>100</x:v>
      </x:c>
      <x:c r="J566" s="22" t="n">
        <x:v>2</x:v>
      </x:c>
      <x:c r="K566" s="19" t="n">
        <x:v>1</x:v>
      </x:c>
      <x:c r="L566" s="24" t="n">
        <x:v>13.799999999999999</x:v>
      </x:c>
      <x:c r="M566" s="26" t="n">
        <x:v>0.1</x:v>
      </x:c>
      <x:c r="N566" s="24" t="n">
        <x:v>72</x:v>
      </x:c>
      <x:c r="O566" s="28" t="n">
        <x:f>MIN(1,L566/I566)</x:f>
        <x:v>0.13799999999999998</x:v>
      </x:c>
      <x:c r="P566" s="30" t="n">
        <x:f>O566*J566*(1+M566)</x:f>
        <x:v>0.3036</x:v>
      </x:c>
      <x:c r="Q566" s="30" t="n">
        <x:f>P566*N566</x:f>
        <x:v>21.859199999999998</x:v>
      </x:c>
      <x:c r="R566" s="19" t="str">
        <x:v>独立判定</x:v>
      </x:c>
    </x:row>
    <x:row r="567" ht="19" customHeight="1">
      <x:c r="A567" s="19" t="str">
        <x:v>D00563</x:v>
      </x:c>
      <x:c r="B567" s="19" t="n">
        <x:v>2</x:v>
      </x:c>
      <x:c r="C567" s="19" t="n">
        <x:v>5</x:v>
      </x:c>
      <x:c r="D567" s="19" t="str">
        <x:v>EL-MON-LIM-CASTLE-001</x:v>
      </x:c>
      <x:c r="E567" s="19" t="str">
        <x:v>王城流刑兵</x:v>
      </x:c>
      <x:c r="F567" s="19" t="str">
        <x:v>普通</x:v>
      </x:c>
      <x:c r="G567" s="19" t="str">
        <x:v>材料独立候选</x:v>
      </x:c>
      <x:c r="H567" s="19" t="str">
        <x:v>技能残页</x:v>
      </x:c>
      <x:c r="I567" s="22" t="n">
        <x:v>100</x:v>
      </x:c>
      <x:c r="J567" s="22" t="n">
        <x:v>1</x:v>
      </x:c>
      <x:c r="K567" s="19" t="n">
        <x:v>1</x:v>
      </x:c>
      <x:c r="L567" s="24" t="n">
        <x:v>13.799999999999999</x:v>
      </x:c>
      <x:c r="M567" s="26" t="n">
        <x:v>0.1</x:v>
      </x:c>
      <x:c r="N567" s="24" t="n">
        <x:v>72</x:v>
      </x:c>
      <x:c r="O567" s="28" t="n">
        <x:f>MIN(1,L567/I567)</x:f>
        <x:v>0.13799999999999998</x:v>
      </x:c>
      <x:c r="P567" s="30" t="n">
        <x:f>O567*J567*(1+M567)</x:f>
        <x:v>0.1518</x:v>
      </x:c>
      <x:c r="Q567" s="30" t="n">
        <x:f>P567*N567</x:f>
        <x:v>10.929599999999999</x:v>
      </x:c>
      <x:c r="R567" s="19" t="str">
        <x:v>独立判定</x:v>
      </x:c>
    </x:row>
    <x:row r="568" ht="19" customHeight="1">
      <x:c r="A568" s="19" t="str">
        <x:v>D00564</x:v>
      </x:c>
      <x:c r="B568" s="19" t="n">
        <x:v>2</x:v>
      </x:c>
      <x:c r="C568" s="19" t="n">
        <x:v>5</x:v>
      </x:c>
      <x:c r="D568" s="19" t="str">
        <x:v>EL-MON-LIM-CASTLE-001</x:v>
      </x:c>
      <x:c r="E568" s="19" t="str">
        <x:v>王城流刑兵</x:v>
      </x:c>
      <x:c r="F568" s="19" t="str">
        <x:v>普通</x:v>
      </x:c>
      <x:c r="G568" s="19" t="str">
        <x:v>材料独立候选</x:v>
      </x:c>
      <x:c r="H568" s="19" t="str">
        <x:v>小卢恩</x:v>
      </x:c>
      <x:c r="I568" s="22" t="n">
        <x:v>4000</x:v>
      </x:c>
      <x:c r="J568" s="22" t="n">
        <x:v>1</x:v>
      </x:c>
      <x:c r="K568" s="19" t="n">
        <x:v>1</x:v>
      </x:c>
      <x:c r="L568" s="24" t="n">
        <x:v>13.799999999999999</x:v>
      </x:c>
      <x:c r="M568" s="26" t="n">
        <x:v>0.1</x:v>
      </x:c>
      <x:c r="N568" s="24" t="n">
        <x:v>72</x:v>
      </x:c>
      <x:c r="O568" s="28" t="n">
        <x:f>MIN(1,L568/I568)</x:f>
        <x:v>0.00345</x:v>
      </x:c>
      <x:c r="P568" s="30" t="n">
        <x:f>O568*J568*(1+M568)</x:f>
        <x:v>0.003795</x:v>
      </x:c>
      <x:c r="Q568" s="30" t="n">
        <x:f>P568*N568</x:f>
        <x:v>0.27324000000000004</x:v>
      </x:c>
      <x:c r="R568" s="19" t="str">
        <x:v>独立判定</x:v>
      </x:c>
    </x:row>
    <x:row r="569" ht="19" customHeight="1">
      <x:c r="A569" s="19" t="str">
        <x:v>D00565</x:v>
      </x:c>
      <x:c r="B569" s="19" t="n">
        <x:v>2</x:v>
      </x:c>
      <x:c r="C569" s="19" t="n">
        <x:v>5</x:v>
      </x:c>
      <x:c r="D569" s="19" t="str">
        <x:v>EL-MON-LIM-CASTLE-001</x:v>
      </x:c>
      <x:c r="E569" s="19" t="str">
        <x:v>王城流刑兵</x:v>
      </x:c>
      <x:c r="F569" s="19" t="str">
        <x:v>普通</x:v>
      </x:c>
      <x:c r="G569" s="19" t="str">
        <x:v>六神器公共池</x:v>
      </x:c>
      <x:c r="H569" s="19" t="str">
        <x:v>POOL006</x:v>
      </x:c>
      <x:c r="I569" s="22" t="n">
        <x:v>20000000</x:v>
      </x:c>
      <x:c r="J569" s="22" t="n">
        <x:v>1</x:v>
      </x:c>
      <x:c r="K569" s="19" t="n">
        <x:v>6</x:v>
      </x:c>
      <x:c r="L569" s="24" t="n">
        <x:v>13.799999999999999</x:v>
      </x:c>
      <x:c r="M569" s="26" t="n">
        <x:v>0.1</x:v>
      </x:c>
      <x:c r="N569" s="24" t="n">
        <x:v>72</x:v>
      </x:c>
      <x:c r="O569" s="28" t="n">
        <x:f>MIN(1,L569/I569)</x:f>
        <x:v>6.9e-7</x:v>
      </x:c>
      <x:c r="P569" s="30" t="n">
        <x:f>O569*J569*(1+M569)</x:f>
        <x:v>7.590000000000001e-7</x:v>
      </x:c>
      <x:c r="Q569" s="30" t="n">
        <x:f>P569*N569</x:f>
        <x:v>0.000054648</x:v>
      </x:c>
      <x:c r="R569" s="19" t="str">
        <x:v>六选一；非6个独立爆率</x:v>
      </x:c>
    </x:row>
    <x:row r="570" ht="19" customHeight="1">
      <x:c r="A570" s="19" t="str">
        <x:v>D00566</x:v>
      </x:c>
      <x:c r="B570" s="19" t="n">
        <x:v>2</x:v>
      </x:c>
      <x:c r="C570" s="19" t="n">
        <x:v>5</x:v>
      </x:c>
      <x:c r="D570" s="19" t="str">
        <x:v>EL-MON-LIM-CASTLE-002</x:v>
      </x:c>
      <x:c r="E570" s="19" t="str">
        <x:v>失乡斧卫</x:v>
      </x:c>
      <x:c r="F570" s="19" t="str">
        <x:v>普通</x:v>
      </x:c>
      <x:c r="G570" s="19" t="str">
        <x:v>自身专属</x:v>
      </x:c>
      <x:c r="H570" s="19" t="str">
        <x:v>失乡斧铠</x:v>
      </x:c>
      <x:c r="I570" s="22" t="n">
        <x:v>600</x:v>
      </x:c>
      <x:c r="J570" s="22" t="n">
        <x:v>1</x:v>
      </x:c>
      <x:c r="K570" s="19" t="n">
        <x:v>1</x:v>
      </x:c>
      <x:c r="L570" s="24" t="n">
        <x:v>13.799999999999999</x:v>
      </x:c>
      <x:c r="M570" s="26" t="n">
        <x:v>0.1</x:v>
      </x:c>
      <x:c r="N570" s="24" t="n">
        <x:v>72</x:v>
      </x:c>
      <x:c r="O570" s="28" t="n">
        <x:f>MIN(1,L570/I570)</x:f>
        <x:v>0.023</x:v>
      </x:c>
      <x:c r="P570" s="30" t="n">
        <x:f>O570*J570*(1+M570)</x:f>
        <x:v>0.025300000000000003</x:v>
      </x:c>
      <x:c r="Q570" s="30" t="n">
        <x:f>P570*N570</x:f>
        <x:v>1.8216</x:v>
      </x:c>
      <x:c r="R570" s="19" t="str">
        <x:v>独立判定</x:v>
      </x:c>
    </x:row>
    <x:row r="571" ht="19" customHeight="1">
      <x:c r="A571" s="19" t="str">
        <x:v>D00567</x:v>
      </x:c>
      <x:c r="B571" s="19" t="n">
        <x:v>2</x:v>
      </x:c>
      <x:c r="C571" s="19" t="n">
        <x:v>5</x:v>
      </x:c>
      <x:c r="D571" s="19" t="str">
        <x:v>EL-MON-LIM-CASTLE-002</x:v>
      </x:c>
      <x:c r="E571" s="19" t="str">
        <x:v>失乡斧卫</x:v>
      </x:c>
      <x:c r="F571" s="19" t="str">
        <x:v>普通</x:v>
      </x:c>
      <x:c r="G571" s="19" t="str">
        <x:v>材料独立候选</x:v>
      </x:c>
      <x:c r="H571" s="19" t="str">
        <x:v>风暴石片</x:v>
      </x:c>
      <x:c r="I571" s="22" t="n">
        <x:v>500</x:v>
      </x:c>
      <x:c r="J571" s="22" t="n">
        <x:v>8</x:v>
      </x:c>
      <x:c r="K571" s="19" t="n">
        <x:v>1</x:v>
      </x:c>
      <x:c r="L571" s="24" t="n">
        <x:v>13.799999999999999</x:v>
      </x:c>
      <x:c r="M571" s="26" t="n">
        <x:v>0.1</x:v>
      </x:c>
      <x:c r="N571" s="24" t="n">
        <x:v>72</x:v>
      </x:c>
      <x:c r="O571" s="28" t="n">
        <x:f>MIN(1,L571/I571)</x:f>
        <x:v>0.0276</x:v>
      </x:c>
      <x:c r="P571" s="30" t="n">
        <x:f>O571*J571*(1+M571)</x:f>
        <x:v>0.24288</x:v>
      </x:c>
      <x:c r="Q571" s="30" t="n">
        <x:f>P571*N571</x:f>
        <x:v>17.487360000000002</x:v>
      </x:c>
      <x:c r="R571" s="19" t="str">
        <x:v>独立判定</x:v>
      </x:c>
    </x:row>
    <x:row r="572" ht="19" customHeight="1">
      <x:c r="A572" s="19" t="str">
        <x:v>D00568</x:v>
      </x:c>
      <x:c r="B572" s="19" t="n">
        <x:v>2</x:v>
      </x:c>
      <x:c r="C572" s="19" t="n">
        <x:v>5</x:v>
      </x:c>
      <x:c r="D572" s="19" t="str">
        <x:v>EL-MON-LIM-CASTLE-002</x:v>
      </x:c>
      <x:c r="E572" s="19" t="str">
        <x:v>失乡斧卫</x:v>
      </x:c>
      <x:c r="F572" s="19" t="str">
        <x:v>普通</x:v>
      </x:c>
      <x:c r="G572" s="19" t="str">
        <x:v>材料独立候选</x:v>
      </x:c>
      <x:c r="H572" s="19" t="str">
        <x:v>野兽骨片</x:v>
      </x:c>
      <x:c r="I572" s="22" t="n">
        <x:v>100</x:v>
      </x:c>
      <x:c r="J572" s="22" t="n">
        <x:v>2</x:v>
      </x:c>
      <x:c r="K572" s="19" t="n">
        <x:v>1</x:v>
      </x:c>
      <x:c r="L572" s="24" t="n">
        <x:v>13.799999999999999</x:v>
      </x:c>
      <x:c r="M572" s="26" t="n">
        <x:v>0.1</x:v>
      </x:c>
      <x:c r="N572" s="24" t="n">
        <x:v>72</x:v>
      </x:c>
      <x:c r="O572" s="28" t="n">
        <x:f>MIN(1,L572/I572)</x:f>
        <x:v>0.13799999999999998</x:v>
      </x:c>
      <x:c r="P572" s="30" t="n">
        <x:f>O572*J572*(1+M572)</x:f>
        <x:v>0.3036</x:v>
      </x:c>
      <x:c r="Q572" s="30" t="n">
        <x:f>P572*N572</x:f>
        <x:v>21.859199999999998</x:v>
      </x:c>
      <x:c r="R572" s="19" t="str">
        <x:v>独立判定</x:v>
      </x:c>
    </x:row>
    <x:row r="573" ht="19" customHeight="1">
      <x:c r="A573" s="19" t="str">
        <x:v>D00569</x:v>
      </x:c>
      <x:c r="B573" s="19" t="n">
        <x:v>2</x:v>
      </x:c>
      <x:c r="C573" s="19" t="n">
        <x:v>5</x:v>
      </x:c>
      <x:c r="D573" s="19" t="str">
        <x:v>EL-MON-LIM-CASTLE-002</x:v>
      </x:c>
      <x:c r="E573" s="19" t="str">
        <x:v>失乡斧卫</x:v>
      </x:c>
      <x:c r="F573" s="19" t="str">
        <x:v>普通</x:v>
      </x:c>
      <x:c r="G573" s="19" t="str">
        <x:v>材料独立候选</x:v>
      </x:c>
      <x:c r="H573" s="19" t="str">
        <x:v>技能残页</x:v>
      </x:c>
      <x:c r="I573" s="22" t="n">
        <x:v>100</x:v>
      </x:c>
      <x:c r="J573" s="22" t="n">
        <x:v>1</x:v>
      </x:c>
      <x:c r="K573" s="19" t="n">
        <x:v>1</x:v>
      </x:c>
      <x:c r="L573" s="24" t="n">
        <x:v>13.799999999999999</x:v>
      </x:c>
      <x:c r="M573" s="26" t="n">
        <x:v>0.1</x:v>
      </x:c>
      <x:c r="N573" s="24" t="n">
        <x:v>72</x:v>
      </x:c>
      <x:c r="O573" s="28" t="n">
        <x:f>MIN(1,L573/I573)</x:f>
        <x:v>0.13799999999999998</x:v>
      </x:c>
      <x:c r="P573" s="30" t="n">
        <x:f>O573*J573*(1+M573)</x:f>
        <x:v>0.1518</x:v>
      </x:c>
      <x:c r="Q573" s="30" t="n">
        <x:f>P573*N573</x:f>
        <x:v>10.929599999999999</x:v>
      </x:c>
      <x:c r="R573" s="19" t="str">
        <x:v>独立判定</x:v>
      </x:c>
    </x:row>
    <x:row r="574" ht="19" customHeight="1">
      <x:c r="A574" s="19" t="str">
        <x:v>D00570</x:v>
      </x:c>
      <x:c r="B574" s="19" t="n">
        <x:v>2</x:v>
      </x:c>
      <x:c r="C574" s="19" t="n">
        <x:v>5</x:v>
      </x:c>
      <x:c r="D574" s="19" t="str">
        <x:v>EL-MON-LIM-CASTLE-002</x:v>
      </x:c>
      <x:c r="E574" s="19" t="str">
        <x:v>失乡斧卫</x:v>
      </x:c>
      <x:c r="F574" s="19" t="str">
        <x:v>普通</x:v>
      </x:c>
      <x:c r="G574" s="19" t="str">
        <x:v>材料独立候选</x:v>
      </x:c>
      <x:c r="H574" s="19" t="str">
        <x:v>小卢恩</x:v>
      </x:c>
      <x:c r="I574" s="22" t="n">
        <x:v>4000</x:v>
      </x:c>
      <x:c r="J574" s="22" t="n">
        <x:v>1</x:v>
      </x:c>
      <x:c r="K574" s="19" t="n">
        <x:v>1</x:v>
      </x:c>
      <x:c r="L574" s="24" t="n">
        <x:v>13.799999999999999</x:v>
      </x:c>
      <x:c r="M574" s="26" t="n">
        <x:v>0.1</x:v>
      </x:c>
      <x:c r="N574" s="24" t="n">
        <x:v>72</x:v>
      </x:c>
      <x:c r="O574" s="28" t="n">
        <x:f>MIN(1,L574/I574)</x:f>
        <x:v>0.00345</x:v>
      </x:c>
      <x:c r="P574" s="30" t="n">
        <x:f>O574*J574*(1+M574)</x:f>
        <x:v>0.003795</x:v>
      </x:c>
      <x:c r="Q574" s="30" t="n">
        <x:f>P574*N574</x:f>
        <x:v>0.27324000000000004</x:v>
      </x:c>
      <x:c r="R574" s="19" t="str">
        <x:v>独立判定</x:v>
      </x:c>
    </x:row>
    <x:row r="575" ht="19" customHeight="1">
      <x:c r="A575" s="19" t="str">
        <x:v>D00571</x:v>
      </x:c>
      <x:c r="B575" s="19" t="n">
        <x:v>2</x:v>
      </x:c>
      <x:c r="C575" s="19" t="n">
        <x:v>5</x:v>
      </x:c>
      <x:c r="D575" s="19" t="str">
        <x:v>EL-MON-LIM-CASTLE-002</x:v>
      </x:c>
      <x:c r="E575" s="19" t="str">
        <x:v>失乡斧卫</x:v>
      </x:c>
      <x:c r="F575" s="19" t="str">
        <x:v>普通</x:v>
      </x:c>
      <x:c r="G575" s="19" t="str">
        <x:v>六神器公共池</x:v>
      </x:c>
      <x:c r="H575" s="19" t="str">
        <x:v>POOL006</x:v>
      </x:c>
      <x:c r="I575" s="22" t="n">
        <x:v>20000000</x:v>
      </x:c>
      <x:c r="J575" s="22" t="n">
        <x:v>1</x:v>
      </x:c>
      <x:c r="K575" s="19" t="n">
        <x:v>6</x:v>
      </x:c>
      <x:c r="L575" s="24" t="n">
        <x:v>13.799999999999999</x:v>
      </x:c>
      <x:c r="M575" s="26" t="n">
        <x:v>0.1</x:v>
      </x:c>
      <x:c r="N575" s="24" t="n">
        <x:v>72</x:v>
      </x:c>
      <x:c r="O575" s="28" t="n">
        <x:f>MIN(1,L575/I575)</x:f>
        <x:v>6.9e-7</x:v>
      </x:c>
      <x:c r="P575" s="30" t="n">
        <x:f>O575*J575*(1+M575)</x:f>
        <x:v>7.590000000000001e-7</x:v>
      </x:c>
      <x:c r="Q575" s="30" t="n">
        <x:f>P575*N575</x:f>
        <x:v>0.000054648</x:v>
      </x:c>
      <x:c r="R575" s="19" t="str">
        <x:v>六选一；非6个独立爆率</x:v>
      </x:c>
    </x:row>
    <x:row r="576" ht="19" customHeight="1">
      <x:c r="A576" s="19" t="str">
        <x:v>D00572</x:v>
      </x:c>
      <x:c r="B576" s="19" t="n">
        <x:v>2</x:v>
      </x:c>
      <x:c r="C576" s="19" t="n">
        <x:v>5</x:v>
      </x:c>
      <x:c r="D576" s="19" t="str">
        <x:v>EL-MON-LIM-CASTLE-003</x:v>
      </x:c>
      <x:c r="E576" s="19" t="str">
        <x:v>火药弩兵</x:v>
      </x:c>
      <x:c r="F576" s="19" t="str">
        <x:v>普通</x:v>
      </x:c>
      <x:c r="G576" s="19" t="str">
        <x:v>自身专属</x:v>
      </x:c>
      <x:c r="H576" s="19" t="str">
        <x:v>火药锁链</x:v>
      </x:c>
      <x:c r="I576" s="22" t="n">
        <x:v>600</x:v>
      </x:c>
      <x:c r="J576" s="22" t="n">
        <x:v>1</x:v>
      </x:c>
      <x:c r="K576" s="19" t="n">
        <x:v>1</x:v>
      </x:c>
      <x:c r="L576" s="24" t="n">
        <x:v>13.799999999999999</x:v>
      </x:c>
      <x:c r="M576" s="26" t="n">
        <x:v>0.1</x:v>
      </x:c>
      <x:c r="N576" s="24" t="n">
        <x:v>72</x:v>
      </x:c>
      <x:c r="O576" s="28" t="n">
        <x:f>MIN(1,L576/I576)</x:f>
        <x:v>0.023</x:v>
      </x:c>
      <x:c r="P576" s="30" t="n">
        <x:f>O576*J576*(1+M576)</x:f>
        <x:v>0.025300000000000003</x:v>
      </x:c>
      <x:c r="Q576" s="30" t="n">
        <x:f>P576*N576</x:f>
        <x:v>1.8216</x:v>
      </x:c>
      <x:c r="R576" s="19" t="str">
        <x:v>独立判定</x:v>
      </x:c>
    </x:row>
    <x:row r="577" ht="19" customHeight="1">
      <x:c r="A577" s="19" t="str">
        <x:v>D00573</x:v>
      </x:c>
      <x:c r="B577" s="19" t="n">
        <x:v>2</x:v>
      </x:c>
      <x:c r="C577" s="19" t="n">
        <x:v>5</x:v>
      </x:c>
      <x:c r="D577" s="19" t="str">
        <x:v>EL-MON-LIM-CASTLE-003</x:v>
      </x:c>
      <x:c r="E577" s="19" t="str">
        <x:v>火药弩兵</x:v>
      </x:c>
      <x:c r="F577" s="19" t="str">
        <x:v>普通</x:v>
      </x:c>
      <x:c r="G577" s="19" t="str">
        <x:v>材料独立候选</x:v>
      </x:c>
      <x:c r="H577" s="19" t="str">
        <x:v>风暴石片</x:v>
      </x:c>
      <x:c r="I577" s="22" t="n">
        <x:v>500</x:v>
      </x:c>
      <x:c r="J577" s="22" t="n">
        <x:v>8</x:v>
      </x:c>
      <x:c r="K577" s="19" t="n">
        <x:v>1</x:v>
      </x:c>
      <x:c r="L577" s="24" t="n">
        <x:v>13.799999999999999</x:v>
      </x:c>
      <x:c r="M577" s="26" t="n">
        <x:v>0.1</x:v>
      </x:c>
      <x:c r="N577" s="24" t="n">
        <x:v>72</x:v>
      </x:c>
      <x:c r="O577" s="28" t="n">
        <x:f>MIN(1,L577/I577)</x:f>
        <x:v>0.0276</x:v>
      </x:c>
      <x:c r="P577" s="30" t="n">
        <x:f>O577*J577*(1+M577)</x:f>
        <x:v>0.24288</x:v>
      </x:c>
      <x:c r="Q577" s="30" t="n">
        <x:f>P577*N577</x:f>
        <x:v>17.487360000000002</x:v>
      </x:c>
      <x:c r="R577" s="19" t="str">
        <x:v>独立判定</x:v>
      </x:c>
    </x:row>
    <x:row r="578" ht="19" customHeight="1">
      <x:c r="A578" s="19" t="str">
        <x:v>D00574</x:v>
      </x:c>
      <x:c r="B578" s="19" t="n">
        <x:v>2</x:v>
      </x:c>
      <x:c r="C578" s="19" t="n">
        <x:v>5</x:v>
      </x:c>
      <x:c r="D578" s="19" t="str">
        <x:v>EL-MON-LIM-CASTLE-003</x:v>
      </x:c>
      <x:c r="E578" s="19" t="str">
        <x:v>火药弩兵</x:v>
      </x:c>
      <x:c r="F578" s="19" t="str">
        <x:v>普通</x:v>
      </x:c>
      <x:c r="G578" s="19" t="str">
        <x:v>材料独立候选</x:v>
      </x:c>
      <x:c r="H578" s="19" t="str">
        <x:v>野兽骨片</x:v>
      </x:c>
      <x:c r="I578" s="22" t="n">
        <x:v>100</x:v>
      </x:c>
      <x:c r="J578" s="22" t="n">
        <x:v>2</x:v>
      </x:c>
      <x:c r="K578" s="19" t="n">
        <x:v>1</x:v>
      </x:c>
      <x:c r="L578" s="24" t="n">
        <x:v>13.799999999999999</x:v>
      </x:c>
      <x:c r="M578" s="26" t="n">
        <x:v>0.1</x:v>
      </x:c>
      <x:c r="N578" s="24" t="n">
        <x:v>72</x:v>
      </x:c>
      <x:c r="O578" s="28" t="n">
        <x:f>MIN(1,L578/I578)</x:f>
        <x:v>0.13799999999999998</x:v>
      </x:c>
      <x:c r="P578" s="30" t="n">
        <x:f>O578*J578*(1+M578)</x:f>
        <x:v>0.3036</x:v>
      </x:c>
      <x:c r="Q578" s="30" t="n">
        <x:f>P578*N578</x:f>
        <x:v>21.859199999999998</x:v>
      </x:c>
      <x:c r="R578" s="19" t="str">
        <x:v>独立判定</x:v>
      </x:c>
    </x:row>
    <x:row r="579" ht="19" customHeight="1">
      <x:c r="A579" s="19" t="str">
        <x:v>D00575</x:v>
      </x:c>
      <x:c r="B579" s="19" t="n">
        <x:v>2</x:v>
      </x:c>
      <x:c r="C579" s="19" t="n">
        <x:v>5</x:v>
      </x:c>
      <x:c r="D579" s="19" t="str">
        <x:v>EL-MON-LIM-CASTLE-003</x:v>
      </x:c>
      <x:c r="E579" s="19" t="str">
        <x:v>火药弩兵</x:v>
      </x:c>
      <x:c r="F579" s="19" t="str">
        <x:v>普通</x:v>
      </x:c>
      <x:c r="G579" s="19" t="str">
        <x:v>材料独立候选</x:v>
      </x:c>
      <x:c r="H579" s="19" t="str">
        <x:v>技能残页</x:v>
      </x:c>
      <x:c r="I579" s="22" t="n">
        <x:v>100</x:v>
      </x:c>
      <x:c r="J579" s="22" t="n">
        <x:v>1</x:v>
      </x:c>
      <x:c r="K579" s="19" t="n">
        <x:v>1</x:v>
      </x:c>
      <x:c r="L579" s="24" t="n">
        <x:v>13.799999999999999</x:v>
      </x:c>
      <x:c r="M579" s="26" t="n">
        <x:v>0.1</x:v>
      </x:c>
      <x:c r="N579" s="24" t="n">
        <x:v>72</x:v>
      </x:c>
      <x:c r="O579" s="28" t="n">
        <x:f>MIN(1,L579/I579)</x:f>
        <x:v>0.13799999999999998</x:v>
      </x:c>
      <x:c r="P579" s="30" t="n">
        <x:f>O579*J579*(1+M579)</x:f>
        <x:v>0.1518</x:v>
      </x:c>
      <x:c r="Q579" s="30" t="n">
        <x:f>P579*N579</x:f>
        <x:v>10.929599999999999</x:v>
      </x:c>
      <x:c r="R579" s="19" t="str">
        <x:v>独立判定</x:v>
      </x:c>
    </x:row>
    <x:row r="580" ht="19" customHeight="1">
      <x:c r="A580" s="19" t="str">
        <x:v>D00576</x:v>
      </x:c>
      <x:c r="B580" s="19" t="n">
        <x:v>2</x:v>
      </x:c>
      <x:c r="C580" s="19" t="n">
        <x:v>5</x:v>
      </x:c>
      <x:c r="D580" s="19" t="str">
        <x:v>EL-MON-LIM-CASTLE-003</x:v>
      </x:c>
      <x:c r="E580" s="19" t="str">
        <x:v>火药弩兵</x:v>
      </x:c>
      <x:c r="F580" s="19" t="str">
        <x:v>普通</x:v>
      </x:c>
      <x:c r="G580" s="19" t="str">
        <x:v>材料独立候选</x:v>
      </x:c>
      <x:c r="H580" s="19" t="str">
        <x:v>小卢恩</x:v>
      </x:c>
      <x:c r="I580" s="22" t="n">
        <x:v>4000</x:v>
      </x:c>
      <x:c r="J580" s="22" t="n">
        <x:v>1</x:v>
      </x:c>
      <x:c r="K580" s="19" t="n">
        <x:v>1</x:v>
      </x:c>
      <x:c r="L580" s="24" t="n">
        <x:v>13.799999999999999</x:v>
      </x:c>
      <x:c r="M580" s="26" t="n">
        <x:v>0.1</x:v>
      </x:c>
      <x:c r="N580" s="24" t="n">
        <x:v>72</x:v>
      </x:c>
      <x:c r="O580" s="28" t="n">
        <x:f>MIN(1,L580/I580)</x:f>
        <x:v>0.00345</x:v>
      </x:c>
      <x:c r="P580" s="30" t="n">
        <x:f>O580*J580*(1+M580)</x:f>
        <x:v>0.003795</x:v>
      </x:c>
      <x:c r="Q580" s="30" t="n">
        <x:f>P580*N580</x:f>
        <x:v>0.27324000000000004</x:v>
      </x:c>
      <x:c r="R580" s="19" t="str">
        <x:v>独立判定</x:v>
      </x:c>
    </x:row>
    <x:row r="581" ht="19" customHeight="1">
      <x:c r="A581" s="19" t="str">
        <x:v>D00577</x:v>
      </x:c>
      <x:c r="B581" s="19" t="n">
        <x:v>2</x:v>
      </x:c>
      <x:c r="C581" s="19" t="n">
        <x:v>5</x:v>
      </x:c>
      <x:c r="D581" s="19" t="str">
        <x:v>EL-MON-LIM-CASTLE-003</x:v>
      </x:c>
      <x:c r="E581" s="19" t="str">
        <x:v>火药弩兵</x:v>
      </x:c>
      <x:c r="F581" s="19" t="str">
        <x:v>普通</x:v>
      </x:c>
      <x:c r="G581" s="19" t="str">
        <x:v>六神器公共池</x:v>
      </x:c>
      <x:c r="H581" s="19" t="str">
        <x:v>POOL006</x:v>
      </x:c>
      <x:c r="I581" s="22" t="n">
        <x:v>20000000</x:v>
      </x:c>
      <x:c r="J581" s="22" t="n">
        <x:v>1</x:v>
      </x:c>
      <x:c r="K581" s="19" t="n">
        <x:v>6</x:v>
      </x:c>
      <x:c r="L581" s="24" t="n">
        <x:v>13.799999999999999</x:v>
      </x:c>
      <x:c r="M581" s="26" t="n">
        <x:v>0.1</x:v>
      </x:c>
      <x:c r="N581" s="24" t="n">
        <x:v>72</x:v>
      </x:c>
      <x:c r="O581" s="28" t="n">
        <x:f>MIN(1,L581/I581)</x:f>
        <x:v>6.9e-7</x:v>
      </x:c>
      <x:c r="P581" s="30" t="n">
        <x:f>O581*J581*(1+M581)</x:f>
        <x:v>7.590000000000001e-7</x:v>
      </x:c>
      <x:c r="Q581" s="30" t="n">
        <x:f>P581*N581</x:f>
        <x:v>0.000054648</x:v>
      </x:c>
      <x:c r="R581" s="19" t="str">
        <x:v>六选一；非6个独立爆率</x:v>
      </x:c>
    </x:row>
    <x:row r="582" ht="19" customHeight="1">
      <x:c r="A582" s="19" t="str">
        <x:v>D00578</x:v>
      </x:c>
      <x:c r="B582" s="19" t="n">
        <x:v>2</x:v>
      </x:c>
      <x:c r="C582" s="19" t="n">
        <x:v>5</x:v>
      </x:c>
      <x:c r="D582" s="19" t="str">
        <x:v>EL-MON-LIM-CASTLE-004</x:v>
      </x:c>
      <x:c r="E582" s="19" t="str">
        <x:v>刀翼战鹰</x:v>
      </x:c>
      <x:c r="F582" s="19" t="str">
        <x:v>普通</x:v>
      </x:c>
      <x:c r="G582" s="19" t="str">
        <x:v>自身专属</x:v>
      </x:c>
      <x:c r="H582" s="19" t="str">
        <x:v>刀翼王盔</x:v>
      </x:c>
      <x:c r="I582" s="22" t="n">
        <x:v>600</x:v>
      </x:c>
      <x:c r="J582" s="22" t="n">
        <x:v>1</x:v>
      </x:c>
      <x:c r="K582" s="19" t="n">
        <x:v>1</x:v>
      </x:c>
      <x:c r="L582" s="24" t="n">
        <x:v>13.799999999999999</x:v>
      </x:c>
      <x:c r="M582" s="26" t="n">
        <x:v>0.1</x:v>
      </x:c>
      <x:c r="N582" s="24" t="n">
        <x:v>72</x:v>
      </x:c>
      <x:c r="O582" s="28" t="n">
        <x:f>MIN(1,L582/I582)</x:f>
        <x:v>0.023</x:v>
      </x:c>
      <x:c r="P582" s="30" t="n">
        <x:f>O582*J582*(1+M582)</x:f>
        <x:v>0.025300000000000003</x:v>
      </x:c>
      <x:c r="Q582" s="30" t="n">
        <x:f>P582*N582</x:f>
        <x:v>1.8216</x:v>
      </x:c>
      <x:c r="R582" s="19" t="str">
        <x:v>独立判定</x:v>
      </x:c>
    </x:row>
    <x:row r="583" ht="19" customHeight="1">
      <x:c r="A583" s="19" t="str">
        <x:v>D00579</x:v>
      </x:c>
      <x:c r="B583" s="19" t="n">
        <x:v>2</x:v>
      </x:c>
      <x:c r="C583" s="19" t="n">
        <x:v>5</x:v>
      </x:c>
      <x:c r="D583" s="19" t="str">
        <x:v>EL-MON-LIM-CASTLE-004</x:v>
      </x:c>
      <x:c r="E583" s="19" t="str">
        <x:v>刀翼战鹰</x:v>
      </x:c>
      <x:c r="F583" s="19" t="str">
        <x:v>普通</x:v>
      </x:c>
      <x:c r="G583" s="19" t="str">
        <x:v>材料独立候选</x:v>
      </x:c>
      <x:c r="H583" s="19" t="str">
        <x:v>风暴石片</x:v>
      </x:c>
      <x:c r="I583" s="22" t="n">
        <x:v>500</x:v>
      </x:c>
      <x:c r="J583" s="22" t="n">
        <x:v>8</x:v>
      </x:c>
      <x:c r="K583" s="19" t="n">
        <x:v>1</x:v>
      </x:c>
      <x:c r="L583" s="24" t="n">
        <x:v>13.799999999999999</x:v>
      </x:c>
      <x:c r="M583" s="26" t="n">
        <x:v>0.1</x:v>
      </x:c>
      <x:c r="N583" s="24" t="n">
        <x:v>72</x:v>
      </x:c>
      <x:c r="O583" s="28" t="n">
        <x:f>MIN(1,L583/I583)</x:f>
        <x:v>0.0276</x:v>
      </x:c>
      <x:c r="P583" s="30" t="n">
        <x:f>O583*J583*(1+M583)</x:f>
        <x:v>0.24288</x:v>
      </x:c>
      <x:c r="Q583" s="30" t="n">
        <x:f>P583*N583</x:f>
        <x:v>17.487360000000002</x:v>
      </x:c>
      <x:c r="R583" s="19" t="str">
        <x:v>独立判定</x:v>
      </x:c>
    </x:row>
    <x:row r="584" ht="19" customHeight="1">
      <x:c r="A584" s="19" t="str">
        <x:v>D00580</x:v>
      </x:c>
      <x:c r="B584" s="19" t="n">
        <x:v>2</x:v>
      </x:c>
      <x:c r="C584" s="19" t="n">
        <x:v>5</x:v>
      </x:c>
      <x:c r="D584" s="19" t="str">
        <x:v>EL-MON-LIM-CASTLE-004</x:v>
      </x:c>
      <x:c r="E584" s="19" t="str">
        <x:v>刀翼战鹰</x:v>
      </x:c>
      <x:c r="F584" s="19" t="str">
        <x:v>普通</x:v>
      </x:c>
      <x:c r="G584" s="19" t="str">
        <x:v>材料独立候选</x:v>
      </x:c>
      <x:c r="H584" s="19" t="str">
        <x:v>野兽骨片</x:v>
      </x:c>
      <x:c r="I584" s="22" t="n">
        <x:v>100</x:v>
      </x:c>
      <x:c r="J584" s="22" t="n">
        <x:v>2</x:v>
      </x:c>
      <x:c r="K584" s="19" t="n">
        <x:v>1</x:v>
      </x:c>
      <x:c r="L584" s="24" t="n">
        <x:v>13.799999999999999</x:v>
      </x:c>
      <x:c r="M584" s="26" t="n">
        <x:v>0.1</x:v>
      </x:c>
      <x:c r="N584" s="24" t="n">
        <x:v>72</x:v>
      </x:c>
      <x:c r="O584" s="28" t="n">
        <x:f>MIN(1,L584/I584)</x:f>
        <x:v>0.13799999999999998</x:v>
      </x:c>
      <x:c r="P584" s="30" t="n">
        <x:f>O584*J584*(1+M584)</x:f>
        <x:v>0.3036</x:v>
      </x:c>
      <x:c r="Q584" s="30" t="n">
        <x:f>P584*N584</x:f>
        <x:v>21.859199999999998</x:v>
      </x:c>
      <x:c r="R584" s="19" t="str">
        <x:v>独立判定</x:v>
      </x:c>
    </x:row>
    <x:row r="585" ht="19" customHeight="1">
      <x:c r="A585" s="19" t="str">
        <x:v>D00581</x:v>
      </x:c>
      <x:c r="B585" s="19" t="n">
        <x:v>2</x:v>
      </x:c>
      <x:c r="C585" s="19" t="n">
        <x:v>5</x:v>
      </x:c>
      <x:c r="D585" s="19" t="str">
        <x:v>EL-MON-LIM-CASTLE-004</x:v>
      </x:c>
      <x:c r="E585" s="19" t="str">
        <x:v>刀翼战鹰</x:v>
      </x:c>
      <x:c r="F585" s="19" t="str">
        <x:v>普通</x:v>
      </x:c>
      <x:c r="G585" s="19" t="str">
        <x:v>材料独立候选</x:v>
      </x:c>
      <x:c r="H585" s="19" t="str">
        <x:v>技能残页</x:v>
      </x:c>
      <x:c r="I585" s="22" t="n">
        <x:v>100</x:v>
      </x:c>
      <x:c r="J585" s="22" t="n">
        <x:v>1</x:v>
      </x:c>
      <x:c r="K585" s="19" t="n">
        <x:v>1</x:v>
      </x:c>
      <x:c r="L585" s="24" t="n">
        <x:v>13.799999999999999</x:v>
      </x:c>
      <x:c r="M585" s="26" t="n">
        <x:v>0.1</x:v>
      </x:c>
      <x:c r="N585" s="24" t="n">
        <x:v>72</x:v>
      </x:c>
      <x:c r="O585" s="28" t="n">
        <x:f>MIN(1,L585/I585)</x:f>
        <x:v>0.13799999999999998</x:v>
      </x:c>
      <x:c r="P585" s="30" t="n">
        <x:f>O585*J585*(1+M585)</x:f>
        <x:v>0.1518</x:v>
      </x:c>
      <x:c r="Q585" s="30" t="n">
        <x:f>P585*N585</x:f>
        <x:v>10.929599999999999</x:v>
      </x:c>
      <x:c r="R585" s="19" t="str">
        <x:v>独立判定</x:v>
      </x:c>
    </x:row>
    <x:row r="586" ht="19" customHeight="1">
      <x:c r="A586" s="19" t="str">
        <x:v>D00582</x:v>
      </x:c>
      <x:c r="B586" s="19" t="n">
        <x:v>2</x:v>
      </x:c>
      <x:c r="C586" s="19" t="n">
        <x:v>5</x:v>
      </x:c>
      <x:c r="D586" s="19" t="str">
        <x:v>EL-MON-LIM-CASTLE-004</x:v>
      </x:c>
      <x:c r="E586" s="19" t="str">
        <x:v>刀翼战鹰</x:v>
      </x:c>
      <x:c r="F586" s="19" t="str">
        <x:v>普通</x:v>
      </x:c>
      <x:c r="G586" s="19" t="str">
        <x:v>材料独立候选</x:v>
      </x:c>
      <x:c r="H586" s="19" t="str">
        <x:v>小卢恩</x:v>
      </x:c>
      <x:c r="I586" s="22" t="n">
        <x:v>4000</x:v>
      </x:c>
      <x:c r="J586" s="22" t="n">
        <x:v>1</x:v>
      </x:c>
      <x:c r="K586" s="19" t="n">
        <x:v>1</x:v>
      </x:c>
      <x:c r="L586" s="24" t="n">
        <x:v>13.799999999999999</x:v>
      </x:c>
      <x:c r="M586" s="26" t="n">
        <x:v>0.1</x:v>
      </x:c>
      <x:c r="N586" s="24" t="n">
        <x:v>72</x:v>
      </x:c>
      <x:c r="O586" s="28" t="n">
        <x:f>MIN(1,L586/I586)</x:f>
        <x:v>0.00345</x:v>
      </x:c>
      <x:c r="P586" s="30" t="n">
        <x:f>O586*J586*(1+M586)</x:f>
        <x:v>0.003795</x:v>
      </x:c>
      <x:c r="Q586" s="30" t="n">
        <x:f>P586*N586</x:f>
        <x:v>0.27324000000000004</x:v>
      </x:c>
      <x:c r="R586" s="19" t="str">
        <x:v>独立判定</x:v>
      </x:c>
    </x:row>
    <x:row r="587" ht="19" customHeight="1">
      <x:c r="A587" s="19" t="str">
        <x:v>D00583</x:v>
      </x:c>
      <x:c r="B587" s="19" t="n">
        <x:v>2</x:v>
      </x:c>
      <x:c r="C587" s="19" t="n">
        <x:v>5</x:v>
      </x:c>
      <x:c r="D587" s="19" t="str">
        <x:v>EL-MON-LIM-CASTLE-004</x:v>
      </x:c>
      <x:c r="E587" s="19" t="str">
        <x:v>刀翼战鹰</x:v>
      </x:c>
      <x:c r="F587" s="19" t="str">
        <x:v>普通</x:v>
      </x:c>
      <x:c r="G587" s="19" t="str">
        <x:v>六神器公共池</x:v>
      </x:c>
      <x:c r="H587" s="19" t="str">
        <x:v>POOL006</x:v>
      </x:c>
      <x:c r="I587" s="22" t="n">
        <x:v>20000000</x:v>
      </x:c>
      <x:c r="J587" s="22" t="n">
        <x:v>1</x:v>
      </x:c>
      <x:c r="K587" s="19" t="n">
        <x:v>6</x:v>
      </x:c>
      <x:c r="L587" s="24" t="n">
        <x:v>13.799999999999999</x:v>
      </x:c>
      <x:c r="M587" s="26" t="n">
        <x:v>0.1</x:v>
      </x:c>
      <x:c r="N587" s="24" t="n">
        <x:v>72</x:v>
      </x:c>
      <x:c r="O587" s="28" t="n">
        <x:f>MIN(1,L587/I587)</x:f>
        <x:v>6.9e-7</x:v>
      </x:c>
      <x:c r="P587" s="30" t="n">
        <x:f>O587*J587*(1+M587)</x:f>
        <x:v>7.590000000000001e-7</x:v>
      </x:c>
      <x:c r="Q587" s="30" t="n">
        <x:f>P587*N587</x:f>
        <x:v>0.000054648</x:v>
      </x:c>
      <x:c r="R587" s="19" t="str">
        <x:v>六选一；非6个独立爆率</x:v>
      </x:c>
    </x:row>
    <x:row r="588" ht="19" customHeight="1">
      <x:c r="A588" s="19" t="str">
        <x:v>D00584</x:v>
      </x:c>
      <x:c r="B588" s="19" t="n">
        <x:v>2</x:v>
      </x:c>
      <x:c r="C588" s="19" t="n">
        <x:v>5</x:v>
      </x:c>
      <x:c r="D588" s="19" t="str">
        <x:v>EL-MON-LIM-CASTLE-005</x:v>
      </x:c>
      <x:c r="E588" s="19" t="str">
        <x:v>接肢侍从</x:v>
      </x:c>
      <x:c r="F588" s="19" t="str">
        <x:v>普通</x:v>
      </x:c>
      <x:c r="G588" s="19" t="str">
        <x:v>自身专属</x:v>
      </x:c>
      <x:c r="H588" s="19" t="str">
        <x:v>百指腕甲</x:v>
      </x:c>
      <x:c r="I588" s="22" t="n">
        <x:v>600</x:v>
      </x:c>
      <x:c r="J588" s="22" t="n">
        <x:v>1</x:v>
      </x:c>
      <x:c r="K588" s="19" t="n">
        <x:v>1</x:v>
      </x:c>
      <x:c r="L588" s="24" t="n">
        <x:v>13.799999999999999</x:v>
      </x:c>
      <x:c r="M588" s="26" t="n">
        <x:v>0.1</x:v>
      </x:c>
      <x:c r="N588" s="24" t="n">
        <x:v>72</x:v>
      </x:c>
      <x:c r="O588" s="28" t="n">
        <x:f>MIN(1,L588/I588)</x:f>
        <x:v>0.023</x:v>
      </x:c>
      <x:c r="P588" s="30" t="n">
        <x:f>O588*J588*(1+M588)</x:f>
        <x:v>0.025300000000000003</x:v>
      </x:c>
      <x:c r="Q588" s="30" t="n">
        <x:f>P588*N588</x:f>
        <x:v>1.8216</x:v>
      </x:c>
      <x:c r="R588" s="19" t="str">
        <x:v>独立判定</x:v>
      </x:c>
    </x:row>
    <x:row r="589" ht="19" customHeight="1">
      <x:c r="A589" s="19" t="str">
        <x:v>D00585</x:v>
      </x:c>
      <x:c r="B589" s="19" t="n">
        <x:v>2</x:v>
      </x:c>
      <x:c r="C589" s="19" t="n">
        <x:v>5</x:v>
      </x:c>
      <x:c r="D589" s="19" t="str">
        <x:v>EL-MON-LIM-CASTLE-005</x:v>
      </x:c>
      <x:c r="E589" s="19" t="str">
        <x:v>接肢侍从</x:v>
      </x:c>
      <x:c r="F589" s="19" t="str">
        <x:v>普通</x:v>
      </x:c>
      <x:c r="G589" s="19" t="str">
        <x:v>材料独立候选</x:v>
      </x:c>
      <x:c r="H589" s="19" t="str">
        <x:v>风暴石片</x:v>
      </x:c>
      <x:c r="I589" s="22" t="n">
        <x:v>500</x:v>
      </x:c>
      <x:c r="J589" s="22" t="n">
        <x:v>8</x:v>
      </x:c>
      <x:c r="K589" s="19" t="n">
        <x:v>1</x:v>
      </x:c>
      <x:c r="L589" s="24" t="n">
        <x:v>13.799999999999999</x:v>
      </x:c>
      <x:c r="M589" s="26" t="n">
        <x:v>0.1</x:v>
      </x:c>
      <x:c r="N589" s="24" t="n">
        <x:v>72</x:v>
      </x:c>
      <x:c r="O589" s="28" t="n">
        <x:f>MIN(1,L589/I589)</x:f>
        <x:v>0.0276</x:v>
      </x:c>
      <x:c r="P589" s="30" t="n">
        <x:f>O589*J589*(1+M589)</x:f>
        <x:v>0.24288</x:v>
      </x:c>
      <x:c r="Q589" s="30" t="n">
        <x:f>P589*N589</x:f>
        <x:v>17.487360000000002</x:v>
      </x:c>
      <x:c r="R589" s="19" t="str">
        <x:v>独立判定</x:v>
      </x:c>
    </x:row>
    <x:row r="590" ht="19" customHeight="1">
      <x:c r="A590" s="19" t="str">
        <x:v>D00586</x:v>
      </x:c>
      <x:c r="B590" s="19" t="n">
        <x:v>2</x:v>
      </x:c>
      <x:c r="C590" s="19" t="n">
        <x:v>5</x:v>
      </x:c>
      <x:c r="D590" s="19" t="str">
        <x:v>EL-MON-LIM-CASTLE-005</x:v>
      </x:c>
      <x:c r="E590" s="19" t="str">
        <x:v>接肢侍从</x:v>
      </x:c>
      <x:c r="F590" s="19" t="str">
        <x:v>普通</x:v>
      </x:c>
      <x:c r="G590" s="19" t="str">
        <x:v>材料独立候选</x:v>
      </x:c>
      <x:c r="H590" s="19" t="str">
        <x:v>野兽骨片</x:v>
      </x:c>
      <x:c r="I590" s="22" t="n">
        <x:v>100</x:v>
      </x:c>
      <x:c r="J590" s="22" t="n">
        <x:v>2</x:v>
      </x:c>
      <x:c r="K590" s="19" t="n">
        <x:v>1</x:v>
      </x:c>
      <x:c r="L590" s="24" t="n">
        <x:v>13.799999999999999</x:v>
      </x:c>
      <x:c r="M590" s="26" t="n">
        <x:v>0.1</x:v>
      </x:c>
      <x:c r="N590" s="24" t="n">
        <x:v>72</x:v>
      </x:c>
      <x:c r="O590" s="28" t="n">
        <x:f>MIN(1,L590/I590)</x:f>
        <x:v>0.13799999999999998</x:v>
      </x:c>
      <x:c r="P590" s="30" t="n">
        <x:f>O590*J590*(1+M590)</x:f>
        <x:v>0.3036</x:v>
      </x:c>
      <x:c r="Q590" s="30" t="n">
        <x:f>P590*N590</x:f>
        <x:v>21.859199999999998</x:v>
      </x:c>
      <x:c r="R590" s="19" t="str">
        <x:v>独立判定</x:v>
      </x:c>
    </x:row>
    <x:row r="591" ht="19" customHeight="1">
      <x:c r="A591" s="19" t="str">
        <x:v>D00587</x:v>
      </x:c>
      <x:c r="B591" s="19" t="n">
        <x:v>2</x:v>
      </x:c>
      <x:c r="C591" s="19" t="n">
        <x:v>5</x:v>
      </x:c>
      <x:c r="D591" s="19" t="str">
        <x:v>EL-MON-LIM-CASTLE-005</x:v>
      </x:c>
      <x:c r="E591" s="19" t="str">
        <x:v>接肢侍从</x:v>
      </x:c>
      <x:c r="F591" s="19" t="str">
        <x:v>普通</x:v>
      </x:c>
      <x:c r="G591" s="19" t="str">
        <x:v>材料独立候选</x:v>
      </x:c>
      <x:c r="H591" s="19" t="str">
        <x:v>技能残页</x:v>
      </x:c>
      <x:c r="I591" s="22" t="n">
        <x:v>100</x:v>
      </x:c>
      <x:c r="J591" s="22" t="n">
        <x:v>1</x:v>
      </x:c>
      <x:c r="K591" s="19" t="n">
        <x:v>1</x:v>
      </x:c>
      <x:c r="L591" s="24" t="n">
        <x:v>13.799999999999999</x:v>
      </x:c>
      <x:c r="M591" s="26" t="n">
        <x:v>0.1</x:v>
      </x:c>
      <x:c r="N591" s="24" t="n">
        <x:v>72</x:v>
      </x:c>
      <x:c r="O591" s="28" t="n">
        <x:f>MIN(1,L591/I591)</x:f>
        <x:v>0.13799999999999998</x:v>
      </x:c>
      <x:c r="P591" s="30" t="n">
        <x:f>O591*J591*(1+M591)</x:f>
        <x:v>0.1518</x:v>
      </x:c>
      <x:c r="Q591" s="30" t="n">
        <x:f>P591*N591</x:f>
        <x:v>10.929599999999999</x:v>
      </x:c>
      <x:c r="R591" s="19" t="str">
        <x:v>独立判定</x:v>
      </x:c>
    </x:row>
    <x:row r="592" ht="19" customHeight="1">
      <x:c r="A592" s="19" t="str">
        <x:v>D00588</x:v>
      </x:c>
      <x:c r="B592" s="19" t="n">
        <x:v>2</x:v>
      </x:c>
      <x:c r="C592" s="19" t="n">
        <x:v>5</x:v>
      </x:c>
      <x:c r="D592" s="19" t="str">
        <x:v>EL-MON-LIM-CASTLE-005</x:v>
      </x:c>
      <x:c r="E592" s="19" t="str">
        <x:v>接肢侍从</x:v>
      </x:c>
      <x:c r="F592" s="19" t="str">
        <x:v>普通</x:v>
      </x:c>
      <x:c r="G592" s="19" t="str">
        <x:v>材料独立候选</x:v>
      </x:c>
      <x:c r="H592" s="19" t="str">
        <x:v>小卢恩</x:v>
      </x:c>
      <x:c r="I592" s="22" t="n">
        <x:v>4000</x:v>
      </x:c>
      <x:c r="J592" s="22" t="n">
        <x:v>1</x:v>
      </x:c>
      <x:c r="K592" s="19" t="n">
        <x:v>1</x:v>
      </x:c>
      <x:c r="L592" s="24" t="n">
        <x:v>13.799999999999999</x:v>
      </x:c>
      <x:c r="M592" s="26" t="n">
        <x:v>0.1</x:v>
      </x:c>
      <x:c r="N592" s="24" t="n">
        <x:v>72</x:v>
      </x:c>
      <x:c r="O592" s="28" t="n">
        <x:f>MIN(1,L592/I592)</x:f>
        <x:v>0.00345</x:v>
      </x:c>
      <x:c r="P592" s="30" t="n">
        <x:f>O592*J592*(1+M592)</x:f>
        <x:v>0.003795</x:v>
      </x:c>
      <x:c r="Q592" s="30" t="n">
        <x:f>P592*N592</x:f>
        <x:v>0.27324000000000004</x:v>
      </x:c>
      <x:c r="R592" s="19" t="str">
        <x:v>独立判定</x:v>
      </x:c>
    </x:row>
    <x:row r="593" ht="19" customHeight="1">
      <x:c r="A593" s="19" t="str">
        <x:v>D00589</x:v>
      </x:c>
      <x:c r="B593" s="19" t="n">
        <x:v>2</x:v>
      </x:c>
      <x:c r="C593" s="19" t="n">
        <x:v>5</x:v>
      </x:c>
      <x:c r="D593" s="19" t="str">
        <x:v>EL-MON-LIM-CASTLE-005</x:v>
      </x:c>
      <x:c r="E593" s="19" t="str">
        <x:v>接肢侍从</x:v>
      </x:c>
      <x:c r="F593" s="19" t="str">
        <x:v>普通</x:v>
      </x:c>
      <x:c r="G593" s="19" t="str">
        <x:v>六神器公共池</x:v>
      </x:c>
      <x:c r="H593" s="19" t="str">
        <x:v>POOL006</x:v>
      </x:c>
      <x:c r="I593" s="22" t="n">
        <x:v>20000000</x:v>
      </x:c>
      <x:c r="J593" s="22" t="n">
        <x:v>1</x:v>
      </x:c>
      <x:c r="K593" s="19" t="n">
        <x:v>6</x:v>
      </x:c>
      <x:c r="L593" s="24" t="n">
        <x:v>13.799999999999999</x:v>
      </x:c>
      <x:c r="M593" s="26" t="n">
        <x:v>0.1</x:v>
      </x:c>
      <x:c r="N593" s="24" t="n">
        <x:v>72</x:v>
      </x:c>
      <x:c r="O593" s="28" t="n">
        <x:f>MIN(1,L593/I593)</x:f>
        <x:v>6.9e-7</x:v>
      </x:c>
      <x:c r="P593" s="30" t="n">
        <x:f>O593*J593*(1+M593)</x:f>
        <x:v>7.590000000000001e-7</x:v>
      </x:c>
      <x:c r="Q593" s="30" t="n">
        <x:f>P593*N593</x:f>
        <x:v>0.000054648</x:v>
      </x:c>
      <x:c r="R593" s="19" t="str">
        <x:v>六选一；非6个独立爆率</x:v>
      </x:c>
    </x:row>
    <x:row r="594" ht="19" customHeight="1">
      <x:c r="A594" s="19" t="str">
        <x:v>D00590</x:v>
      </x:c>
      <x:c r="B594" s="19" t="n">
        <x:v>2</x:v>
      </x:c>
      <x:c r="C594" s="19" t="n">
        <x:v>5</x:v>
      </x:c>
      <x:c r="D594" s="19" t="str">
        <x:v>EL-MON-LIM-CASTLE-006</x:v>
      </x:c>
      <x:c r="E594" s="19" t="str">
        <x:v>王城禁卫</x:v>
      </x:c>
      <x:c r="F594" s="19" t="str">
        <x:v>普通</x:v>
      </x:c>
      <x:c r="G594" s="19" t="str">
        <x:v>自身专属</x:v>
      </x:c>
      <x:c r="H594" s="19" t="str">
        <x:v>禁卫誓戒</x:v>
      </x:c>
      <x:c r="I594" s="22" t="n">
        <x:v>600</x:v>
      </x:c>
      <x:c r="J594" s="22" t="n">
        <x:v>1</x:v>
      </x:c>
      <x:c r="K594" s="19" t="n">
        <x:v>1</x:v>
      </x:c>
      <x:c r="L594" s="24" t="n">
        <x:v>13.799999999999999</x:v>
      </x:c>
      <x:c r="M594" s="26" t="n">
        <x:v>0.1</x:v>
      </x:c>
      <x:c r="N594" s="24" t="n">
        <x:v>72</x:v>
      </x:c>
      <x:c r="O594" s="28" t="n">
        <x:f>MIN(1,L594/I594)</x:f>
        <x:v>0.023</x:v>
      </x:c>
      <x:c r="P594" s="30" t="n">
        <x:f>O594*J594*(1+M594)</x:f>
        <x:v>0.025300000000000003</x:v>
      </x:c>
      <x:c r="Q594" s="30" t="n">
        <x:f>P594*N594</x:f>
        <x:v>1.8216</x:v>
      </x:c>
      <x:c r="R594" s="19" t="str">
        <x:v>独立判定</x:v>
      </x:c>
    </x:row>
    <x:row r="595" ht="19" customHeight="1">
      <x:c r="A595" s="19" t="str">
        <x:v>D00591</x:v>
      </x:c>
      <x:c r="B595" s="19" t="n">
        <x:v>2</x:v>
      </x:c>
      <x:c r="C595" s="19" t="n">
        <x:v>5</x:v>
      </x:c>
      <x:c r="D595" s="19" t="str">
        <x:v>EL-MON-LIM-CASTLE-006</x:v>
      </x:c>
      <x:c r="E595" s="19" t="str">
        <x:v>王城禁卫</x:v>
      </x:c>
      <x:c r="F595" s="19" t="str">
        <x:v>普通</x:v>
      </x:c>
      <x:c r="G595" s="19" t="str">
        <x:v>材料独立候选</x:v>
      </x:c>
      <x:c r="H595" s="19" t="str">
        <x:v>风暴石片</x:v>
      </x:c>
      <x:c r="I595" s="22" t="n">
        <x:v>500</x:v>
      </x:c>
      <x:c r="J595" s="22" t="n">
        <x:v>8</x:v>
      </x:c>
      <x:c r="K595" s="19" t="n">
        <x:v>1</x:v>
      </x:c>
      <x:c r="L595" s="24" t="n">
        <x:v>13.799999999999999</x:v>
      </x:c>
      <x:c r="M595" s="26" t="n">
        <x:v>0.1</x:v>
      </x:c>
      <x:c r="N595" s="24" t="n">
        <x:v>72</x:v>
      </x:c>
      <x:c r="O595" s="28" t="n">
        <x:f>MIN(1,L595/I595)</x:f>
        <x:v>0.0276</x:v>
      </x:c>
      <x:c r="P595" s="30" t="n">
        <x:f>O595*J595*(1+M595)</x:f>
        <x:v>0.24288</x:v>
      </x:c>
      <x:c r="Q595" s="30" t="n">
        <x:f>P595*N595</x:f>
        <x:v>17.487360000000002</x:v>
      </x:c>
      <x:c r="R595" s="19" t="str">
        <x:v>独立判定</x:v>
      </x:c>
    </x:row>
    <x:row r="596" ht="19" customHeight="1">
      <x:c r="A596" s="19" t="str">
        <x:v>D00592</x:v>
      </x:c>
      <x:c r="B596" s="19" t="n">
        <x:v>2</x:v>
      </x:c>
      <x:c r="C596" s="19" t="n">
        <x:v>5</x:v>
      </x:c>
      <x:c r="D596" s="19" t="str">
        <x:v>EL-MON-LIM-CASTLE-006</x:v>
      </x:c>
      <x:c r="E596" s="19" t="str">
        <x:v>王城禁卫</x:v>
      </x:c>
      <x:c r="F596" s="19" t="str">
        <x:v>普通</x:v>
      </x:c>
      <x:c r="G596" s="19" t="str">
        <x:v>材料独立候选</x:v>
      </x:c>
      <x:c r="H596" s="19" t="str">
        <x:v>野兽骨片</x:v>
      </x:c>
      <x:c r="I596" s="22" t="n">
        <x:v>100</x:v>
      </x:c>
      <x:c r="J596" s="22" t="n">
        <x:v>2</x:v>
      </x:c>
      <x:c r="K596" s="19" t="n">
        <x:v>1</x:v>
      </x:c>
      <x:c r="L596" s="24" t="n">
        <x:v>13.799999999999999</x:v>
      </x:c>
      <x:c r="M596" s="26" t="n">
        <x:v>0.1</x:v>
      </x:c>
      <x:c r="N596" s="24" t="n">
        <x:v>72</x:v>
      </x:c>
      <x:c r="O596" s="28" t="n">
        <x:f>MIN(1,L596/I596)</x:f>
        <x:v>0.13799999999999998</x:v>
      </x:c>
      <x:c r="P596" s="30" t="n">
        <x:f>O596*J596*(1+M596)</x:f>
        <x:v>0.3036</x:v>
      </x:c>
      <x:c r="Q596" s="30" t="n">
        <x:f>P596*N596</x:f>
        <x:v>21.859199999999998</x:v>
      </x:c>
      <x:c r="R596" s="19" t="str">
        <x:v>独立判定</x:v>
      </x:c>
    </x:row>
    <x:row r="597" ht="19" customHeight="1">
      <x:c r="A597" s="19" t="str">
        <x:v>D00593</x:v>
      </x:c>
      <x:c r="B597" s="19" t="n">
        <x:v>2</x:v>
      </x:c>
      <x:c r="C597" s="19" t="n">
        <x:v>5</x:v>
      </x:c>
      <x:c r="D597" s="19" t="str">
        <x:v>EL-MON-LIM-CASTLE-006</x:v>
      </x:c>
      <x:c r="E597" s="19" t="str">
        <x:v>王城禁卫</x:v>
      </x:c>
      <x:c r="F597" s="19" t="str">
        <x:v>普通</x:v>
      </x:c>
      <x:c r="G597" s="19" t="str">
        <x:v>材料独立候选</x:v>
      </x:c>
      <x:c r="H597" s="19" t="str">
        <x:v>技能残页</x:v>
      </x:c>
      <x:c r="I597" s="22" t="n">
        <x:v>100</x:v>
      </x:c>
      <x:c r="J597" s="22" t="n">
        <x:v>1</x:v>
      </x:c>
      <x:c r="K597" s="19" t="n">
        <x:v>1</x:v>
      </x:c>
      <x:c r="L597" s="24" t="n">
        <x:v>13.799999999999999</x:v>
      </x:c>
      <x:c r="M597" s="26" t="n">
        <x:v>0.1</x:v>
      </x:c>
      <x:c r="N597" s="24" t="n">
        <x:v>72</x:v>
      </x:c>
      <x:c r="O597" s="28" t="n">
        <x:f>MIN(1,L597/I597)</x:f>
        <x:v>0.13799999999999998</x:v>
      </x:c>
      <x:c r="P597" s="30" t="n">
        <x:f>O597*J597*(1+M597)</x:f>
        <x:v>0.1518</x:v>
      </x:c>
      <x:c r="Q597" s="30" t="n">
        <x:f>P597*N597</x:f>
        <x:v>10.929599999999999</x:v>
      </x:c>
      <x:c r="R597" s="19" t="str">
        <x:v>独立判定</x:v>
      </x:c>
    </x:row>
    <x:row r="598" ht="19" customHeight="1">
      <x:c r="A598" s="19" t="str">
        <x:v>D00594</x:v>
      </x:c>
      <x:c r="B598" s="19" t="n">
        <x:v>2</x:v>
      </x:c>
      <x:c r="C598" s="19" t="n">
        <x:v>5</x:v>
      </x:c>
      <x:c r="D598" s="19" t="str">
        <x:v>EL-MON-LIM-CASTLE-006</x:v>
      </x:c>
      <x:c r="E598" s="19" t="str">
        <x:v>王城禁卫</x:v>
      </x:c>
      <x:c r="F598" s="19" t="str">
        <x:v>普通</x:v>
      </x:c>
      <x:c r="G598" s="19" t="str">
        <x:v>材料独立候选</x:v>
      </x:c>
      <x:c r="H598" s="19" t="str">
        <x:v>小卢恩</x:v>
      </x:c>
      <x:c r="I598" s="22" t="n">
        <x:v>4000</x:v>
      </x:c>
      <x:c r="J598" s="22" t="n">
        <x:v>1</x:v>
      </x:c>
      <x:c r="K598" s="19" t="n">
        <x:v>1</x:v>
      </x:c>
      <x:c r="L598" s="24" t="n">
        <x:v>13.799999999999999</x:v>
      </x:c>
      <x:c r="M598" s="26" t="n">
        <x:v>0.1</x:v>
      </x:c>
      <x:c r="N598" s="24" t="n">
        <x:v>72</x:v>
      </x:c>
      <x:c r="O598" s="28" t="n">
        <x:f>MIN(1,L598/I598)</x:f>
        <x:v>0.00345</x:v>
      </x:c>
      <x:c r="P598" s="30" t="n">
        <x:f>O598*J598*(1+M598)</x:f>
        <x:v>0.003795</x:v>
      </x:c>
      <x:c r="Q598" s="30" t="n">
        <x:f>P598*N598</x:f>
        <x:v>0.27324000000000004</x:v>
      </x:c>
      <x:c r="R598" s="19" t="str">
        <x:v>独立判定</x:v>
      </x:c>
    </x:row>
    <x:row r="599" ht="19" customHeight="1">
      <x:c r="A599" s="19" t="str">
        <x:v>D00595</x:v>
      </x:c>
      <x:c r="B599" s="19" t="n">
        <x:v>2</x:v>
      </x:c>
      <x:c r="C599" s="19" t="n">
        <x:v>5</x:v>
      </x:c>
      <x:c r="D599" s="19" t="str">
        <x:v>EL-MON-LIM-CASTLE-006</x:v>
      </x:c>
      <x:c r="E599" s="19" t="str">
        <x:v>王城禁卫</x:v>
      </x:c>
      <x:c r="F599" s="19" t="str">
        <x:v>普通</x:v>
      </x:c>
      <x:c r="G599" s="19" t="str">
        <x:v>六神器公共池</x:v>
      </x:c>
      <x:c r="H599" s="19" t="str">
        <x:v>POOL006</x:v>
      </x:c>
      <x:c r="I599" s="22" t="n">
        <x:v>20000000</x:v>
      </x:c>
      <x:c r="J599" s="22" t="n">
        <x:v>1</x:v>
      </x:c>
      <x:c r="K599" s="19" t="n">
        <x:v>6</x:v>
      </x:c>
      <x:c r="L599" s="24" t="n">
        <x:v>13.799999999999999</x:v>
      </x:c>
      <x:c r="M599" s="26" t="n">
        <x:v>0.1</x:v>
      </x:c>
      <x:c r="N599" s="24" t="n">
        <x:v>72</x:v>
      </x:c>
      <x:c r="O599" s="28" t="n">
        <x:f>MIN(1,L599/I599)</x:f>
        <x:v>6.9e-7</x:v>
      </x:c>
      <x:c r="P599" s="30" t="n">
        <x:f>O599*J599*(1+M599)</x:f>
        <x:v>7.590000000000001e-7</x:v>
      </x:c>
      <x:c r="Q599" s="30" t="n">
        <x:f>P599*N599</x:f>
        <x:v>0.000054648</x:v>
      </x:c>
      <x:c r="R599" s="19" t="str">
        <x:v>六选一；非6个独立爆率</x:v>
      </x:c>
    </x:row>
    <x:row r="600" ht="19" customHeight="1">
      <x:c r="A600" s="19" t="str">
        <x:v>D00596</x:v>
      </x:c>
      <x:c r="B600" s="19" t="n">
        <x:v>2</x:v>
      </x:c>
      <x:c r="C600" s="19" t="n">
        <x:v>5</x:v>
      </x:c>
      <x:c r="D600" s="19" t="str">
        <x:v>EL-MON-LIM-CASTLE-007</x:v>
      </x:c>
      <x:c r="E600" s="19" t="str">
        <x:v>失乡骑士长</x:v>
      </x:c>
      <x:c r="F600" s="19" t="str">
        <x:v>稀有</x:v>
      </x:c>
      <x:c r="G600" s="19" t="str">
        <x:v>自身专属</x:v>
      </x:c>
      <x:c r="H600" s="19" t="str">
        <x:v>失乡统帅勋</x:v>
      </x:c>
      <x:c r="I600" s="22" t="n">
        <x:v>180</x:v>
      </x:c>
      <x:c r="J600" s="22" t="n">
        <x:v>1</x:v>
      </x:c>
      <x:c r="K600" s="19" t="n">
        <x:v>1</x:v>
      </x:c>
      <x:c r="L600" s="24" t="n">
        <x:v>13.799999999999999</x:v>
      </x:c>
      <x:c r="M600" s="26" t="n">
        <x:v>0.1</x:v>
      </x:c>
      <x:c r="N600" s="24" t="n">
        <x:v>10.157296777148728</x:v>
      </x:c>
      <x:c r="O600" s="28" t="n">
        <x:f>MIN(1,L600/I600)</x:f>
        <x:v>0.07666666666666666</x:v>
      </x:c>
      <x:c r="P600" s="30" t="n">
        <x:f>O600*J600*(1+M600)</x:f>
        <x:v>0.08433333333333333</x:v>
      </x:c>
      <x:c r="Q600" s="30" t="n">
        <x:f>P600*N600</x:f>
        <x:v>0.856598694872876</x:v>
      </x:c>
      <x:c r="R600" s="19" t="str">
        <x:v>独立判定</x:v>
      </x:c>
    </x:row>
    <x:row r="601" ht="19" customHeight="1">
      <x:c r="A601" s="19" t="str">
        <x:v>D00597</x:v>
      </x:c>
      <x:c r="B601" s="19" t="n">
        <x:v>2</x:v>
      </x:c>
      <x:c r="C601" s="19" t="n">
        <x:v>5</x:v>
      </x:c>
      <x:c r="D601" s="19" t="str">
        <x:v>EL-MON-LIM-CASTLE-007</x:v>
      </x:c>
      <x:c r="E601" s="19" t="str">
        <x:v>失乡骑士长</x:v>
      </x:c>
      <x:c r="F601" s="19" t="str">
        <x:v>稀有</x:v>
      </x:c>
      <x:c r="G601" s="19" t="str">
        <x:v>材料独立候选</x:v>
      </x:c>
      <x:c r="H601" s="19" t="str">
        <x:v>风暴石片</x:v>
      </x:c>
      <x:c r="I601" s="22" t="n">
        <x:v>300</x:v>
      </x:c>
      <x:c r="J601" s="22" t="n">
        <x:v>15</x:v>
      </x:c>
      <x:c r="K601" s="19" t="n">
        <x:v>1</x:v>
      </x:c>
      <x:c r="L601" s="24" t="n">
        <x:v>13.799999999999999</x:v>
      </x:c>
      <x:c r="M601" s="26" t="n">
        <x:v>0.1</x:v>
      </x:c>
      <x:c r="N601" s="24" t="n">
        <x:v>10.157296777148728</x:v>
      </x:c>
      <x:c r="O601" s="28" t="n">
        <x:f>MIN(1,L601/I601)</x:f>
        <x:v>0.046</x:v>
      </x:c>
      <x:c r="P601" s="30" t="n">
        <x:f>O601*J601*(1+M601)</x:f>
        <x:v>0.759</x:v>
      </x:c>
      <x:c r="Q601" s="30" t="n">
        <x:f>P601*N601</x:f>
        <x:v>7.709388253855884</x:v>
      </x:c>
      <x:c r="R601" s="19" t="str">
        <x:v>独立判定</x:v>
      </x:c>
    </x:row>
    <x:row r="602" ht="19" customHeight="1">
      <x:c r="A602" s="19" t="str">
        <x:v>D00598</x:v>
      </x:c>
      <x:c r="B602" s="19" t="n">
        <x:v>2</x:v>
      </x:c>
      <x:c r="C602" s="19" t="n">
        <x:v>5</x:v>
      </x:c>
      <x:c r="D602" s="19" t="str">
        <x:v>EL-MON-LIM-CASTLE-007</x:v>
      </x:c>
      <x:c r="E602" s="19" t="str">
        <x:v>失乡骑士长</x:v>
      </x:c>
      <x:c r="F602" s="19" t="str">
        <x:v>稀有</x:v>
      </x:c>
      <x:c r="G602" s="19" t="str">
        <x:v>材料独立候选</x:v>
      </x:c>
      <x:c r="H602" s="19" t="str">
        <x:v>黄金树芽</x:v>
      </x:c>
      <x:c r="I602" s="22" t="n">
        <x:v>60</x:v>
      </x:c>
      <x:c r="J602" s="22" t="n">
        <x:v>2</x:v>
      </x:c>
      <x:c r="K602" s="19" t="n">
        <x:v>1</x:v>
      </x:c>
      <x:c r="L602" s="24" t="n">
        <x:v>13.799999999999999</x:v>
      </x:c>
      <x:c r="M602" s="26" t="n">
        <x:v>0.1</x:v>
      </x:c>
      <x:c r="N602" s="24" t="n">
        <x:v>10.157296777148728</x:v>
      </x:c>
      <x:c r="O602" s="28" t="n">
        <x:f>MIN(1,L602/I602)</x:f>
        <x:v>0.22999999999999998</x:v>
      </x:c>
      <x:c r="P602" s="30" t="n">
        <x:f>O602*J602*(1+M602)</x:f>
        <x:v>0.506</x:v>
      </x:c>
      <x:c r="Q602" s="30" t="n">
        <x:f>P602*N602</x:f>
        <x:v>5.139592169237257</x:v>
      </x:c>
      <x:c r="R602" s="19" t="str">
        <x:v>独立判定</x:v>
      </x:c>
    </x:row>
    <x:row r="603" ht="19" customHeight="1">
      <x:c r="A603" s="19" t="str">
        <x:v>D00599</x:v>
      </x:c>
      <x:c r="B603" s="19" t="n">
        <x:v>2</x:v>
      </x:c>
      <x:c r="C603" s="19" t="n">
        <x:v>5</x:v>
      </x:c>
      <x:c r="D603" s="19" t="str">
        <x:v>EL-MON-LIM-CASTLE-007</x:v>
      </x:c>
      <x:c r="E603" s="19" t="str">
        <x:v>失乡骑士长</x:v>
      </x:c>
      <x:c r="F603" s="19" t="str">
        <x:v>稀有</x:v>
      </x:c>
      <x:c r="G603" s="19" t="str">
        <x:v>材料独立候选</x:v>
      </x:c>
      <x:c r="H603" s="19" t="str">
        <x:v>失乡统帅徽</x:v>
      </x:c>
      <x:c r="I603" s="22" t="n">
        <x:v>60</x:v>
      </x:c>
      <x:c r="J603" s="22" t="n">
        <x:v>3</x:v>
      </x:c>
      <x:c r="K603" s="19" t="n">
        <x:v>1</x:v>
      </x:c>
      <x:c r="L603" s="24" t="n">
        <x:v>13.799999999999999</x:v>
      </x:c>
      <x:c r="M603" s="26" t="n">
        <x:v>0.1</x:v>
      </x:c>
      <x:c r="N603" s="24" t="n">
        <x:v>10.157296777148728</x:v>
      </x:c>
      <x:c r="O603" s="28" t="n">
        <x:f>MIN(1,L603/I603)</x:f>
        <x:v>0.22999999999999998</x:v>
      </x:c>
      <x:c r="P603" s="30" t="n">
        <x:f>O603*J603*(1+M603)</x:f>
        <x:v>0.759</x:v>
      </x:c>
      <x:c r="Q603" s="30" t="n">
        <x:f>P603*N603</x:f>
        <x:v>7.709388253855884</x:v>
      </x:c>
      <x:c r="R603" s="19" t="str">
        <x:v>独立判定</x:v>
      </x:c>
    </x:row>
    <x:row r="604" ht="19" customHeight="1">
      <x:c r="A604" s="19" t="str">
        <x:v>D00600</x:v>
      </x:c>
      <x:c r="B604" s="19" t="n">
        <x:v>2</x:v>
      </x:c>
      <x:c r="C604" s="19" t="n">
        <x:v>5</x:v>
      </x:c>
      <x:c r="D604" s="19" t="str">
        <x:v>EL-MON-LIM-CASTLE-007</x:v>
      </x:c>
      <x:c r="E604" s="19" t="str">
        <x:v>失乡骑士长</x:v>
      </x:c>
      <x:c r="F604" s="19" t="str">
        <x:v>稀有</x:v>
      </x:c>
      <x:c r="G604" s="19" t="str">
        <x:v>材料独立候选</x:v>
      </x:c>
      <x:c r="H604" s="19" t="str">
        <x:v>野兽骨片</x:v>
      </x:c>
      <x:c r="I604" s="22" t="n">
        <x:v>60</x:v>
      </x:c>
      <x:c r="J604" s="22" t="n">
        <x:v>2</x:v>
      </x:c>
      <x:c r="K604" s="19" t="n">
        <x:v>1</x:v>
      </x:c>
      <x:c r="L604" s="24" t="n">
        <x:v>13.799999999999999</x:v>
      </x:c>
      <x:c r="M604" s="26" t="n">
        <x:v>0.1</x:v>
      </x:c>
      <x:c r="N604" s="24" t="n">
        <x:v>10.157296777148728</x:v>
      </x:c>
      <x:c r="O604" s="28" t="n">
        <x:f>MIN(1,L604/I604)</x:f>
        <x:v>0.22999999999999998</x:v>
      </x:c>
      <x:c r="P604" s="30" t="n">
        <x:f>O604*J604*(1+M604)</x:f>
        <x:v>0.506</x:v>
      </x:c>
      <x:c r="Q604" s="30" t="n">
        <x:f>P604*N604</x:f>
        <x:v>5.139592169237257</x:v>
      </x:c>
      <x:c r="R604" s="19" t="str">
        <x:v>独立判定</x:v>
      </x:c>
    </x:row>
    <x:row r="605" ht="19" customHeight="1">
      <x:c r="A605" s="19" t="str">
        <x:v>D00601</x:v>
      </x:c>
      <x:c r="B605" s="19" t="n">
        <x:v>2</x:v>
      </x:c>
      <x:c r="C605" s="19" t="n">
        <x:v>5</x:v>
      </x:c>
      <x:c r="D605" s="19" t="str">
        <x:v>EL-MON-LIM-CASTLE-007</x:v>
      </x:c>
      <x:c r="E605" s="19" t="str">
        <x:v>失乡骑士长</x:v>
      </x:c>
      <x:c r="F605" s="19" t="str">
        <x:v>稀有</x:v>
      </x:c>
      <x:c r="G605" s="19" t="str">
        <x:v>材料独立候选</x:v>
      </x:c>
      <x:c r="H605" s="19" t="str">
        <x:v>技能残页</x:v>
      </x:c>
      <x:c r="I605" s="22" t="n">
        <x:v>60</x:v>
      </x:c>
      <x:c r="J605" s="22" t="n">
        <x:v>1</x:v>
      </x:c>
      <x:c r="K605" s="19" t="n">
        <x:v>1</x:v>
      </x:c>
      <x:c r="L605" s="24" t="n">
        <x:v>13.799999999999999</x:v>
      </x:c>
      <x:c r="M605" s="26" t="n">
        <x:v>0.1</x:v>
      </x:c>
      <x:c r="N605" s="24" t="n">
        <x:v>10.157296777148728</x:v>
      </x:c>
      <x:c r="O605" s="28" t="n">
        <x:f>MIN(1,L605/I605)</x:f>
        <x:v>0.22999999999999998</x:v>
      </x:c>
      <x:c r="P605" s="30" t="n">
        <x:f>O605*J605*(1+M605)</x:f>
        <x:v>0.253</x:v>
      </x:c>
      <x:c r="Q605" s="30" t="n">
        <x:f>P605*N605</x:f>
        <x:v>2.5697960846186283</x:v>
      </x:c>
      <x:c r="R605" s="19" t="str">
        <x:v>独立判定</x:v>
      </x:c>
    </x:row>
    <x:row r="606" ht="19" customHeight="1">
      <x:c r="A606" s="19" t="str">
        <x:v>D00602</x:v>
      </x:c>
      <x:c r="B606" s="19" t="n">
        <x:v>2</x:v>
      </x:c>
      <x:c r="C606" s="19" t="n">
        <x:v>5</x:v>
      </x:c>
      <x:c r="D606" s="19" t="str">
        <x:v>EL-MON-LIM-CASTLE-007</x:v>
      </x:c>
      <x:c r="E606" s="19" t="str">
        <x:v>失乡骑士长</x:v>
      </x:c>
      <x:c r="F606" s="19" t="str">
        <x:v>稀有</x:v>
      </x:c>
      <x:c r="G606" s="19" t="str">
        <x:v>材料独立候选</x:v>
      </x:c>
      <x:c r="H606" s="19" t="str">
        <x:v>小卢恩</x:v>
      </x:c>
      <x:c r="I606" s="22" t="n">
        <x:v>2500</x:v>
      </x:c>
      <x:c r="J606" s="22" t="n">
        <x:v>1</x:v>
      </x:c>
      <x:c r="K606" s="19" t="n">
        <x:v>1</x:v>
      </x:c>
      <x:c r="L606" s="24" t="n">
        <x:v>13.799999999999999</x:v>
      </x:c>
      <x:c r="M606" s="26" t="n">
        <x:v>0.1</x:v>
      </x:c>
      <x:c r="N606" s="24" t="n">
        <x:v>10.157296777148728</x:v>
      </x:c>
      <x:c r="O606" s="28" t="n">
        <x:f>MIN(1,L606/I606)</x:f>
        <x:v>0.00552</x:v>
      </x:c>
      <x:c r="P606" s="30" t="n">
        <x:f>O606*J606*(1+M606)</x:f>
        <x:v>0.006072</x:v>
      </x:c>
      <x:c r="Q606" s="30" t="n">
        <x:f>P606*N606</x:f>
        <x:v>0.061675106030847075</x:v>
      </x:c>
      <x:c r="R606" s="19" t="str">
        <x:v>独立判定</x:v>
      </x:c>
    </x:row>
    <x:row r="607" ht="19" customHeight="1">
      <x:c r="A607" s="19" t="str">
        <x:v>D00603</x:v>
      </x:c>
      <x:c r="B607" s="19" t="n">
        <x:v>2</x:v>
      </x:c>
      <x:c r="C607" s="19" t="n">
        <x:v>5</x:v>
      </x:c>
      <x:c r="D607" s="19" t="str">
        <x:v>EL-MON-LIM-CASTLE-007</x:v>
      </x:c>
      <x:c r="E607" s="19" t="str">
        <x:v>失乡骑士长</x:v>
      </x:c>
      <x:c r="F607" s="19" t="str">
        <x:v>稀有</x:v>
      </x:c>
      <x:c r="G607" s="19" t="str">
        <x:v>六神器公共池</x:v>
      </x:c>
      <x:c r="H607" s="19" t="str">
        <x:v>POOL006</x:v>
      </x:c>
      <x:c r="I607" s="22" t="n">
        <x:v>5000000</x:v>
      </x:c>
      <x:c r="J607" s="22" t="n">
        <x:v>1</x:v>
      </x:c>
      <x:c r="K607" s="19" t="n">
        <x:v>6</x:v>
      </x:c>
      <x:c r="L607" s="24" t="n">
        <x:v>13.799999999999999</x:v>
      </x:c>
      <x:c r="M607" s="26" t="n">
        <x:v>0.1</x:v>
      </x:c>
      <x:c r="N607" s="24" t="n">
        <x:v>10.157296777148728</x:v>
      </x:c>
      <x:c r="O607" s="28" t="n">
        <x:f>MIN(1,L607/I607)</x:f>
        <x:v>0.00000276</x:v>
      </x:c>
      <x:c r="P607" s="30" t="n">
        <x:f>O607*J607*(1+M607)</x:f>
        <x:v>0.0000030360000000000002</x:v>
      </x:c>
      <x:c r="Q607" s="30" t="n">
        <x:f>P607*N607</x:f>
        <x:v>0.000030837553015423544</x:v>
      </x:c>
      <x:c r="R607" s="19" t="str">
        <x:v>六选一；非6个独立爆率</x:v>
      </x:c>
    </x:row>
    <x:row r="608" ht="19" customHeight="1">
      <x:c r="A608" s="19" t="str">
        <x:v>D00604</x:v>
      </x:c>
      <x:c r="B608" s="19" t="n">
        <x:v>2</x:v>
      </x:c>
      <x:c r="C608" s="19" t="n">
        <x:v>5</x:v>
      </x:c>
      <x:c r="D608" s="19" t="str">
        <x:v>EL-MON-LIM-CASTLE-008</x:v>
      </x:c>
      <x:c r="E608" s="19" t="str">
        <x:v>接肢狮卫</x:v>
      </x:c>
      <x:c r="F608" s="19" t="str">
        <x:v>稀有</x:v>
      </x:c>
      <x:c r="G608" s="19" t="str">
        <x:v>自身专属</x:v>
      </x:c>
      <x:c r="H608" s="19" t="str">
        <x:v>百骸狮盾</x:v>
      </x:c>
      <x:c r="I608" s="22" t="n">
        <x:v>180</x:v>
      </x:c>
      <x:c r="J608" s="22" t="n">
        <x:v>1</x:v>
      </x:c>
      <x:c r="K608" s="19" t="n">
        <x:v>1</x:v>
      </x:c>
      <x:c r="L608" s="24" t="n">
        <x:v>13.799999999999999</x:v>
      </x:c>
      <x:c r="M608" s="26" t="n">
        <x:v>0.1</x:v>
      </x:c>
      <x:c r="N608" s="24" t="n">
        <x:v>10.157296777148728</x:v>
      </x:c>
      <x:c r="O608" s="28" t="n">
        <x:f>MIN(1,L608/I608)</x:f>
        <x:v>0.07666666666666666</x:v>
      </x:c>
      <x:c r="P608" s="30" t="n">
        <x:f>O608*J608*(1+M608)</x:f>
        <x:v>0.08433333333333333</x:v>
      </x:c>
      <x:c r="Q608" s="30" t="n">
        <x:f>P608*N608</x:f>
        <x:v>0.856598694872876</x:v>
      </x:c>
      <x:c r="R608" s="19" t="str">
        <x:v>独立判定</x:v>
      </x:c>
    </x:row>
    <x:row r="609" ht="19" customHeight="1">
      <x:c r="A609" s="19" t="str">
        <x:v>D00605</x:v>
      </x:c>
      <x:c r="B609" s="19" t="n">
        <x:v>2</x:v>
      </x:c>
      <x:c r="C609" s="19" t="n">
        <x:v>5</x:v>
      </x:c>
      <x:c r="D609" s="19" t="str">
        <x:v>EL-MON-LIM-CASTLE-008</x:v>
      </x:c>
      <x:c r="E609" s="19" t="str">
        <x:v>接肢狮卫</x:v>
      </x:c>
      <x:c r="F609" s="19" t="str">
        <x:v>稀有</x:v>
      </x:c>
      <x:c r="G609" s="19" t="str">
        <x:v>材料独立候选</x:v>
      </x:c>
      <x:c r="H609" s="19" t="str">
        <x:v>风暴石片</x:v>
      </x:c>
      <x:c r="I609" s="22" t="n">
        <x:v>300</x:v>
      </x:c>
      <x:c r="J609" s="22" t="n">
        <x:v>15</x:v>
      </x:c>
      <x:c r="K609" s="19" t="n">
        <x:v>1</x:v>
      </x:c>
      <x:c r="L609" s="24" t="n">
        <x:v>13.799999999999999</x:v>
      </x:c>
      <x:c r="M609" s="26" t="n">
        <x:v>0.1</x:v>
      </x:c>
      <x:c r="N609" s="24" t="n">
        <x:v>10.157296777148728</x:v>
      </x:c>
      <x:c r="O609" s="28" t="n">
        <x:f>MIN(1,L609/I609)</x:f>
        <x:v>0.046</x:v>
      </x:c>
      <x:c r="P609" s="30" t="n">
        <x:f>O609*J609*(1+M609)</x:f>
        <x:v>0.759</x:v>
      </x:c>
      <x:c r="Q609" s="30" t="n">
        <x:f>P609*N609</x:f>
        <x:v>7.709388253855884</x:v>
      </x:c>
      <x:c r="R609" s="19" t="str">
        <x:v>独立判定</x:v>
      </x:c>
    </x:row>
    <x:row r="610" ht="19" customHeight="1">
      <x:c r="A610" s="19" t="str">
        <x:v>D00606</x:v>
      </x:c>
      <x:c r="B610" s="19" t="n">
        <x:v>2</x:v>
      </x:c>
      <x:c r="C610" s="19" t="n">
        <x:v>5</x:v>
      </x:c>
      <x:c r="D610" s="19" t="str">
        <x:v>EL-MON-LIM-CASTLE-008</x:v>
      </x:c>
      <x:c r="E610" s="19" t="str">
        <x:v>接肢狮卫</x:v>
      </x:c>
      <x:c r="F610" s="19" t="str">
        <x:v>稀有</x:v>
      </x:c>
      <x:c r="G610" s="19" t="str">
        <x:v>材料独立候选</x:v>
      </x:c>
      <x:c r="H610" s="19" t="str">
        <x:v>黄金树芽</x:v>
      </x:c>
      <x:c r="I610" s="22" t="n">
        <x:v>60</x:v>
      </x:c>
      <x:c r="J610" s="22" t="n">
        <x:v>2</x:v>
      </x:c>
      <x:c r="K610" s="19" t="n">
        <x:v>1</x:v>
      </x:c>
      <x:c r="L610" s="24" t="n">
        <x:v>13.799999999999999</x:v>
      </x:c>
      <x:c r="M610" s="26" t="n">
        <x:v>0.1</x:v>
      </x:c>
      <x:c r="N610" s="24" t="n">
        <x:v>10.157296777148728</x:v>
      </x:c>
      <x:c r="O610" s="28" t="n">
        <x:f>MIN(1,L610/I610)</x:f>
        <x:v>0.22999999999999998</x:v>
      </x:c>
      <x:c r="P610" s="30" t="n">
        <x:f>O610*J610*(1+M610)</x:f>
        <x:v>0.506</x:v>
      </x:c>
      <x:c r="Q610" s="30" t="n">
        <x:f>P610*N610</x:f>
        <x:v>5.139592169237257</x:v>
      </x:c>
      <x:c r="R610" s="19" t="str">
        <x:v>独立判定</x:v>
      </x:c>
    </x:row>
    <x:row r="611" ht="19" customHeight="1">
      <x:c r="A611" s="19" t="str">
        <x:v>D00607</x:v>
      </x:c>
      <x:c r="B611" s="19" t="n">
        <x:v>2</x:v>
      </x:c>
      <x:c r="C611" s="19" t="n">
        <x:v>5</x:v>
      </x:c>
      <x:c r="D611" s="19" t="str">
        <x:v>EL-MON-LIM-CASTLE-008</x:v>
      </x:c>
      <x:c r="E611" s="19" t="str">
        <x:v>接肢狮卫</x:v>
      </x:c>
      <x:c r="F611" s="19" t="str">
        <x:v>稀有</x:v>
      </x:c>
      <x:c r="G611" s="19" t="str">
        <x:v>材料独立候选</x:v>
      </x:c>
      <x:c r="H611" s="19" t="str">
        <x:v>接肢兽心</x:v>
      </x:c>
      <x:c r="I611" s="22" t="n">
        <x:v>60</x:v>
      </x:c>
      <x:c r="J611" s="22" t="n">
        <x:v>3</x:v>
      </x:c>
      <x:c r="K611" s="19" t="n">
        <x:v>1</x:v>
      </x:c>
      <x:c r="L611" s="24" t="n">
        <x:v>13.799999999999999</x:v>
      </x:c>
      <x:c r="M611" s="26" t="n">
        <x:v>0.1</x:v>
      </x:c>
      <x:c r="N611" s="24" t="n">
        <x:v>10.157296777148728</x:v>
      </x:c>
      <x:c r="O611" s="28" t="n">
        <x:f>MIN(1,L611/I611)</x:f>
        <x:v>0.22999999999999998</x:v>
      </x:c>
      <x:c r="P611" s="30" t="n">
        <x:f>O611*J611*(1+M611)</x:f>
        <x:v>0.759</x:v>
      </x:c>
      <x:c r="Q611" s="30" t="n">
        <x:f>P611*N611</x:f>
        <x:v>7.709388253855884</x:v>
      </x:c>
      <x:c r="R611" s="19" t="str">
        <x:v>独立判定</x:v>
      </x:c>
    </x:row>
    <x:row r="612" ht="19" customHeight="1">
      <x:c r="A612" s="19" t="str">
        <x:v>D00608</x:v>
      </x:c>
      <x:c r="B612" s="19" t="n">
        <x:v>2</x:v>
      </x:c>
      <x:c r="C612" s="19" t="n">
        <x:v>5</x:v>
      </x:c>
      <x:c r="D612" s="19" t="str">
        <x:v>EL-MON-LIM-CASTLE-008</x:v>
      </x:c>
      <x:c r="E612" s="19" t="str">
        <x:v>接肢狮卫</x:v>
      </x:c>
      <x:c r="F612" s="19" t="str">
        <x:v>稀有</x:v>
      </x:c>
      <x:c r="G612" s="19" t="str">
        <x:v>材料独立候选</x:v>
      </x:c>
      <x:c r="H612" s="19" t="str">
        <x:v>野兽骨片</x:v>
      </x:c>
      <x:c r="I612" s="22" t="n">
        <x:v>60</x:v>
      </x:c>
      <x:c r="J612" s="22" t="n">
        <x:v>2</x:v>
      </x:c>
      <x:c r="K612" s="19" t="n">
        <x:v>1</x:v>
      </x:c>
      <x:c r="L612" s="24" t="n">
        <x:v>13.799999999999999</x:v>
      </x:c>
      <x:c r="M612" s="26" t="n">
        <x:v>0.1</x:v>
      </x:c>
      <x:c r="N612" s="24" t="n">
        <x:v>10.157296777148728</x:v>
      </x:c>
      <x:c r="O612" s="28" t="n">
        <x:f>MIN(1,L612/I612)</x:f>
        <x:v>0.22999999999999998</x:v>
      </x:c>
      <x:c r="P612" s="30" t="n">
        <x:f>O612*J612*(1+M612)</x:f>
        <x:v>0.506</x:v>
      </x:c>
      <x:c r="Q612" s="30" t="n">
        <x:f>P612*N612</x:f>
        <x:v>5.139592169237257</x:v>
      </x:c>
      <x:c r="R612" s="19" t="str">
        <x:v>独立判定</x:v>
      </x:c>
    </x:row>
    <x:row r="613" ht="19" customHeight="1">
      <x:c r="A613" s="19" t="str">
        <x:v>D00609</x:v>
      </x:c>
      <x:c r="B613" s="19" t="n">
        <x:v>2</x:v>
      </x:c>
      <x:c r="C613" s="19" t="n">
        <x:v>5</x:v>
      </x:c>
      <x:c r="D613" s="19" t="str">
        <x:v>EL-MON-LIM-CASTLE-008</x:v>
      </x:c>
      <x:c r="E613" s="19" t="str">
        <x:v>接肢狮卫</x:v>
      </x:c>
      <x:c r="F613" s="19" t="str">
        <x:v>稀有</x:v>
      </x:c>
      <x:c r="G613" s="19" t="str">
        <x:v>材料独立候选</x:v>
      </x:c>
      <x:c r="H613" s="19" t="str">
        <x:v>技能残页</x:v>
      </x:c>
      <x:c r="I613" s="22" t="n">
        <x:v>60</x:v>
      </x:c>
      <x:c r="J613" s="22" t="n">
        <x:v>1</x:v>
      </x:c>
      <x:c r="K613" s="19" t="n">
        <x:v>1</x:v>
      </x:c>
      <x:c r="L613" s="24" t="n">
        <x:v>13.799999999999999</x:v>
      </x:c>
      <x:c r="M613" s="26" t="n">
        <x:v>0.1</x:v>
      </x:c>
      <x:c r="N613" s="24" t="n">
        <x:v>10.157296777148728</x:v>
      </x:c>
      <x:c r="O613" s="28" t="n">
        <x:f>MIN(1,L613/I613)</x:f>
        <x:v>0.22999999999999998</x:v>
      </x:c>
      <x:c r="P613" s="30" t="n">
        <x:f>O613*J613*(1+M613)</x:f>
        <x:v>0.253</x:v>
      </x:c>
      <x:c r="Q613" s="30" t="n">
        <x:f>P613*N613</x:f>
        <x:v>2.5697960846186283</x:v>
      </x:c>
      <x:c r="R613" s="19" t="str">
        <x:v>独立判定</x:v>
      </x:c>
    </x:row>
    <x:row r="614" ht="19" customHeight="1">
      <x:c r="A614" s="19" t="str">
        <x:v>D00610</x:v>
      </x:c>
      <x:c r="B614" s="19" t="n">
        <x:v>2</x:v>
      </x:c>
      <x:c r="C614" s="19" t="n">
        <x:v>5</x:v>
      </x:c>
      <x:c r="D614" s="19" t="str">
        <x:v>EL-MON-LIM-CASTLE-008</x:v>
      </x:c>
      <x:c r="E614" s="19" t="str">
        <x:v>接肢狮卫</x:v>
      </x:c>
      <x:c r="F614" s="19" t="str">
        <x:v>稀有</x:v>
      </x:c>
      <x:c r="G614" s="19" t="str">
        <x:v>材料独立候选</x:v>
      </x:c>
      <x:c r="H614" s="19" t="str">
        <x:v>小卢恩</x:v>
      </x:c>
      <x:c r="I614" s="22" t="n">
        <x:v>2500</x:v>
      </x:c>
      <x:c r="J614" s="22" t="n">
        <x:v>1</x:v>
      </x:c>
      <x:c r="K614" s="19" t="n">
        <x:v>1</x:v>
      </x:c>
      <x:c r="L614" s="24" t="n">
        <x:v>13.799999999999999</x:v>
      </x:c>
      <x:c r="M614" s="26" t="n">
        <x:v>0.1</x:v>
      </x:c>
      <x:c r="N614" s="24" t="n">
        <x:v>10.157296777148728</x:v>
      </x:c>
      <x:c r="O614" s="28" t="n">
        <x:f>MIN(1,L614/I614)</x:f>
        <x:v>0.00552</x:v>
      </x:c>
      <x:c r="P614" s="30" t="n">
        <x:f>O614*J614*(1+M614)</x:f>
        <x:v>0.006072</x:v>
      </x:c>
      <x:c r="Q614" s="30" t="n">
        <x:f>P614*N614</x:f>
        <x:v>0.061675106030847075</x:v>
      </x:c>
      <x:c r="R614" s="19" t="str">
        <x:v>独立判定</x:v>
      </x:c>
    </x:row>
    <x:row r="615" ht="19" customHeight="1">
      <x:c r="A615" s="19" t="str">
        <x:v>D00611</x:v>
      </x:c>
      <x:c r="B615" s="19" t="n">
        <x:v>2</x:v>
      </x:c>
      <x:c r="C615" s="19" t="n">
        <x:v>5</x:v>
      </x:c>
      <x:c r="D615" s="19" t="str">
        <x:v>EL-MON-LIM-CASTLE-008</x:v>
      </x:c>
      <x:c r="E615" s="19" t="str">
        <x:v>接肢狮卫</x:v>
      </x:c>
      <x:c r="F615" s="19" t="str">
        <x:v>稀有</x:v>
      </x:c>
      <x:c r="G615" s="19" t="str">
        <x:v>六神器公共池</x:v>
      </x:c>
      <x:c r="H615" s="19" t="str">
        <x:v>POOL006</x:v>
      </x:c>
      <x:c r="I615" s="22" t="n">
        <x:v>5000000</x:v>
      </x:c>
      <x:c r="J615" s="22" t="n">
        <x:v>1</x:v>
      </x:c>
      <x:c r="K615" s="19" t="n">
        <x:v>6</x:v>
      </x:c>
      <x:c r="L615" s="24" t="n">
        <x:v>13.799999999999999</x:v>
      </x:c>
      <x:c r="M615" s="26" t="n">
        <x:v>0.1</x:v>
      </x:c>
      <x:c r="N615" s="24" t="n">
        <x:v>10.157296777148728</x:v>
      </x:c>
      <x:c r="O615" s="28" t="n">
        <x:f>MIN(1,L615/I615)</x:f>
        <x:v>0.00000276</x:v>
      </x:c>
      <x:c r="P615" s="30" t="n">
        <x:f>O615*J615*(1+M615)</x:f>
        <x:v>0.0000030360000000000002</x:v>
      </x:c>
      <x:c r="Q615" s="30" t="n">
        <x:f>P615*N615</x:f>
        <x:v>0.000030837553015423544</x:v>
      </x:c>
      <x:c r="R615" s="19" t="str">
        <x:v>六选一；非6个独立爆率</x:v>
      </x:c>
    </x:row>
    <x:row r="616" ht="19" customHeight="1">
      <x:c r="A616" s="19" t="str">
        <x:v>D00612</x:v>
      </x:c>
      <x:c r="B616" s="19" t="n">
        <x:v>2</x:v>
      </x:c>
      <x:c r="C616" s="19" t="n">
        <x:v>5</x:v>
      </x:c>
      <x:c r="D616" s="19" t="str">
        <x:v>EL-MON-LIM-CASTLE-009</x:v>
      </x:c>
      <x:c r="E616" s="19" t="str">
        <x:v>黑焰礼拜官</x:v>
      </x:c>
      <x:c r="F616" s="19" t="str">
        <x:v>稀有</x:v>
      </x:c>
      <x:c r="G616" s="19" t="str">
        <x:v>自身专属</x:v>
      </x:c>
      <x:c r="H616" s="19" t="str">
        <x:v>黑焰王玉</x:v>
      </x:c>
      <x:c r="I616" s="22" t="n">
        <x:v>180</x:v>
      </x:c>
      <x:c r="J616" s="22" t="n">
        <x:v>1</x:v>
      </x:c>
      <x:c r="K616" s="19" t="n">
        <x:v>1</x:v>
      </x:c>
      <x:c r="L616" s="24" t="n">
        <x:v>13.799999999999999</x:v>
      </x:c>
      <x:c r="M616" s="26" t="n">
        <x:v>0.1</x:v>
      </x:c>
      <x:c r="N616" s="24" t="n">
        <x:v>10.157296777148728</x:v>
      </x:c>
      <x:c r="O616" s="28" t="n">
        <x:f>MIN(1,L616/I616)</x:f>
        <x:v>0.07666666666666666</x:v>
      </x:c>
      <x:c r="P616" s="30" t="n">
        <x:f>O616*J616*(1+M616)</x:f>
        <x:v>0.08433333333333333</x:v>
      </x:c>
      <x:c r="Q616" s="30" t="n">
        <x:f>P616*N616</x:f>
        <x:v>0.856598694872876</x:v>
      </x:c>
      <x:c r="R616" s="19" t="str">
        <x:v>独立判定</x:v>
      </x:c>
    </x:row>
    <x:row r="617" ht="19" customHeight="1">
      <x:c r="A617" s="19" t="str">
        <x:v>D00613</x:v>
      </x:c>
      <x:c r="B617" s="19" t="n">
        <x:v>2</x:v>
      </x:c>
      <x:c r="C617" s="19" t="n">
        <x:v>5</x:v>
      </x:c>
      <x:c r="D617" s="19" t="str">
        <x:v>EL-MON-LIM-CASTLE-009</x:v>
      </x:c>
      <x:c r="E617" s="19" t="str">
        <x:v>黑焰礼拜官</x:v>
      </x:c>
      <x:c r="F617" s="19" t="str">
        <x:v>稀有</x:v>
      </x:c>
      <x:c r="G617" s="19" t="str">
        <x:v>材料独立候选</x:v>
      </x:c>
      <x:c r="H617" s="19" t="str">
        <x:v>风暴石片</x:v>
      </x:c>
      <x:c r="I617" s="22" t="n">
        <x:v>300</x:v>
      </x:c>
      <x:c r="J617" s="22" t="n">
        <x:v>15</x:v>
      </x:c>
      <x:c r="K617" s="19" t="n">
        <x:v>1</x:v>
      </x:c>
      <x:c r="L617" s="24" t="n">
        <x:v>13.799999999999999</x:v>
      </x:c>
      <x:c r="M617" s="26" t="n">
        <x:v>0.1</x:v>
      </x:c>
      <x:c r="N617" s="24" t="n">
        <x:v>10.157296777148728</x:v>
      </x:c>
      <x:c r="O617" s="28" t="n">
        <x:f>MIN(1,L617/I617)</x:f>
        <x:v>0.046</x:v>
      </x:c>
      <x:c r="P617" s="30" t="n">
        <x:f>O617*J617*(1+M617)</x:f>
        <x:v>0.759</x:v>
      </x:c>
      <x:c r="Q617" s="30" t="n">
        <x:f>P617*N617</x:f>
        <x:v>7.709388253855884</x:v>
      </x:c>
      <x:c r="R617" s="19" t="str">
        <x:v>独立判定</x:v>
      </x:c>
    </x:row>
    <x:row r="618" ht="19" customHeight="1">
      <x:c r="A618" s="19" t="str">
        <x:v>D00614</x:v>
      </x:c>
      <x:c r="B618" s="19" t="n">
        <x:v>2</x:v>
      </x:c>
      <x:c r="C618" s="19" t="n">
        <x:v>5</x:v>
      </x:c>
      <x:c r="D618" s="19" t="str">
        <x:v>EL-MON-LIM-CASTLE-009</x:v>
      </x:c>
      <x:c r="E618" s="19" t="str">
        <x:v>黑焰礼拜官</x:v>
      </x:c>
      <x:c r="F618" s="19" t="str">
        <x:v>稀有</x:v>
      </x:c>
      <x:c r="G618" s="19" t="str">
        <x:v>材料独立候选</x:v>
      </x:c>
      <x:c r="H618" s="19" t="str">
        <x:v>黄金树芽</x:v>
      </x:c>
      <x:c r="I618" s="22" t="n">
        <x:v>60</x:v>
      </x:c>
      <x:c r="J618" s="22" t="n">
        <x:v>2</x:v>
      </x:c>
      <x:c r="K618" s="19" t="n">
        <x:v>1</x:v>
      </x:c>
      <x:c r="L618" s="24" t="n">
        <x:v>13.799999999999999</x:v>
      </x:c>
      <x:c r="M618" s="26" t="n">
        <x:v>0.1</x:v>
      </x:c>
      <x:c r="N618" s="24" t="n">
        <x:v>10.157296777148728</x:v>
      </x:c>
      <x:c r="O618" s="28" t="n">
        <x:f>MIN(1,L618/I618)</x:f>
        <x:v>0.22999999999999998</x:v>
      </x:c>
      <x:c r="P618" s="30" t="n">
        <x:f>O618*J618*(1+M618)</x:f>
        <x:v>0.506</x:v>
      </x:c>
      <x:c r="Q618" s="30" t="n">
        <x:f>P618*N618</x:f>
        <x:v>5.139592169237257</x:v>
      </x:c>
      <x:c r="R618" s="19" t="str">
        <x:v>独立判定</x:v>
      </x:c>
    </x:row>
    <x:row r="619" ht="19" customHeight="1">
      <x:c r="A619" s="19" t="str">
        <x:v>D00615</x:v>
      </x:c>
      <x:c r="B619" s="19" t="n">
        <x:v>2</x:v>
      </x:c>
      <x:c r="C619" s="19" t="n">
        <x:v>5</x:v>
      </x:c>
      <x:c r="D619" s="19" t="str">
        <x:v>EL-MON-LIM-CASTLE-009</x:v>
      </x:c>
      <x:c r="E619" s="19" t="str">
        <x:v>黑焰礼拜官</x:v>
      </x:c>
      <x:c r="F619" s="19" t="str">
        <x:v>稀有</x:v>
      </x:c>
      <x:c r="G619" s="19" t="str">
        <x:v>材料独立候选</x:v>
      </x:c>
      <x:c r="H619" s="19" t="str">
        <x:v>野兽骨片</x:v>
      </x:c>
      <x:c r="I619" s="22" t="n">
        <x:v>60</x:v>
      </x:c>
      <x:c r="J619" s="22" t="n">
        <x:v>2</x:v>
      </x:c>
      <x:c r="K619" s="19" t="n">
        <x:v>1</x:v>
      </x:c>
      <x:c r="L619" s="24" t="n">
        <x:v>13.799999999999999</x:v>
      </x:c>
      <x:c r="M619" s="26" t="n">
        <x:v>0.1</x:v>
      </x:c>
      <x:c r="N619" s="24" t="n">
        <x:v>10.157296777148728</x:v>
      </x:c>
      <x:c r="O619" s="28" t="n">
        <x:f>MIN(1,L619/I619)</x:f>
        <x:v>0.22999999999999998</x:v>
      </x:c>
      <x:c r="P619" s="30" t="n">
        <x:f>O619*J619*(1+M619)</x:f>
        <x:v>0.506</x:v>
      </x:c>
      <x:c r="Q619" s="30" t="n">
        <x:f>P619*N619</x:f>
        <x:v>5.139592169237257</x:v>
      </x:c>
      <x:c r="R619" s="19" t="str">
        <x:v>独立判定</x:v>
      </x:c>
    </x:row>
    <x:row r="620" ht="19" customHeight="1">
      <x:c r="A620" s="19" t="str">
        <x:v>D00616</x:v>
      </x:c>
      <x:c r="B620" s="19" t="n">
        <x:v>2</x:v>
      </x:c>
      <x:c r="C620" s="19" t="n">
        <x:v>5</x:v>
      </x:c>
      <x:c r="D620" s="19" t="str">
        <x:v>EL-MON-LIM-CASTLE-009</x:v>
      </x:c>
      <x:c r="E620" s="19" t="str">
        <x:v>黑焰礼拜官</x:v>
      </x:c>
      <x:c r="F620" s="19" t="str">
        <x:v>稀有</x:v>
      </x:c>
      <x:c r="G620" s="19" t="str">
        <x:v>材料独立候选</x:v>
      </x:c>
      <x:c r="H620" s="19" t="str">
        <x:v>技能残页</x:v>
      </x:c>
      <x:c r="I620" s="22" t="n">
        <x:v>60</x:v>
      </x:c>
      <x:c r="J620" s="22" t="n">
        <x:v>1</x:v>
      </x:c>
      <x:c r="K620" s="19" t="n">
        <x:v>1</x:v>
      </x:c>
      <x:c r="L620" s="24" t="n">
        <x:v>13.799999999999999</x:v>
      </x:c>
      <x:c r="M620" s="26" t="n">
        <x:v>0.1</x:v>
      </x:c>
      <x:c r="N620" s="24" t="n">
        <x:v>10.157296777148728</x:v>
      </x:c>
      <x:c r="O620" s="28" t="n">
        <x:f>MIN(1,L620/I620)</x:f>
        <x:v>0.22999999999999998</x:v>
      </x:c>
      <x:c r="P620" s="30" t="n">
        <x:f>O620*J620*(1+M620)</x:f>
        <x:v>0.253</x:v>
      </x:c>
      <x:c r="Q620" s="30" t="n">
        <x:f>P620*N620</x:f>
        <x:v>2.5697960846186283</x:v>
      </x:c>
      <x:c r="R620" s="19" t="str">
        <x:v>独立判定</x:v>
      </x:c>
    </x:row>
    <x:row r="621" ht="19" customHeight="1">
      <x:c r="A621" s="19" t="str">
        <x:v>D00617</x:v>
      </x:c>
      <x:c r="B621" s="19" t="n">
        <x:v>2</x:v>
      </x:c>
      <x:c r="C621" s="19" t="n">
        <x:v>5</x:v>
      </x:c>
      <x:c r="D621" s="19" t="str">
        <x:v>EL-MON-LIM-CASTLE-009</x:v>
      </x:c>
      <x:c r="E621" s="19" t="str">
        <x:v>黑焰礼拜官</x:v>
      </x:c>
      <x:c r="F621" s="19" t="str">
        <x:v>稀有</x:v>
      </x:c>
      <x:c r="G621" s="19" t="str">
        <x:v>材料独立候选</x:v>
      </x:c>
      <x:c r="H621" s="19" t="str">
        <x:v>小卢恩</x:v>
      </x:c>
      <x:c r="I621" s="22" t="n">
        <x:v>2500</x:v>
      </x:c>
      <x:c r="J621" s="22" t="n">
        <x:v>1</x:v>
      </x:c>
      <x:c r="K621" s="19" t="n">
        <x:v>1</x:v>
      </x:c>
      <x:c r="L621" s="24" t="n">
        <x:v>13.799999999999999</x:v>
      </x:c>
      <x:c r="M621" s="26" t="n">
        <x:v>0.1</x:v>
      </x:c>
      <x:c r="N621" s="24" t="n">
        <x:v>10.157296777148728</x:v>
      </x:c>
      <x:c r="O621" s="28" t="n">
        <x:f>MIN(1,L621/I621)</x:f>
        <x:v>0.00552</x:v>
      </x:c>
      <x:c r="P621" s="30" t="n">
        <x:f>O621*J621*(1+M621)</x:f>
        <x:v>0.006072</x:v>
      </x:c>
      <x:c r="Q621" s="30" t="n">
        <x:f>P621*N621</x:f>
        <x:v>0.061675106030847075</x:v>
      </x:c>
      <x:c r="R621" s="19" t="str">
        <x:v>独立判定</x:v>
      </x:c>
    </x:row>
    <x:row r="622" ht="19" customHeight="1">
      <x:c r="A622" s="19" t="str">
        <x:v>D00618</x:v>
      </x:c>
      <x:c r="B622" s="19" t="n">
        <x:v>2</x:v>
      </x:c>
      <x:c r="C622" s="19" t="n">
        <x:v>5</x:v>
      </x:c>
      <x:c r="D622" s="19" t="str">
        <x:v>EL-MON-LIM-CASTLE-009</x:v>
      </x:c>
      <x:c r="E622" s="19" t="str">
        <x:v>黑焰礼拜官</x:v>
      </x:c>
      <x:c r="F622" s="19" t="str">
        <x:v>稀有</x:v>
      </x:c>
      <x:c r="G622" s="19" t="str">
        <x:v>六神器公共池</x:v>
      </x:c>
      <x:c r="H622" s="19" t="str">
        <x:v>POOL006</x:v>
      </x:c>
      <x:c r="I622" s="22" t="n">
        <x:v>5000000</x:v>
      </x:c>
      <x:c r="J622" s="22" t="n">
        <x:v>1</x:v>
      </x:c>
      <x:c r="K622" s="19" t="n">
        <x:v>6</x:v>
      </x:c>
      <x:c r="L622" s="24" t="n">
        <x:v>13.799999999999999</x:v>
      </x:c>
      <x:c r="M622" s="26" t="n">
        <x:v>0.1</x:v>
      </x:c>
      <x:c r="N622" s="24" t="n">
        <x:v>10.157296777148728</x:v>
      </x:c>
      <x:c r="O622" s="28" t="n">
        <x:f>MIN(1,L622/I622)</x:f>
        <x:v>0.00000276</x:v>
      </x:c>
      <x:c r="P622" s="30" t="n">
        <x:f>O622*J622*(1+M622)</x:f>
        <x:v>0.0000030360000000000002</x:v>
      </x:c>
      <x:c r="Q622" s="30" t="n">
        <x:f>P622*N622</x:f>
        <x:v>0.000030837553015423544</x:v>
      </x:c>
      <x:c r="R622" s="19" t="str">
        <x:v>六选一；非6个独立爆率</x:v>
      </x:c>
    </x:row>
    <x:row r="623" ht="19" customHeight="1">
      <x:c r="A623" s="19" t="str">
        <x:v>D00619</x:v>
      </x:c>
      <x:c r="B623" s="19" t="n">
        <x:v>2</x:v>
      </x:c>
      <x:c r="C623" s="19" t="n">
        <x:v>5</x:v>
      </x:c>
      <x:c r="D623" s="19" t="str">
        <x:v>EL-MON-LIM-CASTLE-010</x:v>
      </x:c>
      <x:c r="E623" s="19" t="str">
        <x:v>王城执刑官</x:v>
      </x:c>
      <x:c r="F623" s="19" t="str">
        <x:v>稀有</x:v>
      </x:c>
      <x:c r="G623" s="19" t="str">
        <x:v>自身专属</x:v>
      </x:c>
      <x:c r="H623" s="19" t="str">
        <x:v>王城断罪刃</x:v>
      </x:c>
      <x:c r="I623" s="22" t="n">
        <x:v>180</x:v>
      </x:c>
      <x:c r="J623" s="22" t="n">
        <x:v>1</x:v>
      </x:c>
      <x:c r="K623" s="19" t="n">
        <x:v>1</x:v>
      </x:c>
      <x:c r="L623" s="24" t="n">
        <x:v>13.799999999999999</x:v>
      </x:c>
      <x:c r="M623" s="26" t="n">
        <x:v>0.1</x:v>
      </x:c>
      <x:c r="N623" s="24" t="n">
        <x:v>10.665161616006165</x:v>
      </x:c>
      <x:c r="O623" s="28" t="n">
        <x:f>MIN(1,L623/I623)</x:f>
        <x:v>0.07666666666666666</x:v>
      </x:c>
      <x:c r="P623" s="30" t="n">
        <x:f>O623*J623*(1+M623)</x:f>
        <x:v>0.08433333333333333</x:v>
      </x:c>
      <x:c r="Q623" s="30" t="n">
        <x:f>P623*N623</x:f>
        <x:v>0.8994286296165198</x:v>
      </x:c>
      <x:c r="R623" s="19" t="str">
        <x:v>独立判定</x:v>
      </x:c>
    </x:row>
    <x:row r="624" ht="19" customHeight="1">
      <x:c r="A624" s="19" t="str">
        <x:v>D00620</x:v>
      </x:c>
      <x:c r="B624" s="19" t="n">
        <x:v>2</x:v>
      </x:c>
      <x:c r="C624" s="19" t="n">
        <x:v>5</x:v>
      </x:c>
      <x:c r="D624" s="19" t="str">
        <x:v>EL-MON-LIM-CASTLE-010</x:v>
      </x:c>
      <x:c r="E624" s="19" t="str">
        <x:v>王城执刑官</x:v>
      </x:c>
      <x:c r="F624" s="19" t="str">
        <x:v>稀有</x:v>
      </x:c>
      <x:c r="G624" s="19" t="str">
        <x:v>材料独立候选</x:v>
      </x:c>
      <x:c r="H624" s="19" t="str">
        <x:v>风暴石片</x:v>
      </x:c>
      <x:c r="I624" s="22" t="n">
        <x:v>300</x:v>
      </x:c>
      <x:c r="J624" s="22" t="n">
        <x:v>15</x:v>
      </x:c>
      <x:c r="K624" s="19" t="n">
        <x:v>1</x:v>
      </x:c>
      <x:c r="L624" s="24" t="n">
        <x:v>13.799999999999999</x:v>
      </x:c>
      <x:c r="M624" s="26" t="n">
        <x:v>0.1</x:v>
      </x:c>
      <x:c r="N624" s="24" t="n">
        <x:v>10.665161616006165</x:v>
      </x:c>
      <x:c r="O624" s="28" t="n">
        <x:f>MIN(1,L624/I624)</x:f>
        <x:v>0.046</x:v>
      </x:c>
      <x:c r="P624" s="30" t="n">
        <x:f>O624*J624*(1+M624)</x:f>
        <x:v>0.759</x:v>
      </x:c>
      <x:c r="Q624" s="30" t="n">
        <x:f>P624*N624</x:f>
        <x:v>8.094857666548679</x:v>
      </x:c>
      <x:c r="R624" s="19" t="str">
        <x:v>独立判定</x:v>
      </x:c>
    </x:row>
    <x:row r="625" ht="19" customHeight="1">
      <x:c r="A625" s="19" t="str">
        <x:v>D00621</x:v>
      </x:c>
      <x:c r="B625" s="19" t="n">
        <x:v>2</x:v>
      </x:c>
      <x:c r="C625" s="19" t="n">
        <x:v>5</x:v>
      </x:c>
      <x:c r="D625" s="19" t="str">
        <x:v>EL-MON-LIM-CASTLE-010</x:v>
      </x:c>
      <x:c r="E625" s="19" t="str">
        <x:v>王城执刑官</x:v>
      </x:c>
      <x:c r="F625" s="19" t="str">
        <x:v>稀有</x:v>
      </x:c>
      <x:c r="G625" s="19" t="str">
        <x:v>材料独立候选</x:v>
      </x:c>
      <x:c r="H625" s="19" t="str">
        <x:v>黄金树芽</x:v>
      </x:c>
      <x:c r="I625" s="22" t="n">
        <x:v>60</x:v>
      </x:c>
      <x:c r="J625" s="22" t="n">
        <x:v>2</x:v>
      </x:c>
      <x:c r="K625" s="19" t="n">
        <x:v>1</x:v>
      </x:c>
      <x:c r="L625" s="24" t="n">
        <x:v>13.799999999999999</x:v>
      </x:c>
      <x:c r="M625" s="26" t="n">
        <x:v>0.1</x:v>
      </x:c>
      <x:c r="N625" s="24" t="n">
        <x:v>10.665161616006165</x:v>
      </x:c>
      <x:c r="O625" s="28" t="n">
        <x:f>MIN(1,L625/I625)</x:f>
        <x:v>0.22999999999999998</x:v>
      </x:c>
      <x:c r="P625" s="30" t="n">
        <x:f>O625*J625*(1+M625)</x:f>
        <x:v>0.506</x:v>
      </x:c>
      <x:c r="Q625" s="30" t="n">
        <x:f>P625*N625</x:f>
        <x:v>5.396571777699119</x:v>
      </x:c>
      <x:c r="R625" s="19" t="str">
        <x:v>独立判定</x:v>
      </x:c>
    </x:row>
    <x:row r="626" ht="19" customHeight="1">
      <x:c r="A626" s="19" t="str">
        <x:v>D00622</x:v>
      </x:c>
      <x:c r="B626" s="19" t="n">
        <x:v>2</x:v>
      </x:c>
      <x:c r="C626" s="19" t="n">
        <x:v>5</x:v>
      </x:c>
      <x:c r="D626" s="19" t="str">
        <x:v>EL-MON-LIM-CASTLE-010</x:v>
      </x:c>
      <x:c r="E626" s="19" t="str">
        <x:v>王城执刑官</x:v>
      </x:c>
      <x:c r="F626" s="19" t="str">
        <x:v>稀有</x:v>
      </x:c>
      <x:c r="G626" s="19" t="str">
        <x:v>材料独立候选</x:v>
      </x:c>
      <x:c r="H626" s="19" t="str">
        <x:v>野兽骨片</x:v>
      </x:c>
      <x:c r="I626" s="22" t="n">
        <x:v>60</x:v>
      </x:c>
      <x:c r="J626" s="22" t="n">
        <x:v>2</x:v>
      </x:c>
      <x:c r="K626" s="19" t="n">
        <x:v>1</x:v>
      </x:c>
      <x:c r="L626" s="24" t="n">
        <x:v>13.799999999999999</x:v>
      </x:c>
      <x:c r="M626" s="26" t="n">
        <x:v>0.1</x:v>
      </x:c>
      <x:c r="N626" s="24" t="n">
        <x:v>10.665161616006165</x:v>
      </x:c>
      <x:c r="O626" s="28" t="n">
        <x:f>MIN(1,L626/I626)</x:f>
        <x:v>0.22999999999999998</x:v>
      </x:c>
      <x:c r="P626" s="30" t="n">
        <x:f>O626*J626*(1+M626)</x:f>
        <x:v>0.506</x:v>
      </x:c>
      <x:c r="Q626" s="30" t="n">
        <x:f>P626*N626</x:f>
        <x:v>5.396571777699119</x:v>
      </x:c>
      <x:c r="R626" s="19" t="str">
        <x:v>独立判定</x:v>
      </x:c>
    </x:row>
    <x:row r="627" ht="19" customHeight="1">
      <x:c r="A627" s="19" t="str">
        <x:v>D00623</x:v>
      </x:c>
      <x:c r="B627" s="19" t="n">
        <x:v>2</x:v>
      </x:c>
      <x:c r="C627" s="19" t="n">
        <x:v>5</x:v>
      </x:c>
      <x:c r="D627" s="19" t="str">
        <x:v>EL-MON-LIM-CASTLE-010</x:v>
      </x:c>
      <x:c r="E627" s="19" t="str">
        <x:v>王城执刑官</x:v>
      </x:c>
      <x:c r="F627" s="19" t="str">
        <x:v>稀有</x:v>
      </x:c>
      <x:c r="G627" s="19" t="str">
        <x:v>材料独立候选</x:v>
      </x:c>
      <x:c r="H627" s="19" t="str">
        <x:v>技能残页</x:v>
      </x:c>
      <x:c r="I627" s="22" t="n">
        <x:v>60</x:v>
      </x:c>
      <x:c r="J627" s="22" t="n">
        <x:v>1</x:v>
      </x:c>
      <x:c r="K627" s="19" t="n">
        <x:v>1</x:v>
      </x:c>
      <x:c r="L627" s="24" t="n">
        <x:v>13.799999999999999</x:v>
      </x:c>
      <x:c r="M627" s="26" t="n">
        <x:v>0.1</x:v>
      </x:c>
      <x:c r="N627" s="24" t="n">
        <x:v>10.665161616006165</x:v>
      </x:c>
      <x:c r="O627" s="28" t="n">
        <x:f>MIN(1,L627/I627)</x:f>
        <x:v>0.22999999999999998</x:v>
      </x:c>
      <x:c r="P627" s="30" t="n">
        <x:f>O627*J627*(1+M627)</x:f>
        <x:v>0.253</x:v>
      </x:c>
      <x:c r="Q627" s="30" t="n">
        <x:f>P627*N627</x:f>
        <x:v>2.6982858888495596</x:v>
      </x:c>
      <x:c r="R627" s="19" t="str">
        <x:v>独立判定</x:v>
      </x:c>
    </x:row>
    <x:row r="628" ht="19" customHeight="1">
      <x:c r="A628" s="19" t="str">
        <x:v>D00624</x:v>
      </x:c>
      <x:c r="B628" s="19" t="n">
        <x:v>2</x:v>
      </x:c>
      <x:c r="C628" s="19" t="n">
        <x:v>5</x:v>
      </x:c>
      <x:c r="D628" s="19" t="str">
        <x:v>EL-MON-LIM-CASTLE-010</x:v>
      </x:c>
      <x:c r="E628" s="19" t="str">
        <x:v>王城执刑官</x:v>
      </x:c>
      <x:c r="F628" s="19" t="str">
        <x:v>稀有</x:v>
      </x:c>
      <x:c r="G628" s="19" t="str">
        <x:v>材料独立候选</x:v>
      </x:c>
      <x:c r="H628" s="19" t="str">
        <x:v>小卢恩</x:v>
      </x:c>
      <x:c r="I628" s="22" t="n">
        <x:v>2500</x:v>
      </x:c>
      <x:c r="J628" s="22" t="n">
        <x:v>1</x:v>
      </x:c>
      <x:c r="K628" s="19" t="n">
        <x:v>1</x:v>
      </x:c>
      <x:c r="L628" s="24" t="n">
        <x:v>13.799999999999999</x:v>
      </x:c>
      <x:c r="M628" s="26" t="n">
        <x:v>0.1</x:v>
      </x:c>
      <x:c r="N628" s="24" t="n">
        <x:v>10.665161616006165</x:v>
      </x:c>
      <x:c r="O628" s="28" t="n">
        <x:f>MIN(1,L628/I628)</x:f>
        <x:v>0.00552</x:v>
      </x:c>
      <x:c r="P628" s="30" t="n">
        <x:f>O628*J628*(1+M628)</x:f>
        <x:v>0.006072</x:v>
      </x:c>
      <x:c r="Q628" s="30" t="n">
        <x:f>P628*N628</x:f>
        <x:v>0.06475886133238944</x:v>
      </x:c>
      <x:c r="R628" s="19" t="str">
        <x:v>独立判定</x:v>
      </x:c>
    </x:row>
    <x:row r="629" ht="19" customHeight="1">
      <x:c r="A629" s="19" t="str">
        <x:v>D00625</x:v>
      </x:c>
      <x:c r="B629" s="19" t="n">
        <x:v>2</x:v>
      </x:c>
      <x:c r="C629" s="19" t="n">
        <x:v>5</x:v>
      </x:c>
      <x:c r="D629" s="19" t="str">
        <x:v>EL-MON-LIM-CASTLE-010</x:v>
      </x:c>
      <x:c r="E629" s="19" t="str">
        <x:v>王城执刑官</x:v>
      </x:c>
      <x:c r="F629" s="19" t="str">
        <x:v>稀有</x:v>
      </x:c>
      <x:c r="G629" s="19" t="str">
        <x:v>六神器公共池</x:v>
      </x:c>
      <x:c r="H629" s="19" t="str">
        <x:v>POOL006</x:v>
      </x:c>
      <x:c r="I629" s="22" t="n">
        <x:v>5000000</x:v>
      </x:c>
      <x:c r="J629" s="22" t="n">
        <x:v>1</x:v>
      </x:c>
      <x:c r="K629" s="19" t="n">
        <x:v>6</x:v>
      </x:c>
      <x:c r="L629" s="24" t="n">
        <x:v>13.799999999999999</x:v>
      </x:c>
      <x:c r="M629" s="26" t="n">
        <x:v>0.1</x:v>
      </x:c>
      <x:c r="N629" s="24" t="n">
        <x:v>10.665161616006165</x:v>
      </x:c>
      <x:c r="O629" s="28" t="n">
        <x:f>MIN(1,L629/I629)</x:f>
        <x:v>0.00000276</x:v>
      </x:c>
      <x:c r="P629" s="30" t="n">
        <x:f>O629*J629*(1+M629)</x:f>
        <x:v>0.0000030360000000000002</x:v>
      </x:c>
      <x:c r="Q629" s="30" t="n">
        <x:f>P629*N629</x:f>
        <x:v>0.00003237943066619472</x:v>
      </x:c>
      <x:c r="R629" s="19" t="str">
        <x:v>六选一；非6个独立爆率</x:v>
      </x:c>
    </x:row>
    <x:row r="630" ht="19" customHeight="1">
      <x:c r="A630" s="19" t="str">
        <x:v>D00626</x:v>
      </x:c>
      <x:c r="B630" s="19" t="n">
        <x:v>2</x:v>
      </x:c>
      <x:c r="C630" s="19" t="n">
        <x:v>5</x:v>
      </x:c>
      <x:c r="D630" s="19" t="str">
        <x:v>EL-MON-LIM-CASTLE-011</x:v>
      </x:c>
      <x:c r="E630" s="19" t="str">
        <x:v>接肢兽将·戈德温</x:v>
      </x:c>
      <x:c r="F630" s="19" t="str">
        <x:v>地图BOSS</x:v>
      </x:c>
      <x:c r="G630" s="19" t="str">
        <x:v>自身专属</x:v>
      </x:c>
      <x:c r="H630" s="19" t="str">
        <x:v>百骸王衣</x:v>
      </x:c>
      <x:c r="I630" s="22" t="n">
        <x:v>30</x:v>
      </x:c>
      <x:c r="J630" s="22" t="n">
        <x:v>1</x:v>
      </x:c>
      <x:c r="K630" s="19" t="n">
        <x:v>1</x:v>
      </x:c>
      <x:c r="L630" s="24" t="n">
        <x:v>13.799999999999999</x:v>
      </x:c>
      <x:c r="M630" s="26" t="n">
        <x:v>0.1</x:v>
      </x:c>
      <x:c r="N630" s="24" t="n">
        <x:v>2</x:v>
      </x:c>
      <x:c r="O630" s="28" t="n">
        <x:f>MIN(1,L630/I630)</x:f>
        <x:v>0.45999999999999996</x:v>
      </x:c>
      <x:c r="P630" s="30" t="n">
        <x:f>O630*J630*(1+M630)</x:f>
        <x:v>0.506</x:v>
      </x:c>
      <x:c r="Q630" s="30" t="n">
        <x:f>P630*N630</x:f>
        <x:v>1.012</x:v>
      </x:c>
      <x:c r="R630" s="19" t="str">
        <x:v>独立判定</x:v>
      </x:c>
    </x:row>
    <x:row r="631" ht="19" customHeight="1">
      <x:c r="A631" s="19" t="str">
        <x:v>D00627</x:v>
      </x:c>
      <x:c r="B631" s="19" t="n">
        <x:v>2</x:v>
      </x:c>
      <x:c r="C631" s="19" t="n">
        <x:v>5</x:v>
      </x:c>
      <x:c r="D631" s="19" t="str">
        <x:v>EL-MON-LIM-CASTLE-011</x:v>
      </x:c>
      <x:c r="E631" s="19" t="str">
        <x:v>接肢兽将·戈德温</x:v>
      </x:c>
      <x:c r="F631" s="19" t="str">
        <x:v>地图BOSS</x:v>
      </x:c>
      <x:c r="G631" s="19" t="str">
        <x:v>本图普通兼掉候选</x:v>
      </x:c>
      <x:c r="H631" s="19" t="str">
        <x:v>POOL011</x:v>
      </x:c>
      <x:c r="I631" s="22" t="n">
        <x:v>30</x:v>
      </x:c>
      <x:c r="J631" s="22" t="n">
        <x:v>1</x:v>
      </x:c>
      <x:c r="K631" s="19" t="n">
        <x:v>2</x:v>
      </x:c>
      <x:c r="L631" s="24" t="n">
        <x:v>13.799999999999999</x:v>
      </x:c>
      <x:c r="M631" s="26" t="n">
        <x:v>0.1</x:v>
      </x:c>
      <x:c r="N631" s="24" t="n">
        <x:v>2</x:v>
      </x:c>
      <x:c r="O631" s="28" t="n">
        <x:f>MIN(1,L631/I631)</x:f>
        <x:v>0.45999999999999996</x:v>
      </x:c>
      <x:c r="P631" s="30" t="n">
        <x:f>O631*J631*(1+M631)</x:f>
        <x:v>0.506</x:v>
      </x:c>
      <x:c r="Q631" s="30" t="n">
        <x:f>P631*N631</x:f>
        <x:v>1.012</x:v>
      </x:c>
      <x:c r="R631" s="19" t="str">
        <x:v>单池选一</x:v>
      </x:c>
    </x:row>
    <x:row r="632" ht="19" customHeight="1">
      <x:c r="A632" s="19" t="str">
        <x:v>D00628</x:v>
      </x:c>
      <x:c r="B632" s="19" t="n">
        <x:v>2</x:v>
      </x:c>
      <x:c r="C632" s="19" t="n">
        <x:v>5</x:v>
      </x:c>
      <x:c r="D632" s="19" t="str">
        <x:v>EL-MON-LIM-CASTLE-011</x:v>
      </x:c>
      <x:c r="E632" s="19" t="str">
        <x:v>接肢兽将·戈德温</x:v>
      </x:c>
      <x:c r="F632" s="19" t="str">
        <x:v>地图BOSS</x:v>
      </x:c>
      <x:c r="G632" s="19" t="str">
        <x:v>材料独立候选</x:v>
      </x:c>
      <x:c r="H632" s="19" t="str">
        <x:v>风暴石片</x:v>
      </x:c>
      <x:c r="I632" s="22" t="n">
        <x:v>150</x:v>
      </x:c>
      <x:c r="J632" s="22" t="n">
        <x:v>30</x:v>
      </x:c>
      <x:c r="K632" s="19" t="n">
        <x:v>1</x:v>
      </x:c>
      <x:c r="L632" s="24" t="n">
        <x:v>13.799999999999999</x:v>
      </x:c>
      <x:c r="M632" s="26" t="n">
        <x:v>0.1</x:v>
      </x:c>
      <x:c r="N632" s="24" t="n">
        <x:v>2</x:v>
      </x:c>
      <x:c r="O632" s="28" t="n">
        <x:f>MIN(1,L632/I632)</x:f>
        <x:v>0.092</x:v>
      </x:c>
      <x:c r="P632" s="30" t="n">
        <x:f>O632*J632*(1+M632)</x:f>
        <x:v>3.036</x:v>
      </x:c>
      <x:c r="Q632" s="30" t="n">
        <x:f>P632*N632</x:f>
        <x:v>6.072</x:v>
      </x:c>
      <x:c r="R632" s="19" t="str">
        <x:v>独立判定</x:v>
      </x:c>
    </x:row>
    <x:row r="633" ht="19" customHeight="1">
      <x:c r="A633" s="19" t="str">
        <x:v>D00629</x:v>
      </x:c>
      <x:c r="B633" s="19" t="n">
        <x:v>2</x:v>
      </x:c>
      <x:c r="C633" s="19" t="n">
        <x:v>5</x:v>
      </x:c>
      <x:c r="D633" s="19" t="str">
        <x:v>EL-MON-LIM-CASTLE-011</x:v>
      </x:c>
      <x:c r="E633" s="19" t="str">
        <x:v>接肢兽将·戈德温</x:v>
      </x:c>
      <x:c r="F633" s="19" t="str">
        <x:v>地图BOSS</x:v>
      </x:c>
      <x:c r="G633" s="19" t="str">
        <x:v>材料独立候选</x:v>
      </x:c>
      <x:c r="H633" s="19" t="str">
        <x:v>黄金树芽</x:v>
      </x:c>
      <x:c r="I633" s="22" t="n">
        <x:v>30</x:v>
      </x:c>
      <x:c r="J633" s="22" t="n">
        <x:v>2</x:v>
      </x:c>
      <x:c r="K633" s="19" t="n">
        <x:v>1</x:v>
      </x:c>
      <x:c r="L633" s="24" t="n">
        <x:v>13.799999999999999</x:v>
      </x:c>
      <x:c r="M633" s="26" t="n">
        <x:v>0.1</x:v>
      </x:c>
      <x:c r="N633" s="24" t="n">
        <x:v>2</x:v>
      </x:c>
      <x:c r="O633" s="28" t="n">
        <x:f>MIN(1,L633/I633)</x:f>
        <x:v>0.45999999999999996</x:v>
      </x:c>
      <x:c r="P633" s="30" t="n">
        <x:f>O633*J633*(1+M633)</x:f>
        <x:v>1.012</x:v>
      </x:c>
      <x:c r="Q633" s="30" t="n">
        <x:f>P633*N633</x:f>
        <x:v>2.024</x:v>
      </x:c>
      <x:c r="R633" s="19" t="str">
        <x:v>独立判定</x:v>
      </x:c>
    </x:row>
    <x:row r="634" ht="19" customHeight="1">
      <x:c r="A634" s="19" t="str">
        <x:v>D00630</x:v>
      </x:c>
      <x:c r="B634" s="19" t="n">
        <x:v>2</x:v>
      </x:c>
      <x:c r="C634" s="19" t="n">
        <x:v>5</x:v>
      </x:c>
      <x:c r="D634" s="19" t="str">
        <x:v>EL-MON-LIM-CASTLE-011</x:v>
      </x:c>
      <x:c r="E634" s="19" t="str">
        <x:v>接肢兽将·戈德温</x:v>
      </x:c>
      <x:c r="F634" s="19" t="str">
        <x:v>地图BOSS</x:v>
      </x:c>
      <x:c r="G634" s="19" t="str">
        <x:v>材料独立候选</x:v>
      </x:c>
      <x:c r="H634" s="19" t="str">
        <x:v>接肢王印</x:v>
      </x:c>
      <x:c r="I634" s="22" t="n">
        <x:v>80</x:v>
      </x:c>
      <x:c r="J634" s="22" t="n">
        <x:v>2</x:v>
      </x:c>
      <x:c r="K634" s="19" t="n">
        <x:v>1</x:v>
      </x:c>
      <x:c r="L634" s="24" t="n">
        <x:v>13.799999999999999</x:v>
      </x:c>
      <x:c r="M634" s="26" t="n">
        <x:v>0.1</x:v>
      </x:c>
      <x:c r="N634" s="24" t="n">
        <x:v>2</x:v>
      </x:c>
      <x:c r="O634" s="28" t="n">
        <x:f>MIN(1,L634/I634)</x:f>
        <x:v>0.1725</x:v>
      </x:c>
      <x:c r="P634" s="30" t="n">
        <x:f>O634*J634*(1+M634)</x:f>
        <x:v>0.3795</x:v>
      </x:c>
      <x:c r="Q634" s="30" t="n">
        <x:f>P634*N634</x:f>
        <x:v>0.759</x:v>
      </x:c>
      <x:c r="R634" s="19" t="str">
        <x:v>独立判定</x:v>
      </x:c>
    </x:row>
    <x:row r="635" ht="19" customHeight="1">
      <x:c r="A635" s="19" t="str">
        <x:v>D00631</x:v>
      </x:c>
      <x:c r="B635" s="19" t="n">
        <x:v>2</x:v>
      </x:c>
      <x:c r="C635" s="19" t="n">
        <x:v>5</x:v>
      </x:c>
      <x:c r="D635" s="19" t="str">
        <x:v>EL-MON-LIM-CASTLE-011</x:v>
      </x:c>
      <x:c r="E635" s="19" t="str">
        <x:v>接肢兽将·戈德温</x:v>
      </x:c>
      <x:c r="F635" s="19" t="str">
        <x:v>地图BOSS</x:v>
      </x:c>
      <x:c r="G635" s="19" t="str">
        <x:v>材料独立候选</x:v>
      </x:c>
      <x:c r="H635" s="19" t="str">
        <x:v>兽将脊骨</x:v>
      </x:c>
      <x:c r="I635" s="22" t="n">
        <x:v>80</x:v>
      </x:c>
      <x:c r="J635" s="22" t="n">
        <x:v>4</x:v>
      </x:c>
      <x:c r="K635" s="19" t="n">
        <x:v>1</x:v>
      </x:c>
      <x:c r="L635" s="24" t="n">
        <x:v>13.799999999999999</x:v>
      </x:c>
      <x:c r="M635" s="26" t="n">
        <x:v>0.1</x:v>
      </x:c>
      <x:c r="N635" s="24" t="n">
        <x:v>2</x:v>
      </x:c>
      <x:c r="O635" s="28" t="n">
        <x:f>MIN(1,L635/I635)</x:f>
        <x:v>0.1725</x:v>
      </x:c>
      <x:c r="P635" s="30" t="n">
        <x:f>O635*J635*(1+M635)</x:f>
        <x:v>0.759</x:v>
      </x:c>
      <x:c r="Q635" s="30" t="n">
        <x:f>P635*N635</x:f>
        <x:v>1.518</x:v>
      </x:c>
      <x:c r="R635" s="19" t="str">
        <x:v>独立判定</x:v>
      </x:c>
    </x:row>
    <x:row r="636" ht="19" customHeight="1">
      <x:c r="A636" s="19" t="str">
        <x:v>D00632</x:v>
      </x:c>
      <x:c r="B636" s="19" t="n">
        <x:v>2</x:v>
      </x:c>
      <x:c r="C636" s="19" t="n">
        <x:v>5</x:v>
      </x:c>
      <x:c r="D636" s="19" t="str">
        <x:v>EL-MON-LIM-CASTLE-011</x:v>
      </x:c>
      <x:c r="E636" s="19" t="str">
        <x:v>接肢兽将·戈德温</x:v>
      </x:c>
      <x:c r="F636" s="19" t="str">
        <x:v>地图BOSS</x:v>
      </x:c>
      <x:c r="G636" s="19" t="str">
        <x:v>材料独立候选</x:v>
      </x:c>
      <x:c r="H636" s="19" t="str">
        <x:v>野兽骨片</x:v>
      </x:c>
      <x:c r="I636" s="22" t="n">
        <x:v>40</x:v>
      </x:c>
      <x:c r="J636" s="22" t="n">
        <x:v>2</x:v>
      </x:c>
      <x:c r="K636" s="19" t="n">
        <x:v>1</x:v>
      </x:c>
      <x:c r="L636" s="24" t="n">
        <x:v>13.799999999999999</x:v>
      </x:c>
      <x:c r="M636" s="26" t="n">
        <x:v>0.1</x:v>
      </x:c>
      <x:c r="N636" s="24" t="n">
        <x:v>2</x:v>
      </x:c>
      <x:c r="O636" s="28" t="n">
        <x:f>MIN(1,L636/I636)</x:f>
        <x:v>0.345</x:v>
      </x:c>
      <x:c r="P636" s="30" t="n">
        <x:f>O636*J636*(1+M636)</x:f>
        <x:v>0.759</x:v>
      </x:c>
      <x:c r="Q636" s="30" t="n">
        <x:f>P636*N636</x:f>
        <x:v>1.518</x:v>
      </x:c>
      <x:c r="R636" s="19" t="str">
        <x:v>独立判定</x:v>
      </x:c>
    </x:row>
    <x:row r="637" ht="19" customHeight="1">
      <x:c r="A637" s="19" t="str">
        <x:v>D00633</x:v>
      </x:c>
      <x:c r="B637" s="19" t="n">
        <x:v>2</x:v>
      </x:c>
      <x:c r="C637" s="19" t="n">
        <x:v>5</x:v>
      </x:c>
      <x:c r="D637" s="19" t="str">
        <x:v>EL-MON-LIM-CASTLE-011</x:v>
      </x:c>
      <x:c r="E637" s="19" t="str">
        <x:v>接肢兽将·戈德温</x:v>
      </x:c>
      <x:c r="F637" s="19" t="str">
        <x:v>地图BOSS</x:v>
      </x:c>
      <x:c r="G637" s="19" t="str">
        <x:v>材料独立候选</x:v>
      </x:c>
      <x:c r="H637" s="19" t="str">
        <x:v>技能残页</x:v>
      </x:c>
      <x:c r="I637" s="22" t="n">
        <x:v>30</x:v>
      </x:c>
      <x:c r="J637" s="22" t="n">
        <x:v>1</x:v>
      </x:c>
      <x:c r="K637" s="19" t="n">
        <x:v>1</x:v>
      </x:c>
      <x:c r="L637" s="24" t="n">
        <x:v>13.799999999999999</x:v>
      </x:c>
      <x:c r="M637" s="26" t="n">
        <x:v>0.1</x:v>
      </x:c>
      <x:c r="N637" s="24" t="n">
        <x:v>2</x:v>
      </x:c>
      <x:c r="O637" s="28" t="n">
        <x:f>MIN(1,L637/I637)</x:f>
        <x:v>0.45999999999999996</x:v>
      </x:c>
      <x:c r="P637" s="30" t="n">
        <x:f>O637*J637*(1+M637)</x:f>
        <x:v>0.506</x:v>
      </x:c>
      <x:c r="Q637" s="30" t="n">
        <x:f>P637*N637</x:f>
        <x:v>1.012</x:v>
      </x:c>
      <x:c r="R637" s="19" t="str">
        <x:v>独立判定</x:v>
      </x:c>
    </x:row>
    <x:row r="638" ht="19" customHeight="1">
      <x:c r="A638" s="19" t="str">
        <x:v>D00634</x:v>
      </x:c>
      <x:c r="B638" s="19" t="n">
        <x:v>2</x:v>
      </x:c>
      <x:c r="C638" s="19" t="n">
        <x:v>5</x:v>
      </x:c>
      <x:c r="D638" s="19" t="str">
        <x:v>EL-MON-LIM-CASTLE-011</x:v>
      </x:c>
      <x:c r="E638" s="19" t="str">
        <x:v>接肢兽将·戈德温</x:v>
      </x:c>
      <x:c r="F638" s="19" t="str">
        <x:v>地图BOSS</x:v>
      </x:c>
      <x:c r="G638" s="19" t="str">
        <x:v>材料独立候选</x:v>
      </x:c>
      <x:c r="H638" s="19" t="str">
        <x:v>宁姆格福誓页</x:v>
      </x:c>
      <x:c r="I638" s="22" t="n">
        <x:v>180</x:v>
      </x:c>
      <x:c r="J638" s="22" t="n">
        <x:v>1</x:v>
      </x:c>
      <x:c r="K638" s="19" t="n">
        <x:v>1</x:v>
      </x:c>
      <x:c r="L638" s="24" t="n">
        <x:v>13.799999999999999</x:v>
      </x:c>
      <x:c r="M638" s="26" t="n">
        <x:v>0.1</x:v>
      </x:c>
      <x:c r="N638" s="24" t="n">
        <x:v>2</x:v>
      </x:c>
      <x:c r="O638" s="28" t="n">
        <x:f>MIN(1,L638/I638)</x:f>
        <x:v>0.07666666666666666</x:v>
      </x:c>
      <x:c r="P638" s="30" t="n">
        <x:f>O638*J638*(1+M638)</x:f>
        <x:v>0.08433333333333333</x:v>
      </x:c>
      <x:c r="Q638" s="30" t="n">
        <x:f>P638*N638</x:f>
        <x:v>0.16866666666666666</x:v>
      </x:c>
      <x:c r="R638" s="19" t="str">
        <x:v>独立判定</x:v>
      </x:c>
    </x:row>
    <x:row r="639" ht="19" customHeight="1">
      <x:c r="A639" s="19" t="str">
        <x:v>D00635</x:v>
      </x:c>
      <x:c r="B639" s="19" t="n">
        <x:v>2</x:v>
      </x:c>
      <x:c r="C639" s="19" t="n">
        <x:v>5</x:v>
      </x:c>
      <x:c r="D639" s="19" t="str">
        <x:v>EL-MON-LIM-CASTLE-011</x:v>
      </x:c>
      <x:c r="E639" s="19" t="str">
        <x:v>接肢兽将·戈德温</x:v>
      </x:c>
      <x:c r="F639" s="19" t="str">
        <x:v>地图BOSS</x:v>
      </x:c>
      <x:c r="G639" s="19" t="str">
        <x:v>材料独立候选</x:v>
      </x:c>
      <x:c r="H639" s="19" t="str">
        <x:v>小卢恩</x:v>
      </x:c>
      <x:c r="I639" s="22" t="n">
        <x:v>1200</x:v>
      </x:c>
      <x:c r="J639" s="22" t="n">
        <x:v>1</x:v>
      </x:c>
      <x:c r="K639" s="19" t="n">
        <x:v>1</x:v>
      </x:c>
      <x:c r="L639" s="24" t="n">
        <x:v>13.799999999999999</x:v>
      </x:c>
      <x:c r="M639" s="26" t="n">
        <x:v>0.1</x:v>
      </x:c>
      <x:c r="N639" s="24" t="n">
        <x:v>2</x:v>
      </x:c>
      <x:c r="O639" s="28" t="n">
        <x:f>MIN(1,L639/I639)</x:f>
        <x:v>0.0115</x:v>
      </x:c>
      <x:c r="P639" s="30" t="n">
        <x:f>O639*J639*(1+M639)</x:f>
        <x:v>0.012650000000000002</x:v>
      </x:c>
      <x:c r="Q639" s="30" t="n">
        <x:f>P639*N639</x:f>
        <x:v>0.025300000000000003</x:v>
      </x:c>
      <x:c r="R639" s="19" t="str">
        <x:v>独立判定</x:v>
      </x:c>
    </x:row>
    <x:row r="640" ht="19" customHeight="1">
      <x:c r="A640" s="19" t="str">
        <x:v>D00636</x:v>
      </x:c>
      <x:c r="B640" s="19" t="n">
        <x:v>2</x:v>
      </x:c>
      <x:c r="C640" s="19" t="n">
        <x:v>5</x:v>
      </x:c>
      <x:c r="D640" s="19" t="str">
        <x:v>EL-MON-LIM-CASTLE-011</x:v>
      </x:c>
      <x:c r="E640" s="19" t="str">
        <x:v>接肢兽将·戈德温</x:v>
      </x:c>
      <x:c r="F640" s="19" t="str">
        <x:v>地图BOSS</x:v>
      </x:c>
      <x:c r="G640" s="19" t="str">
        <x:v>材料独立候选</x:v>
      </x:c>
      <x:c r="H640" s="19" t="str">
        <x:v>大卢恩</x:v>
      </x:c>
      <x:c r="I640" s="22" t="n">
        <x:v>120</x:v>
      </x:c>
      <x:c r="J640" s="22" t="n">
        <x:v>1</x:v>
      </x:c>
      <x:c r="K640" s="19" t="n">
        <x:v>1</x:v>
      </x:c>
      <x:c r="L640" s="24" t="n">
        <x:v>13.799999999999999</x:v>
      </x:c>
      <x:c r="M640" s="26" t="n">
        <x:v>0.1</x:v>
      </x:c>
      <x:c r="N640" s="24" t="n">
        <x:v>2</x:v>
      </x:c>
      <x:c r="O640" s="28" t="n">
        <x:f>MIN(1,L640/I640)</x:f>
        <x:v>0.11499999999999999</x:v>
      </x:c>
      <x:c r="P640" s="30" t="n">
        <x:f>O640*J640*(1+M640)</x:f>
        <x:v>0.1265</x:v>
      </x:c>
      <x:c r="Q640" s="30" t="n">
        <x:f>P640*N640</x:f>
        <x:v>0.253</x:v>
      </x:c>
      <x:c r="R640" s="19" t="str">
        <x:v>独立判定</x:v>
      </x:c>
    </x:row>
    <x:row r="641" ht="19" customHeight="1">
      <x:c r="A641" s="19" t="str">
        <x:v>D00637</x:v>
      </x:c>
      <x:c r="B641" s="19" t="n">
        <x:v>2</x:v>
      </x:c>
      <x:c r="C641" s="19" t="n">
        <x:v>5</x:v>
      </x:c>
      <x:c r="D641" s="19" t="str">
        <x:v>EL-MON-LIM-CASTLE-011</x:v>
      </x:c>
      <x:c r="E641" s="19" t="str">
        <x:v>接肢兽将·戈德温</x:v>
      </x:c>
      <x:c r="F641" s="19" t="str">
        <x:v>地图BOSS</x:v>
      </x:c>
      <x:c r="G641" s="19" t="str">
        <x:v>六神器公共池</x:v>
      </x:c>
      <x:c r="H641" s="19" t="str">
        <x:v>POOL006</x:v>
      </x:c>
      <x:c r="I641" s="22" t="n">
        <x:v>200000</x:v>
      </x:c>
      <x:c r="J641" s="22" t="n">
        <x:v>1</x:v>
      </x:c>
      <x:c r="K641" s="19" t="n">
        <x:v>6</x:v>
      </x:c>
      <x:c r="L641" s="24" t="n">
        <x:v>13.799999999999999</x:v>
      </x:c>
      <x:c r="M641" s="26" t="n">
        <x:v>0.1</x:v>
      </x:c>
      <x:c r="N641" s="24" t="n">
        <x:v>2</x:v>
      </x:c>
      <x:c r="O641" s="28" t="n">
        <x:f>MIN(1,L641/I641)</x:f>
        <x:v>0.000069</x:v>
      </x:c>
      <x:c r="P641" s="30" t="n">
        <x:f>O641*J641*(1+M641)</x:f>
        <x:v>0.0000759</x:v>
      </x:c>
      <x:c r="Q641" s="30" t="n">
        <x:f>P641*N641</x:f>
        <x:v>0.0001518</x:v>
      </x:c>
      <x:c r="R641" s="19" t="str">
        <x:v>六选一；非6个独立爆率</x:v>
      </x:c>
    </x:row>
    <x:row r="642" ht="19" customHeight="1">
      <x:c r="A642" s="19" t="str">
        <x:v>D00638</x:v>
      </x:c>
      <x:c r="B642" s="19" t="n">
        <x:v>2</x:v>
      </x:c>
      <x:c r="C642" s="19" t="n">
        <x:v>5</x:v>
      </x:c>
      <x:c r="D642" s="19" t="str">
        <x:v>EL-MON-LIM-CASTLE-012</x:v>
      </x:c>
      <x:c r="E642" s="19" t="str">
        <x:v>失乡统帅·欧尼尔</x:v>
      </x:c>
      <x:c r="F642" s="19" t="str">
        <x:v>地图BOSS</x:v>
      </x:c>
      <x:c r="G642" s="19" t="str">
        <x:v>自身专属</x:v>
      </x:c>
      <x:c r="H642" s="19" t="str">
        <x:v>失乡戌狗</x:v>
      </x:c>
      <x:c r="I642" s="22" t="n">
        <x:v>30</x:v>
      </x:c>
      <x:c r="J642" s="22" t="n">
        <x:v>1</x:v>
      </x:c>
      <x:c r="K642" s="19" t="n">
        <x:v>1</x:v>
      </x:c>
      <x:c r="L642" s="24" t="n">
        <x:v>13.799999999999999</x:v>
      </x:c>
      <x:c r="M642" s="26" t="n">
        <x:v>0.1</x:v>
      </x:c>
      <x:c r="N642" s="24" t="n">
        <x:v>2</x:v>
      </x:c>
      <x:c r="O642" s="28" t="n">
        <x:f>MIN(1,L642/I642)</x:f>
        <x:v>0.45999999999999996</x:v>
      </x:c>
      <x:c r="P642" s="30" t="n">
        <x:f>O642*J642*(1+M642)</x:f>
        <x:v>0.506</x:v>
      </x:c>
      <x:c r="Q642" s="30" t="n">
        <x:f>P642*N642</x:f>
        <x:v>1.012</x:v>
      </x:c>
      <x:c r="R642" s="19" t="str">
        <x:v>独立判定</x:v>
      </x:c>
    </x:row>
    <x:row r="643" ht="19" customHeight="1">
      <x:c r="A643" s="19" t="str">
        <x:v>D00639</x:v>
      </x:c>
      <x:c r="B643" s="19" t="n">
        <x:v>2</x:v>
      </x:c>
      <x:c r="C643" s="19" t="n">
        <x:v>5</x:v>
      </x:c>
      <x:c r="D643" s="19" t="str">
        <x:v>EL-MON-LIM-CASTLE-012</x:v>
      </x:c>
      <x:c r="E643" s="19" t="str">
        <x:v>失乡统帅·欧尼尔</x:v>
      </x:c>
      <x:c r="F643" s="19" t="str">
        <x:v>地图BOSS</x:v>
      </x:c>
      <x:c r="G643" s="19" t="str">
        <x:v>本图普通兼掉候选</x:v>
      </x:c>
      <x:c r="H643" s="19" t="str">
        <x:v>POOL011</x:v>
      </x:c>
      <x:c r="I643" s="22" t="n">
        <x:v>30</x:v>
      </x:c>
      <x:c r="J643" s="22" t="n">
        <x:v>1</x:v>
      </x:c>
      <x:c r="K643" s="19" t="n">
        <x:v>2</x:v>
      </x:c>
      <x:c r="L643" s="24" t="n">
        <x:v>13.799999999999999</x:v>
      </x:c>
      <x:c r="M643" s="26" t="n">
        <x:v>0.1</x:v>
      </x:c>
      <x:c r="N643" s="24" t="n">
        <x:v>2</x:v>
      </x:c>
      <x:c r="O643" s="28" t="n">
        <x:f>MIN(1,L643/I643)</x:f>
        <x:v>0.45999999999999996</x:v>
      </x:c>
      <x:c r="P643" s="30" t="n">
        <x:f>O643*J643*(1+M643)</x:f>
        <x:v>0.506</x:v>
      </x:c>
      <x:c r="Q643" s="30" t="n">
        <x:f>P643*N643</x:f>
        <x:v>1.012</x:v>
      </x:c>
      <x:c r="R643" s="19" t="str">
        <x:v>单池选一</x:v>
      </x:c>
    </x:row>
    <x:row r="644" ht="19" customHeight="1">
      <x:c r="A644" s="19" t="str">
        <x:v>D00640</x:v>
      </x:c>
      <x:c r="B644" s="19" t="n">
        <x:v>2</x:v>
      </x:c>
      <x:c r="C644" s="19" t="n">
        <x:v>5</x:v>
      </x:c>
      <x:c r="D644" s="19" t="str">
        <x:v>EL-MON-LIM-CASTLE-012</x:v>
      </x:c>
      <x:c r="E644" s="19" t="str">
        <x:v>失乡统帅·欧尼尔</x:v>
      </x:c>
      <x:c r="F644" s="19" t="str">
        <x:v>地图BOSS</x:v>
      </x:c>
      <x:c r="G644" s="19" t="str">
        <x:v>材料独立候选</x:v>
      </x:c>
      <x:c r="H644" s="19" t="str">
        <x:v>风暴石片</x:v>
      </x:c>
      <x:c r="I644" s="22" t="n">
        <x:v>150</x:v>
      </x:c>
      <x:c r="J644" s="22" t="n">
        <x:v>30</x:v>
      </x:c>
      <x:c r="K644" s="19" t="n">
        <x:v>1</x:v>
      </x:c>
      <x:c r="L644" s="24" t="n">
        <x:v>13.799999999999999</x:v>
      </x:c>
      <x:c r="M644" s="26" t="n">
        <x:v>0.1</x:v>
      </x:c>
      <x:c r="N644" s="24" t="n">
        <x:v>2</x:v>
      </x:c>
      <x:c r="O644" s="28" t="n">
        <x:f>MIN(1,L644/I644)</x:f>
        <x:v>0.092</x:v>
      </x:c>
      <x:c r="P644" s="30" t="n">
        <x:f>O644*J644*(1+M644)</x:f>
        <x:v>3.036</x:v>
      </x:c>
      <x:c r="Q644" s="30" t="n">
        <x:f>P644*N644</x:f>
        <x:v>6.072</x:v>
      </x:c>
      <x:c r="R644" s="19" t="str">
        <x:v>独立判定</x:v>
      </x:c>
    </x:row>
    <x:row r="645" ht="19" customHeight="1">
      <x:c r="A645" s="19" t="str">
        <x:v>D00641</x:v>
      </x:c>
      <x:c r="B645" s="19" t="n">
        <x:v>2</x:v>
      </x:c>
      <x:c r="C645" s="19" t="n">
        <x:v>5</x:v>
      </x:c>
      <x:c r="D645" s="19" t="str">
        <x:v>EL-MON-LIM-CASTLE-012</x:v>
      </x:c>
      <x:c r="E645" s="19" t="str">
        <x:v>失乡统帅·欧尼尔</x:v>
      </x:c>
      <x:c r="F645" s="19" t="str">
        <x:v>地图BOSS</x:v>
      </x:c>
      <x:c r="G645" s="19" t="str">
        <x:v>材料独立候选</x:v>
      </x:c>
      <x:c r="H645" s="19" t="str">
        <x:v>黄金树芽</x:v>
      </x:c>
      <x:c r="I645" s="22" t="n">
        <x:v>30</x:v>
      </x:c>
      <x:c r="J645" s="22" t="n">
        <x:v>2</x:v>
      </x:c>
      <x:c r="K645" s="19" t="n">
        <x:v>1</x:v>
      </x:c>
      <x:c r="L645" s="24" t="n">
        <x:v>13.799999999999999</x:v>
      </x:c>
      <x:c r="M645" s="26" t="n">
        <x:v>0.1</x:v>
      </x:c>
      <x:c r="N645" s="24" t="n">
        <x:v>2</x:v>
      </x:c>
      <x:c r="O645" s="28" t="n">
        <x:f>MIN(1,L645/I645)</x:f>
        <x:v>0.45999999999999996</x:v>
      </x:c>
      <x:c r="P645" s="30" t="n">
        <x:f>O645*J645*(1+M645)</x:f>
        <x:v>1.012</x:v>
      </x:c>
      <x:c r="Q645" s="30" t="n">
        <x:f>P645*N645</x:f>
        <x:v>2.024</x:v>
      </x:c>
      <x:c r="R645" s="19" t="str">
        <x:v>独立判定</x:v>
      </x:c>
    </x:row>
    <x:row r="646" ht="19" customHeight="1">
      <x:c r="A646" s="19" t="str">
        <x:v>D00642</x:v>
      </x:c>
      <x:c r="B646" s="19" t="n">
        <x:v>2</x:v>
      </x:c>
      <x:c r="C646" s="19" t="n">
        <x:v>5</x:v>
      </x:c>
      <x:c r="D646" s="19" t="str">
        <x:v>EL-MON-LIM-CASTLE-012</x:v>
      </x:c>
      <x:c r="E646" s="19" t="str">
        <x:v>失乡统帅·欧尼尔</x:v>
      </x:c>
      <x:c r="F646" s="19" t="str">
        <x:v>地图BOSS</x:v>
      </x:c>
      <x:c r="G646" s="19" t="str">
        <x:v>材料独立候选</x:v>
      </x:c>
      <x:c r="H646" s="19" t="str">
        <x:v>接肢王印</x:v>
      </x:c>
      <x:c r="I646" s="22" t="n">
        <x:v>80</x:v>
      </x:c>
      <x:c r="J646" s="22" t="n">
        <x:v>2</x:v>
      </x:c>
      <x:c r="K646" s="19" t="n">
        <x:v>1</x:v>
      </x:c>
      <x:c r="L646" s="24" t="n">
        <x:v>13.799999999999999</x:v>
      </x:c>
      <x:c r="M646" s="26" t="n">
        <x:v>0.1</x:v>
      </x:c>
      <x:c r="N646" s="24" t="n">
        <x:v>2</x:v>
      </x:c>
      <x:c r="O646" s="28" t="n">
        <x:f>MIN(1,L646/I646)</x:f>
        <x:v>0.1725</x:v>
      </x:c>
      <x:c r="P646" s="30" t="n">
        <x:f>O646*J646*(1+M646)</x:f>
        <x:v>0.3795</x:v>
      </x:c>
      <x:c r="Q646" s="30" t="n">
        <x:f>P646*N646</x:f>
        <x:v>0.759</x:v>
      </x:c>
      <x:c r="R646" s="19" t="str">
        <x:v>独立判定</x:v>
      </x:c>
    </x:row>
    <x:row r="647" ht="19" customHeight="1">
      <x:c r="A647" s="19" t="str">
        <x:v>D00643</x:v>
      </x:c>
      <x:c r="B647" s="19" t="n">
        <x:v>2</x:v>
      </x:c>
      <x:c r="C647" s="19" t="n">
        <x:v>5</x:v>
      </x:c>
      <x:c r="D647" s="19" t="str">
        <x:v>EL-MON-LIM-CASTLE-012</x:v>
      </x:c>
      <x:c r="E647" s="19" t="str">
        <x:v>失乡统帅·欧尼尔</x:v>
      </x:c>
      <x:c r="F647" s="19" t="str">
        <x:v>地图BOSS</x:v>
      </x:c>
      <x:c r="G647" s="19" t="str">
        <x:v>材料独立候选</x:v>
      </x:c>
      <x:c r="H647" s="19" t="str">
        <x:v>王城军印</x:v>
      </x:c>
      <x:c r="I647" s="22" t="n">
        <x:v>80</x:v>
      </x:c>
      <x:c r="J647" s="22" t="n">
        <x:v>4</x:v>
      </x:c>
      <x:c r="K647" s="19" t="n">
        <x:v>1</x:v>
      </x:c>
      <x:c r="L647" s="24" t="n">
        <x:v>13.799999999999999</x:v>
      </x:c>
      <x:c r="M647" s="26" t="n">
        <x:v>0.1</x:v>
      </x:c>
      <x:c r="N647" s="24" t="n">
        <x:v>2</x:v>
      </x:c>
      <x:c r="O647" s="28" t="n">
        <x:f>MIN(1,L647/I647)</x:f>
        <x:v>0.1725</x:v>
      </x:c>
      <x:c r="P647" s="30" t="n">
        <x:f>O647*J647*(1+M647)</x:f>
        <x:v>0.759</x:v>
      </x:c>
      <x:c r="Q647" s="30" t="n">
        <x:f>P647*N647</x:f>
        <x:v>1.518</x:v>
      </x:c>
      <x:c r="R647" s="19" t="str">
        <x:v>独立判定</x:v>
      </x:c>
    </x:row>
    <x:row r="648" ht="19" customHeight="1">
      <x:c r="A648" s="19" t="str">
        <x:v>D00644</x:v>
      </x:c>
      <x:c r="B648" s="19" t="n">
        <x:v>2</x:v>
      </x:c>
      <x:c r="C648" s="19" t="n">
        <x:v>5</x:v>
      </x:c>
      <x:c r="D648" s="19" t="str">
        <x:v>EL-MON-LIM-CASTLE-012</x:v>
      </x:c>
      <x:c r="E648" s="19" t="str">
        <x:v>失乡统帅·欧尼尔</x:v>
      </x:c>
      <x:c r="F648" s="19" t="str">
        <x:v>地图BOSS</x:v>
      </x:c>
      <x:c r="G648" s="19" t="str">
        <x:v>材料独立候选</x:v>
      </x:c>
      <x:c r="H648" s="19" t="str">
        <x:v>野兽骨片</x:v>
      </x:c>
      <x:c r="I648" s="22" t="n">
        <x:v>40</x:v>
      </x:c>
      <x:c r="J648" s="22" t="n">
        <x:v>2</x:v>
      </x:c>
      <x:c r="K648" s="19" t="n">
        <x:v>1</x:v>
      </x:c>
      <x:c r="L648" s="24" t="n">
        <x:v>13.799999999999999</x:v>
      </x:c>
      <x:c r="M648" s="26" t="n">
        <x:v>0.1</x:v>
      </x:c>
      <x:c r="N648" s="24" t="n">
        <x:v>2</x:v>
      </x:c>
      <x:c r="O648" s="28" t="n">
        <x:f>MIN(1,L648/I648)</x:f>
        <x:v>0.345</x:v>
      </x:c>
      <x:c r="P648" s="30" t="n">
        <x:f>O648*J648*(1+M648)</x:f>
        <x:v>0.759</x:v>
      </x:c>
      <x:c r="Q648" s="30" t="n">
        <x:f>P648*N648</x:f>
        <x:v>1.518</x:v>
      </x:c>
      <x:c r="R648" s="19" t="str">
        <x:v>独立判定</x:v>
      </x:c>
    </x:row>
    <x:row r="649" ht="19" customHeight="1">
      <x:c r="A649" s="19" t="str">
        <x:v>D00645</x:v>
      </x:c>
      <x:c r="B649" s="19" t="n">
        <x:v>2</x:v>
      </x:c>
      <x:c r="C649" s="19" t="n">
        <x:v>5</x:v>
      </x:c>
      <x:c r="D649" s="19" t="str">
        <x:v>EL-MON-LIM-CASTLE-012</x:v>
      </x:c>
      <x:c r="E649" s="19" t="str">
        <x:v>失乡统帅·欧尼尔</x:v>
      </x:c>
      <x:c r="F649" s="19" t="str">
        <x:v>地图BOSS</x:v>
      </x:c>
      <x:c r="G649" s="19" t="str">
        <x:v>材料独立候选</x:v>
      </x:c>
      <x:c r="H649" s="19" t="str">
        <x:v>技能残页</x:v>
      </x:c>
      <x:c r="I649" s="22" t="n">
        <x:v>30</x:v>
      </x:c>
      <x:c r="J649" s="22" t="n">
        <x:v>1</x:v>
      </x:c>
      <x:c r="K649" s="19" t="n">
        <x:v>1</x:v>
      </x:c>
      <x:c r="L649" s="24" t="n">
        <x:v>13.799999999999999</x:v>
      </x:c>
      <x:c r="M649" s="26" t="n">
        <x:v>0.1</x:v>
      </x:c>
      <x:c r="N649" s="24" t="n">
        <x:v>2</x:v>
      </x:c>
      <x:c r="O649" s="28" t="n">
        <x:f>MIN(1,L649/I649)</x:f>
        <x:v>0.45999999999999996</x:v>
      </x:c>
      <x:c r="P649" s="30" t="n">
        <x:f>O649*J649*(1+M649)</x:f>
        <x:v>0.506</x:v>
      </x:c>
      <x:c r="Q649" s="30" t="n">
        <x:f>P649*N649</x:f>
        <x:v>1.012</x:v>
      </x:c>
      <x:c r="R649" s="19" t="str">
        <x:v>独立判定</x:v>
      </x:c>
    </x:row>
    <x:row r="650" ht="19" customHeight="1">
      <x:c r="A650" s="19" t="str">
        <x:v>D00646</x:v>
      </x:c>
      <x:c r="B650" s="19" t="n">
        <x:v>2</x:v>
      </x:c>
      <x:c r="C650" s="19" t="n">
        <x:v>5</x:v>
      </x:c>
      <x:c r="D650" s="19" t="str">
        <x:v>EL-MON-LIM-CASTLE-012</x:v>
      </x:c>
      <x:c r="E650" s="19" t="str">
        <x:v>失乡统帅·欧尼尔</x:v>
      </x:c>
      <x:c r="F650" s="19" t="str">
        <x:v>地图BOSS</x:v>
      </x:c>
      <x:c r="G650" s="19" t="str">
        <x:v>材料独立候选</x:v>
      </x:c>
      <x:c r="H650" s="19" t="str">
        <x:v>宁姆格福誓页</x:v>
      </x:c>
      <x:c r="I650" s="22" t="n">
        <x:v>180</x:v>
      </x:c>
      <x:c r="J650" s="22" t="n">
        <x:v>1</x:v>
      </x:c>
      <x:c r="K650" s="19" t="n">
        <x:v>1</x:v>
      </x:c>
      <x:c r="L650" s="24" t="n">
        <x:v>13.799999999999999</x:v>
      </x:c>
      <x:c r="M650" s="26" t="n">
        <x:v>0.1</x:v>
      </x:c>
      <x:c r="N650" s="24" t="n">
        <x:v>2</x:v>
      </x:c>
      <x:c r="O650" s="28" t="n">
        <x:f>MIN(1,L650/I650)</x:f>
        <x:v>0.07666666666666666</x:v>
      </x:c>
      <x:c r="P650" s="30" t="n">
        <x:f>O650*J650*(1+M650)</x:f>
        <x:v>0.08433333333333333</x:v>
      </x:c>
      <x:c r="Q650" s="30" t="n">
        <x:f>P650*N650</x:f>
        <x:v>0.16866666666666666</x:v>
      </x:c>
      <x:c r="R650" s="19" t="str">
        <x:v>独立判定</x:v>
      </x:c>
    </x:row>
    <x:row r="651" ht="19" customHeight="1">
      <x:c r="A651" s="19" t="str">
        <x:v>D00647</x:v>
      </x:c>
      <x:c r="B651" s="19" t="n">
        <x:v>2</x:v>
      </x:c>
      <x:c r="C651" s="19" t="n">
        <x:v>5</x:v>
      </x:c>
      <x:c r="D651" s="19" t="str">
        <x:v>EL-MON-LIM-CASTLE-012</x:v>
      </x:c>
      <x:c r="E651" s="19" t="str">
        <x:v>失乡统帅·欧尼尔</x:v>
      </x:c>
      <x:c r="F651" s="19" t="str">
        <x:v>地图BOSS</x:v>
      </x:c>
      <x:c r="G651" s="19" t="str">
        <x:v>材料独立候选</x:v>
      </x:c>
      <x:c r="H651" s="19" t="str">
        <x:v>小卢恩</x:v>
      </x:c>
      <x:c r="I651" s="22" t="n">
        <x:v>1200</x:v>
      </x:c>
      <x:c r="J651" s="22" t="n">
        <x:v>1</x:v>
      </x:c>
      <x:c r="K651" s="19" t="n">
        <x:v>1</x:v>
      </x:c>
      <x:c r="L651" s="24" t="n">
        <x:v>13.799999999999999</x:v>
      </x:c>
      <x:c r="M651" s="26" t="n">
        <x:v>0.1</x:v>
      </x:c>
      <x:c r="N651" s="24" t="n">
        <x:v>2</x:v>
      </x:c>
      <x:c r="O651" s="28" t="n">
        <x:f>MIN(1,L651/I651)</x:f>
        <x:v>0.0115</x:v>
      </x:c>
      <x:c r="P651" s="30" t="n">
        <x:f>O651*J651*(1+M651)</x:f>
        <x:v>0.012650000000000002</x:v>
      </x:c>
      <x:c r="Q651" s="30" t="n">
        <x:f>P651*N651</x:f>
        <x:v>0.025300000000000003</x:v>
      </x:c>
      <x:c r="R651" s="19" t="str">
        <x:v>独立判定</x:v>
      </x:c>
    </x:row>
    <x:row r="652" ht="19" customHeight="1">
      <x:c r="A652" s="19" t="str">
        <x:v>D00648</x:v>
      </x:c>
      <x:c r="B652" s="19" t="n">
        <x:v>2</x:v>
      </x:c>
      <x:c r="C652" s="19" t="n">
        <x:v>5</x:v>
      </x:c>
      <x:c r="D652" s="19" t="str">
        <x:v>EL-MON-LIM-CASTLE-012</x:v>
      </x:c>
      <x:c r="E652" s="19" t="str">
        <x:v>失乡统帅·欧尼尔</x:v>
      </x:c>
      <x:c r="F652" s="19" t="str">
        <x:v>地图BOSS</x:v>
      </x:c>
      <x:c r="G652" s="19" t="str">
        <x:v>材料独立候选</x:v>
      </x:c>
      <x:c r="H652" s="19" t="str">
        <x:v>大卢恩</x:v>
      </x:c>
      <x:c r="I652" s="22" t="n">
        <x:v>120</x:v>
      </x:c>
      <x:c r="J652" s="22" t="n">
        <x:v>1</x:v>
      </x:c>
      <x:c r="K652" s="19" t="n">
        <x:v>1</x:v>
      </x:c>
      <x:c r="L652" s="24" t="n">
        <x:v>13.799999999999999</x:v>
      </x:c>
      <x:c r="M652" s="26" t="n">
        <x:v>0.1</x:v>
      </x:c>
      <x:c r="N652" s="24" t="n">
        <x:v>2</x:v>
      </x:c>
      <x:c r="O652" s="28" t="n">
        <x:f>MIN(1,L652/I652)</x:f>
        <x:v>0.11499999999999999</x:v>
      </x:c>
      <x:c r="P652" s="30" t="n">
        <x:f>O652*J652*(1+M652)</x:f>
        <x:v>0.1265</x:v>
      </x:c>
      <x:c r="Q652" s="30" t="n">
        <x:f>P652*N652</x:f>
        <x:v>0.253</x:v>
      </x:c>
      <x:c r="R652" s="19" t="str">
        <x:v>独立判定</x:v>
      </x:c>
    </x:row>
    <x:row r="653" ht="19" customHeight="1">
      <x:c r="A653" s="19" t="str">
        <x:v>D00649</x:v>
      </x:c>
      <x:c r="B653" s="19" t="n">
        <x:v>2</x:v>
      </x:c>
      <x:c r="C653" s="19" t="n">
        <x:v>5</x:v>
      </x:c>
      <x:c r="D653" s="19" t="str">
        <x:v>EL-MON-LIM-CASTLE-012</x:v>
      </x:c>
      <x:c r="E653" s="19" t="str">
        <x:v>失乡统帅·欧尼尔</x:v>
      </x:c>
      <x:c r="F653" s="19" t="str">
        <x:v>地图BOSS</x:v>
      </x:c>
      <x:c r="G653" s="19" t="str">
        <x:v>六神器公共池</x:v>
      </x:c>
      <x:c r="H653" s="19" t="str">
        <x:v>POOL006</x:v>
      </x:c>
      <x:c r="I653" s="22" t="n">
        <x:v>200000</x:v>
      </x:c>
      <x:c r="J653" s="22" t="n">
        <x:v>1</x:v>
      </x:c>
      <x:c r="K653" s="19" t="n">
        <x:v>6</x:v>
      </x:c>
      <x:c r="L653" s="24" t="n">
        <x:v>13.799999999999999</x:v>
      </x:c>
      <x:c r="M653" s="26" t="n">
        <x:v>0.1</x:v>
      </x:c>
      <x:c r="N653" s="24" t="n">
        <x:v>2</x:v>
      </x:c>
      <x:c r="O653" s="28" t="n">
        <x:f>MIN(1,L653/I653)</x:f>
        <x:v>0.000069</x:v>
      </x:c>
      <x:c r="P653" s="30" t="n">
        <x:f>O653*J653*(1+M653)</x:f>
        <x:v>0.0000759</x:v>
      </x:c>
      <x:c r="Q653" s="30" t="n">
        <x:f>P653*N653</x:f>
        <x:v>0.0001518</x:v>
      </x:c>
      <x:c r="R653" s="19" t="str">
        <x:v>六选一；非6个独立爆率</x:v>
      </x:c>
    </x:row>
    <x:row r="654" ht="19" customHeight="1">
      <x:c r="A654" s="19" t="str">
        <x:v>D00650</x:v>
      </x:c>
      <x:c r="B654" s="19" t="n">
        <x:v>2</x:v>
      </x:c>
      <x:c r="C654" s="19" t="n">
        <x:v>5</x:v>
      </x:c>
      <x:c r="D654" s="19" t="str">
        <x:v>EL-MON-LIM-CASTLE-013</x:v>
      </x:c>
      <x:c r="E654" s="19" t="str">
        <x:v>接肢君王·葛瑞克</x:v>
      </x:c>
      <x:c r="F654" s="19" t="str">
        <x:v>守关BOSS</x:v>
      </x:c>
      <x:c r="G654" s="19" t="str">
        <x:v>自身专属</x:v>
      </x:c>
      <x:c r="H654" s="19" t="str">
        <x:v>接肢亥猪</x:v>
      </x:c>
      <x:c r="I654" s="22" t="n">
        <x:v>15</x:v>
      </x:c>
      <x:c r="J654" s="22" t="n">
        <x:v>1</x:v>
      </x:c>
      <x:c r="K654" s="19" t="n">
        <x:v>1</x:v>
      </x:c>
      <x:c r="L654" s="24" t="n">
        <x:v>13.799999999999999</x:v>
      </x:c>
      <x:c r="M654" s="26" t="n">
        <x:v>0.1</x:v>
      </x:c>
      <x:c r="N654" s="24" t="n">
        <x:v>0</x:v>
      </x:c>
      <x:c r="O654" s="28" t="n">
        <x:f>MIN(1,L654/I654)</x:f>
        <x:v>0.9199999999999999</x:v>
      </x:c>
      <x:c r="P654" s="30" t="n">
        <x:f>O654*J654*(1+M654)</x:f>
        <x:v>1.012</x:v>
      </x:c>
      <x:c r="Q654" s="30" t="n">
        <x:f>P654*N654</x:f>
        <x:v>0</x:v>
      </x:c>
      <x:c r="R654" s="19" t="str">
        <x:v>独立判定</x:v>
      </x:c>
    </x:row>
    <x:row r="655" ht="19" customHeight="1">
      <x:c r="A655" s="19" t="str">
        <x:v>D00651</x:v>
      </x:c>
      <x:c r="B655" s="19" t="n">
        <x:v>2</x:v>
      </x:c>
      <x:c r="C655" s="19" t="n">
        <x:v>5</x:v>
      </x:c>
      <x:c r="D655" s="19" t="str">
        <x:v>EL-MON-LIM-CASTLE-013</x:v>
      </x:c>
      <x:c r="E655" s="19" t="str">
        <x:v>接肢君王·葛瑞克</x:v>
      </x:c>
      <x:c r="F655" s="19" t="str">
        <x:v>守关BOSS</x:v>
      </x:c>
      <x:c r="G655" s="19" t="str">
        <x:v>材料独立候选</x:v>
      </x:c>
      <x:c r="H655" s="19" t="str">
        <x:v>风暴石片</x:v>
      </x:c>
      <x:c r="I655" s="22" t="n">
        <x:v>1</x:v>
      </x:c>
      <x:c r="J655" s="22" t="n">
        <x:v>40</x:v>
      </x:c>
      <x:c r="K655" s="19" t="n">
        <x:v>1</x:v>
      </x:c>
      <x:c r="L655" s="24" t="n">
        <x:v>13.799999999999999</x:v>
      </x:c>
      <x:c r="M655" s="26" t="n">
        <x:v>0.1</x:v>
      </x:c>
      <x:c r="N655" s="24" t="n">
        <x:v>0</x:v>
      </x:c>
      <x:c r="O655" s="28" t="n">
        <x:f>MIN(1,L655/I655)</x:f>
        <x:v>1</x:v>
      </x:c>
      <x:c r="P655" s="30" t="n">
        <x:f>O655*J655*(1+M655)</x:f>
        <x:v>44</x:v>
      </x:c>
      <x:c r="Q655" s="30" t="n">
        <x:f>P655*N655</x:f>
        <x:v>0</x:v>
      </x:c>
      <x:c r="R655" s="19" t="str">
        <x:v>独立判定</x:v>
      </x:c>
    </x:row>
    <x:row r="656" ht="19" customHeight="1">
      <x:c r="A656" s="19" t="str">
        <x:v>D00652</x:v>
      </x:c>
      <x:c r="B656" s="19" t="n">
        <x:v>2</x:v>
      </x:c>
      <x:c r="C656" s="19" t="n">
        <x:v>5</x:v>
      </x:c>
      <x:c r="D656" s="19" t="str">
        <x:v>EL-MON-LIM-CASTLE-013</x:v>
      </x:c>
      <x:c r="E656" s="19" t="str">
        <x:v>接肢君王·葛瑞克</x:v>
      </x:c>
      <x:c r="F656" s="19" t="str">
        <x:v>守关BOSS</x:v>
      </x:c>
      <x:c r="G656" s="19" t="str">
        <x:v>材料独立候选</x:v>
      </x:c>
      <x:c r="H656" s="19" t="str">
        <x:v>黄金树芽</x:v>
      </x:c>
      <x:c r="I656" s="22" t="n">
        <x:v>1</x:v>
      </x:c>
      <x:c r="J656" s="22" t="n">
        <x:v>1</x:v>
      </x:c>
      <x:c r="K656" s="19" t="n">
        <x:v>1</x:v>
      </x:c>
      <x:c r="L656" s="24" t="n">
        <x:v>13.799999999999999</x:v>
      </x:c>
      <x:c r="M656" s="26" t="n">
        <x:v>0.1</x:v>
      </x:c>
      <x:c r="N656" s="24" t="n">
        <x:v>0</x:v>
      </x:c>
      <x:c r="O656" s="28" t="n">
        <x:f>MIN(1,L656/I656)</x:f>
        <x:v>1</x:v>
      </x:c>
      <x:c r="P656" s="30" t="n">
        <x:f>O656*J656*(1+M656)</x:f>
        <x:v>1.1</x:v>
      </x:c>
      <x:c r="Q656" s="30" t="n">
        <x:f>P656*N656</x:f>
        <x:v>0</x:v>
      </x:c>
      <x:c r="R656" s="19" t="str">
        <x:v>独立判定</x:v>
      </x:c>
    </x:row>
    <x:row r="657" ht="19" customHeight="1">
      <x:c r="A657" s="19" t="str">
        <x:v>D00653</x:v>
      </x:c>
      <x:c r="B657" s="19" t="n">
        <x:v>2</x:v>
      </x:c>
      <x:c r="C657" s="19" t="n">
        <x:v>5</x:v>
      </x:c>
      <x:c r="D657" s="19" t="str">
        <x:v>EL-MON-LIM-CASTLE-013</x:v>
      </x:c>
      <x:c r="E657" s="19" t="str">
        <x:v>接肢君王·葛瑞克</x:v>
      </x:c>
      <x:c r="F657" s="19" t="str">
        <x:v>守关BOSS</x:v>
      </x:c>
      <x:c r="G657" s="19" t="str">
        <x:v>材料独立候选</x:v>
      </x:c>
      <x:c r="H657" s="19" t="str">
        <x:v>接肢王印</x:v>
      </x:c>
      <x:c r="I657" s="22" t="n">
        <x:v>1</x:v>
      </x:c>
      <x:c r="J657" s="22" t="n">
        <x:v>1</x:v>
      </x:c>
      <x:c r="K657" s="19" t="n">
        <x:v>1</x:v>
      </x:c>
      <x:c r="L657" s="24" t="n">
        <x:v>13.799999999999999</x:v>
      </x:c>
      <x:c r="M657" s="26" t="n">
        <x:v>0.1</x:v>
      </x:c>
      <x:c r="N657" s="24" t="n">
        <x:v>0</x:v>
      </x:c>
      <x:c r="O657" s="28" t="n">
        <x:f>MIN(1,L657/I657)</x:f>
        <x:v>1</x:v>
      </x:c>
      <x:c r="P657" s="30" t="n">
        <x:f>O657*J657*(1+M657)</x:f>
        <x:v>1.1</x:v>
      </x:c>
      <x:c r="Q657" s="30" t="n">
        <x:f>P657*N657</x:f>
        <x:v>0</x:v>
      </x:c>
      <x:c r="R657" s="19" t="str">
        <x:v>独立判定</x:v>
      </x:c>
    </x:row>
    <x:row r="658" ht="19" customHeight="1">
      <x:c r="A658" s="19" t="str">
        <x:v>D00654</x:v>
      </x:c>
      <x:c r="B658" s="19" t="n">
        <x:v>2</x:v>
      </x:c>
      <x:c r="C658" s="19" t="n">
        <x:v>5</x:v>
      </x:c>
      <x:c r="D658" s="19" t="str">
        <x:v>EL-MON-LIM-CASTLE-013</x:v>
      </x:c>
      <x:c r="E658" s="19" t="str">
        <x:v>接肢君王·葛瑞克</x:v>
      </x:c>
      <x:c r="F658" s="19" t="str">
        <x:v>守关BOSS</x:v>
      </x:c>
      <x:c r="G658" s="19" t="str">
        <x:v>材料独立候选</x:v>
      </x:c>
      <x:c r="H658" s="19" t="str">
        <x:v>接肢王魂</x:v>
      </x:c>
      <x:c r="I658" s="22" t="n">
        <x:v>1</x:v>
      </x:c>
      <x:c r="J658" s="22" t="n">
        <x:v>1</x:v>
      </x:c>
      <x:c r="K658" s="19" t="n">
        <x:v>1</x:v>
      </x:c>
      <x:c r="L658" s="24" t="n">
        <x:v>13.799999999999999</x:v>
      </x:c>
      <x:c r="M658" s="26" t="n">
        <x:v>0.1</x:v>
      </x:c>
      <x:c r="N658" s="24" t="n">
        <x:v>0</x:v>
      </x:c>
      <x:c r="O658" s="28" t="n">
        <x:f>MIN(1,L658/I658)</x:f>
        <x:v>1</x:v>
      </x:c>
      <x:c r="P658" s="30" t="n">
        <x:f>O658*J658*(1+M658)</x:f>
        <x:v>1.1</x:v>
      </x:c>
      <x:c r="Q658" s="30" t="n">
        <x:f>P658*N658</x:f>
        <x:v>0</x:v>
      </x:c>
      <x:c r="R658" s="19" t="str">
        <x:v>独立判定</x:v>
      </x:c>
    </x:row>
    <x:row r="659" ht="19" customHeight="1">
      <x:c r="A659" s="19" t="str">
        <x:v>D00655</x:v>
      </x:c>
      <x:c r="B659" s="19" t="n">
        <x:v>2</x:v>
      </x:c>
      <x:c r="C659" s="19" t="n">
        <x:v>5</x:v>
      </x:c>
      <x:c r="D659" s="19" t="str">
        <x:v>EL-MON-LIM-CASTLE-013</x:v>
      </x:c>
      <x:c r="E659" s="19" t="str">
        <x:v>接肢君王·葛瑞克</x:v>
      </x:c>
      <x:c r="F659" s="19" t="str">
        <x:v>守关BOSS</x:v>
      </x:c>
      <x:c r="G659" s="19" t="str">
        <x:v>六神器公共池</x:v>
      </x:c>
      <x:c r="H659" s="19" t="str">
        <x:v>POOL006</x:v>
      </x:c>
      <x:c r="I659" s="22" t="n">
        <x:v>40000</x:v>
      </x:c>
      <x:c r="J659" s="22" t="n">
        <x:v>1</x:v>
      </x:c>
      <x:c r="K659" s="19" t="n">
        <x:v>6</x:v>
      </x:c>
      <x:c r="L659" s="24" t="n">
        <x:v>13.799999999999999</x:v>
      </x:c>
      <x:c r="M659" s="26" t="n">
        <x:v>0.1</x:v>
      </x:c>
      <x:c r="N659" s="24" t="n">
        <x:v>0</x:v>
      </x:c>
      <x:c r="O659" s="28" t="n">
        <x:f>MIN(1,L659/I659)</x:f>
        <x:v>0.000345</x:v>
      </x:c>
      <x:c r="P659" s="30" t="n">
        <x:f>O659*J659*(1+M659)</x:f>
        <x:v>0.0003795</x:v>
      </x:c>
      <x:c r="Q659" s="30" t="n">
        <x:f>P659*N659</x:f>
        <x:v>0</x:v>
      </x:c>
      <x:c r="R659" s="19" t="str">
        <x:v>六选一；非6个独立爆率</x:v>
      </x:c>
    </x:row>
    <x:row r="660" ht="19" customHeight="1">
      <x:c r="A660" s="19" t="str">
        <x:v>D00656</x:v>
      </x:c>
      <x:c r="B660" s="19" t="n">
        <x:v>3</x:v>
      </x:c>
      <x:c r="C660" s="19" t="n">
        <x:v>1</x:v>
      </x:c>
      <x:c r="D660" s="19" t="str">
        <x:v>C03-M001</x:v>
      </x:c>
      <x:c r="E660" s="19" t="str">
        <x:v>荒原拾骨者</x:v>
      </x:c>
      <x:c r="F660" s="19" t="str">
        <x:v>普通</x:v>
      </x:c>
      <x:c r="G660" s="19" t="str">
        <x:v>自身专属</x:v>
      </x:c>
      <x:c r="H660" s="19" t="str">
        <x:v>拾骨弯刀</x:v>
      </x:c>
      <x:c r="I660" s="22" t="n">
        <x:v>800</x:v>
      </x:c>
      <x:c r="J660" s="22" t="n">
        <x:v>1</x:v>
      </x:c>
      <x:c r="K660" s="19" t="n">
        <x:v>1</x:v>
      </x:c>
      <x:c r="L660" s="24" t="n">
        <x:v>13.799999999999999</x:v>
      </x:c>
      <x:c r="M660" s="26" t="n">
        <x:v>0.1</x:v>
      </x:c>
      <x:c r="N660" s="24" t="n">
        <x:v>72</x:v>
      </x:c>
      <x:c r="O660" s="28" t="n">
        <x:f>MIN(1,L660/I660)</x:f>
        <x:v>0.017249999999999998</x:v>
      </x:c>
      <x:c r="P660" s="30" t="n">
        <x:f>O660*J660*(1+M660)</x:f>
        <x:v>0.018975</x:v>
      </x:c>
      <x:c r="Q660" s="30" t="n">
        <x:f>P660*N660</x:f>
        <x:v>1.3661999999999999</x:v>
      </x:c>
      <x:c r="R660" s="19" t="str">
        <x:v>独立判定</x:v>
      </x:c>
    </x:row>
    <x:row r="661" ht="19" customHeight="1">
      <x:c r="A661" s="19" t="str">
        <x:v>D00657</x:v>
      </x:c>
      <x:c r="B661" s="19" t="n">
        <x:v>3</x:v>
      </x:c>
      <x:c r="C661" s="19" t="n">
        <x:v>1</x:v>
      </x:c>
      <x:c r="D661" s="19" t="str">
        <x:v>C03-M001</x:v>
      </x:c>
      <x:c r="E661" s="19" t="str">
        <x:v>荒原拾骨者</x:v>
      </x:c>
      <x:c r="F661" s="19" t="str">
        <x:v>普通</x:v>
      </x:c>
      <x:c r="G661" s="19" t="str">
        <x:v>材料独立候选</x:v>
      </x:c>
      <x:c r="H661" s="19" t="str">
        <x:v>风蚀铁片</x:v>
      </x:c>
      <x:c r="I661" s="22" t="n">
        <x:v>600</x:v>
      </x:c>
      <x:c r="J661" s="22" t="n">
        <x:v>8</x:v>
      </x:c>
      <x:c r="K661" s="19" t="n">
        <x:v>1</x:v>
      </x:c>
      <x:c r="L661" s="24" t="n">
        <x:v>13.799999999999999</x:v>
      </x:c>
      <x:c r="M661" s="26" t="n">
        <x:v>0.1</x:v>
      </x:c>
      <x:c r="N661" s="24" t="n">
        <x:v>72</x:v>
      </x:c>
      <x:c r="O661" s="28" t="n">
        <x:f>MIN(1,L661/I661)</x:f>
        <x:v>0.023</x:v>
      </x:c>
      <x:c r="P661" s="30" t="n">
        <x:f>O661*J661*(1+M661)</x:f>
        <x:v>0.20240000000000002</x:v>
      </x:c>
      <x:c r="Q661" s="30" t="n">
        <x:f>P661*N661</x:f>
        <x:v>14.5728</x:v>
      </x:c>
      <x:c r="R661" s="19" t="str">
        <x:v>独立判定</x:v>
      </x:c>
    </x:row>
    <x:row r="662" ht="19" customHeight="1">
      <x:c r="A662" s="19" t="str">
        <x:v>D00658</x:v>
      </x:c>
      <x:c r="B662" s="19" t="n">
        <x:v>3</x:v>
      </x:c>
      <x:c r="C662" s="19" t="n">
        <x:v>1</x:v>
      </x:c>
      <x:c r="D662" s="19" t="str">
        <x:v>C03-M001</x:v>
      </x:c>
      <x:c r="E662" s="19" t="str">
        <x:v>荒原拾骨者</x:v>
      </x:c>
      <x:c r="F662" s="19" t="str">
        <x:v>普通</x:v>
      </x:c>
      <x:c r="G662" s="19" t="str">
        <x:v>材料独立候选</x:v>
      </x:c>
      <x:c r="H662" s="19" t="str">
        <x:v>裂风崖羽</x:v>
      </x:c>
      <x:c r="I662" s="22" t="n">
        <x:v>1500</x:v>
      </x:c>
      <x:c r="J662" s="22" t="n">
        <x:v>1</x:v>
      </x:c>
      <x:c r="K662" s="19" t="n">
        <x:v>1</x:v>
      </x:c>
      <x:c r="L662" s="24" t="n">
        <x:v>13.799999999999999</x:v>
      </x:c>
      <x:c r="M662" s="26" t="n">
        <x:v>0.1</x:v>
      </x:c>
      <x:c r="N662" s="24" t="n">
        <x:v>72</x:v>
      </x:c>
      <x:c r="O662" s="28" t="n">
        <x:f>MIN(1,L662/I662)</x:f>
        <x:v>0.0092</x:v>
      </x:c>
      <x:c r="P662" s="30" t="n">
        <x:f>O662*J662*(1+M662)</x:f>
        <x:v>0.01012</x:v>
      </x:c>
      <x:c r="Q662" s="30" t="n">
        <x:f>P662*N662</x:f>
        <x:v>0.7286400000000001</x:v>
      </x:c>
      <x:c r="R662" s="19" t="str">
        <x:v>独立判定</x:v>
      </x:c>
    </x:row>
    <x:row r="663" ht="19" customHeight="1">
      <x:c r="A663" s="19" t="str">
        <x:v>D00659</x:v>
      </x:c>
      <x:c r="B663" s="19" t="n">
        <x:v>3</x:v>
      </x:c>
      <x:c r="C663" s="19" t="n">
        <x:v>1</x:v>
      </x:c>
      <x:c r="D663" s="19" t="str">
        <x:v>C03-M001</x:v>
      </x:c>
      <x:c r="E663" s="19" t="str">
        <x:v>荒原拾骨者</x:v>
      </x:c>
      <x:c r="F663" s="19" t="str">
        <x:v>普通</x:v>
      </x:c>
      <x:c r="G663" s="19" t="str">
        <x:v>材料独立候选</x:v>
      </x:c>
      <x:c r="H663" s="19" t="str">
        <x:v>西境风痕碑拓</x:v>
      </x:c>
      <x:c r="I663" s="22" t="n">
        <x:v>600000</x:v>
      </x:c>
      <x:c r="J663" s="22" t="n">
        <x:v>1</x:v>
      </x:c>
      <x:c r="K663" s="19" t="n">
        <x:v>1</x:v>
      </x:c>
      <x:c r="L663" s="24" t="n">
        <x:v>13.799999999999999</x:v>
      </x:c>
      <x:c r="M663" s="26" t="n">
        <x:v>0.1</x:v>
      </x:c>
      <x:c r="N663" s="24" t="n">
        <x:v>72</x:v>
      </x:c>
      <x:c r="O663" s="28" t="n">
        <x:f>MIN(1,L663/I663)</x:f>
        <x:v>0.000022999999999999997</x:v>
      </x:c>
      <x:c r="P663" s="30" t="n">
        <x:f>O663*J663*(1+M663)</x:f>
        <x:v>0.0000253</x:v>
      </x:c>
      <x:c r="Q663" s="30" t="n">
        <x:f>P663*N663</x:f>
        <x:v>0.0018215999999999998</x:v>
      </x:c>
      <x:c r="R663" s="19" t="str">
        <x:v>独立判定</x:v>
      </x:c>
    </x:row>
    <x:row r="664" ht="19" customHeight="1">
      <x:c r="A664" s="19" t="str">
        <x:v>D00660</x:v>
      </x:c>
      <x:c r="B664" s="19" t="n">
        <x:v>3</x:v>
      </x:c>
      <x:c r="C664" s="19" t="n">
        <x:v>1</x:v>
      </x:c>
      <x:c r="D664" s="19" t="str">
        <x:v>C03-M001</x:v>
      </x:c>
      <x:c r="E664" s="19" t="str">
        <x:v>荒原拾骨者</x:v>
      </x:c>
      <x:c r="F664" s="19" t="str">
        <x:v>普通</x:v>
      </x:c>
      <x:c r="G664" s="19" t="str">
        <x:v>材料独立候选</x:v>
      </x:c>
      <x:c r="H664" s="19" t="str">
        <x:v>野兽骨片</x:v>
      </x:c>
      <x:c r="I664" s="22" t="n">
        <x:v>100</x:v>
      </x:c>
      <x:c r="J664" s="22" t="n">
        <x:v>2</x:v>
      </x:c>
      <x:c r="K664" s="19" t="n">
        <x:v>1</x:v>
      </x:c>
      <x:c r="L664" s="24" t="n">
        <x:v>13.799999999999999</x:v>
      </x:c>
      <x:c r="M664" s="26" t="n">
        <x:v>0.1</x:v>
      </x:c>
      <x:c r="N664" s="24" t="n">
        <x:v>72</x:v>
      </x:c>
      <x:c r="O664" s="28" t="n">
        <x:f>MIN(1,L664/I664)</x:f>
        <x:v>0.13799999999999998</x:v>
      </x:c>
      <x:c r="P664" s="30" t="n">
        <x:f>O664*J664*(1+M664)</x:f>
        <x:v>0.3036</x:v>
      </x:c>
      <x:c r="Q664" s="30" t="n">
        <x:f>P664*N664</x:f>
        <x:v>21.859199999999998</x:v>
      </x:c>
      <x:c r="R664" s="19" t="str">
        <x:v>独立判定</x:v>
      </x:c>
    </x:row>
    <x:row r="665" ht="19" customHeight="1">
      <x:c r="A665" s="19" t="str">
        <x:v>D00661</x:v>
      </x:c>
      <x:c r="B665" s="19" t="n">
        <x:v>3</x:v>
      </x:c>
      <x:c r="C665" s="19" t="n">
        <x:v>1</x:v>
      </x:c>
      <x:c r="D665" s="19" t="str">
        <x:v>C03-M001</x:v>
      </x:c>
      <x:c r="E665" s="19" t="str">
        <x:v>荒原拾骨者</x:v>
      </x:c>
      <x:c r="F665" s="19" t="str">
        <x:v>普通</x:v>
      </x:c>
      <x:c r="G665" s="19" t="str">
        <x:v>材料独立候选</x:v>
      </x:c>
      <x:c r="H665" s="19" t="str">
        <x:v>技能残页</x:v>
      </x:c>
      <x:c r="I665" s="22" t="n">
        <x:v>250</x:v>
      </x:c>
      <x:c r="J665" s="22" t="n">
        <x:v>1</x:v>
      </x:c>
      <x:c r="K665" s="19" t="n">
        <x:v>1</x:v>
      </x:c>
      <x:c r="L665" s="24" t="n">
        <x:v>13.799999999999999</x:v>
      </x:c>
      <x:c r="M665" s="26" t="n">
        <x:v>0.1</x:v>
      </x:c>
      <x:c r="N665" s="24" t="n">
        <x:v>72</x:v>
      </x:c>
      <x:c r="O665" s="28" t="n">
        <x:f>MIN(1,L665/I665)</x:f>
        <x:v>0.0552</x:v>
      </x:c>
      <x:c r="P665" s="30" t="n">
        <x:f>O665*J665*(1+M665)</x:f>
        <x:v>0.06072</x:v>
      </x:c>
      <x:c r="Q665" s="30" t="n">
        <x:f>P665*N665</x:f>
        <x:v>4.371840000000001</x:v>
      </x:c>
      <x:c r="R665" s="19" t="str">
        <x:v>独立判定</x:v>
      </x:c>
    </x:row>
    <x:row r="666" ht="19" customHeight="1">
      <x:c r="A666" s="19" t="str">
        <x:v>D00662</x:v>
      </x:c>
      <x:c r="B666" s="19" t="n">
        <x:v>3</x:v>
      </x:c>
      <x:c r="C666" s="19" t="n">
        <x:v>1</x:v>
      </x:c>
      <x:c r="D666" s="19" t="str">
        <x:v>C03-M001</x:v>
      </x:c>
      <x:c r="E666" s="19" t="str">
        <x:v>荒原拾骨者</x:v>
      </x:c>
      <x:c r="F666" s="19" t="str">
        <x:v>普通</x:v>
      </x:c>
      <x:c r="G666" s="19" t="str">
        <x:v>材料独立候选</x:v>
      </x:c>
      <x:c r="H666" s="19" t="str">
        <x:v>小卢恩</x:v>
      </x:c>
      <x:c r="I666" s="22" t="n">
        <x:v>4000</x:v>
      </x:c>
      <x:c r="J666" s="22" t="n">
        <x:v>1</x:v>
      </x:c>
      <x:c r="K666" s="19" t="n">
        <x:v>1</x:v>
      </x:c>
      <x:c r="L666" s="24" t="n">
        <x:v>13.799999999999999</x:v>
      </x:c>
      <x:c r="M666" s="26" t="n">
        <x:v>0.1</x:v>
      </x:c>
      <x:c r="N666" s="24" t="n">
        <x:v>72</x:v>
      </x:c>
      <x:c r="O666" s="28" t="n">
        <x:f>MIN(1,L666/I666)</x:f>
        <x:v>0.00345</x:v>
      </x:c>
      <x:c r="P666" s="30" t="n">
        <x:f>O666*J666*(1+M666)</x:f>
        <x:v>0.003795</x:v>
      </x:c>
      <x:c r="Q666" s="30" t="n">
        <x:f>P666*N666</x:f>
        <x:v>0.27324000000000004</x:v>
      </x:c>
      <x:c r="R666" s="19" t="str">
        <x:v>独立判定</x:v>
      </x:c>
    </x:row>
    <x:row r="667" ht="19" customHeight="1">
      <x:c r="A667" s="19" t="str">
        <x:v>D00663</x:v>
      </x:c>
      <x:c r="B667" s="19" t="n">
        <x:v>3</x:v>
      </x:c>
      <x:c r="C667" s="19" t="n">
        <x:v>1</x:v>
      </x:c>
      <x:c r="D667" s="19" t="str">
        <x:v>C03-M001</x:v>
      </x:c>
      <x:c r="E667" s="19" t="str">
        <x:v>荒原拾骨者</x:v>
      </x:c>
      <x:c r="F667" s="19" t="str">
        <x:v>普通</x:v>
      </x:c>
      <x:c r="G667" s="19" t="str">
        <x:v>六神器公共池</x:v>
      </x:c>
      <x:c r="H667" s="19" t="str">
        <x:v>POOL006</x:v>
      </x:c>
      <x:c r="I667" s="22" t="n">
        <x:v>20000000</x:v>
      </x:c>
      <x:c r="J667" s="22" t="n">
        <x:v>1</x:v>
      </x:c>
      <x:c r="K667" s="19" t="n">
        <x:v>6</x:v>
      </x:c>
      <x:c r="L667" s="24" t="n">
        <x:v>13.799999999999999</x:v>
      </x:c>
      <x:c r="M667" s="26" t="n">
        <x:v>0.1</x:v>
      </x:c>
      <x:c r="N667" s="24" t="n">
        <x:v>72</x:v>
      </x:c>
      <x:c r="O667" s="28" t="n">
        <x:f>MIN(1,L667/I667)</x:f>
        <x:v>6.9e-7</x:v>
      </x:c>
      <x:c r="P667" s="30" t="n">
        <x:f>O667*J667*(1+M667)</x:f>
        <x:v>7.590000000000001e-7</x:v>
      </x:c>
      <x:c r="Q667" s="30" t="n">
        <x:f>P667*N667</x:f>
        <x:v>0.000054648</x:v>
      </x:c>
      <x:c r="R667" s="19" t="str">
        <x:v>六选一；非6个独立爆率</x:v>
      </x:c>
    </x:row>
    <x:row r="668" ht="19" customHeight="1">
      <x:c r="A668" s="19" t="str">
        <x:v>D00664</x:v>
      </x:c>
      <x:c r="B668" s="19" t="n">
        <x:v>3</x:v>
      </x:c>
      <x:c r="C668" s="19" t="n">
        <x:v>1</x:v>
      </x:c>
      <x:c r="D668" s="19" t="str">
        <x:v>C03-M002</x:v>
      </x:c>
      <x:c r="E668" s="19" t="str">
        <x:v>断旗步兵</x:v>
      </x:c>
      <x:c r="F668" s="19" t="str">
        <x:v>普通</x:v>
      </x:c>
      <x:c r="G668" s="19" t="str">
        <x:v>自身专属</x:v>
      </x:c>
      <x:c r="H668" s="19" t="str">
        <x:v>断旗战链</x:v>
      </x:c>
      <x:c r="I668" s="22" t="n">
        <x:v>800</x:v>
      </x:c>
      <x:c r="J668" s="22" t="n">
        <x:v>1</x:v>
      </x:c>
      <x:c r="K668" s="19" t="n">
        <x:v>1</x:v>
      </x:c>
      <x:c r="L668" s="24" t="n">
        <x:v>13.799999999999999</x:v>
      </x:c>
      <x:c r="M668" s="26" t="n">
        <x:v>0.1</x:v>
      </x:c>
      <x:c r="N668" s="24" t="n">
        <x:v>72</x:v>
      </x:c>
      <x:c r="O668" s="28" t="n">
        <x:f>MIN(1,L668/I668)</x:f>
        <x:v>0.017249999999999998</x:v>
      </x:c>
      <x:c r="P668" s="30" t="n">
        <x:f>O668*J668*(1+M668)</x:f>
        <x:v>0.018975</x:v>
      </x:c>
      <x:c r="Q668" s="30" t="n">
        <x:f>P668*N668</x:f>
        <x:v>1.3661999999999999</x:v>
      </x:c>
      <x:c r="R668" s="19" t="str">
        <x:v>独立判定</x:v>
      </x:c>
    </x:row>
    <x:row r="669" ht="19" customHeight="1">
      <x:c r="A669" s="19" t="str">
        <x:v>D00665</x:v>
      </x:c>
      <x:c r="B669" s="19" t="n">
        <x:v>3</x:v>
      </x:c>
      <x:c r="C669" s="19" t="n">
        <x:v>1</x:v>
      </x:c>
      <x:c r="D669" s="19" t="str">
        <x:v>C03-M002</x:v>
      </x:c>
      <x:c r="E669" s="19" t="str">
        <x:v>断旗步兵</x:v>
      </x:c>
      <x:c r="F669" s="19" t="str">
        <x:v>普通</x:v>
      </x:c>
      <x:c r="G669" s="19" t="str">
        <x:v>材料独立候选</x:v>
      </x:c>
      <x:c r="H669" s="19" t="str">
        <x:v>风蚀铁片</x:v>
      </x:c>
      <x:c r="I669" s="22" t="n">
        <x:v>600</x:v>
      </x:c>
      <x:c r="J669" s="22" t="n">
        <x:v>8</x:v>
      </x:c>
      <x:c r="K669" s="19" t="n">
        <x:v>1</x:v>
      </x:c>
      <x:c r="L669" s="24" t="n">
        <x:v>13.799999999999999</x:v>
      </x:c>
      <x:c r="M669" s="26" t="n">
        <x:v>0.1</x:v>
      </x:c>
      <x:c r="N669" s="24" t="n">
        <x:v>72</x:v>
      </x:c>
      <x:c r="O669" s="28" t="n">
        <x:f>MIN(1,L669/I669)</x:f>
        <x:v>0.023</x:v>
      </x:c>
      <x:c r="P669" s="30" t="n">
        <x:f>O669*J669*(1+M669)</x:f>
        <x:v>0.20240000000000002</x:v>
      </x:c>
      <x:c r="Q669" s="30" t="n">
        <x:f>P669*N669</x:f>
        <x:v>14.5728</x:v>
      </x:c>
      <x:c r="R669" s="19" t="str">
        <x:v>独立判定</x:v>
      </x:c>
    </x:row>
    <x:row r="670" ht="19" customHeight="1">
      <x:c r="A670" s="19" t="str">
        <x:v>D00666</x:v>
      </x:c>
      <x:c r="B670" s="19" t="n">
        <x:v>3</x:v>
      </x:c>
      <x:c r="C670" s="19" t="n">
        <x:v>1</x:v>
      </x:c>
      <x:c r="D670" s="19" t="str">
        <x:v>C03-M002</x:v>
      </x:c>
      <x:c r="E670" s="19" t="str">
        <x:v>断旗步兵</x:v>
      </x:c>
      <x:c r="F670" s="19" t="str">
        <x:v>普通</x:v>
      </x:c>
      <x:c r="G670" s="19" t="str">
        <x:v>材料独立候选</x:v>
      </x:c>
      <x:c r="H670" s="19" t="str">
        <x:v>裂风崖羽</x:v>
      </x:c>
      <x:c r="I670" s="22" t="n">
        <x:v>1500</x:v>
      </x:c>
      <x:c r="J670" s="22" t="n">
        <x:v>1</x:v>
      </x:c>
      <x:c r="K670" s="19" t="n">
        <x:v>1</x:v>
      </x:c>
      <x:c r="L670" s="24" t="n">
        <x:v>13.799999999999999</x:v>
      </x:c>
      <x:c r="M670" s="26" t="n">
        <x:v>0.1</x:v>
      </x:c>
      <x:c r="N670" s="24" t="n">
        <x:v>72</x:v>
      </x:c>
      <x:c r="O670" s="28" t="n">
        <x:f>MIN(1,L670/I670)</x:f>
        <x:v>0.0092</x:v>
      </x:c>
      <x:c r="P670" s="30" t="n">
        <x:f>O670*J670*(1+M670)</x:f>
        <x:v>0.01012</x:v>
      </x:c>
      <x:c r="Q670" s="30" t="n">
        <x:f>P670*N670</x:f>
        <x:v>0.7286400000000001</x:v>
      </x:c>
      <x:c r="R670" s="19" t="str">
        <x:v>独立判定</x:v>
      </x:c>
    </x:row>
    <x:row r="671" ht="19" customHeight="1">
      <x:c r="A671" s="19" t="str">
        <x:v>D00667</x:v>
      </x:c>
      <x:c r="B671" s="19" t="n">
        <x:v>3</x:v>
      </x:c>
      <x:c r="C671" s="19" t="n">
        <x:v>1</x:v>
      </x:c>
      <x:c r="D671" s="19" t="str">
        <x:v>C03-M002</x:v>
      </x:c>
      <x:c r="E671" s="19" t="str">
        <x:v>断旗步兵</x:v>
      </x:c>
      <x:c r="F671" s="19" t="str">
        <x:v>普通</x:v>
      </x:c>
      <x:c r="G671" s="19" t="str">
        <x:v>材料独立候选</x:v>
      </x:c>
      <x:c r="H671" s="19" t="str">
        <x:v>西境风痕碑拓</x:v>
      </x:c>
      <x:c r="I671" s="22" t="n">
        <x:v>600000</x:v>
      </x:c>
      <x:c r="J671" s="22" t="n">
        <x:v>1</x:v>
      </x:c>
      <x:c r="K671" s="19" t="n">
        <x:v>1</x:v>
      </x:c>
      <x:c r="L671" s="24" t="n">
        <x:v>13.799999999999999</x:v>
      </x:c>
      <x:c r="M671" s="26" t="n">
        <x:v>0.1</x:v>
      </x:c>
      <x:c r="N671" s="24" t="n">
        <x:v>72</x:v>
      </x:c>
      <x:c r="O671" s="28" t="n">
        <x:f>MIN(1,L671/I671)</x:f>
        <x:v>0.000022999999999999997</x:v>
      </x:c>
      <x:c r="P671" s="30" t="n">
        <x:f>O671*J671*(1+M671)</x:f>
        <x:v>0.0000253</x:v>
      </x:c>
      <x:c r="Q671" s="30" t="n">
        <x:f>P671*N671</x:f>
        <x:v>0.0018215999999999998</x:v>
      </x:c>
      <x:c r="R671" s="19" t="str">
        <x:v>独立判定</x:v>
      </x:c>
    </x:row>
    <x:row r="672" ht="19" customHeight="1">
      <x:c r="A672" s="19" t="str">
        <x:v>D00668</x:v>
      </x:c>
      <x:c r="B672" s="19" t="n">
        <x:v>3</x:v>
      </x:c>
      <x:c r="C672" s="19" t="n">
        <x:v>1</x:v>
      </x:c>
      <x:c r="D672" s="19" t="str">
        <x:v>C03-M002</x:v>
      </x:c>
      <x:c r="E672" s="19" t="str">
        <x:v>断旗步兵</x:v>
      </x:c>
      <x:c r="F672" s="19" t="str">
        <x:v>普通</x:v>
      </x:c>
      <x:c r="G672" s="19" t="str">
        <x:v>材料独立候选</x:v>
      </x:c>
      <x:c r="H672" s="19" t="str">
        <x:v>野兽骨片</x:v>
      </x:c>
      <x:c r="I672" s="22" t="n">
        <x:v>100</x:v>
      </x:c>
      <x:c r="J672" s="22" t="n">
        <x:v>2</x:v>
      </x:c>
      <x:c r="K672" s="19" t="n">
        <x:v>1</x:v>
      </x:c>
      <x:c r="L672" s="24" t="n">
        <x:v>13.799999999999999</x:v>
      </x:c>
      <x:c r="M672" s="26" t="n">
        <x:v>0.1</x:v>
      </x:c>
      <x:c r="N672" s="24" t="n">
        <x:v>72</x:v>
      </x:c>
      <x:c r="O672" s="28" t="n">
        <x:f>MIN(1,L672/I672)</x:f>
        <x:v>0.13799999999999998</x:v>
      </x:c>
      <x:c r="P672" s="30" t="n">
        <x:f>O672*J672*(1+M672)</x:f>
        <x:v>0.3036</x:v>
      </x:c>
      <x:c r="Q672" s="30" t="n">
        <x:f>P672*N672</x:f>
        <x:v>21.859199999999998</x:v>
      </x:c>
      <x:c r="R672" s="19" t="str">
        <x:v>独立判定</x:v>
      </x:c>
    </x:row>
    <x:row r="673" ht="19" customHeight="1">
      <x:c r="A673" s="19" t="str">
        <x:v>D00669</x:v>
      </x:c>
      <x:c r="B673" s="19" t="n">
        <x:v>3</x:v>
      </x:c>
      <x:c r="C673" s="19" t="n">
        <x:v>1</x:v>
      </x:c>
      <x:c r="D673" s="19" t="str">
        <x:v>C03-M002</x:v>
      </x:c>
      <x:c r="E673" s="19" t="str">
        <x:v>断旗步兵</x:v>
      </x:c>
      <x:c r="F673" s="19" t="str">
        <x:v>普通</x:v>
      </x:c>
      <x:c r="G673" s="19" t="str">
        <x:v>材料独立候选</x:v>
      </x:c>
      <x:c r="H673" s="19" t="str">
        <x:v>技能残页</x:v>
      </x:c>
      <x:c r="I673" s="22" t="n">
        <x:v>250</x:v>
      </x:c>
      <x:c r="J673" s="22" t="n">
        <x:v>1</x:v>
      </x:c>
      <x:c r="K673" s="19" t="n">
        <x:v>1</x:v>
      </x:c>
      <x:c r="L673" s="24" t="n">
        <x:v>13.799999999999999</x:v>
      </x:c>
      <x:c r="M673" s="26" t="n">
        <x:v>0.1</x:v>
      </x:c>
      <x:c r="N673" s="24" t="n">
        <x:v>72</x:v>
      </x:c>
      <x:c r="O673" s="28" t="n">
        <x:f>MIN(1,L673/I673)</x:f>
        <x:v>0.0552</x:v>
      </x:c>
      <x:c r="P673" s="30" t="n">
        <x:f>O673*J673*(1+M673)</x:f>
        <x:v>0.06072</x:v>
      </x:c>
      <x:c r="Q673" s="30" t="n">
        <x:f>P673*N673</x:f>
        <x:v>4.371840000000001</x:v>
      </x:c>
      <x:c r="R673" s="19" t="str">
        <x:v>独立判定</x:v>
      </x:c>
    </x:row>
    <x:row r="674" ht="19" customHeight="1">
      <x:c r="A674" s="19" t="str">
        <x:v>D00670</x:v>
      </x:c>
      <x:c r="B674" s="19" t="n">
        <x:v>3</x:v>
      </x:c>
      <x:c r="C674" s="19" t="n">
        <x:v>1</x:v>
      </x:c>
      <x:c r="D674" s="19" t="str">
        <x:v>C03-M002</x:v>
      </x:c>
      <x:c r="E674" s="19" t="str">
        <x:v>断旗步兵</x:v>
      </x:c>
      <x:c r="F674" s="19" t="str">
        <x:v>普通</x:v>
      </x:c>
      <x:c r="G674" s="19" t="str">
        <x:v>材料独立候选</x:v>
      </x:c>
      <x:c r="H674" s="19" t="str">
        <x:v>小卢恩</x:v>
      </x:c>
      <x:c r="I674" s="22" t="n">
        <x:v>4000</x:v>
      </x:c>
      <x:c r="J674" s="22" t="n">
        <x:v>1</x:v>
      </x:c>
      <x:c r="K674" s="19" t="n">
        <x:v>1</x:v>
      </x:c>
      <x:c r="L674" s="24" t="n">
        <x:v>13.799999999999999</x:v>
      </x:c>
      <x:c r="M674" s="26" t="n">
        <x:v>0.1</x:v>
      </x:c>
      <x:c r="N674" s="24" t="n">
        <x:v>72</x:v>
      </x:c>
      <x:c r="O674" s="28" t="n">
        <x:f>MIN(1,L674/I674)</x:f>
        <x:v>0.00345</x:v>
      </x:c>
      <x:c r="P674" s="30" t="n">
        <x:f>O674*J674*(1+M674)</x:f>
        <x:v>0.003795</x:v>
      </x:c>
      <x:c r="Q674" s="30" t="n">
        <x:f>P674*N674</x:f>
        <x:v>0.27324000000000004</x:v>
      </x:c>
      <x:c r="R674" s="19" t="str">
        <x:v>独立判定</x:v>
      </x:c>
    </x:row>
    <x:row r="675" ht="19" customHeight="1">
      <x:c r="A675" s="19" t="str">
        <x:v>D00671</x:v>
      </x:c>
      <x:c r="B675" s="19" t="n">
        <x:v>3</x:v>
      </x:c>
      <x:c r="C675" s="19" t="n">
        <x:v>1</x:v>
      </x:c>
      <x:c r="D675" s="19" t="str">
        <x:v>C03-M002</x:v>
      </x:c>
      <x:c r="E675" s="19" t="str">
        <x:v>断旗步兵</x:v>
      </x:c>
      <x:c r="F675" s="19" t="str">
        <x:v>普通</x:v>
      </x:c>
      <x:c r="G675" s="19" t="str">
        <x:v>六神器公共池</x:v>
      </x:c>
      <x:c r="H675" s="19" t="str">
        <x:v>POOL006</x:v>
      </x:c>
      <x:c r="I675" s="22" t="n">
        <x:v>20000000</x:v>
      </x:c>
      <x:c r="J675" s="22" t="n">
        <x:v>1</x:v>
      </x:c>
      <x:c r="K675" s="19" t="n">
        <x:v>6</x:v>
      </x:c>
      <x:c r="L675" s="24" t="n">
        <x:v>13.799999999999999</x:v>
      </x:c>
      <x:c r="M675" s="26" t="n">
        <x:v>0.1</x:v>
      </x:c>
      <x:c r="N675" s="24" t="n">
        <x:v>72</x:v>
      </x:c>
      <x:c r="O675" s="28" t="n">
        <x:f>MIN(1,L675/I675)</x:f>
        <x:v>6.9e-7</x:v>
      </x:c>
      <x:c r="P675" s="30" t="n">
        <x:f>O675*J675*(1+M675)</x:f>
        <x:v>7.590000000000001e-7</x:v>
      </x:c>
      <x:c r="Q675" s="30" t="n">
        <x:f>P675*N675</x:f>
        <x:v>0.000054648</x:v>
      </x:c>
      <x:c r="R675" s="19" t="str">
        <x:v>六选一；非6个独立爆率</x:v>
      </x:c>
    </x:row>
    <x:row r="676" ht="19" customHeight="1">
      <x:c r="A676" s="19" t="str">
        <x:v>D00672</x:v>
      </x:c>
      <x:c r="B676" s="19" t="n">
        <x:v>3</x:v>
      </x:c>
      <x:c r="C676" s="19" t="n">
        <x:v>1</x:v>
      </x:c>
      <x:c r="D676" s="19" t="str">
        <x:v>C03-M003</x:v>
      </x:c>
      <x:c r="E676" s="19" t="str">
        <x:v>风沙掠夺者</x:v>
      </x:c>
      <x:c r="F676" s="19" t="str">
        <x:v>普通</x:v>
      </x:c>
      <x:c r="G676" s="19" t="str">
        <x:v>自身专属</x:v>
      </x:c>
      <x:c r="H676" s="19" t="str">
        <x:v>掠风护腕</x:v>
      </x:c>
      <x:c r="I676" s="22" t="n">
        <x:v>800</x:v>
      </x:c>
      <x:c r="J676" s="22" t="n">
        <x:v>1</x:v>
      </x:c>
      <x:c r="K676" s="19" t="n">
        <x:v>1</x:v>
      </x:c>
      <x:c r="L676" s="24" t="n">
        <x:v>13.799999999999999</x:v>
      </x:c>
      <x:c r="M676" s="26" t="n">
        <x:v>0.1</x:v>
      </x:c>
      <x:c r="N676" s="24" t="n">
        <x:v>72</x:v>
      </x:c>
      <x:c r="O676" s="28" t="n">
        <x:f>MIN(1,L676/I676)</x:f>
        <x:v>0.017249999999999998</x:v>
      </x:c>
      <x:c r="P676" s="30" t="n">
        <x:f>O676*J676*(1+M676)</x:f>
        <x:v>0.018975</x:v>
      </x:c>
      <x:c r="Q676" s="30" t="n">
        <x:f>P676*N676</x:f>
        <x:v>1.3661999999999999</x:v>
      </x:c>
      <x:c r="R676" s="19" t="str">
        <x:v>独立判定</x:v>
      </x:c>
    </x:row>
    <x:row r="677" ht="19" customHeight="1">
      <x:c r="A677" s="19" t="str">
        <x:v>D00673</x:v>
      </x:c>
      <x:c r="B677" s="19" t="n">
        <x:v>3</x:v>
      </x:c>
      <x:c r="C677" s="19" t="n">
        <x:v>1</x:v>
      </x:c>
      <x:c r="D677" s="19" t="str">
        <x:v>C03-M003</x:v>
      </x:c>
      <x:c r="E677" s="19" t="str">
        <x:v>风沙掠夺者</x:v>
      </x:c>
      <x:c r="F677" s="19" t="str">
        <x:v>普通</x:v>
      </x:c>
      <x:c r="G677" s="19" t="str">
        <x:v>材料独立候选</x:v>
      </x:c>
      <x:c r="H677" s="19" t="str">
        <x:v>风蚀铁片</x:v>
      </x:c>
      <x:c r="I677" s="22" t="n">
        <x:v>600</x:v>
      </x:c>
      <x:c r="J677" s="22" t="n">
        <x:v>8</x:v>
      </x:c>
      <x:c r="K677" s="19" t="n">
        <x:v>1</x:v>
      </x:c>
      <x:c r="L677" s="24" t="n">
        <x:v>13.799999999999999</x:v>
      </x:c>
      <x:c r="M677" s="26" t="n">
        <x:v>0.1</x:v>
      </x:c>
      <x:c r="N677" s="24" t="n">
        <x:v>72</x:v>
      </x:c>
      <x:c r="O677" s="28" t="n">
        <x:f>MIN(1,L677/I677)</x:f>
        <x:v>0.023</x:v>
      </x:c>
      <x:c r="P677" s="30" t="n">
        <x:f>O677*J677*(1+M677)</x:f>
        <x:v>0.20240000000000002</x:v>
      </x:c>
      <x:c r="Q677" s="30" t="n">
        <x:f>P677*N677</x:f>
        <x:v>14.5728</x:v>
      </x:c>
      <x:c r="R677" s="19" t="str">
        <x:v>独立判定</x:v>
      </x:c>
    </x:row>
    <x:row r="678" ht="19" customHeight="1">
      <x:c r="A678" s="19" t="str">
        <x:v>D00674</x:v>
      </x:c>
      <x:c r="B678" s="19" t="n">
        <x:v>3</x:v>
      </x:c>
      <x:c r="C678" s="19" t="n">
        <x:v>1</x:v>
      </x:c>
      <x:c r="D678" s="19" t="str">
        <x:v>C03-M003</x:v>
      </x:c>
      <x:c r="E678" s="19" t="str">
        <x:v>风沙掠夺者</x:v>
      </x:c>
      <x:c r="F678" s="19" t="str">
        <x:v>普通</x:v>
      </x:c>
      <x:c r="G678" s="19" t="str">
        <x:v>材料独立候选</x:v>
      </x:c>
      <x:c r="H678" s="19" t="str">
        <x:v>裂风崖羽</x:v>
      </x:c>
      <x:c r="I678" s="22" t="n">
        <x:v>1500</x:v>
      </x:c>
      <x:c r="J678" s="22" t="n">
        <x:v>1</x:v>
      </x:c>
      <x:c r="K678" s="19" t="n">
        <x:v>1</x:v>
      </x:c>
      <x:c r="L678" s="24" t="n">
        <x:v>13.799999999999999</x:v>
      </x:c>
      <x:c r="M678" s="26" t="n">
        <x:v>0.1</x:v>
      </x:c>
      <x:c r="N678" s="24" t="n">
        <x:v>72</x:v>
      </x:c>
      <x:c r="O678" s="28" t="n">
        <x:f>MIN(1,L678/I678)</x:f>
        <x:v>0.0092</x:v>
      </x:c>
      <x:c r="P678" s="30" t="n">
        <x:f>O678*J678*(1+M678)</x:f>
        <x:v>0.01012</x:v>
      </x:c>
      <x:c r="Q678" s="30" t="n">
        <x:f>P678*N678</x:f>
        <x:v>0.7286400000000001</x:v>
      </x:c>
      <x:c r="R678" s="19" t="str">
        <x:v>独立判定</x:v>
      </x:c>
    </x:row>
    <x:row r="679" ht="19" customHeight="1">
      <x:c r="A679" s="19" t="str">
        <x:v>D00675</x:v>
      </x:c>
      <x:c r="B679" s="19" t="n">
        <x:v>3</x:v>
      </x:c>
      <x:c r="C679" s="19" t="n">
        <x:v>1</x:v>
      </x:c>
      <x:c r="D679" s="19" t="str">
        <x:v>C03-M003</x:v>
      </x:c>
      <x:c r="E679" s="19" t="str">
        <x:v>风沙掠夺者</x:v>
      </x:c>
      <x:c r="F679" s="19" t="str">
        <x:v>普通</x:v>
      </x:c>
      <x:c r="G679" s="19" t="str">
        <x:v>材料独立候选</x:v>
      </x:c>
      <x:c r="H679" s="19" t="str">
        <x:v>西境风痕碑拓</x:v>
      </x:c>
      <x:c r="I679" s="22" t="n">
        <x:v>600000</x:v>
      </x:c>
      <x:c r="J679" s="22" t="n">
        <x:v>1</x:v>
      </x:c>
      <x:c r="K679" s="19" t="n">
        <x:v>1</x:v>
      </x:c>
      <x:c r="L679" s="24" t="n">
        <x:v>13.799999999999999</x:v>
      </x:c>
      <x:c r="M679" s="26" t="n">
        <x:v>0.1</x:v>
      </x:c>
      <x:c r="N679" s="24" t="n">
        <x:v>72</x:v>
      </x:c>
      <x:c r="O679" s="28" t="n">
        <x:f>MIN(1,L679/I679)</x:f>
        <x:v>0.000022999999999999997</x:v>
      </x:c>
      <x:c r="P679" s="30" t="n">
        <x:f>O679*J679*(1+M679)</x:f>
        <x:v>0.0000253</x:v>
      </x:c>
      <x:c r="Q679" s="30" t="n">
        <x:f>P679*N679</x:f>
        <x:v>0.0018215999999999998</x:v>
      </x:c>
      <x:c r="R679" s="19" t="str">
        <x:v>独立判定</x:v>
      </x:c>
    </x:row>
    <x:row r="680" ht="19" customHeight="1">
      <x:c r="A680" s="19" t="str">
        <x:v>D00676</x:v>
      </x:c>
      <x:c r="B680" s="19" t="n">
        <x:v>3</x:v>
      </x:c>
      <x:c r="C680" s="19" t="n">
        <x:v>1</x:v>
      </x:c>
      <x:c r="D680" s="19" t="str">
        <x:v>C03-M003</x:v>
      </x:c>
      <x:c r="E680" s="19" t="str">
        <x:v>风沙掠夺者</x:v>
      </x:c>
      <x:c r="F680" s="19" t="str">
        <x:v>普通</x:v>
      </x:c>
      <x:c r="G680" s="19" t="str">
        <x:v>材料独立候选</x:v>
      </x:c>
      <x:c r="H680" s="19" t="str">
        <x:v>野兽骨片</x:v>
      </x:c>
      <x:c r="I680" s="22" t="n">
        <x:v>100</x:v>
      </x:c>
      <x:c r="J680" s="22" t="n">
        <x:v>2</x:v>
      </x:c>
      <x:c r="K680" s="19" t="n">
        <x:v>1</x:v>
      </x:c>
      <x:c r="L680" s="24" t="n">
        <x:v>13.799999999999999</x:v>
      </x:c>
      <x:c r="M680" s="26" t="n">
        <x:v>0.1</x:v>
      </x:c>
      <x:c r="N680" s="24" t="n">
        <x:v>72</x:v>
      </x:c>
      <x:c r="O680" s="28" t="n">
        <x:f>MIN(1,L680/I680)</x:f>
        <x:v>0.13799999999999998</x:v>
      </x:c>
      <x:c r="P680" s="30" t="n">
        <x:f>O680*J680*(1+M680)</x:f>
        <x:v>0.3036</x:v>
      </x:c>
      <x:c r="Q680" s="30" t="n">
        <x:f>P680*N680</x:f>
        <x:v>21.859199999999998</x:v>
      </x:c>
      <x:c r="R680" s="19" t="str">
        <x:v>独立判定</x:v>
      </x:c>
    </x:row>
    <x:row r="681" ht="19" customHeight="1">
      <x:c r="A681" s="19" t="str">
        <x:v>D00677</x:v>
      </x:c>
      <x:c r="B681" s="19" t="n">
        <x:v>3</x:v>
      </x:c>
      <x:c r="C681" s="19" t="n">
        <x:v>1</x:v>
      </x:c>
      <x:c r="D681" s="19" t="str">
        <x:v>C03-M003</x:v>
      </x:c>
      <x:c r="E681" s="19" t="str">
        <x:v>风沙掠夺者</x:v>
      </x:c>
      <x:c r="F681" s="19" t="str">
        <x:v>普通</x:v>
      </x:c>
      <x:c r="G681" s="19" t="str">
        <x:v>材料独立候选</x:v>
      </x:c>
      <x:c r="H681" s="19" t="str">
        <x:v>技能残页</x:v>
      </x:c>
      <x:c r="I681" s="22" t="n">
        <x:v>250</x:v>
      </x:c>
      <x:c r="J681" s="22" t="n">
        <x:v>1</x:v>
      </x:c>
      <x:c r="K681" s="19" t="n">
        <x:v>1</x:v>
      </x:c>
      <x:c r="L681" s="24" t="n">
        <x:v>13.799999999999999</x:v>
      </x:c>
      <x:c r="M681" s="26" t="n">
        <x:v>0.1</x:v>
      </x:c>
      <x:c r="N681" s="24" t="n">
        <x:v>72</x:v>
      </x:c>
      <x:c r="O681" s="28" t="n">
        <x:f>MIN(1,L681/I681)</x:f>
        <x:v>0.0552</x:v>
      </x:c>
      <x:c r="P681" s="30" t="n">
        <x:f>O681*J681*(1+M681)</x:f>
        <x:v>0.06072</x:v>
      </x:c>
      <x:c r="Q681" s="30" t="n">
        <x:f>P681*N681</x:f>
        <x:v>4.371840000000001</x:v>
      </x:c>
      <x:c r="R681" s="19" t="str">
        <x:v>独立判定</x:v>
      </x:c>
    </x:row>
    <x:row r="682" ht="19" customHeight="1">
      <x:c r="A682" s="19" t="str">
        <x:v>D00678</x:v>
      </x:c>
      <x:c r="B682" s="19" t="n">
        <x:v>3</x:v>
      </x:c>
      <x:c r="C682" s="19" t="n">
        <x:v>1</x:v>
      </x:c>
      <x:c r="D682" s="19" t="str">
        <x:v>C03-M003</x:v>
      </x:c>
      <x:c r="E682" s="19" t="str">
        <x:v>风沙掠夺者</x:v>
      </x:c>
      <x:c r="F682" s="19" t="str">
        <x:v>普通</x:v>
      </x:c>
      <x:c r="G682" s="19" t="str">
        <x:v>材料独立候选</x:v>
      </x:c>
      <x:c r="H682" s="19" t="str">
        <x:v>小卢恩</x:v>
      </x:c>
      <x:c r="I682" s="22" t="n">
        <x:v>4000</x:v>
      </x:c>
      <x:c r="J682" s="22" t="n">
        <x:v>1</x:v>
      </x:c>
      <x:c r="K682" s="19" t="n">
        <x:v>1</x:v>
      </x:c>
      <x:c r="L682" s="24" t="n">
        <x:v>13.799999999999999</x:v>
      </x:c>
      <x:c r="M682" s="26" t="n">
        <x:v>0.1</x:v>
      </x:c>
      <x:c r="N682" s="24" t="n">
        <x:v>72</x:v>
      </x:c>
      <x:c r="O682" s="28" t="n">
        <x:f>MIN(1,L682/I682)</x:f>
        <x:v>0.00345</x:v>
      </x:c>
      <x:c r="P682" s="30" t="n">
        <x:f>O682*J682*(1+M682)</x:f>
        <x:v>0.003795</x:v>
      </x:c>
      <x:c r="Q682" s="30" t="n">
        <x:f>P682*N682</x:f>
        <x:v>0.27324000000000004</x:v>
      </x:c>
      <x:c r="R682" s="19" t="str">
        <x:v>独立判定</x:v>
      </x:c>
    </x:row>
    <x:row r="683" ht="19" customHeight="1">
      <x:c r="A683" s="19" t="str">
        <x:v>D00679</x:v>
      </x:c>
      <x:c r="B683" s="19" t="n">
        <x:v>3</x:v>
      </x:c>
      <x:c r="C683" s="19" t="n">
        <x:v>1</x:v>
      </x:c>
      <x:c r="D683" s="19" t="str">
        <x:v>C03-M003</x:v>
      </x:c>
      <x:c r="E683" s="19" t="str">
        <x:v>风沙掠夺者</x:v>
      </x:c>
      <x:c r="F683" s="19" t="str">
        <x:v>普通</x:v>
      </x:c>
      <x:c r="G683" s="19" t="str">
        <x:v>六神器公共池</x:v>
      </x:c>
      <x:c r="H683" s="19" t="str">
        <x:v>POOL006</x:v>
      </x:c>
      <x:c r="I683" s="22" t="n">
        <x:v>20000000</x:v>
      </x:c>
      <x:c r="J683" s="22" t="n">
        <x:v>1</x:v>
      </x:c>
      <x:c r="K683" s="19" t="n">
        <x:v>6</x:v>
      </x:c>
      <x:c r="L683" s="24" t="n">
        <x:v>13.799999999999999</x:v>
      </x:c>
      <x:c r="M683" s="26" t="n">
        <x:v>0.1</x:v>
      </x:c>
      <x:c r="N683" s="24" t="n">
        <x:v>72</x:v>
      </x:c>
      <x:c r="O683" s="28" t="n">
        <x:f>MIN(1,L683/I683)</x:f>
        <x:v>6.9e-7</x:v>
      </x:c>
      <x:c r="P683" s="30" t="n">
        <x:f>O683*J683*(1+M683)</x:f>
        <x:v>7.590000000000001e-7</x:v>
      </x:c>
      <x:c r="Q683" s="30" t="n">
        <x:f>P683*N683</x:f>
        <x:v>0.000054648</x:v>
      </x:c>
      <x:c r="R683" s="19" t="str">
        <x:v>六选一；非6个独立爆率</x:v>
      </x:c>
    </x:row>
    <x:row r="684" ht="19" customHeight="1">
      <x:c r="A684" s="19" t="str">
        <x:v>D00680</x:v>
      </x:c>
      <x:c r="B684" s="19" t="n">
        <x:v>3</x:v>
      </x:c>
      <x:c r="C684" s="19" t="n">
        <x:v>1</x:v>
      </x:c>
      <x:c r="D684" s="19" t="str">
        <x:v>C03-M004</x:v>
      </x:c>
      <x:c r="E684" s="19" t="str">
        <x:v>铁蹄战马</x:v>
      </x:c>
      <x:c r="F684" s="19" t="str">
        <x:v>普通</x:v>
      </x:c>
      <x:c r="G684" s="19" t="str">
        <x:v>自身专属</x:v>
      </x:c>
      <x:c r="H684" s="19" t="str">
        <x:v>铁蹄战靴</x:v>
      </x:c>
      <x:c r="I684" s="22" t="n">
        <x:v>800</x:v>
      </x:c>
      <x:c r="J684" s="22" t="n">
        <x:v>1</x:v>
      </x:c>
      <x:c r="K684" s="19" t="n">
        <x:v>1</x:v>
      </x:c>
      <x:c r="L684" s="24" t="n">
        <x:v>13.799999999999999</x:v>
      </x:c>
      <x:c r="M684" s="26" t="n">
        <x:v>0.1</x:v>
      </x:c>
      <x:c r="N684" s="24" t="n">
        <x:v>72</x:v>
      </x:c>
      <x:c r="O684" s="28" t="n">
        <x:f>MIN(1,L684/I684)</x:f>
        <x:v>0.017249999999999998</x:v>
      </x:c>
      <x:c r="P684" s="30" t="n">
        <x:f>O684*J684*(1+M684)</x:f>
        <x:v>0.018975</x:v>
      </x:c>
      <x:c r="Q684" s="30" t="n">
        <x:f>P684*N684</x:f>
        <x:v>1.3661999999999999</x:v>
      </x:c>
      <x:c r="R684" s="19" t="str">
        <x:v>独立判定</x:v>
      </x:c>
    </x:row>
    <x:row r="685" ht="19" customHeight="1">
      <x:c r="A685" s="19" t="str">
        <x:v>D00681</x:v>
      </x:c>
      <x:c r="B685" s="19" t="n">
        <x:v>3</x:v>
      </x:c>
      <x:c r="C685" s="19" t="n">
        <x:v>1</x:v>
      </x:c>
      <x:c r="D685" s="19" t="str">
        <x:v>C03-M004</x:v>
      </x:c>
      <x:c r="E685" s="19" t="str">
        <x:v>铁蹄战马</x:v>
      </x:c>
      <x:c r="F685" s="19" t="str">
        <x:v>普通</x:v>
      </x:c>
      <x:c r="G685" s="19" t="str">
        <x:v>材料独立候选</x:v>
      </x:c>
      <x:c r="H685" s="19" t="str">
        <x:v>风蚀铁片</x:v>
      </x:c>
      <x:c r="I685" s="22" t="n">
        <x:v>600</x:v>
      </x:c>
      <x:c r="J685" s="22" t="n">
        <x:v>8</x:v>
      </x:c>
      <x:c r="K685" s="19" t="n">
        <x:v>1</x:v>
      </x:c>
      <x:c r="L685" s="24" t="n">
        <x:v>13.799999999999999</x:v>
      </x:c>
      <x:c r="M685" s="26" t="n">
        <x:v>0.1</x:v>
      </x:c>
      <x:c r="N685" s="24" t="n">
        <x:v>72</x:v>
      </x:c>
      <x:c r="O685" s="28" t="n">
        <x:f>MIN(1,L685/I685)</x:f>
        <x:v>0.023</x:v>
      </x:c>
      <x:c r="P685" s="30" t="n">
        <x:f>O685*J685*(1+M685)</x:f>
        <x:v>0.20240000000000002</x:v>
      </x:c>
      <x:c r="Q685" s="30" t="n">
        <x:f>P685*N685</x:f>
        <x:v>14.5728</x:v>
      </x:c>
      <x:c r="R685" s="19" t="str">
        <x:v>独立判定</x:v>
      </x:c>
    </x:row>
    <x:row r="686" ht="19" customHeight="1">
      <x:c r="A686" s="19" t="str">
        <x:v>D00682</x:v>
      </x:c>
      <x:c r="B686" s="19" t="n">
        <x:v>3</x:v>
      </x:c>
      <x:c r="C686" s="19" t="n">
        <x:v>1</x:v>
      </x:c>
      <x:c r="D686" s="19" t="str">
        <x:v>C03-M004</x:v>
      </x:c>
      <x:c r="E686" s="19" t="str">
        <x:v>铁蹄战马</x:v>
      </x:c>
      <x:c r="F686" s="19" t="str">
        <x:v>普通</x:v>
      </x:c>
      <x:c r="G686" s="19" t="str">
        <x:v>材料独立候选</x:v>
      </x:c>
      <x:c r="H686" s="19" t="str">
        <x:v>裂风崖羽</x:v>
      </x:c>
      <x:c r="I686" s="22" t="n">
        <x:v>1500</x:v>
      </x:c>
      <x:c r="J686" s="22" t="n">
        <x:v>1</x:v>
      </x:c>
      <x:c r="K686" s="19" t="n">
        <x:v>1</x:v>
      </x:c>
      <x:c r="L686" s="24" t="n">
        <x:v>13.799999999999999</x:v>
      </x:c>
      <x:c r="M686" s="26" t="n">
        <x:v>0.1</x:v>
      </x:c>
      <x:c r="N686" s="24" t="n">
        <x:v>72</x:v>
      </x:c>
      <x:c r="O686" s="28" t="n">
        <x:f>MIN(1,L686/I686)</x:f>
        <x:v>0.0092</x:v>
      </x:c>
      <x:c r="P686" s="30" t="n">
        <x:f>O686*J686*(1+M686)</x:f>
        <x:v>0.01012</x:v>
      </x:c>
      <x:c r="Q686" s="30" t="n">
        <x:f>P686*N686</x:f>
        <x:v>0.7286400000000001</x:v>
      </x:c>
      <x:c r="R686" s="19" t="str">
        <x:v>独立判定</x:v>
      </x:c>
    </x:row>
    <x:row r="687" ht="19" customHeight="1">
      <x:c r="A687" s="19" t="str">
        <x:v>D00683</x:v>
      </x:c>
      <x:c r="B687" s="19" t="n">
        <x:v>3</x:v>
      </x:c>
      <x:c r="C687" s="19" t="n">
        <x:v>1</x:v>
      </x:c>
      <x:c r="D687" s="19" t="str">
        <x:v>C03-M004</x:v>
      </x:c>
      <x:c r="E687" s="19" t="str">
        <x:v>铁蹄战马</x:v>
      </x:c>
      <x:c r="F687" s="19" t="str">
        <x:v>普通</x:v>
      </x:c>
      <x:c r="G687" s="19" t="str">
        <x:v>材料独立候选</x:v>
      </x:c>
      <x:c r="H687" s="19" t="str">
        <x:v>西境风痕碑拓</x:v>
      </x:c>
      <x:c r="I687" s="22" t="n">
        <x:v>600000</x:v>
      </x:c>
      <x:c r="J687" s="22" t="n">
        <x:v>1</x:v>
      </x:c>
      <x:c r="K687" s="19" t="n">
        <x:v>1</x:v>
      </x:c>
      <x:c r="L687" s="24" t="n">
        <x:v>13.799999999999999</x:v>
      </x:c>
      <x:c r="M687" s="26" t="n">
        <x:v>0.1</x:v>
      </x:c>
      <x:c r="N687" s="24" t="n">
        <x:v>72</x:v>
      </x:c>
      <x:c r="O687" s="28" t="n">
        <x:f>MIN(1,L687/I687)</x:f>
        <x:v>0.000022999999999999997</x:v>
      </x:c>
      <x:c r="P687" s="30" t="n">
        <x:f>O687*J687*(1+M687)</x:f>
        <x:v>0.0000253</x:v>
      </x:c>
      <x:c r="Q687" s="30" t="n">
        <x:f>P687*N687</x:f>
        <x:v>0.0018215999999999998</x:v>
      </x:c>
      <x:c r="R687" s="19" t="str">
        <x:v>独立判定</x:v>
      </x:c>
    </x:row>
    <x:row r="688" ht="19" customHeight="1">
      <x:c r="A688" s="19" t="str">
        <x:v>D00684</x:v>
      </x:c>
      <x:c r="B688" s="19" t="n">
        <x:v>3</x:v>
      </x:c>
      <x:c r="C688" s="19" t="n">
        <x:v>1</x:v>
      </x:c>
      <x:c r="D688" s="19" t="str">
        <x:v>C03-M004</x:v>
      </x:c>
      <x:c r="E688" s="19" t="str">
        <x:v>铁蹄战马</x:v>
      </x:c>
      <x:c r="F688" s="19" t="str">
        <x:v>普通</x:v>
      </x:c>
      <x:c r="G688" s="19" t="str">
        <x:v>材料独立候选</x:v>
      </x:c>
      <x:c r="H688" s="19" t="str">
        <x:v>野兽骨片</x:v>
      </x:c>
      <x:c r="I688" s="22" t="n">
        <x:v>100</x:v>
      </x:c>
      <x:c r="J688" s="22" t="n">
        <x:v>2</x:v>
      </x:c>
      <x:c r="K688" s="19" t="n">
        <x:v>1</x:v>
      </x:c>
      <x:c r="L688" s="24" t="n">
        <x:v>13.799999999999999</x:v>
      </x:c>
      <x:c r="M688" s="26" t="n">
        <x:v>0.1</x:v>
      </x:c>
      <x:c r="N688" s="24" t="n">
        <x:v>72</x:v>
      </x:c>
      <x:c r="O688" s="28" t="n">
        <x:f>MIN(1,L688/I688)</x:f>
        <x:v>0.13799999999999998</x:v>
      </x:c>
      <x:c r="P688" s="30" t="n">
        <x:f>O688*J688*(1+M688)</x:f>
        <x:v>0.3036</x:v>
      </x:c>
      <x:c r="Q688" s="30" t="n">
        <x:f>P688*N688</x:f>
        <x:v>21.859199999999998</x:v>
      </x:c>
      <x:c r="R688" s="19" t="str">
        <x:v>独立判定</x:v>
      </x:c>
    </x:row>
    <x:row r="689" ht="19" customHeight="1">
      <x:c r="A689" s="19" t="str">
        <x:v>D00685</x:v>
      </x:c>
      <x:c r="B689" s="19" t="n">
        <x:v>3</x:v>
      </x:c>
      <x:c r="C689" s="19" t="n">
        <x:v>1</x:v>
      </x:c>
      <x:c r="D689" s="19" t="str">
        <x:v>C03-M004</x:v>
      </x:c>
      <x:c r="E689" s="19" t="str">
        <x:v>铁蹄战马</x:v>
      </x:c>
      <x:c r="F689" s="19" t="str">
        <x:v>普通</x:v>
      </x:c>
      <x:c r="G689" s="19" t="str">
        <x:v>材料独立候选</x:v>
      </x:c>
      <x:c r="H689" s="19" t="str">
        <x:v>技能残页</x:v>
      </x:c>
      <x:c r="I689" s="22" t="n">
        <x:v>250</x:v>
      </x:c>
      <x:c r="J689" s="22" t="n">
        <x:v>1</x:v>
      </x:c>
      <x:c r="K689" s="19" t="n">
        <x:v>1</x:v>
      </x:c>
      <x:c r="L689" s="24" t="n">
        <x:v>13.799999999999999</x:v>
      </x:c>
      <x:c r="M689" s="26" t="n">
        <x:v>0.1</x:v>
      </x:c>
      <x:c r="N689" s="24" t="n">
        <x:v>72</x:v>
      </x:c>
      <x:c r="O689" s="28" t="n">
        <x:f>MIN(1,L689/I689)</x:f>
        <x:v>0.0552</x:v>
      </x:c>
      <x:c r="P689" s="30" t="n">
        <x:f>O689*J689*(1+M689)</x:f>
        <x:v>0.06072</x:v>
      </x:c>
      <x:c r="Q689" s="30" t="n">
        <x:f>P689*N689</x:f>
        <x:v>4.371840000000001</x:v>
      </x:c>
      <x:c r="R689" s="19" t="str">
        <x:v>独立判定</x:v>
      </x:c>
    </x:row>
    <x:row r="690" ht="19" customHeight="1">
      <x:c r="A690" s="19" t="str">
        <x:v>D00686</x:v>
      </x:c>
      <x:c r="B690" s="19" t="n">
        <x:v>3</x:v>
      </x:c>
      <x:c r="C690" s="19" t="n">
        <x:v>1</x:v>
      </x:c>
      <x:c r="D690" s="19" t="str">
        <x:v>C03-M004</x:v>
      </x:c>
      <x:c r="E690" s="19" t="str">
        <x:v>铁蹄战马</x:v>
      </x:c>
      <x:c r="F690" s="19" t="str">
        <x:v>普通</x:v>
      </x:c>
      <x:c r="G690" s="19" t="str">
        <x:v>材料独立候选</x:v>
      </x:c>
      <x:c r="H690" s="19" t="str">
        <x:v>小卢恩</x:v>
      </x:c>
      <x:c r="I690" s="22" t="n">
        <x:v>4000</x:v>
      </x:c>
      <x:c r="J690" s="22" t="n">
        <x:v>1</x:v>
      </x:c>
      <x:c r="K690" s="19" t="n">
        <x:v>1</x:v>
      </x:c>
      <x:c r="L690" s="24" t="n">
        <x:v>13.799999999999999</x:v>
      </x:c>
      <x:c r="M690" s="26" t="n">
        <x:v>0.1</x:v>
      </x:c>
      <x:c r="N690" s="24" t="n">
        <x:v>72</x:v>
      </x:c>
      <x:c r="O690" s="28" t="n">
        <x:f>MIN(1,L690/I690)</x:f>
        <x:v>0.00345</x:v>
      </x:c>
      <x:c r="P690" s="30" t="n">
        <x:f>O690*J690*(1+M690)</x:f>
        <x:v>0.003795</x:v>
      </x:c>
      <x:c r="Q690" s="30" t="n">
        <x:f>P690*N690</x:f>
        <x:v>0.27324000000000004</x:v>
      </x:c>
      <x:c r="R690" s="19" t="str">
        <x:v>独立判定</x:v>
      </x:c>
    </x:row>
    <x:row r="691" ht="19" customHeight="1">
      <x:c r="A691" s="19" t="str">
        <x:v>D00687</x:v>
      </x:c>
      <x:c r="B691" s="19" t="n">
        <x:v>3</x:v>
      </x:c>
      <x:c r="C691" s="19" t="n">
        <x:v>1</x:v>
      </x:c>
      <x:c r="D691" s="19" t="str">
        <x:v>C03-M004</x:v>
      </x:c>
      <x:c r="E691" s="19" t="str">
        <x:v>铁蹄战马</x:v>
      </x:c>
      <x:c r="F691" s="19" t="str">
        <x:v>普通</x:v>
      </x:c>
      <x:c r="G691" s="19" t="str">
        <x:v>六神器公共池</x:v>
      </x:c>
      <x:c r="H691" s="19" t="str">
        <x:v>POOL006</x:v>
      </x:c>
      <x:c r="I691" s="22" t="n">
        <x:v>20000000</x:v>
      </x:c>
      <x:c r="J691" s="22" t="n">
        <x:v>1</x:v>
      </x:c>
      <x:c r="K691" s="19" t="n">
        <x:v>6</x:v>
      </x:c>
      <x:c r="L691" s="24" t="n">
        <x:v>13.799999999999999</x:v>
      </x:c>
      <x:c r="M691" s="26" t="n">
        <x:v>0.1</x:v>
      </x:c>
      <x:c r="N691" s="24" t="n">
        <x:v>72</x:v>
      </x:c>
      <x:c r="O691" s="28" t="n">
        <x:f>MIN(1,L691/I691)</x:f>
        <x:v>6.9e-7</x:v>
      </x:c>
      <x:c r="P691" s="30" t="n">
        <x:f>O691*J691*(1+M691)</x:f>
        <x:v>7.590000000000001e-7</x:v>
      </x:c>
      <x:c r="Q691" s="30" t="n">
        <x:f>P691*N691</x:f>
        <x:v>0.000054648</x:v>
      </x:c>
      <x:c r="R691" s="19" t="str">
        <x:v>六选一；非6个独立爆率</x:v>
      </x:c>
    </x:row>
    <x:row r="692" ht="19" customHeight="1">
      <x:c r="A692" s="19" t="str">
        <x:v>D00688</x:v>
      </x:c>
      <x:c r="B692" s="19" t="n">
        <x:v>3</x:v>
      </x:c>
      <x:c r="C692" s="19" t="n">
        <x:v>1</x:v>
      </x:c>
      <x:c r="D692" s="19" t="str">
        <x:v>C03-M005</x:v>
      </x:c>
      <x:c r="E692" s="19" t="str">
        <x:v>枯草狼</x:v>
      </x:c>
      <x:c r="F692" s="19" t="str">
        <x:v>普通</x:v>
      </x:c>
      <x:c r="G692" s="19" t="str">
        <x:v>自身专属</x:v>
      </x:c>
      <x:c r="H692" s="19" t="str">
        <x:v>枯草牙戒</x:v>
      </x:c>
      <x:c r="I692" s="22" t="n">
        <x:v>800</x:v>
      </x:c>
      <x:c r="J692" s="22" t="n">
        <x:v>1</x:v>
      </x:c>
      <x:c r="K692" s="19" t="n">
        <x:v>1</x:v>
      </x:c>
      <x:c r="L692" s="24" t="n">
        <x:v>13.799999999999999</x:v>
      </x:c>
      <x:c r="M692" s="26" t="n">
        <x:v>0.1</x:v>
      </x:c>
      <x:c r="N692" s="24" t="n">
        <x:v>72</x:v>
      </x:c>
      <x:c r="O692" s="28" t="n">
        <x:f>MIN(1,L692/I692)</x:f>
        <x:v>0.017249999999999998</x:v>
      </x:c>
      <x:c r="P692" s="30" t="n">
        <x:f>O692*J692*(1+M692)</x:f>
        <x:v>0.018975</x:v>
      </x:c>
      <x:c r="Q692" s="30" t="n">
        <x:f>P692*N692</x:f>
        <x:v>1.3661999999999999</x:v>
      </x:c>
      <x:c r="R692" s="19" t="str">
        <x:v>独立判定</x:v>
      </x:c>
    </x:row>
    <x:row r="693" ht="19" customHeight="1">
      <x:c r="A693" s="19" t="str">
        <x:v>D00689</x:v>
      </x:c>
      <x:c r="B693" s="19" t="n">
        <x:v>3</x:v>
      </x:c>
      <x:c r="C693" s="19" t="n">
        <x:v>1</x:v>
      </x:c>
      <x:c r="D693" s="19" t="str">
        <x:v>C03-M005</x:v>
      </x:c>
      <x:c r="E693" s="19" t="str">
        <x:v>枯草狼</x:v>
      </x:c>
      <x:c r="F693" s="19" t="str">
        <x:v>普通</x:v>
      </x:c>
      <x:c r="G693" s="19" t="str">
        <x:v>材料独立候选</x:v>
      </x:c>
      <x:c r="H693" s="19" t="str">
        <x:v>风蚀铁片</x:v>
      </x:c>
      <x:c r="I693" s="22" t="n">
        <x:v>600</x:v>
      </x:c>
      <x:c r="J693" s="22" t="n">
        <x:v>8</x:v>
      </x:c>
      <x:c r="K693" s="19" t="n">
        <x:v>1</x:v>
      </x:c>
      <x:c r="L693" s="24" t="n">
        <x:v>13.799999999999999</x:v>
      </x:c>
      <x:c r="M693" s="26" t="n">
        <x:v>0.1</x:v>
      </x:c>
      <x:c r="N693" s="24" t="n">
        <x:v>72</x:v>
      </x:c>
      <x:c r="O693" s="28" t="n">
        <x:f>MIN(1,L693/I693)</x:f>
        <x:v>0.023</x:v>
      </x:c>
      <x:c r="P693" s="30" t="n">
        <x:f>O693*J693*(1+M693)</x:f>
        <x:v>0.20240000000000002</x:v>
      </x:c>
      <x:c r="Q693" s="30" t="n">
        <x:f>P693*N693</x:f>
        <x:v>14.5728</x:v>
      </x:c>
      <x:c r="R693" s="19" t="str">
        <x:v>独立判定</x:v>
      </x:c>
    </x:row>
    <x:row r="694" ht="19" customHeight="1">
      <x:c r="A694" s="19" t="str">
        <x:v>D00690</x:v>
      </x:c>
      <x:c r="B694" s="19" t="n">
        <x:v>3</x:v>
      </x:c>
      <x:c r="C694" s="19" t="n">
        <x:v>1</x:v>
      </x:c>
      <x:c r="D694" s="19" t="str">
        <x:v>C03-M005</x:v>
      </x:c>
      <x:c r="E694" s="19" t="str">
        <x:v>枯草狼</x:v>
      </x:c>
      <x:c r="F694" s="19" t="str">
        <x:v>普通</x:v>
      </x:c>
      <x:c r="G694" s="19" t="str">
        <x:v>材料独立候选</x:v>
      </x:c>
      <x:c r="H694" s="19" t="str">
        <x:v>裂风崖羽</x:v>
      </x:c>
      <x:c r="I694" s="22" t="n">
        <x:v>1500</x:v>
      </x:c>
      <x:c r="J694" s="22" t="n">
        <x:v>1</x:v>
      </x:c>
      <x:c r="K694" s="19" t="n">
        <x:v>1</x:v>
      </x:c>
      <x:c r="L694" s="24" t="n">
        <x:v>13.799999999999999</x:v>
      </x:c>
      <x:c r="M694" s="26" t="n">
        <x:v>0.1</x:v>
      </x:c>
      <x:c r="N694" s="24" t="n">
        <x:v>72</x:v>
      </x:c>
      <x:c r="O694" s="28" t="n">
        <x:f>MIN(1,L694/I694)</x:f>
        <x:v>0.0092</x:v>
      </x:c>
      <x:c r="P694" s="30" t="n">
        <x:f>O694*J694*(1+M694)</x:f>
        <x:v>0.01012</x:v>
      </x:c>
      <x:c r="Q694" s="30" t="n">
        <x:f>P694*N694</x:f>
        <x:v>0.7286400000000001</x:v>
      </x:c>
      <x:c r="R694" s="19" t="str">
        <x:v>独立判定</x:v>
      </x:c>
    </x:row>
    <x:row r="695" ht="19" customHeight="1">
      <x:c r="A695" s="19" t="str">
        <x:v>D00691</x:v>
      </x:c>
      <x:c r="B695" s="19" t="n">
        <x:v>3</x:v>
      </x:c>
      <x:c r="C695" s="19" t="n">
        <x:v>1</x:v>
      </x:c>
      <x:c r="D695" s="19" t="str">
        <x:v>C03-M005</x:v>
      </x:c>
      <x:c r="E695" s="19" t="str">
        <x:v>枯草狼</x:v>
      </x:c>
      <x:c r="F695" s="19" t="str">
        <x:v>普通</x:v>
      </x:c>
      <x:c r="G695" s="19" t="str">
        <x:v>材料独立候选</x:v>
      </x:c>
      <x:c r="H695" s="19" t="str">
        <x:v>西境风痕碑拓</x:v>
      </x:c>
      <x:c r="I695" s="22" t="n">
        <x:v>600000</x:v>
      </x:c>
      <x:c r="J695" s="22" t="n">
        <x:v>1</x:v>
      </x:c>
      <x:c r="K695" s="19" t="n">
        <x:v>1</x:v>
      </x:c>
      <x:c r="L695" s="24" t="n">
        <x:v>13.799999999999999</x:v>
      </x:c>
      <x:c r="M695" s="26" t="n">
        <x:v>0.1</x:v>
      </x:c>
      <x:c r="N695" s="24" t="n">
        <x:v>72</x:v>
      </x:c>
      <x:c r="O695" s="28" t="n">
        <x:f>MIN(1,L695/I695)</x:f>
        <x:v>0.000022999999999999997</x:v>
      </x:c>
      <x:c r="P695" s="30" t="n">
        <x:f>O695*J695*(1+M695)</x:f>
        <x:v>0.0000253</x:v>
      </x:c>
      <x:c r="Q695" s="30" t="n">
        <x:f>P695*N695</x:f>
        <x:v>0.0018215999999999998</x:v>
      </x:c>
      <x:c r="R695" s="19" t="str">
        <x:v>独立判定</x:v>
      </x:c>
    </x:row>
    <x:row r="696" ht="19" customHeight="1">
      <x:c r="A696" s="19" t="str">
        <x:v>D00692</x:v>
      </x:c>
      <x:c r="B696" s="19" t="n">
        <x:v>3</x:v>
      </x:c>
      <x:c r="C696" s="19" t="n">
        <x:v>1</x:v>
      </x:c>
      <x:c r="D696" s="19" t="str">
        <x:v>C03-M005</x:v>
      </x:c>
      <x:c r="E696" s="19" t="str">
        <x:v>枯草狼</x:v>
      </x:c>
      <x:c r="F696" s="19" t="str">
        <x:v>普通</x:v>
      </x:c>
      <x:c r="G696" s="19" t="str">
        <x:v>材料独立候选</x:v>
      </x:c>
      <x:c r="H696" s="19" t="str">
        <x:v>野兽骨片</x:v>
      </x:c>
      <x:c r="I696" s="22" t="n">
        <x:v>100</x:v>
      </x:c>
      <x:c r="J696" s="22" t="n">
        <x:v>2</x:v>
      </x:c>
      <x:c r="K696" s="19" t="n">
        <x:v>1</x:v>
      </x:c>
      <x:c r="L696" s="24" t="n">
        <x:v>13.799999999999999</x:v>
      </x:c>
      <x:c r="M696" s="26" t="n">
        <x:v>0.1</x:v>
      </x:c>
      <x:c r="N696" s="24" t="n">
        <x:v>72</x:v>
      </x:c>
      <x:c r="O696" s="28" t="n">
        <x:f>MIN(1,L696/I696)</x:f>
        <x:v>0.13799999999999998</x:v>
      </x:c>
      <x:c r="P696" s="30" t="n">
        <x:f>O696*J696*(1+M696)</x:f>
        <x:v>0.3036</x:v>
      </x:c>
      <x:c r="Q696" s="30" t="n">
        <x:f>P696*N696</x:f>
        <x:v>21.859199999999998</x:v>
      </x:c>
      <x:c r="R696" s="19" t="str">
        <x:v>独立判定</x:v>
      </x:c>
    </x:row>
    <x:row r="697" ht="19" customHeight="1">
      <x:c r="A697" s="19" t="str">
        <x:v>D00693</x:v>
      </x:c>
      <x:c r="B697" s="19" t="n">
        <x:v>3</x:v>
      </x:c>
      <x:c r="C697" s="19" t="n">
        <x:v>1</x:v>
      </x:c>
      <x:c r="D697" s="19" t="str">
        <x:v>C03-M005</x:v>
      </x:c>
      <x:c r="E697" s="19" t="str">
        <x:v>枯草狼</x:v>
      </x:c>
      <x:c r="F697" s="19" t="str">
        <x:v>普通</x:v>
      </x:c>
      <x:c r="G697" s="19" t="str">
        <x:v>材料独立候选</x:v>
      </x:c>
      <x:c r="H697" s="19" t="str">
        <x:v>技能残页</x:v>
      </x:c>
      <x:c r="I697" s="22" t="n">
        <x:v>250</x:v>
      </x:c>
      <x:c r="J697" s="22" t="n">
        <x:v>1</x:v>
      </x:c>
      <x:c r="K697" s="19" t="n">
        <x:v>1</x:v>
      </x:c>
      <x:c r="L697" s="24" t="n">
        <x:v>13.799999999999999</x:v>
      </x:c>
      <x:c r="M697" s="26" t="n">
        <x:v>0.1</x:v>
      </x:c>
      <x:c r="N697" s="24" t="n">
        <x:v>72</x:v>
      </x:c>
      <x:c r="O697" s="28" t="n">
        <x:f>MIN(1,L697/I697)</x:f>
        <x:v>0.0552</x:v>
      </x:c>
      <x:c r="P697" s="30" t="n">
        <x:f>O697*J697*(1+M697)</x:f>
        <x:v>0.06072</x:v>
      </x:c>
      <x:c r="Q697" s="30" t="n">
        <x:f>P697*N697</x:f>
        <x:v>4.371840000000001</x:v>
      </x:c>
      <x:c r="R697" s="19" t="str">
        <x:v>独立判定</x:v>
      </x:c>
    </x:row>
    <x:row r="698" ht="19" customHeight="1">
      <x:c r="A698" s="19" t="str">
        <x:v>D00694</x:v>
      </x:c>
      <x:c r="B698" s="19" t="n">
        <x:v>3</x:v>
      </x:c>
      <x:c r="C698" s="19" t="n">
        <x:v>1</x:v>
      </x:c>
      <x:c r="D698" s="19" t="str">
        <x:v>C03-M005</x:v>
      </x:c>
      <x:c r="E698" s="19" t="str">
        <x:v>枯草狼</x:v>
      </x:c>
      <x:c r="F698" s="19" t="str">
        <x:v>普通</x:v>
      </x:c>
      <x:c r="G698" s="19" t="str">
        <x:v>材料独立候选</x:v>
      </x:c>
      <x:c r="H698" s="19" t="str">
        <x:v>小卢恩</x:v>
      </x:c>
      <x:c r="I698" s="22" t="n">
        <x:v>4000</x:v>
      </x:c>
      <x:c r="J698" s="22" t="n">
        <x:v>1</x:v>
      </x:c>
      <x:c r="K698" s="19" t="n">
        <x:v>1</x:v>
      </x:c>
      <x:c r="L698" s="24" t="n">
        <x:v>13.799999999999999</x:v>
      </x:c>
      <x:c r="M698" s="26" t="n">
        <x:v>0.1</x:v>
      </x:c>
      <x:c r="N698" s="24" t="n">
        <x:v>72</x:v>
      </x:c>
      <x:c r="O698" s="28" t="n">
        <x:f>MIN(1,L698/I698)</x:f>
        <x:v>0.00345</x:v>
      </x:c>
      <x:c r="P698" s="30" t="n">
        <x:f>O698*J698*(1+M698)</x:f>
        <x:v>0.003795</x:v>
      </x:c>
      <x:c r="Q698" s="30" t="n">
        <x:f>P698*N698</x:f>
        <x:v>0.27324000000000004</x:v>
      </x:c>
      <x:c r="R698" s="19" t="str">
        <x:v>独立判定</x:v>
      </x:c>
    </x:row>
    <x:row r="699" ht="19" customHeight="1">
      <x:c r="A699" s="19" t="str">
        <x:v>D00695</x:v>
      </x:c>
      <x:c r="B699" s="19" t="n">
        <x:v>3</x:v>
      </x:c>
      <x:c r="C699" s="19" t="n">
        <x:v>1</x:v>
      </x:c>
      <x:c r="D699" s="19" t="str">
        <x:v>C03-M005</x:v>
      </x:c>
      <x:c r="E699" s="19" t="str">
        <x:v>枯草狼</x:v>
      </x:c>
      <x:c r="F699" s="19" t="str">
        <x:v>普通</x:v>
      </x:c>
      <x:c r="G699" s="19" t="str">
        <x:v>六神器公共池</x:v>
      </x:c>
      <x:c r="H699" s="19" t="str">
        <x:v>POOL006</x:v>
      </x:c>
      <x:c r="I699" s="22" t="n">
        <x:v>20000000</x:v>
      </x:c>
      <x:c r="J699" s="22" t="n">
        <x:v>1</x:v>
      </x:c>
      <x:c r="K699" s="19" t="n">
        <x:v>6</x:v>
      </x:c>
      <x:c r="L699" s="24" t="n">
        <x:v>13.799999999999999</x:v>
      </x:c>
      <x:c r="M699" s="26" t="n">
        <x:v>0.1</x:v>
      </x:c>
      <x:c r="N699" s="24" t="n">
        <x:v>72</x:v>
      </x:c>
      <x:c r="O699" s="28" t="n">
        <x:f>MIN(1,L699/I699)</x:f>
        <x:v>6.9e-7</x:v>
      </x:c>
      <x:c r="P699" s="30" t="n">
        <x:f>O699*J699*(1+M699)</x:f>
        <x:v>7.590000000000001e-7</x:v>
      </x:c>
      <x:c r="Q699" s="30" t="n">
        <x:f>P699*N699</x:f>
        <x:v>0.000054648</x:v>
      </x:c>
      <x:c r="R699" s="19" t="str">
        <x:v>六选一；非6个独立爆率</x:v>
      </x:c>
    </x:row>
    <x:row r="700" ht="19" customHeight="1">
      <x:c r="A700" s="19" t="str">
        <x:v>D00696</x:v>
      </x:c>
      <x:c r="B700" s="19" t="n">
        <x:v>3</x:v>
      </x:c>
      <x:c r="C700" s="19" t="n">
        <x:v>1</x:v>
      </x:c>
      <x:c r="D700" s="19" t="str">
        <x:v>C03-M006</x:v>
      </x:c>
      <x:c r="E700" s="19" t="str">
        <x:v>锈甲逃兵</x:v>
      </x:c>
      <x:c r="F700" s="19" t="str">
        <x:v>普通</x:v>
      </x:c>
      <x:c r="G700" s="19" t="str">
        <x:v>自身专属</x:v>
      </x:c>
      <x:c r="H700" s="19" t="str">
        <x:v>锈甲腰封</x:v>
      </x:c>
      <x:c r="I700" s="22" t="n">
        <x:v>800</x:v>
      </x:c>
      <x:c r="J700" s="22" t="n">
        <x:v>1</x:v>
      </x:c>
      <x:c r="K700" s="19" t="n">
        <x:v>1</x:v>
      </x:c>
      <x:c r="L700" s="24" t="n">
        <x:v>13.799999999999999</x:v>
      </x:c>
      <x:c r="M700" s="26" t="n">
        <x:v>0.1</x:v>
      </x:c>
      <x:c r="N700" s="24" t="n">
        <x:v>72</x:v>
      </x:c>
      <x:c r="O700" s="28" t="n">
        <x:f>MIN(1,L700/I700)</x:f>
        <x:v>0.017249999999999998</x:v>
      </x:c>
      <x:c r="P700" s="30" t="n">
        <x:f>O700*J700*(1+M700)</x:f>
        <x:v>0.018975</x:v>
      </x:c>
      <x:c r="Q700" s="30" t="n">
        <x:f>P700*N700</x:f>
        <x:v>1.3661999999999999</x:v>
      </x:c>
      <x:c r="R700" s="19" t="str">
        <x:v>独立判定</x:v>
      </x:c>
    </x:row>
    <x:row r="701" ht="19" customHeight="1">
      <x:c r="A701" s="19" t="str">
        <x:v>D00697</x:v>
      </x:c>
      <x:c r="B701" s="19" t="n">
        <x:v>3</x:v>
      </x:c>
      <x:c r="C701" s="19" t="n">
        <x:v>1</x:v>
      </x:c>
      <x:c r="D701" s="19" t="str">
        <x:v>C03-M006</x:v>
      </x:c>
      <x:c r="E701" s="19" t="str">
        <x:v>锈甲逃兵</x:v>
      </x:c>
      <x:c r="F701" s="19" t="str">
        <x:v>普通</x:v>
      </x:c>
      <x:c r="G701" s="19" t="str">
        <x:v>材料独立候选</x:v>
      </x:c>
      <x:c r="H701" s="19" t="str">
        <x:v>风蚀铁片</x:v>
      </x:c>
      <x:c r="I701" s="22" t="n">
        <x:v>600</x:v>
      </x:c>
      <x:c r="J701" s="22" t="n">
        <x:v>8</x:v>
      </x:c>
      <x:c r="K701" s="19" t="n">
        <x:v>1</x:v>
      </x:c>
      <x:c r="L701" s="24" t="n">
        <x:v>13.799999999999999</x:v>
      </x:c>
      <x:c r="M701" s="26" t="n">
        <x:v>0.1</x:v>
      </x:c>
      <x:c r="N701" s="24" t="n">
        <x:v>72</x:v>
      </x:c>
      <x:c r="O701" s="28" t="n">
        <x:f>MIN(1,L701/I701)</x:f>
        <x:v>0.023</x:v>
      </x:c>
      <x:c r="P701" s="30" t="n">
        <x:f>O701*J701*(1+M701)</x:f>
        <x:v>0.20240000000000002</x:v>
      </x:c>
      <x:c r="Q701" s="30" t="n">
        <x:f>P701*N701</x:f>
        <x:v>14.5728</x:v>
      </x:c>
      <x:c r="R701" s="19" t="str">
        <x:v>独立判定</x:v>
      </x:c>
    </x:row>
    <x:row r="702" ht="19" customHeight="1">
      <x:c r="A702" s="19" t="str">
        <x:v>D00698</x:v>
      </x:c>
      <x:c r="B702" s="19" t="n">
        <x:v>3</x:v>
      </x:c>
      <x:c r="C702" s="19" t="n">
        <x:v>1</x:v>
      </x:c>
      <x:c r="D702" s="19" t="str">
        <x:v>C03-M006</x:v>
      </x:c>
      <x:c r="E702" s="19" t="str">
        <x:v>锈甲逃兵</x:v>
      </x:c>
      <x:c r="F702" s="19" t="str">
        <x:v>普通</x:v>
      </x:c>
      <x:c r="G702" s="19" t="str">
        <x:v>材料独立候选</x:v>
      </x:c>
      <x:c r="H702" s="19" t="str">
        <x:v>裂风崖羽</x:v>
      </x:c>
      <x:c r="I702" s="22" t="n">
        <x:v>1500</x:v>
      </x:c>
      <x:c r="J702" s="22" t="n">
        <x:v>1</x:v>
      </x:c>
      <x:c r="K702" s="19" t="n">
        <x:v>1</x:v>
      </x:c>
      <x:c r="L702" s="24" t="n">
        <x:v>13.799999999999999</x:v>
      </x:c>
      <x:c r="M702" s="26" t="n">
        <x:v>0.1</x:v>
      </x:c>
      <x:c r="N702" s="24" t="n">
        <x:v>72</x:v>
      </x:c>
      <x:c r="O702" s="28" t="n">
        <x:f>MIN(1,L702/I702)</x:f>
        <x:v>0.0092</x:v>
      </x:c>
      <x:c r="P702" s="30" t="n">
        <x:f>O702*J702*(1+M702)</x:f>
        <x:v>0.01012</x:v>
      </x:c>
      <x:c r="Q702" s="30" t="n">
        <x:f>P702*N702</x:f>
        <x:v>0.7286400000000001</x:v>
      </x:c>
      <x:c r="R702" s="19" t="str">
        <x:v>独立判定</x:v>
      </x:c>
    </x:row>
    <x:row r="703" ht="19" customHeight="1">
      <x:c r="A703" s="19" t="str">
        <x:v>D00699</x:v>
      </x:c>
      <x:c r="B703" s="19" t="n">
        <x:v>3</x:v>
      </x:c>
      <x:c r="C703" s="19" t="n">
        <x:v>1</x:v>
      </x:c>
      <x:c r="D703" s="19" t="str">
        <x:v>C03-M006</x:v>
      </x:c>
      <x:c r="E703" s="19" t="str">
        <x:v>锈甲逃兵</x:v>
      </x:c>
      <x:c r="F703" s="19" t="str">
        <x:v>普通</x:v>
      </x:c>
      <x:c r="G703" s="19" t="str">
        <x:v>材料独立候选</x:v>
      </x:c>
      <x:c r="H703" s="19" t="str">
        <x:v>西境风痕碑拓</x:v>
      </x:c>
      <x:c r="I703" s="22" t="n">
        <x:v>600000</x:v>
      </x:c>
      <x:c r="J703" s="22" t="n">
        <x:v>1</x:v>
      </x:c>
      <x:c r="K703" s="19" t="n">
        <x:v>1</x:v>
      </x:c>
      <x:c r="L703" s="24" t="n">
        <x:v>13.799999999999999</x:v>
      </x:c>
      <x:c r="M703" s="26" t="n">
        <x:v>0.1</x:v>
      </x:c>
      <x:c r="N703" s="24" t="n">
        <x:v>72</x:v>
      </x:c>
      <x:c r="O703" s="28" t="n">
        <x:f>MIN(1,L703/I703)</x:f>
        <x:v>0.000022999999999999997</x:v>
      </x:c>
      <x:c r="P703" s="30" t="n">
        <x:f>O703*J703*(1+M703)</x:f>
        <x:v>0.0000253</x:v>
      </x:c>
      <x:c r="Q703" s="30" t="n">
        <x:f>P703*N703</x:f>
        <x:v>0.0018215999999999998</x:v>
      </x:c>
      <x:c r="R703" s="19" t="str">
        <x:v>独立判定</x:v>
      </x:c>
    </x:row>
    <x:row r="704" ht="19" customHeight="1">
      <x:c r="A704" s="19" t="str">
        <x:v>D00700</x:v>
      </x:c>
      <x:c r="B704" s="19" t="n">
        <x:v>3</x:v>
      </x:c>
      <x:c r="C704" s="19" t="n">
        <x:v>1</x:v>
      </x:c>
      <x:c r="D704" s="19" t="str">
        <x:v>C03-M006</x:v>
      </x:c>
      <x:c r="E704" s="19" t="str">
        <x:v>锈甲逃兵</x:v>
      </x:c>
      <x:c r="F704" s="19" t="str">
        <x:v>普通</x:v>
      </x:c>
      <x:c r="G704" s="19" t="str">
        <x:v>材料独立候选</x:v>
      </x:c>
      <x:c r="H704" s="19" t="str">
        <x:v>野兽骨片</x:v>
      </x:c>
      <x:c r="I704" s="22" t="n">
        <x:v>100</x:v>
      </x:c>
      <x:c r="J704" s="22" t="n">
        <x:v>2</x:v>
      </x:c>
      <x:c r="K704" s="19" t="n">
        <x:v>1</x:v>
      </x:c>
      <x:c r="L704" s="24" t="n">
        <x:v>13.799999999999999</x:v>
      </x:c>
      <x:c r="M704" s="26" t="n">
        <x:v>0.1</x:v>
      </x:c>
      <x:c r="N704" s="24" t="n">
        <x:v>72</x:v>
      </x:c>
      <x:c r="O704" s="28" t="n">
        <x:f>MIN(1,L704/I704)</x:f>
        <x:v>0.13799999999999998</x:v>
      </x:c>
      <x:c r="P704" s="30" t="n">
        <x:f>O704*J704*(1+M704)</x:f>
        <x:v>0.3036</x:v>
      </x:c>
      <x:c r="Q704" s="30" t="n">
        <x:f>P704*N704</x:f>
        <x:v>21.859199999999998</x:v>
      </x:c>
      <x:c r="R704" s="19" t="str">
        <x:v>独立判定</x:v>
      </x:c>
    </x:row>
    <x:row r="705" ht="19" customHeight="1">
      <x:c r="A705" s="19" t="str">
        <x:v>D00701</x:v>
      </x:c>
      <x:c r="B705" s="19" t="n">
        <x:v>3</x:v>
      </x:c>
      <x:c r="C705" s="19" t="n">
        <x:v>1</x:v>
      </x:c>
      <x:c r="D705" s="19" t="str">
        <x:v>C03-M006</x:v>
      </x:c>
      <x:c r="E705" s="19" t="str">
        <x:v>锈甲逃兵</x:v>
      </x:c>
      <x:c r="F705" s="19" t="str">
        <x:v>普通</x:v>
      </x:c>
      <x:c r="G705" s="19" t="str">
        <x:v>材料独立候选</x:v>
      </x:c>
      <x:c r="H705" s="19" t="str">
        <x:v>技能残页</x:v>
      </x:c>
      <x:c r="I705" s="22" t="n">
        <x:v>250</x:v>
      </x:c>
      <x:c r="J705" s="22" t="n">
        <x:v>1</x:v>
      </x:c>
      <x:c r="K705" s="19" t="n">
        <x:v>1</x:v>
      </x:c>
      <x:c r="L705" s="24" t="n">
        <x:v>13.799999999999999</x:v>
      </x:c>
      <x:c r="M705" s="26" t="n">
        <x:v>0.1</x:v>
      </x:c>
      <x:c r="N705" s="24" t="n">
        <x:v>72</x:v>
      </x:c>
      <x:c r="O705" s="28" t="n">
        <x:f>MIN(1,L705/I705)</x:f>
        <x:v>0.0552</x:v>
      </x:c>
      <x:c r="P705" s="30" t="n">
        <x:f>O705*J705*(1+M705)</x:f>
        <x:v>0.06072</x:v>
      </x:c>
      <x:c r="Q705" s="30" t="n">
        <x:f>P705*N705</x:f>
        <x:v>4.371840000000001</x:v>
      </x:c>
      <x:c r="R705" s="19" t="str">
        <x:v>独立判定</x:v>
      </x:c>
    </x:row>
    <x:row r="706" ht="19" customHeight="1">
      <x:c r="A706" s="19" t="str">
        <x:v>D00702</x:v>
      </x:c>
      <x:c r="B706" s="19" t="n">
        <x:v>3</x:v>
      </x:c>
      <x:c r="C706" s="19" t="n">
        <x:v>1</x:v>
      </x:c>
      <x:c r="D706" s="19" t="str">
        <x:v>C03-M006</x:v>
      </x:c>
      <x:c r="E706" s="19" t="str">
        <x:v>锈甲逃兵</x:v>
      </x:c>
      <x:c r="F706" s="19" t="str">
        <x:v>普通</x:v>
      </x:c>
      <x:c r="G706" s="19" t="str">
        <x:v>材料独立候选</x:v>
      </x:c>
      <x:c r="H706" s="19" t="str">
        <x:v>小卢恩</x:v>
      </x:c>
      <x:c r="I706" s="22" t="n">
        <x:v>4000</x:v>
      </x:c>
      <x:c r="J706" s="22" t="n">
        <x:v>1</x:v>
      </x:c>
      <x:c r="K706" s="19" t="n">
        <x:v>1</x:v>
      </x:c>
      <x:c r="L706" s="24" t="n">
        <x:v>13.799999999999999</x:v>
      </x:c>
      <x:c r="M706" s="26" t="n">
        <x:v>0.1</x:v>
      </x:c>
      <x:c r="N706" s="24" t="n">
        <x:v>72</x:v>
      </x:c>
      <x:c r="O706" s="28" t="n">
        <x:f>MIN(1,L706/I706)</x:f>
        <x:v>0.00345</x:v>
      </x:c>
      <x:c r="P706" s="30" t="n">
        <x:f>O706*J706*(1+M706)</x:f>
        <x:v>0.003795</x:v>
      </x:c>
      <x:c r="Q706" s="30" t="n">
        <x:f>P706*N706</x:f>
        <x:v>0.27324000000000004</x:v>
      </x:c>
      <x:c r="R706" s="19" t="str">
        <x:v>独立判定</x:v>
      </x:c>
    </x:row>
    <x:row r="707" ht="19" customHeight="1">
      <x:c r="A707" s="19" t="str">
        <x:v>D00703</x:v>
      </x:c>
      <x:c r="B707" s="19" t="n">
        <x:v>3</x:v>
      </x:c>
      <x:c r="C707" s="19" t="n">
        <x:v>1</x:v>
      </x:c>
      <x:c r="D707" s="19" t="str">
        <x:v>C03-M006</x:v>
      </x:c>
      <x:c r="E707" s="19" t="str">
        <x:v>锈甲逃兵</x:v>
      </x:c>
      <x:c r="F707" s="19" t="str">
        <x:v>普通</x:v>
      </x:c>
      <x:c r="G707" s="19" t="str">
        <x:v>六神器公共池</x:v>
      </x:c>
      <x:c r="H707" s="19" t="str">
        <x:v>POOL006</x:v>
      </x:c>
      <x:c r="I707" s="22" t="n">
        <x:v>20000000</x:v>
      </x:c>
      <x:c r="J707" s="22" t="n">
        <x:v>1</x:v>
      </x:c>
      <x:c r="K707" s="19" t="n">
        <x:v>6</x:v>
      </x:c>
      <x:c r="L707" s="24" t="n">
        <x:v>13.799999999999999</x:v>
      </x:c>
      <x:c r="M707" s="26" t="n">
        <x:v>0.1</x:v>
      </x:c>
      <x:c r="N707" s="24" t="n">
        <x:v>72</x:v>
      </x:c>
      <x:c r="O707" s="28" t="n">
        <x:f>MIN(1,L707/I707)</x:f>
        <x:v>6.9e-7</x:v>
      </x:c>
      <x:c r="P707" s="30" t="n">
        <x:f>O707*J707*(1+M707)</x:f>
        <x:v>7.590000000000001e-7</x:v>
      </x:c>
      <x:c r="Q707" s="30" t="n">
        <x:f>P707*N707</x:f>
        <x:v>0.000054648</x:v>
      </x:c>
      <x:c r="R707" s="19" t="str">
        <x:v>六选一；非6个独立爆率</x:v>
      </x:c>
    </x:row>
    <x:row r="708" ht="19" customHeight="1">
      <x:c r="A708" s="19" t="str">
        <x:v>D00704</x:v>
      </x:c>
      <x:c r="B708" s="19" t="n">
        <x:v>3</x:v>
      </x:c>
      <x:c r="C708" s="19" t="n">
        <x:v>1</x:v>
      </x:c>
      <x:c r="D708" s="19" t="str">
        <x:v>C03-M007</x:v>
      </x:c>
      <x:c r="E708" s="19" t="str">
        <x:v>西境旗卫</x:v>
      </x:c>
      <x:c r="F708" s="19" t="str">
        <x:v>稀有</x:v>
      </x:c>
      <x:c r="G708" s="19" t="str">
        <x:v>自身专属</x:v>
      </x:c>
      <x:c r="H708" s="19" t="str">
        <x:v>西境军盔</x:v>
      </x:c>
      <x:c r="I708" s="22" t="n">
        <x:v>200</x:v>
      </x:c>
      <x:c r="J708" s="22" t="n">
        <x:v>1</x:v>
      </x:c>
      <x:c r="K708" s="19" t="n">
        <x:v>1</x:v>
      </x:c>
      <x:c r="L708" s="24" t="n">
        <x:v>13.799999999999999</x:v>
      </x:c>
      <x:c r="M708" s="26" t="n">
        <x:v>0.1</x:v>
      </x:c>
      <x:c r="N708" s="24" t="n">
        <x:v>10.024787861366587</x:v>
      </x:c>
      <x:c r="O708" s="28" t="n">
        <x:f>MIN(1,L708/I708)</x:f>
        <x:v>0.06899999999999999</x:v>
      </x:c>
      <x:c r="P708" s="30" t="n">
        <x:f>O708*J708*(1+M708)</x:f>
        <x:v>0.0759</x:v>
      </x:c>
      <x:c r="Q708" s="30" t="n">
        <x:f>P708*N708</x:f>
        <x:v>0.7608813986777239</x:v>
      </x:c>
      <x:c r="R708" s="19" t="str">
        <x:v>独立判定</x:v>
      </x:c>
    </x:row>
    <x:row r="709" ht="19" customHeight="1">
      <x:c r="A709" s="19" t="str">
        <x:v>D00705</x:v>
      </x:c>
      <x:c r="B709" s="19" t="n">
        <x:v>3</x:v>
      </x:c>
      <x:c r="C709" s="19" t="n">
        <x:v>1</x:v>
      </x:c>
      <x:c r="D709" s="19" t="str">
        <x:v>C03-M007</x:v>
      </x:c>
      <x:c r="E709" s="19" t="str">
        <x:v>西境旗卫</x:v>
      </x:c>
      <x:c r="F709" s="19" t="str">
        <x:v>稀有</x:v>
      </x:c>
      <x:c r="G709" s="19" t="str">
        <x:v>材料独立候选</x:v>
      </x:c>
      <x:c r="H709" s="19" t="str">
        <x:v>风蚀铁片</x:v>
      </x:c>
      <x:c r="I709" s="22" t="n">
        <x:v>400</x:v>
      </x:c>
      <x:c r="J709" s="22" t="n">
        <x:v>15</x:v>
      </x:c>
      <x:c r="K709" s="19" t="n">
        <x:v>1</x:v>
      </x:c>
      <x:c r="L709" s="24" t="n">
        <x:v>13.799999999999999</x:v>
      </x:c>
      <x:c r="M709" s="26" t="n">
        <x:v>0.1</x:v>
      </x:c>
      <x:c r="N709" s="24" t="n">
        <x:v>10.024787861366587</x:v>
      </x:c>
      <x:c r="O709" s="28" t="n">
        <x:f>MIN(1,L709/I709)</x:f>
        <x:v>0.034499999999999996</x:v>
      </x:c>
      <x:c r="P709" s="30" t="n">
        <x:f>O709*J709*(1+M709)</x:f>
        <x:v>0.56925</x:v>
      </x:c>
      <x:c r="Q709" s="30" t="n">
        <x:f>P709*N709</x:f>
        <x:v>5.70661049008293</x:v>
      </x:c>
      <x:c r="R709" s="19" t="str">
        <x:v>独立判定</x:v>
      </x:c>
    </x:row>
    <x:row r="710" ht="19" customHeight="1">
      <x:c r="A710" s="19" t="str">
        <x:v>D00706</x:v>
      </x:c>
      <x:c r="B710" s="19" t="n">
        <x:v>3</x:v>
      </x:c>
      <x:c r="C710" s="19" t="n">
        <x:v>1</x:v>
      </x:c>
      <x:c r="D710" s="19" t="str">
        <x:v>C03-M007</x:v>
      </x:c>
      <x:c r="E710" s="19" t="str">
        <x:v>西境旗卫</x:v>
      </x:c>
      <x:c r="F710" s="19" t="str">
        <x:v>稀有</x:v>
      </x:c>
      <x:c r="G710" s="19" t="str">
        <x:v>材料独立候选</x:v>
      </x:c>
      <x:c r="H710" s="19" t="str">
        <x:v>西境战旗</x:v>
      </x:c>
      <x:c r="I710" s="22" t="n">
        <x:v>600</x:v>
      </x:c>
      <x:c r="J710" s="22" t="n">
        <x:v>1</x:v>
      </x:c>
      <x:c r="K710" s="19" t="n">
        <x:v>1</x:v>
      </x:c>
      <x:c r="L710" s="24" t="n">
        <x:v>13.799999999999999</x:v>
      </x:c>
      <x:c r="M710" s="26" t="n">
        <x:v>0.1</x:v>
      </x:c>
      <x:c r="N710" s="24" t="n">
        <x:v>10.024787861366587</x:v>
      </x:c>
      <x:c r="O710" s="28" t="n">
        <x:f>MIN(1,L710/I710)</x:f>
        <x:v>0.023</x:v>
      </x:c>
      <x:c r="P710" s="30" t="n">
        <x:f>O710*J710*(1+M710)</x:f>
        <x:v>0.025300000000000003</x:v>
      </x:c>
      <x:c r="Q710" s="30" t="n">
        <x:f>P710*N710</x:f>
        <x:v>0.25362713289257466</x:v>
      </x:c>
      <x:c r="R710" s="19" t="str">
        <x:v>独立判定</x:v>
      </x:c>
    </x:row>
    <x:row r="711" ht="19" customHeight="1">
      <x:c r="A711" s="19" t="str">
        <x:v>D00707</x:v>
      </x:c>
      <x:c r="B711" s="19" t="n">
        <x:v>3</x:v>
      </x:c>
      <x:c r="C711" s="19" t="n">
        <x:v>1</x:v>
      </x:c>
      <x:c r="D711" s="19" t="str">
        <x:v>C03-M007</x:v>
      </x:c>
      <x:c r="E711" s="19" t="str">
        <x:v>西境旗卫</x:v>
      </x:c>
      <x:c r="F711" s="19" t="str">
        <x:v>稀有</x:v>
      </x:c>
      <x:c r="G711" s="19" t="str">
        <x:v>材料独立候选</x:v>
      </x:c>
      <x:c r="H711" s="19" t="str">
        <x:v>商队火漆</x:v>
      </x:c>
      <x:c r="I711" s="22" t="n">
        <x:v>600</x:v>
      </x:c>
      <x:c r="J711" s="22" t="n">
        <x:v>1</x:v>
      </x:c>
      <x:c r="K711" s="19" t="n">
        <x:v>1</x:v>
      </x:c>
      <x:c r="L711" s="24" t="n">
        <x:v>13.799999999999999</x:v>
      </x:c>
      <x:c r="M711" s="26" t="n">
        <x:v>0.1</x:v>
      </x:c>
      <x:c r="N711" s="24" t="n">
        <x:v>10.024787861366587</x:v>
      </x:c>
      <x:c r="O711" s="28" t="n">
        <x:f>MIN(1,L711/I711)</x:f>
        <x:v>0.023</x:v>
      </x:c>
      <x:c r="P711" s="30" t="n">
        <x:f>O711*J711*(1+M711)</x:f>
        <x:v>0.025300000000000003</x:v>
      </x:c>
      <x:c r="Q711" s="30" t="n">
        <x:f>P711*N711</x:f>
        <x:v>0.25362713289257466</x:v>
      </x:c>
      <x:c r="R711" s="19" t="str">
        <x:v>独立判定</x:v>
      </x:c>
    </x:row>
    <x:row r="712" ht="19" customHeight="1">
      <x:c r="A712" s="19" t="str">
        <x:v>D00708</x:v>
      </x:c>
      <x:c r="B712" s="19" t="n">
        <x:v>3</x:v>
      </x:c>
      <x:c r="C712" s="19" t="n">
        <x:v>1</x:v>
      </x:c>
      <x:c r="D712" s="19" t="str">
        <x:v>C03-M007</x:v>
      </x:c>
      <x:c r="E712" s="19" t="str">
        <x:v>西境旗卫</x:v>
      </x:c>
      <x:c r="F712" s="19" t="str">
        <x:v>稀有</x:v>
      </x:c>
      <x:c r="G712" s="19" t="str">
        <x:v>材料独立候选</x:v>
      </x:c>
      <x:c r="H712" s="19" t="str">
        <x:v>西境风痕碑拓</x:v>
      </x:c>
      <x:c r="I712" s="22" t="n">
        <x:v>400000</x:v>
      </x:c>
      <x:c r="J712" s="22" t="n">
        <x:v>1</x:v>
      </x:c>
      <x:c r="K712" s="19" t="n">
        <x:v>1</x:v>
      </x:c>
      <x:c r="L712" s="24" t="n">
        <x:v>13.799999999999999</x:v>
      </x:c>
      <x:c r="M712" s="26" t="n">
        <x:v>0.1</x:v>
      </x:c>
      <x:c r="N712" s="24" t="n">
        <x:v>10.024787861366587</x:v>
      </x:c>
      <x:c r="O712" s="28" t="n">
        <x:f>MIN(1,L712/I712)</x:f>
        <x:v>0.0000345</x:v>
      </x:c>
      <x:c r="P712" s="30" t="n">
        <x:f>O712*J712*(1+M712)</x:f>
        <x:v>0.00003795</x:v>
      </x:c>
      <x:c r="Q712" s="30" t="n">
        <x:f>P712*N712</x:f>
        <x:v>0.000380440699338862</x:v>
      </x:c>
      <x:c r="R712" s="19" t="str">
        <x:v>独立判定</x:v>
      </x:c>
    </x:row>
    <x:row r="713" ht="19" customHeight="1">
      <x:c r="A713" s="19" t="str">
        <x:v>D00709</x:v>
      </x:c>
      <x:c r="B713" s="19" t="n">
        <x:v>3</x:v>
      </x:c>
      <x:c r="C713" s="19" t="n">
        <x:v>1</x:v>
      </x:c>
      <x:c r="D713" s="19" t="str">
        <x:v>C03-M007</x:v>
      </x:c>
      <x:c r="E713" s="19" t="str">
        <x:v>西境旗卫</x:v>
      </x:c>
      <x:c r="F713" s="19" t="str">
        <x:v>稀有</x:v>
      </x:c>
      <x:c r="G713" s="19" t="str">
        <x:v>材料独立候选</x:v>
      </x:c>
      <x:c r="H713" s="19" t="str">
        <x:v>黄金树芽</x:v>
      </x:c>
      <x:c r="I713" s="22" t="n">
        <x:v>1500</x:v>
      </x:c>
      <x:c r="J713" s="22" t="n">
        <x:v>1</x:v>
      </x:c>
      <x:c r="K713" s="19" t="n">
        <x:v>1</x:v>
      </x:c>
      <x:c r="L713" s="24" t="n">
        <x:v>13.799999999999999</x:v>
      </x:c>
      <x:c r="M713" s="26" t="n">
        <x:v>0.1</x:v>
      </x:c>
      <x:c r="N713" s="24" t="n">
        <x:v>10.024787861366587</x:v>
      </x:c>
      <x:c r="O713" s="28" t="n">
        <x:f>MIN(1,L713/I713)</x:f>
        <x:v>0.0092</x:v>
      </x:c>
      <x:c r="P713" s="30" t="n">
        <x:f>O713*J713*(1+M713)</x:f>
        <x:v>0.01012</x:v>
      </x:c>
      <x:c r="Q713" s="30" t="n">
        <x:f>P713*N713</x:f>
        <x:v>0.10145085315702987</x:v>
      </x:c>
      <x:c r="R713" s="19" t="str">
        <x:v>独立判定</x:v>
      </x:c>
    </x:row>
    <x:row r="714" ht="19" customHeight="1">
      <x:c r="A714" s="19" t="str">
        <x:v>D00710</x:v>
      </x:c>
      <x:c r="B714" s="19" t="n">
        <x:v>3</x:v>
      </x:c>
      <x:c r="C714" s="19" t="n">
        <x:v>1</x:v>
      </x:c>
      <x:c r="D714" s="19" t="str">
        <x:v>C03-M007</x:v>
      </x:c>
      <x:c r="E714" s="19" t="str">
        <x:v>西境旗卫</x:v>
      </x:c>
      <x:c r="F714" s="19" t="str">
        <x:v>稀有</x:v>
      </x:c>
      <x:c r="G714" s="19" t="str">
        <x:v>材料独立候选</x:v>
      </x:c>
      <x:c r="H714" s="19" t="str">
        <x:v>野兽骨片</x:v>
      </x:c>
      <x:c r="I714" s="22" t="n">
        <x:v>60</x:v>
      </x:c>
      <x:c r="J714" s="22" t="n">
        <x:v>2</x:v>
      </x:c>
      <x:c r="K714" s="19" t="n">
        <x:v>1</x:v>
      </x:c>
      <x:c r="L714" s="24" t="n">
        <x:v>13.799999999999999</x:v>
      </x:c>
      <x:c r="M714" s="26" t="n">
        <x:v>0.1</x:v>
      </x:c>
      <x:c r="N714" s="24" t="n">
        <x:v>10.024787861366587</x:v>
      </x:c>
      <x:c r="O714" s="28" t="n">
        <x:f>MIN(1,L714/I714)</x:f>
        <x:v>0.22999999999999998</x:v>
      </x:c>
      <x:c r="P714" s="30" t="n">
        <x:f>O714*J714*(1+M714)</x:f>
        <x:v>0.506</x:v>
      </x:c>
      <x:c r="Q714" s="30" t="n">
        <x:f>P714*N714</x:f>
        <x:v>5.072542657851493</x:v>
      </x:c>
      <x:c r="R714" s="19" t="str">
        <x:v>独立判定</x:v>
      </x:c>
    </x:row>
    <x:row r="715" ht="19" customHeight="1">
      <x:c r="A715" s="19" t="str">
        <x:v>D00711</x:v>
      </x:c>
      <x:c r="B715" s="19" t="n">
        <x:v>3</x:v>
      </x:c>
      <x:c r="C715" s="19" t="n">
        <x:v>1</x:v>
      </x:c>
      <x:c r="D715" s="19" t="str">
        <x:v>C03-M007</x:v>
      </x:c>
      <x:c r="E715" s="19" t="str">
        <x:v>西境旗卫</x:v>
      </x:c>
      <x:c r="F715" s="19" t="str">
        <x:v>稀有</x:v>
      </x:c>
      <x:c r="G715" s="19" t="str">
        <x:v>材料独立候选</x:v>
      </x:c>
      <x:c r="H715" s="19" t="str">
        <x:v>技能残页</x:v>
      </x:c>
      <x:c r="I715" s="22" t="n">
        <x:v>150</x:v>
      </x:c>
      <x:c r="J715" s="22" t="n">
        <x:v>1</x:v>
      </x:c>
      <x:c r="K715" s="19" t="n">
        <x:v>1</x:v>
      </x:c>
      <x:c r="L715" s="24" t="n">
        <x:v>13.799999999999999</x:v>
      </x:c>
      <x:c r="M715" s="26" t="n">
        <x:v>0.1</x:v>
      </x:c>
      <x:c r="N715" s="24" t="n">
        <x:v>10.024787861366587</x:v>
      </x:c>
      <x:c r="O715" s="28" t="n">
        <x:f>MIN(1,L715/I715)</x:f>
        <x:v>0.092</x:v>
      </x:c>
      <x:c r="P715" s="30" t="n">
        <x:f>O715*J715*(1+M715)</x:f>
        <x:v>0.10120000000000001</x:v>
      </x:c>
      <x:c r="Q715" s="30" t="n">
        <x:f>P715*N715</x:f>
        <x:v>1.0145085315702986</x:v>
      </x:c>
      <x:c r="R715" s="19" t="str">
        <x:v>独立判定</x:v>
      </x:c>
    </x:row>
    <x:row r="716" ht="19" customHeight="1">
      <x:c r="A716" s="19" t="str">
        <x:v>D00712</x:v>
      </x:c>
      <x:c r="B716" s="19" t="n">
        <x:v>3</x:v>
      </x:c>
      <x:c r="C716" s="19" t="n">
        <x:v>1</x:v>
      </x:c>
      <x:c r="D716" s="19" t="str">
        <x:v>C03-M007</x:v>
      </x:c>
      <x:c r="E716" s="19" t="str">
        <x:v>西境旗卫</x:v>
      </x:c>
      <x:c r="F716" s="19" t="str">
        <x:v>稀有</x:v>
      </x:c>
      <x:c r="G716" s="19" t="str">
        <x:v>材料独立候选</x:v>
      </x:c>
      <x:c r="H716" s="19" t="str">
        <x:v>小卢恩</x:v>
      </x:c>
      <x:c r="I716" s="22" t="n">
        <x:v>2500</x:v>
      </x:c>
      <x:c r="J716" s="22" t="n">
        <x:v>1</x:v>
      </x:c>
      <x:c r="K716" s="19" t="n">
        <x:v>1</x:v>
      </x:c>
      <x:c r="L716" s="24" t="n">
        <x:v>13.799999999999999</x:v>
      </x:c>
      <x:c r="M716" s="26" t="n">
        <x:v>0.1</x:v>
      </x:c>
      <x:c r="N716" s="24" t="n">
        <x:v>10.024787861366587</x:v>
      </x:c>
      <x:c r="O716" s="28" t="n">
        <x:f>MIN(1,L716/I716)</x:f>
        <x:v>0.00552</x:v>
      </x:c>
      <x:c r="P716" s="30" t="n">
        <x:f>O716*J716*(1+M716)</x:f>
        <x:v>0.006072</x:v>
      </x:c>
      <x:c r="Q716" s="30" t="n">
        <x:f>P716*N716</x:f>
        <x:v>0.06087051189421792</x:v>
      </x:c>
      <x:c r="R716" s="19" t="str">
        <x:v>独立判定</x:v>
      </x:c>
    </x:row>
    <x:row r="717" ht="19" customHeight="1">
      <x:c r="A717" s="19" t="str">
        <x:v>D00713</x:v>
      </x:c>
      <x:c r="B717" s="19" t="n">
        <x:v>3</x:v>
      </x:c>
      <x:c r="C717" s="19" t="n">
        <x:v>1</x:v>
      </x:c>
      <x:c r="D717" s="19" t="str">
        <x:v>C03-M007</x:v>
      </x:c>
      <x:c r="E717" s="19" t="str">
        <x:v>西境旗卫</x:v>
      </x:c>
      <x:c r="F717" s="19" t="str">
        <x:v>稀有</x:v>
      </x:c>
      <x:c r="G717" s="19" t="str">
        <x:v>六神器公共池</x:v>
      </x:c>
      <x:c r="H717" s="19" t="str">
        <x:v>POOL006</x:v>
      </x:c>
      <x:c r="I717" s="22" t="n">
        <x:v>5000000</x:v>
      </x:c>
      <x:c r="J717" s="22" t="n">
        <x:v>1</x:v>
      </x:c>
      <x:c r="K717" s="19" t="n">
        <x:v>6</x:v>
      </x:c>
      <x:c r="L717" s="24" t="n">
        <x:v>13.799999999999999</x:v>
      </x:c>
      <x:c r="M717" s="26" t="n">
        <x:v>0.1</x:v>
      </x:c>
      <x:c r="N717" s="24" t="n">
        <x:v>10.024787861366587</x:v>
      </x:c>
      <x:c r="O717" s="28" t="n">
        <x:f>MIN(1,L717/I717)</x:f>
        <x:v>0.00000276</x:v>
      </x:c>
      <x:c r="P717" s="30" t="n">
        <x:f>O717*J717*(1+M717)</x:f>
        <x:v>0.0000030360000000000002</x:v>
      </x:c>
      <x:c r="Q717" s="30" t="n">
        <x:f>P717*N717</x:f>
        <x:v>0.00003043525594710896</x:v>
      </x:c>
      <x:c r="R717" s="19" t="str">
        <x:v>六选一；非6个独立爆率</x:v>
      </x:c>
    </x:row>
    <x:row r="718" ht="19" customHeight="1">
      <x:c r="A718" s="19" t="str">
        <x:v>D00714</x:v>
      </x:c>
      <x:c r="B718" s="19" t="n">
        <x:v>3</x:v>
      </x:c>
      <x:c r="C718" s="19" t="n">
        <x:v>1</x:v>
      </x:c>
      <x:c r="D718" s="19" t="str">
        <x:v>C03-M008</x:v>
      </x:c>
      <x:c r="E718" s="19" t="str">
        <x:v>独眼弩将</x:v>
      </x:c>
      <x:c r="F718" s="19" t="str">
        <x:v>稀有</x:v>
      </x:c>
      <x:c r="G718" s="19" t="str">
        <x:v>自身专属</x:v>
      </x:c>
      <x:c r="H718" s="19" t="str">
        <x:v>独眼鹰坠</x:v>
      </x:c>
      <x:c r="I718" s="22" t="n">
        <x:v>200</x:v>
      </x:c>
      <x:c r="J718" s="22" t="n">
        <x:v>1</x:v>
      </x:c>
      <x:c r="K718" s="19" t="n">
        <x:v>1</x:v>
      </x:c>
      <x:c r="L718" s="24" t="n">
        <x:v>13.799999999999999</x:v>
      </x:c>
      <x:c r="M718" s="26" t="n">
        <x:v>0.1</x:v>
      </x:c>
      <x:c r="N718" s="24" t="n">
        <x:v>11.793868072195984</x:v>
      </x:c>
      <x:c r="O718" s="28" t="n">
        <x:f>MIN(1,L718/I718)</x:f>
        <x:v>0.06899999999999999</x:v>
      </x:c>
      <x:c r="P718" s="30" t="n">
        <x:f>O718*J718*(1+M718)</x:f>
        <x:v>0.0759</x:v>
      </x:c>
      <x:c r="Q718" s="30" t="n">
        <x:f>P718*N718</x:f>
        <x:v>0.8951545866796752</x:v>
      </x:c>
      <x:c r="R718" s="19" t="str">
        <x:v>独立判定</x:v>
      </x:c>
    </x:row>
    <x:row r="719" ht="19" customHeight="1">
      <x:c r="A719" s="19" t="str">
        <x:v>D00715</x:v>
      </x:c>
      <x:c r="B719" s="19" t="n">
        <x:v>3</x:v>
      </x:c>
      <x:c r="C719" s="19" t="n">
        <x:v>1</x:v>
      </x:c>
      <x:c r="D719" s="19" t="str">
        <x:v>C03-M008</x:v>
      </x:c>
      <x:c r="E719" s="19" t="str">
        <x:v>独眼弩将</x:v>
      </x:c>
      <x:c r="F719" s="19" t="str">
        <x:v>稀有</x:v>
      </x:c>
      <x:c r="G719" s="19" t="str">
        <x:v>材料独立候选</x:v>
      </x:c>
      <x:c r="H719" s="19" t="str">
        <x:v>风蚀铁片</x:v>
      </x:c>
      <x:c r="I719" s="22" t="n">
        <x:v>400</x:v>
      </x:c>
      <x:c r="J719" s="22" t="n">
        <x:v>15</x:v>
      </x:c>
      <x:c r="K719" s="19" t="n">
        <x:v>1</x:v>
      </x:c>
      <x:c r="L719" s="24" t="n">
        <x:v>13.799999999999999</x:v>
      </x:c>
      <x:c r="M719" s="26" t="n">
        <x:v>0.1</x:v>
      </x:c>
      <x:c r="N719" s="24" t="n">
        <x:v>11.793868072195984</x:v>
      </x:c>
      <x:c r="O719" s="28" t="n">
        <x:f>MIN(1,L719/I719)</x:f>
        <x:v>0.034499999999999996</x:v>
      </x:c>
      <x:c r="P719" s="30" t="n">
        <x:f>O719*J719*(1+M719)</x:f>
        <x:v>0.56925</x:v>
      </x:c>
      <x:c r="Q719" s="30" t="n">
        <x:f>P719*N719</x:f>
        <x:v>6.713659400097565</x:v>
      </x:c>
      <x:c r="R719" s="19" t="str">
        <x:v>独立判定</x:v>
      </x:c>
    </x:row>
    <x:row r="720" ht="19" customHeight="1">
      <x:c r="A720" s="19" t="str">
        <x:v>D00716</x:v>
      </x:c>
      <x:c r="B720" s="19" t="n">
        <x:v>3</x:v>
      </x:c>
      <x:c r="C720" s="19" t="n">
        <x:v>1</x:v>
      </x:c>
      <x:c r="D720" s="19" t="str">
        <x:v>C03-M008</x:v>
      </x:c>
      <x:c r="E720" s="19" t="str">
        <x:v>独眼弩将</x:v>
      </x:c>
      <x:c r="F720" s="19" t="str">
        <x:v>稀有</x:v>
      </x:c>
      <x:c r="G720" s="19" t="str">
        <x:v>材料独立候选</x:v>
      </x:c>
      <x:c r="H720" s="19" t="str">
        <x:v>西境战旗</x:v>
      </x:c>
      <x:c r="I720" s="22" t="n">
        <x:v>600</x:v>
      </x:c>
      <x:c r="J720" s="22" t="n">
        <x:v>1</x:v>
      </x:c>
      <x:c r="K720" s="19" t="n">
        <x:v>1</x:v>
      </x:c>
      <x:c r="L720" s="24" t="n">
        <x:v>13.799999999999999</x:v>
      </x:c>
      <x:c r="M720" s="26" t="n">
        <x:v>0.1</x:v>
      </x:c>
      <x:c r="N720" s="24" t="n">
        <x:v>11.793868072195984</x:v>
      </x:c>
      <x:c r="O720" s="28" t="n">
        <x:f>MIN(1,L720/I720)</x:f>
        <x:v>0.023</x:v>
      </x:c>
      <x:c r="P720" s="30" t="n">
        <x:f>O720*J720*(1+M720)</x:f>
        <x:v>0.025300000000000003</x:v>
      </x:c>
      <x:c r="Q720" s="30" t="n">
        <x:f>P720*N720</x:f>
        <x:v>0.2983848622265584</x:v>
      </x:c>
      <x:c r="R720" s="19" t="str">
        <x:v>独立判定</x:v>
      </x:c>
    </x:row>
    <x:row r="721" ht="19" customHeight="1">
      <x:c r="A721" s="19" t="str">
        <x:v>D00717</x:v>
      </x:c>
      <x:c r="B721" s="19" t="n">
        <x:v>3</x:v>
      </x:c>
      <x:c r="C721" s="19" t="n">
        <x:v>1</x:v>
      </x:c>
      <x:c r="D721" s="19" t="str">
        <x:v>C03-M008</x:v>
      </x:c>
      <x:c r="E721" s="19" t="str">
        <x:v>独眼弩将</x:v>
      </x:c>
      <x:c r="F721" s="19" t="str">
        <x:v>稀有</x:v>
      </x:c>
      <x:c r="G721" s="19" t="str">
        <x:v>材料独立候选</x:v>
      </x:c>
      <x:c r="H721" s="19" t="str">
        <x:v>商队火漆</x:v>
      </x:c>
      <x:c r="I721" s="22" t="n">
        <x:v>600</x:v>
      </x:c>
      <x:c r="J721" s="22" t="n">
        <x:v>1</x:v>
      </x:c>
      <x:c r="K721" s="19" t="n">
        <x:v>1</x:v>
      </x:c>
      <x:c r="L721" s="24" t="n">
        <x:v>13.799999999999999</x:v>
      </x:c>
      <x:c r="M721" s="26" t="n">
        <x:v>0.1</x:v>
      </x:c>
      <x:c r="N721" s="24" t="n">
        <x:v>11.793868072195984</x:v>
      </x:c>
      <x:c r="O721" s="28" t="n">
        <x:f>MIN(1,L721/I721)</x:f>
        <x:v>0.023</x:v>
      </x:c>
      <x:c r="P721" s="30" t="n">
        <x:f>O721*J721*(1+M721)</x:f>
        <x:v>0.025300000000000003</x:v>
      </x:c>
      <x:c r="Q721" s="30" t="n">
        <x:f>P721*N721</x:f>
        <x:v>0.2983848622265584</x:v>
      </x:c>
      <x:c r="R721" s="19" t="str">
        <x:v>独立判定</x:v>
      </x:c>
    </x:row>
    <x:row r="722" ht="19" customHeight="1">
      <x:c r="A722" s="19" t="str">
        <x:v>D00718</x:v>
      </x:c>
      <x:c r="B722" s="19" t="n">
        <x:v>3</x:v>
      </x:c>
      <x:c r="C722" s="19" t="n">
        <x:v>1</x:v>
      </x:c>
      <x:c r="D722" s="19" t="str">
        <x:v>C03-M008</x:v>
      </x:c>
      <x:c r="E722" s="19" t="str">
        <x:v>独眼弩将</x:v>
      </x:c>
      <x:c r="F722" s="19" t="str">
        <x:v>稀有</x:v>
      </x:c>
      <x:c r="G722" s="19" t="str">
        <x:v>材料独立候选</x:v>
      </x:c>
      <x:c r="H722" s="19" t="str">
        <x:v>西境风痕碑拓</x:v>
      </x:c>
      <x:c r="I722" s="22" t="n">
        <x:v>400000</x:v>
      </x:c>
      <x:c r="J722" s="22" t="n">
        <x:v>1</x:v>
      </x:c>
      <x:c r="K722" s="19" t="n">
        <x:v>1</x:v>
      </x:c>
      <x:c r="L722" s="24" t="n">
        <x:v>13.799999999999999</x:v>
      </x:c>
      <x:c r="M722" s="26" t="n">
        <x:v>0.1</x:v>
      </x:c>
      <x:c r="N722" s="24" t="n">
        <x:v>11.793868072195984</x:v>
      </x:c>
      <x:c r="O722" s="28" t="n">
        <x:f>MIN(1,L722/I722)</x:f>
        <x:v>0.0000345</x:v>
      </x:c>
      <x:c r="P722" s="30" t="n">
        <x:f>O722*J722*(1+M722)</x:f>
        <x:v>0.00003795</x:v>
      </x:c>
      <x:c r="Q722" s="30" t="n">
        <x:f>P722*N722</x:f>
        <x:v>0.0004475772933398376</x:v>
      </x:c>
      <x:c r="R722" s="19" t="str">
        <x:v>独立判定</x:v>
      </x:c>
    </x:row>
    <x:row r="723" ht="19" customHeight="1">
      <x:c r="A723" s="19" t="str">
        <x:v>D00719</x:v>
      </x:c>
      <x:c r="B723" s="19" t="n">
        <x:v>3</x:v>
      </x:c>
      <x:c r="C723" s="19" t="n">
        <x:v>1</x:v>
      </x:c>
      <x:c r="D723" s="19" t="str">
        <x:v>C03-M008</x:v>
      </x:c>
      <x:c r="E723" s="19" t="str">
        <x:v>独眼弩将</x:v>
      </x:c>
      <x:c r="F723" s="19" t="str">
        <x:v>稀有</x:v>
      </x:c>
      <x:c r="G723" s="19" t="str">
        <x:v>材料独立候选</x:v>
      </x:c>
      <x:c r="H723" s="19" t="str">
        <x:v>黄金树芽</x:v>
      </x:c>
      <x:c r="I723" s="22" t="n">
        <x:v>1500</x:v>
      </x:c>
      <x:c r="J723" s="22" t="n">
        <x:v>1</x:v>
      </x:c>
      <x:c r="K723" s="19" t="n">
        <x:v>1</x:v>
      </x:c>
      <x:c r="L723" s="24" t="n">
        <x:v>13.799999999999999</x:v>
      </x:c>
      <x:c r="M723" s="26" t="n">
        <x:v>0.1</x:v>
      </x:c>
      <x:c r="N723" s="24" t="n">
        <x:v>11.793868072195984</x:v>
      </x:c>
      <x:c r="O723" s="28" t="n">
        <x:f>MIN(1,L723/I723)</x:f>
        <x:v>0.0092</x:v>
      </x:c>
      <x:c r="P723" s="30" t="n">
        <x:f>O723*J723*(1+M723)</x:f>
        <x:v>0.01012</x:v>
      </x:c>
      <x:c r="Q723" s="30" t="n">
        <x:f>P723*N723</x:f>
        <x:v>0.11935394489062337</x:v>
      </x:c>
      <x:c r="R723" s="19" t="str">
        <x:v>独立判定</x:v>
      </x:c>
    </x:row>
    <x:row r="724" ht="19" customHeight="1">
      <x:c r="A724" s="19" t="str">
        <x:v>D00720</x:v>
      </x:c>
      <x:c r="B724" s="19" t="n">
        <x:v>3</x:v>
      </x:c>
      <x:c r="C724" s="19" t="n">
        <x:v>1</x:v>
      </x:c>
      <x:c r="D724" s="19" t="str">
        <x:v>C03-M008</x:v>
      </x:c>
      <x:c r="E724" s="19" t="str">
        <x:v>独眼弩将</x:v>
      </x:c>
      <x:c r="F724" s="19" t="str">
        <x:v>稀有</x:v>
      </x:c>
      <x:c r="G724" s="19" t="str">
        <x:v>材料独立候选</x:v>
      </x:c>
      <x:c r="H724" s="19" t="str">
        <x:v>野兽骨片</x:v>
      </x:c>
      <x:c r="I724" s="22" t="n">
        <x:v>60</x:v>
      </x:c>
      <x:c r="J724" s="22" t="n">
        <x:v>2</x:v>
      </x:c>
      <x:c r="K724" s="19" t="n">
        <x:v>1</x:v>
      </x:c>
      <x:c r="L724" s="24" t="n">
        <x:v>13.799999999999999</x:v>
      </x:c>
      <x:c r="M724" s="26" t="n">
        <x:v>0.1</x:v>
      </x:c>
      <x:c r="N724" s="24" t="n">
        <x:v>11.793868072195984</x:v>
      </x:c>
      <x:c r="O724" s="28" t="n">
        <x:f>MIN(1,L724/I724)</x:f>
        <x:v>0.22999999999999998</x:v>
      </x:c>
      <x:c r="P724" s="30" t="n">
        <x:f>O724*J724*(1+M724)</x:f>
        <x:v>0.506</x:v>
      </x:c>
      <x:c r="Q724" s="30" t="n">
        <x:f>P724*N724</x:f>
        <x:v>5.967697244531168</x:v>
      </x:c>
      <x:c r="R724" s="19" t="str">
        <x:v>独立判定</x:v>
      </x:c>
    </x:row>
    <x:row r="725" ht="19" customHeight="1">
      <x:c r="A725" s="19" t="str">
        <x:v>D00721</x:v>
      </x:c>
      <x:c r="B725" s="19" t="n">
        <x:v>3</x:v>
      </x:c>
      <x:c r="C725" s="19" t="n">
        <x:v>1</x:v>
      </x:c>
      <x:c r="D725" s="19" t="str">
        <x:v>C03-M008</x:v>
      </x:c>
      <x:c r="E725" s="19" t="str">
        <x:v>独眼弩将</x:v>
      </x:c>
      <x:c r="F725" s="19" t="str">
        <x:v>稀有</x:v>
      </x:c>
      <x:c r="G725" s="19" t="str">
        <x:v>材料独立候选</x:v>
      </x:c>
      <x:c r="H725" s="19" t="str">
        <x:v>技能残页</x:v>
      </x:c>
      <x:c r="I725" s="22" t="n">
        <x:v>150</x:v>
      </x:c>
      <x:c r="J725" s="22" t="n">
        <x:v>1</x:v>
      </x:c>
      <x:c r="K725" s="19" t="n">
        <x:v>1</x:v>
      </x:c>
      <x:c r="L725" s="24" t="n">
        <x:v>13.799999999999999</x:v>
      </x:c>
      <x:c r="M725" s="26" t="n">
        <x:v>0.1</x:v>
      </x:c>
      <x:c r="N725" s="24" t="n">
        <x:v>11.793868072195984</x:v>
      </x:c>
      <x:c r="O725" s="28" t="n">
        <x:f>MIN(1,L725/I725)</x:f>
        <x:v>0.092</x:v>
      </x:c>
      <x:c r="P725" s="30" t="n">
        <x:f>O725*J725*(1+M725)</x:f>
        <x:v>0.10120000000000001</x:v>
      </x:c>
      <x:c r="Q725" s="30" t="n">
        <x:f>P725*N725</x:f>
        <x:v>1.1935394489062336</x:v>
      </x:c>
      <x:c r="R725" s="19" t="str">
        <x:v>独立判定</x:v>
      </x:c>
    </x:row>
    <x:row r="726" ht="19" customHeight="1">
      <x:c r="A726" s="19" t="str">
        <x:v>D00722</x:v>
      </x:c>
      <x:c r="B726" s="19" t="n">
        <x:v>3</x:v>
      </x:c>
      <x:c r="C726" s="19" t="n">
        <x:v>1</x:v>
      </x:c>
      <x:c r="D726" s="19" t="str">
        <x:v>C03-M008</x:v>
      </x:c>
      <x:c r="E726" s="19" t="str">
        <x:v>独眼弩将</x:v>
      </x:c>
      <x:c r="F726" s="19" t="str">
        <x:v>稀有</x:v>
      </x:c>
      <x:c r="G726" s="19" t="str">
        <x:v>材料独立候选</x:v>
      </x:c>
      <x:c r="H726" s="19" t="str">
        <x:v>小卢恩</x:v>
      </x:c>
      <x:c r="I726" s="22" t="n">
        <x:v>2500</x:v>
      </x:c>
      <x:c r="J726" s="22" t="n">
        <x:v>1</x:v>
      </x:c>
      <x:c r="K726" s="19" t="n">
        <x:v>1</x:v>
      </x:c>
      <x:c r="L726" s="24" t="n">
        <x:v>13.799999999999999</x:v>
      </x:c>
      <x:c r="M726" s="26" t="n">
        <x:v>0.1</x:v>
      </x:c>
      <x:c r="N726" s="24" t="n">
        <x:v>11.793868072195984</x:v>
      </x:c>
      <x:c r="O726" s="28" t="n">
        <x:f>MIN(1,L726/I726)</x:f>
        <x:v>0.00552</x:v>
      </x:c>
      <x:c r="P726" s="30" t="n">
        <x:f>O726*J726*(1+M726)</x:f>
        <x:v>0.006072</x:v>
      </x:c>
      <x:c r="Q726" s="30" t="n">
        <x:f>P726*N726</x:f>
        <x:v>0.07161236693437402</x:v>
      </x:c>
      <x:c r="R726" s="19" t="str">
        <x:v>独立判定</x:v>
      </x:c>
    </x:row>
    <x:row r="727" ht="19" customHeight="1">
      <x:c r="A727" s="19" t="str">
        <x:v>D00723</x:v>
      </x:c>
      <x:c r="B727" s="19" t="n">
        <x:v>3</x:v>
      </x:c>
      <x:c r="C727" s="19" t="n">
        <x:v>1</x:v>
      </x:c>
      <x:c r="D727" s="19" t="str">
        <x:v>C03-M008</x:v>
      </x:c>
      <x:c r="E727" s="19" t="str">
        <x:v>独眼弩将</x:v>
      </x:c>
      <x:c r="F727" s="19" t="str">
        <x:v>稀有</x:v>
      </x:c>
      <x:c r="G727" s="19" t="str">
        <x:v>六神器公共池</x:v>
      </x:c>
      <x:c r="H727" s="19" t="str">
        <x:v>POOL006</x:v>
      </x:c>
      <x:c r="I727" s="22" t="n">
        <x:v>5000000</x:v>
      </x:c>
      <x:c r="J727" s="22" t="n">
        <x:v>1</x:v>
      </x:c>
      <x:c r="K727" s="19" t="n">
        <x:v>6</x:v>
      </x:c>
      <x:c r="L727" s="24" t="n">
        <x:v>13.799999999999999</x:v>
      </x:c>
      <x:c r="M727" s="26" t="n">
        <x:v>0.1</x:v>
      </x:c>
      <x:c r="N727" s="24" t="n">
        <x:v>11.793868072195984</x:v>
      </x:c>
      <x:c r="O727" s="28" t="n">
        <x:f>MIN(1,L727/I727)</x:f>
        <x:v>0.00000276</x:v>
      </x:c>
      <x:c r="P727" s="30" t="n">
        <x:f>O727*J727*(1+M727)</x:f>
        <x:v>0.0000030360000000000002</x:v>
      </x:c>
      <x:c r="Q727" s="30" t="n">
        <x:f>P727*N727</x:f>
        <x:v>0.00003580618346718701</x:v>
      </x:c>
      <x:c r="R727" s="19" t="str">
        <x:v>六选一；非6个独立爆率</x:v>
      </x:c>
    </x:row>
    <x:row r="728" ht="19" customHeight="1">
      <x:c r="A728" s="19" t="str">
        <x:v>D00724</x:v>
      </x:c>
      <x:c r="B728" s="19" t="n">
        <x:v>3</x:v>
      </x:c>
      <x:c r="C728" s="19" t="n">
        <x:v>1</x:v>
      </x:c>
      <x:c r="D728" s="19" t="str">
        <x:v>C03-M009</x:v>
      </x:c>
      <x:c r="E728" s="19" t="str">
        <x:v>荒风骑士</x:v>
      </x:c>
      <x:c r="F728" s="19" t="str">
        <x:v>稀有</x:v>
      </x:c>
      <x:c r="G728" s="19" t="str">
        <x:v>自身专属</x:v>
      </x:c>
      <x:c r="H728" s="19" t="str">
        <x:v>荒风披甲</x:v>
      </x:c>
      <x:c r="I728" s="22" t="n">
        <x:v>200</x:v>
      </x:c>
      <x:c r="J728" s="22" t="n">
        <x:v>1</x:v>
      </x:c>
      <x:c r="K728" s="19" t="n">
        <x:v>1</x:v>
      </x:c>
      <x:c r="L728" s="24" t="n">
        <x:v>13.799999999999999</x:v>
      </x:c>
      <x:c r="M728" s="26" t="n">
        <x:v>0.1</x:v>
      </x:c>
      <x:c r="N728" s="24" t="n">
        <x:v>12</x:v>
      </x:c>
      <x:c r="O728" s="28" t="n">
        <x:f>MIN(1,L728/I728)</x:f>
        <x:v>0.06899999999999999</x:v>
      </x:c>
      <x:c r="P728" s="30" t="n">
        <x:f>O728*J728*(1+M728)</x:f>
        <x:v>0.0759</x:v>
      </x:c>
      <x:c r="Q728" s="30" t="n">
        <x:f>P728*N728</x:f>
        <x:v>0.9107999999999999</x:v>
      </x:c>
      <x:c r="R728" s="19" t="str">
        <x:v>独立判定</x:v>
      </x:c>
    </x:row>
    <x:row r="729" ht="19" customHeight="1">
      <x:c r="A729" s="19" t="str">
        <x:v>D00725</x:v>
      </x:c>
      <x:c r="B729" s="19" t="n">
        <x:v>3</x:v>
      </x:c>
      <x:c r="C729" s="19" t="n">
        <x:v>1</x:v>
      </x:c>
      <x:c r="D729" s="19" t="str">
        <x:v>C03-M009</x:v>
      </x:c>
      <x:c r="E729" s="19" t="str">
        <x:v>荒风骑士</x:v>
      </x:c>
      <x:c r="F729" s="19" t="str">
        <x:v>稀有</x:v>
      </x:c>
      <x:c r="G729" s="19" t="str">
        <x:v>材料独立候选</x:v>
      </x:c>
      <x:c r="H729" s="19" t="str">
        <x:v>风蚀铁片</x:v>
      </x:c>
      <x:c r="I729" s="22" t="n">
        <x:v>400</x:v>
      </x:c>
      <x:c r="J729" s="22" t="n">
        <x:v>15</x:v>
      </x:c>
      <x:c r="K729" s="19" t="n">
        <x:v>1</x:v>
      </x:c>
      <x:c r="L729" s="24" t="n">
        <x:v>13.799999999999999</x:v>
      </x:c>
      <x:c r="M729" s="26" t="n">
        <x:v>0.1</x:v>
      </x:c>
      <x:c r="N729" s="24" t="n">
        <x:v>12</x:v>
      </x:c>
      <x:c r="O729" s="28" t="n">
        <x:f>MIN(1,L729/I729)</x:f>
        <x:v>0.034499999999999996</x:v>
      </x:c>
      <x:c r="P729" s="30" t="n">
        <x:f>O729*J729*(1+M729)</x:f>
        <x:v>0.56925</x:v>
      </x:c>
      <x:c r="Q729" s="30" t="n">
        <x:f>P729*N729</x:f>
        <x:v>6.831</x:v>
      </x:c>
      <x:c r="R729" s="19" t="str">
        <x:v>独立判定</x:v>
      </x:c>
    </x:row>
    <x:row r="730" ht="19" customHeight="1">
      <x:c r="A730" s="19" t="str">
        <x:v>D00726</x:v>
      </x:c>
      <x:c r="B730" s="19" t="n">
        <x:v>3</x:v>
      </x:c>
      <x:c r="C730" s="19" t="n">
        <x:v>1</x:v>
      </x:c>
      <x:c r="D730" s="19" t="str">
        <x:v>C03-M009</x:v>
      </x:c>
      <x:c r="E730" s="19" t="str">
        <x:v>荒风骑士</x:v>
      </x:c>
      <x:c r="F730" s="19" t="str">
        <x:v>稀有</x:v>
      </x:c>
      <x:c r="G730" s="19" t="str">
        <x:v>材料独立候选</x:v>
      </x:c>
      <x:c r="H730" s="19" t="str">
        <x:v>西境战旗</x:v>
      </x:c>
      <x:c r="I730" s="22" t="n">
        <x:v>600</x:v>
      </x:c>
      <x:c r="J730" s="22" t="n">
        <x:v>1</x:v>
      </x:c>
      <x:c r="K730" s="19" t="n">
        <x:v>1</x:v>
      </x:c>
      <x:c r="L730" s="24" t="n">
        <x:v>13.799999999999999</x:v>
      </x:c>
      <x:c r="M730" s="26" t="n">
        <x:v>0.1</x:v>
      </x:c>
      <x:c r="N730" s="24" t="n">
        <x:v>12</x:v>
      </x:c>
      <x:c r="O730" s="28" t="n">
        <x:f>MIN(1,L730/I730)</x:f>
        <x:v>0.023</x:v>
      </x:c>
      <x:c r="P730" s="30" t="n">
        <x:f>O730*J730*(1+M730)</x:f>
        <x:v>0.025300000000000003</x:v>
      </x:c>
      <x:c r="Q730" s="30" t="n">
        <x:f>P730*N730</x:f>
        <x:v>0.30360000000000004</x:v>
      </x:c>
      <x:c r="R730" s="19" t="str">
        <x:v>独立判定</x:v>
      </x:c>
    </x:row>
    <x:row r="731" ht="19" customHeight="1">
      <x:c r="A731" s="19" t="str">
        <x:v>D00727</x:v>
      </x:c>
      <x:c r="B731" s="19" t="n">
        <x:v>3</x:v>
      </x:c>
      <x:c r="C731" s="19" t="n">
        <x:v>1</x:v>
      </x:c>
      <x:c r="D731" s="19" t="str">
        <x:v>C03-M009</x:v>
      </x:c>
      <x:c r="E731" s="19" t="str">
        <x:v>荒风骑士</x:v>
      </x:c>
      <x:c r="F731" s="19" t="str">
        <x:v>稀有</x:v>
      </x:c>
      <x:c r="G731" s="19" t="str">
        <x:v>材料独立候选</x:v>
      </x:c>
      <x:c r="H731" s="19" t="str">
        <x:v>商队火漆</x:v>
      </x:c>
      <x:c r="I731" s="22" t="n">
        <x:v>600</x:v>
      </x:c>
      <x:c r="J731" s="22" t="n">
        <x:v>1</x:v>
      </x:c>
      <x:c r="K731" s="19" t="n">
        <x:v>1</x:v>
      </x:c>
      <x:c r="L731" s="24" t="n">
        <x:v>13.799999999999999</x:v>
      </x:c>
      <x:c r="M731" s="26" t="n">
        <x:v>0.1</x:v>
      </x:c>
      <x:c r="N731" s="24" t="n">
        <x:v>12</x:v>
      </x:c>
      <x:c r="O731" s="28" t="n">
        <x:f>MIN(1,L731/I731)</x:f>
        <x:v>0.023</x:v>
      </x:c>
      <x:c r="P731" s="30" t="n">
        <x:f>O731*J731*(1+M731)</x:f>
        <x:v>0.025300000000000003</x:v>
      </x:c>
      <x:c r="Q731" s="30" t="n">
        <x:f>P731*N731</x:f>
        <x:v>0.30360000000000004</x:v>
      </x:c>
      <x:c r="R731" s="19" t="str">
        <x:v>独立判定</x:v>
      </x:c>
    </x:row>
    <x:row r="732" ht="19" customHeight="1">
      <x:c r="A732" s="19" t="str">
        <x:v>D00728</x:v>
      </x:c>
      <x:c r="B732" s="19" t="n">
        <x:v>3</x:v>
      </x:c>
      <x:c r="C732" s="19" t="n">
        <x:v>1</x:v>
      </x:c>
      <x:c r="D732" s="19" t="str">
        <x:v>C03-M009</x:v>
      </x:c>
      <x:c r="E732" s="19" t="str">
        <x:v>荒风骑士</x:v>
      </x:c>
      <x:c r="F732" s="19" t="str">
        <x:v>稀有</x:v>
      </x:c>
      <x:c r="G732" s="19" t="str">
        <x:v>材料独立候选</x:v>
      </x:c>
      <x:c r="H732" s="19" t="str">
        <x:v>西境风痕碑拓</x:v>
      </x:c>
      <x:c r="I732" s="22" t="n">
        <x:v>400000</x:v>
      </x:c>
      <x:c r="J732" s="22" t="n">
        <x:v>1</x:v>
      </x:c>
      <x:c r="K732" s="19" t="n">
        <x:v>1</x:v>
      </x:c>
      <x:c r="L732" s="24" t="n">
        <x:v>13.799999999999999</x:v>
      </x:c>
      <x:c r="M732" s="26" t="n">
        <x:v>0.1</x:v>
      </x:c>
      <x:c r="N732" s="24" t="n">
        <x:v>12</x:v>
      </x:c>
      <x:c r="O732" s="28" t="n">
        <x:f>MIN(1,L732/I732)</x:f>
        <x:v>0.0000345</x:v>
      </x:c>
      <x:c r="P732" s="30" t="n">
        <x:f>O732*J732*(1+M732)</x:f>
        <x:v>0.00003795</x:v>
      </x:c>
      <x:c r="Q732" s="30" t="n">
        <x:f>P732*N732</x:f>
        <x:v>0.0004554</x:v>
      </x:c>
      <x:c r="R732" s="19" t="str">
        <x:v>独立判定</x:v>
      </x:c>
    </x:row>
    <x:row r="733" ht="19" customHeight="1">
      <x:c r="A733" s="19" t="str">
        <x:v>D00729</x:v>
      </x:c>
      <x:c r="B733" s="19" t="n">
        <x:v>3</x:v>
      </x:c>
      <x:c r="C733" s="19" t="n">
        <x:v>1</x:v>
      </x:c>
      <x:c r="D733" s="19" t="str">
        <x:v>C03-M009</x:v>
      </x:c>
      <x:c r="E733" s="19" t="str">
        <x:v>荒风骑士</x:v>
      </x:c>
      <x:c r="F733" s="19" t="str">
        <x:v>稀有</x:v>
      </x:c>
      <x:c r="G733" s="19" t="str">
        <x:v>材料独立候选</x:v>
      </x:c>
      <x:c r="H733" s="19" t="str">
        <x:v>黄金树芽</x:v>
      </x:c>
      <x:c r="I733" s="22" t="n">
        <x:v>1500</x:v>
      </x:c>
      <x:c r="J733" s="22" t="n">
        <x:v>1</x:v>
      </x:c>
      <x:c r="K733" s="19" t="n">
        <x:v>1</x:v>
      </x:c>
      <x:c r="L733" s="24" t="n">
        <x:v>13.799999999999999</x:v>
      </x:c>
      <x:c r="M733" s="26" t="n">
        <x:v>0.1</x:v>
      </x:c>
      <x:c r="N733" s="24" t="n">
        <x:v>12</x:v>
      </x:c>
      <x:c r="O733" s="28" t="n">
        <x:f>MIN(1,L733/I733)</x:f>
        <x:v>0.0092</x:v>
      </x:c>
      <x:c r="P733" s="30" t="n">
        <x:f>O733*J733*(1+M733)</x:f>
        <x:v>0.01012</x:v>
      </x:c>
      <x:c r="Q733" s="30" t="n">
        <x:f>P733*N733</x:f>
        <x:v>0.12144</x:v>
      </x:c>
      <x:c r="R733" s="19" t="str">
        <x:v>独立判定</x:v>
      </x:c>
    </x:row>
    <x:row r="734" ht="19" customHeight="1">
      <x:c r="A734" s="19" t="str">
        <x:v>D00730</x:v>
      </x:c>
      <x:c r="B734" s="19" t="n">
        <x:v>3</x:v>
      </x:c>
      <x:c r="C734" s="19" t="n">
        <x:v>1</x:v>
      </x:c>
      <x:c r="D734" s="19" t="str">
        <x:v>C03-M009</x:v>
      </x:c>
      <x:c r="E734" s="19" t="str">
        <x:v>荒风骑士</x:v>
      </x:c>
      <x:c r="F734" s="19" t="str">
        <x:v>稀有</x:v>
      </x:c>
      <x:c r="G734" s="19" t="str">
        <x:v>材料独立候选</x:v>
      </x:c>
      <x:c r="H734" s="19" t="str">
        <x:v>野兽骨片</x:v>
      </x:c>
      <x:c r="I734" s="22" t="n">
        <x:v>60</x:v>
      </x:c>
      <x:c r="J734" s="22" t="n">
        <x:v>2</x:v>
      </x:c>
      <x:c r="K734" s="19" t="n">
        <x:v>1</x:v>
      </x:c>
      <x:c r="L734" s="24" t="n">
        <x:v>13.799999999999999</x:v>
      </x:c>
      <x:c r="M734" s="26" t="n">
        <x:v>0.1</x:v>
      </x:c>
      <x:c r="N734" s="24" t="n">
        <x:v>12</x:v>
      </x:c>
      <x:c r="O734" s="28" t="n">
        <x:f>MIN(1,L734/I734)</x:f>
        <x:v>0.22999999999999998</x:v>
      </x:c>
      <x:c r="P734" s="30" t="n">
        <x:f>O734*J734*(1+M734)</x:f>
        <x:v>0.506</x:v>
      </x:c>
      <x:c r="Q734" s="30" t="n">
        <x:f>P734*N734</x:f>
        <x:v>6.072</x:v>
      </x:c>
      <x:c r="R734" s="19" t="str">
        <x:v>独立判定</x:v>
      </x:c>
    </x:row>
    <x:row r="735" ht="19" customHeight="1">
      <x:c r="A735" s="19" t="str">
        <x:v>D00731</x:v>
      </x:c>
      <x:c r="B735" s="19" t="n">
        <x:v>3</x:v>
      </x:c>
      <x:c r="C735" s="19" t="n">
        <x:v>1</x:v>
      </x:c>
      <x:c r="D735" s="19" t="str">
        <x:v>C03-M009</x:v>
      </x:c>
      <x:c r="E735" s="19" t="str">
        <x:v>荒风骑士</x:v>
      </x:c>
      <x:c r="F735" s="19" t="str">
        <x:v>稀有</x:v>
      </x:c>
      <x:c r="G735" s="19" t="str">
        <x:v>材料独立候选</x:v>
      </x:c>
      <x:c r="H735" s="19" t="str">
        <x:v>技能残页</x:v>
      </x:c>
      <x:c r="I735" s="22" t="n">
        <x:v>150</x:v>
      </x:c>
      <x:c r="J735" s="22" t="n">
        <x:v>1</x:v>
      </x:c>
      <x:c r="K735" s="19" t="n">
        <x:v>1</x:v>
      </x:c>
      <x:c r="L735" s="24" t="n">
        <x:v>13.799999999999999</x:v>
      </x:c>
      <x:c r="M735" s="26" t="n">
        <x:v>0.1</x:v>
      </x:c>
      <x:c r="N735" s="24" t="n">
        <x:v>12</x:v>
      </x:c>
      <x:c r="O735" s="28" t="n">
        <x:f>MIN(1,L735/I735)</x:f>
        <x:v>0.092</x:v>
      </x:c>
      <x:c r="P735" s="30" t="n">
        <x:f>O735*J735*(1+M735)</x:f>
        <x:v>0.10120000000000001</x:v>
      </x:c>
      <x:c r="Q735" s="30" t="n">
        <x:f>P735*N735</x:f>
        <x:v>1.2144000000000001</x:v>
      </x:c>
      <x:c r="R735" s="19" t="str">
        <x:v>独立判定</x:v>
      </x:c>
    </x:row>
    <x:row r="736" ht="19" customHeight="1">
      <x:c r="A736" s="19" t="str">
        <x:v>D00732</x:v>
      </x:c>
      <x:c r="B736" s="19" t="n">
        <x:v>3</x:v>
      </x:c>
      <x:c r="C736" s="19" t="n">
        <x:v>1</x:v>
      </x:c>
      <x:c r="D736" s="19" t="str">
        <x:v>C03-M009</x:v>
      </x:c>
      <x:c r="E736" s="19" t="str">
        <x:v>荒风骑士</x:v>
      </x:c>
      <x:c r="F736" s="19" t="str">
        <x:v>稀有</x:v>
      </x:c>
      <x:c r="G736" s="19" t="str">
        <x:v>材料独立候选</x:v>
      </x:c>
      <x:c r="H736" s="19" t="str">
        <x:v>小卢恩</x:v>
      </x:c>
      <x:c r="I736" s="22" t="n">
        <x:v>2500</x:v>
      </x:c>
      <x:c r="J736" s="22" t="n">
        <x:v>1</x:v>
      </x:c>
      <x:c r="K736" s="19" t="n">
        <x:v>1</x:v>
      </x:c>
      <x:c r="L736" s="24" t="n">
        <x:v>13.799999999999999</x:v>
      </x:c>
      <x:c r="M736" s="26" t="n">
        <x:v>0.1</x:v>
      </x:c>
      <x:c r="N736" s="24" t="n">
        <x:v>12</x:v>
      </x:c>
      <x:c r="O736" s="28" t="n">
        <x:f>MIN(1,L736/I736)</x:f>
        <x:v>0.00552</x:v>
      </x:c>
      <x:c r="P736" s="30" t="n">
        <x:f>O736*J736*(1+M736)</x:f>
        <x:v>0.006072</x:v>
      </x:c>
      <x:c r="Q736" s="30" t="n">
        <x:f>P736*N736</x:f>
        <x:v>0.072864</x:v>
      </x:c>
      <x:c r="R736" s="19" t="str">
        <x:v>独立判定</x:v>
      </x:c>
    </x:row>
    <x:row r="737" ht="19" customHeight="1">
      <x:c r="A737" s="19" t="str">
        <x:v>D00733</x:v>
      </x:c>
      <x:c r="B737" s="19" t="n">
        <x:v>3</x:v>
      </x:c>
      <x:c r="C737" s="19" t="n">
        <x:v>1</x:v>
      </x:c>
      <x:c r="D737" s="19" t="str">
        <x:v>C03-M009</x:v>
      </x:c>
      <x:c r="E737" s="19" t="str">
        <x:v>荒风骑士</x:v>
      </x:c>
      <x:c r="F737" s="19" t="str">
        <x:v>稀有</x:v>
      </x:c>
      <x:c r="G737" s="19" t="str">
        <x:v>六神器公共池</x:v>
      </x:c>
      <x:c r="H737" s="19" t="str">
        <x:v>POOL006</x:v>
      </x:c>
      <x:c r="I737" s="22" t="n">
        <x:v>5000000</x:v>
      </x:c>
      <x:c r="J737" s="22" t="n">
        <x:v>1</x:v>
      </x:c>
      <x:c r="K737" s="19" t="n">
        <x:v>6</x:v>
      </x:c>
      <x:c r="L737" s="24" t="n">
        <x:v>13.799999999999999</x:v>
      </x:c>
      <x:c r="M737" s="26" t="n">
        <x:v>0.1</x:v>
      </x:c>
      <x:c r="N737" s="24" t="n">
        <x:v>12</x:v>
      </x:c>
      <x:c r="O737" s="28" t="n">
        <x:f>MIN(1,L737/I737)</x:f>
        <x:v>0.00000276</x:v>
      </x:c>
      <x:c r="P737" s="30" t="n">
        <x:f>O737*J737*(1+M737)</x:f>
        <x:v>0.0000030360000000000002</x:v>
      </x:c>
      <x:c r="Q737" s="30" t="n">
        <x:f>P737*N737</x:f>
        <x:v>0.000036432000000000006</x:v>
      </x:c>
      <x:c r="R737" s="19" t="str">
        <x:v>六选一；非6个独立爆率</x:v>
      </x:c>
    </x:row>
    <x:row r="738" ht="19" customHeight="1">
      <x:c r="A738" s="19" t="str">
        <x:v>D00734</x:v>
      </x:c>
      <x:c r="B738" s="19" t="n">
        <x:v>3</x:v>
      </x:c>
      <x:c r="C738" s="19" t="n">
        <x:v>1</x:v>
      </x:c>
      <x:c r="D738" s="19" t="str">
        <x:v>C03-M010</x:v>
      </x:c>
      <x:c r="E738" s="19" t="str">
        <x:v>战场收尸官</x:v>
      </x:c>
      <x:c r="F738" s="19" t="str">
        <x:v>稀有</x:v>
      </x:c>
      <x:c r="G738" s="19" t="str">
        <x:v>自身专属</x:v>
      </x:c>
      <x:c r="H738" s="19" t="str">
        <x:v>收尸骨印</x:v>
      </x:c>
      <x:c r="I738" s="22" t="n">
        <x:v>200</x:v>
      </x:c>
      <x:c r="J738" s="22" t="n">
        <x:v>1</x:v>
      </x:c>
      <x:c r="K738" s="19" t="n">
        <x:v>1</x:v>
      </x:c>
      <x:c r="L738" s="24" t="n">
        <x:v>13.799999999999999</x:v>
      </x:c>
      <x:c r="M738" s="26" t="n">
        <x:v>0.1</x:v>
      </x:c>
      <x:c r="N738" s="24" t="n">
        <x:v>12</x:v>
      </x:c>
      <x:c r="O738" s="28" t="n">
        <x:f>MIN(1,L738/I738)</x:f>
        <x:v>0.06899999999999999</x:v>
      </x:c>
      <x:c r="P738" s="30" t="n">
        <x:f>O738*J738*(1+M738)</x:f>
        <x:v>0.0759</x:v>
      </x:c>
      <x:c r="Q738" s="30" t="n">
        <x:f>P738*N738</x:f>
        <x:v>0.9107999999999999</x:v>
      </x:c>
      <x:c r="R738" s="19" t="str">
        <x:v>独立判定</x:v>
      </x:c>
    </x:row>
    <x:row r="739" ht="19" customHeight="1">
      <x:c r="A739" s="19" t="str">
        <x:v>D00735</x:v>
      </x:c>
      <x:c r="B739" s="19" t="n">
        <x:v>3</x:v>
      </x:c>
      <x:c r="C739" s="19" t="n">
        <x:v>1</x:v>
      </x:c>
      <x:c r="D739" s="19" t="str">
        <x:v>C03-M010</x:v>
      </x:c>
      <x:c r="E739" s="19" t="str">
        <x:v>战场收尸官</x:v>
      </x:c>
      <x:c r="F739" s="19" t="str">
        <x:v>稀有</x:v>
      </x:c>
      <x:c r="G739" s="19" t="str">
        <x:v>材料独立候选</x:v>
      </x:c>
      <x:c r="H739" s="19" t="str">
        <x:v>风蚀铁片</x:v>
      </x:c>
      <x:c r="I739" s="22" t="n">
        <x:v>400</x:v>
      </x:c>
      <x:c r="J739" s="22" t="n">
        <x:v>15</x:v>
      </x:c>
      <x:c r="K739" s="19" t="n">
        <x:v>1</x:v>
      </x:c>
      <x:c r="L739" s="24" t="n">
        <x:v>13.799999999999999</x:v>
      </x:c>
      <x:c r="M739" s="26" t="n">
        <x:v>0.1</x:v>
      </x:c>
      <x:c r="N739" s="24" t="n">
        <x:v>12</x:v>
      </x:c>
      <x:c r="O739" s="28" t="n">
        <x:f>MIN(1,L739/I739)</x:f>
        <x:v>0.034499999999999996</x:v>
      </x:c>
      <x:c r="P739" s="30" t="n">
        <x:f>O739*J739*(1+M739)</x:f>
        <x:v>0.56925</x:v>
      </x:c>
      <x:c r="Q739" s="30" t="n">
        <x:f>P739*N739</x:f>
        <x:v>6.831</x:v>
      </x:c>
      <x:c r="R739" s="19" t="str">
        <x:v>独立判定</x:v>
      </x:c>
    </x:row>
    <x:row r="740" ht="19" customHeight="1">
      <x:c r="A740" s="19" t="str">
        <x:v>D00736</x:v>
      </x:c>
      <x:c r="B740" s="19" t="n">
        <x:v>3</x:v>
      </x:c>
      <x:c r="C740" s="19" t="n">
        <x:v>1</x:v>
      </x:c>
      <x:c r="D740" s="19" t="str">
        <x:v>C03-M010</x:v>
      </x:c>
      <x:c r="E740" s="19" t="str">
        <x:v>战场收尸官</x:v>
      </x:c>
      <x:c r="F740" s="19" t="str">
        <x:v>稀有</x:v>
      </x:c>
      <x:c r="G740" s="19" t="str">
        <x:v>材料独立候选</x:v>
      </x:c>
      <x:c r="H740" s="19" t="str">
        <x:v>西境战旗</x:v>
      </x:c>
      <x:c r="I740" s="22" t="n">
        <x:v>600</x:v>
      </x:c>
      <x:c r="J740" s="22" t="n">
        <x:v>1</x:v>
      </x:c>
      <x:c r="K740" s="19" t="n">
        <x:v>1</x:v>
      </x:c>
      <x:c r="L740" s="24" t="n">
        <x:v>13.799999999999999</x:v>
      </x:c>
      <x:c r="M740" s="26" t="n">
        <x:v>0.1</x:v>
      </x:c>
      <x:c r="N740" s="24" t="n">
        <x:v>12</x:v>
      </x:c>
      <x:c r="O740" s="28" t="n">
        <x:f>MIN(1,L740/I740)</x:f>
        <x:v>0.023</x:v>
      </x:c>
      <x:c r="P740" s="30" t="n">
        <x:f>O740*J740*(1+M740)</x:f>
        <x:v>0.025300000000000003</x:v>
      </x:c>
      <x:c r="Q740" s="30" t="n">
        <x:f>P740*N740</x:f>
        <x:v>0.30360000000000004</x:v>
      </x:c>
      <x:c r="R740" s="19" t="str">
        <x:v>独立判定</x:v>
      </x:c>
    </x:row>
    <x:row r="741" ht="19" customHeight="1">
      <x:c r="A741" s="19" t="str">
        <x:v>D00737</x:v>
      </x:c>
      <x:c r="B741" s="19" t="n">
        <x:v>3</x:v>
      </x:c>
      <x:c r="C741" s="19" t="n">
        <x:v>1</x:v>
      </x:c>
      <x:c r="D741" s="19" t="str">
        <x:v>C03-M010</x:v>
      </x:c>
      <x:c r="E741" s="19" t="str">
        <x:v>战场收尸官</x:v>
      </x:c>
      <x:c r="F741" s="19" t="str">
        <x:v>稀有</x:v>
      </x:c>
      <x:c r="G741" s="19" t="str">
        <x:v>材料独立候选</x:v>
      </x:c>
      <x:c r="H741" s="19" t="str">
        <x:v>商队火漆</x:v>
      </x:c>
      <x:c r="I741" s="22" t="n">
        <x:v>600</x:v>
      </x:c>
      <x:c r="J741" s="22" t="n">
        <x:v>1</x:v>
      </x:c>
      <x:c r="K741" s="19" t="n">
        <x:v>1</x:v>
      </x:c>
      <x:c r="L741" s="24" t="n">
        <x:v>13.799999999999999</x:v>
      </x:c>
      <x:c r="M741" s="26" t="n">
        <x:v>0.1</x:v>
      </x:c>
      <x:c r="N741" s="24" t="n">
        <x:v>12</x:v>
      </x:c>
      <x:c r="O741" s="28" t="n">
        <x:f>MIN(1,L741/I741)</x:f>
        <x:v>0.023</x:v>
      </x:c>
      <x:c r="P741" s="30" t="n">
        <x:f>O741*J741*(1+M741)</x:f>
        <x:v>0.025300000000000003</x:v>
      </x:c>
      <x:c r="Q741" s="30" t="n">
        <x:f>P741*N741</x:f>
        <x:v>0.30360000000000004</x:v>
      </x:c>
      <x:c r="R741" s="19" t="str">
        <x:v>独立判定</x:v>
      </x:c>
    </x:row>
    <x:row r="742" ht="19" customHeight="1">
      <x:c r="A742" s="19" t="str">
        <x:v>D00738</x:v>
      </x:c>
      <x:c r="B742" s="19" t="n">
        <x:v>3</x:v>
      </x:c>
      <x:c r="C742" s="19" t="n">
        <x:v>1</x:v>
      </x:c>
      <x:c r="D742" s="19" t="str">
        <x:v>C03-M010</x:v>
      </x:c>
      <x:c r="E742" s="19" t="str">
        <x:v>战场收尸官</x:v>
      </x:c>
      <x:c r="F742" s="19" t="str">
        <x:v>稀有</x:v>
      </x:c>
      <x:c r="G742" s="19" t="str">
        <x:v>材料独立候选</x:v>
      </x:c>
      <x:c r="H742" s="19" t="str">
        <x:v>西境风痕碑拓</x:v>
      </x:c>
      <x:c r="I742" s="22" t="n">
        <x:v>400000</x:v>
      </x:c>
      <x:c r="J742" s="22" t="n">
        <x:v>1</x:v>
      </x:c>
      <x:c r="K742" s="19" t="n">
        <x:v>1</x:v>
      </x:c>
      <x:c r="L742" s="24" t="n">
        <x:v>13.799999999999999</x:v>
      </x:c>
      <x:c r="M742" s="26" t="n">
        <x:v>0.1</x:v>
      </x:c>
      <x:c r="N742" s="24" t="n">
        <x:v>12</x:v>
      </x:c>
      <x:c r="O742" s="28" t="n">
        <x:f>MIN(1,L742/I742)</x:f>
        <x:v>0.0000345</x:v>
      </x:c>
      <x:c r="P742" s="30" t="n">
        <x:f>O742*J742*(1+M742)</x:f>
        <x:v>0.00003795</x:v>
      </x:c>
      <x:c r="Q742" s="30" t="n">
        <x:f>P742*N742</x:f>
        <x:v>0.0004554</x:v>
      </x:c>
      <x:c r="R742" s="19" t="str">
        <x:v>独立判定</x:v>
      </x:c>
    </x:row>
    <x:row r="743" ht="19" customHeight="1">
      <x:c r="A743" s="19" t="str">
        <x:v>D00739</x:v>
      </x:c>
      <x:c r="B743" s="19" t="n">
        <x:v>3</x:v>
      </x:c>
      <x:c r="C743" s="19" t="n">
        <x:v>1</x:v>
      </x:c>
      <x:c r="D743" s="19" t="str">
        <x:v>C03-M010</x:v>
      </x:c>
      <x:c r="E743" s="19" t="str">
        <x:v>战场收尸官</x:v>
      </x:c>
      <x:c r="F743" s="19" t="str">
        <x:v>稀有</x:v>
      </x:c>
      <x:c r="G743" s="19" t="str">
        <x:v>材料独立候选</x:v>
      </x:c>
      <x:c r="H743" s="19" t="str">
        <x:v>黄金树芽</x:v>
      </x:c>
      <x:c r="I743" s="22" t="n">
        <x:v>1500</x:v>
      </x:c>
      <x:c r="J743" s="22" t="n">
        <x:v>1</x:v>
      </x:c>
      <x:c r="K743" s="19" t="n">
        <x:v>1</x:v>
      </x:c>
      <x:c r="L743" s="24" t="n">
        <x:v>13.799999999999999</x:v>
      </x:c>
      <x:c r="M743" s="26" t="n">
        <x:v>0.1</x:v>
      </x:c>
      <x:c r="N743" s="24" t="n">
        <x:v>12</x:v>
      </x:c>
      <x:c r="O743" s="28" t="n">
        <x:f>MIN(1,L743/I743)</x:f>
        <x:v>0.0092</x:v>
      </x:c>
      <x:c r="P743" s="30" t="n">
        <x:f>O743*J743*(1+M743)</x:f>
        <x:v>0.01012</x:v>
      </x:c>
      <x:c r="Q743" s="30" t="n">
        <x:f>P743*N743</x:f>
        <x:v>0.12144</x:v>
      </x:c>
      <x:c r="R743" s="19" t="str">
        <x:v>独立判定</x:v>
      </x:c>
    </x:row>
    <x:row r="744" ht="19" customHeight="1">
      <x:c r="A744" s="19" t="str">
        <x:v>D00740</x:v>
      </x:c>
      <x:c r="B744" s="19" t="n">
        <x:v>3</x:v>
      </x:c>
      <x:c r="C744" s="19" t="n">
        <x:v>1</x:v>
      </x:c>
      <x:c r="D744" s="19" t="str">
        <x:v>C03-M010</x:v>
      </x:c>
      <x:c r="E744" s="19" t="str">
        <x:v>战场收尸官</x:v>
      </x:c>
      <x:c r="F744" s="19" t="str">
        <x:v>稀有</x:v>
      </x:c>
      <x:c r="G744" s="19" t="str">
        <x:v>材料独立候选</x:v>
      </x:c>
      <x:c r="H744" s="19" t="str">
        <x:v>野兽骨片</x:v>
      </x:c>
      <x:c r="I744" s="22" t="n">
        <x:v>60</x:v>
      </x:c>
      <x:c r="J744" s="22" t="n">
        <x:v>2</x:v>
      </x:c>
      <x:c r="K744" s="19" t="n">
        <x:v>1</x:v>
      </x:c>
      <x:c r="L744" s="24" t="n">
        <x:v>13.799999999999999</x:v>
      </x:c>
      <x:c r="M744" s="26" t="n">
        <x:v>0.1</x:v>
      </x:c>
      <x:c r="N744" s="24" t="n">
        <x:v>12</x:v>
      </x:c>
      <x:c r="O744" s="28" t="n">
        <x:f>MIN(1,L744/I744)</x:f>
        <x:v>0.22999999999999998</x:v>
      </x:c>
      <x:c r="P744" s="30" t="n">
        <x:f>O744*J744*(1+M744)</x:f>
        <x:v>0.506</x:v>
      </x:c>
      <x:c r="Q744" s="30" t="n">
        <x:f>P744*N744</x:f>
        <x:v>6.072</x:v>
      </x:c>
      <x:c r="R744" s="19" t="str">
        <x:v>独立判定</x:v>
      </x:c>
    </x:row>
    <x:row r="745" ht="19" customHeight="1">
      <x:c r="A745" s="19" t="str">
        <x:v>D00741</x:v>
      </x:c>
      <x:c r="B745" s="19" t="n">
        <x:v>3</x:v>
      </x:c>
      <x:c r="C745" s="19" t="n">
        <x:v>1</x:v>
      </x:c>
      <x:c r="D745" s="19" t="str">
        <x:v>C03-M010</x:v>
      </x:c>
      <x:c r="E745" s="19" t="str">
        <x:v>战场收尸官</x:v>
      </x:c>
      <x:c r="F745" s="19" t="str">
        <x:v>稀有</x:v>
      </x:c>
      <x:c r="G745" s="19" t="str">
        <x:v>材料独立候选</x:v>
      </x:c>
      <x:c r="H745" s="19" t="str">
        <x:v>技能残页</x:v>
      </x:c>
      <x:c r="I745" s="22" t="n">
        <x:v>150</x:v>
      </x:c>
      <x:c r="J745" s="22" t="n">
        <x:v>1</x:v>
      </x:c>
      <x:c r="K745" s="19" t="n">
        <x:v>1</x:v>
      </x:c>
      <x:c r="L745" s="24" t="n">
        <x:v>13.799999999999999</x:v>
      </x:c>
      <x:c r="M745" s="26" t="n">
        <x:v>0.1</x:v>
      </x:c>
      <x:c r="N745" s="24" t="n">
        <x:v>12</x:v>
      </x:c>
      <x:c r="O745" s="28" t="n">
        <x:f>MIN(1,L745/I745)</x:f>
        <x:v>0.092</x:v>
      </x:c>
      <x:c r="P745" s="30" t="n">
        <x:f>O745*J745*(1+M745)</x:f>
        <x:v>0.10120000000000001</x:v>
      </x:c>
      <x:c r="Q745" s="30" t="n">
        <x:f>P745*N745</x:f>
        <x:v>1.2144000000000001</x:v>
      </x:c>
      <x:c r="R745" s="19" t="str">
        <x:v>独立判定</x:v>
      </x:c>
    </x:row>
    <x:row r="746" ht="19" customHeight="1">
      <x:c r="A746" s="19" t="str">
        <x:v>D00742</x:v>
      </x:c>
      <x:c r="B746" s="19" t="n">
        <x:v>3</x:v>
      </x:c>
      <x:c r="C746" s="19" t="n">
        <x:v>1</x:v>
      </x:c>
      <x:c r="D746" s="19" t="str">
        <x:v>C03-M010</x:v>
      </x:c>
      <x:c r="E746" s="19" t="str">
        <x:v>战场收尸官</x:v>
      </x:c>
      <x:c r="F746" s="19" t="str">
        <x:v>稀有</x:v>
      </x:c>
      <x:c r="G746" s="19" t="str">
        <x:v>材料独立候选</x:v>
      </x:c>
      <x:c r="H746" s="19" t="str">
        <x:v>小卢恩</x:v>
      </x:c>
      <x:c r="I746" s="22" t="n">
        <x:v>2500</x:v>
      </x:c>
      <x:c r="J746" s="22" t="n">
        <x:v>1</x:v>
      </x:c>
      <x:c r="K746" s="19" t="n">
        <x:v>1</x:v>
      </x:c>
      <x:c r="L746" s="24" t="n">
        <x:v>13.799999999999999</x:v>
      </x:c>
      <x:c r="M746" s="26" t="n">
        <x:v>0.1</x:v>
      </x:c>
      <x:c r="N746" s="24" t="n">
        <x:v>12</x:v>
      </x:c>
      <x:c r="O746" s="28" t="n">
        <x:f>MIN(1,L746/I746)</x:f>
        <x:v>0.00552</x:v>
      </x:c>
      <x:c r="P746" s="30" t="n">
        <x:f>O746*J746*(1+M746)</x:f>
        <x:v>0.006072</x:v>
      </x:c>
      <x:c r="Q746" s="30" t="n">
        <x:f>P746*N746</x:f>
        <x:v>0.072864</x:v>
      </x:c>
      <x:c r="R746" s="19" t="str">
        <x:v>独立判定</x:v>
      </x:c>
    </x:row>
    <x:row r="747" ht="19" customHeight="1">
      <x:c r="A747" s="19" t="str">
        <x:v>D00743</x:v>
      </x:c>
      <x:c r="B747" s="19" t="n">
        <x:v>3</x:v>
      </x:c>
      <x:c r="C747" s="19" t="n">
        <x:v>1</x:v>
      </x:c>
      <x:c r="D747" s="19" t="str">
        <x:v>C03-M010</x:v>
      </x:c>
      <x:c r="E747" s="19" t="str">
        <x:v>战场收尸官</x:v>
      </x:c>
      <x:c r="F747" s="19" t="str">
        <x:v>稀有</x:v>
      </x:c>
      <x:c r="G747" s="19" t="str">
        <x:v>六神器公共池</x:v>
      </x:c>
      <x:c r="H747" s="19" t="str">
        <x:v>POOL006</x:v>
      </x:c>
      <x:c r="I747" s="22" t="n">
        <x:v>5000000</x:v>
      </x:c>
      <x:c r="J747" s="22" t="n">
        <x:v>1</x:v>
      </x:c>
      <x:c r="K747" s="19" t="n">
        <x:v>6</x:v>
      </x:c>
      <x:c r="L747" s="24" t="n">
        <x:v>13.799999999999999</x:v>
      </x:c>
      <x:c r="M747" s="26" t="n">
        <x:v>0.1</x:v>
      </x:c>
      <x:c r="N747" s="24" t="n">
        <x:v>12</x:v>
      </x:c>
      <x:c r="O747" s="28" t="n">
        <x:f>MIN(1,L747/I747)</x:f>
        <x:v>0.00000276</x:v>
      </x:c>
      <x:c r="P747" s="30" t="n">
        <x:f>O747*J747*(1+M747)</x:f>
        <x:v>0.0000030360000000000002</x:v>
      </x:c>
      <x:c r="Q747" s="30" t="n">
        <x:f>P747*N747</x:f>
        <x:v>0.000036432000000000006</x:v>
      </x:c>
      <x:c r="R747" s="19" t="str">
        <x:v>六选一；非6个独立爆率</x:v>
      </x:c>
    </x:row>
    <x:row r="748" ht="19" customHeight="1">
      <x:c r="A748" s="19" t="str">
        <x:v>D00744</x:v>
      </x:c>
      <x:c r="B748" s="19" t="n">
        <x:v>3</x:v>
      </x:c>
      <x:c r="C748" s="19" t="n">
        <x:v>1</x:v>
      </x:c>
      <x:c r="D748" s="19" t="str">
        <x:v>C03-M011</x:v>
      </x:c>
      <x:c r="E748" s="19" t="str">
        <x:v>断旗统领·瓦伦</x:v>
      </x:c>
      <x:c r="F748" s="19" t="str">
        <x:v>地图BOSS</x:v>
      </x:c>
      <x:c r="G748" s="19" t="str">
        <x:v>自身专属</x:v>
      </x:c>
      <x:c r="H748" s="19" t="str">
        <x:v>统领断旗枪</x:v>
      </x:c>
      <x:c r="I748" s="22" t="n">
        <x:v>30</x:v>
      </x:c>
      <x:c r="J748" s="22" t="n">
        <x:v>1</x:v>
      </x:c>
      <x:c r="K748" s="19" t="n">
        <x:v>1</x:v>
      </x:c>
      <x:c r="L748" s="24" t="n">
        <x:v>13.799999999999999</x:v>
      </x:c>
      <x:c r="M748" s="26" t="n">
        <x:v>0.1</x:v>
      </x:c>
      <x:c r="N748" s="24" t="n">
        <x:v>2</x:v>
      </x:c>
      <x:c r="O748" s="28" t="n">
        <x:f>MIN(1,L748/I748)</x:f>
        <x:v>0.45999999999999996</x:v>
      </x:c>
      <x:c r="P748" s="30" t="n">
        <x:f>O748*J748*(1+M748)</x:f>
        <x:v>0.506</x:v>
      </x:c>
      <x:c r="Q748" s="30" t="n">
        <x:f>P748*N748</x:f>
        <x:v>1.012</x:v>
      </x:c>
      <x:c r="R748" s="19" t="str">
        <x:v>独立判定</x:v>
      </x:c>
    </x:row>
    <x:row r="749" ht="19" customHeight="1">
      <x:c r="A749" s="19" t="str">
        <x:v>D00745</x:v>
      </x:c>
      <x:c r="B749" s="19" t="n">
        <x:v>3</x:v>
      </x:c>
      <x:c r="C749" s="19" t="n">
        <x:v>1</x:v>
      </x:c>
      <x:c r="D749" s="19" t="str">
        <x:v>C03-M011</x:v>
      </x:c>
      <x:c r="E749" s="19" t="str">
        <x:v>断旗统领·瓦伦</x:v>
      </x:c>
      <x:c r="F749" s="19" t="str">
        <x:v>地图BOSS</x:v>
      </x:c>
      <x:c r="G749" s="19" t="str">
        <x:v>本图普通兼掉候选</x:v>
      </x:c>
      <x:c r="H749" s="19" t="str">
        <x:v>POOL012</x:v>
      </x:c>
      <x:c r="I749" s="22" t="n">
        <x:v>30</x:v>
      </x:c>
      <x:c r="J749" s="22" t="n">
        <x:v>1</x:v>
      </x:c>
      <x:c r="K749" s="19" t="n">
        <x:v>1</x:v>
      </x:c>
      <x:c r="L749" s="24" t="n">
        <x:v>13.799999999999999</x:v>
      </x:c>
      <x:c r="M749" s="26" t="n">
        <x:v>0.1</x:v>
      </x:c>
      <x:c r="N749" s="24" t="n">
        <x:v>2</x:v>
      </x:c>
      <x:c r="O749" s="28" t="n">
        <x:f>MIN(1,L749/I749)</x:f>
        <x:v>0.45999999999999996</x:v>
      </x:c>
      <x:c r="P749" s="30" t="n">
        <x:f>O749*J749*(1+M749)</x:f>
        <x:v>0.506</x:v>
      </x:c>
      <x:c r="Q749" s="30" t="n">
        <x:f>P749*N749</x:f>
        <x:v>1.012</x:v>
      </x:c>
      <x:c r="R749" s="19" t="str">
        <x:v>单池选一</x:v>
      </x:c>
    </x:row>
    <x:row r="750" ht="19" customHeight="1">
      <x:c r="A750" s="19" t="str">
        <x:v>D00746</x:v>
      </x:c>
      <x:c r="B750" s="19" t="n">
        <x:v>3</x:v>
      </x:c>
      <x:c r="C750" s="19" t="n">
        <x:v>1</x:v>
      </x:c>
      <x:c r="D750" s="19" t="str">
        <x:v>C03-M011</x:v>
      </x:c>
      <x:c r="E750" s="19" t="str">
        <x:v>断旗统领·瓦伦</x:v>
      </x:c>
      <x:c r="F750" s="19" t="str">
        <x:v>地图BOSS</x:v>
      </x:c>
      <x:c r="G750" s="19" t="str">
        <x:v>材料独立候选</x:v>
      </x:c>
      <x:c r="H750" s="19" t="str">
        <x:v>风蚀铁片</x:v>
      </x:c>
      <x:c r="I750" s="22" t="n">
        <x:v>200</x:v>
      </x:c>
      <x:c r="J750" s="22" t="n">
        <x:v>30</x:v>
      </x:c>
      <x:c r="K750" s="19" t="n">
        <x:v>1</x:v>
      </x:c>
      <x:c r="L750" s="24" t="n">
        <x:v>13.799999999999999</x:v>
      </x:c>
      <x:c r="M750" s="26" t="n">
        <x:v>0.1</x:v>
      </x:c>
      <x:c r="N750" s="24" t="n">
        <x:v>2</x:v>
      </x:c>
      <x:c r="O750" s="28" t="n">
        <x:f>MIN(1,L750/I750)</x:f>
        <x:v>0.06899999999999999</x:v>
      </x:c>
      <x:c r="P750" s="30" t="n">
        <x:f>O750*J750*(1+M750)</x:f>
        <x:v>2.277</x:v>
      </x:c>
      <x:c r="Q750" s="30" t="n">
        <x:f>P750*N750</x:f>
        <x:v>4.554</x:v>
      </x:c>
      <x:c r="R750" s="19" t="str">
        <x:v>独立判定</x:v>
      </x:c>
    </x:row>
    <x:row r="751" ht="19" customHeight="1">
      <x:c r="A751" s="19" t="str">
        <x:v>D00747</x:v>
      </x:c>
      <x:c r="B751" s="19" t="n">
        <x:v>3</x:v>
      </x:c>
      <x:c r="C751" s="19" t="n">
        <x:v>1</x:v>
      </x:c>
      <x:c r="D751" s="19" t="str">
        <x:v>C03-M011</x:v>
      </x:c>
      <x:c r="E751" s="19" t="str">
        <x:v>断旗统领·瓦伦</x:v>
      </x:c>
      <x:c r="F751" s="19" t="str">
        <x:v>地图BOSS</x:v>
      </x:c>
      <x:c r="G751" s="19" t="str">
        <x:v>材料独立候选</x:v>
      </x:c>
      <x:c r="H751" s="19" t="str">
        <x:v>西境战旗</x:v>
      </x:c>
      <x:c r="I751" s="22" t="n">
        <x:v>400</x:v>
      </x:c>
      <x:c r="J751" s="22" t="n">
        <x:v>1</x:v>
      </x:c>
      <x:c r="K751" s="19" t="n">
        <x:v>1</x:v>
      </x:c>
      <x:c r="L751" s="24" t="n">
        <x:v>13.799999999999999</x:v>
      </x:c>
      <x:c r="M751" s="26" t="n">
        <x:v>0.1</x:v>
      </x:c>
      <x:c r="N751" s="24" t="n">
        <x:v>2</x:v>
      </x:c>
      <x:c r="O751" s="28" t="n">
        <x:f>MIN(1,L751/I751)</x:f>
        <x:v>0.034499999999999996</x:v>
      </x:c>
      <x:c r="P751" s="30" t="n">
        <x:f>O751*J751*(1+M751)</x:f>
        <x:v>0.03795</x:v>
      </x:c>
      <x:c r="Q751" s="30" t="n">
        <x:f>P751*N751</x:f>
        <x:v>0.0759</x:v>
      </x:c>
      <x:c r="R751" s="19" t="str">
        <x:v>独立判定</x:v>
      </x:c>
    </x:row>
    <x:row r="752" ht="19" customHeight="1">
      <x:c r="A752" s="19" t="str">
        <x:v>D00748</x:v>
      </x:c>
      <x:c r="B752" s="19" t="n">
        <x:v>3</x:v>
      </x:c>
      <x:c r="C752" s="19" t="n">
        <x:v>1</x:v>
      </x:c>
      <x:c r="D752" s="19" t="str">
        <x:v>C03-M011</x:v>
      </x:c>
      <x:c r="E752" s="19" t="str">
        <x:v>断旗统领·瓦伦</x:v>
      </x:c>
      <x:c r="F752" s="19" t="str">
        <x:v>地图BOSS</x:v>
      </x:c>
      <x:c r="G752" s="19" t="str">
        <x:v>材料独立候选</x:v>
      </x:c>
      <x:c r="H752" s="19" t="str">
        <x:v>西境战旗印</x:v>
      </x:c>
      <x:c r="I752" s="22" t="n">
        <x:v>100</x:v>
      </x:c>
      <x:c r="J752" s="22" t="n">
        <x:v>2</x:v>
      </x:c>
      <x:c r="K752" s="19" t="n">
        <x:v>1</x:v>
      </x:c>
      <x:c r="L752" s="24" t="n">
        <x:v>13.799999999999999</x:v>
      </x:c>
      <x:c r="M752" s="26" t="n">
        <x:v>0.1</x:v>
      </x:c>
      <x:c r="N752" s="24" t="n">
        <x:v>2</x:v>
      </x:c>
      <x:c r="O752" s="28" t="n">
        <x:f>MIN(1,L752/I752)</x:f>
        <x:v>0.13799999999999998</x:v>
      </x:c>
      <x:c r="P752" s="30" t="n">
        <x:f>O752*J752*(1+M752)</x:f>
        <x:v>0.3036</x:v>
      </x:c>
      <x:c r="Q752" s="30" t="n">
        <x:f>P752*N752</x:f>
        <x:v>0.6072</x:v>
      </x:c>
      <x:c r="R752" s="19" t="str">
        <x:v>独立判定</x:v>
      </x:c>
    </x:row>
    <x:row r="753" ht="19" customHeight="1">
      <x:c r="A753" s="19" t="str">
        <x:v>D00749</x:v>
      </x:c>
      <x:c r="B753" s="19" t="n">
        <x:v>3</x:v>
      </x:c>
      <x:c r="C753" s="19" t="n">
        <x:v>1</x:v>
      </x:c>
      <x:c r="D753" s="19" t="str">
        <x:v>C03-M011</x:v>
      </x:c>
      <x:c r="E753" s="19" t="str">
        <x:v>断旗统领·瓦伦</x:v>
      </x:c>
      <x:c r="F753" s="19" t="str">
        <x:v>地图BOSS</x:v>
      </x:c>
      <x:c r="G753" s="19" t="str">
        <x:v>材料独立候选</x:v>
      </x:c>
      <x:c r="H753" s="19" t="str">
        <x:v>守垒铜钥</x:v>
      </x:c>
      <x:c r="I753" s="22" t="n">
        <x:v>100</x:v>
      </x:c>
      <x:c r="J753" s="22" t="n">
        <x:v>1</x:v>
      </x:c>
      <x:c r="K753" s="19" t="n">
        <x:v>1</x:v>
      </x:c>
      <x:c r="L753" s="24" t="n">
        <x:v>13.799999999999999</x:v>
      </x:c>
      <x:c r="M753" s="26" t="n">
        <x:v>0.1</x:v>
      </x:c>
      <x:c r="N753" s="24" t="n">
        <x:v>2</x:v>
      </x:c>
      <x:c r="O753" s="28" t="n">
        <x:f>MIN(1,L753/I753)</x:f>
        <x:v>0.13799999999999998</x:v>
      </x:c>
      <x:c r="P753" s="30" t="n">
        <x:f>O753*J753*(1+M753)</x:f>
        <x:v>0.1518</x:v>
      </x:c>
      <x:c r="Q753" s="30" t="n">
        <x:f>P753*N753</x:f>
        <x:v>0.3036</x:v>
      </x:c>
      <x:c r="R753" s="19" t="str">
        <x:v>独立判定</x:v>
      </x:c>
    </x:row>
    <x:row r="754" ht="19" customHeight="1">
      <x:c r="A754" s="19" t="str">
        <x:v>D00750</x:v>
      </x:c>
      <x:c r="B754" s="19" t="n">
        <x:v>3</x:v>
      </x:c>
      <x:c r="C754" s="19" t="n">
        <x:v>1</x:v>
      </x:c>
      <x:c r="D754" s="19" t="str">
        <x:v>C03-M011</x:v>
      </x:c>
      <x:c r="E754" s="19" t="str">
        <x:v>断旗统领·瓦伦</x:v>
      </x:c>
      <x:c r="F754" s="19" t="str">
        <x:v>地图BOSS</x:v>
      </x:c>
      <x:c r="G754" s="19" t="str">
        <x:v>材料独立候选</x:v>
      </x:c>
      <x:c r="H754" s="19" t="str">
        <x:v>西境风痕碑拓</x:v>
      </x:c>
      <x:c r="I754" s="22" t="n">
        <x:v>200000</x:v>
      </x:c>
      <x:c r="J754" s="22" t="n">
        <x:v>1</x:v>
      </x:c>
      <x:c r="K754" s="19" t="n">
        <x:v>1</x:v>
      </x:c>
      <x:c r="L754" s="24" t="n">
        <x:v>13.799999999999999</x:v>
      </x:c>
      <x:c r="M754" s="26" t="n">
        <x:v>0.1</x:v>
      </x:c>
      <x:c r="N754" s="24" t="n">
        <x:v>2</x:v>
      </x:c>
      <x:c r="O754" s="28" t="n">
        <x:f>MIN(1,L754/I754)</x:f>
        <x:v>0.000069</x:v>
      </x:c>
      <x:c r="P754" s="30" t="n">
        <x:f>O754*J754*(1+M754)</x:f>
        <x:v>0.0000759</x:v>
      </x:c>
      <x:c r="Q754" s="30" t="n">
        <x:f>P754*N754</x:f>
        <x:v>0.0001518</x:v>
      </x:c>
      <x:c r="R754" s="19" t="str">
        <x:v>独立判定</x:v>
      </x:c>
    </x:row>
    <x:row r="755" ht="19" customHeight="1">
      <x:c r="A755" s="19" t="str">
        <x:v>D00751</x:v>
      </x:c>
      <x:c r="B755" s="19" t="n">
        <x:v>3</x:v>
      </x:c>
      <x:c r="C755" s="19" t="n">
        <x:v>1</x:v>
      </x:c>
      <x:c r="D755" s="19" t="str">
        <x:v>C03-M011</x:v>
      </x:c>
      <x:c r="E755" s="19" t="str">
        <x:v>断旗统领·瓦伦</x:v>
      </x:c>
      <x:c r="F755" s="19" t="str">
        <x:v>地图BOSS</x:v>
      </x:c>
      <x:c r="G755" s="19" t="str">
        <x:v>材料独立候选</x:v>
      </x:c>
      <x:c r="H755" s="19" t="str">
        <x:v>黄金树芽</x:v>
      </x:c>
      <x:c r="I755" s="22" t="n">
        <x:v>800</x:v>
      </x:c>
      <x:c r="J755" s="22" t="n">
        <x:v>1</x:v>
      </x:c>
      <x:c r="K755" s="19" t="n">
        <x:v>1</x:v>
      </x:c>
      <x:c r="L755" s="24" t="n">
        <x:v>13.799999999999999</x:v>
      </x:c>
      <x:c r="M755" s="26" t="n">
        <x:v>0.1</x:v>
      </x:c>
      <x:c r="N755" s="24" t="n">
        <x:v>2</x:v>
      </x:c>
      <x:c r="O755" s="28" t="n">
        <x:f>MIN(1,L755/I755)</x:f>
        <x:v>0.017249999999999998</x:v>
      </x:c>
      <x:c r="P755" s="30" t="n">
        <x:f>O755*J755*(1+M755)</x:f>
        <x:v>0.018975</x:v>
      </x:c>
      <x:c r="Q755" s="30" t="n">
        <x:f>P755*N755</x:f>
        <x:v>0.03795</x:v>
      </x:c>
      <x:c r="R755" s="19" t="str">
        <x:v>独立判定</x:v>
      </x:c>
    </x:row>
    <x:row r="756" ht="19" customHeight="1">
      <x:c r="A756" s="19" t="str">
        <x:v>D00752</x:v>
      </x:c>
      <x:c r="B756" s="19" t="n">
        <x:v>3</x:v>
      </x:c>
      <x:c r="C756" s="19" t="n">
        <x:v>1</x:v>
      </x:c>
      <x:c r="D756" s="19" t="str">
        <x:v>C03-M011</x:v>
      </x:c>
      <x:c r="E756" s="19" t="str">
        <x:v>断旗统领·瓦伦</x:v>
      </x:c>
      <x:c r="F756" s="19" t="str">
        <x:v>地图BOSS</x:v>
      </x:c>
      <x:c r="G756" s="19" t="str">
        <x:v>材料独立候选</x:v>
      </x:c>
      <x:c r="H756" s="19" t="str">
        <x:v>野兽骨片</x:v>
      </x:c>
      <x:c r="I756" s="22" t="n">
        <x:v>30</x:v>
      </x:c>
      <x:c r="J756" s="22" t="n">
        <x:v>2</x:v>
      </x:c>
      <x:c r="K756" s="19" t="n">
        <x:v>1</x:v>
      </x:c>
      <x:c r="L756" s="24" t="n">
        <x:v>13.799999999999999</x:v>
      </x:c>
      <x:c r="M756" s="26" t="n">
        <x:v>0.1</x:v>
      </x:c>
      <x:c r="N756" s="24" t="n">
        <x:v>2</x:v>
      </x:c>
      <x:c r="O756" s="28" t="n">
        <x:f>MIN(1,L756/I756)</x:f>
        <x:v>0.45999999999999996</x:v>
      </x:c>
      <x:c r="P756" s="30" t="n">
        <x:f>O756*J756*(1+M756)</x:f>
        <x:v>1.012</x:v>
      </x:c>
      <x:c r="Q756" s="30" t="n">
        <x:f>P756*N756</x:f>
        <x:v>2.024</x:v>
      </x:c>
      <x:c r="R756" s="19" t="str">
        <x:v>独立判定</x:v>
      </x:c>
    </x:row>
    <x:row r="757" ht="19" customHeight="1">
      <x:c r="A757" s="19" t="str">
        <x:v>D00753</x:v>
      </x:c>
      <x:c r="B757" s="19" t="n">
        <x:v>3</x:v>
      </x:c>
      <x:c r="C757" s="19" t="n">
        <x:v>1</x:v>
      </x:c>
      <x:c r="D757" s="19" t="str">
        <x:v>C03-M011</x:v>
      </x:c>
      <x:c r="E757" s="19" t="str">
        <x:v>断旗统领·瓦伦</x:v>
      </x:c>
      <x:c r="F757" s="19" t="str">
        <x:v>地图BOSS</x:v>
      </x:c>
      <x:c r="G757" s="19" t="str">
        <x:v>材料独立候选</x:v>
      </x:c>
      <x:c r="H757" s="19" t="str">
        <x:v>技能残页</x:v>
      </x:c>
      <x:c r="I757" s="22" t="n">
        <x:v>80</x:v>
      </x:c>
      <x:c r="J757" s="22" t="n">
        <x:v>1</x:v>
      </x:c>
      <x:c r="K757" s="19" t="n">
        <x:v>1</x:v>
      </x:c>
      <x:c r="L757" s="24" t="n">
        <x:v>13.799999999999999</x:v>
      </x:c>
      <x:c r="M757" s="26" t="n">
        <x:v>0.1</x:v>
      </x:c>
      <x:c r="N757" s="24" t="n">
        <x:v>2</x:v>
      </x:c>
      <x:c r="O757" s="28" t="n">
        <x:f>MIN(1,L757/I757)</x:f>
        <x:v>0.1725</x:v>
      </x:c>
      <x:c r="P757" s="30" t="n">
        <x:f>O757*J757*(1+M757)</x:f>
        <x:v>0.18975</x:v>
      </x:c>
      <x:c r="Q757" s="30" t="n">
        <x:f>P757*N757</x:f>
        <x:v>0.3795</x:v>
      </x:c>
      <x:c r="R757" s="19" t="str">
        <x:v>独立判定</x:v>
      </x:c>
    </x:row>
    <x:row r="758" ht="19" customHeight="1">
      <x:c r="A758" s="19" t="str">
        <x:v>D00754</x:v>
      </x:c>
      <x:c r="B758" s="19" t="n">
        <x:v>3</x:v>
      </x:c>
      <x:c r="C758" s="19" t="n">
        <x:v>1</x:v>
      </x:c>
      <x:c r="D758" s="19" t="str">
        <x:v>C03-M011</x:v>
      </x:c>
      <x:c r="E758" s="19" t="str">
        <x:v>断旗统领·瓦伦</x:v>
      </x:c>
      <x:c r="F758" s="19" t="str">
        <x:v>地图BOSS</x:v>
      </x:c>
      <x:c r="G758" s="19" t="str">
        <x:v>材料独立候选</x:v>
      </x:c>
      <x:c r="H758" s="19" t="str">
        <x:v>宁姆格福誓页</x:v>
      </x:c>
      <x:c r="I758" s="22" t="n">
        <x:v>180</x:v>
      </x:c>
      <x:c r="J758" s="22" t="n">
        <x:v>1</x:v>
      </x:c>
      <x:c r="K758" s="19" t="n">
        <x:v>1</x:v>
      </x:c>
      <x:c r="L758" s="24" t="n">
        <x:v>13.799999999999999</x:v>
      </x:c>
      <x:c r="M758" s="26" t="n">
        <x:v>0.1</x:v>
      </x:c>
      <x:c r="N758" s="24" t="n">
        <x:v>2</x:v>
      </x:c>
      <x:c r="O758" s="28" t="n">
        <x:f>MIN(1,L758/I758)</x:f>
        <x:v>0.07666666666666666</x:v>
      </x:c>
      <x:c r="P758" s="30" t="n">
        <x:f>O758*J758*(1+M758)</x:f>
        <x:v>0.08433333333333333</x:v>
      </x:c>
      <x:c r="Q758" s="30" t="n">
        <x:f>P758*N758</x:f>
        <x:v>0.16866666666666666</x:v>
      </x:c>
      <x:c r="R758" s="19" t="str">
        <x:v>独立判定</x:v>
      </x:c>
    </x:row>
    <x:row r="759" ht="19" customHeight="1">
      <x:c r="A759" s="19" t="str">
        <x:v>D00755</x:v>
      </x:c>
      <x:c r="B759" s="19" t="n">
        <x:v>3</x:v>
      </x:c>
      <x:c r="C759" s="19" t="n">
        <x:v>1</x:v>
      </x:c>
      <x:c r="D759" s="19" t="str">
        <x:v>C03-M011</x:v>
      </x:c>
      <x:c r="E759" s="19" t="str">
        <x:v>断旗统领·瓦伦</x:v>
      </x:c>
      <x:c r="F759" s="19" t="str">
        <x:v>地图BOSS</x:v>
      </x:c>
      <x:c r="G759" s="19" t="str">
        <x:v>材料独立候选</x:v>
      </x:c>
      <x:c r="H759" s="19" t="str">
        <x:v>小卢恩</x:v>
      </x:c>
      <x:c r="I759" s="22" t="n">
        <x:v>1200</x:v>
      </x:c>
      <x:c r="J759" s="22" t="n">
        <x:v>1</x:v>
      </x:c>
      <x:c r="K759" s="19" t="n">
        <x:v>1</x:v>
      </x:c>
      <x:c r="L759" s="24" t="n">
        <x:v>13.799999999999999</x:v>
      </x:c>
      <x:c r="M759" s="26" t="n">
        <x:v>0.1</x:v>
      </x:c>
      <x:c r="N759" s="24" t="n">
        <x:v>2</x:v>
      </x:c>
      <x:c r="O759" s="28" t="n">
        <x:f>MIN(1,L759/I759)</x:f>
        <x:v>0.0115</x:v>
      </x:c>
      <x:c r="P759" s="30" t="n">
        <x:f>O759*J759*(1+M759)</x:f>
        <x:v>0.012650000000000002</x:v>
      </x:c>
      <x:c r="Q759" s="30" t="n">
        <x:f>P759*N759</x:f>
        <x:v>0.025300000000000003</x:v>
      </x:c>
      <x:c r="R759" s="19" t="str">
        <x:v>独立判定</x:v>
      </x:c>
    </x:row>
    <x:row r="760" ht="19" customHeight="1">
      <x:c r="A760" s="19" t="str">
        <x:v>D00756</x:v>
      </x:c>
      <x:c r="B760" s="19" t="n">
        <x:v>3</x:v>
      </x:c>
      <x:c r="C760" s="19" t="n">
        <x:v>1</x:v>
      </x:c>
      <x:c r="D760" s="19" t="str">
        <x:v>C03-M011</x:v>
      </x:c>
      <x:c r="E760" s="19" t="str">
        <x:v>断旗统领·瓦伦</x:v>
      </x:c>
      <x:c r="F760" s="19" t="str">
        <x:v>地图BOSS</x:v>
      </x:c>
      <x:c r="G760" s="19" t="str">
        <x:v>材料独立候选</x:v>
      </x:c>
      <x:c r="H760" s="19" t="str">
        <x:v>大卢恩</x:v>
      </x:c>
      <x:c r="I760" s="22" t="n">
        <x:v>120</x:v>
      </x:c>
      <x:c r="J760" s="22" t="n">
        <x:v>1</x:v>
      </x:c>
      <x:c r="K760" s="19" t="n">
        <x:v>1</x:v>
      </x:c>
      <x:c r="L760" s="24" t="n">
        <x:v>13.799999999999999</x:v>
      </x:c>
      <x:c r="M760" s="26" t="n">
        <x:v>0.1</x:v>
      </x:c>
      <x:c r="N760" s="24" t="n">
        <x:v>2</x:v>
      </x:c>
      <x:c r="O760" s="28" t="n">
        <x:f>MIN(1,L760/I760)</x:f>
        <x:v>0.11499999999999999</x:v>
      </x:c>
      <x:c r="P760" s="30" t="n">
        <x:f>O760*J760*(1+M760)</x:f>
        <x:v>0.1265</x:v>
      </x:c>
      <x:c r="Q760" s="30" t="n">
        <x:f>P760*N760</x:f>
        <x:v>0.253</x:v>
      </x:c>
      <x:c r="R760" s="19" t="str">
        <x:v>独立判定</x:v>
      </x:c>
    </x:row>
    <x:row r="761" ht="19" customHeight="1">
      <x:c r="A761" s="19" t="str">
        <x:v>D00757</x:v>
      </x:c>
      <x:c r="B761" s="19" t="n">
        <x:v>3</x:v>
      </x:c>
      <x:c r="C761" s="19" t="n">
        <x:v>1</x:v>
      </x:c>
      <x:c r="D761" s="19" t="str">
        <x:v>C03-M011</x:v>
      </x:c>
      <x:c r="E761" s="19" t="str">
        <x:v>断旗统领·瓦伦</x:v>
      </x:c>
      <x:c r="F761" s="19" t="str">
        <x:v>地图BOSS</x:v>
      </x:c>
      <x:c r="G761" s="19" t="str">
        <x:v>六神器公共池</x:v>
      </x:c>
      <x:c r="H761" s="19" t="str">
        <x:v>POOL006</x:v>
      </x:c>
      <x:c r="I761" s="22" t="n">
        <x:v>200000</x:v>
      </x:c>
      <x:c r="J761" s="22" t="n">
        <x:v>1</x:v>
      </x:c>
      <x:c r="K761" s="19" t="n">
        <x:v>6</x:v>
      </x:c>
      <x:c r="L761" s="24" t="n">
        <x:v>13.799999999999999</x:v>
      </x:c>
      <x:c r="M761" s="26" t="n">
        <x:v>0.1</x:v>
      </x:c>
      <x:c r="N761" s="24" t="n">
        <x:v>2</x:v>
      </x:c>
      <x:c r="O761" s="28" t="n">
        <x:f>MIN(1,L761/I761)</x:f>
        <x:v>0.000069</x:v>
      </x:c>
      <x:c r="P761" s="30" t="n">
        <x:f>O761*J761*(1+M761)</x:f>
        <x:v>0.0000759</x:v>
      </x:c>
      <x:c r="Q761" s="30" t="n">
        <x:f>P761*N761</x:f>
        <x:v>0.0001518</x:v>
      </x:c>
      <x:c r="R761" s="19" t="str">
        <x:v>六选一；非6个独立爆率</x:v>
      </x:c>
    </x:row>
    <x:row r="762" ht="19" customHeight="1">
      <x:c r="A762" s="19" t="str">
        <x:v>D00758</x:v>
      </x:c>
      <x:c r="B762" s="19" t="n">
        <x:v>3</x:v>
      </x:c>
      <x:c r="C762" s="19" t="n">
        <x:v>1</x:v>
      </x:c>
      <x:c r="D762" s="19" t="str">
        <x:v>C03-M012</x:v>
      </x:c>
      <x:c r="E762" s="19" t="str">
        <x:v>荒原巨犀·莫赫</x:v>
      </x:c>
      <x:c r="F762" s="19" t="str">
        <x:v>地图BOSS</x:v>
      </x:c>
      <x:c r="G762" s="19" t="str">
        <x:v>自身专属</x:v>
      </x:c>
      <x:c r="H762" s="19" t="str">
        <x:v>巨犀荒铠</x:v>
      </x:c>
      <x:c r="I762" s="22" t="n">
        <x:v>60</x:v>
      </x:c>
      <x:c r="J762" s="22" t="n">
        <x:v>1</x:v>
      </x:c>
      <x:c r="K762" s="19" t="n">
        <x:v>1</x:v>
      </x:c>
      <x:c r="L762" s="24" t="n">
        <x:v>13.799999999999999</x:v>
      </x:c>
      <x:c r="M762" s="26" t="n">
        <x:v>0.1</x:v>
      </x:c>
      <x:c r="N762" s="24" t="n">
        <x:v>2</x:v>
      </x:c>
      <x:c r="O762" s="28" t="n">
        <x:f>MIN(1,L762/I762)</x:f>
        <x:v>0.22999999999999998</x:v>
      </x:c>
      <x:c r="P762" s="30" t="n">
        <x:f>O762*J762*(1+M762)</x:f>
        <x:v>0.253</x:v>
      </x:c>
      <x:c r="Q762" s="30" t="n">
        <x:f>P762*N762</x:f>
        <x:v>0.506</x:v>
      </x:c>
      <x:c r="R762" s="19" t="str">
        <x:v>独立判定</x:v>
      </x:c>
    </x:row>
    <x:row r="763" ht="19" customHeight="1">
      <x:c r="A763" s="19" t="str">
        <x:v>D00759</x:v>
      </x:c>
      <x:c r="B763" s="19" t="n">
        <x:v>3</x:v>
      </x:c>
      <x:c r="C763" s="19" t="n">
        <x:v>1</x:v>
      </x:c>
      <x:c r="D763" s="19" t="str">
        <x:v>C03-M012</x:v>
      </x:c>
      <x:c r="E763" s="19" t="str">
        <x:v>荒原巨犀·莫赫</x:v>
      </x:c>
      <x:c r="F763" s="19" t="str">
        <x:v>地图BOSS</x:v>
      </x:c>
      <x:c r="G763" s="19" t="str">
        <x:v>自身专属</x:v>
      </x:c>
      <x:c r="H763" s="19" t="str">
        <x:v>荒原誓冠</x:v>
      </x:c>
      <x:c r="I763" s="22" t="n">
        <x:v>60</x:v>
      </x:c>
      <x:c r="J763" s="22" t="n">
        <x:v>1</x:v>
      </x:c>
      <x:c r="K763" s="19" t="n">
        <x:v>1</x:v>
      </x:c>
      <x:c r="L763" s="24" t="n">
        <x:v>13.799999999999999</x:v>
      </x:c>
      <x:c r="M763" s="26" t="n">
        <x:v>0.1</x:v>
      </x:c>
      <x:c r="N763" s="24" t="n">
        <x:v>2</x:v>
      </x:c>
      <x:c r="O763" s="28" t="n">
        <x:f>MIN(1,L763/I763)</x:f>
        <x:v>0.22999999999999998</x:v>
      </x:c>
      <x:c r="P763" s="30" t="n">
        <x:f>O763*J763*(1+M763)</x:f>
        <x:v>0.253</x:v>
      </x:c>
      <x:c r="Q763" s="30" t="n">
        <x:f>P763*N763</x:f>
        <x:v>0.506</x:v>
      </x:c>
      <x:c r="R763" s="19" t="str">
        <x:v>独立判定</x:v>
      </x:c>
    </x:row>
    <x:row r="764" ht="19" customHeight="1">
      <x:c r="A764" s="19" t="str">
        <x:v>D00760</x:v>
      </x:c>
      <x:c r="B764" s="19" t="n">
        <x:v>3</x:v>
      </x:c>
      <x:c r="C764" s="19" t="n">
        <x:v>1</x:v>
      </x:c>
      <x:c r="D764" s="19" t="str">
        <x:v>C03-M012</x:v>
      </x:c>
      <x:c r="E764" s="19" t="str">
        <x:v>荒原巨犀·莫赫</x:v>
      </x:c>
      <x:c r="F764" s="19" t="str">
        <x:v>地图BOSS</x:v>
      </x:c>
      <x:c r="G764" s="19" t="str">
        <x:v>本图普通兼掉候选</x:v>
      </x:c>
      <x:c r="H764" s="19" t="str">
        <x:v>POOL013</x:v>
      </x:c>
      <x:c r="I764" s="22" t="n">
        <x:v>30</x:v>
      </x:c>
      <x:c r="J764" s="22" t="n">
        <x:v>1</x:v>
      </x:c>
      <x:c r="K764" s="19" t="n">
        <x:v>1</x:v>
      </x:c>
      <x:c r="L764" s="24" t="n">
        <x:v>13.799999999999999</x:v>
      </x:c>
      <x:c r="M764" s="26" t="n">
        <x:v>0.1</x:v>
      </x:c>
      <x:c r="N764" s="24" t="n">
        <x:v>2</x:v>
      </x:c>
      <x:c r="O764" s="28" t="n">
        <x:f>MIN(1,L764/I764)</x:f>
        <x:v>0.45999999999999996</x:v>
      </x:c>
      <x:c r="P764" s="30" t="n">
        <x:f>O764*J764*(1+M764)</x:f>
        <x:v>0.506</x:v>
      </x:c>
      <x:c r="Q764" s="30" t="n">
        <x:f>P764*N764</x:f>
        <x:v>1.012</x:v>
      </x:c>
      <x:c r="R764" s="19" t="str">
        <x:v>单池选一</x:v>
      </x:c>
    </x:row>
    <x:row r="765" ht="19" customHeight="1">
      <x:c r="A765" s="19" t="str">
        <x:v>D00761</x:v>
      </x:c>
      <x:c r="B765" s="19" t="n">
        <x:v>3</x:v>
      </x:c>
      <x:c r="C765" s="19" t="n">
        <x:v>1</x:v>
      </x:c>
      <x:c r="D765" s="19" t="str">
        <x:v>C03-M012</x:v>
      </x:c>
      <x:c r="E765" s="19" t="str">
        <x:v>荒原巨犀·莫赫</x:v>
      </x:c>
      <x:c r="F765" s="19" t="str">
        <x:v>地图BOSS</x:v>
      </x:c>
      <x:c r="G765" s="19" t="str">
        <x:v>材料独立候选</x:v>
      </x:c>
      <x:c r="H765" s="19" t="str">
        <x:v>风蚀铁片</x:v>
      </x:c>
      <x:c r="I765" s="22" t="n">
        <x:v>200</x:v>
      </x:c>
      <x:c r="J765" s="22" t="n">
        <x:v>30</x:v>
      </x:c>
      <x:c r="K765" s="19" t="n">
        <x:v>1</x:v>
      </x:c>
      <x:c r="L765" s="24" t="n">
        <x:v>13.799999999999999</x:v>
      </x:c>
      <x:c r="M765" s="26" t="n">
        <x:v>0.1</x:v>
      </x:c>
      <x:c r="N765" s="24" t="n">
        <x:v>2</x:v>
      </x:c>
      <x:c r="O765" s="28" t="n">
        <x:f>MIN(1,L765/I765)</x:f>
        <x:v>0.06899999999999999</x:v>
      </x:c>
      <x:c r="P765" s="30" t="n">
        <x:f>O765*J765*(1+M765)</x:f>
        <x:v>2.277</x:v>
      </x:c>
      <x:c r="Q765" s="30" t="n">
        <x:f>P765*N765</x:f>
        <x:v>4.554</x:v>
      </x:c>
      <x:c r="R765" s="19" t="str">
        <x:v>独立判定</x:v>
      </x:c>
    </x:row>
    <x:row r="766" ht="19" customHeight="1">
      <x:c r="A766" s="19" t="str">
        <x:v>D00762</x:v>
      </x:c>
      <x:c r="B766" s="19" t="n">
        <x:v>3</x:v>
      </x:c>
      <x:c r="C766" s="19" t="n">
        <x:v>1</x:v>
      </x:c>
      <x:c r="D766" s="19" t="str">
        <x:v>C03-M012</x:v>
      </x:c>
      <x:c r="E766" s="19" t="str">
        <x:v>荒原巨犀·莫赫</x:v>
      </x:c>
      <x:c r="F766" s="19" t="str">
        <x:v>地图BOSS</x:v>
      </x:c>
      <x:c r="G766" s="19" t="str">
        <x:v>材料独立候选</x:v>
      </x:c>
      <x:c r="H766" s="19" t="str">
        <x:v>西境战旗</x:v>
      </x:c>
      <x:c r="I766" s="22" t="n">
        <x:v>400</x:v>
      </x:c>
      <x:c r="J766" s="22" t="n">
        <x:v>1</x:v>
      </x:c>
      <x:c r="K766" s="19" t="n">
        <x:v>1</x:v>
      </x:c>
      <x:c r="L766" s="24" t="n">
        <x:v>13.799999999999999</x:v>
      </x:c>
      <x:c r="M766" s="26" t="n">
        <x:v>0.1</x:v>
      </x:c>
      <x:c r="N766" s="24" t="n">
        <x:v>2</x:v>
      </x:c>
      <x:c r="O766" s="28" t="n">
        <x:f>MIN(1,L766/I766)</x:f>
        <x:v>0.034499999999999996</x:v>
      </x:c>
      <x:c r="P766" s="30" t="n">
        <x:f>O766*J766*(1+M766)</x:f>
        <x:v>0.03795</x:v>
      </x:c>
      <x:c r="Q766" s="30" t="n">
        <x:f>P766*N766</x:f>
        <x:v>0.0759</x:v>
      </x:c>
      <x:c r="R766" s="19" t="str">
        <x:v>独立判定</x:v>
      </x:c>
    </x:row>
    <x:row r="767" ht="19" customHeight="1">
      <x:c r="A767" s="19" t="str">
        <x:v>D00763</x:v>
      </x:c>
      <x:c r="B767" s="19" t="n">
        <x:v>3</x:v>
      </x:c>
      <x:c r="C767" s="19" t="n">
        <x:v>1</x:v>
      </x:c>
      <x:c r="D767" s="19" t="str">
        <x:v>C03-M012</x:v>
      </x:c>
      <x:c r="E767" s="19" t="str">
        <x:v>荒原巨犀·莫赫</x:v>
      </x:c>
      <x:c r="F767" s="19" t="str">
        <x:v>地图BOSS</x:v>
      </x:c>
      <x:c r="G767" s="19" t="str">
        <x:v>材料独立候选</x:v>
      </x:c>
      <x:c r="H767" s="19" t="str">
        <x:v>西境战旗印</x:v>
      </x:c>
      <x:c r="I767" s="22" t="n">
        <x:v>100</x:v>
      </x:c>
      <x:c r="J767" s="22" t="n">
        <x:v>2</x:v>
      </x:c>
      <x:c r="K767" s="19" t="n">
        <x:v>1</x:v>
      </x:c>
      <x:c r="L767" s="24" t="n">
        <x:v>13.799999999999999</x:v>
      </x:c>
      <x:c r="M767" s="26" t="n">
        <x:v>0.1</x:v>
      </x:c>
      <x:c r="N767" s="24" t="n">
        <x:v>2</x:v>
      </x:c>
      <x:c r="O767" s="28" t="n">
        <x:f>MIN(1,L767/I767)</x:f>
        <x:v>0.13799999999999998</x:v>
      </x:c>
      <x:c r="P767" s="30" t="n">
        <x:f>O767*J767*(1+M767)</x:f>
        <x:v>0.3036</x:v>
      </x:c>
      <x:c r="Q767" s="30" t="n">
        <x:f>P767*N767</x:f>
        <x:v>0.6072</x:v>
      </x:c>
      <x:c r="R767" s="19" t="str">
        <x:v>独立判定</x:v>
      </x:c>
    </x:row>
    <x:row r="768" ht="19" customHeight="1">
      <x:c r="A768" s="19" t="str">
        <x:v>D00764</x:v>
      </x:c>
      <x:c r="B768" s="19" t="n">
        <x:v>3</x:v>
      </x:c>
      <x:c r="C768" s="19" t="n">
        <x:v>1</x:v>
      </x:c>
      <x:c r="D768" s="19" t="str">
        <x:v>C03-M012</x:v>
      </x:c>
      <x:c r="E768" s="19" t="str">
        <x:v>荒原巨犀·莫赫</x:v>
      </x:c>
      <x:c r="F768" s="19" t="str">
        <x:v>地图BOSS</x:v>
      </x:c>
      <x:c r="G768" s="19" t="str">
        <x:v>材料独立候选</x:v>
      </x:c>
      <x:c r="H768" s="19" t="str">
        <x:v>守垒铜钥</x:v>
      </x:c>
      <x:c r="I768" s="22" t="n">
        <x:v>100</x:v>
      </x:c>
      <x:c r="J768" s="22" t="n">
        <x:v>1</x:v>
      </x:c>
      <x:c r="K768" s="19" t="n">
        <x:v>1</x:v>
      </x:c>
      <x:c r="L768" s="24" t="n">
        <x:v>13.799999999999999</x:v>
      </x:c>
      <x:c r="M768" s="26" t="n">
        <x:v>0.1</x:v>
      </x:c>
      <x:c r="N768" s="24" t="n">
        <x:v>2</x:v>
      </x:c>
      <x:c r="O768" s="28" t="n">
        <x:f>MIN(1,L768/I768)</x:f>
        <x:v>0.13799999999999998</x:v>
      </x:c>
      <x:c r="P768" s="30" t="n">
        <x:f>O768*J768*(1+M768)</x:f>
        <x:v>0.1518</x:v>
      </x:c>
      <x:c r="Q768" s="30" t="n">
        <x:f>P768*N768</x:f>
        <x:v>0.3036</x:v>
      </x:c>
      <x:c r="R768" s="19" t="str">
        <x:v>独立判定</x:v>
      </x:c>
    </x:row>
    <x:row r="769" ht="19" customHeight="1">
      <x:c r="A769" s="19" t="str">
        <x:v>D00765</x:v>
      </x:c>
      <x:c r="B769" s="19" t="n">
        <x:v>3</x:v>
      </x:c>
      <x:c r="C769" s="19" t="n">
        <x:v>1</x:v>
      </x:c>
      <x:c r="D769" s="19" t="str">
        <x:v>C03-M012</x:v>
      </x:c>
      <x:c r="E769" s="19" t="str">
        <x:v>荒原巨犀·莫赫</x:v>
      </x:c>
      <x:c r="F769" s="19" t="str">
        <x:v>地图BOSS</x:v>
      </x:c>
      <x:c r="G769" s="19" t="str">
        <x:v>材料独立候选</x:v>
      </x:c>
      <x:c r="H769" s="19" t="str">
        <x:v>西境风痕碑拓</x:v>
      </x:c>
      <x:c r="I769" s="22" t="n">
        <x:v>200000</x:v>
      </x:c>
      <x:c r="J769" s="22" t="n">
        <x:v>1</x:v>
      </x:c>
      <x:c r="K769" s="19" t="n">
        <x:v>1</x:v>
      </x:c>
      <x:c r="L769" s="24" t="n">
        <x:v>13.799999999999999</x:v>
      </x:c>
      <x:c r="M769" s="26" t="n">
        <x:v>0.1</x:v>
      </x:c>
      <x:c r="N769" s="24" t="n">
        <x:v>2</x:v>
      </x:c>
      <x:c r="O769" s="28" t="n">
        <x:f>MIN(1,L769/I769)</x:f>
        <x:v>0.000069</x:v>
      </x:c>
      <x:c r="P769" s="30" t="n">
        <x:f>O769*J769*(1+M769)</x:f>
        <x:v>0.0000759</x:v>
      </x:c>
      <x:c r="Q769" s="30" t="n">
        <x:f>P769*N769</x:f>
        <x:v>0.0001518</x:v>
      </x:c>
      <x:c r="R769" s="19" t="str">
        <x:v>独立判定</x:v>
      </x:c>
    </x:row>
    <x:row r="770" ht="19" customHeight="1">
      <x:c r="A770" s="19" t="str">
        <x:v>D00766</x:v>
      </x:c>
      <x:c r="B770" s="19" t="n">
        <x:v>3</x:v>
      </x:c>
      <x:c r="C770" s="19" t="n">
        <x:v>1</x:v>
      </x:c>
      <x:c r="D770" s="19" t="str">
        <x:v>C03-M012</x:v>
      </x:c>
      <x:c r="E770" s="19" t="str">
        <x:v>荒原巨犀·莫赫</x:v>
      </x:c>
      <x:c r="F770" s="19" t="str">
        <x:v>地图BOSS</x:v>
      </x:c>
      <x:c r="G770" s="19" t="str">
        <x:v>材料独立候选</x:v>
      </x:c>
      <x:c r="H770" s="19" t="str">
        <x:v>黄金树芽</x:v>
      </x:c>
      <x:c r="I770" s="22" t="n">
        <x:v>800</x:v>
      </x:c>
      <x:c r="J770" s="22" t="n">
        <x:v>1</x:v>
      </x:c>
      <x:c r="K770" s="19" t="n">
        <x:v>1</x:v>
      </x:c>
      <x:c r="L770" s="24" t="n">
        <x:v>13.799999999999999</x:v>
      </x:c>
      <x:c r="M770" s="26" t="n">
        <x:v>0.1</x:v>
      </x:c>
      <x:c r="N770" s="24" t="n">
        <x:v>2</x:v>
      </x:c>
      <x:c r="O770" s="28" t="n">
        <x:f>MIN(1,L770/I770)</x:f>
        <x:v>0.017249999999999998</x:v>
      </x:c>
      <x:c r="P770" s="30" t="n">
        <x:f>O770*J770*(1+M770)</x:f>
        <x:v>0.018975</x:v>
      </x:c>
      <x:c r="Q770" s="30" t="n">
        <x:f>P770*N770</x:f>
        <x:v>0.03795</x:v>
      </x:c>
      <x:c r="R770" s="19" t="str">
        <x:v>独立判定</x:v>
      </x:c>
    </x:row>
    <x:row r="771" ht="19" customHeight="1">
      <x:c r="A771" s="19" t="str">
        <x:v>D00767</x:v>
      </x:c>
      <x:c r="B771" s="19" t="n">
        <x:v>3</x:v>
      </x:c>
      <x:c r="C771" s="19" t="n">
        <x:v>1</x:v>
      </x:c>
      <x:c r="D771" s="19" t="str">
        <x:v>C03-M012</x:v>
      </x:c>
      <x:c r="E771" s="19" t="str">
        <x:v>荒原巨犀·莫赫</x:v>
      </x:c>
      <x:c r="F771" s="19" t="str">
        <x:v>地图BOSS</x:v>
      </x:c>
      <x:c r="G771" s="19" t="str">
        <x:v>材料独立候选</x:v>
      </x:c>
      <x:c r="H771" s="19" t="str">
        <x:v>野兽骨片</x:v>
      </x:c>
      <x:c r="I771" s="22" t="n">
        <x:v>30</x:v>
      </x:c>
      <x:c r="J771" s="22" t="n">
        <x:v>2</x:v>
      </x:c>
      <x:c r="K771" s="19" t="n">
        <x:v>1</x:v>
      </x:c>
      <x:c r="L771" s="24" t="n">
        <x:v>13.799999999999999</x:v>
      </x:c>
      <x:c r="M771" s="26" t="n">
        <x:v>0.1</x:v>
      </x:c>
      <x:c r="N771" s="24" t="n">
        <x:v>2</x:v>
      </x:c>
      <x:c r="O771" s="28" t="n">
        <x:f>MIN(1,L771/I771)</x:f>
        <x:v>0.45999999999999996</x:v>
      </x:c>
      <x:c r="P771" s="30" t="n">
        <x:f>O771*J771*(1+M771)</x:f>
        <x:v>1.012</x:v>
      </x:c>
      <x:c r="Q771" s="30" t="n">
        <x:f>P771*N771</x:f>
        <x:v>2.024</x:v>
      </x:c>
      <x:c r="R771" s="19" t="str">
        <x:v>独立判定</x:v>
      </x:c>
    </x:row>
    <x:row r="772" ht="19" customHeight="1">
      <x:c r="A772" s="19" t="str">
        <x:v>D00768</x:v>
      </x:c>
      <x:c r="B772" s="19" t="n">
        <x:v>3</x:v>
      </x:c>
      <x:c r="C772" s="19" t="n">
        <x:v>1</x:v>
      </x:c>
      <x:c r="D772" s="19" t="str">
        <x:v>C03-M012</x:v>
      </x:c>
      <x:c r="E772" s="19" t="str">
        <x:v>荒原巨犀·莫赫</x:v>
      </x:c>
      <x:c r="F772" s="19" t="str">
        <x:v>地图BOSS</x:v>
      </x:c>
      <x:c r="G772" s="19" t="str">
        <x:v>材料独立候选</x:v>
      </x:c>
      <x:c r="H772" s="19" t="str">
        <x:v>技能残页</x:v>
      </x:c>
      <x:c r="I772" s="22" t="n">
        <x:v>80</x:v>
      </x:c>
      <x:c r="J772" s="22" t="n">
        <x:v>1</x:v>
      </x:c>
      <x:c r="K772" s="19" t="n">
        <x:v>1</x:v>
      </x:c>
      <x:c r="L772" s="24" t="n">
        <x:v>13.799999999999999</x:v>
      </x:c>
      <x:c r="M772" s="26" t="n">
        <x:v>0.1</x:v>
      </x:c>
      <x:c r="N772" s="24" t="n">
        <x:v>2</x:v>
      </x:c>
      <x:c r="O772" s="28" t="n">
        <x:f>MIN(1,L772/I772)</x:f>
        <x:v>0.1725</x:v>
      </x:c>
      <x:c r="P772" s="30" t="n">
        <x:f>O772*J772*(1+M772)</x:f>
        <x:v>0.18975</x:v>
      </x:c>
      <x:c r="Q772" s="30" t="n">
        <x:f>P772*N772</x:f>
        <x:v>0.3795</x:v>
      </x:c>
      <x:c r="R772" s="19" t="str">
        <x:v>独立判定</x:v>
      </x:c>
    </x:row>
    <x:row r="773" ht="19" customHeight="1">
      <x:c r="A773" s="19" t="str">
        <x:v>D00769</x:v>
      </x:c>
      <x:c r="B773" s="19" t="n">
        <x:v>3</x:v>
      </x:c>
      <x:c r="C773" s="19" t="n">
        <x:v>1</x:v>
      </x:c>
      <x:c r="D773" s="19" t="str">
        <x:v>C03-M012</x:v>
      </x:c>
      <x:c r="E773" s="19" t="str">
        <x:v>荒原巨犀·莫赫</x:v>
      </x:c>
      <x:c r="F773" s="19" t="str">
        <x:v>地图BOSS</x:v>
      </x:c>
      <x:c r="G773" s="19" t="str">
        <x:v>材料独立候选</x:v>
      </x:c>
      <x:c r="H773" s="19" t="str">
        <x:v>宁姆格福誓页</x:v>
      </x:c>
      <x:c r="I773" s="22" t="n">
        <x:v>180</x:v>
      </x:c>
      <x:c r="J773" s="22" t="n">
        <x:v>1</x:v>
      </x:c>
      <x:c r="K773" s="19" t="n">
        <x:v>1</x:v>
      </x:c>
      <x:c r="L773" s="24" t="n">
        <x:v>13.799999999999999</x:v>
      </x:c>
      <x:c r="M773" s="26" t="n">
        <x:v>0.1</x:v>
      </x:c>
      <x:c r="N773" s="24" t="n">
        <x:v>2</x:v>
      </x:c>
      <x:c r="O773" s="28" t="n">
        <x:f>MIN(1,L773/I773)</x:f>
        <x:v>0.07666666666666666</x:v>
      </x:c>
      <x:c r="P773" s="30" t="n">
        <x:f>O773*J773*(1+M773)</x:f>
        <x:v>0.08433333333333333</x:v>
      </x:c>
      <x:c r="Q773" s="30" t="n">
        <x:f>P773*N773</x:f>
        <x:v>0.16866666666666666</x:v>
      </x:c>
      <x:c r="R773" s="19" t="str">
        <x:v>独立判定</x:v>
      </x:c>
    </x:row>
    <x:row r="774" ht="19" customHeight="1">
      <x:c r="A774" s="19" t="str">
        <x:v>D00770</x:v>
      </x:c>
      <x:c r="B774" s="19" t="n">
        <x:v>3</x:v>
      </x:c>
      <x:c r="C774" s="19" t="n">
        <x:v>1</x:v>
      </x:c>
      <x:c r="D774" s="19" t="str">
        <x:v>C03-M012</x:v>
      </x:c>
      <x:c r="E774" s="19" t="str">
        <x:v>荒原巨犀·莫赫</x:v>
      </x:c>
      <x:c r="F774" s="19" t="str">
        <x:v>地图BOSS</x:v>
      </x:c>
      <x:c r="G774" s="19" t="str">
        <x:v>材料独立候选</x:v>
      </x:c>
      <x:c r="H774" s="19" t="str">
        <x:v>小卢恩</x:v>
      </x:c>
      <x:c r="I774" s="22" t="n">
        <x:v>1200</x:v>
      </x:c>
      <x:c r="J774" s="22" t="n">
        <x:v>1</x:v>
      </x:c>
      <x:c r="K774" s="19" t="n">
        <x:v>1</x:v>
      </x:c>
      <x:c r="L774" s="24" t="n">
        <x:v>13.799999999999999</x:v>
      </x:c>
      <x:c r="M774" s="26" t="n">
        <x:v>0.1</x:v>
      </x:c>
      <x:c r="N774" s="24" t="n">
        <x:v>2</x:v>
      </x:c>
      <x:c r="O774" s="28" t="n">
        <x:f>MIN(1,L774/I774)</x:f>
        <x:v>0.0115</x:v>
      </x:c>
      <x:c r="P774" s="30" t="n">
        <x:f>O774*J774*(1+M774)</x:f>
        <x:v>0.012650000000000002</x:v>
      </x:c>
      <x:c r="Q774" s="30" t="n">
        <x:f>P774*N774</x:f>
        <x:v>0.025300000000000003</x:v>
      </x:c>
      <x:c r="R774" s="19" t="str">
        <x:v>独立判定</x:v>
      </x:c>
    </x:row>
    <x:row r="775" ht="19" customHeight="1">
      <x:c r="A775" s="19" t="str">
        <x:v>D00771</x:v>
      </x:c>
      <x:c r="B775" s="19" t="n">
        <x:v>3</x:v>
      </x:c>
      <x:c r="C775" s="19" t="n">
        <x:v>1</x:v>
      </x:c>
      <x:c r="D775" s="19" t="str">
        <x:v>C03-M012</x:v>
      </x:c>
      <x:c r="E775" s="19" t="str">
        <x:v>荒原巨犀·莫赫</x:v>
      </x:c>
      <x:c r="F775" s="19" t="str">
        <x:v>地图BOSS</x:v>
      </x:c>
      <x:c r="G775" s="19" t="str">
        <x:v>材料独立候选</x:v>
      </x:c>
      <x:c r="H775" s="19" t="str">
        <x:v>大卢恩</x:v>
      </x:c>
      <x:c r="I775" s="22" t="n">
        <x:v>120</x:v>
      </x:c>
      <x:c r="J775" s="22" t="n">
        <x:v>1</x:v>
      </x:c>
      <x:c r="K775" s="19" t="n">
        <x:v>1</x:v>
      </x:c>
      <x:c r="L775" s="24" t="n">
        <x:v>13.799999999999999</x:v>
      </x:c>
      <x:c r="M775" s="26" t="n">
        <x:v>0.1</x:v>
      </x:c>
      <x:c r="N775" s="24" t="n">
        <x:v>2</x:v>
      </x:c>
      <x:c r="O775" s="28" t="n">
        <x:f>MIN(1,L775/I775)</x:f>
        <x:v>0.11499999999999999</x:v>
      </x:c>
      <x:c r="P775" s="30" t="n">
        <x:f>O775*J775*(1+M775)</x:f>
        <x:v>0.1265</x:v>
      </x:c>
      <x:c r="Q775" s="30" t="n">
        <x:f>P775*N775</x:f>
        <x:v>0.253</x:v>
      </x:c>
      <x:c r="R775" s="19" t="str">
        <x:v>独立判定</x:v>
      </x:c>
    </x:row>
    <x:row r="776" ht="19" customHeight="1">
      <x:c r="A776" s="19" t="str">
        <x:v>D00772</x:v>
      </x:c>
      <x:c r="B776" s="19" t="n">
        <x:v>3</x:v>
      </x:c>
      <x:c r="C776" s="19" t="n">
        <x:v>1</x:v>
      </x:c>
      <x:c r="D776" s="19" t="str">
        <x:v>C03-M012</x:v>
      </x:c>
      <x:c r="E776" s="19" t="str">
        <x:v>荒原巨犀·莫赫</x:v>
      </x:c>
      <x:c r="F776" s="19" t="str">
        <x:v>地图BOSS</x:v>
      </x:c>
      <x:c r="G776" s="19" t="str">
        <x:v>六神器公共池</x:v>
      </x:c>
      <x:c r="H776" s="19" t="str">
        <x:v>POOL006</x:v>
      </x:c>
      <x:c r="I776" s="22" t="n">
        <x:v>200000</x:v>
      </x:c>
      <x:c r="J776" s="22" t="n">
        <x:v>1</x:v>
      </x:c>
      <x:c r="K776" s="19" t="n">
        <x:v>6</x:v>
      </x:c>
      <x:c r="L776" s="24" t="n">
        <x:v>13.799999999999999</x:v>
      </x:c>
      <x:c r="M776" s="26" t="n">
        <x:v>0.1</x:v>
      </x:c>
      <x:c r="N776" s="24" t="n">
        <x:v>2</x:v>
      </x:c>
      <x:c r="O776" s="28" t="n">
        <x:f>MIN(1,L776/I776)</x:f>
        <x:v>0.000069</x:v>
      </x:c>
      <x:c r="P776" s="30" t="n">
        <x:f>O776*J776*(1+M776)</x:f>
        <x:v>0.0000759</x:v>
      </x:c>
      <x:c r="Q776" s="30" t="n">
        <x:f>P776*N776</x:f>
        <x:v>0.0001518</x:v>
      </x:c>
      <x:c r="R776" s="19" t="str">
        <x:v>六选一；非6个独立爆率</x:v>
      </x:c>
    </x:row>
    <x:row r="777" ht="19" customHeight="1">
      <x:c r="A777" s="19" t="str">
        <x:v>D00773</x:v>
      </x:c>
      <x:c r="B777" s="19" t="n">
        <x:v>3</x:v>
      </x:c>
      <x:c r="C777" s="19" t="n">
        <x:v>2</x:v>
      </x:c>
      <x:c r="D777" s="19" t="str">
        <x:v>C03-M013</x:v>
      </x:c>
      <x:c r="E777" s="19" t="str">
        <x:v>海崖盐工</x:v>
      </x:c>
      <x:c r="F777" s="19" t="str">
        <x:v>普通</x:v>
      </x:c>
      <x:c r="G777" s="19" t="str">
        <x:v>自身专属</x:v>
      </x:c>
      <x:c r="H777" s="19" t="str">
        <x:v>盐晶短刃</x:v>
      </x:c>
      <x:c r="I777" s="22" t="n">
        <x:v>800</x:v>
      </x:c>
      <x:c r="J777" s="22" t="n">
        <x:v>1</x:v>
      </x:c>
      <x:c r="K777" s="19" t="n">
        <x:v>1</x:v>
      </x:c>
      <x:c r="L777" s="24" t="n">
        <x:v>13.839999999999998</x:v>
      </x:c>
      <x:c r="M777" s="26" t="n">
        <x:v>0.1</x:v>
      </x:c>
      <x:c r="N777" s="24" t="n">
        <x:v>72</x:v>
      </x:c>
      <x:c r="O777" s="28" t="n">
        <x:f>MIN(1,L777/I777)</x:f>
        <x:v>0.017299999999999996</x:v>
      </x:c>
      <x:c r="P777" s="30" t="n">
        <x:f>O777*J777*(1+M777)</x:f>
        <x:v>0.01903</x:v>
      </x:c>
      <x:c r="Q777" s="30" t="n">
        <x:f>P777*N777</x:f>
        <x:v>1.3701599999999998</x:v>
      </x:c>
      <x:c r="R777" s="19" t="str">
        <x:v>独立判定</x:v>
      </x:c>
    </x:row>
    <x:row r="778" ht="19" customHeight="1">
      <x:c r="A778" s="19" t="str">
        <x:v>D00774</x:v>
      </x:c>
      <x:c r="B778" s="19" t="n">
        <x:v>3</x:v>
      </x:c>
      <x:c r="C778" s="19" t="n">
        <x:v>2</x:v>
      </x:c>
      <x:c r="D778" s="19" t="str">
        <x:v>C03-M013</x:v>
      </x:c>
      <x:c r="E778" s="19" t="str">
        <x:v>海崖盐工</x:v>
      </x:c>
      <x:c r="F778" s="19" t="str">
        <x:v>普通</x:v>
      </x:c>
      <x:c r="G778" s="19" t="str">
        <x:v>材料独立候选</x:v>
      </x:c>
      <x:c r="H778" s="19" t="str">
        <x:v>风蚀铁片</x:v>
      </x:c>
      <x:c r="I778" s="22" t="n">
        <x:v>600</x:v>
      </x:c>
      <x:c r="J778" s="22" t="n">
        <x:v>8</x:v>
      </x:c>
      <x:c r="K778" s="19" t="n">
        <x:v>1</x:v>
      </x:c>
      <x:c r="L778" s="24" t="n">
        <x:v>13.839999999999998</x:v>
      </x:c>
      <x:c r="M778" s="26" t="n">
        <x:v>0.1</x:v>
      </x:c>
      <x:c r="N778" s="24" t="n">
        <x:v>72</x:v>
      </x:c>
      <x:c r="O778" s="28" t="n">
        <x:f>MIN(1,L778/I778)</x:f>
        <x:v>0.023066666666666662</x:v>
      </x:c>
      <x:c r="P778" s="30" t="n">
        <x:f>O778*J778*(1+M778)</x:f>
        <x:v>0.20298666666666665</x:v>
      </x:c>
      <x:c r="Q778" s="30" t="n">
        <x:f>P778*N778</x:f>
        <x:v>14.615039999999999</x:v>
      </x:c>
      <x:c r="R778" s="19" t="str">
        <x:v>独立判定</x:v>
      </x:c>
    </x:row>
    <x:row r="779" ht="19" customHeight="1">
      <x:c r="A779" s="19" t="str">
        <x:v>D00775</x:v>
      </x:c>
      <x:c r="B779" s="19" t="n">
        <x:v>3</x:v>
      </x:c>
      <x:c r="C779" s="19" t="n">
        <x:v>2</x:v>
      </x:c>
      <x:c r="D779" s="19" t="str">
        <x:v>C03-M013</x:v>
      </x:c>
      <x:c r="E779" s="19" t="str">
        <x:v>海崖盐工</x:v>
      </x:c>
      <x:c r="F779" s="19" t="str">
        <x:v>普通</x:v>
      </x:c>
      <x:c r="G779" s="19" t="str">
        <x:v>材料独立候选</x:v>
      </x:c>
      <x:c r="H779" s="19" t="str">
        <x:v>裂风崖羽</x:v>
      </x:c>
      <x:c r="I779" s="22" t="n">
        <x:v>1500</x:v>
      </x:c>
      <x:c r="J779" s="22" t="n">
        <x:v>1</x:v>
      </x:c>
      <x:c r="K779" s="19" t="n">
        <x:v>1</x:v>
      </x:c>
      <x:c r="L779" s="24" t="n">
        <x:v>13.839999999999998</x:v>
      </x:c>
      <x:c r="M779" s="26" t="n">
        <x:v>0.1</x:v>
      </x:c>
      <x:c r="N779" s="24" t="n">
        <x:v>72</x:v>
      </x:c>
      <x:c r="O779" s="28" t="n">
        <x:f>MIN(1,L779/I779)</x:f>
        <x:v>0.009226666666666666</x:v>
      </x:c>
      <x:c r="P779" s="30" t="n">
        <x:f>O779*J779*(1+M779)</x:f>
        <x:v>0.010149333333333333</x:v>
      </x:c>
      <x:c r="Q779" s="30" t="n">
        <x:f>P779*N779</x:f>
        <x:v>0.730752</x:v>
      </x:c>
      <x:c r="R779" s="19" t="str">
        <x:v>独立判定</x:v>
      </x:c>
    </x:row>
    <x:row r="780" ht="19" customHeight="1">
      <x:c r="A780" s="19" t="str">
        <x:v>D00776</x:v>
      </x:c>
      <x:c r="B780" s="19" t="n">
        <x:v>3</x:v>
      </x:c>
      <x:c r="C780" s="19" t="n">
        <x:v>2</x:v>
      </x:c>
      <x:c r="D780" s="19" t="str">
        <x:v>C03-M013</x:v>
      </x:c>
      <x:c r="E780" s="19" t="str">
        <x:v>海崖盐工</x:v>
      </x:c>
      <x:c r="F780" s="19" t="str">
        <x:v>普通</x:v>
      </x:c>
      <x:c r="G780" s="19" t="str">
        <x:v>材料独立候选</x:v>
      </x:c>
      <x:c r="H780" s="19" t="str">
        <x:v>西境风痕碑拓</x:v>
      </x:c>
      <x:c r="I780" s="22" t="n">
        <x:v>600000</x:v>
      </x:c>
      <x:c r="J780" s="22" t="n">
        <x:v>1</x:v>
      </x:c>
      <x:c r="K780" s="19" t="n">
        <x:v>1</x:v>
      </x:c>
      <x:c r="L780" s="24" t="n">
        <x:v>13.839999999999998</x:v>
      </x:c>
      <x:c r="M780" s="26" t="n">
        <x:v>0.1</x:v>
      </x:c>
      <x:c r="N780" s="24" t="n">
        <x:v>72</x:v>
      </x:c>
      <x:c r="O780" s="28" t="n">
        <x:f>MIN(1,L780/I780)</x:f>
        <x:v>0.000023066666666666664</x:v>
      </x:c>
      <x:c r="P780" s="30" t="n">
        <x:f>O780*J780*(1+M780)</x:f>
        <x:v>0.000025373333333333333</x:v>
      </x:c>
      <x:c r="Q780" s="30" t="n">
        <x:f>P780*N780</x:f>
        <x:v>0.00182688</x:v>
      </x:c>
      <x:c r="R780" s="19" t="str">
        <x:v>独立判定</x:v>
      </x:c>
    </x:row>
    <x:row r="781" ht="19" customHeight="1">
      <x:c r="A781" s="19" t="str">
        <x:v>D00777</x:v>
      </x:c>
      <x:c r="B781" s="19" t="n">
        <x:v>3</x:v>
      </x:c>
      <x:c r="C781" s="19" t="n">
        <x:v>2</x:v>
      </x:c>
      <x:c r="D781" s="19" t="str">
        <x:v>C03-M013</x:v>
      </x:c>
      <x:c r="E781" s="19" t="str">
        <x:v>海崖盐工</x:v>
      </x:c>
      <x:c r="F781" s="19" t="str">
        <x:v>普通</x:v>
      </x:c>
      <x:c r="G781" s="19" t="str">
        <x:v>材料独立候选</x:v>
      </x:c>
      <x:c r="H781" s="19" t="str">
        <x:v>野兽骨片</x:v>
      </x:c>
      <x:c r="I781" s="22" t="n">
        <x:v>100</x:v>
      </x:c>
      <x:c r="J781" s="22" t="n">
        <x:v>2</x:v>
      </x:c>
      <x:c r="K781" s="19" t="n">
        <x:v>1</x:v>
      </x:c>
      <x:c r="L781" s="24" t="n">
        <x:v>13.839999999999998</x:v>
      </x:c>
      <x:c r="M781" s="26" t="n">
        <x:v>0.1</x:v>
      </x:c>
      <x:c r="N781" s="24" t="n">
        <x:v>72</x:v>
      </x:c>
      <x:c r="O781" s="28" t="n">
        <x:f>MIN(1,L781/I781)</x:f>
        <x:v>0.13839999999999997</x:v>
      </x:c>
      <x:c r="P781" s="30" t="n">
        <x:f>O781*J781*(1+M781)</x:f>
        <x:v>0.30448</x:v>
      </x:c>
      <x:c r="Q781" s="30" t="n">
        <x:f>P781*N781</x:f>
        <x:v>21.922559999999997</x:v>
      </x:c>
      <x:c r="R781" s="19" t="str">
        <x:v>独立判定</x:v>
      </x:c>
    </x:row>
    <x:row r="782" ht="19" customHeight="1">
      <x:c r="A782" s="19" t="str">
        <x:v>D00778</x:v>
      </x:c>
      <x:c r="B782" s="19" t="n">
        <x:v>3</x:v>
      </x:c>
      <x:c r="C782" s="19" t="n">
        <x:v>2</x:v>
      </x:c>
      <x:c r="D782" s="19" t="str">
        <x:v>C03-M013</x:v>
      </x:c>
      <x:c r="E782" s="19" t="str">
        <x:v>海崖盐工</x:v>
      </x:c>
      <x:c r="F782" s="19" t="str">
        <x:v>普通</x:v>
      </x:c>
      <x:c r="G782" s="19" t="str">
        <x:v>材料独立候选</x:v>
      </x:c>
      <x:c r="H782" s="19" t="str">
        <x:v>技能残页</x:v>
      </x:c>
      <x:c r="I782" s="22" t="n">
        <x:v>250</x:v>
      </x:c>
      <x:c r="J782" s="22" t="n">
        <x:v>1</x:v>
      </x:c>
      <x:c r="K782" s="19" t="n">
        <x:v>1</x:v>
      </x:c>
      <x:c r="L782" s="24" t="n">
        <x:v>13.839999999999998</x:v>
      </x:c>
      <x:c r="M782" s="26" t="n">
        <x:v>0.1</x:v>
      </x:c>
      <x:c r="N782" s="24" t="n">
        <x:v>72</x:v>
      </x:c>
      <x:c r="O782" s="28" t="n">
        <x:f>MIN(1,L782/I782)</x:f>
        <x:v>0.05535999999999999</x:v>
      </x:c>
      <x:c r="P782" s="30" t="n">
        <x:f>O782*J782*(1+M782)</x:f>
        <x:v>0.060896</x:v>
      </x:c>
      <x:c r="Q782" s="30" t="n">
        <x:f>P782*N782</x:f>
        <x:v>4.384512</x:v>
      </x:c>
      <x:c r="R782" s="19" t="str">
        <x:v>独立判定</x:v>
      </x:c>
    </x:row>
    <x:row r="783" ht="19" customHeight="1">
      <x:c r="A783" s="19" t="str">
        <x:v>D00779</x:v>
      </x:c>
      <x:c r="B783" s="19" t="n">
        <x:v>3</x:v>
      </x:c>
      <x:c r="C783" s="19" t="n">
        <x:v>2</x:v>
      </x:c>
      <x:c r="D783" s="19" t="str">
        <x:v>C03-M013</x:v>
      </x:c>
      <x:c r="E783" s="19" t="str">
        <x:v>海崖盐工</x:v>
      </x:c>
      <x:c r="F783" s="19" t="str">
        <x:v>普通</x:v>
      </x:c>
      <x:c r="G783" s="19" t="str">
        <x:v>材料独立候选</x:v>
      </x:c>
      <x:c r="H783" s="19" t="str">
        <x:v>小卢恩</x:v>
      </x:c>
      <x:c r="I783" s="22" t="n">
        <x:v>4000</x:v>
      </x:c>
      <x:c r="J783" s="22" t="n">
        <x:v>1</x:v>
      </x:c>
      <x:c r="K783" s="19" t="n">
        <x:v>1</x:v>
      </x:c>
      <x:c r="L783" s="24" t="n">
        <x:v>13.839999999999998</x:v>
      </x:c>
      <x:c r="M783" s="26" t="n">
        <x:v>0.1</x:v>
      </x:c>
      <x:c r="N783" s="24" t="n">
        <x:v>72</x:v>
      </x:c>
      <x:c r="O783" s="28" t="n">
        <x:f>MIN(1,L783/I783)</x:f>
        <x:v>0.0034599999999999995</x:v>
      </x:c>
      <x:c r="P783" s="30" t="n">
        <x:f>O783*J783*(1+M783)</x:f>
        <x:v>0.003806</x:v>
      </x:c>
      <x:c r="Q783" s="30" t="n">
        <x:f>P783*N783</x:f>
        <x:v>0.274032</x:v>
      </x:c>
      <x:c r="R783" s="19" t="str">
        <x:v>独立判定</x:v>
      </x:c>
    </x:row>
    <x:row r="784" ht="19" customHeight="1">
      <x:c r="A784" s="19" t="str">
        <x:v>D00780</x:v>
      </x:c>
      <x:c r="B784" s="19" t="n">
        <x:v>3</x:v>
      </x:c>
      <x:c r="C784" s="19" t="n">
        <x:v>2</x:v>
      </x:c>
      <x:c r="D784" s="19" t="str">
        <x:v>C03-M013</x:v>
      </x:c>
      <x:c r="E784" s="19" t="str">
        <x:v>海崖盐工</x:v>
      </x:c>
      <x:c r="F784" s="19" t="str">
        <x:v>普通</x:v>
      </x:c>
      <x:c r="G784" s="19" t="str">
        <x:v>六神器公共池</x:v>
      </x:c>
      <x:c r="H784" s="19" t="str">
        <x:v>POOL006</x:v>
      </x:c>
      <x:c r="I784" s="22" t="n">
        <x:v>20000000</x:v>
      </x:c>
      <x:c r="J784" s="22" t="n">
        <x:v>1</x:v>
      </x:c>
      <x:c r="K784" s="19" t="n">
        <x:v>6</x:v>
      </x:c>
      <x:c r="L784" s="24" t="n">
        <x:v>13.839999999999998</x:v>
      </x:c>
      <x:c r="M784" s="26" t="n">
        <x:v>0.1</x:v>
      </x:c>
      <x:c r="N784" s="24" t="n">
        <x:v>72</x:v>
      </x:c>
      <x:c r="O784" s="28" t="n">
        <x:f>MIN(1,L784/I784)</x:f>
        <x:v>6.919999999999999e-7</x:v>
      </x:c>
      <x:c r="P784" s="30" t="n">
        <x:f>O784*J784*(1+M784)</x:f>
        <x:v>7.611999999999999e-7</x:v>
      </x:c>
      <x:c r="Q784" s="30" t="n">
        <x:f>P784*N784</x:f>
        <x:v>0.00005480639999999999</x:v>
      </x:c>
      <x:c r="R784" s="19" t="str">
        <x:v>六选一；非6个独立爆率</x:v>
      </x:c>
    </x:row>
    <x:row r="785" ht="19" customHeight="1">
      <x:c r="A785" s="19" t="str">
        <x:v>D00781</x:v>
      </x:c>
      <x:c r="B785" s="19" t="n">
        <x:v>3</x:v>
      </x:c>
      <x:c r="C785" s="19" t="n">
        <x:v>2</x:v>
      </x:c>
      <x:c r="D785" s="19" t="str">
        <x:v>C03-M014</x:v>
      </x:c>
      <x:c r="E785" s="19" t="str">
        <x:v>逐风矛兵</x:v>
      </x:c>
      <x:c r="F785" s="19" t="str">
        <x:v>普通</x:v>
      </x:c>
      <x:c r="G785" s="19" t="str">
        <x:v>自身专属</x:v>
      </x:c>
      <x:c r="H785" s="19" t="str">
        <x:v>逐风长矛</x:v>
      </x:c>
      <x:c r="I785" s="22" t="n">
        <x:v>800</x:v>
      </x:c>
      <x:c r="J785" s="22" t="n">
        <x:v>1</x:v>
      </x:c>
      <x:c r="K785" s="19" t="n">
        <x:v>1</x:v>
      </x:c>
      <x:c r="L785" s="24" t="n">
        <x:v>13.839999999999998</x:v>
      </x:c>
      <x:c r="M785" s="26" t="n">
        <x:v>0.1</x:v>
      </x:c>
      <x:c r="N785" s="24" t="n">
        <x:v>72</x:v>
      </x:c>
      <x:c r="O785" s="28" t="n">
        <x:f>MIN(1,L785/I785)</x:f>
        <x:v>0.017299999999999996</x:v>
      </x:c>
      <x:c r="P785" s="30" t="n">
        <x:f>O785*J785*(1+M785)</x:f>
        <x:v>0.01903</x:v>
      </x:c>
      <x:c r="Q785" s="30" t="n">
        <x:f>P785*N785</x:f>
        <x:v>1.3701599999999998</x:v>
      </x:c>
      <x:c r="R785" s="19" t="str">
        <x:v>独立判定</x:v>
      </x:c>
    </x:row>
    <x:row r="786" ht="19" customHeight="1">
      <x:c r="A786" s="19" t="str">
        <x:v>D00782</x:v>
      </x:c>
      <x:c r="B786" s="19" t="n">
        <x:v>3</x:v>
      </x:c>
      <x:c r="C786" s="19" t="n">
        <x:v>2</x:v>
      </x:c>
      <x:c r="D786" s="19" t="str">
        <x:v>C03-M014</x:v>
      </x:c>
      <x:c r="E786" s="19" t="str">
        <x:v>逐风矛兵</x:v>
      </x:c>
      <x:c r="F786" s="19" t="str">
        <x:v>普通</x:v>
      </x:c>
      <x:c r="G786" s="19" t="str">
        <x:v>材料独立候选</x:v>
      </x:c>
      <x:c r="H786" s="19" t="str">
        <x:v>风蚀铁片</x:v>
      </x:c>
      <x:c r="I786" s="22" t="n">
        <x:v>600</x:v>
      </x:c>
      <x:c r="J786" s="22" t="n">
        <x:v>8</x:v>
      </x:c>
      <x:c r="K786" s="19" t="n">
        <x:v>1</x:v>
      </x:c>
      <x:c r="L786" s="24" t="n">
        <x:v>13.839999999999998</x:v>
      </x:c>
      <x:c r="M786" s="26" t="n">
        <x:v>0.1</x:v>
      </x:c>
      <x:c r="N786" s="24" t="n">
        <x:v>72</x:v>
      </x:c>
      <x:c r="O786" s="28" t="n">
        <x:f>MIN(1,L786/I786)</x:f>
        <x:v>0.023066666666666662</x:v>
      </x:c>
      <x:c r="P786" s="30" t="n">
        <x:f>O786*J786*(1+M786)</x:f>
        <x:v>0.20298666666666665</x:v>
      </x:c>
      <x:c r="Q786" s="30" t="n">
        <x:f>P786*N786</x:f>
        <x:v>14.615039999999999</x:v>
      </x:c>
      <x:c r="R786" s="19" t="str">
        <x:v>独立判定</x:v>
      </x:c>
    </x:row>
    <x:row r="787" ht="19" customHeight="1">
      <x:c r="A787" s="19" t="str">
        <x:v>D00783</x:v>
      </x:c>
      <x:c r="B787" s="19" t="n">
        <x:v>3</x:v>
      </x:c>
      <x:c r="C787" s="19" t="n">
        <x:v>2</x:v>
      </x:c>
      <x:c r="D787" s="19" t="str">
        <x:v>C03-M014</x:v>
      </x:c>
      <x:c r="E787" s="19" t="str">
        <x:v>逐风矛兵</x:v>
      </x:c>
      <x:c r="F787" s="19" t="str">
        <x:v>普通</x:v>
      </x:c>
      <x:c r="G787" s="19" t="str">
        <x:v>材料独立候选</x:v>
      </x:c>
      <x:c r="H787" s="19" t="str">
        <x:v>裂风崖羽</x:v>
      </x:c>
      <x:c r="I787" s="22" t="n">
        <x:v>1500</x:v>
      </x:c>
      <x:c r="J787" s="22" t="n">
        <x:v>1</x:v>
      </x:c>
      <x:c r="K787" s="19" t="n">
        <x:v>1</x:v>
      </x:c>
      <x:c r="L787" s="24" t="n">
        <x:v>13.839999999999998</x:v>
      </x:c>
      <x:c r="M787" s="26" t="n">
        <x:v>0.1</x:v>
      </x:c>
      <x:c r="N787" s="24" t="n">
        <x:v>72</x:v>
      </x:c>
      <x:c r="O787" s="28" t="n">
        <x:f>MIN(1,L787/I787)</x:f>
        <x:v>0.009226666666666666</x:v>
      </x:c>
      <x:c r="P787" s="30" t="n">
        <x:f>O787*J787*(1+M787)</x:f>
        <x:v>0.010149333333333333</x:v>
      </x:c>
      <x:c r="Q787" s="30" t="n">
        <x:f>P787*N787</x:f>
        <x:v>0.730752</x:v>
      </x:c>
      <x:c r="R787" s="19" t="str">
        <x:v>独立判定</x:v>
      </x:c>
    </x:row>
    <x:row r="788" ht="19" customHeight="1">
      <x:c r="A788" s="19" t="str">
        <x:v>D00784</x:v>
      </x:c>
      <x:c r="B788" s="19" t="n">
        <x:v>3</x:v>
      </x:c>
      <x:c r="C788" s="19" t="n">
        <x:v>2</x:v>
      </x:c>
      <x:c r="D788" s="19" t="str">
        <x:v>C03-M014</x:v>
      </x:c>
      <x:c r="E788" s="19" t="str">
        <x:v>逐风矛兵</x:v>
      </x:c>
      <x:c r="F788" s="19" t="str">
        <x:v>普通</x:v>
      </x:c>
      <x:c r="G788" s="19" t="str">
        <x:v>材料独立候选</x:v>
      </x:c>
      <x:c r="H788" s="19" t="str">
        <x:v>西境风痕碑拓</x:v>
      </x:c>
      <x:c r="I788" s="22" t="n">
        <x:v>600000</x:v>
      </x:c>
      <x:c r="J788" s="22" t="n">
        <x:v>1</x:v>
      </x:c>
      <x:c r="K788" s="19" t="n">
        <x:v>1</x:v>
      </x:c>
      <x:c r="L788" s="24" t="n">
        <x:v>13.839999999999998</x:v>
      </x:c>
      <x:c r="M788" s="26" t="n">
        <x:v>0.1</x:v>
      </x:c>
      <x:c r="N788" s="24" t="n">
        <x:v>72</x:v>
      </x:c>
      <x:c r="O788" s="28" t="n">
        <x:f>MIN(1,L788/I788)</x:f>
        <x:v>0.000023066666666666664</x:v>
      </x:c>
      <x:c r="P788" s="30" t="n">
        <x:f>O788*J788*(1+M788)</x:f>
        <x:v>0.000025373333333333333</x:v>
      </x:c>
      <x:c r="Q788" s="30" t="n">
        <x:f>P788*N788</x:f>
        <x:v>0.00182688</x:v>
      </x:c>
      <x:c r="R788" s="19" t="str">
        <x:v>独立判定</x:v>
      </x:c>
    </x:row>
    <x:row r="789" ht="19" customHeight="1">
      <x:c r="A789" s="19" t="str">
        <x:v>D00785</x:v>
      </x:c>
      <x:c r="B789" s="19" t="n">
        <x:v>3</x:v>
      </x:c>
      <x:c r="C789" s="19" t="n">
        <x:v>2</x:v>
      </x:c>
      <x:c r="D789" s="19" t="str">
        <x:v>C03-M014</x:v>
      </x:c>
      <x:c r="E789" s="19" t="str">
        <x:v>逐风矛兵</x:v>
      </x:c>
      <x:c r="F789" s="19" t="str">
        <x:v>普通</x:v>
      </x:c>
      <x:c r="G789" s="19" t="str">
        <x:v>材料独立候选</x:v>
      </x:c>
      <x:c r="H789" s="19" t="str">
        <x:v>野兽骨片</x:v>
      </x:c>
      <x:c r="I789" s="22" t="n">
        <x:v>100</x:v>
      </x:c>
      <x:c r="J789" s="22" t="n">
        <x:v>2</x:v>
      </x:c>
      <x:c r="K789" s="19" t="n">
        <x:v>1</x:v>
      </x:c>
      <x:c r="L789" s="24" t="n">
        <x:v>13.839999999999998</x:v>
      </x:c>
      <x:c r="M789" s="26" t="n">
        <x:v>0.1</x:v>
      </x:c>
      <x:c r="N789" s="24" t="n">
        <x:v>72</x:v>
      </x:c>
      <x:c r="O789" s="28" t="n">
        <x:f>MIN(1,L789/I789)</x:f>
        <x:v>0.13839999999999997</x:v>
      </x:c>
      <x:c r="P789" s="30" t="n">
        <x:f>O789*J789*(1+M789)</x:f>
        <x:v>0.30448</x:v>
      </x:c>
      <x:c r="Q789" s="30" t="n">
        <x:f>P789*N789</x:f>
        <x:v>21.922559999999997</x:v>
      </x:c>
      <x:c r="R789" s="19" t="str">
        <x:v>独立判定</x:v>
      </x:c>
    </x:row>
    <x:row r="790" ht="19" customHeight="1">
      <x:c r="A790" s="19" t="str">
        <x:v>D00786</x:v>
      </x:c>
      <x:c r="B790" s="19" t="n">
        <x:v>3</x:v>
      </x:c>
      <x:c r="C790" s="19" t="n">
        <x:v>2</x:v>
      </x:c>
      <x:c r="D790" s="19" t="str">
        <x:v>C03-M014</x:v>
      </x:c>
      <x:c r="E790" s="19" t="str">
        <x:v>逐风矛兵</x:v>
      </x:c>
      <x:c r="F790" s="19" t="str">
        <x:v>普通</x:v>
      </x:c>
      <x:c r="G790" s="19" t="str">
        <x:v>材料独立候选</x:v>
      </x:c>
      <x:c r="H790" s="19" t="str">
        <x:v>技能残页</x:v>
      </x:c>
      <x:c r="I790" s="22" t="n">
        <x:v>250</x:v>
      </x:c>
      <x:c r="J790" s="22" t="n">
        <x:v>1</x:v>
      </x:c>
      <x:c r="K790" s="19" t="n">
        <x:v>1</x:v>
      </x:c>
      <x:c r="L790" s="24" t="n">
        <x:v>13.839999999999998</x:v>
      </x:c>
      <x:c r="M790" s="26" t="n">
        <x:v>0.1</x:v>
      </x:c>
      <x:c r="N790" s="24" t="n">
        <x:v>72</x:v>
      </x:c>
      <x:c r="O790" s="28" t="n">
        <x:f>MIN(1,L790/I790)</x:f>
        <x:v>0.05535999999999999</x:v>
      </x:c>
      <x:c r="P790" s="30" t="n">
        <x:f>O790*J790*(1+M790)</x:f>
        <x:v>0.060896</x:v>
      </x:c>
      <x:c r="Q790" s="30" t="n">
        <x:f>P790*N790</x:f>
        <x:v>4.384512</x:v>
      </x:c>
      <x:c r="R790" s="19" t="str">
        <x:v>独立判定</x:v>
      </x:c>
    </x:row>
    <x:row r="791" ht="19" customHeight="1">
      <x:c r="A791" s="19" t="str">
        <x:v>D00787</x:v>
      </x:c>
      <x:c r="B791" s="19" t="n">
        <x:v>3</x:v>
      </x:c>
      <x:c r="C791" s="19" t="n">
        <x:v>2</x:v>
      </x:c>
      <x:c r="D791" s="19" t="str">
        <x:v>C03-M014</x:v>
      </x:c>
      <x:c r="E791" s="19" t="str">
        <x:v>逐风矛兵</x:v>
      </x:c>
      <x:c r="F791" s="19" t="str">
        <x:v>普通</x:v>
      </x:c>
      <x:c r="G791" s="19" t="str">
        <x:v>材料独立候选</x:v>
      </x:c>
      <x:c r="H791" s="19" t="str">
        <x:v>小卢恩</x:v>
      </x:c>
      <x:c r="I791" s="22" t="n">
        <x:v>4000</x:v>
      </x:c>
      <x:c r="J791" s="22" t="n">
        <x:v>1</x:v>
      </x:c>
      <x:c r="K791" s="19" t="n">
        <x:v>1</x:v>
      </x:c>
      <x:c r="L791" s="24" t="n">
        <x:v>13.839999999999998</x:v>
      </x:c>
      <x:c r="M791" s="26" t="n">
        <x:v>0.1</x:v>
      </x:c>
      <x:c r="N791" s="24" t="n">
        <x:v>72</x:v>
      </x:c>
      <x:c r="O791" s="28" t="n">
        <x:f>MIN(1,L791/I791)</x:f>
        <x:v>0.0034599999999999995</x:v>
      </x:c>
      <x:c r="P791" s="30" t="n">
        <x:f>O791*J791*(1+M791)</x:f>
        <x:v>0.003806</x:v>
      </x:c>
      <x:c r="Q791" s="30" t="n">
        <x:f>P791*N791</x:f>
        <x:v>0.274032</x:v>
      </x:c>
      <x:c r="R791" s="19" t="str">
        <x:v>独立判定</x:v>
      </x:c>
    </x:row>
    <x:row r="792" ht="19" customHeight="1">
      <x:c r="A792" s="19" t="str">
        <x:v>D00788</x:v>
      </x:c>
      <x:c r="B792" s="19" t="n">
        <x:v>3</x:v>
      </x:c>
      <x:c r="C792" s="19" t="n">
        <x:v>2</x:v>
      </x:c>
      <x:c r="D792" s="19" t="str">
        <x:v>C03-M014</x:v>
      </x:c>
      <x:c r="E792" s="19" t="str">
        <x:v>逐风矛兵</x:v>
      </x:c>
      <x:c r="F792" s="19" t="str">
        <x:v>普通</x:v>
      </x:c>
      <x:c r="G792" s="19" t="str">
        <x:v>六神器公共池</x:v>
      </x:c>
      <x:c r="H792" s="19" t="str">
        <x:v>POOL006</x:v>
      </x:c>
      <x:c r="I792" s="22" t="n">
        <x:v>20000000</x:v>
      </x:c>
      <x:c r="J792" s="22" t="n">
        <x:v>1</x:v>
      </x:c>
      <x:c r="K792" s="19" t="n">
        <x:v>6</x:v>
      </x:c>
      <x:c r="L792" s="24" t="n">
        <x:v>13.839999999999998</x:v>
      </x:c>
      <x:c r="M792" s="26" t="n">
        <x:v>0.1</x:v>
      </x:c>
      <x:c r="N792" s="24" t="n">
        <x:v>72</x:v>
      </x:c>
      <x:c r="O792" s="28" t="n">
        <x:f>MIN(1,L792/I792)</x:f>
        <x:v>6.919999999999999e-7</x:v>
      </x:c>
      <x:c r="P792" s="30" t="n">
        <x:f>O792*J792*(1+M792)</x:f>
        <x:v>7.611999999999999e-7</x:v>
      </x:c>
      <x:c r="Q792" s="30" t="n">
        <x:f>P792*N792</x:f>
        <x:v>0.00005480639999999999</x:v>
      </x:c>
      <x:c r="R792" s="19" t="str">
        <x:v>六选一；非6个独立爆率</x:v>
      </x:c>
    </x:row>
    <x:row r="793" ht="19" customHeight="1">
      <x:c r="A793" s="19" t="str">
        <x:v>D00789</x:v>
      </x:c>
      <x:c r="B793" s="19" t="n">
        <x:v>3</x:v>
      </x:c>
      <x:c r="C793" s="19" t="n">
        <x:v>2</x:v>
      </x:c>
      <x:c r="D793" s="19" t="str">
        <x:v>C03-M015</x:v>
      </x:c>
      <x:c r="E793" s="19" t="str">
        <x:v>裂羽海鹰</x:v>
      </x:c>
      <x:c r="F793" s="19" t="str">
        <x:v>普通</x:v>
      </x:c>
      <x:c r="G793" s="19" t="str">
        <x:v>自身专属</x:v>
      </x:c>
      <x:c r="H793" s="19" t="str">
        <x:v>裂羽护腕</x:v>
      </x:c>
      <x:c r="I793" s="22" t="n">
        <x:v>800</x:v>
      </x:c>
      <x:c r="J793" s="22" t="n">
        <x:v>1</x:v>
      </x:c>
      <x:c r="K793" s="19" t="n">
        <x:v>1</x:v>
      </x:c>
      <x:c r="L793" s="24" t="n">
        <x:v>13.839999999999998</x:v>
      </x:c>
      <x:c r="M793" s="26" t="n">
        <x:v>0.1</x:v>
      </x:c>
      <x:c r="N793" s="24" t="n">
        <x:v>72</x:v>
      </x:c>
      <x:c r="O793" s="28" t="n">
        <x:f>MIN(1,L793/I793)</x:f>
        <x:v>0.017299999999999996</x:v>
      </x:c>
      <x:c r="P793" s="30" t="n">
        <x:f>O793*J793*(1+M793)</x:f>
        <x:v>0.01903</x:v>
      </x:c>
      <x:c r="Q793" s="30" t="n">
        <x:f>P793*N793</x:f>
        <x:v>1.3701599999999998</x:v>
      </x:c>
      <x:c r="R793" s="19" t="str">
        <x:v>独立判定</x:v>
      </x:c>
    </x:row>
    <x:row r="794" ht="19" customHeight="1">
      <x:c r="A794" s="19" t="str">
        <x:v>D00790</x:v>
      </x:c>
      <x:c r="B794" s="19" t="n">
        <x:v>3</x:v>
      </x:c>
      <x:c r="C794" s="19" t="n">
        <x:v>2</x:v>
      </x:c>
      <x:c r="D794" s="19" t="str">
        <x:v>C03-M015</x:v>
      </x:c>
      <x:c r="E794" s="19" t="str">
        <x:v>裂羽海鹰</x:v>
      </x:c>
      <x:c r="F794" s="19" t="str">
        <x:v>普通</x:v>
      </x:c>
      <x:c r="G794" s="19" t="str">
        <x:v>材料独立候选</x:v>
      </x:c>
      <x:c r="H794" s="19" t="str">
        <x:v>风蚀铁片</x:v>
      </x:c>
      <x:c r="I794" s="22" t="n">
        <x:v>600</x:v>
      </x:c>
      <x:c r="J794" s="22" t="n">
        <x:v>8</x:v>
      </x:c>
      <x:c r="K794" s="19" t="n">
        <x:v>1</x:v>
      </x:c>
      <x:c r="L794" s="24" t="n">
        <x:v>13.839999999999998</x:v>
      </x:c>
      <x:c r="M794" s="26" t="n">
        <x:v>0.1</x:v>
      </x:c>
      <x:c r="N794" s="24" t="n">
        <x:v>72</x:v>
      </x:c>
      <x:c r="O794" s="28" t="n">
        <x:f>MIN(1,L794/I794)</x:f>
        <x:v>0.023066666666666662</x:v>
      </x:c>
      <x:c r="P794" s="30" t="n">
        <x:f>O794*J794*(1+M794)</x:f>
        <x:v>0.20298666666666665</x:v>
      </x:c>
      <x:c r="Q794" s="30" t="n">
        <x:f>P794*N794</x:f>
        <x:v>14.615039999999999</x:v>
      </x:c>
      <x:c r="R794" s="19" t="str">
        <x:v>独立判定</x:v>
      </x:c>
    </x:row>
    <x:row r="795" ht="19" customHeight="1">
      <x:c r="A795" s="19" t="str">
        <x:v>D00791</x:v>
      </x:c>
      <x:c r="B795" s="19" t="n">
        <x:v>3</x:v>
      </x:c>
      <x:c r="C795" s="19" t="n">
        <x:v>2</x:v>
      </x:c>
      <x:c r="D795" s="19" t="str">
        <x:v>C03-M015</x:v>
      </x:c>
      <x:c r="E795" s="19" t="str">
        <x:v>裂羽海鹰</x:v>
      </x:c>
      <x:c r="F795" s="19" t="str">
        <x:v>普通</x:v>
      </x:c>
      <x:c r="G795" s="19" t="str">
        <x:v>材料独立候选</x:v>
      </x:c>
      <x:c r="H795" s="19" t="str">
        <x:v>裂风崖羽</x:v>
      </x:c>
      <x:c r="I795" s="22" t="n">
        <x:v>1500</x:v>
      </x:c>
      <x:c r="J795" s="22" t="n">
        <x:v>1</x:v>
      </x:c>
      <x:c r="K795" s="19" t="n">
        <x:v>1</x:v>
      </x:c>
      <x:c r="L795" s="24" t="n">
        <x:v>13.839999999999998</x:v>
      </x:c>
      <x:c r="M795" s="26" t="n">
        <x:v>0.1</x:v>
      </x:c>
      <x:c r="N795" s="24" t="n">
        <x:v>72</x:v>
      </x:c>
      <x:c r="O795" s="28" t="n">
        <x:f>MIN(1,L795/I795)</x:f>
        <x:v>0.009226666666666666</x:v>
      </x:c>
      <x:c r="P795" s="30" t="n">
        <x:f>O795*J795*(1+M795)</x:f>
        <x:v>0.010149333333333333</x:v>
      </x:c>
      <x:c r="Q795" s="30" t="n">
        <x:f>P795*N795</x:f>
        <x:v>0.730752</x:v>
      </x:c>
      <x:c r="R795" s="19" t="str">
        <x:v>独立判定</x:v>
      </x:c>
    </x:row>
    <x:row r="796" ht="19" customHeight="1">
      <x:c r="A796" s="19" t="str">
        <x:v>D00792</x:v>
      </x:c>
      <x:c r="B796" s="19" t="n">
        <x:v>3</x:v>
      </x:c>
      <x:c r="C796" s="19" t="n">
        <x:v>2</x:v>
      </x:c>
      <x:c r="D796" s="19" t="str">
        <x:v>C03-M015</x:v>
      </x:c>
      <x:c r="E796" s="19" t="str">
        <x:v>裂羽海鹰</x:v>
      </x:c>
      <x:c r="F796" s="19" t="str">
        <x:v>普通</x:v>
      </x:c>
      <x:c r="G796" s="19" t="str">
        <x:v>材料独立候选</x:v>
      </x:c>
      <x:c r="H796" s="19" t="str">
        <x:v>西境风痕碑拓</x:v>
      </x:c>
      <x:c r="I796" s="22" t="n">
        <x:v>600000</x:v>
      </x:c>
      <x:c r="J796" s="22" t="n">
        <x:v>1</x:v>
      </x:c>
      <x:c r="K796" s="19" t="n">
        <x:v>1</x:v>
      </x:c>
      <x:c r="L796" s="24" t="n">
        <x:v>13.839999999999998</x:v>
      </x:c>
      <x:c r="M796" s="26" t="n">
        <x:v>0.1</x:v>
      </x:c>
      <x:c r="N796" s="24" t="n">
        <x:v>72</x:v>
      </x:c>
      <x:c r="O796" s="28" t="n">
        <x:f>MIN(1,L796/I796)</x:f>
        <x:v>0.000023066666666666664</x:v>
      </x:c>
      <x:c r="P796" s="30" t="n">
        <x:f>O796*J796*(1+M796)</x:f>
        <x:v>0.000025373333333333333</x:v>
      </x:c>
      <x:c r="Q796" s="30" t="n">
        <x:f>P796*N796</x:f>
        <x:v>0.00182688</x:v>
      </x:c>
      <x:c r="R796" s="19" t="str">
        <x:v>独立判定</x:v>
      </x:c>
    </x:row>
    <x:row r="797" ht="19" customHeight="1">
      <x:c r="A797" s="19" t="str">
        <x:v>D00793</x:v>
      </x:c>
      <x:c r="B797" s="19" t="n">
        <x:v>3</x:v>
      </x:c>
      <x:c r="C797" s="19" t="n">
        <x:v>2</x:v>
      </x:c>
      <x:c r="D797" s="19" t="str">
        <x:v>C03-M015</x:v>
      </x:c>
      <x:c r="E797" s="19" t="str">
        <x:v>裂羽海鹰</x:v>
      </x:c>
      <x:c r="F797" s="19" t="str">
        <x:v>普通</x:v>
      </x:c>
      <x:c r="G797" s="19" t="str">
        <x:v>材料独立候选</x:v>
      </x:c>
      <x:c r="H797" s="19" t="str">
        <x:v>野兽骨片</x:v>
      </x:c>
      <x:c r="I797" s="22" t="n">
        <x:v>100</x:v>
      </x:c>
      <x:c r="J797" s="22" t="n">
        <x:v>2</x:v>
      </x:c>
      <x:c r="K797" s="19" t="n">
        <x:v>1</x:v>
      </x:c>
      <x:c r="L797" s="24" t="n">
        <x:v>13.839999999999998</x:v>
      </x:c>
      <x:c r="M797" s="26" t="n">
        <x:v>0.1</x:v>
      </x:c>
      <x:c r="N797" s="24" t="n">
        <x:v>72</x:v>
      </x:c>
      <x:c r="O797" s="28" t="n">
        <x:f>MIN(1,L797/I797)</x:f>
        <x:v>0.13839999999999997</x:v>
      </x:c>
      <x:c r="P797" s="30" t="n">
        <x:f>O797*J797*(1+M797)</x:f>
        <x:v>0.30448</x:v>
      </x:c>
      <x:c r="Q797" s="30" t="n">
        <x:f>P797*N797</x:f>
        <x:v>21.922559999999997</x:v>
      </x:c>
      <x:c r="R797" s="19" t="str">
        <x:v>独立判定</x:v>
      </x:c>
    </x:row>
    <x:row r="798" ht="19" customHeight="1">
      <x:c r="A798" s="19" t="str">
        <x:v>D00794</x:v>
      </x:c>
      <x:c r="B798" s="19" t="n">
        <x:v>3</x:v>
      </x:c>
      <x:c r="C798" s="19" t="n">
        <x:v>2</x:v>
      </x:c>
      <x:c r="D798" s="19" t="str">
        <x:v>C03-M015</x:v>
      </x:c>
      <x:c r="E798" s="19" t="str">
        <x:v>裂羽海鹰</x:v>
      </x:c>
      <x:c r="F798" s="19" t="str">
        <x:v>普通</x:v>
      </x:c>
      <x:c r="G798" s="19" t="str">
        <x:v>材料独立候选</x:v>
      </x:c>
      <x:c r="H798" s="19" t="str">
        <x:v>技能残页</x:v>
      </x:c>
      <x:c r="I798" s="22" t="n">
        <x:v>250</x:v>
      </x:c>
      <x:c r="J798" s="22" t="n">
        <x:v>1</x:v>
      </x:c>
      <x:c r="K798" s="19" t="n">
        <x:v>1</x:v>
      </x:c>
      <x:c r="L798" s="24" t="n">
        <x:v>13.839999999999998</x:v>
      </x:c>
      <x:c r="M798" s="26" t="n">
        <x:v>0.1</x:v>
      </x:c>
      <x:c r="N798" s="24" t="n">
        <x:v>72</x:v>
      </x:c>
      <x:c r="O798" s="28" t="n">
        <x:f>MIN(1,L798/I798)</x:f>
        <x:v>0.05535999999999999</x:v>
      </x:c>
      <x:c r="P798" s="30" t="n">
        <x:f>O798*J798*(1+M798)</x:f>
        <x:v>0.060896</x:v>
      </x:c>
      <x:c r="Q798" s="30" t="n">
        <x:f>P798*N798</x:f>
        <x:v>4.384512</x:v>
      </x:c>
      <x:c r="R798" s="19" t="str">
        <x:v>独立判定</x:v>
      </x:c>
    </x:row>
    <x:row r="799" ht="19" customHeight="1">
      <x:c r="A799" s="19" t="str">
        <x:v>D00795</x:v>
      </x:c>
      <x:c r="B799" s="19" t="n">
        <x:v>3</x:v>
      </x:c>
      <x:c r="C799" s="19" t="n">
        <x:v>2</x:v>
      </x:c>
      <x:c r="D799" s="19" t="str">
        <x:v>C03-M015</x:v>
      </x:c>
      <x:c r="E799" s="19" t="str">
        <x:v>裂羽海鹰</x:v>
      </x:c>
      <x:c r="F799" s="19" t="str">
        <x:v>普通</x:v>
      </x:c>
      <x:c r="G799" s="19" t="str">
        <x:v>材料独立候选</x:v>
      </x:c>
      <x:c r="H799" s="19" t="str">
        <x:v>小卢恩</x:v>
      </x:c>
      <x:c r="I799" s="22" t="n">
        <x:v>4000</x:v>
      </x:c>
      <x:c r="J799" s="22" t="n">
        <x:v>1</x:v>
      </x:c>
      <x:c r="K799" s="19" t="n">
        <x:v>1</x:v>
      </x:c>
      <x:c r="L799" s="24" t="n">
        <x:v>13.839999999999998</x:v>
      </x:c>
      <x:c r="M799" s="26" t="n">
        <x:v>0.1</x:v>
      </x:c>
      <x:c r="N799" s="24" t="n">
        <x:v>72</x:v>
      </x:c>
      <x:c r="O799" s="28" t="n">
        <x:f>MIN(1,L799/I799)</x:f>
        <x:v>0.0034599999999999995</x:v>
      </x:c>
      <x:c r="P799" s="30" t="n">
        <x:f>O799*J799*(1+M799)</x:f>
        <x:v>0.003806</x:v>
      </x:c>
      <x:c r="Q799" s="30" t="n">
        <x:f>P799*N799</x:f>
        <x:v>0.274032</x:v>
      </x:c>
      <x:c r="R799" s="19" t="str">
        <x:v>独立判定</x:v>
      </x:c>
    </x:row>
    <x:row r="800" ht="19" customHeight="1">
      <x:c r="A800" s="19" t="str">
        <x:v>D00796</x:v>
      </x:c>
      <x:c r="B800" s="19" t="n">
        <x:v>3</x:v>
      </x:c>
      <x:c r="C800" s="19" t="n">
        <x:v>2</x:v>
      </x:c>
      <x:c r="D800" s="19" t="str">
        <x:v>C03-M015</x:v>
      </x:c>
      <x:c r="E800" s="19" t="str">
        <x:v>裂羽海鹰</x:v>
      </x:c>
      <x:c r="F800" s="19" t="str">
        <x:v>普通</x:v>
      </x:c>
      <x:c r="G800" s="19" t="str">
        <x:v>六神器公共池</x:v>
      </x:c>
      <x:c r="H800" s="19" t="str">
        <x:v>POOL006</x:v>
      </x:c>
      <x:c r="I800" s="22" t="n">
        <x:v>20000000</x:v>
      </x:c>
      <x:c r="J800" s="22" t="n">
        <x:v>1</x:v>
      </x:c>
      <x:c r="K800" s="19" t="n">
        <x:v>6</x:v>
      </x:c>
      <x:c r="L800" s="24" t="n">
        <x:v>13.839999999999998</x:v>
      </x:c>
      <x:c r="M800" s="26" t="n">
        <x:v>0.1</x:v>
      </x:c>
      <x:c r="N800" s="24" t="n">
        <x:v>72</x:v>
      </x:c>
      <x:c r="O800" s="28" t="n">
        <x:f>MIN(1,L800/I800)</x:f>
        <x:v>6.919999999999999e-7</x:v>
      </x:c>
      <x:c r="P800" s="30" t="n">
        <x:f>O800*J800*(1+M800)</x:f>
        <x:v>7.611999999999999e-7</x:v>
      </x:c>
      <x:c r="Q800" s="30" t="n">
        <x:f>P800*N800</x:f>
        <x:v>0.00005480639999999999</x:v>
      </x:c>
      <x:c r="R800" s="19" t="str">
        <x:v>六选一；非6个独立爆率</x:v>
      </x:c>
    </x:row>
    <x:row r="801" ht="19" customHeight="1">
      <x:c r="A801" s="19" t="str">
        <x:v>D00797</x:v>
      </x:c>
      <x:c r="B801" s="19" t="n">
        <x:v>3</x:v>
      </x:c>
      <x:c r="C801" s="19" t="n">
        <x:v>2</x:v>
      </x:c>
      <x:c r="D801" s="19" t="str">
        <x:v>C03-M016</x:v>
      </x:c>
      <x:c r="E801" s="19" t="str">
        <x:v>潮穴石蜥</x:v>
      </x:c>
      <x:c r="F801" s="19" t="str">
        <x:v>普通</x:v>
      </x:c>
      <x:c r="G801" s="19" t="str">
        <x:v>自身专属</x:v>
      </x:c>
      <x:c r="H801" s="19" t="str">
        <x:v>潮穴石盾</x:v>
      </x:c>
      <x:c r="I801" s="22" t="n">
        <x:v>800</x:v>
      </x:c>
      <x:c r="J801" s="22" t="n">
        <x:v>1</x:v>
      </x:c>
      <x:c r="K801" s="19" t="n">
        <x:v>1</x:v>
      </x:c>
      <x:c r="L801" s="24" t="n">
        <x:v>13.839999999999998</x:v>
      </x:c>
      <x:c r="M801" s="26" t="n">
        <x:v>0.1</x:v>
      </x:c>
      <x:c r="N801" s="24" t="n">
        <x:v>72</x:v>
      </x:c>
      <x:c r="O801" s="28" t="n">
        <x:f>MIN(1,L801/I801)</x:f>
        <x:v>0.017299999999999996</x:v>
      </x:c>
      <x:c r="P801" s="30" t="n">
        <x:f>O801*J801*(1+M801)</x:f>
        <x:v>0.01903</x:v>
      </x:c>
      <x:c r="Q801" s="30" t="n">
        <x:f>P801*N801</x:f>
        <x:v>1.3701599999999998</x:v>
      </x:c>
      <x:c r="R801" s="19" t="str">
        <x:v>独立判定</x:v>
      </x:c>
    </x:row>
    <x:row r="802" ht="19" customHeight="1">
      <x:c r="A802" s="19" t="str">
        <x:v>D00798</x:v>
      </x:c>
      <x:c r="B802" s="19" t="n">
        <x:v>3</x:v>
      </x:c>
      <x:c r="C802" s="19" t="n">
        <x:v>2</x:v>
      </x:c>
      <x:c r="D802" s="19" t="str">
        <x:v>C03-M016</x:v>
      </x:c>
      <x:c r="E802" s="19" t="str">
        <x:v>潮穴石蜥</x:v>
      </x:c>
      <x:c r="F802" s="19" t="str">
        <x:v>普通</x:v>
      </x:c>
      <x:c r="G802" s="19" t="str">
        <x:v>材料独立候选</x:v>
      </x:c>
      <x:c r="H802" s="19" t="str">
        <x:v>风蚀铁片</x:v>
      </x:c>
      <x:c r="I802" s="22" t="n">
        <x:v>600</x:v>
      </x:c>
      <x:c r="J802" s="22" t="n">
        <x:v>8</x:v>
      </x:c>
      <x:c r="K802" s="19" t="n">
        <x:v>1</x:v>
      </x:c>
      <x:c r="L802" s="24" t="n">
        <x:v>13.839999999999998</x:v>
      </x:c>
      <x:c r="M802" s="26" t="n">
        <x:v>0.1</x:v>
      </x:c>
      <x:c r="N802" s="24" t="n">
        <x:v>72</x:v>
      </x:c>
      <x:c r="O802" s="28" t="n">
        <x:f>MIN(1,L802/I802)</x:f>
        <x:v>0.023066666666666662</x:v>
      </x:c>
      <x:c r="P802" s="30" t="n">
        <x:f>O802*J802*(1+M802)</x:f>
        <x:v>0.20298666666666665</x:v>
      </x:c>
      <x:c r="Q802" s="30" t="n">
        <x:f>P802*N802</x:f>
        <x:v>14.615039999999999</x:v>
      </x:c>
      <x:c r="R802" s="19" t="str">
        <x:v>独立判定</x:v>
      </x:c>
    </x:row>
    <x:row r="803" ht="19" customHeight="1">
      <x:c r="A803" s="19" t="str">
        <x:v>D00799</x:v>
      </x:c>
      <x:c r="B803" s="19" t="n">
        <x:v>3</x:v>
      </x:c>
      <x:c r="C803" s="19" t="n">
        <x:v>2</x:v>
      </x:c>
      <x:c r="D803" s="19" t="str">
        <x:v>C03-M016</x:v>
      </x:c>
      <x:c r="E803" s="19" t="str">
        <x:v>潮穴石蜥</x:v>
      </x:c>
      <x:c r="F803" s="19" t="str">
        <x:v>普通</x:v>
      </x:c>
      <x:c r="G803" s="19" t="str">
        <x:v>材料独立候选</x:v>
      </x:c>
      <x:c r="H803" s="19" t="str">
        <x:v>裂风崖羽</x:v>
      </x:c>
      <x:c r="I803" s="22" t="n">
        <x:v>1500</x:v>
      </x:c>
      <x:c r="J803" s="22" t="n">
        <x:v>1</x:v>
      </x:c>
      <x:c r="K803" s="19" t="n">
        <x:v>1</x:v>
      </x:c>
      <x:c r="L803" s="24" t="n">
        <x:v>13.839999999999998</x:v>
      </x:c>
      <x:c r="M803" s="26" t="n">
        <x:v>0.1</x:v>
      </x:c>
      <x:c r="N803" s="24" t="n">
        <x:v>72</x:v>
      </x:c>
      <x:c r="O803" s="28" t="n">
        <x:f>MIN(1,L803/I803)</x:f>
        <x:v>0.009226666666666666</x:v>
      </x:c>
      <x:c r="P803" s="30" t="n">
        <x:f>O803*J803*(1+M803)</x:f>
        <x:v>0.010149333333333333</x:v>
      </x:c>
      <x:c r="Q803" s="30" t="n">
        <x:f>P803*N803</x:f>
        <x:v>0.730752</x:v>
      </x:c>
      <x:c r="R803" s="19" t="str">
        <x:v>独立判定</x:v>
      </x:c>
    </x:row>
    <x:row r="804" ht="19" customHeight="1">
      <x:c r="A804" s="19" t="str">
        <x:v>D00800</x:v>
      </x:c>
      <x:c r="B804" s="19" t="n">
        <x:v>3</x:v>
      </x:c>
      <x:c r="C804" s="19" t="n">
        <x:v>2</x:v>
      </x:c>
      <x:c r="D804" s="19" t="str">
        <x:v>C03-M016</x:v>
      </x:c>
      <x:c r="E804" s="19" t="str">
        <x:v>潮穴石蜥</x:v>
      </x:c>
      <x:c r="F804" s="19" t="str">
        <x:v>普通</x:v>
      </x:c>
      <x:c r="G804" s="19" t="str">
        <x:v>材料独立候选</x:v>
      </x:c>
      <x:c r="H804" s="19" t="str">
        <x:v>西境风痕碑拓</x:v>
      </x:c>
      <x:c r="I804" s="22" t="n">
        <x:v>600000</x:v>
      </x:c>
      <x:c r="J804" s="22" t="n">
        <x:v>1</x:v>
      </x:c>
      <x:c r="K804" s="19" t="n">
        <x:v>1</x:v>
      </x:c>
      <x:c r="L804" s="24" t="n">
        <x:v>13.839999999999998</x:v>
      </x:c>
      <x:c r="M804" s="26" t="n">
        <x:v>0.1</x:v>
      </x:c>
      <x:c r="N804" s="24" t="n">
        <x:v>72</x:v>
      </x:c>
      <x:c r="O804" s="28" t="n">
        <x:f>MIN(1,L804/I804)</x:f>
        <x:v>0.000023066666666666664</x:v>
      </x:c>
      <x:c r="P804" s="30" t="n">
        <x:f>O804*J804*(1+M804)</x:f>
        <x:v>0.000025373333333333333</x:v>
      </x:c>
      <x:c r="Q804" s="30" t="n">
        <x:f>P804*N804</x:f>
        <x:v>0.00182688</x:v>
      </x:c>
      <x:c r="R804" s="19" t="str">
        <x:v>独立判定</x:v>
      </x:c>
    </x:row>
    <x:row r="805" ht="19" customHeight="1">
      <x:c r="A805" s="19" t="str">
        <x:v>D00801</x:v>
      </x:c>
      <x:c r="B805" s="19" t="n">
        <x:v>3</x:v>
      </x:c>
      <x:c r="C805" s="19" t="n">
        <x:v>2</x:v>
      </x:c>
      <x:c r="D805" s="19" t="str">
        <x:v>C03-M016</x:v>
      </x:c>
      <x:c r="E805" s="19" t="str">
        <x:v>潮穴石蜥</x:v>
      </x:c>
      <x:c r="F805" s="19" t="str">
        <x:v>普通</x:v>
      </x:c>
      <x:c r="G805" s="19" t="str">
        <x:v>材料独立候选</x:v>
      </x:c>
      <x:c r="H805" s="19" t="str">
        <x:v>野兽骨片</x:v>
      </x:c>
      <x:c r="I805" s="22" t="n">
        <x:v>100</x:v>
      </x:c>
      <x:c r="J805" s="22" t="n">
        <x:v>2</x:v>
      </x:c>
      <x:c r="K805" s="19" t="n">
        <x:v>1</x:v>
      </x:c>
      <x:c r="L805" s="24" t="n">
        <x:v>13.839999999999998</x:v>
      </x:c>
      <x:c r="M805" s="26" t="n">
        <x:v>0.1</x:v>
      </x:c>
      <x:c r="N805" s="24" t="n">
        <x:v>72</x:v>
      </x:c>
      <x:c r="O805" s="28" t="n">
        <x:f>MIN(1,L805/I805)</x:f>
        <x:v>0.13839999999999997</x:v>
      </x:c>
      <x:c r="P805" s="30" t="n">
        <x:f>O805*J805*(1+M805)</x:f>
        <x:v>0.30448</x:v>
      </x:c>
      <x:c r="Q805" s="30" t="n">
        <x:f>P805*N805</x:f>
        <x:v>21.922559999999997</x:v>
      </x:c>
      <x:c r="R805" s="19" t="str">
        <x:v>独立判定</x:v>
      </x:c>
    </x:row>
    <x:row r="806" ht="19" customHeight="1">
      <x:c r="A806" s="19" t="str">
        <x:v>D00802</x:v>
      </x:c>
      <x:c r="B806" s="19" t="n">
        <x:v>3</x:v>
      </x:c>
      <x:c r="C806" s="19" t="n">
        <x:v>2</x:v>
      </x:c>
      <x:c r="D806" s="19" t="str">
        <x:v>C03-M016</x:v>
      </x:c>
      <x:c r="E806" s="19" t="str">
        <x:v>潮穴石蜥</x:v>
      </x:c>
      <x:c r="F806" s="19" t="str">
        <x:v>普通</x:v>
      </x:c>
      <x:c r="G806" s="19" t="str">
        <x:v>材料独立候选</x:v>
      </x:c>
      <x:c r="H806" s="19" t="str">
        <x:v>技能残页</x:v>
      </x:c>
      <x:c r="I806" s="22" t="n">
        <x:v>250</x:v>
      </x:c>
      <x:c r="J806" s="22" t="n">
        <x:v>1</x:v>
      </x:c>
      <x:c r="K806" s="19" t="n">
        <x:v>1</x:v>
      </x:c>
      <x:c r="L806" s="24" t="n">
        <x:v>13.839999999999998</x:v>
      </x:c>
      <x:c r="M806" s="26" t="n">
        <x:v>0.1</x:v>
      </x:c>
      <x:c r="N806" s="24" t="n">
        <x:v>72</x:v>
      </x:c>
      <x:c r="O806" s="28" t="n">
        <x:f>MIN(1,L806/I806)</x:f>
        <x:v>0.05535999999999999</x:v>
      </x:c>
      <x:c r="P806" s="30" t="n">
        <x:f>O806*J806*(1+M806)</x:f>
        <x:v>0.060896</x:v>
      </x:c>
      <x:c r="Q806" s="30" t="n">
        <x:f>P806*N806</x:f>
        <x:v>4.384512</x:v>
      </x:c>
      <x:c r="R806" s="19" t="str">
        <x:v>独立判定</x:v>
      </x:c>
    </x:row>
    <x:row r="807" ht="19" customHeight="1">
      <x:c r="A807" s="19" t="str">
        <x:v>D00803</x:v>
      </x:c>
      <x:c r="B807" s="19" t="n">
        <x:v>3</x:v>
      </x:c>
      <x:c r="C807" s="19" t="n">
        <x:v>2</x:v>
      </x:c>
      <x:c r="D807" s="19" t="str">
        <x:v>C03-M016</x:v>
      </x:c>
      <x:c r="E807" s="19" t="str">
        <x:v>潮穴石蜥</x:v>
      </x:c>
      <x:c r="F807" s="19" t="str">
        <x:v>普通</x:v>
      </x:c>
      <x:c r="G807" s="19" t="str">
        <x:v>材料独立候选</x:v>
      </x:c>
      <x:c r="H807" s="19" t="str">
        <x:v>小卢恩</x:v>
      </x:c>
      <x:c r="I807" s="22" t="n">
        <x:v>4000</x:v>
      </x:c>
      <x:c r="J807" s="22" t="n">
        <x:v>1</x:v>
      </x:c>
      <x:c r="K807" s="19" t="n">
        <x:v>1</x:v>
      </x:c>
      <x:c r="L807" s="24" t="n">
        <x:v>13.839999999999998</x:v>
      </x:c>
      <x:c r="M807" s="26" t="n">
        <x:v>0.1</x:v>
      </x:c>
      <x:c r="N807" s="24" t="n">
        <x:v>72</x:v>
      </x:c>
      <x:c r="O807" s="28" t="n">
        <x:f>MIN(1,L807/I807)</x:f>
        <x:v>0.0034599999999999995</x:v>
      </x:c>
      <x:c r="P807" s="30" t="n">
        <x:f>O807*J807*(1+M807)</x:f>
        <x:v>0.003806</x:v>
      </x:c>
      <x:c r="Q807" s="30" t="n">
        <x:f>P807*N807</x:f>
        <x:v>0.274032</x:v>
      </x:c>
      <x:c r="R807" s="19" t="str">
        <x:v>独立判定</x:v>
      </x:c>
    </x:row>
    <x:row r="808" ht="19" customHeight="1">
      <x:c r="A808" s="19" t="str">
        <x:v>D00804</x:v>
      </x:c>
      <x:c r="B808" s="19" t="n">
        <x:v>3</x:v>
      </x:c>
      <x:c r="C808" s="19" t="n">
        <x:v>2</x:v>
      </x:c>
      <x:c r="D808" s="19" t="str">
        <x:v>C03-M016</x:v>
      </x:c>
      <x:c r="E808" s="19" t="str">
        <x:v>潮穴石蜥</x:v>
      </x:c>
      <x:c r="F808" s="19" t="str">
        <x:v>普通</x:v>
      </x:c>
      <x:c r="G808" s="19" t="str">
        <x:v>六神器公共池</x:v>
      </x:c>
      <x:c r="H808" s="19" t="str">
        <x:v>POOL006</x:v>
      </x:c>
      <x:c r="I808" s="22" t="n">
        <x:v>20000000</x:v>
      </x:c>
      <x:c r="J808" s="22" t="n">
        <x:v>1</x:v>
      </x:c>
      <x:c r="K808" s="19" t="n">
        <x:v>6</x:v>
      </x:c>
      <x:c r="L808" s="24" t="n">
        <x:v>13.839999999999998</x:v>
      </x:c>
      <x:c r="M808" s="26" t="n">
        <x:v>0.1</x:v>
      </x:c>
      <x:c r="N808" s="24" t="n">
        <x:v>72</x:v>
      </x:c>
      <x:c r="O808" s="28" t="n">
        <x:f>MIN(1,L808/I808)</x:f>
        <x:v>6.919999999999999e-7</x:v>
      </x:c>
      <x:c r="P808" s="30" t="n">
        <x:f>O808*J808*(1+M808)</x:f>
        <x:v>7.611999999999999e-7</x:v>
      </x:c>
      <x:c r="Q808" s="30" t="n">
        <x:f>P808*N808</x:f>
        <x:v>0.00005480639999999999</x:v>
      </x:c>
      <x:c r="R808" s="19" t="str">
        <x:v>六选一；非6个独立爆率</x:v>
      </x:c>
    </x:row>
    <x:row r="809" ht="19" customHeight="1">
      <x:c r="A809" s="19" t="str">
        <x:v>D00805</x:v>
      </x:c>
      <x:c r="B809" s="19" t="n">
        <x:v>3</x:v>
      </x:c>
      <x:c r="C809" s="19" t="n">
        <x:v>2</x:v>
      </x:c>
      <x:c r="D809" s="19" t="str">
        <x:v>C03-M017</x:v>
      </x:c>
      <x:c r="E809" s="19" t="str">
        <x:v>断索流徒</x:v>
      </x:c>
      <x:c r="F809" s="19" t="str">
        <x:v>普通</x:v>
      </x:c>
      <x:c r="G809" s="19" t="str">
        <x:v>自身专属</x:v>
      </x:c>
      <x:c r="H809" s="19" t="str">
        <x:v>断索束带</x:v>
      </x:c>
      <x:c r="I809" s="22" t="n">
        <x:v>800</x:v>
      </x:c>
      <x:c r="J809" s="22" t="n">
        <x:v>1</x:v>
      </x:c>
      <x:c r="K809" s="19" t="n">
        <x:v>1</x:v>
      </x:c>
      <x:c r="L809" s="24" t="n">
        <x:v>13.839999999999998</x:v>
      </x:c>
      <x:c r="M809" s="26" t="n">
        <x:v>0.1</x:v>
      </x:c>
      <x:c r="N809" s="24" t="n">
        <x:v>72</x:v>
      </x:c>
      <x:c r="O809" s="28" t="n">
        <x:f>MIN(1,L809/I809)</x:f>
        <x:v>0.017299999999999996</x:v>
      </x:c>
      <x:c r="P809" s="30" t="n">
        <x:f>O809*J809*(1+M809)</x:f>
        <x:v>0.01903</x:v>
      </x:c>
      <x:c r="Q809" s="30" t="n">
        <x:f>P809*N809</x:f>
        <x:v>1.3701599999999998</x:v>
      </x:c>
      <x:c r="R809" s="19" t="str">
        <x:v>独立判定</x:v>
      </x:c>
    </x:row>
    <x:row r="810" ht="19" customHeight="1">
      <x:c r="A810" s="19" t="str">
        <x:v>D00806</x:v>
      </x:c>
      <x:c r="B810" s="19" t="n">
        <x:v>3</x:v>
      </x:c>
      <x:c r="C810" s="19" t="n">
        <x:v>2</x:v>
      </x:c>
      <x:c r="D810" s="19" t="str">
        <x:v>C03-M017</x:v>
      </x:c>
      <x:c r="E810" s="19" t="str">
        <x:v>断索流徒</x:v>
      </x:c>
      <x:c r="F810" s="19" t="str">
        <x:v>普通</x:v>
      </x:c>
      <x:c r="G810" s="19" t="str">
        <x:v>材料独立候选</x:v>
      </x:c>
      <x:c r="H810" s="19" t="str">
        <x:v>风蚀铁片</x:v>
      </x:c>
      <x:c r="I810" s="22" t="n">
        <x:v>600</x:v>
      </x:c>
      <x:c r="J810" s="22" t="n">
        <x:v>8</x:v>
      </x:c>
      <x:c r="K810" s="19" t="n">
        <x:v>1</x:v>
      </x:c>
      <x:c r="L810" s="24" t="n">
        <x:v>13.839999999999998</x:v>
      </x:c>
      <x:c r="M810" s="26" t="n">
        <x:v>0.1</x:v>
      </x:c>
      <x:c r="N810" s="24" t="n">
        <x:v>72</x:v>
      </x:c>
      <x:c r="O810" s="28" t="n">
        <x:f>MIN(1,L810/I810)</x:f>
        <x:v>0.023066666666666662</x:v>
      </x:c>
      <x:c r="P810" s="30" t="n">
        <x:f>O810*J810*(1+M810)</x:f>
        <x:v>0.20298666666666665</x:v>
      </x:c>
      <x:c r="Q810" s="30" t="n">
        <x:f>P810*N810</x:f>
        <x:v>14.615039999999999</x:v>
      </x:c>
      <x:c r="R810" s="19" t="str">
        <x:v>独立判定</x:v>
      </x:c>
    </x:row>
    <x:row r="811" ht="19" customHeight="1">
      <x:c r="A811" s="19" t="str">
        <x:v>D00807</x:v>
      </x:c>
      <x:c r="B811" s="19" t="n">
        <x:v>3</x:v>
      </x:c>
      <x:c r="C811" s="19" t="n">
        <x:v>2</x:v>
      </x:c>
      <x:c r="D811" s="19" t="str">
        <x:v>C03-M017</x:v>
      </x:c>
      <x:c r="E811" s="19" t="str">
        <x:v>断索流徒</x:v>
      </x:c>
      <x:c r="F811" s="19" t="str">
        <x:v>普通</x:v>
      </x:c>
      <x:c r="G811" s="19" t="str">
        <x:v>材料独立候选</x:v>
      </x:c>
      <x:c r="H811" s="19" t="str">
        <x:v>裂风崖羽</x:v>
      </x:c>
      <x:c r="I811" s="22" t="n">
        <x:v>1500</x:v>
      </x:c>
      <x:c r="J811" s="22" t="n">
        <x:v>1</x:v>
      </x:c>
      <x:c r="K811" s="19" t="n">
        <x:v>1</x:v>
      </x:c>
      <x:c r="L811" s="24" t="n">
        <x:v>13.839999999999998</x:v>
      </x:c>
      <x:c r="M811" s="26" t="n">
        <x:v>0.1</x:v>
      </x:c>
      <x:c r="N811" s="24" t="n">
        <x:v>72</x:v>
      </x:c>
      <x:c r="O811" s="28" t="n">
        <x:f>MIN(1,L811/I811)</x:f>
        <x:v>0.009226666666666666</x:v>
      </x:c>
      <x:c r="P811" s="30" t="n">
        <x:f>O811*J811*(1+M811)</x:f>
        <x:v>0.010149333333333333</x:v>
      </x:c>
      <x:c r="Q811" s="30" t="n">
        <x:f>P811*N811</x:f>
        <x:v>0.730752</x:v>
      </x:c>
      <x:c r="R811" s="19" t="str">
        <x:v>独立判定</x:v>
      </x:c>
    </x:row>
    <x:row r="812" ht="19" customHeight="1">
      <x:c r="A812" s="19" t="str">
        <x:v>D00808</x:v>
      </x:c>
      <x:c r="B812" s="19" t="n">
        <x:v>3</x:v>
      </x:c>
      <x:c r="C812" s="19" t="n">
        <x:v>2</x:v>
      </x:c>
      <x:c r="D812" s="19" t="str">
        <x:v>C03-M017</x:v>
      </x:c>
      <x:c r="E812" s="19" t="str">
        <x:v>断索流徒</x:v>
      </x:c>
      <x:c r="F812" s="19" t="str">
        <x:v>普通</x:v>
      </x:c>
      <x:c r="G812" s="19" t="str">
        <x:v>材料独立候选</x:v>
      </x:c>
      <x:c r="H812" s="19" t="str">
        <x:v>西境风痕碑拓</x:v>
      </x:c>
      <x:c r="I812" s="22" t="n">
        <x:v>600000</x:v>
      </x:c>
      <x:c r="J812" s="22" t="n">
        <x:v>1</x:v>
      </x:c>
      <x:c r="K812" s="19" t="n">
        <x:v>1</x:v>
      </x:c>
      <x:c r="L812" s="24" t="n">
        <x:v>13.839999999999998</x:v>
      </x:c>
      <x:c r="M812" s="26" t="n">
        <x:v>0.1</x:v>
      </x:c>
      <x:c r="N812" s="24" t="n">
        <x:v>72</x:v>
      </x:c>
      <x:c r="O812" s="28" t="n">
        <x:f>MIN(1,L812/I812)</x:f>
        <x:v>0.000023066666666666664</x:v>
      </x:c>
      <x:c r="P812" s="30" t="n">
        <x:f>O812*J812*(1+M812)</x:f>
        <x:v>0.000025373333333333333</x:v>
      </x:c>
      <x:c r="Q812" s="30" t="n">
        <x:f>P812*N812</x:f>
        <x:v>0.00182688</x:v>
      </x:c>
      <x:c r="R812" s="19" t="str">
        <x:v>独立判定</x:v>
      </x:c>
    </x:row>
    <x:row r="813" ht="19" customHeight="1">
      <x:c r="A813" s="19" t="str">
        <x:v>D00809</x:v>
      </x:c>
      <x:c r="B813" s="19" t="n">
        <x:v>3</x:v>
      </x:c>
      <x:c r="C813" s="19" t="n">
        <x:v>2</x:v>
      </x:c>
      <x:c r="D813" s="19" t="str">
        <x:v>C03-M017</x:v>
      </x:c>
      <x:c r="E813" s="19" t="str">
        <x:v>断索流徒</x:v>
      </x:c>
      <x:c r="F813" s="19" t="str">
        <x:v>普通</x:v>
      </x:c>
      <x:c r="G813" s="19" t="str">
        <x:v>材料独立候选</x:v>
      </x:c>
      <x:c r="H813" s="19" t="str">
        <x:v>野兽骨片</x:v>
      </x:c>
      <x:c r="I813" s="22" t="n">
        <x:v>100</x:v>
      </x:c>
      <x:c r="J813" s="22" t="n">
        <x:v>2</x:v>
      </x:c>
      <x:c r="K813" s="19" t="n">
        <x:v>1</x:v>
      </x:c>
      <x:c r="L813" s="24" t="n">
        <x:v>13.839999999999998</x:v>
      </x:c>
      <x:c r="M813" s="26" t="n">
        <x:v>0.1</x:v>
      </x:c>
      <x:c r="N813" s="24" t="n">
        <x:v>72</x:v>
      </x:c>
      <x:c r="O813" s="28" t="n">
        <x:f>MIN(1,L813/I813)</x:f>
        <x:v>0.13839999999999997</x:v>
      </x:c>
      <x:c r="P813" s="30" t="n">
        <x:f>O813*J813*(1+M813)</x:f>
        <x:v>0.30448</x:v>
      </x:c>
      <x:c r="Q813" s="30" t="n">
        <x:f>P813*N813</x:f>
        <x:v>21.922559999999997</x:v>
      </x:c>
      <x:c r="R813" s="19" t="str">
        <x:v>独立判定</x:v>
      </x:c>
    </x:row>
    <x:row r="814" ht="19" customHeight="1">
      <x:c r="A814" s="19" t="str">
        <x:v>D00810</x:v>
      </x:c>
      <x:c r="B814" s="19" t="n">
        <x:v>3</x:v>
      </x:c>
      <x:c r="C814" s="19" t="n">
        <x:v>2</x:v>
      </x:c>
      <x:c r="D814" s="19" t="str">
        <x:v>C03-M017</x:v>
      </x:c>
      <x:c r="E814" s="19" t="str">
        <x:v>断索流徒</x:v>
      </x:c>
      <x:c r="F814" s="19" t="str">
        <x:v>普通</x:v>
      </x:c>
      <x:c r="G814" s="19" t="str">
        <x:v>材料独立候选</x:v>
      </x:c>
      <x:c r="H814" s="19" t="str">
        <x:v>技能残页</x:v>
      </x:c>
      <x:c r="I814" s="22" t="n">
        <x:v>250</x:v>
      </x:c>
      <x:c r="J814" s="22" t="n">
        <x:v>1</x:v>
      </x:c>
      <x:c r="K814" s="19" t="n">
        <x:v>1</x:v>
      </x:c>
      <x:c r="L814" s="24" t="n">
        <x:v>13.839999999999998</x:v>
      </x:c>
      <x:c r="M814" s="26" t="n">
        <x:v>0.1</x:v>
      </x:c>
      <x:c r="N814" s="24" t="n">
        <x:v>72</x:v>
      </x:c>
      <x:c r="O814" s="28" t="n">
        <x:f>MIN(1,L814/I814)</x:f>
        <x:v>0.05535999999999999</x:v>
      </x:c>
      <x:c r="P814" s="30" t="n">
        <x:f>O814*J814*(1+M814)</x:f>
        <x:v>0.060896</x:v>
      </x:c>
      <x:c r="Q814" s="30" t="n">
        <x:f>P814*N814</x:f>
        <x:v>4.384512</x:v>
      </x:c>
      <x:c r="R814" s="19" t="str">
        <x:v>独立判定</x:v>
      </x:c>
    </x:row>
    <x:row r="815" ht="19" customHeight="1">
      <x:c r="A815" s="19" t="str">
        <x:v>D00811</x:v>
      </x:c>
      <x:c r="B815" s="19" t="n">
        <x:v>3</x:v>
      </x:c>
      <x:c r="C815" s="19" t="n">
        <x:v>2</x:v>
      </x:c>
      <x:c r="D815" s="19" t="str">
        <x:v>C03-M017</x:v>
      </x:c>
      <x:c r="E815" s="19" t="str">
        <x:v>断索流徒</x:v>
      </x:c>
      <x:c r="F815" s="19" t="str">
        <x:v>普通</x:v>
      </x:c>
      <x:c r="G815" s="19" t="str">
        <x:v>材料独立候选</x:v>
      </x:c>
      <x:c r="H815" s="19" t="str">
        <x:v>小卢恩</x:v>
      </x:c>
      <x:c r="I815" s="22" t="n">
        <x:v>4000</x:v>
      </x:c>
      <x:c r="J815" s="22" t="n">
        <x:v>1</x:v>
      </x:c>
      <x:c r="K815" s="19" t="n">
        <x:v>1</x:v>
      </x:c>
      <x:c r="L815" s="24" t="n">
        <x:v>13.839999999999998</x:v>
      </x:c>
      <x:c r="M815" s="26" t="n">
        <x:v>0.1</x:v>
      </x:c>
      <x:c r="N815" s="24" t="n">
        <x:v>72</x:v>
      </x:c>
      <x:c r="O815" s="28" t="n">
        <x:f>MIN(1,L815/I815)</x:f>
        <x:v>0.0034599999999999995</x:v>
      </x:c>
      <x:c r="P815" s="30" t="n">
        <x:f>O815*J815*(1+M815)</x:f>
        <x:v>0.003806</x:v>
      </x:c>
      <x:c r="Q815" s="30" t="n">
        <x:f>P815*N815</x:f>
        <x:v>0.274032</x:v>
      </x:c>
      <x:c r="R815" s="19" t="str">
        <x:v>独立判定</x:v>
      </x:c>
    </x:row>
    <x:row r="816" ht="19" customHeight="1">
      <x:c r="A816" s="19" t="str">
        <x:v>D00812</x:v>
      </x:c>
      <x:c r="B816" s="19" t="n">
        <x:v>3</x:v>
      </x:c>
      <x:c r="C816" s="19" t="n">
        <x:v>2</x:v>
      </x:c>
      <x:c r="D816" s="19" t="str">
        <x:v>C03-M017</x:v>
      </x:c>
      <x:c r="E816" s="19" t="str">
        <x:v>断索流徒</x:v>
      </x:c>
      <x:c r="F816" s="19" t="str">
        <x:v>普通</x:v>
      </x:c>
      <x:c r="G816" s="19" t="str">
        <x:v>六神器公共池</x:v>
      </x:c>
      <x:c r="H816" s="19" t="str">
        <x:v>POOL006</x:v>
      </x:c>
      <x:c r="I816" s="22" t="n">
        <x:v>20000000</x:v>
      </x:c>
      <x:c r="J816" s="22" t="n">
        <x:v>1</x:v>
      </x:c>
      <x:c r="K816" s="19" t="n">
        <x:v>6</x:v>
      </x:c>
      <x:c r="L816" s="24" t="n">
        <x:v>13.839999999999998</x:v>
      </x:c>
      <x:c r="M816" s="26" t="n">
        <x:v>0.1</x:v>
      </x:c>
      <x:c r="N816" s="24" t="n">
        <x:v>72</x:v>
      </x:c>
      <x:c r="O816" s="28" t="n">
        <x:f>MIN(1,L816/I816)</x:f>
        <x:v>6.919999999999999e-7</x:v>
      </x:c>
      <x:c r="P816" s="30" t="n">
        <x:f>O816*J816*(1+M816)</x:f>
        <x:v>7.611999999999999e-7</x:v>
      </x:c>
      <x:c r="Q816" s="30" t="n">
        <x:f>P816*N816</x:f>
        <x:v>0.00005480639999999999</x:v>
      </x:c>
      <x:c r="R816" s="19" t="str">
        <x:v>六选一；非6个独立爆率</x:v>
      </x:c>
    </x:row>
    <x:row r="817" ht="19" customHeight="1">
      <x:c r="A817" s="19" t="str">
        <x:v>D00813</x:v>
      </x:c>
      <x:c r="B817" s="19" t="n">
        <x:v>3</x:v>
      </x:c>
      <x:c r="C817" s="19" t="n">
        <x:v>2</x:v>
      </x:c>
      <x:c r="D817" s="19" t="str">
        <x:v>C03-M018</x:v>
      </x:c>
      <x:c r="E817" s="19" t="str">
        <x:v>崖边祷徒</x:v>
      </x:c>
      <x:c r="F817" s="19" t="str">
        <x:v>普通</x:v>
      </x:c>
      <x:c r="G817" s="19" t="str">
        <x:v>自身专属</x:v>
      </x:c>
      <x:c r="H817" s="19" t="str">
        <x:v>海崖祷链</x:v>
      </x:c>
      <x:c r="I817" s="22" t="n">
        <x:v>800</x:v>
      </x:c>
      <x:c r="J817" s="22" t="n">
        <x:v>1</x:v>
      </x:c>
      <x:c r="K817" s="19" t="n">
        <x:v>1</x:v>
      </x:c>
      <x:c r="L817" s="24" t="n">
        <x:v>13.839999999999998</x:v>
      </x:c>
      <x:c r="M817" s="26" t="n">
        <x:v>0.1</x:v>
      </x:c>
      <x:c r="N817" s="24" t="n">
        <x:v>72</x:v>
      </x:c>
      <x:c r="O817" s="28" t="n">
        <x:f>MIN(1,L817/I817)</x:f>
        <x:v>0.017299999999999996</x:v>
      </x:c>
      <x:c r="P817" s="30" t="n">
        <x:f>O817*J817*(1+M817)</x:f>
        <x:v>0.01903</x:v>
      </x:c>
      <x:c r="Q817" s="30" t="n">
        <x:f>P817*N817</x:f>
        <x:v>1.3701599999999998</x:v>
      </x:c>
      <x:c r="R817" s="19" t="str">
        <x:v>独立判定</x:v>
      </x:c>
    </x:row>
    <x:row r="818" ht="19" customHeight="1">
      <x:c r="A818" s="19" t="str">
        <x:v>D00814</x:v>
      </x:c>
      <x:c r="B818" s="19" t="n">
        <x:v>3</x:v>
      </x:c>
      <x:c r="C818" s="19" t="n">
        <x:v>2</x:v>
      </x:c>
      <x:c r="D818" s="19" t="str">
        <x:v>C03-M018</x:v>
      </x:c>
      <x:c r="E818" s="19" t="str">
        <x:v>崖边祷徒</x:v>
      </x:c>
      <x:c r="F818" s="19" t="str">
        <x:v>普通</x:v>
      </x:c>
      <x:c r="G818" s="19" t="str">
        <x:v>材料独立候选</x:v>
      </x:c>
      <x:c r="H818" s="19" t="str">
        <x:v>风蚀铁片</x:v>
      </x:c>
      <x:c r="I818" s="22" t="n">
        <x:v>600</x:v>
      </x:c>
      <x:c r="J818" s="22" t="n">
        <x:v>8</x:v>
      </x:c>
      <x:c r="K818" s="19" t="n">
        <x:v>1</x:v>
      </x:c>
      <x:c r="L818" s="24" t="n">
        <x:v>13.839999999999998</x:v>
      </x:c>
      <x:c r="M818" s="26" t="n">
        <x:v>0.1</x:v>
      </x:c>
      <x:c r="N818" s="24" t="n">
        <x:v>72</x:v>
      </x:c>
      <x:c r="O818" s="28" t="n">
        <x:f>MIN(1,L818/I818)</x:f>
        <x:v>0.023066666666666662</x:v>
      </x:c>
      <x:c r="P818" s="30" t="n">
        <x:f>O818*J818*(1+M818)</x:f>
        <x:v>0.20298666666666665</x:v>
      </x:c>
      <x:c r="Q818" s="30" t="n">
        <x:f>P818*N818</x:f>
        <x:v>14.615039999999999</x:v>
      </x:c>
      <x:c r="R818" s="19" t="str">
        <x:v>独立判定</x:v>
      </x:c>
    </x:row>
    <x:row r="819" ht="19" customHeight="1">
      <x:c r="A819" s="19" t="str">
        <x:v>D00815</x:v>
      </x:c>
      <x:c r="B819" s="19" t="n">
        <x:v>3</x:v>
      </x:c>
      <x:c r="C819" s="19" t="n">
        <x:v>2</x:v>
      </x:c>
      <x:c r="D819" s="19" t="str">
        <x:v>C03-M018</x:v>
      </x:c>
      <x:c r="E819" s="19" t="str">
        <x:v>崖边祷徒</x:v>
      </x:c>
      <x:c r="F819" s="19" t="str">
        <x:v>普通</x:v>
      </x:c>
      <x:c r="G819" s="19" t="str">
        <x:v>材料独立候选</x:v>
      </x:c>
      <x:c r="H819" s="19" t="str">
        <x:v>裂风崖羽</x:v>
      </x:c>
      <x:c r="I819" s="22" t="n">
        <x:v>1500</x:v>
      </x:c>
      <x:c r="J819" s="22" t="n">
        <x:v>1</x:v>
      </x:c>
      <x:c r="K819" s="19" t="n">
        <x:v>1</x:v>
      </x:c>
      <x:c r="L819" s="24" t="n">
        <x:v>13.839999999999998</x:v>
      </x:c>
      <x:c r="M819" s="26" t="n">
        <x:v>0.1</x:v>
      </x:c>
      <x:c r="N819" s="24" t="n">
        <x:v>72</x:v>
      </x:c>
      <x:c r="O819" s="28" t="n">
        <x:f>MIN(1,L819/I819)</x:f>
        <x:v>0.009226666666666666</x:v>
      </x:c>
      <x:c r="P819" s="30" t="n">
        <x:f>O819*J819*(1+M819)</x:f>
        <x:v>0.010149333333333333</x:v>
      </x:c>
      <x:c r="Q819" s="30" t="n">
        <x:f>P819*N819</x:f>
        <x:v>0.730752</x:v>
      </x:c>
      <x:c r="R819" s="19" t="str">
        <x:v>独立判定</x:v>
      </x:c>
    </x:row>
    <x:row r="820" ht="19" customHeight="1">
      <x:c r="A820" s="19" t="str">
        <x:v>D00816</x:v>
      </x:c>
      <x:c r="B820" s="19" t="n">
        <x:v>3</x:v>
      </x:c>
      <x:c r="C820" s="19" t="n">
        <x:v>2</x:v>
      </x:c>
      <x:c r="D820" s="19" t="str">
        <x:v>C03-M018</x:v>
      </x:c>
      <x:c r="E820" s="19" t="str">
        <x:v>崖边祷徒</x:v>
      </x:c>
      <x:c r="F820" s="19" t="str">
        <x:v>普通</x:v>
      </x:c>
      <x:c r="G820" s="19" t="str">
        <x:v>材料独立候选</x:v>
      </x:c>
      <x:c r="H820" s="19" t="str">
        <x:v>西境风痕碑拓</x:v>
      </x:c>
      <x:c r="I820" s="22" t="n">
        <x:v>600000</x:v>
      </x:c>
      <x:c r="J820" s="22" t="n">
        <x:v>1</x:v>
      </x:c>
      <x:c r="K820" s="19" t="n">
        <x:v>1</x:v>
      </x:c>
      <x:c r="L820" s="24" t="n">
        <x:v>13.839999999999998</x:v>
      </x:c>
      <x:c r="M820" s="26" t="n">
        <x:v>0.1</x:v>
      </x:c>
      <x:c r="N820" s="24" t="n">
        <x:v>72</x:v>
      </x:c>
      <x:c r="O820" s="28" t="n">
        <x:f>MIN(1,L820/I820)</x:f>
        <x:v>0.000023066666666666664</x:v>
      </x:c>
      <x:c r="P820" s="30" t="n">
        <x:f>O820*J820*(1+M820)</x:f>
        <x:v>0.000025373333333333333</x:v>
      </x:c>
      <x:c r="Q820" s="30" t="n">
        <x:f>P820*N820</x:f>
        <x:v>0.00182688</x:v>
      </x:c>
      <x:c r="R820" s="19" t="str">
        <x:v>独立判定</x:v>
      </x:c>
    </x:row>
    <x:row r="821" ht="19" customHeight="1">
      <x:c r="A821" s="19" t="str">
        <x:v>D00817</x:v>
      </x:c>
      <x:c r="B821" s="19" t="n">
        <x:v>3</x:v>
      </x:c>
      <x:c r="C821" s="19" t="n">
        <x:v>2</x:v>
      </x:c>
      <x:c r="D821" s="19" t="str">
        <x:v>C03-M018</x:v>
      </x:c>
      <x:c r="E821" s="19" t="str">
        <x:v>崖边祷徒</x:v>
      </x:c>
      <x:c r="F821" s="19" t="str">
        <x:v>普通</x:v>
      </x:c>
      <x:c r="G821" s="19" t="str">
        <x:v>材料独立候选</x:v>
      </x:c>
      <x:c r="H821" s="19" t="str">
        <x:v>野兽骨片</x:v>
      </x:c>
      <x:c r="I821" s="22" t="n">
        <x:v>100</x:v>
      </x:c>
      <x:c r="J821" s="22" t="n">
        <x:v>2</x:v>
      </x:c>
      <x:c r="K821" s="19" t="n">
        <x:v>1</x:v>
      </x:c>
      <x:c r="L821" s="24" t="n">
        <x:v>13.839999999999998</x:v>
      </x:c>
      <x:c r="M821" s="26" t="n">
        <x:v>0.1</x:v>
      </x:c>
      <x:c r="N821" s="24" t="n">
        <x:v>72</x:v>
      </x:c>
      <x:c r="O821" s="28" t="n">
        <x:f>MIN(1,L821/I821)</x:f>
        <x:v>0.13839999999999997</x:v>
      </x:c>
      <x:c r="P821" s="30" t="n">
        <x:f>O821*J821*(1+M821)</x:f>
        <x:v>0.30448</x:v>
      </x:c>
      <x:c r="Q821" s="30" t="n">
        <x:f>P821*N821</x:f>
        <x:v>21.922559999999997</x:v>
      </x:c>
      <x:c r="R821" s="19" t="str">
        <x:v>独立判定</x:v>
      </x:c>
    </x:row>
    <x:row r="822" ht="19" customHeight="1">
      <x:c r="A822" s="19" t="str">
        <x:v>D00818</x:v>
      </x:c>
      <x:c r="B822" s="19" t="n">
        <x:v>3</x:v>
      </x:c>
      <x:c r="C822" s="19" t="n">
        <x:v>2</x:v>
      </x:c>
      <x:c r="D822" s="19" t="str">
        <x:v>C03-M018</x:v>
      </x:c>
      <x:c r="E822" s="19" t="str">
        <x:v>崖边祷徒</x:v>
      </x:c>
      <x:c r="F822" s="19" t="str">
        <x:v>普通</x:v>
      </x:c>
      <x:c r="G822" s="19" t="str">
        <x:v>材料独立候选</x:v>
      </x:c>
      <x:c r="H822" s="19" t="str">
        <x:v>技能残页</x:v>
      </x:c>
      <x:c r="I822" s="22" t="n">
        <x:v>250</x:v>
      </x:c>
      <x:c r="J822" s="22" t="n">
        <x:v>1</x:v>
      </x:c>
      <x:c r="K822" s="19" t="n">
        <x:v>1</x:v>
      </x:c>
      <x:c r="L822" s="24" t="n">
        <x:v>13.839999999999998</x:v>
      </x:c>
      <x:c r="M822" s="26" t="n">
        <x:v>0.1</x:v>
      </x:c>
      <x:c r="N822" s="24" t="n">
        <x:v>72</x:v>
      </x:c>
      <x:c r="O822" s="28" t="n">
        <x:f>MIN(1,L822/I822)</x:f>
        <x:v>0.05535999999999999</x:v>
      </x:c>
      <x:c r="P822" s="30" t="n">
        <x:f>O822*J822*(1+M822)</x:f>
        <x:v>0.060896</x:v>
      </x:c>
      <x:c r="Q822" s="30" t="n">
        <x:f>P822*N822</x:f>
        <x:v>4.384512</x:v>
      </x:c>
      <x:c r="R822" s="19" t="str">
        <x:v>独立判定</x:v>
      </x:c>
    </x:row>
    <x:row r="823" ht="19" customHeight="1">
      <x:c r="A823" s="19" t="str">
        <x:v>D00819</x:v>
      </x:c>
      <x:c r="B823" s="19" t="n">
        <x:v>3</x:v>
      </x:c>
      <x:c r="C823" s="19" t="n">
        <x:v>2</x:v>
      </x:c>
      <x:c r="D823" s="19" t="str">
        <x:v>C03-M018</x:v>
      </x:c>
      <x:c r="E823" s="19" t="str">
        <x:v>崖边祷徒</x:v>
      </x:c>
      <x:c r="F823" s="19" t="str">
        <x:v>普通</x:v>
      </x:c>
      <x:c r="G823" s="19" t="str">
        <x:v>材料独立候选</x:v>
      </x:c>
      <x:c r="H823" s="19" t="str">
        <x:v>小卢恩</x:v>
      </x:c>
      <x:c r="I823" s="22" t="n">
        <x:v>4000</x:v>
      </x:c>
      <x:c r="J823" s="22" t="n">
        <x:v>1</x:v>
      </x:c>
      <x:c r="K823" s="19" t="n">
        <x:v>1</x:v>
      </x:c>
      <x:c r="L823" s="24" t="n">
        <x:v>13.839999999999998</x:v>
      </x:c>
      <x:c r="M823" s="26" t="n">
        <x:v>0.1</x:v>
      </x:c>
      <x:c r="N823" s="24" t="n">
        <x:v>72</x:v>
      </x:c>
      <x:c r="O823" s="28" t="n">
        <x:f>MIN(1,L823/I823)</x:f>
        <x:v>0.0034599999999999995</x:v>
      </x:c>
      <x:c r="P823" s="30" t="n">
        <x:f>O823*J823*(1+M823)</x:f>
        <x:v>0.003806</x:v>
      </x:c>
      <x:c r="Q823" s="30" t="n">
        <x:f>P823*N823</x:f>
        <x:v>0.274032</x:v>
      </x:c>
      <x:c r="R823" s="19" t="str">
        <x:v>独立判定</x:v>
      </x:c>
    </x:row>
    <x:row r="824" ht="19" customHeight="1">
      <x:c r="A824" s="19" t="str">
        <x:v>D00820</x:v>
      </x:c>
      <x:c r="B824" s="19" t="n">
        <x:v>3</x:v>
      </x:c>
      <x:c r="C824" s="19" t="n">
        <x:v>2</x:v>
      </x:c>
      <x:c r="D824" s="19" t="str">
        <x:v>C03-M018</x:v>
      </x:c>
      <x:c r="E824" s="19" t="str">
        <x:v>崖边祷徒</x:v>
      </x:c>
      <x:c r="F824" s="19" t="str">
        <x:v>普通</x:v>
      </x:c>
      <x:c r="G824" s="19" t="str">
        <x:v>六神器公共池</x:v>
      </x:c>
      <x:c r="H824" s="19" t="str">
        <x:v>POOL006</x:v>
      </x:c>
      <x:c r="I824" s="22" t="n">
        <x:v>20000000</x:v>
      </x:c>
      <x:c r="J824" s="22" t="n">
        <x:v>1</x:v>
      </x:c>
      <x:c r="K824" s="19" t="n">
        <x:v>6</x:v>
      </x:c>
      <x:c r="L824" s="24" t="n">
        <x:v>13.839999999999998</x:v>
      </x:c>
      <x:c r="M824" s="26" t="n">
        <x:v>0.1</x:v>
      </x:c>
      <x:c r="N824" s="24" t="n">
        <x:v>72</x:v>
      </x:c>
      <x:c r="O824" s="28" t="n">
        <x:f>MIN(1,L824/I824)</x:f>
        <x:v>6.919999999999999e-7</x:v>
      </x:c>
      <x:c r="P824" s="30" t="n">
        <x:f>O824*J824*(1+M824)</x:f>
        <x:v>7.611999999999999e-7</x:v>
      </x:c>
      <x:c r="Q824" s="30" t="n">
        <x:f>P824*N824</x:f>
        <x:v>0.00005480639999999999</x:v>
      </x:c>
      <x:c r="R824" s="19" t="str">
        <x:v>六选一；非6个独立爆率</x:v>
      </x:c>
    </x:row>
    <x:row r="825" ht="19" customHeight="1">
      <x:c r="A825" s="19" t="str">
        <x:v>D00821</x:v>
      </x:c>
      <x:c r="B825" s="19" t="n">
        <x:v>3</x:v>
      </x:c>
      <x:c r="C825" s="19" t="n">
        <x:v>2</x:v>
      </x:c>
      <x:c r="D825" s="19" t="str">
        <x:v>C03-M019</x:v>
      </x:c>
      <x:c r="E825" s="19" t="str">
        <x:v>风蚀守望者</x:v>
      </x:c>
      <x:c r="F825" s="19" t="str">
        <x:v>稀有</x:v>
      </x:c>
      <x:c r="G825" s="19" t="str">
        <x:v>自身专属</x:v>
      </x:c>
      <x:c r="H825" s="19" t="str">
        <x:v>风蚀眺盔</x:v>
      </x:c>
      <x:c r="I825" s="22" t="n">
        <x:v>200</x:v>
      </x:c>
      <x:c r="J825" s="22" t="n">
        <x:v>1</x:v>
      </x:c>
      <x:c r="K825" s="19" t="n">
        <x:v>1</x:v>
      </x:c>
      <x:c r="L825" s="24" t="n">
        <x:v>13.839999999999998</x:v>
      </x:c>
      <x:c r="M825" s="26" t="n">
        <x:v>0.1</x:v>
      </x:c>
      <x:c r="N825" s="24" t="n">
        <x:v>12</x:v>
      </x:c>
      <x:c r="O825" s="28" t="n">
        <x:f>MIN(1,L825/I825)</x:f>
        <x:v>0.06919999999999998</x:v>
      </x:c>
      <x:c r="P825" s="30" t="n">
        <x:f>O825*J825*(1+M825)</x:f>
        <x:v>0.07612</x:v>
      </x:c>
      <x:c r="Q825" s="30" t="n">
        <x:f>P825*N825</x:f>
        <x:v>0.9134399999999999</x:v>
      </x:c>
      <x:c r="R825" s="19" t="str">
        <x:v>独立判定</x:v>
      </x:c>
    </x:row>
    <x:row r="826" ht="19" customHeight="1">
      <x:c r="A826" s="19" t="str">
        <x:v>D00822</x:v>
      </x:c>
      <x:c r="B826" s="19" t="n">
        <x:v>3</x:v>
      </x:c>
      <x:c r="C826" s="19" t="n">
        <x:v>2</x:v>
      </x:c>
      <x:c r="D826" s="19" t="str">
        <x:v>C03-M019</x:v>
      </x:c>
      <x:c r="E826" s="19" t="str">
        <x:v>风蚀守望者</x:v>
      </x:c>
      <x:c r="F826" s="19" t="str">
        <x:v>稀有</x:v>
      </x:c>
      <x:c r="G826" s="19" t="str">
        <x:v>材料独立候选</x:v>
      </x:c>
      <x:c r="H826" s="19" t="str">
        <x:v>风蚀铁片</x:v>
      </x:c>
      <x:c r="I826" s="22" t="n">
        <x:v>400</x:v>
      </x:c>
      <x:c r="J826" s="22" t="n">
        <x:v>15</x:v>
      </x:c>
      <x:c r="K826" s="19" t="n">
        <x:v>1</x:v>
      </x:c>
      <x:c r="L826" s="24" t="n">
        <x:v>13.839999999999998</x:v>
      </x:c>
      <x:c r="M826" s="26" t="n">
        <x:v>0.1</x:v>
      </x:c>
      <x:c r="N826" s="24" t="n">
        <x:v>12</x:v>
      </x:c>
      <x:c r="O826" s="28" t="n">
        <x:f>MIN(1,L826/I826)</x:f>
        <x:v>0.03459999999999999</x:v>
      </x:c>
      <x:c r="P826" s="30" t="n">
        <x:f>O826*J826*(1+M826)</x:f>
        <x:v>0.5709</x:v>
      </x:c>
      <x:c r="Q826" s="30" t="n">
        <x:f>P826*N826</x:f>
        <x:v>6.8508</x:v>
      </x:c>
      <x:c r="R826" s="19" t="str">
        <x:v>独立判定</x:v>
      </x:c>
    </x:row>
    <x:row r="827" ht="19" customHeight="1">
      <x:c r="A827" s="19" t="str">
        <x:v>D00823</x:v>
      </x:c>
      <x:c r="B827" s="19" t="n">
        <x:v>3</x:v>
      </x:c>
      <x:c r="C827" s="19" t="n">
        <x:v>2</x:v>
      </x:c>
      <x:c r="D827" s="19" t="str">
        <x:v>C03-M019</x:v>
      </x:c>
      <x:c r="E827" s="19" t="str">
        <x:v>风蚀守望者</x:v>
      </x:c>
      <x:c r="F827" s="19" t="str">
        <x:v>稀有</x:v>
      </x:c>
      <x:c r="G827" s="19" t="str">
        <x:v>材料独立候选</x:v>
      </x:c>
      <x:c r="H827" s="19" t="str">
        <x:v>西境战旗</x:v>
      </x:c>
      <x:c r="I827" s="22" t="n">
        <x:v>600</x:v>
      </x:c>
      <x:c r="J827" s="22" t="n">
        <x:v>1</x:v>
      </x:c>
      <x:c r="K827" s="19" t="n">
        <x:v>1</x:v>
      </x:c>
      <x:c r="L827" s="24" t="n">
        <x:v>13.839999999999998</x:v>
      </x:c>
      <x:c r="M827" s="26" t="n">
        <x:v>0.1</x:v>
      </x:c>
      <x:c r="N827" s="24" t="n">
        <x:v>12</x:v>
      </x:c>
      <x:c r="O827" s="28" t="n">
        <x:f>MIN(1,L827/I827)</x:f>
        <x:v>0.023066666666666662</x:v>
      </x:c>
      <x:c r="P827" s="30" t="n">
        <x:f>O827*J827*(1+M827)</x:f>
        <x:v>0.02537333333333333</x:v>
      </x:c>
      <x:c r="Q827" s="30" t="n">
        <x:f>P827*N827</x:f>
        <x:v>0.30448</x:v>
      </x:c>
      <x:c r="R827" s="19" t="str">
        <x:v>独立判定</x:v>
      </x:c>
    </x:row>
    <x:row r="828" ht="19" customHeight="1">
      <x:c r="A828" s="19" t="str">
        <x:v>D00824</x:v>
      </x:c>
      <x:c r="B828" s="19" t="n">
        <x:v>3</x:v>
      </x:c>
      <x:c r="C828" s="19" t="n">
        <x:v>2</x:v>
      </x:c>
      <x:c r="D828" s="19" t="str">
        <x:v>C03-M019</x:v>
      </x:c>
      <x:c r="E828" s="19" t="str">
        <x:v>风蚀守望者</x:v>
      </x:c>
      <x:c r="F828" s="19" t="str">
        <x:v>稀有</x:v>
      </x:c>
      <x:c r="G828" s="19" t="str">
        <x:v>材料独立候选</x:v>
      </x:c>
      <x:c r="H828" s="19" t="str">
        <x:v>商队火漆</x:v>
      </x:c>
      <x:c r="I828" s="22" t="n">
        <x:v>600</x:v>
      </x:c>
      <x:c r="J828" s="22" t="n">
        <x:v>1</x:v>
      </x:c>
      <x:c r="K828" s="19" t="n">
        <x:v>1</x:v>
      </x:c>
      <x:c r="L828" s="24" t="n">
        <x:v>13.839999999999998</x:v>
      </x:c>
      <x:c r="M828" s="26" t="n">
        <x:v>0.1</x:v>
      </x:c>
      <x:c r="N828" s="24" t="n">
        <x:v>12</x:v>
      </x:c>
      <x:c r="O828" s="28" t="n">
        <x:f>MIN(1,L828/I828)</x:f>
        <x:v>0.023066666666666662</x:v>
      </x:c>
      <x:c r="P828" s="30" t="n">
        <x:f>O828*J828*(1+M828)</x:f>
        <x:v>0.02537333333333333</x:v>
      </x:c>
      <x:c r="Q828" s="30" t="n">
        <x:f>P828*N828</x:f>
        <x:v>0.30448</x:v>
      </x:c>
      <x:c r="R828" s="19" t="str">
        <x:v>独立判定</x:v>
      </x:c>
    </x:row>
    <x:row r="829" ht="19" customHeight="1">
      <x:c r="A829" s="19" t="str">
        <x:v>D00825</x:v>
      </x:c>
      <x:c r="B829" s="19" t="n">
        <x:v>3</x:v>
      </x:c>
      <x:c r="C829" s="19" t="n">
        <x:v>2</x:v>
      </x:c>
      <x:c r="D829" s="19" t="str">
        <x:v>C03-M019</x:v>
      </x:c>
      <x:c r="E829" s="19" t="str">
        <x:v>风蚀守望者</x:v>
      </x:c>
      <x:c r="F829" s="19" t="str">
        <x:v>稀有</x:v>
      </x:c>
      <x:c r="G829" s="19" t="str">
        <x:v>材料独立候选</x:v>
      </x:c>
      <x:c r="H829" s="19" t="str">
        <x:v>西境风痕碑拓</x:v>
      </x:c>
      <x:c r="I829" s="22" t="n">
        <x:v>400000</x:v>
      </x:c>
      <x:c r="J829" s="22" t="n">
        <x:v>1</x:v>
      </x:c>
      <x:c r="K829" s="19" t="n">
        <x:v>1</x:v>
      </x:c>
      <x:c r="L829" s="24" t="n">
        <x:v>13.839999999999998</x:v>
      </x:c>
      <x:c r="M829" s="26" t="n">
        <x:v>0.1</x:v>
      </x:c>
      <x:c r="N829" s="24" t="n">
        <x:v>12</x:v>
      </x:c>
      <x:c r="O829" s="28" t="n">
        <x:f>MIN(1,L829/I829)</x:f>
        <x:v>0.000034599999999999994</x:v>
      </x:c>
      <x:c r="P829" s="30" t="n">
        <x:f>O829*J829*(1+M829)</x:f>
        <x:v>0.00003806</x:v>
      </x:c>
      <x:c r="Q829" s="30" t="n">
        <x:f>P829*N829</x:f>
        <x:v>0.00045672</x:v>
      </x:c>
      <x:c r="R829" s="19" t="str">
        <x:v>独立判定</x:v>
      </x:c>
    </x:row>
    <x:row r="830" ht="19" customHeight="1">
      <x:c r="A830" s="19" t="str">
        <x:v>D00826</x:v>
      </x:c>
      <x:c r="B830" s="19" t="n">
        <x:v>3</x:v>
      </x:c>
      <x:c r="C830" s="19" t="n">
        <x:v>2</x:v>
      </x:c>
      <x:c r="D830" s="19" t="str">
        <x:v>C03-M019</x:v>
      </x:c>
      <x:c r="E830" s="19" t="str">
        <x:v>风蚀守望者</x:v>
      </x:c>
      <x:c r="F830" s="19" t="str">
        <x:v>稀有</x:v>
      </x:c>
      <x:c r="G830" s="19" t="str">
        <x:v>材料独立候选</x:v>
      </x:c>
      <x:c r="H830" s="19" t="str">
        <x:v>黄金树芽</x:v>
      </x:c>
      <x:c r="I830" s="22" t="n">
        <x:v>1800</x:v>
      </x:c>
      <x:c r="J830" s="22" t="n">
        <x:v>1</x:v>
      </x:c>
      <x:c r="K830" s="19" t="n">
        <x:v>1</x:v>
      </x:c>
      <x:c r="L830" s="24" t="n">
        <x:v>13.839999999999998</x:v>
      </x:c>
      <x:c r="M830" s="26" t="n">
        <x:v>0.1</x:v>
      </x:c>
      <x:c r="N830" s="24" t="n">
        <x:v>12</x:v>
      </x:c>
      <x:c r="O830" s="28" t="n">
        <x:f>MIN(1,L830/I830)</x:f>
        <x:v>0.0076888888888888875</x:v>
      </x:c>
      <x:c r="P830" s="30" t="n">
        <x:f>O830*J830*(1+M830)</x:f>
        <x:v>0.008457777777777778</x:v>
      </x:c>
      <x:c r="Q830" s="30" t="n">
        <x:f>P830*N830</x:f>
        <x:v>0.10149333333333332</x:v>
      </x:c>
      <x:c r="R830" s="19" t="str">
        <x:v>独立判定</x:v>
      </x:c>
    </x:row>
    <x:row r="831" ht="19" customHeight="1">
      <x:c r="A831" s="19" t="str">
        <x:v>D00827</x:v>
      </x:c>
      <x:c r="B831" s="19" t="n">
        <x:v>3</x:v>
      </x:c>
      <x:c r="C831" s="19" t="n">
        <x:v>2</x:v>
      </x:c>
      <x:c r="D831" s="19" t="str">
        <x:v>C03-M019</x:v>
      </x:c>
      <x:c r="E831" s="19" t="str">
        <x:v>风蚀守望者</x:v>
      </x:c>
      <x:c r="F831" s="19" t="str">
        <x:v>稀有</x:v>
      </x:c>
      <x:c r="G831" s="19" t="str">
        <x:v>材料独立候选</x:v>
      </x:c>
      <x:c r="H831" s="19" t="str">
        <x:v>野兽骨片</x:v>
      </x:c>
      <x:c r="I831" s="22" t="n">
        <x:v>60</x:v>
      </x:c>
      <x:c r="J831" s="22" t="n">
        <x:v>2</x:v>
      </x:c>
      <x:c r="K831" s="19" t="n">
        <x:v>1</x:v>
      </x:c>
      <x:c r="L831" s="24" t="n">
        <x:v>13.839999999999998</x:v>
      </x:c>
      <x:c r="M831" s="26" t="n">
        <x:v>0.1</x:v>
      </x:c>
      <x:c r="N831" s="24" t="n">
        <x:v>12</x:v>
      </x:c>
      <x:c r="O831" s="28" t="n">
        <x:f>MIN(1,L831/I831)</x:f>
        <x:v>0.23066666666666663</x:v>
      </x:c>
      <x:c r="P831" s="30" t="n">
        <x:f>O831*J831*(1+M831)</x:f>
        <x:v>0.5074666666666666</x:v>
      </x:c>
      <x:c r="Q831" s="30" t="n">
        <x:f>P831*N831</x:f>
        <x:v>6.089599999999999</x:v>
      </x:c>
      <x:c r="R831" s="19" t="str">
        <x:v>独立判定</x:v>
      </x:c>
    </x:row>
    <x:row r="832" ht="19" customHeight="1">
      <x:c r="A832" s="19" t="str">
        <x:v>D00828</x:v>
      </x:c>
      <x:c r="B832" s="19" t="n">
        <x:v>3</x:v>
      </x:c>
      <x:c r="C832" s="19" t="n">
        <x:v>2</x:v>
      </x:c>
      <x:c r="D832" s="19" t="str">
        <x:v>C03-M019</x:v>
      </x:c>
      <x:c r="E832" s="19" t="str">
        <x:v>风蚀守望者</x:v>
      </x:c>
      <x:c r="F832" s="19" t="str">
        <x:v>稀有</x:v>
      </x:c>
      <x:c r="G832" s="19" t="str">
        <x:v>材料独立候选</x:v>
      </x:c>
      <x:c r="H832" s="19" t="str">
        <x:v>技能残页</x:v>
      </x:c>
      <x:c r="I832" s="22" t="n">
        <x:v>150</x:v>
      </x:c>
      <x:c r="J832" s="22" t="n">
        <x:v>1</x:v>
      </x:c>
      <x:c r="K832" s="19" t="n">
        <x:v>1</x:v>
      </x:c>
      <x:c r="L832" s="24" t="n">
        <x:v>13.839999999999998</x:v>
      </x:c>
      <x:c r="M832" s="26" t="n">
        <x:v>0.1</x:v>
      </x:c>
      <x:c r="N832" s="24" t="n">
        <x:v>12</x:v>
      </x:c>
      <x:c r="O832" s="28" t="n">
        <x:f>MIN(1,L832/I832)</x:f>
        <x:v>0.09226666666666665</x:v>
      </x:c>
      <x:c r="P832" s="30" t="n">
        <x:f>O832*J832*(1+M832)</x:f>
        <x:v>0.10149333333333332</x:v>
      </x:c>
      <x:c r="Q832" s="30" t="n">
        <x:f>P832*N832</x:f>
        <x:v>1.21792</x:v>
      </x:c>
      <x:c r="R832" s="19" t="str">
        <x:v>独立判定</x:v>
      </x:c>
    </x:row>
    <x:row r="833" ht="19" customHeight="1">
      <x:c r="A833" s="19" t="str">
        <x:v>D00829</x:v>
      </x:c>
      <x:c r="B833" s="19" t="n">
        <x:v>3</x:v>
      </x:c>
      <x:c r="C833" s="19" t="n">
        <x:v>2</x:v>
      </x:c>
      <x:c r="D833" s="19" t="str">
        <x:v>C03-M019</x:v>
      </x:c>
      <x:c r="E833" s="19" t="str">
        <x:v>风蚀守望者</x:v>
      </x:c>
      <x:c r="F833" s="19" t="str">
        <x:v>稀有</x:v>
      </x:c>
      <x:c r="G833" s="19" t="str">
        <x:v>材料独立候选</x:v>
      </x:c>
      <x:c r="H833" s="19" t="str">
        <x:v>小卢恩</x:v>
      </x:c>
      <x:c r="I833" s="22" t="n">
        <x:v>2500</x:v>
      </x:c>
      <x:c r="J833" s="22" t="n">
        <x:v>1</x:v>
      </x:c>
      <x:c r="K833" s="19" t="n">
        <x:v>1</x:v>
      </x:c>
      <x:c r="L833" s="24" t="n">
        <x:v>13.839999999999998</x:v>
      </x:c>
      <x:c r="M833" s="26" t="n">
        <x:v>0.1</x:v>
      </x:c>
      <x:c r="N833" s="24" t="n">
        <x:v>12</x:v>
      </x:c>
      <x:c r="O833" s="28" t="n">
        <x:f>MIN(1,L833/I833)</x:f>
        <x:v>0.005535999999999999</x:v>
      </x:c>
      <x:c r="P833" s="30" t="n">
        <x:f>O833*J833*(1+M833)</x:f>
        <x:v>0.0060896</x:v>
      </x:c>
      <x:c r="Q833" s="30" t="n">
        <x:f>P833*N833</x:f>
        <x:v>0.07307519999999999</x:v>
      </x:c>
      <x:c r="R833" s="19" t="str">
        <x:v>独立判定</x:v>
      </x:c>
    </x:row>
    <x:row r="834" ht="19" customHeight="1">
      <x:c r="A834" s="19" t="str">
        <x:v>D00830</x:v>
      </x:c>
      <x:c r="B834" s="19" t="n">
        <x:v>3</x:v>
      </x:c>
      <x:c r="C834" s="19" t="n">
        <x:v>2</x:v>
      </x:c>
      <x:c r="D834" s="19" t="str">
        <x:v>C03-M019</x:v>
      </x:c>
      <x:c r="E834" s="19" t="str">
        <x:v>风蚀守望者</x:v>
      </x:c>
      <x:c r="F834" s="19" t="str">
        <x:v>稀有</x:v>
      </x:c>
      <x:c r="G834" s="19" t="str">
        <x:v>六神器公共池</x:v>
      </x:c>
      <x:c r="H834" s="19" t="str">
        <x:v>POOL006</x:v>
      </x:c>
      <x:c r="I834" s="22" t="n">
        <x:v>5000000</x:v>
      </x:c>
      <x:c r="J834" s="22" t="n">
        <x:v>1</x:v>
      </x:c>
      <x:c r="K834" s="19" t="n">
        <x:v>6</x:v>
      </x:c>
      <x:c r="L834" s="24" t="n">
        <x:v>13.839999999999998</x:v>
      </x:c>
      <x:c r="M834" s="26" t="n">
        <x:v>0.1</x:v>
      </x:c>
      <x:c r="N834" s="24" t="n">
        <x:v>12</x:v>
      </x:c>
      <x:c r="O834" s="28" t="n">
        <x:f>MIN(1,L834/I834)</x:f>
        <x:v>0.0000027679999999999996</x:v>
      </x:c>
      <x:c r="P834" s="30" t="n">
        <x:f>O834*J834*(1+M834)</x:f>
        <x:v>0.0000030447999999999996</x:v>
      </x:c>
      <x:c r="Q834" s="30" t="n">
        <x:f>P834*N834</x:f>
        <x:v>0.000036537599999999994</x:v>
      </x:c>
      <x:c r="R834" s="19" t="str">
        <x:v>六选一；非6个独立爆率</x:v>
      </x:c>
    </x:row>
    <x:row r="835" ht="19" customHeight="1">
      <x:c r="A835" s="19" t="str">
        <x:v>D00831</x:v>
      </x:c>
      <x:c r="B835" s="19" t="n">
        <x:v>3</x:v>
      </x:c>
      <x:c r="C835" s="19" t="n">
        <x:v>2</x:v>
      </x:c>
      <x:c r="D835" s="19" t="str">
        <x:v>C03-M020</x:v>
      </x:c>
      <x:c r="E835" s="19" t="str">
        <x:v>斩浪骑士</x:v>
      </x:c>
      <x:c r="F835" s="19" t="str">
        <x:v>稀有</x:v>
      </x:c>
      <x:c r="G835" s="19" t="str">
        <x:v>自身专属</x:v>
      </x:c>
      <x:c r="H835" s="19" t="str">
        <x:v>斩浪战衣</x:v>
      </x:c>
      <x:c r="I835" s="22" t="n">
        <x:v>200</x:v>
      </x:c>
      <x:c r="J835" s="22" t="n">
        <x:v>1</x:v>
      </x:c>
      <x:c r="K835" s="19" t="n">
        <x:v>1</x:v>
      </x:c>
      <x:c r="L835" s="24" t="n">
        <x:v>13.839999999999998</x:v>
      </x:c>
      <x:c r="M835" s="26" t="n">
        <x:v>0.1</x:v>
      </x:c>
      <x:c r="N835" s="24" t="n">
        <x:v>11.574812982948107</x:v>
      </x:c>
      <x:c r="O835" s="28" t="n">
        <x:f>MIN(1,L835/I835)</x:f>
        <x:v>0.06919999999999998</x:v>
      </x:c>
      <x:c r="P835" s="30" t="n">
        <x:f>O835*J835*(1+M835)</x:f>
        <x:v>0.07612</x:v>
      </x:c>
      <x:c r="Q835" s="30" t="n">
        <x:f>P835*N835</x:f>
        <x:v>0.8810747642620098</x:v>
      </x:c>
      <x:c r="R835" s="19" t="str">
        <x:v>独立判定</x:v>
      </x:c>
    </x:row>
    <x:row r="836" ht="19" customHeight="1">
      <x:c r="A836" s="19" t="str">
        <x:v>D00832</x:v>
      </x:c>
      <x:c r="B836" s="19" t="n">
        <x:v>3</x:v>
      </x:c>
      <x:c r="C836" s="19" t="n">
        <x:v>2</x:v>
      </x:c>
      <x:c r="D836" s="19" t="str">
        <x:v>C03-M020</x:v>
      </x:c>
      <x:c r="E836" s="19" t="str">
        <x:v>斩浪骑士</x:v>
      </x:c>
      <x:c r="F836" s="19" t="str">
        <x:v>稀有</x:v>
      </x:c>
      <x:c r="G836" s="19" t="str">
        <x:v>材料独立候选</x:v>
      </x:c>
      <x:c r="H836" s="19" t="str">
        <x:v>风蚀铁片</x:v>
      </x:c>
      <x:c r="I836" s="22" t="n">
        <x:v>400</x:v>
      </x:c>
      <x:c r="J836" s="22" t="n">
        <x:v>15</x:v>
      </x:c>
      <x:c r="K836" s="19" t="n">
        <x:v>1</x:v>
      </x:c>
      <x:c r="L836" s="24" t="n">
        <x:v>13.839999999999998</x:v>
      </x:c>
      <x:c r="M836" s="26" t="n">
        <x:v>0.1</x:v>
      </x:c>
      <x:c r="N836" s="24" t="n">
        <x:v>11.574812982948107</x:v>
      </x:c>
      <x:c r="O836" s="28" t="n">
        <x:f>MIN(1,L836/I836)</x:f>
        <x:v>0.03459999999999999</x:v>
      </x:c>
      <x:c r="P836" s="30" t="n">
        <x:f>O836*J836*(1+M836)</x:f>
        <x:v>0.5709</x:v>
      </x:c>
      <x:c r="Q836" s="30" t="n">
        <x:f>P836*N836</x:f>
        <x:v>6.6080607319650735</x:v>
      </x:c>
      <x:c r="R836" s="19" t="str">
        <x:v>独立判定</x:v>
      </x:c>
    </x:row>
    <x:row r="837" ht="19" customHeight="1">
      <x:c r="A837" s="19" t="str">
        <x:v>D00833</x:v>
      </x:c>
      <x:c r="B837" s="19" t="n">
        <x:v>3</x:v>
      </x:c>
      <x:c r="C837" s="19" t="n">
        <x:v>2</x:v>
      </x:c>
      <x:c r="D837" s="19" t="str">
        <x:v>C03-M020</x:v>
      </x:c>
      <x:c r="E837" s="19" t="str">
        <x:v>斩浪骑士</x:v>
      </x:c>
      <x:c r="F837" s="19" t="str">
        <x:v>稀有</x:v>
      </x:c>
      <x:c r="G837" s="19" t="str">
        <x:v>材料独立候选</x:v>
      </x:c>
      <x:c r="H837" s="19" t="str">
        <x:v>西境战旗</x:v>
      </x:c>
      <x:c r="I837" s="22" t="n">
        <x:v>600</x:v>
      </x:c>
      <x:c r="J837" s="22" t="n">
        <x:v>1</x:v>
      </x:c>
      <x:c r="K837" s="19" t="n">
        <x:v>1</x:v>
      </x:c>
      <x:c r="L837" s="24" t="n">
        <x:v>13.839999999999998</x:v>
      </x:c>
      <x:c r="M837" s="26" t="n">
        <x:v>0.1</x:v>
      </x:c>
      <x:c r="N837" s="24" t="n">
        <x:v>11.574812982948107</x:v>
      </x:c>
      <x:c r="O837" s="28" t="n">
        <x:f>MIN(1,L837/I837)</x:f>
        <x:v>0.023066666666666662</x:v>
      </x:c>
      <x:c r="P837" s="30" t="n">
        <x:f>O837*J837*(1+M837)</x:f>
        <x:v>0.02537333333333333</x:v>
      </x:c>
      <x:c r="Q837" s="30" t="n">
        <x:f>P837*N837</x:f>
        <x:v>0.2936915880873366</x:v>
      </x:c>
      <x:c r="R837" s="19" t="str">
        <x:v>独立判定</x:v>
      </x:c>
    </x:row>
    <x:row r="838" ht="19" customHeight="1">
      <x:c r="A838" s="19" t="str">
        <x:v>D00834</x:v>
      </x:c>
      <x:c r="B838" s="19" t="n">
        <x:v>3</x:v>
      </x:c>
      <x:c r="C838" s="19" t="n">
        <x:v>2</x:v>
      </x:c>
      <x:c r="D838" s="19" t="str">
        <x:v>C03-M020</x:v>
      </x:c>
      <x:c r="E838" s="19" t="str">
        <x:v>斩浪骑士</x:v>
      </x:c>
      <x:c r="F838" s="19" t="str">
        <x:v>稀有</x:v>
      </x:c>
      <x:c r="G838" s="19" t="str">
        <x:v>材料独立候选</x:v>
      </x:c>
      <x:c r="H838" s="19" t="str">
        <x:v>商队火漆</x:v>
      </x:c>
      <x:c r="I838" s="22" t="n">
        <x:v>600</x:v>
      </x:c>
      <x:c r="J838" s="22" t="n">
        <x:v>1</x:v>
      </x:c>
      <x:c r="K838" s="19" t="n">
        <x:v>1</x:v>
      </x:c>
      <x:c r="L838" s="24" t="n">
        <x:v>13.839999999999998</x:v>
      </x:c>
      <x:c r="M838" s="26" t="n">
        <x:v>0.1</x:v>
      </x:c>
      <x:c r="N838" s="24" t="n">
        <x:v>11.574812982948107</x:v>
      </x:c>
      <x:c r="O838" s="28" t="n">
        <x:f>MIN(1,L838/I838)</x:f>
        <x:v>0.023066666666666662</x:v>
      </x:c>
      <x:c r="P838" s="30" t="n">
        <x:f>O838*J838*(1+M838)</x:f>
        <x:v>0.02537333333333333</x:v>
      </x:c>
      <x:c r="Q838" s="30" t="n">
        <x:f>P838*N838</x:f>
        <x:v>0.2936915880873366</x:v>
      </x:c>
      <x:c r="R838" s="19" t="str">
        <x:v>独立判定</x:v>
      </x:c>
    </x:row>
    <x:row r="839" ht="19" customHeight="1">
      <x:c r="A839" s="19" t="str">
        <x:v>D00835</x:v>
      </x:c>
      <x:c r="B839" s="19" t="n">
        <x:v>3</x:v>
      </x:c>
      <x:c r="C839" s="19" t="n">
        <x:v>2</x:v>
      </x:c>
      <x:c r="D839" s="19" t="str">
        <x:v>C03-M020</x:v>
      </x:c>
      <x:c r="E839" s="19" t="str">
        <x:v>斩浪骑士</x:v>
      </x:c>
      <x:c r="F839" s="19" t="str">
        <x:v>稀有</x:v>
      </x:c>
      <x:c r="G839" s="19" t="str">
        <x:v>材料独立候选</x:v>
      </x:c>
      <x:c r="H839" s="19" t="str">
        <x:v>西境风痕碑拓</x:v>
      </x:c>
      <x:c r="I839" s="22" t="n">
        <x:v>400000</x:v>
      </x:c>
      <x:c r="J839" s="22" t="n">
        <x:v>1</x:v>
      </x:c>
      <x:c r="K839" s="19" t="n">
        <x:v>1</x:v>
      </x:c>
      <x:c r="L839" s="24" t="n">
        <x:v>13.839999999999998</x:v>
      </x:c>
      <x:c r="M839" s="26" t="n">
        <x:v>0.1</x:v>
      </x:c>
      <x:c r="N839" s="24" t="n">
        <x:v>11.574812982948107</x:v>
      </x:c>
      <x:c r="O839" s="28" t="n">
        <x:f>MIN(1,L839/I839)</x:f>
        <x:v>0.000034599999999999994</x:v>
      </x:c>
      <x:c r="P839" s="30" t="n">
        <x:f>O839*J839*(1+M839)</x:f>
        <x:v>0.00003806</x:v>
      </x:c>
      <x:c r="Q839" s="30" t="n">
        <x:f>P839*N839</x:f>
        <x:v>0.0004405373821310049</x:v>
      </x:c>
      <x:c r="R839" s="19" t="str">
        <x:v>独立判定</x:v>
      </x:c>
    </x:row>
    <x:row r="840" ht="19" customHeight="1">
      <x:c r="A840" s="19" t="str">
        <x:v>D00836</x:v>
      </x:c>
      <x:c r="B840" s="19" t="n">
        <x:v>3</x:v>
      </x:c>
      <x:c r="C840" s="19" t="n">
        <x:v>2</x:v>
      </x:c>
      <x:c r="D840" s="19" t="str">
        <x:v>C03-M020</x:v>
      </x:c>
      <x:c r="E840" s="19" t="str">
        <x:v>斩浪骑士</x:v>
      </x:c>
      <x:c r="F840" s="19" t="str">
        <x:v>稀有</x:v>
      </x:c>
      <x:c r="G840" s="19" t="str">
        <x:v>材料独立候选</x:v>
      </x:c>
      <x:c r="H840" s="19" t="str">
        <x:v>黄金树芽</x:v>
      </x:c>
      <x:c r="I840" s="22" t="n">
        <x:v>1800</x:v>
      </x:c>
      <x:c r="J840" s="22" t="n">
        <x:v>1</x:v>
      </x:c>
      <x:c r="K840" s="19" t="n">
        <x:v>1</x:v>
      </x:c>
      <x:c r="L840" s="24" t="n">
        <x:v>13.839999999999998</x:v>
      </x:c>
      <x:c r="M840" s="26" t="n">
        <x:v>0.1</x:v>
      </x:c>
      <x:c r="N840" s="24" t="n">
        <x:v>11.574812982948107</x:v>
      </x:c>
      <x:c r="O840" s="28" t="n">
        <x:f>MIN(1,L840/I840)</x:f>
        <x:v>0.0076888888888888875</x:v>
      </x:c>
      <x:c r="P840" s="30" t="n">
        <x:f>O840*J840*(1+M840)</x:f>
        <x:v>0.008457777777777778</x:v>
      </x:c>
      <x:c r="Q840" s="30" t="n">
        <x:f>P840*N840</x:f>
        <x:v>0.0978971960291122</x:v>
      </x:c>
      <x:c r="R840" s="19" t="str">
        <x:v>独立判定</x:v>
      </x:c>
    </x:row>
    <x:row r="841" ht="19" customHeight="1">
      <x:c r="A841" s="19" t="str">
        <x:v>D00837</x:v>
      </x:c>
      <x:c r="B841" s="19" t="n">
        <x:v>3</x:v>
      </x:c>
      <x:c r="C841" s="19" t="n">
        <x:v>2</x:v>
      </x:c>
      <x:c r="D841" s="19" t="str">
        <x:v>C03-M020</x:v>
      </x:c>
      <x:c r="E841" s="19" t="str">
        <x:v>斩浪骑士</x:v>
      </x:c>
      <x:c r="F841" s="19" t="str">
        <x:v>稀有</x:v>
      </x:c>
      <x:c r="G841" s="19" t="str">
        <x:v>材料独立候选</x:v>
      </x:c>
      <x:c r="H841" s="19" t="str">
        <x:v>野兽骨片</x:v>
      </x:c>
      <x:c r="I841" s="22" t="n">
        <x:v>60</x:v>
      </x:c>
      <x:c r="J841" s="22" t="n">
        <x:v>2</x:v>
      </x:c>
      <x:c r="K841" s="19" t="n">
        <x:v>1</x:v>
      </x:c>
      <x:c r="L841" s="24" t="n">
        <x:v>13.839999999999998</x:v>
      </x:c>
      <x:c r="M841" s="26" t="n">
        <x:v>0.1</x:v>
      </x:c>
      <x:c r="N841" s="24" t="n">
        <x:v>11.574812982948107</x:v>
      </x:c>
      <x:c r="O841" s="28" t="n">
        <x:f>MIN(1,L841/I841)</x:f>
        <x:v>0.23066666666666663</x:v>
      </x:c>
      <x:c r="P841" s="30" t="n">
        <x:f>O841*J841*(1+M841)</x:f>
        <x:v>0.5074666666666666</x:v>
      </x:c>
      <x:c r="Q841" s="30" t="n">
        <x:f>P841*N841</x:f>
        <x:v>5.873831761746732</x:v>
      </x:c>
      <x:c r="R841" s="19" t="str">
        <x:v>独立判定</x:v>
      </x:c>
    </x:row>
    <x:row r="842" ht="19" customHeight="1">
      <x:c r="A842" s="19" t="str">
        <x:v>D00838</x:v>
      </x:c>
      <x:c r="B842" s="19" t="n">
        <x:v>3</x:v>
      </x:c>
      <x:c r="C842" s="19" t="n">
        <x:v>2</x:v>
      </x:c>
      <x:c r="D842" s="19" t="str">
        <x:v>C03-M020</x:v>
      </x:c>
      <x:c r="E842" s="19" t="str">
        <x:v>斩浪骑士</x:v>
      </x:c>
      <x:c r="F842" s="19" t="str">
        <x:v>稀有</x:v>
      </x:c>
      <x:c r="G842" s="19" t="str">
        <x:v>材料独立候选</x:v>
      </x:c>
      <x:c r="H842" s="19" t="str">
        <x:v>技能残页</x:v>
      </x:c>
      <x:c r="I842" s="22" t="n">
        <x:v>150</x:v>
      </x:c>
      <x:c r="J842" s="22" t="n">
        <x:v>1</x:v>
      </x:c>
      <x:c r="K842" s="19" t="n">
        <x:v>1</x:v>
      </x:c>
      <x:c r="L842" s="24" t="n">
        <x:v>13.839999999999998</x:v>
      </x:c>
      <x:c r="M842" s="26" t="n">
        <x:v>0.1</x:v>
      </x:c>
      <x:c r="N842" s="24" t="n">
        <x:v>11.574812982948107</x:v>
      </x:c>
      <x:c r="O842" s="28" t="n">
        <x:f>MIN(1,L842/I842)</x:f>
        <x:v>0.09226666666666665</x:v>
      </x:c>
      <x:c r="P842" s="30" t="n">
        <x:f>O842*J842*(1+M842)</x:f>
        <x:v>0.10149333333333332</x:v>
      </x:c>
      <x:c r="Q842" s="30" t="n">
        <x:f>P842*N842</x:f>
        <x:v>1.1747663523493463</x:v>
      </x:c>
      <x:c r="R842" s="19" t="str">
        <x:v>独立判定</x:v>
      </x:c>
    </x:row>
    <x:row r="843" ht="19" customHeight="1">
      <x:c r="A843" s="19" t="str">
        <x:v>D00839</x:v>
      </x:c>
      <x:c r="B843" s="19" t="n">
        <x:v>3</x:v>
      </x:c>
      <x:c r="C843" s="19" t="n">
        <x:v>2</x:v>
      </x:c>
      <x:c r="D843" s="19" t="str">
        <x:v>C03-M020</x:v>
      </x:c>
      <x:c r="E843" s="19" t="str">
        <x:v>斩浪骑士</x:v>
      </x:c>
      <x:c r="F843" s="19" t="str">
        <x:v>稀有</x:v>
      </x:c>
      <x:c r="G843" s="19" t="str">
        <x:v>材料独立候选</x:v>
      </x:c>
      <x:c r="H843" s="19" t="str">
        <x:v>小卢恩</x:v>
      </x:c>
      <x:c r="I843" s="22" t="n">
        <x:v>2500</x:v>
      </x:c>
      <x:c r="J843" s="22" t="n">
        <x:v>1</x:v>
      </x:c>
      <x:c r="K843" s="19" t="n">
        <x:v>1</x:v>
      </x:c>
      <x:c r="L843" s="24" t="n">
        <x:v>13.839999999999998</x:v>
      </x:c>
      <x:c r="M843" s="26" t="n">
        <x:v>0.1</x:v>
      </x:c>
      <x:c r="N843" s="24" t="n">
        <x:v>11.574812982948107</x:v>
      </x:c>
      <x:c r="O843" s="28" t="n">
        <x:f>MIN(1,L843/I843)</x:f>
        <x:v>0.005535999999999999</x:v>
      </x:c>
      <x:c r="P843" s="30" t="n">
        <x:f>O843*J843*(1+M843)</x:f>
        <x:v>0.0060896</x:v>
      </x:c>
      <x:c r="Q843" s="30" t="n">
        <x:f>P843*N843</x:f>
        <x:v>0.07048598114096079</x:v>
      </x:c>
      <x:c r="R843" s="19" t="str">
        <x:v>独立判定</x:v>
      </x:c>
    </x:row>
    <x:row r="844" ht="19" customHeight="1">
      <x:c r="A844" s="19" t="str">
        <x:v>D00840</x:v>
      </x:c>
      <x:c r="B844" s="19" t="n">
        <x:v>3</x:v>
      </x:c>
      <x:c r="C844" s="19" t="n">
        <x:v>2</x:v>
      </x:c>
      <x:c r="D844" s="19" t="str">
        <x:v>C03-M020</x:v>
      </x:c>
      <x:c r="E844" s="19" t="str">
        <x:v>斩浪骑士</x:v>
      </x:c>
      <x:c r="F844" s="19" t="str">
        <x:v>稀有</x:v>
      </x:c>
      <x:c r="G844" s="19" t="str">
        <x:v>六神器公共池</x:v>
      </x:c>
      <x:c r="H844" s="19" t="str">
        <x:v>POOL006</x:v>
      </x:c>
      <x:c r="I844" s="22" t="n">
        <x:v>5000000</x:v>
      </x:c>
      <x:c r="J844" s="22" t="n">
        <x:v>1</x:v>
      </x:c>
      <x:c r="K844" s="19" t="n">
        <x:v>6</x:v>
      </x:c>
      <x:c r="L844" s="24" t="n">
        <x:v>13.839999999999998</x:v>
      </x:c>
      <x:c r="M844" s="26" t="n">
        <x:v>0.1</x:v>
      </x:c>
      <x:c r="N844" s="24" t="n">
        <x:v>11.574812982948107</x:v>
      </x:c>
      <x:c r="O844" s="28" t="n">
        <x:f>MIN(1,L844/I844)</x:f>
        <x:v>0.0000027679999999999996</x:v>
      </x:c>
      <x:c r="P844" s="30" t="n">
        <x:f>O844*J844*(1+M844)</x:f>
        <x:v>0.0000030447999999999996</x:v>
      </x:c>
      <x:c r="Q844" s="30" t="n">
        <x:f>P844*N844</x:f>
        <x:v>0.00003524299057048039</x:v>
      </x:c>
      <x:c r="R844" s="19" t="str">
        <x:v>六选一；非6个独立爆率</x:v>
      </x:c>
    </x:row>
    <x:row r="845" ht="19" customHeight="1">
      <x:c r="A845" s="19" t="str">
        <x:v>D00841</x:v>
      </x:c>
      <x:c r="B845" s="19" t="n">
        <x:v>3</x:v>
      </x:c>
      <x:c r="C845" s="19" t="n">
        <x:v>2</x:v>
      </x:c>
      <x:c r="D845" s="19" t="str">
        <x:v>C03-M021</x:v>
      </x:c>
      <x:c r="E845" s="19" t="str">
        <x:v>海雾猎手</x:v>
      </x:c>
      <x:c r="F845" s="19" t="str">
        <x:v>稀有</x:v>
      </x:c>
      <x:c r="G845" s="19" t="str">
        <x:v>自身专属</x:v>
      </x:c>
      <x:c r="H845" s="19" t="str">
        <x:v>海雾猎戒</x:v>
      </x:c>
      <x:c r="I845" s="22" t="n">
        <x:v>200</x:v>
      </x:c>
      <x:c r="J845" s="22" t="n">
        <x:v>1</x:v>
      </x:c>
      <x:c r="K845" s="19" t="n">
        <x:v>1</x:v>
      </x:c>
      <x:c r="L845" s="24" t="n">
        <x:v>13.839999999999998</x:v>
      </x:c>
      <x:c r="M845" s="26" t="n">
        <x:v>0.1</x:v>
      </x:c>
      <x:c r="N845" s="24" t="n">
        <x:v>10.417331684653295</x:v>
      </x:c>
      <x:c r="O845" s="28" t="n">
        <x:f>MIN(1,L845/I845)</x:f>
        <x:v>0.06919999999999998</x:v>
      </x:c>
      <x:c r="P845" s="30" t="n">
        <x:f>O845*J845*(1+M845)</x:f>
        <x:v>0.07612</x:v>
      </x:c>
      <x:c r="Q845" s="30" t="n">
        <x:f>P845*N845</x:f>
        <x:v>0.7929672878358087</x:v>
      </x:c>
      <x:c r="R845" s="19" t="str">
        <x:v>独立判定</x:v>
      </x:c>
    </x:row>
    <x:row r="846" ht="19" customHeight="1">
      <x:c r="A846" s="19" t="str">
        <x:v>D00842</x:v>
      </x:c>
      <x:c r="B846" s="19" t="n">
        <x:v>3</x:v>
      </x:c>
      <x:c r="C846" s="19" t="n">
        <x:v>2</x:v>
      </x:c>
      <x:c r="D846" s="19" t="str">
        <x:v>C03-M021</x:v>
      </x:c>
      <x:c r="E846" s="19" t="str">
        <x:v>海雾猎手</x:v>
      </x:c>
      <x:c r="F846" s="19" t="str">
        <x:v>稀有</x:v>
      </x:c>
      <x:c r="G846" s="19" t="str">
        <x:v>材料独立候选</x:v>
      </x:c>
      <x:c r="H846" s="19" t="str">
        <x:v>风蚀铁片</x:v>
      </x:c>
      <x:c r="I846" s="22" t="n">
        <x:v>400</x:v>
      </x:c>
      <x:c r="J846" s="22" t="n">
        <x:v>15</x:v>
      </x:c>
      <x:c r="K846" s="19" t="n">
        <x:v>1</x:v>
      </x:c>
      <x:c r="L846" s="24" t="n">
        <x:v>13.839999999999998</x:v>
      </x:c>
      <x:c r="M846" s="26" t="n">
        <x:v>0.1</x:v>
      </x:c>
      <x:c r="N846" s="24" t="n">
        <x:v>10.417331684653295</x:v>
      </x:c>
      <x:c r="O846" s="28" t="n">
        <x:f>MIN(1,L846/I846)</x:f>
        <x:v>0.03459999999999999</x:v>
      </x:c>
      <x:c r="P846" s="30" t="n">
        <x:f>O846*J846*(1+M846)</x:f>
        <x:v>0.5709</x:v>
      </x:c>
      <x:c r="Q846" s="30" t="n">
        <x:f>P846*N846</x:f>
        <x:v>5.947254658768566</x:v>
      </x:c>
      <x:c r="R846" s="19" t="str">
        <x:v>独立判定</x:v>
      </x:c>
    </x:row>
    <x:row r="847" ht="19" customHeight="1">
      <x:c r="A847" s="19" t="str">
        <x:v>D00843</x:v>
      </x:c>
      <x:c r="B847" s="19" t="n">
        <x:v>3</x:v>
      </x:c>
      <x:c r="C847" s="19" t="n">
        <x:v>2</x:v>
      </x:c>
      <x:c r="D847" s="19" t="str">
        <x:v>C03-M021</x:v>
      </x:c>
      <x:c r="E847" s="19" t="str">
        <x:v>海雾猎手</x:v>
      </x:c>
      <x:c r="F847" s="19" t="str">
        <x:v>稀有</x:v>
      </x:c>
      <x:c r="G847" s="19" t="str">
        <x:v>材料独立候选</x:v>
      </x:c>
      <x:c r="H847" s="19" t="str">
        <x:v>西境战旗</x:v>
      </x:c>
      <x:c r="I847" s="22" t="n">
        <x:v>600</x:v>
      </x:c>
      <x:c r="J847" s="22" t="n">
        <x:v>1</x:v>
      </x:c>
      <x:c r="K847" s="19" t="n">
        <x:v>1</x:v>
      </x:c>
      <x:c r="L847" s="24" t="n">
        <x:v>13.839999999999998</x:v>
      </x:c>
      <x:c r="M847" s="26" t="n">
        <x:v>0.1</x:v>
      </x:c>
      <x:c r="N847" s="24" t="n">
        <x:v>10.417331684653295</x:v>
      </x:c>
      <x:c r="O847" s="28" t="n">
        <x:f>MIN(1,L847/I847)</x:f>
        <x:v>0.023066666666666662</x:v>
      </x:c>
      <x:c r="P847" s="30" t="n">
        <x:f>O847*J847*(1+M847)</x:f>
        <x:v>0.02537333333333333</x:v>
      </x:c>
      <x:c r="Q847" s="30" t="n">
        <x:f>P847*N847</x:f>
        <x:v>0.2643224292786029</x:v>
      </x:c>
      <x:c r="R847" s="19" t="str">
        <x:v>独立判定</x:v>
      </x:c>
    </x:row>
    <x:row r="848" ht="19" customHeight="1">
      <x:c r="A848" s="19" t="str">
        <x:v>D00844</x:v>
      </x:c>
      <x:c r="B848" s="19" t="n">
        <x:v>3</x:v>
      </x:c>
      <x:c r="C848" s="19" t="n">
        <x:v>2</x:v>
      </x:c>
      <x:c r="D848" s="19" t="str">
        <x:v>C03-M021</x:v>
      </x:c>
      <x:c r="E848" s="19" t="str">
        <x:v>海雾猎手</x:v>
      </x:c>
      <x:c r="F848" s="19" t="str">
        <x:v>稀有</x:v>
      </x:c>
      <x:c r="G848" s="19" t="str">
        <x:v>材料独立候选</x:v>
      </x:c>
      <x:c r="H848" s="19" t="str">
        <x:v>商队火漆</x:v>
      </x:c>
      <x:c r="I848" s="22" t="n">
        <x:v>600</x:v>
      </x:c>
      <x:c r="J848" s="22" t="n">
        <x:v>1</x:v>
      </x:c>
      <x:c r="K848" s="19" t="n">
        <x:v>1</x:v>
      </x:c>
      <x:c r="L848" s="24" t="n">
        <x:v>13.839999999999998</x:v>
      </x:c>
      <x:c r="M848" s="26" t="n">
        <x:v>0.1</x:v>
      </x:c>
      <x:c r="N848" s="24" t="n">
        <x:v>10.417331684653295</x:v>
      </x:c>
      <x:c r="O848" s="28" t="n">
        <x:f>MIN(1,L848/I848)</x:f>
        <x:v>0.023066666666666662</x:v>
      </x:c>
      <x:c r="P848" s="30" t="n">
        <x:f>O848*J848*(1+M848)</x:f>
        <x:v>0.02537333333333333</x:v>
      </x:c>
      <x:c r="Q848" s="30" t="n">
        <x:f>P848*N848</x:f>
        <x:v>0.2643224292786029</x:v>
      </x:c>
      <x:c r="R848" s="19" t="str">
        <x:v>独立判定</x:v>
      </x:c>
    </x:row>
    <x:row r="849" ht="19" customHeight="1">
      <x:c r="A849" s="19" t="str">
        <x:v>D00845</x:v>
      </x:c>
      <x:c r="B849" s="19" t="n">
        <x:v>3</x:v>
      </x:c>
      <x:c r="C849" s="19" t="n">
        <x:v>2</x:v>
      </x:c>
      <x:c r="D849" s="19" t="str">
        <x:v>C03-M021</x:v>
      </x:c>
      <x:c r="E849" s="19" t="str">
        <x:v>海雾猎手</x:v>
      </x:c>
      <x:c r="F849" s="19" t="str">
        <x:v>稀有</x:v>
      </x:c>
      <x:c r="G849" s="19" t="str">
        <x:v>材料独立候选</x:v>
      </x:c>
      <x:c r="H849" s="19" t="str">
        <x:v>西境风痕碑拓</x:v>
      </x:c>
      <x:c r="I849" s="22" t="n">
        <x:v>400000</x:v>
      </x:c>
      <x:c r="J849" s="22" t="n">
        <x:v>1</x:v>
      </x:c>
      <x:c r="K849" s="19" t="n">
        <x:v>1</x:v>
      </x:c>
      <x:c r="L849" s="24" t="n">
        <x:v>13.839999999999998</x:v>
      </x:c>
      <x:c r="M849" s="26" t="n">
        <x:v>0.1</x:v>
      </x:c>
      <x:c r="N849" s="24" t="n">
        <x:v>10.417331684653295</x:v>
      </x:c>
      <x:c r="O849" s="28" t="n">
        <x:f>MIN(1,L849/I849)</x:f>
        <x:v>0.000034599999999999994</x:v>
      </x:c>
      <x:c r="P849" s="30" t="n">
        <x:f>O849*J849*(1+M849)</x:f>
        <x:v>0.00003806</x:v>
      </x:c>
      <x:c r="Q849" s="30" t="n">
        <x:f>P849*N849</x:f>
        <x:v>0.0003964836439179044</x:v>
      </x:c>
      <x:c r="R849" s="19" t="str">
        <x:v>独立判定</x:v>
      </x:c>
    </x:row>
    <x:row r="850" ht="19" customHeight="1">
      <x:c r="A850" s="19" t="str">
        <x:v>D00846</x:v>
      </x:c>
      <x:c r="B850" s="19" t="n">
        <x:v>3</x:v>
      </x:c>
      <x:c r="C850" s="19" t="n">
        <x:v>2</x:v>
      </x:c>
      <x:c r="D850" s="19" t="str">
        <x:v>C03-M021</x:v>
      </x:c>
      <x:c r="E850" s="19" t="str">
        <x:v>海雾猎手</x:v>
      </x:c>
      <x:c r="F850" s="19" t="str">
        <x:v>稀有</x:v>
      </x:c>
      <x:c r="G850" s="19" t="str">
        <x:v>材料独立候选</x:v>
      </x:c>
      <x:c r="H850" s="19" t="str">
        <x:v>黄金树芽</x:v>
      </x:c>
      <x:c r="I850" s="22" t="n">
        <x:v>1800</x:v>
      </x:c>
      <x:c r="J850" s="22" t="n">
        <x:v>1</x:v>
      </x:c>
      <x:c r="K850" s="19" t="n">
        <x:v>1</x:v>
      </x:c>
      <x:c r="L850" s="24" t="n">
        <x:v>13.839999999999998</x:v>
      </x:c>
      <x:c r="M850" s="26" t="n">
        <x:v>0.1</x:v>
      </x:c>
      <x:c r="N850" s="24" t="n">
        <x:v>10.417331684653295</x:v>
      </x:c>
      <x:c r="O850" s="28" t="n">
        <x:f>MIN(1,L850/I850)</x:f>
        <x:v>0.0076888888888888875</x:v>
      </x:c>
      <x:c r="P850" s="30" t="n">
        <x:f>O850*J850*(1+M850)</x:f>
        <x:v>0.008457777777777778</x:v>
      </x:c>
      <x:c r="Q850" s="30" t="n">
        <x:f>P850*N850</x:f>
        <x:v>0.08810747642620098</x:v>
      </x:c>
      <x:c r="R850" s="19" t="str">
        <x:v>独立判定</x:v>
      </x:c>
    </x:row>
    <x:row r="851" ht="19" customHeight="1">
      <x:c r="A851" s="19" t="str">
        <x:v>D00847</x:v>
      </x:c>
      <x:c r="B851" s="19" t="n">
        <x:v>3</x:v>
      </x:c>
      <x:c r="C851" s="19" t="n">
        <x:v>2</x:v>
      </x:c>
      <x:c r="D851" s="19" t="str">
        <x:v>C03-M021</x:v>
      </x:c>
      <x:c r="E851" s="19" t="str">
        <x:v>海雾猎手</x:v>
      </x:c>
      <x:c r="F851" s="19" t="str">
        <x:v>稀有</x:v>
      </x:c>
      <x:c r="G851" s="19" t="str">
        <x:v>材料独立候选</x:v>
      </x:c>
      <x:c r="H851" s="19" t="str">
        <x:v>野兽骨片</x:v>
      </x:c>
      <x:c r="I851" s="22" t="n">
        <x:v>60</x:v>
      </x:c>
      <x:c r="J851" s="22" t="n">
        <x:v>2</x:v>
      </x:c>
      <x:c r="K851" s="19" t="n">
        <x:v>1</x:v>
      </x:c>
      <x:c r="L851" s="24" t="n">
        <x:v>13.839999999999998</x:v>
      </x:c>
      <x:c r="M851" s="26" t="n">
        <x:v>0.1</x:v>
      </x:c>
      <x:c r="N851" s="24" t="n">
        <x:v>10.417331684653295</x:v>
      </x:c>
      <x:c r="O851" s="28" t="n">
        <x:f>MIN(1,L851/I851)</x:f>
        <x:v>0.23066666666666663</x:v>
      </x:c>
      <x:c r="P851" s="30" t="n">
        <x:f>O851*J851*(1+M851)</x:f>
        <x:v>0.5074666666666666</x:v>
      </x:c>
      <x:c r="Q851" s="30" t="n">
        <x:f>P851*N851</x:f>
        <x:v>5.286448585572058</x:v>
      </x:c>
      <x:c r="R851" s="19" t="str">
        <x:v>独立判定</x:v>
      </x:c>
    </x:row>
    <x:row r="852" ht="19" customHeight="1">
      <x:c r="A852" s="19" t="str">
        <x:v>D00848</x:v>
      </x:c>
      <x:c r="B852" s="19" t="n">
        <x:v>3</x:v>
      </x:c>
      <x:c r="C852" s="19" t="n">
        <x:v>2</x:v>
      </x:c>
      <x:c r="D852" s="19" t="str">
        <x:v>C03-M021</x:v>
      </x:c>
      <x:c r="E852" s="19" t="str">
        <x:v>海雾猎手</x:v>
      </x:c>
      <x:c r="F852" s="19" t="str">
        <x:v>稀有</x:v>
      </x:c>
      <x:c r="G852" s="19" t="str">
        <x:v>材料独立候选</x:v>
      </x:c>
      <x:c r="H852" s="19" t="str">
        <x:v>技能残页</x:v>
      </x:c>
      <x:c r="I852" s="22" t="n">
        <x:v>150</x:v>
      </x:c>
      <x:c r="J852" s="22" t="n">
        <x:v>1</x:v>
      </x:c>
      <x:c r="K852" s="19" t="n">
        <x:v>1</x:v>
      </x:c>
      <x:c r="L852" s="24" t="n">
        <x:v>13.839999999999998</x:v>
      </x:c>
      <x:c r="M852" s="26" t="n">
        <x:v>0.1</x:v>
      </x:c>
      <x:c r="N852" s="24" t="n">
        <x:v>10.417331684653295</x:v>
      </x:c>
      <x:c r="O852" s="28" t="n">
        <x:f>MIN(1,L852/I852)</x:f>
        <x:v>0.09226666666666665</x:v>
      </x:c>
      <x:c r="P852" s="30" t="n">
        <x:f>O852*J852*(1+M852)</x:f>
        <x:v>0.10149333333333332</x:v>
      </x:c>
      <x:c r="Q852" s="30" t="n">
        <x:f>P852*N852</x:f>
        <x:v>1.0572897171144116</x:v>
      </x:c>
      <x:c r="R852" s="19" t="str">
        <x:v>独立判定</x:v>
      </x:c>
    </x:row>
    <x:row r="853" ht="19" customHeight="1">
      <x:c r="A853" s="19" t="str">
        <x:v>D00849</x:v>
      </x:c>
      <x:c r="B853" s="19" t="n">
        <x:v>3</x:v>
      </x:c>
      <x:c r="C853" s="19" t="n">
        <x:v>2</x:v>
      </x:c>
      <x:c r="D853" s="19" t="str">
        <x:v>C03-M021</x:v>
      </x:c>
      <x:c r="E853" s="19" t="str">
        <x:v>海雾猎手</x:v>
      </x:c>
      <x:c r="F853" s="19" t="str">
        <x:v>稀有</x:v>
      </x:c>
      <x:c r="G853" s="19" t="str">
        <x:v>材料独立候选</x:v>
      </x:c>
      <x:c r="H853" s="19" t="str">
        <x:v>小卢恩</x:v>
      </x:c>
      <x:c r="I853" s="22" t="n">
        <x:v>2500</x:v>
      </x:c>
      <x:c r="J853" s="22" t="n">
        <x:v>1</x:v>
      </x:c>
      <x:c r="K853" s="19" t="n">
        <x:v>1</x:v>
      </x:c>
      <x:c r="L853" s="24" t="n">
        <x:v>13.839999999999998</x:v>
      </x:c>
      <x:c r="M853" s="26" t="n">
        <x:v>0.1</x:v>
      </x:c>
      <x:c r="N853" s="24" t="n">
        <x:v>10.417331684653295</x:v>
      </x:c>
      <x:c r="O853" s="28" t="n">
        <x:f>MIN(1,L853/I853)</x:f>
        <x:v>0.005535999999999999</x:v>
      </x:c>
      <x:c r="P853" s="30" t="n">
        <x:f>O853*J853*(1+M853)</x:f>
        <x:v>0.0060896</x:v>
      </x:c>
      <x:c r="Q853" s="30" t="n">
        <x:f>P853*N853</x:f>
        <x:v>0.0634373830268647</x:v>
      </x:c>
      <x:c r="R853" s="19" t="str">
        <x:v>独立判定</x:v>
      </x:c>
    </x:row>
    <x:row r="854" ht="19" customHeight="1">
      <x:c r="A854" s="19" t="str">
        <x:v>D00850</x:v>
      </x:c>
      <x:c r="B854" s="19" t="n">
        <x:v>3</x:v>
      </x:c>
      <x:c r="C854" s="19" t="n">
        <x:v>2</x:v>
      </x:c>
      <x:c r="D854" s="19" t="str">
        <x:v>C03-M021</x:v>
      </x:c>
      <x:c r="E854" s="19" t="str">
        <x:v>海雾猎手</x:v>
      </x:c>
      <x:c r="F854" s="19" t="str">
        <x:v>稀有</x:v>
      </x:c>
      <x:c r="G854" s="19" t="str">
        <x:v>六神器公共池</x:v>
      </x:c>
      <x:c r="H854" s="19" t="str">
        <x:v>POOL006</x:v>
      </x:c>
      <x:c r="I854" s="22" t="n">
        <x:v>5000000</x:v>
      </x:c>
      <x:c r="J854" s="22" t="n">
        <x:v>1</x:v>
      </x:c>
      <x:c r="K854" s="19" t="n">
        <x:v>6</x:v>
      </x:c>
      <x:c r="L854" s="24" t="n">
        <x:v>13.839999999999998</x:v>
      </x:c>
      <x:c r="M854" s="26" t="n">
        <x:v>0.1</x:v>
      </x:c>
      <x:c r="N854" s="24" t="n">
        <x:v>10.417331684653295</x:v>
      </x:c>
      <x:c r="O854" s="28" t="n">
        <x:f>MIN(1,L854/I854)</x:f>
        <x:v>0.0000027679999999999996</x:v>
      </x:c>
      <x:c r="P854" s="30" t="n">
        <x:f>O854*J854*(1+M854)</x:f>
        <x:v>0.0000030447999999999996</x:v>
      </x:c>
      <x:c r="Q854" s="30" t="n">
        <x:f>P854*N854</x:f>
        <x:v>0.00003171869151343235</x:v>
      </x:c>
      <x:c r="R854" s="19" t="str">
        <x:v>六选一；非6个独立爆率</x:v>
      </x:c>
    </x:row>
    <x:row r="855" ht="19" customHeight="1">
      <x:c r="A855" s="19" t="str">
        <x:v>D00851</x:v>
      </x:c>
      <x:c r="B855" s="19" t="n">
        <x:v>3</x:v>
      </x:c>
      <x:c r="C855" s="19" t="n">
        <x:v>2</x:v>
      </x:c>
      <x:c r="D855" s="19" t="str">
        <x:v>C03-M022</x:v>
      </x:c>
      <x:c r="E855" s="19" t="str">
        <x:v>雷崖祭司</x:v>
      </x:c>
      <x:c r="F855" s="19" t="str">
        <x:v>稀有</x:v>
      </x:c>
      <x:c r="G855" s="19" t="str">
        <x:v>自身专属</x:v>
      </x:c>
      <x:c r="H855" s="19" t="str">
        <x:v>霆崖祭冠</x:v>
      </x:c>
      <x:c r="I855" s="22" t="n">
        <x:v>200</x:v>
      </x:c>
      <x:c r="J855" s="22" t="n">
        <x:v>1</x:v>
      </x:c>
      <x:c r="K855" s="19" t="n">
        <x:v>1</x:v>
      </x:c>
      <x:c r="L855" s="24" t="n">
        <x:v>13.839999999999998</x:v>
      </x:c>
      <x:c r="M855" s="26" t="n">
        <x:v>0.1</x:v>
      </x:c>
      <x:c r="N855" s="24" t="n">
        <x:v>12</x:v>
      </x:c>
      <x:c r="O855" s="28" t="n">
        <x:f>MIN(1,L855/I855)</x:f>
        <x:v>0.06919999999999998</x:v>
      </x:c>
      <x:c r="P855" s="30" t="n">
        <x:f>O855*J855*(1+M855)</x:f>
        <x:v>0.07612</x:v>
      </x:c>
      <x:c r="Q855" s="30" t="n">
        <x:f>P855*N855</x:f>
        <x:v>0.9134399999999999</x:v>
      </x:c>
      <x:c r="R855" s="19" t="str">
        <x:v>独立判定</x:v>
      </x:c>
    </x:row>
    <x:row r="856" ht="19" customHeight="1">
      <x:c r="A856" s="19" t="str">
        <x:v>D00852</x:v>
      </x:c>
      <x:c r="B856" s="19" t="n">
        <x:v>3</x:v>
      </x:c>
      <x:c r="C856" s="19" t="n">
        <x:v>2</x:v>
      </x:c>
      <x:c r="D856" s="19" t="str">
        <x:v>C03-M022</x:v>
      </x:c>
      <x:c r="E856" s="19" t="str">
        <x:v>雷崖祭司</x:v>
      </x:c>
      <x:c r="F856" s="19" t="str">
        <x:v>稀有</x:v>
      </x:c>
      <x:c r="G856" s="19" t="str">
        <x:v>材料独立候选</x:v>
      </x:c>
      <x:c r="H856" s="19" t="str">
        <x:v>风蚀铁片</x:v>
      </x:c>
      <x:c r="I856" s="22" t="n">
        <x:v>400</x:v>
      </x:c>
      <x:c r="J856" s="22" t="n">
        <x:v>15</x:v>
      </x:c>
      <x:c r="K856" s="19" t="n">
        <x:v>1</x:v>
      </x:c>
      <x:c r="L856" s="24" t="n">
        <x:v>13.839999999999998</x:v>
      </x:c>
      <x:c r="M856" s="26" t="n">
        <x:v>0.1</x:v>
      </x:c>
      <x:c r="N856" s="24" t="n">
        <x:v>12</x:v>
      </x:c>
      <x:c r="O856" s="28" t="n">
        <x:f>MIN(1,L856/I856)</x:f>
        <x:v>0.03459999999999999</x:v>
      </x:c>
      <x:c r="P856" s="30" t="n">
        <x:f>O856*J856*(1+M856)</x:f>
        <x:v>0.5709</x:v>
      </x:c>
      <x:c r="Q856" s="30" t="n">
        <x:f>P856*N856</x:f>
        <x:v>6.8508</x:v>
      </x:c>
      <x:c r="R856" s="19" t="str">
        <x:v>独立判定</x:v>
      </x:c>
    </x:row>
    <x:row r="857" ht="19" customHeight="1">
      <x:c r="A857" s="19" t="str">
        <x:v>D00853</x:v>
      </x:c>
      <x:c r="B857" s="19" t="n">
        <x:v>3</x:v>
      </x:c>
      <x:c r="C857" s="19" t="n">
        <x:v>2</x:v>
      </x:c>
      <x:c r="D857" s="19" t="str">
        <x:v>C03-M022</x:v>
      </x:c>
      <x:c r="E857" s="19" t="str">
        <x:v>雷崖祭司</x:v>
      </x:c>
      <x:c r="F857" s="19" t="str">
        <x:v>稀有</x:v>
      </x:c>
      <x:c r="G857" s="19" t="str">
        <x:v>材料独立候选</x:v>
      </x:c>
      <x:c r="H857" s="19" t="str">
        <x:v>西境战旗</x:v>
      </x:c>
      <x:c r="I857" s="22" t="n">
        <x:v>600</x:v>
      </x:c>
      <x:c r="J857" s="22" t="n">
        <x:v>1</x:v>
      </x:c>
      <x:c r="K857" s="19" t="n">
        <x:v>1</x:v>
      </x:c>
      <x:c r="L857" s="24" t="n">
        <x:v>13.839999999999998</x:v>
      </x:c>
      <x:c r="M857" s="26" t="n">
        <x:v>0.1</x:v>
      </x:c>
      <x:c r="N857" s="24" t="n">
        <x:v>12</x:v>
      </x:c>
      <x:c r="O857" s="28" t="n">
        <x:f>MIN(1,L857/I857)</x:f>
        <x:v>0.023066666666666662</x:v>
      </x:c>
      <x:c r="P857" s="30" t="n">
        <x:f>O857*J857*(1+M857)</x:f>
        <x:v>0.02537333333333333</x:v>
      </x:c>
      <x:c r="Q857" s="30" t="n">
        <x:f>P857*N857</x:f>
        <x:v>0.30448</x:v>
      </x:c>
      <x:c r="R857" s="19" t="str">
        <x:v>独立判定</x:v>
      </x:c>
    </x:row>
    <x:row r="858" ht="19" customHeight="1">
      <x:c r="A858" s="19" t="str">
        <x:v>D00854</x:v>
      </x:c>
      <x:c r="B858" s="19" t="n">
        <x:v>3</x:v>
      </x:c>
      <x:c r="C858" s="19" t="n">
        <x:v>2</x:v>
      </x:c>
      <x:c r="D858" s="19" t="str">
        <x:v>C03-M022</x:v>
      </x:c>
      <x:c r="E858" s="19" t="str">
        <x:v>雷崖祭司</x:v>
      </x:c>
      <x:c r="F858" s="19" t="str">
        <x:v>稀有</x:v>
      </x:c>
      <x:c r="G858" s="19" t="str">
        <x:v>材料独立候选</x:v>
      </x:c>
      <x:c r="H858" s="19" t="str">
        <x:v>商队火漆</x:v>
      </x:c>
      <x:c r="I858" s="22" t="n">
        <x:v>600</x:v>
      </x:c>
      <x:c r="J858" s="22" t="n">
        <x:v>1</x:v>
      </x:c>
      <x:c r="K858" s="19" t="n">
        <x:v>1</x:v>
      </x:c>
      <x:c r="L858" s="24" t="n">
        <x:v>13.839999999999998</x:v>
      </x:c>
      <x:c r="M858" s="26" t="n">
        <x:v>0.1</x:v>
      </x:c>
      <x:c r="N858" s="24" t="n">
        <x:v>12</x:v>
      </x:c>
      <x:c r="O858" s="28" t="n">
        <x:f>MIN(1,L858/I858)</x:f>
        <x:v>0.023066666666666662</x:v>
      </x:c>
      <x:c r="P858" s="30" t="n">
        <x:f>O858*J858*(1+M858)</x:f>
        <x:v>0.02537333333333333</x:v>
      </x:c>
      <x:c r="Q858" s="30" t="n">
        <x:f>P858*N858</x:f>
        <x:v>0.30448</x:v>
      </x:c>
      <x:c r="R858" s="19" t="str">
        <x:v>独立判定</x:v>
      </x:c>
    </x:row>
    <x:row r="859" ht="19" customHeight="1">
      <x:c r="A859" s="19" t="str">
        <x:v>D00855</x:v>
      </x:c>
      <x:c r="B859" s="19" t="n">
        <x:v>3</x:v>
      </x:c>
      <x:c r="C859" s="19" t="n">
        <x:v>2</x:v>
      </x:c>
      <x:c r="D859" s="19" t="str">
        <x:v>C03-M022</x:v>
      </x:c>
      <x:c r="E859" s="19" t="str">
        <x:v>雷崖祭司</x:v>
      </x:c>
      <x:c r="F859" s="19" t="str">
        <x:v>稀有</x:v>
      </x:c>
      <x:c r="G859" s="19" t="str">
        <x:v>材料独立候选</x:v>
      </x:c>
      <x:c r="H859" s="19" t="str">
        <x:v>西境风痕碑拓</x:v>
      </x:c>
      <x:c r="I859" s="22" t="n">
        <x:v>400000</x:v>
      </x:c>
      <x:c r="J859" s="22" t="n">
        <x:v>1</x:v>
      </x:c>
      <x:c r="K859" s="19" t="n">
        <x:v>1</x:v>
      </x:c>
      <x:c r="L859" s="24" t="n">
        <x:v>13.839999999999998</x:v>
      </x:c>
      <x:c r="M859" s="26" t="n">
        <x:v>0.1</x:v>
      </x:c>
      <x:c r="N859" s="24" t="n">
        <x:v>12</x:v>
      </x:c>
      <x:c r="O859" s="28" t="n">
        <x:f>MIN(1,L859/I859)</x:f>
        <x:v>0.000034599999999999994</x:v>
      </x:c>
      <x:c r="P859" s="30" t="n">
        <x:f>O859*J859*(1+M859)</x:f>
        <x:v>0.00003806</x:v>
      </x:c>
      <x:c r="Q859" s="30" t="n">
        <x:f>P859*N859</x:f>
        <x:v>0.00045672</x:v>
      </x:c>
      <x:c r="R859" s="19" t="str">
        <x:v>独立判定</x:v>
      </x:c>
    </x:row>
    <x:row r="860" ht="19" customHeight="1">
      <x:c r="A860" s="19" t="str">
        <x:v>D00856</x:v>
      </x:c>
      <x:c r="B860" s="19" t="n">
        <x:v>3</x:v>
      </x:c>
      <x:c r="C860" s="19" t="n">
        <x:v>2</x:v>
      </x:c>
      <x:c r="D860" s="19" t="str">
        <x:v>C03-M022</x:v>
      </x:c>
      <x:c r="E860" s="19" t="str">
        <x:v>雷崖祭司</x:v>
      </x:c>
      <x:c r="F860" s="19" t="str">
        <x:v>稀有</x:v>
      </x:c>
      <x:c r="G860" s="19" t="str">
        <x:v>材料独立候选</x:v>
      </x:c>
      <x:c r="H860" s="19" t="str">
        <x:v>黄金树芽</x:v>
      </x:c>
      <x:c r="I860" s="22" t="n">
        <x:v>1800</x:v>
      </x:c>
      <x:c r="J860" s="22" t="n">
        <x:v>1</x:v>
      </x:c>
      <x:c r="K860" s="19" t="n">
        <x:v>1</x:v>
      </x:c>
      <x:c r="L860" s="24" t="n">
        <x:v>13.839999999999998</x:v>
      </x:c>
      <x:c r="M860" s="26" t="n">
        <x:v>0.1</x:v>
      </x:c>
      <x:c r="N860" s="24" t="n">
        <x:v>12</x:v>
      </x:c>
      <x:c r="O860" s="28" t="n">
        <x:f>MIN(1,L860/I860)</x:f>
        <x:v>0.0076888888888888875</x:v>
      </x:c>
      <x:c r="P860" s="30" t="n">
        <x:f>O860*J860*(1+M860)</x:f>
        <x:v>0.008457777777777778</x:v>
      </x:c>
      <x:c r="Q860" s="30" t="n">
        <x:f>P860*N860</x:f>
        <x:v>0.10149333333333332</x:v>
      </x:c>
      <x:c r="R860" s="19" t="str">
        <x:v>独立判定</x:v>
      </x:c>
    </x:row>
    <x:row r="861" ht="19" customHeight="1">
      <x:c r="A861" s="19" t="str">
        <x:v>D00857</x:v>
      </x:c>
      <x:c r="B861" s="19" t="n">
        <x:v>3</x:v>
      </x:c>
      <x:c r="C861" s="19" t="n">
        <x:v>2</x:v>
      </x:c>
      <x:c r="D861" s="19" t="str">
        <x:v>C03-M022</x:v>
      </x:c>
      <x:c r="E861" s="19" t="str">
        <x:v>雷崖祭司</x:v>
      </x:c>
      <x:c r="F861" s="19" t="str">
        <x:v>稀有</x:v>
      </x:c>
      <x:c r="G861" s="19" t="str">
        <x:v>材料独立候选</x:v>
      </x:c>
      <x:c r="H861" s="19" t="str">
        <x:v>野兽骨片</x:v>
      </x:c>
      <x:c r="I861" s="22" t="n">
        <x:v>60</x:v>
      </x:c>
      <x:c r="J861" s="22" t="n">
        <x:v>2</x:v>
      </x:c>
      <x:c r="K861" s="19" t="n">
        <x:v>1</x:v>
      </x:c>
      <x:c r="L861" s="24" t="n">
        <x:v>13.839999999999998</x:v>
      </x:c>
      <x:c r="M861" s="26" t="n">
        <x:v>0.1</x:v>
      </x:c>
      <x:c r="N861" s="24" t="n">
        <x:v>12</x:v>
      </x:c>
      <x:c r="O861" s="28" t="n">
        <x:f>MIN(1,L861/I861)</x:f>
        <x:v>0.23066666666666663</x:v>
      </x:c>
      <x:c r="P861" s="30" t="n">
        <x:f>O861*J861*(1+M861)</x:f>
        <x:v>0.5074666666666666</x:v>
      </x:c>
      <x:c r="Q861" s="30" t="n">
        <x:f>P861*N861</x:f>
        <x:v>6.089599999999999</x:v>
      </x:c>
      <x:c r="R861" s="19" t="str">
        <x:v>独立判定</x:v>
      </x:c>
    </x:row>
    <x:row r="862" ht="19" customHeight="1">
      <x:c r="A862" s="19" t="str">
        <x:v>D00858</x:v>
      </x:c>
      <x:c r="B862" s="19" t="n">
        <x:v>3</x:v>
      </x:c>
      <x:c r="C862" s="19" t="n">
        <x:v>2</x:v>
      </x:c>
      <x:c r="D862" s="19" t="str">
        <x:v>C03-M022</x:v>
      </x:c>
      <x:c r="E862" s="19" t="str">
        <x:v>雷崖祭司</x:v>
      </x:c>
      <x:c r="F862" s="19" t="str">
        <x:v>稀有</x:v>
      </x:c>
      <x:c r="G862" s="19" t="str">
        <x:v>材料独立候选</x:v>
      </x:c>
      <x:c r="H862" s="19" t="str">
        <x:v>技能残页</x:v>
      </x:c>
      <x:c r="I862" s="22" t="n">
        <x:v>150</x:v>
      </x:c>
      <x:c r="J862" s="22" t="n">
        <x:v>1</x:v>
      </x:c>
      <x:c r="K862" s="19" t="n">
        <x:v>1</x:v>
      </x:c>
      <x:c r="L862" s="24" t="n">
        <x:v>13.839999999999998</x:v>
      </x:c>
      <x:c r="M862" s="26" t="n">
        <x:v>0.1</x:v>
      </x:c>
      <x:c r="N862" s="24" t="n">
        <x:v>12</x:v>
      </x:c>
      <x:c r="O862" s="28" t="n">
        <x:f>MIN(1,L862/I862)</x:f>
        <x:v>0.09226666666666665</x:v>
      </x:c>
      <x:c r="P862" s="30" t="n">
        <x:f>O862*J862*(1+M862)</x:f>
        <x:v>0.10149333333333332</x:v>
      </x:c>
      <x:c r="Q862" s="30" t="n">
        <x:f>P862*N862</x:f>
        <x:v>1.21792</x:v>
      </x:c>
      <x:c r="R862" s="19" t="str">
        <x:v>独立判定</x:v>
      </x:c>
    </x:row>
    <x:row r="863" ht="19" customHeight="1">
      <x:c r="A863" s="19" t="str">
        <x:v>D00859</x:v>
      </x:c>
      <x:c r="B863" s="19" t="n">
        <x:v>3</x:v>
      </x:c>
      <x:c r="C863" s="19" t="n">
        <x:v>2</x:v>
      </x:c>
      <x:c r="D863" s="19" t="str">
        <x:v>C03-M022</x:v>
      </x:c>
      <x:c r="E863" s="19" t="str">
        <x:v>雷崖祭司</x:v>
      </x:c>
      <x:c r="F863" s="19" t="str">
        <x:v>稀有</x:v>
      </x:c>
      <x:c r="G863" s="19" t="str">
        <x:v>材料独立候选</x:v>
      </x:c>
      <x:c r="H863" s="19" t="str">
        <x:v>小卢恩</x:v>
      </x:c>
      <x:c r="I863" s="22" t="n">
        <x:v>2500</x:v>
      </x:c>
      <x:c r="J863" s="22" t="n">
        <x:v>1</x:v>
      </x:c>
      <x:c r="K863" s="19" t="n">
        <x:v>1</x:v>
      </x:c>
      <x:c r="L863" s="24" t="n">
        <x:v>13.839999999999998</x:v>
      </x:c>
      <x:c r="M863" s="26" t="n">
        <x:v>0.1</x:v>
      </x:c>
      <x:c r="N863" s="24" t="n">
        <x:v>12</x:v>
      </x:c>
      <x:c r="O863" s="28" t="n">
        <x:f>MIN(1,L863/I863)</x:f>
        <x:v>0.005535999999999999</x:v>
      </x:c>
      <x:c r="P863" s="30" t="n">
        <x:f>O863*J863*(1+M863)</x:f>
        <x:v>0.0060896</x:v>
      </x:c>
      <x:c r="Q863" s="30" t="n">
        <x:f>P863*N863</x:f>
        <x:v>0.07307519999999999</x:v>
      </x:c>
      <x:c r="R863" s="19" t="str">
        <x:v>独立判定</x:v>
      </x:c>
    </x:row>
    <x:row r="864" ht="19" customHeight="1">
      <x:c r="A864" s="19" t="str">
        <x:v>D00860</x:v>
      </x:c>
      <x:c r="B864" s="19" t="n">
        <x:v>3</x:v>
      </x:c>
      <x:c r="C864" s="19" t="n">
        <x:v>2</x:v>
      </x:c>
      <x:c r="D864" s="19" t="str">
        <x:v>C03-M022</x:v>
      </x:c>
      <x:c r="E864" s="19" t="str">
        <x:v>雷崖祭司</x:v>
      </x:c>
      <x:c r="F864" s="19" t="str">
        <x:v>稀有</x:v>
      </x:c>
      <x:c r="G864" s="19" t="str">
        <x:v>六神器公共池</x:v>
      </x:c>
      <x:c r="H864" s="19" t="str">
        <x:v>POOL006</x:v>
      </x:c>
      <x:c r="I864" s="22" t="n">
        <x:v>5000000</x:v>
      </x:c>
      <x:c r="J864" s="22" t="n">
        <x:v>1</x:v>
      </x:c>
      <x:c r="K864" s="19" t="n">
        <x:v>6</x:v>
      </x:c>
      <x:c r="L864" s="24" t="n">
        <x:v>13.839999999999998</x:v>
      </x:c>
      <x:c r="M864" s="26" t="n">
        <x:v>0.1</x:v>
      </x:c>
      <x:c r="N864" s="24" t="n">
        <x:v>12</x:v>
      </x:c>
      <x:c r="O864" s="28" t="n">
        <x:f>MIN(1,L864/I864)</x:f>
        <x:v>0.0000027679999999999996</x:v>
      </x:c>
      <x:c r="P864" s="30" t="n">
        <x:f>O864*J864*(1+M864)</x:f>
        <x:v>0.0000030447999999999996</x:v>
      </x:c>
      <x:c r="Q864" s="30" t="n">
        <x:f>P864*N864</x:f>
        <x:v>0.000036537599999999994</x:v>
      </x:c>
      <x:c r="R864" s="19" t="str">
        <x:v>六选一；非6个独立爆率</x:v>
      </x:c>
    </x:row>
    <x:row r="865" ht="19" customHeight="1">
      <x:c r="A865" s="19" t="str">
        <x:v>D00861</x:v>
      </x:c>
      <x:c r="B865" s="19" t="n">
        <x:v>3</x:v>
      </x:c>
      <x:c r="C865" s="19" t="n">
        <x:v>2</x:v>
      </x:c>
      <x:c r="D865" s="19" t="str">
        <x:v>C03-M023</x:v>
      </x:c>
      <x:c r="E865" s="19" t="str">
        <x:v>裂风执旗官·卡恩</x:v>
      </x:c>
      <x:c r="F865" s="19" t="str">
        <x:v>地图BOSS</x:v>
      </x:c>
      <x:c r="G865" s="19" t="str">
        <x:v>自身专属</x:v>
      </x:c>
      <x:c r="H865" s="19" t="str">
        <x:v>裂风战旗刃</x:v>
      </x:c>
      <x:c r="I865" s="22" t="n">
        <x:v>30</x:v>
      </x:c>
      <x:c r="J865" s="22" t="n">
        <x:v>1</x:v>
      </x:c>
      <x:c r="K865" s="19" t="n">
        <x:v>1</x:v>
      </x:c>
      <x:c r="L865" s="24" t="n">
        <x:v>13.839999999999998</x:v>
      </x:c>
      <x:c r="M865" s="26" t="n">
        <x:v>0.1</x:v>
      </x:c>
      <x:c r="N865" s="24" t="n">
        <x:v>2</x:v>
      </x:c>
      <x:c r="O865" s="28" t="n">
        <x:f>MIN(1,L865/I865)</x:f>
        <x:v>0.46133333333333326</x:v>
      </x:c>
      <x:c r="P865" s="30" t="n">
        <x:f>O865*J865*(1+M865)</x:f>
        <x:v>0.5074666666666666</x:v>
      </x:c>
      <x:c r="Q865" s="30" t="n">
        <x:f>P865*N865</x:f>
        <x:v>1.0149333333333332</x:v>
      </x:c>
      <x:c r="R865" s="19" t="str">
        <x:v>独立判定</x:v>
      </x:c>
    </x:row>
    <x:row r="866" ht="19" customHeight="1">
      <x:c r="A866" s="19" t="str">
        <x:v>D00862</x:v>
      </x:c>
      <x:c r="B866" s="19" t="n">
        <x:v>3</x:v>
      </x:c>
      <x:c r="C866" s="19" t="n">
        <x:v>2</x:v>
      </x:c>
      <x:c r="D866" s="19" t="str">
        <x:v>C03-M023</x:v>
      </x:c>
      <x:c r="E866" s="19" t="str">
        <x:v>裂风执旗官·卡恩</x:v>
      </x:c>
      <x:c r="F866" s="19" t="str">
        <x:v>地图BOSS</x:v>
      </x:c>
      <x:c r="G866" s="19" t="str">
        <x:v>本图普通兼掉候选</x:v>
      </x:c>
      <x:c r="H866" s="19" t="str">
        <x:v>POOL014</x:v>
      </x:c>
      <x:c r="I866" s="22" t="n">
        <x:v>30</x:v>
      </x:c>
      <x:c r="J866" s="22" t="n">
        <x:v>1</x:v>
      </x:c>
      <x:c r="K866" s="19" t="n">
        <x:v>1</x:v>
      </x:c>
      <x:c r="L866" s="24" t="n">
        <x:v>13.839999999999998</x:v>
      </x:c>
      <x:c r="M866" s="26" t="n">
        <x:v>0.1</x:v>
      </x:c>
      <x:c r="N866" s="24" t="n">
        <x:v>2</x:v>
      </x:c>
      <x:c r="O866" s="28" t="n">
        <x:f>MIN(1,L866/I866)</x:f>
        <x:v>0.46133333333333326</x:v>
      </x:c>
      <x:c r="P866" s="30" t="n">
        <x:f>O866*J866*(1+M866)</x:f>
        <x:v>0.5074666666666666</x:v>
      </x:c>
      <x:c r="Q866" s="30" t="n">
        <x:f>P866*N866</x:f>
        <x:v>1.0149333333333332</x:v>
      </x:c>
      <x:c r="R866" s="19" t="str">
        <x:v>单池选一</x:v>
      </x:c>
    </x:row>
    <x:row r="867" ht="19" customHeight="1">
      <x:c r="A867" s="19" t="str">
        <x:v>D00863</x:v>
      </x:c>
      <x:c r="B867" s="19" t="n">
        <x:v>3</x:v>
      </x:c>
      <x:c r="C867" s="19" t="n">
        <x:v>2</x:v>
      </x:c>
      <x:c r="D867" s="19" t="str">
        <x:v>C03-M023</x:v>
      </x:c>
      <x:c r="E867" s="19" t="str">
        <x:v>裂风执旗官·卡恩</x:v>
      </x:c>
      <x:c r="F867" s="19" t="str">
        <x:v>地图BOSS</x:v>
      </x:c>
      <x:c r="G867" s="19" t="str">
        <x:v>材料独立候选</x:v>
      </x:c>
      <x:c r="H867" s="19" t="str">
        <x:v>风蚀铁片</x:v>
      </x:c>
      <x:c r="I867" s="22" t="n">
        <x:v>200</x:v>
      </x:c>
      <x:c r="J867" s="22" t="n">
        <x:v>30</x:v>
      </x:c>
      <x:c r="K867" s="19" t="n">
        <x:v>1</x:v>
      </x:c>
      <x:c r="L867" s="24" t="n">
        <x:v>13.839999999999998</x:v>
      </x:c>
      <x:c r="M867" s="26" t="n">
        <x:v>0.1</x:v>
      </x:c>
      <x:c r="N867" s="24" t="n">
        <x:v>2</x:v>
      </x:c>
      <x:c r="O867" s="28" t="n">
        <x:f>MIN(1,L867/I867)</x:f>
        <x:v>0.06919999999999998</x:v>
      </x:c>
      <x:c r="P867" s="30" t="n">
        <x:f>O867*J867*(1+M867)</x:f>
        <x:v>2.2836</x:v>
      </x:c>
      <x:c r="Q867" s="30" t="n">
        <x:f>P867*N867</x:f>
        <x:v>4.5672</x:v>
      </x:c>
      <x:c r="R867" s="19" t="str">
        <x:v>独立判定</x:v>
      </x:c>
    </x:row>
    <x:row r="868" ht="19" customHeight="1">
      <x:c r="A868" s="19" t="str">
        <x:v>D00864</x:v>
      </x:c>
      <x:c r="B868" s="19" t="n">
        <x:v>3</x:v>
      </x:c>
      <x:c r="C868" s="19" t="n">
        <x:v>2</x:v>
      </x:c>
      <x:c r="D868" s="19" t="str">
        <x:v>C03-M023</x:v>
      </x:c>
      <x:c r="E868" s="19" t="str">
        <x:v>裂风执旗官·卡恩</x:v>
      </x:c>
      <x:c r="F868" s="19" t="str">
        <x:v>地图BOSS</x:v>
      </x:c>
      <x:c r="G868" s="19" t="str">
        <x:v>材料独立候选</x:v>
      </x:c>
      <x:c r="H868" s="19" t="str">
        <x:v>西境战旗</x:v>
      </x:c>
      <x:c r="I868" s="22" t="n">
        <x:v>400</x:v>
      </x:c>
      <x:c r="J868" s="22" t="n">
        <x:v>1</x:v>
      </x:c>
      <x:c r="K868" s="19" t="n">
        <x:v>1</x:v>
      </x:c>
      <x:c r="L868" s="24" t="n">
        <x:v>13.839999999999998</x:v>
      </x:c>
      <x:c r="M868" s="26" t="n">
        <x:v>0.1</x:v>
      </x:c>
      <x:c r="N868" s="24" t="n">
        <x:v>2</x:v>
      </x:c>
      <x:c r="O868" s="28" t="n">
        <x:f>MIN(1,L868/I868)</x:f>
        <x:v>0.03459999999999999</x:v>
      </x:c>
      <x:c r="P868" s="30" t="n">
        <x:f>O868*J868*(1+M868)</x:f>
        <x:v>0.03806</x:v>
      </x:c>
      <x:c r="Q868" s="30" t="n">
        <x:f>P868*N868</x:f>
        <x:v>0.07612</x:v>
      </x:c>
      <x:c r="R868" s="19" t="str">
        <x:v>独立判定</x:v>
      </x:c>
    </x:row>
    <x:row r="869" ht="19" customHeight="1">
      <x:c r="A869" s="19" t="str">
        <x:v>D00865</x:v>
      </x:c>
      <x:c r="B869" s="19" t="n">
        <x:v>3</x:v>
      </x:c>
      <x:c r="C869" s="19" t="n">
        <x:v>2</x:v>
      </x:c>
      <x:c r="D869" s="19" t="str">
        <x:v>C03-M023</x:v>
      </x:c>
      <x:c r="E869" s="19" t="str">
        <x:v>裂风执旗官·卡恩</x:v>
      </x:c>
      <x:c r="F869" s="19" t="str">
        <x:v>地图BOSS</x:v>
      </x:c>
      <x:c r="G869" s="19" t="str">
        <x:v>材料独立候选</x:v>
      </x:c>
      <x:c r="H869" s="19" t="str">
        <x:v>西境战旗印</x:v>
      </x:c>
      <x:c r="I869" s="22" t="n">
        <x:v>100</x:v>
      </x:c>
      <x:c r="J869" s="22" t="n">
        <x:v>2</x:v>
      </x:c>
      <x:c r="K869" s="19" t="n">
        <x:v>1</x:v>
      </x:c>
      <x:c r="L869" s="24" t="n">
        <x:v>13.839999999999998</x:v>
      </x:c>
      <x:c r="M869" s="26" t="n">
        <x:v>0.1</x:v>
      </x:c>
      <x:c r="N869" s="24" t="n">
        <x:v>2</x:v>
      </x:c>
      <x:c r="O869" s="28" t="n">
        <x:f>MIN(1,L869/I869)</x:f>
        <x:v>0.13839999999999997</x:v>
      </x:c>
      <x:c r="P869" s="30" t="n">
        <x:f>O869*J869*(1+M869)</x:f>
        <x:v>0.30448</x:v>
      </x:c>
      <x:c r="Q869" s="30" t="n">
        <x:f>P869*N869</x:f>
        <x:v>0.60896</x:v>
      </x:c>
      <x:c r="R869" s="19" t="str">
        <x:v>独立判定</x:v>
      </x:c>
    </x:row>
    <x:row r="870" ht="19" customHeight="1">
      <x:c r="A870" s="19" t="str">
        <x:v>D00866</x:v>
      </x:c>
      <x:c r="B870" s="19" t="n">
        <x:v>3</x:v>
      </x:c>
      <x:c r="C870" s="19" t="n">
        <x:v>2</x:v>
      </x:c>
      <x:c r="D870" s="19" t="str">
        <x:v>C03-M023</x:v>
      </x:c>
      <x:c r="E870" s="19" t="str">
        <x:v>裂风执旗官·卡恩</x:v>
      </x:c>
      <x:c r="F870" s="19" t="str">
        <x:v>地图BOSS</x:v>
      </x:c>
      <x:c r="G870" s="19" t="str">
        <x:v>材料独立候选</x:v>
      </x:c>
      <x:c r="H870" s="19" t="str">
        <x:v>守垒铜钥</x:v>
      </x:c>
      <x:c r="I870" s="22" t="n">
        <x:v>100</x:v>
      </x:c>
      <x:c r="J870" s="22" t="n">
        <x:v>1</x:v>
      </x:c>
      <x:c r="K870" s="19" t="n">
        <x:v>1</x:v>
      </x:c>
      <x:c r="L870" s="24" t="n">
        <x:v>13.839999999999998</x:v>
      </x:c>
      <x:c r="M870" s="26" t="n">
        <x:v>0.1</x:v>
      </x:c>
      <x:c r="N870" s="24" t="n">
        <x:v>2</x:v>
      </x:c>
      <x:c r="O870" s="28" t="n">
        <x:f>MIN(1,L870/I870)</x:f>
        <x:v>0.13839999999999997</x:v>
      </x:c>
      <x:c r="P870" s="30" t="n">
        <x:f>O870*J870*(1+M870)</x:f>
        <x:v>0.15224</x:v>
      </x:c>
      <x:c r="Q870" s="30" t="n">
        <x:f>P870*N870</x:f>
        <x:v>0.30448</x:v>
      </x:c>
      <x:c r="R870" s="19" t="str">
        <x:v>独立判定</x:v>
      </x:c>
    </x:row>
    <x:row r="871" ht="19" customHeight="1">
      <x:c r="A871" s="19" t="str">
        <x:v>D00867</x:v>
      </x:c>
      <x:c r="B871" s="19" t="n">
        <x:v>3</x:v>
      </x:c>
      <x:c r="C871" s="19" t="n">
        <x:v>2</x:v>
      </x:c>
      <x:c r="D871" s="19" t="str">
        <x:v>C03-M023</x:v>
      </x:c>
      <x:c r="E871" s="19" t="str">
        <x:v>裂风执旗官·卡恩</x:v>
      </x:c>
      <x:c r="F871" s="19" t="str">
        <x:v>地图BOSS</x:v>
      </x:c>
      <x:c r="G871" s="19" t="str">
        <x:v>材料独立候选</x:v>
      </x:c>
      <x:c r="H871" s="19" t="str">
        <x:v>西境风痕碑拓</x:v>
      </x:c>
      <x:c r="I871" s="22" t="n">
        <x:v>200000</x:v>
      </x:c>
      <x:c r="J871" s="22" t="n">
        <x:v>1</x:v>
      </x:c>
      <x:c r="K871" s="19" t="n">
        <x:v>1</x:v>
      </x:c>
      <x:c r="L871" s="24" t="n">
        <x:v>13.839999999999998</x:v>
      </x:c>
      <x:c r="M871" s="26" t="n">
        <x:v>0.1</x:v>
      </x:c>
      <x:c r="N871" s="24" t="n">
        <x:v>2</x:v>
      </x:c>
      <x:c r="O871" s="28" t="n">
        <x:f>MIN(1,L871/I871)</x:f>
        <x:v>0.00006919999999999999</x:v>
      </x:c>
      <x:c r="P871" s="30" t="n">
        <x:f>O871*J871*(1+M871)</x:f>
        <x:v>0.00007612</x:v>
      </x:c>
      <x:c r="Q871" s="30" t="n">
        <x:f>P871*N871</x:f>
        <x:v>0.00015224</x:v>
      </x:c>
      <x:c r="R871" s="19" t="str">
        <x:v>独立判定</x:v>
      </x:c>
    </x:row>
    <x:row r="872" ht="19" customHeight="1">
      <x:c r="A872" s="19" t="str">
        <x:v>D00868</x:v>
      </x:c>
      <x:c r="B872" s="19" t="n">
        <x:v>3</x:v>
      </x:c>
      <x:c r="C872" s="19" t="n">
        <x:v>2</x:v>
      </x:c>
      <x:c r="D872" s="19" t="str">
        <x:v>C03-M023</x:v>
      </x:c>
      <x:c r="E872" s="19" t="str">
        <x:v>裂风执旗官·卡恩</x:v>
      </x:c>
      <x:c r="F872" s="19" t="str">
        <x:v>地图BOSS</x:v>
      </x:c>
      <x:c r="G872" s="19" t="str">
        <x:v>材料独立候选</x:v>
      </x:c>
      <x:c r="H872" s="19" t="str">
        <x:v>黄金树芽</x:v>
      </x:c>
      <x:c r="I872" s="22" t="n">
        <x:v>800</x:v>
      </x:c>
      <x:c r="J872" s="22" t="n">
        <x:v>1</x:v>
      </x:c>
      <x:c r="K872" s="19" t="n">
        <x:v>1</x:v>
      </x:c>
      <x:c r="L872" s="24" t="n">
        <x:v>13.839999999999998</x:v>
      </x:c>
      <x:c r="M872" s="26" t="n">
        <x:v>0.1</x:v>
      </x:c>
      <x:c r="N872" s="24" t="n">
        <x:v>2</x:v>
      </x:c>
      <x:c r="O872" s="28" t="n">
        <x:f>MIN(1,L872/I872)</x:f>
        <x:v>0.017299999999999996</x:v>
      </x:c>
      <x:c r="P872" s="30" t="n">
        <x:f>O872*J872*(1+M872)</x:f>
        <x:v>0.01903</x:v>
      </x:c>
      <x:c r="Q872" s="30" t="n">
        <x:f>P872*N872</x:f>
        <x:v>0.03806</x:v>
      </x:c>
      <x:c r="R872" s="19" t="str">
        <x:v>独立判定</x:v>
      </x:c>
    </x:row>
    <x:row r="873" ht="19" customHeight="1">
      <x:c r="A873" s="19" t="str">
        <x:v>D00869</x:v>
      </x:c>
      <x:c r="B873" s="19" t="n">
        <x:v>3</x:v>
      </x:c>
      <x:c r="C873" s="19" t="n">
        <x:v>2</x:v>
      </x:c>
      <x:c r="D873" s="19" t="str">
        <x:v>C03-M023</x:v>
      </x:c>
      <x:c r="E873" s="19" t="str">
        <x:v>裂风执旗官·卡恩</x:v>
      </x:c>
      <x:c r="F873" s="19" t="str">
        <x:v>地图BOSS</x:v>
      </x:c>
      <x:c r="G873" s="19" t="str">
        <x:v>材料独立候选</x:v>
      </x:c>
      <x:c r="H873" s="19" t="str">
        <x:v>野兽骨片</x:v>
      </x:c>
      <x:c r="I873" s="22" t="n">
        <x:v>30</x:v>
      </x:c>
      <x:c r="J873" s="22" t="n">
        <x:v>2</x:v>
      </x:c>
      <x:c r="K873" s="19" t="n">
        <x:v>1</x:v>
      </x:c>
      <x:c r="L873" s="24" t="n">
        <x:v>13.839999999999998</x:v>
      </x:c>
      <x:c r="M873" s="26" t="n">
        <x:v>0.1</x:v>
      </x:c>
      <x:c r="N873" s="24" t="n">
        <x:v>2</x:v>
      </x:c>
      <x:c r="O873" s="28" t="n">
        <x:f>MIN(1,L873/I873)</x:f>
        <x:v>0.46133333333333326</x:v>
      </x:c>
      <x:c r="P873" s="30" t="n">
        <x:f>O873*J873*(1+M873)</x:f>
        <x:v>1.0149333333333332</x:v>
      </x:c>
      <x:c r="Q873" s="30" t="n">
        <x:f>P873*N873</x:f>
        <x:v>2.0298666666666665</x:v>
      </x:c>
      <x:c r="R873" s="19" t="str">
        <x:v>独立判定</x:v>
      </x:c>
    </x:row>
    <x:row r="874" ht="19" customHeight="1">
      <x:c r="A874" s="19" t="str">
        <x:v>D00870</x:v>
      </x:c>
      <x:c r="B874" s="19" t="n">
        <x:v>3</x:v>
      </x:c>
      <x:c r="C874" s="19" t="n">
        <x:v>2</x:v>
      </x:c>
      <x:c r="D874" s="19" t="str">
        <x:v>C03-M023</x:v>
      </x:c>
      <x:c r="E874" s="19" t="str">
        <x:v>裂风执旗官·卡恩</x:v>
      </x:c>
      <x:c r="F874" s="19" t="str">
        <x:v>地图BOSS</x:v>
      </x:c>
      <x:c r="G874" s="19" t="str">
        <x:v>材料独立候选</x:v>
      </x:c>
      <x:c r="H874" s="19" t="str">
        <x:v>技能残页</x:v>
      </x:c>
      <x:c r="I874" s="22" t="n">
        <x:v>80</x:v>
      </x:c>
      <x:c r="J874" s="22" t="n">
        <x:v>1</x:v>
      </x:c>
      <x:c r="K874" s="19" t="n">
        <x:v>1</x:v>
      </x:c>
      <x:c r="L874" s="24" t="n">
        <x:v>13.839999999999998</x:v>
      </x:c>
      <x:c r="M874" s="26" t="n">
        <x:v>0.1</x:v>
      </x:c>
      <x:c r="N874" s="24" t="n">
        <x:v>2</x:v>
      </x:c>
      <x:c r="O874" s="28" t="n">
        <x:f>MIN(1,L874/I874)</x:f>
        <x:v>0.173</x:v>
      </x:c>
      <x:c r="P874" s="30" t="n">
        <x:f>O874*J874*(1+M874)</x:f>
        <x:v>0.1903</x:v>
      </x:c>
      <x:c r="Q874" s="30" t="n">
        <x:f>P874*N874</x:f>
        <x:v>0.3806</x:v>
      </x:c>
      <x:c r="R874" s="19" t="str">
        <x:v>独立判定</x:v>
      </x:c>
    </x:row>
    <x:row r="875" ht="19" customHeight="1">
      <x:c r="A875" s="19" t="str">
        <x:v>D00871</x:v>
      </x:c>
      <x:c r="B875" s="19" t="n">
        <x:v>3</x:v>
      </x:c>
      <x:c r="C875" s="19" t="n">
        <x:v>2</x:v>
      </x:c>
      <x:c r="D875" s="19" t="str">
        <x:v>C03-M023</x:v>
      </x:c>
      <x:c r="E875" s="19" t="str">
        <x:v>裂风执旗官·卡恩</x:v>
      </x:c>
      <x:c r="F875" s="19" t="str">
        <x:v>地图BOSS</x:v>
      </x:c>
      <x:c r="G875" s="19" t="str">
        <x:v>材料独立候选</x:v>
      </x:c>
      <x:c r="H875" s="19" t="str">
        <x:v>宁姆格福誓页</x:v>
      </x:c>
      <x:c r="I875" s="22" t="n">
        <x:v>180</x:v>
      </x:c>
      <x:c r="J875" s="22" t="n">
        <x:v>1</x:v>
      </x:c>
      <x:c r="K875" s="19" t="n">
        <x:v>1</x:v>
      </x:c>
      <x:c r="L875" s="24" t="n">
        <x:v>13.839999999999998</x:v>
      </x:c>
      <x:c r="M875" s="26" t="n">
        <x:v>0.1</x:v>
      </x:c>
      <x:c r="N875" s="24" t="n">
        <x:v>2</x:v>
      </x:c>
      <x:c r="O875" s="28" t="n">
        <x:f>MIN(1,L875/I875)</x:f>
        <x:v>0.07688888888888888</x:v>
      </x:c>
      <x:c r="P875" s="30" t="n">
        <x:f>O875*J875*(1+M875)</x:f>
        <x:v>0.08457777777777778</x:v>
      </x:c>
      <x:c r="Q875" s="30" t="n">
        <x:f>P875*N875</x:f>
        <x:v>0.16915555555555556</x:v>
      </x:c>
      <x:c r="R875" s="19" t="str">
        <x:v>独立判定</x:v>
      </x:c>
    </x:row>
    <x:row r="876" ht="19" customHeight="1">
      <x:c r="A876" s="19" t="str">
        <x:v>D00872</x:v>
      </x:c>
      <x:c r="B876" s="19" t="n">
        <x:v>3</x:v>
      </x:c>
      <x:c r="C876" s="19" t="n">
        <x:v>2</x:v>
      </x:c>
      <x:c r="D876" s="19" t="str">
        <x:v>C03-M023</x:v>
      </x:c>
      <x:c r="E876" s="19" t="str">
        <x:v>裂风执旗官·卡恩</x:v>
      </x:c>
      <x:c r="F876" s="19" t="str">
        <x:v>地图BOSS</x:v>
      </x:c>
      <x:c r="G876" s="19" t="str">
        <x:v>材料独立候选</x:v>
      </x:c>
      <x:c r="H876" s="19" t="str">
        <x:v>小卢恩</x:v>
      </x:c>
      <x:c r="I876" s="22" t="n">
        <x:v>1200</x:v>
      </x:c>
      <x:c r="J876" s="22" t="n">
        <x:v>1</x:v>
      </x:c>
      <x:c r="K876" s="19" t="n">
        <x:v>1</x:v>
      </x:c>
      <x:c r="L876" s="24" t="n">
        <x:v>13.839999999999998</x:v>
      </x:c>
      <x:c r="M876" s="26" t="n">
        <x:v>0.1</x:v>
      </x:c>
      <x:c r="N876" s="24" t="n">
        <x:v>2</x:v>
      </x:c>
      <x:c r="O876" s="28" t="n">
        <x:f>MIN(1,L876/I876)</x:f>
        <x:v>0.011533333333333331</x:v>
      </x:c>
      <x:c r="P876" s="30" t="n">
        <x:f>O876*J876*(1+M876)</x:f>
        <x:v>0.012686666666666666</x:v>
      </x:c>
      <x:c r="Q876" s="30" t="n">
        <x:f>P876*N876</x:f>
        <x:v>0.02537333333333333</x:v>
      </x:c>
      <x:c r="R876" s="19" t="str">
        <x:v>独立判定</x:v>
      </x:c>
    </x:row>
    <x:row r="877" ht="19" customHeight="1">
      <x:c r="A877" s="19" t="str">
        <x:v>D00873</x:v>
      </x:c>
      <x:c r="B877" s="19" t="n">
        <x:v>3</x:v>
      </x:c>
      <x:c r="C877" s="19" t="n">
        <x:v>2</x:v>
      </x:c>
      <x:c r="D877" s="19" t="str">
        <x:v>C03-M023</x:v>
      </x:c>
      <x:c r="E877" s="19" t="str">
        <x:v>裂风执旗官·卡恩</x:v>
      </x:c>
      <x:c r="F877" s="19" t="str">
        <x:v>地图BOSS</x:v>
      </x:c>
      <x:c r="G877" s="19" t="str">
        <x:v>材料独立候选</x:v>
      </x:c>
      <x:c r="H877" s="19" t="str">
        <x:v>大卢恩</x:v>
      </x:c>
      <x:c r="I877" s="22" t="n">
        <x:v>120</x:v>
      </x:c>
      <x:c r="J877" s="22" t="n">
        <x:v>1</x:v>
      </x:c>
      <x:c r="K877" s="19" t="n">
        <x:v>1</x:v>
      </x:c>
      <x:c r="L877" s="24" t="n">
        <x:v>13.839999999999998</x:v>
      </x:c>
      <x:c r="M877" s="26" t="n">
        <x:v>0.1</x:v>
      </x:c>
      <x:c r="N877" s="24" t="n">
        <x:v>2</x:v>
      </x:c>
      <x:c r="O877" s="28" t="n">
        <x:f>MIN(1,L877/I877)</x:f>
        <x:v>0.11533333333333332</x:v>
      </x:c>
      <x:c r="P877" s="30" t="n">
        <x:f>O877*J877*(1+M877)</x:f>
        <x:v>0.12686666666666666</x:v>
      </x:c>
      <x:c r="Q877" s="30" t="n">
        <x:f>P877*N877</x:f>
        <x:v>0.2537333333333333</x:v>
      </x:c>
      <x:c r="R877" s="19" t="str">
        <x:v>独立判定</x:v>
      </x:c>
    </x:row>
    <x:row r="878" ht="19" customHeight="1">
      <x:c r="A878" s="19" t="str">
        <x:v>D00874</x:v>
      </x:c>
      <x:c r="B878" s="19" t="n">
        <x:v>3</x:v>
      </x:c>
      <x:c r="C878" s="19" t="n">
        <x:v>2</x:v>
      </x:c>
      <x:c r="D878" s="19" t="str">
        <x:v>C03-M023</x:v>
      </x:c>
      <x:c r="E878" s="19" t="str">
        <x:v>裂风执旗官·卡恩</x:v>
      </x:c>
      <x:c r="F878" s="19" t="str">
        <x:v>地图BOSS</x:v>
      </x:c>
      <x:c r="G878" s="19" t="str">
        <x:v>六神器公共池</x:v>
      </x:c>
      <x:c r="H878" s="19" t="str">
        <x:v>POOL006</x:v>
      </x:c>
      <x:c r="I878" s="22" t="n">
        <x:v>200000</x:v>
      </x:c>
      <x:c r="J878" s="22" t="n">
        <x:v>1</x:v>
      </x:c>
      <x:c r="K878" s="19" t="n">
        <x:v>6</x:v>
      </x:c>
      <x:c r="L878" s="24" t="n">
        <x:v>13.839999999999998</x:v>
      </x:c>
      <x:c r="M878" s="26" t="n">
        <x:v>0.1</x:v>
      </x:c>
      <x:c r="N878" s="24" t="n">
        <x:v>2</x:v>
      </x:c>
      <x:c r="O878" s="28" t="n">
        <x:f>MIN(1,L878/I878)</x:f>
        <x:v>0.00006919999999999999</x:v>
      </x:c>
      <x:c r="P878" s="30" t="n">
        <x:f>O878*J878*(1+M878)</x:f>
        <x:v>0.00007612</x:v>
      </x:c>
      <x:c r="Q878" s="30" t="n">
        <x:f>P878*N878</x:f>
        <x:v>0.00015224</x:v>
      </x:c>
      <x:c r="R878" s="19" t="str">
        <x:v>六选一；非6个独立爆率</x:v>
      </x:c>
    </x:row>
    <x:row r="879" ht="19" customHeight="1">
      <x:c r="A879" s="19" t="str">
        <x:v>D00875</x:v>
      </x:c>
      <x:c r="B879" s="19" t="n">
        <x:v>3</x:v>
      </x:c>
      <x:c r="C879" s="19" t="n">
        <x:v>2</x:v>
      </x:c>
      <x:c r="D879" s="19" t="str">
        <x:v>C03-M024</x:v>
      </x:c>
      <x:c r="E879" s="19" t="str">
        <x:v>啸海古翼·塞洛</x:v>
      </x:c>
      <x:c r="F879" s="19" t="str">
        <x:v>地图BOSS</x:v>
      </x:c>
      <x:c r="G879" s="19" t="str">
        <x:v>自身专属</x:v>
      </x:c>
      <x:c r="H879" s="19" t="str">
        <x:v>啸海翼铠</x:v>
      </x:c>
      <x:c r="I879" s="22" t="n">
        <x:v>60</x:v>
      </x:c>
      <x:c r="J879" s="22" t="n">
        <x:v>1</x:v>
      </x:c>
      <x:c r="K879" s="19" t="n">
        <x:v>1</x:v>
      </x:c>
      <x:c r="L879" s="24" t="n">
        <x:v>13.839999999999998</x:v>
      </x:c>
      <x:c r="M879" s="26" t="n">
        <x:v>0.1</x:v>
      </x:c>
      <x:c r="N879" s="24" t="n">
        <x:v>2</x:v>
      </x:c>
      <x:c r="O879" s="28" t="n">
        <x:f>MIN(1,L879/I879)</x:f>
        <x:v>0.23066666666666663</x:v>
      </x:c>
      <x:c r="P879" s="30" t="n">
        <x:f>O879*J879*(1+M879)</x:f>
        <x:v>0.2537333333333333</x:v>
      </x:c>
      <x:c r="Q879" s="30" t="n">
        <x:f>P879*N879</x:f>
        <x:v>0.5074666666666666</x:v>
      </x:c>
      <x:c r="R879" s="19" t="str">
        <x:v>独立判定</x:v>
      </x:c>
    </x:row>
    <x:row r="880" ht="19" customHeight="1">
      <x:c r="A880" s="19" t="str">
        <x:v>D00876</x:v>
      </x:c>
      <x:c r="B880" s="19" t="n">
        <x:v>3</x:v>
      </x:c>
      <x:c r="C880" s="19" t="n">
        <x:v>2</x:v>
      </x:c>
      <x:c r="D880" s="19" t="str">
        <x:v>C03-M024</x:v>
      </x:c>
      <x:c r="E880" s="19" t="str">
        <x:v>啸海古翼·塞洛</x:v>
      </x:c>
      <x:c r="F880" s="19" t="str">
        <x:v>地图BOSS</x:v>
      </x:c>
      <x:c r="G880" s="19" t="str">
        <x:v>自身专属</x:v>
      </x:c>
      <x:c r="H880" s="19" t="str">
        <x:v>断途风铃</x:v>
      </x:c>
      <x:c r="I880" s="22" t="n">
        <x:v>60</x:v>
      </x:c>
      <x:c r="J880" s="22" t="n">
        <x:v>1</x:v>
      </x:c>
      <x:c r="K880" s="19" t="n">
        <x:v>1</x:v>
      </x:c>
      <x:c r="L880" s="24" t="n">
        <x:v>13.839999999999998</x:v>
      </x:c>
      <x:c r="M880" s="26" t="n">
        <x:v>0.1</x:v>
      </x:c>
      <x:c r="N880" s="24" t="n">
        <x:v>2</x:v>
      </x:c>
      <x:c r="O880" s="28" t="n">
        <x:f>MIN(1,L880/I880)</x:f>
        <x:v>0.23066666666666663</x:v>
      </x:c>
      <x:c r="P880" s="30" t="n">
        <x:f>O880*J880*(1+M880)</x:f>
        <x:v>0.2537333333333333</x:v>
      </x:c>
      <x:c r="Q880" s="30" t="n">
        <x:f>P880*N880</x:f>
        <x:v>0.5074666666666666</x:v>
      </x:c>
      <x:c r="R880" s="19" t="str">
        <x:v>独立判定</x:v>
      </x:c>
    </x:row>
    <x:row r="881" ht="19" customHeight="1">
      <x:c r="A881" s="19" t="str">
        <x:v>D00877</x:v>
      </x:c>
      <x:c r="B881" s="19" t="n">
        <x:v>3</x:v>
      </x:c>
      <x:c r="C881" s="19" t="n">
        <x:v>2</x:v>
      </x:c>
      <x:c r="D881" s="19" t="str">
        <x:v>C03-M024</x:v>
      </x:c>
      <x:c r="E881" s="19" t="str">
        <x:v>啸海古翼·塞洛</x:v>
      </x:c>
      <x:c r="F881" s="19" t="str">
        <x:v>地图BOSS</x:v>
      </x:c>
      <x:c r="G881" s="19" t="str">
        <x:v>本图普通兼掉候选</x:v>
      </x:c>
      <x:c r="H881" s="19" t="str">
        <x:v>POOL015</x:v>
      </x:c>
      <x:c r="I881" s="22" t="n">
        <x:v>30</x:v>
      </x:c>
      <x:c r="J881" s="22" t="n">
        <x:v>1</x:v>
      </x:c>
      <x:c r="K881" s="19" t="n">
        <x:v>1</x:v>
      </x:c>
      <x:c r="L881" s="24" t="n">
        <x:v>13.839999999999998</x:v>
      </x:c>
      <x:c r="M881" s="26" t="n">
        <x:v>0.1</x:v>
      </x:c>
      <x:c r="N881" s="24" t="n">
        <x:v>2</x:v>
      </x:c>
      <x:c r="O881" s="28" t="n">
        <x:f>MIN(1,L881/I881)</x:f>
        <x:v>0.46133333333333326</x:v>
      </x:c>
      <x:c r="P881" s="30" t="n">
        <x:f>O881*J881*(1+M881)</x:f>
        <x:v>0.5074666666666666</x:v>
      </x:c>
      <x:c r="Q881" s="30" t="n">
        <x:f>P881*N881</x:f>
        <x:v>1.0149333333333332</x:v>
      </x:c>
      <x:c r="R881" s="19" t="str">
        <x:v>单池选一</x:v>
      </x:c>
    </x:row>
    <x:row r="882" ht="19" customHeight="1">
      <x:c r="A882" s="19" t="str">
        <x:v>D00878</x:v>
      </x:c>
      <x:c r="B882" s="19" t="n">
        <x:v>3</x:v>
      </x:c>
      <x:c r="C882" s="19" t="n">
        <x:v>2</x:v>
      </x:c>
      <x:c r="D882" s="19" t="str">
        <x:v>C03-M024</x:v>
      </x:c>
      <x:c r="E882" s="19" t="str">
        <x:v>啸海古翼·塞洛</x:v>
      </x:c>
      <x:c r="F882" s="19" t="str">
        <x:v>地图BOSS</x:v>
      </x:c>
      <x:c r="G882" s="19" t="str">
        <x:v>材料独立候选</x:v>
      </x:c>
      <x:c r="H882" s="19" t="str">
        <x:v>风蚀铁片</x:v>
      </x:c>
      <x:c r="I882" s="22" t="n">
        <x:v>200</x:v>
      </x:c>
      <x:c r="J882" s="22" t="n">
        <x:v>30</x:v>
      </x:c>
      <x:c r="K882" s="19" t="n">
        <x:v>1</x:v>
      </x:c>
      <x:c r="L882" s="24" t="n">
        <x:v>13.839999999999998</x:v>
      </x:c>
      <x:c r="M882" s="26" t="n">
        <x:v>0.1</x:v>
      </x:c>
      <x:c r="N882" s="24" t="n">
        <x:v>2</x:v>
      </x:c>
      <x:c r="O882" s="28" t="n">
        <x:f>MIN(1,L882/I882)</x:f>
        <x:v>0.06919999999999998</x:v>
      </x:c>
      <x:c r="P882" s="30" t="n">
        <x:f>O882*J882*(1+M882)</x:f>
        <x:v>2.2836</x:v>
      </x:c>
      <x:c r="Q882" s="30" t="n">
        <x:f>P882*N882</x:f>
        <x:v>4.5672</x:v>
      </x:c>
      <x:c r="R882" s="19" t="str">
        <x:v>独立判定</x:v>
      </x:c>
    </x:row>
    <x:row r="883" ht="19" customHeight="1">
      <x:c r="A883" s="19" t="str">
        <x:v>D00879</x:v>
      </x:c>
      <x:c r="B883" s="19" t="n">
        <x:v>3</x:v>
      </x:c>
      <x:c r="C883" s="19" t="n">
        <x:v>2</x:v>
      </x:c>
      <x:c r="D883" s="19" t="str">
        <x:v>C03-M024</x:v>
      </x:c>
      <x:c r="E883" s="19" t="str">
        <x:v>啸海古翼·塞洛</x:v>
      </x:c>
      <x:c r="F883" s="19" t="str">
        <x:v>地图BOSS</x:v>
      </x:c>
      <x:c r="G883" s="19" t="str">
        <x:v>材料独立候选</x:v>
      </x:c>
      <x:c r="H883" s="19" t="str">
        <x:v>西境战旗</x:v>
      </x:c>
      <x:c r="I883" s="22" t="n">
        <x:v>400</x:v>
      </x:c>
      <x:c r="J883" s="22" t="n">
        <x:v>1</x:v>
      </x:c>
      <x:c r="K883" s="19" t="n">
        <x:v>1</x:v>
      </x:c>
      <x:c r="L883" s="24" t="n">
        <x:v>13.839999999999998</x:v>
      </x:c>
      <x:c r="M883" s="26" t="n">
        <x:v>0.1</x:v>
      </x:c>
      <x:c r="N883" s="24" t="n">
        <x:v>2</x:v>
      </x:c>
      <x:c r="O883" s="28" t="n">
        <x:f>MIN(1,L883/I883)</x:f>
        <x:v>0.03459999999999999</x:v>
      </x:c>
      <x:c r="P883" s="30" t="n">
        <x:f>O883*J883*(1+M883)</x:f>
        <x:v>0.03806</x:v>
      </x:c>
      <x:c r="Q883" s="30" t="n">
        <x:f>P883*N883</x:f>
        <x:v>0.07612</x:v>
      </x:c>
      <x:c r="R883" s="19" t="str">
        <x:v>独立判定</x:v>
      </x:c>
    </x:row>
    <x:row r="884" ht="19" customHeight="1">
      <x:c r="A884" s="19" t="str">
        <x:v>D00880</x:v>
      </x:c>
      <x:c r="B884" s="19" t="n">
        <x:v>3</x:v>
      </x:c>
      <x:c r="C884" s="19" t="n">
        <x:v>2</x:v>
      </x:c>
      <x:c r="D884" s="19" t="str">
        <x:v>C03-M024</x:v>
      </x:c>
      <x:c r="E884" s="19" t="str">
        <x:v>啸海古翼·塞洛</x:v>
      </x:c>
      <x:c r="F884" s="19" t="str">
        <x:v>地图BOSS</x:v>
      </x:c>
      <x:c r="G884" s="19" t="str">
        <x:v>材料独立候选</x:v>
      </x:c>
      <x:c r="H884" s="19" t="str">
        <x:v>西境战旗印</x:v>
      </x:c>
      <x:c r="I884" s="22" t="n">
        <x:v>100</x:v>
      </x:c>
      <x:c r="J884" s="22" t="n">
        <x:v>2</x:v>
      </x:c>
      <x:c r="K884" s="19" t="n">
        <x:v>1</x:v>
      </x:c>
      <x:c r="L884" s="24" t="n">
        <x:v>13.839999999999998</x:v>
      </x:c>
      <x:c r="M884" s="26" t="n">
        <x:v>0.1</x:v>
      </x:c>
      <x:c r="N884" s="24" t="n">
        <x:v>2</x:v>
      </x:c>
      <x:c r="O884" s="28" t="n">
        <x:f>MIN(1,L884/I884)</x:f>
        <x:v>0.13839999999999997</x:v>
      </x:c>
      <x:c r="P884" s="30" t="n">
        <x:f>O884*J884*(1+M884)</x:f>
        <x:v>0.30448</x:v>
      </x:c>
      <x:c r="Q884" s="30" t="n">
        <x:f>P884*N884</x:f>
        <x:v>0.60896</x:v>
      </x:c>
      <x:c r="R884" s="19" t="str">
        <x:v>独立判定</x:v>
      </x:c>
    </x:row>
    <x:row r="885" ht="19" customHeight="1">
      <x:c r="A885" s="19" t="str">
        <x:v>D00881</x:v>
      </x:c>
      <x:c r="B885" s="19" t="n">
        <x:v>3</x:v>
      </x:c>
      <x:c r="C885" s="19" t="n">
        <x:v>2</x:v>
      </x:c>
      <x:c r="D885" s="19" t="str">
        <x:v>C03-M024</x:v>
      </x:c>
      <x:c r="E885" s="19" t="str">
        <x:v>啸海古翼·塞洛</x:v>
      </x:c>
      <x:c r="F885" s="19" t="str">
        <x:v>地图BOSS</x:v>
      </x:c>
      <x:c r="G885" s="19" t="str">
        <x:v>材料独立候选</x:v>
      </x:c>
      <x:c r="H885" s="19" t="str">
        <x:v>守垒铜钥</x:v>
      </x:c>
      <x:c r="I885" s="22" t="n">
        <x:v>100</x:v>
      </x:c>
      <x:c r="J885" s="22" t="n">
        <x:v>1</x:v>
      </x:c>
      <x:c r="K885" s="19" t="n">
        <x:v>1</x:v>
      </x:c>
      <x:c r="L885" s="24" t="n">
        <x:v>13.839999999999998</x:v>
      </x:c>
      <x:c r="M885" s="26" t="n">
        <x:v>0.1</x:v>
      </x:c>
      <x:c r="N885" s="24" t="n">
        <x:v>2</x:v>
      </x:c>
      <x:c r="O885" s="28" t="n">
        <x:f>MIN(1,L885/I885)</x:f>
        <x:v>0.13839999999999997</x:v>
      </x:c>
      <x:c r="P885" s="30" t="n">
        <x:f>O885*J885*(1+M885)</x:f>
        <x:v>0.15224</x:v>
      </x:c>
      <x:c r="Q885" s="30" t="n">
        <x:f>P885*N885</x:f>
        <x:v>0.30448</x:v>
      </x:c>
      <x:c r="R885" s="19" t="str">
        <x:v>独立判定</x:v>
      </x:c>
    </x:row>
    <x:row r="886" ht="19" customHeight="1">
      <x:c r="A886" s="19" t="str">
        <x:v>D00882</x:v>
      </x:c>
      <x:c r="B886" s="19" t="n">
        <x:v>3</x:v>
      </x:c>
      <x:c r="C886" s="19" t="n">
        <x:v>2</x:v>
      </x:c>
      <x:c r="D886" s="19" t="str">
        <x:v>C03-M024</x:v>
      </x:c>
      <x:c r="E886" s="19" t="str">
        <x:v>啸海古翼·塞洛</x:v>
      </x:c>
      <x:c r="F886" s="19" t="str">
        <x:v>地图BOSS</x:v>
      </x:c>
      <x:c r="G886" s="19" t="str">
        <x:v>材料独立候选</x:v>
      </x:c>
      <x:c r="H886" s="19" t="str">
        <x:v>西境风痕碑拓</x:v>
      </x:c>
      <x:c r="I886" s="22" t="n">
        <x:v>200000</x:v>
      </x:c>
      <x:c r="J886" s="22" t="n">
        <x:v>1</x:v>
      </x:c>
      <x:c r="K886" s="19" t="n">
        <x:v>1</x:v>
      </x:c>
      <x:c r="L886" s="24" t="n">
        <x:v>13.839999999999998</x:v>
      </x:c>
      <x:c r="M886" s="26" t="n">
        <x:v>0.1</x:v>
      </x:c>
      <x:c r="N886" s="24" t="n">
        <x:v>2</x:v>
      </x:c>
      <x:c r="O886" s="28" t="n">
        <x:f>MIN(1,L886/I886)</x:f>
        <x:v>0.00006919999999999999</x:v>
      </x:c>
      <x:c r="P886" s="30" t="n">
        <x:f>O886*J886*(1+M886)</x:f>
        <x:v>0.00007612</x:v>
      </x:c>
      <x:c r="Q886" s="30" t="n">
        <x:f>P886*N886</x:f>
        <x:v>0.00015224</x:v>
      </x:c>
      <x:c r="R886" s="19" t="str">
        <x:v>独立判定</x:v>
      </x:c>
    </x:row>
    <x:row r="887" ht="19" customHeight="1">
      <x:c r="A887" s="19" t="str">
        <x:v>D00883</x:v>
      </x:c>
      <x:c r="B887" s="19" t="n">
        <x:v>3</x:v>
      </x:c>
      <x:c r="C887" s="19" t="n">
        <x:v>2</x:v>
      </x:c>
      <x:c r="D887" s="19" t="str">
        <x:v>C03-M024</x:v>
      </x:c>
      <x:c r="E887" s="19" t="str">
        <x:v>啸海古翼·塞洛</x:v>
      </x:c>
      <x:c r="F887" s="19" t="str">
        <x:v>地图BOSS</x:v>
      </x:c>
      <x:c r="G887" s="19" t="str">
        <x:v>材料独立候选</x:v>
      </x:c>
      <x:c r="H887" s="19" t="str">
        <x:v>黄金树芽</x:v>
      </x:c>
      <x:c r="I887" s="22" t="n">
        <x:v>800</x:v>
      </x:c>
      <x:c r="J887" s="22" t="n">
        <x:v>1</x:v>
      </x:c>
      <x:c r="K887" s="19" t="n">
        <x:v>1</x:v>
      </x:c>
      <x:c r="L887" s="24" t="n">
        <x:v>13.839999999999998</x:v>
      </x:c>
      <x:c r="M887" s="26" t="n">
        <x:v>0.1</x:v>
      </x:c>
      <x:c r="N887" s="24" t="n">
        <x:v>2</x:v>
      </x:c>
      <x:c r="O887" s="28" t="n">
        <x:f>MIN(1,L887/I887)</x:f>
        <x:v>0.017299999999999996</x:v>
      </x:c>
      <x:c r="P887" s="30" t="n">
        <x:f>O887*J887*(1+M887)</x:f>
        <x:v>0.01903</x:v>
      </x:c>
      <x:c r="Q887" s="30" t="n">
        <x:f>P887*N887</x:f>
        <x:v>0.03806</x:v>
      </x:c>
      <x:c r="R887" s="19" t="str">
        <x:v>独立判定</x:v>
      </x:c>
    </x:row>
    <x:row r="888" ht="19" customHeight="1">
      <x:c r="A888" s="19" t="str">
        <x:v>D00884</x:v>
      </x:c>
      <x:c r="B888" s="19" t="n">
        <x:v>3</x:v>
      </x:c>
      <x:c r="C888" s="19" t="n">
        <x:v>2</x:v>
      </x:c>
      <x:c r="D888" s="19" t="str">
        <x:v>C03-M024</x:v>
      </x:c>
      <x:c r="E888" s="19" t="str">
        <x:v>啸海古翼·塞洛</x:v>
      </x:c>
      <x:c r="F888" s="19" t="str">
        <x:v>地图BOSS</x:v>
      </x:c>
      <x:c r="G888" s="19" t="str">
        <x:v>材料独立候选</x:v>
      </x:c>
      <x:c r="H888" s="19" t="str">
        <x:v>野兽骨片</x:v>
      </x:c>
      <x:c r="I888" s="22" t="n">
        <x:v>30</x:v>
      </x:c>
      <x:c r="J888" s="22" t="n">
        <x:v>2</x:v>
      </x:c>
      <x:c r="K888" s="19" t="n">
        <x:v>1</x:v>
      </x:c>
      <x:c r="L888" s="24" t="n">
        <x:v>13.839999999999998</x:v>
      </x:c>
      <x:c r="M888" s="26" t="n">
        <x:v>0.1</x:v>
      </x:c>
      <x:c r="N888" s="24" t="n">
        <x:v>2</x:v>
      </x:c>
      <x:c r="O888" s="28" t="n">
        <x:f>MIN(1,L888/I888)</x:f>
        <x:v>0.46133333333333326</x:v>
      </x:c>
      <x:c r="P888" s="30" t="n">
        <x:f>O888*J888*(1+M888)</x:f>
        <x:v>1.0149333333333332</x:v>
      </x:c>
      <x:c r="Q888" s="30" t="n">
        <x:f>P888*N888</x:f>
        <x:v>2.0298666666666665</x:v>
      </x:c>
      <x:c r="R888" s="19" t="str">
        <x:v>独立判定</x:v>
      </x:c>
    </x:row>
    <x:row r="889" ht="19" customHeight="1">
      <x:c r="A889" s="19" t="str">
        <x:v>D00885</x:v>
      </x:c>
      <x:c r="B889" s="19" t="n">
        <x:v>3</x:v>
      </x:c>
      <x:c r="C889" s="19" t="n">
        <x:v>2</x:v>
      </x:c>
      <x:c r="D889" s="19" t="str">
        <x:v>C03-M024</x:v>
      </x:c>
      <x:c r="E889" s="19" t="str">
        <x:v>啸海古翼·塞洛</x:v>
      </x:c>
      <x:c r="F889" s="19" t="str">
        <x:v>地图BOSS</x:v>
      </x:c>
      <x:c r="G889" s="19" t="str">
        <x:v>材料独立候选</x:v>
      </x:c>
      <x:c r="H889" s="19" t="str">
        <x:v>技能残页</x:v>
      </x:c>
      <x:c r="I889" s="22" t="n">
        <x:v>80</x:v>
      </x:c>
      <x:c r="J889" s="22" t="n">
        <x:v>1</x:v>
      </x:c>
      <x:c r="K889" s="19" t="n">
        <x:v>1</x:v>
      </x:c>
      <x:c r="L889" s="24" t="n">
        <x:v>13.839999999999998</x:v>
      </x:c>
      <x:c r="M889" s="26" t="n">
        <x:v>0.1</x:v>
      </x:c>
      <x:c r="N889" s="24" t="n">
        <x:v>2</x:v>
      </x:c>
      <x:c r="O889" s="28" t="n">
        <x:f>MIN(1,L889/I889)</x:f>
        <x:v>0.173</x:v>
      </x:c>
      <x:c r="P889" s="30" t="n">
        <x:f>O889*J889*(1+M889)</x:f>
        <x:v>0.1903</x:v>
      </x:c>
      <x:c r="Q889" s="30" t="n">
        <x:f>P889*N889</x:f>
        <x:v>0.3806</x:v>
      </x:c>
      <x:c r="R889" s="19" t="str">
        <x:v>独立判定</x:v>
      </x:c>
    </x:row>
    <x:row r="890" ht="19" customHeight="1">
      <x:c r="A890" s="19" t="str">
        <x:v>D00886</x:v>
      </x:c>
      <x:c r="B890" s="19" t="n">
        <x:v>3</x:v>
      </x:c>
      <x:c r="C890" s="19" t="n">
        <x:v>2</x:v>
      </x:c>
      <x:c r="D890" s="19" t="str">
        <x:v>C03-M024</x:v>
      </x:c>
      <x:c r="E890" s="19" t="str">
        <x:v>啸海古翼·塞洛</x:v>
      </x:c>
      <x:c r="F890" s="19" t="str">
        <x:v>地图BOSS</x:v>
      </x:c>
      <x:c r="G890" s="19" t="str">
        <x:v>材料独立候选</x:v>
      </x:c>
      <x:c r="H890" s="19" t="str">
        <x:v>宁姆格福誓页</x:v>
      </x:c>
      <x:c r="I890" s="22" t="n">
        <x:v>180</x:v>
      </x:c>
      <x:c r="J890" s="22" t="n">
        <x:v>1</x:v>
      </x:c>
      <x:c r="K890" s="19" t="n">
        <x:v>1</x:v>
      </x:c>
      <x:c r="L890" s="24" t="n">
        <x:v>13.839999999999998</x:v>
      </x:c>
      <x:c r="M890" s="26" t="n">
        <x:v>0.1</x:v>
      </x:c>
      <x:c r="N890" s="24" t="n">
        <x:v>2</x:v>
      </x:c>
      <x:c r="O890" s="28" t="n">
        <x:f>MIN(1,L890/I890)</x:f>
        <x:v>0.07688888888888888</x:v>
      </x:c>
      <x:c r="P890" s="30" t="n">
        <x:f>O890*J890*(1+M890)</x:f>
        <x:v>0.08457777777777778</x:v>
      </x:c>
      <x:c r="Q890" s="30" t="n">
        <x:f>P890*N890</x:f>
        <x:v>0.16915555555555556</x:v>
      </x:c>
      <x:c r="R890" s="19" t="str">
        <x:v>独立判定</x:v>
      </x:c>
    </x:row>
    <x:row r="891" ht="19" customHeight="1">
      <x:c r="A891" s="19" t="str">
        <x:v>D00887</x:v>
      </x:c>
      <x:c r="B891" s="19" t="n">
        <x:v>3</x:v>
      </x:c>
      <x:c r="C891" s="19" t="n">
        <x:v>2</x:v>
      </x:c>
      <x:c r="D891" s="19" t="str">
        <x:v>C03-M024</x:v>
      </x:c>
      <x:c r="E891" s="19" t="str">
        <x:v>啸海古翼·塞洛</x:v>
      </x:c>
      <x:c r="F891" s="19" t="str">
        <x:v>地图BOSS</x:v>
      </x:c>
      <x:c r="G891" s="19" t="str">
        <x:v>材料独立候选</x:v>
      </x:c>
      <x:c r="H891" s="19" t="str">
        <x:v>小卢恩</x:v>
      </x:c>
      <x:c r="I891" s="22" t="n">
        <x:v>1200</x:v>
      </x:c>
      <x:c r="J891" s="22" t="n">
        <x:v>1</x:v>
      </x:c>
      <x:c r="K891" s="19" t="n">
        <x:v>1</x:v>
      </x:c>
      <x:c r="L891" s="24" t="n">
        <x:v>13.839999999999998</x:v>
      </x:c>
      <x:c r="M891" s="26" t="n">
        <x:v>0.1</x:v>
      </x:c>
      <x:c r="N891" s="24" t="n">
        <x:v>2</x:v>
      </x:c>
      <x:c r="O891" s="28" t="n">
        <x:f>MIN(1,L891/I891)</x:f>
        <x:v>0.011533333333333331</x:v>
      </x:c>
      <x:c r="P891" s="30" t="n">
        <x:f>O891*J891*(1+M891)</x:f>
        <x:v>0.012686666666666666</x:v>
      </x:c>
      <x:c r="Q891" s="30" t="n">
        <x:f>P891*N891</x:f>
        <x:v>0.02537333333333333</x:v>
      </x:c>
      <x:c r="R891" s="19" t="str">
        <x:v>独立判定</x:v>
      </x:c>
    </x:row>
    <x:row r="892" ht="19" customHeight="1">
      <x:c r="A892" s="19" t="str">
        <x:v>D00888</x:v>
      </x:c>
      <x:c r="B892" s="19" t="n">
        <x:v>3</x:v>
      </x:c>
      <x:c r="C892" s="19" t="n">
        <x:v>2</x:v>
      </x:c>
      <x:c r="D892" s="19" t="str">
        <x:v>C03-M024</x:v>
      </x:c>
      <x:c r="E892" s="19" t="str">
        <x:v>啸海古翼·塞洛</x:v>
      </x:c>
      <x:c r="F892" s="19" t="str">
        <x:v>地图BOSS</x:v>
      </x:c>
      <x:c r="G892" s="19" t="str">
        <x:v>材料独立候选</x:v>
      </x:c>
      <x:c r="H892" s="19" t="str">
        <x:v>大卢恩</x:v>
      </x:c>
      <x:c r="I892" s="22" t="n">
        <x:v>120</x:v>
      </x:c>
      <x:c r="J892" s="22" t="n">
        <x:v>1</x:v>
      </x:c>
      <x:c r="K892" s="19" t="n">
        <x:v>1</x:v>
      </x:c>
      <x:c r="L892" s="24" t="n">
        <x:v>13.839999999999998</x:v>
      </x:c>
      <x:c r="M892" s="26" t="n">
        <x:v>0.1</x:v>
      </x:c>
      <x:c r="N892" s="24" t="n">
        <x:v>2</x:v>
      </x:c>
      <x:c r="O892" s="28" t="n">
        <x:f>MIN(1,L892/I892)</x:f>
        <x:v>0.11533333333333332</x:v>
      </x:c>
      <x:c r="P892" s="30" t="n">
        <x:f>O892*J892*(1+M892)</x:f>
        <x:v>0.12686666666666666</x:v>
      </x:c>
      <x:c r="Q892" s="30" t="n">
        <x:f>P892*N892</x:f>
        <x:v>0.2537333333333333</x:v>
      </x:c>
      <x:c r="R892" s="19" t="str">
        <x:v>独立判定</x:v>
      </x:c>
    </x:row>
    <x:row r="893" ht="19" customHeight="1">
      <x:c r="A893" s="19" t="str">
        <x:v>D00889</x:v>
      </x:c>
      <x:c r="B893" s="19" t="n">
        <x:v>3</x:v>
      </x:c>
      <x:c r="C893" s="19" t="n">
        <x:v>2</x:v>
      </x:c>
      <x:c r="D893" s="19" t="str">
        <x:v>C03-M024</x:v>
      </x:c>
      <x:c r="E893" s="19" t="str">
        <x:v>啸海古翼·塞洛</x:v>
      </x:c>
      <x:c r="F893" s="19" t="str">
        <x:v>地图BOSS</x:v>
      </x:c>
      <x:c r="G893" s="19" t="str">
        <x:v>六神器公共池</x:v>
      </x:c>
      <x:c r="H893" s="19" t="str">
        <x:v>POOL006</x:v>
      </x:c>
      <x:c r="I893" s="22" t="n">
        <x:v>200000</x:v>
      </x:c>
      <x:c r="J893" s="22" t="n">
        <x:v>1</x:v>
      </x:c>
      <x:c r="K893" s="19" t="n">
        <x:v>6</x:v>
      </x:c>
      <x:c r="L893" s="24" t="n">
        <x:v>13.839999999999998</x:v>
      </x:c>
      <x:c r="M893" s="26" t="n">
        <x:v>0.1</x:v>
      </x:c>
      <x:c r="N893" s="24" t="n">
        <x:v>2</x:v>
      </x:c>
      <x:c r="O893" s="28" t="n">
        <x:f>MIN(1,L893/I893)</x:f>
        <x:v>0.00006919999999999999</x:v>
      </x:c>
      <x:c r="P893" s="30" t="n">
        <x:f>O893*J893*(1+M893)</x:f>
        <x:v>0.00007612</x:v>
      </x:c>
      <x:c r="Q893" s="30" t="n">
        <x:f>P893*N893</x:f>
        <x:v>0.00015224</x:v>
      </x:c>
      <x:c r="R893" s="19" t="str">
        <x:v>六选一；非6个独立爆率</x:v>
      </x:c>
    </x:row>
    <x:row r="894" ht="19" customHeight="1">
      <x:c r="A894" s="19" t="str">
        <x:v>D00890</x:v>
      </x:c>
      <x:c r="B894" s="19" t="n">
        <x:v>3</x:v>
      </x:c>
      <x:c r="C894" s="19" t="n">
        <x:v>3</x:v>
      </x:c>
      <x:c r="D894" s="19" t="str">
        <x:v>C03-M025</x:v>
      </x:c>
      <x:c r="E894" s="19" t="str">
        <x:v>驿道苦役</x:v>
      </x:c>
      <x:c r="F894" s="19" t="str">
        <x:v>普通</x:v>
      </x:c>
      <x:c r="G894" s="19" t="str">
        <x:v>自身专属</x:v>
      </x:c>
      <x:c r="H894" s="19" t="str">
        <x:v>驿骨短剑</x:v>
      </x:c>
      <x:c r="I894" s="22" t="n">
        <x:v>800</x:v>
      </x:c>
      <x:c r="J894" s="22" t="n">
        <x:v>1</x:v>
      </x:c>
      <x:c r="K894" s="19" t="n">
        <x:v>1</x:v>
      </x:c>
      <x:c r="L894" s="24" t="n">
        <x:v>14.989999999999998</x:v>
      </x:c>
      <x:c r="M894" s="26" t="n">
        <x:v>0.1</x:v>
      </x:c>
      <x:c r="N894" s="24" t="n">
        <x:v>72</x:v>
      </x:c>
      <x:c r="O894" s="28" t="n">
        <x:f>MIN(1,L894/I894)</x:f>
        <x:v>0.018737499999999997</x:v>
      </x:c>
      <x:c r="P894" s="30" t="n">
        <x:f>O894*J894*(1+M894)</x:f>
        <x:v>0.020611249999999998</x:v>
      </x:c>
      <x:c r="Q894" s="30" t="n">
        <x:f>P894*N894</x:f>
        <x:v>1.4840099999999998</x:v>
      </x:c>
      <x:c r="R894" s="19" t="str">
        <x:v>独立判定</x:v>
      </x:c>
    </x:row>
    <x:row r="895" ht="19" customHeight="1">
      <x:c r="A895" s="19" t="str">
        <x:v>D00891</x:v>
      </x:c>
      <x:c r="B895" s="19" t="n">
        <x:v>3</x:v>
      </x:c>
      <x:c r="C895" s="19" t="n">
        <x:v>3</x:v>
      </x:c>
      <x:c r="D895" s="19" t="str">
        <x:v>C03-M025</x:v>
      </x:c>
      <x:c r="E895" s="19" t="str">
        <x:v>驿道苦役</x:v>
      </x:c>
      <x:c r="F895" s="19" t="str">
        <x:v>普通</x:v>
      </x:c>
      <x:c r="G895" s="19" t="str">
        <x:v>材料独立候选</x:v>
      </x:c>
      <x:c r="H895" s="19" t="str">
        <x:v>风蚀铁片</x:v>
      </x:c>
      <x:c r="I895" s="22" t="n">
        <x:v>800</x:v>
      </x:c>
      <x:c r="J895" s="22" t="n">
        <x:v>8</x:v>
      </x:c>
      <x:c r="K895" s="19" t="n">
        <x:v>1</x:v>
      </x:c>
      <x:c r="L895" s="24" t="n">
        <x:v>14.989999999999998</x:v>
      </x:c>
      <x:c r="M895" s="26" t="n">
        <x:v>0.1</x:v>
      </x:c>
      <x:c r="N895" s="24" t="n">
        <x:v>72</x:v>
      </x:c>
      <x:c r="O895" s="28" t="n">
        <x:f>MIN(1,L895/I895)</x:f>
        <x:v>0.018737499999999997</x:v>
      </x:c>
      <x:c r="P895" s="30" t="n">
        <x:f>O895*J895*(1+M895)</x:f>
        <x:v>0.16488999999999998</x:v>
      </x:c>
      <x:c r="Q895" s="30" t="n">
        <x:f>P895*N895</x:f>
        <x:v>11.872079999999999</x:v>
      </x:c>
      <x:c r="R895" s="19" t="str">
        <x:v>独立判定</x:v>
      </x:c>
    </x:row>
    <x:row r="896" ht="19" customHeight="1">
      <x:c r="A896" s="19" t="str">
        <x:v>D00892</x:v>
      </x:c>
      <x:c r="B896" s="19" t="n">
        <x:v>3</x:v>
      </x:c>
      <x:c r="C896" s="19" t="n">
        <x:v>3</x:v>
      </x:c>
      <x:c r="D896" s="19" t="str">
        <x:v>C03-M025</x:v>
      </x:c>
      <x:c r="E896" s="19" t="str">
        <x:v>驿道苦役</x:v>
      </x:c>
      <x:c r="F896" s="19" t="str">
        <x:v>普通</x:v>
      </x:c>
      <x:c r="G896" s="19" t="str">
        <x:v>材料独立候选</x:v>
      </x:c>
      <x:c r="H896" s="19" t="str">
        <x:v>裂风崖羽</x:v>
      </x:c>
      <x:c r="I896" s="22" t="n">
        <x:v>1800</x:v>
      </x:c>
      <x:c r="J896" s="22" t="n">
        <x:v>1</x:v>
      </x:c>
      <x:c r="K896" s="19" t="n">
        <x:v>1</x:v>
      </x:c>
      <x:c r="L896" s="24" t="n">
        <x:v>14.989999999999998</x:v>
      </x:c>
      <x:c r="M896" s="26" t="n">
        <x:v>0.1</x:v>
      </x:c>
      <x:c r="N896" s="24" t="n">
        <x:v>72</x:v>
      </x:c>
      <x:c r="O896" s="28" t="n">
        <x:f>MIN(1,L896/I896)</x:f>
        <x:v>0.008327777777777778</x:v>
      </x:c>
      <x:c r="P896" s="30" t="n">
        <x:f>O896*J896*(1+M896)</x:f>
        <x:v>0.009160555555555555</x:v>
      </x:c>
      <x:c r="Q896" s="30" t="n">
        <x:f>P896*N896</x:f>
        <x:v>0.65956</x:v>
      </x:c>
      <x:c r="R896" s="19" t="str">
        <x:v>独立判定</x:v>
      </x:c>
    </x:row>
    <x:row r="897" ht="19" customHeight="1">
      <x:c r="A897" s="19" t="str">
        <x:v>D00893</x:v>
      </x:c>
      <x:c r="B897" s="19" t="n">
        <x:v>3</x:v>
      </x:c>
      <x:c r="C897" s="19" t="n">
        <x:v>3</x:v>
      </x:c>
      <x:c r="D897" s="19" t="str">
        <x:v>C03-M025</x:v>
      </x:c>
      <x:c r="E897" s="19" t="str">
        <x:v>驿道苦役</x:v>
      </x:c>
      <x:c r="F897" s="19" t="str">
        <x:v>普通</x:v>
      </x:c>
      <x:c r="G897" s="19" t="str">
        <x:v>材料独立候选</x:v>
      </x:c>
      <x:c r="H897" s="19" t="str">
        <x:v>西境风痕碑拓</x:v>
      </x:c>
      <x:c r="I897" s="22" t="n">
        <x:v>600000</x:v>
      </x:c>
      <x:c r="J897" s="22" t="n">
        <x:v>1</x:v>
      </x:c>
      <x:c r="K897" s="19" t="n">
        <x:v>1</x:v>
      </x:c>
      <x:c r="L897" s="24" t="n">
        <x:v>14.989999999999998</x:v>
      </x:c>
      <x:c r="M897" s="26" t="n">
        <x:v>0.1</x:v>
      </x:c>
      <x:c r="N897" s="24" t="n">
        <x:v>72</x:v>
      </x:c>
      <x:c r="O897" s="28" t="n">
        <x:f>MIN(1,L897/I897)</x:f>
        <x:v>0.000024983333333333332</x:v>
      </x:c>
      <x:c r="P897" s="30" t="n">
        <x:f>O897*J897*(1+M897)</x:f>
        <x:v>0.000027481666666666668</x:v>
      </x:c>
      <x:c r="Q897" s="30" t="n">
        <x:f>P897*N897</x:f>
        <x:v>0.00197868</x:v>
      </x:c>
      <x:c r="R897" s="19" t="str">
        <x:v>独立判定</x:v>
      </x:c>
    </x:row>
    <x:row r="898" ht="19" customHeight="1">
      <x:c r="A898" s="19" t="str">
        <x:v>D00894</x:v>
      </x:c>
      <x:c r="B898" s="19" t="n">
        <x:v>3</x:v>
      </x:c>
      <x:c r="C898" s="19" t="n">
        <x:v>3</x:v>
      </x:c>
      <x:c r="D898" s="19" t="str">
        <x:v>C03-M025</x:v>
      </x:c>
      <x:c r="E898" s="19" t="str">
        <x:v>驿道苦役</x:v>
      </x:c>
      <x:c r="F898" s="19" t="str">
        <x:v>普通</x:v>
      </x:c>
      <x:c r="G898" s="19" t="str">
        <x:v>材料独立候选</x:v>
      </x:c>
      <x:c r="H898" s="19" t="str">
        <x:v>野兽骨片</x:v>
      </x:c>
      <x:c r="I898" s="22" t="n">
        <x:v>100</x:v>
      </x:c>
      <x:c r="J898" s="22" t="n">
        <x:v>2</x:v>
      </x:c>
      <x:c r="K898" s="19" t="n">
        <x:v>1</x:v>
      </x:c>
      <x:c r="L898" s="24" t="n">
        <x:v>14.989999999999998</x:v>
      </x:c>
      <x:c r="M898" s="26" t="n">
        <x:v>0.1</x:v>
      </x:c>
      <x:c r="N898" s="24" t="n">
        <x:v>72</x:v>
      </x:c>
      <x:c r="O898" s="28" t="n">
        <x:f>MIN(1,L898/I898)</x:f>
        <x:v>0.14989999999999998</x:v>
      </x:c>
      <x:c r="P898" s="30" t="n">
        <x:f>O898*J898*(1+M898)</x:f>
        <x:v>0.32977999999999996</x:v>
      </x:c>
      <x:c r="Q898" s="30" t="n">
        <x:f>P898*N898</x:f>
        <x:v>23.744159999999997</x:v>
      </x:c>
      <x:c r="R898" s="19" t="str">
        <x:v>独立判定</x:v>
      </x:c>
    </x:row>
    <x:row r="899" ht="19" customHeight="1">
      <x:c r="A899" s="19" t="str">
        <x:v>D00895</x:v>
      </x:c>
      <x:c r="B899" s="19" t="n">
        <x:v>3</x:v>
      </x:c>
      <x:c r="C899" s="19" t="n">
        <x:v>3</x:v>
      </x:c>
      <x:c r="D899" s="19" t="str">
        <x:v>C03-M025</x:v>
      </x:c>
      <x:c r="E899" s="19" t="str">
        <x:v>驿道苦役</x:v>
      </x:c>
      <x:c r="F899" s="19" t="str">
        <x:v>普通</x:v>
      </x:c>
      <x:c r="G899" s="19" t="str">
        <x:v>材料独立候选</x:v>
      </x:c>
      <x:c r="H899" s="19" t="str">
        <x:v>技能残页</x:v>
      </x:c>
      <x:c r="I899" s="22" t="n">
        <x:v>250</x:v>
      </x:c>
      <x:c r="J899" s="22" t="n">
        <x:v>1</x:v>
      </x:c>
      <x:c r="K899" s="19" t="n">
        <x:v>1</x:v>
      </x:c>
      <x:c r="L899" s="24" t="n">
        <x:v>14.989999999999998</x:v>
      </x:c>
      <x:c r="M899" s="26" t="n">
        <x:v>0.1</x:v>
      </x:c>
      <x:c r="N899" s="24" t="n">
        <x:v>72</x:v>
      </x:c>
      <x:c r="O899" s="28" t="n">
        <x:f>MIN(1,L899/I899)</x:f>
        <x:v>0.05995999999999999</x:v>
      </x:c>
      <x:c r="P899" s="30" t="n">
        <x:f>O899*J899*(1+M899)</x:f>
        <x:v>0.065956</x:v>
      </x:c>
      <x:c r="Q899" s="30" t="n">
        <x:f>P899*N899</x:f>
        <x:v>4.748832</x:v>
      </x:c>
      <x:c r="R899" s="19" t="str">
        <x:v>独立判定</x:v>
      </x:c>
    </x:row>
    <x:row r="900" ht="19" customHeight="1">
      <x:c r="A900" s="19" t="str">
        <x:v>D00896</x:v>
      </x:c>
      <x:c r="B900" s="19" t="n">
        <x:v>3</x:v>
      </x:c>
      <x:c r="C900" s="19" t="n">
        <x:v>3</x:v>
      </x:c>
      <x:c r="D900" s="19" t="str">
        <x:v>C03-M025</x:v>
      </x:c>
      <x:c r="E900" s="19" t="str">
        <x:v>驿道苦役</x:v>
      </x:c>
      <x:c r="F900" s="19" t="str">
        <x:v>普通</x:v>
      </x:c>
      <x:c r="G900" s="19" t="str">
        <x:v>材料独立候选</x:v>
      </x:c>
      <x:c r="H900" s="19" t="str">
        <x:v>小卢恩</x:v>
      </x:c>
      <x:c r="I900" s="22" t="n">
        <x:v>4000</x:v>
      </x:c>
      <x:c r="J900" s="22" t="n">
        <x:v>1</x:v>
      </x:c>
      <x:c r="K900" s="19" t="n">
        <x:v>1</x:v>
      </x:c>
      <x:c r="L900" s="24" t="n">
        <x:v>14.989999999999998</x:v>
      </x:c>
      <x:c r="M900" s="26" t="n">
        <x:v>0.1</x:v>
      </x:c>
      <x:c r="N900" s="24" t="n">
        <x:v>72</x:v>
      </x:c>
      <x:c r="O900" s="28" t="n">
        <x:f>MIN(1,L900/I900)</x:f>
        <x:v>0.0037474999999999995</x:v>
      </x:c>
      <x:c r="P900" s="30" t="n">
        <x:f>O900*J900*(1+M900)</x:f>
        <x:v>0.00412225</x:v>
      </x:c>
      <x:c r="Q900" s="30" t="n">
        <x:f>P900*N900</x:f>
        <x:v>0.296802</x:v>
      </x:c>
      <x:c r="R900" s="19" t="str">
        <x:v>独立判定</x:v>
      </x:c>
    </x:row>
    <x:row r="901" ht="19" customHeight="1">
      <x:c r="A901" s="19" t="str">
        <x:v>D00897</x:v>
      </x:c>
      <x:c r="B901" s="19" t="n">
        <x:v>3</x:v>
      </x:c>
      <x:c r="C901" s="19" t="n">
        <x:v>3</x:v>
      </x:c>
      <x:c r="D901" s="19" t="str">
        <x:v>C03-M025</x:v>
      </x:c>
      <x:c r="E901" s="19" t="str">
        <x:v>驿道苦役</x:v>
      </x:c>
      <x:c r="F901" s="19" t="str">
        <x:v>普通</x:v>
      </x:c>
      <x:c r="G901" s="19" t="str">
        <x:v>六神器公共池</x:v>
      </x:c>
      <x:c r="H901" s="19" t="str">
        <x:v>POOL006</x:v>
      </x:c>
      <x:c r="I901" s="22" t="n">
        <x:v>20000000</x:v>
      </x:c>
      <x:c r="J901" s="22" t="n">
        <x:v>1</x:v>
      </x:c>
      <x:c r="K901" s="19" t="n">
        <x:v>6</x:v>
      </x:c>
      <x:c r="L901" s="24" t="n">
        <x:v>14.989999999999998</x:v>
      </x:c>
      <x:c r="M901" s="26" t="n">
        <x:v>0.1</x:v>
      </x:c>
      <x:c r="N901" s="24" t="n">
        <x:v>72</x:v>
      </x:c>
      <x:c r="O901" s="28" t="n">
        <x:f>MIN(1,L901/I901)</x:f>
        <x:v>7.494999999999999e-7</x:v>
      </x:c>
      <x:c r="P901" s="30" t="n">
        <x:f>O901*J901*(1+M901)</x:f>
        <x:v>8.244499999999999e-7</x:v>
      </x:c>
      <x:c r="Q901" s="30" t="n">
        <x:f>P901*N901</x:f>
        <x:v>0.000059360399999999995</x:v>
      </x:c>
      <x:c r="R901" s="19" t="str">
        <x:v>六选一；非6个独立爆率</x:v>
      </x:c>
    </x:row>
    <x:row r="902" ht="19" customHeight="1">
      <x:c r="A902" s="19" t="str">
        <x:v>D00898</x:v>
      </x:c>
      <x:c r="B902" s="19" t="n">
        <x:v>3</x:v>
      </x:c>
      <x:c r="C902" s="19" t="n">
        <x:v>3</x:v>
      </x:c>
      <x:c r="D902" s="19" t="str">
        <x:v>C03-M026</x:v>
      </x:c>
      <x:c r="E902" s="19" t="str">
        <x:v>荒商护卫</x:v>
      </x:c>
      <x:c r="F902" s="19" t="str">
        <x:v>普通</x:v>
      </x:c>
      <x:c r="G902" s="19" t="str">
        <x:v>自身专属</x:v>
      </x:c>
      <x:c r="H902" s="19" t="str">
        <x:v>荒商护符</x:v>
      </x:c>
      <x:c r="I902" s="22" t="n">
        <x:v>800</x:v>
      </x:c>
      <x:c r="J902" s="22" t="n">
        <x:v>1</x:v>
      </x:c>
      <x:c r="K902" s="19" t="n">
        <x:v>1</x:v>
      </x:c>
      <x:c r="L902" s="24" t="n">
        <x:v>14.989999999999998</x:v>
      </x:c>
      <x:c r="M902" s="26" t="n">
        <x:v>0.1</x:v>
      </x:c>
      <x:c r="N902" s="24" t="n">
        <x:v>72</x:v>
      </x:c>
      <x:c r="O902" s="28" t="n">
        <x:f>MIN(1,L902/I902)</x:f>
        <x:v>0.018737499999999997</x:v>
      </x:c>
      <x:c r="P902" s="30" t="n">
        <x:f>O902*J902*(1+M902)</x:f>
        <x:v>0.020611249999999998</x:v>
      </x:c>
      <x:c r="Q902" s="30" t="n">
        <x:f>P902*N902</x:f>
        <x:v>1.4840099999999998</x:v>
      </x:c>
      <x:c r="R902" s="19" t="str">
        <x:v>独立判定</x:v>
      </x:c>
    </x:row>
    <x:row r="903" ht="19" customHeight="1">
      <x:c r="A903" s="19" t="str">
        <x:v>D00899</x:v>
      </x:c>
      <x:c r="B903" s="19" t="n">
        <x:v>3</x:v>
      </x:c>
      <x:c r="C903" s="19" t="n">
        <x:v>3</x:v>
      </x:c>
      <x:c r="D903" s="19" t="str">
        <x:v>C03-M026</x:v>
      </x:c>
      <x:c r="E903" s="19" t="str">
        <x:v>荒商护卫</x:v>
      </x:c>
      <x:c r="F903" s="19" t="str">
        <x:v>普通</x:v>
      </x:c>
      <x:c r="G903" s="19" t="str">
        <x:v>材料独立候选</x:v>
      </x:c>
      <x:c r="H903" s="19" t="str">
        <x:v>风蚀铁片</x:v>
      </x:c>
      <x:c r="I903" s="22" t="n">
        <x:v>800</x:v>
      </x:c>
      <x:c r="J903" s="22" t="n">
        <x:v>8</x:v>
      </x:c>
      <x:c r="K903" s="19" t="n">
        <x:v>1</x:v>
      </x:c>
      <x:c r="L903" s="24" t="n">
        <x:v>14.989999999999998</x:v>
      </x:c>
      <x:c r="M903" s="26" t="n">
        <x:v>0.1</x:v>
      </x:c>
      <x:c r="N903" s="24" t="n">
        <x:v>72</x:v>
      </x:c>
      <x:c r="O903" s="28" t="n">
        <x:f>MIN(1,L903/I903)</x:f>
        <x:v>0.018737499999999997</x:v>
      </x:c>
      <x:c r="P903" s="30" t="n">
        <x:f>O903*J903*(1+M903)</x:f>
        <x:v>0.16488999999999998</x:v>
      </x:c>
      <x:c r="Q903" s="30" t="n">
        <x:f>P903*N903</x:f>
        <x:v>11.872079999999999</x:v>
      </x:c>
      <x:c r="R903" s="19" t="str">
        <x:v>独立判定</x:v>
      </x:c>
    </x:row>
    <x:row r="904" ht="19" customHeight="1">
      <x:c r="A904" s="19" t="str">
        <x:v>D00900</x:v>
      </x:c>
      <x:c r="B904" s="19" t="n">
        <x:v>3</x:v>
      </x:c>
      <x:c r="C904" s="19" t="n">
        <x:v>3</x:v>
      </x:c>
      <x:c r="D904" s="19" t="str">
        <x:v>C03-M026</x:v>
      </x:c>
      <x:c r="E904" s="19" t="str">
        <x:v>荒商护卫</x:v>
      </x:c>
      <x:c r="F904" s="19" t="str">
        <x:v>普通</x:v>
      </x:c>
      <x:c r="G904" s="19" t="str">
        <x:v>材料独立候选</x:v>
      </x:c>
      <x:c r="H904" s="19" t="str">
        <x:v>裂风崖羽</x:v>
      </x:c>
      <x:c r="I904" s="22" t="n">
        <x:v>1800</x:v>
      </x:c>
      <x:c r="J904" s="22" t="n">
        <x:v>1</x:v>
      </x:c>
      <x:c r="K904" s="19" t="n">
        <x:v>1</x:v>
      </x:c>
      <x:c r="L904" s="24" t="n">
        <x:v>14.989999999999998</x:v>
      </x:c>
      <x:c r="M904" s="26" t="n">
        <x:v>0.1</x:v>
      </x:c>
      <x:c r="N904" s="24" t="n">
        <x:v>72</x:v>
      </x:c>
      <x:c r="O904" s="28" t="n">
        <x:f>MIN(1,L904/I904)</x:f>
        <x:v>0.008327777777777778</x:v>
      </x:c>
      <x:c r="P904" s="30" t="n">
        <x:f>O904*J904*(1+M904)</x:f>
        <x:v>0.009160555555555555</x:v>
      </x:c>
      <x:c r="Q904" s="30" t="n">
        <x:f>P904*N904</x:f>
        <x:v>0.65956</x:v>
      </x:c>
      <x:c r="R904" s="19" t="str">
        <x:v>独立判定</x:v>
      </x:c>
    </x:row>
    <x:row r="905" ht="19" customHeight="1">
      <x:c r="A905" s="19" t="str">
        <x:v>D00901</x:v>
      </x:c>
      <x:c r="B905" s="19" t="n">
        <x:v>3</x:v>
      </x:c>
      <x:c r="C905" s="19" t="n">
        <x:v>3</x:v>
      </x:c>
      <x:c r="D905" s="19" t="str">
        <x:v>C03-M026</x:v>
      </x:c>
      <x:c r="E905" s="19" t="str">
        <x:v>荒商护卫</x:v>
      </x:c>
      <x:c r="F905" s="19" t="str">
        <x:v>普通</x:v>
      </x:c>
      <x:c r="G905" s="19" t="str">
        <x:v>材料独立候选</x:v>
      </x:c>
      <x:c r="H905" s="19" t="str">
        <x:v>西境风痕碑拓</x:v>
      </x:c>
      <x:c r="I905" s="22" t="n">
        <x:v>600000</x:v>
      </x:c>
      <x:c r="J905" s="22" t="n">
        <x:v>1</x:v>
      </x:c>
      <x:c r="K905" s="19" t="n">
        <x:v>1</x:v>
      </x:c>
      <x:c r="L905" s="24" t="n">
        <x:v>14.989999999999998</x:v>
      </x:c>
      <x:c r="M905" s="26" t="n">
        <x:v>0.1</x:v>
      </x:c>
      <x:c r="N905" s="24" t="n">
        <x:v>72</x:v>
      </x:c>
      <x:c r="O905" s="28" t="n">
        <x:f>MIN(1,L905/I905)</x:f>
        <x:v>0.000024983333333333332</x:v>
      </x:c>
      <x:c r="P905" s="30" t="n">
        <x:f>O905*J905*(1+M905)</x:f>
        <x:v>0.000027481666666666668</x:v>
      </x:c>
      <x:c r="Q905" s="30" t="n">
        <x:f>P905*N905</x:f>
        <x:v>0.00197868</x:v>
      </x:c>
      <x:c r="R905" s="19" t="str">
        <x:v>独立判定</x:v>
      </x:c>
    </x:row>
    <x:row r="906" ht="19" customHeight="1">
      <x:c r="A906" s="19" t="str">
        <x:v>D00902</x:v>
      </x:c>
      <x:c r="B906" s="19" t="n">
        <x:v>3</x:v>
      </x:c>
      <x:c r="C906" s="19" t="n">
        <x:v>3</x:v>
      </x:c>
      <x:c r="D906" s="19" t="str">
        <x:v>C03-M026</x:v>
      </x:c>
      <x:c r="E906" s="19" t="str">
        <x:v>荒商护卫</x:v>
      </x:c>
      <x:c r="F906" s="19" t="str">
        <x:v>普通</x:v>
      </x:c>
      <x:c r="G906" s="19" t="str">
        <x:v>材料独立候选</x:v>
      </x:c>
      <x:c r="H906" s="19" t="str">
        <x:v>野兽骨片</x:v>
      </x:c>
      <x:c r="I906" s="22" t="n">
        <x:v>100</x:v>
      </x:c>
      <x:c r="J906" s="22" t="n">
        <x:v>2</x:v>
      </x:c>
      <x:c r="K906" s="19" t="n">
        <x:v>1</x:v>
      </x:c>
      <x:c r="L906" s="24" t="n">
        <x:v>14.989999999999998</x:v>
      </x:c>
      <x:c r="M906" s="26" t="n">
        <x:v>0.1</x:v>
      </x:c>
      <x:c r="N906" s="24" t="n">
        <x:v>72</x:v>
      </x:c>
      <x:c r="O906" s="28" t="n">
        <x:f>MIN(1,L906/I906)</x:f>
        <x:v>0.14989999999999998</x:v>
      </x:c>
      <x:c r="P906" s="30" t="n">
        <x:f>O906*J906*(1+M906)</x:f>
        <x:v>0.32977999999999996</x:v>
      </x:c>
      <x:c r="Q906" s="30" t="n">
        <x:f>P906*N906</x:f>
        <x:v>23.744159999999997</x:v>
      </x:c>
      <x:c r="R906" s="19" t="str">
        <x:v>独立判定</x:v>
      </x:c>
    </x:row>
    <x:row r="907" ht="19" customHeight="1">
      <x:c r="A907" s="19" t="str">
        <x:v>D00903</x:v>
      </x:c>
      <x:c r="B907" s="19" t="n">
        <x:v>3</x:v>
      </x:c>
      <x:c r="C907" s="19" t="n">
        <x:v>3</x:v>
      </x:c>
      <x:c r="D907" s="19" t="str">
        <x:v>C03-M026</x:v>
      </x:c>
      <x:c r="E907" s="19" t="str">
        <x:v>荒商护卫</x:v>
      </x:c>
      <x:c r="F907" s="19" t="str">
        <x:v>普通</x:v>
      </x:c>
      <x:c r="G907" s="19" t="str">
        <x:v>材料独立候选</x:v>
      </x:c>
      <x:c r="H907" s="19" t="str">
        <x:v>技能残页</x:v>
      </x:c>
      <x:c r="I907" s="22" t="n">
        <x:v>250</x:v>
      </x:c>
      <x:c r="J907" s="22" t="n">
        <x:v>1</x:v>
      </x:c>
      <x:c r="K907" s="19" t="n">
        <x:v>1</x:v>
      </x:c>
      <x:c r="L907" s="24" t="n">
        <x:v>14.989999999999998</x:v>
      </x:c>
      <x:c r="M907" s="26" t="n">
        <x:v>0.1</x:v>
      </x:c>
      <x:c r="N907" s="24" t="n">
        <x:v>72</x:v>
      </x:c>
      <x:c r="O907" s="28" t="n">
        <x:f>MIN(1,L907/I907)</x:f>
        <x:v>0.05995999999999999</x:v>
      </x:c>
      <x:c r="P907" s="30" t="n">
        <x:f>O907*J907*(1+M907)</x:f>
        <x:v>0.065956</x:v>
      </x:c>
      <x:c r="Q907" s="30" t="n">
        <x:f>P907*N907</x:f>
        <x:v>4.748832</x:v>
      </x:c>
      <x:c r="R907" s="19" t="str">
        <x:v>独立判定</x:v>
      </x:c>
    </x:row>
    <x:row r="908" ht="19" customHeight="1">
      <x:c r="A908" s="19" t="str">
        <x:v>D00904</x:v>
      </x:c>
      <x:c r="B908" s="19" t="n">
        <x:v>3</x:v>
      </x:c>
      <x:c r="C908" s="19" t="n">
        <x:v>3</x:v>
      </x:c>
      <x:c r="D908" s="19" t="str">
        <x:v>C03-M026</x:v>
      </x:c>
      <x:c r="E908" s="19" t="str">
        <x:v>荒商护卫</x:v>
      </x:c>
      <x:c r="F908" s="19" t="str">
        <x:v>普通</x:v>
      </x:c>
      <x:c r="G908" s="19" t="str">
        <x:v>材料独立候选</x:v>
      </x:c>
      <x:c r="H908" s="19" t="str">
        <x:v>小卢恩</x:v>
      </x:c>
      <x:c r="I908" s="22" t="n">
        <x:v>4000</x:v>
      </x:c>
      <x:c r="J908" s="22" t="n">
        <x:v>1</x:v>
      </x:c>
      <x:c r="K908" s="19" t="n">
        <x:v>1</x:v>
      </x:c>
      <x:c r="L908" s="24" t="n">
        <x:v>14.989999999999998</x:v>
      </x:c>
      <x:c r="M908" s="26" t="n">
        <x:v>0.1</x:v>
      </x:c>
      <x:c r="N908" s="24" t="n">
        <x:v>72</x:v>
      </x:c>
      <x:c r="O908" s="28" t="n">
        <x:f>MIN(1,L908/I908)</x:f>
        <x:v>0.0037474999999999995</x:v>
      </x:c>
      <x:c r="P908" s="30" t="n">
        <x:f>O908*J908*(1+M908)</x:f>
        <x:v>0.00412225</x:v>
      </x:c>
      <x:c r="Q908" s="30" t="n">
        <x:f>P908*N908</x:f>
        <x:v>0.296802</x:v>
      </x:c>
      <x:c r="R908" s="19" t="str">
        <x:v>独立判定</x:v>
      </x:c>
    </x:row>
    <x:row r="909" ht="19" customHeight="1">
      <x:c r="A909" s="19" t="str">
        <x:v>D00905</x:v>
      </x:c>
      <x:c r="B909" s="19" t="n">
        <x:v>3</x:v>
      </x:c>
      <x:c r="C909" s="19" t="n">
        <x:v>3</x:v>
      </x:c>
      <x:c r="D909" s="19" t="str">
        <x:v>C03-M026</x:v>
      </x:c>
      <x:c r="E909" s="19" t="str">
        <x:v>荒商护卫</x:v>
      </x:c>
      <x:c r="F909" s="19" t="str">
        <x:v>普通</x:v>
      </x:c>
      <x:c r="G909" s="19" t="str">
        <x:v>六神器公共池</x:v>
      </x:c>
      <x:c r="H909" s="19" t="str">
        <x:v>POOL006</x:v>
      </x:c>
      <x:c r="I909" s="22" t="n">
        <x:v>20000000</x:v>
      </x:c>
      <x:c r="J909" s="22" t="n">
        <x:v>1</x:v>
      </x:c>
      <x:c r="K909" s="19" t="n">
        <x:v>6</x:v>
      </x:c>
      <x:c r="L909" s="24" t="n">
        <x:v>14.989999999999998</x:v>
      </x:c>
      <x:c r="M909" s="26" t="n">
        <x:v>0.1</x:v>
      </x:c>
      <x:c r="N909" s="24" t="n">
        <x:v>72</x:v>
      </x:c>
      <x:c r="O909" s="28" t="n">
        <x:f>MIN(1,L909/I909)</x:f>
        <x:v>7.494999999999999e-7</x:v>
      </x:c>
      <x:c r="P909" s="30" t="n">
        <x:f>O909*J909*(1+M909)</x:f>
        <x:v>8.244499999999999e-7</x:v>
      </x:c>
      <x:c r="Q909" s="30" t="n">
        <x:f>P909*N909</x:f>
        <x:v>0.000059360399999999995</x:v>
      </x:c>
      <x:c r="R909" s="19" t="str">
        <x:v>六选一；非6个独立爆率</x:v>
      </x:c>
    </x:row>
    <x:row r="910" ht="19" customHeight="1">
      <x:c r="A910" s="19" t="str">
        <x:v>D00906</x:v>
      </x:c>
      <x:c r="B910" s="19" t="n">
        <x:v>3</x:v>
      </x:c>
      <x:c r="C910" s="19" t="n">
        <x:v>3</x:v>
      </x:c>
      <x:c r="D910" s="19" t="str">
        <x:v>C03-M027</x:v>
      </x:c>
      <x:c r="E910" s="19" t="str">
        <x:v>灰篷盗匪</x:v>
      </x:c>
      <x:c r="F910" s="19" t="str">
        <x:v>普通</x:v>
      </x:c>
      <x:c r="G910" s="19" t="str">
        <x:v>自身专属</x:v>
      </x:c>
      <x:c r="H910" s="19" t="str">
        <x:v>灰篷面巾</x:v>
      </x:c>
      <x:c r="I910" s="22" t="n">
        <x:v>800</x:v>
      </x:c>
      <x:c r="J910" s="22" t="n">
        <x:v>1</x:v>
      </x:c>
      <x:c r="K910" s="19" t="n">
        <x:v>1</x:v>
      </x:c>
      <x:c r="L910" s="24" t="n">
        <x:v>14.989999999999998</x:v>
      </x:c>
      <x:c r="M910" s="26" t="n">
        <x:v>0.1</x:v>
      </x:c>
      <x:c r="N910" s="24" t="n">
        <x:v>72</x:v>
      </x:c>
      <x:c r="O910" s="28" t="n">
        <x:f>MIN(1,L910/I910)</x:f>
        <x:v>0.018737499999999997</x:v>
      </x:c>
      <x:c r="P910" s="30" t="n">
        <x:f>O910*J910*(1+M910)</x:f>
        <x:v>0.020611249999999998</x:v>
      </x:c>
      <x:c r="Q910" s="30" t="n">
        <x:f>P910*N910</x:f>
        <x:v>1.4840099999999998</x:v>
      </x:c>
      <x:c r="R910" s="19" t="str">
        <x:v>独立判定</x:v>
      </x:c>
    </x:row>
    <x:row r="911" ht="19" customHeight="1">
      <x:c r="A911" s="19" t="str">
        <x:v>D00907</x:v>
      </x:c>
      <x:c r="B911" s="19" t="n">
        <x:v>3</x:v>
      </x:c>
      <x:c r="C911" s="19" t="n">
        <x:v>3</x:v>
      </x:c>
      <x:c r="D911" s="19" t="str">
        <x:v>C03-M027</x:v>
      </x:c>
      <x:c r="E911" s="19" t="str">
        <x:v>灰篷盗匪</x:v>
      </x:c>
      <x:c r="F911" s="19" t="str">
        <x:v>普通</x:v>
      </x:c>
      <x:c r="G911" s="19" t="str">
        <x:v>材料独立候选</x:v>
      </x:c>
      <x:c r="H911" s="19" t="str">
        <x:v>风蚀铁片</x:v>
      </x:c>
      <x:c r="I911" s="22" t="n">
        <x:v>800</x:v>
      </x:c>
      <x:c r="J911" s="22" t="n">
        <x:v>8</x:v>
      </x:c>
      <x:c r="K911" s="19" t="n">
        <x:v>1</x:v>
      </x:c>
      <x:c r="L911" s="24" t="n">
        <x:v>14.989999999999998</x:v>
      </x:c>
      <x:c r="M911" s="26" t="n">
        <x:v>0.1</x:v>
      </x:c>
      <x:c r="N911" s="24" t="n">
        <x:v>72</x:v>
      </x:c>
      <x:c r="O911" s="28" t="n">
        <x:f>MIN(1,L911/I911)</x:f>
        <x:v>0.018737499999999997</x:v>
      </x:c>
      <x:c r="P911" s="30" t="n">
        <x:f>O911*J911*(1+M911)</x:f>
        <x:v>0.16488999999999998</x:v>
      </x:c>
      <x:c r="Q911" s="30" t="n">
        <x:f>P911*N911</x:f>
        <x:v>11.872079999999999</x:v>
      </x:c>
      <x:c r="R911" s="19" t="str">
        <x:v>独立判定</x:v>
      </x:c>
    </x:row>
    <x:row r="912" ht="19" customHeight="1">
      <x:c r="A912" s="19" t="str">
        <x:v>D00908</x:v>
      </x:c>
      <x:c r="B912" s="19" t="n">
        <x:v>3</x:v>
      </x:c>
      <x:c r="C912" s="19" t="n">
        <x:v>3</x:v>
      </x:c>
      <x:c r="D912" s="19" t="str">
        <x:v>C03-M027</x:v>
      </x:c>
      <x:c r="E912" s="19" t="str">
        <x:v>灰篷盗匪</x:v>
      </x:c>
      <x:c r="F912" s="19" t="str">
        <x:v>普通</x:v>
      </x:c>
      <x:c r="G912" s="19" t="str">
        <x:v>材料独立候选</x:v>
      </x:c>
      <x:c r="H912" s="19" t="str">
        <x:v>裂风崖羽</x:v>
      </x:c>
      <x:c r="I912" s="22" t="n">
        <x:v>1800</x:v>
      </x:c>
      <x:c r="J912" s="22" t="n">
        <x:v>1</x:v>
      </x:c>
      <x:c r="K912" s="19" t="n">
        <x:v>1</x:v>
      </x:c>
      <x:c r="L912" s="24" t="n">
        <x:v>14.989999999999998</x:v>
      </x:c>
      <x:c r="M912" s="26" t="n">
        <x:v>0.1</x:v>
      </x:c>
      <x:c r="N912" s="24" t="n">
        <x:v>72</x:v>
      </x:c>
      <x:c r="O912" s="28" t="n">
        <x:f>MIN(1,L912/I912)</x:f>
        <x:v>0.008327777777777778</x:v>
      </x:c>
      <x:c r="P912" s="30" t="n">
        <x:f>O912*J912*(1+M912)</x:f>
        <x:v>0.009160555555555555</x:v>
      </x:c>
      <x:c r="Q912" s="30" t="n">
        <x:f>P912*N912</x:f>
        <x:v>0.65956</x:v>
      </x:c>
      <x:c r="R912" s="19" t="str">
        <x:v>独立判定</x:v>
      </x:c>
    </x:row>
    <x:row r="913" ht="19" customHeight="1">
      <x:c r="A913" s="19" t="str">
        <x:v>D00909</x:v>
      </x:c>
      <x:c r="B913" s="19" t="n">
        <x:v>3</x:v>
      </x:c>
      <x:c r="C913" s="19" t="n">
        <x:v>3</x:v>
      </x:c>
      <x:c r="D913" s="19" t="str">
        <x:v>C03-M027</x:v>
      </x:c>
      <x:c r="E913" s="19" t="str">
        <x:v>灰篷盗匪</x:v>
      </x:c>
      <x:c r="F913" s="19" t="str">
        <x:v>普通</x:v>
      </x:c>
      <x:c r="G913" s="19" t="str">
        <x:v>材料独立候选</x:v>
      </x:c>
      <x:c r="H913" s="19" t="str">
        <x:v>西境风痕碑拓</x:v>
      </x:c>
      <x:c r="I913" s="22" t="n">
        <x:v>600000</x:v>
      </x:c>
      <x:c r="J913" s="22" t="n">
        <x:v>1</x:v>
      </x:c>
      <x:c r="K913" s="19" t="n">
        <x:v>1</x:v>
      </x:c>
      <x:c r="L913" s="24" t="n">
        <x:v>14.989999999999998</x:v>
      </x:c>
      <x:c r="M913" s="26" t="n">
        <x:v>0.1</x:v>
      </x:c>
      <x:c r="N913" s="24" t="n">
        <x:v>72</x:v>
      </x:c>
      <x:c r="O913" s="28" t="n">
        <x:f>MIN(1,L913/I913)</x:f>
        <x:v>0.000024983333333333332</x:v>
      </x:c>
      <x:c r="P913" s="30" t="n">
        <x:f>O913*J913*(1+M913)</x:f>
        <x:v>0.000027481666666666668</x:v>
      </x:c>
      <x:c r="Q913" s="30" t="n">
        <x:f>P913*N913</x:f>
        <x:v>0.00197868</x:v>
      </x:c>
      <x:c r="R913" s="19" t="str">
        <x:v>独立判定</x:v>
      </x:c>
    </x:row>
    <x:row r="914" ht="19" customHeight="1">
      <x:c r="A914" s="19" t="str">
        <x:v>D00910</x:v>
      </x:c>
      <x:c r="B914" s="19" t="n">
        <x:v>3</x:v>
      </x:c>
      <x:c r="C914" s="19" t="n">
        <x:v>3</x:v>
      </x:c>
      <x:c r="D914" s="19" t="str">
        <x:v>C03-M027</x:v>
      </x:c>
      <x:c r="E914" s="19" t="str">
        <x:v>灰篷盗匪</x:v>
      </x:c>
      <x:c r="F914" s="19" t="str">
        <x:v>普通</x:v>
      </x:c>
      <x:c r="G914" s="19" t="str">
        <x:v>材料独立候选</x:v>
      </x:c>
      <x:c r="H914" s="19" t="str">
        <x:v>野兽骨片</x:v>
      </x:c>
      <x:c r="I914" s="22" t="n">
        <x:v>100</x:v>
      </x:c>
      <x:c r="J914" s="22" t="n">
        <x:v>2</x:v>
      </x:c>
      <x:c r="K914" s="19" t="n">
        <x:v>1</x:v>
      </x:c>
      <x:c r="L914" s="24" t="n">
        <x:v>14.989999999999998</x:v>
      </x:c>
      <x:c r="M914" s="26" t="n">
        <x:v>0.1</x:v>
      </x:c>
      <x:c r="N914" s="24" t="n">
        <x:v>72</x:v>
      </x:c>
      <x:c r="O914" s="28" t="n">
        <x:f>MIN(1,L914/I914)</x:f>
        <x:v>0.14989999999999998</x:v>
      </x:c>
      <x:c r="P914" s="30" t="n">
        <x:f>O914*J914*(1+M914)</x:f>
        <x:v>0.32977999999999996</x:v>
      </x:c>
      <x:c r="Q914" s="30" t="n">
        <x:f>P914*N914</x:f>
        <x:v>23.744159999999997</x:v>
      </x:c>
      <x:c r="R914" s="19" t="str">
        <x:v>独立判定</x:v>
      </x:c>
    </x:row>
    <x:row r="915" ht="19" customHeight="1">
      <x:c r="A915" s="19" t="str">
        <x:v>D00911</x:v>
      </x:c>
      <x:c r="B915" s="19" t="n">
        <x:v>3</x:v>
      </x:c>
      <x:c r="C915" s="19" t="n">
        <x:v>3</x:v>
      </x:c>
      <x:c r="D915" s="19" t="str">
        <x:v>C03-M027</x:v>
      </x:c>
      <x:c r="E915" s="19" t="str">
        <x:v>灰篷盗匪</x:v>
      </x:c>
      <x:c r="F915" s="19" t="str">
        <x:v>普通</x:v>
      </x:c>
      <x:c r="G915" s="19" t="str">
        <x:v>材料独立候选</x:v>
      </x:c>
      <x:c r="H915" s="19" t="str">
        <x:v>技能残页</x:v>
      </x:c>
      <x:c r="I915" s="22" t="n">
        <x:v>250</x:v>
      </x:c>
      <x:c r="J915" s="22" t="n">
        <x:v>1</x:v>
      </x:c>
      <x:c r="K915" s="19" t="n">
        <x:v>1</x:v>
      </x:c>
      <x:c r="L915" s="24" t="n">
        <x:v>14.989999999999998</x:v>
      </x:c>
      <x:c r="M915" s="26" t="n">
        <x:v>0.1</x:v>
      </x:c>
      <x:c r="N915" s="24" t="n">
        <x:v>72</x:v>
      </x:c>
      <x:c r="O915" s="28" t="n">
        <x:f>MIN(1,L915/I915)</x:f>
        <x:v>0.05995999999999999</x:v>
      </x:c>
      <x:c r="P915" s="30" t="n">
        <x:f>O915*J915*(1+M915)</x:f>
        <x:v>0.065956</x:v>
      </x:c>
      <x:c r="Q915" s="30" t="n">
        <x:f>P915*N915</x:f>
        <x:v>4.748832</x:v>
      </x:c>
      <x:c r="R915" s="19" t="str">
        <x:v>独立判定</x:v>
      </x:c>
    </x:row>
    <x:row r="916" ht="19" customHeight="1">
      <x:c r="A916" s="19" t="str">
        <x:v>D00912</x:v>
      </x:c>
      <x:c r="B916" s="19" t="n">
        <x:v>3</x:v>
      </x:c>
      <x:c r="C916" s="19" t="n">
        <x:v>3</x:v>
      </x:c>
      <x:c r="D916" s="19" t="str">
        <x:v>C03-M027</x:v>
      </x:c>
      <x:c r="E916" s="19" t="str">
        <x:v>灰篷盗匪</x:v>
      </x:c>
      <x:c r="F916" s="19" t="str">
        <x:v>普通</x:v>
      </x:c>
      <x:c r="G916" s="19" t="str">
        <x:v>材料独立候选</x:v>
      </x:c>
      <x:c r="H916" s="19" t="str">
        <x:v>小卢恩</x:v>
      </x:c>
      <x:c r="I916" s="22" t="n">
        <x:v>4000</x:v>
      </x:c>
      <x:c r="J916" s="22" t="n">
        <x:v>1</x:v>
      </x:c>
      <x:c r="K916" s="19" t="n">
        <x:v>1</x:v>
      </x:c>
      <x:c r="L916" s="24" t="n">
        <x:v>14.989999999999998</x:v>
      </x:c>
      <x:c r="M916" s="26" t="n">
        <x:v>0.1</x:v>
      </x:c>
      <x:c r="N916" s="24" t="n">
        <x:v>72</x:v>
      </x:c>
      <x:c r="O916" s="28" t="n">
        <x:f>MIN(1,L916/I916)</x:f>
        <x:v>0.0037474999999999995</x:v>
      </x:c>
      <x:c r="P916" s="30" t="n">
        <x:f>O916*J916*(1+M916)</x:f>
        <x:v>0.00412225</x:v>
      </x:c>
      <x:c r="Q916" s="30" t="n">
        <x:f>P916*N916</x:f>
        <x:v>0.296802</x:v>
      </x:c>
      <x:c r="R916" s="19" t="str">
        <x:v>独立判定</x:v>
      </x:c>
    </x:row>
    <x:row r="917" ht="19" customHeight="1">
      <x:c r="A917" s="19" t="str">
        <x:v>D00913</x:v>
      </x:c>
      <x:c r="B917" s="19" t="n">
        <x:v>3</x:v>
      </x:c>
      <x:c r="C917" s="19" t="n">
        <x:v>3</x:v>
      </x:c>
      <x:c r="D917" s="19" t="str">
        <x:v>C03-M027</x:v>
      </x:c>
      <x:c r="E917" s="19" t="str">
        <x:v>灰篷盗匪</x:v>
      </x:c>
      <x:c r="F917" s="19" t="str">
        <x:v>普通</x:v>
      </x:c>
      <x:c r="G917" s="19" t="str">
        <x:v>六神器公共池</x:v>
      </x:c>
      <x:c r="H917" s="19" t="str">
        <x:v>POOL006</x:v>
      </x:c>
      <x:c r="I917" s="22" t="n">
        <x:v>20000000</x:v>
      </x:c>
      <x:c r="J917" s="22" t="n">
        <x:v>1</x:v>
      </x:c>
      <x:c r="K917" s="19" t="n">
        <x:v>6</x:v>
      </x:c>
      <x:c r="L917" s="24" t="n">
        <x:v>14.989999999999998</x:v>
      </x:c>
      <x:c r="M917" s="26" t="n">
        <x:v>0.1</x:v>
      </x:c>
      <x:c r="N917" s="24" t="n">
        <x:v>72</x:v>
      </x:c>
      <x:c r="O917" s="28" t="n">
        <x:f>MIN(1,L917/I917)</x:f>
        <x:v>7.494999999999999e-7</x:v>
      </x:c>
      <x:c r="P917" s="30" t="n">
        <x:f>O917*J917*(1+M917)</x:f>
        <x:v>8.244499999999999e-7</x:v>
      </x:c>
      <x:c r="Q917" s="30" t="n">
        <x:f>P917*N917</x:f>
        <x:v>0.000059360399999999995</x:v>
      </x:c>
      <x:c r="R917" s="19" t="str">
        <x:v>六选一；非6个独立爆率</x:v>
      </x:c>
    </x:row>
    <x:row r="918" ht="19" customHeight="1">
      <x:c r="A918" s="19" t="str">
        <x:v>D00914</x:v>
      </x:c>
      <x:c r="B918" s="19" t="n">
        <x:v>3</x:v>
      </x:c>
      <x:c r="C918" s="19" t="n">
        <x:v>3</x:v>
      </x:c>
      <x:c r="D918" s="19" t="str">
        <x:v>C03-M028</x:v>
      </x:c>
      <x:c r="E918" s="19" t="str">
        <x:v>驮货尸兵</x:v>
      </x:c>
      <x:c r="F918" s="19" t="str">
        <x:v>普通</x:v>
      </x:c>
      <x:c r="G918" s="19" t="str">
        <x:v>自身专属</x:v>
      </x:c>
      <x:c r="H918" s="19" t="str">
        <x:v>驮货重甲</x:v>
      </x:c>
      <x:c r="I918" s="22" t="n">
        <x:v>800</x:v>
      </x:c>
      <x:c r="J918" s="22" t="n">
        <x:v>1</x:v>
      </x:c>
      <x:c r="K918" s="19" t="n">
        <x:v>1</x:v>
      </x:c>
      <x:c r="L918" s="24" t="n">
        <x:v>14.989999999999998</x:v>
      </x:c>
      <x:c r="M918" s="26" t="n">
        <x:v>0.1</x:v>
      </x:c>
      <x:c r="N918" s="24" t="n">
        <x:v>72</x:v>
      </x:c>
      <x:c r="O918" s="28" t="n">
        <x:f>MIN(1,L918/I918)</x:f>
        <x:v>0.018737499999999997</x:v>
      </x:c>
      <x:c r="P918" s="30" t="n">
        <x:f>O918*J918*(1+M918)</x:f>
        <x:v>0.020611249999999998</x:v>
      </x:c>
      <x:c r="Q918" s="30" t="n">
        <x:f>P918*N918</x:f>
        <x:v>1.4840099999999998</x:v>
      </x:c>
      <x:c r="R918" s="19" t="str">
        <x:v>独立判定</x:v>
      </x:c>
    </x:row>
    <x:row r="919" ht="19" customHeight="1">
      <x:c r="A919" s="19" t="str">
        <x:v>D00915</x:v>
      </x:c>
      <x:c r="B919" s="19" t="n">
        <x:v>3</x:v>
      </x:c>
      <x:c r="C919" s="19" t="n">
        <x:v>3</x:v>
      </x:c>
      <x:c r="D919" s="19" t="str">
        <x:v>C03-M028</x:v>
      </x:c>
      <x:c r="E919" s="19" t="str">
        <x:v>驮货尸兵</x:v>
      </x:c>
      <x:c r="F919" s="19" t="str">
        <x:v>普通</x:v>
      </x:c>
      <x:c r="G919" s="19" t="str">
        <x:v>材料独立候选</x:v>
      </x:c>
      <x:c r="H919" s="19" t="str">
        <x:v>风蚀铁片</x:v>
      </x:c>
      <x:c r="I919" s="22" t="n">
        <x:v>800</x:v>
      </x:c>
      <x:c r="J919" s="22" t="n">
        <x:v>8</x:v>
      </x:c>
      <x:c r="K919" s="19" t="n">
        <x:v>1</x:v>
      </x:c>
      <x:c r="L919" s="24" t="n">
        <x:v>14.989999999999998</x:v>
      </x:c>
      <x:c r="M919" s="26" t="n">
        <x:v>0.1</x:v>
      </x:c>
      <x:c r="N919" s="24" t="n">
        <x:v>72</x:v>
      </x:c>
      <x:c r="O919" s="28" t="n">
        <x:f>MIN(1,L919/I919)</x:f>
        <x:v>0.018737499999999997</x:v>
      </x:c>
      <x:c r="P919" s="30" t="n">
        <x:f>O919*J919*(1+M919)</x:f>
        <x:v>0.16488999999999998</x:v>
      </x:c>
      <x:c r="Q919" s="30" t="n">
        <x:f>P919*N919</x:f>
        <x:v>11.872079999999999</x:v>
      </x:c>
      <x:c r="R919" s="19" t="str">
        <x:v>独立判定</x:v>
      </x:c>
    </x:row>
    <x:row r="920" ht="19" customHeight="1">
      <x:c r="A920" s="19" t="str">
        <x:v>D00916</x:v>
      </x:c>
      <x:c r="B920" s="19" t="n">
        <x:v>3</x:v>
      </x:c>
      <x:c r="C920" s="19" t="n">
        <x:v>3</x:v>
      </x:c>
      <x:c r="D920" s="19" t="str">
        <x:v>C03-M028</x:v>
      </x:c>
      <x:c r="E920" s="19" t="str">
        <x:v>驮货尸兵</x:v>
      </x:c>
      <x:c r="F920" s="19" t="str">
        <x:v>普通</x:v>
      </x:c>
      <x:c r="G920" s="19" t="str">
        <x:v>材料独立候选</x:v>
      </x:c>
      <x:c r="H920" s="19" t="str">
        <x:v>裂风崖羽</x:v>
      </x:c>
      <x:c r="I920" s="22" t="n">
        <x:v>1800</x:v>
      </x:c>
      <x:c r="J920" s="22" t="n">
        <x:v>1</x:v>
      </x:c>
      <x:c r="K920" s="19" t="n">
        <x:v>1</x:v>
      </x:c>
      <x:c r="L920" s="24" t="n">
        <x:v>14.989999999999998</x:v>
      </x:c>
      <x:c r="M920" s="26" t="n">
        <x:v>0.1</x:v>
      </x:c>
      <x:c r="N920" s="24" t="n">
        <x:v>72</x:v>
      </x:c>
      <x:c r="O920" s="28" t="n">
        <x:f>MIN(1,L920/I920)</x:f>
        <x:v>0.008327777777777778</x:v>
      </x:c>
      <x:c r="P920" s="30" t="n">
        <x:f>O920*J920*(1+M920)</x:f>
        <x:v>0.009160555555555555</x:v>
      </x:c>
      <x:c r="Q920" s="30" t="n">
        <x:f>P920*N920</x:f>
        <x:v>0.65956</x:v>
      </x:c>
      <x:c r="R920" s="19" t="str">
        <x:v>独立判定</x:v>
      </x:c>
    </x:row>
    <x:row r="921" ht="19" customHeight="1">
      <x:c r="A921" s="19" t="str">
        <x:v>D00917</x:v>
      </x:c>
      <x:c r="B921" s="19" t="n">
        <x:v>3</x:v>
      </x:c>
      <x:c r="C921" s="19" t="n">
        <x:v>3</x:v>
      </x:c>
      <x:c r="D921" s="19" t="str">
        <x:v>C03-M028</x:v>
      </x:c>
      <x:c r="E921" s="19" t="str">
        <x:v>驮货尸兵</x:v>
      </x:c>
      <x:c r="F921" s="19" t="str">
        <x:v>普通</x:v>
      </x:c>
      <x:c r="G921" s="19" t="str">
        <x:v>材料独立候选</x:v>
      </x:c>
      <x:c r="H921" s="19" t="str">
        <x:v>西境风痕碑拓</x:v>
      </x:c>
      <x:c r="I921" s="22" t="n">
        <x:v>600000</x:v>
      </x:c>
      <x:c r="J921" s="22" t="n">
        <x:v>1</x:v>
      </x:c>
      <x:c r="K921" s="19" t="n">
        <x:v>1</x:v>
      </x:c>
      <x:c r="L921" s="24" t="n">
        <x:v>14.989999999999998</x:v>
      </x:c>
      <x:c r="M921" s="26" t="n">
        <x:v>0.1</x:v>
      </x:c>
      <x:c r="N921" s="24" t="n">
        <x:v>72</x:v>
      </x:c>
      <x:c r="O921" s="28" t="n">
        <x:f>MIN(1,L921/I921)</x:f>
        <x:v>0.000024983333333333332</x:v>
      </x:c>
      <x:c r="P921" s="30" t="n">
        <x:f>O921*J921*(1+M921)</x:f>
        <x:v>0.000027481666666666668</x:v>
      </x:c>
      <x:c r="Q921" s="30" t="n">
        <x:f>P921*N921</x:f>
        <x:v>0.00197868</x:v>
      </x:c>
      <x:c r="R921" s="19" t="str">
        <x:v>独立判定</x:v>
      </x:c>
    </x:row>
    <x:row r="922" ht="19" customHeight="1">
      <x:c r="A922" s="19" t="str">
        <x:v>D00918</x:v>
      </x:c>
      <x:c r="B922" s="19" t="n">
        <x:v>3</x:v>
      </x:c>
      <x:c r="C922" s="19" t="n">
        <x:v>3</x:v>
      </x:c>
      <x:c r="D922" s="19" t="str">
        <x:v>C03-M028</x:v>
      </x:c>
      <x:c r="E922" s="19" t="str">
        <x:v>驮货尸兵</x:v>
      </x:c>
      <x:c r="F922" s="19" t="str">
        <x:v>普通</x:v>
      </x:c>
      <x:c r="G922" s="19" t="str">
        <x:v>材料独立候选</x:v>
      </x:c>
      <x:c r="H922" s="19" t="str">
        <x:v>野兽骨片</x:v>
      </x:c>
      <x:c r="I922" s="22" t="n">
        <x:v>100</x:v>
      </x:c>
      <x:c r="J922" s="22" t="n">
        <x:v>2</x:v>
      </x:c>
      <x:c r="K922" s="19" t="n">
        <x:v>1</x:v>
      </x:c>
      <x:c r="L922" s="24" t="n">
        <x:v>14.989999999999998</x:v>
      </x:c>
      <x:c r="M922" s="26" t="n">
        <x:v>0.1</x:v>
      </x:c>
      <x:c r="N922" s="24" t="n">
        <x:v>72</x:v>
      </x:c>
      <x:c r="O922" s="28" t="n">
        <x:f>MIN(1,L922/I922)</x:f>
        <x:v>0.14989999999999998</x:v>
      </x:c>
      <x:c r="P922" s="30" t="n">
        <x:f>O922*J922*(1+M922)</x:f>
        <x:v>0.32977999999999996</x:v>
      </x:c>
      <x:c r="Q922" s="30" t="n">
        <x:f>P922*N922</x:f>
        <x:v>23.744159999999997</x:v>
      </x:c>
      <x:c r="R922" s="19" t="str">
        <x:v>独立判定</x:v>
      </x:c>
    </x:row>
    <x:row r="923" ht="19" customHeight="1">
      <x:c r="A923" s="19" t="str">
        <x:v>D00919</x:v>
      </x:c>
      <x:c r="B923" s="19" t="n">
        <x:v>3</x:v>
      </x:c>
      <x:c r="C923" s="19" t="n">
        <x:v>3</x:v>
      </x:c>
      <x:c r="D923" s="19" t="str">
        <x:v>C03-M028</x:v>
      </x:c>
      <x:c r="E923" s="19" t="str">
        <x:v>驮货尸兵</x:v>
      </x:c>
      <x:c r="F923" s="19" t="str">
        <x:v>普通</x:v>
      </x:c>
      <x:c r="G923" s="19" t="str">
        <x:v>材料独立候选</x:v>
      </x:c>
      <x:c r="H923" s="19" t="str">
        <x:v>技能残页</x:v>
      </x:c>
      <x:c r="I923" s="22" t="n">
        <x:v>250</x:v>
      </x:c>
      <x:c r="J923" s="22" t="n">
        <x:v>1</x:v>
      </x:c>
      <x:c r="K923" s="19" t="n">
        <x:v>1</x:v>
      </x:c>
      <x:c r="L923" s="24" t="n">
        <x:v>14.989999999999998</x:v>
      </x:c>
      <x:c r="M923" s="26" t="n">
        <x:v>0.1</x:v>
      </x:c>
      <x:c r="N923" s="24" t="n">
        <x:v>72</x:v>
      </x:c>
      <x:c r="O923" s="28" t="n">
        <x:f>MIN(1,L923/I923)</x:f>
        <x:v>0.05995999999999999</x:v>
      </x:c>
      <x:c r="P923" s="30" t="n">
        <x:f>O923*J923*(1+M923)</x:f>
        <x:v>0.065956</x:v>
      </x:c>
      <x:c r="Q923" s="30" t="n">
        <x:f>P923*N923</x:f>
        <x:v>4.748832</x:v>
      </x:c>
      <x:c r="R923" s="19" t="str">
        <x:v>独立判定</x:v>
      </x:c>
    </x:row>
    <x:row r="924" ht="19" customHeight="1">
      <x:c r="A924" s="19" t="str">
        <x:v>D00920</x:v>
      </x:c>
      <x:c r="B924" s="19" t="n">
        <x:v>3</x:v>
      </x:c>
      <x:c r="C924" s="19" t="n">
        <x:v>3</x:v>
      </x:c>
      <x:c r="D924" s="19" t="str">
        <x:v>C03-M028</x:v>
      </x:c>
      <x:c r="E924" s="19" t="str">
        <x:v>驮货尸兵</x:v>
      </x:c>
      <x:c r="F924" s="19" t="str">
        <x:v>普通</x:v>
      </x:c>
      <x:c r="G924" s="19" t="str">
        <x:v>材料独立候选</x:v>
      </x:c>
      <x:c r="H924" s="19" t="str">
        <x:v>小卢恩</x:v>
      </x:c>
      <x:c r="I924" s="22" t="n">
        <x:v>4000</x:v>
      </x:c>
      <x:c r="J924" s="22" t="n">
        <x:v>1</x:v>
      </x:c>
      <x:c r="K924" s="19" t="n">
        <x:v>1</x:v>
      </x:c>
      <x:c r="L924" s="24" t="n">
        <x:v>14.989999999999998</x:v>
      </x:c>
      <x:c r="M924" s="26" t="n">
        <x:v>0.1</x:v>
      </x:c>
      <x:c r="N924" s="24" t="n">
        <x:v>72</x:v>
      </x:c>
      <x:c r="O924" s="28" t="n">
        <x:f>MIN(1,L924/I924)</x:f>
        <x:v>0.0037474999999999995</x:v>
      </x:c>
      <x:c r="P924" s="30" t="n">
        <x:f>O924*J924*(1+M924)</x:f>
        <x:v>0.00412225</x:v>
      </x:c>
      <x:c r="Q924" s="30" t="n">
        <x:f>P924*N924</x:f>
        <x:v>0.296802</x:v>
      </x:c>
      <x:c r="R924" s="19" t="str">
        <x:v>独立判定</x:v>
      </x:c>
    </x:row>
    <x:row r="925" ht="19" customHeight="1">
      <x:c r="A925" s="19" t="str">
        <x:v>D00921</x:v>
      </x:c>
      <x:c r="B925" s="19" t="n">
        <x:v>3</x:v>
      </x:c>
      <x:c r="C925" s="19" t="n">
        <x:v>3</x:v>
      </x:c>
      <x:c r="D925" s="19" t="str">
        <x:v>C03-M028</x:v>
      </x:c>
      <x:c r="E925" s="19" t="str">
        <x:v>驮货尸兵</x:v>
      </x:c>
      <x:c r="F925" s="19" t="str">
        <x:v>普通</x:v>
      </x:c>
      <x:c r="G925" s="19" t="str">
        <x:v>六神器公共池</x:v>
      </x:c>
      <x:c r="H925" s="19" t="str">
        <x:v>POOL006</x:v>
      </x:c>
      <x:c r="I925" s="22" t="n">
        <x:v>20000000</x:v>
      </x:c>
      <x:c r="J925" s="22" t="n">
        <x:v>1</x:v>
      </x:c>
      <x:c r="K925" s="19" t="n">
        <x:v>6</x:v>
      </x:c>
      <x:c r="L925" s="24" t="n">
        <x:v>14.989999999999998</x:v>
      </x:c>
      <x:c r="M925" s="26" t="n">
        <x:v>0.1</x:v>
      </x:c>
      <x:c r="N925" s="24" t="n">
        <x:v>72</x:v>
      </x:c>
      <x:c r="O925" s="28" t="n">
        <x:f>MIN(1,L925/I925)</x:f>
        <x:v>7.494999999999999e-7</x:v>
      </x:c>
      <x:c r="P925" s="30" t="n">
        <x:f>O925*J925*(1+M925)</x:f>
        <x:v>8.244499999999999e-7</x:v>
      </x:c>
      <x:c r="Q925" s="30" t="n">
        <x:f>P925*N925</x:f>
        <x:v>0.000059360399999999995</x:v>
      </x:c>
      <x:c r="R925" s="19" t="str">
        <x:v>六选一；非6个独立爆率</x:v>
      </x:c>
    </x:row>
    <x:row r="926" ht="19" customHeight="1">
      <x:c r="A926" s="19" t="str">
        <x:v>D00922</x:v>
      </x:c>
      <x:c r="B926" s="19" t="n">
        <x:v>3</x:v>
      </x:c>
      <x:c r="C926" s="19" t="n">
        <x:v>3</x:v>
      </x:c>
      <x:c r="D926" s="19" t="str">
        <x:v>C03-M029</x:v>
      </x:c>
      <x:c r="E926" s="19" t="str">
        <x:v>营火猎犬</x:v>
      </x:c>
      <x:c r="F926" s="19" t="str">
        <x:v>普通</x:v>
      </x:c>
      <x:c r="G926" s="19" t="str">
        <x:v>自身专属</x:v>
      </x:c>
      <x:c r="H926" s="19" t="str">
        <x:v>营火牙戒</x:v>
      </x:c>
      <x:c r="I926" s="22" t="n">
        <x:v>800</x:v>
      </x:c>
      <x:c r="J926" s="22" t="n">
        <x:v>1</x:v>
      </x:c>
      <x:c r="K926" s="19" t="n">
        <x:v>1</x:v>
      </x:c>
      <x:c r="L926" s="24" t="n">
        <x:v>14.989999999999998</x:v>
      </x:c>
      <x:c r="M926" s="26" t="n">
        <x:v>0.1</x:v>
      </x:c>
      <x:c r="N926" s="24" t="n">
        <x:v>72</x:v>
      </x:c>
      <x:c r="O926" s="28" t="n">
        <x:f>MIN(1,L926/I926)</x:f>
        <x:v>0.018737499999999997</x:v>
      </x:c>
      <x:c r="P926" s="30" t="n">
        <x:f>O926*J926*(1+M926)</x:f>
        <x:v>0.020611249999999998</x:v>
      </x:c>
      <x:c r="Q926" s="30" t="n">
        <x:f>P926*N926</x:f>
        <x:v>1.4840099999999998</x:v>
      </x:c>
      <x:c r="R926" s="19" t="str">
        <x:v>独立判定</x:v>
      </x:c>
    </x:row>
    <x:row r="927" ht="19" customHeight="1">
      <x:c r="A927" s="19" t="str">
        <x:v>D00923</x:v>
      </x:c>
      <x:c r="B927" s="19" t="n">
        <x:v>3</x:v>
      </x:c>
      <x:c r="C927" s="19" t="n">
        <x:v>3</x:v>
      </x:c>
      <x:c r="D927" s="19" t="str">
        <x:v>C03-M029</x:v>
      </x:c>
      <x:c r="E927" s="19" t="str">
        <x:v>营火猎犬</x:v>
      </x:c>
      <x:c r="F927" s="19" t="str">
        <x:v>普通</x:v>
      </x:c>
      <x:c r="G927" s="19" t="str">
        <x:v>材料独立候选</x:v>
      </x:c>
      <x:c r="H927" s="19" t="str">
        <x:v>风蚀铁片</x:v>
      </x:c>
      <x:c r="I927" s="22" t="n">
        <x:v>800</x:v>
      </x:c>
      <x:c r="J927" s="22" t="n">
        <x:v>8</x:v>
      </x:c>
      <x:c r="K927" s="19" t="n">
        <x:v>1</x:v>
      </x:c>
      <x:c r="L927" s="24" t="n">
        <x:v>14.989999999999998</x:v>
      </x:c>
      <x:c r="M927" s="26" t="n">
        <x:v>0.1</x:v>
      </x:c>
      <x:c r="N927" s="24" t="n">
        <x:v>72</x:v>
      </x:c>
      <x:c r="O927" s="28" t="n">
        <x:f>MIN(1,L927/I927)</x:f>
        <x:v>0.018737499999999997</x:v>
      </x:c>
      <x:c r="P927" s="30" t="n">
        <x:f>O927*J927*(1+M927)</x:f>
        <x:v>0.16488999999999998</x:v>
      </x:c>
      <x:c r="Q927" s="30" t="n">
        <x:f>P927*N927</x:f>
        <x:v>11.872079999999999</x:v>
      </x:c>
      <x:c r="R927" s="19" t="str">
        <x:v>独立判定</x:v>
      </x:c>
    </x:row>
    <x:row r="928" ht="19" customHeight="1">
      <x:c r="A928" s="19" t="str">
        <x:v>D00924</x:v>
      </x:c>
      <x:c r="B928" s="19" t="n">
        <x:v>3</x:v>
      </x:c>
      <x:c r="C928" s="19" t="n">
        <x:v>3</x:v>
      </x:c>
      <x:c r="D928" s="19" t="str">
        <x:v>C03-M029</x:v>
      </x:c>
      <x:c r="E928" s="19" t="str">
        <x:v>营火猎犬</x:v>
      </x:c>
      <x:c r="F928" s="19" t="str">
        <x:v>普通</x:v>
      </x:c>
      <x:c r="G928" s="19" t="str">
        <x:v>材料独立候选</x:v>
      </x:c>
      <x:c r="H928" s="19" t="str">
        <x:v>裂风崖羽</x:v>
      </x:c>
      <x:c r="I928" s="22" t="n">
        <x:v>1800</x:v>
      </x:c>
      <x:c r="J928" s="22" t="n">
        <x:v>1</x:v>
      </x:c>
      <x:c r="K928" s="19" t="n">
        <x:v>1</x:v>
      </x:c>
      <x:c r="L928" s="24" t="n">
        <x:v>14.989999999999998</x:v>
      </x:c>
      <x:c r="M928" s="26" t="n">
        <x:v>0.1</x:v>
      </x:c>
      <x:c r="N928" s="24" t="n">
        <x:v>72</x:v>
      </x:c>
      <x:c r="O928" s="28" t="n">
        <x:f>MIN(1,L928/I928)</x:f>
        <x:v>0.008327777777777778</x:v>
      </x:c>
      <x:c r="P928" s="30" t="n">
        <x:f>O928*J928*(1+M928)</x:f>
        <x:v>0.009160555555555555</x:v>
      </x:c>
      <x:c r="Q928" s="30" t="n">
        <x:f>P928*N928</x:f>
        <x:v>0.65956</x:v>
      </x:c>
      <x:c r="R928" s="19" t="str">
        <x:v>独立判定</x:v>
      </x:c>
    </x:row>
    <x:row r="929" ht="19" customHeight="1">
      <x:c r="A929" s="19" t="str">
        <x:v>D00925</x:v>
      </x:c>
      <x:c r="B929" s="19" t="n">
        <x:v>3</x:v>
      </x:c>
      <x:c r="C929" s="19" t="n">
        <x:v>3</x:v>
      </x:c>
      <x:c r="D929" s="19" t="str">
        <x:v>C03-M029</x:v>
      </x:c>
      <x:c r="E929" s="19" t="str">
        <x:v>营火猎犬</x:v>
      </x:c>
      <x:c r="F929" s="19" t="str">
        <x:v>普通</x:v>
      </x:c>
      <x:c r="G929" s="19" t="str">
        <x:v>材料独立候选</x:v>
      </x:c>
      <x:c r="H929" s="19" t="str">
        <x:v>西境风痕碑拓</x:v>
      </x:c>
      <x:c r="I929" s="22" t="n">
        <x:v>600000</x:v>
      </x:c>
      <x:c r="J929" s="22" t="n">
        <x:v>1</x:v>
      </x:c>
      <x:c r="K929" s="19" t="n">
        <x:v>1</x:v>
      </x:c>
      <x:c r="L929" s="24" t="n">
        <x:v>14.989999999999998</x:v>
      </x:c>
      <x:c r="M929" s="26" t="n">
        <x:v>0.1</x:v>
      </x:c>
      <x:c r="N929" s="24" t="n">
        <x:v>72</x:v>
      </x:c>
      <x:c r="O929" s="28" t="n">
        <x:f>MIN(1,L929/I929)</x:f>
        <x:v>0.000024983333333333332</x:v>
      </x:c>
      <x:c r="P929" s="30" t="n">
        <x:f>O929*J929*(1+M929)</x:f>
        <x:v>0.000027481666666666668</x:v>
      </x:c>
      <x:c r="Q929" s="30" t="n">
        <x:f>P929*N929</x:f>
        <x:v>0.00197868</x:v>
      </x:c>
      <x:c r="R929" s="19" t="str">
        <x:v>独立判定</x:v>
      </x:c>
    </x:row>
    <x:row r="930" ht="19" customHeight="1">
      <x:c r="A930" s="19" t="str">
        <x:v>D00926</x:v>
      </x:c>
      <x:c r="B930" s="19" t="n">
        <x:v>3</x:v>
      </x:c>
      <x:c r="C930" s="19" t="n">
        <x:v>3</x:v>
      </x:c>
      <x:c r="D930" s="19" t="str">
        <x:v>C03-M029</x:v>
      </x:c>
      <x:c r="E930" s="19" t="str">
        <x:v>营火猎犬</x:v>
      </x:c>
      <x:c r="F930" s="19" t="str">
        <x:v>普通</x:v>
      </x:c>
      <x:c r="G930" s="19" t="str">
        <x:v>材料独立候选</x:v>
      </x:c>
      <x:c r="H930" s="19" t="str">
        <x:v>野兽骨片</x:v>
      </x:c>
      <x:c r="I930" s="22" t="n">
        <x:v>100</x:v>
      </x:c>
      <x:c r="J930" s="22" t="n">
        <x:v>2</x:v>
      </x:c>
      <x:c r="K930" s="19" t="n">
        <x:v>1</x:v>
      </x:c>
      <x:c r="L930" s="24" t="n">
        <x:v>14.989999999999998</x:v>
      </x:c>
      <x:c r="M930" s="26" t="n">
        <x:v>0.1</x:v>
      </x:c>
      <x:c r="N930" s="24" t="n">
        <x:v>72</x:v>
      </x:c>
      <x:c r="O930" s="28" t="n">
        <x:f>MIN(1,L930/I930)</x:f>
        <x:v>0.14989999999999998</x:v>
      </x:c>
      <x:c r="P930" s="30" t="n">
        <x:f>O930*J930*(1+M930)</x:f>
        <x:v>0.32977999999999996</x:v>
      </x:c>
      <x:c r="Q930" s="30" t="n">
        <x:f>P930*N930</x:f>
        <x:v>23.744159999999997</x:v>
      </x:c>
      <x:c r="R930" s="19" t="str">
        <x:v>独立判定</x:v>
      </x:c>
    </x:row>
    <x:row r="931" ht="19" customHeight="1">
      <x:c r="A931" s="19" t="str">
        <x:v>D00927</x:v>
      </x:c>
      <x:c r="B931" s="19" t="n">
        <x:v>3</x:v>
      </x:c>
      <x:c r="C931" s="19" t="n">
        <x:v>3</x:v>
      </x:c>
      <x:c r="D931" s="19" t="str">
        <x:v>C03-M029</x:v>
      </x:c>
      <x:c r="E931" s="19" t="str">
        <x:v>营火猎犬</x:v>
      </x:c>
      <x:c r="F931" s="19" t="str">
        <x:v>普通</x:v>
      </x:c>
      <x:c r="G931" s="19" t="str">
        <x:v>材料独立候选</x:v>
      </x:c>
      <x:c r="H931" s="19" t="str">
        <x:v>技能残页</x:v>
      </x:c>
      <x:c r="I931" s="22" t="n">
        <x:v>250</x:v>
      </x:c>
      <x:c r="J931" s="22" t="n">
        <x:v>1</x:v>
      </x:c>
      <x:c r="K931" s="19" t="n">
        <x:v>1</x:v>
      </x:c>
      <x:c r="L931" s="24" t="n">
        <x:v>14.989999999999998</x:v>
      </x:c>
      <x:c r="M931" s="26" t="n">
        <x:v>0.1</x:v>
      </x:c>
      <x:c r="N931" s="24" t="n">
        <x:v>72</x:v>
      </x:c>
      <x:c r="O931" s="28" t="n">
        <x:f>MIN(1,L931/I931)</x:f>
        <x:v>0.05995999999999999</x:v>
      </x:c>
      <x:c r="P931" s="30" t="n">
        <x:f>O931*J931*(1+M931)</x:f>
        <x:v>0.065956</x:v>
      </x:c>
      <x:c r="Q931" s="30" t="n">
        <x:f>P931*N931</x:f>
        <x:v>4.748832</x:v>
      </x:c>
      <x:c r="R931" s="19" t="str">
        <x:v>独立判定</x:v>
      </x:c>
    </x:row>
    <x:row r="932" ht="19" customHeight="1">
      <x:c r="A932" s="19" t="str">
        <x:v>D00928</x:v>
      </x:c>
      <x:c r="B932" s="19" t="n">
        <x:v>3</x:v>
      </x:c>
      <x:c r="C932" s="19" t="n">
        <x:v>3</x:v>
      </x:c>
      <x:c r="D932" s="19" t="str">
        <x:v>C03-M029</x:v>
      </x:c>
      <x:c r="E932" s="19" t="str">
        <x:v>营火猎犬</x:v>
      </x:c>
      <x:c r="F932" s="19" t="str">
        <x:v>普通</x:v>
      </x:c>
      <x:c r="G932" s="19" t="str">
        <x:v>材料独立候选</x:v>
      </x:c>
      <x:c r="H932" s="19" t="str">
        <x:v>小卢恩</x:v>
      </x:c>
      <x:c r="I932" s="22" t="n">
        <x:v>4000</x:v>
      </x:c>
      <x:c r="J932" s="22" t="n">
        <x:v>1</x:v>
      </x:c>
      <x:c r="K932" s="19" t="n">
        <x:v>1</x:v>
      </x:c>
      <x:c r="L932" s="24" t="n">
        <x:v>14.989999999999998</x:v>
      </x:c>
      <x:c r="M932" s="26" t="n">
        <x:v>0.1</x:v>
      </x:c>
      <x:c r="N932" s="24" t="n">
        <x:v>72</x:v>
      </x:c>
      <x:c r="O932" s="28" t="n">
        <x:f>MIN(1,L932/I932)</x:f>
        <x:v>0.0037474999999999995</x:v>
      </x:c>
      <x:c r="P932" s="30" t="n">
        <x:f>O932*J932*(1+M932)</x:f>
        <x:v>0.00412225</x:v>
      </x:c>
      <x:c r="Q932" s="30" t="n">
        <x:f>P932*N932</x:f>
        <x:v>0.296802</x:v>
      </x:c>
      <x:c r="R932" s="19" t="str">
        <x:v>独立判定</x:v>
      </x:c>
    </x:row>
    <x:row r="933" ht="19" customHeight="1">
      <x:c r="A933" s="19" t="str">
        <x:v>D00929</x:v>
      </x:c>
      <x:c r="B933" s="19" t="n">
        <x:v>3</x:v>
      </x:c>
      <x:c r="C933" s="19" t="n">
        <x:v>3</x:v>
      </x:c>
      <x:c r="D933" s="19" t="str">
        <x:v>C03-M029</x:v>
      </x:c>
      <x:c r="E933" s="19" t="str">
        <x:v>营火猎犬</x:v>
      </x:c>
      <x:c r="F933" s="19" t="str">
        <x:v>普通</x:v>
      </x:c>
      <x:c r="G933" s="19" t="str">
        <x:v>六神器公共池</x:v>
      </x:c>
      <x:c r="H933" s="19" t="str">
        <x:v>POOL006</x:v>
      </x:c>
      <x:c r="I933" s="22" t="n">
        <x:v>20000000</x:v>
      </x:c>
      <x:c r="J933" s="22" t="n">
        <x:v>1</x:v>
      </x:c>
      <x:c r="K933" s="19" t="n">
        <x:v>6</x:v>
      </x:c>
      <x:c r="L933" s="24" t="n">
        <x:v>14.989999999999998</x:v>
      </x:c>
      <x:c r="M933" s="26" t="n">
        <x:v>0.1</x:v>
      </x:c>
      <x:c r="N933" s="24" t="n">
        <x:v>72</x:v>
      </x:c>
      <x:c r="O933" s="28" t="n">
        <x:f>MIN(1,L933/I933)</x:f>
        <x:v>7.494999999999999e-7</x:v>
      </x:c>
      <x:c r="P933" s="30" t="n">
        <x:f>O933*J933*(1+M933)</x:f>
        <x:v>8.244499999999999e-7</x:v>
      </x:c>
      <x:c r="Q933" s="30" t="n">
        <x:f>P933*N933</x:f>
        <x:v>0.000059360399999999995</x:v>
      </x:c>
      <x:c r="R933" s="19" t="str">
        <x:v>六选一；非6个独立爆率</x:v>
      </x:c>
    </x:row>
    <x:row r="934" ht="19" customHeight="1">
      <x:c r="A934" s="19" t="str">
        <x:v>D00930</x:v>
      </x:c>
      <x:c r="B934" s="19" t="n">
        <x:v>3</x:v>
      </x:c>
      <x:c r="C934" s="19" t="n">
        <x:v>3</x:v>
      </x:c>
      <x:c r="D934" s="19" t="str">
        <x:v>C03-M030</x:v>
      </x:c>
      <x:c r="E934" s="19" t="str">
        <x:v>断轮弩手</x:v>
      </x:c>
      <x:c r="F934" s="19" t="str">
        <x:v>普通</x:v>
      </x:c>
      <x:c r="G934" s="19" t="str">
        <x:v>自身专属</x:v>
      </x:c>
      <x:c r="H934" s="19" t="str">
        <x:v>断轮弩机</x:v>
      </x:c>
      <x:c r="I934" s="22" t="n">
        <x:v>800</x:v>
      </x:c>
      <x:c r="J934" s="22" t="n">
        <x:v>1</x:v>
      </x:c>
      <x:c r="K934" s="19" t="n">
        <x:v>1</x:v>
      </x:c>
      <x:c r="L934" s="24" t="n">
        <x:v>14.989999999999998</x:v>
      </x:c>
      <x:c r="M934" s="26" t="n">
        <x:v>0.1</x:v>
      </x:c>
      <x:c r="N934" s="24" t="n">
        <x:v>72</x:v>
      </x:c>
      <x:c r="O934" s="28" t="n">
        <x:f>MIN(1,L934/I934)</x:f>
        <x:v>0.018737499999999997</x:v>
      </x:c>
      <x:c r="P934" s="30" t="n">
        <x:f>O934*J934*(1+M934)</x:f>
        <x:v>0.020611249999999998</x:v>
      </x:c>
      <x:c r="Q934" s="30" t="n">
        <x:f>P934*N934</x:f>
        <x:v>1.4840099999999998</x:v>
      </x:c>
      <x:c r="R934" s="19" t="str">
        <x:v>独立判定</x:v>
      </x:c>
    </x:row>
    <x:row r="935" ht="19" customHeight="1">
      <x:c r="A935" s="19" t="str">
        <x:v>D00931</x:v>
      </x:c>
      <x:c r="B935" s="19" t="n">
        <x:v>3</x:v>
      </x:c>
      <x:c r="C935" s="19" t="n">
        <x:v>3</x:v>
      </x:c>
      <x:c r="D935" s="19" t="str">
        <x:v>C03-M030</x:v>
      </x:c>
      <x:c r="E935" s="19" t="str">
        <x:v>断轮弩手</x:v>
      </x:c>
      <x:c r="F935" s="19" t="str">
        <x:v>普通</x:v>
      </x:c>
      <x:c r="G935" s="19" t="str">
        <x:v>材料独立候选</x:v>
      </x:c>
      <x:c r="H935" s="19" t="str">
        <x:v>风蚀铁片</x:v>
      </x:c>
      <x:c r="I935" s="22" t="n">
        <x:v>800</x:v>
      </x:c>
      <x:c r="J935" s="22" t="n">
        <x:v>8</x:v>
      </x:c>
      <x:c r="K935" s="19" t="n">
        <x:v>1</x:v>
      </x:c>
      <x:c r="L935" s="24" t="n">
        <x:v>14.989999999999998</x:v>
      </x:c>
      <x:c r="M935" s="26" t="n">
        <x:v>0.1</x:v>
      </x:c>
      <x:c r="N935" s="24" t="n">
        <x:v>72</x:v>
      </x:c>
      <x:c r="O935" s="28" t="n">
        <x:f>MIN(1,L935/I935)</x:f>
        <x:v>0.018737499999999997</x:v>
      </x:c>
      <x:c r="P935" s="30" t="n">
        <x:f>O935*J935*(1+M935)</x:f>
        <x:v>0.16488999999999998</x:v>
      </x:c>
      <x:c r="Q935" s="30" t="n">
        <x:f>P935*N935</x:f>
        <x:v>11.872079999999999</x:v>
      </x:c>
      <x:c r="R935" s="19" t="str">
        <x:v>独立判定</x:v>
      </x:c>
    </x:row>
    <x:row r="936" ht="19" customHeight="1">
      <x:c r="A936" s="19" t="str">
        <x:v>D00932</x:v>
      </x:c>
      <x:c r="B936" s="19" t="n">
        <x:v>3</x:v>
      </x:c>
      <x:c r="C936" s="19" t="n">
        <x:v>3</x:v>
      </x:c>
      <x:c r="D936" s="19" t="str">
        <x:v>C03-M030</x:v>
      </x:c>
      <x:c r="E936" s="19" t="str">
        <x:v>断轮弩手</x:v>
      </x:c>
      <x:c r="F936" s="19" t="str">
        <x:v>普通</x:v>
      </x:c>
      <x:c r="G936" s="19" t="str">
        <x:v>材料独立候选</x:v>
      </x:c>
      <x:c r="H936" s="19" t="str">
        <x:v>裂风崖羽</x:v>
      </x:c>
      <x:c r="I936" s="22" t="n">
        <x:v>1800</x:v>
      </x:c>
      <x:c r="J936" s="22" t="n">
        <x:v>1</x:v>
      </x:c>
      <x:c r="K936" s="19" t="n">
        <x:v>1</x:v>
      </x:c>
      <x:c r="L936" s="24" t="n">
        <x:v>14.989999999999998</x:v>
      </x:c>
      <x:c r="M936" s="26" t="n">
        <x:v>0.1</x:v>
      </x:c>
      <x:c r="N936" s="24" t="n">
        <x:v>72</x:v>
      </x:c>
      <x:c r="O936" s="28" t="n">
        <x:f>MIN(1,L936/I936)</x:f>
        <x:v>0.008327777777777778</x:v>
      </x:c>
      <x:c r="P936" s="30" t="n">
        <x:f>O936*J936*(1+M936)</x:f>
        <x:v>0.009160555555555555</x:v>
      </x:c>
      <x:c r="Q936" s="30" t="n">
        <x:f>P936*N936</x:f>
        <x:v>0.65956</x:v>
      </x:c>
      <x:c r="R936" s="19" t="str">
        <x:v>独立判定</x:v>
      </x:c>
    </x:row>
    <x:row r="937" ht="19" customHeight="1">
      <x:c r="A937" s="19" t="str">
        <x:v>D00933</x:v>
      </x:c>
      <x:c r="B937" s="19" t="n">
        <x:v>3</x:v>
      </x:c>
      <x:c r="C937" s="19" t="n">
        <x:v>3</x:v>
      </x:c>
      <x:c r="D937" s="19" t="str">
        <x:v>C03-M030</x:v>
      </x:c>
      <x:c r="E937" s="19" t="str">
        <x:v>断轮弩手</x:v>
      </x:c>
      <x:c r="F937" s="19" t="str">
        <x:v>普通</x:v>
      </x:c>
      <x:c r="G937" s="19" t="str">
        <x:v>材料独立候选</x:v>
      </x:c>
      <x:c r="H937" s="19" t="str">
        <x:v>西境风痕碑拓</x:v>
      </x:c>
      <x:c r="I937" s="22" t="n">
        <x:v>600000</x:v>
      </x:c>
      <x:c r="J937" s="22" t="n">
        <x:v>1</x:v>
      </x:c>
      <x:c r="K937" s="19" t="n">
        <x:v>1</x:v>
      </x:c>
      <x:c r="L937" s="24" t="n">
        <x:v>14.989999999999998</x:v>
      </x:c>
      <x:c r="M937" s="26" t="n">
        <x:v>0.1</x:v>
      </x:c>
      <x:c r="N937" s="24" t="n">
        <x:v>72</x:v>
      </x:c>
      <x:c r="O937" s="28" t="n">
        <x:f>MIN(1,L937/I937)</x:f>
        <x:v>0.000024983333333333332</x:v>
      </x:c>
      <x:c r="P937" s="30" t="n">
        <x:f>O937*J937*(1+M937)</x:f>
        <x:v>0.000027481666666666668</x:v>
      </x:c>
      <x:c r="Q937" s="30" t="n">
        <x:f>P937*N937</x:f>
        <x:v>0.00197868</x:v>
      </x:c>
      <x:c r="R937" s="19" t="str">
        <x:v>独立判定</x:v>
      </x:c>
    </x:row>
    <x:row r="938" ht="19" customHeight="1">
      <x:c r="A938" s="19" t="str">
        <x:v>D00934</x:v>
      </x:c>
      <x:c r="B938" s="19" t="n">
        <x:v>3</x:v>
      </x:c>
      <x:c r="C938" s="19" t="n">
        <x:v>3</x:v>
      </x:c>
      <x:c r="D938" s="19" t="str">
        <x:v>C03-M030</x:v>
      </x:c>
      <x:c r="E938" s="19" t="str">
        <x:v>断轮弩手</x:v>
      </x:c>
      <x:c r="F938" s="19" t="str">
        <x:v>普通</x:v>
      </x:c>
      <x:c r="G938" s="19" t="str">
        <x:v>材料独立候选</x:v>
      </x:c>
      <x:c r="H938" s="19" t="str">
        <x:v>野兽骨片</x:v>
      </x:c>
      <x:c r="I938" s="22" t="n">
        <x:v>100</x:v>
      </x:c>
      <x:c r="J938" s="22" t="n">
        <x:v>2</x:v>
      </x:c>
      <x:c r="K938" s="19" t="n">
        <x:v>1</x:v>
      </x:c>
      <x:c r="L938" s="24" t="n">
        <x:v>14.989999999999998</x:v>
      </x:c>
      <x:c r="M938" s="26" t="n">
        <x:v>0.1</x:v>
      </x:c>
      <x:c r="N938" s="24" t="n">
        <x:v>72</x:v>
      </x:c>
      <x:c r="O938" s="28" t="n">
        <x:f>MIN(1,L938/I938)</x:f>
        <x:v>0.14989999999999998</x:v>
      </x:c>
      <x:c r="P938" s="30" t="n">
        <x:f>O938*J938*(1+M938)</x:f>
        <x:v>0.32977999999999996</x:v>
      </x:c>
      <x:c r="Q938" s="30" t="n">
        <x:f>P938*N938</x:f>
        <x:v>23.744159999999997</x:v>
      </x:c>
      <x:c r="R938" s="19" t="str">
        <x:v>独立判定</x:v>
      </x:c>
    </x:row>
    <x:row r="939" ht="19" customHeight="1">
      <x:c r="A939" s="19" t="str">
        <x:v>D00935</x:v>
      </x:c>
      <x:c r="B939" s="19" t="n">
        <x:v>3</x:v>
      </x:c>
      <x:c r="C939" s="19" t="n">
        <x:v>3</x:v>
      </x:c>
      <x:c r="D939" s="19" t="str">
        <x:v>C03-M030</x:v>
      </x:c>
      <x:c r="E939" s="19" t="str">
        <x:v>断轮弩手</x:v>
      </x:c>
      <x:c r="F939" s="19" t="str">
        <x:v>普通</x:v>
      </x:c>
      <x:c r="G939" s="19" t="str">
        <x:v>材料独立候选</x:v>
      </x:c>
      <x:c r="H939" s="19" t="str">
        <x:v>技能残页</x:v>
      </x:c>
      <x:c r="I939" s="22" t="n">
        <x:v>250</x:v>
      </x:c>
      <x:c r="J939" s="22" t="n">
        <x:v>1</x:v>
      </x:c>
      <x:c r="K939" s="19" t="n">
        <x:v>1</x:v>
      </x:c>
      <x:c r="L939" s="24" t="n">
        <x:v>14.989999999999998</x:v>
      </x:c>
      <x:c r="M939" s="26" t="n">
        <x:v>0.1</x:v>
      </x:c>
      <x:c r="N939" s="24" t="n">
        <x:v>72</x:v>
      </x:c>
      <x:c r="O939" s="28" t="n">
        <x:f>MIN(1,L939/I939)</x:f>
        <x:v>0.05995999999999999</x:v>
      </x:c>
      <x:c r="P939" s="30" t="n">
        <x:f>O939*J939*(1+M939)</x:f>
        <x:v>0.065956</x:v>
      </x:c>
      <x:c r="Q939" s="30" t="n">
        <x:f>P939*N939</x:f>
        <x:v>4.748832</x:v>
      </x:c>
      <x:c r="R939" s="19" t="str">
        <x:v>独立判定</x:v>
      </x:c>
    </x:row>
    <x:row r="940" ht="19" customHeight="1">
      <x:c r="A940" s="19" t="str">
        <x:v>D00936</x:v>
      </x:c>
      <x:c r="B940" s="19" t="n">
        <x:v>3</x:v>
      </x:c>
      <x:c r="C940" s="19" t="n">
        <x:v>3</x:v>
      </x:c>
      <x:c r="D940" s="19" t="str">
        <x:v>C03-M030</x:v>
      </x:c>
      <x:c r="E940" s="19" t="str">
        <x:v>断轮弩手</x:v>
      </x:c>
      <x:c r="F940" s="19" t="str">
        <x:v>普通</x:v>
      </x:c>
      <x:c r="G940" s="19" t="str">
        <x:v>材料独立候选</x:v>
      </x:c>
      <x:c r="H940" s="19" t="str">
        <x:v>小卢恩</x:v>
      </x:c>
      <x:c r="I940" s="22" t="n">
        <x:v>4000</x:v>
      </x:c>
      <x:c r="J940" s="22" t="n">
        <x:v>1</x:v>
      </x:c>
      <x:c r="K940" s="19" t="n">
        <x:v>1</x:v>
      </x:c>
      <x:c r="L940" s="24" t="n">
        <x:v>14.989999999999998</x:v>
      </x:c>
      <x:c r="M940" s="26" t="n">
        <x:v>0.1</x:v>
      </x:c>
      <x:c r="N940" s="24" t="n">
        <x:v>72</x:v>
      </x:c>
      <x:c r="O940" s="28" t="n">
        <x:f>MIN(1,L940/I940)</x:f>
        <x:v>0.0037474999999999995</x:v>
      </x:c>
      <x:c r="P940" s="30" t="n">
        <x:f>O940*J940*(1+M940)</x:f>
        <x:v>0.00412225</x:v>
      </x:c>
      <x:c r="Q940" s="30" t="n">
        <x:f>P940*N940</x:f>
        <x:v>0.296802</x:v>
      </x:c>
      <x:c r="R940" s="19" t="str">
        <x:v>独立判定</x:v>
      </x:c>
    </x:row>
    <x:row r="941" ht="19" customHeight="1">
      <x:c r="A941" s="19" t="str">
        <x:v>D00937</x:v>
      </x:c>
      <x:c r="B941" s="19" t="n">
        <x:v>3</x:v>
      </x:c>
      <x:c r="C941" s="19" t="n">
        <x:v>3</x:v>
      </x:c>
      <x:c r="D941" s="19" t="str">
        <x:v>C03-M030</x:v>
      </x:c>
      <x:c r="E941" s="19" t="str">
        <x:v>断轮弩手</x:v>
      </x:c>
      <x:c r="F941" s="19" t="str">
        <x:v>普通</x:v>
      </x:c>
      <x:c r="G941" s="19" t="str">
        <x:v>六神器公共池</x:v>
      </x:c>
      <x:c r="H941" s="19" t="str">
        <x:v>POOL006</x:v>
      </x:c>
      <x:c r="I941" s="22" t="n">
        <x:v>20000000</x:v>
      </x:c>
      <x:c r="J941" s="22" t="n">
        <x:v>1</x:v>
      </x:c>
      <x:c r="K941" s="19" t="n">
        <x:v>6</x:v>
      </x:c>
      <x:c r="L941" s="24" t="n">
        <x:v>14.989999999999998</x:v>
      </x:c>
      <x:c r="M941" s="26" t="n">
        <x:v>0.1</x:v>
      </x:c>
      <x:c r="N941" s="24" t="n">
        <x:v>72</x:v>
      </x:c>
      <x:c r="O941" s="28" t="n">
        <x:f>MIN(1,L941/I941)</x:f>
        <x:v>7.494999999999999e-7</x:v>
      </x:c>
      <x:c r="P941" s="30" t="n">
        <x:f>O941*J941*(1+M941)</x:f>
        <x:v>8.244499999999999e-7</x:v>
      </x:c>
      <x:c r="Q941" s="30" t="n">
        <x:f>P941*N941</x:f>
        <x:v>0.000059360399999999995</x:v>
      </x:c>
      <x:c r="R941" s="19" t="str">
        <x:v>六选一；非6个独立爆率</x:v>
      </x:c>
    </x:row>
    <x:row r="942" ht="19" customHeight="1">
      <x:c r="A942" s="19" t="str">
        <x:v>D00938</x:v>
      </x:c>
      <x:c r="B942" s="19" t="n">
        <x:v>3</x:v>
      </x:c>
      <x:c r="C942" s="19" t="n">
        <x:v>3</x:v>
      </x:c>
      <x:c r="D942" s="19" t="str">
        <x:v>C03-M031</x:v>
      </x:c>
      <x:c r="E942" s="19" t="str">
        <x:v>火漆追缉者</x:v>
      </x:c>
      <x:c r="F942" s="19" t="str">
        <x:v>稀有</x:v>
      </x:c>
      <x:c r="G942" s="19" t="str">
        <x:v>自身专属</x:v>
      </x:c>
      <x:c r="H942" s="19" t="str">
        <x:v>火漆追缉令</x:v>
      </x:c>
      <x:c r="I942" s="22" t="n">
        <x:v>250</x:v>
      </x:c>
      <x:c r="J942" s="22" t="n">
        <x:v>1</x:v>
      </x:c>
      <x:c r="K942" s="19" t="n">
        <x:v>1</x:v>
      </x:c>
      <x:c r="L942" s="24" t="n">
        <x:v>14.989999999999998</x:v>
      </x:c>
      <x:c r="M942" s="26" t="n">
        <x:v>0.1</x:v>
      </x:c>
      <x:c r="N942" s="24" t="n">
        <x:v>10.160178508322876</x:v>
      </x:c>
      <x:c r="O942" s="28" t="n">
        <x:f>MIN(1,L942/I942)</x:f>
        <x:v>0.05995999999999999</x:v>
      </x:c>
      <x:c r="P942" s="30" t="n">
        <x:f>O942*J942*(1+M942)</x:f>
        <x:v>0.065956</x:v>
      </x:c>
      <x:c r="Q942" s="30" t="n">
        <x:f>P942*N942</x:f>
        <x:v>0.6701247336949436</x:v>
      </x:c>
      <x:c r="R942" s="19" t="str">
        <x:v>独立判定</x:v>
      </x:c>
    </x:row>
    <x:row r="943" ht="19" customHeight="1">
      <x:c r="A943" s="19" t="str">
        <x:v>D00939</x:v>
      </x:c>
      <x:c r="B943" s="19" t="n">
        <x:v>3</x:v>
      </x:c>
      <x:c r="C943" s="19" t="n">
        <x:v>3</x:v>
      </x:c>
      <x:c r="D943" s="19" t="str">
        <x:v>C03-M031</x:v>
      </x:c>
      <x:c r="E943" s="19" t="str">
        <x:v>火漆追缉者</x:v>
      </x:c>
      <x:c r="F943" s="19" t="str">
        <x:v>稀有</x:v>
      </x:c>
      <x:c r="G943" s="19" t="str">
        <x:v>材料独立候选</x:v>
      </x:c>
      <x:c r="H943" s="19" t="str">
        <x:v>风蚀铁片</x:v>
      </x:c>
      <x:c r="I943" s="22" t="n">
        <x:v>500</x:v>
      </x:c>
      <x:c r="J943" s="22" t="n">
        <x:v>15</x:v>
      </x:c>
      <x:c r="K943" s="19" t="n">
        <x:v>1</x:v>
      </x:c>
      <x:c r="L943" s="24" t="n">
        <x:v>14.989999999999998</x:v>
      </x:c>
      <x:c r="M943" s="26" t="n">
        <x:v>0.1</x:v>
      </x:c>
      <x:c r="N943" s="24" t="n">
        <x:v>10.160178508322876</x:v>
      </x:c>
      <x:c r="O943" s="28" t="n">
        <x:f>MIN(1,L943/I943)</x:f>
        <x:v>0.029979999999999996</x:v>
      </x:c>
      <x:c r="P943" s="30" t="n">
        <x:f>O943*J943*(1+M943)</x:f>
        <x:v>0.49466999999999994</x:v>
      </x:c>
      <x:c r="Q943" s="30" t="n">
        <x:f>P943*N943</x:f>
        <x:v>5.025935502712076</x:v>
      </x:c>
      <x:c r="R943" s="19" t="str">
        <x:v>独立判定</x:v>
      </x:c>
    </x:row>
    <x:row r="944" ht="19" customHeight="1">
      <x:c r="A944" s="19" t="str">
        <x:v>D00940</x:v>
      </x:c>
      <x:c r="B944" s="19" t="n">
        <x:v>3</x:v>
      </x:c>
      <x:c r="C944" s="19" t="n">
        <x:v>3</x:v>
      </x:c>
      <x:c r="D944" s="19" t="str">
        <x:v>C03-M031</x:v>
      </x:c>
      <x:c r="E944" s="19" t="str">
        <x:v>火漆追缉者</x:v>
      </x:c>
      <x:c r="F944" s="19" t="str">
        <x:v>稀有</x:v>
      </x:c>
      <x:c r="G944" s="19" t="str">
        <x:v>材料独立候选</x:v>
      </x:c>
      <x:c r="H944" s="19" t="str">
        <x:v>西境战旗</x:v>
      </x:c>
      <x:c r="I944" s="22" t="n">
        <x:v>800</x:v>
      </x:c>
      <x:c r="J944" s="22" t="n">
        <x:v>1</x:v>
      </x:c>
      <x:c r="K944" s="19" t="n">
        <x:v>1</x:v>
      </x:c>
      <x:c r="L944" s="24" t="n">
        <x:v>14.989999999999998</x:v>
      </x:c>
      <x:c r="M944" s="26" t="n">
        <x:v>0.1</x:v>
      </x:c>
      <x:c r="N944" s="24" t="n">
        <x:v>10.160178508322876</x:v>
      </x:c>
      <x:c r="O944" s="28" t="n">
        <x:f>MIN(1,L944/I944)</x:f>
        <x:v>0.018737499999999997</x:v>
      </x:c>
      <x:c r="P944" s="30" t="n">
        <x:f>O944*J944*(1+M944)</x:f>
        <x:v>0.020611249999999998</x:v>
      </x:c>
      <x:c r="Q944" s="30" t="n">
        <x:f>P944*N944</x:f>
        <x:v>0.20941397927966984</x:v>
      </x:c>
      <x:c r="R944" s="19" t="str">
        <x:v>独立判定</x:v>
      </x:c>
    </x:row>
    <x:row r="945" ht="19" customHeight="1">
      <x:c r="A945" s="19" t="str">
        <x:v>D00941</x:v>
      </x:c>
      <x:c r="B945" s="19" t="n">
        <x:v>3</x:v>
      </x:c>
      <x:c r="C945" s="19" t="n">
        <x:v>3</x:v>
      </x:c>
      <x:c r="D945" s="19" t="str">
        <x:v>C03-M031</x:v>
      </x:c>
      <x:c r="E945" s="19" t="str">
        <x:v>火漆追缉者</x:v>
      </x:c>
      <x:c r="F945" s="19" t="str">
        <x:v>稀有</x:v>
      </x:c>
      <x:c r="G945" s="19" t="str">
        <x:v>材料独立候选</x:v>
      </x:c>
      <x:c r="H945" s="19" t="str">
        <x:v>商队火漆</x:v>
      </x:c>
      <x:c r="I945" s="22" t="n">
        <x:v>600</x:v>
      </x:c>
      <x:c r="J945" s="22" t="n">
        <x:v>1</x:v>
      </x:c>
      <x:c r="K945" s="19" t="n">
        <x:v>1</x:v>
      </x:c>
      <x:c r="L945" s="24" t="n">
        <x:v>14.989999999999998</x:v>
      </x:c>
      <x:c r="M945" s="26" t="n">
        <x:v>0.1</x:v>
      </x:c>
      <x:c r="N945" s="24" t="n">
        <x:v>10.160178508322876</x:v>
      </x:c>
      <x:c r="O945" s="28" t="n">
        <x:f>MIN(1,L945/I945)</x:f>
        <x:v>0.02498333333333333</x:v>
      </x:c>
      <x:c r="P945" s="30" t="n">
        <x:f>O945*J945*(1+M945)</x:f>
        <x:v>0.027481666666666665</x:v>
      </x:c>
      <x:c r="Q945" s="30" t="n">
        <x:f>P945*N945</x:f>
        <x:v>0.2792186390395598</x:v>
      </x:c>
      <x:c r="R945" s="19" t="str">
        <x:v>独立判定</x:v>
      </x:c>
    </x:row>
    <x:row r="946" ht="19" customHeight="1">
      <x:c r="A946" s="19" t="str">
        <x:v>D00942</x:v>
      </x:c>
      <x:c r="B946" s="19" t="n">
        <x:v>3</x:v>
      </x:c>
      <x:c r="C946" s="19" t="n">
        <x:v>3</x:v>
      </x:c>
      <x:c r="D946" s="19" t="str">
        <x:v>C03-M031</x:v>
      </x:c>
      <x:c r="E946" s="19" t="str">
        <x:v>火漆追缉者</x:v>
      </x:c>
      <x:c r="F946" s="19" t="str">
        <x:v>稀有</x:v>
      </x:c>
      <x:c r="G946" s="19" t="str">
        <x:v>材料独立候选</x:v>
      </x:c>
      <x:c r="H946" s="19" t="str">
        <x:v>西境风痕碑拓</x:v>
      </x:c>
      <x:c r="I946" s="22" t="n">
        <x:v>400000</x:v>
      </x:c>
      <x:c r="J946" s="22" t="n">
        <x:v>1</x:v>
      </x:c>
      <x:c r="K946" s="19" t="n">
        <x:v>1</x:v>
      </x:c>
      <x:c r="L946" s="24" t="n">
        <x:v>14.989999999999998</x:v>
      </x:c>
      <x:c r="M946" s="26" t="n">
        <x:v>0.1</x:v>
      </x:c>
      <x:c r="N946" s="24" t="n">
        <x:v>10.160178508322876</x:v>
      </x:c>
      <x:c r="O946" s="28" t="n">
        <x:f>MIN(1,L946/I946)</x:f>
        <x:v>0.000037474999999999996</x:v>
      </x:c>
      <x:c r="P946" s="30" t="n">
        <x:f>O946*J946*(1+M946)</x:f>
        <x:v>0.0000412225</x:v>
      </x:c>
      <x:c r="Q946" s="30" t="n">
        <x:f>P946*N946</x:f>
        <x:v>0.00041882795855933974</x:v>
      </x:c>
      <x:c r="R946" s="19" t="str">
        <x:v>独立判定</x:v>
      </x:c>
    </x:row>
    <x:row r="947" ht="19" customHeight="1">
      <x:c r="A947" s="19" t="str">
        <x:v>D00943</x:v>
      </x:c>
      <x:c r="B947" s="19" t="n">
        <x:v>3</x:v>
      </x:c>
      <x:c r="C947" s="19" t="n">
        <x:v>3</x:v>
      </x:c>
      <x:c r="D947" s="19" t="str">
        <x:v>C03-M031</x:v>
      </x:c>
      <x:c r="E947" s="19" t="str">
        <x:v>火漆追缉者</x:v>
      </x:c>
      <x:c r="F947" s="19" t="str">
        <x:v>稀有</x:v>
      </x:c>
      <x:c r="G947" s="19" t="str">
        <x:v>材料独立候选</x:v>
      </x:c>
      <x:c r="H947" s="19" t="str">
        <x:v>黄金树芽</x:v>
      </x:c>
      <x:c r="I947" s="22" t="n">
        <x:v>1800</x:v>
      </x:c>
      <x:c r="J947" s="22" t="n">
        <x:v>1</x:v>
      </x:c>
      <x:c r="K947" s="19" t="n">
        <x:v>1</x:v>
      </x:c>
      <x:c r="L947" s="24" t="n">
        <x:v>14.989999999999998</x:v>
      </x:c>
      <x:c r="M947" s="26" t="n">
        <x:v>0.1</x:v>
      </x:c>
      <x:c r="N947" s="24" t="n">
        <x:v>10.160178508322876</x:v>
      </x:c>
      <x:c r="O947" s="28" t="n">
        <x:f>MIN(1,L947/I947)</x:f>
        <x:v>0.008327777777777778</x:v>
      </x:c>
      <x:c r="P947" s="30" t="n">
        <x:f>O947*J947*(1+M947)</x:f>
        <x:v>0.009160555555555555</x:v>
      </x:c>
      <x:c r="Q947" s="30" t="n">
        <x:f>P947*N947</x:f>
        <x:v>0.09307287967985327</x:v>
      </x:c>
      <x:c r="R947" s="19" t="str">
        <x:v>独立判定</x:v>
      </x:c>
    </x:row>
    <x:row r="948" ht="19" customHeight="1">
      <x:c r="A948" s="19" t="str">
        <x:v>D00944</x:v>
      </x:c>
      <x:c r="B948" s="19" t="n">
        <x:v>3</x:v>
      </x:c>
      <x:c r="C948" s="19" t="n">
        <x:v>3</x:v>
      </x:c>
      <x:c r="D948" s="19" t="str">
        <x:v>C03-M031</x:v>
      </x:c>
      <x:c r="E948" s="19" t="str">
        <x:v>火漆追缉者</x:v>
      </x:c>
      <x:c r="F948" s="19" t="str">
        <x:v>稀有</x:v>
      </x:c>
      <x:c r="G948" s="19" t="str">
        <x:v>材料独立候选</x:v>
      </x:c>
      <x:c r="H948" s="19" t="str">
        <x:v>野兽骨片</x:v>
      </x:c>
      <x:c r="I948" s="22" t="n">
        <x:v>60</x:v>
      </x:c>
      <x:c r="J948" s="22" t="n">
        <x:v>2</x:v>
      </x:c>
      <x:c r="K948" s="19" t="n">
        <x:v>1</x:v>
      </x:c>
      <x:c r="L948" s="24" t="n">
        <x:v>14.989999999999998</x:v>
      </x:c>
      <x:c r="M948" s="26" t="n">
        <x:v>0.1</x:v>
      </x:c>
      <x:c r="N948" s="24" t="n">
        <x:v>10.160178508322876</x:v>
      </x:c>
      <x:c r="O948" s="28" t="n">
        <x:f>MIN(1,L948/I948)</x:f>
        <x:v>0.2498333333333333</x:v>
      </x:c>
      <x:c r="P948" s="30" t="n">
        <x:f>O948*J948*(1+M948)</x:f>
        <x:v>0.5496333333333333</x:v>
      </x:c>
      <x:c r="Q948" s="30" t="n">
        <x:f>P948*N948</x:f>
        <x:v>5.584372780791196</x:v>
      </x:c>
      <x:c r="R948" s="19" t="str">
        <x:v>独立判定</x:v>
      </x:c>
    </x:row>
    <x:row r="949" ht="19" customHeight="1">
      <x:c r="A949" s="19" t="str">
        <x:v>D00945</x:v>
      </x:c>
      <x:c r="B949" s="19" t="n">
        <x:v>3</x:v>
      </x:c>
      <x:c r="C949" s="19" t="n">
        <x:v>3</x:v>
      </x:c>
      <x:c r="D949" s="19" t="str">
        <x:v>C03-M031</x:v>
      </x:c>
      <x:c r="E949" s="19" t="str">
        <x:v>火漆追缉者</x:v>
      </x:c>
      <x:c r="F949" s="19" t="str">
        <x:v>稀有</x:v>
      </x:c>
      <x:c r="G949" s="19" t="str">
        <x:v>材料独立候选</x:v>
      </x:c>
      <x:c r="H949" s="19" t="str">
        <x:v>技能残页</x:v>
      </x:c>
      <x:c r="I949" s="22" t="n">
        <x:v>150</x:v>
      </x:c>
      <x:c r="J949" s="22" t="n">
        <x:v>1</x:v>
      </x:c>
      <x:c r="K949" s="19" t="n">
        <x:v>1</x:v>
      </x:c>
      <x:c r="L949" s="24" t="n">
        <x:v>14.989999999999998</x:v>
      </x:c>
      <x:c r="M949" s="26" t="n">
        <x:v>0.1</x:v>
      </x:c>
      <x:c r="N949" s="24" t="n">
        <x:v>10.160178508322876</x:v>
      </x:c>
      <x:c r="O949" s="28" t="n">
        <x:f>MIN(1,L949/I949)</x:f>
        <x:v>0.09993333333333332</x:v>
      </x:c>
      <x:c r="P949" s="30" t="n">
        <x:f>O949*J949*(1+M949)</x:f>
        <x:v>0.10992666666666666</x:v>
      </x:c>
      <x:c r="Q949" s="30" t="n">
        <x:f>P949*N949</x:f>
        <x:v>1.1168745561582392</x:v>
      </x:c>
      <x:c r="R949" s="19" t="str">
        <x:v>独立判定</x:v>
      </x:c>
    </x:row>
    <x:row r="950" ht="19" customHeight="1">
      <x:c r="A950" s="19" t="str">
        <x:v>D00946</x:v>
      </x:c>
      <x:c r="B950" s="19" t="n">
        <x:v>3</x:v>
      </x:c>
      <x:c r="C950" s="19" t="n">
        <x:v>3</x:v>
      </x:c>
      <x:c r="D950" s="19" t="str">
        <x:v>C03-M031</x:v>
      </x:c>
      <x:c r="E950" s="19" t="str">
        <x:v>火漆追缉者</x:v>
      </x:c>
      <x:c r="F950" s="19" t="str">
        <x:v>稀有</x:v>
      </x:c>
      <x:c r="G950" s="19" t="str">
        <x:v>材料独立候选</x:v>
      </x:c>
      <x:c r="H950" s="19" t="str">
        <x:v>小卢恩</x:v>
      </x:c>
      <x:c r="I950" s="22" t="n">
        <x:v>2500</x:v>
      </x:c>
      <x:c r="J950" s="22" t="n">
        <x:v>1</x:v>
      </x:c>
      <x:c r="K950" s="19" t="n">
        <x:v>1</x:v>
      </x:c>
      <x:c r="L950" s="24" t="n">
        <x:v>14.989999999999998</x:v>
      </x:c>
      <x:c r="M950" s="26" t="n">
        <x:v>0.1</x:v>
      </x:c>
      <x:c r="N950" s="24" t="n">
        <x:v>10.160178508322876</x:v>
      </x:c>
      <x:c r="O950" s="28" t="n">
        <x:f>MIN(1,L950/I950)</x:f>
        <x:v>0.005996</x:v>
      </x:c>
      <x:c r="P950" s="30" t="n">
        <x:f>O950*J950*(1+M950)</x:f>
        <x:v>0.0065956</x:v>
      </x:c>
      <x:c r="Q950" s="30" t="n">
        <x:f>P950*N950</x:f>
        <x:v>0.06701247336949435</x:v>
      </x:c>
      <x:c r="R950" s="19" t="str">
        <x:v>独立判定</x:v>
      </x:c>
    </x:row>
    <x:row r="951" ht="19" customHeight="1">
      <x:c r="A951" s="19" t="str">
        <x:v>D00947</x:v>
      </x:c>
      <x:c r="B951" s="19" t="n">
        <x:v>3</x:v>
      </x:c>
      <x:c r="C951" s="19" t="n">
        <x:v>3</x:v>
      </x:c>
      <x:c r="D951" s="19" t="str">
        <x:v>C03-M031</x:v>
      </x:c>
      <x:c r="E951" s="19" t="str">
        <x:v>火漆追缉者</x:v>
      </x:c>
      <x:c r="F951" s="19" t="str">
        <x:v>稀有</x:v>
      </x:c>
      <x:c r="G951" s="19" t="str">
        <x:v>六神器公共池</x:v>
      </x:c>
      <x:c r="H951" s="19" t="str">
        <x:v>POOL006</x:v>
      </x:c>
      <x:c r="I951" s="22" t="n">
        <x:v>5000000</x:v>
      </x:c>
      <x:c r="J951" s="22" t="n">
        <x:v>1</x:v>
      </x:c>
      <x:c r="K951" s="19" t="n">
        <x:v>6</x:v>
      </x:c>
      <x:c r="L951" s="24" t="n">
        <x:v>14.989999999999998</x:v>
      </x:c>
      <x:c r="M951" s="26" t="n">
        <x:v>0.1</x:v>
      </x:c>
      <x:c r="N951" s="24" t="n">
        <x:v>10.160178508322876</x:v>
      </x:c>
      <x:c r="O951" s="28" t="n">
        <x:f>MIN(1,L951/I951)</x:f>
        <x:v>0.0000029979999999999995</x:v>
      </x:c>
      <x:c r="P951" s="30" t="n">
        <x:f>O951*J951*(1+M951)</x:f>
        <x:v>0.0000032977999999999996</x:v>
      </x:c>
      <x:c r="Q951" s="30" t="n">
        <x:f>P951*N951</x:f>
        <x:v>0.000033506236684747174</x:v>
      </x:c>
      <x:c r="R951" s="19" t="str">
        <x:v>六选一；非6个独立爆率</x:v>
      </x:c>
    </x:row>
    <x:row r="952" ht="19" customHeight="1">
      <x:c r="A952" s="19" t="str">
        <x:v>D00948</x:v>
      </x:c>
      <x:c r="B952" s="19" t="n">
        <x:v>3</x:v>
      </x:c>
      <x:c r="C952" s="19" t="n">
        <x:v>3</x:v>
      </x:c>
      <x:c r="D952" s="19" t="str">
        <x:v>C03-M032</x:v>
      </x:c>
      <x:c r="E952" s="19" t="str">
        <x:v>商队叛骑</x:v>
      </x:c>
      <x:c r="F952" s="19" t="str">
        <x:v>稀有</x:v>
      </x:c>
      <x:c r="G952" s="19" t="str">
        <x:v>自身专属</x:v>
      </x:c>
      <x:c r="H952" s="19" t="str">
        <x:v>叛骑战靴</x:v>
      </x:c>
      <x:c r="I952" s="22" t="n">
        <x:v>250</x:v>
      </x:c>
      <x:c r="J952" s="22" t="n">
        <x:v>1</x:v>
      </x:c>
      <x:c r="K952" s="19" t="n">
        <x:v>1</x:v>
      </x:c>
      <x:c r="L952" s="24" t="n">
        <x:v>14.989999999999998</x:v>
      </x:c>
      <x:c r="M952" s="26" t="n">
        <x:v>0.1</x:v>
      </x:c>
      <x:c r="N952" s="24" t="n">
        <x:v>12</x:v>
      </x:c>
      <x:c r="O952" s="28" t="n">
        <x:f>MIN(1,L952/I952)</x:f>
        <x:v>0.05995999999999999</x:v>
      </x:c>
      <x:c r="P952" s="30" t="n">
        <x:f>O952*J952*(1+M952)</x:f>
        <x:v>0.065956</x:v>
      </x:c>
      <x:c r="Q952" s="30" t="n">
        <x:f>P952*N952</x:f>
        <x:v>0.791472</x:v>
      </x:c>
      <x:c r="R952" s="19" t="str">
        <x:v>独立判定</x:v>
      </x:c>
    </x:row>
    <x:row r="953" ht="19" customHeight="1">
      <x:c r="A953" s="19" t="str">
        <x:v>D00949</x:v>
      </x:c>
      <x:c r="B953" s="19" t="n">
        <x:v>3</x:v>
      </x:c>
      <x:c r="C953" s="19" t="n">
        <x:v>3</x:v>
      </x:c>
      <x:c r="D953" s="19" t="str">
        <x:v>C03-M032</x:v>
      </x:c>
      <x:c r="E953" s="19" t="str">
        <x:v>商队叛骑</x:v>
      </x:c>
      <x:c r="F953" s="19" t="str">
        <x:v>稀有</x:v>
      </x:c>
      <x:c r="G953" s="19" t="str">
        <x:v>材料独立候选</x:v>
      </x:c>
      <x:c r="H953" s="19" t="str">
        <x:v>风蚀铁片</x:v>
      </x:c>
      <x:c r="I953" s="22" t="n">
        <x:v>500</x:v>
      </x:c>
      <x:c r="J953" s="22" t="n">
        <x:v>15</x:v>
      </x:c>
      <x:c r="K953" s="19" t="n">
        <x:v>1</x:v>
      </x:c>
      <x:c r="L953" s="24" t="n">
        <x:v>14.989999999999998</x:v>
      </x:c>
      <x:c r="M953" s="26" t="n">
        <x:v>0.1</x:v>
      </x:c>
      <x:c r="N953" s="24" t="n">
        <x:v>12</x:v>
      </x:c>
      <x:c r="O953" s="28" t="n">
        <x:f>MIN(1,L953/I953)</x:f>
        <x:v>0.029979999999999996</x:v>
      </x:c>
      <x:c r="P953" s="30" t="n">
        <x:f>O953*J953*(1+M953)</x:f>
        <x:v>0.49466999999999994</x:v>
      </x:c>
      <x:c r="Q953" s="30" t="n">
        <x:f>P953*N953</x:f>
        <x:v>5.936039999999999</x:v>
      </x:c>
      <x:c r="R953" s="19" t="str">
        <x:v>独立判定</x:v>
      </x:c>
    </x:row>
    <x:row r="954" ht="19" customHeight="1">
      <x:c r="A954" s="19" t="str">
        <x:v>D00950</x:v>
      </x:c>
      <x:c r="B954" s="19" t="n">
        <x:v>3</x:v>
      </x:c>
      <x:c r="C954" s="19" t="n">
        <x:v>3</x:v>
      </x:c>
      <x:c r="D954" s="19" t="str">
        <x:v>C03-M032</x:v>
      </x:c>
      <x:c r="E954" s="19" t="str">
        <x:v>商队叛骑</x:v>
      </x:c>
      <x:c r="F954" s="19" t="str">
        <x:v>稀有</x:v>
      </x:c>
      <x:c r="G954" s="19" t="str">
        <x:v>材料独立候选</x:v>
      </x:c>
      <x:c r="H954" s="19" t="str">
        <x:v>西境战旗</x:v>
      </x:c>
      <x:c r="I954" s="22" t="n">
        <x:v>800</x:v>
      </x:c>
      <x:c r="J954" s="22" t="n">
        <x:v>1</x:v>
      </x:c>
      <x:c r="K954" s="19" t="n">
        <x:v>1</x:v>
      </x:c>
      <x:c r="L954" s="24" t="n">
        <x:v>14.989999999999998</x:v>
      </x:c>
      <x:c r="M954" s="26" t="n">
        <x:v>0.1</x:v>
      </x:c>
      <x:c r="N954" s="24" t="n">
        <x:v>12</x:v>
      </x:c>
      <x:c r="O954" s="28" t="n">
        <x:f>MIN(1,L954/I954)</x:f>
        <x:v>0.018737499999999997</x:v>
      </x:c>
      <x:c r="P954" s="30" t="n">
        <x:f>O954*J954*(1+M954)</x:f>
        <x:v>0.020611249999999998</x:v>
      </x:c>
      <x:c r="Q954" s="30" t="n">
        <x:f>P954*N954</x:f>
        <x:v>0.24733499999999997</x:v>
      </x:c>
      <x:c r="R954" s="19" t="str">
        <x:v>独立判定</x:v>
      </x:c>
    </x:row>
    <x:row r="955" ht="19" customHeight="1">
      <x:c r="A955" s="19" t="str">
        <x:v>D00951</x:v>
      </x:c>
      <x:c r="B955" s="19" t="n">
        <x:v>3</x:v>
      </x:c>
      <x:c r="C955" s="19" t="n">
        <x:v>3</x:v>
      </x:c>
      <x:c r="D955" s="19" t="str">
        <x:v>C03-M032</x:v>
      </x:c>
      <x:c r="E955" s="19" t="str">
        <x:v>商队叛骑</x:v>
      </x:c>
      <x:c r="F955" s="19" t="str">
        <x:v>稀有</x:v>
      </x:c>
      <x:c r="G955" s="19" t="str">
        <x:v>材料独立候选</x:v>
      </x:c>
      <x:c r="H955" s="19" t="str">
        <x:v>商队火漆</x:v>
      </x:c>
      <x:c r="I955" s="22" t="n">
        <x:v>600</x:v>
      </x:c>
      <x:c r="J955" s="22" t="n">
        <x:v>1</x:v>
      </x:c>
      <x:c r="K955" s="19" t="n">
        <x:v>1</x:v>
      </x:c>
      <x:c r="L955" s="24" t="n">
        <x:v>14.989999999999998</x:v>
      </x:c>
      <x:c r="M955" s="26" t="n">
        <x:v>0.1</x:v>
      </x:c>
      <x:c r="N955" s="24" t="n">
        <x:v>12</x:v>
      </x:c>
      <x:c r="O955" s="28" t="n">
        <x:f>MIN(1,L955/I955)</x:f>
        <x:v>0.02498333333333333</x:v>
      </x:c>
      <x:c r="P955" s="30" t="n">
        <x:f>O955*J955*(1+M955)</x:f>
        <x:v>0.027481666666666665</x:v>
      </x:c>
      <x:c r="Q955" s="30" t="n">
        <x:f>P955*N955</x:f>
        <x:v>0.32977999999999996</x:v>
      </x:c>
      <x:c r="R955" s="19" t="str">
        <x:v>独立判定</x:v>
      </x:c>
    </x:row>
    <x:row r="956" ht="19" customHeight="1">
      <x:c r="A956" s="19" t="str">
        <x:v>D00952</x:v>
      </x:c>
      <x:c r="B956" s="19" t="n">
        <x:v>3</x:v>
      </x:c>
      <x:c r="C956" s="19" t="n">
        <x:v>3</x:v>
      </x:c>
      <x:c r="D956" s="19" t="str">
        <x:v>C03-M032</x:v>
      </x:c>
      <x:c r="E956" s="19" t="str">
        <x:v>商队叛骑</x:v>
      </x:c>
      <x:c r="F956" s="19" t="str">
        <x:v>稀有</x:v>
      </x:c>
      <x:c r="G956" s="19" t="str">
        <x:v>材料独立候选</x:v>
      </x:c>
      <x:c r="H956" s="19" t="str">
        <x:v>西境风痕碑拓</x:v>
      </x:c>
      <x:c r="I956" s="22" t="n">
        <x:v>400000</x:v>
      </x:c>
      <x:c r="J956" s="22" t="n">
        <x:v>1</x:v>
      </x:c>
      <x:c r="K956" s="19" t="n">
        <x:v>1</x:v>
      </x:c>
      <x:c r="L956" s="24" t="n">
        <x:v>14.989999999999998</x:v>
      </x:c>
      <x:c r="M956" s="26" t="n">
        <x:v>0.1</x:v>
      </x:c>
      <x:c r="N956" s="24" t="n">
        <x:v>12</x:v>
      </x:c>
      <x:c r="O956" s="28" t="n">
        <x:f>MIN(1,L956/I956)</x:f>
        <x:v>0.000037474999999999996</x:v>
      </x:c>
      <x:c r="P956" s="30" t="n">
        <x:f>O956*J956*(1+M956)</x:f>
        <x:v>0.0000412225</x:v>
      </x:c>
      <x:c r="Q956" s="30" t="n">
        <x:f>P956*N956</x:f>
        <x:v>0.00049467</x:v>
      </x:c>
      <x:c r="R956" s="19" t="str">
        <x:v>独立判定</x:v>
      </x:c>
    </x:row>
    <x:row r="957" ht="19" customHeight="1">
      <x:c r="A957" s="19" t="str">
        <x:v>D00953</x:v>
      </x:c>
      <x:c r="B957" s="19" t="n">
        <x:v>3</x:v>
      </x:c>
      <x:c r="C957" s="19" t="n">
        <x:v>3</x:v>
      </x:c>
      <x:c r="D957" s="19" t="str">
        <x:v>C03-M032</x:v>
      </x:c>
      <x:c r="E957" s="19" t="str">
        <x:v>商队叛骑</x:v>
      </x:c>
      <x:c r="F957" s="19" t="str">
        <x:v>稀有</x:v>
      </x:c>
      <x:c r="G957" s="19" t="str">
        <x:v>材料独立候选</x:v>
      </x:c>
      <x:c r="H957" s="19" t="str">
        <x:v>黄金树芽</x:v>
      </x:c>
      <x:c r="I957" s="22" t="n">
        <x:v>1800</x:v>
      </x:c>
      <x:c r="J957" s="22" t="n">
        <x:v>1</x:v>
      </x:c>
      <x:c r="K957" s="19" t="n">
        <x:v>1</x:v>
      </x:c>
      <x:c r="L957" s="24" t="n">
        <x:v>14.989999999999998</x:v>
      </x:c>
      <x:c r="M957" s="26" t="n">
        <x:v>0.1</x:v>
      </x:c>
      <x:c r="N957" s="24" t="n">
        <x:v>12</x:v>
      </x:c>
      <x:c r="O957" s="28" t="n">
        <x:f>MIN(1,L957/I957)</x:f>
        <x:v>0.008327777777777778</x:v>
      </x:c>
      <x:c r="P957" s="30" t="n">
        <x:f>O957*J957*(1+M957)</x:f>
        <x:v>0.009160555555555555</x:v>
      </x:c>
      <x:c r="Q957" s="30" t="n">
        <x:f>P957*N957</x:f>
        <x:v>0.10992666666666667</x:v>
      </x:c>
      <x:c r="R957" s="19" t="str">
        <x:v>独立判定</x:v>
      </x:c>
    </x:row>
    <x:row r="958" ht="19" customHeight="1">
      <x:c r="A958" s="19" t="str">
        <x:v>D00954</x:v>
      </x:c>
      <x:c r="B958" s="19" t="n">
        <x:v>3</x:v>
      </x:c>
      <x:c r="C958" s="19" t="n">
        <x:v>3</x:v>
      </x:c>
      <x:c r="D958" s="19" t="str">
        <x:v>C03-M032</x:v>
      </x:c>
      <x:c r="E958" s="19" t="str">
        <x:v>商队叛骑</x:v>
      </x:c>
      <x:c r="F958" s="19" t="str">
        <x:v>稀有</x:v>
      </x:c>
      <x:c r="G958" s="19" t="str">
        <x:v>材料独立候选</x:v>
      </x:c>
      <x:c r="H958" s="19" t="str">
        <x:v>野兽骨片</x:v>
      </x:c>
      <x:c r="I958" s="22" t="n">
        <x:v>60</x:v>
      </x:c>
      <x:c r="J958" s="22" t="n">
        <x:v>2</x:v>
      </x:c>
      <x:c r="K958" s="19" t="n">
        <x:v>1</x:v>
      </x:c>
      <x:c r="L958" s="24" t="n">
        <x:v>14.989999999999998</x:v>
      </x:c>
      <x:c r="M958" s="26" t="n">
        <x:v>0.1</x:v>
      </x:c>
      <x:c r="N958" s="24" t="n">
        <x:v>12</x:v>
      </x:c>
      <x:c r="O958" s="28" t="n">
        <x:f>MIN(1,L958/I958)</x:f>
        <x:v>0.2498333333333333</x:v>
      </x:c>
      <x:c r="P958" s="30" t="n">
        <x:f>O958*J958*(1+M958)</x:f>
        <x:v>0.5496333333333333</x:v>
      </x:c>
      <x:c r="Q958" s="30" t="n">
        <x:f>P958*N958</x:f>
        <x:v>6.595599999999999</x:v>
      </x:c>
      <x:c r="R958" s="19" t="str">
        <x:v>独立判定</x:v>
      </x:c>
    </x:row>
    <x:row r="959" ht="19" customHeight="1">
      <x:c r="A959" s="19" t="str">
        <x:v>D00955</x:v>
      </x:c>
      <x:c r="B959" s="19" t="n">
        <x:v>3</x:v>
      </x:c>
      <x:c r="C959" s="19" t="n">
        <x:v>3</x:v>
      </x:c>
      <x:c r="D959" s="19" t="str">
        <x:v>C03-M032</x:v>
      </x:c>
      <x:c r="E959" s="19" t="str">
        <x:v>商队叛骑</x:v>
      </x:c>
      <x:c r="F959" s="19" t="str">
        <x:v>稀有</x:v>
      </x:c>
      <x:c r="G959" s="19" t="str">
        <x:v>材料独立候选</x:v>
      </x:c>
      <x:c r="H959" s="19" t="str">
        <x:v>技能残页</x:v>
      </x:c>
      <x:c r="I959" s="22" t="n">
        <x:v>150</x:v>
      </x:c>
      <x:c r="J959" s="22" t="n">
        <x:v>1</x:v>
      </x:c>
      <x:c r="K959" s="19" t="n">
        <x:v>1</x:v>
      </x:c>
      <x:c r="L959" s="24" t="n">
        <x:v>14.989999999999998</x:v>
      </x:c>
      <x:c r="M959" s="26" t="n">
        <x:v>0.1</x:v>
      </x:c>
      <x:c r="N959" s="24" t="n">
        <x:v>12</x:v>
      </x:c>
      <x:c r="O959" s="28" t="n">
        <x:f>MIN(1,L959/I959)</x:f>
        <x:v>0.09993333333333332</x:v>
      </x:c>
      <x:c r="P959" s="30" t="n">
        <x:f>O959*J959*(1+M959)</x:f>
        <x:v>0.10992666666666666</x:v>
      </x:c>
      <x:c r="Q959" s="30" t="n">
        <x:f>P959*N959</x:f>
        <x:v>1.3191199999999998</x:v>
      </x:c>
      <x:c r="R959" s="19" t="str">
        <x:v>独立判定</x:v>
      </x:c>
    </x:row>
    <x:row r="960" ht="19" customHeight="1">
      <x:c r="A960" s="19" t="str">
        <x:v>D00956</x:v>
      </x:c>
      <x:c r="B960" s="19" t="n">
        <x:v>3</x:v>
      </x:c>
      <x:c r="C960" s="19" t="n">
        <x:v>3</x:v>
      </x:c>
      <x:c r="D960" s="19" t="str">
        <x:v>C03-M032</x:v>
      </x:c>
      <x:c r="E960" s="19" t="str">
        <x:v>商队叛骑</x:v>
      </x:c>
      <x:c r="F960" s="19" t="str">
        <x:v>稀有</x:v>
      </x:c>
      <x:c r="G960" s="19" t="str">
        <x:v>材料独立候选</x:v>
      </x:c>
      <x:c r="H960" s="19" t="str">
        <x:v>小卢恩</x:v>
      </x:c>
      <x:c r="I960" s="22" t="n">
        <x:v>2500</x:v>
      </x:c>
      <x:c r="J960" s="22" t="n">
        <x:v>1</x:v>
      </x:c>
      <x:c r="K960" s="19" t="n">
        <x:v>1</x:v>
      </x:c>
      <x:c r="L960" s="24" t="n">
        <x:v>14.989999999999998</x:v>
      </x:c>
      <x:c r="M960" s="26" t="n">
        <x:v>0.1</x:v>
      </x:c>
      <x:c r="N960" s="24" t="n">
        <x:v>12</x:v>
      </x:c>
      <x:c r="O960" s="28" t="n">
        <x:f>MIN(1,L960/I960)</x:f>
        <x:v>0.005996</x:v>
      </x:c>
      <x:c r="P960" s="30" t="n">
        <x:f>O960*J960*(1+M960)</x:f>
        <x:v>0.0065956</x:v>
      </x:c>
      <x:c r="Q960" s="30" t="n">
        <x:f>P960*N960</x:f>
        <x:v>0.0791472</x:v>
      </x:c>
      <x:c r="R960" s="19" t="str">
        <x:v>独立判定</x:v>
      </x:c>
    </x:row>
    <x:row r="961" ht="19" customHeight="1">
      <x:c r="A961" s="19" t="str">
        <x:v>D00957</x:v>
      </x:c>
      <x:c r="B961" s="19" t="n">
        <x:v>3</x:v>
      </x:c>
      <x:c r="C961" s="19" t="n">
        <x:v>3</x:v>
      </x:c>
      <x:c r="D961" s="19" t="str">
        <x:v>C03-M032</x:v>
      </x:c>
      <x:c r="E961" s="19" t="str">
        <x:v>商队叛骑</x:v>
      </x:c>
      <x:c r="F961" s="19" t="str">
        <x:v>稀有</x:v>
      </x:c>
      <x:c r="G961" s="19" t="str">
        <x:v>六神器公共池</x:v>
      </x:c>
      <x:c r="H961" s="19" t="str">
        <x:v>POOL006</x:v>
      </x:c>
      <x:c r="I961" s="22" t="n">
        <x:v>5000000</x:v>
      </x:c>
      <x:c r="J961" s="22" t="n">
        <x:v>1</x:v>
      </x:c>
      <x:c r="K961" s="19" t="n">
        <x:v>6</x:v>
      </x:c>
      <x:c r="L961" s="24" t="n">
        <x:v>14.989999999999998</x:v>
      </x:c>
      <x:c r="M961" s="26" t="n">
        <x:v>0.1</x:v>
      </x:c>
      <x:c r="N961" s="24" t="n">
        <x:v>12</x:v>
      </x:c>
      <x:c r="O961" s="28" t="n">
        <x:f>MIN(1,L961/I961)</x:f>
        <x:v>0.0000029979999999999995</x:v>
      </x:c>
      <x:c r="P961" s="30" t="n">
        <x:f>O961*J961*(1+M961)</x:f>
        <x:v>0.0000032977999999999996</x:v>
      </x:c>
      <x:c r="Q961" s="30" t="n">
        <x:f>P961*N961</x:f>
        <x:v>0.0000395736</x:v>
      </x:c>
      <x:c r="R961" s="19" t="str">
        <x:v>六选一；非6个独立爆率</x:v>
      </x:c>
    </x:row>
    <x:row r="962" ht="19" customHeight="1">
      <x:c r="A962" s="19" t="str">
        <x:v>D00958</x:v>
      </x:c>
      <x:c r="B962" s="19" t="n">
        <x:v>3</x:v>
      </x:c>
      <x:c r="C962" s="19" t="n">
        <x:v>3</x:v>
      </x:c>
      <x:c r="D962" s="19" t="str">
        <x:v>C03-M033</x:v>
      </x:c>
      <x:c r="E962" s="19" t="str">
        <x:v>断路劫首</x:v>
      </x:c>
      <x:c r="F962" s="19" t="str">
        <x:v>稀有</x:v>
      </x:c>
      <x:c r="G962" s="19" t="str">
        <x:v>自身专属</x:v>
      </x:c>
      <x:c r="H962" s="19" t="str">
        <x:v>劫首弯刃</x:v>
      </x:c>
      <x:c r="I962" s="22" t="n">
        <x:v>250</x:v>
      </x:c>
      <x:c r="J962" s="22" t="n">
        <x:v>1</x:v>
      </x:c>
      <x:c r="K962" s="19" t="n">
        <x:v>1</x:v>
      </x:c>
      <x:c r="L962" s="24" t="n">
        <x:v>14.989999999999998</x:v>
      </x:c>
      <x:c r="M962" s="26" t="n">
        <x:v>0.1</x:v>
      </x:c>
      <x:c r="N962" s="24" t="n">
        <x:v>12</x:v>
      </x:c>
      <x:c r="O962" s="28" t="n">
        <x:f>MIN(1,L962/I962)</x:f>
        <x:v>0.05995999999999999</x:v>
      </x:c>
      <x:c r="P962" s="30" t="n">
        <x:f>O962*J962*(1+M962)</x:f>
        <x:v>0.065956</x:v>
      </x:c>
      <x:c r="Q962" s="30" t="n">
        <x:f>P962*N962</x:f>
        <x:v>0.791472</x:v>
      </x:c>
      <x:c r="R962" s="19" t="str">
        <x:v>独立判定</x:v>
      </x:c>
    </x:row>
    <x:row r="963" ht="19" customHeight="1">
      <x:c r="A963" s="19" t="str">
        <x:v>D00959</x:v>
      </x:c>
      <x:c r="B963" s="19" t="n">
        <x:v>3</x:v>
      </x:c>
      <x:c r="C963" s="19" t="n">
        <x:v>3</x:v>
      </x:c>
      <x:c r="D963" s="19" t="str">
        <x:v>C03-M033</x:v>
      </x:c>
      <x:c r="E963" s="19" t="str">
        <x:v>断路劫首</x:v>
      </x:c>
      <x:c r="F963" s="19" t="str">
        <x:v>稀有</x:v>
      </x:c>
      <x:c r="G963" s="19" t="str">
        <x:v>材料独立候选</x:v>
      </x:c>
      <x:c r="H963" s="19" t="str">
        <x:v>风蚀铁片</x:v>
      </x:c>
      <x:c r="I963" s="22" t="n">
        <x:v>500</x:v>
      </x:c>
      <x:c r="J963" s="22" t="n">
        <x:v>15</x:v>
      </x:c>
      <x:c r="K963" s="19" t="n">
        <x:v>1</x:v>
      </x:c>
      <x:c r="L963" s="24" t="n">
        <x:v>14.989999999999998</x:v>
      </x:c>
      <x:c r="M963" s="26" t="n">
        <x:v>0.1</x:v>
      </x:c>
      <x:c r="N963" s="24" t="n">
        <x:v>12</x:v>
      </x:c>
      <x:c r="O963" s="28" t="n">
        <x:f>MIN(1,L963/I963)</x:f>
        <x:v>0.029979999999999996</x:v>
      </x:c>
      <x:c r="P963" s="30" t="n">
        <x:f>O963*J963*(1+M963)</x:f>
        <x:v>0.49466999999999994</x:v>
      </x:c>
      <x:c r="Q963" s="30" t="n">
        <x:f>P963*N963</x:f>
        <x:v>5.936039999999999</x:v>
      </x:c>
      <x:c r="R963" s="19" t="str">
        <x:v>独立判定</x:v>
      </x:c>
    </x:row>
    <x:row r="964" ht="19" customHeight="1">
      <x:c r="A964" s="19" t="str">
        <x:v>D00960</x:v>
      </x:c>
      <x:c r="B964" s="19" t="n">
        <x:v>3</x:v>
      </x:c>
      <x:c r="C964" s="19" t="n">
        <x:v>3</x:v>
      </x:c>
      <x:c r="D964" s="19" t="str">
        <x:v>C03-M033</x:v>
      </x:c>
      <x:c r="E964" s="19" t="str">
        <x:v>断路劫首</x:v>
      </x:c>
      <x:c r="F964" s="19" t="str">
        <x:v>稀有</x:v>
      </x:c>
      <x:c r="G964" s="19" t="str">
        <x:v>材料独立候选</x:v>
      </x:c>
      <x:c r="H964" s="19" t="str">
        <x:v>西境战旗</x:v>
      </x:c>
      <x:c r="I964" s="22" t="n">
        <x:v>800</x:v>
      </x:c>
      <x:c r="J964" s="22" t="n">
        <x:v>1</x:v>
      </x:c>
      <x:c r="K964" s="19" t="n">
        <x:v>1</x:v>
      </x:c>
      <x:c r="L964" s="24" t="n">
        <x:v>14.989999999999998</x:v>
      </x:c>
      <x:c r="M964" s="26" t="n">
        <x:v>0.1</x:v>
      </x:c>
      <x:c r="N964" s="24" t="n">
        <x:v>12</x:v>
      </x:c>
      <x:c r="O964" s="28" t="n">
        <x:f>MIN(1,L964/I964)</x:f>
        <x:v>0.018737499999999997</x:v>
      </x:c>
      <x:c r="P964" s="30" t="n">
        <x:f>O964*J964*(1+M964)</x:f>
        <x:v>0.020611249999999998</x:v>
      </x:c>
      <x:c r="Q964" s="30" t="n">
        <x:f>P964*N964</x:f>
        <x:v>0.24733499999999997</x:v>
      </x:c>
      <x:c r="R964" s="19" t="str">
        <x:v>独立判定</x:v>
      </x:c>
    </x:row>
    <x:row r="965" ht="19" customHeight="1">
      <x:c r="A965" s="19" t="str">
        <x:v>D00961</x:v>
      </x:c>
      <x:c r="B965" s="19" t="n">
        <x:v>3</x:v>
      </x:c>
      <x:c r="C965" s="19" t="n">
        <x:v>3</x:v>
      </x:c>
      <x:c r="D965" s="19" t="str">
        <x:v>C03-M033</x:v>
      </x:c>
      <x:c r="E965" s="19" t="str">
        <x:v>断路劫首</x:v>
      </x:c>
      <x:c r="F965" s="19" t="str">
        <x:v>稀有</x:v>
      </x:c>
      <x:c r="G965" s="19" t="str">
        <x:v>材料独立候选</x:v>
      </x:c>
      <x:c r="H965" s="19" t="str">
        <x:v>商队火漆</x:v>
      </x:c>
      <x:c r="I965" s="22" t="n">
        <x:v>600</x:v>
      </x:c>
      <x:c r="J965" s="22" t="n">
        <x:v>1</x:v>
      </x:c>
      <x:c r="K965" s="19" t="n">
        <x:v>1</x:v>
      </x:c>
      <x:c r="L965" s="24" t="n">
        <x:v>14.989999999999998</x:v>
      </x:c>
      <x:c r="M965" s="26" t="n">
        <x:v>0.1</x:v>
      </x:c>
      <x:c r="N965" s="24" t="n">
        <x:v>12</x:v>
      </x:c>
      <x:c r="O965" s="28" t="n">
        <x:f>MIN(1,L965/I965)</x:f>
        <x:v>0.02498333333333333</x:v>
      </x:c>
      <x:c r="P965" s="30" t="n">
        <x:f>O965*J965*(1+M965)</x:f>
        <x:v>0.027481666666666665</x:v>
      </x:c>
      <x:c r="Q965" s="30" t="n">
        <x:f>P965*N965</x:f>
        <x:v>0.32977999999999996</x:v>
      </x:c>
      <x:c r="R965" s="19" t="str">
        <x:v>独立判定</x:v>
      </x:c>
    </x:row>
    <x:row r="966" ht="19" customHeight="1">
      <x:c r="A966" s="19" t="str">
        <x:v>D00962</x:v>
      </x:c>
      <x:c r="B966" s="19" t="n">
        <x:v>3</x:v>
      </x:c>
      <x:c r="C966" s="19" t="n">
        <x:v>3</x:v>
      </x:c>
      <x:c r="D966" s="19" t="str">
        <x:v>C03-M033</x:v>
      </x:c>
      <x:c r="E966" s="19" t="str">
        <x:v>断路劫首</x:v>
      </x:c>
      <x:c r="F966" s="19" t="str">
        <x:v>稀有</x:v>
      </x:c>
      <x:c r="G966" s="19" t="str">
        <x:v>材料独立候选</x:v>
      </x:c>
      <x:c r="H966" s="19" t="str">
        <x:v>西境风痕碑拓</x:v>
      </x:c>
      <x:c r="I966" s="22" t="n">
        <x:v>400000</x:v>
      </x:c>
      <x:c r="J966" s="22" t="n">
        <x:v>1</x:v>
      </x:c>
      <x:c r="K966" s="19" t="n">
        <x:v>1</x:v>
      </x:c>
      <x:c r="L966" s="24" t="n">
        <x:v>14.989999999999998</x:v>
      </x:c>
      <x:c r="M966" s="26" t="n">
        <x:v>0.1</x:v>
      </x:c>
      <x:c r="N966" s="24" t="n">
        <x:v>12</x:v>
      </x:c>
      <x:c r="O966" s="28" t="n">
        <x:f>MIN(1,L966/I966)</x:f>
        <x:v>0.000037474999999999996</x:v>
      </x:c>
      <x:c r="P966" s="30" t="n">
        <x:f>O966*J966*(1+M966)</x:f>
        <x:v>0.0000412225</x:v>
      </x:c>
      <x:c r="Q966" s="30" t="n">
        <x:f>P966*N966</x:f>
        <x:v>0.00049467</x:v>
      </x:c>
      <x:c r="R966" s="19" t="str">
        <x:v>独立判定</x:v>
      </x:c>
    </x:row>
    <x:row r="967" ht="19" customHeight="1">
      <x:c r="A967" s="19" t="str">
        <x:v>D00963</x:v>
      </x:c>
      <x:c r="B967" s="19" t="n">
        <x:v>3</x:v>
      </x:c>
      <x:c r="C967" s="19" t="n">
        <x:v>3</x:v>
      </x:c>
      <x:c r="D967" s="19" t="str">
        <x:v>C03-M033</x:v>
      </x:c>
      <x:c r="E967" s="19" t="str">
        <x:v>断路劫首</x:v>
      </x:c>
      <x:c r="F967" s="19" t="str">
        <x:v>稀有</x:v>
      </x:c>
      <x:c r="G967" s="19" t="str">
        <x:v>材料独立候选</x:v>
      </x:c>
      <x:c r="H967" s="19" t="str">
        <x:v>黄金树芽</x:v>
      </x:c>
      <x:c r="I967" s="22" t="n">
        <x:v>1800</x:v>
      </x:c>
      <x:c r="J967" s="22" t="n">
        <x:v>1</x:v>
      </x:c>
      <x:c r="K967" s="19" t="n">
        <x:v>1</x:v>
      </x:c>
      <x:c r="L967" s="24" t="n">
        <x:v>14.989999999999998</x:v>
      </x:c>
      <x:c r="M967" s="26" t="n">
        <x:v>0.1</x:v>
      </x:c>
      <x:c r="N967" s="24" t="n">
        <x:v>12</x:v>
      </x:c>
      <x:c r="O967" s="28" t="n">
        <x:f>MIN(1,L967/I967)</x:f>
        <x:v>0.008327777777777778</x:v>
      </x:c>
      <x:c r="P967" s="30" t="n">
        <x:f>O967*J967*(1+M967)</x:f>
        <x:v>0.009160555555555555</x:v>
      </x:c>
      <x:c r="Q967" s="30" t="n">
        <x:f>P967*N967</x:f>
        <x:v>0.10992666666666667</x:v>
      </x:c>
      <x:c r="R967" s="19" t="str">
        <x:v>独立判定</x:v>
      </x:c>
    </x:row>
    <x:row r="968" ht="19" customHeight="1">
      <x:c r="A968" s="19" t="str">
        <x:v>D00964</x:v>
      </x:c>
      <x:c r="B968" s="19" t="n">
        <x:v>3</x:v>
      </x:c>
      <x:c r="C968" s="19" t="n">
        <x:v>3</x:v>
      </x:c>
      <x:c r="D968" s="19" t="str">
        <x:v>C03-M033</x:v>
      </x:c>
      <x:c r="E968" s="19" t="str">
        <x:v>断路劫首</x:v>
      </x:c>
      <x:c r="F968" s="19" t="str">
        <x:v>稀有</x:v>
      </x:c>
      <x:c r="G968" s="19" t="str">
        <x:v>材料独立候选</x:v>
      </x:c>
      <x:c r="H968" s="19" t="str">
        <x:v>野兽骨片</x:v>
      </x:c>
      <x:c r="I968" s="22" t="n">
        <x:v>60</x:v>
      </x:c>
      <x:c r="J968" s="22" t="n">
        <x:v>2</x:v>
      </x:c>
      <x:c r="K968" s="19" t="n">
        <x:v>1</x:v>
      </x:c>
      <x:c r="L968" s="24" t="n">
        <x:v>14.989999999999998</x:v>
      </x:c>
      <x:c r="M968" s="26" t="n">
        <x:v>0.1</x:v>
      </x:c>
      <x:c r="N968" s="24" t="n">
        <x:v>12</x:v>
      </x:c>
      <x:c r="O968" s="28" t="n">
        <x:f>MIN(1,L968/I968)</x:f>
        <x:v>0.2498333333333333</x:v>
      </x:c>
      <x:c r="P968" s="30" t="n">
        <x:f>O968*J968*(1+M968)</x:f>
        <x:v>0.5496333333333333</x:v>
      </x:c>
      <x:c r="Q968" s="30" t="n">
        <x:f>P968*N968</x:f>
        <x:v>6.595599999999999</x:v>
      </x:c>
      <x:c r="R968" s="19" t="str">
        <x:v>独立判定</x:v>
      </x:c>
    </x:row>
    <x:row r="969" ht="19" customHeight="1">
      <x:c r="A969" s="19" t="str">
        <x:v>D00965</x:v>
      </x:c>
      <x:c r="B969" s="19" t="n">
        <x:v>3</x:v>
      </x:c>
      <x:c r="C969" s="19" t="n">
        <x:v>3</x:v>
      </x:c>
      <x:c r="D969" s="19" t="str">
        <x:v>C03-M033</x:v>
      </x:c>
      <x:c r="E969" s="19" t="str">
        <x:v>断路劫首</x:v>
      </x:c>
      <x:c r="F969" s="19" t="str">
        <x:v>稀有</x:v>
      </x:c>
      <x:c r="G969" s="19" t="str">
        <x:v>材料独立候选</x:v>
      </x:c>
      <x:c r="H969" s="19" t="str">
        <x:v>技能残页</x:v>
      </x:c>
      <x:c r="I969" s="22" t="n">
        <x:v>150</x:v>
      </x:c>
      <x:c r="J969" s="22" t="n">
        <x:v>1</x:v>
      </x:c>
      <x:c r="K969" s="19" t="n">
        <x:v>1</x:v>
      </x:c>
      <x:c r="L969" s="24" t="n">
        <x:v>14.989999999999998</x:v>
      </x:c>
      <x:c r="M969" s="26" t="n">
        <x:v>0.1</x:v>
      </x:c>
      <x:c r="N969" s="24" t="n">
        <x:v>12</x:v>
      </x:c>
      <x:c r="O969" s="28" t="n">
        <x:f>MIN(1,L969/I969)</x:f>
        <x:v>0.09993333333333332</x:v>
      </x:c>
      <x:c r="P969" s="30" t="n">
        <x:f>O969*J969*(1+M969)</x:f>
        <x:v>0.10992666666666666</x:v>
      </x:c>
      <x:c r="Q969" s="30" t="n">
        <x:f>P969*N969</x:f>
        <x:v>1.3191199999999998</x:v>
      </x:c>
      <x:c r="R969" s="19" t="str">
        <x:v>独立判定</x:v>
      </x:c>
    </x:row>
    <x:row r="970" ht="19" customHeight="1">
      <x:c r="A970" s="19" t="str">
        <x:v>D00966</x:v>
      </x:c>
      <x:c r="B970" s="19" t="n">
        <x:v>3</x:v>
      </x:c>
      <x:c r="C970" s="19" t="n">
        <x:v>3</x:v>
      </x:c>
      <x:c r="D970" s="19" t="str">
        <x:v>C03-M033</x:v>
      </x:c>
      <x:c r="E970" s="19" t="str">
        <x:v>断路劫首</x:v>
      </x:c>
      <x:c r="F970" s="19" t="str">
        <x:v>稀有</x:v>
      </x:c>
      <x:c r="G970" s="19" t="str">
        <x:v>材料独立候选</x:v>
      </x:c>
      <x:c r="H970" s="19" t="str">
        <x:v>小卢恩</x:v>
      </x:c>
      <x:c r="I970" s="22" t="n">
        <x:v>2500</x:v>
      </x:c>
      <x:c r="J970" s="22" t="n">
        <x:v>1</x:v>
      </x:c>
      <x:c r="K970" s="19" t="n">
        <x:v>1</x:v>
      </x:c>
      <x:c r="L970" s="24" t="n">
        <x:v>14.989999999999998</x:v>
      </x:c>
      <x:c r="M970" s="26" t="n">
        <x:v>0.1</x:v>
      </x:c>
      <x:c r="N970" s="24" t="n">
        <x:v>12</x:v>
      </x:c>
      <x:c r="O970" s="28" t="n">
        <x:f>MIN(1,L970/I970)</x:f>
        <x:v>0.005996</x:v>
      </x:c>
      <x:c r="P970" s="30" t="n">
        <x:f>O970*J970*(1+M970)</x:f>
        <x:v>0.0065956</x:v>
      </x:c>
      <x:c r="Q970" s="30" t="n">
        <x:f>P970*N970</x:f>
        <x:v>0.0791472</x:v>
      </x:c>
      <x:c r="R970" s="19" t="str">
        <x:v>独立判定</x:v>
      </x:c>
    </x:row>
    <x:row r="971" ht="19" customHeight="1">
      <x:c r="A971" s="19" t="str">
        <x:v>D00967</x:v>
      </x:c>
      <x:c r="B971" s="19" t="n">
        <x:v>3</x:v>
      </x:c>
      <x:c r="C971" s="19" t="n">
        <x:v>3</x:v>
      </x:c>
      <x:c r="D971" s="19" t="str">
        <x:v>C03-M033</x:v>
      </x:c>
      <x:c r="E971" s="19" t="str">
        <x:v>断路劫首</x:v>
      </x:c>
      <x:c r="F971" s="19" t="str">
        <x:v>稀有</x:v>
      </x:c>
      <x:c r="G971" s="19" t="str">
        <x:v>六神器公共池</x:v>
      </x:c>
      <x:c r="H971" s="19" t="str">
        <x:v>POOL006</x:v>
      </x:c>
      <x:c r="I971" s="22" t="n">
        <x:v>5000000</x:v>
      </x:c>
      <x:c r="J971" s="22" t="n">
        <x:v>1</x:v>
      </x:c>
      <x:c r="K971" s="19" t="n">
        <x:v>6</x:v>
      </x:c>
      <x:c r="L971" s="24" t="n">
        <x:v>14.989999999999998</x:v>
      </x:c>
      <x:c r="M971" s="26" t="n">
        <x:v>0.1</x:v>
      </x:c>
      <x:c r="N971" s="24" t="n">
        <x:v>12</x:v>
      </x:c>
      <x:c r="O971" s="28" t="n">
        <x:f>MIN(1,L971/I971)</x:f>
        <x:v>0.0000029979999999999995</x:v>
      </x:c>
      <x:c r="P971" s="30" t="n">
        <x:f>O971*J971*(1+M971)</x:f>
        <x:v>0.0000032977999999999996</x:v>
      </x:c>
      <x:c r="Q971" s="30" t="n">
        <x:f>P971*N971</x:f>
        <x:v>0.0000395736</x:v>
      </x:c>
      <x:c r="R971" s="19" t="str">
        <x:v>六选一；非6个独立爆率</x:v>
      </x:c>
    </x:row>
    <x:row r="972" ht="19" customHeight="1">
      <x:c r="A972" s="19" t="str">
        <x:v>D00968</x:v>
      </x:c>
      <x:c r="B972" s="19" t="n">
        <x:v>3</x:v>
      </x:c>
      <x:c r="C972" s="19" t="n">
        <x:v>3</x:v>
      </x:c>
      <x:c r="D972" s="19" t="str">
        <x:v>C03-M034</x:v>
      </x:c>
      <x:c r="E972" s="19" t="str">
        <x:v>黑帐术士</x:v>
      </x:c>
      <x:c r="F972" s="19" t="str">
        <x:v>稀有</x:v>
      </x:c>
      <x:c r="G972" s="19" t="str">
        <x:v>自身专属</x:v>
      </x:c>
      <x:c r="H972" s="19" t="str">
        <x:v>黯幕咒戒</x:v>
      </x:c>
      <x:c r="I972" s="22" t="n">
        <x:v>250</x:v>
      </x:c>
      <x:c r="J972" s="22" t="n">
        <x:v>1</x:v>
      </x:c>
      <x:c r="K972" s="19" t="n">
        <x:v>1</x:v>
      </x:c>
      <x:c r="L972" s="24" t="n">
        <x:v>14.989999999999998</x:v>
      </x:c>
      <x:c r="M972" s="26" t="n">
        <x:v>0.1</x:v>
      </x:c>
      <x:c r="N972" s="24" t="n">
        <x:v>11.043672291655298</x:v>
      </x:c>
      <x:c r="O972" s="28" t="n">
        <x:f>MIN(1,L972/I972)</x:f>
        <x:v>0.05995999999999999</x:v>
      </x:c>
      <x:c r="P972" s="30" t="n">
        <x:f>O972*J972*(1+M972)</x:f>
        <x:v>0.065956</x:v>
      </x:c>
      <x:c r="Q972" s="30" t="n">
        <x:f>P972*N972</x:f>
        <x:v>0.7283964496684169</x:v>
      </x:c>
      <x:c r="R972" s="19" t="str">
        <x:v>独立判定</x:v>
      </x:c>
    </x:row>
    <x:row r="973" ht="19" customHeight="1">
      <x:c r="A973" s="19" t="str">
        <x:v>D00969</x:v>
      </x:c>
      <x:c r="B973" s="19" t="n">
        <x:v>3</x:v>
      </x:c>
      <x:c r="C973" s="19" t="n">
        <x:v>3</x:v>
      </x:c>
      <x:c r="D973" s="19" t="str">
        <x:v>C03-M034</x:v>
      </x:c>
      <x:c r="E973" s="19" t="str">
        <x:v>黑帐术士</x:v>
      </x:c>
      <x:c r="F973" s="19" t="str">
        <x:v>稀有</x:v>
      </x:c>
      <x:c r="G973" s="19" t="str">
        <x:v>材料独立候选</x:v>
      </x:c>
      <x:c r="H973" s="19" t="str">
        <x:v>风蚀铁片</x:v>
      </x:c>
      <x:c r="I973" s="22" t="n">
        <x:v>500</x:v>
      </x:c>
      <x:c r="J973" s="22" t="n">
        <x:v>15</x:v>
      </x:c>
      <x:c r="K973" s="19" t="n">
        <x:v>1</x:v>
      </x:c>
      <x:c r="L973" s="24" t="n">
        <x:v>14.989999999999998</x:v>
      </x:c>
      <x:c r="M973" s="26" t="n">
        <x:v>0.1</x:v>
      </x:c>
      <x:c r="N973" s="24" t="n">
        <x:v>11.043672291655298</x:v>
      </x:c>
      <x:c r="O973" s="28" t="n">
        <x:f>MIN(1,L973/I973)</x:f>
        <x:v>0.029979999999999996</x:v>
      </x:c>
      <x:c r="P973" s="30" t="n">
        <x:f>O973*J973*(1+M973)</x:f>
        <x:v>0.49466999999999994</x:v>
      </x:c>
      <x:c r="Q973" s="30" t="n">
        <x:f>P973*N973</x:f>
        <x:v>5.462973372513126</x:v>
      </x:c>
      <x:c r="R973" s="19" t="str">
        <x:v>独立判定</x:v>
      </x:c>
    </x:row>
    <x:row r="974" ht="19" customHeight="1">
      <x:c r="A974" s="19" t="str">
        <x:v>D00970</x:v>
      </x:c>
      <x:c r="B974" s="19" t="n">
        <x:v>3</x:v>
      </x:c>
      <x:c r="C974" s="19" t="n">
        <x:v>3</x:v>
      </x:c>
      <x:c r="D974" s="19" t="str">
        <x:v>C03-M034</x:v>
      </x:c>
      <x:c r="E974" s="19" t="str">
        <x:v>黑帐术士</x:v>
      </x:c>
      <x:c r="F974" s="19" t="str">
        <x:v>稀有</x:v>
      </x:c>
      <x:c r="G974" s="19" t="str">
        <x:v>材料独立候选</x:v>
      </x:c>
      <x:c r="H974" s="19" t="str">
        <x:v>西境战旗</x:v>
      </x:c>
      <x:c r="I974" s="22" t="n">
        <x:v>800</x:v>
      </x:c>
      <x:c r="J974" s="22" t="n">
        <x:v>1</x:v>
      </x:c>
      <x:c r="K974" s="19" t="n">
        <x:v>1</x:v>
      </x:c>
      <x:c r="L974" s="24" t="n">
        <x:v>14.989999999999998</x:v>
      </x:c>
      <x:c r="M974" s="26" t="n">
        <x:v>0.1</x:v>
      </x:c>
      <x:c r="N974" s="24" t="n">
        <x:v>11.043672291655298</x:v>
      </x:c>
      <x:c r="O974" s="28" t="n">
        <x:f>MIN(1,L974/I974)</x:f>
        <x:v>0.018737499999999997</x:v>
      </x:c>
      <x:c r="P974" s="30" t="n">
        <x:f>O974*J974*(1+M974)</x:f>
        <x:v>0.020611249999999998</x:v>
      </x:c>
      <x:c r="Q974" s="30" t="n">
        <x:f>P974*N974</x:f>
        <x:v>0.22762389052138024</x:v>
      </x:c>
      <x:c r="R974" s="19" t="str">
        <x:v>独立判定</x:v>
      </x:c>
    </x:row>
    <x:row r="975" ht="19" customHeight="1">
      <x:c r="A975" s="19" t="str">
        <x:v>D00971</x:v>
      </x:c>
      <x:c r="B975" s="19" t="n">
        <x:v>3</x:v>
      </x:c>
      <x:c r="C975" s="19" t="n">
        <x:v>3</x:v>
      </x:c>
      <x:c r="D975" s="19" t="str">
        <x:v>C03-M034</x:v>
      </x:c>
      <x:c r="E975" s="19" t="str">
        <x:v>黑帐术士</x:v>
      </x:c>
      <x:c r="F975" s="19" t="str">
        <x:v>稀有</x:v>
      </x:c>
      <x:c r="G975" s="19" t="str">
        <x:v>材料独立候选</x:v>
      </x:c>
      <x:c r="H975" s="19" t="str">
        <x:v>商队火漆</x:v>
      </x:c>
      <x:c r="I975" s="22" t="n">
        <x:v>600</x:v>
      </x:c>
      <x:c r="J975" s="22" t="n">
        <x:v>1</x:v>
      </x:c>
      <x:c r="K975" s="19" t="n">
        <x:v>1</x:v>
      </x:c>
      <x:c r="L975" s="24" t="n">
        <x:v>14.989999999999998</x:v>
      </x:c>
      <x:c r="M975" s="26" t="n">
        <x:v>0.1</x:v>
      </x:c>
      <x:c r="N975" s="24" t="n">
        <x:v>11.043672291655298</x:v>
      </x:c>
      <x:c r="O975" s="28" t="n">
        <x:f>MIN(1,L975/I975)</x:f>
        <x:v>0.02498333333333333</x:v>
      </x:c>
      <x:c r="P975" s="30" t="n">
        <x:f>O975*J975*(1+M975)</x:f>
        <x:v>0.027481666666666665</x:v>
      </x:c>
      <x:c r="Q975" s="30" t="n">
        <x:f>P975*N975</x:f>
        <x:v>0.30349852069517363</x:v>
      </x:c>
      <x:c r="R975" s="19" t="str">
        <x:v>独立判定</x:v>
      </x:c>
    </x:row>
    <x:row r="976" ht="19" customHeight="1">
      <x:c r="A976" s="19" t="str">
        <x:v>D00972</x:v>
      </x:c>
      <x:c r="B976" s="19" t="n">
        <x:v>3</x:v>
      </x:c>
      <x:c r="C976" s="19" t="n">
        <x:v>3</x:v>
      </x:c>
      <x:c r="D976" s="19" t="str">
        <x:v>C03-M034</x:v>
      </x:c>
      <x:c r="E976" s="19" t="str">
        <x:v>黑帐术士</x:v>
      </x:c>
      <x:c r="F976" s="19" t="str">
        <x:v>稀有</x:v>
      </x:c>
      <x:c r="G976" s="19" t="str">
        <x:v>材料独立候选</x:v>
      </x:c>
      <x:c r="H976" s="19" t="str">
        <x:v>西境风痕碑拓</x:v>
      </x:c>
      <x:c r="I976" s="22" t="n">
        <x:v>400000</x:v>
      </x:c>
      <x:c r="J976" s="22" t="n">
        <x:v>1</x:v>
      </x:c>
      <x:c r="K976" s="19" t="n">
        <x:v>1</x:v>
      </x:c>
      <x:c r="L976" s="24" t="n">
        <x:v>14.989999999999998</x:v>
      </x:c>
      <x:c r="M976" s="26" t="n">
        <x:v>0.1</x:v>
      </x:c>
      <x:c r="N976" s="24" t="n">
        <x:v>11.043672291655298</x:v>
      </x:c>
      <x:c r="O976" s="28" t="n">
        <x:f>MIN(1,L976/I976)</x:f>
        <x:v>0.000037474999999999996</x:v>
      </x:c>
      <x:c r="P976" s="30" t="n">
        <x:f>O976*J976*(1+M976)</x:f>
        <x:v>0.0000412225</x:v>
      </x:c>
      <x:c r="Q976" s="30" t="n">
        <x:f>P976*N976</x:f>
        <x:v>0.0004552477810427605</x:v>
      </x:c>
      <x:c r="R976" s="19" t="str">
        <x:v>独立判定</x:v>
      </x:c>
    </x:row>
    <x:row r="977" ht="19" customHeight="1">
      <x:c r="A977" s="19" t="str">
        <x:v>D00973</x:v>
      </x:c>
      <x:c r="B977" s="19" t="n">
        <x:v>3</x:v>
      </x:c>
      <x:c r="C977" s="19" t="n">
        <x:v>3</x:v>
      </x:c>
      <x:c r="D977" s="19" t="str">
        <x:v>C03-M034</x:v>
      </x:c>
      <x:c r="E977" s="19" t="str">
        <x:v>黑帐术士</x:v>
      </x:c>
      <x:c r="F977" s="19" t="str">
        <x:v>稀有</x:v>
      </x:c>
      <x:c r="G977" s="19" t="str">
        <x:v>材料独立候选</x:v>
      </x:c>
      <x:c r="H977" s="19" t="str">
        <x:v>黄金树芽</x:v>
      </x:c>
      <x:c r="I977" s="22" t="n">
        <x:v>1800</x:v>
      </x:c>
      <x:c r="J977" s="22" t="n">
        <x:v>1</x:v>
      </x:c>
      <x:c r="K977" s="19" t="n">
        <x:v>1</x:v>
      </x:c>
      <x:c r="L977" s="24" t="n">
        <x:v>14.989999999999998</x:v>
      </x:c>
      <x:c r="M977" s="26" t="n">
        <x:v>0.1</x:v>
      </x:c>
      <x:c r="N977" s="24" t="n">
        <x:v>11.043672291655298</x:v>
      </x:c>
      <x:c r="O977" s="28" t="n">
        <x:f>MIN(1,L977/I977)</x:f>
        <x:v>0.008327777777777778</x:v>
      </x:c>
      <x:c r="P977" s="30" t="n">
        <x:f>O977*J977*(1+M977)</x:f>
        <x:v>0.009160555555555555</x:v>
      </x:c>
      <x:c r="Q977" s="30" t="n">
        <x:f>P977*N977</x:f>
        <x:v>0.10116617356505789</x:v>
      </x:c>
      <x:c r="R977" s="19" t="str">
        <x:v>独立判定</x:v>
      </x:c>
    </x:row>
    <x:row r="978" ht="19" customHeight="1">
      <x:c r="A978" s="19" t="str">
        <x:v>D00974</x:v>
      </x:c>
      <x:c r="B978" s="19" t="n">
        <x:v>3</x:v>
      </x:c>
      <x:c r="C978" s="19" t="n">
        <x:v>3</x:v>
      </x:c>
      <x:c r="D978" s="19" t="str">
        <x:v>C03-M034</x:v>
      </x:c>
      <x:c r="E978" s="19" t="str">
        <x:v>黑帐术士</x:v>
      </x:c>
      <x:c r="F978" s="19" t="str">
        <x:v>稀有</x:v>
      </x:c>
      <x:c r="G978" s="19" t="str">
        <x:v>材料独立候选</x:v>
      </x:c>
      <x:c r="H978" s="19" t="str">
        <x:v>野兽骨片</x:v>
      </x:c>
      <x:c r="I978" s="22" t="n">
        <x:v>60</x:v>
      </x:c>
      <x:c r="J978" s="22" t="n">
        <x:v>2</x:v>
      </x:c>
      <x:c r="K978" s="19" t="n">
        <x:v>1</x:v>
      </x:c>
      <x:c r="L978" s="24" t="n">
        <x:v>14.989999999999998</x:v>
      </x:c>
      <x:c r="M978" s="26" t="n">
        <x:v>0.1</x:v>
      </x:c>
      <x:c r="N978" s="24" t="n">
        <x:v>11.043672291655298</x:v>
      </x:c>
      <x:c r="O978" s="28" t="n">
        <x:f>MIN(1,L978/I978)</x:f>
        <x:v>0.2498333333333333</x:v>
      </x:c>
      <x:c r="P978" s="30" t="n">
        <x:f>O978*J978*(1+M978)</x:f>
        <x:v>0.5496333333333333</x:v>
      </x:c>
      <x:c r="Q978" s="30" t="n">
        <x:f>P978*N978</x:f>
        <x:v>6.069970413903474</x:v>
      </x:c>
      <x:c r="R978" s="19" t="str">
        <x:v>独立判定</x:v>
      </x:c>
    </x:row>
    <x:row r="979" ht="19" customHeight="1">
      <x:c r="A979" s="19" t="str">
        <x:v>D00975</x:v>
      </x:c>
      <x:c r="B979" s="19" t="n">
        <x:v>3</x:v>
      </x:c>
      <x:c r="C979" s="19" t="n">
        <x:v>3</x:v>
      </x:c>
      <x:c r="D979" s="19" t="str">
        <x:v>C03-M034</x:v>
      </x:c>
      <x:c r="E979" s="19" t="str">
        <x:v>黑帐术士</x:v>
      </x:c>
      <x:c r="F979" s="19" t="str">
        <x:v>稀有</x:v>
      </x:c>
      <x:c r="G979" s="19" t="str">
        <x:v>材料独立候选</x:v>
      </x:c>
      <x:c r="H979" s="19" t="str">
        <x:v>技能残页</x:v>
      </x:c>
      <x:c r="I979" s="22" t="n">
        <x:v>150</x:v>
      </x:c>
      <x:c r="J979" s="22" t="n">
        <x:v>1</x:v>
      </x:c>
      <x:c r="K979" s="19" t="n">
        <x:v>1</x:v>
      </x:c>
      <x:c r="L979" s="24" t="n">
        <x:v>14.989999999999998</x:v>
      </x:c>
      <x:c r="M979" s="26" t="n">
        <x:v>0.1</x:v>
      </x:c>
      <x:c r="N979" s="24" t="n">
        <x:v>11.043672291655298</x:v>
      </x:c>
      <x:c r="O979" s="28" t="n">
        <x:f>MIN(1,L979/I979)</x:f>
        <x:v>0.09993333333333332</x:v>
      </x:c>
      <x:c r="P979" s="30" t="n">
        <x:f>O979*J979*(1+M979)</x:f>
        <x:v>0.10992666666666666</x:v>
      </x:c>
      <x:c r="Q979" s="30" t="n">
        <x:f>P979*N979</x:f>
        <x:v>1.2139940827806945</x:v>
      </x:c>
      <x:c r="R979" s="19" t="str">
        <x:v>独立判定</x:v>
      </x:c>
    </x:row>
    <x:row r="980" ht="19" customHeight="1">
      <x:c r="A980" s="19" t="str">
        <x:v>D00976</x:v>
      </x:c>
      <x:c r="B980" s="19" t="n">
        <x:v>3</x:v>
      </x:c>
      <x:c r="C980" s="19" t="n">
        <x:v>3</x:v>
      </x:c>
      <x:c r="D980" s="19" t="str">
        <x:v>C03-M034</x:v>
      </x:c>
      <x:c r="E980" s="19" t="str">
        <x:v>黑帐术士</x:v>
      </x:c>
      <x:c r="F980" s="19" t="str">
        <x:v>稀有</x:v>
      </x:c>
      <x:c r="G980" s="19" t="str">
        <x:v>材料独立候选</x:v>
      </x:c>
      <x:c r="H980" s="19" t="str">
        <x:v>小卢恩</x:v>
      </x:c>
      <x:c r="I980" s="22" t="n">
        <x:v>2500</x:v>
      </x:c>
      <x:c r="J980" s="22" t="n">
        <x:v>1</x:v>
      </x:c>
      <x:c r="K980" s="19" t="n">
        <x:v>1</x:v>
      </x:c>
      <x:c r="L980" s="24" t="n">
        <x:v>14.989999999999998</x:v>
      </x:c>
      <x:c r="M980" s="26" t="n">
        <x:v>0.1</x:v>
      </x:c>
      <x:c r="N980" s="24" t="n">
        <x:v>11.043672291655298</x:v>
      </x:c>
      <x:c r="O980" s="28" t="n">
        <x:f>MIN(1,L980/I980)</x:f>
        <x:v>0.005996</x:v>
      </x:c>
      <x:c r="P980" s="30" t="n">
        <x:f>O980*J980*(1+M980)</x:f>
        <x:v>0.0065956</x:v>
      </x:c>
      <x:c r="Q980" s="30" t="n">
        <x:f>P980*N980</x:f>
        <x:v>0.07283964496684169</x:v>
      </x:c>
      <x:c r="R980" s="19" t="str">
        <x:v>独立判定</x:v>
      </x:c>
    </x:row>
    <x:row r="981" ht="19" customHeight="1">
      <x:c r="A981" s="19" t="str">
        <x:v>D00977</x:v>
      </x:c>
      <x:c r="B981" s="19" t="n">
        <x:v>3</x:v>
      </x:c>
      <x:c r="C981" s="19" t="n">
        <x:v>3</x:v>
      </x:c>
      <x:c r="D981" s="19" t="str">
        <x:v>C03-M034</x:v>
      </x:c>
      <x:c r="E981" s="19" t="str">
        <x:v>黑帐术士</x:v>
      </x:c>
      <x:c r="F981" s="19" t="str">
        <x:v>稀有</x:v>
      </x:c>
      <x:c r="G981" s="19" t="str">
        <x:v>六神器公共池</x:v>
      </x:c>
      <x:c r="H981" s="19" t="str">
        <x:v>POOL006</x:v>
      </x:c>
      <x:c r="I981" s="22" t="n">
        <x:v>5000000</x:v>
      </x:c>
      <x:c r="J981" s="22" t="n">
        <x:v>1</x:v>
      </x:c>
      <x:c r="K981" s="19" t="n">
        <x:v>6</x:v>
      </x:c>
      <x:c r="L981" s="24" t="n">
        <x:v>14.989999999999998</x:v>
      </x:c>
      <x:c r="M981" s="26" t="n">
        <x:v>0.1</x:v>
      </x:c>
      <x:c r="N981" s="24" t="n">
        <x:v>11.043672291655298</x:v>
      </x:c>
      <x:c r="O981" s="28" t="n">
        <x:f>MIN(1,L981/I981)</x:f>
        <x:v>0.0000029979999999999995</x:v>
      </x:c>
      <x:c r="P981" s="30" t="n">
        <x:f>O981*J981*(1+M981)</x:f>
        <x:v>0.0000032977999999999996</x:v>
      </x:c>
      <x:c r="Q981" s="30" t="n">
        <x:f>P981*N981</x:f>
        <x:v>0.00003641982248342084</x:v>
      </x:c>
      <x:c r="R981" s="19" t="str">
        <x:v>六选一；非6个独立爆率</x:v>
      </x:c>
    </x:row>
    <x:row r="982" ht="19" customHeight="1">
      <x:c r="A982" s="19" t="str">
        <x:v>D00978</x:v>
      </x:c>
      <x:c r="B982" s="19" t="n">
        <x:v>3</x:v>
      </x:c>
      <x:c r="C982" s="19" t="n">
        <x:v>3</x:v>
      </x:c>
      <x:c r="D982" s="19" t="str">
        <x:v>C03-M035</x:v>
      </x:c>
      <x:c r="E982" s="19" t="str">
        <x:v>无路佣兵王·赫托</x:v>
      </x:c>
      <x:c r="F982" s="19" t="str">
        <x:v>地图BOSS</x:v>
      </x:c>
      <x:c r="G982" s="19" t="str">
        <x:v>自身专属</x:v>
      </x:c>
      <x:c r="H982" s="19" t="str">
        <x:v>无路王剑</x:v>
      </x:c>
      <x:c r="I982" s="22" t="n">
        <x:v>40</x:v>
      </x:c>
      <x:c r="J982" s="22" t="n">
        <x:v>1</x:v>
      </x:c>
      <x:c r="K982" s="19" t="n">
        <x:v>1</x:v>
      </x:c>
      <x:c r="L982" s="24" t="n">
        <x:v>14.989999999999998</x:v>
      </x:c>
      <x:c r="M982" s="26" t="n">
        <x:v>0.1</x:v>
      </x:c>
      <x:c r="N982" s="24" t="n">
        <x:v>2</x:v>
      </x:c>
      <x:c r="O982" s="28" t="n">
        <x:f>MIN(1,L982/I982)</x:f>
        <x:v>0.37474999999999997</x:v>
      </x:c>
      <x:c r="P982" s="30" t="n">
        <x:f>O982*J982*(1+M982)</x:f>
        <x:v>0.412225</x:v>
      </x:c>
      <x:c r="Q982" s="30" t="n">
        <x:f>P982*N982</x:f>
        <x:v>0.82445</x:v>
      </x:c>
      <x:c r="R982" s="19" t="str">
        <x:v>独立判定</x:v>
      </x:c>
    </x:row>
    <x:row r="983" ht="19" customHeight="1">
      <x:c r="A983" s="19" t="str">
        <x:v>D00979</x:v>
      </x:c>
      <x:c r="B983" s="19" t="n">
        <x:v>3</x:v>
      </x:c>
      <x:c r="C983" s="19" t="n">
        <x:v>3</x:v>
      </x:c>
      <x:c r="D983" s="19" t="str">
        <x:v>C03-M035</x:v>
      </x:c>
      <x:c r="E983" s="19" t="str">
        <x:v>无路佣兵王·赫托</x:v>
      </x:c>
      <x:c r="F983" s="19" t="str">
        <x:v>地图BOSS</x:v>
      </x:c>
      <x:c r="G983" s="19" t="str">
        <x:v>本图普通兼掉候选</x:v>
      </x:c>
      <x:c r="H983" s="19" t="str">
        <x:v>POOL016</x:v>
      </x:c>
      <x:c r="I983" s="22" t="n">
        <x:v>40</x:v>
      </x:c>
      <x:c r="J983" s="22" t="n">
        <x:v>1</x:v>
      </x:c>
      <x:c r="K983" s="19" t="n">
        <x:v>2</x:v>
      </x:c>
      <x:c r="L983" s="24" t="n">
        <x:v>14.989999999999998</x:v>
      </x:c>
      <x:c r="M983" s="26" t="n">
        <x:v>0.1</x:v>
      </x:c>
      <x:c r="N983" s="24" t="n">
        <x:v>2</x:v>
      </x:c>
      <x:c r="O983" s="28" t="n">
        <x:f>MIN(1,L983/I983)</x:f>
        <x:v>0.37474999999999997</x:v>
      </x:c>
      <x:c r="P983" s="30" t="n">
        <x:f>O983*J983*(1+M983)</x:f>
        <x:v>0.412225</x:v>
      </x:c>
      <x:c r="Q983" s="30" t="n">
        <x:f>P983*N983</x:f>
        <x:v>0.82445</x:v>
      </x:c>
      <x:c r="R983" s="19" t="str">
        <x:v>单池选一</x:v>
      </x:c>
    </x:row>
    <x:row r="984" ht="19" customHeight="1">
      <x:c r="A984" s="19" t="str">
        <x:v>D00980</x:v>
      </x:c>
      <x:c r="B984" s="19" t="n">
        <x:v>3</x:v>
      </x:c>
      <x:c r="C984" s="19" t="n">
        <x:v>3</x:v>
      </x:c>
      <x:c r="D984" s="19" t="str">
        <x:v>C03-M035</x:v>
      </x:c>
      <x:c r="E984" s="19" t="str">
        <x:v>无路佣兵王·赫托</x:v>
      </x:c>
      <x:c r="F984" s="19" t="str">
        <x:v>地图BOSS</x:v>
      </x:c>
      <x:c r="G984" s="19" t="str">
        <x:v>材料独立候选</x:v>
      </x:c>
      <x:c r="H984" s="19" t="str">
        <x:v>风蚀铁片</x:v>
      </x:c>
      <x:c r="I984" s="22" t="n">
        <x:v>250</x:v>
      </x:c>
      <x:c r="J984" s="22" t="n">
        <x:v>30</x:v>
      </x:c>
      <x:c r="K984" s="19" t="n">
        <x:v>1</x:v>
      </x:c>
      <x:c r="L984" s="24" t="n">
        <x:v>14.989999999999998</x:v>
      </x:c>
      <x:c r="M984" s="26" t="n">
        <x:v>0.1</x:v>
      </x:c>
      <x:c r="N984" s="24" t="n">
        <x:v>2</x:v>
      </x:c>
      <x:c r="O984" s="28" t="n">
        <x:f>MIN(1,L984/I984)</x:f>
        <x:v>0.05995999999999999</x:v>
      </x:c>
      <x:c r="P984" s="30" t="n">
        <x:f>O984*J984*(1+M984)</x:f>
        <x:v>1.9786799999999998</x:v>
      </x:c>
      <x:c r="Q984" s="30" t="n">
        <x:f>P984*N984</x:f>
        <x:v>3.9573599999999995</x:v>
      </x:c>
      <x:c r="R984" s="19" t="str">
        <x:v>独立判定</x:v>
      </x:c>
    </x:row>
    <x:row r="985" ht="19" customHeight="1">
      <x:c r="A985" s="19" t="str">
        <x:v>D00981</x:v>
      </x:c>
      <x:c r="B985" s="19" t="n">
        <x:v>3</x:v>
      </x:c>
      <x:c r="C985" s="19" t="n">
        <x:v>3</x:v>
      </x:c>
      <x:c r="D985" s="19" t="str">
        <x:v>C03-M035</x:v>
      </x:c>
      <x:c r="E985" s="19" t="str">
        <x:v>无路佣兵王·赫托</x:v>
      </x:c>
      <x:c r="F985" s="19" t="str">
        <x:v>地图BOSS</x:v>
      </x:c>
      <x:c r="G985" s="19" t="str">
        <x:v>材料独立候选</x:v>
      </x:c>
      <x:c r="H985" s="19" t="str">
        <x:v>西境战旗</x:v>
      </x:c>
      <x:c r="I985" s="22" t="n">
        <x:v>400</x:v>
      </x:c>
      <x:c r="J985" s="22" t="n">
        <x:v>1</x:v>
      </x:c>
      <x:c r="K985" s="19" t="n">
        <x:v>1</x:v>
      </x:c>
      <x:c r="L985" s="24" t="n">
        <x:v>14.989999999999998</x:v>
      </x:c>
      <x:c r="M985" s="26" t="n">
        <x:v>0.1</x:v>
      </x:c>
      <x:c r="N985" s="24" t="n">
        <x:v>2</x:v>
      </x:c>
      <x:c r="O985" s="28" t="n">
        <x:f>MIN(1,L985/I985)</x:f>
        <x:v>0.037474999999999994</x:v>
      </x:c>
      <x:c r="P985" s="30" t="n">
        <x:f>O985*J985*(1+M985)</x:f>
        <x:v>0.041222499999999995</x:v>
      </x:c>
      <x:c r="Q985" s="30" t="n">
        <x:f>P985*N985</x:f>
        <x:v>0.08244499999999999</x:v>
      </x:c>
      <x:c r="R985" s="19" t="str">
        <x:v>独立判定</x:v>
      </x:c>
    </x:row>
    <x:row r="986" ht="19" customHeight="1">
      <x:c r="A986" s="19" t="str">
        <x:v>D00982</x:v>
      </x:c>
      <x:c r="B986" s="19" t="n">
        <x:v>3</x:v>
      </x:c>
      <x:c r="C986" s="19" t="n">
        <x:v>3</x:v>
      </x:c>
      <x:c r="D986" s="19" t="str">
        <x:v>C03-M035</x:v>
      </x:c>
      <x:c r="E986" s="19" t="str">
        <x:v>无路佣兵王·赫托</x:v>
      </x:c>
      <x:c r="F986" s="19" t="str">
        <x:v>地图BOSS</x:v>
      </x:c>
      <x:c r="G986" s="19" t="str">
        <x:v>材料独立候选</x:v>
      </x:c>
      <x:c r="H986" s="19" t="str">
        <x:v>西境战旗印</x:v>
      </x:c>
      <x:c r="I986" s="22" t="n">
        <x:v>100</x:v>
      </x:c>
      <x:c r="J986" s="22" t="n">
        <x:v>2</x:v>
      </x:c>
      <x:c r="K986" s="19" t="n">
        <x:v>1</x:v>
      </x:c>
      <x:c r="L986" s="24" t="n">
        <x:v>14.989999999999998</x:v>
      </x:c>
      <x:c r="M986" s="26" t="n">
        <x:v>0.1</x:v>
      </x:c>
      <x:c r="N986" s="24" t="n">
        <x:v>2</x:v>
      </x:c>
      <x:c r="O986" s="28" t="n">
        <x:f>MIN(1,L986/I986)</x:f>
        <x:v>0.14989999999999998</x:v>
      </x:c>
      <x:c r="P986" s="30" t="n">
        <x:f>O986*J986*(1+M986)</x:f>
        <x:v>0.32977999999999996</x:v>
      </x:c>
      <x:c r="Q986" s="30" t="n">
        <x:f>P986*N986</x:f>
        <x:v>0.6595599999999999</x:v>
      </x:c>
      <x:c r="R986" s="19" t="str">
        <x:v>独立判定</x:v>
      </x:c>
    </x:row>
    <x:row r="987" ht="19" customHeight="1">
      <x:c r="A987" s="19" t="str">
        <x:v>D00983</x:v>
      </x:c>
      <x:c r="B987" s="19" t="n">
        <x:v>3</x:v>
      </x:c>
      <x:c r="C987" s="19" t="n">
        <x:v>3</x:v>
      </x:c>
      <x:c r="D987" s="19" t="str">
        <x:v>C03-M035</x:v>
      </x:c>
      <x:c r="E987" s="19" t="str">
        <x:v>无路佣兵王·赫托</x:v>
      </x:c>
      <x:c r="F987" s="19" t="str">
        <x:v>地图BOSS</x:v>
      </x:c>
      <x:c r="G987" s="19" t="str">
        <x:v>材料独立候选</x:v>
      </x:c>
      <x:c r="H987" s="19" t="str">
        <x:v>守垒铜钥</x:v>
      </x:c>
      <x:c r="I987" s="22" t="n">
        <x:v>120</x:v>
      </x:c>
      <x:c r="J987" s="22" t="n">
        <x:v>1</x:v>
      </x:c>
      <x:c r="K987" s="19" t="n">
        <x:v>1</x:v>
      </x:c>
      <x:c r="L987" s="24" t="n">
        <x:v>14.989999999999998</x:v>
      </x:c>
      <x:c r="M987" s="26" t="n">
        <x:v>0.1</x:v>
      </x:c>
      <x:c r="N987" s="24" t="n">
        <x:v>2</x:v>
      </x:c>
      <x:c r="O987" s="28" t="n">
        <x:f>MIN(1,L987/I987)</x:f>
        <x:v>0.12491666666666665</x:v>
      </x:c>
      <x:c r="P987" s="30" t="n">
        <x:f>O987*J987*(1+M987)</x:f>
        <x:v>0.13740833333333333</x:v>
      </x:c>
      <x:c r="Q987" s="30" t="n">
        <x:f>P987*N987</x:f>
        <x:v>0.27481666666666665</x:v>
      </x:c>
      <x:c r="R987" s="19" t="str">
        <x:v>独立判定</x:v>
      </x:c>
    </x:row>
    <x:row r="988" ht="19" customHeight="1">
      <x:c r="A988" s="19" t="str">
        <x:v>D00984</x:v>
      </x:c>
      <x:c r="B988" s="19" t="n">
        <x:v>3</x:v>
      </x:c>
      <x:c r="C988" s="19" t="n">
        <x:v>3</x:v>
      </x:c>
      <x:c r="D988" s="19" t="str">
        <x:v>C03-M035</x:v>
      </x:c>
      <x:c r="E988" s="19" t="str">
        <x:v>无路佣兵王·赫托</x:v>
      </x:c>
      <x:c r="F988" s="19" t="str">
        <x:v>地图BOSS</x:v>
      </x:c>
      <x:c r="G988" s="19" t="str">
        <x:v>材料独立候选</x:v>
      </x:c>
      <x:c r="H988" s="19" t="str">
        <x:v>西境风痕碑拓</x:v>
      </x:c>
      <x:c r="I988" s="22" t="n">
        <x:v>250000</x:v>
      </x:c>
      <x:c r="J988" s="22" t="n">
        <x:v>1</x:v>
      </x:c>
      <x:c r="K988" s="19" t="n">
        <x:v>1</x:v>
      </x:c>
      <x:c r="L988" s="24" t="n">
        <x:v>14.989999999999998</x:v>
      </x:c>
      <x:c r="M988" s="26" t="n">
        <x:v>0.1</x:v>
      </x:c>
      <x:c r="N988" s="24" t="n">
        <x:v>2</x:v>
      </x:c>
      <x:c r="O988" s="28" t="n">
        <x:f>MIN(1,L988/I988)</x:f>
        <x:v>0.000059959999999999995</x:v>
      </x:c>
      <x:c r="P988" s="30" t="n">
        <x:f>O988*J988*(1+M988)</x:f>
        <x:v>0.000065956</x:v>
      </x:c>
      <x:c r="Q988" s="30" t="n">
        <x:f>P988*N988</x:f>
        <x:v>0.000131912</x:v>
      </x:c>
      <x:c r="R988" s="19" t="str">
        <x:v>独立判定</x:v>
      </x:c>
    </x:row>
    <x:row r="989" ht="19" customHeight="1">
      <x:c r="A989" s="19" t="str">
        <x:v>D00985</x:v>
      </x:c>
      <x:c r="B989" s="19" t="n">
        <x:v>3</x:v>
      </x:c>
      <x:c r="C989" s="19" t="n">
        <x:v>3</x:v>
      </x:c>
      <x:c r="D989" s="19" t="str">
        <x:v>C03-M035</x:v>
      </x:c>
      <x:c r="E989" s="19" t="str">
        <x:v>无路佣兵王·赫托</x:v>
      </x:c>
      <x:c r="F989" s="19" t="str">
        <x:v>地图BOSS</x:v>
      </x:c>
      <x:c r="G989" s="19" t="str">
        <x:v>材料独立候选</x:v>
      </x:c>
      <x:c r="H989" s="19" t="str">
        <x:v>黄金树芽</x:v>
      </x:c>
      <x:c r="I989" s="22" t="n">
        <x:v>1000</x:v>
      </x:c>
      <x:c r="J989" s="22" t="n">
        <x:v>1</x:v>
      </x:c>
      <x:c r="K989" s="19" t="n">
        <x:v>1</x:v>
      </x:c>
      <x:c r="L989" s="24" t="n">
        <x:v>14.989999999999998</x:v>
      </x:c>
      <x:c r="M989" s="26" t="n">
        <x:v>0.1</x:v>
      </x:c>
      <x:c r="N989" s="24" t="n">
        <x:v>2</x:v>
      </x:c>
      <x:c r="O989" s="28" t="n">
        <x:f>MIN(1,L989/I989)</x:f>
        <x:v>0.014989999999999998</x:v>
      </x:c>
      <x:c r="P989" s="30" t="n">
        <x:f>O989*J989*(1+M989)</x:f>
        <x:v>0.016489</x:v>
      </x:c>
      <x:c r="Q989" s="30" t="n">
        <x:f>P989*N989</x:f>
        <x:v>0.032978</x:v>
      </x:c>
      <x:c r="R989" s="19" t="str">
        <x:v>独立判定</x:v>
      </x:c>
    </x:row>
    <x:row r="990" ht="19" customHeight="1">
      <x:c r="A990" s="19" t="str">
        <x:v>D00986</x:v>
      </x:c>
      <x:c r="B990" s="19" t="n">
        <x:v>3</x:v>
      </x:c>
      <x:c r="C990" s="19" t="n">
        <x:v>3</x:v>
      </x:c>
      <x:c r="D990" s="19" t="str">
        <x:v>C03-M035</x:v>
      </x:c>
      <x:c r="E990" s="19" t="str">
        <x:v>无路佣兵王·赫托</x:v>
      </x:c>
      <x:c r="F990" s="19" t="str">
        <x:v>地图BOSS</x:v>
      </x:c>
      <x:c r="G990" s="19" t="str">
        <x:v>材料独立候选</x:v>
      </x:c>
      <x:c r="H990" s="19" t="str">
        <x:v>野兽骨片</x:v>
      </x:c>
      <x:c r="I990" s="22" t="n">
        <x:v>40</x:v>
      </x:c>
      <x:c r="J990" s="22" t="n">
        <x:v>2</x:v>
      </x:c>
      <x:c r="K990" s="19" t="n">
        <x:v>1</x:v>
      </x:c>
      <x:c r="L990" s="24" t="n">
        <x:v>14.989999999999998</x:v>
      </x:c>
      <x:c r="M990" s="26" t="n">
        <x:v>0.1</x:v>
      </x:c>
      <x:c r="N990" s="24" t="n">
        <x:v>2</x:v>
      </x:c>
      <x:c r="O990" s="28" t="n">
        <x:f>MIN(1,L990/I990)</x:f>
        <x:v>0.37474999999999997</x:v>
      </x:c>
      <x:c r="P990" s="30" t="n">
        <x:f>O990*J990*(1+M990)</x:f>
        <x:v>0.82445</x:v>
      </x:c>
      <x:c r="Q990" s="30" t="n">
        <x:f>P990*N990</x:f>
        <x:v>1.6489</x:v>
      </x:c>
      <x:c r="R990" s="19" t="str">
        <x:v>独立判定</x:v>
      </x:c>
    </x:row>
    <x:row r="991" ht="19" customHeight="1">
      <x:c r="A991" s="19" t="str">
        <x:v>D00987</x:v>
      </x:c>
      <x:c r="B991" s="19" t="n">
        <x:v>3</x:v>
      </x:c>
      <x:c r="C991" s="19" t="n">
        <x:v>3</x:v>
      </x:c>
      <x:c r="D991" s="19" t="str">
        <x:v>C03-M035</x:v>
      </x:c>
      <x:c r="E991" s="19" t="str">
        <x:v>无路佣兵王·赫托</x:v>
      </x:c>
      <x:c r="F991" s="19" t="str">
        <x:v>地图BOSS</x:v>
      </x:c>
      <x:c r="G991" s="19" t="str">
        <x:v>材料独立候选</x:v>
      </x:c>
      <x:c r="H991" s="19" t="str">
        <x:v>技能残页</x:v>
      </x:c>
      <x:c r="I991" s="22" t="n">
        <x:v>80</x:v>
      </x:c>
      <x:c r="J991" s="22" t="n">
        <x:v>1</x:v>
      </x:c>
      <x:c r="K991" s="19" t="n">
        <x:v>1</x:v>
      </x:c>
      <x:c r="L991" s="24" t="n">
        <x:v>14.989999999999998</x:v>
      </x:c>
      <x:c r="M991" s="26" t="n">
        <x:v>0.1</x:v>
      </x:c>
      <x:c r="N991" s="24" t="n">
        <x:v>2</x:v>
      </x:c>
      <x:c r="O991" s="28" t="n">
        <x:f>MIN(1,L991/I991)</x:f>
        <x:v>0.18737499999999999</x:v>
      </x:c>
      <x:c r="P991" s="30" t="n">
        <x:f>O991*J991*(1+M991)</x:f>
        <x:v>0.2061125</x:v>
      </x:c>
      <x:c r="Q991" s="30" t="n">
        <x:f>P991*N991</x:f>
        <x:v>0.412225</x:v>
      </x:c>
      <x:c r="R991" s="19" t="str">
        <x:v>独立判定</x:v>
      </x:c>
    </x:row>
    <x:row r="992" ht="19" customHeight="1">
      <x:c r="A992" s="19" t="str">
        <x:v>D00988</x:v>
      </x:c>
      <x:c r="B992" s="19" t="n">
        <x:v>3</x:v>
      </x:c>
      <x:c r="C992" s="19" t="n">
        <x:v>3</x:v>
      </x:c>
      <x:c r="D992" s="19" t="str">
        <x:v>C03-M035</x:v>
      </x:c>
      <x:c r="E992" s="19" t="str">
        <x:v>无路佣兵王·赫托</x:v>
      </x:c>
      <x:c r="F992" s="19" t="str">
        <x:v>地图BOSS</x:v>
      </x:c>
      <x:c r="G992" s="19" t="str">
        <x:v>材料独立候选</x:v>
      </x:c>
      <x:c r="H992" s="19" t="str">
        <x:v>宁姆格福誓页</x:v>
      </x:c>
      <x:c r="I992" s="22" t="n">
        <x:v>180</x:v>
      </x:c>
      <x:c r="J992" s="22" t="n">
        <x:v>1</x:v>
      </x:c>
      <x:c r="K992" s="19" t="n">
        <x:v>1</x:v>
      </x:c>
      <x:c r="L992" s="24" t="n">
        <x:v>14.989999999999998</x:v>
      </x:c>
      <x:c r="M992" s="26" t="n">
        <x:v>0.1</x:v>
      </x:c>
      <x:c r="N992" s="24" t="n">
        <x:v>2</x:v>
      </x:c>
      <x:c r="O992" s="28" t="n">
        <x:f>MIN(1,L992/I992)</x:f>
        <x:v>0.08327777777777777</x:v>
      </x:c>
      <x:c r="P992" s="30" t="n">
        <x:f>O992*J992*(1+M992)</x:f>
        <x:v>0.09160555555555555</x:v>
      </x:c>
      <x:c r="Q992" s="30" t="n">
        <x:f>P992*N992</x:f>
        <x:v>0.1832111111111111</x:v>
      </x:c>
      <x:c r="R992" s="19" t="str">
        <x:v>独立判定</x:v>
      </x:c>
    </x:row>
    <x:row r="993" ht="19" customHeight="1">
      <x:c r="A993" s="19" t="str">
        <x:v>D00989</x:v>
      </x:c>
      <x:c r="B993" s="19" t="n">
        <x:v>3</x:v>
      </x:c>
      <x:c r="C993" s="19" t="n">
        <x:v>3</x:v>
      </x:c>
      <x:c r="D993" s="19" t="str">
        <x:v>C03-M035</x:v>
      </x:c>
      <x:c r="E993" s="19" t="str">
        <x:v>无路佣兵王·赫托</x:v>
      </x:c>
      <x:c r="F993" s="19" t="str">
        <x:v>地图BOSS</x:v>
      </x:c>
      <x:c r="G993" s="19" t="str">
        <x:v>材料独立候选</x:v>
      </x:c>
      <x:c r="H993" s="19" t="str">
        <x:v>小卢恩</x:v>
      </x:c>
      <x:c r="I993" s="22" t="n">
        <x:v>1500</x:v>
      </x:c>
      <x:c r="J993" s="22" t="n">
        <x:v>1</x:v>
      </x:c>
      <x:c r="K993" s="19" t="n">
        <x:v>1</x:v>
      </x:c>
      <x:c r="L993" s="24" t="n">
        <x:v>14.989999999999998</x:v>
      </x:c>
      <x:c r="M993" s="26" t="n">
        <x:v>0.1</x:v>
      </x:c>
      <x:c r="N993" s="24" t="n">
        <x:v>2</x:v>
      </x:c>
      <x:c r="O993" s="28" t="n">
        <x:f>MIN(1,L993/I993)</x:f>
        <x:v>0.009993333333333332</x:v>
      </x:c>
      <x:c r="P993" s="30" t="n">
        <x:f>O993*J993*(1+M993)</x:f>
        <x:v>0.010992666666666666</x:v>
      </x:c>
      <x:c r="Q993" s="30" t="n">
        <x:f>P993*N993</x:f>
        <x:v>0.021985333333333332</x:v>
      </x:c>
      <x:c r="R993" s="19" t="str">
        <x:v>独立判定</x:v>
      </x:c>
    </x:row>
    <x:row r="994" ht="19" customHeight="1">
      <x:c r="A994" s="19" t="str">
        <x:v>D00990</x:v>
      </x:c>
      <x:c r="B994" s="19" t="n">
        <x:v>3</x:v>
      </x:c>
      <x:c r="C994" s="19" t="n">
        <x:v>3</x:v>
      </x:c>
      <x:c r="D994" s="19" t="str">
        <x:v>C03-M035</x:v>
      </x:c>
      <x:c r="E994" s="19" t="str">
        <x:v>无路佣兵王·赫托</x:v>
      </x:c>
      <x:c r="F994" s="19" t="str">
        <x:v>地图BOSS</x:v>
      </x:c>
      <x:c r="G994" s="19" t="str">
        <x:v>材料独立候选</x:v>
      </x:c>
      <x:c r="H994" s="19" t="str">
        <x:v>大卢恩</x:v>
      </x:c>
      <x:c r="I994" s="22" t="n">
        <x:v>120</x:v>
      </x:c>
      <x:c r="J994" s="22" t="n">
        <x:v>1</x:v>
      </x:c>
      <x:c r="K994" s="19" t="n">
        <x:v>1</x:v>
      </x:c>
      <x:c r="L994" s="24" t="n">
        <x:v>14.989999999999998</x:v>
      </x:c>
      <x:c r="M994" s="26" t="n">
        <x:v>0.1</x:v>
      </x:c>
      <x:c r="N994" s="24" t="n">
        <x:v>2</x:v>
      </x:c>
      <x:c r="O994" s="28" t="n">
        <x:f>MIN(1,L994/I994)</x:f>
        <x:v>0.12491666666666665</x:v>
      </x:c>
      <x:c r="P994" s="30" t="n">
        <x:f>O994*J994*(1+M994)</x:f>
        <x:v>0.13740833333333333</x:v>
      </x:c>
      <x:c r="Q994" s="30" t="n">
        <x:f>P994*N994</x:f>
        <x:v>0.27481666666666665</x:v>
      </x:c>
      <x:c r="R994" s="19" t="str">
        <x:v>独立判定</x:v>
      </x:c>
    </x:row>
    <x:row r="995" ht="19" customHeight="1">
      <x:c r="A995" s="19" t="str">
        <x:v>D00991</x:v>
      </x:c>
      <x:c r="B995" s="19" t="n">
        <x:v>3</x:v>
      </x:c>
      <x:c r="C995" s="19" t="n">
        <x:v>3</x:v>
      </x:c>
      <x:c r="D995" s="19" t="str">
        <x:v>C03-M035</x:v>
      </x:c>
      <x:c r="E995" s="19" t="str">
        <x:v>无路佣兵王·赫托</x:v>
      </x:c>
      <x:c r="F995" s="19" t="str">
        <x:v>地图BOSS</x:v>
      </x:c>
      <x:c r="G995" s="19" t="str">
        <x:v>六神器公共池</x:v>
      </x:c>
      <x:c r="H995" s="19" t="str">
        <x:v>POOL006</x:v>
      </x:c>
      <x:c r="I995" s="22" t="n">
        <x:v>200000</x:v>
      </x:c>
      <x:c r="J995" s="22" t="n">
        <x:v>1</x:v>
      </x:c>
      <x:c r="K995" s="19" t="n">
        <x:v>6</x:v>
      </x:c>
      <x:c r="L995" s="24" t="n">
        <x:v>14.989999999999998</x:v>
      </x:c>
      <x:c r="M995" s="26" t="n">
        <x:v>0.1</x:v>
      </x:c>
      <x:c r="N995" s="24" t="n">
        <x:v>2</x:v>
      </x:c>
      <x:c r="O995" s="28" t="n">
        <x:f>MIN(1,L995/I995)</x:f>
        <x:v>0.00007494999999999999</x:v>
      </x:c>
      <x:c r="P995" s="30" t="n">
        <x:f>O995*J995*(1+M995)</x:f>
        <x:v>0.000082445</x:v>
      </x:c>
      <x:c r="Q995" s="30" t="n">
        <x:f>P995*N995</x:f>
        <x:v>0.00016489</x:v>
      </x:c>
      <x:c r="R995" s="19" t="str">
        <x:v>六选一；非6个独立爆率</x:v>
      </x:c>
    </x:row>
    <x:row r="996" ht="19" customHeight="1">
      <x:c r="A996" s="19" t="str">
        <x:v>D00992</x:v>
      </x:c>
      <x:c r="B996" s="19" t="n">
        <x:v>3</x:v>
      </x:c>
      <x:c r="C996" s="19" t="n">
        <x:v>3</x:v>
      </x:c>
      <x:c r="D996" s="19" t="str">
        <x:v>C03-M036</x:v>
      </x:c>
      <x:c r="E996" s="19" t="str">
        <x:v>赤篷巨像·马尔</x:v>
      </x:c>
      <x:c r="F996" s="19" t="str">
        <x:v>地图BOSS</x:v>
      </x:c>
      <x:c r="G996" s="19" t="str">
        <x:v>自身专属</x:v>
      </x:c>
      <x:c r="H996" s="19" t="str">
        <x:v>赤篷铁衣</x:v>
      </x:c>
      <x:c r="I996" s="22" t="n">
        <x:v>80</x:v>
      </x:c>
      <x:c r="J996" s="22" t="n">
        <x:v>1</x:v>
      </x:c>
      <x:c r="K996" s="19" t="n">
        <x:v>1</x:v>
      </x:c>
      <x:c r="L996" s="24" t="n">
        <x:v>14.989999999999998</x:v>
      </x:c>
      <x:c r="M996" s="26" t="n">
        <x:v>0.1</x:v>
      </x:c>
      <x:c r="N996" s="24" t="n">
        <x:v>2</x:v>
      </x:c>
      <x:c r="O996" s="28" t="n">
        <x:f>MIN(1,L996/I996)</x:f>
        <x:v>0.18737499999999999</x:v>
      </x:c>
      <x:c r="P996" s="30" t="n">
        <x:f>O996*J996*(1+M996)</x:f>
        <x:v>0.2061125</x:v>
      </x:c>
      <x:c r="Q996" s="30" t="n">
        <x:f>P996*N996</x:f>
        <x:v>0.412225</x:v>
      </x:c>
      <x:c r="R996" s="19" t="str">
        <x:v>独立判定</x:v>
      </x:c>
    </x:row>
    <x:row r="997" ht="19" customHeight="1">
      <x:c r="A997" s="19" t="str">
        <x:v>D00993</x:v>
      </x:c>
      <x:c r="B997" s="19" t="n">
        <x:v>3</x:v>
      </x:c>
      <x:c r="C997" s="19" t="n">
        <x:v>3</x:v>
      </x:c>
      <x:c r="D997" s="19" t="str">
        <x:v>C03-M036</x:v>
      </x:c>
      <x:c r="E997" s="19" t="str">
        <x:v>赤篷巨像·马尔</x:v>
      </x:c>
      <x:c r="F997" s="19" t="str">
        <x:v>地图BOSS</x:v>
      </x:c>
      <x:c r="G997" s="19" t="str">
        <x:v>自身专属</x:v>
      </x:c>
      <x:c r="H997" s="19" t="str">
        <x:v>古垒余烬腕</x:v>
      </x:c>
      <x:c r="I997" s="22" t="n">
        <x:v>80</x:v>
      </x:c>
      <x:c r="J997" s="22" t="n">
        <x:v>1</x:v>
      </x:c>
      <x:c r="K997" s="19" t="n">
        <x:v>1</x:v>
      </x:c>
      <x:c r="L997" s="24" t="n">
        <x:v>14.989999999999998</x:v>
      </x:c>
      <x:c r="M997" s="26" t="n">
        <x:v>0.1</x:v>
      </x:c>
      <x:c r="N997" s="24" t="n">
        <x:v>2</x:v>
      </x:c>
      <x:c r="O997" s="28" t="n">
        <x:f>MIN(1,L997/I997)</x:f>
        <x:v>0.18737499999999999</x:v>
      </x:c>
      <x:c r="P997" s="30" t="n">
        <x:f>O997*J997*(1+M997)</x:f>
        <x:v>0.2061125</x:v>
      </x:c>
      <x:c r="Q997" s="30" t="n">
        <x:f>P997*N997</x:f>
        <x:v>0.412225</x:v>
      </x:c>
      <x:c r="R997" s="19" t="str">
        <x:v>独立判定</x:v>
      </x:c>
    </x:row>
    <x:row r="998" ht="19" customHeight="1">
      <x:c r="A998" s="19" t="str">
        <x:v>D00994</x:v>
      </x:c>
      <x:c r="B998" s="19" t="n">
        <x:v>3</x:v>
      </x:c>
      <x:c r="C998" s="19" t="n">
        <x:v>3</x:v>
      </x:c>
      <x:c r="D998" s="19" t="str">
        <x:v>C03-M036</x:v>
      </x:c>
      <x:c r="E998" s="19" t="str">
        <x:v>赤篷巨像·马尔</x:v>
      </x:c>
      <x:c r="F998" s="19" t="str">
        <x:v>地图BOSS</x:v>
      </x:c>
      <x:c r="G998" s="19" t="str">
        <x:v>本图普通兼掉候选</x:v>
      </x:c>
      <x:c r="H998" s="19" t="str">
        <x:v>POOL017</x:v>
      </x:c>
      <x:c r="I998" s="22" t="n">
        <x:v>40</x:v>
      </x:c>
      <x:c r="J998" s="22" t="n">
        <x:v>1</x:v>
      </x:c>
      <x:c r="K998" s="19" t="n">
        <x:v>2</x:v>
      </x:c>
      <x:c r="L998" s="24" t="n">
        <x:v>14.989999999999998</x:v>
      </x:c>
      <x:c r="M998" s="26" t="n">
        <x:v>0.1</x:v>
      </x:c>
      <x:c r="N998" s="24" t="n">
        <x:v>2</x:v>
      </x:c>
      <x:c r="O998" s="28" t="n">
        <x:f>MIN(1,L998/I998)</x:f>
        <x:v>0.37474999999999997</x:v>
      </x:c>
      <x:c r="P998" s="30" t="n">
        <x:f>O998*J998*(1+M998)</x:f>
        <x:v>0.412225</x:v>
      </x:c>
      <x:c r="Q998" s="30" t="n">
        <x:f>P998*N998</x:f>
        <x:v>0.82445</x:v>
      </x:c>
      <x:c r="R998" s="19" t="str">
        <x:v>单池选一</x:v>
      </x:c>
    </x:row>
    <x:row r="999" ht="19" customHeight="1">
      <x:c r="A999" s="19" t="str">
        <x:v>D00995</x:v>
      </x:c>
      <x:c r="B999" s="19" t="n">
        <x:v>3</x:v>
      </x:c>
      <x:c r="C999" s="19" t="n">
        <x:v>3</x:v>
      </x:c>
      <x:c r="D999" s="19" t="str">
        <x:v>C03-M036</x:v>
      </x:c>
      <x:c r="E999" s="19" t="str">
        <x:v>赤篷巨像·马尔</x:v>
      </x:c>
      <x:c r="F999" s="19" t="str">
        <x:v>地图BOSS</x:v>
      </x:c>
      <x:c r="G999" s="19" t="str">
        <x:v>材料独立候选</x:v>
      </x:c>
      <x:c r="H999" s="19" t="str">
        <x:v>风蚀铁片</x:v>
      </x:c>
      <x:c r="I999" s="22" t="n">
        <x:v>250</x:v>
      </x:c>
      <x:c r="J999" s="22" t="n">
        <x:v>30</x:v>
      </x:c>
      <x:c r="K999" s="19" t="n">
        <x:v>1</x:v>
      </x:c>
      <x:c r="L999" s="24" t="n">
        <x:v>14.989999999999998</x:v>
      </x:c>
      <x:c r="M999" s="26" t="n">
        <x:v>0.1</x:v>
      </x:c>
      <x:c r="N999" s="24" t="n">
        <x:v>2</x:v>
      </x:c>
      <x:c r="O999" s="28" t="n">
        <x:f>MIN(1,L999/I999)</x:f>
        <x:v>0.05995999999999999</x:v>
      </x:c>
      <x:c r="P999" s="30" t="n">
        <x:f>O999*J999*(1+M999)</x:f>
        <x:v>1.9786799999999998</x:v>
      </x:c>
      <x:c r="Q999" s="30" t="n">
        <x:f>P999*N999</x:f>
        <x:v>3.9573599999999995</x:v>
      </x:c>
      <x:c r="R999" s="19" t="str">
        <x:v>独立判定</x:v>
      </x:c>
    </x:row>
    <x:row r="1000" ht="19" customHeight="1">
      <x:c r="A1000" s="19" t="str">
        <x:v>D00996</x:v>
      </x:c>
      <x:c r="B1000" s="19" t="n">
        <x:v>3</x:v>
      </x:c>
      <x:c r="C1000" s="19" t="n">
        <x:v>3</x:v>
      </x:c>
      <x:c r="D1000" s="19" t="str">
        <x:v>C03-M036</x:v>
      </x:c>
      <x:c r="E1000" s="19" t="str">
        <x:v>赤篷巨像·马尔</x:v>
      </x:c>
      <x:c r="F1000" s="19" t="str">
        <x:v>地图BOSS</x:v>
      </x:c>
      <x:c r="G1000" s="19" t="str">
        <x:v>材料独立候选</x:v>
      </x:c>
      <x:c r="H1000" s="19" t="str">
        <x:v>西境战旗</x:v>
      </x:c>
      <x:c r="I1000" s="22" t="n">
        <x:v>400</x:v>
      </x:c>
      <x:c r="J1000" s="22" t="n">
        <x:v>1</x:v>
      </x:c>
      <x:c r="K1000" s="19" t="n">
        <x:v>1</x:v>
      </x:c>
      <x:c r="L1000" s="24" t="n">
        <x:v>14.989999999999998</x:v>
      </x:c>
      <x:c r="M1000" s="26" t="n">
        <x:v>0.1</x:v>
      </x:c>
      <x:c r="N1000" s="24" t="n">
        <x:v>2</x:v>
      </x:c>
      <x:c r="O1000" s="28" t="n">
        <x:f>MIN(1,L1000/I1000)</x:f>
        <x:v>0.037474999999999994</x:v>
      </x:c>
      <x:c r="P1000" s="30" t="n">
        <x:f>O1000*J1000*(1+M1000)</x:f>
        <x:v>0.041222499999999995</x:v>
      </x:c>
      <x:c r="Q1000" s="30" t="n">
        <x:f>P1000*N1000</x:f>
        <x:v>0.08244499999999999</x:v>
      </x:c>
      <x:c r="R1000" s="19" t="str">
        <x:v>独立判定</x:v>
      </x:c>
    </x:row>
    <x:row r="1001" ht="19" customHeight="1">
      <x:c r="A1001" s="19" t="str">
        <x:v>D00997</x:v>
      </x:c>
      <x:c r="B1001" s="19" t="n">
        <x:v>3</x:v>
      </x:c>
      <x:c r="C1001" s="19" t="n">
        <x:v>3</x:v>
      </x:c>
      <x:c r="D1001" s="19" t="str">
        <x:v>C03-M036</x:v>
      </x:c>
      <x:c r="E1001" s="19" t="str">
        <x:v>赤篷巨像·马尔</x:v>
      </x:c>
      <x:c r="F1001" s="19" t="str">
        <x:v>地图BOSS</x:v>
      </x:c>
      <x:c r="G1001" s="19" t="str">
        <x:v>材料独立候选</x:v>
      </x:c>
      <x:c r="H1001" s="19" t="str">
        <x:v>西境战旗印</x:v>
      </x:c>
      <x:c r="I1001" s="22" t="n">
        <x:v>100</x:v>
      </x:c>
      <x:c r="J1001" s="22" t="n">
        <x:v>2</x:v>
      </x:c>
      <x:c r="K1001" s="19" t="n">
        <x:v>1</x:v>
      </x:c>
      <x:c r="L1001" s="24" t="n">
        <x:v>14.989999999999998</x:v>
      </x:c>
      <x:c r="M1001" s="26" t="n">
        <x:v>0.1</x:v>
      </x:c>
      <x:c r="N1001" s="24" t="n">
        <x:v>2</x:v>
      </x:c>
      <x:c r="O1001" s="28" t="n">
        <x:f>MIN(1,L1001/I1001)</x:f>
        <x:v>0.14989999999999998</x:v>
      </x:c>
      <x:c r="P1001" s="30" t="n">
        <x:f>O1001*J1001*(1+M1001)</x:f>
        <x:v>0.32977999999999996</x:v>
      </x:c>
      <x:c r="Q1001" s="30" t="n">
        <x:f>P1001*N1001</x:f>
        <x:v>0.6595599999999999</x:v>
      </x:c>
      <x:c r="R1001" s="19" t="str">
        <x:v>独立判定</x:v>
      </x:c>
    </x:row>
    <x:row r="1002" ht="19" customHeight="1">
      <x:c r="A1002" s="19" t="str">
        <x:v>D00998</x:v>
      </x:c>
      <x:c r="B1002" s="19" t="n">
        <x:v>3</x:v>
      </x:c>
      <x:c r="C1002" s="19" t="n">
        <x:v>3</x:v>
      </x:c>
      <x:c r="D1002" s="19" t="str">
        <x:v>C03-M036</x:v>
      </x:c>
      <x:c r="E1002" s="19" t="str">
        <x:v>赤篷巨像·马尔</x:v>
      </x:c>
      <x:c r="F1002" s="19" t="str">
        <x:v>地图BOSS</x:v>
      </x:c>
      <x:c r="G1002" s="19" t="str">
        <x:v>材料独立候选</x:v>
      </x:c>
      <x:c r="H1002" s="19" t="str">
        <x:v>守垒铜钥</x:v>
      </x:c>
      <x:c r="I1002" s="22" t="n">
        <x:v>120</x:v>
      </x:c>
      <x:c r="J1002" s="22" t="n">
        <x:v>1</x:v>
      </x:c>
      <x:c r="K1002" s="19" t="n">
        <x:v>1</x:v>
      </x:c>
      <x:c r="L1002" s="24" t="n">
        <x:v>14.989999999999998</x:v>
      </x:c>
      <x:c r="M1002" s="26" t="n">
        <x:v>0.1</x:v>
      </x:c>
      <x:c r="N1002" s="24" t="n">
        <x:v>2</x:v>
      </x:c>
      <x:c r="O1002" s="28" t="n">
        <x:f>MIN(1,L1002/I1002)</x:f>
        <x:v>0.12491666666666665</x:v>
      </x:c>
      <x:c r="P1002" s="30" t="n">
        <x:f>O1002*J1002*(1+M1002)</x:f>
        <x:v>0.13740833333333333</x:v>
      </x:c>
      <x:c r="Q1002" s="30" t="n">
        <x:f>P1002*N1002</x:f>
        <x:v>0.27481666666666665</x:v>
      </x:c>
      <x:c r="R1002" s="19" t="str">
        <x:v>独立判定</x:v>
      </x:c>
    </x:row>
    <x:row r="1003" ht="19" customHeight="1">
      <x:c r="A1003" s="19" t="str">
        <x:v>D00999</x:v>
      </x:c>
      <x:c r="B1003" s="19" t="n">
        <x:v>3</x:v>
      </x:c>
      <x:c r="C1003" s="19" t="n">
        <x:v>3</x:v>
      </x:c>
      <x:c r="D1003" s="19" t="str">
        <x:v>C03-M036</x:v>
      </x:c>
      <x:c r="E1003" s="19" t="str">
        <x:v>赤篷巨像·马尔</x:v>
      </x:c>
      <x:c r="F1003" s="19" t="str">
        <x:v>地图BOSS</x:v>
      </x:c>
      <x:c r="G1003" s="19" t="str">
        <x:v>材料独立候选</x:v>
      </x:c>
      <x:c r="H1003" s="19" t="str">
        <x:v>西境风痕碑拓</x:v>
      </x:c>
      <x:c r="I1003" s="22" t="n">
        <x:v>250000</x:v>
      </x:c>
      <x:c r="J1003" s="22" t="n">
        <x:v>1</x:v>
      </x:c>
      <x:c r="K1003" s="19" t="n">
        <x:v>1</x:v>
      </x:c>
      <x:c r="L1003" s="24" t="n">
        <x:v>14.989999999999998</x:v>
      </x:c>
      <x:c r="M1003" s="26" t="n">
        <x:v>0.1</x:v>
      </x:c>
      <x:c r="N1003" s="24" t="n">
        <x:v>2</x:v>
      </x:c>
      <x:c r="O1003" s="28" t="n">
        <x:f>MIN(1,L1003/I1003)</x:f>
        <x:v>0.000059959999999999995</x:v>
      </x:c>
      <x:c r="P1003" s="30" t="n">
        <x:f>O1003*J1003*(1+M1003)</x:f>
        <x:v>0.000065956</x:v>
      </x:c>
      <x:c r="Q1003" s="30" t="n">
        <x:f>P1003*N1003</x:f>
        <x:v>0.000131912</x:v>
      </x:c>
      <x:c r="R1003" s="19" t="str">
        <x:v>独立判定</x:v>
      </x:c>
    </x:row>
    <x:row r="1004" ht="19" customHeight="1">
      <x:c r="A1004" s="19" t="str">
        <x:v>D01000</x:v>
      </x:c>
      <x:c r="B1004" s="19" t="n">
        <x:v>3</x:v>
      </x:c>
      <x:c r="C1004" s="19" t="n">
        <x:v>3</x:v>
      </x:c>
      <x:c r="D1004" s="19" t="str">
        <x:v>C03-M036</x:v>
      </x:c>
      <x:c r="E1004" s="19" t="str">
        <x:v>赤篷巨像·马尔</x:v>
      </x:c>
      <x:c r="F1004" s="19" t="str">
        <x:v>地图BOSS</x:v>
      </x:c>
      <x:c r="G1004" s="19" t="str">
        <x:v>材料独立候选</x:v>
      </x:c>
      <x:c r="H1004" s="19" t="str">
        <x:v>黄金树芽</x:v>
      </x:c>
      <x:c r="I1004" s="22" t="n">
        <x:v>1000</x:v>
      </x:c>
      <x:c r="J1004" s="22" t="n">
        <x:v>1</x:v>
      </x:c>
      <x:c r="K1004" s="19" t="n">
        <x:v>1</x:v>
      </x:c>
      <x:c r="L1004" s="24" t="n">
        <x:v>14.989999999999998</x:v>
      </x:c>
      <x:c r="M1004" s="26" t="n">
        <x:v>0.1</x:v>
      </x:c>
      <x:c r="N1004" s="24" t="n">
        <x:v>2</x:v>
      </x:c>
      <x:c r="O1004" s="28" t="n">
        <x:f>MIN(1,L1004/I1004)</x:f>
        <x:v>0.014989999999999998</x:v>
      </x:c>
      <x:c r="P1004" s="30" t="n">
        <x:f>O1004*J1004*(1+M1004)</x:f>
        <x:v>0.016489</x:v>
      </x:c>
      <x:c r="Q1004" s="30" t="n">
        <x:f>P1004*N1004</x:f>
        <x:v>0.032978</x:v>
      </x:c>
      <x:c r="R1004" s="19" t="str">
        <x:v>独立判定</x:v>
      </x:c>
    </x:row>
    <x:row r="1005" ht="19" customHeight="1">
      <x:c r="A1005" s="19" t="str">
        <x:v>D01001</x:v>
      </x:c>
      <x:c r="B1005" s="19" t="n">
        <x:v>3</x:v>
      </x:c>
      <x:c r="C1005" s="19" t="n">
        <x:v>3</x:v>
      </x:c>
      <x:c r="D1005" s="19" t="str">
        <x:v>C03-M036</x:v>
      </x:c>
      <x:c r="E1005" s="19" t="str">
        <x:v>赤篷巨像·马尔</x:v>
      </x:c>
      <x:c r="F1005" s="19" t="str">
        <x:v>地图BOSS</x:v>
      </x:c>
      <x:c r="G1005" s="19" t="str">
        <x:v>材料独立候选</x:v>
      </x:c>
      <x:c r="H1005" s="19" t="str">
        <x:v>野兽骨片</x:v>
      </x:c>
      <x:c r="I1005" s="22" t="n">
        <x:v>40</x:v>
      </x:c>
      <x:c r="J1005" s="22" t="n">
        <x:v>2</x:v>
      </x:c>
      <x:c r="K1005" s="19" t="n">
        <x:v>1</x:v>
      </x:c>
      <x:c r="L1005" s="24" t="n">
        <x:v>14.989999999999998</x:v>
      </x:c>
      <x:c r="M1005" s="26" t="n">
        <x:v>0.1</x:v>
      </x:c>
      <x:c r="N1005" s="24" t="n">
        <x:v>2</x:v>
      </x:c>
      <x:c r="O1005" s="28" t="n">
        <x:f>MIN(1,L1005/I1005)</x:f>
        <x:v>0.37474999999999997</x:v>
      </x:c>
      <x:c r="P1005" s="30" t="n">
        <x:f>O1005*J1005*(1+M1005)</x:f>
        <x:v>0.82445</x:v>
      </x:c>
      <x:c r="Q1005" s="30" t="n">
        <x:f>P1005*N1005</x:f>
        <x:v>1.6489</x:v>
      </x:c>
      <x:c r="R1005" s="19" t="str">
        <x:v>独立判定</x:v>
      </x:c>
    </x:row>
    <x:row r="1006" ht="19" customHeight="1">
      <x:c r="A1006" s="19" t="str">
        <x:v>D01002</x:v>
      </x:c>
      <x:c r="B1006" s="19" t="n">
        <x:v>3</x:v>
      </x:c>
      <x:c r="C1006" s="19" t="n">
        <x:v>3</x:v>
      </x:c>
      <x:c r="D1006" s="19" t="str">
        <x:v>C03-M036</x:v>
      </x:c>
      <x:c r="E1006" s="19" t="str">
        <x:v>赤篷巨像·马尔</x:v>
      </x:c>
      <x:c r="F1006" s="19" t="str">
        <x:v>地图BOSS</x:v>
      </x:c>
      <x:c r="G1006" s="19" t="str">
        <x:v>材料独立候选</x:v>
      </x:c>
      <x:c r="H1006" s="19" t="str">
        <x:v>技能残页</x:v>
      </x:c>
      <x:c r="I1006" s="22" t="n">
        <x:v>80</x:v>
      </x:c>
      <x:c r="J1006" s="22" t="n">
        <x:v>1</x:v>
      </x:c>
      <x:c r="K1006" s="19" t="n">
        <x:v>1</x:v>
      </x:c>
      <x:c r="L1006" s="24" t="n">
        <x:v>14.989999999999998</x:v>
      </x:c>
      <x:c r="M1006" s="26" t="n">
        <x:v>0.1</x:v>
      </x:c>
      <x:c r="N1006" s="24" t="n">
        <x:v>2</x:v>
      </x:c>
      <x:c r="O1006" s="28" t="n">
        <x:f>MIN(1,L1006/I1006)</x:f>
        <x:v>0.18737499999999999</x:v>
      </x:c>
      <x:c r="P1006" s="30" t="n">
        <x:f>O1006*J1006*(1+M1006)</x:f>
        <x:v>0.2061125</x:v>
      </x:c>
      <x:c r="Q1006" s="30" t="n">
        <x:f>P1006*N1006</x:f>
        <x:v>0.412225</x:v>
      </x:c>
      <x:c r="R1006" s="19" t="str">
        <x:v>独立判定</x:v>
      </x:c>
    </x:row>
    <x:row r="1007" ht="19" customHeight="1">
      <x:c r="A1007" s="19" t="str">
        <x:v>D01003</x:v>
      </x:c>
      <x:c r="B1007" s="19" t="n">
        <x:v>3</x:v>
      </x:c>
      <x:c r="C1007" s="19" t="n">
        <x:v>3</x:v>
      </x:c>
      <x:c r="D1007" s="19" t="str">
        <x:v>C03-M036</x:v>
      </x:c>
      <x:c r="E1007" s="19" t="str">
        <x:v>赤篷巨像·马尔</x:v>
      </x:c>
      <x:c r="F1007" s="19" t="str">
        <x:v>地图BOSS</x:v>
      </x:c>
      <x:c r="G1007" s="19" t="str">
        <x:v>材料独立候选</x:v>
      </x:c>
      <x:c r="H1007" s="19" t="str">
        <x:v>宁姆格福誓页</x:v>
      </x:c>
      <x:c r="I1007" s="22" t="n">
        <x:v>180</x:v>
      </x:c>
      <x:c r="J1007" s="22" t="n">
        <x:v>1</x:v>
      </x:c>
      <x:c r="K1007" s="19" t="n">
        <x:v>1</x:v>
      </x:c>
      <x:c r="L1007" s="24" t="n">
        <x:v>14.989999999999998</x:v>
      </x:c>
      <x:c r="M1007" s="26" t="n">
        <x:v>0.1</x:v>
      </x:c>
      <x:c r="N1007" s="24" t="n">
        <x:v>2</x:v>
      </x:c>
      <x:c r="O1007" s="28" t="n">
        <x:f>MIN(1,L1007/I1007)</x:f>
        <x:v>0.08327777777777777</x:v>
      </x:c>
      <x:c r="P1007" s="30" t="n">
        <x:f>O1007*J1007*(1+M1007)</x:f>
        <x:v>0.09160555555555555</x:v>
      </x:c>
      <x:c r="Q1007" s="30" t="n">
        <x:f>P1007*N1007</x:f>
        <x:v>0.1832111111111111</x:v>
      </x:c>
      <x:c r="R1007" s="19" t="str">
        <x:v>独立判定</x:v>
      </x:c>
    </x:row>
    <x:row r="1008" ht="19" customHeight="1">
      <x:c r="A1008" s="19" t="str">
        <x:v>D01004</x:v>
      </x:c>
      <x:c r="B1008" s="19" t="n">
        <x:v>3</x:v>
      </x:c>
      <x:c r="C1008" s="19" t="n">
        <x:v>3</x:v>
      </x:c>
      <x:c r="D1008" s="19" t="str">
        <x:v>C03-M036</x:v>
      </x:c>
      <x:c r="E1008" s="19" t="str">
        <x:v>赤篷巨像·马尔</x:v>
      </x:c>
      <x:c r="F1008" s="19" t="str">
        <x:v>地图BOSS</x:v>
      </x:c>
      <x:c r="G1008" s="19" t="str">
        <x:v>材料独立候选</x:v>
      </x:c>
      <x:c r="H1008" s="19" t="str">
        <x:v>小卢恩</x:v>
      </x:c>
      <x:c r="I1008" s="22" t="n">
        <x:v>1500</x:v>
      </x:c>
      <x:c r="J1008" s="22" t="n">
        <x:v>1</x:v>
      </x:c>
      <x:c r="K1008" s="19" t="n">
        <x:v>1</x:v>
      </x:c>
      <x:c r="L1008" s="24" t="n">
        <x:v>14.989999999999998</x:v>
      </x:c>
      <x:c r="M1008" s="26" t="n">
        <x:v>0.1</x:v>
      </x:c>
      <x:c r="N1008" s="24" t="n">
        <x:v>2</x:v>
      </x:c>
      <x:c r="O1008" s="28" t="n">
        <x:f>MIN(1,L1008/I1008)</x:f>
        <x:v>0.009993333333333332</x:v>
      </x:c>
      <x:c r="P1008" s="30" t="n">
        <x:f>O1008*J1008*(1+M1008)</x:f>
        <x:v>0.010992666666666666</x:v>
      </x:c>
      <x:c r="Q1008" s="30" t="n">
        <x:f>P1008*N1008</x:f>
        <x:v>0.021985333333333332</x:v>
      </x:c>
      <x:c r="R1008" s="19" t="str">
        <x:v>独立判定</x:v>
      </x:c>
    </x:row>
    <x:row r="1009" ht="19" customHeight="1">
      <x:c r="A1009" s="19" t="str">
        <x:v>D01005</x:v>
      </x:c>
      <x:c r="B1009" s="19" t="n">
        <x:v>3</x:v>
      </x:c>
      <x:c r="C1009" s="19" t="n">
        <x:v>3</x:v>
      </x:c>
      <x:c r="D1009" s="19" t="str">
        <x:v>C03-M036</x:v>
      </x:c>
      <x:c r="E1009" s="19" t="str">
        <x:v>赤篷巨像·马尔</x:v>
      </x:c>
      <x:c r="F1009" s="19" t="str">
        <x:v>地图BOSS</x:v>
      </x:c>
      <x:c r="G1009" s="19" t="str">
        <x:v>材料独立候选</x:v>
      </x:c>
      <x:c r="H1009" s="19" t="str">
        <x:v>大卢恩</x:v>
      </x:c>
      <x:c r="I1009" s="22" t="n">
        <x:v>120</x:v>
      </x:c>
      <x:c r="J1009" s="22" t="n">
        <x:v>1</x:v>
      </x:c>
      <x:c r="K1009" s="19" t="n">
        <x:v>1</x:v>
      </x:c>
      <x:c r="L1009" s="24" t="n">
        <x:v>14.989999999999998</x:v>
      </x:c>
      <x:c r="M1009" s="26" t="n">
        <x:v>0.1</x:v>
      </x:c>
      <x:c r="N1009" s="24" t="n">
        <x:v>2</x:v>
      </x:c>
      <x:c r="O1009" s="28" t="n">
        <x:f>MIN(1,L1009/I1009)</x:f>
        <x:v>0.12491666666666665</x:v>
      </x:c>
      <x:c r="P1009" s="30" t="n">
        <x:f>O1009*J1009*(1+M1009)</x:f>
        <x:v>0.13740833333333333</x:v>
      </x:c>
      <x:c r="Q1009" s="30" t="n">
        <x:f>P1009*N1009</x:f>
        <x:v>0.27481666666666665</x:v>
      </x:c>
      <x:c r="R1009" s="19" t="str">
        <x:v>独立判定</x:v>
      </x:c>
    </x:row>
    <x:row r="1010" ht="19" customHeight="1">
      <x:c r="A1010" s="19" t="str">
        <x:v>D01006</x:v>
      </x:c>
      <x:c r="B1010" s="19" t="n">
        <x:v>3</x:v>
      </x:c>
      <x:c r="C1010" s="19" t="n">
        <x:v>3</x:v>
      </x:c>
      <x:c r="D1010" s="19" t="str">
        <x:v>C03-M036</x:v>
      </x:c>
      <x:c r="E1010" s="19" t="str">
        <x:v>赤篷巨像·马尔</x:v>
      </x:c>
      <x:c r="F1010" s="19" t="str">
        <x:v>地图BOSS</x:v>
      </x:c>
      <x:c r="G1010" s="19" t="str">
        <x:v>六神器公共池</x:v>
      </x:c>
      <x:c r="H1010" s="19" t="str">
        <x:v>POOL006</x:v>
      </x:c>
      <x:c r="I1010" s="22" t="n">
        <x:v>200000</x:v>
      </x:c>
      <x:c r="J1010" s="22" t="n">
        <x:v>1</x:v>
      </x:c>
      <x:c r="K1010" s="19" t="n">
        <x:v>6</x:v>
      </x:c>
      <x:c r="L1010" s="24" t="n">
        <x:v>14.989999999999998</x:v>
      </x:c>
      <x:c r="M1010" s="26" t="n">
        <x:v>0.1</x:v>
      </x:c>
      <x:c r="N1010" s="24" t="n">
        <x:v>2</x:v>
      </x:c>
      <x:c r="O1010" s="28" t="n">
        <x:f>MIN(1,L1010/I1010)</x:f>
        <x:v>0.00007494999999999999</x:v>
      </x:c>
      <x:c r="P1010" s="30" t="n">
        <x:f>O1010*J1010*(1+M1010)</x:f>
        <x:v>0.000082445</x:v>
      </x:c>
      <x:c r="Q1010" s="30" t="n">
        <x:f>P1010*N1010</x:f>
        <x:v>0.00016489</x:v>
      </x:c>
      <x:c r="R1010" s="19" t="str">
        <x:v>六选一；非6个独立爆率</x:v>
      </x:c>
    </x:row>
    <x:row r="1011" ht="19" customHeight="1">
      <x:c r="A1011" s="19" t="str">
        <x:v>D01007</x:v>
      </x:c>
      <x:c r="B1011" s="19" t="n">
        <x:v>3</x:v>
      </x:c>
      <x:c r="C1011" s="19" t="n">
        <x:v>4</x:v>
      </x:c>
      <x:c r="D1011" s="19" t="str">
        <x:v>C03-M037</x:v>
      </x:c>
      <x:c r="E1011" s="19" t="str">
        <x:v>残阵兵魂</x:v>
      </x:c>
      <x:c r="F1011" s="19" t="str">
        <x:v>普通</x:v>
      </x:c>
      <x:c r="G1011" s="19" t="str">
        <x:v>自身专属</x:v>
      </x:c>
      <x:c r="H1011" s="19" t="str">
        <x:v>残阵战刀</x:v>
      </x:c>
      <x:c r="I1011" s="22" t="n">
        <x:v>1000</x:v>
      </x:c>
      <x:c r="J1011" s="22" t="n">
        <x:v>1</x:v>
      </x:c>
      <x:c r="K1011" s="19" t="n">
        <x:v>1</x:v>
      </x:c>
      <x:c r="L1011" s="24" t="n">
        <x:v>17.25</x:v>
      </x:c>
      <x:c r="M1011" s="26" t="n">
        <x:v>0.1</x:v>
      </x:c>
      <x:c r="N1011" s="24" t="n">
        <x:v>72</x:v>
      </x:c>
      <x:c r="O1011" s="28" t="n">
        <x:f>MIN(1,L1011/I1011)</x:f>
        <x:v>0.01725</x:v>
      </x:c>
      <x:c r="P1011" s="30" t="n">
        <x:f>O1011*J1011*(1+M1011)</x:f>
        <x:v>0.018975000000000002</x:v>
      </x:c>
      <x:c r="Q1011" s="30" t="n">
        <x:f>P1011*N1011</x:f>
        <x:v>1.3662</x:v>
      </x:c>
      <x:c r="R1011" s="19" t="str">
        <x:v>独立判定</x:v>
      </x:c>
    </x:row>
    <x:row r="1012" ht="19" customHeight="1">
      <x:c r="A1012" s="19" t="str">
        <x:v>D01008</x:v>
      </x:c>
      <x:c r="B1012" s="19" t="n">
        <x:v>3</x:v>
      </x:c>
      <x:c r="C1012" s="19" t="n">
        <x:v>4</x:v>
      </x:c>
      <x:c r="D1012" s="19" t="str">
        <x:v>C03-M037</x:v>
      </x:c>
      <x:c r="E1012" s="19" t="str">
        <x:v>残阵兵魂</x:v>
      </x:c>
      <x:c r="F1012" s="19" t="str">
        <x:v>普通</x:v>
      </x:c>
      <x:c r="G1012" s="19" t="str">
        <x:v>材料独立候选</x:v>
      </x:c>
      <x:c r="H1012" s="19" t="str">
        <x:v>风蚀铁片</x:v>
      </x:c>
      <x:c r="I1012" s="22" t="n">
        <x:v>800</x:v>
      </x:c>
      <x:c r="J1012" s="22" t="n">
        <x:v>8</x:v>
      </x:c>
      <x:c r="K1012" s="19" t="n">
        <x:v>1</x:v>
      </x:c>
      <x:c r="L1012" s="24" t="n">
        <x:v>17.25</x:v>
      </x:c>
      <x:c r="M1012" s="26" t="n">
        <x:v>0.1</x:v>
      </x:c>
      <x:c r="N1012" s="24" t="n">
        <x:v>72</x:v>
      </x:c>
      <x:c r="O1012" s="28" t="n">
        <x:f>MIN(1,L1012/I1012)</x:f>
        <x:v>0.0215625</x:v>
      </x:c>
      <x:c r="P1012" s="30" t="n">
        <x:f>O1012*J1012*(1+M1012)</x:f>
        <x:v>0.18975</x:v>
      </x:c>
      <x:c r="Q1012" s="30" t="n">
        <x:f>P1012*N1012</x:f>
        <x:v>13.662</x:v>
      </x:c>
      <x:c r="R1012" s="19" t="str">
        <x:v>独立判定</x:v>
      </x:c>
    </x:row>
    <x:row r="1013" ht="19" customHeight="1">
      <x:c r="A1013" s="19" t="str">
        <x:v>D01009</x:v>
      </x:c>
      <x:c r="B1013" s="19" t="n">
        <x:v>3</x:v>
      </x:c>
      <x:c r="C1013" s="19" t="n">
        <x:v>4</x:v>
      </x:c>
      <x:c r="D1013" s="19" t="str">
        <x:v>C03-M037</x:v>
      </x:c>
      <x:c r="E1013" s="19" t="str">
        <x:v>残阵兵魂</x:v>
      </x:c>
      <x:c r="F1013" s="19" t="str">
        <x:v>普通</x:v>
      </x:c>
      <x:c r="G1013" s="19" t="str">
        <x:v>材料独立候选</x:v>
      </x:c>
      <x:c r="H1013" s="19" t="str">
        <x:v>裂风崖羽</x:v>
      </x:c>
      <x:c r="I1013" s="22" t="n">
        <x:v>2000</x:v>
      </x:c>
      <x:c r="J1013" s="22" t="n">
        <x:v>1</x:v>
      </x:c>
      <x:c r="K1013" s="19" t="n">
        <x:v>1</x:v>
      </x:c>
      <x:c r="L1013" s="24" t="n">
        <x:v>17.25</x:v>
      </x:c>
      <x:c r="M1013" s="26" t="n">
        <x:v>0.1</x:v>
      </x:c>
      <x:c r="N1013" s="24" t="n">
        <x:v>72</x:v>
      </x:c>
      <x:c r="O1013" s="28" t="n">
        <x:f>MIN(1,L1013/I1013)</x:f>
        <x:v>0.008625</x:v>
      </x:c>
      <x:c r="P1013" s="30" t="n">
        <x:f>O1013*J1013*(1+M1013)</x:f>
        <x:v>0.009487500000000001</x:v>
      </x:c>
      <x:c r="Q1013" s="30" t="n">
        <x:f>P1013*N1013</x:f>
        <x:v>0.6831</x:v>
      </x:c>
      <x:c r="R1013" s="19" t="str">
        <x:v>独立判定</x:v>
      </x:c>
    </x:row>
    <x:row r="1014" ht="19" customHeight="1">
      <x:c r="A1014" s="19" t="str">
        <x:v>D01010</x:v>
      </x:c>
      <x:c r="B1014" s="19" t="n">
        <x:v>3</x:v>
      </x:c>
      <x:c r="C1014" s="19" t="n">
        <x:v>4</x:v>
      </x:c>
      <x:c r="D1014" s="19" t="str">
        <x:v>C03-M037</x:v>
      </x:c>
      <x:c r="E1014" s="19" t="str">
        <x:v>残阵兵魂</x:v>
      </x:c>
      <x:c r="F1014" s="19" t="str">
        <x:v>普通</x:v>
      </x:c>
      <x:c r="G1014" s="19" t="str">
        <x:v>材料独立候选</x:v>
      </x:c>
      <x:c r="H1014" s="19" t="str">
        <x:v>西境风痕碑拓</x:v>
      </x:c>
      <x:c r="I1014" s="22" t="n">
        <x:v>800000</x:v>
      </x:c>
      <x:c r="J1014" s="22" t="n">
        <x:v>1</x:v>
      </x:c>
      <x:c r="K1014" s="19" t="n">
        <x:v>1</x:v>
      </x:c>
      <x:c r="L1014" s="24" t="n">
        <x:v>17.25</x:v>
      </x:c>
      <x:c r="M1014" s="26" t="n">
        <x:v>0.1</x:v>
      </x:c>
      <x:c r="N1014" s="24" t="n">
        <x:v>72</x:v>
      </x:c>
      <x:c r="O1014" s="28" t="n">
        <x:f>MIN(1,L1014/I1014)</x:f>
        <x:v>0.0000215625</x:v>
      </x:c>
      <x:c r="P1014" s="30" t="n">
        <x:f>O1014*J1014*(1+M1014)</x:f>
        <x:v>0.00002371875</x:v>
      </x:c>
      <x:c r="Q1014" s="30" t="n">
        <x:f>P1014*N1014</x:f>
        <x:v>0.00170775</x:v>
      </x:c>
      <x:c r="R1014" s="19" t="str">
        <x:v>独立判定</x:v>
      </x:c>
    </x:row>
    <x:row r="1015" ht="19" customHeight="1">
      <x:c r="A1015" s="19" t="str">
        <x:v>D01011</x:v>
      </x:c>
      <x:c r="B1015" s="19" t="n">
        <x:v>3</x:v>
      </x:c>
      <x:c r="C1015" s="19" t="n">
        <x:v>4</x:v>
      </x:c>
      <x:c r="D1015" s="19" t="str">
        <x:v>C03-M037</x:v>
      </x:c>
      <x:c r="E1015" s="19" t="str">
        <x:v>残阵兵魂</x:v>
      </x:c>
      <x:c r="F1015" s="19" t="str">
        <x:v>普通</x:v>
      </x:c>
      <x:c r="G1015" s="19" t="str">
        <x:v>材料独立候选</x:v>
      </x:c>
      <x:c r="H1015" s="19" t="str">
        <x:v>野兽骨片</x:v>
      </x:c>
      <x:c r="I1015" s="22" t="n">
        <x:v>120</x:v>
      </x:c>
      <x:c r="J1015" s="22" t="n">
        <x:v>2</x:v>
      </x:c>
      <x:c r="K1015" s="19" t="n">
        <x:v>1</x:v>
      </x:c>
      <x:c r="L1015" s="24" t="n">
        <x:v>17.25</x:v>
      </x:c>
      <x:c r="M1015" s="26" t="n">
        <x:v>0.1</x:v>
      </x:c>
      <x:c r="N1015" s="24" t="n">
        <x:v>72</x:v>
      </x:c>
      <x:c r="O1015" s="28" t="n">
        <x:f>MIN(1,L1015/I1015)</x:f>
        <x:v>0.14375</x:v>
      </x:c>
      <x:c r="P1015" s="30" t="n">
        <x:f>O1015*J1015*(1+M1015)</x:f>
        <x:v>0.31625</x:v>
      </x:c>
      <x:c r="Q1015" s="30" t="n">
        <x:f>P1015*N1015</x:f>
        <x:v>22.77</x:v>
      </x:c>
      <x:c r="R1015" s="19" t="str">
        <x:v>独立判定</x:v>
      </x:c>
    </x:row>
    <x:row r="1016" ht="19" customHeight="1">
      <x:c r="A1016" s="19" t="str">
        <x:v>D01012</x:v>
      </x:c>
      <x:c r="B1016" s="19" t="n">
        <x:v>3</x:v>
      </x:c>
      <x:c r="C1016" s="19" t="n">
        <x:v>4</x:v>
      </x:c>
      <x:c r="D1016" s="19" t="str">
        <x:v>C03-M037</x:v>
      </x:c>
      <x:c r="E1016" s="19" t="str">
        <x:v>残阵兵魂</x:v>
      </x:c>
      <x:c r="F1016" s="19" t="str">
        <x:v>普通</x:v>
      </x:c>
      <x:c r="G1016" s="19" t="str">
        <x:v>材料独立候选</x:v>
      </x:c>
      <x:c r="H1016" s="19" t="str">
        <x:v>技能残页</x:v>
      </x:c>
      <x:c r="I1016" s="22" t="n">
        <x:v>300</x:v>
      </x:c>
      <x:c r="J1016" s="22" t="n">
        <x:v>1</x:v>
      </x:c>
      <x:c r="K1016" s="19" t="n">
        <x:v>1</x:v>
      </x:c>
      <x:c r="L1016" s="24" t="n">
        <x:v>17.25</x:v>
      </x:c>
      <x:c r="M1016" s="26" t="n">
        <x:v>0.1</x:v>
      </x:c>
      <x:c r="N1016" s="24" t="n">
        <x:v>72</x:v>
      </x:c>
      <x:c r="O1016" s="28" t="n">
        <x:f>MIN(1,L1016/I1016)</x:f>
        <x:v>0.0575</x:v>
      </x:c>
      <x:c r="P1016" s="30" t="n">
        <x:f>O1016*J1016*(1+M1016)</x:f>
        <x:v>0.06325000000000001</x:v>
      </x:c>
      <x:c r="Q1016" s="30" t="n">
        <x:f>P1016*N1016</x:f>
        <x:v>4.554000000000001</x:v>
      </x:c>
      <x:c r="R1016" s="19" t="str">
        <x:v>独立判定</x:v>
      </x:c>
    </x:row>
    <x:row r="1017" ht="19" customHeight="1">
      <x:c r="A1017" s="19" t="str">
        <x:v>D01013</x:v>
      </x:c>
      <x:c r="B1017" s="19" t="n">
        <x:v>3</x:v>
      </x:c>
      <x:c r="C1017" s="19" t="n">
        <x:v>4</x:v>
      </x:c>
      <x:c r="D1017" s="19" t="str">
        <x:v>C03-M037</x:v>
      </x:c>
      <x:c r="E1017" s="19" t="str">
        <x:v>残阵兵魂</x:v>
      </x:c>
      <x:c r="F1017" s="19" t="str">
        <x:v>普通</x:v>
      </x:c>
      <x:c r="G1017" s="19" t="str">
        <x:v>材料独立候选</x:v>
      </x:c>
      <x:c r="H1017" s="19" t="str">
        <x:v>小卢恩</x:v>
      </x:c>
      <x:c r="I1017" s="22" t="n">
        <x:v>5000</x:v>
      </x:c>
      <x:c r="J1017" s="22" t="n">
        <x:v>1</x:v>
      </x:c>
      <x:c r="K1017" s="19" t="n">
        <x:v>1</x:v>
      </x:c>
      <x:c r="L1017" s="24" t="n">
        <x:v>17.25</x:v>
      </x:c>
      <x:c r="M1017" s="26" t="n">
        <x:v>0.1</x:v>
      </x:c>
      <x:c r="N1017" s="24" t="n">
        <x:v>72</x:v>
      </x:c>
      <x:c r="O1017" s="28" t="n">
        <x:f>MIN(1,L1017/I1017)</x:f>
        <x:v>0.00345</x:v>
      </x:c>
      <x:c r="P1017" s="30" t="n">
        <x:f>O1017*J1017*(1+M1017)</x:f>
        <x:v>0.003795</x:v>
      </x:c>
      <x:c r="Q1017" s="30" t="n">
        <x:f>P1017*N1017</x:f>
        <x:v>0.27324000000000004</x:v>
      </x:c>
      <x:c r="R1017" s="19" t="str">
        <x:v>独立判定</x:v>
      </x:c>
    </x:row>
    <x:row r="1018" ht="19" customHeight="1">
      <x:c r="A1018" s="19" t="str">
        <x:v>D01014</x:v>
      </x:c>
      <x:c r="B1018" s="19" t="n">
        <x:v>3</x:v>
      </x:c>
      <x:c r="C1018" s="19" t="n">
        <x:v>4</x:v>
      </x:c>
      <x:c r="D1018" s="19" t="str">
        <x:v>C03-M037</x:v>
      </x:c>
      <x:c r="E1018" s="19" t="str">
        <x:v>残阵兵魂</x:v>
      </x:c>
      <x:c r="F1018" s="19" t="str">
        <x:v>普通</x:v>
      </x:c>
      <x:c r="G1018" s="19" t="str">
        <x:v>六神器公共池</x:v>
      </x:c>
      <x:c r="H1018" s="19" t="str">
        <x:v>POOL006</x:v>
      </x:c>
      <x:c r="I1018" s="22" t="n">
        <x:v>20000000</x:v>
      </x:c>
      <x:c r="J1018" s="22" t="n">
        <x:v>1</x:v>
      </x:c>
      <x:c r="K1018" s="19" t="n">
        <x:v>6</x:v>
      </x:c>
      <x:c r="L1018" s="24" t="n">
        <x:v>17.25</x:v>
      </x:c>
      <x:c r="M1018" s="26" t="n">
        <x:v>0.1</x:v>
      </x:c>
      <x:c r="N1018" s="24" t="n">
        <x:v>72</x:v>
      </x:c>
      <x:c r="O1018" s="28" t="n">
        <x:f>MIN(1,L1018/I1018)</x:f>
        <x:v>8.625e-7</x:v>
      </x:c>
      <x:c r="P1018" s="30" t="n">
        <x:f>O1018*J1018*(1+M1018)</x:f>
        <x:v>9.487500000000001e-7</x:v>
      </x:c>
      <x:c r="Q1018" s="30" t="n">
        <x:f>P1018*N1018</x:f>
        <x:v>0.00006831000000000002</x:v>
      </x:c>
      <x:c r="R1018" s="19" t="str">
        <x:v>六选一；非6个独立爆率</x:v>
      </x:c>
    </x:row>
    <x:row r="1019" ht="19" customHeight="1">
      <x:c r="A1019" s="19" t="str">
        <x:v>D01015</x:v>
      </x:c>
      <x:c r="B1019" s="19" t="n">
        <x:v>3</x:v>
      </x:c>
      <x:c r="C1019" s="19" t="n">
        <x:v>4</x:v>
      </x:c>
      <x:c r="D1019" s="19" t="str">
        <x:v>C03-M038</x:v>
      </x:c>
      <x:c r="E1019" s="19" t="str">
        <x:v>折戟亡卒</x:v>
      </x:c>
      <x:c r="F1019" s="19" t="str">
        <x:v>普通</x:v>
      </x:c>
      <x:c r="G1019" s="19" t="str">
        <x:v>自身专属</x:v>
      </x:c>
      <x:c r="H1019" s="19" t="str">
        <x:v>折戟铁链</x:v>
      </x:c>
      <x:c r="I1019" s="22" t="n">
        <x:v>1000</x:v>
      </x:c>
      <x:c r="J1019" s="22" t="n">
        <x:v>1</x:v>
      </x:c>
      <x:c r="K1019" s="19" t="n">
        <x:v>1</x:v>
      </x:c>
      <x:c r="L1019" s="24" t="n">
        <x:v>17.25</x:v>
      </x:c>
      <x:c r="M1019" s="26" t="n">
        <x:v>0.1</x:v>
      </x:c>
      <x:c r="N1019" s="24" t="n">
        <x:v>72</x:v>
      </x:c>
      <x:c r="O1019" s="28" t="n">
        <x:f>MIN(1,L1019/I1019)</x:f>
        <x:v>0.01725</x:v>
      </x:c>
      <x:c r="P1019" s="30" t="n">
        <x:f>O1019*J1019*(1+M1019)</x:f>
        <x:v>0.018975000000000002</x:v>
      </x:c>
      <x:c r="Q1019" s="30" t="n">
        <x:f>P1019*N1019</x:f>
        <x:v>1.3662</x:v>
      </x:c>
      <x:c r="R1019" s="19" t="str">
        <x:v>独立判定</x:v>
      </x:c>
    </x:row>
    <x:row r="1020" ht="19" customHeight="1">
      <x:c r="A1020" s="19" t="str">
        <x:v>D01016</x:v>
      </x:c>
      <x:c r="B1020" s="19" t="n">
        <x:v>3</x:v>
      </x:c>
      <x:c r="C1020" s="19" t="n">
        <x:v>4</x:v>
      </x:c>
      <x:c r="D1020" s="19" t="str">
        <x:v>C03-M038</x:v>
      </x:c>
      <x:c r="E1020" s="19" t="str">
        <x:v>折戟亡卒</x:v>
      </x:c>
      <x:c r="F1020" s="19" t="str">
        <x:v>普通</x:v>
      </x:c>
      <x:c r="G1020" s="19" t="str">
        <x:v>材料独立候选</x:v>
      </x:c>
      <x:c r="H1020" s="19" t="str">
        <x:v>风蚀铁片</x:v>
      </x:c>
      <x:c r="I1020" s="22" t="n">
        <x:v>800</x:v>
      </x:c>
      <x:c r="J1020" s="22" t="n">
        <x:v>8</x:v>
      </x:c>
      <x:c r="K1020" s="19" t="n">
        <x:v>1</x:v>
      </x:c>
      <x:c r="L1020" s="24" t="n">
        <x:v>17.25</x:v>
      </x:c>
      <x:c r="M1020" s="26" t="n">
        <x:v>0.1</x:v>
      </x:c>
      <x:c r="N1020" s="24" t="n">
        <x:v>72</x:v>
      </x:c>
      <x:c r="O1020" s="28" t="n">
        <x:f>MIN(1,L1020/I1020)</x:f>
        <x:v>0.0215625</x:v>
      </x:c>
      <x:c r="P1020" s="30" t="n">
        <x:f>O1020*J1020*(1+M1020)</x:f>
        <x:v>0.18975</x:v>
      </x:c>
      <x:c r="Q1020" s="30" t="n">
        <x:f>P1020*N1020</x:f>
        <x:v>13.662</x:v>
      </x:c>
      <x:c r="R1020" s="19" t="str">
        <x:v>独立判定</x:v>
      </x:c>
    </x:row>
    <x:row r="1021" ht="19" customHeight="1">
      <x:c r="A1021" s="19" t="str">
        <x:v>D01017</x:v>
      </x:c>
      <x:c r="B1021" s="19" t="n">
        <x:v>3</x:v>
      </x:c>
      <x:c r="C1021" s="19" t="n">
        <x:v>4</x:v>
      </x:c>
      <x:c r="D1021" s="19" t="str">
        <x:v>C03-M038</x:v>
      </x:c>
      <x:c r="E1021" s="19" t="str">
        <x:v>折戟亡卒</x:v>
      </x:c>
      <x:c r="F1021" s="19" t="str">
        <x:v>普通</x:v>
      </x:c>
      <x:c r="G1021" s="19" t="str">
        <x:v>材料独立候选</x:v>
      </x:c>
      <x:c r="H1021" s="19" t="str">
        <x:v>裂风崖羽</x:v>
      </x:c>
      <x:c r="I1021" s="22" t="n">
        <x:v>2000</x:v>
      </x:c>
      <x:c r="J1021" s="22" t="n">
        <x:v>1</x:v>
      </x:c>
      <x:c r="K1021" s="19" t="n">
        <x:v>1</x:v>
      </x:c>
      <x:c r="L1021" s="24" t="n">
        <x:v>17.25</x:v>
      </x:c>
      <x:c r="M1021" s="26" t="n">
        <x:v>0.1</x:v>
      </x:c>
      <x:c r="N1021" s="24" t="n">
        <x:v>72</x:v>
      </x:c>
      <x:c r="O1021" s="28" t="n">
        <x:f>MIN(1,L1021/I1021)</x:f>
        <x:v>0.008625</x:v>
      </x:c>
      <x:c r="P1021" s="30" t="n">
        <x:f>O1021*J1021*(1+M1021)</x:f>
        <x:v>0.009487500000000001</x:v>
      </x:c>
      <x:c r="Q1021" s="30" t="n">
        <x:f>P1021*N1021</x:f>
        <x:v>0.6831</x:v>
      </x:c>
      <x:c r="R1021" s="19" t="str">
        <x:v>独立判定</x:v>
      </x:c>
    </x:row>
    <x:row r="1022" ht="19" customHeight="1">
      <x:c r="A1022" s="19" t="str">
        <x:v>D01018</x:v>
      </x:c>
      <x:c r="B1022" s="19" t="n">
        <x:v>3</x:v>
      </x:c>
      <x:c r="C1022" s="19" t="n">
        <x:v>4</x:v>
      </x:c>
      <x:c r="D1022" s="19" t="str">
        <x:v>C03-M038</x:v>
      </x:c>
      <x:c r="E1022" s="19" t="str">
        <x:v>折戟亡卒</x:v>
      </x:c>
      <x:c r="F1022" s="19" t="str">
        <x:v>普通</x:v>
      </x:c>
      <x:c r="G1022" s="19" t="str">
        <x:v>材料独立候选</x:v>
      </x:c>
      <x:c r="H1022" s="19" t="str">
        <x:v>西境风痕碑拓</x:v>
      </x:c>
      <x:c r="I1022" s="22" t="n">
        <x:v>800000</x:v>
      </x:c>
      <x:c r="J1022" s="22" t="n">
        <x:v>1</x:v>
      </x:c>
      <x:c r="K1022" s="19" t="n">
        <x:v>1</x:v>
      </x:c>
      <x:c r="L1022" s="24" t="n">
        <x:v>17.25</x:v>
      </x:c>
      <x:c r="M1022" s="26" t="n">
        <x:v>0.1</x:v>
      </x:c>
      <x:c r="N1022" s="24" t="n">
        <x:v>72</x:v>
      </x:c>
      <x:c r="O1022" s="28" t="n">
        <x:f>MIN(1,L1022/I1022)</x:f>
        <x:v>0.0000215625</x:v>
      </x:c>
      <x:c r="P1022" s="30" t="n">
        <x:f>O1022*J1022*(1+M1022)</x:f>
        <x:v>0.00002371875</x:v>
      </x:c>
      <x:c r="Q1022" s="30" t="n">
        <x:f>P1022*N1022</x:f>
        <x:v>0.00170775</x:v>
      </x:c>
      <x:c r="R1022" s="19" t="str">
        <x:v>独立判定</x:v>
      </x:c>
    </x:row>
    <x:row r="1023" ht="19" customHeight="1">
      <x:c r="A1023" s="19" t="str">
        <x:v>D01019</x:v>
      </x:c>
      <x:c r="B1023" s="19" t="n">
        <x:v>3</x:v>
      </x:c>
      <x:c r="C1023" s="19" t="n">
        <x:v>4</x:v>
      </x:c>
      <x:c r="D1023" s="19" t="str">
        <x:v>C03-M038</x:v>
      </x:c>
      <x:c r="E1023" s="19" t="str">
        <x:v>折戟亡卒</x:v>
      </x:c>
      <x:c r="F1023" s="19" t="str">
        <x:v>普通</x:v>
      </x:c>
      <x:c r="G1023" s="19" t="str">
        <x:v>材料独立候选</x:v>
      </x:c>
      <x:c r="H1023" s="19" t="str">
        <x:v>野兽骨片</x:v>
      </x:c>
      <x:c r="I1023" s="22" t="n">
        <x:v>120</x:v>
      </x:c>
      <x:c r="J1023" s="22" t="n">
        <x:v>2</x:v>
      </x:c>
      <x:c r="K1023" s="19" t="n">
        <x:v>1</x:v>
      </x:c>
      <x:c r="L1023" s="24" t="n">
        <x:v>17.25</x:v>
      </x:c>
      <x:c r="M1023" s="26" t="n">
        <x:v>0.1</x:v>
      </x:c>
      <x:c r="N1023" s="24" t="n">
        <x:v>72</x:v>
      </x:c>
      <x:c r="O1023" s="28" t="n">
        <x:f>MIN(1,L1023/I1023)</x:f>
        <x:v>0.14375</x:v>
      </x:c>
      <x:c r="P1023" s="30" t="n">
        <x:f>O1023*J1023*(1+M1023)</x:f>
        <x:v>0.31625</x:v>
      </x:c>
      <x:c r="Q1023" s="30" t="n">
        <x:f>P1023*N1023</x:f>
        <x:v>22.77</x:v>
      </x:c>
      <x:c r="R1023" s="19" t="str">
        <x:v>独立判定</x:v>
      </x:c>
    </x:row>
    <x:row r="1024" ht="19" customHeight="1">
      <x:c r="A1024" s="19" t="str">
        <x:v>D01020</x:v>
      </x:c>
      <x:c r="B1024" s="19" t="n">
        <x:v>3</x:v>
      </x:c>
      <x:c r="C1024" s="19" t="n">
        <x:v>4</x:v>
      </x:c>
      <x:c r="D1024" s="19" t="str">
        <x:v>C03-M038</x:v>
      </x:c>
      <x:c r="E1024" s="19" t="str">
        <x:v>折戟亡卒</x:v>
      </x:c>
      <x:c r="F1024" s="19" t="str">
        <x:v>普通</x:v>
      </x:c>
      <x:c r="G1024" s="19" t="str">
        <x:v>材料独立候选</x:v>
      </x:c>
      <x:c r="H1024" s="19" t="str">
        <x:v>技能残页</x:v>
      </x:c>
      <x:c r="I1024" s="22" t="n">
        <x:v>300</x:v>
      </x:c>
      <x:c r="J1024" s="22" t="n">
        <x:v>1</x:v>
      </x:c>
      <x:c r="K1024" s="19" t="n">
        <x:v>1</x:v>
      </x:c>
      <x:c r="L1024" s="24" t="n">
        <x:v>17.25</x:v>
      </x:c>
      <x:c r="M1024" s="26" t="n">
        <x:v>0.1</x:v>
      </x:c>
      <x:c r="N1024" s="24" t="n">
        <x:v>72</x:v>
      </x:c>
      <x:c r="O1024" s="28" t="n">
        <x:f>MIN(1,L1024/I1024)</x:f>
        <x:v>0.0575</x:v>
      </x:c>
      <x:c r="P1024" s="30" t="n">
        <x:f>O1024*J1024*(1+M1024)</x:f>
        <x:v>0.06325000000000001</x:v>
      </x:c>
      <x:c r="Q1024" s="30" t="n">
        <x:f>P1024*N1024</x:f>
        <x:v>4.554000000000001</x:v>
      </x:c>
      <x:c r="R1024" s="19" t="str">
        <x:v>独立判定</x:v>
      </x:c>
    </x:row>
    <x:row r="1025" ht="19" customHeight="1">
      <x:c r="A1025" s="19" t="str">
        <x:v>D01021</x:v>
      </x:c>
      <x:c r="B1025" s="19" t="n">
        <x:v>3</x:v>
      </x:c>
      <x:c r="C1025" s="19" t="n">
        <x:v>4</x:v>
      </x:c>
      <x:c r="D1025" s="19" t="str">
        <x:v>C03-M038</x:v>
      </x:c>
      <x:c r="E1025" s="19" t="str">
        <x:v>折戟亡卒</x:v>
      </x:c>
      <x:c r="F1025" s="19" t="str">
        <x:v>普通</x:v>
      </x:c>
      <x:c r="G1025" s="19" t="str">
        <x:v>材料独立候选</x:v>
      </x:c>
      <x:c r="H1025" s="19" t="str">
        <x:v>小卢恩</x:v>
      </x:c>
      <x:c r="I1025" s="22" t="n">
        <x:v>5000</x:v>
      </x:c>
      <x:c r="J1025" s="22" t="n">
        <x:v>1</x:v>
      </x:c>
      <x:c r="K1025" s="19" t="n">
        <x:v>1</x:v>
      </x:c>
      <x:c r="L1025" s="24" t="n">
        <x:v>17.25</x:v>
      </x:c>
      <x:c r="M1025" s="26" t="n">
        <x:v>0.1</x:v>
      </x:c>
      <x:c r="N1025" s="24" t="n">
        <x:v>72</x:v>
      </x:c>
      <x:c r="O1025" s="28" t="n">
        <x:f>MIN(1,L1025/I1025)</x:f>
        <x:v>0.00345</x:v>
      </x:c>
      <x:c r="P1025" s="30" t="n">
        <x:f>O1025*J1025*(1+M1025)</x:f>
        <x:v>0.003795</x:v>
      </x:c>
      <x:c r="Q1025" s="30" t="n">
        <x:f>P1025*N1025</x:f>
        <x:v>0.27324000000000004</x:v>
      </x:c>
      <x:c r="R1025" s="19" t="str">
        <x:v>独立判定</x:v>
      </x:c>
    </x:row>
    <x:row r="1026" ht="19" customHeight="1">
      <x:c r="A1026" s="19" t="str">
        <x:v>D01022</x:v>
      </x:c>
      <x:c r="B1026" s="19" t="n">
        <x:v>3</x:v>
      </x:c>
      <x:c r="C1026" s="19" t="n">
        <x:v>4</x:v>
      </x:c>
      <x:c r="D1026" s="19" t="str">
        <x:v>C03-M038</x:v>
      </x:c>
      <x:c r="E1026" s="19" t="str">
        <x:v>折戟亡卒</x:v>
      </x:c>
      <x:c r="F1026" s="19" t="str">
        <x:v>普通</x:v>
      </x:c>
      <x:c r="G1026" s="19" t="str">
        <x:v>六神器公共池</x:v>
      </x:c>
      <x:c r="H1026" s="19" t="str">
        <x:v>POOL006</x:v>
      </x:c>
      <x:c r="I1026" s="22" t="n">
        <x:v>20000000</x:v>
      </x:c>
      <x:c r="J1026" s="22" t="n">
        <x:v>1</x:v>
      </x:c>
      <x:c r="K1026" s="19" t="n">
        <x:v>6</x:v>
      </x:c>
      <x:c r="L1026" s="24" t="n">
        <x:v>17.25</x:v>
      </x:c>
      <x:c r="M1026" s="26" t="n">
        <x:v>0.1</x:v>
      </x:c>
      <x:c r="N1026" s="24" t="n">
        <x:v>72</x:v>
      </x:c>
      <x:c r="O1026" s="28" t="n">
        <x:f>MIN(1,L1026/I1026)</x:f>
        <x:v>8.625e-7</x:v>
      </x:c>
      <x:c r="P1026" s="30" t="n">
        <x:f>O1026*J1026*(1+M1026)</x:f>
        <x:v>9.487500000000001e-7</x:v>
      </x:c>
      <x:c r="Q1026" s="30" t="n">
        <x:f>P1026*N1026</x:f>
        <x:v>0.00006831000000000002</x:v>
      </x:c>
      <x:c r="R1026" s="19" t="str">
        <x:v>六选一；非6个独立爆率</x:v>
      </x:c>
    </x:row>
    <x:row r="1027" ht="19" customHeight="1">
      <x:c r="A1027" s="19" t="str">
        <x:v>D01023</x:v>
      </x:c>
      <x:c r="B1027" s="19" t="n">
        <x:v>3</x:v>
      </x:c>
      <x:c r="C1027" s="19" t="n">
        <x:v>4</x:v>
      </x:c>
      <x:c r="D1027" s="19" t="str">
        <x:v>C03-M039</x:v>
      </x:c>
      <x:c r="E1027" s="19" t="str">
        <x:v>战壕腐尸</x:v>
      </x:c>
      <x:c r="F1027" s="19" t="str">
        <x:v>普通</x:v>
      </x:c>
      <x:c r="G1027" s="19" t="str">
        <x:v>自身专属</x:v>
      </x:c>
      <x:c r="H1027" s="19" t="str">
        <x:v>战壕骨甲</x:v>
      </x:c>
      <x:c r="I1027" s="22" t="n">
        <x:v>1000</x:v>
      </x:c>
      <x:c r="J1027" s="22" t="n">
        <x:v>1</x:v>
      </x:c>
      <x:c r="K1027" s="19" t="n">
        <x:v>1</x:v>
      </x:c>
      <x:c r="L1027" s="24" t="n">
        <x:v>17.25</x:v>
      </x:c>
      <x:c r="M1027" s="26" t="n">
        <x:v>0.1</x:v>
      </x:c>
      <x:c r="N1027" s="24" t="n">
        <x:v>72</x:v>
      </x:c>
      <x:c r="O1027" s="28" t="n">
        <x:f>MIN(1,L1027/I1027)</x:f>
        <x:v>0.01725</x:v>
      </x:c>
      <x:c r="P1027" s="30" t="n">
        <x:f>O1027*J1027*(1+M1027)</x:f>
        <x:v>0.018975000000000002</x:v>
      </x:c>
      <x:c r="Q1027" s="30" t="n">
        <x:f>P1027*N1027</x:f>
        <x:v>1.3662</x:v>
      </x:c>
      <x:c r="R1027" s="19" t="str">
        <x:v>独立判定</x:v>
      </x:c>
    </x:row>
    <x:row r="1028" ht="19" customHeight="1">
      <x:c r="A1028" s="19" t="str">
        <x:v>D01024</x:v>
      </x:c>
      <x:c r="B1028" s="19" t="n">
        <x:v>3</x:v>
      </x:c>
      <x:c r="C1028" s="19" t="n">
        <x:v>4</x:v>
      </x:c>
      <x:c r="D1028" s="19" t="str">
        <x:v>C03-M039</x:v>
      </x:c>
      <x:c r="E1028" s="19" t="str">
        <x:v>战壕腐尸</x:v>
      </x:c>
      <x:c r="F1028" s="19" t="str">
        <x:v>普通</x:v>
      </x:c>
      <x:c r="G1028" s="19" t="str">
        <x:v>材料独立候选</x:v>
      </x:c>
      <x:c r="H1028" s="19" t="str">
        <x:v>风蚀铁片</x:v>
      </x:c>
      <x:c r="I1028" s="22" t="n">
        <x:v>800</x:v>
      </x:c>
      <x:c r="J1028" s="22" t="n">
        <x:v>8</x:v>
      </x:c>
      <x:c r="K1028" s="19" t="n">
        <x:v>1</x:v>
      </x:c>
      <x:c r="L1028" s="24" t="n">
        <x:v>17.25</x:v>
      </x:c>
      <x:c r="M1028" s="26" t="n">
        <x:v>0.1</x:v>
      </x:c>
      <x:c r="N1028" s="24" t="n">
        <x:v>72</x:v>
      </x:c>
      <x:c r="O1028" s="28" t="n">
        <x:f>MIN(1,L1028/I1028)</x:f>
        <x:v>0.0215625</x:v>
      </x:c>
      <x:c r="P1028" s="30" t="n">
        <x:f>O1028*J1028*(1+M1028)</x:f>
        <x:v>0.18975</x:v>
      </x:c>
      <x:c r="Q1028" s="30" t="n">
        <x:f>P1028*N1028</x:f>
        <x:v>13.662</x:v>
      </x:c>
      <x:c r="R1028" s="19" t="str">
        <x:v>独立判定</x:v>
      </x:c>
    </x:row>
    <x:row r="1029" ht="19" customHeight="1">
      <x:c r="A1029" s="19" t="str">
        <x:v>D01025</x:v>
      </x:c>
      <x:c r="B1029" s="19" t="n">
        <x:v>3</x:v>
      </x:c>
      <x:c r="C1029" s="19" t="n">
        <x:v>4</x:v>
      </x:c>
      <x:c r="D1029" s="19" t="str">
        <x:v>C03-M039</x:v>
      </x:c>
      <x:c r="E1029" s="19" t="str">
        <x:v>战壕腐尸</x:v>
      </x:c>
      <x:c r="F1029" s="19" t="str">
        <x:v>普通</x:v>
      </x:c>
      <x:c r="G1029" s="19" t="str">
        <x:v>材料独立候选</x:v>
      </x:c>
      <x:c r="H1029" s="19" t="str">
        <x:v>裂风崖羽</x:v>
      </x:c>
      <x:c r="I1029" s="22" t="n">
        <x:v>2000</x:v>
      </x:c>
      <x:c r="J1029" s="22" t="n">
        <x:v>1</x:v>
      </x:c>
      <x:c r="K1029" s="19" t="n">
        <x:v>1</x:v>
      </x:c>
      <x:c r="L1029" s="24" t="n">
        <x:v>17.25</x:v>
      </x:c>
      <x:c r="M1029" s="26" t="n">
        <x:v>0.1</x:v>
      </x:c>
      <x:c r="N1029" s="24" t="n">
        <x:v>72</x:v>
      </x:c>
      <x:c r="O1029" s="28" t="n">
        <x:f>MIN(1,L1029/I1029)</x:f>
        <x:v>0.008625</x:v>
      </x:c>
      <x:c r="P1029" s="30" t="n">
        <x:f>O1029*J1029*(1+M1029)</x:f>
        <x:v>0.009487500000000001</x:v>
      </x:c>
      <x:c r="Q1029" s="30" t="n">
        <x:f>P1029*N1029</x:f>
        <x:v>0.6831</x:v>
      </x:c>
      <x:c r="R1029" s="19" t="str">
        <x:v>独立判定</x:v>
      </x:c>
    </x:row>
    <x:row r="1030" ht="19" customHeight="1">
      <x:c r="A1030" s="19" t="str">
        <x:v>D01026</x:v>
      </x:c>
      <x:c r="B1030" s="19" t="n">
        <x:v>3</x:v>
      </x:c>
      <x:c r="C1030" s="19" t="n">
        <x:v>4</x:v>
      </x:c>
      <x:c r="D1030" s="19" t="str">
        <x:v>C03-M039</x:v>
      </x:c>
      <x:c r="E1030" s="19" t="str">
        <x:v>战壕腐尸</x:v>
      </x:c>
      <x:c r="F1030" s="19" t="str">
        <x:v>普通</x:v>
      </x:c>
      <x:c r="G1030" s="19" t="str">
        <x:v>材料独立候选</x:v>
      </x:c>
      <x:c r="H1030" s="19" t="str">
        <x:v>西境风痕碑拓</x:v>
      </x:c>
      <x:c r="I1030" s="22" t="n">
        <x:v>800000</x:v>
      </x:c>
      <x:c r="J1030" s="22" t="n">
        <x:v>1</x:v>
      </x:c>
      <x:c r="K1030" s="19" t="n">
        <x:v>1</x:v>
      </x:c>
      <x:c r="L1030" s="24" t="n">
        <x:v>17.25</x:v>
      </x:c>
      <x:c r="M1030" s="26" t="n">
        <x:v>0.1</x:v>
      </x:c>
      <x:c r="N1030" s="24" t="n">
        <x:v>72</x:v>
      </x:c>
      <x:c r="O1030" s="28" t="n">
        <x:f>MIN(1,L1030/I1030)</x:f>
        <x:v>0.0000215625</x:v>
      </x:c>
      <x:c r="P1030" s="30" t="n">
        <x:f>O1030*J1030*(1+M1030)</x:f>
        <x:v>0.00002371875</x:v>
      </x:c>
      <x:c r="Q1030" s="30" t="n">
        <x:f>P1030*N1030</x:f>
        <x:v>0.00170775</x:v>
      </x:c>
      <x:c r="R1030" s="19" t="str">
        <x:v>独立判定</x:v>
      </x:c>
    </x:row>
    <x:row r="1031" ht="19" customHeight="1">
      <x:c r="A1031" s="19" t="str">
        <x:v>D01027</x:v>
      </x:c>
      <x:c r="B1031" s="19" t="n">
        <x:v>3</x:v>
      </x:c>
      <x:c r="C1031" s="19" t="n">
        <x:v>4</x:v>
      </x:c>
      <x:c r="D1031" s="19" t="str">
        <x:v>C03-M039</x:v>
      </x:c>
      <x:c r="E1031" s="19" t="str">
        <x:v>战壕腐尸</x:v>
      </x:c>
      <x:c r="F1031" s="19" t="str">
        <x:v>普通</x:v>
      </x:c>
      <x:c r="G1031" s="19" t="str">
        <x:v>材料独立候选</x:v>
      </x:c>
      <x:c r="H1031" s="19" t="str">
        <x:v>野兽骨片</x:v>
      </x:c>
      <x:c r="I1031" s="22" t="n">
        <x:v>120</x:v>
      </x:c>
      <x:c r="J1031" s="22" t="n">
        <x:v>2</x:v>
      </x:c>
      <x:c r="K1031" s="19" t="n">
        <x:v>1</x:v>
      </x:c>
      <x:c r="L1031" s="24" t="n">
        <x:v>17.25</x:v>
      </x:c>
      <x:c r="M1031" s="26" t="n">
        <x:v>0.1</x:v>
      </x:c>
      <x:c r="N1031" s="24" t="n">
        <x:v>72</x:v>
      </x:c>
      <x:c r="O1031" s="28" t="n">
        <x:f>MIN(1,L1031/I1031)</x:f>
        <x:v>0.14375</x:v>
      </x:c>
      <x:c r="P1031" s="30" t="n">
        <x:f>O1031*J1031*(1+M1031)</x:f>
        <x:v>0.31625</x:v>
      </x:c>
      <x:c r="Q1031" s="30" t="n">
        <x:f>P1031*N1031</x:f>
        <x:v>22.77</x:v>
      </x:c>
      <x:c r="R1031" s="19" t="str">
        <x:v>独立判定</x:v>
      </x:c>
    </x:row>
    <x:row r="1032" ht="19" customHeight="1">
      <x:c r="A1032" s="19" t="str">
        <x:v>D01028</x:v>
      </x:c>
      <x:c r="B1032" s="19" t="n">
        <x:v>3</x:v>
      </x:c>
      <x:c r="C1032" s="19" t="n">
        <x:v>4</x:v>
      </x:c>
      <x:c r="D1032" s="19" t="str">
        <x:v>C03-M039</x:v>
      </x:c>
      <x:c r="E1032" s="19" t="str">
        <x:v>战壕腐尸</x:v>
      </x:c>
      <x:c r="F1032" s="19" t="str">
        <x:v>普通</x:v>
      </x:c>
      <x:c r="G1032" s="19" t="str">
        <x:v>材料独立候选</x:v>
      </x:c>
      <x:c r="H1032" s="19" t="str">
        <x:v>技能残页</x:v>
      </x:c>
      <x:c r="I1032" s="22" t="n">
        <x:v>300</x:v>
      </x:c>
      <x:c r="J1032" s="22" t="n">
        <x:v>1</x:v>
      </x:c>
      <x:c r="K1032" s="19" t="n">
        <x:v>1</x:v>
      </x:c>
      <x:c r="L1032" s="24" t="n">
        <x:v>17.25</x:v>
      </x:c>
      <x:c r="M1032" s="26" t="n">
        <x:v>0.1</x:v>
      </x:c>
      <x:c r="N1032" s="24" t="n">
        <x:v>72</x:v>
      </x:c>
      <x:c r="O1032" s="28" t="n">
        <x:f>MIN(1,L1032/I1032)</x:f>
        <x:v>0.0575</x:v>
      </x:c>
      <x:c r="P1032" s="30" t="n">
        <x:f>O1032*J1032*(1+M1032)</x:f>
        <x:v>0.06325000000000001</x:v>
      </x:c>
      <x:c r="Q1032" s="30" t="n">
        <x:f>P1032*N1032</x:f>
        <x:v>4.554000000000001</x:v>
      </x:c>
      <x:c r="R1032" s="19" t="str">
        <x:v>独立判定</x:v>
      </x:c>
    </x:row>
    <x:row r="1033" ht="19" customHeight="1">
      <x:c r="A1033" s="19" t="str">
        <x:v>D01029</x:v>
      </x:c>
      <x:c r="B1033" s="19" t="n">
        <x:v>3</x:v>
      </x:c>
      <x:c r="C1033" s="19" t="n">
        <x:v>4</x:v>
      </x:c>
      <x:c r="D1033" s="19" t="str">
        <x:v>C03-M039</x:v>
      </x:c>
      <x:c r="E1033" s="19" t="str">
        <x:v>战壕腐尸</x:v>
      </x:c>
      <x:c r="F1033" s="19" t="str">
        <x:v>普通</x:v>
      </x:c>
      <x:c r="G1033" s="19" t="str">
        <x:v>材料独立候选</x:v>
      </x:c>
      <x:c r="H1033" s="19" t="str">
        <x:v>小卢恩</x:v>
      </x:c>
      <x:c r="I1033" s="22" t="n">
        <x:v>5000</x:v>
      </x:c>
      <x:c r="J1033" s="22" t="n">
        <x:v>1</x:v>
      </x:c>
      <x:c r="K1033" s="19" t="n">
        <x:v>1</x:v>
      </x:c>
      <x:c r="L1033" s="24" t="n">
        <x:v>17.25</x:v>
      </x:c>
      <x:c r="M1033" s="26" t="n">
        <x:v>0.1</x:v>
      </x:c>
      <x:c r="N1033" s="24" t="n">
        <x:v>72</x:v>
      </x:c>
      <x:c r="O1033" s="28" t="n">
        <x:f>MIN(1,L1033/I1033)</x:f>
        <x:v>0.00345</x:v>
      </x:c>
      <x:c r="P1033" s="30" t="n">
        <x:f>O1033*J1033*(1+M1033)</x:f>
        <x:v>0.003795</x:v>
      </x:c>
      <x:c r="Q1033" s="30" t="n">
        <x:f>P1033*N1033</x:f>
        <x:v>0.27324000000000004</x:v>
      </x:c>
      <x:c r="R1033" s="19" t="str">
        <x:v>独立判定</x:v>
      </x:c>
    </x:row>
    <x:row r="1034" ht="19" customHeight="1">
      <x:c r="A1034" s="19" t="str">
        <x:v>D01030</x:v>
      </x:c>
      <x:c r="B1034" s="19" t="n">
        <x:v>3</x:v>
      </x:c>
      <x:c r="C1034" s="19" t="n">
        <x:v>4</x:v>
      </x:c>
      <x:c r="D1034" s="19" t="str">
        <x:v>C03-M039</x:v>
      </x:c>
      <x:c r="E1034" s="19" t="str">
        <x:v>战壕腐尸</x:v>
      </x:c>
      <x:c r="F1034" s="19" t="str">
        <x:v>普通</x:v>
      </x:c>
      <x:c r="G1034" s="19" t="str">
        <x:v>六神器公共池</x:v>
      </x:c>
      <x:c r="H1034" s="19" t="str">
        <x:v>POOL006</x:v>
      </x:c>
      <x:c r="I1034" s="22" t="n">
        <x:v>20000000</x:v>
      </x:c>
      <x:c r="J1034" s="22" t="n">
        <x:v>1</x:v>
      </x:c>
      <x:c r="K1034" s="19" t="n">
        <x:v>6</x:v>
      </x:c>
      <x:c r="L1034" s="24" t="n">
        <x:v>17.25</x:v>
      </x:c>
      <x:c r="M1034" s="26" t="n">
        <x:v>0.1</x:v>
      </x:c>
      <x:c r="N1034" s="24" t="n">
        <x:v>72</x:v>
      </x:c>
      <x:c r="O1034" s="28" t="n">
        <x:f>MIN(1,L1034/I1034)</x:f>
        <x:v>8.625e-7</x:v>
      </x:c>
      <x:c r="P1034" s="30" t="n">
        <x:f>O1034*J1034*(1+M1034)</x:f>
        <x:v>9.487500000000001e-7</x:v>
      </x:c>
      <x:c r="Q1034" s="30" t="n">
        <x:f>P1034*N1034</x:f>
        <x:v>0.00006831000000000002</x:v>
      </x:c>
      <x:c r="R1034" s="19" t="str">
        <x:v>六选一；非6个独立爆率</x:v>
      </x:c>
    </x:row>
    <x:row r="1035" ht="19" customHeight="1">
      <x:c r="A1035" s="19" t="str">
        <x:v>D01031</x:v>
      </x:c>
      <x:c r="B1035" s="19" t="n">
        <x:v>3</x:v>
      </x:c>
      <x:c r="C1035" s="19" t="n">
        <x:v>4</x:v>
      </x:c>
      <x:c r="D1035" s="19" t="str">
        <x:v>C03-M040</x:v>
      </x:c>
      <x:c r="E1035" s="19" t="str">
        <x:v>无首号手</x:v>
      </x:c>
      <x:c r="F1035" s="19" t="str">
        <x:v>普通</x:v>
      </x:c>
      <x:c r="G1035" s="19" t="str">
        <x:v>自身专属</x:v>
      </x:c>
      <x:c r="H1035" s="19" t="str">
        <x:v>无首号角</x:v>
      </x:c>
      <x:c r="I1035" s="22" t="n">
        <x:v>1000</x:v>
      </x:c>
      <x:c r="J1035" s="22" t="n">
        <x:v>1</x:v>
      </x:c>
      <x:c r="K1035" s="19" t="n">
        <x:v>1</x:v>
      </x:c>
      <x:c r="L1035" s="24" t="n">
        <x:v>17.25</x:v>
      </x:c>
      <x:c r="M1035" s="26" t="n">
        <x:v>0.1</x:v>
      </x:c>
      <x:c r="N1035" s="24" t="n">
        <x:v>72</x:v>
      </x:c>
      <x:c r="O1035" s="28" t="n">
        <x:f>MIN(1,L1035/I1035)</x:f>
        <x:v>0.01725</x:v>
      </x:c>
      <x:c r="P1035" s="30" t="n">
        <x:f>O1035*J1035*(1+M1035)</x:f>
        <x:v>0.018975000000000002</x:v>
      </x:c>
      <x:c r="Q1035" s="30" t="n">
        <x:f>P1035*N1035</x:f>
        <x:v>1.3662</x:v>
      </x:c>
      <x:c r="R1035" s="19" t="str">
        <x:v>独立判定</x:v>
      </x:c>
    </x:row>
    <x:row r="1036" ht="19" customHeight="1">
      <x:c r="A1036" s="19" t="str">
        <x:v>D01032</x:v>
      </x:c>
      <x:c r="B1036" s="19" t="n">
        <x:v>3</x:v>
      </x:c>
      <x:c r="C1036" s="19" t="n">
        <x:v>4</x:v>
      </x:c>
      <x:c r="D1036" s="19" t="str">
        <x:v>C03-M040</x:v>
      </x:c>
      <x:c r="E1036" s="19" t="str">
        <x:v>无首号手</x:v>
      </x:c>
      <x:c r="F1036" s="19" t="str">
        <x:v>普通</x:v>
      </x:c>
      <x:c r="G1036" s="19" t="str">
        <x:v>材料独立候选</x:v>
      </x:c>
      <x:c r="H1036" s="19" t="str">
        <x:v>风蚀铁片</x:v>
      </x:c>
      <x:c r="I1036" s="22" t="n">
        <x:v>800</x:v>
      </x:c>
      <x:c r="J1036" s="22" t="n">
        <x:v>8</x:v>
      </x:c>
      <x:c r="K1036" s="19" t="n">
        <x:v>1</x:v>
      </x:c>
      <x:c r="L1036" s="24" t="n">
        <x:v>17.25</x:v>
      </x:c>
      <x:c r="M1036" s="26" t="n">
        <x:v>0.1</x:v>
      </x:c>
      <x:c r="N1036" s="24" t="n">
        <x:v>72</x:v>
      </x:c>
      <x:c r="O1036" s="28" t="n">
        <x:f>MIN(1,L1036/I1036)</x:f>
        <x:v>0.0215625</x:v>
      </x:c>
      <x:c r="P1036" s="30" t="n">
        <x:f>O1036*J1036*(1+M1036)</x:f>
        <x:v>0.18975</x:v>
      </x:c>
      <x:c r="Q1036" s="30" t="n">
        <x:f>P1036*N1036</x:f>
        <x:v>13.662</x:v>
      </x:c>
      <x:c r="R1036" s="19" t="str">
        <x:v>独立判定</x:v>
      </x:c>
    </x:row>
    <x:row r="1037" ht="19" customHeight="1">
      <x:c r="A1037" s="19" t="str">
        <x:v>D01033</x:v>
      </x:c>
      <x:c r="B1037" s="19" t="n">
        <x:v>3</x:v>
      </x:c>
      <x:c r="C1037" s="19" t="n">
        <x:v>4</x:v>
      </x:c>
      <x:c r="D1037" s="19" t="str">
        <x:v>C03-M040</x:v>
      </x:c>
      <x:c r="E1037" s="19" t="str">
        <x:v>无首号手</x:v>
      </x:c>
      <x:c r="F1037" s="19" t="str">
        <x:v>普通</x:v>
      </x:c>
      <x:c r="G1037" s="19" t="str">
        <x:v>材料独立候选</x:v>
      </x:c>
      <x:c r="H1037" s="19" t="str">
        <x:v>裂风崖羽</x:v>
      </x:c>
      <x:c r="I1037" s="22" t="n">
        <x:v>2000</x:v>
      </x:c>
      <x:c r="J1037" s="22" t="n">
        <x:v>1</x:v>
      </x:c>
      <x:c r="K1037" s="19" t="n">
        <x:v>1</x:v>
      </x:c>
      <x:c r="L1037" s="24" t="n">
        <x:v>17.25</x:v>
      </x:c>
      <x:c r="M1037" s="26" t="n">
        <x:v>0.1</x:v>
      </x:c>
      <x:c r="N1037" s="24" t="n">
        <x:v>72</x:v>
      </x:c>
      <x:c r="O1037" s="28" t="n">
        <x:f>MIN(1,L1037/I1037)</x:f>
        <x:v>0.008625</x:v>
      </x:c>
      <x:c r="P1037" s="30" t="n">
        <x:f>O1037*J1037*(1+M1037)</x:f>
        <x:v>0.009487500000000001</x:v>
      </x:c>
      <x:c r="Q1037" s="30" t="n">
        <x:f>P1037*N1037</x:f>
        <x:v>0.6831</x:v>
      </x:c>
      <x:c r="R1037" s="19" t="str">
        <x:v>独立判定</x:v>
      </x:c>
    </x:row>
    <x:row r="1038" ht="19" customHeight="1">
      <x:c r="A1038" s="19" t="str">
        <x:v>D01034</x:v>
      </x:c>
      <x:c r="B1038" s="19" t="n">
        <x:v>3</x:v>
      </x:c>
      <x:c r="C1038" s="19" t="n">
        <x:v>4</x:v>
      </x:c>
      <x:c r="D1038" s="19" t="str">
        <x:v>C03-M040</x:v>
      </x:c>
      <x:c r="E1038" s="19" t="str">
        <x:v>无首号手</x:v>
      </x:c>
      <x:c r="F1038" s="19" t="str">
        <x:v>普通</x:v>
      </x:c>
      <x:c r="G1038" s="19" t="str">
        <x:v>材料独立候选</x:v>
      </x:c>
      <x:c r="H1038" s="19" t="str">
        <x:v>西境风痕碑拓</x:v>
      </x:c>
      <x:c r="I1038" s="22" t="n">
        <x:v>800000</x:v>
      </x:c>
      <x:c r="J1038" s="22" t="n">
        <x:v>1</x:v>
      </x:c>
      <x:c r="K1038" s="19" t="n">
        <x:v>1</x:v>
      </x:c>
      <x:c r="L1038" s="24" t="n">
        <x:v>17.25</x:v>
      </x:c>
      <x:c r="M1038" s="26" t="n">
        <x:v>0.1</x:v>
      </x:c>
      <x:c r="N1038" s="24" t="n">
        <x:v>72</x:v>
      </x:c>
      <x:c r="O1038" s="28" t="n">
        <x:f>MIN(1,L1038/I1038)</x:f>
        <x:v>0.0000215625</x:v>
      </x:c>
      <x:c r="P1038" s="30" t="n">
        <x:f>O1038*J1038*(1+M1038)</x:f>
        <x:v>0.00002371875</x:v>
      </x:c>
      <x:c r="Q1038" s="30" t="n">
        <x:f>P1038*N1038</x:f>
        <x:v>0.00170775</x:v>
      </x:c>
      <x:c r="R1038" s="19" t="str">
        <x:v>独立判定</x:v>
      </x:c>
    </x:row>
    <x:row r="1039" ht="19" customHeight="1">
      <x:c r="A1039" s="19" t="str">
        <x:v>D01035</x:v>
      </x:c>
      <x:c r="B1039" s="19" t="n">
        <x:v>3</x:v>
      </x:c>
      <x:c r="C1039" s="19" t="n">
        <x:v>4</x:v>
      </x:c>
      <x:c r="D1039" s="19" t="str">
        <x:v>C03-M040</x:v>
      </x:c>
      <x:c r="E1039" s="19" t="str">
        <x:v>无首号手</x:v>
      </x:c>
      <x:c r="F1039" s="19" t="str">
        <x:v>普通</x:v>
      </x:c>
      <x:c r="G1039" s="19" t="str">
        <x:v>材料独立候选</x:v>
      </x:c>
      <x:c r="H1039" s="19" t="str">
        <x:v>野兽骨片</x:v>
      </x:c>
      <x:c r="I1039" s="22" t="n">
        <x:v>120</x:v>
      </x:c>
      <x:c r="J1039" s="22" t="n">
        <x:v>2</x:v>
      </x:c>
      <x:c r="K1039" s="19" t="n">
        <x:v>1</x:v>
      </x:c>
      <x:c r="L1039" s="24" t="n">
        <x:v>17.25</x:v>
      </x:c>
      <x:c r="M1039" s="26" t="n">
        <x:v>0.1</x:v>
      </x:c>
      <x:c r="N1039" s="24" t="n">
        <x:v>72</x:v>
      </x:c>
      <x:c r="O1039" s="28" t="n">
        <x:f>MIN(1,L1039/I1039)</x:f>
        <x:v>0.14375</x:v>
      </x:c>
      <x:c r="P1039" s="30" t="n">
        <x:f>O1039*J1039*(1+M1039)</x:f>
        <x:v>0.31625</x:v>
      </x:c>
      <x:c r="Q1039" s="30" t="n">
        <x:f>P1039*N1039</x:f>
        <x:v>22.77</x:v>
      </x:c>
      <x:c r="R1039" s="19" t="str">
        <x:v>独立判定</x:v>
      </x:c>
    </x:row>
    <x:row r="1040" ht="19" customHeight="1">
      <x:c r="A1040" s="19" t="str">
        <x:v>D01036</x:v>
      </x:c>
      <x:c r="B1040" s="19" t="n">
        <x:v>3</x:v>
      </x:c>
      <x:c r="C1040" s="19" t="n">
        <x:v>4</x:v>
      </x:c>
      <x:c r="D1040" s="19" t="str">
        <x:v>C03-M040</x:v>
      </x:c>
      <x:c r="E1040" s="19" t="str">
        <x:v>无首号手</x:v>
      </x:c>
      <x:c r="F1040" s="19" t="str">
        <x:v>普通</x:v>
      </x:c>
      <x:c r="G1040" s="19" t="str">
        <x:v>材料独立候选</x:v>
      </x:c>
      <x:c r="H1040" s="19" t="str">
        <x:v>技能残页</x:v>
      </x:c>
      <x:c r="I1040" s="22" t="n">
        <x:v>300</x:v>
      </x:c>
      <x:c r="J1040" s="22" t="n">
        <x:v>1</x:v>
      </x:c>
      <x:c r="K1040" s="19" t="n">
        <x:v>1</x:v>
      </x:c>
      <x:c r="L1040" s="24" t="n">
        <x:v>17.25</x:v>
      </x:c>
      <x:c r="M1040" s="26" t="n">
        <x:v>0.1</x:v>
      </x:c>
      <x:c r="N1040" s="24" t="n">
        <x:v>72</x:v>
      </x:c>
      <x:c r="O1040" s="28" t="n">
        <x:f>MIN(1,L1040/I1040)</x:f>
        <x:v>0.0575</x:v>
      </x:c>
      <x:c r="P1040" s="30" t="n">
        <x:f>O1040*J1040*(1+M1040)</x:f>
        <x:v>0.06325000000000001</x:v>
      </x:c>
      <x:c r="Q1040" s="30" t="n">
        <x:f>P1040*N1040</x:f>
        <x:v>4.554000000000001</x:v>
      </x:c>
      <x:c r="R1040" s="19" t="str">
        <x:v>独立判定</x:v>
      </x:c>
    </x:row>
    <x:row r="1041" ht="19" customHeight="1">
      <x:c r="A1041" s="19" t="str">
        <x:v>D01037</x:v>
      </x:c>
      <x:c r="B1041" s="19" t="n">
        <x:v>3</x:v>
      </x:c>
      <x:c r="C1041" s="19" t="n">
        <x:v>4</x:v>
      </x:c>
      <x:c r="D1041" s="19" t="str">
        <x:v>C03-M040</x:v>
      </x:c>
      <x:c r="E1041" s="19" t="str">
        <x:v>无首号手</x:v>
      </x:c>
      <x:c r="F1041" s="19" t="str">
        <x:v>普通</x:v>
      </x:c>
      <x:c r="G1041" s="19" t="str">
        <x:v>材料独立候选</x:v>
      </x:c>
      <x:c r="H1041" s="19" t="str">
        <x:v>小卢恩</x:v>
      </x:c>
      <x:c r="I1041" s="22" t="n">
        <x:v>5000</x:v>
      </x:c>
      <x:c r="J1041" s="22" t="n">
        <x:v>1</x:v>
      </x:c>
      <x:c r="K1041" s="19" t="n">
        <x:v>1</x:v>
      </x:c>
      <x:c r="L1041" s="24" t="n">
        <x:v>17.25</x:v>
      </x:c>
      <x:c r="M1041" s="26" t="n">
        <x:v>0.1</x:v>
      </x:c>
      <x:c r="N1041" s="24" t="n">
        <x:v>72</x:v>
      </x:c>
      <x:c r="O1041" s="28" t="n">
        <x:f>MIN(1,L1041/I1041)</x:f>
        <x:v>0.00345</x:v>
      </x:c>
      <x:c r="P1041" s="30" t="n">
        <x:f>O1041*J1041*(1+M1041)</x:f>
        <x:v>0.003795</x:v>
      </x:c>
      <x:c r="Q1041" s="30" t="n">
        <x:f>P1041*N1041</x:f>
        <x:v>0.27324000000000004</x:v>
      </x:c>
      <x:c r="R1041" s="19" t="str">
        <x:v>独立判定</x:v>
      </x:c>
    </x:row>
    <x:row r="1042" ht="19" customHeight="1">
      <x:c r="A1042" s="19" t="str">
        <x:v>D01038</x:v>
      </x:c>
      <x:c r="B1042" s="19" t="n">
        <x:v>3</x:v>
      </x:c>
      <x:c r="C1042" s="19" t="n">
        <x:v>4</x:v>
      </x:c>
      <x:c r="D1042" s="19" t="str">
        <x:v>C03-M040</x:v>
      </x:c>
      <x:c r="E1042" s="19" t="str">
        <x:v>无首号手</x:v>
      </x:c>
      <x:c r="F1042" s="19" t="str">
        <x:v>普通</x:v>
      </x:c>
      <x:c r="G1042" s="19" t="str">
        <x:v>六神器公共池</x:v>
      </x:c>
      <x:c r="H1042" s="19" t="str">
        <x:v>POOL006</x:v>
      </x:c>
      <x:c r="I1042" s="22" t="n">
        <x:v>20000000</x:v>
      </x:c>
      <x:c r="J1042" s="22" t="n">
        <x:v>1</x:v>
      </x:c>
      <x:c r="K1042" s="19" t="n">
        <x:v>6</x:v>
      </x:c>
      <x:c r="L1042" s="24" t="n">
        <x:v>17.25</x:v>
      </x:c>
      <x:c r="M1042" s="26" t="n">
        <x:v>0.1</x:v>
      </x:c>
      <x:c r="N1042" s="24" t="n">
        <x:v>72</x:v>
      </x:c>
      <x:c r="O1042" s="28" t="n">
        <x:f>MIN(1,L1042/I1042)</x:f>
        <x:v>8.625e-7</x:v>
      </x:c>
      <x:c r="P1042" s="30" t="n">
        <x:f>O1042*J1042*(1+M1042)</x:f>
        <x:v>9.487500000000001e-7</x:v>
      </x:c>
      <x:c r="Q1042" s="30" t="n">
        <x:f>P1042*N1042</x:f>
        <x:v>0.00006831000000000002</x:v>
      </x:c>
      <x:c r="R1042" s="19" t="str">
        <x:v>六选一；非6个独立爆率</x:v>
      </x:c>
    </x:row>
    <x:row r="1043" ht="19" customHeight="1">
      <x:c r="A1043" s="19" t="str">
        <x:v>D01039</x:v>
      </x:c>
      <x:c r="B1043" s="19" t="n">
        <x:v>3</x:v>
      </x:c>
      <x:c r="C1043" s="19" t="n">
        <x:v>4</x:v>
      </x:c>
      <x:c r="D1043" s="19" t="str">
        <x:v>C03-M041</x:v>
      </x:c>
      <x:c r="E1043" s="19" t="str">
        <x:v>墓旗守卫</x:v>
      </x:c>
      <x:c r="F1043" s="19" t="str">
        <x:v>普通</x:v>
      </x:c>
      <x:c r="G1043" s="19" t="str">
        <x:v>自身专属</x:v>
      </x:c>
      <x:c r="H1043" s="19" t="str">
        <x:v>墓旗头冠</x:v>
      </x:c>
      <x:c r="I1043" s="22" t="n">
        <x:v>1000</x:v>
      </x:c>
      <x:c r="J1043" s="22" t="n">
        <x:v>1</x:v>
      </x:c>
      <x:c r="K1043" s="19" t="n">
        <x:v>1</x:v>
      </x:c>
      <x:c r="L1043" s="24" t="n">
        <x:v>17.25</x:v>
      </x:c>
      <x:c r="M1043" s="26" t="n">
        <x:v>0.1</x:v>
      </x:c>
      <x:c r="N1043" s="24" t="n">
        <x:v>72</x:v>
      </x:c>
      <x:c r="O1043" s="28" t="n">
        <x:f>MIN(1,L1043/I1043)</x:f>
        <x:v>0.01725</x:v>
      </x:c>
      <x:c r="P1043" s="30" t="n">
        <x:f>O1043*J1043*(1+M1043)</x:f>
        <x:v>0.018975000000000002</x:v>
      </x:c>
      <x:c r="Q1043" s="30" t="n">
        <x:f>P1043*N1043</x:f>
        <x:v>1.3662</x:v>
      </x:c>
      <x:c r="R1043" s="19" t="str">
        <x:v>独立判定</x:v>
      </x:c>
    </x:row>
    <x:row r="1044" ht="19" customHeight="1">
      <x:c r="A1044" s="19" t="str">
        <x:v>D01040</x:v>
      </x:c>
      <x:c r="B1044" s="19" t="n">
        <x:v>3</x:v>
      </x:c>
      <x:c r="C1044" s="19" t="n">
        <x:v>4</x:v>
      </x:c>
      <x:c r="D1044" s="19" t="str">
        <x:v>C03-M041</x:v>
      </x:c>
      <x:c r="E1044" s="19" t="str">
        <x:v>墓旗守卫</x:v>
      </x:c>
      <x:c r="F1044" s="19" t="str">
        <x:v>普通</x:v>
      </x:c>
      <x:c r="G1044" s="19" t="str">
        <x:v>材料独立候选</x:v>
      </x:c>
      <x:c r="H1044" s="19" t="str">
        <x:v>风蚀铁片</x:v>
      </x:c>
      <x:c r="I1044" s="22" t="n">
        <x:v>800</x:v>
      </x:c>
      <x:c r="J1044" s="22" t="n">
        <x:v>8</x:v>
      </x:c>
      <x:c r="K1044" s="19" t="n">
        <x:v>1</x:v>
      </x:c>
      <x:c r="L1044" s="24" t="n">
        <x:v>17.25</x:v>
      </x:c>
      <x:c r="M1044" s="26" t="n">
        <x:v>0.1</x:v>
      </x:c>
      <x:c r="N1044" s="24" t="n">
        <x:v>72</x:v>
      </x:c>
      <x:c r="O1044" s="28" t="n">
        <x:f>MIN(1,L1044/I1044)</x:f>
        <x:v>0.0215625</x:v>
      </x:c>
      <x:c r="P1044" s="30" t="n">
        <x:f>O1044*J1044*(1+M1044)</x:f>
        <x:v>0.18975</x:v>
      </x:c>
      <x:c r="Q1044" s="30" t="n">
        <x:f>P1044*N1044</x:f>
        <x:v>13.662</x:v>
      </x:c>
      <x:c r="R1044" s="19" t="str">
        <x:v>独立判定</x:v>
      </x:c>
    </x:row>
    <x:row r="1045" ht="19" customHeight="1">
      <x:c r="A1045" s="19" t="str">
        <x:v>D01041</x:v>
      </x:c>
      <x:c r="B1045" s="19" t="n">
        <x:v>3</x:v>
      </x:c>
      <x:c r="C1045" s="19" t="n">
        <x:v>4</x:v>
      </x:c>
      <x:c r="D1045" s="19" t="str">
        <x:v>C03-M041</x:v>
      </x:c>
      <x:c r="E1045" s="19" t="str">
        <x:v>墓旗守卫</x:v>
      </x:c>
      <x:c r="F1045" s="19" t="str">
        <x:v>普通</x:v>
      </x:c>
      <x:c r="G1045" s="19" t="str">
        <x:v>材料独立候选</x:v>
      </x:c>
      <x:c r="H1045" s="19" t="str">
        <x:v>裂风崖羽</x:v>
      </x:c>
      <x:c r="I1045" s="22" t="n">
        <x:v>2000</x:v>
      </x:c>
      <x:c r="J1045" s="22" t="n">
        <x:v>1</x:v>
      </x:c>
      <x:c r="K1045" s="19" t="n">
        <x:v>1</x:v>
      </x:c>
      <x:c r="L1045" s="24" t="n">
        <x:v>17.25</x:v>
      </x:c>
      <x:c r="M1045" s="26" t="n">
        <x:v>0.1</x:v>
      </x:c>
      <x:c r="N1045" s="24" t="n">
        <x:v>72</x:v>
      </x:c>
      <x:c r="O1045" s="28" t="n">
        <x:f>MIN(1,L1045/I1045)</x:f>
        <x:v>0.008625</x:v>
      </x:c>
      <x:c r="P1045" s="30" t="n">
        <x:f>O1045*J1045*(1+M1045)</x:f>
        <x:v>0.009487500000000001</x:v>
      </x:c>
      <x:c r="Q1045" s="30" t="n">
        <x:f>P1045*N1045</x:f>
        <x:v>0.6831</x:v>
      </x:c>
      <x:c r="R1045" s="19" t="str">
        <x:v>独立判定</x:v>
      </x:c>
    </x:row>
    <x:row r="1046" ht="19" customHeight="1">
      <x:c r="A1046" s="19" t="str">
        <x:v>D01042</x:v>
      </x:c>
      <x:c r="B1046" s="19" t="n">
        <x:v>3</x:v>
      </x:c>
      <x:c r="C1046" s="19" t="n">
        <x:v>4</x:v>
      </x:c>
      <x:c r="D1046" s="19" t="str">
        <x:v>C03-M041</x:v>
      </x:c>
      <x:c r="E1046" s="19" t="str">
        <x:v>墓旗守卫</x:v>
      </x:c>
      <x:c r="F1046" s="19" t="str">
        <x:v>普通</x:v>
      </x:c>
      <x:c r="G1046" s="19" t="str">
        <x:v>材料独立候选</x:v>
      </x:c>
      <x:c r="H1046" s="19" t="str">
        <x:v>西境风痕碑拓</x:v>
      </x:c>
      <x:c r="I1046" s="22" t="n">
        <x:v>800000</x:v>
      </x:c>
      <x:c r="J1046" s="22" t="n">
        <x:v>1</x:v>
      </x:c>
      <x:c r="K1046" s="19" t="n">
        <x:v>1</x:v>
      </x:c>
      <x:c r="L1046" s="24" t="n">
        <x:v>17.25</x:v>
      </x:c>
      <x:c r="M1046" s="26" t="n">
        <x:v>0.1</x:v>
      </x:c>
      <x:c r="N1046" s="24" t="n">
        <x:v>72</x:v>
      </x:c>
      <x:c r="O1046" s="28" t="n">
        <x:f>MIN(1,L1046/I1046)</x:f>
        <x:v>0.0000215625</x:v>
      </x:c>
      <x:c r="P1046" s="30" t="n">
        <x:f>O1046*J1046*(1+M1046)</x:f>
        <x:v>0.00002371875</x:v>
      </x:c>
      <x:c r="Q1046" s="30" t="n">
        <x:f>P1046*N1046</x:f>
        <x:v>0.00170775</x:v>
      </x:c>
      <x:c r="R1046" s="19" t="str">
        <x:v>独立判定</x:v>
      </x:c>
    </x:row>
    <x:row r="1047" ht="19" customHeight="1">
      <x:c r="A1047" s="19" t="str">
        <x:v>D01043</x:v>
      </x:c>
      <x:c r="B1047" s="19" t="n">
        <x:v>3</x:v>
      </x:c>
      <x:c r="C1047" s="19" t="n">
        <x:v>4</x:v>
      </x:c>
      <x:c r="D1047" s="19" t="str">
        <x:v>C03-M041</x:v>
      </x:c>
      <x:c r="E1047" s="19" t="str">
        <x:v>墓旗守卫</x:v>
      </x:c>
      <x:c r="F1047" s="19" t="str">
        <x:v>普通</x:v>
      </x:c>
      <x:c r="G1047" s="19" t="str">
        <x:v>材料独立候选</x:v>
      </x:c>
      <x:c r="H1047" s="19" t="str">
        <x:v>野兽骨片</x:v>
      </x:c>
      <x:c r="I1047" s="22" t="n">
        <x:v>120</x:v>
      </x:c>
      <x:c r="J1047" s="22" t="n">
        <x:v>2</x:v>
      </x:c>
      <x:c r="K1047" s="19" t="n">
        <x:v>1</x:v>
      </x:c>
      <x:c r="L1047" s="24" t="n">
        <x:v>17.25</x:v>
      </x:c>
      <x:c r="M1047" s="26" t="n">
        <x:v>0.1</x:v>
      </x:c>
      <x:c r="N1047" s="24" t="n">
        <x:v>72</x:v>
      </x:c>
      <x:c r="O1047" s="28" t="n">
        <x:f>MIN(1,L1047/I1047)</x:f>
        <x:v>0.14375</x:v>
      </x:c>
      <x:c r="P1047" s="30" t="n">
        <x:f>O1047*J1047*(1+M1047)</x:f>
        <x:v>0.31625</x:v>
      </x:c>
      <x:c r="Q1047" s="30" t="n">
        <x:f>P1047*N1047</x:f>
        <x:v>22.77</x:v>
      </x:c>
      <x:c r="R1047" s="19" t="str">
        <x:v>独立判定</x:v>
      </x:c>
    </x:row>
    <x:row r="1048" ht="19" customHeight="1">
      <x:c r="A1048" s="19" t="str">
        <x:v>D01044</x:v>
      </x:c>
      <x:c r="B1048" s="19" t="n">
        <x:v>3</x:v>
      </x:c>
      <x:c r="C1048" s="19" t="n">
        <x:v>4</x:v>
      </x:c>
      <x:c r="D1048" s="19" t="str">
        <x:v>C03-M041</x:v>
      </x:c>
      <x:c r="E1048" s="19" t="str">
        <x:v>墓旗守卫</x:v>
      </x:c>
      <x:c r="F1048" s="19" t="str">
        <x:v>普通</x:v>
      </x:c>
      <x:c r="G1048" s="19" t="str">
        <x:v>材料独立候选</x:v>
      </x:c>
      <x:c r="H1048" s="19" t="str">
        <x:v>技能残页</x:v>
      </x:c>
      <x:c r="I1048" s="22" t="n">
        <x:v>300</x:v>
      </x:c>
      <x:c r="J1048" s="22" t="n">
        <x:v>1</x:v>
      </x:c>
      <x:c r="K1048" s="19" t="n">
        <x:v>1</x:v>
      </x:c>
      <x:c r="L1048" s="24" t="n">
        <x:v>17.25</x:v>
      </x:c>
      <x:c r="M1048" s="26" t="n">
        <x:v>0.1</x:v>
      </x:c>
      <x:c r="N1048" s="24" t="n">
        <x:v>72</x:v>
      </x:c>
      <x:c r="O1048" s="28" t="n">
        <x:f>MIN(1,L1048/I1048)</x:f>
        <x:v>0.0575</x:v>
      </x:c>
      <x:c r="P1048" s="30" t="n">
        <x:f>O1048*J1048*(1+M1048)</x:f>
        <x:v>0.06325000000000001</x:v>
      </x:c>
      <x:c r="Q1048" s="30" t="n">
        <x:f>P1048*N1048</x:f>
        <x:v>4.554000000000001</x:v>
      </x:c>
      <x:c r="R1048" s="19" t="str">
        <x:v>独立判定</x:v>
      </x:c>
    </x:row>
    <x:row r="1049" ht="19" customHeight="1">
      <x:c r="A1049" s="19" t="str">
        <x:v>D01045</x:v>
      </x:c>
      <x:c r="B1049" s="19" t="n">
        <x:v>3</x:v>
      </x:c>
      <x:c r="C1049" s="19" t="n">
        <x:v>4</x:v>
      </x:c>
      <x:c r="D1049" s="19" t="str">
        <x:v>C03-M041</x:v>
      </x:c>
      <x:c r="E1049" s="19" t="str">
        <x:v>墓旗守卫</x:v>
      </x:c>
      <x:c r="F1049" s="19" t="str">
        <x:v>普通</x:v>
      </x:c>
      <x:c r="G1049" s="19" t="str">
        <x:v>材料独立候选</x:v>
      </x:c>
      <x:c r="H1049" s="19" t="str">
        <x:v>小卢恩</x:v>
      </x:c>
      <x:c r="I1049" s="22" t="n">
        <x:v>5000</x:v>
      </x:c>
      <x:c r="J1049" s="22" t="n">
        <x:v>1</x:v>
      </x:c>
      <x:c r="K1049" s="19" t="n">
        <x:v>1</x:v>
      </x:c>
      <x:c r="L1049" s="24" t="n">
        <x:v>17.25</x:v>
      </x:c>
      <x:c r="M1049" s="26" t="n">
        <x:v>0.1</x:v>
      </x:c>
      <x:c r="N1049" s="24" t="n">
        <x:v>72</x:v>
      </x:c>
      <x:c r="O1049" s="28" t="n">
        <x:f>MIN(1,L1049/I1049)</x:f>
        <x:v>0.00345</x:v>
      </x:c>
      <x:c r="P1049" s="30" t="n">
        <x:f>O1049*J1049*(1+M1049)</x:f>
        <x:v>0.003795</x:v>
      </x:c>
      <x:c r="Q1049" s="30" t="n">
        <x:f>P1049*N1049</x:f>
        <x:v>0.27324000000000004</x:v>
      </x:c>
      <x:c r="R1049" s="19" t="str">
        <x:v>独立判定</x:v>
      </x:c>
    </x:row>
    <x:row r="1050" ht="19" customHeight="1">
      <x:c r="A1050" s="19" t="str">
        <x:v>D01046</x:v>
      </x:c>
      <x:c r="B1050" s="19" t="n">
        <x:v>3</x:v>
      </x:c>
      <x:c r="C1050" s="19" t="n">
        <x:v>4</x:v>
      </x:c>
      <x:c r="D1050" s="19" t="str">
        <x:v>C03-M041</x:v>
      </x:c>
      <x:c r="E1050" s="19" t="str">
        <x:v>墓旗守卫</x:v>
      </x:c>
      <x:c r="F1050" s="19" t="str">
        <x:v>普通</x:v>
      </x:c>
      <x:c r="G1050" s="19" t="str">
        <x:v>六神器公共池</x:v>
      </x:c>
      <x:c r="H1050" s="19" t="str">
        <x:v>POOL006</x:v>
      </x:c>
      <x:c r="I1050" s="22" t="n">
        <x:v>20000000</x:v>
      </x:c>
      <x:c r="J1050" s="22" t="n">
        <x:v>1</x:v>
      </x:c>
      <x:c r="K1050" s="19" t="n">
        <x:v>6</x:v>
      </x:c>
      <x:c r="L1050" s="24" t="n">
        <x:v>17.25</x:v>
      </x:c>
      <x:c r="M1050" s="26" t="n">
        <x:v>0.1</x:v>
      </x:c>
      <x:c r="N1050" s="24" t="n">
        <x:v>72</x:v>
      </x:c>
      <x:c r="O1050" s="28" t="n">
        <x:f>MIN(1,L1050/I1050)</x:f>
        <x:v>8.625e-7</x:v>
      </x:c>
      <x:c r="P1050" s="30" t="n">
        <x:f>O1050*J1050*(1+M1050)</x:f>
        <x:v>9.487500000000001e-7</x:v>
      </x:c>
      <x:c r="Q1050" s="30" t="n">
        <x:f>P1050*N1050</x:f>
        <x:v>0.00006831000000000002</x:v>
      </x:c>
      <x:c r="R1050" s="19" t="str">
        <x:v>六选一；非6个独立爆率</x:v>
      </x:c>
    </x:row>
    <x:row r="1051" ht="19" customHeight="1">
      <x:c r="A1051" s="19" t="str">
        <x:v>D01047</x:v>
      </x:c>
      <x:c r="B1051" s="19" t="n">
        <x:v>3</x:v>
      </x:c>
      <x:c r="C1051" s="19" t="n">
        <x:v>4</x:v>
      </x:c>
      <x:c r="D1051" s="19" t="str">
        <x:v>C03-M042</x:v>
      </x:c>
      <x:c r="E1051" s="19" t="str">
        <x:v>英灵战马</x:v>
      </x:c>
      <x:c r="F1051" s="19" t="str">
        <x:v>普通</x:v>
      </x:c>
      <x:c r="G1051" s="19" t="str">
        <x:v>自身专属</x:v>
      </x:c>
      <x:c r="H1051" s="19" t="str">
        <x:v>英灵马靴</x:v>
      </x:c>
      <x:c r="I1051" s="22" t="n">
        <x:v>1000</x:v>
      </x:c>
      <x:c r="J1051" s="22" t="n">
        <x:v>1</x:v>
      </x:c>
      <x:c r="K1051" s="19" t="n">
        <x:v>1</x:v>
      </x:c>
      <x:c r="L1051" s="24" t="n">
        <x:v>17.25</x:v>
      </x:c>
      <x:c r="M1051" s="26" t="n">
        <x:v>0.1</x:v>
      </x:c>
      <x:c r="N1051" s="24" t="n">
        <x:v>72</x:v>
      </x:c>
      <x:c r="O1051" s="28" t="n">
        <x:f>MIN(1,L1051/I1051)</x:f>
        <x:v>0.01725</x:v>
      </x:c>
      <x:c r="P1051" s="30" t="n">
        <x:f>O1051*J1051*(1+M1051)</x:f>
        <x:v>0.018975000000000002</x:v>
      </x:c>
      <x:c r="Q1051" s="30" t="n">
        <x:f>P1051*N1051</x:f>
        <x:v>1.3662</x:v>
      </x:c>
      <x:c r="R1051" s="19" t="str">
        <x:v>独立判定</x:v>
      </x:c>
    </x:row>
    <x:row r="1052" ht="19" customHeight="1">
      <x:c r="A1052" s="19" t="str">
        <x:v>D01048</x:v>
      </x:c>
      <x:c r="B1052" s="19" t="n">
        <x:v>3</x:v>
      </x:c>
      <x:c r="C1052" s="19" t="n">
        <x:v>4</x:v>
      </x:c>
      <x:c r="D1052" s="19" t="str">
        <x:v>C03-M042</x:v>
      </x:c>
      <x:c r="E1052" s="19" t="str">
        <x:v>英灵战马</x:v>
      </x:c>
      <x:c r="F1052" s="19" t="str">
        <x:v>普通</x:v>
      </x:c>
      <x:c r="G1052" s="19" t="str">
        <x:v>材料独立候选</x:v>
      </x:c>
      <x:c r="H1052" s="19" t="str">
        <x:v>风蚀铁片</x:v>
      </x:c>
      <x:c r="I1052" s="22" t="n">
        <x:v>800</x:v>
      </x:c>
      <x:c r="J1052" s="22" t="n">
        <x:v>8</x:v>
      </x:c>
      <x:c r="K1052" s="19" t="n">
        <x:v>1</x:v>
      </x:c>
      <x:c r="L1052" s="24" t="n">
        <x:v>17.25</x:v>
      </x:c>
      <x:c r="M1052" s="26" t="n">
        <x:v>0.1</x:v>
      </x:c>
      <x:c r="N1052" s="24" t="n">
        <x:v>72</x:v>
      </x:c>
      <x:c r="O1052" s="28" t="n">
        <x:f>MIN(1,L1052/I1052)</x:f>
        <x:v>0.0215625</x:v>
      </x:c>
      <x:c r="P1052" s="30" t="n">
        <x:f>O1052*J1052*(1+M1052)</x:f>
        <x:v>0.18975</x:v>
      </x:c>
      <x:c r="Q1052" s="30" t="n">
        <x:f>P1052*N1052</x:f>
        <x:v>13.662</x:v>
      </x:c>
      <x:c r="R1052" s="19" t="str">
        <x:v>独立判定</x:v>
      </x:c>
    </x:row>
    <x:row r="1053" ht="19" customHeight="1">
      <x:c r="A1053" s="19" t="str">
        <x:v>D01049</x:v>
      </x:c>
      <x:c r="B1053" s="19" t="n">
        <x:v>3</x:v>
      </x:c>
      <x:c r="C1053" s="19" t="n">
        <x:v>4</x:v>
      </x:c>
      <x:c r="D1053" s="19" t="str">
        <x:v>C03-M042</x:v>
      </x:c>
      <x:c r="E1053" s="19" t="str">
        <x:v>英灵战马</x:v>
      </x:c>
      <x:c r="F1053" s="19" t="str">
        <x:v>普通</x:v>
      </x:c>
      <x:c r="G1053" s="19" t="str">
        <x:v>材料独立候选</x:v>
      </x:c>
      <x:c r="H1053" s="19" t="str">
        <x:v>裂风崖羽</x:v>
      </x:c>
      <x:c r="I1053" s="22" t="n">
        <x:v>2000</x:v>
      </x:c>
      <x:c r="J1053" s="22" t="n">
        <x:v>1</x:v>
      </x:c>
      <x:c r="K1053" s="19" t="n">
        <x:v>1</x:v>
      </x:c>
      <x:c r="L1053" s="24" t="n">
        <x:v>17.25</x:v>
      </x:c>
      <x:c r="M1053" s="26" t="n">
        <x:v>0.1</x:v>
      </x:c>
      <x:c r="N1053" s="24" t="n">
        <x:v>72</x:v>
      </x:c>
      <x:c r="O1053" s="28" t="n">
        <x:f>MIN(1,L1053/I1053)</x:f>
        <x:v>0.008625</x:v>
      </x:c>
      <x:c r="P1053" s="30" t="n">
        <x:f>O1053*J1053*(1+M1053)</x:f>
        <x:v>0.009487500000000001</x:v>
      </x:c>
      <x:c r="Q1053" s="30" t="n">
        <x:f>P1053*N1053</x:f>
        <x:v>0.6831</x:v>
      </x:c>
      <x:c r="R1053" s="19" t="str">
        <x:v>独立判定</x:v>
      </x:c>
    </x:row>
    <x:row r="1054" ht="19" customHeight="1">
      <x:c r="A1054" s="19" t="str">
        <x:v>D01050</x:v>
      </x:c>
      <x:c r="B1054" s="19" t="n">
        <x:v>3</x:v>
      </x:c>
      <x:c r="C1054" s="19" t="n">
        <x:v>4</x:v>
      </x:c>
      <x:c r="D1054" s="19" t="str">
        <x:v>C03-M042</x:v>
      </x:c>
      <x:c r="E1054" s="19" t="str">
        <x:v>英灵战马</x:v>
      </x:c>
      <x:c r="F1054" s="19" t="str">
        <x:v>普通</x:v>
      </x:c>
      <x:c r="G1054" s="19" t="str">
        <x:v>材料独立候选</x:v>
      </x:c>
      <x:c r="H1054" s="19" t="str">
        <x:v>西境风痕碑拓</x:v>
      </x:c>
      <x:c r="I1054" s="22" t="n">
        <x:v>800000</x:v>
      </x:c>
      <x:c r="J1054" s="22" t="n">
        <x:v>1</x:v>
      </x:c>
      <x:c r="K1054" s="19" t="n">
        <x:v>1</x:v>
      </x:c>
      <x:c r="L1054" s="24" t="n">
        <x:v>17.25</x:v>
      </x:c>
      <x:c r="M1054" s="26" t="n">
        <x:v>0.1</x:v>
      </x:c>
      <x:c r="N1054" s="24" t="n">
        <x:v>72</x:v>
      </x:c>
      <x:c r="O1054" s="28" t="n">
        <x:f>MIN(1,L1054/I1054)</x:f>
        <x:v>0.0000215625</x:v>
      </x:c>
      <x:c r="P1054" s="30" t="n">
        <x:f>O1054*J1054*(1+M1054)</x:f>
        <x:v>0.00002371875</x:v>
      </x:c>
      <x:c r="Q1054" s="30" t="n">
        <x:f>P1054*N1054</x:f>
        <x:v>0.00170775</x:v>
      </x:c>
      <x:c r="R1054" s="19" t="str">
        <x:v>独立判定</x:v>
      </x:c>
    </x:row>
    <x:row r="1055" ht="19" customHeight="1">
      <x:c r="A1055" s="19" t="str">
        <x:v>D01051</x:v>
      </x:c>
      <x:c r="B1055" s="19" t="n">
        <x:v>3</x:v>
      </x:c>
      <x:c r="C1055" s="19" t="n">
        <x:v>4</x:v>
      </x:c>
      <x:c r="D1055" s="19" t="str">
        <x:v>C03-M042</x:v>
      </x:c>
      <x:c r="E1055" s="19" t="str">
        <x:v>英灵战马</x:v>
      </x:c>
      <x:c r="F1055" s="19" t="str">
        <x:v>普通</x:v>
      </x:c>
      <x:c r="G1055" s="19" t="str">
        <x:v>材料独立候选</x:v>
      </x:c>
      <x:c r="H1055" s="19" t="str">
        <x:v>野兽骨片</x:v>
      </x:c>
      <x:c r="I1055" s="22" t="n">
        <x:v>120</x:v>
      </x:c>
      <x:c r="J1055" s="22" t="n">
        <x:v>2</x:v>
      </x:c>
      <x:c r="K1055" s="19" t="n">
        <x:v>1</x:v>
      </x:c>
      <x:c r="L1055" s="24" t="n">
        <x:v>17.25</x:v>
      </x:c>
      <x:c r="M1055" s="26" t="n">
        <x:v>0.1</x:v>
      </x:c>
      <x:c r="N1055" s="24" t="n">
        <x:v>72</x:v>
      </x:c>
      <x:c r="O1055" s="28" t="n">
        <x:f>MIN(1,L1055/I1055)</x:f>
        <x:v>0.14375</x:v>
      </x:c>
      <x:c r="P1055" s="30" t="n">
        <x:f>O1055*J1055*(1+M1055)</x:f>
        <x:v>0.31625</x:v>
      </x:c>
      <x:c r="Q1055" s="30" t="n">
        <x:f>P1055*N1055</x:f>
        <x:v>22.77</x:v>
      </x:c>
      <x:c r="R1055" s="19" t="str">
        <x:v>独立判定</x:v>
      </x:c>
    </x:row>
    <x:row r="1056" ht="19" customHeight="1">
      <x:c r="A1056" s="19" t="str">
        <x:v>D01052</x:v>
      </x:c>
      <x:c r="B1056" s="19" t="n">
        <x:v>3</x:v>
      </x:c>
      <x:c r="C1056" s="19" t="n">
        <x:v>4</x:v>
      </x:c>
      <x:c r="D1056" s="19" t="str">
        <x:v>C03-M042</x:v>
      </x:c>
      <x:c r="E1056" s="19" t="str">
        <x:v>英灵战马</x:v>
      </x:c>
      <x:c r="F1056" s="19" t="str">
        <x:v>普通</x:v>
      </x:c>
      <x:c r="G1056" s="19" t="str">
        <x:v>材料独立候选</x:v>
      </x:c>
      <x:c r="H1056" s="19" t="str">
        <x:v>技能残页</x:v>
      </x:c>
      <x:c r="I1056" s="22" t="n">
        <x:v>300</x:v>
      </x:c>
      <x:c r="J1056" s="22" t="n">
        <x:v>1</x:v>
      </x:c>
      <x:c r="K1056" s="19" t="n">
        <x:v>1</x:v>
      </x:c>
      <x:c r="L1056" s="24" t="n">
        <x:v>17.25</x:v>
      </x:c>
      <x:c r="M1056" s="26" t="n">
        <x:v>0.1</x:v>
      </x:c>
      <x:c r="N1056" s="24" t="n">
        <x:v>72</x:v>
      </x:c>
      <x:c r="O1056" s="28" t="n">
        <x:f>MIN(1,L1056/I1056)</x:f>
        <x:v>0.0575</x:v>
      </x:c>
      <x:c r="P1056" s="30" t="n">
        <x:f>O1056*J1056*(1+M1056)</x:f>
        <x:v>0.06325000000000001</x:v>
      </x:c>
      <x:c r="Q1056" s="30" t="n">
        <x:f>P1056*N1056</x:f>
        <x:v>4.554000000000001</x:v>
      </x:c>
      <x:c r="R1056" s="19" t="str">
        <x:v>独立判定</x:v>
      </x:c>
    </x:row>
    <x:row r="1057" ht="19" customHeight="1">
      <x:c r="A1057" s="19" t="str">
        <x:v>D01053</x:v>
      </x:c>
      <x:c r="B1057" s="19" t="n">
        <x:v>3</x:v>
      </x:c>
      <x:c r="C1057" s="19" t="n">
        <x:v>4</x:v>
      </x:c>
      <x:c r="D1057" s="19" t="str">
        <x:v>C03-M042</x:v>
      </x:c>
      <x:c r="E1057" s="19" t="str">
        <x:v>英灵战马</x:v>
      </x:c>
      <x:c r="F1057" s="19" t="str">
        <x:v>普通</x:v>
      </x:c>
      <x:c r="G1057" s="19" t="str">
        <x:v>材料独立候选</x:v>
      </x:c>
      <x:c r="H1057" s="19" t="str">
        <x:v>小卢恩</x:v>
      </x:c>
      <x:c r="I1057" s="22" t="n">
        <x:v>5000</x:v>
      </x:c>
      <x:c r="J1057" s="22" t="n">
        <x:v>1</x:v>
      </x:c>
      <x:c r="K1057" s="19" t="n">
        <x:v>1</x:v>
      </x:c>
      <x:c r="L1057" s="24" t="n">
        <x:v>17.25</x:v>
      </x:c>
      <x:c r="M1057" s="26" t="n">
        <x:v>0.1</x:v>
      </x:c>
      <x:c r="N1057" s="24" t="n">
        <x:v>72</x:v>
      </x:c>
      <x:c r="O1057" s="28" t="n">
        <x:f>MIN(1,L1057/I1057)</x:f>
        <x:v>0.00345</x:v>
      </x:c>
      <x:c r="P1057" s="30" t="n">
        <x:f>O1057*J1057*(1+M1057)</x:f>
        <x:v>0.003795</x:v>
      </x:c>
      <x:c r="Q1057" s="30" t="n">
        <x:f>P1057*N1057</x:f>
        <x:v>0.27324000000000004</x:v>
      </x:c>
      <x:c r="R1057" s="19" t="str">
        <x:v>独立判定</x:v>
      </x:c>
    </x:row>
    <x:row r="1058" ht="19" customHeight="1">
      <x:c r="A1058" s="19" t="str">
        <x:v>D01054</x:v>
      </x:c>
      <x:c r="B1058" s="19" t="n">
        <x:v>3</x:v>
      </x:c>
      <x:c r="C1058" s="19" t="n">
        <x:v>4</x:v>
      </x:c>
      <x:c r="D1058" s="19" t="str">
        <x:v>C03-M042</x:v>
      </x:c>
      <x:c r="E1058" s="19" t="str">
        <x:v>英灵战马</x:v>
      </x:c>
      <x:c r="F1058" s="19" t="str">
        <x:v>普通</x:v>
      </x:c>
      <x:c r="G1058" s="19" t="str">
        <x:v>六神器公共池</x:v>
      </x:c>
      <x:c r="H1058" s="19" t="str">
        <x:v>POOL006</x:v>
      </x:c>
      <x:c r="I1058" s="22" t="n">
        <x:v>20000000</x:v>
      </x:c>
      <x:c r="J1058" s="22" t="n">
        <x:v>1</x:v>
      </x:c>
      <x:c r="K1058" s="19" t="n">
        <x:v>6</x:v>
      </x:c>
      <x:c r="L1058" s="24" t="n">
        <x:v>17.25</x:v>
      </x:c>
      <x:c r="M1058" s="26" t="n">
        <x:v>0.1</x:v>
      </x:c>
      <x:c r="N1058" s="24" t="n">
        <x:v>72</x:v>
      </x:c>
      <x:c r="O1058" s="28" t="n">
        <x:f>MIN(1,L1058/I1058)</x:f>
        <x:v>8.625e-7</x:v>
      </x:c>
      <x:c r="P1058" s="30" t="n">
        <x:f>O1058*J1058*(1+M1058)</x:f>
        <x:v>9.487500000000001e-7</x:v>
      </x:c>
      <x:c r="Q1058" s="30" t="n">
        <x:f>P1058*N1058</x:f>
        <x:v>0.00006831000000000002</x:v>
      </x:c>
      <x:c r="R1058" s="19" t="str">
        <x:v>六选一；非6个独立爆率</x:v>
      </x:c>
    </x:row>
    <x:row r="1059" ht="19" customHeight="1">
      <x:c r="A1059" s="19" t="str">
        <x:v>D01055</x:v>
      </x:c>
      <x:c r="B1059" s="19" t="n">
        <x:v>3</x:v>
      </x:c>
      <x:c r="C1059" s="19" t="n">
        <x:v>4</x:v>
      </x:c>
      <x:c r="D1059" s="19" t="str">
        <x:v>C03-M043</x:v>
      </x:c>
      <x:c r="E1059" s="19" t="str">
        <x:v>百战英魂</x:v>
      </x:c>
      <x:c r="F1059" s="19" t="str">
        <x:v>稀有</x:v>
      </x:c>
      <x:c r="G1059" s="19" t="str">
        <x:v>自身专属</x:v>
      </x:c>
      <x:c r="H1059" s="19" t="str">
        <x:v>百战腕甲</x:v>
      </x:c>
      <x:c r="I1059" s="22" t="n">
        <x:v>250</x:v>
      </x:c>
      <x:c r="J1059" s="22" t="n">
        <x:v>1</x:v>
      </x:c>
      <x:c r="K1059" s="19" t="n">
        <x:v>1</x:v>
      </x:c>
      <x:c r="L1059" s="24" t="n">
        <x:v>17.25</x:v>
      </x:c>
      <x:c r="M1059" s="26" t="n">
        <x:v>0.1</x:v>
      </x:c>
      <x:c r="N1059" s="24" t="n">
        <x:v>10.756455513127815</x:v>
      </x:c>
      <x:c r="O1059" s="28" t="n">
        <x:f>MIN(1,L1059/I1059)</x:f>
        <x:v>0.069</x:v>
      </x:c>
      <x:c r="P1059" s="30" t="n">
        <x:f>O1059*J1059*(1+M1059)</x:f>
        <x:v>0.07590000000000001</x:v>
      </x:c>
      <x:c r="Q1059" s="30" t="n">
        <x:f>P1059*N1059</x:f>
        <x:v>0.8164149734464012</x:v>
      </x:c>
      <x:c r="R1059" s="19" t="str">
        <x:v>独立判定</x:v>
      </x:c>
    </x:row>
    <x:row r="1060" ht="19" customHeight="1">
      <x:c r="A1060" s="19" t="str">
        <x:v>D01056</x:v>
      </x:c>
      <x:c r="B1060" s="19" t="n">
        <x:v>3</x:v>
      </x:c>
      <x:c r="C1060" s="19" t="n">
        <x:v>4</x:v>
      </x:c>
      <x:c r="D1060" s="19" t="str">
        <x:v>C03-M043</x:v>
      </x:c>
      <x:c r="E1060" s="19" t="str">
        <x:v>百战英魂</x:v>
      </x:c>
      <x:c r="F1060" s="19" t="str">
        <x:v>稀有</x:v>
      </x:c>
      <x:c r="G1060" s="19" t="str">
        <x:v>材料独立候选</x:v>
      </x:c>
      <x:c r="H1060" s="19" t="str">
        <x:v>风蚀铁片</x:v>
      </x:c>
      <x:c r="I1060" s="22" t="n">
        <x:v>500</x:v>
      </x:c>
      <x:c r="J1060" s="22" t="n">
        <x:v>15</x:v>
      </x:c>
      <x:c r="K1060" s="19" t="n">
        <x:v>1</x:v>
      </x:c>
      <x:c r="L1060" s="24" t="n">
        <x:v>17.25</x:v>
      </x:c>
      <x:c r="M1060" s="26" t="n">
        <x:v>0.1</x:v>
      </x:c>
      <x:c r="N1060" s="24" t="n">
        <x:v>10.756455513127815</x:v>
      </x:c>
      <x:c r="O1060" s="28" t="n">
        <x:f>MIN(1,L1060/I1060)</x:f>
        <x:v>0.0345</x:v>
      </x:c>
      <x:c r="P1060" s="30" t="n">
        <x:f>O1060*J1060*(1+M1060)</x:f>
        <x:v>0.5692500000000001</x:v>
      </x:c>
      <x:c r="Q1060" s="30" t="n">
        <x:f>P1060*N1060</x:f>
        <x:v>6.12311230084801</x:v>
      </x:c>
      <x:c r="R1060" s="19" t="str">
        <x:v>独立判定</x:v>
      </x:c>
    </x:row>
    <x:row r="1061" ht="19" customHeight="1">
      <x:c r="A1061" s="19" t="str">
        <x:v>D01057</x:v>
      </x:c>
      <x:c r="B1061" s="19" t="n">
        <x:v>3</x:v>
      </x:c>
      <x:c r="C1061" s="19" t="n">
        <x:v>4</x:v>
      </x:c>
      <x:c r="D1061" s="19" t="str">
        <x:v>C03-M043</x:v>
      </x:c>
      <x:c r="E1061" s="19" t="str">
        <x:v>百战英魂</x:v>
      </x:c>
      <x:c r="F1061" s="19" t="str">
        <x:v>稀有</x:v>
      </x:c>
      <x:c r="G1061" s="19" t="str">
        <x:v>材料独立候选</x:v>
      </x:c>
      <x:c r="H1061" s="19" t="str">
        <x:v>西境战旗</x:v>
      </x:c>
      <x:c r="I1061" s="22" t="n">
        <x:v>800</x:v>
      </x:c>
      <x:c r="J1061" s="22" t="n">
        <x:v>1</x:v>
      </x:c>
      <x:c r="K1061" s="19" t="n">
        <x:v>1</x:v>
      </x:c>
      <x:c r="L1061" s="24" t="n">
        <x:v>17.25</x:v>
      </x:c>
      <x:c r="M1061" s="26" t="n">
        <x:v>0.1</x:v>
      </x:c>
      <x:c r="N1061" s="24" t="n">
        <x:v>10.756455513127815</x:v>
      </x:c>
      <x:c r="O1061" s="28" t="n">
        <x:f>MIN(1,L1061/I1061)</x:f>
        <x:v>0.0215625</x:v>
      </x:c>
      <x:c r="P1061" s="30" t="n">
        <x:f>O1061*J1061*(1+M1061)</x:f>
        <x:v>0.02371875</x:v>
      </x:c>
      <x:c r="Q1061" s="30" t="n">
        <x:f>P1061*N1061</x:f>
        <x:v>0.25512967920200036</x:v>
      </x:c>
      <x:c r="R1061" s="19" t="str">
        <x:v>独立判定</x:v>
      </x:c>
    </x:row>
    <x:row r="1062" ht="19" customHeight="1">
      <x:c r="A1062" s="19" t="str">
        <x:v>D01058</x:v>
      </x:c>
      <x:c r="B1062" s="19" t="n">
        <x:v>3</x:v>
      </x:c>
      <x:c r="C1062" s="19" t="n">
        <x:v>4</x:v>
      </x:c>
      <x:c r="D1062" s="19" t="str">
        <x:v>C03-M043</x:v>
      </x:c>
      <x:c r="E1062" s="19" t="str">
        <x:v>百战英魂</x:v>
      </x:c>
      <x:c r="F1062" s="19" t="str">
        <x:v>稀有</x:v>
      </x:c>
      <x:c r="G1062" s="19" t="str">
        <x:v>材料独立候选</x:v>
      </x:c>
      <x:c r="H1062" s="19" t="str">
        <x:v>商队火漆</x:v>
      </x:c>
      <x:c r="I1062" s="22" t="n">
        <x:v>800</x:v>
      </x:c>
      <x:c r="J1062" s="22" t="n">
        <x:v>1</x:v>
      </x:c>
      <x:c r="K1062" s="19" t="n">
        <x:v>1</x:v>
      </x:c>
      <x:c r="L1062" s="24" t="n">
        <x:v>17.25</x:v>
      </x:c>
      <x:c r="M1062" s="26" t="n">
        <x:v>0.1</x:v>
      </x:c>
      <x:c r="N1062" s="24" t="n">
        <x:v>10.756455513127815</x:v>
      </x:c>
      <x:c r="O1062" s="28" t="n">
        <x:f>MIN(1,L1062/I1062)</x:f>
        <x:v>0.0215625</x:v>
      </x:c>
      <x:c r="P1062" s="30" t="n">
        <x:f>O1062*J1062*(1+M1062)</x:f>
        <x:v>0.02371875</x:v>
      </x:c>
      <x:c r="Q1062" s="30" t="n">
        <x:f>P1062*N1062</x:f>
        <x:v>0.25512967920200036</x:v>
      </x:c>
      <x:c r="R1062" s="19" t="str">
        <x:v>独立判定</x:v>
      </x:c>
    </x:row>
    <x:row r="1063" ht="19" customHeight="1">
      <x:c r="A1063" s="19" t="str">
        <x:v>D01059</x:v>
      </x:c>
      <x:c r="B1063" s="19" t="n">
        <x:v>3</x:v>
      </x:c>
      <x:c r="C1063" s="19" t="n">
        <x:v>4</x:v>
      </x:c>
      <x:c r="D1063" s="19" t="str">
        <x:v>C03-M043</x:v>
      </x:c>
      <x:c r="E1063" s="19" t="str">
        <x:v>百战英魂</x:v>
      </x:c>
      <x:c r="F1063" s="19" t="str">
        <x:v>稀有</x:v>
      </x:c>
      <x:c r="G1063" s="19" t="str">
        <x:v>材料独立候选</x:v>
      </x:c>
      <x:c r="H1063" s="19" t="str">
        <x:v>西境风痕碑拓</x:v>
      </x:c>
      <x:c r="I1063" s="22" t="n">
        <x:v>500000</x:v>
      </x:c>
      <x:c r="J1063" s="22" t="n">
        <x:v>1</x:v>
      </x:c>
      <x:c r="K1063" s="19" t="n">
        <x:v>1</x:v>
      </x:c>
      <x:c r="L1063" s="24" t="n">
        <x:v>17.25</x:v>
      </x:c>
      <x:c r="M1063" s="26" t="n">
        <x:v>0.1</x:v>
      </x:c>
      <x:c r="N1063" s="24" t="n">
        <x:v>10.756455513127815</x:v>
      </x:c>
      <x:c r="O1063" s="28" t="n">
        <x:f>MIN(1,L1063/I1063)</x:f>
        <x:v>0.0000345</x:v>
      </x:c>
      <x:c r="P1063" s="30" t="n">
        <x:f>O1063*J1063*(1+M1063)</x:f>
        <x:v>0.00003795</x:v>
      </x:c>
      <x:c r="Q1063" s="30" t="n">
        <x:f>P1063*N1063</x:f>
        <x:v>0.0004082074867232006</x:v>
      </x:c>
      <x:c r="R1063" s="19" t="str">
        <x:v>独立判定</x:v>
      </x:c>
    </x:row>
    <x:row r="1064" ht="19" customHeight="1">
      <x:c r="A1064" s="19" t="str">
        <x:v>D01060</x:v>
      </x:c>
      <x:c r="B1064" s="19" t="n">
        <x:v>3</x:v>
      </x:c>
      <x:c r="C1064" s="19" t="n">
        <x:v>4</x:v>
      </x:c>
      <x:c r="D1064" s="19" t="str">
        <x:v>C03-M043</x:v>
      </x:c>
      <x:c r="E1064" s="19" t="str">
        <x:v>百战英魂</x:v>
      </x:c>
      <x:c r="F1064" s="19" t="str">
        <x:v>稀有</x:v>
      </x:c>
      <x:c r="G1064" s="19" t="str">
        <x:v>材料独立候选</x:v>
      </x:c>
      <x:c r="H1064" s="19" t="str">
        <x:v>黄金树芽</x:v>
      </x:c>
      <x:c r="I1064" s="22" t="n">
        <x:v>2000</x:v>
      </x:c>
      <x:c r="J1064" s="22" t="n">
        <x:v>1</x:v>
      </x:c>
      <x:c r="K1064" s="19" t="n">
        <x:v>1</x:v>
      </x:c>
      <x:c r="L1064" s="24" t="n">
        <x:v>17.25</x:v>
      </x:c>
      <x:c r="M1064" s="26" t="n">
        <x:v>0.1</x:v>
      </x:c>
      <x:c r="N1064" s="24" t="n">
        <x:v>10.756455513127815</x:v>
      </x:c>
      <x:c r="O1064" s="28" t="n">
        <x:f>MIN(1,L1064/I1064)</x:f>
        <x:v>0.008625</x:v>
      </x:c>
      <x:c r="P1064" s="30" t="n">
        <x:f>O1064*J1064*(1+M1064)</x:f>
        <x:v>0.009487500000000001</x:v>
      </x:c>
      <x:c r="Q1064" s="30" t="n">
        <x:f>P1064*N1064</x:f>
        <x:v>0.10205187168080015</x:v>
      </x:c>
      <x:c r="R1064" s="19" t="str">
        <x:v>独立判定</x:v>
      </x:c>
    </x:row>
    <x:row r="1065" ht="19" customHeight="1">
      <x:c r="A1065" s="19" t="str">
        <x:v>D01061</x:v>
      </x:c>
      <x:c r="B1065" s="19" t="n">
        <x:v>3</x:v>
      </x:c>
      <x:c r="C1065" s="19" t="n">
        <x:v>4</x:v>
      </x:c>
      <x:c r="D1065" s="19" t="str">
        <x:v>C03-M043</x:v>
      </x:c>
      <x:c r="E1065" s="19" t="str">
        <x:v>百战英魂</x:v>
      </x:c>
      <x:c r="F1065" s="19" t="str">
        <x:v>稀有</x:v>
      </x:c>
      <x:c r="G1065" s="19" t="str">
        <x:v>材料独立候选</x:v>
      </x:c>
      <x:c r="H1065" s="19" t="str">
        <x:v>野兽骨片</x:v>
      </x:c>
      <x:c r="I1065" s="22" t="n">
        <x:v>80</x:v>
      </x:c>
      <x:c r="J1065" s="22" t="n">
        <x:v>2</x:v>
      </x:c>
      <x:c r="K1065" s="19" t="n">
        <x:v>1</x:v>
      </x:c>
      <x:c r="L1065" s="24" t="n">
        <x:v>17.25</x:v>
      </x:c>
      <x:c r="M1065" s="26" t="n">
        <x:v>0.1</x:v>
      </x:c>
      <x:c r="N1065" s="24" t="n">
        <x:v>10.756455513127815</x:v>
      </x:c>
      <x:c r="O1065" s="28" t="n">
        <x:f>MIN(1,L1065/I1065)</x:f>
        <x:v>0.215625</x:v>
      </x:c>
      <x:c r="P1065" s="30" t="n">
        <x:f>O1065*J1065*(1+M1065)</x:f>
        <x:v>0.47437500000000005</x:v>
      </x:c>
      <x:c r="Q1065" s="30" t="n">
        <x:f>P1065*N1065</x:f>
        <x:v>5.102593584040008</x:v>
      </x:c>
      <x:c r="R1065" s="19" t="str">
        <x:v>独立判定</x:v>
      </x:c>
    </x:row>
    <x:row r="1066" ht="19" customHeight="1">
      <x:c r="A1066" s="19" t="str">
        <x:v>D01062</x:v>
      </x:c>
      <x:c r="B1066" s="19" t="n">
        <x:v>3</x:v>
      </x:c>
      <x:c r="C1066" s="19" t="n">
        <x:v>4</x:v>
      </x:c>
      <x:c r="D1066" s="19" t="str">
        <x:v>C03-M043</x:v>
      </x:c>
      <x:c r="E1066" s="19" t="str">
        <x:v>百战英魂</x:v>
      </x:c>
      <x:c r="F1066" s="19" t="str">
        <x:v>稀有</x:v>
      </x:c>
      <x:c r="G1066" s="19" t="str">
        <x:v>材料独立候选</x:v>
      </x:c>
      <x:c r="H1066" s="19" t="str">
        <x:v>技能残页</x:v>
      </x:c>
      <x:c r="I1066" s="22" t="n">
        <x:v>180</x:v>
      </x:c>
      <x:c r="J1066" s="22" t="n">
        <x:v>1</x:v>
      </x:c>
      <x:c r="K1066" s="19" t="n">
        <x:v>1</x:v>
      </x:c>
      <x:c r="L1066" s="24" t="n">
        <x:v>17.25</x:v>
      </x:c>
      <x:c r="M1066" s="26" t="n">
        <x:v>0.1</x:v>
      </x:c>
      <x:c r="N1066" s="24" t="n">
        <x:v>10.756455513127815</x:v>
      </x:c>
      <x:c r="O1066" s="28" t="n">
        <x:f>MIN(1,L1066/I1066)</x:f>
        <x:v>0.09583333333333334</x:v>
      </x:c>
      <x:c r="P1066" s="30" t="n">
        <x:f>O1066*J1066*(1+M1066)</x:f>
        <x:v>0.10541666666666669</x:v>
      </x:c>
      <x:c r="Q1066" s="30" t="n">
        <x:f>P1066*N1066</x:f>
        <x:v>1.133909685342224</x:v>
      </x:c>
      <x:c r="R1066" s="19" t="str">
        <x:v>独立判定</x:v>
      </x:c>
    </x:row>
    <x:row r="1067" ht="19" customHeight="1">
      <x:c r="A1067" s="19" t="str">
        <x:v>D01063</x:v>
      </x:c>
      <x:c r="B1067" s="19" t="n">
        <x:v>3</x:v>
      </x:c>
      <x:c r="C1067" s="19" t="n">
        <x:v>4</x:v>
      </x:c>
      <x:c r="D1067" s="19" t="str">
        <x:v>C03-M043</x:v>
      </x:c>
      <x:c r="E1067" s="19" t="str">
        <x:v>百战英魂</x:v>
      </x:c>
      <x:c r="F1067" s="19" t="str">
        <x:v>稀有</x:v>
      </x:c>
      <x:c r="G1067" s="19" t="str">
        <x:v>材料独立候选</x:v>
      </x:c>
      <x:c r="H1067" s="19" t="str">
        <x:v>小卢恩</x:v>
      </x:c>
      <x:c r="I1067" s="22" t="n">
        <x:v>3000</x:v>
      </x:c>
      <x:c r="J1067" s="22" t="n">
        <x:v>1</x:v>
      </x:c>
      <x:c r="K1067" s="19" t="n">
        <x:v>1</x:v>
      </x:c>
      <x:c r="L1067" s="24" t="n">
        <x:v>17.25</x:v>
      </x:c>
      <x:c r="M1067" s="26" t="n">
        <x:v>0.1</x:v>
      </x:c>
      <x:c r="N1067" s="24" t="n">
        <x:v>10.756455513127815</x:v>
      </x:c>
      <x:c r="O1067" s="28" t="n">
        <x:f>MIN(1,L1067/I1067)</x:f>
        <x:v>0.00575</x:v>
      </x:c>
      <x:c r="P1067" s="30" t="n">
        <x:f>O1067*J1067*(1+M1067)</x:f>
        <x:v>0.006325000000000001</x:v>
      </x:c>
      <x:c r="Q1067" s="30" t="n">
        <x:f>P1067*N1067</x:f>
        <x:v>0.06803458112053344</x:v>
      </x:c>
      <x:c r="R1067" s="19" t="str">
        <x:v>独立判定</x:v>
      </x:c>
    </x:row>
    <x:row r="1068" ht="19" customHeight="1">
      <x:c r="A1068" s="19" t="str">
        <x:v>D01064</x:v>
      </x:c>
      <x:c r="B1068" s="19" t="n">
        <x:v>3</x:v>
      </x:c>
      <x:c r="C1068" s="19" t="n">
        <x:v>4</x:v>
      </x:c>
      <x:c r="D1068" s="19" t="str">
        <x:v>C03-M043</x:v>
      </x:c>
      <x:c r="E1068" s="19" t="str">
        <x:v>百战英魂</x:v>
      </x:c>
      <x:c r="F1068" s="19" t="str">
        <x:v>稀有</x:v>
      </x:c>
      <x:c r="G1068" s="19" t="str">
        <x:v>六神器公共池</x:v>
      </x:c>
      <x:c r="H1068" s="19" t="str">
        <x:v>POOL006</x:v>
      </x:c>
      <x:c r="I1068" s="22" t="n">
        <x:v>5000000</x:v>
      </x:c>
      <x:c r="J1068" s="22" t="n">
        <x:v>1</x:v>
      </x:c>
      <x:c r="K1068" s="19" t="n">
        <x:v>6</x:v>
      </x:c>
      <x:c r="L1068" s="24" t="n">
        <x:v>17.25</x:v>
      </x:c>
      <x:c r="M1068" s="26" t="n">
        <x:v>0.1</x:v>
      </x:c>
      <x:c r="N1068" s="24" t="n">
        <x:v>10.756455513127815</x:v>
      </x:c>
      <x:c r="O1068" s="28" t="n">
        <x:f>MIN(1,L1068/I1068)</x:f>
        <x:v>0.00000345</x:v>
      </x:c>
      <x:c r="P1068" s="30" t="n">
        <x:f>O1068*J1068*(1+M1068)</x:f>
        <x:v>0.0000037950000000000005</x:v>
      </x:c>
      <x:c r="Q1068" s="30" t="n">
        <x:f>P1068*N1068</x:f>
        <x:v>0.00004082074867232006</x:v>
      </x:c>
      <x:c r="R1068" s="19" t="str">
        <x:v>六选一；非6个独立爆率</x:v>
      </x:c>
    </x:row>
    <x:row r="1069" ht="19" customHeight="1">
      <x:c r="A1069" s="19" t="str">
        <x:v>D01065</x:v>
      </x:c>
      <x:c r="B1069" s="19" t="n">
        <x:v>3</x:v>
      </x:c>
      <x:c r="C1069" s="19" t="n">
        <x:v>4</x:v>
      </x:c>
      <x:c r="D1069" s="19" t="str">
        <x:v>C03-M044</x:v>
      </x:c>
      <x:c r="E1069" s="19" t="str">
        <x:v>亡阵旗官</x:v>
      </x:c>
      <x:c r="F1069" s="19" t="str">
        <x:v>稀有</x:v>
      </x:c>
      <x:c r="G1069" s="19" t="str">
        <x:v>自身专属</x:v>
      </x:c>
      <x:c r="H1069" s="19" t="str">
        <x:v>亡阵旗印</x:v>
      </x:c>
      <x:c r="I1069" s="22" t="n">
        <x:v>250</x:v>
      </x:c>
      <x:c r="J1069" s="22" t="n">
        <x:v>1</x:v>
      </x:c>
      <x:c r="K1069" s="19" t="n">
        <x:v>1</x:v>
      </x:c>
      <x:c r="L1069" s="24" t="n">
        <x:v>17.25</x:v>
      </x:c>
      <x:c r="M1069" s="26" t="n">
        <x:v>0.1</x:v>
      </x:c>
      <x:c r="N1069" s="24" t="n">
        <x:v>12</x:v>
      </x:c>
      <x:c r="O1069" s="28" t="n">
        <x:f>MIN(1,L1069/I1069)</x:f>
        <x:v>0.069</x:v>
      </x:c>
      <x:c r="P1069" s="30" t="n">
        <x:f>O1069*J1069*(1+M1069)</x:f>
        <x:v>0.07590000000000001</x:v>
      </x:c>
      <x:c r="Q1069" s="30" t="n">
        <x:f>P1069*N1069</x:f>
        <x:v>0.9108</x:v>
      </x:c>
      <x:c r="R1069" s="19" t="str">
        <x:v>独立判定</x:v>
      </x:c>
    </x:row>
    <x:row r="1070" ht="19" customHeight="1">
      <x:c r="A1070" s="19" t="str">
        <x:v>D01066</x:v>
      </x:c>
      <x:c r="B1070" s="19" t="n">
        <x:v>3</x:v>
      </x:c>
      <x:c r="C1070" s="19" t="n">
        <x:v>4</x:v>
      </x:c>
      <x:c r="D1070" s="19" t="str">
        <x:v>C03-M044</x:v>
      </x:c>
      <x:c r="E1070" s="19" t="str">
        <x:v>亡阵旗官</x:v>
      </x:c>
      <x:c r="F1070" s="19" t="str">
        <x:v>稀有</x:v>
      </x:c>
      <x:c r="G1070" s="19" t="str">
        <x:v>材料独立候选</x:v>
      </x:c>
      <x:c r="H1070" s="19" t="str">
        <x:v>风蚀铁片</x:v>
      </x:c>
      <x:c r="I1070" s="22" t="n">
        <x:v>500</x:v>
      </x:c>
      <x:c r="J1070" s="22" t="n">
        <x:v>15</x:v>
      </x:c>
      <x:c r="K1070" s="19" t="n">
        <x:v>1</x:v>
      </x:c>
      <x:c r="L1070" s="24" t="n">
        <x:v>17.25</x:v>
      </x:c>
      <x:c r="M1070" s="26" t="n">
        <x:v>0.1</x:v>
      </x:c>
      <x:c r="N1070" s="24" t="n">
        <x:v>12</x:v>
      </x:c>
      <x:c r="O1070" s="28" t="n">
        <x:f>MIN(1,L1070/I1070)</x:f>
        <x:v>0.0345</x:v>
      </x:c>
      <x:c r="P1070" s="30" t="n">
        <x:f>O1070*J1070*(1+M1070)</x:f>
        <x:v>0.5692500000000001</x:v>
      </x:c>
      <x:c r="Q1070" s="30" t="n">
        <x:f>P1070*N1070</x:f>
        <x:v>6.831000000000001</x:v>
      </x:c>
      <x:c r="R1070" s="19" t="str">
        <x:v>独立判定</x:v>
      </x:c>
    </x:row>
    <x:row r="1071" ht="19" customHeight="1">
      <x:c r="A1071" s="19" t="str">
        <x:v>D01067</x:v>
      </x:c>
      <x:c r="B1071" s="19" t="n">
        <x:v>3</x:v>
      </x:c>
      <x:c r="C1071" s="19" t="n">
        <x:v>4</x:v>
      </x:c>
      <x:c r="D1071" s="19" t="str">
        <x:v>C03-M044</x:v>
      </x:c>
      <x:c r="E1071" s="19" t="str">
        <x:v>亡阵旗官</x:v>
      </x:c>
      <x:c r="F1071" s="19" t="str">
        <x:v>稀有</x:v>
      </x:c>
      <x:c r="G1071" s="19" t="str">
        <x:v>材料独立候选</x:v>
      </x:c>
      <x:c r="H1071" s="19" t="str">
        <x:v>西境战旗</x:v>
      </x:c>
      <x:c r="I1071" s="22" t="n">
        <x:v>800</x:v>
      </x:c>
      <x:c r="J1071" s="22" t="n">
        <x:v>1</x:v>
      </x:c>
      <x:c r="K1071" s="19" t="n">
        <x:v>1</x:v>
      </x:c>
      <x:c r="L1071" s="24" t="n">
        <x:v>17.25</x:v>
      </x:c>
      <x:c r="M1071" s="26" t="n">
        <x:v>0.1</x:v>
      </x:c>
      <x:c r="N1071" s="24" t="n">
        <x:v>12</x:v>
      </x:c>
      <x:c r="O1071" s="28" t="n">
        <x:f>MIN(1,L1071/I1071)</x:f>
        <x:v>0.0215625</x:v>
      </x:c>
      <x:c r="P1071" s="30" t="n">
        <x:f>O1071*J1071*(1+M1071)</x:f>
        <x:v>0.02371875</x:v>
      </x:c>
      <x:c r="Q1071" s="30" t="n">
        <x:f>P1071*N1071</x:f>
        <x:v>0.284625</x:v>
      </x:c>
      <x:c r="R1071" s="19" t="str">
        <x:v>独立判定</x:v>
      </x:c>
    </x:row>
    <x:row r="1072" ht="19" customHeight="1">
      <x:c r="A1072" s="19" t="str">
        <x:v>D01068</x:v>
      </x:c>
      <x:c r="B1072" s="19" t="n">
        <x:v>3</x:v>
      </x:c>
      <x:c r="C1072" s="19" t="n">
        <x:v>4</x:v>
      </x:c>
      <x:c r="D1072" s="19" t="str">
        <x:v>C03-M044</x:v>
      </x:c>
      <x:c r="E1072" s="19" t="str">
        <x:v>亡阵旗官</x:v>
      </x:c>
      <x:c r="F1072" s="19" t="str">
        <x:v>稀有</x:v>
      </x:c>
      <x:c r="G1072" s="19" t="str">
        <x:v>材料独立候选</x:v>
      </x:c>
      <x:c r="H1072" s="19" t="str">
        <x:v>商队火漆</x:v>
      </x:c>
      <x:c r="I1072" s="22" t="n">
        <x:v>800</x:v>
      </x:c>
      <x:c r="J1072" s="22" t="n">
        <x:v>1</x:v>
      </x:c>
      <x:c r="K1072" s="19" t="n">
        <x:v>1</x:v>
      </x:c>
      <x:c r="L1072" s="24" t="n">
        <x:v>17.25</x:v>
      </x:c>
      <x:c r="M1072" s="26" t="n">
        <x:v>0.1</x:v>
      </x:c>
      <x:c r="N1072" s="24" t="n">
        <x:v>12</x:v>
      </x:c>
      <x:c r="O1072" s="28" t="n">
        <x:f>MIN(1,L1072/I1072)</x:f>
        <x:v>0.0215625</x:v>
      </x:c>
      <x:c r="P1072" s="30" t="n">
        <x:f>O1072*J1072*(1+M1072)</x:f>
        <x:v>0.02371875</x:v>
      </x:c>
      <x:c r="Q1072" s="30" t="n">
        <x:f>P1072*N1072</x:f>
        <x:v>0.284625</x:v>
      </x:c>
      <x:c r="R1072" s="19" t="str">
        <x:v>独立判定</x:v>
      </x:c>
    </x:row>
    <x:row r="1073" ht="19" customHeight="1">
      <x:c r="A1073" s="19" t="str">
        <x:v>D01069</x:v>
      </x:c>
      <x:c r="B1073" s="19" t="n">
        <x:v>3</x:v>
      </x:c>
      <x:c r="C1073" s="19" t="n">
        <x:v>4</x:v>
      </x:c>
      <x:c r="D1073" s="19" t="str">
        <x:v>C03-M044</x:v>
      </x:c>
      <x:c r="E1073" s="19" t="str">
        <x:v>亡阵旗官</x:v>
      </x:c>
      <x:c r="F1073" s="19" t="str">
        <x:v>稀有</x:v>
      </x:c>
      <x:c r="G1073" s="19" t="str">
        <x:v>材料独立候选</x:v>
      </x:c>
      <x:c r="H1073" s="19" t="str">
        <x:v>西境风痕碑拓</x:v>
      </x:c>
      <x:c r="I1073" s="22" t="n">
        <x:v>500000</x:v>
      </x:c>
      <x:c r="J1073" s="22" t="n">
        <x:v>1</x:v>
      </x:c>
      <x:c r="K1073" s="19" t="n">
        <x:v>1</x:v>
      </x:c>
      <x:c r="L1073" s="24" t="n">
        <x:v>17.25</x:v>
      </x:c>
      <x:c r="M1073" s="26" t="n">
        <x:v>0.1</x:v>
      </x:c>
      <x:c r="N1073" s="24" t="n">
        <x:v>12</x:v>
      </x:c>
      <x:c r="O1073" s="28" t="n">
        <x:f>MIN(1,L1073/I1073)</x:f>
        <x:v>0.0000345</x:v>
      </x:c>
      <x:c r="P1073" s="30" t="n">
        <x:f>O1073*J1073*(1+M1073)</x:f>
        <x:v>0.00003795</x:v>
      </x:c>
      <x:c r="Q1073" s="30" t="n">
        <x:f>P1073*N1073</x:f>
        <x:v>0.0004554</x:v>
      </x:c>
      <x:c r="R1073" s="19" t="str">
        <x:v>独立判定</x:v>
      </x:c>
    </x:row>
    <x:row r="1074" ht="19" customHeight="1">
      <x:c r="A1074" s="19" t="str">
        <x:v>D01070</x:v>
      </x:c>
      <x:c r="B1074" s="19" t="n">
        <x:v>3</x:v>
      </x:c>
      <x:c r="C1074" s="19" t="n">
        <x:v>4</x:v>
      </x:c>
      <x:c r="D1074" s="19" t="str">
        <x:v>C03-M044</x:v>
      </x:c>
      <x:c r="E1074" s="19" t="str">
        <x:v>亡阵旗官</x:v>
      </x:c>
      <x:c r="F1074" s="19" t="str">
        <x:v>稀有</x:v>
      </x:c>
      <x:c r="G1074" s="19" t="str">
        <x:v>材料独立候选</x:v>
      </x:c>
      <x:c r="H1074" s="19" t="str">
        <x:v>黄金树芽</x:v>
      </x:c>
      <x:c r="I1074" s="22" t="n">
        <x:v>2000</x:v>
      </x:c>
      <x:c r="J1074" s="22" t="n">
        <x:v>1</x:v>
      </x:c>
      <x:c r="K1074" s="19" t="n">
        <x:v>1</x:v>
      </x:c>
      <x:c r="L1074" s="24" t="n">
        <x:v>17.25</x:v>
      </x:c>
      <x:c r="M1074" s="26" t="n">
        <x:v>0.1</x:v>
      </x:c>
      <x:c r="N1074" s="24" t="n">
        <x:v>12</x:v>
      </x:c>
      <x:c r="O1074" s="28" t="n">
        <x:f>MIN(1,L1074/I1074)</x:f>
        <x:v>0.008625</x:v>
      </x:c>
      <x:c r="P1074" s="30" t="n">
        <x:f>O1074*J1074*(1+M1074)</x:f>
        <x:v>0.009487500000000001</x:v>
      </x:c>
      <x:c r="Q1074" s="30" t="n">
        <x:f>P1074*N1074</x:f>
        <x:v>0.11385</x:v>
      </x:c>
      <x:c r="R1074" s="19" t="str">
        <x:v>独立判定</x:v>
      </x:c>
    </x:row>
    <x:row r="1075" ht="19" customHeight="1">
      <x:c r="A1075" s="19" t="str">
        <x:v>D01071</x:v>
      </x:c>
      <x:c r="B1075" s="19" t="n">
        <x:v>3</x:v>
      </x:c>
      <x:c r="C1075" s="19" t="n">
        <x:v>4</x:v>
      </x:c>
      <x:c r="D1075" s="19" t="str">
        <x:v>C03-M044</x:v>
      </x:c>
      <x:c r="E1075" s="19" t="str">
        <x:v>亡阵旗官</x:v>
      </x:c>
      <x:c r="F1075" s="19" t="str">
        <x:v>稀有</x:v>
      </x:c>
      <x:c r="G1075" s="19" t="str">
        <x:v>材料独立候选</x:v>
      </x:c>
      <x:c r="H1075" s="19" t="str">
        <x:v>野兽骨片</x:v>
      </x:c>
      <x:c r="I1075" s="22" t="n">
        <x:v>80</x:v>
      </x:c>
      <x:c r="J1075" s="22" t="n">
        <x:v>2</x:v>
      </x:c>
      <x:c r="K1075" s="19" t="n">
        <x:v>1</x:v>
      </x:c>
      <x:c r="L1075" s="24" t="n">
        <x:v>17.25</x:v>
      </x:c>
      <x:c r="M1075" s="26" t="n">
        <x:v>0.1</x:v>
      </x:c>
      <x:c r="N1075" s="24" t="n">
        <x:v>12</x:v>
      </x:c>
      <x:c r="O1075" s="28" t="n">
        <x:f>MIN(1,L1075/I1075)</x:f>
        <x:v>0.215625</x:v>
      </x:c>
      <x:c r="P1075" s="30" t="n">
        <x:f>O1075*J1075*(1+M1075)</x:f>
        <x:v>0.47437500000000005</x:v>
      </x:c>
      <x:c r="Q1075" s="30" t="n">
        <x:f>P1075*N1075</x:f>
        <x:v>5.692500000000001</x:v>
      </x:c>
      <x:c r="R1075" s="19" t="str">
        <x:v>独立判定</x:v>
      </x:c>
    </x:row>
    <x:row r="1076" ht="19" customHeight="1">
      <x:c r="A1076" s="19" t="str">
        <x:v>D01072</x:v>
      </x:c>
      <x:c r="B1076" s="19" t="n">
        <x:v>3</x:v>
      </x:c>
      <x:c r="C1076" s="19" t="n">
        <x:v>4</x:v>
      </x:c>
      <x:c r="D1076" s="19" t="str">
        <x:v>C03-M044</x:v>
      </x:c>
      <x:c r="E1076" s="19" t="str">
        <x:v>亡阵旗官</x:v>
      </x:c>
      <x:c r="F1076" s="19" t="str">
        <x:v>稀有</x:v>
      </x:c>
      <x:c r="G1076" s="19" t="str">
        <x:v>材料独立候选</x:v>
      </x:c>
      <x:c r="H1076" s="19" t="str">
        <x:v>技能残页</x:v>
      </x:c>
      <x:c r="I1076" s="22" t="n">
        <x:v>180</x:v>
      </x:c>
      <x:c r="J1076" s="22" t="n">
        <x:v>1</x:v>
      </x:c>
      <x:c r="K1076" s="19" t="n">
        <x:v>1</x:v>
      </x:c>
      <x:c r="L1076" s="24" t="n">
        <x:v>17.25</x:v>
      </x:c>
      <x:c r="M1076" s="26" t="n">
        <x:v>0.1</x:v>
      </x:c>
      <x:c r="N1076" s="24" t="n">
        <x:v>12</x:v>
      </x:c>
      <x:c r="O1076" s="28" t="n">
        <x:f>MIN(1,L1076/I1076)</x:f>
        <x:v>0.09583333333333334</x:v>
      </x:c>
      <x:c r="P1076" s="30" t="n">
        <x:f>O1076*J1076*(1+M1076)</x:f>
        <x:v>0.10541666666666669</x:v>
      </x:c>
      <x:c r="Q1076" s="30" t="n">
        <x:f>P1076*N1076</x:f>
        <x:v>1.2650000000000001</x:v>
      </x:c>
      <x:c r="R1076" s="19" t="str">
        <x:v>独立判定</x:v>
      </x:c>
    </x:row>
    <x:row r="1077" ht="19" customHeight="1">
      <x:c r="A1077" s="19" t="str">
        <x:v>D01073</x:v>
      </x:c>
      <x:c r="B1077" s="19" t="n">
        <x:v>3</x:v>
      </x:c>
      <x:c r="C1077" s="19" t="n">
        <x:v>4</x:v>
      </x:c>
      <x:c r="D1077" s="19" t="str">
        <x:v>C03-M044</x:v>
      </x:c>
      <x:c r="E1077" s="19" t="str">
        <x:v>亡阵旗官</x:v>
      </x:c>
      <x:c r="F1077" s="19" t="str">
        <x:v>稀有</x:v>
      </x:c>
      <x:c r="G1077" s="19" t="str">
        <x:v>材料独立候选</x:v>
      </x:c>
      <x:c r="H1077" s="19" t="str">
        <x:v>小卢恩</x:v>
      </x:c>
      <x:c r="I1077" s="22" t="n">
        <x:v>3000</x:v>
      </x:c>
      <x:c r="J1077" s="22" t="n">
        <x:v>1</x:v>
      </x:c>
      <x:c r="K1077" s="19" t="n">
        <x:v>1</x:v>
      </x:c>
      <x:c r="L1077" s="24" t="n">
        <x:v>17.25</x:v>
      </x:c>
      <x:c r="M1077" s="26" t="n">
        <x:v>0.1</x:v>
      </x:c>
      <x:c r="N1077" s="24" t="n">
        <x:v>12</x:v>
      </x:c>
      <x:c r="O1077" s="28" t="n">
        <x:f>MIN(1,L1077/I1077)</x:f>
        <x:v>0.00575</x:v>
      </x:c>
      <x:c r="P1077" s="30" t="n">
        <x:f>O1077*J1077*(1+M1077)</x:f>
        <x:v>0.006325000000000001</x:v>
      </x:c>
      <x:c r="Q1077" s="30" t="n">
        <x:f>P1077*N1077</x:f>
        <x:v>0.07590000000000001</x:v>
      </x:c>
      <x:c r="R1077" s="19" t="str">
        <x:v>独立判定</x:v>
      </x:c>
    </x:row>
    <x:row r="1078" ht="19" customHeight="1">
      <x:c r="A1078" s="19" t="str">
        <x:v>D01074</x:v>
      </x:c>
      <x:c r="B1078" s="19" t="n">
        <x:v>3</x:v>
      </x:c>
      <x:c r="C1078" s="19" t="n">
        <x:v>4</x:v>
      </x:c>
      <x:c r="D1078" s="19" t="str">
        <x:v>C03-M044</x:v>
      </x:c>
      <x:c r="E1078" s="19" t="str">
        <x:v>亡阵旗官</x:v>
      </x:c>
      <x:c r="F1078" s="19" t="str">
        <x:v>稀有</x:v>
      </x:c>
      <x:c r="G1078" s="19" t="str">
        <x:v>六神器公共池</x:v>
      </x:c>
      <x:c r="H1078" s="19" t="str">
        <x:v>POOL006</x:v>
      </x:c>
      <x:c r="I1078" s="22" t="n">
        <x:v>5000000</x:v>
      </x:c>
      <x:c r="J1078" s="22" t="n">
        <x:v>1</x:v>
      </x:c>
      <x:c r="K1078" s="19" t="n">
        <x:v>6</x:v>
      </x:c>
      <x:c r="L1078" s="24" t="n">
        <x:v>17.25</x:v>
      </x:c>
      <x:c r="M1078" s="26" t="n">
        <x:v>0.1</x:v>
      </x:c>
      <x:c r="N1078" s="24" t="n">
        <x:v>12</x:v>
      </x:c>
      <x:c r="O1078" s="28" t="n">
        <x:f>MIN(1,L1078/I1078)</x:f>
        <x:v>0.00000345</x:v>
      </x:c>
      <x:c r="P1078" s="30" t="n">
        <x:f>O1078*J1078*(1+M1078)</x:f>
        <x:v>0.0000037950000000000005</x:v>
      </x:c>
      <x:c r="Q1078" s="30" t="n">
        <x:f>P1078*N1078</x:f>
        <x:v>0.00004554000000000001</x:v>
      </x:c>
      <x:c r="R1078" s="19" t="str">
        <x:v>六选一；非6个独立爆率</x:v>
      </x:c>
    </x:row>
    <x:row r="1079" ht="19" customHeight="1">
      <x:c r="A1079" s="19" t="str">
        <x:v>D01075</x:v>
      </x:c>
      <x:c r="B1079" s="19" t="n">
        <x:v>3</x:v>
      </x:c>
      <x:c r="C1079" s="19" t="n">
        <x:v>4</x:v>
      </x:c>
      <x:c r="D1079" s="19" t="str">
        <x:v>C03-M045</x:v>
      </x:c>
      <x:c r="E1079" s="19" t="str">
        <x:v>誓死卫士</x:v>
      </x:c>
      <x:c r="F1079" s="19" t="str">
        <x:v>稀有</x:v>
      </x:c>
      <x:c r="G1079" s="19" t="str">
        <x:v>自身专属</x:v>
      </x:c>
      <x:c r="H1079" s="19" t="str">
        <x:v>誓死王盾</x:v>
      </x:c>
      <x:c r="I1079" s="22" t="n">
        <x:v>250</x:v>
      </x:c>
      <x:c r="J1079" s="22" t="n">
        <x:v>1</x:v>
      </x:c>
      <x:c r="K1079" s="19" t="n">
        <x:v>1</x:v>
      </x:c>
      <x:c r="L1079" s="24" t="n">
        <x:v>17.25</x:v>
      </x:c>
      <x:c r="M1079" s="26" t="n">
        <x:v>0.1</x:v>
      </x:c>
      <x:c r="N1079" s="24" t="n">
        <x:v>10.756455513127815</x:v>
      </x:c>
      <x:c r="O1079" s="28" t="n">
        <x:f>MIN(1,L1079/I1079)</x:f>
        <x:v>0.069</x:v>
      </x:c>
      <x:c r="P1079" s="30" t="n">
        <x:f>O1079*J1079*(1+M1079)</x:f>
        <x:v>0.07590000000000001</x:v>
      </x:c>
      <x:c r="Q1079" s="30" t="n">
        <x:f>P1079*N1079</x:f>
        <x:v>0.8164149734464012</x:v>
      </x:c>
      <x:c r="R1079" s="19" t="str">
        <x:v>独立判定</x:v>
      </x:c>
    </x:row>
    <x:row r="1080" ht="19" customHeight="1">
      <x:c r="A1080" s="19" t="str">
        <x:v>D01076</x:v>
      </x:c>
      <x:c r="B1080" s="19" t="n">
        <x:v>3</x:v>
      </x:c>
      <x:c r="C1080" s="19" t="n">
        <x:v>4</x:v>
      </x:c>
      <x:c r="D1080" s="19" t="str">
        <x:v>C03-M045</x:v>
      </x:c>
      <x:c r="E1080" s="19" t="str">
        <x:v>誓死卫士</x:v>
      </x:c>
      <x:c r="F1080" s="19" t="str">
        <x:v>稀有</x:v>
      </x:c>
      <x:c r="G1080" s="19" t="str">
        <x:v>材料独立候选</x:v>
      </x:c>
      <x:c r="H1080" s="19" t="str">
        <x:v>风蚀铁片</x:v>
      </x:c>
      <x:c r="I1080" s="22" t="n">
        <x:v>500</x:v>
      </x:c>
      <x:c r="J1080" s="22" t="n">
        <x:v>15</x:v>
      </x:c>
      <x:c r="K1080" s="19" t="n">
        <x:v>1</x:v>
      </x:c>
      <x:c r="L1080" s="24" t="n">
        <x:v>17.25</x:v>
      </x:c>
      <x:c r="M1080" s="26" t="n">
        <x:v>0.1</x:v>
      </x:c>
      <x:c r="N1080" s="24" t="n">
        <x:v>10.756455513127815</x:v>
      </x:c>
      <x:c r="O1080" s="28" t="n">
        <x:f>MIN(1,L1080/I1080)</x:f>
        <x:v>0.0345</x:v>
      </x:c>
      <x:c r="P1080" s="30" t="n">
        <x:f>O1080*J1080*(1+M1080)</x:f>
        <x:v>0.5692500000000001</x:v>
      </x:c>
      <x:c r="Q1080" s="30" t="n">
        <x:f>P1080*N1080</x:f>
        <x:v>6.12311230084801</x:v>
      </x:c>
      <x:c r="R1080" s="19" t="str">
        <x:v>独立判定</x:v>
      </x:c>
    </x:row>
    <x:row r="1081" ht="19" customHeight="1">
      <x:c r="A1081" s="19" t="str">
        <x:v>D01077</x:v>
      </x:c>
      <x:c r="B1081" s="19" t="n">
        <x:v>3</x:v>
      </x:c>
      <x:c r="C1081" s="19" t="n">
        <x:v>4</x:v>
      </x:c>
      <x:c r="D1081" s="19" t="str">
        <x:v>C03-M045</x:v>
      </x:c>
      <x:c r="E1081" s="19" t="str">
        <x:v>誓死卫士</x:v>
      </x:c>
      <x:c r="F1081" s="19" t="str">
        <x:v>稀有</x:v>
      </x:c>
      <x:c r="G1081" s="19" t="str">
        <x:v>材料独立候选</x:v>
      </x:c>
      <x:c r="H1081" s="19" t="str">
        <x:v>西境战旗</x:v>
      </x:c>
      <x:c r="I1081" s="22" t="n">
        <x:v>800</x:v>
      </x:c>
      <x:c r="J1081" s="22" t="n">
        <x:v>1</x:v>
      </x:c>
      <x:c r="K1081" s="19" t="n">
        <x:v>1</x:v>
      </x:c>
      <x:c r="L1081" s="24" t="n">
        <x:v>17.25</x:v>
      </x:c>
      <x:c r="M1081" s="26" t="n">
        <x:v>0.1</x:v>
      </x:c>
      <x:c r="N1081" s="24" t="n">
        <x:v>10.756455513127815</x:v>
      </x:c>
      <x:c r="O1081" s="28" t="n">
        <x:f>MIN(1,L1081/I1081)</x:f>
        <x:v>0.0215625</x:v>
      </x:c>
      <x:c r="P1081" s="30" t="n">
        <x:f>O1081*J1081*(1+M1081)</x:f>
        <x:v>0.02371875</x:v>
      </x:c>
      <x:c r="Q1081" s="30" t="n">
        <x:f>P1081*N1081</x:f>
        <x:v>0.25512967920200036</x:v>
      </x:c>
      <x:c r="R1081" s="19" t="str">
        <x:v>独立判定</x:v>
      </x:c>
    </x:row>
    <x:row r="1082" ht="19" customHeight="1">
      <x:c r="A1082" s="19" t="str">
        <x:v>D01078</x:v>
      </x:c>
      <x:c r="B1082" s="19" t="n">
        <x:v>3</x:v>
      </x:c>
      <x:c r="C1082" s="19" t="n">
        <x:v>4</x:v>
      </x:c>
      <x:c r="D1082" s="19" t="str">
        <x:v>C03-M045</x:v>
      </x:c>
      <x:c r="E1082" s="19" t="str">
        <x:v>誓死卫士</x:v>
      </x:c>
      <x:c r="F1082" s="19" t="str">
        <x:v>稀有</x:v>
      </x:c>
      <x:c r="G1082" s="19" t="str">
        <x:v>材料独立候选</x:v>
      </x:c>
      <x:c r="H1082" s="19" t="str">
        <x:v>商队火漆</x:v>
      </x:c>
      <x:c r="I1082" s="22" t="n">
        <x:v>800</x:v>
      </x:c>
      <x:c r="J1082" s="22" t="n">
        <x:v>1</x:v>
      </x:c>
      <x:c r="K1082" s="19" t="n">
        <x:v>1</x:v>
      </x:c>
      <x:c r="L1082" s="24" t="n">
        <x:v>17.25</x:v>
      </x:c>
      <x:c r="M1082" s="26" t="n">
        <x:v>0.1</x:v>
      </x:c>
      <x:c r="N1082" s="24" t="n">
        <x:v>10.756455513127815</x:v>
      </x:c>
      <x:c r="O1082" s="28" t="n">
        <x:f>MIN(1,L1082/I1082)</x:f>
        <x:v>0.0215625</x:v>
      </x:c>
      <x:c r="P1082" s="30" t="n">
        <x:f>O1082*J1082*(1+M1082)</x:f>
        <x:v>0.02371875</x:v>
      </x:c>
      <x:c r="Q1082" s="30" t="n">
        <x:f>P1082*N1082</x:f>
        <x:v>0.25512967920200036</x:v>
      </x:c>
      <x:c r="R1082" s="19" t="str">
        <x:v>独立判定</x:v>
      </x:c>
    </x:row>
    <x:row r="1083" ht="19" customHeight="1">
      <x:c r="A1083" s="19" t="str">
        <x:v>D01079</x:v>
      </x:c>
      <x:c r="B1083" s="19" t="n">
        <x:v>3</x:v>
      </x:c>
      <x:c r="C1083" s="19" t="n">
        <x:v>4</x:v>
      </x:c>
      <x:c r="D1083" s="19" t="str">
        <x:v>C03-M045</x:v>
      </x:c>
      <x:c r="E1083" s="19" t="str">
        <x:v>誓死卫士</x:v>
      </x:c>
      <x:c r="F1083" s="19" t="str">
        <x:v>稀有</x:v>
      </x:c>
      <x:c r="G1083" s="19" t="str">
        <x:v>材料独立候选</x:v>
      </x:c>
      <x:c r="H1083" s="19" t="str">
        <x:v>西境风痕碑拓</x:v>
      </x:c>
      <x:c r="I1083" s="22" t="n">
        <x:v>500000</x:v>
      </x:c>
      <x:c r="J1083" s="22" t="n">
        <x:v>1</x:v>
      </x:c>
      <x:c r="K1083" s="19" t="n">
        <x:v>1</x:v>
      </x:c>
      <x:c r="L1083" s="24" t="n">
        <x:v>17.25</x:v>
      </x:c>
      <x:c r="M1083" s="26" t="n">
        <x:v>0.1</x:v>
      </x:c>
      <x:c r="N1083" s="24" t="n">
        <x:v>10.756455513127815</x:v>
      </x:c>
      <x:c r="O1083" s="28" t="n">
        <x:f>MIN(1,L1083/I1083)</x:f>
        <x:v>0.0000345</x:v>
      </x:c>
      <x:c r="P1083" s="30" t="n">
        <x:f>O1083*J1083*(1+M1083)</x:f>
        <x:v>0.00003795</x:v>
      </x:c>
      <x:c r="Q1083" s="30" t="n">
        <x:f>P1083*N1083</x:f>
        <x:v>0.0004082074867232006</x:v>
      </x:c>
      <x:c r="R1083" s="19" t="str">
        <x:v>独立判定</x:v>
      </x:c>
    </x:row>
    <x:row r="1084" ht="19" customHeight="1">
      <x:c r="A1084" s="19" t="str">
        <x:v>D01080</x:v>
      </x:c>
      <x:c r="B1084" s="19" t="n">
        <x:v>3</x:v>
      </x:c>
      <x:c r="C1084" s="19" t="n">
        <x:v>4</x:v>
      </x:c>
      <x:c r="D1084" s="19" t="str">
        <x:v>C03-M045</x:v>
      </x:c>
      <x:c r="E1084" s="19" t="str">
        <x:v>誓死卫士</x:v>
      </x:c>
      <x:c r="F1084" s="19" t="str">
        <x:v>稀有</x:v>
      </x:c>
      <x:c r="G1084" s="19" t="str">
        <x:v>材料独立候选</x:v>
      </x:c>
      <x:c r="H1084" s="19" t="str">
        <x:v>黄金树芽</x:v>
      </x:c>
      <x:c r="I1084" s="22" t="n">
        <x:v>2000</x:v>
      </x:c>
      <x:c r="J1084" s="22" t="n">
        <x:v>1</x:v>
      </x:c>
      <x:c r="K1084" s="19" t="n">
        <x:v>1</x:v>
      </x:c>
      <x:c r="L1084" s="24" t="n">
        <x:v>17.25</x:v>
      </x:c>
      <x:c r="M1084" s="26" t="n">
        <x:v>0.1</x:v>
      </x:c>
      <x:c r="N1084" s="24" t="n">
        <x:v>10.756455513127815</x:v>
      </x:c>
      <x:c r="O1084" s="28" t="n">
        <x:f>MIN(1,L1084/I1084)</x:f>
        <x:v>0.008625</x:v>
      </x:c>
      <x:c r="P1084" s="30" t="n">
        <x:f>O1084*J1084*(1+M1084)</x:f>
        <x:v>0.009487500000000001</x:v>
      </x:c>
      <x:c r="Q1084" s="30" t="n">
        <x:f>P1084*N1084</x:f>
        <x:v>0.10205187168080015</x:v>
      </x:c>
      <x:c r="R1084" s="19" t="str">
        <x:v>独立判定</x:v>
      </x:c>
    </x:row>
    <x:row r="1085" ht="19" customHeight="1">
      <x:c r="A1085" s="19" t="str">
        <x:v>D01081</x:v>
      </x:c>
      <x:c r="B1085" s="19" t="n">
        <x:v>3</x:v>
      </x:c>
      <x:c r="C1085" s="19" t="n">
        <x:v>4</x:v>
      </x:c>
      <x:c r="D1085" s="19" t="str">
        <x:v>C03-M045</x:v>
      </x:c>
      <x:c r="E1085" s="19" t="str">
        <x:v>誓死卫士</x:v>
      </x:c>
      <x:c r="F1085" s="19" t="str">
        <x:v>稀有</x:v>
      </x:c>
      <x:c r="G1085" s="19" t="str">
        <x:v>材料独立候选</x:v>
      </x:c>
      <x:c r="H1085" s="19" t="str">
        <x:v>野兽骨片</x:v>
      </x:c>
      <x:c r="I1085" s="22" t="n">
        <x:v>80</x:v>
      </x:c>
      <x:c r="J1085" s="22" t="n">
        <x:v>2</x:v>
      </x:c>
      <x:c r="K1085" s="19" t="n">
        <x:v>1</x:v>
      </x:c>
      <x:c r="L1085" s="24" t="n">
        <x:v>17.25</x:v>
      </x:c>
      <x:c r="M1085" s="26" t="n">
        <x:v>0.1</x:v>
      </x:c>
      <x:c r="N1085" s="24" t="n">
        <x:v>10.756455513127815</x:v>
      </x:c>
      <x:c r="O1085" s="28" t="n">
        <x:f>MIN(1,L1085/I1085)</x:f>
        <x:v>0.215625</x:v>
      </x:c>
      <x:c r="P1085" s="30" t="n">
        <x:f>O1085*J1085*(1+M1085)</x:f>
        <x:v>0.47437500000000005</x:v>
      </x:c>
      <x:c r="Q1085" s="30" t="n">
        <x:f>P1085*N1085</x:f>
        <x:v>5.102593584040008</x:v>
      </x:c>
      <x:c r="R1085" s="19" t="str">
        <x:v>独立判定</x:v>
      </x:c>
    </x:row>
    <x:row r="1086" ht="19" customHeight="1">
      <x:c r="A1086" s="19" t="str">
        <x:v>D01082</x:v>
      </x:c>
      <x:c r="B1086" s="19" t="n">
        <x:v>3</x:v>
      </x:c>
      <x:c r="C1086" s="19" t="n">
        <x:v>4</x:v>
      </x:c>
      <x:c r="D1086" s="19" t="str">
        <x:v>C03-M045</x:v>
      </x:c>
      <x:c r="E1086" s="19" t="str">
        <x:v>誓死卫士</x:v>
      </x:c>
      <x:c r="F1086" s="19" t="str">
        <x:v>稀有</x:v>
      </x:c>
      <x:c r="G1086" s="19" t="str">
        <x:v>材料独立候选</x:v>
      </x:c>
      <x:c r="H1086" s="19" t="str">
        <x:v>技能残页</x:v>
      </x:c>
      <x:c r="I1086" s="22" t="n">
        <x:v>180</x:v>
      </x:c>
      <x:c r="J1086" s="22" t="n">
        <x:v>1</x:v>
      </x:c>
      <x:c r="K1086" s="19" t="n">
        <x:v>1</x:v>
      </x:c>
      <x:c r="L1086" s="24" t="n">
        <x:v>17.25</x:v>
      </x:c>
      <x:c r="M1086" s="26" t="n">
        <x:v>0.1</x:v>
      </x:c>
      <x:c r="N1086" s="24" t="n">
        <x:v>10.756455513127815</x:v>
      </x:c>
      <x:c r="O1086" s="28" t="n">
        <x:f>MIN(1,L1086/I1086)</x:f>
        <x:v>0.09583333333333334</x:v>
      </x:c>
      <x:c r="P1086" s="30" t="n">
        <x:f>O1086*J1086*(1+M1086)</x:f>
        <x:v>0.10541666666666669</x:v>
      </x:c>
      <x:c r="Q1086" s="30" t="n">
        <x:f>P1086*N1086</x:f>
        <x:v>1.133909685342224</x:v>
      </x:c>
      <x:c r="R1086" s="19" t="str">
        <x:v>独立判定</x:v>
      </x:c>
    </x:row>
    <x:row r="1087" ht="19" customHeight="1">
      <x:c r="A1087" s="19" t="str">
        <x:v>D01083</x:v>
      </x:c>
      <x:c r="B1087" s="19" t="n">
        <x:v>3</x:v>
      </x:c>
      <x:c r="C1087" s="19" t="n">
        <x:v>4</x:v>
      </x:c>
      <x:c r="D1087" s="19" t="str">
        <x:v>C03-M045</x:v>
      </x:c>
      <x:c r="E1087" s="19" t="str">
        <x:v>誓死卫士</x:v>
      </x:c>
      <x:c r="F1087" s="19" t="str">
        <x:v>稀有</x:v>
      </x:c>
      <x:c r="G1087" s="19" t="str">
        <x:v>材料独立候选</x:v>
      </x:c>
      <x:c r="H1087" s="19" t="str">
        <x:v>小卢恩</x:v>
      </x:c>
      <x:c r="I1087" s="22" t="n">
        <x:v>3000</x:v>
      </x:c>
      <x:c r="J1087" s="22" t="n">
        <x:v>1</x:v>
      </x:c>
      <x:c r="K1087" s="19" t="n">
        <x:v>1</x:v>
      </x:c>
      <x:c r="L1087" s="24" t="n">
        <x:v>17.25</x:v>
      </x:c>
      <x:c r="M1087" s="26" t="n">
        <x:v>0.1</x:v>
      </x:c>
      <x:c r="N1087" s="24" t="n">
        <x:v>10.756455513127815</x:v>
      </x:c>
      <x:c r="O1087" s="28" t="n">
        <x:f>MIN(1,L1087/I1087)</x:f>
        <x:v>0.00575</x:v>
      </x:c>
      <x:c r="P1087" s="30" t="n">
        <x:f>O1087*J1087*(1+M1087)</x:f>
        <x:v>0.006325000000000001</x:v>
      </x:c>
      <x:c r="Q1087" s="30" t="n">
        <x:f>P1087*N1087</x:f>
        <x:v>0.06803458112053344</x:v>
      </x:c>
      <x:c r="R1087" s="19" t="str">
        <x:v>独立判定</x:v>
      </x:c>
    </x:row>
    <x:row r="1088" ht="19" customHeight="1">
      <x:c r="A1088" s="19" t="str">
        <x:v>D01084</x:v>
      </x:c>
      <x:c r="B1088" s="19" t="n">
        <x:v>3</x:v>
      </x:c>
      <x:c r="C1088" s="19" t="n">
        <x:v>4</x:v>
      </x:c>
      <x:c r="D1088" s="19" t="str">
        <x:v>C03-M045</x:v>
      </x:c>
      <x:c r="E1088" s="19" t="str">
        <x:v>誓死卫士</x:v>
      </x:c>
      <x:c r="F1088" s="19" t="str">
        <x:v>稀有</x:v>
      </x:c>
      <x:c r="G1088" s="19" t="str">
        <x:v>六神器公共池</x:v>
      </x:c>
      <x:c r="H1088" s="19" t="str">
        <x:v>POOL006</x:v>
      </x:c>
      <x:c r="I1088" s="22" t="n">
        <x:v>5000000</x:v>
      </x:c>
      <x:c r="J1088" s="22" t="n">
        <x:v>1</x:v>
      </x:c>
      <x:c r="K1088" s="19" t="n">
        <x:v>6</x:v>
      </x:c>
      <x:c r="L1088" s="24" t="n">
        <x:v>17.25</x:v>
      </x:c>
      <x:c r="M1088" s="26" t="n">
        <x:v>0.1</x:v>
      </x:c>
      <x:c r="N1088" s="24" t="n">
        <x:v>10.756455513127815</x:v>
      </x:c>
      <x:c r="O1088" s="28" t="n">
        <x:f>MIN(1,L1088/I1088)</x:f>
        <x:v>0.00000345</x:v>
      </x:c>
      <x:c r="P1088" s="30" t="n">
        <x:f>O1088*J1088*(1+M1088)</x:f>
        <x:v>0.0000037950000000000005</x:v>
      </x:c>
      <x:c r="Q1088" s="30" t="n">
        <x:f>P1088*N1088</x:f>
        <x:v>0.00004082074867232006</x:v>
      </x:c>
      <x:c r="R1088" s="19" t="str">
        <x:v>六选一；非6个独立爆率</x:v>
      </x:c>
    </x:row>
    <x:row r="1089" ht="19" customHeight="1">
      <x:c r="A1089" s="19" t="str">
        <x:v>D01085</x:v>
      </x:c>
      <x:c r="B1089" s="19" t="n">
        <x:v>3</x:v>
      </x:c>
      <x:c r="C1089" s="19" t="n">
        <x:v>4</x:v>
      </x:c>
      <x:c r="D1089" s="19" t="str">
        <x:v>C03-M046</x:v>
      </x:c>
      <x:c r="E1089" s="19" t="str">
        <x:v>祭坛唤魂师</x:v>
      </x:c>
      <x:c r="F1089" s="19" t="str">
        <x:v>稀有</x:v>
      </x:c>
      <x:c r="G1089" s="19" t="str">
        <x:v>自身专属</x:v>
      </x:c>
      <x:c r="H1089" s="19" t="str">
        <x:v>幽坛引魂铃</x:v>
      </x:c>
      <x:c r="I1089" s="22" t="n">
        <x:v>250</x:v>
      </x:c>
      <x:c r="J1089" s="22" t="n">
        <x:v>1</x:v>
      </x:c>
      <x:c r="K1089" s="19" t="n">
        <x:v>1</x:v>
      </x:c>
      <x:c r="L1089" s="24" t="n">
        <x:v>17.25</x:v>
      </x:c>
      <x:c r="M1089" s="26" t="n">
        <x:v>0.1</x:v>
      </x:c>
      <x:c r="N1089" s="24" t="n">
        <x:v>11.951617236808683</x:v>
      </x:c>
      <x:c r="O1089" s="28" t="n">
        <x:f>MIN(1,L1089/I1089)</x:f>
        <x:v>0.069</x:v>
      </x:c>
      <x:c r="P1089" s="30" t="n">
        <x:f>O1089*J1089*(1+M1089)</x:f>
        <x:v>0.07590000000000001</x:v>
      </x:c>
      <x:c r="Q1089" s="30" t="n">
        <x:f>P1089*N1089</x:f>
        <x:v>0.9071277482737792</x:v>
      </x:c>
      <x:c r="R1089" s="19" t="str">
        <x:v>独立判定</x:v>
      </x:c>
    </x:row>
    <x:row r="1090" ht="19" customHeight="1">
      <x:c r="A1090" s="19" t="str">
        <x:v>D01086</x:v>
      </x:c>
      <x:c r="B1090" s="19" t="n">
        <x:v>3</x:v>
      </x:c>
      <x:c r="C1090" s="19" t="n">
        <x:v>4</x:v>
      </x:c>
      <x:c r="D1090" s="19" t="str">
        <x:v>C03-M046</x:v>
      </x:c>
      <x:c r="E1090" s="19" t="str">
        <x:v>祭坛唤魂师</x:v>
      </x:c>
      <x:c r="F1090" s="19" t="str">
        <x:v>稀有</x:v>
      </x:c>
      <x:c r="G1090" s="19" t="str">
        <x:v>材料独立候选</x:v>
      </x:c>
      <x:c r="H1090" s="19" t="str">
        <x:v>风蚀铁片</x:v>
      </x:c>
      <x:c r="I1090" s="22" t="n">
        <x:v>500</x:v>
      </x:c>
      <x:c r="J1090" s="22" t="n">
        <x:v>15</x:v>
      </x:c>
      <x:c r="K1090" s="19" t="n">
        <x:v>1</x:v>
      </x:c>
      <x:c r="L1090" s="24" t="n">
        <x:v>17.25</x:v>
      </x:c>
      <x:c r="M1090" s="26" t="n">
        <x:v>0.1</x:v>
      </x:c>
      <x:c r="N1090" s="24" t="n">
        <x:v>11.951617236808683</x:v>
      </x:c>
      <x:c r="O1090" s="28" t="n">
        <x:f>MIN(1,L1090/I1090)</x:f>
        <x:v>0.0345</x:v>
      </x:c>
      <x:c r="P1090" s="30" t="n">
        <x:f>O1090*J1090*(1+M1090)</x:f>
        <x:v>0.5692500000000001</x:v>
      </x:c>
      <x:c r="Q1090" s="30" t="n">
        <x:f>P1090*N1090</x:f>
        <x:v>6.803458112053344</x:v>
      </x:c>
      <x:c r="R1090" s="19" t="str">
        <x:v>独立判定</x:v>
      </x:c>
    </x:row>
    <x:row r="1091" ht="19" customHeight="1">
      <x:c r="A1091" s="19" t="str">
        <x:v>D01087</x:v>
      </x:c>
      <x:c r="B1091" s="19" t="n">
        <x:v>3</x:v>
      </x:c>
      <x:c r="C1091" s="19" t="n">
        <x:v>4</x:v>
      </x:c>
      <x:c r="D1091" s="19" t="str">
        <x:v>C03-M046</x:v>
      </x:c>
      <x:c r="E1091" s="19" t="str">
        <x:v>祭坛唤魂师</x:v>
      </x:c>
      <x:c r="F1091" s="19" t="str">
        <x:v>稀有</x:v>
      </x:c>
      <x:c r="G1091" s="19" t="str">
        <x:v>材料独立候选</x:v>
      </x:c>
      <x:c r="H1091" s="19" t="str">
        <x:v>西境战旗</x:v>
      </x:c>
      <x:c r="I1091" s="22" t="n">
        <x:v>800</x:v>
      </x:c>
      <x:c r="J1091" s="22" t="n">
        <x:v>1</x:v>
      </x:c>
      <x:c r="K1091" s="19" t="n">
        <x:v>1</x:v>
      </x:c>
      <x:c r="L1091" s="24" t="n">
        <x:v>17.25</x:v>
      </x:c>
      <x:c r="M1091" s="26" t="n">
        <x:v>0.1</x:v>
      </x:c>
      <x:c r="N1091" s="24" t="n">
        <x:v>11.951617236808683</x:v>
      </x:c>
      <x:c r="O1091" s="28" t="n">
        <x:f>MIN(1,L1091/I1091)</x:f>
        <x:v>0.0215625</x:v>
      </x:c>
      <x:c r="P1091" s="30" t="n">
        <x:f>O1091*J1091*(1+M1091)</x:f>
        <x:v>0.02371875</x:v>
      </x:c>
      <x:c r="Q1091" s="30" t="n">
        <x:f>P1091*N1091</x:f>
        <x:v>0.283477421335556</x:v>
      </x:c>
      <x:c r="R1091" s="19" t="str">
        <x:v>独立判定</x:v>
      </x:c>
    </x:row>
    <x:row r="1092" ht="19" customHeight="1">
      <x:c r="A1092" s="19" t="str">
        <x:v>D01088</x:v>
      </x:c>
      <x:c r="B1092" s="19" t="n">
        <x:v>3</x:v>
      </x:c>
      <x:c r="C1092" s="19" t="n">
        <x:v>4</x:v>
      </x:c>
      <x:c r="D1092" s="19" t="str">
        <x:v>C03-M046</x:v>
      </x:c>
      <x:c r="E1092" s="19" t="str">
        <x:v>祭坛唤魂师</x:v>
      </x:c>
      <x:c r="F1092" s="19" t="str">
        <x:v>稀有</x:v>
      </x:c>
      <x:c r="G1092" s="19" t="str">
        <x:v>材料独立候选</x:v>
      </x:c>
      <x:c r="H1092" s="19" t="str">
        <x:v>商队火漆</x:v>
      </x:c>
      <x:c r="I1092" s="22" t="n">
        <x:v>800</x:v>
      </x:c>
      <x:c r="J1092" s="22" t="n">
        <x:v>1</x:v>
      </x:c>
      <x:c r="K1092" s="19" t="n">
        <x:v>1</x:v>
      </x:c>
      <x:c r="L1092" s="24" t="n">
        <x:v>17.25</x:v>
      </x:c>
      <x:c r="M1092" s="26" t="n">
        <x:v>0.1</x:v>
      </x:c>
      <x:c r="N1092" s="24" t="n">
        <x:v>11.951617236808683</x:v>
      </x:c>
      <x:c r="O1092" s="28" t="n">
        <x:f>MIN(1,L1092/I1092)</x:f>
        <x:v>0.0215625</x:v>
      </x:c>
      <x:c r="P1092" s="30" t="n">
        <x:f>O1092*J1092*(1+M1092)</x:f>
        <x:v>0.02371875</x:v>
      </x:c>
      <x:c r="Q1092" s="30" t="n">
        <x:f>P1092*N1092</x:f>
        <x:v>0.283477421335556</x:v>
      </x:c>
      <x:c r="R1092" s="19" t="str">
        <x:v>独立判定</x:v>
      </x:c>
    </x:row>
    <x:row r="1093" ht="19" customHeight="1">
      <x:c r="A1093" s="19" t="str">
        <x:v>D01089</x:v>
      </x:c>
      <x:c r="B1093" s="19" t="n">
        <x:v>3</x:v>
      </x:c>
      <x:c r="C1093" s="19" t="n">
        <x:v>4</x:v>
      </x:c>
      <x:c r="D1093" s="19" t="str">
        <x:v>C03-M046</x:v>
      </x:c>
      <x:c r="E1093" s="19" t="str">
        <x:v>祭坛唤魂师</x:v>
      </x:c>
      <x:c r="F1093" s="19" t="str">
        <x:v>稀有</x:v>
      </x:c>
      <x:c r="G1093" s="19" t="str">
        <x:v>材料独立候选</x:v>
      </x:c>
      <x:c r="H1093" s="19" t="str">
        <x:v>西境风痕碑拓</x:v>
      </x:c>
      <x:c r="I1093" s="22" t="n">
        <x:v>500000</x:v>
      </x:c>
      <x:c r="J1093" s="22" t="n">
        <x:v>1</x:v>
      </x:c>
      <x:c r="K1093" s="19" t="n">
        <x:v>1</x:v>
      </x:c>
      <x:c r="L1093" s="24" t="n">
        <x:v>17.25</x:v>
      </x:c>
      <x:c r="M1093" s="26" t="n">
        <x:v>0.1</x:v>
      </x:c>
      <x:c r="N1093" s="24" t="n">
        <x:v>11.951617236808683</x:v>
      </x:c>
      <x:c r="O1093" s="28" t="n">
        <x:f>MIN(1,L1093/I1093)</x:f>
        <x:v>0.0000345</x:v>
      </x:c>
      <x:c r="P1093" s="30" t="n">
        <x:f>O1093*J1093*(1+M1093)</x:f>
        <x:v>0.00003795</x:v>
      </x:c>
      <x:c r="Q1093" s="30" t="n">
        <x:f>P1093*N1093</x:f>
        <x:v>0.00045356387413688953</x:v>
      </x:c>
      <x:c r="R1093" s="19" t="str">
        <x:v>独立判定</x:v>
      </x:c>
    </x:row>
    <x:row r="1094" ht="19" customHeight="1">
      <x:c r="A1094" s="19" t="str">
        <x:v>D01090</x:v>
      </x:c>
      <x:c r="B1094" s="19" t="n">
        <x:v>3</x:v>
      </x:c>
      <x:c r="C1094" s="19" t="n">
        <x:v>4</x:v>
      </x:c>
      <x:c r="D1094" s="19" t="str">
        <x:v>C03-M046</x:v>
      </x:c>
      <x:c r="E1094" s="19" t="str">
        <x:v>祭坛唤魂师</x:v>
      </x:c>
      <x:c r="F1094" s="19" t="str">
        <x:v>稀有</x:v>
      </x:c>
      <x:c r="G1094" s="19" t="str">
        <x:v>材料独立候选</x:v>
      </x:c>
      <x:c r="H1094" s="19" t="str">
        <x:v>黄金树芽</x:v>
      </x:c>
      <x:c r="I1094" s="22" t="n">
        <x:v>2000</x:v>
      </x:c>
      <x:c r="J1094" s="22" t="n">
        <x:v>1</x:v>
      </x:c>
      <x:c r="K1094" s="19" t="n">
        <x:v>1</x:v>
      </x:c>
      <x:c r="L1094" s="24" t="n">
        <x:v>17.25</x:v>
      </x:c>
      <x:c r="M1094" s="26" t="n">
        <x:v>0.1</x:v>
      </x:c>
      <x:c r="N1094" s="24" t="n">
        <x:v>11.951617236808683</x:v>
      </x:c>
      <x:c r="O1094" s="28" t="n">
        <x:f>MIN(1,L1094/I1094)</x:f>
        <x:v>0.008625</x:v>
      </x:c>
      <x:c r="P1094" s="30" t="n">
        <x:f>O1094*J1094*(1+M1094)</x:f>
        <x:v>0.009487500000000001</x:v>
      </x:c>
      <x:c r="Q1094" s="30" t="n">
        <x:f>P1094*N1094</x:f>
        <x:v>0.1133909685342224</x:v>
      </x:c>
      <x:c r="R1094" s="19" t="str">
        <x:v>独立判定</x:v>
      </x:c>
    </x:row>
    <x:row r="1095" ht="19" customHeight="1">
      <x:c r="A1095" s="19" t="str">
        <x:v>D01091</x:v>
      </x:c>
      <x:c r="B1095" s="19" t="n">
        <x:v>3</x:v>
      </x:c>
      <x:c r="C1095" s="19" t="n">
        <x:v>4</x:v>
      </x:c>
      <x:c r="D1095" s="19" t="str">
        <x:v>C03-M046</x:v>
      </x:c>
      <x:c r="E1095" s="19" t="str">
        <x:v>祭坛唤魂师</x:v>
      </x:c>
      <x:c r="F1095" s="19" t="str">
        <x:v>稀有</x:v>
      </x:c>
      <x:c r="G1095" s="19" t="str">
        <x:v>材料独立候选</x:v>
      </x:c>
      <x:c r="H1095" s="19" t="str">
        <x:v>野兽骨片</x:v>
      </x:c>
      <x:c r="I1095" s="22" t="n">
        <x:v>80</x:v>
      </x:c>
      <x:c r="J1095" s="22" t="n">
        <x:v>2</x:v>
      </x:c>
      <x:c r="K1095" s="19" t="n">
        <x:v>1</x:v>
      </x:c>
      <x:c r="L1095" s="24" t="n">
        <x:v>17.25</x:v>
      </x:c>
      <x:c r="M1095" s="26" t="n">
        <x:v>0.1</x:v>
      </x:c>
      <x:c r="N1095" s="24" t="n">
        <x:v>11.951617236808683</x:v>
      </x:c>
      <x:c r="O1095" s="28" t="n">
        <x:f>MIN(1,L1095/I1095)</x:f>
        <x:v>0.215625</x:v>
      </x:c>
      <x:c r="P1095" s="30" t="n">
        <x:f>O1095*J1095*(1+M1095)</x:f>
        <x:v>0.47437500000000005</x:v>
      </x:c>
      <x:c r="Q1095" s="30" t="n">
        <x:f>P1095*N1095</x:f>
        <x:v>5.66954842671112</x:v>
      </x:c>
      <x:c r="R1095" s="19" t="str">
        <x:v>独立判定</x:v>
      </x:c>
    </x:row>
    <x:row r="1096" ht="19" customHeight="1">
      <x:c r="A1096" s="19" t="str">
        <x:v>D01092</x:v>
      </x:c>
      <x:c r="B1096" s="19" t="n">
        <x:v>3</x:v>
      </x:c>
      <x:c r="C1096" s="19" t="n">
        <x:v>4</x:v>
      </x:c>
      <x:c r="D1096" s="19" t="str">
        <x:v>C03-M046</x:v>
      </x:c>
      <x:c r="E1096" s="19" t="str">
        <x:v>祭坛唤魂师</x:v>
      </x:c>
      <x:c r="F1096" s="19" t="str">
        <x:v>稀有</x:v>
      </x:c>
      <x:c r="G1096" s="19" t="str">
        <x:v>材料独立候选</x:v>
      </x:c>
      <x:c r="H1096" s="19" t="str">
        <x:v>技能残页</x:v>
      </x:c>
      <x:c r="I1096" s="22" t="n">
        <x:v>180</x:v>
      </x:c>
      <x:c r="J1096" s="22" t="n">
        <x:v>1</x:v>
      </x:c>
      <x:c r="K1096" s="19" t="n">
        <x:v>1</x:v>
      </x:c>
      <x:c r="L1096" s="24" t="n">
        <x:v>17.25</x:v>
      </x:c>
      <x:c r="M1096" s="26" t="n">
        <x:v>0.1</x:v>
      </x:c>
      <x:c r="N1096" s="24" t="n">
        <x:v>11.951617236808683</x:v>
      </x:c>
      <x:c r="O1096" s="28" t="n">
        <x:f>MIN(1,L1096/I1096)</x:f>
        <x:v>0.09583333333333334</x:v>
      </x:c>
      <x:c r="P1096" s="30" t="n">
        <x:f>O1096*J1096*(1+M1096)</x:f>
        <x:v>0.10541666666666669</x:v>
      </x:c>
      <x:c r="Q1096" s="30" t="n">
        <x:f>P1096*N1096</x:f>
        <x:v>1.2598996503802489</x:v>
      </x:c>
      <x:c r="R1096" s="19" t="str">
        <x:v>独立判定</x:v>
      </x:c>
    </x:row>
    <x:row r="1097" ht="19" customHeight="1">
      <x:c r="A1097" s="19" t="str">
        <x:v>D01093</x:v>
      </x:c>
      <x:c r="B1097" s="19" t="n">
        <x:v>3</x:v>
      </x:c>
      <x:c r="C1097" s="19" t="n">
        <x:v>4</x:v>
      </x:c>
      <x:c r="D1097" s="19" t="str">
        <x:v>C03-M046</x:v>
      </x:c>
      <x:c r="E1097" s="19" t="str">
        <x:v>祭坛唤魂师</x:v>
      </x:c>
      <x:c r="F1097" s="19" t="str">
        <x:v>稀有</x:v>
      </x:c>
      <x:c r="G1097" s="19" t="str">
        <x:v>材料独立候选</x:v>
      </x:c>
      <x:c r="H1097" s="19" t="str">
        <x:v>小卢恩</x:v>
      </x:c>
      <x:c r="I1097" s="22" t="n">
        <x:v>3000</x:v>
      </x:c>
      <x:c r="J1097" s="22" t="n">
        <x:v>1</x:v>
      </x:c>
      <x:c r="K1097" s="19" t="n">
        <x:v>1</x:v>
      </x:c>
      <x:c r="L1097" s="24" t="n">
        <x:v>17.25</x:v>
      </x:c>
      <x:c r="M1097" s="26" t="n">
        <x:v>0.1</x:v>
      </x:c>
      <x:c r="N1097" s="24" t="n">
        <x:v>11.951617236808683</x:v>
      </x:c>
      <x:c r="O1097" s="28" t="n">
        <x:f>MIN(1,L1097/I1097)</x:f>
        <x:v>0.00575</x:v>
      </x:c>
      <x:c r="P1097" s="30" t="n">
        <x:f>O1097*J1097*(1+M1097)</x:f>
        <x:v>0.006325000000000001</x:v>
      </x:c>
      <x:c r="Q1097" s="30" t="n">
        <x:f>P1097*N1097</x:f>
        <x:v>0.07559397902281494</x:v>
      </x:c>
      <x:c r="R1097" s="19" t="str">
        <x:v>独立判定</x:v>
      </x:c>
    </x:row>
    <x:row r="1098" ht="19" customHeight="1">
      <x:c r="A1098" s="19" t="str">
        <x:v>D01094</x:v>
      </x:c>
      <x:c r="B1098" s="19" t="n">
        <x:v>3</x:v>
      </x:c>
      <x:c r="C1098" s="19" t="n">
        <x:v>4</x:v>
      </x:c>
      <x:c r="D1098" s="19" t="str">
        <x:v>C03-M046</x:v>
      </x:c>
      <x:c r="E1098" s="19" t="str">
        <x:v>祭坛唤魂师</x:v>
      </x:c>
      <x:c r="F1098" s="19" t="str">
        <x:v>稀有</x:v>
      </x:c>
      <x:c r="G1098" s="19" t="str">
        <x:v>六神器公共池</x:v>
      </x:c>
      <x:c r="H1098" s="19" t="str">
        <x:v>POOL006</x:v>
      </x:c>
      <x:c r="I1098" s="22" t="n">
        <x:v>5000000</x:v>
      </x:c>
      <x:c r="J1098" s="22" t="n">
        <x:v>1</x:v>
      </x:c>
      <x:c r="K1098" s="19" t="n">
        <x:v>6</x:v>
      </x:c>
      <x:c r="L1098" s="24" t="n">
        <x:v>17.25</x:v>
      </x:c>
      <x:c r="M1098" s="26" t="n">
        <x:v>0.1</x:v>
      </x:c>
      <x:c r="N1098" s="24" t="n">
        <x:v>11.951617236808683</x:v>
      </x:c>
      <x:c r="O1098" s="28" t="n">
        <x:f>MIN(1,L1098/I1098)</x:f>
        <x:v>0.00000345</x:v>
      </x:c>
      <x:c r="P1098" s="30" t="n">
        <x:f>O1098*J1098*(1+M1098)</x:f>
        <x:v>0.0000037950000000000005</x:v>
      </x:c>
      <x:c r="Q1098" s="30" t="n">
        <x:f>P1098*N1098</x:f>
        <x:v>0.00004535638741368896</x:v>
      </x:c>
      <x:c r="R1098" s="19" t="str">
        <x:v>六选一；非6个独立爆率</x:v>
      </x:c>
    </x:row>
    <x:row r="1099" ht="19" customHeight="1">
      <x:c r="A1099" s="19" t="str">
        <x:v>D01095</x:v>
      </x:c>
      <x:c r="B1099" s="19" t="n">
        <x:v>3</x:v>
      </x:c>
      <x:c r="C1099" s="19" t="n">
        <x:v>4</x:v>
      </x:c>
      <x:c r="D1099" s="19" t="str">
        <x:v>C03-M047</x:v>
      </x:c>
      <x:c r="E1099" s="19" t="str">
        <x:v>古战将·雷戈</x:v>
      </x:c>
      <x:c r="F1099" s="19" t="str">
        <x:v>地图BOSS</x:v>
      </x:c>
      <x:c r="G1099" s="19" t="str">
        <x:v>自身专属</x:v>
      </x:c>
      <x:c r="H1099" s="19" t="str">
        <x:v>雷戈古戟</x:v>
      </x:c>
      <x:c r="I1099" s="22" t="n">
        <x:v>40</x:v>
      </x:c>
      <x:c r="J1099" s="22" t="n">
        <x:v>1</x:v>
      </x:c>
      <x:c r="K1099" s="19" t="n">
        <x:v>1</x:v>
      </x:c>
      <x:c r="L1099" s="24" t="n">
        <x:v>17.25</x:v>
      </x:c>
      <x:c r="M1099" s="26" t="n">
        <x:v>0.1</x:v>
      </x:c>
      <x:c r="N1099" s="24" t="n">
        <x:v>2</x:v>
      </x:c>
      <x:c r="O1099" s="28" t="n">
        <x:f>MIN(1,L1099/I1099)</x:f>
        <x:v>0.43125</x:v>
      </x:c>
      <x:c r="P1099" s="30" t="n">
        <x:f>O1099*J1099*(1+M1099)</x:f>
        <x:v>0.47437500000000005</x:v>
      </x:c>
      <x:c r="Q1099" s="30" t="n">
        <x:f>P1099*N1099</x:f>
        <x:v>0.9487500000000001</x:v>
      </x:c>
      <x:c r="R1099" s="19" t="str">
        <x:v>独立判定</x:v>
      </x:c>
    </x:row>
    <x:row r="1100" ht="19" customHeight="1">
      <x:c r="A1100" s="19" t="str">
        <x:v>D01096</x:v>
      </x:c>
      <x:c r="B1100" s="19" t="n">
        <x:v>3</x:v>
      </x:c>
      <x:c r="C1100" s="19" t="n">
        <x:v>4</x:v>
      </x:c>
      <x:c r="D1100" s="19" t="str">
        <x:v>C03-M047</x:v>
      </x:c>
      <x:c r="E1100" s="19" t="str">
        <x:v>古战将·雷戈</x:v>
      </x:c>
      <x:c r="F1100" s="19" t="str">
        <x:v>地图BOSS</x:v>
      </x:c>
      <x:c r="G1100" s="19" t="str">
        <x:v>本图普通兼掉候选</x:v>
      </x:c>
      <x:c r="H1100" s="19" t="str">
        <x:v>POOL018</x:v>
      </x:c>
      <x:c r="I1100" s="22" t="n">
        <x:v>40</x:v>
      </x:c>
      <x:c r="J1100" s="22" t="n">
        <x:v>1</x:v>
      </x:c>
      <x:c r="K1100" s="19" t="n">
        <x:v>2</x:v>
      </x:c>
      <x:c r="L1100" s="24" t="n">
        <x:v>17.25</x:v>
      </x:c>
      <x:c r="M1100" s="26" t="n">
        <x:v>0.1</x:v>
      </x:c>
      <x:c r="N1100" s="24" t="n">
        <x:v>2</x:v>
      </x:c>
      <x:c r="O1100" s="28" t="n">
        <x:f>MIN(1,L1100/I1100)</x:f>
        <x:v>0.43125</x:v>
      </x:c>
      <x:c r="P1100" s="30" t="n">
        <x:f>O1100*J1100*(1+M1100)</x:f>
        <x:v>0.47437500000000005</x:v>
      </x:c>
      <x:c r="Q1100" s="30" t="n">
        <x:f>P1100*N1100</x:f>
        <x:v>0.9487500000000001</x:v>
      </x:c>
      <x:c r="R1100" s="19" t="str">
        <x:v>单池选一</x:v>
      </x:c>
    </x:row>
    <x:row r="1101" ht="19" customHeight="1">
      <x:c r="A1101" s="19" t="str">
        <x:v>D01097</x:v>
      </x:c>
      <x:c r="B1101" s="19" t="n">
        <x:v>3</x:v>
      </x:c>
      <x:c r="C1101" s="19" t="n">
        <x:v>4</x:v>
      </x:c>
      <x:c r="D1101" s="19" t="str">
        <x:v>C03-M047</x:v>
      </x:c>
      <x:c r="E1101" s="19" t="str">
        <x:v>古战将·雷戈</x:v>
      </x:c>
      <x:c r="F1101" s="19" t="str">
        <x:v>地图BOSS</x:v>
      </x:c>
      <x:c r="G1101" s="19" t="str">
        <x:v>材料独立候选</x:v>
      </x:c>
      <x:c r="H1101" s="19" t="str">
        <x:v>风蚀铁片</x:v>
      </x:c>
      <x:c r="I1101" s="22" t="n">
        <x:v>300</x:v>
      </x:c>
      <x:c r="J1101" s="22" t="n">
        <x:v>30</x:v>
      </x:c>
      <x:c r="K1101" s="19" t="n">
        <x:v>1</x:v>
      </x:c>
      <x:c r="L1101" s="24" t="n">
        <x:v>17.25</x:v>
      </x:c>
      <x:c r="M1101" s="26" t="n">
        <x:v>0.1</x:v>
      </x:c>
      <x:c r="N1101" s="24" t="n">
        <x:v>2</x:v>
      </x:c>
      <x:c r="O1101" s="28" t="n">
        <x:f>MIN(1,L1101/I1101)</x:f>
        <x:v>0.0575</x:v>
      </x:c>
      <x:c r="P1101" s="30" t="n">
        <x:f>O1101*J1101*(1+M1101)</x:f>
        <x:v>1.8975000000000002</x:v>
      </x:c>
      <x:c r="Q1101" s="30" t="n">
        <x:f>P1101*N1101</x:f>
        <x:v>3.7950000000000004</x:v>
      </x:c>
      <x:c r="R1101" s="19" t="str">
        <x:v>独立判定</x:v>
      </x:c>
    </x:row>
    <x:row r="1102" ht="19" customHeight="1">
      <x:c r="A1102" s="19" t="str">
        <x:v>D01098</x:v>
      </x:c>
      <x:c r="B1102" s="19" t="n">
        <x:v>3</x:v>
      </x:c>
      <x:c r="C1102" s="19" t="n">
        <x:v>4</x:v>
      </x:c>
      <x:c r="D1102" s="19" t="str">
        <x:v>C03-M047</x:v>
      </x:c>
      <x:c r="E1102" s="19" t="str">
        <x:v>古战将·雷戈</x:v>
      </x:c>
      <x:c r="F1102" s="19" t="str">
        <x:v>地图BOSS</x:v>
      </x:c>
      <x:c r="G1102" s="19" t="str">
        <x:v>材料独立候选</x:v>
      </x:c>
      <x:c r="H1102" s="19" t="str">
        <x:v>西境战旗</x:v>
      </x:c>
      <x:c r="I1102" s="22" t="n">
        <x:v>400</x:v>
      </x:c>
      <x:c r="J1102" s="22" t="n">
        <x:v>1</x:v>
      </x:c>
      <x:c r="K1102" s="19" t="n">
        <x:v>1</x:v>
      </x:c>
      <x:c r="L1102" s="24" t="n">
        <x:v>17.25</x:v>
      </x:c>
      <x:c r="M1102" s="26" t="n">
        <x:v>0.1</x:v>
      </x:c>
      <x:c r="N1102" s="24" t="n">
        <x:v>2</x:v>
      </x:c>
      <x:c r="O1102" s="28" t="n">
        <x:f>MIN(1,L1102/I1102)</x:f>
        <x:v>0.043125</x:v>
      </x:c>
      <x:c r="P1102" s="30" t="n">
        <x:f>O1102*J1102*(1+M1102)</x:f>
        <x:v>0.0474375</x:v>
      </x:c>
      <x:c r="Q1102" s="30" t="n">
        <x:f>P1102*N1102</x:f>
        <x:v>0.094875</x:v>
      </x:c>
      <x:c r="R1102" s="19" t="str">
        <x:v>独立判定</x:v>
      </x:c>
    </x:row>
    <x:row r="1103" ht="19" customHeight="1">
      <x:c r="A1103" s="19" t="str">
        <x:v>D01099</x:v>
      </x:c>
      <x:c r="B1103" s="19" t="n">
        <x:v>3</x:v>
      </x:c>
      <x:c r="C1103" s="19" t="n">
        <x:v>4</x:v>
      </x:c>
      <x:c r="D1103" s="19" t="str">
        <x:v>C03-M047</x:v>
      </x:c>
      <x:c r="E1103" s="19" t="str">
        <x:v>古战将·雷戈</x:v>
      </x:c>
      <x:c r="F1103" s="19" t="str">
        <x:v>地图BOSS</x:v>
      </x:c>
      <x:c r="G1103" s="19" t="str">
        <x:v>材料独立候选</x:v>
      </x:c>
      <x:c r="H1103" s="19" t="str">
        <x:v>西境战旗印</x:v>
      </x:c>
      <x:c r="I1103" s="22" t="n">
        <x:v>120</x:v>
      </x:c>
      <x:c r="J1103" s="22" t="n">
        <x:v>2</x:v>
      </x:c>
      <x:c r="K1103" s="19" t="n">
        <x:v>1</x:v>
      </x:c>
      <x:c r="L1103" s="24" t="n">
        <x:v>17.25</x:v>
      </x:c>
      <x:c r="M1103" s="26" t="n">
        <x:v>0.1</x:v>
      </x:c>
      <x:c r="N1103" s="24" t="n">
        <x:v>2</x:v>
      </x:c>
      <x:c r="O1103" s="28" t="n">
        <x:f>MIN(1,L1103/I1103)</x:f>
        <x:v>0.14375</x:v>
      </x:c>
      <x:c r="P1103" s="30" t="n">
        <x:f>O1103*J1103*(1+M1103)</x:f>
        <x:v>0.31625</x:v>
      </x:c>
      <x:c r="Q1103" s="30" t="n">
        <x:f>P1103*N1103</x:f>
        <x:v>0.6325</x:v>
      </x:c>
      <x:c r="R1103" s="19" t="str">
        <x:v>独立判定</x:v>
      </x:c>
    </x:row>
    <x:row r="1104" ht="19" customHeight="1">
      <x:c r="A1104" s="19" t="str">
        <x:v>D01100</x:v>
      </x:c>
      <x:c r="B1104" s="19" t="n">
        <x:v>3</x:v>
      </x:c>
      <x:c r="C1104" s="19" t="n">
        <x:v>4</x:v>
      </x:c>
      <x:c r="D1104" s="19" t="str">
        <x:v>C03-M047</x:v>
      </x:c>
      <x:c r="E1104" s="19" t="str">
        <x:v>古战将·雷戈</x:v>
      </x:c>
      <x:c r="F1104" s="19" t="str">
        <x:v>地图BOSS</x:v>
      </x:c>
      <x:c r="G1104" s="19" t="str">
        <x:v>材料独立候选</x:v>
      </x:c>
      <x:c r="H1104" s="19" t="str">
        <x:v>守垒铜钥</x:v>
      </x:c>
      <x:c r="I1104" s="22" t="n">
        <x:v>120</x:v>
      </x:c>
      <x:c r="J1104" s="22" t="n">
        <x:v>1</x:v>
      </x:c>
      <x:c r="K1104" s="19" t="n">
        <x:v>1</x:v>
      </x:c>
      <x:c r="L1104" s="24" t="n">
        <x:v>17.25</x:v>
      </x:c>
      <x:c r="M1104" s="26" t="n">
        <x:v>0.1</x:v>
      </x:c>
      <x:c r="N1104" s="24" t="n">
        <x:v>2</x:v>
      </x:c>
      <x:c r="O1104" s="28" t="n">
        <x:f>MIN(1,L1104/I1104)</x:f>
        <x:v>0.14375</x:v>
      </x:c>
      <x:c r="P1104" s="30" t="n">
        <x:f>O1104*J1104*(1+M1104)</x:f>
        <x:v>0.158125</x:v>
      </x:c>
      <x:c r="Q1104" s="30" t="n">
        <x:f>P1104*N1104</x:f>
        <x:v>0.31625</x:v>
      </x:c>
      <x:c r="R1104" s="19" t="str">
        <x:v>独立判定</x:v>
      </x:c>
    </x:row>
    <x:row r="1105" ht="19" customHeight="1">
      <x:c r="A1105" s="19" t="str">
        <x:v>D01101</x:v>
      </x:c>
      <x:c r="B1105" s="19" t="n">
        <x:v>3</x:v>
      </x:c>
      <x:c r="C1105" s="19" t="n">
        <x:v>4</x:v>
      </x:c>
      <x:c r="D1105" s="19" t="str">
        <x:v>C03-M047</x:v>
      </x:c>
      <x:c r="E1105" s="19" t="str">
        <x:v>古战将·雷戈</x:v>
      </x:c>
      <x:c r="F1105" s="19" t="str">
        <x:v>地图BOSS</x:v>
      </x:c>
      <x:c r="G1105" s="19" t="str">
        <x:v>材料独立候选</x:v>
      </x:c>
      <x:c r="H1105" s="19" t="str">
        <x:v>西境风痕碑拓</x:v>
      </x:c>
      <x:c r="I1105" s="22" t="n">
        <x:v>250000</x:v>
      </x:c>
      <x:c r="J1105" s="22" t="n">
        <x:v>1</x:v>
      </x:c>
      <x:c r="K1105" s="19" t="n">
        <x:v>1</x:v>
      </x:c>
      <x:c r="L1105" s="24" t="n">
        <x:v>17.25</x:v>
      </x:c>
      <x:c r="M1105" s="26" t="n">
        <x:v>0.1</x:v>
      </x:c>
      <x:c r="N1105" s="24" t="n">
        <x:v>2</x:v>
      </x:c>
      <x:c r="O1105" s="28" t="n">
        <x:f>MIN(1,L1105/I1105)</x:f>
        <x:v>0.000069</x:v>
      </x:c>
      <x:c r="P1105" s="30" t="n">
        <x:f>O1105*J1105*(1+M1105)</x:f>
        <x:v>0.0000759</x:v>
      </x:c>
      <x:c r="Q1105" s="30" t="n">
        <x:f>P1105*N1105</x:f>
        <x:v>0.0001518</x:v>
      </x:c>
      <x:c r="R1105" s="19" t="str">
        <x:v>独立判定</x:v>
      </x:c>
    </x:row>
    <x:row r="1106" ht="19" customHeight="1">
      <x:c r="A1106" s="19" t="str">
        <x:v>D01102</x:v>
      </x:c>
      <x:c r="B1106" s="19" t="n">
        <x:v>3</x:v>
      </x:c>
      <x:c r="C1106" s="19" t="n">
        <x:v>4</x:v>
      </x:c>
      <x:c r="D1106" s="19" t="str">
        <x:v>C03-M047</x:v>
      </x:c>
      <x:c r="E1106" s="19" t="str">
        <x:v>古战将·雷戈</x:v>
      </x:c>
      <x:c r="F1106" s="19" t="str">
        <x:v>地图BOSS</x:v>
      </x:c>
      <x:c r="G1106" s="19" t="str">
        <x:v>材料独立候选</x:v>
      </x:c>
      <x:c r="H1106" s="19" t="str">
        <x:v>黄金树芽</x:v>
      </x:c>
      <x:c r="I1106" s="22" t="n">
        <x:v>1000</x:v>
      </x:c>
      <x:c r="J1106" s="22" t="n">
        <x:v>1</x:v>
      </x:c>
      <x:c r="K1106" s="19" t="n">
        <x:v>1</x:v>
      </x:c>
      <x:c r="L1106" s="24" t="n">
        <x:v>17.25</x:v>
      </x:c>
      <x:c r="M1106" s="26" t="n">
        <x:v>0.1</x:v>
      </x:c>
      <x:c r="N1106" s="24" t="n">
        <x:v>2</x:v>
      </x:c>
      <x:c r="O1106" s="28" t="n">
        <x:f>MIN(1,L1106/I1106)</x:f>
        <x:v>0.01725</x:v>
      </x:c>
      <x:c r="P1106" s="30" t="n">
        <x:f>O1106*J1106*(1+M1106)</x:f>
        <x:v>0.018975000000000002</x:v>
      </x:c>
      <x:c r="Q1106" s="30" t="n">
        <x:f>P1106*N1106</x:f>
        <x:v>0.037950000000000005</x:v>
      </x:c>
      <x:c r="R1106" s="19" t="str">
        <x:v>独立判定</x:v>
      </x:c>
    </x:row>
    <x:row r="1107" ht="19" customHeight="1">
      <x:c r="A1107" s="19" t="str">
        <x:v>D01103</x:v>
      </x:c>
      <x:c r="B1107" s="19" t="n">
        <x:v>3</x:v>
      </x:c>
      <x:c r="C1107" s="19" t="n">
        <x:v>4</x:v>
      </x:c>
      <x:c r="D1107" s="19" t="str">
        <x:v>C03-M047</x:v>
      </x:c>
      <x:c r="E1107" s="19" t="str">
        <x:v>古战将·雷戈</x:v>
      </x:c>
      <x:c r="F1107" s="19" t="str">
        <x:v>地图BOSS</x:v>
      </x:c>
      <x:c r="G1107" s="19" t="str">
        <x:v>材料独立候选</x:v>
      </x:c>
      <x:c r="H1107" s="19" t="str">
        <x:v>野兽骨片</x:v>
      </x:c>
      <x:c r="I1107" s="22" t="n">
        <x:v>40</x:v>
      </x:c>
      <x:c r="J1107" s="22" t="n">
        <x:v>2</x:v>
      </x:c>
      <x:c r="K1107" s="19" t="n">
        <x:v>1</x:v>
      </x:c>
      <x:c r="L1107" s="24" t="n">
        <x:v>17.25</x:v>
      </x:c>
      <x:c r="M1107" s="26" t="n">
        <x:v>0.1</x:v>
      </x:c>
      <x:c r="N1107" s="24" t="n">
        <x:v>2</x:v>
      </x:c>
      <x:c r="O1107" s="28" t="n">
        <x:f>MIN(1,L1107/I1107)</x:f>
        <x:v>0.43125</x:v>
      </x:c>
      <x:c r="P1107" s="30" t="n">
        <x:f>O1107*J1107*(1+M1107)</x:f>
        <x:v>0.9487500000000001</x:v>
      </x:c>
      <x:c r="Q1107" s="30" t="n">
        <x:f>P1107*N1107</x:f>
        <x:v>1.8975000000000002</x:v>
      </x:c>
      <x:c r="R1107" s="19" t="str">
        <x:v>独立判定</x:v>
      </x:c>
    </x:row>
    <x:row r="1108" ht="19" customHeight="1">
      <x:c r="A1108" s="19" t="str">
        <x:v>D01104</x:v>
      </x:c>
      <x:c r="B1108" s="19" t="n">
        <x:v>3</x:v>
      </x:c>
      <x:c r="C1108" s="19" t="n">
        <x:v>4</x:v>
      </x:c>
      <x:c r="D1108" s="19" t="str">
        <x:v>C03-M047</x:v>
      </x:c>
      <x:c r="E1108" s="19" t="str">
        <x:v>古战将·雷戈</x:v>
      </x:c>
      <x:c r="F1108" s="19" t="str">
        <x:v>地图BOSS</x:v>
      </x:c>
      <x:c r="G1108" s="19" t="str">
        <x:v>材料独立候选</x:v>
      </x:c>
      <x:c r="H1108" s="19" t="str">
        <x:v>技能残页</x:v>
      </x:c>
      <x:c r="I1108" s="22" t="n">
        <x:v>100</x:v>
      </x:c>
      <x:c r="J1108" s="22" t="n">
        <x:v>1</x:v>
      </x:c>
      <x:c r="K1108" s="19" t="n">
        <x:v>1</x:v>
      </x:c>
      <x:c r="L1108" s="24" t="n">
        <x:v>17.25</x:v>
      </x:c>
      <x:c r="M1108" s="26" t="n">
        <x:v>0.1</x:v>
      </x:c>
      <x:c r="N1108" s="24" t="n">
        <x:v>2</x:v>
      </x:c>
      <x:c r="O1108" s="28" t="n">
        <x:f>MIN(1,L1108/I1108)</x:f>
        <x:v>0.1725</x:v>
      </x:c>
      <x:c r="P1108" s="30" t="n">
        <x:f>O1108*J1108*(1+M1108)</x:f>
        <x:v>0.18975</x:v>
      </x:c>
      <x:c r="Q1108" s="30" t="n">
        <x:f>P1108*N1108</x:f>
        <x:v>0.3795</x:v>
      </x:c>
      <x:c r="R1108" s="19" t="str">
        <x:v>独立判定</x:v>
      </x:c>
    </x:row>
    <x:row r="1109" ht="19" customHeight="1">
      <x:c r="A1109" s="19" t="str">
        <x:v>D01105</x:v>
      </x:c>
      <x:c r="B1109" s="19" t="n">
        <x:v>3</x:v>
      </x:c>
      <x:c r="C1109" s="19" t="n">
        <x:v>4</x:v>
      </x:c>
      <x:c r="D1109" s="19" t="str">
        <x:v>C03-M047</x:v>
      </x:c>
      <x:c r="E1109" s="19" t="str">
        <x:v>古战将·雷戈</x:v>
      </x:c>
      <x:c r="F1109" s="19" t="str">
        <x:v>地图BOSS</x:v>
      </x:c>
      <x:c r="G1109" s="19" t="str">
        <x:v>材料独立候选</x:v>
      </x:c>
      <x:c r="H1109" s="19" t="str">
        <x:v>宁姆格福誓页</x:v>
      </x:c>
      <x:c r="I1109" s="22" t="n">
        <x:v>200</x:v>
      </x:c>
      <x:c r="J1109" s="22" t="n">
        <x:v>1</x:v>
      </x:c>
      <x:c r="K1109" s="19" t="n">
        <x:v>1</x:v>
      </x:c>
      <x:c r="L1109" s="24" t="n">
        <x:v>17.25</x:v>
      </x:c>
      <x:c r="M1109" s="26" t="n">
        <x:v>0.1</x:v>
      </x:c>
      <x:c r="N1109" s="24" t="n">
        <x:v>2</x:v>
      </x:c>
      <x:c r="O1109" s="28" t="n">
        <x:f>MIN(1,L1109/I1109)</x:f>
        <x:v>0.08625</x:v>
      </x:c>
      <x:c r="P1109" s="30" t="n">
        <x:f>O1109*J1109*(1+M1109)</x:f>
        <x:v>0.094875</x:v>
      </x:c>
      <x:c r="Q1109" s="30" t="n">
        <x:f>P1109*N1109</x:f>
        <x:v>0.18975</x:v>
      </x:c>
      <x:c r="R1109" s="19" t="str">
        <x:v>独立判定</x:v>
      </x:c>
    </x:row>
    <x:row r="1110" ht="19" customHeight="1">
      <x:c r="A1110" s="19" t="str">
        <x:v>D01106</x:v>
      </x:c>
      <x:c r="B1110" s="19" t="n">
        <x:v>3</x:v>
      </x:c>
      <x:c r="C1110" s="19" t="n">
        <x:v>4</x:v>
      </x:c>
      <x:c r="D1110" s="19" t="str">
        <x:v>C03-M047</x:v>
      </x:c>
      <x:c r="E1110" s="19" t="str">
        <x:v>古战将·雷戈</x:v>
      </x:c>
      <x:c r="F1110" s="19" t="str">
        <x:v>地图BOSS</x:v>
      </x:c>
      <x:c r="G1110" s="19" t="str">
        <x:v>材料独立候选</x:v>
      </x:c>
      <x:c r="H1110" s="19" t="str">
        <x:v>小卢恩</x:v>
      </x:c>
      <x:c r="I1110" s="22" t="n">
        <x:v>1500</x:v>
      </x:c>
      <x:c r="J1110" s="22" t="n">
        <x:v>1</x:v>
      </x:c>
      <x:c r="K1110" s="19" t="n">
        <x:v>1</x:v>
      </x:c>
      <x:c r="L1110" s="24" t="n">
        <x:v>17.25</x:v>
      </x:c>
      <x:c r="M1110" s="26" t="n">
        <x:v>0.1</x:v>
      </x:c>
      <x:c r="N1110" s="24" t="n">
        <x:v>2</x:v>
      </x:c>
      <x:c r="O1110" s="28" t="n">
        <x:f>MIN(1,L1110/I1110)</x:f>
        <x:v>0.0115</x:v>
      </x:c>
      <x:c r="P1110" s="30" t="n">
        <x:f>O1110*J1110*(1+M1110)</x:f>
        <x:v>0.012650000000000002</x:v>
      </x:c>
      <x:c r="Q1110" s="30" t="n">
        <x:f>P1110*N1110</x:f>
        <x:v>0.025300000000000003</x:v>
      </x:c>
      <x:c r="R1110" s="19" t="str">
        <x:v>独立判定</x:v>
      </x:c>
    </x:row>
    <x:row r="1111" ht="19" customHeight="1">
      <x:c r="A1111" s="19" t="str">
        <x:v>D01107</x:v>
      </x:c>
      <x:c r="B1111" s="19" t="n">
        <x:v>3</x:v>
      </x:c>
      <x:c r="C1111" s="19" t="n">
        <x:v>4</x:v>
      </x:c>
      <x:c r="D1111" s="19" t="str">
        <x:v>C03-M047</x:v>
      </x:c>
      <x:c r="E1111" s="19" t="str">
        <x:v>古战将·雷戈</x:v>
      </x:c>
      <x:c r="F1111" s="19" t="str">
        <x:v>地图BOSS</x:v>
      </x:c>
      <x:c r="G1111" s="19" t="str">
        <x:v>材料独立候选</x:v>
      </x:c>
      <x:c r="H1111" s="19" t="str">
        <x:v>大卢恩</x:v>
      </x:c>
      <x:c r="I1111" s="22" t="n">
        <x:v>150</x:v>
      </x:c>
      <x:c r="J1111" s="22" t="n">
        <x:v>1</x:v>
      </x:c>
      <x:c r="K1111" s="19" t="n">
        <x:v>1</x:v>
      </x:c>
      <x:c r="L1111" s="24" t="n">
        <x:v>17.25</x:v>
      </x:c>
      <x:c r="M1111" s="26" t="n">
        <x:v>0.1</x:v>
      </x:c>
      <x:c r="N1111" s="24" t="n">
        <x:v>2</x:v>
      </x:c>
      <x:c r="O1111" s="28" t="n">
        <x:f>MIN(1,L1111/I1111)</x:f>
        <x:v>0.115</x:v>
      </x:c>
      <x:c r="P1111" s="30" t="n">
        <x:f>O1111*J1111*(1+M1111)</x:f>
        <x:v>0.12650000000000003</x:v>
      </x:c>
      <x:c r="Q1111" s="30" t="n">
        <x:f>P1111*N1111</x:f>
        <x:v>0.25300000000000006</x:v>
      </x:c>
      <x:c r="R1111" s="19" t="str">
        <x:v>独立判定</x:v>
      </x:c>
    </x:row>
    <x:row r="1112" ht="19" customHeight="1">
      <x:c r="A1112" s="19" t="str">
        <x:v>D01108</x:v>
      </x:c>
      <x:c r="B1112" s="19" t="n">
        <x:v>3</x:v>
      </x:c>
      <x:c r="C1112" s="19" t="n">
        <x:v>4</x:v>
      </x:c>
      <x:c r="D1112" s="19" t="str">
        <x:v>C03-M047</x:v>
      </x:c>
      <x:c r="E1112" s="19" t="str">
        <x:v>古战将·雷戈</x:v>
      </x:c>
      <x:c r="F1112" s="19" t="str">
        <x:v>地图BOSS</x:v>
      </x:c>
      <x:c r="G1112" s="19" t="str">
        <x:v>六神器公共池</x:v>
      </x:c>
      <x:c r="H1112" s="19" t="str">
        <x:v>POOL006</x:v>
      </x:c>
      <x:c r="I1112" s="22" t="n">
        <x:v>200000</x:v>
      </x:c>
      <x:c r="J1112" s="22" t="n">
        <x:v>1</x:v>
      </x:c>
      <x:c r="K1112" s="19" t="n">
        <x:v>6</x:v>
      </x:c>
      <x:c r="L1112" s="24" t="n">
        <x:v>17.25</x:v>
      </x:c>
      <x:c r="M1112" s="26" t="n">
        <x:v>0.1</x:v>
      </x:c>
      <x:c r="N1112" s="24" t="n">
        <x:v>2</x:v>
      </x:c>
      <x:c r="O1112" s="28" t="n">
        <x:f>MIN(1,L1112/I1112)</x:f>
        <x:v>0.00008625</x:v>
      </x:c>
      <x:c r="P1112" s="30" t="n">
        <x:f>O1112*J1112*(1+M1112)</x:f>
        <x:v>0.000094875</x:v>
      </x:c>
      <x:c r="Q1112" s="30" t="n">
        <x:f>P1112*N1112</x:f>
        <x:v>0.00018975</x:v>
      </x:c>
      <x:c r="R1112" s="19" t="str">
        <x:v>六选一；非6个独立爆率</x:v>
      </x:c>
    </x:row>
    <x:row r="1113" ht="19" customHeight="1">
      <x:c r="A1113" s="19" t="str">
        <x:v>D01109</x:v>
      </x:c>
      <x:c r="B1113" s="19" t="n">
        <x:v>3</x:v>
      </x:c>
      <x:c r="C1113" s="19" t="n">
        <x:v>4</x:v>
      </x:c>
      <x:c r="D1113" s="19" t="str">
        <x:v>C03-M048</x:v>
      </x:c>
      <x:c r="E1113" s="19" t="str">
        <x:v>千军怨灵·阿萨</x:v>
      </x:c>
      <x:c r="F1113" s="19" t="str">
        <x:v>地图BOSS</x:v>
      </x:c>
      <x:c r="G1113" s="19" t="str">
        <x:v>自身专属</x:v>
      </x:c>
      <x:c r="H1113" s="19" t="str">
        <x:v>千军魂衣</x:v>
      </x:c>
      <x:c r="I1113" s="22" t="n">
        <x:v>40</x:v>
      </x:c>
      <x:c r="J1113" s="22" t="n">
        <x:v>1</x:v>
      </x:c>
      <x:c r="K1113" s="19" t="n">
        <x:v>1</x:v>
      </x:c>
      <x:c r="L1113" s="24" t="n">
        <x:v>17.25</x:v>
      </x:c>
      <x:c r="M1113" s="26" t="n">
        <x:v>0.1</x:v>
      </x:c>
      <x:c r="N1113" s="24" t="n">
        <x:v>2</x:v>
      </x:c>
      <x:c r="O1113" s="28" t="n">
        <x:f>MIN(1,L1113/I1113)</x:f>
        <x:v>0.43125</x:v>
      </x:c>
      <x:c r="P1113" s="30" t="n">
        <x:f>O1113*J1113*(1+M1113)</x:f>
        <x:v>0.47437500000000005</x:v>
      </x:c>
      <x:c r="Q1113" s="30" t="n">
        <x:f>P1113*N1113</x:f>
        <x:v>0.9487500000000001</x:v>
      </x:c>
      <x:c r="R1113" s="19" t="str">
        <x:v>独立判定</x:v>
      </x:c>
    </x:row>
    <x:row r="1114" ht="19" customHeight="1">
      <x:c r="A1114" s="19" t="str">
        <x:v>D01110</x:v>
      </x:c>
      <x:c r="B1114" s="19" t="n">
        <x:v>3</x:v>
      </x:c>
      <x:c r="C1114" s="19" t="n">
        <x:v>4</x:v>
      </x:c>
      <x:c r="D1114" s="19" t="str">
        <x:v>C03-M048</x:v>
      </x:c>
      <x:c r="E1114" s="19" t="str">
        <x:v>千军怨灵·阿萨</x:v>
      </x:c>
      <x:c r="F1114" s="19" t="str">
        <x:v>地图BOSS</x:v>
      </x:c>
      <x:c r="G1114" s="19" t="str">
        <x:v>本图普通兼掉候选</x:v>
      </x:c>
      <x:c r="H1114" s="19" t="str">
        <x:v>POOL019</x:v>
      </x:c>
      <x:c r="I1114" s="22" t="n">
        <x:v>40</x:v>
      </x:c>
      <x:c r="J1114" s="22" t="n">
        <x:v>1</x:v>
      </x:c>
      <x:c r="K1114" s="19" t="n">
        <x:v>2</x:v>
      </x:c>
      <x:c r="L1114" s="24" t="n">
        <x:v>17.25</x:v>
      </x:c>
      <x:c r="M1114" s="26" t="n">
        <x:v>0.1</x:v>
      </x:c>
      <x:c r="N1114" s="24" t="n">
        <x:v>2</x:v>
      </x:c>
      <x:c r="O1114" s="28" t="n">
        <x:f>MIN(1,L1114/I1114)</x:f>
        <x:v>0.43125</x:v>
      </x:c>
      <x:c r="P1114" s="30" t="n">
        <x:f>O1114*J1114*(1+M1114)</x:f>
        <x:v>0.47437500000000005</x:v>
      </x:c>
      <x:c r="Q1114" s="30" t="n">
        <x:f>P1114*N1114</x:f>
        <x:v>0.9487500000000001</x:v>
      </x:c>
      <x:c r="R1114" s="19" t="str">
        <x:v>单池选一</x:v>
      </x:c>
    </x:row>
    <x:row r="1115" ht="19" customHeight="1">
      <x:c r="A1115" s="19" t="str">
        <x:v>D01111</x:v>
      </x:c>
      <x:c r="B1115" s="19" t="n">
        <x:v>3</x:v>
      </x:c>
      <x:c r="C1115" s="19" t="n">
        <x:v>4</x:v>
      </x:c>
      <x:c r="D1115" s="19" t="str">
        <x:v>C03-M048</x:v>
      </x:c>
      <x:c r="E1115" s="19" t="str">
        <x:v>千军怨灵·阿萨</x:v>
      </x:c>
      <x:c r="F1115" s="19" t="str">
        <x:v>地图BOSS</x:v>
      </x:c>
      <x:c r="G1115" s="19" t="str">
        <x:v>材料独立候选</x:v>
      </x:c>
      <x:c r="H1115" s="19" t="str">
        <x:v>风蚀铁片</x:v>
      </x:c>
      <x:c r="I1115" s="22" t="n">
        <x:v>300</x:v>
      </x:c>
      <x:c r="J1115" s="22" t="n">
        <x:v>30</x:v>
      </x:c>
      <x:c r="K1115" s="19" t="n">
        <x:v>1</x:v>
      </x:c>
      <x:c r="L1115" s="24" t="n">
        <x:v>17.25</x:v>
      </x:c>
      <x:c r="M1115" s="26" t="n">
        <x:v>0.1</x:v>
      </x:c>
      <x:c r="N1115" s="24" t="n">
        <x:v>2</x:v>
      </x:c>
      <x:c r="O1115" s="28" t="n">
        <x:f>MIN(1,L1115/I1115)</x:f>
        <x:v>0.0575</x:v>
      </x:c>
      <x:c r="P1115" s="30" t="n">
        <x:f>O1115*J1115*(1+M1115)</x:f>
        <x:v>1.8975000000000002</x:v>
      </x:c>
      <x:c r="Q1115" s="30" t="n">
        <x:f>P1115*N1115</x:f>
        <x:v>3.7950000000000004</x:v>
      </x:c>
      <x:c r="R1115" s="19" t="str">
        <x:v>独立判定</x:v>
      </x:c>
    </x:row>
    <x:row r="1116" ht="19" customHeight="1">
      <x:c r="A1116" s="19" t="str">
        <x:v>D01112</x:v>
      </x:c>
      <x:c r="B1116" s="19" t="n">
        <x:v>3</x:v>
      </x:c>
      <x:c r="C1116" s="19" t="n">
        <x:v>4</x:v>
      </x:c>
      <x:c r="D1116" s="19" t="str">
        <x:v>C03-M048</x:v>
      </x:c>
      <x:c r="E1116" s="19" t="str">
        <x:v>千军怨灵·阿萨</x:v>
      </x:c>
      <x:c r="F1116" s="19" t="str">
        <x:v>地图BOSS</x:v>
      </x:c>
      <x:c r="G1116" s="19" t="str">
        <x:v>材料独立候选</x:v>
      </x:c>
      <x:c r="H1116" s="19" t="str">
        <x:v>西境战旗</x:v>
      </x:c>
      <x:c r="I1116" s="22" t="n">
        <x:v>400</x:v>
      </x:c>
      <x:c r="J1116" s="22" t="n">
        <x:v>1</x:v>
      </x:c>
      <x:c r="K1116" s="19" t="n">
        <x:v>1</x:v>
      </x:c>
      <x:c r="L1116" s="24" t="n">
        <x:v>17.25</x:v>
      </x:c>
      <x:c r="M1116" s="26" t="n">
        <x:v>0.1</x:v>
      </x:c>
      <x:c r="N1116" s="24" t="n">
        <x:v>2</x:v>
      </x:c>
      <x:c r="O1116" s="28" t="n">
        <x:f>MIN(1,L1116/I1116)</x:f>
        <x:v>0.043125</x:v>
      </x:c>
      <x:c r="P1116" s="30" t="n">
        <x:f>O1116*J1116*(1+M1116)</x:f>
        <x:v>0.0474375</x:v>
      </x:c>
      <x:c r="Q1116" s="30" t="n">
        <x:f>P1116*N1116</x:f>
        <x:v>0.094875</x:v>
      </x:c>
      <x:c r="R1116" s="19" t="str">
        <x:v>独立判定</x:v>
      </x:c>
    </x:row>
    <x:row r="1117" ht="19" customHeight="1">
      <x:c r="A1117" s="19" t="str">
        <x:v>D01113</x:v>
      </x:c>
      <x:c r="B1117" s="19" t="n">
        <x:v>3</x:v>
      </x:c>
      <x:c r="C1117" s="19" t="n">
        <x:v>4</x:v>
      </x:c>
      <x:c r="D1117" s="19" t="str">
        <x:v>C03-M048</x:v>
      </x:c>
      <x:c r="E1117" s="19" t="str">
        <x:v>千军怨灵·阿萨</x:v>
      </x:c>
      <x:c r="F1117" s="19" t="str">
        <x:v>地图BOSS</x:v>
      </x:c>
      <x:c r="G1117" s="19" t="str">
        <x:v>材料独立候选</x:v>
      </x:c>
      <x:c r="H1117" s="19" t="str">
        <x:v>西境战旗印</x:v>
      </x:c>
      <x:c r="I1117" s="22" t="n">
        <x:v>120</x:v>
      </x:c>
      <x:c r="J1117" s="22" t="n">
        <x:v>2</x:v>
      </x:c>
      <x:c r="K1117" s="19" t="n">
        <x:v>1</x:v>
      </x:c>
      <x:c r="L1117" s="24" t="n">
        <x:v>17.25</x:v>
      </x:c>
      <x:c r="M1117" s="26" t="n">
        <x:v>0.1</x:v>
      </x:c>
      <x:c r="N1117" s="24" t="n">
        <x:v>2</x:v>
      </x:c>
      <x:c r="O1117" s="28" t="n">
        <x:f>MIN(1,L1117/I1117)</x:f>
        <x:v>0.14375</x:v>
      </x:c>
      <x:c r="P1117" s="30" t="n">
        <x:f>O1117*J1117*(1+M1117)</x:f>
        <x:v>0.31625</x:v>
      </x:c>
      <x:c r="Q1117" s="30" t="n">
        <x:f>P1117*N1117</x:f>
        <x:v>0.6325</x:v>
      </x:c>
      <x:c r="R1117" s="19" t="str">
        <x:v>独立判定</x:v>
      </x:c>
    </x:row>
    <x:row r="1118" ht="19" customHeight="1">
      <x:c r="A1118" s="19" t="str">
        <x:v>D01114</x:v>
      </x:c>
      <x:c r="B1118" s="19" t="n">
        <x:v>3</x:v>
      </x:c>
      <x:c r="C1118" s="19" t="n">
        <x:v>4</x:v>
      </x:c>
      <x:c r="D1118" s="19" t="str">
        <x:v>C03-M048</x:v>
      </x:c>
      <x:c r="E1118" s="19" t="str">
        <x:v>千军怨灵·阿萨</x:v>
      </x:c>
      <x:c r="F1118" s="19" t="str">
        <x:v>地图BOSS</x:v>
      </x:c>
      <x:c r="G1118" s="19" t="str">
        <x:v>材料独立候选</x:v>
      </x:c>
      <x:c r="H1118" s="19" t="str">
        <x:v>守垒铜钥</x:v>
      </x:c>
      <x:c r="I1118" s="22" t="n">
        <x:v>120</x:v>
      </x:c>
      <x:c r="J1118" s="22" t="n">
        <x:v>1</x:v>
      </x:c>
      <x:c r="K1118" s="19" t="n">
        <x:v>1</x:v>
      </x:c>
      <x:c r="L1118" s="24" t="n">
        <x:v>17.25</x:v>
      </x:c>
      <x:c r="M1118" s="26" t="n">
        <x:v>0.1</x:v>
      </x:c>
      <x:c r="N1118" s="24" t="n">
        <x:v>2</x:v>
      </x:c>
      <x:c r="O1118" s="28" t="n">
        <x:f>MIN(1,L1118/I1118)</x:f>
        <x:v>0.14375</x:v>
      </x:c>
      <x:c r="P1118" s="30" t="n">
        <x:f>O1118*J1118*(1+M1118)</x:f>
        <x:v>0.158125</x:v>
      </x:c>
      <x:c r="Q1118" s="30" t="n">
        <x:f>P1118*N1118</x:f>
        <x:v>0.31625</x:v>
      </x:c>
      <x:c r="R1118" s="19" t="str">
        <x:v>独立判定</x:v>
      </x:c>
    </x:row>
    <x:row r="1119" ht="19" customHeight="1">
      <x:c r="A1119" s="19" t="str">
        <x:v>D01115</x:v>
      </x:c>
      <x:c r="B1119" s="19" t="n">
        <x:v>3</x:v>
      </x:c>
      <x:c r="C1119" s="19" t="n">
        <x:v>4</x:v>
      </x:c>
      <x:c r="D1119" s="19" t="str">
        <x:v>C03-M048</x:v>
      </x:c>
      <x:c r="E1119" s="19" t="str">
        <x:v>千军怨灵·阿萨</x:v>
      </x:c>
      <x:c r="F1119" s="19" t="str">
        <x:v>地图BOSS</x:v>
      </x:c>
      <x:c r="G1119" s="19" t="str">
        <x:v>材料独立候选</x:v>
      </x:c>
      <x:c r="H1119" s="19" t="str">
        <x:v>西境风痕碑拓</x:v>
      </x:c>
      <x:c r="I1119" s="22" t="n">
        <x:v>250000</x:v>
      </x:c>
      <x:c r="J1119" s="22" t="n">
        <x:v>1</x:v>
      </x:c>
      <x:c r="K1119" s="19" t="n">
        <x:v>1</x:v>
      </x:c>
      <x:c r="L1119" s="24" t="n">
        <x:v>17.25</x:v>
      </x:c>
      <x:c r="M1119" s="26" t="n">
        <x:v>0.1</x:v>
      </x:c>
      <x:c r="N1119" s="24" t="n">
        <x:v>2</x:v>
      </x:c>
      <x:c r="O1119" s="28" t="n">
        <x:f>MIN(1,L1119/I1119)</x:f>
        <x:v>0.000069</x:v>
      </x:c>
      <x:c r="P1119" s="30" t="n">
        <x:f>O1119*J1119*(1+M1119)</x:f>
        <x:v>0.0000759</x:v>
      </x:c>
      <x:c r="Q1119" s="30" t="n">
        <x:f>P1119*N1119</x:f>
        <x:v>0.0001518</x:v>
      </x:c>
      <x:c r="R1119" s="19" t="str">
        <x:v>独立判定</x:v>
      </x:c>
    </x:row>
    <x:row r="1120" ht="19" customHeight="1">
      <x:c r="A1120" s="19" t="str">
        <x:v>D01116</x:v>
      </x:c>
      <x:c r="B1120" s="19" t="n">
        <x:v>3</x:v>
      </x:c>
      <x:c r="C1120" s="19" t="n">
        <x:v>4</x:v>
      </x:c>
      <x:c r="D1120" s="19" t="str">
        <x:v>C03-M048</x:v>
      </x:c>
      <x:c r="E1120" s="19" t="str">
        <x:v>千军怨灵·阿萨</x:v>
      </x:c>
      <x:c r="F1120" s="19" t="str">
        <x:v>地图BOSS</x:v>
      </x:c>
      <x:c r="G1120" s="19" t="str">
        <x:v>材料独立候选</x:v>
      </x:c>
      <x:c r="H1120" s="19" t="str">
        <x:v>黄金树芽</x:v>
      </x:c>
      <x:c r="I1120" s="22" t="n">
        <x:v>1000</x:v>
      </x:c>
      <x:c r="J1120" s="22" t="n">
        <x:v>1</x:v>
      </x:c>
      <x:c r="K1120" s="19" t="n">
        <x:v>1</x:v>
      </x:c>
      <x:c r="L1120" s="24" t="n">
        <x:v>17.25</x:v>
      </x:c>
      <x:c r="M1120" s="26" t="n">
        <x:v>0.1</x:v>
      </x:c>
      <x:c r="N1120" s="24" t="n">
        <x:v>2</x:v>
      </x:c>
      <x:c r="O1120" s="28" t="n">
        <x:f>MIN(1,L1120/I1120)</x:f>
        <x:v>0.01725</x:v>
      </x:c>
      <x:c r="P1120" s="30" t="n">
        <x:f>O1120*J1120*(1+M1120)</x:f>
        <x:v>0.018975000000000002</x:v>
      </x:c>
      <x:c r="Q1120" s="30" t="n">
        <x:f>P1120*N1120</x:f>
        <x:v>0.037950000000000005</x:v>
      </x:c>
      <x:c r="R1120" s="19" t="str">
        <x:v>独立判定</x:v>
      </x:c>
    </x:row>
    <x:row r="1121" ht="19" customHeight="1">
      <x:c r="A1121" s="19" t="str">
        <x:v>D01117</x:v>
      </x:c>
      <x:c r="B1121" s="19" t="n">
        <x:v>3</x:v>
      </x:c>
      <x:c r="C1121" s="19" t="n">
        <x:v>4</x:v>
      </x:c>
      <x:c r="D1121" s="19" t="str">
        <x:v>C03-M048</x:v>
      </x:c>
      <x:c r="E1121" s="19" t="str">
        <x:v>千军怨灵·阿萨</x:v>
      </x:c>
      <x:c r="F1121" s="19" t="str">
        <x:v>地图BOSS</x:v>
      </x:c>
      <x:c r="G1121" s="19" t="str">
        <x:v>材料独立候选</x:v>
      </x:c>
      <x:c r="H1121" s="19" t="str">
        <x:v>野兽骨片</x:v>
      </x:c>
      <x:c r="I1121" s="22" t="n">
        <x:v>40</x:v>
      </x:c>
      <x:c r="J1121" s="22" t="n">
        <x:v>2</x:v>
      </x:c>
      <x:c r="K1121" s="19" t="n">
        <x:v>1</x:v>
      </x:c>
      <x:c r="L1121" s="24" t="n">
        <x:v>17.25</x:v>
      </x:c>
      <x:c r="M1121" s="26" t="n">
        <x:v>0.1</x:v>
      </x:c>
      <x:c r="N1121" s="24" t="n">
        <x:v>2</x:v>
      </x:c>
      <x:c r="O1121" s="28" t="n">
        <x:f>MIN(1,L1121/I1121)</x:f>
        <x:v>0.43125</x:v>
      </x:c>
      <x:c r="P1121" s="30" t="n">
        <x:f>O1121*J1121*(1+M1121)</x:f>
        <x:v>0.9487500000000001</x:v>
      </x:c>
      <x:c r="Q1121" s="30" t="n">
        <x:f>P1121*N1121</x:f>
        <x:v>1.8975000000000002</x:v>
      </x:c>
      <x:c r="R1121" s="19" t="str">
        <x:v>独立判定</x:v>
      </x:c>
    </x:row>
    <x:row r="1122" ht="19" customHeight="1">
      <x:c r="A1122" s="19" t="str">
        <x:v>D01118</x:v>
      </x:c>
      <x:c r="B1122" s="19" t="n">
        <x:v>3</x:v>
      </x:c>
      <x:c r="C1122" s="19" t="n">
        <x:v>4</x:v>
      </x:c>
      <x:c r="D1122" s="19" t="str">
        <x:v>C03-M048</x:v>
      </x:c>
      <x:c r="E1122" s="19" t="str">
        <x:v>千军怨灵·阿萨</x:v>
      </x:c>
      <x:c r="F1122" s="19" t="str">
        <x:v>地图BOSS</x:v>
      </x:c>
      <x:c r="G1122" s="19" t="str">
        <x:v>材料独立候选</x:v>
      </x:c>
      <x:c r="H1122" s="19" t="str">
        <x:v>技能残页</x:v>
      </x:c>
      <x:c r="I1122" s="22" t="n">
        <x:v>100</x:v>
      </x:c>
      <x:c r="J1122" s="22" t="n">
        <x:v>1</x:v>
      </x:c>
      <x:c r="K1122" s="19" t="n">
        <x:v>1</x:v>
      </x:c>
      <x:c r="L1122" s="24" t="n">
        <x:v>17.25</x:v>
      </x:c>
      <x:c r="M1122" s="26" t="n">
        <x:v>0.1</x:v>
      </x:c>
      <x:c r="N1122" s="24" t="n">
        <x:v>2</x:v>
      </x:c>
      <x:c r="O1122" s="28" t="n">
        <x:f>MIN(1,L1122/I1122)</x:f>
        <x:v>0.1725</x:v>
      </x:c>
      <x:c r="P1122" s="30" t="n">
        <x:f>O1122*J1122*(1+M1122)</x:f>
        <x:v>0.18975</x:v>
      </x:c>
      <x:c r="Q1122" s="30" t="n">
        <x:f>P1122*N1122</x:f>
        <x:v>0.3795</x:v>
      </x:c>
      <x:c r="R1122" s="19" t="str">
        <x:v>独立判定</x:v>
      </x:c>
    </x:row>
    <x:row r="1123" ht="19" customHeight="1">
      <x:c r="A1123" s="19" t="str">
        <x:v>D01119</x:v>
      </x:c>
      <x:c r="B1123" s="19" t="n">
        <x:v>3</x:v>
      </x:c>
      <x:c r="C1123" s="19" t="n">
        <x:v>4</x:v>
      </x:c>
      <x:c r="D1123" s="19" t="str">
        <x:v>C03-M048</x:v>
      </x:c>
      <x:c r="E1123" s="19" t="str">
        <x:v>千军怨灵·阿萨</x:v>
      </x:c>
      <x:c r="F1123" s="19" t="str">
        <x:v>地图BOSS</x:v>
      </x:c>
      <x:c r="G1123" s="19" t="str">
        <x:v>材料独立候选</x:v>
      </x:c>
      <x:c r="H1123" s="19" t="str">
        <x:v>宁姆格福誓页</x:v>
      </x:c>
      <x:c r="I1123" s="22" t="n">
        <x:v>200</x:v>
      </x:c>
      <x:c r="J1123" s="22" t="n">
        <x:v>1</x:v>
      </x:c>
      <x:c r="K1123" s="19" t="n">
        <x:v>1</x:v>
      </x:c>
      <x:c r="L1123" s="24" t="n">
        <x:v>17.25</x:v>
      </x:c>
      <x:c r="M1123" s="26" t="n">
        <x:v>0.1</x:v>
      </x:c>
      <x:c r="N1123" s="24" t="n">
        <x:v>2</x:v>
      </x:c>
      <x:c r="O1123" s="28" t="n">
        <x:f>MIN(1,L1123/I1123)</x:f>
        <x:v>0.08625</x:v>
      </x:c>
      <x:c r="P1123" s="30" t="n">
        <x:f>O1123*J1123*(1+M1123)</x:f>
        <x:v>0.094875</x:v>
      </x:c>
      <x:c r="Q1123" s="30" t="n">
        <x:f>P1123*N1123</x:f>
        <x:v>0.18975</x:v>
      </x:c>
      <x:c r="R1123" s="19" t="str">
        <x:v>独立判定</x:v>
      </x:c>
    </x:row>
    <x:row r="1124" ht="19" customHeight="1">
      <x:c r="A1124" s="19" t="str">
        <x:v>D01120</x:v>
      </x:c>
      <x:c r="B1124" s="19" t="n">
        <x:v>3</x:v>
      </x:c>
      <x:c r="C1124" s="19" t="n">
        <x:v>4</x:v>
      </x:c>
      <x:c r="D1124" s="19" t="str">
        <x:v>C03-M048</x:v>
      </x:c>
      <x:c r="E1124" s="19" t="str">
        <x:v>千军怨灵·阿萨</x:v>
      </x:c>
      <x:c r="F1124" s="19" t="str">
        <x:v>地图BOSS</x:v>
      </x:c>
      <x:c r="G1124" s="19" t="str">
        <x:v>材料独立候选</x:v>
      </x:c>
      <x:c r="H1124" s="19" t="str">
        <x:v>小卢恩</x:v>
      </x:c>
      <x:c r="I1124" s="22" t="n">
        <x:v>1500</x:v>
      </x:c>
      <x:c r="J1124" s="22" t="n">
        <x:v>1</x:v>
      </x:c>
      <x:c r="K1124" s="19" t="n">
        <x:v>1</x:v>
      </x:c>
      <x:c r="L1124" s="24" t="n">
        <x:v>17.25</x:v>
      </x:c>
      <x:c r="M1124" s="26" t="n">
        <x:v>0.1</x:v>
      </x:c>
      <x:c r="N1124" s="24" t="n">
        <x:v>2</x:v>
      </x:c>
      <x:c r="O1124" s="28" t="n">
        <x:f>MIN(1,L1124/I1124)</x:f>
        <x:v>0.0115</x:v>
      </x:c>
      <x:c r="P1124" s="30" t="n">
        <x:f>O1124*J1124*(1+M1124)</x:f>
        <x:v>0.012650000000000002</x:v>
      </x:c>
      <x:c r="Q1124" s="30" t="n">
        <x:f>P1124*N1124</x:f>
        <x:v>0.025300000000000003</x:v>
      </x:c>
      <x:c r="R1124" s="19" t="str">
        <x:v>独立判定</x:v>
      </x:c>
    </x:row>
    <x:row r="1125" ht="19" customHeight="1">
      <x:c r="A1125" s="19" t="str">
        <x:v>D01121</x:v>
      </x:c>
      <x:c r="B1125" s="19" t="n">
        <x:v>3</x:v>
      </x:c>
      <x:c r="C1125" s="19" t="n">
        <x:v>4</x:v>
      </x:c>
      <x:c r="D1125" s="19" t="str">
        <x:v>C03-M048</x:v>
      </x:c>
      <x:c r="E1125" s="19" t="str">
        <x:v>千军怨灵·阿萨</x:v>
      </x:c>
      <x:c r="F1125" s="19" t="str">
        <x:v>地图BOSS</x:v>
      </x:c>
      <x:c r="G1125" s="19" t="str">
        <x:v>材料独立候选</x:v>
      </x:c>
      <x:c r="H1125" s="19" t="str">
        <x:v>大卢恩</x:v>
      </x:c>
      <x:c r="I1125" s="22" t="n">
        <x:v>150</x:v>
      </x:c>
      <x:c r="J1125" s="22" t="n">
        <x:v>1</x:v>
      </x:c>
      <x:c r="K1125" s="19" t="n">
        <x:v>1</x:v>
      </x:c>
      <x:c r="L1125" s="24" t="n">
        <x:v>17.25</x:v>
      </x:c>
      <x:c r="M1125" s="26" t="n">
        <x:v>0.1</x:v>
      </x:c>
      <x:c r="N1125" s="24" t="n">
        <x:v>2</x:v>
      </x:c>
      <x:c r="O1125" s="28" t="n">
        <x:f>MIN(1,L1125/I1125)</x:f>
        <x:v>0.115</x:v>
      </x:c>
      <x:c r="P1125" s="30" t="n">
        <x:f>O1125*J1125*(1+M1125)</x:f>
        <x:v>0.12650000000000003</x:v>
      </x:c>
      <x:c r="Q1125" s="30" t="n">
        <x:f>P1125*N1125</x:f>
        <x:v>0.25300000000000006</x:v>
      </x:c>
      <x:c r="R1125" s="19" t="str">
        <x:v>独立判定</x:v>
      </x:c>
    </x:row>
    <x:row r="1126" ht="19" customHeight="1">
      <x:c r="A1126" s="19" t="str">
        <x:v>D01122</x:v>
      </x:c>
      <x:c r="B1126" s="19" t="n">
        <x:v>3</x:v>
      </x:c>
      <x:c r="C1126" s="19" t="n">
        <x:v>4</x:v>
      </x:c>
      <x:c r="D1126" s="19" t="str">
        <x:v>C03-M048</x:v>
      </x:c>
      <x:c r="E1126" s="19" t="str">
        <x:v>千军怨灵·阿萨</x:v>
      </x:c>
      <x:c r="F1126" s="19" t="str">
        <x:v>地图BOSS</x:v>
      </x:c>
      <x:c r="G1126" s="19" t="str">
        <x:v>六神器公共池</x:v>
      </x:c>
      <x:c r="H1126" s="19" t="str">
        <x:v>POOL006</x:v>
      </x:c>
      <x:c r="I1126" s="22" t="n">
        <x:v>200000</x:v>
      </x:c>
      <x:c r="J1126" s="22" t="n">
        <x:v>1</x:v>
      </x:c>
      <x:c r="K1126" s="19" t="n">
        <x:v>6</x:v>
      </x:c>
      <x:c r="L1126" s="24" t="n">
        <x:v>17.25</x:v>
      </x:c>
      <x:c r="M1126" s="26" t="n">
        <x:v>0.1</x:v>
      </x:c>
      <x:c r="N1126" s="24" t="n">
        <x:v>2</x:v>
      </x:c>
      <x:c r="O1126" s="28" t="n">
        <x:f>MIN(1,L1126/I1126)</x:f>
        <x:v>0.00008625</x:v>
      </x:c>
      <x:c r="P1126" s="30" t="n">
        <x:f>O1126*J1126*(1+M1126)</x:f>
        <x:v>0.000094875</x:v>
      </x:c>
      <x:c r="Q1126" s="30" t="n">
        <x:f>P1126*N1126</x:f>
        <x:v>0.00018975</x:v>
      </x:c>
      <x:c r="R1126" s="19" t="str">
        <x:v>六选一；非6个独立爆率</x:v>
      </x:c>
    </x:row>
    <x:row r="1127" ht="19" customHeight="1">
      <x:c r="A1127" s="19" t="str">
        <x:v>D01123</x:v>
      </x:c>
      <x:c r="B1127" s="19" t="n">
        <x:v>3</x:v>
      </x:c>
      <x:c r="C1127" s="19" t="n">
        <x:v>5</x:v>
      </x:c>
      <x:c r="D1127" s="19" t="str">
        <x:v>C03-M049</x:v>
      </x:c>
      <x:c r="E1127" s="19" t="str">
        <x:v>古垒戍兵</x:v>
      </x:c>
      <x:c r="F1127" s="19" t="str">
        <x:v>普通</x:v>
      </x:c>
      <x:c r="G1127" s="19" t="str">
        <x:v>自身专属</x:v>
      </x:c>
      <x:c r="H1127" s="19" t="str">
        <x:v>古垒军刀</x:v>
      </x:c>
      <x:c r="I1127" s="22" t="n">
        <x:v>1000</x:v>
      </x:c>
      <x:c r="J1127" s="22" t="n">
        <x:v>1</x:v>
      </x:c>
      <x:c r="K1127" s="19" t="n">
        <x:v>1</x:v>
      </x:c>
      <x:c r="L1127" s="24" t="n">
        <x:v>17.25</x:v>
      </x:c>
      <x:c r="M1127" s="26" t="n">
        <x:v>0.1</x:v>
      </x:c>
      <x:c r="N1127" s="24" t="n">
        <x:v>72</x:v>
      </x:c>
      <x:c r="O1127" s="28" t="n">
        <x:f>MIN(1,L1127/I1127)</x:f>
        <x:v>0.01725</x:v>
      </x:c>
      <x:c r="P1127" s="30" t="n">
        <x:f>O1127*J1127*(1+M1127)</x:f>
        <x:v>0.018975000000000002</x:v>
      </x:c>
      <x:c r="Q1127" s="30" t="n">
        <x:f>P1127*N1127</x:f>
        <x:v>1.3662</x:v>
      </x:c>
      <x:c r="R1127" s="19" t="str">
        <x:v>独立判定</x:v>
      </x:c>
    </x:row>
    <x:row r="1128" ht="19" customHeight="1">
      <x:c r="A1128" s="19" t="str">
        <x:v>D01124</x:v>
      </x:c>
      <x:c r="B1128" s="19" t="n">
        <x:v>3</x:v>
      </x:c>
      <x:c r="C1128" s="19" t="n">
        <x:v>5</x:v>
      </x:c>
      <x:c r="D1128" s="19" t="str">
        <x:v>C03-M049</x:v>
      </x:c>
      <x:c r="E1128" s="19" t="str">
        <x:v>古垒戍兵</x:v>
      </x:c>
      <x:c r="F1128" s="19" t="str">
        <x:v>普通</x:v>
      </x:c>
      <x:c r="G1128" s="19" t="str">
        <x:v>材料独立候选</x:v>
      </x:c>
      <x:c r="H1128" s="19" t="str">
        <x:v>风蚀铁片</x:v>
      </x:c>
      <x:c r="I1128" s="22" t="n">
        <x:v>800</x:v>
      </x:c>
      <x:c r="J1128" s="22" t="n">
        <x:v>8</x:v>
      </x:c>
      <x:c r="K1128" s="19" t="n">
        <x:v>1</x:v>
      </x:c>
      <x:c r="L1128" s="24" t="n">
        <x:v>17.25</x:v>
      </x:c>
      <x:c r="M1128" s="26" t="n">
        <x:v>0.1</x:v>
      </x:c>
      <x:c r="N1128" s="24" t="n">
        <x:v>72</x:v>
      </x:c>
      <x:c r="O1128" s="28" t="n">
        <x:f>MIN(1,L1128/I1128)</x:f>
        <x:v>0.0215625</x:v>
      </x:c>
      <x:c r="P1128" s="30" t="n">
        <x:f>O1128*J1128*(1+M1128)</x:f>
        <x:v>0.18975</x:v>
      </x:c>
      <x:c r="Q1128" s="30" t="n">
        <x:f>P1128*N1128</x:f>
        <x:v>13.662</x:v>
      </x:c>
      <x:c r="R1128" s="19" t="str">
        <x:v>独立判定</x:v>
      </x:c>
    </x:row>
    <x:row r="1129" ht="19" customHeight="1">
      <x:c r="A1129" s="19" t="str">
        <x:v>D01125</x:v>
      </x:c>
      <x:c r="B1129" s="19" t="n">
        <x:v>3</x:v>
      </x:c>
      <x:c r="C1129" s="19" t="n">
        <x:v>5</x:v>
      </x:c>
      <x:c r="D1129" s="19" t="str">
        <x:v>C03-M049</x:v>
      </x:c>
      <x:c r="E1129" s="19" t="str">
        <x:v>古垒戍兵</x:v>
      </x:c>
      <x:c r="F1129" s="19" t="str">
        <x:v>普通</x:v>
      </x:c>
      <x:c r="G1129" s="19" t="str">
        <x:v>材料独立候选</x:v>
      </x:c>
      <x:c r="H1129" s="19" t="str">
        <x:v>裂风崖羽</x:v>
      </x:c>
      <x:c r="I1129" s="22" t="n">
        <x:v>2000</x:v>
      </x:c>
      <x:c r="J1129" s="22" t="n">
        <x:v>1</x:v>
      </x:c>
      <x:c r="K1129" s="19" t="n">
        <x:v>1</x:v>
      </x:c>
      <x:c r="L1129" s="24" t="n">
        <x:v>17.25</x:v>
      </x:c>
      <x:c r="M1129" s="26" t="n">
        <x:v>0.1</x:v>
      </x:c>
      <x:c r="N1129" s="24" t="n">
        <x:v>72</x:v>
      </x:c>
      <x:c r="O1129" s="28" t="n">
        <x:f>MIN(1,L1129/I1129)</x:f>
        <x:v>0.008625</x:v>
      </x:c>
      <x:c r="P1129" s="30" t="n">
        <x:f>O1129*J1129*(1+M1129)</x:f>
        <x:v>0.009487500000000001</x:v>
      </x:c>
      <x:c r="Q1129" s="30" t="n">
        <x:f>P1129*N1129</x:f>
        <x:v>0.6831</x:v>
      </x:c>
      <x:c r="R1129" s="19" t="str">
        <x:v>独立判定</x:v>
      </x:c>
    </x:row>
    <x:row r="1130" ht="19" customHeight="1">
      <x:c r="A1130" s="19" t="str">
        <x:v>D01126</x:v>
      </x:c>
      <x:c r="B1130" s="19" t="n">
        <x:v>3</x:v>
      </x:c>
      <x:c r="C1130" s="19" t="n">
        <x:v>5</x:v>
      </x:c>
      <x:c r="D1130" s="19" t="str">
        <x:v>C03-M049</x:v>
      </x:c>
      <x:c r="E1130" s="19" t="str">
        <x:v>古垒戍兵</x:v>
      </x:c>
      <x:c r="F1130" s="19" t="str">
        <x:v>普通</x:v>
      </x:c>
      <x:c r="G1130" s="19" t="str">
        <x:v>材料独立候选</x:v>
      </x:c>
      <x:c r="H1130" s="19" t="str">
        <x:v>西境风痕碑拓</x:v>
      </x:c>
      <x:c r="I1130" s="22" t="n">
        <x:v>800000</x:v>
      </x:c>
      <x:c r="J1130" s="22" t="n">
        <x:v>1</x:v>
      </x:c>
      <x:c r="K1130" s="19" t="n">
        <x:v>1</x:v>
      </x:c>
      <x:c r="L1130" s="24" t="n">
        <x:v>17.25</x:v>
      </x:c>
      <x:c r="M1130" s="26" t="n">
        <x:v>0.1</x:v>
      </x:c>
      <x:c r="N1130" s="24" t="n">
        <x:v>72</x:v>
      </x:c>
      <x:c r="O1130" s="28" t="n">
        <x:f>MIN(1,L1130/I1130)</x:f>
        <x:v>0.0000215625</x:v>
      </x:c>
      <x:c r="P1130" s="30" t="n">
        <x:f>O1130*J1130*(1+M1130)</x:f>
        <x:v>0.00002371875</x:v>
      </x:c>
      <x:c r="Q1130" s="30" t="n">
        <x:f>P1130*N1130</x:f>
        <x:v>0.00170775</x:v>
      </x:c>
      <x:c r="R1130" s="19" t="str">
        <x:v>独立判定</x:v>
      </x:c>
    </x:row>
    <x:row r="1131" ht="19" customHeight="1">
      <x:c r="A1131" s="19" t="str">
        <x:v>D01127</x:v>
      </x:c>
      <x:c r="B1131" s="19" t="n">
        <x:v>3</x:v>
      </x:c>
      <x:c r="C1131" s="19" t="n">
        <x:v>5</x:v>
      </x:c>
      <x:c r="D1131" s="19" t="str">
        <x:v>C03-M049</x:v>
      </x:c>
      <x:c r="E1131" s="19" t="str">
        <x:v>古垒戍兵</x:v>
      </x:c>
      <x:c r="F1131" s="19" t="str">
        <x:v>普通</x:v>
      </x:c>
      <x:c r="G1131" s="19" t="str">
        <x:v>材料独立候选</x:v>
      </x:c>
      <x:c r="H1131" s="19" t="str">
        <x:v>野兽骨片</x:v>
      </x:c>
      <x:c r="I1131" s="22" t="n">
        <x:v>120</x:v>
      </x:c>
      <x:c r="J1131" s="22" t="n">
        <x:v>2</x:v>
      </x:c>
      <x:c r="K1131" s="19" t="n">
        <x:v>1</x:v>
      </x:c>
      <x:c r="L1131" s="24" t="n">
        <x:v>17.25</x:v>
      </x:c>
      <x:c r="M1131" s="26" t="n">
        <x:v>0.1</x:v>
      </x:c>
      <x:c r="N1131" s="24" t="n">
        <x:v>72</x:v>
      </x:c>
      <x:c r="O1131" s="28" t="n">
        <x:f>MIN(1,L1131/I1131)</x:f>
        <x:v>0.14375</x:v>
      </x:c>
      <x:c r="P1131" s="30" t="n">
        <x:f>O1131*J1131*(1+M1131)</x:f>
        <x:v>0.31625</x:v>
      </x:c>
      <x:c r="Q1131" s="30" t="n">
        <x:f>P1131*N1131</x:f>
        <x:v>22.77</x:v>
      </x:c>
      <x:c r="R1131" s="19" t="str">
        <x:v>独立判定</x:v>
      </x:c>
    </x:row>
    <x:row r="1132" ht="19" customHeight="1">
      <x:c r="A1132" s="19" t="str">
        <x:v>D01128</x:v>
      </x:c>
      <x:c r="B1132" s="19" t="n">
        <x:v>3</x:v>
      </x:c>
      <x:c r="C1132" s="19" t="n">
        <x:v>5</x:v>
      </x:c>
      <x:c r="D1132" s="19" t="str">
        <x:v>C03-M049</x:v>
      </x:c>
      <x:c r="E1132" s="19" t="str">
        <x:v>古垒戍兵</x:v>
      </x:c>
      <x:c r="F1132" s="19" t="str">
        <x:v>普通</x:v>
      </x:c>
      <x:c r="G1132" s="19" t="str">
        <x:v>材料独立候选</x:v>
      </x:c>
      <x:c r="H1132" s="19" t="str">
        <x:v>技能残页</x:v>
      </x:c>
      <x:c r="I1132" s="22" t="n">
        <x:v>300</x:v>
      </x:c>
      <x:c r="J1132" s="22" t="n">
        <x:v>1</x:v>
      </x:c>
      <x:c r="K1132" s="19" t="n">
        <x:v>1</x:v>
      </x:c>
      <x:c r="L1132" s="24" t="n">
        <x:v>17.25</x:v>
      </x:c>
      <x:c r="M1132" s="26" t="n">
        <x:v>0.1</x:v>
      </x:c>
      <x:c r="N1132" s="24" t="n">
        <x:v>72</x:v>
      </x:c>
      <x:c r="O1132" s="28" t="n">
        <x:f>MIN(1,L1132/I1132)</x:f>
        <x:v>0.0575</x:v>
      </x:c>
      <x:c r="P1132" s="30" t="n">
        <x:f>O1132*J1132*(1+M1132)</x:f>
        <x:v>0.06325000000000001</x:v>
      </x:c>
      <x:c r="Q1132" s="30" t="n">
        <x:f>P1132*N1132</x:f>
        <x:v>4.554000000000001</x:v>
      </x:c>
      <x:c r="R1132" s="19" t="str">
        <x:v>独立判定</x:v>
      </x:c>
    </x:row>
    <x:row r="1133" ht="19" customHeight="1">
      <x:c r="A1133" s="19" t="str">
        <x:v>D01129</x:v>
      </x:c>
      <x:c r="B1133" s="19" t="n">
        <x:v>3</x:v>
      </x:c>
      <x:c r="C1133" s="19" t="n">
        <x:v>5</x:v>
      </x:c>
      <x:c r="D1133" s="19" t="str">
        <x:v>C03-M049</x:v>
      </x:c>
      <x:c r="E1133" s="19" t="str">
        <x:v>古垒戍兵</x:v>
      </x:c>
      <x:c r="F1133" s="19" t="str">
        <x:v>普通</x:v>
      </x:c>
      <x:c r="G1133" s="19" t="str">
        <x:v>材料独立候选</x:v>
      </x:c>
      <x:c r="H1133" s="19" t="str">
        <x:v>小卢恩</x:v>
      </x:c>
      <x:c r="I1133" s="22" t="n">
        <x:v>5000</x:v>
      </x:c>
      <x:c r="J1133" s="22" t="n">
        <x:v>1</x:v>
      </x:c>
      <x:c r="K1133" s="19" t="n">
        <x:v>1</x:v>
      </x:c>
      <x:c r="L1133" s="24" t="n">
        <x:v>17.25</x:v>
      </x:c>
      <x:c r="M1133" s="26" t="n">
        <x:v>0.1</x:v>
      </x:c>
      <x:c r="N1133" s="24" t="n">
        <x:v>72</x:v>
      </x:c>
      <x:c r="O1133" s="28" t="n">
        <x:f>MIN(1,L1133/I1133)</x:f>
        <x:v>0.00345</x:v>
      </x:c>
      <x:c r="P1133" s="30" t="n">
        <x:f>O1133*J1133*(1+M1133)</x:f>
        <x:v>0.003795</x:v>
      </x:c>
      <x:c r="Q1133" s="30" t="n">
        <x:f>P1133*N1133</x:f>
        <x:v>0.27324000000000004</x:v>
      </x:c>
      <x:c r="R1133" s="19" t="str">
        <x:v>独立判定</x:v>
      </x:c>
    </x:row>
    <x:row r="1134" ht="19" customHeight="1">
      <x:c r="A1134" s="19" t="str">
        <x:v>D01130</x:v>
      </x:c>
      <x:c r="B1134" s="19" t="n">
        <x:v>3</x:v>
      </x:c>
      <x:c r="C1134" s="19" t="n">
        <x:v>5</x:v>
      </x:c>
      <x:c r="D1134" s="19" t="str">
        <x:v>C03-M049</x:v>
      </x:c>
      <x:c r="E1134" s="19" t="str">
        <x:v>古垒戍兵</x:v>
      </x:c>
      <x:c r="F1134" s="19" t="str">
        <x:v>普通</x:v>
      </x:c>
      <x:c r="G1134" s="19" t="str">
        <x:v>六神器公共池</x:v>
      </x:c>
      <x:c r="H1134" s="19" t="str">
        <x:v>POOL006</x:v>
      </x:c>
      <x:c r="I1134" s="22" t="n">
        <x:v>20000000</x:v>
      </x:c>
      <x:c r="J1134" s="22" t="n">
        <x:v>1</x:v>
      </x:c>
      <x:c r="K1134" s="19" t="n">
        <x:v>6</x:v>
      </x:c>
      <x:c r="L1134" s="24" t="n">
        <x:v>17.25</x:v>
      </x:c>
      <x:c r="M1134" s="26" t="n">
        <x:v>0.1</x:v>
      </x:c>
      <x:c r="N1134" s="24" t="n">
        <x:v>72</x:v>
      </x:c>
      <x:c r="O1134" s="28" t="n">
        <x:f>MIN(1,L1134/I1134)</x:f>
        <x:v>8.625e-7</x:v>
      </x:c>
      <x:c r="P1134" s="30" t="n">
        <x:f>O1134*J1134*(1+M1134)</x:f>
        <x:v>9.487500000000001e-7</x:v>
      </x:c>
      <x:c r="Q1134" s="30" t="n">
        <x:f>P1134*N1134</x:f>
        <x:v>0.00006831000000000002</x:v>
      </x:c>
      <x:c r="R1134" s="19" t="str">
        <x:v>六选一；非6个独立爆率</x:v>
      </x:c>
    </x:row>
    <x:row r="1135" ht="19" customHeight="1">
      <x:c r="A1135" s="19" t="str">
        <x:v>D01131</x:v>
      </x:c>
      <x:c r="B1135" s="19" t="n">
        <x:v>3</x:v>
      </x:c>
      <x:c r="C1135" s="19" t="n">
        <x:v>5</x:v>
      </x:c>
      <x:c r="D1135" s="19" t="str">
        <x:v>C03-M050</x:v>
      </x:c>
      <x:c r="E1135" s="19" t="str">
        <x:v>风沙箭手</x:v>
      </x:c>
      <x:c r="F1135" s="19" t="str">
        <x:v>普通</x:v>
      </x:c>
      <x:c r="G1135" s="19" t="str">
        <x:v>自身专属</x:v>
      </x:c>
      <x:c r="H1135" s="19" t="str">
        <x:v>风沙鹰链</x:v>
      </x:c>
      <x:c r="I1135" s="22" t="n">
        <x:v>1000</x:v>
      </x:c>
      <x:c r="J1135" s="22" t="n">
        <x:v>1</x:v>
      </x:c>
      <x:c r="K1135" s="19" t="n">
        <x:v>1</x:v>
      </x:c>
      <x:c r="L1135" s="24" t="n">
        <x:v>17.25</x:v>
      </x:c>
      <x:c r="M1135" s="26" t="n">
        <x:v>0.1</x:v>
      </x:c>
      <x:c r="N1135" s="24" t="n">
        <x:v>72</x:v>
      </x:c>
      <x:c r="O1135" s="28" t="n">
        <x:f>MIN(1,L1135/I1135)</x:f>
        <x:v>0.01725</x:v>
      </x:c>
      <x:c r="P1135" s="30" t="n">
        <x:f>O1135*J1135*(1+M1135)</x:f>
        <x:v>0.018975000000000002</x:v>
      </x:c>
      <x:c r="Q1135" s="30" t="n">
        <x:f>P1135*N1135</x:f>
        <x:v>1.3662</x:v>
      </x:c>
      <x:c r="R1135" s="19" t="str">
        <x:v>独立判定</x:v>
      </x:c>
    </x:row>
    <x:row r="1136" ht="19" customHeight="1">
      <x:c r="A1136" s="19" t="str">
        <x:v>D01132</x:v>
      </x:c>
      <x:c r="B1136" s="19" t="n">
        <x:v>3</x:v>
      </x:c>
      <x:c r="C1136" s="19" t="n">
        <x:v>5</x:v>
      </x:c>
      <x:c r="D1136" s="19" t="str">
        <x:v>C03-M050</x:v>
      </x:c>
      <x:c r="E1136" s="19" t="str">
        <x:v>风沙箭手</x:v>
      </x:c>
      <x:c r="F1136" s="19" t="str">
        <x:v>普通</x:v>
      </x:c>
      <x:c r="G1136" s="19" t="str">
        <x:v>材料独立候选</x:v>
      </x:c>
      <x:c r="H1136" s="19" t="str">
        <x:v>风蚀铁片</x:v>
      </x:c>
      <x:c r="I1136" s="22" t="n">
        <x:v>800</x:v>
      </x:c>
      <x:c r="J1136" s="22" t="n">
        <x:v>8</x:v>
      </x:c>
      <x:c r="K1136" s="19" t="n">
        <x:v>1</x:v>
      </x:c>
      <x:c r="L1136" s="24" t="n">
        <x:v>17.25</x:v>
      </x:c>
      <x:c r="M1136" s="26" t="n">
        <x:v>0.1</x:v>
      </x:c>
      <x:c r="N1136" s="24" t="n">
        <x:v>72</x:v>
      </x:c>
      <x:c r="O1136" s="28" t="n">
        <x:f>MIN(1,L1136/I1136)</x:f>
        <x:v>0.0215625</x:v>
      </x:c>
      <x:c r="P1136" s="30" t="n">
        <x:f>O1136*J1136*(1+M1136)</x:f>
        <x:v>0.18975</x:v>
      </x:c>
      <x:c r="Q1136" s="30" t="n">
        <x:f>P1136*N1136</x:f>
        <x:v>13.662</x:v>
      </x:c>
      <x:c r="R1136" s="19" t="str">
        <x:v>独立判定</x:v>
      </x:c>
    </x:row>
    <x:row r="1137" ht="19" customHeight="1">
      <x:c r="A1137" s="19" t="str">
        <x:v>D01133</x:v>
      </x:c>
      <x:c r="B1137" s="19" t="n">
        <x:v>3</x:v>
      </x:c>
      <x:c r="C1137" s="19" t="n">
        <x:v>5</x:v>
      </x:c>
      <x:c r="D1137" s="19" t="str">
        <x:v>C03-M050</x:v>
      </x:c>
      <x:c r="E1137" s="19" t="str">
        <x:v>风沙箭手</x:v>
      </x:c>
      <x:c r="F1137" s="19" t="str">
        <x:v>普通</x:v>
      </x:c>
      <x:c r="G1137" s="19" t="str">
        <x:v>材料独立候选</x:v>
      </x:c>
      <x:c r="H1137" s="19" t="str">
        <x:v>裂风崖羽</x:v>
      </x:c>
      <x:c r="I1137" s="22" t="n">
        <x:v>2000</x:v>
      </x:c>
      <x:c r="J1137" s="22" t="n">
        <x:v>1</x:v>
      </x:c>
      <x:c r="K1137" s="19" t="n">
        <x:v>1</x:v>
      </x:c>
      <x:c r="L1137" s="24" t="n">
        <x:v>17.25</x:v>
      </x:c>
      <x:c r="M1137" s="26" t="n">
        <x:v>0.1</x:v>
      </x:c>
      <x:c r="N1137" s="24" t="n">
        <x:v>72</x:v>
      </x:c>
      <x:c r="O1137" s="28" t="n">
        <x:f>MIN(1,L1137/I1137)</x:f>
        <x:v>0.008625</x:v>
      </x:c>
      <x:c r="P1137" s="30" t="n">
        <x:f>O1137*J1137*(1+M1137)</x:f>
        <x:v>0.009487500000000001</x:v>
      </x:c>
      <x:c r="Q1137" s="30" t="n">
        <x:f>P1137*N1137</x:f>
        <x:v>0.6831</x:v>
      </x:c>
      <x:c r="R1137" s="19" t="str">
        <x:v>独立判定</x:v>
      </x:c>
    </x:row>
    <x:row r="1138" ht="19" customHeight="1">
      <x:c r="A1138" s="19" t="str">
        <x:v>D01134</x:v>
      </x:c>
      <x:c r="B1138" s="19" t="n">
        <x:v>3</x:v>
      </x:c>
      <x:c r="C1138" s="19" t="n">
        <x:v>5</x:v>
      </x:c>
      <x:c r="D1138" s="19" t="str">
        <x:v>C03-M050</x:v>
      </x:c>
      <x:c r="E1138" s="19" t="str">
        <x:v>风沙箭手</x:v>
      </x:c>
      <x:c r="F1138" s="19" t="str">
        <x:v>普通</x:v>
      </x:c>
      <x:c r="G1138" s="19" t="str">
        <x:v>材料独立候选</x:v>
      </x:c>
      <x:c r="H1138" s="19" t="str">
        <x:v>西境风痕碑拓</x:v>
      </x:c>
      <x:c r="I1138" s="22" t="n">
        <x:v>800000</x:v>
      </x:c>
      <x:c r="J1138" s="22" t="n">
        <x:v>1</x:v>
      </x:c>
      <x:c r="K1138" s="19" t="n">
        <x:v>1</x:v>
      </x:c>
      <x:c r="L1138" s="24" t="n">
        <x:v>17.25</x:v>
      </x:c>
      <x:c r="M1138" s="26" t="n">
        <x:v>0.1</x:v>
      </x:c>
      <x:c r="N1138" s="24" t="n">
        <x:v>72</x:v>
      </x:c>
      <x:c r="O1138" s="28" t="n">
        <x:f>MIN(1,L1138/I1138)</x:f>
        <x:v>0.0000215625</x:v>
      </x:c>
      <x:c r="P1138" s="30" t="n">
        <x:f>O1138*J1138*(1+M1138)</x:f>
        <x:v>0.00002371875</x:v>
      </x:c>
      <x:c r="Q1138" s="30" t="n">
        <x:f>P1138*N1138</x:f>
        <x:v>0.00170775</x:v>
      </x:c>
      <x:c r="R1138" s="19" t="str">
        <x:v>独立判定</x:v>
      </x:c>
    </x:row>
    <x:row r="1139" ht="19" customHeight="1">
      <x:c r="A1139" s="19" t="str">
        <x:v>D01135</x:v>
      </x:c>
      <x:c r="B1139" s="19" t="n">
        <x:v>3</x:v>
      </x:c>
      <x:c r="C1139" s="19" t="n">
        <x:v>5</x:v>
      </x:c>
      <x:c r="D1139" s="19" t="str">
        <x:v>C03-M050</x:v>
      </x:c>
      <x:c r="E1139" s="19" t="str">
        <x:v>风沙箭手</x:v>
      </x:c>
      <x:c r="F1139" s="19" t="str">
        <x:v>普通</x:v>
      </x:c>
      <x:c r="G1139" s="19" t="str">
        <x:v>材料独立候选</x:v>
      </x:c>
      <x:c r="H1139" s="19" t="str">
        <x:v>野兽骨片</x:v>
      </x:c>
      <x:c r="I1139" s="22" t="n">
        <x:v>120</x:v>
      </x:c>
      <x:c r="J1139" s="22" t="n">
        <x:v>2</x:v>
      </x:c>
      <x:c r="K1139" s="19" t="n">
        <x:v>1</x:v>
      </x:c>
      <x:c r="L1139" s="24" t="n">
        <x:v>17.25</x:v>
      </x:c>
      <x:c r="M1139" s="26" t="n">
        <x:v>0.1</x:v>
      </x:c>
      <x:c r="N1139" s="24" t="n">
        <x:v>72</x:v>
      </x:c>
      <x:c r="O1139" s="28" t="n">
        <x:f>MIN(1,L1139/I1139)</x:f>
        <x:v>0.14375</x:v>
      </x:c>
      <x:c r="P1139" s="30" t="n">
        <x:f>O1139*J1139*(1+M1139)</x:f>
        <x:v>0.31625</x:v>
      </x:c>
      <x:c r="Q1139" s="30" t="n">
        <x:f>P1139*N1139</x:f>
        <x:v>22.77</x:v>
      </x:c>
      <x:c r="R1139" s="19" t="str">
        <x:v>独立判定</x:v>
      </x:c>
    </x:row>
    <x:row r="1140" ht="19" customHeight="1">
      <x:c r="A1140" s="19" t="str">
        <x:v>D01136</x:v>
      </x:c>
      <x:c r="B1140" s="19" t="n">
        <x:v>3</x:v>
      </x:c>
      <x:c r="C1140" s="19" t="n">
        <x:v>5</x:v>
      </x:c>
      <x:c r="D1140" s="19" t="str">
        <x:v>C03-M050</x:v>
      </x:c>
      <x:c r="E1140" s="19" t="str">
        <x:v>风沙箭手</x:v>
      </x:c>
      <x:c r="F1140" s="19" t="str">
        <x:v>普通</x:v>
      </x:c>
      <x:c r="G1140" s="19" t="str">
        <x:v>材料独立候选</x:v>
      </x:c>
      <x:c r="H1140" s="19" t="str">
        <x:v>技能残页</x:v>
      </x:c>
      <x:c r="I1140" s="22" t="n">
        <x:v>300</x:v>
      </x:c>
      <x:c r="J1140" s="22" t="n">
        <x:v>1</x:v>
      </x:c>
      <x:c r="K1140" s="19" t="n">
        <x:v>1</x:v>
      </x:c>
      <x:c r="L1140" s="24" t="n">
        <x:v>17.25</x:v>
      </x:c>
      <x:c r="M1140" s="26" t="n">
        <x:v>0.1</x:v>
      </x:c>
      <x:c r="N1140" s="24" t="n">
        <x:v>72</x:v>
      </x:c>
      <x:c r="O1140" s="28" t="n">
        <x:f>MIN(1,L1140/I1140)</x:f>
        <x:v>0.0575</x:v>
      </x:c>
      <x:c r="P1140" s="30" t="n">
        <x:f>O1140*J1140*(1+M1140)</x:f>
        <x:v>0.06325000000000001</x:v>
      </x:c>
      <x:c r="Q1140" s="30" t="n">
        <x:f>P1140*N1140</x:f>
        <x:v>4.554000000000001</x:v>
      </x:c>
      <x:c r="R1140" s="19" t="str">
        <x:v>独立判定</x:v>
      </x:c>
    </x:row>
    <x:row r="1141" ht="19" customHeight="1">
      <x:c r="A1141" s="19" t="str">
        <x:v>D01137</x:v>
      </x:c>
      <x:c r="B1141" s="19" t="n">
        <x:v>3</x:v>
      </x:c>
      <x:c r="C1141" s="19" t="n">
        <x:v>5</x:v>
      </x:c>
      <x:c r="D1141" s="19" t="str">
        <x:v>C03-M050</x:v>
      </x:c>
      <x:c r="E1141" s="19" t="str">
        <x:v>风沙箭手</x:v>
      </x:c>
      <x:c r="F1141" s="19" t="str">
        <x:v>普通</x:v>
      </x:c>
      <x:c r="G1141" s="19" t="str">
        <x:v>材料独立候选</x:v>
      </x:c>
      <x:c r="H1141" s="19" t="str">
        <x:v>小卢恩</x:v>
      </x:c>
      <x:c r="I1141" s="22" t="n">
        <x:v>5000</x:v>
      </x:c>
      <x:c r="J1141" s="22" t="n">
        <x:v>1</x:v>
      </x:c>
      <x:c r="K1141" s="19" t="n">
        <x:v>1</x:v>
      </x:c>
      <x:c r="L1141" s="24" t="n">
        <x:v>17.25</x:v>
      </x:c>
      <x:c r="M1141" s="26" t="n">
        <x:v>0.1</x:v>
      </x:c>
      <x:c r="N1141" s="24" t="n">
        <x:v>72</x:v>
      </x:c>
      <x:c r="O1141" s="28" t="n">
        <x:f>MIN(1,L1141/I1141)</x:f>
        <x:v>0.00345</x:v>
      </x:c>
      <x:c r="P1141" s="30" t="n">
        <x:f>O1141*J1141*(1+M1141)</x:f>
        <x:v>0.003795</x:v>
      </x:c>
      <x:c r="Q1141" s="30" t="n">
        <x:f>P1141*N1141</x:f>
        <x:v>0.27324000000000004</x:v>
      </x:c>
      <x:c r="R1141" s="19" t="str">
        <x:v>独立判定</x:v>
      </x:c>
    </x:row>
    <x:row r="1142" ht="19" customHeight="1">
      <x:c r="A1142" s="19" t="str">
        <x:v>D01138</x:v>
      </x:c>
      <x:c r="B1142" s="19" t="n">
        <x:v>3</x:v>
      </x:c>
      <x:c r="C1142" s="19" t="n">
        <x:v>5</x:v>
      </x:c>
      <x:c r="D1142" s="19" t="str">
        <x:v>C03-M050</x:v>
      </x:c>
      <x:c r="E1142" s="19" t="str">
        <x:v>风沙箭手</x:v>
      </x:c>
      <x:c r="F1142" s="19" t="str">
        <x:v>普通</x:v>
      </x:c>
      <x:c r="G1142" s="19" t="str">
        <x:v>六神器公共池</x:v>
      </x:c>
      <x:c r="H1142" s="19" t="str">
        <x:v>POOL006</x:v>
      </x:c>
      <x:c r="I1142" s="22" t="n">
        <x:v>20000000</x:v>
      </x:c>
      <x:c r="J1142" s="22" t="n">
        <x:v>1</x:v>
      </x:c>
      <x:c r="K1142" s="19" t="n">
        <x:v>6</x:v>
      </x:c>
      <x:c r="L1142" s="24" t="n">
        <x:v>17.25</x:v>
      </x:c>
      <x:c r="M1142" s="26" t="n">
        <x:v>0.1</x:v>
      </x:c>
      <x:c r="N1142" s="24" t="n">
        <x:v>72</x:v>
      </x:c>
      <x:c r="O1142" s="28" t="n">
        <x:f>MIN(1,L1142/I1142)</x:f>
        <x:v>8.625e-7</x:v>
      </x:c>
      <x:c r="P1142" s="30" t="n">
        <x:f>O1142*J1142*(1+M1142)</x:f>
        <x:v>9.487500000000001e-7</x:v>
      </x:c>
      <x:c r="Q1142" s="30" t="n">
        <x:f>P1142*N1142</x:f>
        <x:v>0.00006831000000000002</x:v>
      </x:c>
      <x:c r="R1142" s="19" t="str">
        <x:v>六选一；非6个独立爆率</x:v>
      </x:c>
    </x:row>
    <x:row r="1143" ht="19" customHeight="1">
      <x:c r="A1143" s="19" t="str">
        <x:v>D01139</x:v>
      </x:c>
      <x:c r="B1143" s="19" t="n">
        <x:v>3</x:v>
      </x:c>
      <x:c r="C1143" s="19" t="n">
        <x:v>5</x:v>
      </x:c>
      <x:c r="D1143" s="19" t="str">
        <x:v>C03-M051</x:v>
      </x:c>
      <x:c r="E1143" s="19" t="str">
        <x:v>回廊石卫</x:v>
      </x:c>
      <x:c r="F1143" s="19" t="str">
        <x:v>普通</x:v>
      </x:c>
      <x:c r="G1143" s="19" t="str">
        <x:v>自身专属</x:v>
      </x:c>
      <x:c r="H1143" s="19" t="str">
        <x:v>回廊石盔</x:v>
      </x:c>
      <x:c r="I1143" s="22" t="n">
        <x:v>1000</x:v>
      </x:c>
      <x:c r="J1143" s="22" t="n">
        <x:v>1</x:v>
      </x:c>
      <x:c r="K1143" s="19" t="n">
        <x:v>1</x:v>
      </x:c>
      <x:c r="L1143" s="24" t="n">
        <x:v>17.25</x:v>
      </x:c>
      <x:c r="M1143" s="26" t="n">
        <x:v>0.1</x:v>
      </x:c>
      <x:c r="N1143" s="24" t="n">
        <x:v>72</x:v>
      </x:c>
      <x:c r="O1143" s="28" t="n">
        <x:f>MIN(1,L1143/I1143)</x:f>
        <x:v>0.01725</x:v>
      </x:c>
      <x:c r="P1143" s="30" t="n">
        <x:f>O1143*J1143*(1+M1143)</x:f>
        <x:v>0.018975000000000002</x:v>
      </x:c>
      <x:c r="Q1143" s="30" t="n">
        <x:f>P1143*N1143</x:f>
        <x:v>1.3662</x:v>
      </x:c>
      <x:c r="R1143" s="19" t="str">
        <x:v>独立判定</x:v>
      </x:c>
    </x:row>
    <x:row r="1144" ht="19" customHeight="1">
      <x:c r="A1144" s="19" t="str">
        <x:v>D01140</x:v>
      </x:c>
      <x:c r="B1144" s="19" t="n">
        <x:v>3</x:v>
      </x:c>
      <x:c r="C1144" s="19" t="n">
        <x:v>5</x:v>
      </x:c>
      <x:c r="D1144" s="19" t="str">
        <x:v>C03-M051</x:v>
      </x:c>
      <x:c r="E1144" s="19" t="str">
        <x:v>回廊石卫</x:v>
      </x:c>
      <x:c r="F1144" s="19" t="str">
        <x:v>普通</x:v>
      </x:c>
      <x:c r="G1144" s="19" t="str">
        <x:v>材料独立候选</x:v>
      </x:c>
      <x:c r="H1144" s="19" t="str">
        <x:v>风蚀铁片</x:v>
      </x:c>
      <x:c r="I1144" s="22" t="n">
        <x:v>800</x:v>
      </x:c>
      <x:c r="J1144" s="22" t="n">
        <x:v>8</x:v>
      </x:c>
      <x:c r="K1144" s="19" t="n">
        <x:v>1</x:v>
      </x:c>
      <x:c r="L1144" s="24" t="n">
        <x:v>17.25</x:v>
      </x:c>
      <x:c r="M1144" s="26" t="n">
        <x:v>0.1</x:v>
      </x:c>
      <x:c r="N1144" s="24" t="n">
        <x:v>72</x:v>
      </x:c>
      <x:c r="O1144" s="28" t="n">
        <x:f>MIN(1,L1144/I1144)</x:f>
        <x:v>0.0215625</x:v>
      </x:c>
      <x:c r="P1144" s="30" t="n">
        <x:f>O1144*J1144*(1+M1144)</x:f>
        <x:v>0.18975</x:v>
      </x:c>
      <x:c r="Q1144" s="30" t="n">
        <x:f>P1144*N1144</x:f>
        <x:v>13.662</x:v>
      </x:c>
      <x:c r="R1144" s="19" t="str">
        <x:v>独立判定</x:v>
      </x:c>
    </x:row>
    <x:row r="1145" ht="19" customHeight="1">
      <x:c r="A1145" s="19" t="str">
        <x:v>D01141</x:v>
      </x:c>
      <x:c r="B1145" s="19" t="n">
        <x:v>3</x:v>
      </x:c>
      <x:c r="C1145" s="19" t="n">
        <x:v>5</x:v>
      </x:c>
      <x:c r="D1145" s="19" t="str">
        <x:v>C03-M051</x:v>
      </x:c>
      <x:c r="E1145" s="19" t="str">
        <x:v>回廊石卫</x:v>
      </x:c>
      <x:c r="F1145" s="19" t="str">
        <x:v>普通</x:v>
      </x:c>
      <x:c r="G1145" s="19" t="str">
        <x:v>材料独立候选</x:v>
      </x:c>
      <x:c r="H1145" s="19" t="str">
        <x:v>裂风崖羽</x:v>
      </x:c>
      <x:c r="I1145" s="22" t="n">
        <x:v>2000</x:v>
      </x:c>
      <x:c r="J1145" s="22" t="n">
        <x:v>1</x:v>
      </x:c>
      <x:c r="K1145" s="19" t="n">
        <x:v>1</x:v>
      </x:c>
      <x:c r="L1145" s="24" t="n">
        <x:v>17.25</x:v>
      </x:c>
      <x:c r="M1145" s="26" t="n">
        <x:v>0.1</x:v>
      </x:c>
      <x:c r="N1145" s="24" t="n">
        <x:v>72</x:v>
      </x:c>
      <x:c r="O1145" s="28" t="n">
        <x:f>MIN(1,L1145/I1145)</x:f>
        <x:v>0.008625</x:v>
      </x:c>
      <x:c r="P1145" s="30" t="n">
        <x:f>O1145*J1145*(1+M1145)</x:f>
        <x:v>0.009487500000000001</x:v>
      </x:c>
      <x:c r="Q1145" s="30" t="n">
        <x:f>P1145*N1145</x:f>
        <x:v>0.6831</x:v>
      </x:c>
      <x:c r="R1145" s="19" t="str">
        <x:v>独立判定</x:v>
      </x:c>
    </x:row>
    <x:row r="1146" ht="19" customHeight="1">
      <x:c r="A1146" s="19" t="str">
        <x:v>D01142</x:v>
      </x:c>
      <x:c r="B1146" s="19" t="n">
        <x:v>3</x:v>
      </x:c>
      <x:c r="C1146" s="19" t="n">
        <x:v>5</x:v>
      </x:c>
      <x:c r="D1146" s="19" t="str">
        <x:v>C03-M051</x:v>
      </x:c>
      <x:c r="E1146" s="19" t="str">
        <x:v>回廊石卫</x:v>
      </x:c>
      <x:c r="F1146" s="19" t="str">
        <x:v>普通</x:v>
      </x:c>
      <x:c r="G1146" s="19" t="str">
        <x:v>材料独立候选</x:v>
      </x:c>
      <x:c r="H1146" s="19" t="str">
        <x:v>西境风痕碑拓</x:v>
      </x:c>
      <x:c r="I1146" s="22" t="n">
        <x:v>800000</x:v>
      </x:c>
      <x:c r="J1146" s="22" t="n">
        <x:v>1</x:v>
      </x:c>
      <x:c r="K1146" s="19" t="n">
        <x:v>1</x:v>
      </x:c>
      <x:c r="L1146" s="24" t="n">
        <x:v>17.25</x:v>
      </x:c>
      <x:c r="M1146" s="26" t="n">
        <x:v>0.1</x:v>
      </x:c>
      <x:c r="N1146" s="24" t="n">
        <x:v>72</x:v>
      </x:c>
      <x:c r="O1146" s="28" t="n">
        <x:f>MIN(1,L1146/I1146)</x:f>
        <x:v>0.0000215625</x:v>
      </x:c>
      <x:c r="P1146" s="30" t="n">
        <x:f>O1146*J1146*(1+M1146)</x:f>
        <x:v>0.00002371875</x:v>
      </x:c>
      <x:c r="Q1146" s="30" t="n">
        <x:f>P1146*N1146</x:f>
        <x:v>0.00170775</x:v>
      </x:c>
      <x:c r="R1146" s="19" t="str">
        <x:v>独立判定</x:v>
      </x:c>
    </x:row>
    <x:row r="1147" ht="19" customHeight="1">
      <x:c r="A1147" s="19" t="str">
        <x:v>D01143</x:v>
      </x:c>
      <x:c r="B1147" s="19" t="n">
        <x:v>3</x:v>
      </x:c>
      <x:c r="C1147" s="19" t="n">
        <x:v>5</x:v>
      </x:c>
      <x:c r="D1147" s="19" t="str">
        <x:v>C03-M051</x:v>
      </x:c>
      <x:c r="E1147" s="19" t="str">
        <x:v>回廊石卫</x:v>
      </x:c>
      <x:c r="F1147" s="19" t="str">
        <x:v>普通</x:v>
      </x:c>
      <x:c r="G1147" s="19" t="str">
        <x:v>材料独立候选</x:v>
      </x:c>
      <x:c r="H1147" s="19" t="str">
        <x:v>野兽骨片</x:v>
      </x:c>
      <x:c r="I1147" s="22" t="n">
        <x:v>120</x:v>
      </x:c>
      <x:c r="J1147" s="22" t="n">
        <x:v>2</x:v>
      </x:c>
      <x:c r="K1147" s="19" t="n">
        <x:v>1</x:v>
      </x:c>
      <x:c r="L1147" s="24" t="n">
        <x:v>17.25</x:v>
      </x:c>
      <x:c r="M1147" s="26" t="n">
        <x:v>0.1</x:v>
      </x:c>
      <x:c r="N1147" s="24" t="n">
        <x:v>72</x:v>
      </x:c>
      <x:c r="O1147" s="28" t="n">
        <x:f>MIN(1,L1147/I1147)</x:f>
        <x:v>0.14375</x:v>
      </x:c>
      <x:c r="P1147" s="30" t="n">
        <x:f>O1147*J1147*(1+M1147)</x:f>
        <x:v>0.31625</x:v>
      </x:c>
      <x:c r="Q1147" s="30" t="n">
        <x:f>P1147*N1147</x:f>
        <x:v>22.77</x:v>
      </x:c>
      <x:c r="R1147" s="19" t="str">
        <x:v>独立判定</x:v>
      </x:c>
    </x:row>
    <x:row r="1148" ht="19" customHeight="1">
      <x:c r="A1148" s="19" t="str">
        <x:v>D01144</x:v>
      </x:c>
      <x:c r="B1148" s="19" t="n">
        <x:v>3</x:v>
      </x:c>
      <x:c r="C1148" s="19" t="n">
        <x:v>5</x:v>
      </x:c>
      <x:c r="D1148" s="19" t="str">
        <x:v>C03-M051</x:v>
      </x:c>
      <x:c r="E1148" s="19" t="str">
        <x:v>回廊石卫</x:v>
      </x:c>
      <x:c r="F1148" s="19" t="str">
        <x:v>普通</x:v>
      </x:c>
      <x:c r="G1148" s="19" t="str">
        <x:v>材料独立候选</x:v>
      </x:c>
      <x:c r="H1148" s="19" t="str">
        <x:v>技能残页</x:v>
      </x:c>
      <x:c r="I1148" s="22" t="n">
        <x:v>300</x:v>
      </x:c>
      <x:c r="J1148" s="22" t="n">
        <x:v>1</x:v>
      </x:c>
      <x:c r="K1148" s="19" t="n">
        <x:v>1</x:v>
      </x:c>
      <x:c r="L1148" s="24" t="n">
        <x:v>17.25</x:v>
      </x:c>
      <x:c r="M1148" s="26" t="n">
        <x:v>0.1</x:v>
      </x:c>
      <x:c r="N1148" s="24" t="n">
        <x:v>72</x:v>
      </x:c>
      <x:c r="O1148" s="28" t="n">
        <x:f>MIN(1,L1148/I1148)</x:f>
        <x:v>0.0575</x:v>
      </x:c>
      <x:c r="P1148" s="30" t="n">
        <x:f>O1148*J1148*(1+M1148)</x:f>
        <x:v>0.06325000000000001</x:v>
      </x:c>
      <x:c r="Q1148" s="30" t="n">
        <x:f>P1148*N1148</x:f>
        <x:v>4.554000000000001</x:v>
      </x:c>
      <x:c r="R1148" s="19" t="str">
        <x:v>独立判定</x:v>
      </x:c>
    </x:row>
    <x:row r="1149" ht="19" customHeight="1">
      <x:c r="A1149" s="19" t="str">
        <x:v>D01145</x:v>
      </x:c>
      <x:c r="B1149" s="19" t="n">
        <x:v>3</x:v>
      </x:c>
      <x:c r="C1149" s="19" t="n">
        <x:v>5</x:v>
      </x:c>
      <x:c r="D1149" s="19" t="str">
        <x:v>C03-M051</x:v>
      </x:c>
      <x:c r="E1149" s="19" t="str">
        <x:v>回廊石卫</x:v>
      </x:c>
      <x:c r="F1149" s="19" t="str">
        <x:v>普通</x:v>
      </x:c>
      <x:c r="G1149" s="19" t="str">
        <x:v>材料独立候选</x:v>
      </x:c>
      <x:c r="H1149" s="19" t="str">
        <x:v>小卢恩</x:v>
      </x:c>
      <x:c r="I1149" s="22" t="n">
        <x:v>5000</x:v>
      </x:c>
      <x:c r="J1149" s="22" t="n">
        <x:v>1</x:v>
      </x:c>
      <x:c r="K1149" s="19" t="n">
        <x:v>1</x:v>
      </x:c>
      <x:c r="L1149" s="24" t="n">
        <x:v>17.25</x:v>
      </x:c>
      <x:c r="M1149" s="26" t="n">
        <x:v>0.1</x:v>
      </x:c>
      <x:c r="N1149" s="24" t="n">
        <x:v>72</x:v>
      </x:c>
      <x:c r="O1149" s="28" t="n">
        <x:f>MIN(1,L1149/I1149)</x:f>
        <x:v>0.00345</x:v>
      </x:c>
      <x:c r="P1149" s="30" t="n">
        <x:f>O1149*J1149*(1+M1149)</x:f>
        <x:v>0.003795</x:v>
      </x:c>
      <x:c r="Q1149" s="30" t="n">
        <x:f>P1149*N1149</x:f>
        <x:v>0.27324000000000004</x:v>
      </x:c>
      <x:c r="R1149" s="19" t="str">
        <x:v>独立判定</x:v>
      </x:c>
    </x:row>
    <x:row r="1150" ht="19" customHeight="1">
      <x:c r="A1150" s="19" t="str">
        <x:v>D01146</x:v>
      </x:c>
      <x:c r="B1150" s="19" t="n">
        <x:v>3</x:v>
      </x:c>
      <x:c r="C1150" s="19" t="n">
        <x:v>5</x:v>
      </x:c>
      <x:c r="D1150" s="19" t="str">
        <x:v>C03-M051</x:v>
      </x:c>
      <x:c r="E1150" s="19" t="str">
        <x:v>回廊石卫</x:v>
      </x:c>
      <x:c r="F1150" s="19" t="str">
        <x:v>普通</x:v>
      </x:c>
      <x:c r="G1150" s="19" t="str">
        <x:v>六神器公共池</x:v>
      </x:c>
      <x:c r="H1150" s="19" t="str">
        <x:v>POOL006</x:v>
      </x:c>
      <x:c r="I1150" s="22" t="n">
        <x:v>20000000</x:v>
      </x:c>
      <x:c r="J1150" s="22" t="n">
        <x:v>1</x:v>
      </x:c>
      <x:c r="K1150" s="19" t="n">
        <x:v>6</x:v>
      </x:c>
      <x:c r="L1150" s="24" t="n">
        <x:v>17.25</x:v>
      </x:c>
      <x:c r="M1150" s="26" t="n">
        <x:v>0.1</x:v>
      </x:c>
      <x:c r="N1150" s="24" t="n">
        <x:v>72</x:v>
      </x:c>
      <x:c r="O1150" s="28" t="n">
        <x:f>MIN(1,L1150/I1150)</x:f>
        <x:v>8.625e-7</x:v>
      </x:c>
      <x:c r="P1150" s="30" t="n">
        <x:f>O1150*J1150*(1+M1150)</x:f>
        <x:v>9.487500000000001e-7</x:v>
      </x:c>
      <x:c r="Q1150" s="30" t="n">
        <x:f>P1150*N1150</x:f>
        <x:v>0.00006831000000000002</x:v>
      </x:c>
      <x:c r="R1150" s="19" t="str">
        <x:v>六选一；非6个独立爆率</x:v>
      </x:c>
    </x:row>
    <x:row r="1151" ht="19" customHeight="1">
      <x:c r="A1151" s="19" t="str">
        <x:v>D01147</x:v>
      </x:c>
      <x:c r="B1151" s="19" t="n">
        <x:v>3</x:v>
      </x:c>
      <x:c r="C1151" s="19" t="n">
        <x:v>5</x:v>
      </x:c>
      <x:c r="D1151" s="19" t="str">
        <x:v>C03-M052</x:v>
      </x:c>
      <x:c r="E1151" s="19" t="str">
        <x:v>地宫掘墓人</x:v>
      </x:c>
      <x:c r="F1151" s="19" t="str">
        <x:v>普通</x:v>
      </x:c>
      <x:c r="G1151" s="19" t="str">
        <x:v>自身专属</x:v>
      </x:c>
      <x:c r="H1151" s="19" t="str">
        <x:v>掘墓铁镯</x:v>
      </x:c>
      <x:c r="I1151" s="22" t="n">
        <x:v>1000</x:v>
      </x:c>
      <x:c r="J1151" s="22" t="n">
        <x:v>1</x:v>
      </x:c>
      <x:c r="K1151" s="19" t="n">
        <x:v>1</x:v>
      </x:c>
      <x:c r="L1151" s="24" t="n">
        <x:v>17.25</x:v>
      </x:c>
      <x:c r="M1151" s="26" t="n">
        <x:v>0.1</x:v>
      </x:c>
      <x:c r="N1151" s="24" t="n">
        <x:v>72</x:v>
      </x:c>
      <x:c r="O1151" s="28" t="n">
        <x:f>MIN(1,L1151/I1151)</x:f>
        <x:v>0.01725</x:v>
      </x:c>
      <x:c r="P1151" s="30" t="n">
        <x:f>O1151*J1151*(1+M1151)</x:f>
        <x:v>0.018975000000000002</x:v>
      </x:c>
      <x:c r="Q1151" s="30" t="n">
        <x:f>P1151*N1151</x:f>
        <x:v>1.3662</x:v>
      </x:c>
      <x:c r="R1151" s="19" t="str">
        <x:v>独立判定</x:v>
      </x:c>
    </x:row>
    <x:row r="1152" ht="19" customHeight="1">
      <x:c r="A1152" s="19" t="str">
        <x:v>D01148</x:v>
      </x:c>
      <x:c r="B1152" s="19" t="n">
        <x:v>3</x:v>
      </x:c>
      <x:c r="C1152" s="19" t="n">
        <x:v>5</x:v>
      </x:c>
      <x:c r="D1152" s="19" t="str">
        <x:v>C03-M052</x:v>
      </x:c>
      <x:c r="E1152" s="19" t="str">
        <x:v>地宫掘墓人</x:v>
      </x:c>
      <x:c r="F1152" s="19" t="str">
        <x:v>普通</x:v>
      </x:c>
      <x:c r="G1152" s="19" t="str">
        <x:v>材料独立候选</x:v>
      </x:c>
      <x:c r="H1152" s="19" t="str">
        <x:v>风蚀铁片</x:v>
      </x:c>
      <x:c r="I1152" s="22" t="n">
        <x:v>800</x:v>
      </x:c>
      <x:c r="J1152" s="22" t="n">
        <x:v>8</x:v>
      </x:c>
      <x:c r="K1152" s="19" t="n">
        <x:v>1</x:v>
      </x:c>
      <x:c r="L1152" s="24" t="n">
        <x:v>17.25</x:v>
      </x:c>
      <x:c r="M1152" s="26" t="n">
        <x:v>0.1</x:v>
      </x:c>
      <x:c r="N1152" s="24" t="n">
        <x:v>72</x:v>
      </x:c>
      <x:c r="O1152" s="28" t="n">
        <x:f>MIN(1,L1152/I1152)</x:f>
        <x:v>0.0215625</x:v>
      </x:c>
      <x:c r="P1152" s="30" t="n">
        <x:f>O1152*J1152*(1+M1152)</x:f>
        <x:v>0.18975</x:v>
      </x:c>
      <x:c r="Q1152" s="30" t="n">
        <x:f>P1152*N1152</x:f>
        <x:v>13.662</x:v>
      </x:c>
      <x:c r="R1152" s="19" t="str">
        <x:v>独立判定</x:v>
      </x:c>
    </x:row>
    <x:row r="1153" ht="19" customHeight="1">
      <x:c r="A1153" s="19" t="str">
        <x:v>D01149</x:v>
      </x:c>
      <x:c r="B1153" s="19" t="n">
        <x:v>3</x:v>
      </x:c>
      <x:c r="C1153" s="19" t="n">
        <x:v>5</x:v>
      </x:c>
      <x:c r="D1153" s="19" t="str">
        <x:v>C03-M052</x:v>
      </x:c>
      <x:c r="E1153" s="19" t="str">
        <x:v>地宫掘墓人</x:v>
      </x:c>
      <x:c r="F1153" s="19" t="str">
        <x:v>普通</x:v>
      </x:c>
      <x:c r="G1153" s="19" t="str">
        <x:v>材料独立候选</x:v>
      </x:c>
      <x:c r="H1153" s="19" t="str">
        <x:v>裂风崖羽</x:v>
      </x:c>
      <x:c r="I1153" s="22" t="n">
        <x:v>2000</x:v>
      </x:c>
      <x:c r="J1153" s="22" t="n">
        <x:v>1</x:v>
      </x:c>
      <x:c r="K1153" s="19" t="n">
        <x:v>1</x:v>
      </x:c>
      <x:c r="L1153" s="24" t="n">
        <x:v>17.25</x:v>
      </x:c>
      <x:c r="M1153" s="26" t="n">
        <x:v>0.1</x:v>
      </x:c>
      <x:c r="N1153" s="24" t="n">
        <x:v>72</x:v>
      </x:c>
      <x:c r="O1153" s="28" t="n">
        <x:f>MIN(1,L1153/I1153)</x:f>
        <x:v>0.008625</x:v>
      </x:c>
      <x:c r="P1153" s="30" t="n">
        <x:f>O1153*J1153*(1+M1153)</x:f>
        <x:v>0.009487500000000001</x:v>
      </x:c>
      <x:c r="Q1153" s="30" t="n">
        <x:f>P1153*N1153</x:f>
        <x:v>0.6831</x:v>
      </x:c>
      <x:c r="R1153" s="19" t="str">
        <x:v>独立判定</x:v>
      </x:c>
    </x:row>
    <x:row r="1154" ht="19" customHeight="1">
      <x:c r="A1154" s="19" t="str">
        <x:v>D01150</x:v>
      </x:c>
      <x:c r="B1154" s="19" t="n">
        <x:v>3</x:v>
      </x:c>
      <x:c r="C1154" s="19" t="n">
        <x:v>5</x:v>
      </x:c>
      <x:c r="D1154" s="19" t="str">
        <x:v>C03-M052</x:v>
      </x:c>
      <x:c r="E1154" s="19" t="str">
        <x:v>地宫掘墓人</x:v>
      </x:c>
      <x:c r="F1154" s="19" t="str">
        <x:v>普通</x:v>
      </x:c>
      <x:c r="G1154" s="19" t="str">
        <x:v>材料独立候选</x:v>
      </x:c>
      <x:c r="H1154" s="19" t="str">
        <x:v>西境风痕碑拓</x:v>
      </x:c>
      <x:c r="I1154" s="22" t="n">
        <x:v>800000</x:v>
      </x:c>
      <x:c r="J1154" s="22" t="n">
        <x:v>1</x:v>
      </x:c>
      <x:c r="K1154" s="19" t="n">
        <x:v>1</x:v>
      </x:c>
      <x:c r="L1154" s="24" t="n">
        <x:v>17.25</x:v>
      </x:c>
      <x:c r="M1154" s="26" t="n">
        <x:v>0.1</x:v>
      </x:c>
      <x:c r="N1154" s="24" t="n">
        <x:v>72</x:v>
      </x:c>
      <x:c r="O1154" s="28" t="n">
        <x:f>MIN(1,L1154/I1154)</x:f>
        <x:v>0.0000215625</x:v>
      </x:c>
      <x:c r="P1154" s="30" t="n">
        <x:f>O1154*J1154*(1+M1154)</x:f>
        <x:v>0.00002371875</x:v>
      </x:c>
      <x:c r="Q1154" s="30" t="n">
        <x:f>P1154*N1154</x:f>
        <x:v>0.00170775</x:v>
      </x:c>
      <x:c r="R1154" s="19" t="str">
        <x:v>独立判定</x:v>
      </x:c>
    </x:row>
    <x:row r="1155" ht="19" customHeight="1">
      <x:c r="A1155" s="19" t="str">
        <x:v>D01151</x:v>
      </x:c>
      <x:c r="B1155" s="19" t="n">
        <x:v>3</x:v>
      </x:c>
      <x:c r="C1155" s="19" t="n">
        <x:v>5</x:v>
      </x:c>
      <x:c r="D1155" s="19" t="str">
        <x:v>C03-M052</x:v>
      </x:c>
      <x:c r="E1155" s="19" t="str">
        <x:v>地宫掘墓人</x:v>
      </x:c>
      <x:c r="F1155" s="19" t="str">
        <x:v>普通</x:v>
      </x:c>
      <x:c r="G1155" s="19" t="str">
        <x:v>材料独立候选</x:v>
      </x:c>
      <x:c r="H1155" s="19" t="str">
        <x:v>野兽骨片</x:v>
      </x:c>
      <x:c r="I1155" s="22" t="n">
        <x:v>120</x:v>
      </x:c>
      <x:c r="J1155" s="22" t="n">
        <x:v>2</x:v>
      </x:c>
      <x:c r="K1155" s="19" t="n">
        <x:v>1</x:v>
      </x:c>
      <x:c r="L1155" s="24" t="n">
        <x:v>17.25</x:v>
      </x:c>
      <x:c r="M1155" s="26" t="n">
        <x:v>0.1</x:v>
      </x:c>
      <x:c r="N1155" s="24" t="n">
        <x:v>72</x:v>
      </x:c>
      <x:c r="O1155" s="28" t="n">
        <x:f>MIN(1,L1155/I1155)</x:f>
        <x:v>0.14375</x:v>
      </x:c>
      <x:c r="P1155" s="30" t="n">
        <x:f>O1155*J1155*(1+M1155)</x:f>
        <x:v>0.31625</x:v>
      </x:c>
      <x:c r="Q1155" s="30" t="n">
        <x:f>P1155*N1155</x:f>
        <x:v>22.77</x:v>
      </x:c>
      <x:c r="R1155" s="19" t="str">
        <x:v>独立判定</x:v>
      </x:c>
    </x:row>
    <x:row r="1156" ht="19" customHeight="1">
      <x:c r="A1156" s="19" t="str">
        <x:v>D01152</x:v>
      </x:c>
      <x:c r="B1156" s="19" t="n">
        <x:v>3</x:v>
      </x:c>
      <x:c r="C1156" s="19" t="n">
        <x:v>5</x:v>
      </x:c>
      <x:c r="D1156" s="19" t="str">
        <x:v>C03-M052</x:v>
      </x:c>
      <x:c r="E1156" s="19" t="str">
        <x:v>地宫掘墓人</x:v>
      </x:c>
      <x:c r="F1156" s="19" t="str">
        <x:v>普通</x:v>
      </x:c>
      <x:c r="G1156" s="19" t="str">
        <x:v>材料独立候选</x:v>
      </x:c>
      <x:c r="H1156" s="19" t="str">
        <x:v>技能残页</x:v>
      </x:c>
      <x:c r="I1156" s="22" t="n">
        <x:v>300</x:v>
      </x:c>
      <x:c r="J1156" s="22" t="n">
        <x:v>1</x:v>
      </x:c>
      <x:c r="K1156" s="19" t="n">
        <x:v>1</x:v>
      </x:c>
      <x:c r="L1156" s="24" t="n">
        <x:v>17.25</x:v>
      </x:c>
      <x:c r="M1156" s="26" t="n">
        <x:v>0.1</x:v>
      </x:c>
      <x:c r="N1156" s="24" t="n">
        <x:v>72</x:v>
      </x:c>
      <x:c r="O1156" s="28" t="n">
        <x:f>MIN(1,L1156/I1156)</x:f>
        <x:v>0.0575</x:v>
      </x:c>
      <x:c r="P1156" s="30" t="n">
        <x:f>O1156*J1156*(1+M1156)</x:f>
        <x:v>0.06325000000000001</x:v>
      </x:c>
      <x:c r="Q1156" s="30" t="n">
        <x:f>P1156*N1156</x:f>
        <x:v>4.554000000000001</x:v>
      </x:c>
      <x:c r="R1156" s="19" t="str">
        <x:v>独立判定</x:v>
      </x:c>
    </x:row>
    <x:row r="1157" ht="19" customHeight="1">
      <x:c r="A1157" s="19" t="str">
        <x:v>D01153</x:v>
      </x:c>
      <x:c r="B1157" s="19" t="n">
        <x:v>3</x:v>
      </x:c>
      <x:c r="C1157" s="19" t="n">
        <x:v>5</x:v>
      </x:c>
      <x:c r="D1157" s="19" t="str">
        <x:v>C03-M052</x:v>
      </x:c>
      <x:c r="E1157" s="19" t="str">
        <x:v>地宫掘墓人</x:v>
      </x:c>
      <x:c r="F1157" s="19" t="str">
        <x:v>普通</x:v>
      </x:c>
      <x:c r="G1157" s="19" t="str">
        <x:v>材料独立候选</x:v>
      </x:c>
      <x:c r="H1157" s="19" t="str">
        <x:v>小卢恩</x:v>
      </x:c>
      <x:c r="I1157" s="22" t="n">
        <x:v>5000</x:v>
      </x:c>
      <x:c r="J1157" s="22" t="n">
        <x:v>1</x:v>
      </x:c>
      <x:c r="K1157" s="19" t="n">
        <x:v>1</x:v>
      </x:c>
      <x:c r="L1157" s="24" t="n">
        <x:v>17.25</x:v>
      </x:c>
      <x:c r="M1157" s="26" t="n">
        <x:v>0.1</x:v>
      </x:c>
      <x:c r="N1157" s="24" t="n">
        <x:v>72</x:v>
      </x:c>
      <x:c r="O1157" s="28" t="n">
        <x:f>MIN(1,L1157/I1157)</x:f>
        <x:v>0.00345</x:v>
      </x:c>
      <x:c r="P1157" s="30" t="n">
        <x:f>O1157*J1157*(1+M1157)</x:f>
        <x:v>0.003795</x:v>
      </x:c>
      <x:c r="Q1157" s="30" t="n">
        <x:f>P1157*N1157</x:f>
        <x:v>0.27324000000000004</x:v>
      </x:c>
      <x:c r="R1157" s="19" t="str">
        <x:v>独立判定</x:v>
      </x:c>
    </x:row>
    <x:row r="1158" ht="19" customHeight="1">
      <x:c r="A1158" s="19" t="str">
        <x:v>D01154</x:v>
      </x:c>
      <x:c r="B1158" s="19" t="n">
        <x:v>3</x:v>
      </x:c>
      <x:c r="C1158" s="19" t="n">
        <x:v>5</x:v>
      </x:c>
      <x:c r="D1158" s="19" t="str">
        <x:v>C03-M052</x:v>
      </x:c>
      <x:c r="E1158" s="19" t="str">
        <x:v>地宫掘墓人</x:v>
      </x:c>
      <x:c r="F1158" s="19" t="str">
        <x:v>普通</x:v>
      </x:c>
      <x:c r="G1158" s="19" t="str">
        <x:v>六神器公共池</x:v>
      </x:c>
      <x:c r="H1158" s="19" t="str">
        <x:v>POOL006</x:v>
      </x:c>
      <x:c r="I1158" s="22" t="n">
        <x:v>20000000</x:v>
      </x:c>
      <x:c r="J1158" s="22" t="n">
        <x:v>1</x:v>
      </x:c>
      <x:c r="K1158" s="19" t="n">
        <x:v>6</x:v>
      </x:c>
      <x:c r="L1158" s="24" t="n">
        <x:v>17.25</x:v>
      </x:c>
      <x:c r="M1158" s="26" t="n">
        <x:v>0.1</x:v>
      </x:c>
      <x:c r="N1158" s="24" t="n">
        <x:v>72</x:v>
      </x:c>
      <x:c r="O1158" s="28" t="n">
        <x:f>MIN(1,L1158/I1158)</x:f>
        <x:v>8.625e-7</x:v>
      </x:c>
      <x:c r="P1158" s="30" t="n">
        <x:f>O1158*J1158*(1+M1158)</x:f>
        <x:v>9.487500000000001e-7</x:v>
      </x:c>
      <x:c r="Q1158" s="30" t="n">
        <x:f>P1158*N1158</x:f>
        <x:v>0.00006831000000000002</x:v>
      </x:c>
      <x:c r="R1158" s="19" t="str">
        <x:v>六选一；非6个独立爆率</x:v>
      </x:c>
    </x:row>
    <x:row r="1159" ht="19" customHeight="1">
      <x:c r="A1159" s="19" t="str">
        <x:v>D01155</x:v>
      </x:c>
      <x:c r="B1159" s="19" t="n">
        <x:v>3</x:v>
      </x:c>
      <x:c r="C1159" s="19" t="n">
        <x:v>5</x:v>
      </x:c>
      <x:c r="D1159" s="19" t="str">
        <x:v>C03-M053</x:v>
      </x:c>
      <x:c r="E1159" s="19" t="str">
        <x:v>边墙猎犬</x:v>
      </x:c>
      <x:c r="F1159" s="19" t="str">
        <x:v>普通</x:v>
      </x:c>
      <x:c r="G1159" s="19" t="str">
        <x:v>自身专属</x:v>
      </x:c>
      <x:c r="H1159" s="19" t="str">
        <x:v>边墙牙戒</x:v>
      </x:c>
      <x:c r="I1159" s="22" t="n">
        <x:v>1000</x:v>
      </x:c>
      <x:c r="J1159" s="22" t="n">
        <x:v>1</x:v>
      </x:c>
      <x:c r="K1159" s="19" t="n">
        <x:v>1</x:v>
      </x:c>
      <x:c r="L1159" s="24" t="n">
        <x:v>17.25</x:v>
      </x:c>
      <x:c r="M1159" s="26" t="n">
        <x:v>0.1</x:v>
      </x:c>
      <x:c r="N1159" s="24" t="n">
        <x:v>72</x:v>
      </x:c>
      <x:c r="O1159" s="28" t="n">
        <x:f>MIN(1,L1159/I1159)</x:f>
        <x:v>0.01725</x:v>
      </x:c>
      <x:c r="P1159" s="30" t="n">
        <x:f>O1159*J1159*(1+M1159)</x:f>
        <x:v>0.018975000000000002</x:v>
      </x:c>
      <x:c r="Q1159" s="30" t="n">
        <x:f>P1159*N1159</x:f>
        <x:v>1.3662</x:v>
      </x:c>
      <x:c r="R1159" s="19" t="str">
        <x:v>独立判定</x:v>
      </x:c>
    </x:row>
    <x:row r="1160" ht="19" customHeight="1">
      <x:c r="A1160" s="19" t="str">
        <x:v>D01156</x:v>
      </x:c>
      <x:c r="B1160" s="19" t="n">
        <x:v>3</x:v>
      </x:c>
      <x:c r="C1160" s="19" t="n">
        <x:v>5</x:v>
      </x:c>
      <x:c r="D1160" s="19" t="str">
        <x:v>C03-M053</x:v>
      </x:c>
      <x:c r="E1160" s="19" t="str">
        <x:v>边墙猎犬</x:v>
      </x:c>
      <x:c r="F1160" s="19" t="str">
        <x:v>普通</x:v>
      </x:c>
      <x:c r="G1160" s="19" t="str">
        <x:v>材料独立候选</x:v>
      </x:c>
      <x:c r="H1160" s="19" t="str">
        <x:v>风蚀铁片</x:v>
      </x:c>
      <x:c r="I1160" s="22" t="n">
        <x:v>800</x:v>
      </x:c>
      <x:c r="J1160" s="22" t="n">
        <x:v>8</x:v>
      </x:c>
      <x:c r="K1160" s="19" t="n">
        <x:v>1</x:v>
      </x:c>
      <x:c r="L1160" s="24" t="n">
        <x:v>17.25</x:v>
      </x:c>
      <x:c r="M1160" s="26" t="n">
        <x:v>0.1</x:v>
      </x:c>
      <x:c r="N1160" s="24" t="n">
        <x:v>72</x:v>
      </x:c>
      <x:c r="O1160" s="28" t="n">
        <x:f>MIN(1,L1160/I1160)</x:f>
        <x:v>0.0215625</x:v>
      </x:c>
      <x:c r="P1160" s="30" t="n">
        <x:f>O1160*J1160*(1+M1160)</x:f>
        <x:v>0.18975</x:v>
      </x:c>
      <x:c r="Q1160" s="30" t="n">
        <x:f>P1160*N1160</x:f>
        <x:v>13.662</x:v>
      </x:c>
      <x:c r="R1160" s="19" t="str">
        <x:v>独立判定</x:v>
      </x:c>
    </x:row>
    <x:row r="1161" ht="19" customHeight="1">
      <x:c r="A1161" s="19" t="str">
        <x:v>D01157</x:v>
      </x:c>
      <x:c r="B1161" s="19" t="n">
        <x:v>3</x:v>
      </x:c>
      <x:c r="C1161" s="19" t="n">
        <x:v>5</x:v>
      </x:c>
      <x:c r="D1161" s="19" t="str">
        <x:v>C03-M053</x:v>
      </x:c>
      <x:c r="E1161" s="19" t="str">
        <x:v>边墙猎犬</x:v>
      </x:c>
      <x:c r="F1161" s="19" t="str">
        <x:v>普通</x:v>
      </x:c>
      <x:c r="G1161" s="19" t="str">
        <x:v>材料独立候选</x:v>
      </x:c>
      <x:c r="H1161" s="19" t="str">
        <x:v>裂风崖羽</x:v>
      </x:c>
      <x:c r="I1161" s="22" t="n">
        <x:v>2000</x:v>
      </x:c>
      <x:c r="J1161" s="22" t="n">
        <x:v>1</x:v>
      </x:c>
      <x:c r="K1161" s="19" t="n">
        <x:v>1</x:v>
      </x:c>
      <x:c r="L1161" s="24" t="n">
        <x:v>17.25</x:v>
      </x:c>
      <x:c r="M1161" s="26" t="n">
        <x:v>0.1</x:v>
      </x:c>
      <x:c r="N1161" s="24" t="n">
        <x:v>72</x:v>
      </x:c>
      <x:c r="O1161" s="28" t="n">
        <x:f>MIN(1,L1161/I1161)</x:f>
        <x:v>0.008625</x:v>
      </x:c>
      <x:c r="P1161" s="30" t="n">
        <x:f>O1161*J1161*(1+M1161)</x:f>
        <x:v>0.009487500000000001</x:v>
      </x:c>
      <x:c r="Q1161" s="30" t="n">
        <x:f>P1161*N1161</x:f>
        <x:v>0.6831</x:v>
      </x:c>
      <x:c r="R1161" s="19" t="str">
        <x:v>独立判定</x:v>
      </x:c>
    </x:row>
    <x:row r="1162" ht="19" customHeight="1">
      <x:c r="A1162" s="19" t="str">
        <x:v>D01158</x:v>
      </x:c>
      <x:c r="B1162" s="19" t="n">
        <x:v>3</x:v>
      </x:c>
      <x:c r="C1162" s="19" t="n">
        <x:v>5</x:v>
      </x:c>
      <x:c r="D1162" s="19" t="str">
        <x:v>C03-M053</x:v>
      </x:c>
      <x:c r="E1162" s="19" t="str">
        <x:v>边墙猎犬</x:v>
      </x:c>
      <x:c r="F1162" s="19" t="str">
        <x:v>普通</x:v>
      </x:c>
      <x:c r="G1162" s="19" t="str">
        <x:v>材料独立候选</x:v>
      </x:c>
      <x:c r="H1162" s="19" t="str">
        <x:v>西境风痕碑拓</x:v>
      </x:c>
      <x:c r="I1162" s="22" t="n">
        <x:v>800000</x:v>
      </x:c>
      <x:c r="J1162" s="22" t="n">
        <x:v>1</x:v>
      </x:c>
      <x:c r="K1162" s="19" t="n">
        <x:v>1</x:v>
      </x:c>
      <x:c r="L1162" s="24" t="n">
        <x:v>17.25</x:v>
      </x:c>
      <x:c r="M1162" s="26" t="n">
        <x:v>0.1</x:v>
      </x:c>
      <x:c r="N1162" s="24" t="n">
        <x:v>72</x:v>
      </x:c>
      <x:c r="O1162" s="28" t="n">
        <x:f>MIN(1,L1162/I1162)</x:f>
        <x:v>0.0000215625</x:v>
      </x:c>
      <x:c r="P1162" s="30" t="n">
        <x:f>O1162*J1162*(1+M1162)</x:f>
        <x:v>0.00002371875</x:v>
      </x:c>
      <x:c r="Q1162" s="30" t="n">
        <x:f>P1162*N1162</x:f>
        <x:v>0.00170775</x:v>
      </x:c>
      <x:c r="R1162" s="19" t="str">
        <x:v>独立判定</x:v>
      </x:c>
    </x:row>
    <x:row r="1163" ht="19" customHeight="1">
      <x:c r="A1163" s="19" t="str">
        <x:v>D01159</x:v>
      </x:c>
      <x:c r="B1163" s="19" t="n">
        <x:v>3</x:v>
      </x:c>
      <x:c r="C1163" s="19" t="n">
        <x:v>5</x:v>
      </x:c>
      <x:c r="D1163" s="19" t="str">
        <x:v>C03-M053</x:v>
      </x:c>
      <x:c r="E1163" s="19" t="str">
        <x:v>边墙猎犬</x:v>
      </x:c>
      <x:c r="F1163" s="19" t="str">
        <x:v>普通</x:v>
      </x:c>
      <x:c r="G1163" s="19" t="str">
        <x:v>材料独立候选</x:v>
      </x:c>
      <x:c r="H1163" s="19" t="str">
        <x:v>野兽骨片</x:v>
      </x:c>
      <x:c r="I1163" s="22" t="n">
        <x:v>120</x:v>
      </x:c>
      <x:c r="J1163" s="22" t="n">
        <x:v>2</x:v>
      </x:c>
      <x:c r="K1163" s="19" t="n">
        <x:v>1</x:v>
      </x:c>
      <x:c r="L1163" s="24" t="n">
        <x:v>17.25</x:v>
      </x:c>
      <x:c r="M1163" s="26" t="n">
        <x:v>0.1</x:v>
      </x:c>
      <x:c r="N1163" s="24" t="n">
        <x:v>72</x:v>
      </x:c>
      <x:c r="O1163" s="28" t="n">
        <x:f>MIN(1,L1163/I1163)</x:f>
        <x:v>0.14375</x:v>
      </x:c>
      <x:c r="P1163" s="30" t="n">
        <x:f>O1163*J1163*(1+M1163)</x:f>
        <x:v>0.31625</x:v>
      </x:c>
      <x:c r="Q1163" s="30" t="n">
        <x:f>P1163*N1163</x:f>
        <x:v>22.77</x:v>
      </x:c>
      <x:c r="R1163" s="19" t="str">
        <x:v>独立判定</x:v>
      </x:c>
    </x:row>
    <x:row r="1164" ht="19" customHeight="1">
      <x:c r="A1164" s="19" t="str">
        <x:v>D01160</x:v>
      </x:c>
      <x:c r="B1164" s="19" t="n">
        <x:v>3</x:v>
      </x:c>
      <x:c r="C1164" s="19" t="n">
        <x:v>5</x:v>
      </x:c>
      <x:c r="D1164" s="19" t="str">
        <x:v>C03-M053</x:v>
      </x:c>
      <x:c r="E1164" s="19" t="str">
        <x:v>边墙猎犬</x:v>
      </x:c>
      <x:c r="F1164" s="19" t="str">
        <x:v>普通</x:v>
      </x:c>
      <x:c r="G1164" s="19" t="str">
        <x:v>材料独立候选</x:v>
      </x:c>
      <x:c r="H1164" s="19" t="str">
        <x:v>技能残页</x:v>
      </x:c>
      <x:c r="I1164" s="22" t="n">
        <x:v>300</x:v>
      </x:c>
      <x:c r="J1164" s="22" t="n">
        <x:v>1</x:v>
      </x:c>
      <x:c r="K1164" s="19" t="n">
        <x:v>1</x:v>
      </x:c>
      <x:c r="L1164" s="24" t="n">
        <x:v>17.25</x:v>
      </x:c>
      <x:c r="M1164" s="26" t="n">
        <x:v>0.1</x:v>
      </x:c>
      <x:c r="N1164" s="24" t="n">
        <x:v>72</x:v>
      </x:c>
      <x:c r="O1164" s="28" t="n">
        <x:f>MIN(1,L1164/I1164)</x:f>
        <x:v>0.0575</x:v>
      </x:c>
      <x:c r="P1164" s="30" t="n">
        <x:f>O1164*J1164*(1+M1164)</x:f>
        <x:v>0.06325000000000001</x:v>
      </x:c>
      <x:c r="Q1164" s="30" t="n">
        <x:f>P1164*N1164</x:f>
        <x:v>4.554000000000001</x:v>
      </x:c>
      <x:c r="R1164" s="19" t="str">
        <x:v>独立判定</x:v>
      </x:c>
    </x:row>
    <x:row r="1165" ht="19" customHeight="1">
      <x:c r="A1165" s="19" t="str">
        <x:v>D01161</x:v>
      </x:c>
      <x:c r="B1165" s="19" t="n">
        <x:v>3</x:v>
      </x:c>
      <x:c r="C1165" s="19" t="n">
        <x:v>5</x:v>
      </x:c>
      <x:c r="D1165" s="19" t="str">
        <x:v>C03-M053</x:v>
      </x:c>
      <x:c r="E1165" s="19" t="str">
        <x:v>边墙猎犬</x:v>
      </x:c>
      <x:c r="F1165" s="19" t="str">
        <x:v>普通</x:v>
      </x:c>
      <x:c r="G1165" s="19" t="str">
        <x:v>材料独立候选</x:v>
      </x:c>
      <x:c r="H1165" s="19" t="str">
        <x:v>小卢恩</x:v>
      </x:c>
      <x:c r="I1165" s="22" t="n">
        <x:v>5000</x:v>
      </x:c>
      <x:c r="J1165" s="22" t="n">
        <x:v>1</x:v>
      </x:c>
      <x:c r="K1165" s="19" t="n">
        <x:v>1</x:v>
      </x:c>
      <x:c r="L1165" s="24" t="n">
        <x:v>17.25</x:v>
      </x:c>
      <x:c r="M1165" s="26" t="n">
        <x:v>0.1</x:v>
      </x:c>
      <x:c r="N1165" s="24" t="n">
        <x:v>72</x:v>
      </x:c>
      <x:c r="O1165" s="28" t="n">
        <x:f>MIN(1,L1165/I1165)</x:f>
        <x:v>0.00345</x:v>
      </x:c>
      <x:c r="P1165" s="30" t="n">
        <x:f>O1165*J1165*(1+M1165)</x:f>
        <x:v>0.003795</x:v>
      </x:c>
      <x:c r="Q1165" s="30" t="n">
        <x:f>P1165*N1165</x:f>
        <x:v>0.27324000000000004</x:v>
      </x:c>
      <x:c r="R1165" s="19" t="str">
        <x:v>独立判定</x:v>
      </x:c>
    </x:row>
    <x:row r="1166" ht="19" customHeight="1">
      <x:c r="A1166" s="19" t="str">
        <x:v>D01162</x:v>
      </x:c>
      <x:c r="B1166" s="19" t="n">
        <x:v>3</x:v>
      </x:c>
      <x:c r="C1166" s="19" t="n">
        <x:v>5</x:v>
      </x:c>
      <x:c r="D1166" s="19" t="str">
        <x:v>C03-M053</x:v>
      </x:c>
      <x:c r="E1166" s="19" t="str">
        <x:v>边墙猎犬</x:v>
      </x:c>
      <x:c r="F1166" s="19" t="str">
        <x:v>普通</x:v>
      </x:c>
      <x:c r="G1166" s="19" t="str">
        <x:v>六神器公共池</x:v>
      </x:c>
      <x:c r="H1166" s="19" t="str">
        <x:v>POOL006</x:v>
      </x:c>
      <x:c r="I1166" s="22" t="n">
        <x:v>20000000</x:v>
      </x:c>
      <x:c r="J1166" s="22" t="n">
        <x:v>1</x:v>
      </x:c>
      <x:c r="K1166" s="19" t="n">
        <x:v>6</x:v>
      </x:c>
      <x:c r="L1166" s="24" t="n">
        <x:v>17.25</x:v>
      </x:c>
      <x:c r="M1166" s="26" t="n">
        <x:v>0.1</x:v>
      </x:c>
      <x:c r="N1166" s="24" t="n">
        <x:v>72</x:v>
      </x:c>
      <x:c r="O1166" s="28" t="n">
        <x:f>MIN(1,L1166/I1166)</x:f>
        <x:v>8.625e-7</x:v>
      </x:c>
      <x:c r="P1166" s="30" t="n">
        <x:f>O1166*J1166*(1+M1166)</x:f>
        <x:v>9.487500000000001e-7</x:v>
      </x:c>
      <x:c r="Q1166" s="30" t="n">
        <x:f>P1166*N1166</x:f>
        <x:v>0.00006831000000000002</x:v>
      </x:c>
      <x:c r="R1166" s="19" t="str">
        <x:v>六选一；非6个独立爆率</x:v>
      </x:c>
    </x:row>
    <x:row r="1167" ht="19" customHeight="1">
      <x:c r="A1167" s="19" t="str">
        <x:v>D01163</x:v>
      </x:c>
      <x:c r="B1167" s="19" t="n">
        <x:v>3</x:v>
      </x:c>
      <x:c r="C1167" s="19" t="n">
        <x:v>5</x:v>
      </x:c>
      <x:c r="D1167" s="19" t="str">
        <x:v>C03-M054</x:v>
      </x:c>
      <x:c r="E1167" s="19" t="str">
        <x:v>铜门守卒</x:v>
      </x:c>
      <x:c r="F1167" s="19" t="str">
        <x:v>普通</x:v>
      </x:c>
      <x:c r="G1167" s="19" t="str">
        <x:v>自身专属</x:v>
      </x:c>
      <x:c r="H1167" s="19" t="str">
        <x:v>铜门束带</x:v>
      </x:c>
      <x:c r="I1167" s="22" t="n">
        <x:v>1000</x:v>
      </x:c>
      <x:c r="J1167" s="22" t="n">
        <x:v>1</x:v>
      </x:c>
      <x:c r="K1167" s="19" t="n">
        <x:v>1</x:v>
      </x:c>
      <x:c r="L1167" s="24" t="n">
        <x:v>17.25</x:v>
      </x:c>
      <x:c r="M1167" s="26" t="n">
        <x:v>0.1</x:v>
      </x:c>
      <x:c r="N1167" s="24" t="n">
        <x:v>72</x:v>
      </x:c>
      <x:c r="O1167" s="28" t="n">
        <x:f>MIN(1,L1167/I1167)</x:f>
        <x:v>0.01725</x:v>
      </x:c>
      <x:c r="P1167" s="30" t="n">
        <x:f>O1167*J1167*(1+M1167)</x:f>
        <x:v>0.018975000000000002</x:v>
      </x:c>
      <x:c r="Q1167" s="30" t="n">
        <x:f>P1167*N1167</x:f>
        <x:v>1.3662</x:v>
      </x:c>
      <x:c r="R1167" s="19" t="str">
        <x:v>独立判定</x:v>
      </x:c>
    </x:row>
    <x:row r="1168" ht="19" customHeight="1">
      <x:c r="A1168" s="19" t="str">
        <x:v>D01164</x:v>
      </x:c>
      <x:c r="B1168" s="19" t="n">
        <x:v>3</x:v>
      </x:c>
      <x:c r="C1168" s="19" t="n">
        <x:v>5</x:v>
      </x:c>
      <x:c r="D1168" s="19" t="str">
        <x:v>C03-M054</x:v>
      </x:c>
      <x:c r="E1168" s="19" t="str">
        <x:v>铜门守卒</x:v>
      </x:c>
      <x:c r="F1168" s="19" t="str">
        <x:v>普通</x:v>
      </x:c>
      <x:c r="G1168" s="19" t="str">
        <x:v>材料独立候选</x:v>
      </x:c>
      <x:c r="H1168" s="19" t="str">
        <x:v>风蚀铁片</x:v>
      </x:c>
      <x:c r="I1168" s="22" t="n">
        <x:v>800</x:v>
      </x:c>
      <x:c r="J1168" s="22" t="n">
        <x:v>8</x:v>
      </x:c>
      <x:c r="K1168" s="19" t="n">
        <x:v>1</x:v>
      </x:c>
      <x:c r="L1168" s="24" t="n">
        <x:v>17.25</x:v>
      </x:c>
      <x:c r="M1168" s="26" t="n">
        <x:v>0.1</x:v>
      </x:c>
      <x:c r="N1168" s="24" t="n">
        <x:v>72</x:v>
      </x:c>
      <x:c r="O1168" s="28" t="n">
        <x:f>MIN(1,L1168/I1168)</x:f>
        <x:v>0.0215625</x:v>
      </x:c>
      <x:c r="P1168" s="30" t="n">
        <x:f>O1168*J1168*(1+M1168)</x:f>
        <x:v>0.18975</x:v>
      </x:c>
      <x:c r="Q1168" s="30" t="n">
        <x:f>P1168*N1168</x:f>
        <x:v>13.662</x:v>
      </x:c>
      <x:c r="R1168" s="19" t="str">
        <x:v>独立判定</x:v>
      </x:c>
    </x:row>
    <x:row r="1169" ht="19" customHeight="1">
      <x:c r="A1169" s="19" t="str">
        <x:v>D01165</x:v>
      </x:c>
      <x:c r="B1169" s="19" t="n">
        <x:v>3</x:v>
      </x:c>
      <x:c r="C1169" s="19" t="n">
        <x:v>5</x:v>
      </x:c>
      <x:c r="D1169" s="19" t="str">
        <x:v>C03-M054</x:v>
      </x:c>
      <x:c r="E1169" s="19" t="str">
        <x:v>铜门守卒</x:v>
      </x:c>
      <x:c r="F1169" s="19" t="str">
        <x:v>普通</x:v>
      </x:c>
      <x:c r="G1169" s="19" t="str">
        <x:v>材料独立候选</x:v>
      </x:c>
      <x:c r="H1169" s="19" t="str">
        <x:v>裂风崖羽</x:v>
      </x:c>
      <x:c r="I1169" s="22" t="n">
        <x:v>2000</x:v>
      </x:c>
      <x:c r="J1169" s="22" t="n">
        <x:v>1</x:v>
      </x:c>
      <x:c r="K1169" s="19" t="n">
        <x:v>1</x:v>
      </x:c>
      <x:c r="L1169" s="24" t="n">
        <x:v>17.25</x:v>
      </x:c>
      <x:c r="M1169" s="26" t="n">
        <x:v>0.1</x:v>
      </x:c>
      <x:c r="N1169" s="24" t="n">
        <x:v>72</x:v>
      </x:c>
      <x:c r="O1169" s="28" t="n">
        <x:f>MIN(1,L1169/I1169)</x:f>
        <x:v>0.008625</x:v>
      </x:c>
      <x:c r="P1169" s="30" t="n">
        <x:f>O1169*J1169*(1+M1169)</x:f>
        <x:v>0.009487500000000001</x:v>
      </x:c>
      <x:c r="Q1169" s="30" t="n">
        <x:f>P1169*N1169</x:f>
        <x:v>0.6831</x:v>
      </x:c>
      <x:c r="R1169" s="19" t="str">
        <x:v>独立判定</x:v>
      </x:c>
    </x:row>
    <x:row r="1170" ht="19" customHeight="1">
      <x:c r="A1170" s="19" t="str">
        <x:v>D01166</x:v>
      </x:c>
      <x:c r="B1170" s="19" t="n">
        <x:v>3</x:v>
      </x:c>
      <x:c r="C1170" s="19" t="n">
        <x:v>5</x:v>
      </x:c>
      <x:c r="D1170" s="19" t="str">
        <x:v>C03-M054</x:v>
      </x:c>
      <x:c r="E1170" s="19" t="str">
        <x:v>铜门守卒</x:v>
      </x:c>
      <x:c r="F1170" s="19" t="str">
        <x:v>普通</x:v>
      </x:c>
      <x:c r="G1170" s="19" t="str">
        <x:v>材料独立候选</x:v>
      </x:c>
      <x:c r="H1170" s="19" t="str">
        <x:v>西境风痕碑拓</x:v>
      </x:c>
      <x:c r="I1170" s="22" t="n">
        <x:v>800000</x:v>
      </x:c>
      <x:c r="J1170" s="22" t="n">
        <x:v>1</x:v>
      </x:c>
      <x:c r="K1170" s="19" t="n">
        <x:v>1</x:v>
      </x:c>
      <x:c r="L1170" s="24" t="n">
        <x:v>17.25</x:v>
      </x:c>
      <x:c r="M1170" s="26" t="n">
        <x:v>0.1</x:v>
      </x:c>
      <x:c r="N1170" s="24" t="n">
        <x:v>72</x:v>
      </x:c>
      <x:c r="O1170" s="28" t="n">
        <x:f>MIN(1,L1170/I1170)</x:f>
        <x:v>0.0000215625</x:v>
      </x:c>
      <x:c r="P1170" s="30" t="n">
        <x:f>O1170*J1170*(1+M1170)</x:f>
        <x:v>0.00002371875</x:v>
      </x:c>
      <x:c r="Q1170" s="30" t="n">
        <x:f>P1170*N1170</x:f>
        <x:v>0.00170775</x:v>
      </x:c>
      <x:c r="R1170" s="19" t="str">
        <x:v>独立判定</x:v>
      </x:c>
    </x:row>
    <x:row r="1171" ht="19" customHeight="1">
      <x:c r="A1171" s="19" t="str">
        <x:v>D01167</x:v>
      </x:c>
      <x:c r="B1171" s="19" t="n">
        <x:v>3</x:v>
      </x:c>
      <x:c r="C1171" s="19" t="n">
        <x:v>5</x:v>
      </x:c>
      <x:c r="D1171" s="19" t="str">
        <x:v>C03-M054</x:v>
      </x:c>
      <x:c r="E1171" s="19" t="str">
        <x:v>铜门守卒</x:v>
      </x:c>
      <x:c r="F1171" s="19" t="str">
        <x:v>普通</x:v>
      </x:c>
      <x:c r="G1171" s="19" t="str">
        <x:v>材料独立候选</x:v>
      </x:c>
      <x:c r="H1171" s="19" t="str">
        <x:v>野兽骨片</x:v>
      </x:c>
      <x:c r="I1171" s="22" t="n">
        <x:v>120</x:v>
      </x:c>
      <x:c r="J1171" s="22" t="n">
        <x:v>2</x:v>
      </x:c>
      <x:c r="K1171" s="19" t="n">
        <x:v>1</x:v>
      </x:c>
      <x:c r="L1171" s="24" t="n">
        <x:v>17.25</x:v>
      </x:c>
      <x:c r="M1171" s="26" t="n">
        <x:v>0.1</x:v>
      </x:c>
      <x:c r="N1171" s="24" t="n">
        <x:v>72</x:v>
      </x:c>
      <x:c r="O1171" s="28" t="n">
        <x:f>MIN(1,L1171/I1171)</x:f>
        <x:v>0.14375</x:v>
      </x:c>
      <x:c r="P1171" s="30" t="n">
        <x:f>O1171*J1171*(1+M1171)</x:f>
        <x:v>0.31625</x:v>
      </x:c>
      <x:c r="Q1171" s="30" t="n">
        <x:f>P1171*N1171</x:f>
        <x:v>22.77</x:v>
      </x:c>
      <x:c r="R1171" s="19" t="str">
        <x:v>独立判定</x:v>
      </x:c>
    </x:row>
    <x:row r="1172" ht="19" customHeight="1">
      <x:c r="A1172" s="19" t="str">
        <x:v>D01168</x:v>
      </x:c>
      <x:c r="B1172" s="19" t="n">
        <x:v>3</x:v>
      </x:c>
      <x:c r="C1172" s="19" t="n">
        <x:v>5</x:v>
      </x:c>
      <x:c r="D1172" s="19" t="str">
        <x:v>C03-M054</x:v>
      </x:c>
      <x:c r="E1172" s="19" t="str">
        <x:v>铜门守卒</x:v>
      </x:c>
      <x:c r="F1172" s="19" t="str">
        <x:v>普通</x:v>
      </x:c>
      <x:c r="G1172" s="19" t="str">
        <x:v>材料独立候选</x:v>
      </x:c>
      <x:c r="H1172" s="19" t="str">
        <x:v>技能残页</x:v>
      </x:c>
      <x:c r="I1172" s="22" t="n">
        <x:v>300</x:v>
      </x:c>
      <x:c r="J1172" s="22" t="n">
        <x:v>1</x:v>
      </x:c>
      <x:c r="K1172" s="19" t="n">
        <x:v>1</x:v>
      </x:c>
      <x:c r="L1172" s="24" t="n">
        <x:v>17.25</x:v>
      </x:c>
      <x:c r="M1172" s="26" t="n">
        <x:v>0.1</x:v>
      </x:c>
      <x:c r="N1172" s="24" t="n">
        <x:v>72</x:v>
      </x:c>
      <x:c r="O1172" s="28" t="n">
        <x:f>MIN(1,L1172/I1172)</x:f>
        <x:v>0.0575</x:v>
      </x:c>
      <x:c r="P1172" s="30" t="n">
        <x:f>O1172*J1172*(1+M1172)</x:f>
        <x:v>0.06325000000000001</x:v>
      </x:c>
      <x:c r="Q1172" s="30" t="n">
        <x:f>P1172*N1172</x:f>
        <x:v>4.554000000000001</x:v>
      </x:c>
      <x:c r="R1172" s="19" t="str">
        <x:v>独立判定</x:v>
      </x:c>
    </x:row>
    <x:row r="1173" ht="19" customHeight="1">
      <x:c r="A1173" s="19" t="str">
        <x:v>D01169</x:v>
      </x:c>
      <x:c r="B1173" s="19" t="n">
        <x:v>3</x:v>
      </x:c>
      <x:c r="C1173" s="19" t="n">
        <x:v>5</x:v>
      </x:c>
      <x:c r="D1173" s="19" t="str">
        <x:v>C03-M054</x:v>
      </x:c>
      <x:c r="E1173" s="19" t="str">
        <x:v>铜门守卒</x:v>
      </x:c>
      <x:c r="F1173" s="19" t="str">
        <x:v>普通</x:v>
      </x:c>
      <x:c r="G1173" s="19" t="str">
        <x:v>材料独立候选</x:v>
      </x:c>
      <x:c r="H1173" s="19" t="str">
        <x:v>小卢恩</x:v>
      </x:c>
      <x:c r="I1173" s="22" t="n">
        <x:v>5000</x:v>
      </x:c>
      <x:c r="J1173" s="22" t="n">
        <x:v>1</x:v>
      </x:c>
      <x:c r="K1173" s="19" t="n">
        <x:v>1</x:v>
      </x:c>
      <x:c r="L1173" s="24" t="n">
        <x:v>17.25</x:v>
      </x:c>
      <x:c r="M1173" s="26" t="n">
        <x:v>0.1</x:v>
      </x:c>
      <x:c r="N1173" s="24" t="n">
        <x:v>72</x:v>
      </x:c>
      <x:c r="O1173" s="28" t="n">
        <x:f>MIN(1,L1173/I1173)</x:f>
        <x:v>0.00345</x:v>
      </x:c>
      <x:c r="P1173" s="30" t="n">
        <x:f>O1173*J1173*(1+M1173)</x:f>
        <x:v>0.003795</x:v>
      </x:c>
      <x:c r="Q1173" s="30" t="n">
        <x:f>P1173*N1173</x:f>
        <x:v>0.27324000000000004</x:v>
      </x:c>
      <x:c r="R1173" s="19" t="str">
        <x:v>独立判定</x:v>
      </x:c>
    </x:row>
    <x:row r="1174" ht="19" customHeight="1">
      <x:c r="A1174" s="19" t="str">
        <x:v>D01170</x:v>
      </x:c>
      <x:c r="B1174" s="19" t="n">
        <x:v>3</x:v>
      </x:c>
      <x:c r="C1174" s="19" t="n">
        <x:v>5</x:v>
      </x:c>
      <x:c r="D1174" s="19" t="str">
        <x:v>C03-M054</x:v>
      </x:c>
      <x:c r="E1174" s="19" t="str">
        <x:v>铜门守卒</x:v>
      </x:c>
      <x:c r="F1174" s="19" t="str">
        <x:v>普通</x:v>
      </x:c>
      <x:c r="G1174" s="19" t="str">
        <x:v>六神器公共池</x:v>
      </x:c>
      <x:c r="H1174" s="19" t="str">
        <x:v>POOL006</x:v>
      </x:c>
      <x:c r="I1174" s="22" t="n">
        <x:v>20000000</x:v>
      </x:c>
      <x:c r="J1174" s="22" t="n">
        <x:v>1</x:v>
      </x:c>
      <x:c r="K1174" s="19" t="n">
        <x:v>6</x:v>
      </x:c>
      <x:c r="L1174" s="24" t="n">
        <x:v>17.25</x:v>
      </x:c>
      <x:c r="M1174" s="26" t="n">
        <x:v>0.1</x:v>
      </x:c>
      <x:c r="N1174" s="24" t="n">
        <x:v>72</x:v>
      </x:c>
      <x:c r="O1174" s="28" t="n">
        <x:f>MIN(1,L1174/I1174)</x:f>
        <x:v>8.625e-7</x:v>
      </x:c>
      <x:c r="P1174" s="30" t="n">
        <x:f>O1174*J1174*(1+M1174)</x:f>
        <x:v>9.487500000000001e-7</x:v>
      </x:c>
      <x:c r="Q1174" s="30" t="n">
        <x:f>P1174*N1174</x:f>
        <x:v>0.00006831000000000002</x:v>
      </x:c>
      <x:c r="R1174" s="19" t="str">
        <x:v>六选一；非6个独立爆率</x:v>
      </x:c>
    </x:row>
    <x:row r="1175" ht="19" customHeight="1">
      <x:c r="A1175" s="19" t="str">
        <x:v>D01171</x:v>
      </x:c>
      <x:c r="B1175" s="19" t="n">
        <x:v>3</x:v>
      </x:c>
      <x:c r="C1175" s="19" t="n">
        <x:v>5</x:v>
      </x:c>
      <x:c r="D1175" s="19" t="str">
        <x:v>C03-M055</x:v>
      </x:c>
      <x:c r="E1175" s="19" t="str">
        <x:v>古垒百夫长</x:v>
      </x:c>
      <x:c r="F1175" s="19" t="str">
        <x:v>稀有</x:v>
      </x:c>
      <x:c r="G1175" s="19" t="str">
        <x:v>自身专属</x:v>
      </x:c>
      <x:c r="H1175" s="19" t="str">
        <x:v>百夫战靴</x:v>
      </x:c>
      <x:c r="I1175" s="22" t="n">
        <x:v>250</x:v>
      </x:c>
      <x:c r="J1175" s="22" t="n">
        <x:v>1</x:v>
      </x:c>
      <x:c r="K1175" s="19" t="n">
        <x:v>1</x:v>
      </x:c>
      <x:c r="L1175" s="24" t="n">
        <x:v>17.25</x:v>
      </x:c>
      <x:c r="M1175" s="26" t="n">
        <x:v>0.1</x:v>
      </x:c>
      <x:c r="N1175" s="24" t="n">
        <x:v>12</x:v>
      </x:c>
      <x:c r="O1175" s="28" t="n">
        <x:f>MIN(1,L1175/I1175)</x:f>
        <x:v>0.069</x:v>
      </x:c>
      <x:c r="P1175" s="30" t="n">
        <x:f>O1175*J1175*(1+M1175)</x:f>
        <x:v>0.07590000000000001</x:v>
      </x:c>
      <x:c r="Q1175" s="30" t="n">
        <x:f>P1175*N1175</x:f>
        <x:v>0.9108</x:v>
      </x:c>
      <x:c r="R1175" s="19" t="str">
        <x:v>独立判定</x:v>
      </x:c>
    </x:row>
    <x:row r="1176" ht="19" customHeight="1">
      <x:c r="A1176" s="19" t="str">
        <x:v>D01172</x:v>
      </x:c>
      <x:c r="B1176" s="19" t="n">
        <x:v>3</x:v>
      </x:c>
      <x:c r="C1176" s="19" t="n">
        <x:v>5</x:v>
      </x:c>
      <x:c r="D1176" s="19" t="str">
        <x:v>C03-M055</x:v>
      </x:c>
      <x:c r="E1176" s="19" t="str">
        <x:v>古垒百夫长</x:v>
      </x:c>
      <x:c r="F1176" s="19" t="str">
        <x:v>稀有</x:v>
      </x:c>
      <x:c r="G1176" s="19" t="str">
        <x:v>材料独立候选</x:v>
      </x:c>
      <x:c r="H1176" s="19" t="str">
        <x:v>风蚀铁片</x:v>
      </x:c>
      <x:c r="I1176" s="22" t="n">
        <x:v>500</x:v>
      </x:c>
      <x:c r="J1176" s="22" t="n">
        <x:v>15</x:v>
      </x:c>
      <x:c r="K1176" s="19" t="n">
        <x:v>1</x:v>
      </x:c>
      <x:c r="L1176" s="24" t="n">
        <x:v>17.25</x:v>
      </x:c>
      <x:c r="M1176" s="26" t="n">
        <x:v>0.1</x:v>
      </x:c>
      <x:c r="N1176" s="24" t="n">
        <x:v>12</x:v>
      </x:c>
      <x:c r="O1176" s="28" t="n">
        <x:f>MIN(1,L1176/I1176)</x:f>
        <x:v>0.0345</x:v>
      </x:c>
      <x:c r="P1176" s="30" t="n">
        <x:f>O1176*J1176*(1+M1176)</x:f>
        <x:v>0.5692500000000001</x:v>
      </x:c>
      <x:c r="Q1176" s="30" t="n">
        <x:f>P1176*N1176</x:f>
        <x:v>6.831000000000001</x:v>
      </x:c>
      <x:c r="R1176" s="19" t="str">
        <x:v>独立判定</x:v>
      </x:c>
    </x:row>
    <x:row r="1177" ht="19" customHeight="1">
      <x:c r="A1177" s="19" t="str">
        <x:v>D01173</x:v>
      </x:c>
      <x:c r="B1177" s="19" t="n">
        <x:v>3</x:v>
      </x:c>
      <x:c r="C1177" s="19" t="n">
        <x:v>5</x:v>
      </x:c>
      <x:c r="D1177" s="19" t="str">
        <x:v>C03-M055</x:v>
      </x:c>
      <x:c r="E1177" s="19" t="str">
        <x:v>古垒百夫长</x:v>
      </x:c>
      <x:c r="F1177" s="19" t="str">
        <x:v>稀有</x:v>
      </x:c>
      <x:c r="G1177" s="19" t="str">
        <x:v>材料独立候选</x:v>
      </x:c>
      <x:c r="H1177" s="19" t="str">
        <x:v>西境战旗</x:v>
      </x:c>
      <x:c r="I1177" s="22" t="n">
        <x:v>800</x:v>
      </x:c>
      <x:c r="J1177" s="22" t="n">
        <x:v>1</x:v>
      </x:c>
      <x:c r="K1177" s="19" t="n">
        <x:v>1</x:v>
      </x:c>
      <x:c r="L1177" s="24" t="n">
        <x:v>17.25</x:v>
      </x:c>
      <x:c r="M1177" s="26" t="n">
        <x:v>0.1</x:v>
      </x:c>
      <x:c r="N1177" s="24" t="n">
        <x:v>12</x:v>
      </x:c>
      <x:c r="O1177" s="28" t="n">
        <x:f>MIN(1,L1177/I1177)</x:f>
        <x:v>0.0215625</x:v>
      </x:c>
      <x:c r="P1177" s="30" t="n">
        <x:f>O1177*J1177*(1+M1177)</x:f>
        <x:v>0.02371875</x:v>
      </x:c>
      <x:c r="Q1177" s="30" t="n">
        <x:f>P1177*N1177</x:f>
        <x:v>0.284625</x:v>
      </x:c>
      <x:c r="R1177" s="19" t="str">
        <x:v>独立判定</x:v>
      </x:c>
    </x:row>
    <x:row r="1178" ht="19" customHeight="1">
      <x:c r="A1178" s="19" t="str">
        <x:v>D01174</x:v>
      </x:c>
      <x:c r="B1178" s="19" t="n">
        <x:v>3</x:v>
      </x:c>
      <x:c r="C1178" s="19" t="n">
        <x:v>5</x:v>
      </x:c>
      <x:c r="D1178" s="19" t="str">
        <x:v>C03-M055</x:v>
      </x:c>
      <x:c r="E1178" s="19" t="str">
        <x:v>古垒百夫长</x:v>
      </x:c>
      <x:c r="F1178" s="19" t="str">
        <x:v>稀有</x:v>
      </x:c>
      <x:c r="G1178" s="19" t="str">
        <x:v>材料独立候选</x:v>
      </x:c>
      <x:c r="H1178" s="19" t="str">
        <x:v>商队火漆</x:v>
      </x:c>
      <x:c r="I1178" s="22" t="n">
        <x:v>800</x:v>
      </x:c>
      <x:c r="J1178" s="22" t="n">
        <x:v>1</x:v>
      </x:c>
      <x:c r="K1178" s="19" t="n">
        <x:v>1</x:v>
      </x:c>
      <x:c r="L1178" s="24" t="n">
        <x:v>17.25</x:v>
      </x:c>
      <x:c r="M1178" s="26" t="n">
        <x:v>0.1</x:v>
      </x:c>
      <x:c r="N1178" s="24" t="n">
        <x:v>12</x:v>
      </x:c>
      <x:c r="O1178" s="28" t="n">
        <x:f>MIN(1,L1178/I1178)</x:f>
        <x:v>0.0215625</x:v>
      </x:c>
      <x:c r="P1178" s="30" t="n">
        <x:f>O1178*J1178*(1+M1178)</x:f>
        <x:v>0.02371875</x:v>
      </x:c>
      <x:c r="Q1178" s="30" t="n">
        <x:f>P1178*N1178</x:f>
        <x:v>0.284625</x:v>
      </x:c>
      <x:c r="R1178" s="19" t="str">
        <x:v>独立判定</x:v>
      </x:c>
    </x:row>
    <x:row r="1179" ht="19" customHeight="1">
      <x:c r="A1179" s="19" t="str">
        <x:v>D01175</x:v>
      </x:c>
      <x:c r="B1179" s="19" t="n">
        <x:v>3</x:v>
      </x:c>
      <x:c r="C1179" s="19" t="n">
        <x:v>5</x:v>
      </x:c>
      <x:c r="D1179" s="19" t="str">
        <x:v>C03-M055</x:v>
      </x:c>
      <x:c r="E1179" s="19" t="str">
        <x:v>古垒百夫长</x:v>
      </x:c>
      <x:c r="F1179" s="19" t="str">
        <x:v>稀有</x:v>
      </x:c>
      <x:c r="G1179" s="19" t="str">
        <x:v>材料独立候选</x:v>
      </x:c>
      <x:c r="H1179" s="19" t="str">
        <x:v>西境风痕碑拓</x:v>
      </x:c>
      <x:c r="I1179" s="22" t="n">
        <x:v>500000</x:v>
      </x:c>
      <x:c r="J1179" s="22" t="n">
        <x:v>1</x:v>
      </x:c>
      <x:c r="K1179" s="19" t="n">
        <x:v>1</x:v>
      </x:c>
      <x:c r="L1179" s="24" t="n">
        <x:v>17.25</x:v>
      </x:c>
      <x:c r="M1179" s="26" t="n">
        <x:v>0.1</x:v>
      </x:c>
      <x:c r="N1179" s="24" t="n">
        <x:v>12</x:v>
      </x:c>
      <x:c r="O1179" s="28" t="n">
        <x:f>MIN(1,L1179/I1179)</x:f>
        <x:v>0.0000345</x:v>
      </x:c>
      <x:c r="P1179" s="30" t="n">
        <x:f>O1179*J1179*(1+M1179)</x:f>
        <x:v>0.00003795</x:v>
      </x:c>
      <x:c r="Q1179" s="30" t="n">
        <x:f>P1179*N1179</x:f>
        <x:v>0.0004554</x:v>
      </x:c>
      <x:c r="R1179" s="19" t="str">
        <x:v>独立判定</x:v>
      </x:c>
    </x:row>
    <x:row r="1180" ht="19" customHeight="1">
      <x:c r="A1180" s="19" t="str">
        <x:v>D01176</x:v>
      </x:c>
      <x:c r="B1180" s="19" t="n">
        <x:v>3</x:v>
      </x:c>
      <x:c r="C1180" s="19" t="n">
        <x:v>5</x:v>
      </x:c>
      <x:c r="D1180" s="19" t="str">
        <x:v>C03-M055</x:v>
      </x:c>
      <x:c r="E1180" s="19" t="str">
        <x:v>古垒百夫长</x:v>
      </x:c>
      <x:c r="F1180" s="19" t="str">
        <x:v>稀有</x:v>
      </x:c>
      <x:c r="G1180" s="19" t="str">
        <x:v>材料独立候选</x:v>
      </x:c>
      <x:c r="H1180" s="19" t="str">
        <x:v>黄金树芽</x:v>
      </x:c>
      <x:c r="I1180" s="22" t="n">
        <x:v>2000</x:v>
      </x:c>
      <x:c r="J1180" s="22" t="n">
        <x:v>1</x:v>
      </x:c>
      <x:c r="K1180" s="19" t="n">
        <x:v>1</x:v>
      </x:c>
      <x:c r="L1180" s="24" t="n">
        <x:v>17.25</x:v>
      </x:c>
      <x:c r="M1180" s="26" t="n">
        <x:v>0.1</x:v>
      </x:c>
      <x:c r="N1180" s="24" t="n">
        <x:v>12</x:v>
      </x:c>
      <x:c r="O1180" s="28" t="n">
        <x:f>MIN(1,L1180/I1180)</x:f>
        <x:v>0.008625</x:v>
      </x:c>
      <x:c r="P1180" s="30" t="n">
        <x:f>O1180*J1180*(1+M1180)</x:f>
        <x:v>0.009487500000000001</x:v>
      </x:c>
      <x:c r="Q1180" s="30" t="n">
        <x:f>P1180*N1180</x:f>
        <x:v>0.11385</x:v>
      </x:c>
      <x:c r="R1180" s="19" t="str">
        <x:v>独立判定</x:v>
      </x:c>
    </x:row>
    <x:row r="1181" ht="19" customHeight="1">
      <x:c r="A1181" s="19" t="str">
        <x:v>D01177</x:v>
      </x:c>
      <x:c r="B1181" s="19" t="n">
        <x:v>3</x:v>
      </x:c>
      <x:c r="C1181" s="19" t="n">
        <x:v>5</x:v>
      </x:c>
      <x:c r="D1181" s="19" t="str">
        <x:v>C03-M055</x:v>
      </x:c>
      <x:c r="E1181" s="19" t="str">
        <x:v>古垒百夫长</x:v>
      </x:c>
      <x:c r="F1181" s="19" t="str">
        <x:v>稀有</x:v>
      </x:c>
      <x:c r="G1181" s="19" t="str">
        <x:v>材料独立候选</x:v>
      </x:c>
      <x:c r="H1181" s="19" t="str">
        <x:v>野兽骨片</x:v>
      </x:c>
      <x:c r="I1181" s="22" t="n">
        <x:v>80</x:v>
      </x:c>
      <x:c r="J1181" s="22" t="n">
        <x:v>2</x:v>
      </x:c>
      <x:c r="K1181" s="19" t="n">
        <x:v>1</x:v>
      </x:c>
      <x:c r="L1181" s="24" t="n">
        <x:v>17.25</x:v>
      </x:c>
      <x:c r="M1181" s="26" t="n">
        <x:v>0.1</x:v>
      </x:c>
      <x:c r="N1181" s="24" t="n">
        <x:v>12</x:v>
      </x:c>
      <x:c r="O1181" s="28" t="n">
        <x:f>MIN(1,L1181/I1181)</x:f>
        <x:v>0.215625</x:v>
      </x:c>
      <x:c r="P1181" s="30" t="n">
        <x:f>O1181*J1181*(1+M1181)</x:f>
        <x:v>0.47437500000000005</x:v>
      </x:c>
      <x:c r="Q1181" s="30" t="n">
        <x:f>P1181*N1181</x:f>
        <x:v>5.692500000000001</x:v>
      </x:c>
      <x:c r="R1181" s="19" t="str">
        <x:v>独立判定</x:v>
      </x:c>
    </x:row>
    <x:row r="1182" ht="19" customHeight="1">
      <x:c r="A1182" s="19" t="str">
        <x:v>D01178</x:v>
      </x:c>
      <x:c r="B1182" s="19" t="n">
        <x:v>3</x:v>
      </x:c>
      <x:c r="C1182" s="19" t="n">
        <x:v>5</x:v>
      </x:c>
      <x:c r="D1182" s="19" t="str">
        <x:v>C03-M055</x:v>
      </x:c>
      <x:c r="E1182" s="19" t="str">
        <x:v>古垒百夫长</x:v>
      </x:c>
      <x:c r="F1182" s="19" t="str">
        <x:v>稀有</x:v>
      </x:c>
      <x:c r="G1182" s="19" t="str">
        <x:v>材料独立候选</x:v>
      </x:c>
      <x:c r="H1182" s="19" t="str">
        <x:v>技能残页</x:v>
      </x:c>
      <x:c r="I1182" s="22" t="n">
        <x:v>180</x:v>
      </x:c>
      <x:c r="J1182" s="22" t="n">
        <x:v>1</x:v>
      </x:c>
      <x:c r="K1182" s="19" t="n">
        <x:v>1</x:v>
      </x:c>
      <x:c r="L1182" s="24" t="n">
        <x:v>17.25</x:v>
      </x:c>
      <x:c r="M1182" s="26" t="n">
        <x:v>0.1</x:v>
      </x:c>
      <x:c r="N1182" s="24" t="n">
        <x:v>12</x:v>
      </x:c>
      <x:c r="O1182" s="28" t="n">
        <x:f>MIN(1,L1182/I1182)</x:f>
        <x:v>0.09583333333333334</x:v>
      </x:c>
      <x:c r="P1182" s="30" t="n">
        <x:f>O1182*J1182*(1+M1182)</x:f>
        <x:v>0.10541666666666669</x:v>
      </x:c>
      <x:c r="Q1182" s="30" t="n">
        <x:f>P1182*N1182</x:f>
        <x:v>1.2650000000000001</x:v>
      </x:c>
      <x:c r="R1182" s="19" t="str">
        <x:v>独立判定</x:v>
      </x:c>
    </x:row>
    <x:row r="1183" ht="19" customHeight="1">
      <x:c r="A1183" s="19" t="str">
        <x:v>D01179</x:v>
      </x:c>
      <x:c r="B1183" s="19" t="n">
        <x:v>3</x:v>
      </x:c>
      <x:c r="C1183" s="19" t="n">
        <x:v>5</x:v>
      </x:c>
      <x:c r="D1183" s="19" t="str">
        <x:v>C03-M055</x:v>
      </x:c>
      <x:c r="E1183" s="19" t="str">
        <x:v>古垒百夫长</x:v>
      </x:c>
      <x:c r="F1183" s="19" t="str">
        <x:v>稀有</x:v>
      </x:c>
      <x:c r="G1183" s="19" t="str">
        <x:v>材料独立候选</x:v>
      </x:c>
      <x:c r="H1183" s="19" t="str">
        <x:v>小卢恩</x:v>
      </x:c>
      <x:c r="I1183" s="22" t="n">
        <x:v>3000</x:v>
      </x:c>
      <x:c r="J1183" s="22" t="n">
        <x:v>1</x:v>
      </x:c>
      <x:c r="K1183" s="19" t="n">
        <x:v>1</x:v>
      </x:c>
      <x:c r="L1183" s="24" t="n">
        <x:v>17.25</x:v>
      </x:c>
      <x:c r="M1183" s="26" t="n">
        <x:v>0.1</x:v>
      </x:c>
      <x:c r="N1183" s="24" t="n">
        <x:v>12</x:v>
      </x:c>
      <x:c r="O1183" s="28" t="n">
        <x:f>MIN(1,L1183/I1183)</x:f>
        <x:v>0.00575</x:v>
      </x:c>
      <x:c r="P1183" s="30" t="n">
        <x:f>O1183*J1183*(1+M1183)</x:f>
        <x:v>0.006325000000000001</x:v>
      </x:c>
      <x:c r="Q1183" s="30" t="n">
        <x:f>P1183*N1183</x:f>
        <x:v>0.07590000000000001</x:v>
      </x:c>
      <x:c r="R1183" s="19" t="str">
        <x:v>独立判定</x:v>
      </x:c>
    </x:row>
    <x:row r="1184" ht="19" customHeight="1">
      <x:c r="A1184" s="19" t="str">
        <x:v>D01180</x:v>
      </x:c>
      <x:c r="B1184" s="19" t="n">
        <x:v>3</x:v>
      </x:c>
      <x:c r="C1184" s="19" t="n">
        <x:v>5</x:v>
      </x:c>
      <x:c r="D1184" s="19" t="str">
        <x:v>C03-M055</x:v>
      </x:c>
      <x:c r="E1184" s="19" t="str">
        <x:v>古垒百夫长</x:v>
      </x:c>
      <x:c r="F1184" s="19" t="str">
        <x:v>稀有</x:v>
      </x:c>
      <x:c r="G1184" s="19" t="str">
        <x:v>六神器公共池</x:v>
      </x:c>
      <x:c r="H1184" s="19" t="str">
        <x:v>POOL006</x:v>
      </x:c>
      <x:c r="I1184" s="22" t="n">
        <x:v>5000000</x:v>
      </x:c>
      <x:c r="J1184" s="22" t="n">
        <x:v>1</x:v>
      </x:c>
      <x:c r="K1184" s="19" t="n">
        <x:v>6</x:v>
      </x:c>
      <x:c r="L1184" s="24" t="n">
        <x:v>17.25</x:v>
      </x:c>
      <x:c r="M1184" s="26" t="n">
        <x:v>0.1</x:v>
      </x:c>
      <x:c r="N1184" s="24" t="n">
        <x:v>12</x:v>
      </x:c>
      <x:c r="O1184" s="28" t="n">
        <x:f>MIN(1,L1184/I1184)</x:f>
        <x:v>0.00000345</x:v>
      </x:c>
      <x:c r="P1184" s="30" t="n">
        <x:f>O1184*J1184*(1+M1184)</x:f>
        <x:v>0.0000037950000000000005</x:v>
      </x:c>
      <x:c r="Q1184" s="30" t="n">
        <x:f>P1184*N1184</x:f>
        <x:v>0.00004554000000000001</x:v>
      </x:c>
      <x:c r="R1184" s="19" t="str">
        <x:v>六选一；非6个独立爆率</x:v>
      </x:c>
    </x:row>
    <x:row r="1185" ht="19" customHeight="1">
      <x:c r="A1185" s="19" t="str">
        <x:v>D01181</x:v>
      </x:c>
      <x:c r="B1185" s="19" t="n">
        <x:v>3</x:v>
      </x:c>
      <x:c r="C1185" s="19" t="n">
        <x:v>5</x:v>
      </x:c>
      <x:c r="D1185" s="19" t="str">
        <x:v>C03-M056</x:v>
      </x:c>
      <x:c r="E1185" s="19" t="str">
        <x:v>风蚀刑官</x:v>
      </x:c>
      <x:c r="F1185" s="19" t="str">
        <x:v>稀有</x:v>
      </x:c>
      <x:c r="G1185" s="19" t="str">
        <x:v>自身专属</x:v>
      </x:c>
      <x:c r="H1185" s="19" t="str">
        <x:v>刑官断刃</x:v>
      </x:c>
      <x:c r="I1185" s="22" t="n">
        <x:v>250</x:v>
      </x:c>
      <x:c r="J1185" s="22" t="n">
        <x:v>1</x:v>
      </x:c>
      <x:c r="K1185" s="19" t="n">
        <x:v>1</x:v>
      </x:c>
      <x:c r="L1185" s="24" t="n">
        <x:v>17.25</x:v>
      </x:c>
      <x:c r="M1185" s="26" t="n">
        <x:v>0.1</x:v>
      </x:c>
      <x:c r="N1185" s="24" t="n">
        <x:v>10.361915799657432</x:v>
      </x:c>
      <x:c r="O1185" s="28" t="n">
        <x:f>MIN(1,L1185/I1185)</x:f>
        <x:v>0.069</x:v>
      </x:c>
      <x:c r="P1185" s="30" t="n">
        <x:f>O1185*J1185*(1+M1185)</x:f>
        <x:v>0.07590000000000001</x:v>
      </x:c>
      <x:c r="Q1185" s="30" t="n">
        <x:f>P1185*N1185</x:f>
        <x:v>0.7864694091939991</x:v>
      </x:c>
      <x:c r="R1185" s="19" t="str">
        <x:v>独立判定</x:v>
      </x:c>
    </x:row>
    <x:row r="1186" ht="19" customHeight="1">
      <x:c r="A1186" s="19" t="str">
        <x:v>D01182</x:v>
      </x:c>
      <x:c r="B1186" s="19" t="n">
        <x:v>3</x:v>
      </x:c>
      <x:c r="C1186" s="19" t="n">
        <x:v>5</x:v>
      </x:c>
      <x:c r="D1186" s="19" t="str">
        <x:v>C03-M056</x:v>
      </x:c>
      <x:c r="E1186" s="19" t="str">
        <x:v>风蚀刑官</x:v>
      </x:c>
      <x:c r="F1186" s="19" t="str">
        <x:v>稀有</x:v>
      </x:c>
      <x:c r="G1186" s="19" t="str">
        <x:v>材料独立候选</x:v>
      </x:c>
      <x:c r="H1186" s="19" t="str">
        <x:v>风蚀铁片</x:v>
      </x:c>
      <x:c r="I1186" s="22" t="n">
        <x:v>500</x:v>
      </x:c>
      <x:c r="J1186" s="22" t="n">
        <x:v>15</x:v>
      </x:c>
      <x:c r="K1186" s="19" t="n">
        <x:v>1</x:v>
      </x:c>
      <x:c r="L1186" s="24" t="n">
        <x:v>17.25</x:v>
      </x:c>
      <x:c r="M1186" s="26" t="n">
        <x:v>0.1</x:v>
      </x:c>
      <x:c r="N1186" s="24" t="n">
        <x:v>10.361915799657432</x:v>
      </x:c>
      <x:c r="O1186" s="28" t="n">
        <x:f>MIN(1,L1186/I1186)</x:f>
        <x:v>0.0345</x:v>
      </x:c>
      <x:c r="P1186" s="30" t="n">
        <x:f>O1186*J1186*(1+M1186)</x:f>
        <x:v>0.5692500000000001</x:v>
      </x:c>
      <x:c r="Q1186" s="30" t="n">
        <x:f>P1186*N1186</x:f>
        <x:v>5.898520568954995</x:v>
      </x:c>
      <x:c r="R1186" s="19" t="str">
        <x:v>独立判定</x:v>
      </x:c>
    </x:row>
    <x:row r="1187" ht="19" customHeight="1">
      <x:c r="A1187" s="19" t="str">
        <x:v>D01183</x:v>
      </x:c>
      <x:c r="B1187" s="19" t="n">
        <x:v>3</x:v>
      </x:c>
      <x:c r="C1187" s="19" t="n">
        <x:v>5</x:v>
      </x:c>
      <x:c r="D1187" s="19" t="str">
        <x:v>C03-M056</x:v>
      </x:c>
      <x:c r="E1187" s="19" t="str">
        <x:v>风蚀刑官</x:v>
      </x:c>
      <x:c r="F1187" s="19" t="str">
        <x:v>稀有</x:v>
      </x:c>
      <x:c r="G1187" s="19" t="str">
        <x:v>材料独立候选</x:v>
      </x:c>
      <x:c r="H1187" s="19" t="str">
        <x:v>西境战旗</x:v>
      </x:c>
      <x:c r="I1187" s="22" t="n">
        <x:v>800</x:v>
      </x:c>
      <x:c r="J1187" s="22" t="n">
        <x:v>1</x:v>
      </x:c>
      <x:c r="K1187" s="19" t="n">
        <x:v>1</x:v>
      </x:c>
      <x:c r="L1187" s="24" t="n">
        <x:v>17.25</x:v>
      </x:c>
      <x:c r="M1187" s="26" t="n">
        <x:v>0.1</x:v>
      </x:c>
      <x:c r="N1187" s="24" t="n">
        <x:v>10.361915799657432</x:v>
      </x:c>
      <x:c r="O1187" s="28" t="n">
        <x:f>MIN(1,L1187/I1187)</x:f>
        <x:v>0.0215625</x:v>
      </x:c>
      <x:c r="P1187" s="30" t="n">
        <x:f>O1187*J1187*(1+M1187)</x:f>
        <x:v>0.02371875</x:v>
      </x:c>
      <x:c r="Q1187" s="30" t="n">
        <x:f>P1187*N1187</x:f>
        <x:v>0.2457716903731247</x:v>
      </x:c>
      <x:c r="R1187" s="19" t="str">
        <x:v>独立判定</x:v>
      </x:c>
    </x:row>
    <x:row r="1188" ht="19" customHeight="1">
      <x:c r="A1188" s="19" t="str">
        <x:v>D01184</x:v>
      </x:c>
      <x:c r="B1188" s="19" t="n">
        <x:v>3</x:v>
      </x:c>
      <x:c r="C1188" s="19" t="n">
        <x:v>5</x:v>
      </x:c>
      <x:c r="D1188" s="19" t="str">
        <x:v>C03-M056</x:v>
      </x:c>
      <x:c r="E1188" s="19" t="str">
        <x:v>风蚀刑官</x:v>
      </x:c>
      <x:c r="F1188" s="19" t="str">
        <x:v>稀有</x:v>
      </x:c>
      <x:c r="G1188" s="19" t="str">
        <x:v>材料独立候选</x:v>
      </x:c>
      <x:c r="H1188" s="19" t="str">
        <x:v>商队火漆</x:v>
      </x:c>
      <x:c r="I1188" s="22" t="n">
        <x:v>800</x:v>
      </x:c>
      <x:c r="J1188" s="22" t="n">
        <x:v>1</x:v>
      </x:c>
      <x:c r="K1188" s="19" t="n">
        <x:v>1</x:v>
      </x:c>
      <x:c r="L1188" s="24" t="n">
        <x:v>17.25</x:v>
      </x:c>
      <x:c r="M1188" s="26" t="n">
        <x:v>0.1</x:v>
      </x:c>
      <x:c r="N1188" s="24" t="n">
        <x:v>10.361915799657432</x:v>
      </x:c>
      <x:c r="O1188" s="28" t="n">
        <x:f>MIN(1,L1188/I1188)</x:f>
        <x:v>0.0215625</x:v>
      </x:c>
      <x:c r="P1188" s="30" t="n">
        <x:f>O1188*J1188*(1+M1188)</x:f>
        <x:v>0.02371875</x:v>
      </x:c>
      <x:c r="Q1188" s="30" t="n">
        <x:f>P1188*N1188</x:f>
        <x:v>0.2457716903731247</x:v>
      </x:c>
      <x:c r="R1188" s="19" t="str">
        <x:v>独立判定</x:v>
      </x:c>
    </x:row>
    <x:row r="1189" ht="19" customHeight="1">
      <x:c r="A1189" s="19" t="str">
        <x:v>D01185</x:v>
      </x:c>
      <x:c r="B1189" s="19" t="n">
        <x:v>3</x:v>
      </x:c>
      <x:c r="C1189" s="19" t="n">
        <x:v>5</x:v>
      </x:c>
      <x:c r="D1189" s="19" t="str">
        <x:v>C03-M056</x:v>
      </x:c>
      <x:c r="E1189" s="19" t="str">
        <x:v>风蚀刑官</x:v>
      </x:c>
      <x:c r="F1189" s="19" t="str">
        <x:v>稀有</x:v>
      </x:c>
      <x:c r="G1189" s="19" t="str">
        <x:v>材料独立候选</x:v>
      </x:c>
      <x:c r="H1189" s="19" t="str">
        <x:v>西境风痕碑拓</x:v>
      </x:c>
      <x:c r="I1189" s="22" t="n">
        <x:v>500000</x:v>
      </x:c>
      <x:c r="J1189" s="22" t="n">
        <x:v>1</x:v>
      </x:c>
      <x:c r="K1189" s="19" t="n">
        <x:v>1</x:v>
      </x:c>
      <x:c r="L1189" s="24" t="n">
        <x:v>17.25</x:v>
      </x:c>
      <x:c r="M1189" s="26" t="n">
        <x:v>0.1</x:v>
      </x:c>
      <x:c r="N1189" s="24" t="n">
        <x:v>10.361915799657432</x:v>
      </x:c>
      <x:c r="O1189" s="28" t="n">
        <x:f>MIN(1,L1189/I1189)</x:f>
        <x:v>0.0000345</x:v>
      </x:c>
      <x:c r="P1189" s="30" t="n">
        <x:f>O1189*J1189*(1+M1189)</x:f>
        <x:v>0.00003795</x:v>
      </x:c>
      <x:c r="Q1189" s="30" t="n">
        <x:f>P1189*N1189</x:f>
        <x:v>0.0003932347045969995</x:v>
      </x:c>
      <x:c r="R1189" s="19" t="str">
        <x:v>独立判定</x:v>
      </x:c>
    </x:row>
    <x:row r="1190" ht="19" customHeight="1">
      <x:c r="A1190" s="19" t="str">
        <x:v>D01186</x:v>
      </x:c>
      <x:c r="B1190" s="19" t="n">
        <x:v>3</x:v>
      </x:c>
      <x:c r="C1190" s="19" t="n">
        <x:v>5</x:v>
      </x:c>
      <x:c r="D1190" s="19" t="str">
        <x:v>C03-M056</x:v>
      </x:c>
      <x:c r="E1190" s="19" t="str">
        <x:v>风蚀刑官</x:v>
      </x:c>
      <x:c r="F1190" s="19" t="str">
        <x:v>稀有</x:v>
      </x:c>
      <x:c r="G1190" s="19" t="str">
        <x:v>材料独立候选</x:v>
      </x:c>
      <x:c r="H1190" s="19" t="str">
        <x:v>黄金树芽</x:v>
      </x:c>
      <x:c r="I1190" s="22" t="n">
        <x:v>2000</x:v>
      </x:c>
      <x:c r="J1190" s="22" t="n">
        <x:v>1</x:v>
      </x:c>
      <x:c r="K1190" s="19" t="n">
        <x:v>1</x:v>
      </x:c>
      <x:c r="L1190" s="24" t="n">
        <x:v>17.25</x:v>
      </x:c>
      <x:c r="M1190" s="26" t="n">
        <x:v>0.1</x:v>
      </x:c>
      <x:c r="N1190" s="24" t="n">
        <x:v>10.361915799657432</x:v>
      </x:c>
      <x:c r="O1190" s="28" t="n">
        <x:f>MIN(1,L1190/I1190)</x:f>
        <x:v>0.008625</x:v>
      </x:c>
      <x:c r="P1190" s="30" t="n">
        <x:f>O1190*J1190*(1+M1190)</x:f>
        <x:v>0.009487500000000001</x:v>
      </x:c>
      <x:c r="Q1190" s="30" t="n">
        <x:f>P1190*N1190</x:f>
        <x:v>0.09830867614924989</x:v>
      </x:c>
      <x:c r="R1190" s="19" t="str">
        <x:v>独立判定</x:v>
      </x:c>
    </x:row>
    <x:row r="1191" ht="19" customHeight="1">
      <x:c r="A1191" s="19" t="str">
        <x:v>D01187</x:v>
      </x:c>
      <x:c r="B1191" s="19" t="n">
        <x:v>3</x:v>
      </x:c>
      <x:c r="C1191" s="19" t="n">
        <x:v>5</x:v>
      </x:c>
      <x:c r="D1191" s="19" t="str">
        <x:v>C03-M056</x:v>
      </x:c>
      <x:c r="E1191" s="19" t="str">
        <x:v>风蚀刑官</x:v>
      </x:c>
      <x:c r="F1191" s="19" t="str">
        <x:v>稀有</x:v>
      </x:c>
      <x:c r="G1191" s="19" t="str">
        <x:v>材料独立候选</x:v>
      </x:c>
      <x:c r="H1191" s="19" t="str">
        <x:v>野兽骨片</x:v>
      </x:c>
      <x:c r="I1191" s="22" t="n">
        <x:v>80</x:v>
      </x:c>
      <x:c r="J1191" s="22" t="n">
        <x:v>2</x:v>
      </x:c>
      <x:c r="K1191" s="19" t="n">
        <x:v>1</x:v>
      </x:c>
      <x:c r="L1191" s="24" t="n">
        <x:v>17.25</x:v>
      </x:c>
      <x:c r="M1191" s="26" t="n">
        <x:v>0.1</x:v>
      </x:c>
      <x:c r="N1191" s="24" t="n">
        <x:v>10.361915799657432</x:v>
      </x:c>
      <x:c r="O1191" s="28" t="n">
        <x:f>MIN(1,L1191/I1191)</x:f>
        <x:v>0.215625</x:v>
      </x:c>
      <x:c r="P1191" s="30" t="n">
        <x:f>O1191*J1191*(1+M1191)</x:f>
        <x:v>0.47437500000000005</x:v>
      </x:c>
      <x:c r="Q1191" s="30" t="n">
        <x:f>P1191*N1191</x:f>
        <x:v>4.915433807462494</x:v>
      </x:c>
      <x:c r="R1191" s="19" t="str">
        <x:v>独立判定</x:v>
      </x:c>
    </x:row>
    <x:row r="1192" ht="19" customHeight="1">
      <x:c r="A1192" s="19" t="str">
        <x:v>D01188</x:v>
      </x:c>
      <x:c r="B1192" s="19" t="n">
        <x:v>3</x:v>
      </x:c>
      <x:c r="C1192" s="19" t="n">
        <x:v>5</x:v>
      </x:c>
      <x:c r="D1192" s="19" t="str">
        <x:v>C03-M056</x:v>
      </x:c>
      <x:c r="E1192" s="19" t="str">
        <x:v>风蚀刑官</x:v>
      </x:c>
      <x:c r="F1192" s="19" t="str">
        <x:v>稀有</x:v>
      </x:c>
      <x:c r="G1192" s="19" t="str">
        <x:v>材料独立候选</x:v>
      </x:c>
      <x:c r="H1192" s="19" t="str">
        <x:v>技能残页</x:v>
      </x:c>
      <x:c r="I1192" s="22" t="n">
        <x:v>180</x:v>
      </x:c>
      <x:c r="J1192" s="22" t="n">
        <x:v>1</x:v>
      </x:c>
      <x:c r="K1192" s="19" t="n">
        <x:v>1</x:v>
      </x:c>
      <x:c r="L1192" s="24" t="n">
        <x:v>17.25</x:v>
      </x:c>
      <x:c r="M1192" s="26" t="n">
        <x:v>0.1</x:v>
      </x:c>
      <x:c r="N1192" s="24" t="n">
        <x:v>10.361915799657432</x:v>
      </x:c>
      <x:c r="O1192" s="28" t="n">
        <x:f>MIN(1,L1192/I1192)</x:f>
        <x:v>0.09583333333333334</x:v>
      </x:c>
      <x:c r="P1192" s="30" t="n">
        <x:f>O1192*J1192*(1+M1192)</x:f>
        <x:v>0.10541666666666669</x:v>
      </x:c>
      <x:c r="Q1192" s="30" t="n">
        <x:f>P1192*N1192</x:f>
        <x:v>1.0923186238805545</x:v>
      </x:c>
      <x:c r="R1192" s="19" t="str">
        <x:v>独立判定</x:v>
      </x:c>
    </x:row>
    <x:row r="1193" ht="19" customHeight="1">
      <x:c r="A1193" s="19" t="str">
        <x:v>D01189</x:v>
      </x:c>
      <x:c r="B1193" s="19" t="n">
        <x:v>3</x:v>
      </x:c>
      <x:c r="C1193" s="19" t="n">
        <x:v>5</x:v>
      </x:c>
      <x:c r="D1193" s="19" t="str">
        <x:v>C03-M056</x:v>
      </x:c>
      <x:c r="E1193" s="19" t="str">
        <x:v>风蚀刑官</x:v>
      </x:c>
      <x:c r="F1193" s="19" t="str">
        <x:v>稀有</x:v>
      </x:c>
      <x:c r="G1193" s="19" t="str">
        <x:v>材料独立候选</x:v>
      </x:c>
      <x:c r="H1193" s="19" t="str">
        <x:v>小卢恩</x:v>
      </x:c>
      <x:c r="I1193" s="22" t="n">
        <x:v>3000</x:v>
      </x:c>
      <x:c r="J1193" s="22" t="n">
        <x:v>1</x:v>
      </x:c>
      <x:c r="K1193" s="19" t="n">
        <x:v>1</x:v>
      </x:c>
      <x:c r="L1193" s="24" t="n">
        <x:v>17.25</x:v>
      </x:c>
      <x:c r="M1193" s="26" t="n">
        <x:v>0.1</x:v>
      </x:c>
      <x:c r="N1193" s="24" t="n">
        <x:v>10.361915799657432</x:v>
      </x:c>
      <x:c r="O1193" s="28" t="n">
        <x:f>MIN(1,L1193/I1193)</x:f>
        <x:v>0.00575</x:v>
      </x:c>
      <x:c r="P1193" s="30" t="n">
        <x:f>O1193*J1193*(1+M1193)</x:f>
        <x:v>0.006325000000000001</x:v>
      </x:c>
      <x:c r="Q1193" s="30" t="n">
        <x:f>P1193*N1193</x:f>
        <x:v>0.06553911743283326</x:v>
      </x:c>
      <x:c r="R1193" s="19" t="str">
        <x:v>独立判定</x:v>
      </x:c>
    </x:row>
    <x:row r="1194" ht="19" customHeight="1">
      <x:c r="A1194" s="19" t="str">
        <x:v>D01190</x:v>
      </x:c>
      <x:c r="B1194" s="19" t="n">
        <x:v>3</x:v>
      </x:c>
      <x:c r="C1194" s="19" t="n">
        <x:v>5</x:v>
      </x:c>
      <x:c r="D1194" s="19" t="str">
        <x:v>C03-M056</x:v>
      </x:c>
      <x:c r="E1194" s="19" t="str">
        <x:v>风蚀刑官</x:v>
      </x:c>
      <x:c r="F1194" s="19" t="str">
        <x:v>稀有</x:v>
      </x:c>
      <x:c r="G1194" s="19" t="str">
        <x:v>六神器公共池</x:v>
      </x:c>
      <x:c r="H1194" s="19" t="str">
        <x:v>POOL006</x:v>
      </x:c>
      <x:c r="I1194" s="22" t="n">
        <x:v>5000000</x:v>
      </x:c>
      <x:c r="J1194" s="22" t="n">
        <x:v>1</x:v>
      </x:c>
      <x:c r="K1194" s="19" t="n">
        <x:v>6</x:v>
      </x:c>
      <x:c r="L1194" s="24" t="n">
        <x:v>17.25</x:v>
      </x:c>
      <x:c r="M1194" s="26" t="n">
        <x:v>0.1</x:v>
      </x:c>
      <x:c r="N1194" s="24" t="n">
        <x:v>10.361915799657432</x:v>
      </x:c>
      <x:c r="O1194" s="28" t="n">
        <x:f>MIN(1,L1194/I1194)</x:f>
        <x:v>0.00000345</x:v>
      </x:c>
      <x:c r="P1194" s="30" t="n">
        <x:f>O1194*J1194*(1+M1194)</x:f>
        <x:v>0.0000037950000000000005</x:v>
      </x:c>
      <x:c r="Q1194" s="30" t="n">
        <x:f>P1194*N1194</x:f>
        <x:v>0.00003932347045969996</x:v>
      </x:c>
      <x:c r="R1194" s="19" t="str">
        <x:v>六选一；非6个独立爆率</x:v>
      </x:c>
    </x:row>
    <x:row r="1195" ht="19" customHeight="1">
      <x:c r="A1195" s="19" t="str">
        <x:v>D01191</x:v>
      </x:c>
      <x:c r="B1195" s="19" t="n">
        <x:v>3</x:v>
      </x:c>
      <x:c r="C1195" s="19" t="n">
        <x:v>5</x:v>
      </x:c>
      <x:c r="D1195" s="19" t="str">
        <x:v>C03-M057</x:v>
      </x:c>
      <x:c r="E1195" s="19" t="str">
        <x:v>地宫镇魂者</x:v>
      </x:c>
      <x:c r="F1195" s="19" t="str">
        <x:v>稀有</x:v>
      </x:c>
      <x:c r="G1195" s="19" t="str">
        <x:v>自身专属</x:v>
      </x:c>
      <x:c r="H1195" s="19" t="str">
        <x:v>镇魂勋章</x:v>
      </x:c>
      <x:c r="I1195" s="22" t="n">
        <x:v>250</x:v>
      </x:c>
      <x:c r="J1195" s="22" t="n">
        <x:v>1</x:v>
      </x:c>
      <x:c r="K1195" s="19" t="n">
        <x:v>1</x:v>
      </x:c>
      <x:c r="L1195" s="24" t="n">
        <x:v>17.25</x:v>
      </x:c>
      <x:c r="M1195" s="26" t="n">
        <x:v>0.1</x:v>
      </x:c>
      <x:c r="N1195" s="24" t="n">
        <x:v>12</x:v>
      </x:c>
      <x:c r="O1195" s="28" t="n">
        <x:f>MIN(1,L1195/I1195)</x:f>
        <x:v>0.069</x:v>
      </x:c>
      <x:c r="P1195" s="30" t="n">
        <x:f>O1195*J1195*(1+M1195)</x:f>
        <x:v>0.07590000000000001</x:v>
      </x:c>
      <x:c r="Q1195" s="30" t="n">
        <x:f>P1195*N1195</x:f>
        <x:v>0.9108</x:v>
      </x:c>
      <x:c r="R1195" s="19" t="str">
        <x:v>独立判定</x:v>
      </x:c>
    </x:row>
    <x:row r="1196" ht="19" customHeight="1">
      <x:c r="A1196" s="19" t="str">
        <x:v>D01192</x:v>
      </x:c>
      <x:c r="B1196" s="19" t="n">
        <x:v>3</x:v>
      </x:c>
      <x:c r="C1196" s="19" t="n">
        <x:v>5</x:v>
      </x:c>
      <x:c r="D1196" s="19" t="str">
        <x:v>C03-M057</x:v>
      </x:c>
      <x:c r="E1196" s="19" t="str">
        <x:v>地宫镇魂者</x:v>
      </x:c>
      <x:c r="F1196" s="19" t="str">
        <x:v>稀有</x:v>
      </x:c>
      <x:c r="G1196" s="19" t="str">
        <x:v>材料独立候选</x:v>
      </x:c>
      <x:c r="H1196" s="19" t="str">
        <x:v>风蚀铁片</x:v>
      </x:c>
      <x:c r="I1196" s="22" t="n">
        <x:v>500</x:v>
      </x:c>
      <x:c r="J1196" s="22" t="n">
        <x:v>15</x:v>
      </x:c>
      <x:c r="K1196" s="19" t="n">
        <x:v>1</x:v>
      </x:c>
      <x:c r="L1196" s="24" t="n">
        <x:v>17.25</x:v>
      </x:c>
      <x:c r="M1196" s="26" t="n">
        <x:v>0.1</x:v>
      </x:c>
      <x:c r="N1196" s="24" t="n">
        <x:v>12</x:v>
      </x:c>
      <x:c r="O1196" s="28" t="n">
        <x:f>MIN(1,L1196/I1196)</x:f>
        <x:v>0.0345</x:v>
      </x:c>
      <x:c r="P1196" s="30" t="n">
        <x:f>O1196*J1196*(1+M1196)</x:f>
        <x:v>0.5692500000000001</x:v>
      </x:c>
      <x:c r="Q1196" s="30" t="n">
        <x:f>P1196*N1196</x:f>
        <x:v>6.831000000000001</x:v>
      </x:c>
      <x:c r="R1196" s="19" t="str">
        <x:v>独立判定</x:v>
      </x:c>
    </x:row>
    <x:row r="1197" ht="19" customHeight="1">
      <x:c r="A1197" s="19" t="str">
        <x:v>D01193</x:v>
      </x:c>
      <x:c r="B1197" s="19" t="n">
        <x:v>3</x:v>
      </x:c>
      <x:c r="C1197" s="19" t="n">
        <x:v>5</x:v>
      </x:c>
      <x:c r="D1197" s="19" t="str">
        <x:v>C03-M057</x:v>
      </x:c>
      <x:c r="E1197" s="19" t="str">
        <x:v>地宫镇魂者</x:v>
      </x:c>
      <x:c r="F1197" s="19" t="str">
        <x:v>稀有</x:v>
      </x:c>
      <x:c r="G1197" s="19" t="str">
        <x:v>材料独立候选</x:v>
      </x:c>
      <x:c r="H1197" s="19" t="str">
        <x:v>西境战旗</x:v>
      </x:c>
      <x:c r="I1197" s="22" t="n">
        <x:v>800</x:v>
      </x:c>
      <x:c r="J1197" s="22" t="n">
        <x:v>1</x:v>
      </x:c>
      <x:c r="K1197" s="19" t="n">
        <x:v>1</x:v>
      </x:c>
      <x:c r="L1197" s="24" t="n">
        <x:v>17.25</x:v>
      </x:c>
      <x:c r="M1197" s="26" t="n">
        <x:v>0.1</x:v>
      </x:c>
      <x:c r="N1197" s="24" t="n">
        <x:v>12</x:v>
      </x:c>
      <x:c r="O1197" s="28" t="n">
        <x:f>MIN(1,L1197/I1197)</x:f>
        <x:v>0.0215625</x:v>
      </x:c>
      <x:c r="P1197" s="30" t="n">
        <x:f>O1197*J1197*(1+M1197)</x:f>
        <x:v>0.02371875</x:v>
      </x:c>
      <x:c r="Q1197" s="30" t="n">
        <x:f>P1197*N1197</x:f>
        <x:v>0.284625</x:v>
      </x:c>
      <x:c r="R1197" s="19" t="str">
        <x:v>独立判定</x:v>
      </x:c>
    </x:row>
    <x:row r="1198" ht="19" customHeight="1">
      <x:c r="A1198" s="19" t="str">
        <x:v>D01194</x:v>
      </x:c>
      <x:c r="B1198" s="19" t="n">
        <x:v>3</x:v>
      </x:c>
      <x:c r="C1198" s="19" t="n">
        <x:v>5</x:v>
      </x:c>
      <x:c r="D1198" s="19" t="str">
        <x:v>C03-M057</x:v>
      </x:c>
      <x:c r="E1198" s="19" t="str">
        <x:v>地宫镇魂者</x:v>
      </x:c>
      <x:c r="F1198" s="19" t="str">
        <x:v>稀有</x:v>
      </x:c>
      <x:c r="G1198" s="19" t="str">
        <x:v>材料独立候选</x:v>
      </x:c>
      <x:c r="H1198" s="19" t="str">
        <x:v>商队火漆</x:v>
      </x:c>
      <x:c r="I1198" s="22" t="n">
        <x:v>800</x:v>
      </x:c>
      <x:c r="J1198" s="22" t="n">
        <x:v>1</x:v>
      </x:c>
      <x:c r="K1198" s="19" t="n">
        <x:v>1</x:v>
      </x:c>
      <x:c r="L1198" s="24" t="n">
        <x:v>17.25</x:v>
      </x:c>
      <x:c r="M1198" s="26" t="n">
        <x:v>0.1</x:v>
      </x:c>
      <x:c r="N1198" s="24" t="n">
        <x:v>12</x:v>
      </x:c>
      <x:c r="O1198" s="28" t="n">
        <x:f>MIN(1,L1198/I1198)</x:f>
        <x:v>0.0215625</x:v>
      </x:c>
      <x:c r="P1198" s="30" t="n">
        <x:f>O1198*J1198*(1+M1198)</x:f>
        <x:v>0.02371875</x:v>
      </x:c>
      <x:c r="Q1198" s="30" t="n">
        <x:f>P1198*N1198</x:f>
        <x:v>0.284625</x:v>
      </x:c>
      <x:c r="R1198" s="19" t="str">
        <x:v>独立判定</x:v>
      </x:c>
    </x:row>
    <x:row r="1199" ht="19" customHeight="1">
      <x:c r="A1199" s="19" t="str">
        <x:v>D01195</x:v>
      </x:c>
      <x:c r="B1199" s="19" t="n">
        <x:v>3</x:v>
      </x:c>
      <x:c r="C1199" s="19" t="n">
        <x:v>5</x:v>
      </x:c>
      <x:c r="D1199" s="19" t="str">
        <x:v>C03-M057</x:v>
      </x:c>
      <x:c r="E1199" s="19" t="str">
        <x:v>地宫镇魂者</x:v>
      </x:c>
      <x:c r="F1199" s="19" t="str">
        <x:v>稀有</x:v>
      </x:c>
      <x:c r="G1199" s="19" t="str">
        <x:v>材料独立候选</x:v>
      </x:c>
      <x:c r="H1199" s="19" t="str">
        <x:v>西境风痕碑拓</x:v>
      </x:c>
      <x:c r="I1199" s="22" t="n">
        <x:v>500000</x:v>
      </x:c>
      <x:c r="J1199" s="22" t="n">
        <x:v>1</x:v>
      </x:c>
      <x:c r="K1199" s="19" t="n">
        <x:v>1</x:v>
      </x:c>
      <x:c r="L1199" s="24" t="n">
        <x:v>17.25</x:v>
      </x:c>
      <x:c r="M1199" s="26" t="n">
        <x:v>0.1</x:v>
      </x:c>
      <x:c r="N1199" s="24" t="n">
        <x:v>12</x:v>
      </x:c>
      <x:c r="O1199" s="28" t="n">
        <x:f>MIN(1,L1199/I1199)</x:f>
        <x:v>0.0000345</x:v>
      </x:c>
      <x:c r="P1199" s="30" t="n">
        <x:f>O1199*J1199*(1+M1199)</x:f>
        <x:v>0.00003795</x:v>
      </x:c>
      <x:c r="Q1199" s="30" t="n">
        <x:f>P1199*N1199</x:f>
        <x:v>0.0004554</x:v>
      </x:c>
      <x:c r="R1199" s="19" t="str">
        <x:v>独立判定</x:v>
      </x:c>
    </x:row>
    <x:row r="1200" ht="19" customHeight="1">
      <x:c r="A1200" s="19" t="str">
        <x:v>D01196</x:v>
      </x:c>
      <x:c r="B1200" s="19" t="n">
        <x:v>3</x:v>
      </x:c>
      <x:c r="C1200" s="19" t="n">
        <x:v>5</x:v>
      </x:c>
      <x:c r="D1200" s="19" t="str">
        <x:v>C03-M057</x:v>
      </x:c>
      <x:c r="E1200" s="19" t="str">
        <x:v>地宫镇魂者</x:v>
      </x:c>
      <x:c r="F1200" s="19" t="str">
        <x:v>稀有</x:v>
      </x:c>
      <x:c r="G1200" s="19" t="str">
        <x:v>材料独立候选</x:v>
      </x:c>
      <x:c r="H1200" s="19" t="str">
        <x:v>黄金树芽</x:v>
      </x:c>
      <x:c r="I1200" s="22" t="n">
        <x:v>2000</x:v>
      </x:c>
      <x:c r="J1200" s="22" t="n">
        <x:v>1</x:v>
      </x:c>
      <x:c r="K1200" s="19" t="n">
        <x:v>1</x:v>
      </x:c>
      <x:c r="L1200" s="24" t="n">
        <x:v>17.25</x:v>
      </x:c>
      <x:c r="M1200" s="26" t="n">
        <x:v>0.1</x:v>
      </x:c>
      <x:c r="N1200" s="24" t="n">
        <x:v>12</x:v>
      </x:c>
      <x:c r="O1200" s="28" t="n">
        <x:f>MIN(1,L1200/I1200)</x:f>
        <x:v>0.008625</x:v>
      </x:c>
      <x:c r="P1200" s="30" t="n">
        <x:f>O1200*J1200*(1+M1200)</x:f>
        <x:v>0.009487500000000001</x:v>
      </x:c>
      <x:c r="Q1200" s="30" t="n">
        <x:f>P1200*N1200</x:f>
        <x:v>0.11385</x:v>
      </x:c>
      <x:c r="R1200" s="19" t="str">
        <x:v>独立判定</x:v>
      </x:c>
    </x:row>
    <x:row r="1201" ht="19" customHeight="1">
      <x:c r="A1201" s="19" t="str">
        <x:v>D01197</x:v>
      </x:c>
      <x:c r="B1201" s="19" t="n">
        <x:v>3</x:v>
      </x:c>
      <x:c r="C1201" s="19" t="n">
        <x:v>5</x:v>
      </x:c>
      <x:c r="D1201" s="19" t="str">
        <x:v>C03-M057</x:v>
      </x:c>
      <x:c r="E1201" s="19" t="str">
        <x:v>地宫镇魂者</x:v>
      </x:c>
      <x:c r="F1201" s="19" t="str">
        <x:v>稀有</x:v>
      </x:c>
      <x:c r="G1201" s="19" t="str">
        <x:v>材料独立候选</x:v>
      </x:c>
      <x:c r="H1201" s="19" t="str">
        <x:v>野兽骨片</x:v>
      </x:c>
      <x:c r="I1201" s="22" t="n">
        <x:v>80</x:v>
      </x:c>
      <x:c r="J1201" s="22" t="n">
        <x:v>2</x:v>
      </x:c>
      <x:c r="K1201" s="19" t="n">
        <x:v>1</x:v>
      </x:c>
      <x:c r="L1201" s="24" t="n">
        <x:v>17.25</x:v>
      </x:c>
      <x:c r="M1201" s="26" t="n">
        <x:v>0.1</x:v>
      </x:c>
      <x:c r="N1201" s="24" t="n">
        <x:v>12</x:v>
      </x:c>
      <x:c r="O1201" s="28" t="n">
        <x:f>MIN(1,L1201/I1201)</x:f>
        <x:v>0.215625</x:v>
      </x:c>
      <x:c r="P1201" s="30" t="n">
        <x:f>O1201*J1201*(1+M1201)</x:f>
        <x:v>0.47437500000000005</x:v>
      </x:c>
      <x:c r="Q1201" s="30" t="n">
        <x:f>P1201*N1201</x:f>
        <x:v>5.692500000000001</x:v>
      </x:c>
      <x:c r="R1201" s="19" t="str">
        <x:v>独立判定</x:v>
      </x:c>
    </x:row>
    <x:row r="1202" ht="19" customHeight="1">
      <x:c r="A1202" s="19" t="str">
        <x:v>D01198</x:v>
      </x:c>
      <x:c r="B1202" s="19" t="n">
        <x:v>3</x:v>
      </x:c>
      <x:c r="C1202" s="19" t="n">
        <x:v>5</x:v>
      </x:c>
      <x:c r="D1202" s="19" t="str">
        <x:v>C03-M057</x:v>
      </x:c>
      <x:c r="E1202" s="19" t="str">
        <x:v>地宫镇魂者</x:v>
      </x:c>
      <x:c r="F1202" s="19" t="str">
        <x:v>稀有</x:v>
      </x:c>
      <x:c r="G1202" s="19" t="str">
        <x:v>材料独立候选</x:v>
      </x:c>
      <x:c r="H1202" s="19" t="str">
        <x:v>技能残页</x:v>
      </x:c>
      <x:c r="I1202" s="22" t="n">
        <x:v>180</x:v>
      </x:c>
      <x:c r="J1202" s="22" t="n">
        <x:v>1</x:v>
      </x:c>
      <x:c r="K1202" s="19" t="n">
        <x:v>1</x:v>
      </x:c>
      <x:c r="L1202" s="24" t="n">
        <x:v>17.25</x:v>
      </x:c>
      <x:c r="M1202" s="26" t="n">
        <x:v>0.1</x:v>
      </x:c>
      <x:c r="N1202" s="24" t="n">
        <x:v>12</x:v>
      </x:c>
      <x:c r="O1202" s="28" t="n">
        <x:f>MIN(1,L1202/I1202)</x:f>
        <x:v>0.09583333333333334</x:v>
      </x:c>
      <x:c r="P1202" s="30" t="n">
        <x:f>O1202*J1202*(1+M1202)</x:f>
        <x:v>0.10541666666666669</x:v>
      </x:c>
      <x:c r="Q1202" s="30" t="n">
        <x:f>P1202*N1202</x:f>
        <x:v>1.2650000000000001</x:v>
      </x:c>
      <x:c r="R1202" s="19" t="str">
        <x:v>独立判定</x:v>
      </x:c>
    </x:row>
    <x:row r="1203" ht="19" customHeight="1">
      <x:c r="A1203" s="19" t="str">
        <x:v>D01199</x:v>
      </x:c>
      <x:c r="B1203" s="19" t="n">
        <x:v>3</x:v>
      </x:c>
      <x:c r="C1203" s="19" t="n">
        <x:v>5</x:v>
      </x:c>
      <x:c r="D1203" s="19" t="str">
        <x:v>C03-M057</x:v>
      </x:c>
      <x:c r="E1203" s="19" t="str">
        <x:v>地宫镇魂者</x:v>
      </x:c>
      <x:c r="F1203" s="19" t="str">
        <x:v>稀有</x:v>
      </x:c>
      <x:c r="G1203" s="19" t="str">
        <x:v>材料独立候选</x:v>
      </x:c>
      <x:c r="H1203" s="19" t="str">
        <x:v>小卢恩</x:v>
      </x:c>
      <x:c r="I1203" s="22" t="n">
        <x:v>3000</x:v>
      </x:c>
      <x:c r="J1203" s="22" t="n">
        <x:v>1</x:v>
      </x:c>
      <x:c r="K1203" s="19" t="n">
        <x:v>1</x:v>
      </x:c>
      <x:c r="L1203" s="24" t="n">
        <x:v>17.25</x:v>
      </x:c>
      <x:c r="M1203" s="26" t="n">
        <x:v>0.1</x:v>
      </x:c>
      <x:c r="N1203" s="24" t="n">
        <x:v>12</x:v>
      </x:c>
      <x:c r="O1203" s="28" t="n">
        <x:f>MIN(1,L1203/I1203)</x:f>
        <x:v>0.00575</x:v>
      </x:c>
      <x:c r="P1203" s="30" t="n">
        <x:f>O1203*J1203*(1+M1203)</x:f>
        <x:v>0.006325000000000001</x:v>
      </x:c>
      <x:c r="Q1203" s="30" t="n">
        <x:f>P1203*N1203</x:f>
        <x:v>0.07590000000000001</x:v>
      </x:c>
      <x:c r="R1203" s="19" t="str">
        <x:v>独立判定</x:v>
      </x:c>
    </x:row>
    <x:row r="1204" ht="19" customHeight="1">
      <x:c r="A1204" s="19" t="str">
        <x:v>D01200</x:v>
      </x:c>
      <x:c r="B1204" s="19" t="n">
        <x:v>3</x:v>
      </x:c>
      <x:c r="C1204" s="19" t="n">
        <x:v>5</x:v>
      </x:c>
      <x:c r="D1204" s="19" t="str">
        <x:v>C03-M057</x:v>
      </x:c>
      <x:c r="E1204" s="19" t="str">
        <x:v>地宫镇魂者</x:v>
      </x:c>
      <x:c r="F1204" s="19" t="str">
        <x:v>稀有</x:v>
      </x:c>
      <x:c r="G1204" s="19" t="str">
        <x:v>六神器公共池</x:v>
      </x:c>
      <x:c r="H1204" s="19" t="str">
        <x:v>POOL006</x:v>
      </x:c>
      <x:c r="I1204" s="22" t="n">
        <x:v>5000000</x:v>
      </x:c>
      <x:c r="J1204" s="22" t="n">
        <x:v>1</x:v>
      </x:c>
      <x:c r="K1204" s="19" t="n">
        <x:v>6</x:v>
      </x:c>
      <x:c r="L1204" s="24" t="n">
        <x:v>17.25</x:v>
      </x:c>
      <x:c r="M1204" s="26" t="n">
        <x:v>0.1</x:v>
      </x:c>
      <x:c r="N1204" s="24" t="n">
        <x:v>12</x:v>
      </x:c>
      <x:c r="O1204" s="28" t="n">
        <x:f>MIN(1,L1204/I1204)</x:f>
        <x:v>0.00000345</x:v>
      </x:c>
      <x:c r="P1204" s="30" t="n">
        <x:f>O1204*J1204*(1+M1204)</x:f>
        <x:v>0.0000037950000000000005</x:v>
      </x:c>
      <x:c r="Q1204" s="30" t="n">
        <x:f>P1204*N1204</x:f>
        <x:v>0.00004554000000000001</x:v>
      </x:c>
      <x:c r="R1204" s="19" t="str">
        <x:v>六选一；非6个独立爆率</x:v>
      </x:c>
    </x:row>
    <x:row r="1205" ht="19" customHeight="1">
      <x:c r="A1205" s="19" t="str">
        <x:v>D01201</x:v>
      </x:c>
      <x:c r="B1205" s="19" t="n">
        <x:v>3</x:v>
      </x:c>
      <x:c r="C1205" s="19" t="n">
        <x:v>5</x:v>
      </x:c>
      <x:c r="D1205" s="19" t="str">
        <x:v>C03-M058</x:v>
      </x:c>
      <x:c r="E1205" s="19" t="str">
        <x:v>边境铜像</x:v>
      </x:c>
      <x:c r="F1205" s="19" t="str">
        <x:v>稀有</x:v>
      </x:c>
      <x:c r="G1205" s="19" t="str">
        <x:v>自身专属</x:v>
      </x:c>
      <x:c r="H1205" s="19" t="str">
        <x:v>边境塔盾</x:v>
      </x:c>
      <x:c r="I1205" s="22" t="n">
        <x:v>250</x:v>
      </x:c>
      <x:c r="J1205" s="22" t="n">
        <x:v>1</x:v>
      </x:c>
      <x:c r="K1205" s="19" t="n">
        <x:v>1</x:v>
      </x:c>
      <x:c r="L1205" s="24" t="n">
        <x:v>17.25</x:v>
      </x:c>
      <x:c r="M1205" s="26" t="n">
        <x:v>0.1</x:v>
      </x:c>
      <x:c r="N1205" s="24" t="n">
        <x:v>10.361915799657432</x:v>
      </x:c>
      <x:c r="O1205" s="28" t="n">
        <x:f>MIN(1,L1205/I1205)</x:f>
        <x:v>0.069</x:v>
      </x:c>
      <x:c r="P1205" s="30" t="n">
        <x:f>O1205*J1205*(1+M1205)</x:f>
        <x:v>0.07590000000000001</x:v>
      </x:c>
      <x:c r="Q1205" s="30" t="n">
        <x:f>P1205*N1205</x:f>
        <x:v>0.7864694091939991</x:v>
      </x:c>
      <x:c r="R1205" s="19" t="str">
        <x:v>独立判定</x:v>
      </x:c>
    </x:row>
    <x:row r="1206" ht="19" customHeight="1">
      <x:c r="A1206" s="19" t="str">
        <x:v>D01202</x:v>
      </x:c>
      <x:c r="B1206" s="19" t="n">
        <x:v>3</x:v>
      </x:c>
      <x:c r="C1206" s="19" t="n">
        <x:v>5</x:v>
      </x:c>
      <x:c r="D1206" s="19" t="str">
        <x:v>C03-M058</x:v>
      </x:c>
      <x:c r="E1206" s="19" t="str">
        <x:v>边境铜像</x:v>
      </x:c>
      <x:c r="F1206" s="19" t="str">
        <x:v>稀有</x:v>
      </x:c>
      <x:c r="G1206" s="19" t="str">
        <x:v>材料独立候选</x:v>
      </x:c>
      <x:c r="H1206" s="19" t="str">
        <x:v>风蚀铁片</x:v>
      </x:c>
      <x:c r="I1206" s="22" t="n">
        <x:v>500</x:v>
      </x:c>
      <x:c r="J1206" s="22" t="n">
        <x:v>15</x:v>
      </x:c>
      <x:c r="K1206" s="19" t="n">
        <x:v>1</x:v>
      </x:c>
      <x:c r="L1206" s="24" t="n">
        <x:v>17.25</x:v>
      </x:c>
      <x:c r="M1206" s="26" t="n">
        <x:v>0.1</x:v>
      </x:c>
      <x:c r="N1206" s="24" t="n">
        <x:v>10.361915799657432</x:v>
      </x:c>
      <x:c r="O1206" s="28" t="n">
        <x:f>MIN(1,L1206/I1206)</x:f>
        <x:v>0.0345</x:v>
      </x:c>
      <x:c r="P1206" s="30" t="n">
        <x:f>O1206*J1206*(1+M1206)</x:f>
        <x:v>0.5692500000000001</x:v>
      </x:c>
      <x:c r="Q1206" s="30" t="n">
        <x:f>P1206*N1206</x:f>
        <x:v>5.898520568954995</x:v>
      </x:c>
      <x:c r="R1206" s="19" t="str">
        <x:v>独立判定</x:v>
      </x:c>
    </x:row>
    <x:row r="1207" ht="19" customHeight="1">
      <x:c r="A1207" s="19" t="str">
        <x:v>D01203</x:v>
      </x:c>
      <x:c r="B1207" s="19" t="n">
        <x:v>3</x:v>
      </x:c>
      <x:c r="C1207" s="19" t="n">
        <x:v>5</x:v>
      </x:c>
      <x:c r="D1207" s="19" t="str">
        <x:v>C03-M058</x:v>
      </x:c>
      <x:c r="E1207" s="19" t="str">
        <x:v>边境铜像</x:v>
      </x:c>
      <x:c r="F1207" s="19" t="str">
        <x:v>稀有</x:v>
      </x:c>
      <x:c r="G1207" s="19" t="str">
        <x:v>材料独立候选</x:v>
      </x:c>
      <x:c r="H1207" s="19" t="str">
        <x:v>西境战旗</x:v>
      </x:c>
      <x:c r="I1207" s="22" t="n">
        <x:v>800</x:v>
      </x:c>
      <x:c r="J1207" s="22" t="n">
        <x:v>1</x:v>
      </x:c>
      <x:c r="K1207" s="19" t="n">
        <x:v>1</x:v>
      </x:c>
      <x:c r="L1207" s="24" t="n">
        <x:v>17.25</x:v>
      </x:c>
      <x:c r="M1207" s="26" t="n">
        <x:v>0.1</x:v>
      </x:c>
      <x:c r="N1207" s="24" t="n">
        <x:v>10.361915799657432</x:v>
      </x:c>
      <x:c r="O1207" s="28" t="n">
        <x:f>MIN(1,L1207/I1207)</x:f>
        <x:v>0.0215625</x:v>
      </x:c>
      <x:c r="P1207" s="30" t="n">
        <x:f>O1207*J1207*(1+M1207)</x:f>
        <x:v>0.02371875</x:v>
      </x:c>
      <x:c r="Q1207" s="30" t="n">
        <x:f>P1207*N1207</x:f>
        <x:v>0.2457716903731247</x:v>
      </x:c>
      <x:c r="R1207" s="19" t="str">
        <x:v>独立判定</x:v>
      </x:c>
    </x:row>
    <x:row r="1208" ht="19" customHeight="1">
      <x:c r="A1208" s="19" t="str">
        <x:v>D01204</x:v>
      </x:c>
      <x:c r="B1208" s="19" t="n">
        <x:v>3</x:v>
      </x:c>
      <x:c r="C1208" s="19" t="n">
        <x:v>5</x:v>
      </x:c>
      <x:c r="D1208" s="19" t="str">
        <x:v>C03-M058</x:v>
      </x:c>
      <x:c r="E1208" s="19" t="str">
        <x:v>边境铜像</x:v>
      </x:c>
      <x:c r="F1208" s="19" t="str">
        <x:v>稀有</x:v>
      </x:c>
      <x:c r="G1208" s="19" t="str">
        <x:v>材料独立候选</x:v>
      </x:c>
      <x:c r="H1208" s="19" t="str">
        <x:v>商队火漆</x:v>
      </x:c>
      <x:c r="I1208" s="22" t="n">
        <x:v>800</x:v>
      </x:c>
      <x:c r="J1208" s="22" t="n">
        <x:v>1</x:v>
      </x:c>
      <x:c r="K1208" s="19" t="n">
        <x:v>1</x:v>
      </x:c>
      <x:c r="L1208" s="24" t="n">
        <x:v>17.25</x:v>
      </x:c>
      <x:c r="M1208" s="26" t="n">
        <x:v>0.1</x:v>
      </x:c>
      <x:c r="N1208" s="24" t="n">
        <x:v>10.361915799657432</x:v>
      </x:c>
      <x:c r="O1208" s="28" t="n">
        <x:f>MIN(1,L1208/I1208)</x:f>
        <x:v>0.0215625</x:v>
      </x:c>
      <x:c r="P1208" s="30" t="n">
        <x:f>O1208*J1208*(1+M1208)</x:f>
        <x:v>0.02371875</x:v>
      </x:c>
      <x:c r="Q1208" s="30" t="n">
        <x:f>P1208*N1208</x:f>
        <x:v>0.2457716903731247</x:v>
      </x:c>
      <x:c r="R1208" s="19" t="str">
        <x:v>独立判定</x:v>
      </x:c>
    </x:row>
    <x:row r="1209" ht="19" customHeight="1">
      <x:c r="A1209" s="19" t="str">
        <x:v>D01205</x:v>
      </x:c>
      <x:c r="B1209" s="19" t="n">
        <x:v>3</x:v>
      </x:c>
      <x:c r="C1209" s="19" t="n">
        <x:v>5</x:v>
      </x:c>
      <x:c r="D1209" s="19" t="str">
        <x:v>C03-M058</x:v>
      </x:c>
      <x:c r="E1209" s="19" t="str">
        <x:v>边境铜像</x:v>
      </x:c>
      <x:c r="F1209" s="19" t="str">
        <x:v>稀有</x:v>
      </x:c>
      <x:c r="G1209" s="19" t="str">
        <x:v>材料独立候选</x:v>
      </x:c>
      <x:c r="H1209" s="19" t="str">
        <x:v>西境风痕碑拓</x:v>
      </x:c>
      <x:c r="I1209" s="22" t="n">
        <x:v>500000</x:v>
      </x:c>
      <x:c r="J1209" s="22" t="n">
        <x:v>1</x:v>
      </x:c>
      <x:c r="K1209" s="19" t="n">
        <x:v>1</x:v>
      </x:c>
      <x:c r="L1209" s="24" t="n">
        <x:v>17.25</x:v>
      </x:c>
      <x:c r="M1209" s="26" t="n">
        <x:v>0.1</x:v>
      </x:c>
      <x:c r="N1209" s="24" t="n">
        <x:v>10.361915799657432</x:v>
      </x:c>
      <x:c r="O1209" s="28" t="n">
        <x:f>MIN(1,L1209/I1209)</x:f>
        <x:v>0.0000345</x:v>
      </x:c>
      <x:c r="P1209" s="30" t="n">
        <x:f>O1209*J1209*(1+M1209)</x:f>
        <x:v>0.00003795</x:v>
      </x:c>
      <x:c r="Q1209" s="30" t="n">
        <x:f>P1209*N1209</x:f>
        <x:v>0.0003932347045969995</x:v>
      </x:c>
      <x:c r="R1209" s="19" t="str">
        <x:v>独立判定</x:v>
      </x:c>
    </x:row>
    <x:row r="1210" ht="19" customHeight="1">
      <x:c r="A1210" s="19" t="str">
        <x:v>D01206</x:v>
      </x:c>
      <x:c r="B1210" s="19" t="n">
        <x:v>3</x:v>
      </x:c>
      <x:c r="C1210" s="19" t="n">
        <x:v>5</x:v>
      </x:c>
      <x:c r="D1210" s="19" t="str">
        <x:v>C03-M058</x:v>
      </x:c>
      <x:c r="E1210" s="19" t="str">
        <x:v>边境铜像</x:v>
      </x:c>
      <x:c r="F1210" s="19" t="str">
        <x:v>稀有</x:v>
      </x:c>
      <x:c r="G1210" s="19" t="str">
        <x:v>材料独立候选</x:v>
      </x:c>
      <x:c r="H1210" s="19" t="str">
        <x:v>黄金树芽</x:v>
      </x:c>
      <x:c r="I1210" s="22" t="n">
        <x:v>2000</x:v>
      </x:c>
      <x:c r="J1210" s="22" t="n">
        <x:v>1</x:v>
      </x:c>
      <x:c r="K1210" s="19" t="n">
        <x:v>1</x:v>
      </x:c>
      <x:c r="L1210" s="24" t="n">
        <x:v>17.25</x:v>
      </x:c>
      <x:c r="M1210" s="26" t="n">
        <x:v>0.1</x:v>
      </x:c>
      <x:c r="N1210" s="24" t="n">
        <x:v>10.361915799657432</x:v>
      </x:c>
      <x:c r="O1210" s="28" t="n">
        <x:f>MIN(1,L1210/I1210)</x:f>
        <x:v>0.008625</x:v>
      </x:c>
      <x:c r="P1210" s="30" t="n">
        <x:f>O1210*J1210*(1+M1210)</x:f>
        <x:v>0.009487500000000001</x:v>
      </x:c>
      <x:c r="Q1210" s="30" t="n">
        <x:f>P1210*N1210</x:f>
        <x:v>0.09830867614924989</x:v>
      </x:c>
      <x:c r="R1210" s="19" t="str">
        <x:v>独立判定</x:v>
      </x:c>
    </x:row>
    <x:row r="1211" ht="19" customHeight="1">
      <x:c r="A1211" s="19" t="str">
        <x:v>D01207</x:v>
      </x:c>
      <x:c r="B1211" s="19" t="n">
        <x:v>3</x:v>
      </x:c>
      <x:c r="C1211" s="19" t="n">
        <x:v>5</x:v>
      </x:c>
      <x:c r="D1211" s="19" t="str">
        <x:v>C03-M058</x:v>
      </x:c>
      <x:c r="E1211" s="19" t="str">
        <x:v>边境铜像</x:v>
      </x:c>
      <x:c r="F1211" s="19" t="str">
        <x:v>稀有</x:v>
      </x:c>
      <x:c r="G1211" s="19" t="str">
        <x:v>材料独立候选</x:v>
      </x:c>
      <x:c r="H1211" s="19" t="str">
        <x:v>野兽骨片</x:v>
      </x:c>
      <x:c r="I1211" s="22" t="n">
        <x:v>80</x:v>
      </x:c>
      <x:c r="J1211" s="22" t="n">
        <x:v>2</x:v>
      </x:c>
      <x:c r="K1211" s="19" t="n">
        <x:v>1</x:v>
      </x:c>
      <x:c r="L1211" s="24" t="n">
        <x:v>17.25</x:v>
      </x:c>
      <x:c r="M1211" s="26" t="n">
        <x:v>0.1</x:v>
      </x:c>
      <x:c r="N1211" s="24" t="n">
        <x:v>10.361915799657432</x:v>
      </x:c>
      <x:c r="O1211" s="28" t="n">
        <x:f>MIN(1,L1211/I1211)</x:f>
        <x:v>0.215625</x:v>
      </x:c>
      <x:c r="P1211" s="30" t="n">
        <x:f>O1211*J1211*(1+M1211)</x:f>
        <x:v>0.47437500000000005</x:v>
      </x:c>
      <x:c r="Q1211" s="30" t="n">
        <x:f>P1211*N1211</x:f>
        <x:v>4.915433807462494</x:v>
      </x:c>
      <x:c r="R1211" s="19" t="str">
        <x:v>独立判定</x:v>
      </x:c>
    </x:row>
    <x:row r="1212" ht="19" customHeight="1">
      <x:c r="A1212" s="19" t="str">
        <x:v>D01208</x:v>
      </x:c>
      <x:c r="B1212" s="19" t="n">
        <x:v>3</x:v>
      </x:c>
      <x:c r="C1212" s="19" t="n">
        <x:v>5</x:v>
      </x:c>
      <x:c r="D1212" s="19" t="str">
        <x:v>C03-M058</x:v>
      </x:c>
      <x:c r="E1212" s="19" t="str">
        <x:v>边境铜像</x:v>
      </x:c>
      <x:c r="F1212" s="19" t="str">
        <x:v>稀有</x:v>
      </x:c>
      <x:c r="G1212" s="19" t="str">
        <x:v>材料独立候选</x:v>
      </x:c>
      <x:c r="H1212" s="19" t="str">
        <x:v>技能残页</x:v>
      </x:c>
      <x:c r="I1212" s="22" t="n">
        <x:v>180</x:v>
      </x:c>
      <x:c r="J1212" s="22" t="n">
        <x:v>1</x:v>
      </x:c>
      <x:c r="K1212" s="19" t="n">
        <x:v>1</x:v>
      </x:c>
      <x:c r="L1212" s="24" t="n">
        <x:v>17.25</x:v>
      </x:c>
      <x:c r="M1212" s="26" t="n">
        <x:v>0.1</x:v>
      </x:c>
      <x:c r="N1212" s="24" t="n">
        <x:v>10.361915799657432</x:v>
      </x:c>
      <x:c r="O1212" s="28" t="n">
        <x:f>MIN(1,L1212/I1212)</x:f>
        <x:v>0.09583333333333334</x:v>
      </x:c>
      <x:c r="P1212" s="30" t="n">
        <x:f>O1212*J1212*(1+M1212)</x:f>
        <x:v>0.10541666666666669</x:v>
      </x:c>
      <x:c r="Q1212" s="30" t="n">
        <x:f>P1212*N1212</x:f>
        <x:v>1.0923186238805545</x:v>
      </x:c>
      <x:c r="R1212" s="19" t="str">
        <x:v>独立判定</x:v>
      </x:c>
    </x:row>
    <x:row r="1213" ht="19" customHeight="1">
      <x:c r="A1213" s="19" t="str">
        <x:v>D01209</x:v>
      </x:c>
      <x:c r="B1213" s="19" t="n">
        <x:v>3</x:v>
      </x:c>
      <x:c r="C1213" s="19" t="n">
        <x:v>5</x:v>
      </x:c>
      <x:c r="D1213" s="19" t="str">
        <x:v>C03-M058</x:v>
      </x:c>
      <x:c r="E1213" s="19" t="str">
        <x:v>边境铜像</x:v>
      </x:c>
      <x:c r="F1213" s="19" t="str">
        <x:v>稀有</x:v>
      </x:c>
      <x:c r="G1213" s="19" t="str">
        <x:v>材料独立候选</x:v>
      </x:c>
      <x:c r="H1213" s="19" t="str">
        <x:v>小卢恩</x:v>
      </x:c>
      <x:c r="I1213" s="22" t="n">
        <x:v>3000</x:v>
      </x:c>
      <x:c r="J1213" s="22" t="n">
        <x:v>1</x:v>
      </x:c>
      <x:c r="K1213" s="19" t="n">
        <x:v>1</x:v>
      </x:c>
      <x:c r="L1213" s="24" t="n">
        <x:v>17.25</x:v>
      </x:c>
      <x:c r="M1213" s="26" t="n">
        <x:v>0.1</x:v>
      </x:c>
      <x:c r="N1213" s="24" t="n">
        <x:v>10.361915799657432</x:v>
      </x:c>
      <x:c r="O1213" s="28" t="n">
        <x:f>MIN(1,L1213/I1213)</x:f>
        <x:v>0.00575</x:v>
      </x:c>
      <x:c r="P1213" s="30" t="n">
        <x:f>O1213*J1213*(1+M1213)</x:f>
        <x:v>0.006325000000000001</x:v>
      </x:c>
      <x:c r="Q1213" s="30" t="n">
        <x:f>P1213*N1213</x:f>
        <x:v>0.06553911743283326</x:v>
      </x:c>
      <x:c r="R1213" s="19" t="str">
        <x:v>独立判定</x:v>
      </x:c>
    </x:row>
    <x:row r="1214" ht="19" customHeight="1">
      <x:c r="A1214" s="19" t="str">
        <x:v>D01210</x:v>
      </x:c>
      <x:c r="B1214" s="19" t="n">
        <x:v>3</x:v>
      </x:c>
      <x:c r="C1214" s="19" t="n">
        <x:v>5</x:v>
      </x:c>
      <x:c r="D1214" s="19" t="str">
        <x:v>C03-M058</x:v>
      </x:c>
      <x:c r="E1214" s="19" t="str">
        <x:v>边境铜像</x:v>
      </x:c>
      <x:c r="F1214" s="19" t="str">
        <x:v>稀有</x:v>
      </x:c>
      <x:c r="G1214" s="19" t="str">
        <x:v>六神器公共池</x:v>
      </x:c>
      <x:c r="H1214" s="19" t="str">
        <x:v>POOL006</x:v>
      </x:c>
      <x:c r="I1214" s="22" t="n">
        <x:v>5000000</x:v>
      </x:c>
      <x:c r="J1214" s="22" t="n">
        <x:v>1</x:v>
      </x:c>
      <x:c r="K1214" s="19" t="n">
        <x:v>6</x:v>
      </x:c>
      <x:c r="L1214" s="24" t="n">
        <x:v>17.25</x:v>
      </x:c>
      <x:c r="M1214" s="26" t="n">
        <x:v>0.1</x:v>
      </x:c>
      <x:c r="N1214" s="24" t="n">
        <x:v>10.361915799657432</x:v>
      </x:c>
      <x:c r="O1214" s="28" t="n">
        <x:f>MIN(1,L1214/I1214)</x:f>
        <x:v>0.00000345</x:v>
      </x:c>
      <x:c r="P1214" s="30" t="n">
        <x:f>O1214*J1214*(1+M1214)</x:f>
        <x:v>0.0000037950000000000005</x:v>
      </x:c>
      <x:c r="Q1214" s="30" t="n">
        <x:f>P1214*N1214</x:f>
        <x:v>0.00003932347045969996</x:v>
      </x:c>
      <x:c r="R1214" s="19" t="str">
        <x:v>六选一；非6个独立爆率</x:v>
      </x:c>
    </x:row>
    <x:row r="1215" ht="19" customHeight="1">
      <x:c r="A1215" s="19" t="str">
        <x:v>D01211</x:v>
      </x:c>
      <x:c r="B1215" s="19" t="n">
        <x:v>3</x:v>
      </x:c>
      <x:c r="C1215" s="19" t="n">
        <x:v>5</x:v>
      </x:c>
      <x:c r="D1215" s="19" t="str">
        <x:v>C03-M059</x:v>
      </x:c>
      <x:c r="E1215" s="19" t="str">
        <x:v>无归守将·布兰</x:v>
      </x:c>
      <x:c r="F1215" s="19" t="str">
        <x:v>地图BOSS</x:v>
      </x:c>
      <x:c r="G1215" s="19" t="str">
        <x:v>自身专属</x:v>
      </x:c>
      <x:c r="H1215" s="19" t="str">
        <x:v>布兰守城枪</x:v>
      </x:c>
      <x:c r="I1215" s="22" t="n">
        <x:v>40</x:v>
      </x:c>
      <x:c r="J1215" s="22" t="n">
        <x:v>1</x:v>
      </x:c>
      <x:c r="K1215" s="19" t="n">
        <x:v>1</x:v>
      </x:c>
      <x:c r="L1215" s="24" t="n">
        <x:v>17.25</x:v>
      </x:c>
      <x:c r="M1215" s="26" t="n">
        <x:v>0.1</x:v>
      </x:c>
      <x:c r="N1215" s="24" t="n">
        <x:v>2</x:v>
      </x:c>
      <x:c r="O1215" s="28" t="n">
        <x:f>MIN(1,L1215/I1215)</x:f>
        <x:v>0.43125</x:v>
      </x:c>
      <x:c r="P1215" s="30" t="n">
        <x:f>O1215*J1215*(1+M1215)</x:f>
        <x:v>0.47437500000000005</x:v>
      </x:c>
      <x:c r="Q1215" s="30" t="n">
        <x:f>P1215*N1215</x:f>
        <x:v>0.9487500000000001</x:v>
      </x:c>
      <x:c r="R1215" s="19" t="str">
        <x:v>独立判定</x:v>
      </x:c>
    </x:row>
    <x:row r="1216" ht="19" customHeight="1">
      <x:c r="A1216" s="19" t="str">
        <x:v>D01212</x:v>
      </x:c>
      <x:c r="B1216" s="19" t="n">
        <x:v>3</x:v>
      </x:c>
      <x:c r="C1216" s="19" t="n">
        <x:v>5</x:v>
      </x:c>
      <x:c r="D1216" s="19" t="str">
        <x:v>C03-M059</x:v>
      </x:c>
      <x:c r="E1216" s="19" t="str">
        <x:v>无归守将·布兰</x:v>
      </x:c>
      <x:c r="F1216" s="19" t="str">
        <x:v>地图BOSS</x:v>
      </x:c>
      <x:c r="G1216" s="19" t="str">
        <x:v>本图普通兼掉候选</x:v>
      </x:c>
      <x:c r="H1216" s="19" t="str">
        <x:v>POOL020</x:v>
      </x:c>
      <x:c r="I1216" s="22" t="n">
        <x:v>40</x:v>
      </x:c>
      <x:c r="J1216" s="22" t="n">
        <x:v>1</x:v>
      </x:c>
      <x:c r="K1216" s="19" t="n">
        <x:v>2</x:v>
      </x:c>
      <x:c r="L1216" s="24" t="n">
        <x:v>17.25</x:v>
      </x:c>
      <x:c r="M1216" s="26" t="n">
        <x:v>0.1</x:v>
      </x:c>
      <x:c r="N1216" s="24" t="n">
        <x:v>2</x:v>
      </x:c>
      <x:c r="O1216" s="28" t="n">
        <x:f>MIN(1,L1216/I1216)</x:f>
        <x:v>0.43125</x:v>
      </x:c>
      <x:c r="P1216" s="30" t="n">
        <x:f>O1216*J1216*(1+M1216)</x:f>
        <x:v>0.47437500000000005</x:v>
      </x:c>
      <x:c r="Q1216" s="30" t="n">
        <x:f>P1216*N1216</x:f>
        <x:v>0.9487500000000001</x:v>
      </x:c>
      <x:c r="R1216" s="19" t="str">
        <x:v>单池选一</x:v>
      </x:c>
    </x:row>
    <x:row r="1217" ht="19" customHeight="1">
      <x:c r="A1217" s="19" t="str">
        <x:v>D01213</x:v>
      </x:c>
      <x:c r="B1217" s="19" t="n">
        <x:v>3</x:v>
      </x:c>
      <x:c r="C1217" s="19" t="n">
        <x:v>5</x:v>
      </x:c>
      <x:c r="D1217" s="19" t="str">
        <x:v>C03-M059</x:v>
      </x:c>
      <x:c r="E1217" s="19" t="str">
        <x:v>无归守将·布兰</x:v>
      </x:c>
      <x:c r="F1217" s="19" t="str">
        <x:v>地图BOSS</x:v>
      </x:c>
      <x:c r="G1217" s="19" t="str">
        <x:v>材料独立候选</x:v>
      </x:c>
      <x:c r="H1217" s="19" t="str">
        <x:v>风蚀铁片</x:v>
      </x:c>
      <x:c r="I1217" s="22" t="n">
        <x:v>300</x:v>
      </x:c>
      <x:c r="J1217" s="22" t="n">
        <x:v>30</x:v>
      </x:c>
      <x:c r="K1217" s="19" t="n">
        <x:v>1</x:v>
      </x:c>
      <x:c r="L1217" s="24" t="n">
        <x:v>17.25</x:v>
      </x:c>
      <x:c r="M1217" s="26" t="n">
        <x:v>0.1</x:v>
      </x:c>
      <x:c r="N1217" s="24" t="n">
        <x:v>2</x:v>
      </x:c>
      <x:c r="O1217" s="28" t="n">
        <x:f>MIN(1,L1217/I1217)</x:f>
        <x:v>0.0575</x:v>
      </x:c>
      <x:c r="P1217" s="30" t="n">
        <x:f>O1217*J1217*(1+M1217)</x:f>
        <x:v>1.8975000000000002</x:v>
      </x:c>
      <x:c r="Q1217" s="30" t="n">
        <x:f>P1217*N1217</x:f>
        <x:v>3.7950000000000004</x:v>
      </x:c>
      <x:c r="R1217" s="19" t="str">
        <x:v>独立判定</x:v>
      </x:c>
    </x:row>
    <x:row r="1218" ht="19" customHeight="1">
      <x:c r="A1218" s="19" t="str">
        <x:v>D01214</x:v>
      </x:c>
      <x:c r="B1218" s="19" t="n">
        <x:v>3</x:v>
      </x:c>
      <x:c r="C1218" s="19" t="n">
        <x:v>5</x:v>
      </x:c>
      <x:c r="D1218" s="19" t="str">
        <x:v>C03-M059</x:v>
      </x:c>
      <x:c r="E1218" s="19" t="str">
        <x:v>无归守将·布兰</x:v>
      </x:c>
      <x:c r="F1218" s="19" t="str">
        <x:v>地图BOSS</x:v>
      </x:c>
      <x:c r="G1218" s="19" t="str">
        <x:v>材料独立候选</x:v>
      </x:c>
      <x:c r="H1218" s="19" t="str">
        <x:v>西境战旗</x:v>
      </x:c>
      <x:c r="I1218" s="22" t="n">
        <x:v>400</x:v>
      </x:c>
      <x:c r="J1218" s="22" t="n">
        <x:v>1</x:v>
      </x:c>
      <x:c r="K1218" s="19" t="n">
        <x:v>1</x:v>
      </x:c>
      <x:c r="L1218" s="24" t="n">
        <x:v>17.25</x:v>
      </x:c>
      <x:c r="M1218" s="26" t="n">
        <x:v>0.1</x:v>
      </x:c>
      <x:c r="N1218" s="24" t="n">
        <x:v>2</x:v>
      </x:c>
      <x:c r="O1218" s="28" t="n">
        <x:f>MIN(1,L1218/I1218)</x:f>
        <x:v>0.043125</x:v>
      </x:c>
      <x:c r="P1218" s="30" t="n">
        <x:f>O1218*J1218*(1+M1218)</x:f>
        <x:v>0.0474375</x:v>
      </x:c>
      <x:c r="Q1218" s="30" t="n">
        <x:f>P1218*N1218</x:f>
        <x:v>0.094875</x:v>
      </x:c>
      <x:c r="R1218" s="19" t="str">
        <x:v>独立判定</x:v>
      </x:c>
    </x:row>
    <x:row r="1219" ht="19" customHeight="1">
      <x:c r="A1219" s="19" t="str">
        <x:v>D01215</x:v>
      </x:c>
      <x:c r="B1219" s="19" t="n">
        <x:v>3</x:v>
      </x:c>
      <x:c r="C1219" s="19" t="n">
        <x:v>5</x:v>
      </x:c>
      <x:c r="D1219" s="19" t="str">
        <x:v>C03-M059</x:v>
      </x:c>
      <x:c r="E1219" s="19" t="str">
        <x:v>无归守将·布兰</x:v>
      </x:c>
      <x:c r="F1219" s="19" t="str">
        <x:v>地图BOSS</x:v>
      </x:c>
      <x:c r="G1219" s="19" t="str">
        <x:v>材料独立候选</x:v>
      </x:c>
      <x:c r="H1219" s="19" t="str">
        <x:v>西境战旗印</x:v>
      </x:c>
      <x:c r="I1219" s="22" t="n">
        <x:v>120</x:v>
      </x:c>
      <x:c r="J1219" s="22" t="n">
        <x:v>2</x:v>
      </x:c>
      <x:c r="K1219" s="19" t="n">
        <x:v>1</x:v>
      </x:c>
      <x:c r="L1219" s="24" t="n">
        <x:v>17.25</x:v>
      </x:c>
      <x:c r="M1219" s="26" t="n">
        <x:v>0.1</x:v>
      </x:c>
      <x:c r="N1219" s="24" t="n">
        <x:v>2</x:v>
      </x:c>
      <x:c r="O1219" s="28" t="n">
        <x:f>MIN(1,L1219/I1219)</x:f>
        <x:v>0.14375</x:v>
      </x:c>
      <x:c r="P1219" s="30" t="n">
        <x:f>O1219*J1219*(1+M1219)</x:f>
        <x:v>0.31625</x:v>
      </x:c>
      <x:c r="Q1219" s="30" t="n">
        <x:f>P1219*N1219</x:f>
        <x:v>0.6325</x:v>
      </x:c>
      <x:c r="R1219" s="19" t="str">
        <x:v>独立判定</x:v>
      </x:c>
    </x:row>
    <x:row r="1220" ht="19" customHeight="1">
      <x:c r="A1220" s="19" t="str">
        <x:v>D01216</x:v>
      </x:c>
      <x:c r="B1220" s="19" t="n">
        <x:v>3</x:v>
      </x:c>
      <x:c r="C1220" s="19" t="n">
        <x:v>5</x:v>
      </x:c>
      <x:c r="D1220" s="19" t="str">
        <x:v>C03-M059</x:v>
      </x:c>
      <x:c r="E1220" s="19" t="str">
        <x:v>无归守将·布兰</x:v>
      </x:c>
      <x:c r="F1220" s="19" t="str">
        <x:v>地图BOSS</x:v>
      </x:c>
      <x:c r="G1220" s="19" t="str">
        <x:v>材料独立候选</x:v>
      </x:c>
      <x:c r="H1220" s="19" t="str">
        <x:v>守垒铜钥</x:v>
      </x:c>
      <x:c r="I1220" s="22" t="n">
        <x:v>120</x:v>
      </x:c>
      <x:c r="J1220" s="22" t="n">
        <x:v>1</x:v>
      </x:c>
      <x:c r="K1220" s="19" t="n">
        <x:v>1</x:v>
      </x:c>
      <x:c r="L1220" s="24" t="n">
        <x:v>17.25</x:v>
      </x:c>
      <x:c r="M1220" s="26" t="n">
        <x:v>0.1</x:v>
      </x:c>
      <x:c r="N1220" s="24" t="n">
        <x:v>2</x:v>
      </x:c>
      <x:c r="O1220" s="28" t="n">
        <x:f>MIN(1,L1220/I1220)</x:f>
        <x:v>0.14375</x:v>
      </x:c>
      <x:c r="P1220" s="30" t="n">
        <x:f>O1220*J1220*(1+M1220)</x:f>
        <x:v>0.158125</x:v>
      </x:c>
      <x:c r="Q1220" s="30" t="n">
        <x:f>P1220*N1220</x:f>
        <x:v>0.31625</x:v>
      </x:c>
      <x:c r="R1220" s="19" t="str">
        <x:v>独立判定</x:v>
      </x:c>
    </x:row>
    <x:row r="1221" ht="19" customHeight="1">
      <x:c r="A1221" s="19" t="str">
        <x:v>D01217</x:v>
      </x:c>
      <x:c r="B1221" s="19" t="n">
        <x:v>3</x:v>
      </x:c>
      <x:c r="C1221" s="19" t="n">
        <x:v>5</x:v>
      </x:c>
      <x:c r="D1221" s="19" t="str">
        <x:v>C03-M059</x:v>
      </x:c>
      <x:c r="E1221" s="19" t="str">
        <x:v>无归守将·布兰</x:v>
      </x:c>
      <x:c r="F1221" s="19" t="str">
        <x:v>地图BOSS</x:v>
      </x:c>
      <x:c r="G1221" s="19" t="str">
        <x:v>材料独立候选</x:v>
      </x:c>
      <x:c r="H1221" s="19" t="str">
        <x:v>西境风痕碑拓</x:v>
      </x:c>
      <x:c r="I1221" s="22" t="n">
        <x:v>250000</x:v>
      </x:c>
      <x:c r="J1221" s="22" t="n">
        <x:v>1</x:v>
      </x:c>
      <x:c r="K1221" s="19" t="n">
        <x:v>1</x:v>
      </x:c>
      <x:c r="L1221" s="24" t="n">
        <x:v>17.25</x:v>
      </x:c>
      <x:c r="M1221" s="26" t="n">
        <x:v>0.1</x:v>
      </x:c>
      <x:c r="N1221" s="24" t="n">
        <x:v>2</x:v>
      </x:c>
      <x:c r="O1221" s="28" t="n">
        <x:f>MIN(1,L1221/I1221)</x:f>
        <x:v>0.000069</x:v>
      </x:c>
      <x:c r="P1221" s="30" t="n">
        <x:f>O1221*J1221*(1+M1221)</x:f>
        <x:v>0.0000759</x:v>
      </x:c>
      <x:c r="Q1221" s="30" t="n">
        <x:f>P1221*N1221</x:f>
        <x:v>0.0001518</x:v>
      </x:c>
      <x:c r="R1221" s="19" t="str">
        <x:v>独立判定</x:v>
      </x:c>
    </x:row>
    <x:row r="1222" ht="19" customHeight="1">
      <x:c r="A1222" s="19" t="str">
        <x:v>D01218</x:v>
      </x:c>
      <x:c r="B1222" s="19" t="n">
        <x:v>3</x:v>
      </x:c>
      <x:c r="C1222" s="19" t="n">
        <x:v>5</x:v>
      </x:c>
      <x:c r="D1222" s="19" t="str">
        <x:v>C03-M059</x:v>
      </x:c>
      <x:c r="E1222" s="19" t="str">
        <x:v>无归守将·布兰</x:v>
      </x:c>
      <x:c r="F1222" s="19" t="str">
        <x:v>地图BOSS</x:v>
      </x:c>
      <x:c r="G1222" s="19" t="str">
        <x:v>材料独立候选</x:v>
      </x:c>
      <x:c r="H1222" s="19" t="str">
        <x:v>黄金树芽</x:v>
      </x:c>
      <x:c r="I1222" s="22" t="n">
        <x:v>1000</x:v>
      </x:c>
      <x:c r="J1222" s="22" t="n">
        <x:v>1</x:v>
      </x:c>
      <x:c r="K1222" s="19" t="n">
        <x:v>1</x:v>
      </x:c>
      <x:c r="L1222" s="24" t="n">
        <x:v>17.25</x:v>
      </x:c>
      <x:c r="M1222" s="26" t="n">
        <x:v>0.1</x:v>
      </x:c>
      <x:c r="N1222" s="24" t="n">
        <x:v>2</x:v>
      </x:c>
      <x:c r="O1222" s="28" t="n">
        <x:f>MIN(1,L1222/I1222)</x:f>
        <x:v>0.01725</x:v>
      </x:c>
      <x:c r="P1222" s="30" t="n">
        <x:f>O1222*J1222*(1+M1222)</x:f>
        <x:v>0.018975000000000002</x:v>
      </x:c>
      <x:c r="Q1222" s="30" t="n">
        <x:f>P1222*N1222</x:f>
        <x:v>0.037950000000000005</x:v>
      </x:c>
      <x:c r="R1222" s="19" t="str">
        <x:v>独立判定</x:v>
      </x:c>
    </x:row>
    <x:row r="1223" ht="19" customHeight="1">
      <x:c r="A1223" s="19" t="str">
        <x:v>D01219</x:v>
      </x:c>
      <x:c r="B1223" s="19" t="n">
        <x:v>3</x:v>
      </x:c>
      <x:c r="C1223" s="19" t="n">
        <x:v>5</x:v>
      </x:c>
      <x:c r="D1223" s="19" t="str">
        <x:v>C03-M059</x:v>
      </x:c>
      <x:c r="E1223" s="19" t="str">
        <x:v>无归守将·布兰</x:v>
      </x:c>
      <x:c r="F1223" s="19" t="str">
        <x:v>地图BOSS</x:v>
      </x:c>
      <x:c r="G1223" s="19" t="str">
        <x:v>材料独立候选</x:v>
      </x:c>
      <x:c r="H1223" s="19" t="str">
        <x:v>野兽骨片</x:v>
      </x:c>
      <x:c r="I1223" s="22" t="n">
        <x:v>40</x:v>
      </x:c>
      <x:c r="J1223" s="22" t="n">
        <x:v>2</x:v>
      </x:c>
      <x:c r="K1223" s="19" t="n">
        <x:v>1</x:v>
      </x:c>
      <x:c r="L1223" s="24" t="n">
        <x:v>17.25</x:v>
      </x:c>
      <x:c r="M1223" s="26" t="n">
        <x:v>0.1</x:v>
      </x:c>
      <x:c r="N1223" s="24" t="n">
        <x:v>2</x:v>
      </x:c>
      <x:c r="O1223" s="28" t="n">
        <x:f>MIN(1,L1223/I1223)</x:f>
        <x:v>0.43125</x:v>
      </x:c>
      <x:c r="P1223" s="30" t="n">
        <x:f>O1223*J1223*(1+M1223)</x:f>
        <x:v>0.9487500000000001</x:v>
      </x:c>
      <x:c r="Q1223" s="30" t="n">
        <x:f>P1223*N1223</x:f>
        <x:v>1.8975000000000002</x:v>
      </x:c>
      <x:c r="R1223" s="19" t="str">
        <x:v>独立判定</x:v>
      </x:c>
    </x:row>
    <x:row r="1224" ht="19" customHeight="1">
      <x:c r="A1224" s="19" t="str">
        <x:v>D01220</x:v>
      </x:c>
      <x:c r="B1224" s="19" t="n">
        <x:v>3</x:v>
      </x:c>
      <x:c r="C1224" s="19" t="n">
        <x:v>5</x:v>
      </x:c>
      <x:c r="D1224" s="19" t="str">
        <x:v>C03-M059</x:v>
      </x:c>
      <x:c r="E1224" s="19" t="str">
        <x:v>无归守将·布兰</x:v>
      </x:c>
      <x:c r="F1224" s="19" t="str">
        <x:v>地图BOSS</x:v>
      </x:c>
      <x:c r="G1224" s="19" t="str">
        <x:v>材料独立候选</x:v>
      </x:c>
      <x:c r="H1224" s="19" t="str">
        <x:v>技能残页</x:v>
      </x:c>
      <x:c r="I1224" s="22" t="n">
        <x:v>100</x:v>
      </x:c>
      <x:c r="J1224" s="22" t="n">
        <x:v>1</x:v>
      </x:c>
      <x:c r="K1224" s="19" t="n">
        <x:v>1</x:v>
      </x:c>
      <x:c r="L1224" s="24" t="n">
        <x:v>17.25</x:v>
      </x:c>
      <x:c r="M1224" s="26" t="n">
        <x:v>0.1</x:v>
      </x:c>
      <x:c r="N1224" s="24" t="n">
        <x:v>2</x:v>
      </x:c>
      <x:c r="O1224" s="28" t="n">
        <x:f>MIN(1,L1224/I1224)</x:f>
        <x:v>0.1725</x:v>
      </x:c>
      <x:c r="P1224" s="30" t="n">
        <x:f>O1224*J1224*(1+M1224)</x:f>
        <x:v>0.18975</x:v>
      </x:c>
      <x:c r="Q1224" s="30" t="n">
        <x:f>P1224*N1224</x:f>
        <x:v>0.3795</x:v>
      </x:c>
      <x:c r="R1224" s="19" t="str">
        <x:v>独立判定</x:v>
      </x:c>
    </x:row>
    <x:row r="1225" ht="19" customHeight="1">
      <x:c r="A1225" s="19" t="str">
        <x:v>D01221</x:v>
      </x:c>
      <x:c r="B1225" s="19" t="n">
        <x:v>3</x:v>
      </x:c>
      <x:c r="C1225" s="19" t="n">
        <x:v>5</x:v>
      </x:c>
      <x:c r="D1225" s="19" t="str">
        <x:v>C03-M059</x:v>
      </x:c>
      <x:c r="E1225" s="19" t="str">
        <x:v>无归守将·布兰</x:v>
      </x:c>
      <x:c r="F1225" s="19" t="str">
        <x:v>地图BOSS</x:v>
      </x:c>
      <x:c r="G1225" s="19" t="str">
        <x:v>材料独立候选</x:v>
      </x:c>
      <x:c r="H1225" s="19" t="str">
        <x:v>宁姆格福誓页</x:v>
      </x:c>
      <x:c r="I1225" s="22" t="n">
        <x:v>200</x:v>
      </x:c>
      <x:c r="J1225" s="22" t="n">
        <x:v>1</x:v>
      </x:c>
      <x:c r="K1225" s="19" t="n">
        <x:v>1</x:v>
      </x:c>
      <x:c r="L1225" s="24" t="n">
        <x:v>17.25</x:v>
      </x:c>
      <x:c r="M1225" s="26" t="n">
        <x:v>0.1</x:v>
      </x:c>
      <x:c r="N1225" s="24" t="n">
        <x:v>2</x:v>
      </x:c>
      <x:c r="O1225" s="28" t="n">
        <x:f>MIN(1,L1225/I1225)</x:f>
        <x:v>0.08625</x:v>
      </x:c>
      <x:c r="P1225" s="30" t="n">
        <x:f>O1225*J1225*(1+M1225)</x:f>
        <x:v>0.094875</x:v>
      </x:c>
      <x:c r="Q1225" s="30" t="n">
        <x:f>P1225*N1225</x:f>
        <x:v>0.18975</x:v>
      </x:c>
      <x:c r="R1225" s="19" t="str">
        <x:v>独立判定</x:v>
      </x:c>
    </x:row>
    <x:row r="1226" ht="19" customHeight="1">
      <x:c r="A1226" s="19" t="str">
        <x:v>D01222</x:v>
      </x:c>
      <x:c r="B1226" s="19" t="n">
        <x:v>3</x:v>
      </x:c>
      <x:c r="C1226" s="19" t="n">
        <x:v>5</x:v>
      </x:c>
      <x:c r="D1226" s="19" t="str">
        <x:v>C03-M059</x:v>
      </x:c>
      <x:c r="E1226" s="19" t="str">
        <x:v>无归守将·布兰</x:v>
      </x:c>
      <x:c r="F1226" s="19" t="str">
        <x:v>地图BOSS</x:v>
      </x:c>
      <x:c r="G1226" s="19" t="str">
        <x:v>材料独立候选</x:v>
      </x:c>
      <x:c r="H1226" s="19" t="str">
        <x:v>小卢恩</x:v>
      </x:c>
      <x:c r="I1226" s="22" t="n">
        <x:v>1500</x:v>
      </x:c>
      <x:c r="J1226" s="22" t="n">
        <x:v>1</x:v>
      </x:c>
      <x:c r="K1226" s="19" t="n">
        <x:v>1</x:v>
      </x:c>
      <x:c r="L1226" s="24" t="n">
        <x:v>17.25</x:v>
      </x:c>
      <x:c r="M1226" s="26" t="n">
        <x:v>0.1</x:v>
      </x:c>
      <x:c r="N1226" s="24" t="n">
        <x:v>2</x:v>
      </x:c>
      <x:c r="O1226" s="28" t="n">
        <x:f>MIN(1,L1226/I1226)</x:f>
        <x:v>0.0115</x:v>
      </x:c>
      <x:c r="P1226" s="30" t="n">
        <x:f>O1226*J1226*(1+M1226)</x:f>
        <x:v>0.012650000000000002</x:v>
      </x:c>
      <x:c r="Q1226" s="30" t="n">
        <x:f>P1226*N1226</x:f>
        <x:v>0.025300000000000003</x:v>
      </x:c>
      <x:c r="R1226" s="19" t="str">
        <x:v>独立判定</x:v>
      </x:c>
    </x:row>
    <x:row r="1227" ht="19" customHeight="1">
      <x:c r="A1227" s="19" t="str">
        <x:v>D01223</x:v>
      </x:c>
      <x:c r="B1227" s="19" t="n">
        <x:v>3</x:v>
      </x:c>
      <x:c r="C1227" s="19" t="n">
        <x:v>5</x:v>
      </x:c>
      <x:c r="D1227" s="19" t="str">
        <x:v>C03-M059</x:v>
      </x:c>
      <x:c r="E1227" s="19" t="str">
        <x:v>无归守将·布兰</x:v>
      </x:c>
      <x:c r="F1227" s="19" t="str">
        <x:v>地图BOSS</x:v>
      </x:c>
      <x:c r="G1227" s="19" t="str">
        <x:v>材料独立候选</x:v>
      </x:c>
      <x:c r="H1227" s="19" t="str">
        <x:v>大卢恩</x:v>
      </x:c>
      <x:c r="I1227" s="22" t="n">
        <x:v>150</x:v>
      </x:c>
      <x:c r="J1227" s="22" t="n">
        <x:v>1</x:v>
      </x:c>
      <x:c r="K1227" s="19" t="n">
        <x:v>1</x:v>
      </x:c>
      <x:c r="L1227" s="24" t="n">
        <x:v>17.25</x:v>
      </x:c>
      <x:c r="M1227" s="26" t="n">
        <x:v>0.1</x:v>
      </x:c>
      <x:c r="N1227" s="24" t="n">
        <x:v>2</x:v>
      </x:c>
      <x:c r="O1227" s="28" t="n">
        <x:f>MIN(1,L1227/I1227)</x:f>
        <x:v>0.115</x:v>
      </x:c>
      <x:c r="P1227" s="30" t="n">
        <x:f>O1227*J1227*(1+M1227)</x:f>
        <x:v>0.12650000000000003</x:v>
      </x:c>
      <x:c r="Q1227" s="30" t="n">
        <x:f>P1227*N1227</x:f>
        <x:v>0.25300000000000006</x:v>
      </x:c>
      <x:c r="R1227" s="19" t="str">
        <x:v>独立判定</x:v>
      </x:c>
    </x:row>
    <x:row r="1228" ht="19" customHeight="1">
      <x:c r="A1228" s="19" t="str">
        <x:v>D01224</x:v>
      </x:c>
      <x:c r="B1228" s="19" t="n">
        <x:v>3</x:v>
      </x:c>
      <x:c r="C1228" s="19" t="n">
        <x:v>5</x:v>
      </x:c>
      <x:c r="D1228" s="19" t="str">
        <x:v>C03-M059</x:v>
      </x:c>
      <x:c r="E1228" s="19" t="str">
        <x:v>无归守将·布兰</x:v>
      </x:c>
      <x:c r="F1228" s="19" t="str">
        <x:v>地图BOSS</x:v>
      </x:c>
      <x:c r="G1228" s="19" t="str">
        <x:v>六神器公共池</x:v>
      </x:c>
      <x:c r="H1228" s="19" t="str">
        <x:v>POOL006</x:v>
      </x:c>
      <x:c r="I1228" s="22" t="n">
        <x:v>200000</x:v>
      </x:c>
      <x:c r="J1228" s="22" t="n">
        <x:v>1</x:v>
      </x:c>
      <x:c r="K1228" s="19" t="n">
        <x:v>6</x:v>
      </x:c>
      <x:c r="L1228" s="24" t="n">
        <x:v>17.25</x:v>
      </x:c>
      <x:c r="M1228" s="26" t="n">
        <x:v>0.1</x:v>
      </x:c>
      <x:c r="N1228" s="24" t="n">
        <x:v>2</x:v>
      </x:c>
      <x:c r="O1228" s="28" t="n">
        <x:f>MIN(1,L1228/I1228)</x:f>
        <x:v>0.00008625</x:v>
      </x:c>
      <x:c r="P1228" s="30" t="n">
        <x:f>O1228*J1228*(1+M1228)</x:f>
        <x:v>0.000094875</x:v>
      </x:c>
      <x:c r="Q1228" s="30" t="n">
        <x:f>P1228*N1228</x:f>
        <x:v>0.00018975</x:v>
      </x:c>
      <x:c r="R1228" s="19" t="str">
        <x:v>六选一；非6个独立爆率</x:v>
      </x:c>
    </x:row>
    <x:row r="1229" ht="19" customHeight="1">
      <x:c r="A1229" s="19" t="str">
        <x:v>D01225</x:v>
      </x:c>
      <x:c r="B1229" s="19" t="n">
        <x:v>3</x:v>
      </x:c>
      <x:c r="C1229" s="19" t="n">
        <x:v>5</x:v>
      </x:c>
      <x:c r="D1229" s="19" t="str">
        <x:v>C03-M060</x:v>
      </x:c>
      <x:c r="E1229" s="19" t="str">
        <x:v>古垒石王·迦姆</x:v>
      </x:c>
      <x:c r="F1229" s="19" t="str">
        <x:v>地图BOSS</x:v>
      </x:c>
      <x:c r="G1229" s="19" t="str">
        <x:v>自身专属</x:v>
      </x:c>
      <x:c r="H1229" s="19" t="str">
        <x:v>石王古铠</x:v>
      </x:c>
      <x:c r="I1229" s="22" t="n">
        <x:v>40</x:v>
      </x:c>
      <x:c r="J1229" s="22" t="n">
        <x:v>1</x:v>
      </x:c>
      <x:c r="K1229" s="19" t="n">
        <x:v>1</x:v>
      </x:c>
      <x:c r="L1229" s="24" t="n">
        <x:v>17.25</x:v>
      </x:c>
      <x:c r="M1229" s="26" t="n">
        <x:v>0.1</x:v>
      </x:c>
      <x:c r="N1229" s="24" t="n">
        <x:v>2</x:v>
      </x:c>
      <x:c r="O1229" s="28" t="n">
        <x:f>MIN(1,L1229/I1229)</x:f>
        <x:v>0.43125</x:v>
      </x:c>
      <x:c r="P1229" s="30" t="n">
        <x:f>O1229*J1229*(1+M1229)</x:f>
        <x:v>0.47437500000000005</x:v>
      </x:c>
      <x:c r="Q1229" s="30" t="n">
        <x:f>P1229*N1229</x:f>
        <x:v>0.9487500000000001</x:v>
      </x:c>
      <x:c r="R1229" s="19" t="str">
        <x:v>独立判定</x:v>
      </x:c>
    </x:row>
    <x:row r="1230" ht="19" customHeight="1">
      <x:c r="A1230" s="19" t="str">
        <x:v>D01226</x:v>
      </x:c>
      <x:c r="B1230" s="19" t="n">
        <x:v>3</x:v>
      </x:c>
      <x:c r="C1230" s="19" t="n">
        <x:v>5</x:v>
      </x:c>
      <x:c r="D1230" s="19" t="str">
        <x:v>C03-M060</x:v>
      </x:c>
      <x:c r="E1230" s="19" t="str">
        <x:v>古垒石王·迦姆</x:v>
      </x:c>
      <x:c r="F1230" s="19" t="str">
        <x:v>地图BOSS</x:v>
      </x:c>
      <x:c r="G1230" s="19" t="str">
        <x:v>本图普通兼掉候选</x:v>
      </x:c>
      <x:c r="H1230" s="19" t="str">
        <x:v>POOL021</x:v>
      </x:c>
      <x:c r="I1230" s="22" t="n">
        <x:v>40</x:v>
      </x:c>
      <x:c r="J1230" s="22" t="n">
        <x:v>1</x:v>
      </x:c>
      <x:c r="K1230" s="19" t="n">
        <x:v>2</x:v>
      </x:c>
      <x:c r="L1230" s="24" t="n">
        <x:v>17.25</x:v>
      </x:c>
      <x:c r="M1230" s="26" t="n">
        <x:v>0.1</x:v>
      </x:c>
      <x:c r="N1230" s="24" t="n">
        <x:v>2</x:v>
      </x:c>
      <x:c r="O1230" s="28" t="n">
        <x:f>MIN(1,L1230/I1230)</x:f>
        <x:v>0.43125</x:v>
      </x:c>
      <x:c r="P1230" s="30" t="n">
        <x:f>O1230*J1230*(1+M1230)</x:f>
        <x:v>0.47437500000000005</x:v>
      </x:c>
      <x:c r="Q1230" s="30" t="n">
        <x:f>P1230*N1230</x:f>
        <x:v>0.9487500000000001</x:v>
      </x:c>
      <x:c r="R1230" s="19" t="str">
        <x:v>单池选一</x:v>
      </x:c>
    </x:row>
    <x:row r="1231" ht="19" customHeight="1">
      <x:c r="A1231" s="19" t="str">
        <x:v>D01227</x:v>
      </x:c>
      <x:c r="B1231" s="19" t="n">
        <x:v>3</x:v>
      </x:c>
      <x:c r="C1231" s="19" t="n">
        <x:v>5</x:v>
      </x:c>
      <x:c r="D1231" s="19" t="str">
        <x:v>C03-M060</x:v>
      </x:c>
      <x:c r="E1231" s="19" t="str">
        <x:v>古垒石王·迦姆</x:v>
      </x:c>
      <x:c r="F1231" s="19" t="str">
        <x:v>地图BOSS</x:v>
      </x:c>
      <x:c r="G1231" s="19" t="str">
        <x:v>材料独立候选</x:v>
      </x:c>
      <x:c r="H1231" s="19" t="str">
        <x:v>风蚀铁片</x:v>
      </x:c>
      <x:c r="I1231" s="22" t="n">
        <x:v>300</x:v>
      </x:c>
      <x:c r="J1231" s="22" t="n">
        <x:v>30</x:v>
      </x:c>
      <x:c r="K1231" s="19" t="n">
        <x:v>1</x:v>
      </x:c>
      <x:c r="L1231" s="24" t="n">
        <x:v>17.25</x:v>
      </x:c>
      <x:c r="M1231" s="26" t="n">
        <x:v>0.1</x:v>
      </x:c>
      <x:c r="N1231" s="24" t="n">
        <x:v>2</x:v>
      </x:c>
      <x:c r="O1231" s="28" t="n">
        <x:f>MIN(1,L1231/I1231)</x:f>
        <x:v>0.0575</x:v>
      </x:c>
      <x:c r="P1231" s="30" t="n">
        <x:f>O1231*J1231*(1+M1231)</x:f>
        <x:v>1.8975000000000002</x:v>
      </x:c>
      <x:c r="Q1231" s="30" t="n">
        <x:f>P1231*N1231</x:f>
        <x:v>3.7950000000000004</x:v>
      </x:c>
      <x:c r="R1231" s="19" t="str">
        <x:v>独立判定</x:v>
      </x:c>
    </x:row>
    <x:row r="1232" ht="19" customHeight="1">
      <x:c r="A1232" s="19" t="str">
        <x:v>D01228</x:v>
      </x:c>
      <x:c r="B1232" s="19" t="n">
        <x:v>3</x:v>
      </x:c>
      <x:c r="C1232" s="19" t="n">
        <x:v>5</x:v>
      </x:c>
      <x:c r="D1232" s="19" t="str">
        <x:v>C03-M060</x:v>
      </x:c>
      <x:c r="E1232" s="19" t="str">
        <x:v>古垒石王·迦姆</x:v>
      </x:c>
      <x:c r="F1232" s="19" t="str">
        <x:v>地图BOSS</x:v>
      </x:c>
      <x:c r="G1232" s="19" t="str">
        <x:v>材料独立候选</x:v>
      </x:c>
      <x:c r="H1232" s="19" t="str">
        <x:v>西境战旗</x:v>
      </x:c>
      <x:c r="I1232" s="22" t="n">
        <x:v>400</x:v>
      </x:c>
      <x:c r="J1232" s="22" t="n">
        <x:v>1</x:v>
      </x:c>
      <x:c r="K1232" s="19" t="n">
        <x:v>1</x:v>
      </x:c>
      <x:c r="L1232" s="24" t="n">
        <x:v>17.25</x:v>
      </x:c>
      <x:c r="M1232" s="26" t="n">
        <x:v>0.1</x:v>
      </x:c>
      <x:c r="N1232" s="24" t="n">
        <x:v>2</x:v>
      </x:c>
      <x:c r="O1232" s="28" t="n">
        <x:f>MIN(1,L1232/I1232)</x:f>
        <x:v>0.043125</x:v>
      </x:c>
      <x:c r="P1232" s="30" t="n">
        <x:f>O1232*J1232*(1+M1232)</x:f>
        <x:v>0.0474375</x:v>
      </x:c>
      <x:c r="Q1232" s="30" t="n">
        <x:f>P1232*N1232</x:f>
        <x:v>0.094875</x:v>
      </x:c>
      <x:c r="R1232" s="19" t="str">
        <x:v>独立判定</x:v>
      </x:c>
    </x:row>
    <x:row r="1233" ht="19" customHeight="1">
      <x:c r="A1233" s="19" t="str">
        <x:v>D01229</x:v>
      </x:c>
      <x:c r="B1233" s="19" t="n">
        <x:v>3</x:v>
      </x:c>
      <x:c r="C1233" s="19" t="n">
        <x:v>5</x:v>
      </x:c>
      <x:c r="D1233" s="19" t="str">
        <x:v>C03-M060</x:v>
      </x:c>
      <x:c r="E1233" s="19" t="str">
        <x:v>古垒石王·迦姆</x:v>
      </x:c>
      <x:c r="F1233" s="19" t="str">
        <x:v>地图BOSS</x:v>
      </x:c>
      <x:c r="G1233" s="19" t="str">
        <x:v>材料独立候选</x:v>
      </x:c>
      <x:c r="H1233" s="19" t="str">
        <x:v>西境战旗印</x:v>
      </x:c>
      <x:c r="I1233" s="22" t="n">
        <x:v>120</x:v>
      </x:c>
      <x:c r="J1233" s="22" t="n">
        <x:v>2</x:v>
      </x:c>
      <x:c r="K1233" s="19" t="n">
        <x:v>1</x:v>
      </x:c>
      <x:c r="L1233" s="24" t="n">
        <x:v>17.25</x:v>
      </x:c>
      <x:c r="M1233" s="26" t="n">
        <x:v>0.1</x:v>
      </x:c>
      <x:c r="N1233" s="24" t="n">
        <x:v>2</x:v>
      </x:c>
      <x:c r="O1233" s="28" t="n">
        <x:f>MIN(1,L1233/I1233)</x:f>
        <x:v>0.14375</x:v>
      </x:c>
      <x:c r="P1233" s="30" t="n">
        <x:f>O1233*J1233*(1+M1233)</x:f>
        <x:v>0.31625</x:v>
      </x:c>
      <x:c r="Q1233" s="30" t="n">
        <x:f>P1233*N1233</x:f>
        <x:v>0.6325</x:v>
      </x:c>
      <x:c r="R1233" s="19" t="str">
        <x:v>独立判定</x:v>
      </x:c>
    </x:row>
    <x:row r="1234" ht="19" customHeight="1">
      <x:c r="A1234" s="19" t="str">
        <x:v>D01230</x:v>
      </x:c>
      <x:c r="B1234" s="19" t="n">
        <x:v>3</x:v>
      </x:c>
      <x:c r="C1234" s="19" t="n">
        <x:v>5</x:v>
      </x:c>
      <x:c r="D1234" s="19" t="str">
        <x:v>C03-M060</x:v>
      </x:c>
      <x:c r="E1234" s="19" t="str">
        <x:v>古垒石王·迦姆</x:v>
      </x:c>
      <x:c r="F1234" s="19" t="str">
        <x:v>地图BOSS</x:v>
      </x:c>
      <x:c r="G1234" s="19" t="str">
        <x:v>材料独立候选</x:v>
      </x:c>
      <x:c r="H1234" s="19" t="str">
        <x:v>守垒铜钥</x:v>
      </x:c>
      <x:c r="I1234" s="22" t="n">
        <x:v>120</x:v>
      </x:c>
      <x:c r="J1234" s="22" t="n">
        <x:v>1</x:v>
      </x:c>
      <x:c r="K1234" s="19" t="n">
        <x:v>1</x:v>
      </x:c>
      <x:c r="L1234" s="24" t="n">
        <x:v>17.25</x:v>
      </x:c>
      <x:c r="M1234" s="26" t="n">
        <x:v>0.1</x:v>
      </x:c>
      <x:c r="N1234" s="24" t="n">
        <x:v>2</x:v>
      </x:c>
      <x:c r="O1234" s="28" t="n">
        <x:f>MIN(1,L1234/I1234)</x:f>
        <x:v>0.14375</x:v>
      </x:c>
      <x:c r="P1234" s="30" t="n">
        <x:f>O1234*J1234*(1+M1234)</x:f>
        <x:v>0.158125</x:v>
      </x:c>
      <x:c r="Q1234" s="30" t="n">
        <x:f>P1234*N1234</x:f>
        <x:v>0.31625</x:v>
      </x:c>
      <x:c r="R1234" s="19" t="str">
        <x:v>独立判定</x:v>
      </x:c>
    </x:row>
    <x:row r="1235" ht="19" customHeight="1">
      <x:c r="A1235" s="19" t="str">
        <x:v>D01231</x:v>
      </x:c>
      <x:c r="B1235" s="19" t="n">
        <x:v>3</x:v>
      </x:c>
      <x:c r="C1235" s="19" t="n">
        <x:v>5</x:v>
      </x:c>
      <x:c r="D1235" s="19" t="str">
        <x:v>C03-M060</x:v>
      </x:c>
      <x:c r="E1235" s="19" t="str">
        <x:v>古垒石王·迦姆</x:v>
      </x:c>
      <x:c r="F1235" s="19" t="str">
        <x:v>地图BOSS</x:v>
      </x:c>
      <x:c r="G1235" s="19" t="str">
        <x:v>材料独立候选</x:v>
      </x:c>
      <x:c r="H1235" s="19" t="str">
        <x:v>西境风痕碑拓</x:v>
      </x:c>
      <x:c r="I1235" s="22" t="n">
        <x:v>250000</x:v>
      </x:c>
      <x:c r="J1235" s="22" t="n">
        <x:v>1</x:v>
      </x:c>
      <x:c r="K1235" s="19" t="n">
        <x:v>1</x:v>
      </x:c>
      <x:c r="L1235" s="24" t="n">
        <x:v>17.25</x:v>
      </x:c>
      <x:c r="M1235" s="26" t="n">
        <x:v>0.1</x:v>
      </x:c>
      <x:c r="N1235" s="24" t="n">
        <x:v>2</x:v>
      </x:c>
      <x:c r="O1235" s="28" t="n">
        <x:f>MIN(1,L1235/I1235)</x:f>
        <x:v>0.000069</x:v>
      </x:c>
      <x:c r="P1235" s="30" t="n">
        <x:f>O1235*J1235*(1+M1235)</x:f>
        <x:v>0.0000759</x:v>
      </x:c>
      <x:c r="Q1235" s="30" t="n">
        <x:f>P1235*N1235</x:f>
        <x:v>0.0001518</x:v>
      </x:c>
      <x:c r="R1235" s="19" t="str">
        <x:v>独立判定</x:v>
      </x:c>
    </x:row>
    <x:row r="1236" ht="19" customHeight="1">
      <x:c r="A1236" s="19" t="str">
        <x:v>D01232</x:v>
      </x:c>
      <x:c r="B1236" s="19" t="n">
        <x:v>3</x:v>
      </x:c>
      <x:c r="C1236" s="19" t="n">
        <x:v>5</x:v>
      </x:c>
      <x:c r="D1236" s="19" t="str">
        <x:v>C03-M060</x:v>
      </x:c>
      <x:c r="E1236" s="19" t="str">
        <x:v>古垒石王·迦姆</x:v>
      </x:c>
      <x:c r="F1236" s="19" t="str">
        <x:v>地图BOSS</x:v>
      </x:c>
      <x:c r="G1236" s="19" t="str">
        <x:v>材料独立候选</x:v>
      </x:c>
      <x:c r="H1236" s="19" t="str">
        <x:v>黄金树芽</x:v>
      </x:c>
      <x:c r="I1236" s="22" t="n">
        <x:v>1000</x:v>
      </x:c>
      <x:c r="J1236" s="22" t="n">
        <x:v>1</x:v>
      </x:c>
      <x:c r="K1236" s="19" t="n">
        <x:v>1</x:v>
      </x:c>
      <x:c r="L1236" s="24" t="n">
        <x:v>17.25</x:v>
      </x:c>
      <x:c r="M1236" s="26" t="n">
        <x:v>0.1</x:v>
      </x:c>
      <x:c r="N1236" s="24" t="n">
        <x:v>2</x:v>
      </x:c>
      <x:c r="O1236" s="28" t="n">
        <x:f>MIN(1,L1236/I1236)</x:f>
        <x:v>0.01725</x:v>
      </x:c>
      <x:c r="P1236" s="30" t="n">
        <x:f>O1236*J1236*(1+M1236)</x:f>
        <x:v>0.018975000000000002</x:v>
      </x:c>
      <x:c r="Q1236" s="30" t="n">
        <x:f>P1236*N1236</x:f>
        <x:v>0.037950000000000005</x:v>
      </x:c>
      <x:c r="R1236" s="19" t="str">
        <x:v>独立判定</x:v>
      </x:c>
    </x:row>
    <x:row r="1237" ht="19" customHeight="1">
      <x:c r="A1237" s="19" t="str">
        <x:v>D01233</x:v>
      </x:c>
      <x:c r="B1237" s="19" t="n">
        <x:v>3</x:v>
      </x:c>
      <x:c r="C1237" s="19" t="n">
        <x:v>5</x:v>
      </x:c>
      <x:c r="D1237" s="19" t="str">
        <x:v>C03-M060</x:v>
      </x:c>
      <x:c r="E1237" s="19" t="str">
        <x:v>古垒石王·迦姆</x:v>
      </x:c>
      <x:c r="F1237" s="19" t="str">
        <x:v>地图BOSS</x:v>
      </x:c>
      <x:c r="G1237" s="19" t="str">
        <x:v>材料独立候选</x:v>
      </x:c>
      <x:c r="H1237" s="19" t="str">
        <x:v>野兽骨片</x:v>
      </x:c>
      <x:c r="I1237" s="22" t="n">
        <x:v>40</x:v>
      </x:c>
      <x:c r="J1237" s="22" t="n">
        <x:v>2</x:v>
      </x:c>
      <x:c r="K1237" s="19" t="n">
        <x:v>1</x:v>
      </x:c>
      <x:c r="L1237" s="24" t="n">
        <x:v>17.25</x:v>
      </x:c>
      <x:c r="M1237" s="26" t="n">
        <x:v>0.1</x:v>
      </x:c>
      <x:c r="N1237" s="24" t="n">
        <x:v>2</x:v>
      </x:c>
      <x:c r="O1237" s="28" t="n">
        <x:f>MIN(1,L1237/I1237)</x:f>
        <x:v>0.43125</x:v>
      </x:c>
      <x:c r="P1237" s="30" t="n">
        <x:f>O1237*J1237*(1+M1237)</x:f>
        <x:v>0.9487500000000001</x:v>
      </x:c>
      <x:c r="Q1237" s="30" t="n">
        <x:f>P1237*N1237</x:f>
        <x:v>1.8975000000000002</x:v>
      </x:c>
      <x:c r="R1237" s="19" t="str">
        <x:v>独立判定</x:v>
      </x:c>
    </x:row>
    <x:row r="1238" ht="19" customHeight="1">
      <x:c r="A1238" s="19" t="str">
        <x:v>D01234</x:v>
      </x:c>
      <x:c r="B1238" s="19" t="n">
        <x:v>3</x:v>
      </x:c>
      <x:c r="C1238" s="19" t="n">
        <x:v>5</x:v>
      </x:c>
      <x:c r="D1238" s="19" t="str">
        <x:v>C03-M060</x:v>
      </x:c>
      <x:c r="E1238" s="19" t="str">
        <x:v>古垒石王·迦姆</x:v>
      </x:c>
      <x:c r="F1238" s="19" t="str">
        <x:v>地图BOSS</x:v>
      </x:c>
      <x:c r="G1238" s="19" t="str">
        <x:v>材料独立候选</x:v>
      </x:c>
      <x:c r="H1238" s="19" t="str">
        <x:v>技能残页</x:v>
      </x:c>
      <x:c r="I1238" s="22" t="n">
        <x:v>100</x:v>
      </x:c>
      <x:c r="J1238" s="22" t="n">
        <x:v>1</x:v>
      </x:c>
      <x:c r="K1238" s="19" t="n">
        <x:v>1</x:v>
      </x:c>
      <x:c r="L1238" s="24" t="n">
        <x:v>17.25</x:v>
      </x:c>
      <x:c r="M1238" s="26" t="n">
        <x:v>0.1</x:v>
      </x:c>
      <x:c r="N1238" s="24" t="n">
        <x:v>2</x:v>
      </x:c>
      <x:c r="O1238" s="28" t="n">
        <x:f>MIN(1,L1238/I1238)</x:f>
        <x:v>0.1725</x:v>
      </x:c>
      <x:c r="P1238" s="30" t="n">
        <x:f>O1238*J1238*(1+M1238)</x:f>
        <x:v>0.18975</x:v>
      </x:c>
      <x:c r="Q1238" s="30" t="n">
        <x:f>P1238*N1238</x:f>
        <x:v>0.3795</x:v>
      </x:c>
      <x:c r="R1238" s="19" t="str">
        <x:v>独立判定</x:v>
      </x:c>
    </x:row>
    <x:row r="1239" ht="19" customHeight="1">
      <x:c r="A1239" s="19" t="str">
        <x:v>D01235</x:v>
      </x:c>
      <x:c r="B1239" s="19" t="n">
        <x:v>3</x:v>
      </x:c>
      <x:c r="C1239" s="19" t="n">
        <x:v>5</x:v>
      </x:c>
      <x:c r="D1239" s="19" t="str">
        <x:v>C03-M060</x:v>
      </x:c>
      <x:c r="E1239" s="19" t="str">
        <x:v>古垒石王·迦姆</x:v>
      </x:c>
      <x:c r="F1239" s="19" t="str">
        <x:v>地图BOSS</x:v>
      </x:c>
      <x:c r="G1239" s="19" t="str">
        <x:v>材料独立候选</x:v>
      </x:c>
      <x:c r="H1239" s="19" t="str">
        <x:v>宁姆格福誓页</x:v>
      </x:c>
      <x:c r="I1239" s="22" t="n">
        <x:v>200</x:v>
      </x:c>
      <x:c r="J1239" s="22" t="n">
        <x:v>1</x:v>
      </x:c>
      <x:c r="K1239" s="19" t="n">
        <x:v>1</x:v>
      </x:c>
      <x:c r="L1239" s="24" t="n">
        <x:v>17.25</x:v>
      </x:c>
      <x:c r="M1239" s="26" t="n">
        <x:v>0.1</x:v>
      </x:c>
      <x:c r="N1239" s="24" t="n">
        <x:v>2</x:v>
      </x:c>
      <x:c r="O1239" s="28" t="n">
        <x:f>MIN(1,L1239/I1239)</x:f>
        <x:v>0.08625</x:v>
      </x:c>
      <x:c r="P1239" s="30" t="n">
        <x:f>O1239*J1239*(1+M1239)</x:f>
        <x:v>0.094875</x:v>
      </x:c>
      <x:c r="Q1239" s="30" t="n">
        <x:f>P1239*N1239</x:f>
        <x:v>0.18975</x:v>
      </x:c>
      <x:c r="R1239" s="19" t="str">
        <x:v>独立判定</x:v>
      </x:c>
    </x:row>
    <x:row r="1240" ht="19" customHeight="1">
      <x:c r="A1240" s="19" t="str">
        <x:v>D01236</x:v>
      </x:c>
      <x:c r="B1240" s="19" t="n">
        <x:v>3</x:v>
      </x:c>
      <x:c r="C1240" s="19" t="n">
        <x:v>5</x:v>
      </x:c>
      <x:c r="D1240" s="19" t="str">
        <x:v>C03-M060</x:v>
      </x:c>
      <x:c r="E1240" s="19" t="str">
        <x:v>古垒石王·迦姆</x:v>
      </x:c>
      <x:c r="F1240" s="19" t="str">
        <x:v>地图BOSS</x:v>
      </x:c>
      <x:c r="G1240" s="19" t="str">
        <x:v>材料独立候选</x:v>
      </x:c>
      <x:c r="H1240" s="19" t="str">
        <x:v>小卢恩</x:v>
      </x:c>
      <x:c r="I1240" s="22" t="n">
        <x:v>1500</x:v>
      </x:c>
      <x:c r="J1240" s="22" t="n">
        <x:v>1</x:v>
      </x:c>
      <x:c r="K1240" s="19" t="n">
        <x:v>1</x:v>
      </x:c>
      <x:c r="L1240" s="24" t="n">
        <x:v>17.25</x:v>
      </x:c>
      <x:c r="M1240" s="26" t="n">
        <x:v>0.1</x:v>
      </x:c>
      <x:c r="N1240" s="24" t="n">
        <x:v>2</x:v>
      </x:c>
      <x:c r="O1240" s="28" t="n">
        <x:f>MIN(1,L1240/I1240)</x:f>
        <x:v>0.0115</x:v>
      </x:c>
      <x:c r="P1240" s="30" t="n">
        <x:f>O1240*J1240*(1+M1240)</x:f>
        <x:v>0.012650000000000002</x:v>
      </x:c>
      <x:c r="Q1240" s="30" t="n">
        <x:f>P1240*N1240</x:f>
        <x:v>0.025300000000000003</x:v>
      </x:c>
      <x:c r="R1240" s="19" t="str">
        <x:v>独立判定</x:v>
      </x:c>
    </x:row>
    <x:row r="1241" ht="19" customHeight="1">
      <x:c r="A1241" s="19" t="str">
        <x:v>D01237</x:v>
      </x:c>
      <x:c r="B1241" s="19" t="n">
        <x:v>3</x:v>
      </x:c>
      <x:c r="C1241" s="19" t="n">
        <x:v>5</x:v>
      </x:c>
      <x:c r="D1241" s="19" t="str">
        <x:v>C03-M060</x:v>
      </x:c>
      <x:c r="E1241" s="19" t="str">
        <x:v>古垒石王·迦姆</x:v>
      </x:c>
      <x:c r="F1241" s="19" t="str">
        <x:v>地图BOSS</x:v>
      </x:c>
      <x:c r="G1241" s="19" t="str">
        <x:v>材料独立候选</x:v>
      </x:c>
      <x:c r="H1241" s="19" t="str">
        <x:v>大卢恩</x:v>
      </x:c>
      <x:c r="I1241" s="22" t="n">
        <x:v>150</x:v>
      </x:c>
      <x:c r="J1241" s="22" t="n">
        <x:v>1</x:v>
      </x:c>
      <x:c r="K1241" s="19" t="n">
        <x:v>1</x:v>
      </x:c>
      <x:c r="L1241" s="24" t="n">
        <x:v>17.25</x:v>
      </x:c>
      <x:c r="M1241" s="26" t="n">
        <x:v>0.1</x:v>
      </x:c>
      <x:c r="N1241" s="24" t="n">
        <x:v>2</x:v>
      </x:c>
      <x:c r="O1241" s="28" t="n">
        <x:f>MIN(1,L1241/I1241)</x:f>
        <x:v>0.115</x:v>
      </x:c>
      <x:c r="P1241" s="30" t="n">
        <x:f>O1241*J1241*(1+M1241)</x:f>
        <x:v>0.12650000000000003</x:v>
      </x:c>
      <x:c r="Q1241" s="30" t="n">
        <x:f>P1241*N1241</x:f>
        <x:v>0.25300000000000006</x:v>
      </x:c>
      <x:c r="R1241" s="19" t="str">
        <x:v>独立判定</x:v>
      </x:c>
    </x:row>
    <x:row r="1242" ht="19" customHeight="1">
      <x:c r="A1242" s="19" t="str">
        <x:v>D01238</x:v>
      </x:c>
      <x:c r="B1242" s="19" t="n">
        <x:v>3</x:v>
      </x:c>
      <x:c r="C1242" s="19" t="n">
        <x:v>5</x:v>
      </x:c>
      <x:c r="D1242" s="19" t="str">
        <x:v>C03-M060</x:v>
      </x:c>
      <x:c r="E1242" s="19" t="str">
        <x:v>古垒石王·迦姆</x:v>
      </x:c>
      <x:c r="F1242" s="19" t="str">
        <x:v>地图BOSS</x:v>
      </x:c>
      <x:c r="G1242" s="19" t="str">
        <x:v>六神器公共池</x:v>
      </x:c>
      <x:c r="H1242" s="19" t="str">
        <x:v>POOL006</x:v>
      </x:c>
      <x:c r="I1242" s="22" t="n">
        <x:v>200000</x:v>
      </x:c>
      <x:c r="J1242" s="22" t="n">
        <x:v>1</x:v>
      </x:c>
      <x:c r="K1242" s="19" t="n">
        <x:v>6</x:v>
      </x:c>
      <x:c r="L1242" s="24" t="n">
        <x:v>17.25</x:v>
      </x:c>
      <x:c r="M1242" s="26" t="n">
        <x:v>0.1</x:v>
      </x:c>
      <x:c r="N1242" s="24" t="n">
        <x:v>2</x:v>
      </x:c>
      <x:c r="O1242" s="28" t="n">
        <x:f>MIN(1,L1242/I1242)</x:f>
        <x:v>0.00008625</x:v>
      </x:c>
      <x:c r="P1242" s="30" t="n">
        <x:f>O1242*J1242*(1+M1242)</x:f>
        <x:v>0.000094875</x:v>
      </x:c>
      <x:c r="Q1242" s="30" t="n">
        <x:f>P1242*N1242</x:f>
        <x:v>0.00018975</x:v>
      </x:c>
      <x:c r="R1242" s="19" t="str">
        <x:v>六选一；非6个独立爆率</x:v>
      </x:c>
    </x:row>
    <x:row r="1243" ht="19" customHeight="1">
      <x:c r="A1243" s="19" t="str">
        <x:v>D01239</x:v>
      </x:c>
      <x:c r="B1243" s="19" t="n">
        <x:v>3</x:v>
      </x:c>
      <x:c r="C1243" s="19" t="n">
        <x:v>6</x:v>
      </x:c>
      <x:c r="D1243" s="19" t="str">
        <x:v>C03-M061</x:v>
      </x:c>
      <x:c r="E1243" s="19" t="str">
        <x:v>金叶哨兵</x:v>
      </x:c>
      <x:c r="F1243" s="19" t="str">
        <x:v>普通</x:v>
      </x:c>
      <x:c r="G1243" s="19" t="str">
        <x:v>自身专属</x:v>
      </x:c>
      <x:c r="H1243" s="19" t="str">
        <x:v>金叶军刃</x:v>
      </x:c>
      <x:c r="I1243" s="22" t="n">
        <x:v>1000</x:v>
      </x:c>
      <x:c r="J1243" s="22" t="n">
        <x:v>1</x:v>
      </x:c>
      <x:c r="K1243" s="19" t="n">
        <x:v>1</x:v>
      </x:c>
      <x:c r="L1243" s="24" t="n">
        <x:v>17.25</x:v>
      </x:c>
      <x:c r="M1243" s="26" t="n">
        <x:v>0.1</x:v>
      </x:c>
      <x:c r="N1243" s="24" t="n">
        <x:v>72</x:v>
      </x:c>
      <x:c r="O1243" s="28" t="n">
        <x:f>MIN(1,L1243/I1243)</x:f>
        <x:v>0.01725</x:v>
      </x:c>
      <x:c r="P1243" s="30" t="n">
        <x:f>O1243*J1243*(1+M1243)</x:f>
        <x:v>0.018975000000000002</x:v>
      </x:c>
      <x:c r="Q1243" s="30" t="n">
        <x:f>P1243*N1243</x:f>
        <x:v>1.3662</x:v>
      </x:c>
      <x:c r="R1243" s="19" t="str">
        <x:v>独立判定</x:v>
      </x:c>
    </x:row>
    <x:row r="1244" ht="19" customHeight="1">
      <x:c r="A1244" s="19" t="str">
        <x:v>D01240</x:v>
      </x:c>
      <x:c r="B1244" s="19" t="n">
        <x:v>3</x:v>
      </x:c>
      <x:c r="C1244" s="19" t="n">
        <x:v>6</x:v>
      </x:c>
      <x:c r="D1244" s="19" t="str">
        <x:v>C03-M061</x:v>
      </x:c>
      <x:c r="E1244" s="19" t="str">
        <x:v>金叶哨兵</x:v>
      </x:c>
      <x:c r="F1244" s="19" t="str">
        <x:v>普通</x:v>
      </x:c>
      <x:c r="G1244" s="19" t="str">
        <x:v>材料独立候选</x:v>
      </x:c>
      <x:c r="H1244" s="19" t="str">
        <x:v>风蚀铁片</x:v>
      </x:c>
      <x:c r="I1244" s="22" t="n">
        <x:v>800</x:v>
      </x:c>
      <x:c r="J1244" s="22" t="n">
        <x:v>8</x:v>
      </x:c>
      <x:c r="K1244" s="19" t="n">
        <x:v>1</x:v>
      </x:c>
      <x:c r="L1244" s="24" t="n">
        <x:v>17.25</x:v>
      </x:c>
      <x:c r="M1244" s="26" t="n">
        <x:v>0.1</x:v>
      </x:c>
      <x:c r="N1244" s="24" t="n">
        <x:v>72</x:v>
      </x:c>
      <x:c r="O1244" s="28" t="n">
        <x:f>MIN(1,L1244/I1244)</x:f>
        <x:v>0.0215625</x:v>
      </x:c>
      <x:c r="P1244" s="30" t="n">
        <x:f>O1244*J1244*(1+M1244)</x:f>
        <x:v>0.18975</x:v>
      </x:c>
      <x:c r="Q1244" s="30" t="n">
        <x:f>P1244*N1244</x:f>
        <x:v>13.662</x:v>
      </x:c>
      <x:c r="R1244" s="19" t="str">
        <x:v>独立判定</x:v>
      </x:c>
    </x:row>
    <x:row r="1245" ht="19" customHeight="1">
      <x:c r="A1245" s="19" t="str">
        <x:v>D01241</x:v>
      </x:c>
      <x:c r="B1245" s="19" t="n">
        <x:v>3</x:v>
      </x:c>
      <x:c r="C1245" s="19" t="n">
        <x:v>6</x:v>
      </x:c>
      <x:c r="D1245" s="19" t="str">
        <x:v>C03-M061</x:v>
      </x:c>
      <x:c r="E1245" s="19" t="str">
        <x:v>金叶哨兵</x:v>
      </x:c>
      <x:c r="F1245" s="19" t="str">
        <x:v>普通</x:v>
      </x:c>
      <x:c r="G1245" s="19" t="str">
        <x:v>材料独立候选</x:v>
      </x:c>
      <x:c r="H1245" s="19" t="str">
        <x:v>裂风崖羽</x:v>
      </x:c>
      <x:c r="I1245" s="22" t="n">
        <x:v>2000</x:v>
      </x:c>
      <x:c r="J1245" s="22" t="n">
        <x:v>1</x:v>
      </x:c>
      <x:c r="K1245" s="19" t="n">
        <x:v>1</x:v>
      </x:c>
      <x:c r="L1245" s="24" t="n">
        <x:v>17.25</x:v>
      </x:c>
      <x:c r="M1245" s="26" t="n">
        <x:v>0.1</x:v>
      </x:c>
      <x:c r="N1245" s="24" t="n">
        <x:v>72</x:v>
      </x:c>
      <x:c r="O1245" s="28" t="n">
        <x:f>MIN(1,L1245/I1245)</x:f>
        <x:v>0.008625</x:v>
      </x:c>
      <x:c r="P1245" s="30" t="n">
        <x:f>O1245*J1245*(1+M1245)</x:f>
        <x:v>0.009487500000000001</x:v>
      </x:c>
      <x:c r="Q1245" s="30" t="n">
        <x:f>P1245*N1245</x:f>
        <x:v>0.6831</x:v>
      </x:c>
      <x:c r="R1245" s="19" t="str">
        <x:v>独立判定</x:v>
      </x:c>
    </x:row>
    <x:row r="1246" ht="19" customHeight="1">
      <x:c r="A1246" s="19" t="str">
        <x:v>D01242</x:v>
      </x:c>
      <x:c r="B1246" s="19" t="n">
        <x:v>3</x:v>
      </x:c>
      <x:c r="C1246" s="19" t="n">
        <x:v>6</x:v>
      </x:c>
      <x:c r="D1246" s="19" t="str">
        <x:v>C03-M061</x:v>
      </x:c>
      <x:c r="E1246" s="19" t="str">
        <x:v>金叶哨兵</x:v>
      </x:c>
      <x:c r="F1246" s="19" t="str">
        <x:v>普通</x:v>
      </x:c>
      <x:c r="G1246" s="19" t="str">
        <x:v>材料独立候选</x:v>
      </x:c>
      <x:c r="H1246" s="19" t="str">
        <x:v>西境风痕碑拓</x:v>
      </x:c>
      <x:c r="I1246" s="22" t="n">
        <x:v>800000</x:v>
      </x:c>
      <x:c r="J1246" s="22" t="n">
        <x:v>1</x:v>
      </x:c>
      <x:c r="K1246" s="19" t="n">
        <x:v>1</x:v>
      </x:c>
      <x:c r="L1246" s="24" t="n">
        <x:v>17.25</x:v>
      </x:c>
      <x:c r="M1246" s="26" t="n">
        <x:v>0.1</x:v>
      </x:c>
      <x:c r="N1246" s="24" t="n">
        <x:v>72</x:v>
      </x:c>
      <x:c r="O1246" s="28" t="n">
        <x:f>MIN(1,L1246/I1246)</x:f>
        <x:v>0.0000215625</x:v>
      </x:c>
      <x:c r="P1246" s="30" t="n">
        <x:f>O1246*J1246*(1+M1246)</x:f>
        <x:v>0.00002371875</x:v>
      </x:c>
      <x:c r="Q1246" s="30" t="n">
        <x:f>P1246*N1246</x:f>
        <x:v>0.00170775</x:v>
      </x:c>
      <x:c r="R1246" s="19" t="str">
        <x:v>独立判定</x:v>
      </x:c>
    </x:row>
    <x:row r="1247" ht="19" customHeight="1">
      <x:c r="A1247" s="19" t="str">
        <x:v>D01243</x:v>
      </x:c>
      <x:c r="B1247" s="19" t="n">
        <x:v>3</x:v>
      </x:c>
      <x:c r="C1247" s="19" t="n">
        <x:v>6</x:v>
      </x:c>
      <x:c r="D1247" s="19" t="str">
        <x:v>C03-M061</x:v>
      </x:c>
      <x:c r="E1247" s="19" t="str">
        <x:v>金叶哨兵</x:v>
      </x:c>
      <x:c r="F1247" s="19" t="str">
        <x:v>普通</x:v>
      </x:c>
      <x:c r="G1247" s="19" t="str">
        <x:v>材料独立候选</x:v>
      </x:c>
      <x:c r="H1247" s="19" t="str">
        <x:v>野兽骨片</x:v>
      </x:c>
      <x:c r="I1247" s="22" t="n">
        <x:v>120</x:v>
      </x:c>
      <x:c r="J1247" s="22" t="n">
        <x:v>2</x:v>
      </x:c>
      <x:c r="K1247" s="19" t="n">
        <x:v>1</x:v>
      </x:c>
      <x:c r="L1247" s="24" t="n">
        <x:v>17.25</x:v>
      </x:c>
      <x:c r="M1247" s="26" t="n">
        <x:v>0.1</x:v>
      </x:c>
      <x:c r="N1247" s="24" t="n">
        <x:v>72</x:v>
      </x:c>
      <x:c r="O1247" s="28" t="n">
        <x:f>MIN(1,L1247/I1247)</x:f>
        <x:v>0.14375</x:v>
      </x:c>
      <x:c r="P1247" s="30" t="n">
        <x:f>O1247*J1247*(1+M1247)</x:f>
        <x:v>0.31625</x:v>
      </x:c>
      <x:c r="Q1247" s="30" t="n">
        <x:f>P1247*N1247</x:f>
        <x:v>22.77</x:v>
      </x:c>
      <x:c r="R1247" s="19" t="str">
        <x:v>独立判定</x:v>
      </x:c>
    </x:row>
    <x:row r="1248" ht="19" customHeight="1">
      <x:c r="A1248" s="19" t="str">
        <x:v>D01244</x:v>
      </x:c>
      <x:c r="B1248" s="19" t="n">
        <x:v>3</x:v>
      </x:c>
      <x:c r="C1248" s="19" t="n">
        <x:v>6</x:v>
      </x:c>
      <x:c r="D1248" s="19" t="str">
        <x:v>C03-M061</x:v>
      </x:c>
      <x:c r="E1248" s="19" t="str">
        <x:v>金叶哨兵</x:v>
      </x:c>
      <x:c r="F1248" s="19" t="str">
        <x:v>普通</x:v>
      </x:c>
      <x:c r="G1248" s="19" t="str">
        <x:v>材料独立候选</x:v>
      </x:c>
      <x:c r="H1248" s="19" t="str">
        <x:v>技能残页</x:v>
      </x:c>
      <x:c r="I1248" s="22" t="n">
        <x:v>300</x:v>
      </x:c>
      <x:c r="J1248" s="22" t="n">
        <x:v>1</x:v>
      </x:c>
      <x:c r="K1248" s="19" t="n">
        <x:v>1</x:v>
      </x:c>
      <x:c r="L1248" s="24" t="n">
        <x:v>17.25</x:v>
      </x:c>
      <x:c r="M1248" s="26" t="n">
        <x:v>0.1</x:v>
      </x:c>
      <x:c r="N1248" s="24" t="n">
        <x:v>72</x:v>
      </x:c>
      <x:c r="O1248" s="28" t="n">
        <x:f>MIN(1,L1248/I1248)</x:f>
        <x:v>0.0575</x:v>
      </x:c>
      <x:c r="P1248" s="30" t="n">
        <x:f>O1248*J1248*(1+M1248)</x:f>
        <x:v>0.06325000000000001</x:v>
      </x:c>
      <x:c r="Q1248" s="30" t="n">
        <x:f>P1248*N1248</x:f>
        <x:v>4.554000000000001</x:v>
      </x:c>
      <x:c r="R1248" s="19" t="str">
        <x:v>独立判定</x:v>
      </x:c>
    </x:row>
    <x:row r="1249" ht="19" customHeight="1">
      <x:c r="A1249" s="19" t="str">
        <x:v>D01245</x:v>
      </x:c>
      <x:c r="B1249" s="19" t="n">
        <x:v>3</x:v>
      </x:c>
      <x:c r="C1249" s="19" t="n">
        <x:v>6</x:v>
      </x:c>
      <x:c r="D1249" s="19" t="str">
        <x:v>C03-M061</x:v>
      </x:c>
      <x:c r="E1249" s="19" t="str">
        <x:v>金叶哨兵</x:v>
      </x:c>
      <x:c r="F1249" s="19" t="str">
        <x:v>普通</x:v>
      </x:c>
      <x:c r="G1249" s="19" t="str">
        <x:v>材料独立候选</x:v>
      </x:c>
      <x:c r="H1249" s="19" t="str">
        <x:v>小卢恩</x:v>
      </x:c>
      <x:c r="I1249" s="22" t="n">
        <x:v>5000</x:v>
      </x:c>
      <x:c r="J1249" s="22" t="n">
        <x:v>1</x:v>
      </x:c>
      <x:c r="K1249" s="19" t="n">
        <x:v>1</x:v>
      </x:c>
      <x:c r="L1249" s="24" t="n">
        <x:v>17.25</x:v>
      </x:c>
      <x:c r="M1249" s="26" t="n">
        <x:v>0.1</x:v>
      </x:c>
      <x:c r="N1249" s="24" t="n">
        <x:v>72</x:v>
      </x:c>
      <x:c r="O1249" s="28" t="n">
        <x:f>MIN(1,L1249/I1249)</x:f>
        <x:v>0.00345</x:v>
      </x:c>
      <x:c r="P1249" s="30" t="n">
        <x:f>O1249*J1249*(1+M1249)</x:f>
        <x:v>0.003795</x:v>
      </x:c>
      <x:c r="Q1249" s="30" t="n">
        <x:f>P1249*N1249</x:f>
        <x:v>0.27324000000000004</x:v>
      </x:c>
      <x:c r="R1249" s="19" t="str">
        <x:v>独立判定</x:v>
      </x:c>
    </x:row>
    <x:row r="1250" ht="19" customHeight="1">
      <x:c r="A1250" s="19" t="str">
        <x:v>D01246</x:v>
      </x:c>
      <x:c r="B1250" s="19" t="n">
        <x:v>3</x:v>
      </x:c>
      <x:c r="C1250" s="19" t="n">
        <x:v>6</x:v>
      </x:c>
      <x:c r="D1250" s="19" t="str">
        <x:v>C03-M061</x:v>
      </x:c>
      <x:c r="E1250" s="19" t="str">
        <x:v>金叶哨兵</x:v>
      </x:c>
      <x:c r="F1250" s="19" t="str">
        <x:v>普通</x:v>
      </x:c>
      <x:c r="G1250" s="19" t="str">
        <x:v>六神器公共池</x:v>
      </x:c>
      <x:c r="H1250" s="19" t="str">
        <x:v>POOL006</x:v>
      </x:c>
      <x:c r="I1250" s="22" t="n">
        <x:v>20000000</x:v>
      </x:c>
      <x:c r="J1250" s="22" t="n">
        <x:v>1</x:v>
      </x:c>
      <x:c r="K1250" s="19" t="n">
        <x:v>6</x:v>
      </x:c>
      <x:c r="L1250" s="24" t="n">
        <x:v>17.25</x:v>
      </x:c>
      <x:c r="M1250" s="26" t="n">
        <x:v>0.1</x:v>
      </x:c>
      <x:c r="N1250" s="24" t="n">
        <x:v>72</x:v>
      </x:c>
      <x:c r="O1250" s="28" t="n">
        <x:f>MIN(1,L1250/I1250)</x:f>
        <x:v>8.625e-7</x:v>
      </x:c>
      <x:c r="P1250" s="30" t="n">
        <x:f>O1250*J1250*(1+M1250)</x:f>
        <x:v>9.487500000000001e-7</x:v>
      </x:c>
      <x:c r="Q1250" s="30" t="n">
        <x:f>P1250*N1250</x:f>
        <x:v>0.00006831000000000002</x:v>
      </x:c>
      <x:c r="R1250" s="19" t="str">
        <x:v>六选一；非6个独立爆率</x:v>
      </x:c>
    </x:row>
    <x:row r="1251" ht="19" customHeight="1">
      <x:c r="A1251" s="19" t="str">
        <x:v>D01247</x:v>
      </x:c>
      <x:c r="B1251" s="19" t="n">
        <x:v>3</x:v>
      </x:c>
      <x:c r="C1251" s="19" t="n">
        <x:v>6</x:v>
      </x:c>
      <x:c r="D1251" s="19" t="str">
        <x:v>C03-M062</x:v>
      </x:c>
      <x:c r="E1251" s="19" t="str">
        <x:v>王树弩卫</x:v>
      </x:c>
      <x:c r="F1251" s="19" t="str">
        <x:v>普通</x:v>
      </x:c>
      <x:c r="G1251" s="19" t="str">
        <x:v>自身专属</x:v>
      </x:c>
      <x:c r="H1251" s="19" t="str">
        <x:v>王树弩戒</x:v>
      </x:c>
      <x:c r="I1251" s="22" t="n">
        <x:v>1000</x:v>
      </x:c>
      <x:c r="J1251" s="22" t="n">
        <x:v>1</x:v>
      </x:c>
      <x:c r="K1251" s="19" t="n">
        <x:v>1</x:v>
      </x:c>
      <x:c r="L1251" s="24" t="n">
        <x:v>17.25</x:v>
      </x:c>
      <x:c r="M1251" s="26" t="n">
        <x:v>0.1</x:v>
      </x:c>
      <x:c r="N1251" s="24" t="n">
        <x:v>72</x:v>
      </x:c>
      <x:c r="O1251" s="28" t="n">
        <x:f>MIN(1,L1251/I1251)</x:f>
        <x:v>0.01725</x:v>
      </x:c>
      <x:c r="P1251" s="30" t="n">
        <x:f>O1251*J1251*(1+M1251)</x:f>
        <x:v>0.018975000000000002</x:v>
      </x:c>
      <x:c r="Q1251" s="30" t="n">
        <x:f>P1251*N1251</x:f>
        <x:v>1.3662</x:v>
      </x:c>
      <x:c r="R1251" s="19" t="str">
        <x:v>独立判定</x:v>
      </x:c>
    </x:row>
    <x:row r="1252" ht="19" customHeight="1">
      <x:c r="A1252" s="19" t="str">
        <x:v>D01248</x:v>
      </x:c>
      <x:c r="B1252" s="19" t="n">
        <x:v>3</x:v>
      </x:c>
      <x:c r="C1252" s="19" t="n">
        <x:v>6</x:v>
      </x:c>
      <x:c r="D1252" s="19" t="str">
        <x:v>C03-M062</x:v>
      </x:c>
      <x:c r="E1252" s="19" t="str">
        <x:v>王树弩卫</x:v>
      </x:c>
      <x:c r="F1252" s="19" t="str">
        <x:v>普通</x:v>
      </x:c>
      <x:c r="G1252" s="19" t="str">
        <x:v>材料独立候选</x:v>
      </x:c>
      <x:c r="H1252" s="19" t="str">
        <x:v>风蚀铁片</x:v>
      </x:c>
      <x:c r="I1252" s="22" t="n">
        <x:v>800</x:v>
      </x:c>
      <x:c r="J1252" s="22" t="n">
        <x:v>8</x:v>
      </x:c>
      <x:c r="K1252" s="19" t="n">
        <x:v>1</x:v>
      </x:c>
      <x:c r="L1252" s="24" t="n">
        <x:v>17.25</x:v>
      </x:c>
      <x:c r="M1252" s="26" t="n">
        <x:v>0.1</x:v>
      </x:c>
      <x:c r="N1252" s="24" t="n">
        <x:v>72</x:v>
      </x:c>
      <x:c r="O1252" s="28" t="n">
        <x:f>MIN(1,L1252/I1252)</x:f>
        <x:v>0.0215625</x:v>
      </x:c>
      <x:c r="P1252" s="30" t="n">
        <x:f>O1252*J1252*(1+M1252)</x:f>
        <x:v>0.18975</x:v>
      </x:c>
      <x:c r="Q1252" s="30" t="n">
        <x:f>P1252*N1252</x:f>
        <x:v>13.662</x:v>
      </x:c>
      <x:c r="R1252" s="19" t="str">
        <x:v>独立判定</x:v>
      </x:c>
    </x:row>
    <x:row r="1253" ht="19" customHeight="1">
      <x:c r="A1253" s="19" t="str">
        <x:v>D01249</x:v>
      </x:c>
      <x:c r="B1253" s="19" t="n">
        <x:v>3</x:v>
      </x:c>
      <x:c r="C1253" s="19" t="n">
        <x:v>6</x:v>
      </x:c>
      <x:c r="D1253" s="19" t="str">
        <x:v>C03-M062</x:v>
      </x:c>
      <x:c r="E1253" s="19" t="str">
        <x:v>王树弩卫</x:v>
      </x:c>
      <x:c r="F1253" s="19" t="str">
        <x:v>普通</x:v>
      </x:c>
      <x:c r="G1253" s="19" t="str">
        <x:v>材料独立候选</x:v>
      </x:c>
      <x:c r="H1253" s="19" t="str">
        <x:v>裂风崖羽</x:v>
      </x:c>
      <x:c r="I1253" s="22" t="n">
        <x:v>2000</x:v>
      </x:c>
      <x:c r="J1253" s="22" t="n">
        <x:v>1</x:v>
      </x:c>
      <x:c r="K1253" s="19" t="n">
        <x:v>1</x:v>
      </x:c>
      <x:c r="L1253" s="24" t="n">
        <x:v>17.25</x:v>
      </x:c>
      <x:c r="M1253" s="26" t="n">
        <x:v>0.1</x:v>
      </x:c>
      <x:c r="N1253" s="24" t="n">
        <x:v>72</x:v>
      </x:c>
      <x:c r="O1253" s="28" t="n">
        <x:f>MIN(1,L1253/I1253)</x:f>
        <x:v>0.008625</x:v>
      </x:c>
      <x:c r="P1253" s="30" t="n">
        <x:f>O1253*J1253*(1+M1253)</x:f>
        <x:v>0.009487500000000001</x:v>
      </x:c>
      <x:c r="Q1253" s="30" t="n">
        <x:f>P1253*N1253</x:f>
        <x:v>0.6831</x:v>
      </x:c>
      <x:c r="R1253" s="19" t="str">
        <x:v>独立判定</x:v>
      </x:c>
    </x:row>
    <x:row r="1254" ht="19" customHeight="1">
      <x:c r="A1254" s="19" t="str">
        <x:v>D01250</x:v>
      </x:c>
      <x:c r="B1254" s="19" t="n">
        <x:v>3</x:v>
      </x:c>
      <x:c r="C1254" s="19" t="n">
        <x:v>6</x:v>
      </x:c>
      <x:c r="D1254" s="19" t="str">
        <x:v>C03-M062</x:v>
      </x:c>
      <x:c r="E1254" s="19" t="str">
        <x:v>王树弩卫</x:v>
      </x:c>
      <x:c r="F1254" s="19" t="str">
        <x:v>普通</x:v>
      </x:c>
      <x:c r="G1254" s="19" t="str">
        <x:v>材料独立候选</x:v>
      </x:c>
      <x:c r="H1254" s="19" t="str">
        <x:v>西境风痕碑拓</x:v>
      </x:c>
      <x:c r="I1254" s="22" t="n">
        <x:v>800000</x:v>
      </x:c>
      <x:c r="J1254" s="22" t="n">
        <x:v>1</x:v>
      </x:c>
      <x:c r="K1254" s="19" t="n">
        <x:v>1</x:v>
      </x:c>
      <x:c r="L1254" s="24" t="n">
        <x:v>17.25</x:v>
      </x:c>
      <x:c r="M1254" s="26" t="n">
        <x:v>0.1</x:v>
      </x:c>
      <x:c r="N1254" s="24" t="n">
        <x:v>72</x:v>
      </x:c>
      <x:c r="O1254" s="28" t="n">
        <x:f>MIN(1,L1254/I1254)</x:f>
        <x:v>0.0000215625</x:v>
      </x:c>
      <x:c r="P1254" s="30" t="n">
        <x:f>O1254*J1254*(1+M1254)</x:f>
        <x:v>0.00002371875</x:v>
      </x:c>
      <x:c r="Q1254" s="30" t="n">
        <x:f>P1254*N1254</x:f>
        <x:v>0.00170775</x:v>
      </x:c>
      <x:c r="R1254" s="19" t="str">
        <x:v>独立判定</x:v>
      </x:c>
    </x:row>
    <x:row r="1255" ht="19" customHeight="1">
      <x:c r="A1255" s="19" t="str">
        <x:v>D01251</x:v>
      </x:c>
      <x:c r="B1255" s="19" t="n">
        <x:v>3</x:v>
      </x:c>
      <x:c r="C1255" s="19" t="n">
        <x:v>6</x:v>
      </x:c>
      <x:c r="D1255" s="19" t="str">
        <x:v>C03-M062</x:v>
      </x:c>
      <x:c r="E1255" s="19" t="str">
        <x:v>王树弩卫</x:v>
      </x:c>
      <x:c r="F1255" s="19" t="str">
        <x:v>普通</x:v>
      </x:c>
      <x:c r="G1255" s="19" t="str">
        <x:v>材料独立候选</x:v>
      </x:c>
      <x:c r="H1255" s="19" t="str">
        <x:v>野兽骨片</x:v>
      </x:c>
      <x:c r="I1255" s="22" t="n">
        <x:v>120</x:v>
      </x:c>
      <x:c r="J1255" s="22" t="n">
        <x:v>2</x:v>
      </x:c>
      <x:c r="K1255" s="19" t="n">
        <x:v>1</x:v>
      </x:c>
      <x:c r="L1255" s="24" t="n">
        <x:v>17.25</x:v>
      </x:c>
      <x:c r="M1255" s="26" t="n">
        <x:v>0.1</x:v>
      </x:c>
      <x:c r="N1255" s="24" t="n">
        <x:v>72</x:v>
      </x:c>
      <x:c r="O1255" s="28" t="n">
        <x:f>MIN(1,L1255/I1255)</x:f>
        <x:v>0.14375</x:v>
      </x:c>
      <x:c r="P1255" s="30" t="n">
        <x:f>O1255*J1255*(1+M1255)</x:f>
        <x:v>0.31625</x:v>
      </x:c>
      <x:c r="Q1255" s="30" t="n">
        <x:f>P1255*N1255</x:f>
        <x:v>22.77</x:v>
      </x:c>
      <x:c r="R1255" s="19" t="str">
        <x:v>独立判定</x:v>
      </x:c>
    </x:row>
    <x:row r="1256" ht="19" customHeight="1">
      <x:c r="A1256" s="19" t="str">
        <x:v>D01252</x:v>
      </x:c>
      <x:c r="B1256" s="19" t="n">
        <x:v>3</x:v>
      </x:c>
      <x:c r="C1256" s="19" t="n">
        <x:v>6</x:v>
      </x:c>
      <x:c r="D1256" s="19" t="str">
        <x:v>C03-M062</x:v>
      </x:c>
      <x:c r="E1256" s="19" t="str">
        <x:v>王树弩卫</x:v>
      </x:c>
      <x:c r="F1256" s="19" t="str">
        <x:v>普通</x:v>
      </x:c>
      <x:c r="G1256" s="19" t="str">
        <x:v>材料独立候选</x:v>
      </x:c>
      <x:c r="H1256" s="19" t="str">
        <x:v>技能残页</x:v>
      </x:c>
      <x:c r="I1256" s="22" t="n">
        <x:v>300</x:v>
      </x:c>
      <x:c r="J1256" s="22" t="n">
        <x:v>1</x:v>
      </x:c>
      <x:c r="K1256" s="19" t="n">
        <x:v>1</x:v>
      </x:c>
      <x:c r="L1256" s="24" t="n">
        <x:v>17.25</x:v>
      </x:c>
      <x:c r="M1256" s="26" t="n">
        <x:v>0.1</x:v>
      </x:c>
      <x:c r="N1256" s="24" t="n">
        <x:v>72</x:v>
      </x:c>
      <x:c r="O1256" s="28" t="n">
        <x:f>MIN(1,L1256/I1256)</x:f>
        <x:v>0.0575</x:v>
      </x:c>
      <x:c r="P1256" s="30" t="n">
        <x:f>O1256*J1256*(1+M1256)</x:f>
        <x:v>0.06325000000000001</x:v>
      </x:c>
      <x:c r="Q1256" s="30" t="n">
        <x:f>P1256*N1256</x:f>
        <x:v>4.554000000000001</x:v>
      </x:c>
      <x:c r="R1256" s="19" t="str">
        <x:v>独立判定</x:v>
      </x:c>
    </x:row>
    <x:row r="1257" ht="19" customHeight="1">
      <x:c r="A1257" s="19" t="str">
        <x:v>D01253</x:v>
      </x:c>
      <x:c r="B1257" s="19" t="n">
        <x:v>3</x:v>
      </x:c>
      <x:c r="C1257" s="19" t="n">
        <x:v>6</x:v>
      </x:c>
      <x:c r="D1257" s="19" t="str">
        <x:v>C03-M062</x:v>
      </x:c>
      <x:c r="E1257" s="19" t="str">
        <x:v>王树弩卫</x:v>
      </x:c>
      <x:c r="F1257" s="19" t="str">
        <x:v>普通</x:v>
      </x:c>
      <x:c r="G1257" s="19" t="str">
        <x:v>材料独立候选</x:v>
      </x:c>
      <x:c r="H1257" s="19" t="str">
        <x:v>小卢恩</x:v>
      </x:c>
      <x:c r="I1257" s="22" t="n">
        <x:v>5000</x:v>
      </x:c>
      <x:c r="J1257" s="22" t="n">
        <x:v>1</x:v>
      </x:c>
      <x:c r="K1257" s="19" t="n">
        <x:v>1</x:v>
      </x:c>
      <x:c r="L1257" s="24" t="n">
        <x:v>17.25</x:v>
      </x:c>
      <x:c r="M1257" s="26" t="n">
        <x:v>0.1</x:v>
      </x:c>
      <x:c r="N1257" s="24" t="n">
        <x:v>72</x:v>
      </x:c>
      <x:c r="O1257" s="28" t="n">
        <x:f>MIN(1,L1257/I1257)</x:f>
        <x:v>0.00345</x:v>
      </x:c>
      <x:c r="P1257" s="30" t="n">
        <x:f>O1257*J1257*(1+M1257)</x:f>
        <x:v>0.003795</x:v>
      </x:c>
      <x:c r="Q1257" s="30" t="n">
        <x:f>P1257*N1257</x:f>
        <x:v>0.27324000000000004</x:v>
      </x:c>
      <x:c r="R1257" s="19" t="str">
        <x:v>独立判定</x:v>
      </x:c>
    </x:row>
    <x:row r="1258" ht="19" customHeight="1">
      <x:c r="A1258" s="19" t="str">
        <x:v>D01254</x:v>
      </x:c>
      <x:c r="B1258" s="19" t="n">
        <x:v>3</x:v>
      </x:c>
      <x:c r="C1258" s="19" t="n">
        <x:v>6</x:v>
      </x:c>
      <x:c r="D1258" s="19" t="str">
        <x:v>C03-M062</x:v>
      </x:c>
      <x:c r="E1258" s="19" t="str">
        <x:v>王树弩卫</x:v>
      </x:c>
      <x:c r="F1258" s="19" t="str">
        <x:v>普通</x:v>
      </x:c>
      <x:c r="G1258" s="19" t="str">
        <x:v>六神器公共池</x:v>
      </x:c>
      <x:c r="H1258" s="19" t="str">
        <x:v>POOL006</x:v>
      </x:c>
      <x:c r="I1258" s="22" t="n">
        <x:v>20000000</x:v>
      </x:c>
      <x:c r="J1258" s="22" t="n">
        <x:v>1</x:v>
      </x:c>
      <x:c r="K1258" s="19" t="n">
        <x:v>6</x:v>
      </x:c>
      <x:c r="L1258" s="24" t="n">
        <x:v>17.25</x:v>
      </x:c>
      <x:c r="M1258" s="26" t="n">
        <x:v>0.1</x:v>
      </x:c>
      <x:c r="N1258" s="24" t="n">
        <x:v>72</x:v>
      </x:c>
      <x:c r="O1258" s="28" t="n">
        <x:f>MIN(1,L1258/I1258)</x:f>
        <x:v>8.625e-7</x:v>
      </x:c>
      <x:c r="P1258" s="30" t="n">
        <x:f>O1258*J1258*(1+M1258)</x:f>
        <x:v>9.487500000000001e-7</x:v>
      </x:c>
      <x:c r="Q1258" s="30" t="n">
        <x:f>P1258*N1258</x:f>
        <x:v>0.00006831000000000002</x:v>
      </x:c>
      <x:c r="R1258" s="19" t="str">
        <x:v>六选一；非6个独立爆率</x:v>
      </x:c>
    </x:row>
    <x:row r="1259" ht="19" customHeight="1">
      <x:c r="A1259" s="19" t="str">
        <x:v>D01255</x:v>
      </x:c>
      <x:c r="B1259" s="19" t="n">
        <x:v>3</x:v>
      </x:c>
      <x:c r="C1259" s="19" t="n">
        <x:v>6</x:v>
      </x:c>
      <x:c r="D1259" s="19" t="str">
        <x:v>C03-M063</x:v>
      </x:c>
      <x:c r="E1259" s="19" t="str">
        <x:v>圣露侍从</x:v>
      </x:c>
      <x:c r="F1259" s="19" t="str">
        <x:v>普通</x:v>
      </x:c>
      <x:c r="G1259" s="19" t="str">
        <x:v>自身专属</x:v>
      </x:c>
      <x:c r="H1259" s="19" t="str">
        <x:v>圣露护腕</x:v>
      </x:c>
      <x:c r="I1259" s="22" t="n">
        <x:v>1000</x:v>
      </x:c>
      <x:c r="J1259" s="22" t="n">
        <x:v>1</x:v>
      </x:c>
      <x:c r="K1259" s="19" t="n">
        <x:v>1</x:v>
      </x:c>
      <x:c r="L1259" s="24" t="n">
        <x:v>17.25</x:v>
      </x:c>
      <x:c r="M1259" s="26" t="n">
        <x:v>0.1</x:v>
      </x:c>
      <x:c r="N1259" s="24" t="n">
        <x:v>72</x:v>
      </x:c>
      <x:c r="O1259" s="28" t="n">
        <x:f>MIN(1,L1259/I1259)</x:f>
        <x:v>0.01725</x:v>
      </x:c>
      <x:c r="P1259" s="30" t="n">
        <x:f>O1259*J1259*(1+M1259)</x:f>
        <x:v>0.018975000000000002</x:v>
      </x:c>
      <x:c r="Q1259" s="30" t="n">
        <x:f>P1259*N1259</x:f>
        <x:v>1.3662</x:v>
      </x:c>
      <x:c r="R1259" s="19" t="str">
        <x:v>独立判定</x:v>
      </x:c>
    </x:row>
    <x:row r="1260" ht="19" customHeight="1">
      <x:c r="A1260" s="19" t="str">
        <x:v>D01256</x:v>
      </x:c>
      <x:c r="B1260" s="19" t="n">
        <x:v>3</x:v>
      </x:c>
      <x:c r="C1260" s="19" t="n">
        <x:v>6</x:v>
      </x:c>
      <x:c r="D1260" s="19" t="str">
        <x:v>C03-M063</x:v>
      </x:c>
      <x:c r="E1260" s="19" t="str">
        <x:v>圣露侍从</x:v>
      </x:c>
      <x:c r="F1260" s="19" t="str">
        <x:v>普通</x:v>
      </x:c>
      <x:c r="G1260" s="19" t="str">
        <x:v>材料独立候选</x:v>
      </x:c>
      <x:c r="H1260" s="19" t="str">
        <x:v>风蚀铁片</x:v>
      </x:c>
      <x:c r="I1260" s="22" t="n">
        <x:v>800</x:v>
      </x:c>
      <x:c r="J1260" s="22" t="n">
        <x:v>8</x:v>
      </x:c>
      <x:c r="K1260" s="19" t="n">
        <x:v>1</x:v>
      </x:c>
      <x:c r="L1260" s="24" t="n">
        <x:v>17.25</x:v>
      </x:c>
      <x:c r="M1260" s="26" t="n">
        <x:v>0.1</x:v>
      </x:c>
      <x:c r="N1260" s="24" t="n">
        <x:v>72</x:v>
      </x:c>
      <x:c r="O1260" s="28" t="n">
        <x:f>MIN(1,L1260/I1260)</x:f>
        <x:v>0.0215625</x:v>
      </x:c>
      <x:c r="P1260" s="30" t="n">
        <x:f>O1260*J1260*(1+M1260)</x:f>
        <x:v>0.18975</x:v>
      </x:c>
      <x:c r="Q1260" s="30" t="n">
        <x:f>P1260*N1260</x:f>
        <x:v>13.662</x:v>
      </x:c>
      <x:c r="R1260" s="19" t="str">
        <x:v>独立判定</x:v>
      </x:c>
    </x:row>
    <x:row r="1261" ht="19" customHeight="1">
      <x:c r="A1261" s="19" t="str">
        <x:v>D01257</x:v>
      </x:c>
      <x:c r="B1261" s="19" t="n">
        <x:v>3</x:v>
      </x:c>
      <x:c r="C1261" s="19" t="n">
        <x:v>6</x:v>
      </x:c>
      <x:c r="D1261" s="19" t="str">
        <x:v>C03-M063</x:v>
      </x:c>
      <x:c r="E1261" s="19" t="str">
        <x:v>圣露侍从</x:v>
      </x:c>
      <x:c r="F1261" s="19" t="str">
        <x:v>普通</x:v>
      </x:c>
      <x:c r="G1261" s="19" t="str">
        <x:v>材料独立候选</x:v>
      </x:c>
      <x:c r="H1261" s="19" t="str">
        <x:v>裂风崖羽</x:v>
      </x:c>
      <x:c r="I1261" s="22" t="n">
        <x:v>2000</x:v>
      </x:c>
      <x:c r="J1261" s="22" t="n">
        <x:v>1</x:v>
      </x:c>
      <x:c r="K1261" s="19" t="n">
        <x:v>1</x:v>
      </x:c>
      <x:c r="L1261" s="24" t="n">
        <x:v>17.25</x:v>
      </x:c>
      <x:c r="M1261" s="26" t="n">
        <x:v>0.1</x:v>
      </x:c>
      <x:c r="N1261" s="24" t="n">
        <x:v>72</x:v>
      </x:c>
      <x:c r="O1261" s="28" t="n">
        <x:f>MIN(1,L1261/I1261)</x:f>
        <x:v>0.008625</x:v>
      </x:c>
      <x:c r="P1261" s="30" t="n">
        <x:f>O1261*J1261*(1+M1261)</x:f>
        <x:v>0.009487500000000001</x:v>
      </x:c>
      <x:c r="Q1261" s="30" t="n">
        <x:f>P1261*N1261</x:f>
        <x:v>0.6831</x:v>
      </x:c>
      <x:c r="R1261" s="19" t="str">
        <x:v>独立判定</x:v>
      </x:c>
    </x:row>
    <x:row r="1262" ht="19" customHeight="1">
      <x:c r="A1262" s="19" t="str">
        <x:v>D01258</x:v>
      </x:c>
      <x:c r="B1262" s="19" t="n">
        <x:v>3</x:v>
      </x:c>
      <x:c r="C1262" s="19" t="n">
        <x:v>6</x:v>
      </x:c>
      <x:c r="D1262" s="19" t="str">
        <x:v>C03-M063</x:v>
      </x:c>
      <x:c r="E1262" s="19" t="str">
        <x:v>圣露侍从</x:v>
      </x:c>
      <x:c r="F1262" s="19" t="str">
        <x:v>普通</x:v>
      </x:c>
      <x:c r="G1262" s="19" t="str">
        <x:v>材料独立候选</x:v>
      </x:c>
      <x:c r="H1262" s="19" t="str">
        <x:v>西境风痕碑拓</x:v>
      </x:c>
      <x:c r="I1262" s="22" t="n">
        <x:v>800000</x:v>
      </x:c>
      <x:c r="J1262" s="22" t="n">
        <x:v>1</x:v>
      </x:c>
      <x:c r="K1262" s="19" t="n">
        <x:v>1</x:v>
      </x:c>
      <x:c r="L1262" s="24" t="n">
        <x:v>17.25</x:v>
      </x:c>
      <x:c r="M1262" s="26" t="n">
        <x:v>0.1</x:v>
      </x:c>
      <x:c r="N1262" s="24" t="n">
        <x:v>72</x:v>
      </x:c>
      <x:c r="O1262" s="28" t="n">
        <x:f>MIN(1,L1262/I1262)</x:f>
        <x:v>0.0000215625</x:v>
      </x:c>
      <x:c r="P1262" s="30" t="n">
        <x:f>O1262*J1262*(1+M1262)</x:f>
        <x:v>0.00002371875</x:v>
      </x:c>
      <x:c r="Q1262" s="30" t="n">
        <x:f>P1262*N1262</x:f>
        <x:v>0.00170775</x:v>
      </x:c>
      <x:c r="R1262" s="19" t="str">
        <x:v>独立判定</x:v>
      </x:c>
    </x:row>
    <x:row r="1263" ht="19" customHeight="1">
      <x:c r="A1263" s="19" t="str">
        <x:v>D01259</x:v>
      </x:c>
      <x:c r="B1263" s="19" t="n">
        <x:v>3</x:v>
      </x:c>
      <x:c r="C1263" s="19" t="n">
        <x:v>6</x:v>
      </x:c>
      <x:c r="D1263" s="19" t="str">
        <x:v>C03-M063</x:v>
      </x:c>
      <x:c r="E1263" s="19" t="str">
        <x:v>圣露侍从</x:v>
      </x:c>
      <x:c r="F1263" s="19" t="str">
        <x:v>普通</x:v>
      </x:c>
      <x:c r="G1263" s="19" t="str">
        <x:v>材料独立候选</x:v>
      </x:c>
      <x:c r="H1263" s="19" t="str">
        <x:v>野兽骨片</x:v>
      </x:c>
      <x:c r="I1263" s="22" t="n">
        <x:v>120</x:v>
      </x:c>
      <x:c r="J1263" s="22" t="n">
        <x:v>2</x:v>
      </x:c>
      <x:c r="K1263" s="19" t="n">
        <x:v>1</x:v>
      </x:c>
      <x:c r="L1263" s="24" t="n">
        <x:v>17.25</x:v>
      </x:c>
      <x:c r="M1263" s="26" t="n">
        <x:v>0.1</x:v>
      </x:c>
      <x:c r="N1263" s="24" t="n">
        <x:v>72</x:v>
      </x:c>
      <x:c r="O1263" s="28" t="n">
        <x:f>MIN(1,L1263/I1263)</x:f>
        <x:v>0.14375</x:v>
      </x:c>
      <x:c r="P1263" s="30" t="n">
        <x:f>O1263*J1263*(1+M1263)</x:f>
        <x:v>0.31625</x:v>
      </x:c>
      <x:c r="Q1263" s="30" t="n">
        <x:f>P1263*N1263</x:f>
        <x:v>22.77</x:v>
      </x:c>
      <x:c r="R1263" s="19" t="str">
        <x:v>独立判定</x:v>
      </x:c>
    </x:row>
    <x:row r="1264" ht="19" customHeight="1">
      <x:c r="A1264" s="19" t="str">
        <x:v>D01260</x:v>
      </x:c>
      <x:c r="B1264" s="19" t="n">
        <x:v>3</x:v>
      </x:c>
      <x:c r="C1264" s="19" t="n">
        <x:v>6</x:v>
      </x:c>
      <x:c r="D1264" s="19" t="str">
        <x:v>C03-M063</x:v>
      </x:c>
      <x:c r="E1264" s="19" t="str">
        <x:v>圣露侍从</x:v>
      </x:c>
      <x:c r="F1264" s="19" t="str">
        <x:v>普通</x:v>
      </x:c>
      <x:c r="G1264" s="19" t="str">
        <x:v>材料独立候选</x:v>
      </x:c>
      <x:c r="H1264" s="19" t="str">
        <x:v>技能残页</x:v>
      </x:c>
      <x:c r="I1264" s="22" t="n">
        <x:v>300</x:v>
      </x:c>
      <x:c r="J1264" s="22" t="n">
        <x:v>1</x:v>
      </x:c>
      <x:c r="K1264" s="19" t="n">
        <x:v>1</x:v>
      </x:c>
      <x:c r="L1264" s="24" t="n">
        <x:v>17.25</x:v>
      </x:c>
      <x:c r="M1264" s="26" t="n">
        <x:v>0.1</x:v>
      </x:c>
      <x:c r="N1264" s="24" t="n">
        <x:v>72</x:v>
      </x:c>
      <x:c r="O1264" s="28" t="n">
        <x:f>MIN(1,L1264/I1264)</x:f>
        <x:v>0.0575</x:v>
      </x:c>
      <x:c r="P1264" s="30" t="n">
        <x:f>O1264*J1264*(1+M1264)</x:f>
        <x:v>0.06325000000000001</x:v>
      </x:c>
      <x:c r="Q1264" s="30" t="n">
        <x:f>P1264*N1264</x:f>
        <x:v>4.554000000000001</x:v>
      </x:c>
      <x:c r="R1264" s="19" t="str">
        <x:v>独立判定</x:v>
      </x:c>
    </x:row>
    <x:row r="1265" ht="19" customHeight="1">
      <x:c r="A1265" s="19" t="str">
        <x:v>D01261</x:v>
      </x:c>
      <x:c r="B1265" s="19" t="n">
        <x:v>3</x:v>
      </x:c>
      <x:c r="C1265" s="19" t="n">
        <x:v>6</x:v>
      </x:c>
      <x:c r="D1265" s="19" t="str">
        <x:v>C03-M063</x:v>
      </x:c>
      <x:c r="E1265" s="19" t="str">
        <x:v>圣露侍从</x:v>
      </x:c>
      <x:c r="F1265" s="19" t="str">
        <x:v>普通</x:v>
      </x:c>
      <x:c r="G1265" s="19" t="str">
        <x:v>材料独立候选</x:v>
      </x:c>
      <x:c r="H1265" s="19" t="str">
        <x:v>小卢恩</x:v>
      </x:c>
      <x:c r="I1265" s="22" t="n">
        <x:v>5000</x:v>
      </x:c>
      <x:c r="J1265" s="22" t="n">
        <x:v>1</x:v>
      </x:c>
      <x:c r="K1265" s="19" t="n">
        <x:v>1</x:v>
      </x:c>
      <x:c r="L1265" s="24" t="n">
        <x:v>17.25</x:v>
      </x:c>
      <x:c r="M1265" s="26" t="n">
        <x:v>0.1</x:v>
      </x:c>
      <x:c r="N1265" s="24" t="n">
        <x:v>72</x:v>
      </x:c>
      <x:c r="O1265" s="28" t="n">
        <x:f>MIN(1,L1265/I1265)</x:f>
        <x:v>0.00345</x:v>
      </x:c>
      <x:c r="P1265" s="30" t="n">
        <x:f>O1265*J1265*(1+M1265)</x:f>
        <x:v>0.003795</x:v>
      </x:c>
      <x:c r="Q1265" s="30" t="n">
        <x:f>P1265*N1265</x:f>
        <x:v>0.27324000000000004</x:v>
      </x:c>
      <x:c r="R1265" s="19" t="str">
        <x:v>独立判定</x:v>
      </x:c>
    </x:row>
    <x:row r="1266" ht="19" customHeight="1">
      <x:c r="A1266" s="19" t="str">
        <x:v>D01262</x:v>
      </x:c>
      <x:c r="B1266" s="19" t="n">
        <x:v>3</x:v>
      </x:c>
      <x:c r="C1266" s="19" t="n">
        <x:v>6</x:v>
      </x:c>
      <x:c r="D1266" s="19" t="str">
        <x:v>C03-M063</x:v>
      </x:c>
      <x:c r="E1266" s="19" t="str">
        <x:v>圣露侍从</x:v>
      </x:c>
      <x:c r="F1266" s="19" t="str">
        <x:v>普通</x:v>
      </x:c>
      <x:c r="G1266" s="19" t="str">
        <x:v>六神器公共池</x:v>
      </x:c>
      <x:c r="H1266" s="19" t="str">
        <x:v>POOL006</x:v>
      </x:c>
      <x:c r="I1266" s="22" t="n">
        <x:v>20000000</x:v>
      </x:c>
      <x:c r="J1266" s="22" t="n">
        <x:v>1</x:v>
      </x:c>
      <x:c r="K1266" s="19" t="n">
        <x:v>6</x:v>
      </x:c>
      <x:c r="L1266" s="24" t="n">
        <x:v>17.25</x:v>
      </x:c>
      <x:c r="M1266" s="26" t="n">
        <x:v>0.1</x:v>
      </x:c>
      <x:c r="N1266" s="24" t="n">
        <x:v>72</x:v>
      </x:c>
      <x:c r="O1266" s="28" t="n">
        <x:f>MIN(1,L1266/I1266)</x:f>
        <x:v>8.625e-7</x:v>
      </x:c>
      <x:c r="P1266" s="30" t="n">
        <x:f>O1266*J1266*(1+M1266)</x:f>
        <x:v>9.487500000000001e-7</x:v>
      </x:c>
      <x:c r="Q1266" s="30" t="n">
        <x:f>P1266*N1266</x:f>
        <x:v>0.00006831000000000002</x:v>
      </x:c>
      <x:c r="R1266" s="19" t="str">
        <x:v>六选一；非6个独立爆率</x:v>
      </x:c>
    </x:row>
    <x:row r="1267" ht="19" customHeight="1">
      <x:c r="A1267" s="19" t="str">
        <x:v>D01263</x:v>
      </x:c>
      <x:c r="B1267" s="19" t="n">
        <x:v>3</x:v>
      </x:c>
      <x:c r="C1267" s="19" t="n">
        <x:v>6</x:v>
      </x:c>
      <x:c r="D1267" s="19" t="str">
        <x:v>C03-M064</x:v>
      </x:c>
      <x:c r="E1267" s="19" t="str">
        <x:v>镀金战鹰</x:v>
      </x:c>
      <x:c r="F1267" s="19" t="str">
        <x:v>普通</x:v>
      </x:c>
      <x:c r="G1267" s="19" t="str">
        <x:v>自身专属</x:v>
      </x:c>
      <x:c r="H1267" s="19" t="str">
        <x:v>镀金羽冠</x:v>
      </x:c>
      <x:c r="I1267" s="22" t="n">
        <x:v>1000</x:v>
      </x:c>
      <x:c r="J1267" s="22" t="n">
        <x:v>1</x:v>
      </x:c>
      <x:c r="K1267" s="19" t="n">
        <x:v>1</x:v>
      </x:c>
      <x:c r="L1267" s="24" t="n">
        <x:v>17.25</x:v>
      </x:c>
      <x:c r="M1267" s="26" t="n">
        <x:v>0.1</x:v>
      </x:c>
      <x:c r="N1267" s="24" t="n">
        <x:v>72</x:v>
      </x:c>
      <x:c r="O1267" s="28" t="n">
        <x:f>MIN(1,L1267/I1267)</x:f>
        <x:v>0.01725</x:v>
      </x:c>
      <x:c r="P1267" s="30" t="n">
        <x:f>O1267*J1267*(1+M1267)</x:f>
        <x:v>0.018975000000000002</x:v>
      </x:c>
      <x:c r="Q1267" s="30" t="n">
        <x:f>P1267*N1267</x:f>
        <x:v>1.3662</x:v>
      </x:c>
      <x:c r="R1267" s="19" t="str">
        <x:v>独立判定</x:v>
      </x:c>
    </x:row>
    <x:row r="1268" ht="19" customHeight="1">
      <x:c r="A1268" s="19" t="str">
        <x:v>D01264</x:v>
      </x:c>
      <x:c r="B1268" s="19" t="n">
        <x:v>3</x:v>
      </x:c>
      <x:c r="C1268" s="19" t="n">
        <x:v>6</x:v>
      </x:c>
      <x:c r="D1268" s="19" t="str">
        <x:v>C03-M064</x:v>
      </x:c>
      <x:c r="E1268" s="19" t="str">
        <x:v>镀金战鹰</x:v>
      </x:c>
      <x:c r="F1268" s="19" t="str">
        <x:v>普通</x:v>
      </x:c>
      <x:c r="G1268" s="19" t="str">
        <x:v>材料独立候选</x:v>
      </x:c>
      <x:c r="H1268" s="19" t="str">
        <x:v>风蚀铁片</x:v>
      </x:c>
      <x:c r="I1268" s="22" t="n">
        <x:v>800</x:v>
      </x:c>
      <x:c r="J1268" s="22" t="n">
        <x:v>8</x:v>
      </x:c>
      <x:c r="K1268" s="19" t="n">
        <x:v>1</x:v>
      </x:c>
      <x:c r="L1268" s="24" t="n">
        <x:v>17.25</x:v>
      </x:c>
      <x:c r="M1268" s="26" t="n">
        <x:v>0.1</x:v>
      </x:c>
      <x:c r="N1268" s="24" t="n">
        <x:v>72</x:v>
      </x:c>
      <x:c r="O1268" s="28" t="n">
        <x:f>MIN(1,L1268/I1268)</x:f>
        <x:v>0.0215625</x:v>
      </x:c>
      <x:c r="P1268" s="30" t="n">
        <x:f>O1268*J1268*(1+M1268)</x:f>
        <x:v>0.18975</x:v>
      </x:c>
      <x:c r="Q1268" s="30" t="n">
        <x:f>P1268*N1268</x:f>
        <x:v>13.662</x:v>
      </x:c>
      <x:c r="R1268" s="19" t="str">
        <x:v>独立判定</x:v>
      </x:c>
    </x:row>
    <x:row r="1269" ht="19" customHeight="1">
      <x:c r="A1269" s="19" t="str">
        <x:v>D01265</x:v>
      </x:c>
      <x:c r="B1269" s="19" t="n">
        <x:v>3</x:v>
      </x:c>
      <x:c r="C1269" s="19" t="n">
        <x:v>6</x:v>
      </x:c>
      <x:c r="D1269" s="19" t="str">
        <x:v>C03-M064</x:v>
      </x:c>
      <x:c r="E1269" s="19" t="str">
        <x:v>镀金战鹰</x:v>
      </x:c>
      <x:c r="F1269" s="19" t="str">
        <x:v>普通</x:v>
      </x:c>
      <x:c r="G1269" s="19" t="str">
        <x:v>材料独立候选</x:v>
      </x:c>
      <x:c r="H1269" s="19" t="str">
        <x:v>裂风崖羽</x:v>
      </x:c>
      <x:c r="I1269" s="22" t="n">
        <x:v>2000</x:v>
      </x:c>
      <x:c r="J1269" s="22" t="n">
        <x:v>1</x:v>
      </x:c>
      <x:c r="K1269" s="19" t="n">
        <x:v>1</x:v>
      </x:c>
      <x:c r="L1269" s="24" t="n">
        <x:v>17.25</x:v>
      </x:c>
      <x:c r="M1269" s="26" t="n">
        <x:v>0.1</x:v>
      </x:c>
      <x:c r="N1269" s="24" t="n">
        <x:v>72</x:v>
      </x:c>
      <x:c r="O1269" s="28" t="n">
        <x:f>MIN(1,L1269/I1269)</x:f>
        <x:v>0.008625</x:v>
      </x:c>
      <x:c r="P1269" s="30" t="n">
        <x:f>O1269*J1269*(1+M1269)</x:f>
        <x:v>0.009487500000000001</x:v>
      </x:c>
      <x:c r="Q1269" s="30" t="n">
        <x:f>P1269*N1269</x:f>
        <x:v>0.6831</x:v>
      </x:c>
      <x:c r="R1269" s="19" t="str">
        <x:v>独立判定</x:v>
      </x:c>
    </x:row>
    <x:row r="1270" ht="19" customHeight="1">
      <x:c r="A1270" s="19" t="str">
        <x:v>D01266</x:v>
      </x:c>
      <x:c r="B1270" s="19" t="n">
        <x:v>3</x:v>
      </x:c>
      <x:c r="C1270" s="19" t="n">
        <x:v>6</x:v>
      </x:c>
      <x:c r="D1270" s="19" t="str">
        <x:v>C03-M064</x:v>
      </x:c>
      <x:c r="E1270" s="19" t="str">
        <x:v>镀金战鹰</x:v>
      </x:c>
      <x:c r="F1270" s="19" t="str">
        <x:v>普通</x:v>
      </x:c>
      <x:c r="G1270" s="19" t="str">
        <x:v>材料独立候选</x:v>
      </x:c>
      <x:c r="H1270" s="19" t="str">
        <x:v>西境风痕碑拓</x:v>
      </x:c>
      <x:c r="I1270" s="22" t="n">
        <x:v>800000</x:v>
      </x:c>
      <x:c r="J1270" s="22" t="n">
        <x:v>1</x:v>
      </x:c>
      <x:c r="K1270" s="19" t="n">
        <x:v>1</x:v>
      </x:c>
      <x:c r="L1270" s="24" t="n">
        <x:v>17.25</x:v>
      </x:c>
      <x:c r="M1270" s="26" t="n">
        <x:v>0.1</x:v>
      </x:c>
      <x:c r="N1270" s="24" t="n">
        <x:v>72</x:v>
      </x:c>
      <x:c r="O1270" s="28" t="n">
        <x:f>MIN(1,L1270/I1270)</x:f>
        <x:v>0.0000215625</x:v>
      </x:c>
      <x:c r="P1270" s="30" t="n">
        <x:f>O1270*J1270*(1+M1270)</x:f>
        <x:v>0.00002371875</x:v>
      </x:c>
      <x:c r="Q1270" s="30" t="n">
        <x:f>P1270*N1270</x:f>
        <x:v>0.00170775</x:v>
      </x:c>
      <x:c r="R1270" s="19" t="str">
        <x:v>独立判定</x:v>
      </x:c>
    </x:row>
    <x:row r="1271" ht="19" customHeight="1">
      <x:c r="A1271" s="19" t="str">
        <x:v>D01267</x:v>
      </x:c>
      <x:c r="B1271" s="19" t="n">
        <x:v>3</x:v>
      </x:c>
      <x:c r="C1271" s="19" t="n">
        <x:v>6</x:v>
      </x:c>
      <x:c r="D1271" s="19" t="str">
        <x:v>C03-M064</x:v>
      </x:c>
      <x:c r="E1271" s="19" t="str">
        <x:v>镀金战鹰</x:v>
      </x:c>
      <x:c r="F1271" s="19" t="str">
        <x:v>普通</x:v>
      </x:c>
      <x:c r="G1271" s="19" t="str">
        <x:v>材料独立候选</x:v>
      </x:c>
      <x:c r="H1271" s="19" t="str">
        <x:v>野兽骨片</x:v>
      </x:c>
      <x:c r="I1271" s="22" t="n">
        <x:v>120</x:v>
      </x:c>
      <x:c r="J1271" s="22" t="n">
        <x:v>2</x:v>
      </x:c>
      <x:c r="K1271" s="19" t="n">
        <x:v>1</x:v>
      </x:c>
      <x:c r="L1271" s="24" t="n">
        <x:v>17.25</x:v>
      </x:c>
      <x:c r="M1271" s="26" t="n">
        <x:v>0.1</x:v>
      </x:c>
      <x:c r="N1271" s="24" t="n">
        <x:v>72</x:v>
      </x:c>
      <x:c r="O1271" s="28" t="n">
        <x:f>MIN(1,L1271/I1271)</x:f>
        <x:v>0.14375</x:v>
      </x:c>
      <x:c r="P1271" s="30" t="n">
        <x:f>O1271*J1271*(1+M1271)</x:f>
        <x:v>0.31625</x:v>
      </x:c>
      <x:c r="Q1271" s="30" t="n">
        <x:f>P1271*N1271</x:f>
        <x:v>22.77</x:v>
      </x:c>
      <x:c r="R1271" s="19" t="str">
        <x:v>独立判定</x:v>
      </x:c>
    </x:row>
    <x:row r="1272" ht="19" customHeight="1">
      <x:c r="A1272" s="19" t="str">
        <x:v>D01268</x:v>
      </x:c>
      <x:c r="B1272" s="19" t="n">
        <x:v>3</x:v>
      </x:c>
      <x:c r="C1272" s="19" t="n">
        <x:v>6</x:v>
      </x:c>
      <x:c r="D1272" s="19" t="str">
        <x:v>C03-M064</x:v>
      </x:c>
      <x:c r="E1272" s="19" t="str">
        <x:v>镀金战鹰</x:v>
      </x:c>
      <x:c r="F1272" s="19" t="str">
        <x:v>普通</x:v>
      </x:c>
      <x:c r="G1272" s="19" t="str">
        <x:v>材料独立候选</x:v>
      </x:c>
      <x:c r="H1272" s="19" t="str">
        <x:v>技能残页</x:v>
      </x:c>
      <x:c r="I1272" s="22" t="n">
        <x:v>300</x:v>
      </x:c>
      <x:c r="J1272" s="22" t="n">
        <x:v>1</x:v>
      </x:c>
      <x:c r="K1272" s="19" t="n">
        <x:v>1</x:v>
      </x:c>
      <x:c r="L1272" s="24" t="n">
        <x:v>17.25</x:v>
      </x:c>
      <x:c r="M1272" s="26" t="n">
        <x:v>0.1</x:v>
      </x:c>
      <x:c r="N1272" s="24" t="n">
        <x:v>72</x:v>
      </x:c>
      <x:c r="O1272" s="28" t="n">
        <x:f>MIN(1,L1272/I1272)</x:f>
        <x:v>0.0575</x:v>
      </x:c>
      <x:c r="P1272" s="30" t="n">
        <x:f>O1272*J1272*(1+M1272)</x:f>
        <x:v>0.06325000000000001</x:v>
      </x:c>
      <x:c r="Q1272" s="30" t="n">
        <x:f>P1272*N1272</x:f>
        <x:v>4.554000000000001</x:v>
      </x:c>
      <x:c r="R1272" s="19" t="str">
        <x:v>独立判定</x:v>
      </x:c>
    </x:row>
    <x:row r="1273" ht="19" customHeight="1">
      <x:c r="A1273" s="19" t="str">
        <x:v>D01269</x:v>
      </x:c>
      <x:c r="B1273" s="19" t="n">
        <x:v>3</x:v>
      </x:c>
      <x:c r="C1273" s="19" t="n">
        <x:v>6</x:v>
      </x:c>
      <x:c r="D1273" s="19" t="str">
        <x:v>C03-M064</x:v>
      </x:c>
      <x:c r="E1273" s="19" t="str">
        <x:v>镀金战鹰</x:v>
      </x:c>
      <x:c r="F1273" s="19" t="str">
        <x:v>普通</x:v>
      </x:c>
      <x:c r="G1273" s="19" t="str">
        <x:v>材料独立候选</x:v>
      </x:c>
      <x:c r="H1273" s="19" t="str">
        <x:v>小卢恩</x:v>
      </x:c>
      <x:c r="I1273" s="22" t="n">
        <x:v>5000</x:v>
      </x:c>
      <x:c r="J1273" s="22" t="n">
        <x:v>1</x:v>
      </x:c>
      <x:c r="K1273" s="19" t="n">
        <x:v>1</x:v>
      </x:c>
      <x:c r="L1273" s="24" t="n">
        <x:v>17.25</x:v>
      </x:c>
      <x:c r="M1273" s="26" t="n">
        <x:v>0.1</x:v>
      </x:c>
      <x:c r="N1273" s="24" t="n">
        <x:v>72</x:v>
      </x:c>
      <x:c r="O1273" s="28" t="n">
        <x:f>MIN(1,L1273/I1273)</x:f>
        <x:v>0.00345</x:v>
      </x:c>
      <x:c r="P1273" s="30" t="n">
        <x:f>O1273*J1273*(1+M1273)</x:f>
        <x:v>0.003795</x:v>
      </x:c>
      <x:c r="Q1273" s="30" t="n">
        <x:f>P1273*N1273</x:f>
        <x:v>0.27324000000000004</x:v>
      </x:c>
      <x:c r="R1273" s="19" t="str">
        <x:v>独立判定</x:v>
      </x:c>
    </x:row>
    <x:row r="1274" ht="19" customHeight="1">
      <x:c r="A1274" s="19" t="str">
        <x:v>D01270</x:v>
      </x:c>
      <x:c r="B1274" s="19" t="n">
        <x:v>3</x:v>
      </x:c>
      <x:c r="C1274" s="19" t="n">
        <x:v>6</x:v>
      </x:c>
      <x:c r="D1274" s="19" t="str">
        <x:v>C03-M064</x:v>
      </x:c>
      <x:c r="E1274" s="19" t="str">
        <x:v>镀金战鹰</x:v>
      </x:c>
      <x:c r="F1274" s="19" t="str">
        <x:v>普通</x:v>
      </x:c>
      <x:c r="G1274" s="19" t="str">
        <x:v>六神器公共池</x:v>
      </x:c>
      <x:c r="H1274" s="19" t="str">
        <x:v>POOL006</x:v>
      </x:c>
      <x:c r="I1274" s="22" t="n">
        <x:v>20000000</x:v>
      </x:c>
      <x:c r="J1274" s="22" t="n">
        <x:v>1</x:v>
      </x:c>
      <x:c r="K1274" s="19" t="n">
        <x:v>6</x:v>
      </x:c>
      <x:c r="L1274" s="24" t="n">
        <x:v>17.25</x:v>
      </x:c>
      <x:c r="M1274" s="26" t="n">
        <x:v>0.1</x:v>
      </x:c>
      <x:c r="N1274" s="24" t="n">
        <x:v>72</x:v>
      </x:c>
      <x:c r="O1274" s="28" t="n">
        <x:f>MIN(1,L1274/I1274)</x:f>
        <x:v>8.625e-7</x:v>
      </x:c>
      <x:c r="P1274" s="30" t="n">
        <x:f>O1274*J1274*(1+M1274)</x:f>
        <x:v>9.487500000000001e-7</x:v>
      </x:c>
      <x:c r="Q1274" s="30" t="n">
        <x:f>P1274*N1274</x:f>
        <x:v>0.00006831000000000002</x:v>
      </x:c>
      <x:c r="R1274" s="19" t="str">
        <x:v>六选一；非6个独立爆率</x:v>
      </x:c>
    </x:row>
    <x:row r="1275" ht="19" customHeight="1">
      <x:c r="A1275" s="19" t="str">
        <x:v>D01271</x:v>
      </x:c>
      <x:c r="B1275" s="19" t="n">
        <x:v>3</x:v>
      </x:c>
      <x:c r="C1275" s="19" t="n">
        <x:v>6</x:v>
      </x:c>
      <x:c r="D1275" s="19" t="str">
        <x:v>C03-M065</x:v>
      </x:c>
      <x:c r="E1275" s="19" t="str">
        <x:v>赐福骑兵</x:v>
      </x:c>
      <x:c r="F1275" s="19" t="str">
        <x:v>普通</x:v>
      </x:c>
      <x:c r="G1275" s="19" t="str">
        <x:v>自身专属</x:v>
      </x:c>
      <x:c r="H1275" s="19" t="str">
        <x:v>赐福战靴</x:v>
      </x:c>
      <x:c r="I1275" s="22" t="n">
        <x:v>1000</x:v>
      </x:c>
      <x:c r="J1275" s="22" t="n">
        <x:v>1</x:v>
      </x:c>
      <x:c r="K1275" s="19" t="n">
        <x:v>1</x:v>
      </x:c>
      <x:c r="L1275" s="24" t="n">
        <x:v>17.25</x:v>
      </x:c>
      <x:c r="M1275" s="26" t="n">
        <x:v>0.1</x:v>
      </x:c>
      <x:c r="N1275" s="24" t="n">
        <x:v>62.58183827569287</x:v>
      </x:c>
      <x:c r="O1275" s="28" t="n">
        <x:f>MIN(1,L1275/I1275)</x:f>
        <x:v>0.01725</x:v>
      </x:c>
      <x:c r="P1275" s="30" t="n">
        <x:f>O1275*J1275*(1+M1275)</x:f>
        <x:v>0.018975000000000002</x:v>
      </x:c>
      <x:c r="Q1275" s="30" t="n">
        <x:f>P1275*N1275</x:f>
        <x:v>1.1874903812812723</x:v>
      </x:c>
      <x:c r="R1275" s="19" t="str">
        <x:v>独立判定</x:v>
      </x:c>
    </x:row>
    <x:row r="1276" ht="19" customHeight="1">
      <x:c r="A1276" s="19" t="str">
        <x:v>D01272</x:v>
      </x:c>
      <x:c r="B1276" s="19" t="n">
        <x:v>3</x:v>
      </x:c>
      <x:c r="C1276" s="19" t="n">
        <x:v>6</x:v>
      </x:c>
      <x:c r="D1276" s="19" t="str">
        <x:v>C03-M065</x:v>
      </x:c>
      <x:c r="E1276" s="19" t="str">
        <x:v>赐福骑兵</x:v>
      </x:c>
      <x:c r="F1276" s="19" t="str">
        <x:v>普通</x:v>
      </x:c>
      <x:c r="G1276" s="19" t="str">
        <x:v>材料独立候选</x:v>
      </x:c>
      <x:c r="H1276" s="19" t="str">
        <x:v>风蚀铁片</x:v>
      </x:c>
      <x:c r="I1276" s="22" t="n">
        <x:v>800</x:v>
      </x:c>
      <x:c r="J1276" s="22" t="n">
        <x:v>8</x:v>
      </x:c>
      <x:c r="K1276" s="19" t="n">
        <x:v>1</x:v>
      </x:c>
      <x:c r="L1276" s="24" t="n">
        <x:v>17.25</x:v>
      </x:c>
      <x:c r="M1276" s="26" t="n">
        <x:v>0.1</x:v>
      </x:c>
      <x:c r="N1276" s="24" t="n">
        <x:v>62.58183827569287</x:v>
      </x:c>
      <x:c r="O1276" s="28" t="n">
        <x:f>MIN(1,L1276/I1276)</x:f>
        <x:v>0.0215625</x:v>
      </x:c>
      <x:c r="P1276" s="30" t="n">
        <x:f>O1276*J1276*(1+M1276)</x:f>
        <x:v>0.18975</x:v>
      </x:c>
      <x:c r="Q1276" s="30" t="n">
        <x:f>P1276*N1276</x:f>
        <x:v>11.874903812812722</x:v>
      </x:c>
      <x:c r="R1276" s="19" t="str">
        <x:v>独立判定</x:v>
      </x:c>
    </x:row>
    <x:row r="1277" ht="19" customHeight="1">
      <x:c r="A1277" s="19" t="str">
        <x:v>D01273</x:v>
      </x:c>
      <x:c r="B1277" s="19" t="n">
        <x:v>3</x:v>
      </x:c>
      <x:c r="C1277" s="19" t="n">
        <x:v>6</x:v>
      </x:c>
      <x:c r="D1277" s="19" t="str">
        <x:v>C03-M065</x:v>
      </x:c>
      <x:c r="E1277" s="19" t="str">
        <x:v>赐福骑兵</x:v>
      </x:c>
      <x:c r="F1277" s="19" t="str">
        <x:v>普通</x:v>
      </x:c>
      <x:c r="G1277" s="19" t="str">
        <x:v>材料独立候选</x:v>
      </x:c>
      <x:c r="H1277" s="19" t="str">
        <x:v>裂风崖羽</x:v>
      </x:c>
      <x:c r="I1277" s="22" t="n">
        <x:v>2000</x:v>
      </x:c>
      <x:c r="J1277" s="22" t="n">
        <x:v>1</x:v>
      </x:c>
      <x:c r="K1277" s="19" t="n">
        <x:v>1</x:v>
      </x:c>
      <x:c r="L1277" s="24" t="n">
        <x:v>17.25</x:v>
      </x:c>
      <x:c r="M1277" s="26" t="n">
        <x:v>0.1</x:v>
      </x:c>
      <x:c r="N1277" s="24" t="n">
        <x:v>62.58183827569287</x:v>
      </x:c>
      <x:c r="O1277" s="28" t="n">
        <x:f>MIN(1,L1277/I1277)</x:f>
        <x:v>0.008625</x:v>
      </x:c>
      <x:c r="P1277" s="30" t="n">
        <x:f>O1277*J1277*(1+M1277)</x:f>
        <x:v>0.009487500000000001</x:v>
      </x:c>
      <x:c r="Q1277" s="30" t="n">
        <x:f>P1277*N1277</x:f>
        <x:v>0.5937451906406361</x:v>
      </x:c>
      <x:c r="R1277" s="19" t="str">
        <x:v>独立判定</x:v>
      </x:c>
    </x:row>
    <x:row r="1278" ht="19" customHeight="1">
      <x:c r="A1278" s="19" t="str">
        <x:v>D01274</x:v>
      </x:c>
      <x:c r="B1278" s="19" t="n">
        <x:v>3</x:v>
      </x:c>
      <x:c r="C1278" s="19" t="n">
        <x:v>6</x:v>
      </x:c>
      <x:c r="D1278" s="19" t="str">
        <x:v>C03-M065</x:v>
      </x:c>
      <x:c r="E1278" s="19" t="str">
        <x:v>赐福骑兵</x:v>
      </x:c>
      <x:c r="F1278" s="19" t="str">
        <x:v>普通</x:v>
      </x:c>
      <x:c r="G1278" s="19" t="str">
        <x:v>材料独立候选</x:v>
      </x:c>
      <x:c r="H1278" s="19" t="str">
        <x:v>西境风痕碑拓</x:v>
      </x:c>
      <x:c r="I1278" s="22" t="n">
        <x:v>800000</x:v>
      </x:c>
      <x:c r="J1278" s="22" t="n">
        <x:v>1</x:v>
      </x:c>
      <x:c r="K1278" s="19" t="n">
        <x:v>1</x:v>
      </x:c>
      <x:c r="L1278" s="24" t="n">
        <x:v>17.25</x:v>
      </x:c>
      <x:c r="M1278" s="26" t="n">
        <x:v>0.1</x:v>
      </x:c>
      <x:c r="N1278" s="24" t="n">
        <x:v>62.58183827569287</x:v>
      </x:c>
      <x:c r="O1278" s="28" t="n">
        <x:f>MIN(1,L1278/I1278)</x:f>
        <x:v>0.0000215625</x:v>
      </x:c>
      <x:c r="P1278" s="30" t="n">
        <x:f>O1278*J1278*(1+M1278)</x:f>
        <x:v>0.00002371875</x:v>
      </x:c>
      <x:c r="Q1278" s="30" t="n">
        <x:f>P1278*N1278</x:f>
        <x:v>0.0014843629766015903</x:v>
      </x:c>
      <x:c r="R1278" s="19" t="str">
        <x:v>独立判定</x:v>
      </x:c>
    </x:row>
    <x:row r="1279" ht="19" customHeight="1">
      <x:c r="A1279" s="19" t="str">
        <x:v>D01275</x:v>
      </x:c>
      <x:c r="B1279" s="19" t="n">
        <x:v>3</x:v>
      </x:c>
      <x:c r="C1279" s="19" t="n">
        <x:v>6</x:v>
      </x:c>
      <x:c r="D1279" s="19" t="str">
        <x:v>C03-M065</x:v>
      </x:c>
      <x:c r="E1279" s="19" t="str">
        <x:v>赐福骑兵</x:v>
      </x:c>
      <x:c r="F1279" s="19" t="str">
        <x:v>普通</x:v>
      </x:c>
      <x:c r="G1279" s="19" t="str">
        <x:v>材料独立候选</x:v>
      </x:c>
      <x:c r="H1279" s="19" t="str">
        <x:v>野兽骨片</x:v>
      </x:c>
      <x:c r="I1279" s="22" t="n">
        <x:v>120</x:v>
      </x:c>
      <x:c r="J1279" s="22" t="n">
        <x:v>2</x:v>
      </x:c>
      <x:c r="K1279" s="19" t="n">
        <x:v>1</x:v>
      </x:c>
      <x:c r="L1279" s="24" t="n">
        <x:v>17.25</x:v>
      </x:c>
      <x:c r="M1279" s="26" t="n">
        <x:v>0.1</x:v>
      </x:c>
      <x:c r="N1279" s="24" t="n">
        <x:v>62.58183827569287</x:v>
      </x:c>
      <x:c r="O1279" s="28" t="n">
        <x:f>MIN(1,L1279/I1279)</x:f>
        <x:v>0.14375</x:v>
      </x:c>
      <x:c r="P1279" s="30" t="n">
        <x:f>O1279*J1279*(1+M1279)</x:f>
        <x:v>0.31625</x:v>
      </x:c>
      <x:c r="Q1279" s="30" t="n">
        <x:f>P1279*N1279</x:f>
        <x:v>19.79150635468787</x:v>
      </x:c>
      <x:c r="R1279" s="19" t="str">
        <x:v>独立判定</x:v>
      </x:c>
    </x:row>
    <x:row r="1280" ht="19" customHeight="1">
      <x:c r="A1280" s="19" t="str">
        <x:v>D01276</x:v>
      </x:c>
      <x:c r="B1280" s="19" t="n">
        <x:v>3</x:v>
      </x:c>
      <x:c r="C1280" s="19" t="n">
        <x:v>6</x:v>
      </x:c>
      <x:c r="D1280" s="19" t="str">
        <x:v>C03-M065</x:v>
      </x:c>
      <x:c r="E1280" s="19" t="str">
        <x:v>赐福骑兵</x:v>
      </x:c>
      <x:c r="F1280" s="19" t="str">
        <x:v>普通</x:v>
      </x:c>
      <x:c r="G1280" s="19" t="str">
        <x:v>材料独立候选</x:v>
      </x:c>
      <x:c r="H1280" s="19" t="str">
        <x:v>技能残页</x:v>
      </x:c>
      <x:c r="I1280" s="22" t="n">
        <x:v>300</x:v>
      </x:c>
      <x:c r="J1280" s="22" t="n">
        <x:v>1</x:v>
      </x:c>
      <x:c r="K1280" s="19" t="n">
        <x:v>1</x:v>
      </x:c>
      <x:c r="L1280" s="24" t="n">
        <x:v>17.25</x:v>
      </x:c>
      <x:c r="M1280" s="26" t="n">
        <x:v>0.1</x:v>
      </x:c>
      <x:c r="N1280" s="24" t="n">
        <x:v>62.58183827569287</x:v>
      </x:c>
      <x:c r="O1280" s="28" t="n">
        <x:f>MIN(1,L1280/I1280)</x:f>
        <x:v>0.0575</x:v>
      </x:c>
      <x:c r="P1280" s="30" t="n">
        <x:f>O1280*J1280*(1+M1280)</x:f>
        <x:v>0.06325000000000001</x:v>
      </x:c>
      <x:c r="Q1280" s="30" t="n">
        <x:f>P1280*N1280</x:f>
        <x:v>3.9583012709375747</x:v>
      </x:c>
      <x:c r="R1280" s="19" t="str">
        <x:v>独立判定</x:v>
      </x:c>
    </x:row>
    <x:row r="1281" ht="19" customHeight="1">
      <x:c r="A1281" s="19" t="str">
        <x:v>D01277</x:v>
      </x:c>
      <x:c r="B1281" s="19" t="n">
        <x:v>3</x:v>
      </x:c>
      <x:c r="C1281" s="19" t="n">
        <x:v>6</x:v>
      </x:c>
      <x:c r="D1281" s="19" t="str">
        <x:v>C03-M065</x:v>
      </x:c>
      <x:c r="E1281" s="19" t="str">
        <x:v>赐福骑兵</x:v>
      </x:c>
      <x:c r="F1281" s="19" t="str">
        <x:v>普通</x:v>
      </x:c>
      <x:c r="G1281" s="19" t="str">
        <x:v>材料独立候选</x:v>
      </x:c>
      <x:c r="H1281" s="19" t="str">
        <x:v>小卢恩</x:v>
      </x:c>
      <x:c r="I1281" s="22" t="n">
        <x:v>5000</x:v>
      </x:c>
      <x:c r="J1281" s="22" t="n">
        <x:v>1</x:v>
      </x:c>
      <x:c r="K1281" s="19" t="n">
        <x:v>1</x:v>
      </x:c>
      <x:c r="L1281" s="24" t="n">
        <x:v>17.25</x:v>
      </x:c>
      <x:c r="M1281" s="26" t="n">
        <x:v>0.1</x:v>
      </x:c>
      <x:c r="N1281" s="24" t="n">
        <x:v>62.58183827569287</x:v>
      </x:c>
      <x:c r="O1281" s="28" t="n">
        <x:f>MIN(1,L1281/I1281)</x:f>
        <x:v>0.00345</x:v>
      </x:c>
      <x:c r="P1281" s="30" t="n">
        <x:f>O1281*J1281*(1+M1281)</x:f>
        <x:v>0.003795</x:v>
      </x:c>
      <x:c r="Q1281" s="30" t="n">
        <x:f>P1281*N1281</x:f>
        <x:v>0.23749807625625444</x:v>
      </x:c>
      <x:c r="R1281" s="19" t="str">
        <x:v>独立判定</x:v>
      </x:c>
    </x:row>
    <x:row r="1282" ht="19" customHeight="1">
      <x:c r="A1282" s="19" t="str">
        <x:v>D01278</x:v>
      </x:c>
      <x:c r="B1282" s="19" t="n">
        <x:v>3</x:v>
      </x:c>
      <x:c r="C1282" s="19" t="n">
        <x:v>6</x:v>
      </x:c>
      <x:c r="D1282" s="19" t="str">
        <x:v>C03-M065</x:v>
      </x:c>
      <x:c r="E1282" s="19" t="str">
        <x:v>赐福骑兵</x:v>
      </x:c>
      <x:c r="F1282" s="19" t="str">
        <x:v>普通</x:v>
      </x:c>
      <x:c r="G1282" s="19" t="str">
        <x:v>六神器公共池</x:v>
      </x:c>
      <x:c r="H1282" s="19" t="str">
        <x:v>POOL006</x:v>
      </x:c>
      <x:c r="I1282" s="22" t="n">
        <x:v>20000000</x:v>
      </x:c>
      <x:c r="J1282" s="22" t="n">
        <x:v>1</x:v>
      </x:c>
      <x:c r="K1282" s="19" t="n">
        <x:v>6</x:v>
      </x:c>
      <x:c r="L1282" s="24" t="n">
        <x:v>17.25</x:v>
      </x:c>
      <x:c r="M1282" s="26" t="n">
        <x:v>0.1</x:v>
      </x:c>
      <x:c r="N1282" s="24" t="n">
        <x:v>62.58183827569287</x:v>
      </x:c>
      <x:c r="O1282" s="28" t="n">
        <x:f>MIN(1,L1282/I1282)</x:f>
        <x:v>8.625e-7</x:v>
      </x:c>
      <x:c r="P1282" s="30" t="n">
        <x:f>O1282*J1282*(1+M1282)</x:f>
        <x:v>9.487500000000001e-7</x:v>
      </x:c>
      <x:c r="Q1282" s="30" t="n">
        <x:f>P1282*N1282</x:f>
        <x:v>0.00005937451906406361</x:v>
      </x:c>
      <x:c r="R1282" s="19" t="str">
        <x:v>六选一；非6个独立爆率</x:v>
      </x:c>
    </x:row>
    <x:row r="1283" ht="19" customHeight="1">
      <x:c r="A1283" s="19" t="str">
        <x:v>D01279</x:v>
      </x:c>
      <x:c r="B1283" s="19" t="n">
        <x:v>3</x:v>
      </x:c>
      <x:c r="C1283" s="19" t="n">
        <x:v>6</x:v>
      </x:c>
      <x:c r="D1283" s="19" t="str">
        <x:v>C03-M066</x:v>
      </x:c>
      <x:c r="E1283" s="19" t="str">
        <x:v>哨垒执炬者</x:v>
      </x:c>
      <x:c r="F1283" s="19" t="str">
        <x:v>普通</x:v>
      </x:c>
      <x:c r="G1283" s="19" t="str">
        <x:v>自身专属</x:v>
      </x:c>
      <x:c r="H1283" s="19" t="str">
        <x:v>执炬勋章</x:v>
      </x:c>
      <x:c r="I1283" s="22" t="n">
        <x:v>1000</x:v>
      </x:c>
      <x:c r="J1283" s="22" t="n">
        <x:v>1</x:v>
      </x:c>
      <x:c r="K1283" s="19" t="n">
        <x:v>1</x:v>
      </x:c>
      <x:c r="L1283" s="24" t="n">
        <x:v>17.25</x:v>
      </x:c>
      <x:c r="M1283" s="26" t="n">
        <x:v>0.1</x:v>
      </x:c>
      <x:c r="N1283" s="24" t="n">
        <x:v>70.92608337911858</x:v>
      </x:c>
      <x:c r="O1283" s="28" t="n">
        <x:f>MIN(1,L1283/I1283)</x:f>
        <x:v>0.01725</x:v>
      </x:c>
      <x:c r="P1283" s="30" t="n">
        <x:f>O1283*J1283*(1+M1283)</x:f>
        <x:v>0.018975000000000002</x:v>
      </x:c>
      <x:c r="Q1283" s="30" t="n">
        <x:f>P1283*N1283</x:f>
        <x:v>1.3458224321187753</x:v>
      </x:c>
      <x:c r="R1283" s="19" t="str">
        <x:v>独立判定</x:v>
      </x:c>
    </x:row>
    <x:row r="1284" ht="19" customHeight="1">
      <x:c r="A1284" s="19" t="str">
        <x:v>D01280</x:v>
      </x:c>
      <x:c r="B1284" s="19" t="n">
        <x:v>3</x:v>
      </x:c>
      <x:c r="C1284" s="19" t="n">
        <x:v>6</x:v>
      </x:c>
      <x:c r="D1284" s="19" t="str">
        <x:v>C03-M066</x:v>
      </x:c>
      <x:c r="E1284" s="19" t="str">
        <x:v>哨垒执炬者</x:v>
      </x:c>
      <x:c r="F1284" s="19" t="str">
        <x:v>普通</x:v>
      </x:c>
      <x:c r="G1284" s="19" t="str">
        <x:v>材料独立候选</x:v>
      </x:c>
      <x:c r="H1284" s="19" t="str">
        <x:v>风蚀铁片</x:v>
      </x:c>
      <x:c r="I1284" s="22" t="n">
        <x:v>800</x:v>
      </x:c>
      <x:c r="J1284" s="22" t="n">
        <x:v>8</x:v>
      </x:c>
      <x:c r="K1284" s="19" t="n">
        <x:v>1</x:v>
      </x:c>
      <x:c r="L1284" s="24" t="n">
        <x:v>17.25</x:v>
      </x:c>
      <x:c r="M1284" s="26" t="n">
        <x:v>0.1</x:v>
      </x:c>
      <x:c r="N1284" s="24" t="n">
        <x:v>70.92608337911858</x:v>
      </x:c>
      <x:c r="O1284" s="28" t="n">
        <x:f>MIN(1,L1284/I1284)</x:f>
        <x:v>0.0215625</x:v>
      </x:c>
      <x:c r="P1284" s="30" t="n">
        <x:f>O1284*J1284*(1+M1284)</x:f>
        <x:v>0.18975</x:v>
      </x:c>
      <x:c r="Q1284" s="30" t="n">
        <x:f>P1284*N1284</x:f>
        <x:v>13.458224321187751</x:v>
      </x:c>
      <x:c r="R1284" s="19" t="str">
        <x:v>独立判定</x:v>
      </x:c>
    </x:row>
    <x:row r="1285" ht="19" customHeight="1">
      <x:c r="A1285" s="19" t="str">
        <x:v>D01281</x:v>
      </x:c>
      <x:c r="B1285" s="19" t="n">
        <x:v>3</x:v>
      </x:c>
      <x:c r="C1285" s="19" t="n">
        <x:v>6</x:v>
      </x:c>
      <x:c r="D1285" s="19" t="str">
        <x:v>C03-M066</x:v>
      </x:c>
      <x:c r="E1285" s="19" t="str">
        <x:v>哨垒执炬者</x:v>
      </x:c>
      <x:c r="F1285" s="19" t="str">
        <x:v>普通</x:v>
      </x:c>
      <x:c r="G1285" s="19" t="str">
        <x:v>材料独立候选</x:v>
      </x:c>
      <x:c r="H1285" s="19" t="str">
        <x:v>裂风崖羽</x:v>
      </x:c>
      <x:c r="I1285" s="22" t="n">
        <x:v>2000</x:v>
      </x:c>
      <x:c r="J1285" s="22" t="n">
        <x:v>1</x:v>
      </x:c>
      <x:c r="K1285" s="19" t="n">
        <x:v>1</x:v>
      </x:c>
      <x:c r="L1285" s="24" t="n">
        <x:v>17.25</x:v>
      </x:c>
      <x:c r="M1285" s="26" t="n">
        <x:v>0.1</x:v>
      </x:c>
      <x:c r="N1285" s="24" t="n">
        <x:v>70.92608337911858</x:v>
      </x:c>
      <x:c r="O1285" s="28" t="n">
        <x:f>MIN(1,L1285/I1285)</x:f>
        <x:v>0.008625</x:v>
      </x:c>
      <x:c r="P1285" s="30" t="n">
        <x:f>O1285*J1285*(1+M1285)</x:f>
        <x:v>0.009487500000000001</x:v>
      </x:c>
      <x:c r="Q1285" s="30" t="n">
        <x:f>P1285*N1285</x:f>
        <x:v>0.6729112160593876</x:v>
      </x:c>
      <x:c r="R1285" s="19" t="str">
        <x:v>独立判定</x:v>
      </x:c>
    </x:row>
    <x:row r="1286" ht="19" customHeight="1">
      <x:c r="A1286" s="19" t="str">
        <x:v>D01282</x:v>
      </x:c>
      <x:c r="B1286" s="19" t="n">
        <x:v>3</x:v>
      </x:c>
      <x:c r="C1286" s="19" t="n">
        <x:v>6</x:v>
      </x:c>
      <x:c r="D1286" s="19" t="str">
        <x:v>C03-M066</x:v>
      </x:c>
      <x:c r="E1286" s="19" t="str">
        <x:v>哨垒执炬者</x:v>
      </x:c>
      <x:c r="F1286" s="19" t="str">
        <x:v>普通</x:v>
      </x:c>
      <x:c r="G1286" s="19" t="str">
        <x:v>材料独立候选</x:v>
      </x:c>
      <x:c r="H1286" s="19" t="str">
        <x:v>西境风痕碑拓</x:v>
      </x:c>
      <x:c r="I1286" s="22" t="n">
        <x:v>800000</x:v>
      </x:c>
      <x:c r="J1286" s="22" t="n">
        <x:v>1</x:v>
      </x:c>
      <x:c r="K1286" s="19" t="n">
        <x:v>1</x:v>
      </x:c>
      <x:c r="L1286" s="24" t="n">
        <x:v>17.25</x:v>
      </x:c>
      <x:c r="M1286" s="26" t="n">
        <x:v>0.1</x:v>
      </x:c>
      <x:c r="N1286" s="24" t="n">
        <x:v>70.92608337911858</x:v>
      </x:c>
      <x:c r="O1286" s="28" t="n">
        <x:f>MIN(1,L1286/I1286)</x:f>
        <x:v>0.0000215625</x:v>
      </x:c>
      <x:c r="P1286" s="30" t="n">
        <x:f>O1286*J1286*(1+M1286)</x:f>
        <x:v>0.00002371875</x:v>
      </x:c>
      <x:c r="Q1286" s="30" t="n">
        <x:f>P1286*N1286</x:f>
        <x:v>0.001682278040148469</x:v>
      </x:c>
      <x:c r="R1286" s="19" t="str">
        <x:v>独立判定</x:v>
      </x:c>
    </x:row>
    <x:row r="1287" ht="19" customHeight="1">
      <x:c r="A1287" s="19" t="str">
        <x:v>D01283</x:v>
      </x:c>
      <x:c r="B1287" s="19" t="n">
        <x:v>3</x:v>
      </x:c>
      <x:c r="C1287" s="19" t="n">
        <x:v>6</x:v>
      </x:c>
      <x:c r="D1287" s="19" t="str">
        <x:v>C03-M066</x:v>
      </x:c>
      <x:c r="E1287" s="19" t="str">
        <x:v>哨垒执炬者</x:v>
      </x:c>
      <x:c r="F1287" s="19" t="str">
        <x:v>普通</x:v>
      </x:c>
      <x:c r="G1287" s="19" t="str">
        <x:v>材料独立候选</x:v>
      </x:c>
      <x:c r="H1287" s="19" t="str">
        <x:v>野兽骨片</x:v>
      </x:c>
      <x:c r="I1287" s="22" t="n">
        <x:v>120</x:v>
      </x:c>
      <x:c r="J1287" s="22" t="n">
        <x:v>2</x:v>
      </x:c>
      <x:c r="K1287" s="19" t="n">
        <x:v>1</x:v>
      </x:c>
      <x:c r="L1287" s="24" t="n">
        <x:v>17.25</x:v>
      </x:c>
      <x:c r="M1287" s="26" t="n">
        <x:v>0.1</x:v>
      </x:c>
      <x:c r="N1287" s="24" t="n">
        <x:v>70.92608337911858</x:v>
      </x:c>
      <x:c r="O1287" s="28" t="n">
        <x:f>MIN(1,L1287/I1287)</x:f>
        <x:v>0.14375</x:v>
      </x:c>
      <x:c r="P1287" s="30" t="n">
        <x:f>O1287*J1287*(1+M1287)</x:f>
        <x:v>0.31625</x:v>
      </x:c>
      <x:c r="Q1287" s="30" t="n">
        <x:f>P1287*N1287</x:f>
        <x:v>22.43037386864625</x:v>
      </x:c>
      <x:c r="R1287" s="19" t="str">
        <x:v>独立判定</x:v>
      </x:c>
    </x:row>
    <x:row r="1288" ht="19" customHeight="1">
      <x:c r="A1288" s="19" t="str">
        <x:v>D01284</x:v>
      </x:c>
      <x:c r="B1288" s="19" t="n">
        <x:v>3</x:v>
      </x:c>
      <x:c r="C1288" s="19" t="n">
        <x:v>6</x:v>
      </x:c>
      <x:c r="D1288" s="19" t="str">
        <x:v>C03-M066</x:v>
      </x:c>
      <x:c r="E1288" s="19" t="str">
        <x:v>哨垒执炬者</x:v>
      </x:c>
      <x:c r="F1288" s="19" t="str">
        <x:v>普通</x:v>
      </x:c>
      <x:c r="G1288" s="19" t="str">
        <x:v>材料独立候选</x:v>
      </x:c>
      <x:c r="H1288" s="19" t="str">
        <x:v>技能残页</x:v>
      </x:c>
      <x:c r="I1288" s="22" t="n">
        <x:v>300</x:v>
      </x:c>
      <x:c r="J1288" s="22" t="n">
        <x:v>1</x:v>
      </x:c>
      <x:c r="K1288" s="19" t="n">
        <x:v>1</x:v>
      </x:c>
      <x:c r="L1288" s="24" t="n">
        <x:v>17.25</x:v>
      </x:c>
      <x:c r="M1288" s="26" t="n">
        <x:v>0.1</x:v>
      </x:c>
      <x:c r="N1288" s="24" t="n">
        <x:v>70.92608337911858</x:v>
      </x:c>
      <x:c r="O1288" s="28" t="n">
        <x:f>MIN(1,L1288/I1288)</x:f>
        <x:v>0.0575</x:v>
      </x:c>
      <x:c r="P1288" s="30" t="n">
        <x:f>O1288*J1288*(1+M1288)</x:f>
        <x:v>0.06325000000000001</x:v>
      </x:c>
      <x:c r="Q1288" s="30" t="n">
        <x:f>P1288*N1288</x:f>
        <x:v>4.486074773729252</x:v>
      </x:c>
      <x:c r="R1288" s="19" t="str">
        <x:v>独立判定</x:v>
      </x:c>
    </x:row>
    <x:row r="1289" ht="19" customHeight="1">
      <x:c r="A1289" s="19" t="str">
        <x:v>D01285</x:v>
      </x:c>
      <x:c r="B1289" s="19" t="n">
        <x:v>3</x:v>
      </x:c>
      <x:c r="C1289" s="19" t="n">
        <x:v>6</x:v>
      </x:c>
      <x:c r="D1289" s="19" t="str">
        <x:v>C03-M066</x:v>
      </x:c>
      <x:c r="E1289" s="19" t="str">
        <x:v>哨垒执炬者</x:v>
      </x:c>
      <x:c r="F1289" s="19" t="str">
        <x:v>普通</x:v>
      </x:c>
      <x:c r="G1289" s="19" t="str">
        <x:v>材料独立候选</x:v>
      </x:c>
      <x:c r="H1289" s="19" t="str">
        <x:v>小卢恩</x:v>
      </x:c>
      <x:c r="I1289" s="22" t="n">
        <x:v>5000</x:v>
      </x:c>
      <x:c r="J1289" s="22" t="n">
        <x:v>1</x:v>
      </x:c>
      <x:c r="K1289" s="19" t="n">
        <x:v>1</x:v>
      </x:c>
      <x:c r="L1289" s="24" t="n">
        <x:v>17.25</x:v>
      </x:c>
      <x:c r="M1289" s="26" t="n">
        <x:v>0.1</x:v>
      </x:c>
      <x:c r="N1289" s="24" t="n">
        <x:v>70.92608337911858</x:v>
      </x:c>
      <x:c r="O1289" s="28" t="n">
        <x:f>MIN(1,L1289/I1289)</x:f>
        <x:v>0.00345</x:v>
      </x:c>
      <x:c r="P1289" s="30" t="n">
        <x:f>O1289*J1289*(1+M1289)</x:f>
        <x:v>0.003795</x:v>
      </x:c>
      <x:c r="Q1289" s="30" t="n">
        <x:f>P1289*N1289</x:f>
        <x:v>0.269164486423755</x:v>
      </x:c>
      <x:c r="R1289" s="19" t="str">
        <x:v>独立判定</x:v>
      </x:c>
    </x:row>
    <x:row r="1290" ht="19" customHeight="1">
      <x:c r="A1290" s="19" t="str">
        <x:v>D01286</x:v>
      </x:c>
      <x:c r="B1290" s="19" t="n">
        <x:v>3</x:v>
      </x:c>
      <x:c r="C1290" s="19" t="n">
        <x:v>6</x:v>
      </x:c>
      <x:c r="D1290" s="19" t="str">
        <x:v>C03-M066</x:v>
      </x:c>
      <x:c r="E1290" s="19" t="str">
        <x:v>哨垒执炬者</x:v>
      </x:c>
      <x:c r="F1290" s="19" t="str">
        <x:v>普通</x:v>
      </x:c>
      <x:c r="G1290" s="19" t="str">
        <x:v>六神器公共池</x:v>
      </x:c>
      <x:c r="H1290" s="19" t="str">
        <x:v>POOL006</x:v>
      </x:c>
      <x:c r="I1290" s="22" t="n">
        <x:v>20000000</x:v>
      </x:c>
      <x:c r="J1290" s="22" t="n">
        <x:v>1</x:v>
      </x:c>
      <x:c r="K1290" s="19" t="n">
        <x:v>6</x:v>
      </x:c>
      <x:c r="L1290" s="24" t="n">
        <x:v>17.25</x:v>
      </x:c>
      <x:c r="M1290" s="26" t="n">
        <x:v>0.1</x:v>
      </x:c>
      <x:c r="N1290" s="24" t="n">
        <x:v>70.92608337911858</x:v>
      </x:c>
      <x:c r="O1290" s="28" t="n">
        <x:f>MIN(1,L1290/I1290)</x:f>
        <x:v>8.625e-7</x:v>
      </x:c>
      <x:c r="P1290" s="30" t="n">
        <x:f>O1290*J1290*(1+M1290)</x:f>
        <x:v>9.487500000000001e-7</x:v>
      </x:c>
      <x:c r="Q1290" s="30" t="n">
        <x:f>P1290*N1290</x:f>
        <x:v>0.00006729112160593877</x:v>
      </x:c>
      <x:c r="R1290" s="19" t="str">
        <x:v>六选一；非6个独立爆率</x:v>
      </x:c>
    </x:row>
    <x:row r="1291" ht="19" customHeight="1">
      <x:c r="A1291" s="19" t="str">
        <x:v>D01287</x:v>
      </x:c>
      <x:c r="B1291" s="19" t="n">
        <x:v>3</x:v>
      </x:c>
      <x:c r="C1291" s="19" t="n">
        <x:v>6</x:v>
      </x:c>
      <x:c r="D1291" s="19" t="str">
        <x:v>C03-M067</x:v>
      </x:c>
      <x:c r="E1291" s="19" t="str">
        <x:v>黄金树旗卫</x:v>
      </x:c>
      <x:c r="F1291" s="19" t="str">
        <x:v>稀有</x:v>
      </x:c>
      <x:c r="G1291" s="19" t="str">
        <x:v>自身专属</x:v>
      </x:c>
      <x:c r="H1291" s="19" t="str">
        <x:v>黄金旗甲</x:v>
      </x:c>
      <x:c r="I1291" s="22" t="n">
        <x:v>250</x:v>
      </x:c>
      <x:c r="J1291" s="22" t="n">
        <x:v>1</x:v>
      </x:c>
      <x:c r="K1291" s="19" t="n">
        <x:v>1</x:v>
      </x:c>
      <x:c r="L1291" s="24" t="n">
        <x:v>17.25</x:v>
      </x:c>
      <x:c r="M1291" s="26" t="n">
        <x:v>0.1</x:v>
      </x:c>
      <x:c r="N1291" s="24" t="n">
        <x:v>12</x:v>
      </x:c>
      <x:c r="O1291" s="28" t="n">
        <x:f>MIN(1,L1291/I1291)</x:f>
        <x:v>0.069</x:v>
      </x:c>
      <x:c r="P1291" s="30" t="n">
        <x:f>O1291*J1291*(1+M1291)</x:f>
        <x:v>0.07590000000000001</x:v>
      </x:c>
      <x:c r="Q1291" s="30" t="n">
        <x:f>P1291*N1291</x:f>
        <x:v>0.9108</x:v>
      </x:c>
      <x:c r="R1291" s="19" t="str">
        <x:v>独立判定</x:v>
      </x:c>
    </x:row>
    <x:row r="1292" ht="19" customHeight="1">
      <x:c r="A1292" s="19" t="str">
        <x:v>D01288</x:v>
      </x:c>
      <x:c r="B1292" s="19" t="n">
        <x:v>3</x:v>
      </x:c>
      <x:c r="C1292" s="19" t="n">
        <x:v>6</x:v>
      </x:c>
      <x:c r="D1292" s="19" t="str">
        <x:v>C03-M067</x:v>
      </x:c>
      <x:c r="E1292" s="19" t="str">
        <x:v>黄金树旗卫</x:v>
      </x:c>
      <x:c r="F1292" s="19" t="str">
        <x:v>稀有</x:v>
      </x:c>
      <x:c r="G1292" s="19" t="str">
        <x:v>材料独立候选</x:v>
      </x:c>
      <x:c r="H1292" s="19" t="str">
        <x:v>风蚀铁片</x:v>
      </x:c>
      <x:c r="I1292" s="22" t="n">
        <x:v>500</x:v>
      </x:c>
      <x:c r="J1292" s="22" t="n">
        <x:v>15</x:v>
      </x:c>
      <x:c r="K1292" s="19" t="n">
        <x:v>1</x:v>
      </x:c>
      <x:c r="L1292" s="24" t="n">
        <x:v>17.25</x:v>
      </x:c>
      <x:c r="M1292" s="26" t="n">
        <x:v>0.1</x:v>
      </x:c>
      <x:c r="N1292" s="24" t="n">
        <x:v>12</x:v>
      </x:c>
      <x:c r="O1292" s="28" t="n">
        <x:f>MIN(1,L1292/I1292)</x:f>
        <x:v>0.0345</x:v>
      </x:c>
      <x:c r="P1292" s="30" t="n">
        <x:f>O1292*J1292*(1+M1292)</x:f>
        <x:v>0.5692500000000001</x:v>
      </x:c>
      <x:c r="Q1292" s="30" t="n">
        <x:f>P1292*N1292</x:f>
        <x:v>6.831000000000001</x:v>
      </x:c>
      <x:c r="R1292" s="19" t="str">
        <x:v>独立判定</x:v>
      </x:c>
    </x:row>
    <x:row r="1293" ht="19" customHeight="1">
      <x:c r="A1293" s="19" t="str">
        <x:v>D01289</x:v>
      </x:c>
      <x:c r="B1293" s="19" t="n">
        <x:v>3</x:v>
      </x:c>
      <x:c r="C1293" s="19" t="n">
        <x:v>6</x:v>
      </x:c>
      <x:c r="D1293" s="19" t="str">
        <x:v>C03-M067</x:v>
      </x:c>
      <x:c r="E1293" s="19" t="str">
        <x:v>黄金树旗卫</x:v>
      </x:c>
      <x:c r="F1293" s="19" t="str">
        <x:v>稀有</x:v>
      </x:c>
      <x:c r="G1293" s="19" t="str">
        <x:v>材料独立候选</x:v>
      </x:c>
      <x:c r="H1293" s="19" t="str">
        <x:v>西境战旗</x:v>
      </x:c>
      <x:c r="I1293" s="22" t="n">
        <x:v>800</x:v>
      </x:c>
      <x:c r="J1293" s="22" t="n">
        <x:v>1</x:v>
      </x:c>
      <x:c r="K1293" s="19" t="n">
        <x:v>1</x:v>
      </x:c>
      <x:c r="L1293" s="24" t="n">
        <x:v>17.25</x:v>
      </x:c>
      <x:c r="M1293" s="26" t="n">
        <x:v>0.1</x:v>
      </x:c>
      <x:c r="N1293" s="24" t="n">
        <x:v>12</x:v>
      </x:c>
      <x:c r="O1293" s="28" t="n">
        <x:f>MIN(1,L1293/I1293)</x:f>
        <x:v>0.0215625</x:v>
      </x:c>
      <x:c r="P1293" s="30" t="n">
        <x:f>O1293*J1293*(1+M1293)</x:f>
        <x:v>0.02371875</x:v>
      </x:c>
      <x:c r="Q1293" s="30" t="n">
        <x:f>P1293*N1293</x:f>
        <x:v>0.284625</x:v>
      </x:c>
      <x:c r="R1293" s="19" t="str">
        <x:v>独立判定</x:v>
      </x:c>
    </x:row>
    <x:row r="1294" ht="19" customHeight="1">
      <x:c r="A1294" s="19" t="str">
        <x:v>D01290</x:v>
      </x:c>
      <x:c r="B1294" s="19" t="n">
        <x:v>3</x:v>
      </x:c>
      <x:c r="C1294" s="19" t="n">
        <x:v>6</x:v>
      </x:c>
      <x:c r="D1294" s="19" t="str">
        <x:v>C03-M067</x:v>
      </x:c>
      <x:c r="E1294" s="19" t="str">
        <x:v>黄金树旗卫</x:v>
      </x:c>
      <x:c r="F1294" s="19" t="str">
        <x:v>稀有</x:v>
      </x:c>
      <x:c r="G1294" s="19" t="str">
        <x:v>材料独立候选</x:v>
      </x:c>
      <x:c r="H1294" s="19" t="str">
        <x:v>商队火漆</x:v>
      </x:c>
      <x:c r="I1294" s="22" t="n">
        <x:v>800</x:v>
      </x:c>
      <x:c r="J1294" s="22" t="n">
        <x:v>1</x:v>
      </x:c>
      <x:c r="K1294" s="19" t="n">
        <x:v>1</x:v>
      </x:c>
      <x:c r="L1294" s="24" t="n">
        <x:v>17.25</x:v>
      </x:c>
      <x:c r="M1294" s="26" t="n">
        <x:v>0.1</x:v>
      </x:c>
      <x:c r="N1294" s="24" t="n">
        <x:v>12</x:v>
      </x:c>
      <x:c r="O1294" s="28" t="n">
        <x:f>MIN(1,L1294/I1294)</x:f>
        <x:v>0.0215625</x:v>
      </x:c>
      <x:c r="P1294" s="30" t="n">
        <x:f>O1294*J1294*(1+M1294)</x:f>
        <x:v>0.02371875</x:v>
      </x:c>
      <x:c r="Q1294" s="30" t="n">
        <x:f>P1294*N1294</x:f>
        <x:v>0.284625</x:v>
      </x:c>
      <x:c r="R1294" s="19" t="str">
        <x:v>独立判定</x:v>
      </x:c>
    </x:row>
    <x:row r="1295" ht="19" customHeight="1">
      <x:c r="A1295" s="19" t="str">
        <x:v>D01291</x:v>
      </x:c>
      <x:c r="B1295" s="19" t="n">
        <x:v>3</x:v>
      </x:c>
      <x:c r="C1295" s="19" t="n">
        <x:v>6</x:v>
      </x:c>
      <x:c r="D1295" s="19" t="str">
        <x:v>C03-M067</x:v>
      </x:c>
      <x:c r="E1295" s="19" t="str">
        <x:v>黄金树旗卫</x:v>
      </x:c>
      <x:c r="F1295" s="19" t="str">
        <x:v>稀有</x:v>
      </x:c>
      <x:c r="G1295" s="19" t="str">
        <x:v>材料独立候选</x:v>
      </x:c>
      <x:c r="H1295" s="19" t="str">
        <x:v>西境风痕碑拓</x:v>
      </x:c>
      <x:c r="I1295" s="22" t="n">
        <x:v>500000</x:v>
      </x:c>
      <x:c r="J1295" s="22" t="n">
        <x:v>1</x:v>
      </x:c>
      <x:c r="K1295" s="19" t="n">
        <x:v>1</x:v>
      </x:c>
      <x:c r="L1295" s="24" t="n">
        <x:v>17.25</x:v>
      </x:c>
      <x:c r="M1295" s="26" t="n">
        <x:v>0.1</x:v>
      </x:c>
      <x:c r="N1295" s="24" t="n">
        <x:v>12</x:v>
      </x:c>
      <x:c r="O1295" s="28" t="n">
        <x:f>MIN(1,L1295/I1295)</x:f>
        <x:v>0.0000345</x:v>
      </x:c>
      <x:c r="P1295" s="30" t="n">
        <x:f>O1295*J1295*(1+M1295)</x:f>
        <x:v>0.00003795</x:v>
      </x:c>
      <x:c r="Q1295" s="30" t="n">
        <x:f>P1295*N1295</x:f>
        <x:v>0.0004554</x:v>
      </x:c>
      <x:c r="R1295" s="19" t="str">
        <x:v>独立判定</x:v>
      </x:c>
    </x:row>
    <x:row r="1296" ht="19" customHeight="1">
      <x:c r="A1296" s="19" t="str">
        <x:v>D01292</x:v>
      </x:c>
      <x:c r="B1296" s="19" t="n">
        <x:v>3</x:v>
      </x:c>
      <x:c r="C1296" s="19" t="n">
        <x:v>6</x:v>
      </x:c>
      <x:c r="D1296" s="19" t="str">
        <x:v>C03-M067</x:v>
      </x:c>
      <x:c r="E1296" s="19" t="str">
        <x:v>黄金树旗卫</x:v>
      </x:c>
      <x:c r="F1296" s="19" t="str">
        <x:v>稀有</x:v>
      </x:c>
      <x:c r="G1296" s="19" t="str">
        <x:v>材料独立候选</x:v>
      </x:c>
      <x:c r="H1296" s="19" t="str">
        <x:v>黄金树芽</x:v>
      </x:c>
      <x:c r="I1296" s="22" t="n">
        <x:v>2000</x:v>
      </x:c>
      <x:c r="J1296" s="22" t="n">
        <x:v>1</x:v>
      </x:c>
      <x:c r="K1296" s="19" t="n">
        <x:v>1</x:v>
      </x:c>
      <x:c r="L1296" s="24" t="n">
        <x:v>17.25</x:v>
      </x:c>
      <x:c r="M1296" s="26" t="n">
        <x:v>0.1</x:v>
      </x:c>
      <x:c r="N1296" s="24" t="n">
        <x:v>12</x:v>
      </x:c>
      <x:c r="O1296" s="28" t="n">
        <x:f>MIN(1,L1296/I1296)</x:f>
        <x:v>0.008625</x:v>
      </x:c>
      <x:c r="P1296" s="30" t="n">
        <x:f>O1296*J1296*(1+M1296)</x:f>
        <x:v>0.009487500000000001</x:v>
      </x:c>
      <x:c r="Q1296" s="30" t="n">
        <x:f>P1296*N1296</x:f>
        <x:v>0.11385</x:v>
      </x:c>
      <x:c r="R1296" s="19" t="str">
        <x:v>独立判定</x:v>
      </x:c>
    </x:row>
    <x:row r="1297" ht="19" customHeight="1">
      <x:c r="A1297" s="19" t="str">
        <x:v>D01293</x:v>
      </x:c>
      <x:c r="B1297" s="19" t="n">
        <x:v>3</x:v>
      </x:c>
      <x:c r="C1297" s="19" t="n">
        <x:v>6</x:v>
      </x:c>
      <x:c r="D1297" s="19" t="str">
        <x:v>C03-M067</x:v>
      </x:c>
      <x:c r="E1297" s="19" t="str">
        <x:v>黄金树旗卫</x:v>
      </x:c>
      <x:c r="F1297" s="19" t="str">
        <x:v>稀有</x:v>
      </x:c>
      <x:c r="G1297" s="19" t="str">
        <x:v>材料独立候选</x:v>
      </x:c>
      <x:c r="H1297" s="19" t="str">
        <x:v>野兽骨片</x:v>
      </x:c>
      <x:c r="I1297" s="22" t="n">
        <x:v>80</x:v>
      </x:c>
      <x:c r="J1297" s="22" t="n">
        <x:v>2</x:v>
      </x:c>
      <x:c r="K1297" s="19" t="n">
        <x:v>1</x:v>
      </x:c>
      <x:c r="L1297" s="24" t="n">
        <x:v>17.25</x:v>
      </x:c>
      <x:c r="M1297" s="26" t="n">
        <x:v>0.1</x:v>
      </x:c>
      <x:c r="N1297" s="24" t="n">
        <x:v>12</x:v>
      </x:c>
      <x:c r="O1297" s="28" t="n">
        <x:f>MIN(1,L1297/I1297)</x:f>
        <x:v>0.215625</x:v>
      </x:c>
      <x:c r="P1297" s="30" t="n">
        <x:f>O1297*J1297*(1+M1297)</x:f>
        <x:v>0.47437500000000005</x:v>
      </x:c>
      <x:c r="Q1297" s="30" t="n">
        <x:f>P1297*N1297</x:f>
        <x:v>5.692500000000001</x:v>
      </x:c>
      <x:c r="R1297" s="19" t="str">
        <x:v>独立判定</x:v>
      </x:c>
    </x:row>
    <x:row r="1298" ht="19" customHeight="1">
      <x:c r="A1298" s="19" t="str">
        <x:v>D01294</x:v>
      </x:c>
      <x:c r="B1298" s="19" t="n">
        <x:v>3</x:v>
      </x:c>
      <x:c r="C1298" s="19" t="n">
        <x:v>6</x:v>
      </x:c>
      <x:c r="D1298" s="19" t="str">
        <x:v>C03-M067</x:v>
      </x:c>
      <x:c r="E1298" s="19" t="str">
        <x:v>黄金树旗卫</x:v>
      </x:c>
      <x:c r="F1298" s="19" t="str">
        <x:v>稀有</x:v>
      </x:c>
      <x:c r="G1298" s="19" t="str">
        <x:v>材料独立候选</x:v>
      </x:c>
      <x:c r="H1298" s="19" t="str">
        <x:v>技能残页</x:v>
      </x:c>
      <x:c r="I1298" s="22" t="n">
        <x:v>180</x:v>
      </x:c>
      <x:c r="J1298" s="22" t="n">
        <x:v>1</x:v>
      </x:c>
      <x:c r="K1298" s="19" t="n">
        <x:v>1</x:v>
      </x:c>
      <x:c r="L1298" s="24" t="n">
        <x:v>17.25</x:v>
      </x:c>
      <x:c r="M1298" s="26" t="n">
        <x:v>0.1</x:v>
      </x:c>
      <x:c r="N1298" s="24" t="n">
        <x:v>12</x:v>
      </x:c>
      <x:c r="O1298" s="28" t="n">
        <x:f>MIN(1,L1298/I1298)</x:f>
        <x:v>0.09583333333333334</x:v>
      </x:c>
      <x:c r="P1298" s="30" t="n">
        <x:f>O1298*J1298*(1+M1298)</x:f>
        <x:v>0.10541666666666669</x:v>
      </x:c>
      <x:c r="Q1298" s="30" t="n">
        <x:f>P1298*N1298</x:f>
        <x:v>1.2650000000000001</x:v>
      </x:c>
      <x:c r="R1298" s="19" t="str">
        <x:v>独立判定</x:v>
      </x:c>
    </x:row>
    <x:row r="1299" ht="19" customHeight="1">
      <x:c r="A1299" s="19" t="str">
        <x:v>D01295</x:v>
      </x:c>
      <x:c r="B1299" s="19" t="n">
        <x:v>3</x:v>
      </x:c>
      <x:c r="C1299" s="19" t="n">
        <x:v>6</x:v>
      </x:c>
      <x:c r="D1299" s="19" t="str">
        <x:v>C03-M067</x:v>
      </x:c>
      <x:c r="E1299" s="19" t="str">
        <x:v>黄金树旗卫</x:v>
      </x:c>
      <x:c r="F1299" s="19" t="str">
        <x:v>稀有</x:v>
      </x:c>
      <x:c r="G1299" s="19" t="str">
        <x:v>材料独立候选</x:v>
      </x:c>
      <x:c r="H1299" s="19" t="str">
        <x:v>小卢恩</x:v>
      </x:c>
      <x:c r="I1299" s="22" t="n">
        <x:v>3000</x:v>
      </x:c>
      <x:c r="J1299" s="22" t="n">
        <x:v>1</x:v>
      </x:c>
      <x:c r="K1299" s="19" t="n">
        <x:v>1</x:v>
      </x:c>
      <x:c r="L1299" s="24" t="n">
        <x:v>17.25</x:v>
      </x:c>
      <x:c r="M1299" s="26" t="n">
        <x:v>0.1</x:v>
      </x:c>
      <x:c r="N1299" s="24" t="n">
        <x:v>12</x:v>
      </x:c>
      <x:c r="O1299" s="28" t="n">
        <x:f>MIN(1,L1299/I1299)</x:f>
        <x:v>0.00575</x:v>
      </x:c>
      <x:c r="P1299" s="30" t="n">
        <x:f>O1299*J1299*(1+M1299)</x:f>
        <x:v>0.006325000000000001</x:v>
      </x:c>
      <x:c r="Q1299" s="30" t="n">
        <x:f>P1299*N1299</x:f>
        <x:v>0.07590000000000001</x:v>
      </x:c>
      <x:c r="R1299" s="19" t="str">
        <x:v>独立判定</x:v>
      </x:c>
    </x:row>
    <x:row r="1300" ht="19" customHeight="1">
      <x:c r="A1300" s="19" t="str">
        <x:v>D01296</x:v>
      </x:c>
      <x:c r="B1300" s="19" t="n">
        <x:v>3</x:v>
      </x:c>
      <x:c r="C1300" s="19" t="n">
        <x:v>6</x:v>
      </x:c>
      <x:c r="D1300" s="19" t="str">
        <x:v>C03-M067</x:v>
      </x:c>
      <x:c r="E1300" s="19" t="str">
        <x:v>黄金树旗卫</x:v>
      </x:c>
      <x:c r="F1300" s="19" t="str">
        <x:v>稀有</x:v>
      </x:c>
      <x:c r="G1300" s="19" t="str">
        <x:v>六神器公共池</x:v>
      </x:c>
      <x:c r="H1300" s="19" t="str">
        <x:v>POOL006</x:v>
      </x:c>
      <x:c r="I1300" s="22" t="n">
        <x:v>5000000</x:v>
      </x:c>
      <x:c r="J1300" s="22" t="n">
        <x:v>1</x:v>
      </x:c>
      <x:c r="K1300" s="19" t="n">
        <x:v>6</x:v>
      </x:c>
      <x:c r="L1300" s="24" t="n">
        <x:v>17.25</x:v>
      </x:c>
      <x:c r="M1300" s="26" t="n">
        <x:v>0.1</x:v>
      </x:c>
      <x:c r="N1300" s="24" t="n">
        <x:v>12</x:v>
      </x:c>
      <x:c r="O1300" s="28" t="n">
        <x:f>MIN(1,L1300/I1300)</x:f>
        <x:v>0.00000345</x:v>
      </x:c>
      <x:c r="P1300" s="30" t="n">
        <x:f>O1300*J1300*(1+M1300)</x:f>
        <x:v>0.0000037950000000000005</x:v>
      </x:c>
      <x:c r="Q1300" s="30" t="n">
        <x:f>P1300*N1300</x:f>
        <x:v>0.00004554000000000001</x:v>
      </x:c>
      <x:c r="R1300" s="19" t="str">
        <x:v>六选一；非6个独立爆率</x:v>
      </x:c>
    </x:row>
    <x:row r="1301" ht="19" customHeight="1">
      <x:c r="A1301" s="19" t="str">
        <x:v>D01297</x:v>
      </x:c>
      <x:c r="B1301" s="19" t="n">
        <x:v>3</x:v>
      </x:c>
      <x:c r="C1301" s="19" t="n">
        <x:v>6</x:v>
      </x:c>
      <x:c r="D1301" s="19" t="str">
        <x:v>C03-M068</x:v>
      </x:c>
      <x:c r="E1301" s="19" t="str">
        <x:v>圣律监军</x:v>
      </x:c>
      <x:c r="F1301" s="19" t="str">
        <x:v>稀有</x:v>
      </x:c>
      <x:c r="G1301" s="19" t="str">
        <x:v>自身专属</x:v>
      </x:c>
      <x:c r="H1301" s="19" t="str">
        <x:v>圣律戒印</x:v>
      </x:c>
      <x:c r="I1301" s="22" t="n">
        <x:v>250</x:v>
      </x:c>
      <x:c r="J1301" s="22" t="n">
        <x:v>1</x:v>
      </x:c>
      <x:c r="K1301" s="19" t="n">
        <x:v>1</x:v>
      </x:c>
      <x:c r="L1301" s="24" t="n">
        <x:v>17.25</x:v>
      </x:c>
      <x:c r="M1301" s="26" t="n">
        <x:v>0.1</x:v>
      </x:c>
      <x:c r="N1301" s="24" t="n">
        <x:v>10.259694085072628</x:v>
      </x:c>
      <x:c r="O1301" s="28" t="n">
        <x:f>MIN(1,L1301/I1301)</x:f>
        <x:v>0.069</x:v>
      </x:c>
      <x:c r="P1301" s="30" t="n">
        <x:f>O1301*J1301*(1+M1301)</x:f>
        <x:v>0.07590000000000001</x:v>
      </x:c>
      <x:c r="Q1301" s="30" t="n">
        <x:f>P1301*N1301</x:f>
        <x:v>0.7787107810570125</x:v>
      </x:c>
      <x:c r="R1301" s="19" t="str">
        <x:v>独立判定</x:v>
      </x:c>
    </x:row>
    <x:row r="1302" ht="19" customHeight="1">
      <x:c r="A1302" s="19" t="str">
        <x:v>D01298</x:v>
      </x:c>
      <x:c r="B1302" s="19" t="n">
        <x:v>3</x:v>
      </x:c>
      <x:c r="C1302" s="19" t="n">
        <x:v>6</x:v>
      </x:c>
      <x:c r="D1302" s="19" t="str">
        <x:v>C03-M068</x:v>
      </x:c>
      <x:c r="E1302" s="19" t="str">
        <x:v>圣律监军</x:v>
      </x:c>
      <x:c r="F1302" s="19" t="str">
        <x:v>稀有</x:v>
      </x:c>
      <x:c r="G1302" s="19" t="str">
        <x:v>材料独立候选</x:v>
      </x:c>
      <x:c r="H1302" s="19" t="str">
        <x:v>风蚀铁片</x:v>
      </x:c>
      <x:c r="I1302" s="22" t="n">
        <x:v>500</x:v>
      </x:c>
      <x:c r="J1302" s="22" t="n">
        <x:v>15</x:v>
      </x:c>
      <x:c r="K1302" s="19" t="n">
        <x:v>1</x:v>
      </x:c>
      <x:c r="L1302" s="24" t="n">
        <x:v>17.25</x:v>
      </x:c>
      <x:c r="M1302" s="26" t="n">
        <x:v>0.1</x:v>
      </x:c>
      <x:c r="N1302" s="24" t="n">
        <x:v>10.259694085072628</x:v>
      </x:c>
      <x:c r="O1302" s="28" t="n">
        <x:f>MIN(1,L1302/I1302)</x:f>
        <x:v>0.0345</x:v>
      </x:c>
      <x:c r="P1302" s="30" t="n">
        <x:f>O1302*J1302*(1+M1302)</x:f>
        <x:v>0.5692500000000001</x:v>
      </x:c>
      <x:c r="Q1302" s="30" t="n">
        <x:f>P1302*N1302</x:f>
        <x:v>5.8403308579275945</x:v>
      </x:c>
      <x:c r="R1302" s="19" t="str">
        <x:v>独立判定</x:v>
      </x:c>
    </x:row>
    <x:row r="1303" ht="19" customHeight="1">
      <x:c r="A1303" s="19" t="str">
        <x:v>D01299</x:v>
      </x:c>
      <x:c r="B1303" s="19" t="n">
        <x:v>3</x:v>
      </x:c>
      <x:c r="C1303" s="19" t="n">
        <x:v>6</x:v>
      </x:c>
      <x:c r="D1303" s="19" t="str">
        <x:v>C03-M068</x:v>
      </x:c>
      <x:c r="E1303" s="19" t="str">
        <x:v>圣律监军</x:v>
      </x:c>
      <x:c r="F1303" s="19" t="str">
        <x:v>稀有</x:v>
      </x:c>
      <x:c r="G1303" s="19" t="str">
        <x:v>材料独立候选</x:v>
      </x:c>
      <x:c r="H1303" s="19" t="str">
        <x:v>西境战旗</x:v>
      </x:c>
      <x:c r="I1303" s="22" t="n">
        <x:v>800</x:v>
      </x:c>
      <x:c r="J1303" s="22" t="n">
        <x:v>1</x:v>
      </x:c>
      <x:c r="K1303" s="19" t="n">
        <x:v>1</x:v>
      </x:c>
      <x:c r="L1303" s="24" t="n">
        <x:v>17.25</x:v>
      </x:c>
      <x:c r="M1303" s="26" t="n">
        <x:v>0.1</x:v>
      </x:c>
      <x:c r="N1303" s="24" t="n">
        <x:v>10.259694085072628</x:v>
      </x:c>
      <x:c r="O1303" s="28" t="n">
        <x:f>MIN(1,L1303/I1303)</x:f>
        <x:v>0.0215625</x:v>
      </x:c>
      <x:c r="P1303" s="30" t="n">
        <x:f>O1303*J1303*(1+M1303)</x:f>
        <x:v>0.02371875</x:v>
      </x:c>
      <x:c r="Q1303" s="30" t="n">
        <x:f>P1303*N1303</x:f>
        <x:v>0.2433471190803164</x:v>
      </x:c>
      <x:c r="R1303" s="19" t="str">
        <x:v>独立判定</x:v>
      </x:c>
    </x:row>
    <x:row r="1304" ht="19" customHeight="1">
      <x:c r="A1304" s="19" t="str">
        <x:v>D01300</x:v>
      </x:c>
      <x:c r="B1304" s="19" t="n">
        <x:v>3</x:v>
      </x:c>
      <x:c r="C1304" s="19" t="n">
        <x:v>6</x:v>
      </x:c>
      <x:c r="D1304" s="19" t="str">
        <x:v>C03-M068</x:v>
      </x:c>
      <x:c r="E1304" s="19" t="str">
        <x:v>圣律监军</x:v>
      </x:c>
      <x:c r="F1304" s="19" t="str">
        <x:v>稀有</x:v>
      </x:c>
      <x:c r="G1304" s="19" t="str">
        <x:v>材料独立候选</x:v>
      </x:c>
      <x:c r="H1304" s="19" t="str">
        <x:v>商队火漆</x:v>
      </x:c>
      <x:c r="I1304" s="22" t="n">
        <x:v>800</x:v>
      </x:c>
      <x:c r="J1304" s="22" t="n">
        <x:v>1</x:v>
      </x:c>
      <x:c r="K1304" s="19" t="n">
        <x:v>1</x:v>
      </x:c>
      <x:c r="L1304" s="24" t="n">
        <x:v>17.25</x:v>
      </x:c>
      <x:c r="M1304" s="26" t="n">
        <x:v>0.1</x:v>
      </x:c>
      <x:c r="N1304" s="24" t="n">
        <x:v>10.259694085072628</x:v>
      </x:c>
      <x:c r="O1304" s="28" t="n">
        <x:f>MIN(1,L1304/I1304)</x:f>
        <x:v>0.0215625</x:v>
      </x:c>
      <x:c r="P1304" s="30" t="n">
        <x:f>O1304*J1304*(1+M1304)</x:f>
        <x:v>0.02371875</x:v>
      </x:c>
      <x:c r="Q1304" s="30" t="n">
        <x:f>P1304*N1304</x:f>
        <x:v>0.2433471190803164</x:v>
      </x:c>
      <x:c r="R1304" s="19" t="str">
        <x:v>独立判定</x:v>
      </x:c>
    </x:row>
    <x:row r="1305" ht="19" customHeight="1">
      <x:c r="A1305" s="19" t="str">
        <x:v>D01301</x:v>
      </x:c>
      <x:c r="B1305" s="19" t="n">
        <x:v>3</x:v>
      </x:c>
      <x:c r="C1305" s="19" t="n">
        <x:v>6</x:v>
      </x:c>
      <x:c r="D1305" s="19" t="str">
        <x:v>C03-M068</x:v>
      </x:c>
      <x:c r="E1305" s="19" t="str">
        <x:v>圣律监军</x:v>
      </x:c>
      <x:c r="F1305" s="19" t="str">
        <x:v>稀有</x:v>
      </x:c>
      <x:c r="G1305" s="19" t="str">
        <x:v>材料独立候选</x:v>
      </x:c>
      <x:c r="H1305" s="19" t="str">
        <x:v>西境风痕碑拓</x:v>
      </x:c>
      <x:c r="I1305" s="22" t="n">
        <x:v>500000</x:v>
      </x:c>
      <x:c r="J1305" s="22" t="n">
        <x:v>1</x:v>
      </x:c>
      <x:c r="K1305" s="19" t="n">
        <x:v>1</x:v>
      </x:c>
      <x:c r="L1305" s="24" t="n">
        <x:v>17.25</x:v>
      </x:c>
      <x:c r="M1305" s="26" t="n">
        <x:v>0.1</x:v>
      </x:c>
      <x:c r="N1305" s="24" t="n">
        <x:v>10.259694085072628</x:v>
      </x:c>
      <x:c r="O1305" s="28" t="n">
        <x:f>MIN(1,L1305/I1305)</x:f>
        <x:v>0.0000345</x:v>
      </x:c>
      <x:c r="P1305" s="30" t="n">
        <x:f>O1305*J1305*(1+M1305)</x:f>
        <x:v>0.00003795</x:v>
      </x:c>
      <x:c r="Q1305" s="30" t="n">
        <x:f>P1305*N1305</x:f>
        <x:v>0.0003893553905285062</x:v>
      </x:c>
      <x:c r="R1305" s="19" t="str">
        <x:v>独立判定</x:v>
      </x:c>
    </x:row>
    <x:row r="1306" ht="19" customHeight="1">
      <x:c r="A1306" s="19" t="str">
        <x:v>D01302</x:v>
      </x:c>
      <x:c r="B1306" s="19" t="n">
        <x:v>3</x:v>
      </x:c>
      <x:c r="C1306" s="19" t="n">
        <x:v>6</x:v>
      </x:c>
      <x:c r="D1306" s="19" t="str">
        <x:v>C03-M068</x:v>
      </x:c>
      <x:c r="E1306" s="19" t="str">
        <x:v>圣律监军</x:v>
      </x:c>
      <x:c r="F1306" s="19" t="str">
        <x:v>稀有</x:v>
      </x:c>
      <x:c r="G1306" s="19" t="str">
        <x:v>材料独立候选</x:v>
      </x:c>
      <x:c r="H1306" s="19" t="str">
        <x:v>黄金树芽</x:v>
      </x:c>
      <x:c r="I1306" s="22" t="n">
        <x:v>2000</x:v>
      </x:c>
      <x:c r="J1306" s="22" t="n">
        <x:v>1</x:v>
      </x:c>
      <x:c r="K1306" s="19" t="n">
        <x:v>1</x:v>
      </x:c>
      <x:c r="L1306" s="24" t="n">
        <x:v>17.25</x:v>
      </x:c>
      <x:c r="M1306" s="26" t="n">
        <x:v>0.1</x:v>
      </x:c>
      <x:c r="N1306" s="24" t="n">
        <x:v>10.259694085072628</x:v>
      </x:c>
      <x:c r="O1306" s="28" t="n">
        <x:f>MIN(1,L1306/I1306)</x:f>
        <x:v>0.008625</x:v>
      </x:c>
      <x:c r="P1306" s="30" t="n">
        <x:f>O1306*J1306*(1+M1306)</x:f>
        <x:v>0.009487500000000001</x:v>
      </x:c>
      <x:c r="Q1306" s="30" t="n">
        <x:f>P1306*N1306</x:f>
        <x:v>0.09733884763212657</x:v>
      </x:c>
      <x:c r="R1306" s="19" t="str">
        <x:v>独立判定</x:v>
      </x:c>
    </x:row>
    <x:row r="1307" ht="19" customHeight="1">
      <x:c r="A1307" s="19" t="str">
        <x:v>D01303</x:v>
      </x:c>
      <x:c r="B1307" s="19" t="n">
        <x:v>3</x:v>
      </x:c>
      <x:c r="C1307" s="19" t="n">
        <x:v>6</x:v>
      </x:c>
      <x:c r="D1307" s="19" t="str">
        <x:v>C03-M068</x:v>
      </x:c>
      <x:c r="E1307" s="19" t="str">
        <x:v>圣律监军</x:v>
      </x:c>
      <x:c r="F1307" s="19" t="str">
        <x:v>稀有</x:v>
      </x:c>
      <x:c r="G1307" s="19" t="str">
        <x:v>材料独立候选</x:v>
      </x:c>
      <x:c r="H1307" s="19" t="str">
        <x:v>野兽骨片</x:v>
      </x:c>
      <x:c r="I1307" s="22" t="n">
        <x:v>80</x:v>
      </x:c>
      <x:c r="J1307" s="22" t="n">
        <x:v>2</x:v>
      </x:c>
      <x:c r="K1307" s="19" t="n">
        <x:v>1</x:v>
      </x:c>
      <x:c r="L1307" s="24" t="n">
        <x:v>17.25</x:v>
      </x:c>
      <x:c r="M1307" s="26" t="n">
        <x:v>0.1</x:v>
      </x:c>
      <x:c r="N1307" s="24" t="n">
        <x:v>10.259694085072628</x:v>
      </x:c>
      <x:c r="O1307" s="28" t="n">
        <x:f>MIN(1,L1307/I1307)</x:f>
        <x:v>0.215625</x:v>
      </x:c>
      <x:c r="P1307" s="30" t="n">
        <x:f>O1307*J1307*(1+M1307)</x:f>
        <x:v>0.47437500000000005</x:v>
      </x:c>
      <x:c r="Q1307" s="30" t="n">
        <x:f>P1307*N1307</x:f>
        <x:v>4.866942381606329</x:v>
      </x:c>
      <x:c r="R1307" s="19" t="str">
        <x:v>独立判定</x:v>
      </x:c>
    </x:row>
    <x:row r="1308" ht="19" customHeight="1">
      <x:c r="A1308" s="19" t="str">
        <x:v>D01304</x:v>
      </x:c>
      <x:c r="B1308" s="19" t="n">
        <x:v>3</x:v>
      </x:c>
      <x:c r="C1308" s="19" t="n">
        <x:v>6</x:v>
      </x:c>
      <x:c r="D1308" s="19" t="str">
        <x:v>C03-M068</x:v>
      </x:c>
      <x:c r="E1308" s="19" t="str">
        <x:v>圣律监军</x:v>
      </x:c>
      <x:c r="F1308" s="19" t="str">
        <x:v>稀有</x:v>
      </x:c>
      <x:c r="G1308" s="19" t="str">
        <x:v>材料独立候选</x:v>
      </x:c>
      <x:c r="H1308" s="19" t="str">
        <x:v>技能残页</x:v>
      </x:c>
      <x:c r="I1308" s="22" t="n">
        <x:v>180</x:v>
      </x:c>
      <x:c r="J1308" s="22" t="n">
        <x:v>1</x:v>
      </x:c>
      <x:c r="K1308" s="19" t="n">
        <x:v>1</x:v>
      </x:c>
      <x:c r="L1308" s="24" t="n">
        <x:v>17.25</x:v>
      </x:c>
      <x:c r="M1308" s="26" t="n">
        <x:v>0.1</x:v>
      </x:c>
      <x:c r="N1308" s="24" t="n">
        <x:v>10.259694085072628</x:v>
      </x:c>
      <x:c r="O1308" s="28" t="n">
        <x:f>MIN(1,L1308/I1308)</x:f>
        <x:v>0.09583333333333334</x:v>
      </x:c>
      <x:c r="P1308" s="30" t="n">
        <x:f>O1308*J1308*(1+M1308)</x:f>
        <x:v>0.10541666666666669</x:v>
      </x:c>
      <x:c r="Q1308" s="30" t="n">
        <x:f>P1308*N1308</x:f>
        <x:v>1.081542751468073</x:v>
      </x:c>
      <x:c r="R1308" s="19" t="str">
        <x:v>独立判定</x:v>
      </x:c>
    </x:row>
    <x:row r="1309" ht="19" customHeight="1">
      <x:c r="A1309" s="19" t="str">
        <x:v>D01305</x:v>
      </x:c>
      <x:c r="B1309" s="19" t="n">
        <x:v>3</x:v>
      </x:c>
      <x:c r="C1309" s="19" t="n">
        <x:v>6</x:v>
      </x:c>
      <x:c r="D1309" s="19" t="str">
        <x:v>C03-M068</x:v>
      </x:c>
      <x:c r="E1309" s="19" t="str">
        <x:v>圣律监军</x:v>
      </x:c>
      <x:c r="F1309" s="19" t="str">
        <x:v>稀有</x:v>
      </x:c>
      <x:c r="G1309" s="19" t="str">
        <x:v>材料独立候选</x:v>
      </x:c>
      <x:c r="H1309" s="19" t="str">
        <x:v>小卢恩</x:v>
      </x:c>
      <x:c r="I1309" s="22" t="n">
        <x:v>3000</x:v>
      </x:c>
      <x:c r="J1309" s="22" t="n">
        <x:v>1</x:v>
      </x:c>
      <x:c r="K1309" s="19" t="n">
        <x:v>1</x:v>
      </x:c>
      <x:c r="L1309" s="24" t="n">
        <x:v>17.25</x:v>
      </x:c>
      <x:c r="M1309" s="26" t="n">
        <x:v>0.1</x:v>
      </x:c>
      <x:c r="N1309" s="24" t="n">
        <x:v>10.259694085072628</x:v>
      </x:c>
      <x:c r="O1309" s="28" t="n">
        <x:f>MIN(1,L1309/I1309)</x:f>
        <x:v>0.00575</x:v>
      </x:c>
      <x:c r="P1309" s="30" t="n">
        <x:f>O1309*J1309*(1+M1309)</x:f>
        <x:v>0.006325000000000001</x:v>
      </x:c>
      <x:c r="Q1309" s="30" t="n">
        <x:f>P1309*N1309</x:f>
        <x:v>0.06489256508808437</x:v>
      </x:c>
      <x:c r="R1309" s="19" t="str">
        <x:v>独立判定</x:v>
      </x:c>
    </x:row>
    <x:row r="1310" ht="19" customHeight="1">
      <x:c r="A1310" s="19" t="str">
        <x:v>D01306</x:v>
      </x:c>
      <x:c r="B1310" s="19" t="n">
        <x:v>3</x:v>
      </x:c>
      <x:c r="C1310" s="19" t="n">
        <x:v>6</x:v>
      </x:c>
      <x:c r="D1310" s="19" t="str">
        <x:v>C03-M068</x:v>
      </x:c>
      <x:c r="E1310" s="19" t="str">
        <x:v>圣律监军</x:v>
      </x:c>
      <x:c r="F1310" s="19" t="str">
        <x:v>稀有</x:v>
      </x:c>
      <x:c r="G1310" s="19" t="str">
        <x:v>六神器公共池</x:v>
      </x:c>
      <x:c r="H1310" s="19" t="str">
        <x:v>POOL006</x:v>
      </x:c>
      <x:c r="I1310" s="22" t="n">
        <x:v>5000000</x:v>
      </x:c>
      <x:c r="J1310" s="22" t="n">
        <x:v>1</x:v>
      </x:c>
      <x:c r="K1310" s="19" t="n">
        <x:v>6</x:v>
      </x:c>
      <x:c r="L1310" s="24" t="n">
        <x:v>17.25</x:v>
      </x:c>
      <x:c r="M1310" s="26" t="n">
        <x:v>0.1</x:v>
      </x:c>
      <x:c r="N1310" s="24" t="n">
        <x:v>10.259694085072628</x:v>
      </x:c>
      <x:c r="O1310" s="28" t="n">
        <x:f>MIN(1,L1310/I1310)</x:f>
        <x:v>0.00000345</x:v>
      </x:c>
      <x:c r="P1310" s="30" t="n">
        <x:f>O1310*J1310*(1+M1310)</x:f>
        <x:v>0.0000037950000000000005</x:v>
      </x:c>
      <x:c r="Q1310" s="30" t="n">
        <x:f>P1310*N1310</x:f>
        <x:v>0.00003893553905285063</x:v>
      </x:c>
      <x:c r="R1310" s="19" t="str">
        <x:v>六选一；非6个独立爆率</x:v>
      </x:c>
    </x:row>
    <x:row r="1311" ht="19" customHeight="1">
      <x:c r="A1311" s="19" t="str">
        <x:v>D01307</x:v>
      </x:c>
      <x:c r="B1311" s="19" t="n">
        <x:v>3</x:v>
      </x:c>
      <x:c r="C1311" s="19" t="n">
        <x:v>6</x:v>
      </x:c>
      <x:c r="D1311" s="19" t="str">
        <x:v>C03-M069</x:v>
      </x:c>
      <x:c r="E1311" s="19" t="str">
        <x:v>赐福守门人</x:v>
      </x:c>
      <x:c r="F1311" s="19" t="str">
        <x:v>稀有</x:v>
      </x:c>
      <x:c r="G1311" s="19" t="str">
        <x:v>自身专属</x:v>
      </x:c>
      <x:c r="H1311" s="19" t="str">
        <x:v>守门王盾</x:v>
      </x:c>
      <x:c r="I1311" s="22" t="n">
        <x:v>250</x:v>
      </x:c>
      <x:c r="J1311" s="22" t="n">
        <x:v>1</x:v>
      </x:c>
      <x:c r="K1311" s="19" t="n">
        <x:v>1</x:v>
      </x:c>
      <x:c r="L1311" s="24" t="n">
        <x:v>17.25</x:v>
      </x:c>
      <x:c r="M1311" s="26" t="n">
        <x:v>0.1</x:v>
      </x:c>
      <x:c r="N1311" s="24" t="n">
        <x:v>9.125631489654989</x:v>
      </x:c>
      <x:c r="O1311" s="28" t="n">
        <x:f>MIN(1,L1311/I1311)</x:f>
        <x:v>0.069</x:v>
      </x:c>
      <x:c r="P1311" s="30" t="n">
        <x:f>O1311*J1311*(1+M1311)</x:f>
        <x:v>0.07590000000000001</x:v>
      </x:c>
      <x:c r="Q1311" s="30" t="n">
        <x:f>P1311*N1311</x:f>
        <x:v>0.6926354300648138</x:v>
      </x:c>
      <x:c r="R1311" s="19" t="str">
        <x:v>独立判定</x:v>
      </x:c>
    </x:row>
    <x:row r="1312" ht="19" customHeight="1">
      <x:c r="A1312" s="19" t="str">
        <x:v>D01308</x:v>
      </x:c>
      <x:c r="B1312" s="19" t="n">
        <x:v>3</x:v>
      </x:c>
      <x:c r="C1312" s="19" t="n">
        <x:v>6</x:v>
      </x:c>
      <x:c r="D1312" s="19" t="str">
        <x:v>C03-M069</x:v>
      </x:c>
      <x:c r="E1312" s="19" t="str">
        <x:v>赐福守门人</x:v>
      </x:c>
      <x:c r="F1312" s="19" t="str">
        <x:v>稀有</x:v>
      </x:c>
      <x:c r="G1312" s="19" t="str">
        <x:v>材料独立候选</x:v>
      </x:c>
      <x:c r="H1312" s="19" t="str">
        <x:v>风蚀铁片</x:v>
      </x:c>
      <x:c r="I1312" s="22" t="n">
        <x:v>500</x:v>
      </x:c>
      <x:c r="J1312" s="22" t="n">
        <x:v>15</x:v>
      </x:c>
      <x:c r="K1312" s="19" t="n">
        <x:v>1</x:v>
      </x:c>
      <x:c r="L1312" s="24" t="n">
        <x:v>17.25</x:v>
      </x:c>
      <x:c r="M1312" s="26" t="n">
        <x:v>0.1</x:v>
      </x:c>
      <x:c r="N1312" s="24" t="n">
        <x:v>9.125631489654989</x:v>
      </x:c>
      <x:c r="O1312" s="28" t="n">
        <x:f>MIN(1,L1312/I1312)</x:f>
        <x:v>0.0345</x:v>
      </x:c>
      <x:c r="P1312" s="30" t="n">
        <x:f>O1312*J1312*(1+M1312)</x:f>
        <x:v>0.5692500000000001</x:v>
      </x:c>
      <x:c r="Q1312" s="30" t="n">
        <x:f>P1312*N1312</x:f>
        <x:v>5.1947657254861035</x:v>
      </x:c>
      <x:c r="R1312" s="19" t="str">
        <x:v>独立判定</x:v>
      </x:c>
    </x:row>
    <x:row r="1313" ht="19" customHeight="1">
      <x:c r="A1313" s="19" t="str">
        <x:v>D01309</x:v>
      </x:c>
      <x:c r="B1313" s="19" t="n">
        <x:v>3</x:v>
      </x:c>
      <x:c r="C1313" s="19" t="n">
        <x:v>6</x:v>
      </x:c>
      <x:c r="D1313" s="19" t="str">
        <x:v>C03-M069</x:v>
      </x:c>
      <x:c r="E1313" s="19" t="str">
        <x:v>赐福守门人</x:v>
      </x:c>
      <x:c r="F1313" s="19" t="str">
        <x:v>稀有</x:v>
      </x:c>
      <x:c r="G1313" s="19" t="str">
        <x:v>材料独立候选</x:v>
      </x:c>
      <x:c r="H1313" s="19" t="str">
        <x:v>西境战旗</x:v>
      </x:c>
      <x:c r="I1313" s="22" t="n">
        <x:v>800</x:v>
      </x:c>
      <x:c r="J1313" s="22" t="n">
        <x:v>1</x:v>
      </x:c>
      <x:c r="K1313" s="19" t="n">
        <x:v>1</x:v>
      </x:c>
      <x:c r="L1313" s="24" t="n">
        <x:v>17.25</x:v>
      </x:c>
      <x:c r="M1313" s="26" t="n">
        <x:v>0.1</x:v>
      </x:c>
      <x:c r="N1313" s="24" t="n">
        <x:v>9.125631489654989</x:v>
      </x:c>
      <x:c r="O1313" s="28" t="n">
        <x:f>MIN(1,L1313/I1313)</x:f>
        <x:v>0.0215625</x:v>
      </x:c>
      <x:c r="P1313" s="30" t="n">
        <x:f>O1313*J1313*(1+M1313)</x:f>
        <x:v>0.02371875</x:v>
      </x:c>
      <x:c r="Q1313" s="30" t="n">
        <x:f>P1313*N1313</x:f>
        <x:v>0.21644857189525427</x:v>
      </x:c>
      <x:c r="R1313" s="19" t="str">
        <x:v>独立判定</x:v>
      </x:c>
    </x:row>
    <x:row r="1314" ht="19" customHeight="1">
      <x:c r="A1314" s="19" t="str">
        <x:v>D01310</x:v>
      </x:c>
      <x:c r="B1314" s="19" t="n">
        <x:v>3</x:v>
      </x:c>
      <x:c r="C1314" s="19" t="n">
        <x:v>6</x:v>
      </x:c>
      <x:c r="D1314" s="19" t="str">
        <x:v>C03-M069</x:v>
      </x:c>
      <x:c r="E1314" s="19" t="str">
        <x:v>赐福守门人</x:v>
      </x:c>
      <x:c r="F1314" s="19" t="str">
        <x:v>稀有</x:v>
      </x:c>
      <x:c r="G1314" s="19" t="str">
        <x:v>材料独立候选</x:v>
      </x:c>
      <x:c r="H1314" s="19" t="str">
        <x:v>商队火漆</x:v>
      </x:c>
      <x:c r="I1314" s="22" t="n">
        <x:v>800</x:v>
      </x:c>
      <x:c r="J1314" s="22" t="n">
        <x:v>1</x:v>
      </x:c>
      <x:c r="K1314" s="19" t="n">
        <x:v>1</x:v>
      </x:c>
      <x:c r="L1314" s="24" t="n">
        <x:v>17.25</x:v>
      </x:c>
      <x:c r="M1314" s="26" t="n">
        <x:v>0.1</x:v>
      </x:c>
      <x:c r="N1314" s="24" t="n">
        <x:v>9.125631489654989</x:v>
      </x:c>
      <x:c r="O1314" s="28" t="n">
        <x:f>MIN(1,L1314/I1314)</x:f>
        <x:v>0.0215625</x:v>
      </x:c>
      <x:c r="P1314" s="30" t="n">
        <x:f>O1314*J1314*(1+M1314)</x:f>
        <x:v>0.02371875</x:v>
      </x:c>
      <x:c r="Q1314" s="30" t="n">
        <x:f>P1314*N1314</x:f>
        <x:v>0.21644857189525427</x:v>
      </x:c>
      <x:c r="R1314" s="19" t="str">
        <x:v>独立判定</x:v>
      </x:c>
    </x:row>
    <x:row r="1315" ht="19" customHeight="1">
      <x:c r="A1315" s="19" t="str">
        <x:v>D01311</x:v>
      </x:c>
      <x:c r="B1315" s="19" t="n">
        <x:v>3</x:v>
      </x:c>
      <x:c r="C1315" s="19" t="n">
        <x:v>6</x:v>
      </x:c>
      <x:c r="D1315" s="19" t="str">
        <x:v>C03-M069</x:v>
      </x:c>
      <x:c r="E1315" s="19" t="str">
        <x:v>赐福守门人</x:v>
      </x:c>
      <x:c r="F1315" s="19" t="str">
        <x:v>稀有</x:v>
      </x:c>
      <x:c r="G1315" s="19" t="str">
        <x:v>材料独立候选</x:v>
      </x:c>
      <x:c r="H1315" s="19" t="str">
        <x:v>西境风痕碑拓</x:v>
      </x:c>
      <x:c r="I1315" s="22" t="n">
        <x:v>500000</x:v>
      </x:c>
      <x:c r="J1315" s="22" t="n">
        <x:v>1</x:v>
      </x:c>
      <x:c r="K1315" s="19" t="n">
        <x:v>1</x:v>
      </x:c>
      <x:c r="L1315" s="24" t="n">
        <x:v>17.25</x:v>
      </x:c>
      <x:c r="M1315" s="26" t="n">
        <x:v>0.1</x:v>
      </x:c>
      <x:c r="N1315" s="24" t="n">
        <x:v>9.125631489654989</x:v>
      </x:c>
      <x:c r="O1315" s="28" t="n">
        <x:f>MIN(1,L1315/I1315)</x:f>
        <x:v>0.0000345</x:v>
      </x:c>
      <x:c r="P1315" s="30" t="n">
        <x:f>O1315*J1315*(1+M1315)</x:f>
        <x:v>0.00003795</x:v>
      </x:c>
      <x:c r="Q1315" s="30" t="n">
        <x:f>P1315*N1315</x:f>
        <x:v>0.00034631771503240683</x:v>
      </x:c>
      <x:c r="R1315" s="19" t="str">
        <x:v>独立判定</x:v>
      </x:c>
    </x:row>
    <x:row r="1316" ht="19" customHeight="1">
      <x:c r="A1316" s="19" t="str">
        <x:v>D01312</x:v>
      </x:c>
      <x:c r="B1316" s="19" t="n">
        <x:v>3</x:v>
      </x:c>
      <x:c r="C1316" s="19" t="n">
        <x:v>6</x:v>
      </x:c>
      <x:c r="D1316" s="19" t="str">
        <x:v>C03-M069</x:v>
      </x:c>
      <x:c r="E1316" s="19" t="str">
        <x:v>赐福守门人</x:v>
      </x:c>
      <x:c r="F1316" s="19" t="str">
        <x:v>稀有</x:v>
      </x:c>
      <x:c r="G1316" s="19" t="str">
        <x:v>材料独立候选</x:v>
      </x:c>
      <x:c r="H1316" s="19" t="str">
        <x:v>黄金树芽</x:v>
      </x:c>
      <x:c r="I1316" s="22" t="n">
        <x:v>2000</x:v>
      </x:c>
      <x:c r="J1316" s="22" t="n">
        <x:v>1</x:v>
      </x:c>
      <x:c r="K1316" s="19" t="n">
        <x:v>1</x:v>
      </x:c>
      <x:c r="L1316" s="24" t="n">
        <x:v>17.25</x:v>
      </x:c>
      <x:c r="M1316" s="26" t="n">
        <x:v>0.1</x:v>
      </x:c>
      <x:c r="N1316" s="24" t="n">
        <x:v>9.125631489654989</x:v>
      </x:c>
      <x:c r="O1316" s="28" t="n">
        <x:f>MIN(1,L1316/I1316)</x:f>
        <x:v>0.008625</x:v>
      </x:c>
      <x:c r="P1316" s="30" t="n">
        <x:f>O1316*J1316*(1+M1316)</x:f>
        <x:v>0.009487500000000001</x:v>
      </x:c>
      <x:c r="Q1316" s="30" t="n">
        <x:f>P1316*N1316</x:f>
        <x:v>0.08657942875810172</x:v>
      </x:c>
      <x:c r="R1316" s="19" t="str">
        <x:v>独立判定</x:v>
      </x:c>
    </x:row>
    <x:row r="1317" ht="19" customHeight="1">
      <x:c r="A1317" s="19" t="str">
        <x:v>D01313</x:v>
      </x:c>
      <x:c r="B1317" s="19" t="n">
        <x:v>3</x:v>
      </x:c>
      <x:c r="C1317" s="19" t="n">
        <x:v>6</x:v>
      </x:c>
      <x:c r="D1317" s="19" t="str">
        <x:v>C03-M069</x:v>
      </x:c>
      <x:c r="E1317" s="19" t="str">
        <x:v>赐福守门人</x:v>
      </x:c>
      <x:c r="F1317" s="19" t="str">
        <x:v>稀有</x:v>
      </x:c>
      <x:c r="G1317" s="19" t="str">
        <x:v>材料独立候选</x:v>
      </x:c>
      <x:c r="H1317" s="19" t="str">
        <x:v>野兽骨片</x:v>
      </x:c>
      <x:c r="I1317" s="22" t="n">
        <x:v>80</x:v>
      </x:c>
      <x:c r="J1317" s="22" t="n">
        <x:v>2</x:v>
      </x:c>
      <x:c r="K1317" s="19" t="n">
        <x:v>1</x:v>
      </x:c>
      <x:c r="L1317" s="24" t="n">
        <x:v>17.25</x:v>
      </x:c>
      <x:c r="M1317" s="26" t="n">
        <x:v>0.1</x:v>
      </x:c>
      <x:c r="N1317" s="24" t="n">
        <x:v>9.125631489654989</x:v>
      </x:c>
      <x:c r="O1317" s="28" t="n">
        <x:f>MIN(1,L1317/I1317)</x:f>
        <x:v>0.215625</x:v>
      </x:c>
      <x:c r="P1317" s="30" t="n">
        <x:f>O1317*J1317*(1+M1317)</x:f>
        <x:v>0.47437500000000005</x:v>
      </x:c>
      <x:c r="Q1317" s="30" t="n">
        <x:f>P1317*N1317</x:f>
        <x:v>4.328971437905086</x:v>
      </x:c>
      <x:c r="R1317" s="19" t="str">
        <x:v>独立判定</x:v>
      </x:c>
    </x:row>
    <x:row r="1318" ht="19" customHeight="1">
      <x:c r="A1318" s="19" t="str">
        <x:v>D01314</x:v>
      </x:c>
      <x:c r="B1318" s="19" t="n">
        <x:v>3</x:v>
      </x:c>
      <x:c r="C1318" s="19" t="n">
        <x:v>6</x:v>
      </x:c>
      <x:c r="D1318" s="19" t="str">
        <x:v>C03-M069</x:v>
      </x:c>
      <x:c r="E1318" s="19" t="str">
        <x:v>赐福守门人</x:v>
      </x:c>
      <x:c r="F1318" s="19" t="str">
        <x:v>稀有</x:v>
      </x:c>
      <x:c r="G1318" s="19" t="str">
        <x:v>材料独立候选</x:v>
      </x:c>
      <x:c r="H1318" s="19" t="str">
        <x:v>技能残页</x:v>
      </x:c>
      <x:c r="I1318" s="22" t="n">
        <x:v>180</x:v>
      </x:c>
      <x:c r="J1318" s="22" t="n">
        <x:v>1</x:v>
      </x:c>
      <x:c r="K1318" s="19" t="n">
        <x:v>1</x:v>
      </x:c>
      <x:c r="L1318" s="24" t="n">
        <x:v>17.25</x:v>
      </x:c>
      <x:c r="M1318" s="26" t="n">
        <x:v>0.1</x:v>
      </x:c>
      <x:c r="N1318" s="24" t="n">
        <x:v>9.125631489654989</x:v>
      </x:c>
      <x:c r="O1318" s="28" t="n">
        <x:f>MIN(1,L1318/I1318)</x:f>
        <x:v>0.09583333333333334</x:v>
      </x:c>
      <x:c r="P1318" s="30" t="n">
        <x:f>O1318*J1318*(1+M1318)</x:f>
        <x:v>0.10541666666666669</x:v>
      </x:c>
      <x:c r="Q1318" s="30" t="n">
        <x:f>P1318*N1318</x:f>
        <x:v>0.9619936528677969</x:v>
      </x:c>
      <x:c r="R1318" s="19" t="str">
        <x:v>独立判定</x:v>
      </x:c>
    </x:row>
    <x:row r="1319" ht="19" customHeight="1">
      <x:c r="A1319" s="19" t="str">
        <x:v>D01315</x:v>
      </x:c>
      <x:c r="B1319" s="19" t="n">
        <x:v>3</x:v>
      </x:c>
      <x:c r="C1319" s="19" t="n">
        <x:v>6</x:v>
      </x:c>
      <x:c r="D1319" s="19" t="str">
        <x:v>C03-M069</x:v>
      </x:c>
      <x:c r="E1319" s="19" t="str">
        <x:v>赐福守门人</x:v>
      </x:c>
      <x:c r="F1319" s="19" t="str">
        <x:v>稀有</x:v>
      </x:c>
      <x:c r="G1319" s="19" t="str">
        <x:v>材料独立候选</x:v>
      </x:c>
      <x:c r="H1319" s="19" t="str">
        <x:v>小卢恩</x:v>
      </x:c>
      <x:c r="I1319" s="22" t="n">
        <x:v>3000</x:v>
      </x:c>
      <x:c r="J1319" s="22" t="n">
        <x:v>1</x:v>
      </x:c>
      <x:c r="K1319" s="19" t="n">
        <x:v>1</x:v>
      </x:c>
      <x:c r="L1319" s="24" t="n">
        <x:v>17.25</x:v>
      </x:c>
      <x:c r="M1319" s="26" t="n">
        <x:v>0.1</x:v>
      </x:c>
      <x:c r="N1319" s="24" t="n">
        <x:v>9.125631489654989</x:v>
      </x:c>
      <x:c r="O1319" s="28" t="n">
        <x:f>MIN(1,L1319/I1319)</x:f>
        <x:v>0.00575</x:v>
      </x:c>
      <x:c r="P1319" s="30" t="n">
        <x:f>O1319*J1319*(1+M1319)</x:f>
        <x:v>0.006325000000000001</x:v>
      </x:c>
      <x:c r="Q1319" s="30" t="n">
        <x:f>P1319*N1319</x:f>
        <x:v>0.05771961917206781</x:v>
      </x:c>
      <x:c r="R1319" s="19" t="str">
        <x:v>独立判定</x:v>
      </x:c>
    </x:row>
    <x:row r="1320" ht="19" customHeight="1">
      <x:c r="A1320" s="19" t="str">
        <x:v>D01316</x:v>
      </x:c>
      <x:c r="B1320" s="19" t="n">
        <x:v>3</x:v>
      </x:c>
      <x:c r="C1320" s="19" t="n">
        <x:v>6</x:v>
      </x:c>
      <x:c r="D1320" s="19" t="str">
        <x:v>C03-M069</x:v>
      </x:c>
      <x:c r="E1320" s="19" t="str">
        <x:v>赐福守门人</x:v>
      </x:c>
      <x:c r="F1320" s="19" t="str">
        <x:v>稀有</x:v>
      </x:c>
      <x:c r="G1320" s="19" t="str">
        <x:v>六神器公共池</x:v>
      </x:c>
      <x:c r="H1320" s="19" t="str">
        <x:v>POOL006</x:v>
      </x:c>
      <x:c r="I1320" s="22" t="n">
        <x:v>5000000</x:v>
      </x:c>
      <x:c r="J1320" s="22" t="n">
        <x:v>1</x:v>
      </x:c>
      <x:c r="K1320" s="19" t="n">
        <x:v>6</x:v>
      </x:c>
      <x:c r="L1320" s="24" t="n">
        <x:v>17.25</x:v>
      </x:c>
      <x:c r="M1320" s="26" t="n">
        <x:v>0.1</x:v>
      </x:c>
      <x:c r="N1320" s="24" t="n">
        <x:v>9.125631489654989</x:v>
      </x:c>
      <x:c r="O1320" s="28" t="n">
        <x:f>MIN(1,L1320/I1320)</x:f>
        <x:v>0.00000345</x:v>
      </x:c>
      <x:c r="P1320" s="30" t="n">
        <x:f>O1320*J1320*(1+M1320)</x:f>
        <x:v>0.0000037950000000000005</x:v>
      </x:c>
      <x:c r="Q1320" s="30" t="n">
        <x:f>P1320*N1320</x:f>
        <x:v>0.00003463177150324069</x:v>
      </x:c>
      <x:c r="R1320" s="19" t="str">
        <x:v>六选一；非6个独立爆率</x:v>
      </x:c>
    </x:row>
    <x:row r="1321" ht="19" customHeight="1">
      <x:c r="A1321" s="19" t="str">
        <x:v>D01317</x:v>
      </x:c>
      <x:c r="B1321" s="19" t="n">
        <x:v>3</x:v>
      </x:c>
      <x:c r="C1321" s="19" t="n">
        <x:v>6</x:v>
      </x:c>
      <x:c r="D1321" s="19" t="str">
        <x:v>C03-M070</x:v>
      </x:c>
      <x:c r="E1321" s="19" t="str">
        <x:v>哨垒祷告师</x:v>
      </x:c>
      <x:c r="F1321" s="19" t="str">
        <x:v>稀有</x:v>
      </x:c>
      <x:c r="G1321" s="19" t="str">
        <x:v>自身专属</x:v>
      </x:c>
      <x:c r="H1321" s="19" t="str">
        <x:v>赐光祷誓镯</x:v>
      </x:c>
      <x:c r="I1321" s="22" t="n">
        <x:v>250</x:v>
      </x:c>
      <x:c r="J1321" s="22" t="n">
        <x:v>1</x:v>
      </x:c>
      <x:c r="K1321" s="19" t="n">
        <x:v>1</x:v>
      </x:c>
      <x:c r="L1321" s="24" t="n">
        <x:v>17.25</x:v>
      </x:c>
      <x:c r="M1321" s="26" t="n">
        <x:v>0.1</x:v>
      </x:c>
      <x:c r="N1321" s="24" t="n">
        <x:v>7.48301782151709</x:v>
      </x:c>
      <x:c r="O1321" s="28" t="n">
        <x:f>MIN(1,L1321/I1321)</x:f>
        <x:v>0.069</x:v>
      </x:c>
      <x:c r="P1321" s="30" t="n">
        <x:f>O1321*J1321*(1+M1321)</x:f>
        <x:v>0.07590000000000001</x:v>
      </x:c>
      <x:c r="Q1321" s="30" t="n">
        <x:f>P1321*N1321</x:f>
        <x:v>0.5679610526531472</x:v>
      </x:c>
      <x:c r="R1321" s="19" t="str">
        <x:v>独立判定</x:v>
      </x:c>
    </x:row>
    <x:row r="1322" ht="19" customHeight="1">
      <x:c r="A1322" s="19" t="str">
        <x:v>D01318</x:v>
      </x:c>
      <x:c r="B1322" s="19" t="n">
        <x:v>3</x:v>
      </x:c>
      <x:c r="C1322" s="19" t="n">
        <x:v>6</x:v>
      </x:c>
      <x:c r="D1322" s="19" t="str">
        <x:v>C03-M070</x:v>
      </x:c>
      <x:c r="E1322" s="19" t="str">
        <x:v>哨垒祷告师</x:v>
      </x:c>
      <x:c r="F1322" s="19" t="str">
        <x:v>稀有</x:v>
      </x:c>
      <x:c r="G1322" s="19" t="str">
        <x:v>材料独立候选</x:v>
      </x:c>
      <x:c r="H1322" s="19" t="str">
        <x:v>风蚀铁片</x:v>
      </x:c>
      <x:c r="I1322" s="22" t="n">
        <x:v>500</x:v>
      </x:c>
      <x:c r="J1322" s="22" t="n">
        <x:v>15</x:v>
      </x:c>
      <x:c r="K1322" s="19" t="n">
        <x:v>1</x:v>
      </x:c>
      <x:c r="L1322" s="24" t="n">
        <x:v>17.25</x:v>
      </x:c>
      <x:c r="M1322" s="26" t="n">
        <x:v>0.1</x:v>
      </x:c>
      <x:c r="N1322" s="24" t="n">
        <x:v>7.48301782151709</x:v>
      </x:c>
      <x:c r="O1322" s="28" t="n">
        <x:f>MIN(1,L1322/I1322)</x:f>
        <x:v>0.0345</x:v>
      </x:c>
      <x:c r="P1322" s="30" t="n">
        <x:f>O1322*J1322*(1+M1322)</x:f>
        <x:v>0.5692500000000001</x:v>
      </x:c>
      <x:c r="Q1322" s="30" t="n">
        <x:f>P1322*N1322</x:f>
        <x:v>4.259707894898605</x:v>
      </x:c>
      <x:c r="R1322" s="19" t="str">
        <x:v>独立判定</x:v>
      </x:c>
    </x:row>
    <x:row r="1323" ht="19" customHeight="1">
      <x:c r="A1323" s="19" t="str">
        <x:v>D01319</x:v>
      </x:c>
      <x:c r="B1323" s="19" t="n">
        <x:v>3</x:v>
      </x:c>
      <x:c r="C1323" s="19" t="n">
        <x:v>6</x:v>
      </x:c>
      <x:c r="D1323" s="19" t="str">
        <x:v>C03-M070</x:v>
      </x:c>
      <x:c r="E1323" s="19" t="str">
        <x:v>哨垒祷告师</x:v>
      </x:c>
      <x:c r="F1323" s="19" t="str">
        <x:v>稀有</x:v>
      </x:c>
      <x:c r="G1323" s="19" t="str">
        <x:v>材料独立候选</x:v>
      </x:c>
      <x:c r="H1323" s="19" t="str">
        <x:v>西境战旗</x:v>
      </x:c>
      <x:c r="I1323" s="22" t="n">
        <x:v>800</x:v>
      </x:c>
      <x:c r="J1323" s="22" t="n">
        <x:v>1</x:v>
      </x:c>
      <x:c r="K1323" s="19" t="n">
        <x:v>1</x:v>
      </x:c>
      <x:c r="L1323" s="24" t="n">
        <x:v>17.25</x:v>
      </x:c>
      <x:c r="M1323" s="26" t="n">
        <x:v>0.1</x:v>
      </x:c>
      <x:c r="N1323" s="24" t="n">
        <x:v>7.48301782151709</x:v>
      </x:c>
      <x:c r="O1323" s="28" t="n">
        <x:f>MIN(1,L1323/I1323)</x:f>
        <x:v>0.0215625</x:v>
      </x:c>
      <x:c r="P1323" s="30" t="n">
        <x:f>O1323*J1323*(1+M1323)</x:f>
        <x:v>0.02371875</x:v>
      </x:c>
      <x:c r="Q1323" s="30" t="n">
        <x:f>P1323*N1323</x:f>
        <x:v>0.17748782895410847</x:v>
      </x:c>
      <x:c r="R1323" s="19" t="str">
        <x:v>独立判定</x:v>
      </x:c>
    </x:row>
    <x:row r="1324" ht="19" customHeight="1">
      <x:c r="A1324" s="19" t="str">
        <x:v>D01320</x:v>
      </x:c>
      <x:c r="B1324" s="19" t="n">
        <x:v>3</x:v>
      </x:c>
      <x:c r="C1324" s="19" t="n">
        <x:v>6</x:v>
      </x:c>
      <x:c r="D1324" s="19" t="str">
        <x:v>C03-M070</x:v>
      </x:c>
      <x:c r="E1324" s="19" t="str">
        <x:v>哨垒祷告师</x:v>
      </x:c>
      <x:c r="F1324" s="19" t="str">
        <x:v>稀有</x:v>
      </x:c>
      <x:c r="G1324" s="19" t="str">
        <x:v>材料独立候选</x:v>
      </x:c>
      <x:c r="H1324" s="19" t="str">
        <x:v>商队火漆</x:v>
      </x:c>
      <x:c r="I1324" s="22" t="n">
        <x:v>800</x:v>
      </x:c>
      <x:c r="J1324" s="22" t="n">
        <x:v>1</x:v>
      </x:c>
      <x:c r="K1324" s="19" t="n">
        <x:v>1</x:v>
      </x:c>
      <x:c r="L1324" s="24" t="n">
        <x:v>17.25</x:v>
      </x:c>
      <x:c r="M1324" s="26" t="n">
        <x:v>0.1</x:v>
      </x:c>
      <x:c r="N1324" s="24" t="n">
        <x:v>7.48301782151709</x:v>
      </x:c>
      <x:c r="O1324" s="28" t="n">
        <x:f>MIN(1,L1324/I1324)</x:f>
        <x:v>0.0215625</x:v>
      </x:c>
      <x:c r="P1324" s="30" t="n">
        <x:f>O1324*J1324*(1+M1324)</x:f>
        <x:v>0.02371875</x:v>
      </x:c>
      <x:c r="Q1324" s="30" t="n">
        <x:f>P1324*N1324</x:f>
        <x:v>0.17748782895410847</x:v>
      </x:c>
      <x:c r="R1324" s="19" t="str">
        <x:v>独立判定</x:v>
      </x:c>
    </x:row>
    <x:row r="1325" ht="19" customHeight="1">
      <x:c r="A1325" s="19" t="str">
        <x:v>D01321</x:v>
      </x:c>
      <x:c r="B1325" s="19" t="n">
        <x:v>3</x:v>
      </x:c>
      <x:c r="C1325" s="19" t="n">
        <x:v>6</x:v>
      </x:c>
      <x:c r="D1325" s="19" t="str">
        <x:v>C03-M070</x:v>
      </x:c>
      <x:c r="E1325" s="19" t="str">
        <x:v>哨垒祷告师</x:v>
      </x:c>
      <x:c r="F1325" s="19" t="str">
        <x:v>稀有</x:v>
      </x:c>
      <x:c r="G1325" s="19" t="str">
        <x:v>材料独立候选</x:v>
      </x:c>
      <x:c r="H1325" s="19" t="str">
        <x:v>西境风痕碑拓</x:v>
      </x:c>
      <x:c r="I1325" s="22" t="n">
        <x:v>500000</x:v>
      </x:c>
      <x:c r="J1325" s="22" t="n">
        <x:v>1</x:v>
      </x:c>
      <x:c r="K1325" s="19" t="n">
        <x:v>1</x:v>
      </x:c>
      <x:c r="L1325" s="24" t="n">
        <x:v>17.25</x:v>
      </x:c>
      <x:c r="M1325" s="26" t="n">
        <x:v>0.1</x:v>
      </x:c>
      <x:c r="N1325" s="24" t="n">
        <x:v>7.48301782151709</x:v>
      </x:c>
      <x:c r="O1325" s="28" t="n">
        <x:f>MIN(1,L1325/I1325)</x:f>
        <x:v>0.0000345</x:v>
      </x:c>
      <x:c r="P1325" s="30" t="n">
        <x:f>O1325*J1325*(1+M1325)</x:f>
        <x:v>0.00003795</x:v>
      </x:c>
      <x:c r="Q1325" s="30" t="n">
        <x:f>P1325*N1325</x:f>
        <x:v>0.00028398052632657355</x:v>
      </x:c>
      <x:c r="R1325" s="19" t="str">
        <x:v>独立判定</x:v>
      </x:c>
    </x:row>
    <x:row r="1326" ht="19" customHeight="1">
      <x:c r="A1326" s="19" t="str">
        <x:v>D01322</x:v>
      </x:c>
      <x:c r="B1326" s="19" t="n">
        <x:v>3</x:v>
      </x:c>
      <x:c r="C1326" s="19" t="n">
        <x:v>6</x:v>
      </x:c>
      <x:c r="D1326" s="19" t="str">
        <x:v>C03-M070</x:v>
      </x:c>
      <x:c r="E1326" s="19" t="str">
        <x:v>哨垒祷告师</x:v>
      </x:c>
      <x:c r="F1326" s="19" t="str">
        <x:v>稀有</x:v>
      </x:c>
      <x:c r="G1326" s="19" t="str">
        <x:v>材料独立候选</x:v>
      </x:c>
      <x:c r="H1326" s="19" t="str">
        <x:v>黄金树芽</x:v>
      </x:c>
      <x:c r="I1326" s="22" t="n">
        <x:v>2000</x:v>
      </x:c>
      <x:c r="J1326" s="22" t="n">
        <x:v>1</x:v>
      </x:c>
      <x:c r="K1326" s="19" t="n">
        <x:v>1</x:v>
      </x:c>
      <x:c r="L1326" s="24" t="n">
        <x:v>17.25</x:v>
      </x:c>
      <x:c r="M1326" s="26" t="n">
        <x:v>0.1</x:v>
      </x:c>
      <x:c r="N1326" s="24" t="n">
        <x:v>7.48301782151709</x:v>
      </x:c>
      <x:c r="O1326" s="28" t="n">
        <x:f>MIN(1,L1326/I1326)</x:f>
        <x:v>0.008625</x:v>
      </x:c>
      <x:c r="P1326" s="30" t="n">
        <x:f>O1326*J1326*(1+M1326)</x:f>
        <x:v>0.009487500000000001</x:v>
      </x:c>
      <x:c r="Q1326" s="30" t="n">
        <x:f>P1326*N1326</x:f>
        <x:v>0.0709951315816434</x:v>
      </x:c>
      <x:c r="R1326" s="19" t="str">
        <x:v>独立判定</x:v>
      </x:c>
    </x:row>
    <x:row r="1327" ht="19" customHeight="1">
      <x:c r="A1327" s="19" t="str">
        <x:v>D01323</x:v>
      </x:c>
      <x:c r="B1327" s="19" t="n">
        <x:v>3</x:v>
      </x:c>
      <x:c r="C1327" s="19" t="n">
        <x:v>6</x:v>
      </x:c>
      <x:c r="D1327" s="19" t="str">
        <x:v>C03-M070</x:v>
      </x:c>
      <x:c r="E1327" s="19" t="str">
        <x:v>哨垒祷告师</x:v>
      </x:c>
      <x:c r="F1327" s="19" t="str">
        <x:v>稀有</x:v>
      </x:c>
      <x:c r="G1327" s="19" t="str">
        <x:v>材料独立候选</x:v>
      </x:c>
      <x:c r="H1327" s="19" t="str">
        <x:v>野兽骨片</x:v>
      </x:c>
      <x:c r="I1327" s="22" t="n">
        <x:v>80</x:v>
      </x:c>
      <x:c r="J1327" s="22" t="n">
        <x:v>2</x:v>
      </x:c>
      <x:c r="K1327" s="19" t="n">
        <x:v>1</x:v>
      </x:c>
      <x:c r="L1327" s="24" t="n">
        <x:v>17.25</x:v>
      </x:c>
      <x:c r="M1327" s="26" t="n">
        <x:v>0.1</x:v>
      </x:c>
      <x:c r="N1327" s="24" t="n">
        <x:v>7.48301782151709</x:v>
      </x:c>
      <x:c r="O1327" s="28" t="n">
        <x:f>MIN(1,L1327/I1327)</x:f>
        <x:v>0.215625</x:v>
      </x:c>
      <x:c r="P1327" s="30" t="n">
        <x:f>O1327*J1327*(1+M1327)</x:f>
        <x:v>0.47437500000000005</x:v>
      </x:c>
      <x:c r="Q1327" s="30" t="n">
        <x:f>P1327*N1327</x:f>
        <x:v>3.54975657908217</x:v>
      </x:c>
      <x:c r="R1327" s="19" t="str">
        <x:v>独立判定</x:v>
      </x:c>
    </x:row>
    <x:row r="1328" ht="19" customHeight="1">
      <x:c r="A1328" s="19" t="str">
        <x:v>D01324</x:v>
      </x:c>
      <x:c r="B1328" s="19" t="n">
        <x:v>3</x:v>
      </x:c>
      <x:c r="C1328" s="19" t="n">
        <x:v>6</x:v>
      </x:c>
      <x:c r="D1328" s="19" t="str">
        <x:v>C03-M070</x:v>
      </x:c>
      <x:c r="E1328" s="19" t="str">
        <x:v>哨垒祷告师</x:v>
      </x:c>
      <x:c r="F1328" s="19" t="str">
        <x:v>稀有</x:v>
      </x:c>
      <x:c r="G1328" s="19" t="str">
        <x:v>材料独立候选</x:v>
      </x:c>
      <x:c r="H1328" s="19" t="str">
        <x:v>技能残页</x:v>
      </x:c>
      <x:c r="I1328" s="22" t="n">
        <x:v>180</x:v>
      </x:c>
      <x:c r="J1328" s="22" t="n">
        <x:v>1</x:v>
      </x:c>
      <x:c r="K1328" s="19" t="n">
        <x:v>1</x:v>
      </x:c>
      <x:c r="L1328" s="24" t="n">
        <x:v>17.25</x:v>
      </x:c>
      <x:c r="M1328" s="26" t="n">
        <x:v>0.1</x:v>
      </x:c>
      <x:c r="N1328" s="24" t="n">
        <x:v>7.48301782151709</x:v>
      </x:c>
      <x:c r="O1328" s="28" t="n">
        <x:f>MIN(1,L1328/I1328)</x:f>
        <x:v>0.09583333333333334</x:v>
      </x:c>
      <x:c r="P1328" s="30" t="n">
        <x:f>O1328*J1328*(1+M1328)</x:f>
        <x:v>0.10541666666666669</x:v>
      </x:c>
      <x:c r="Q1328" s="30" t="n">
        <x:f>P1328*N1328</x:f>
        <x:v>0.7888347953515934</x:v>
      </x:c>
      <x:c r="R1328" s="19" t="str">
        <x:v>独立判定</x:v>
      </x:c>
    </x:row>
    <x:row r="1329" ht="19" customHeight="1">
      <x:c r="A1329" s="19" t="str">
        <x:v>D01325</x:v>
      </x:c>
      <x:c r="B1329" s="19" t="n">
        <x:v>3</x:v>
      </x:c>
      <x:c r="C1329" s="19" t="n">
        <x:v>6</x:v>
      </x:c>
      <x:c r="D1329" s="19" t="str">
        <x:v>C03-M070</x:v>
      </x:c>
      <x:c r="E1329" s="19" t="str">
        <x:v>哨垒祷告师</x:v>
      </x:c>
      <x:c r="F1329" s="19" t="str">
        <x:v>稀有</x:v>
      </x:c>
      <x:c r="G1329" s="19" t="str">
        <x:v>材料独立候选</x:v>
      </x:c>
      <x:c r="H1329" s="19" t="str">
        <x:v>小卢恩</x:v>
      </x:c>
      <x:c r="I1329" s="22" t="n">
        <x:v>3000</x:v>
      </x:c>
      <x:c r="J1329" s="22" t="n">
        <x:v>1</x:v>
      </x:c>
      <x:c r="K1329" s="19" t="n">
        <x:v>1</x:v>
      </x:c>
      <x:c r="L1329" s="24" t="n">
        <x:v>17.25</x:v>
      </x:c>
      <x:c r="M1329" s="26" t="n">
        <x:v>0.1</x:v>
      </x:c>
      <x:c r="N1329" s="24" t="n">
        <x:v>7.48301782151709</x:v>
      </x:c>
      <x:c r="O1329" s="28" t="n">
        <x:f>MIN(1,L1329/I1329)</x:f>
        <x:v>0.00575</x:v>
      </x:c>
      <x:c r="P1329" s="30" t="n">
        <x:f>O1329*J1329*(1+M1329)</x:f>
        <x:v>0.006325000000000001</x:v>
      </x:c>
      <x:c r="Q1329" s="30" t="n">
        <x:f>P1329*N1329</x:f>
        <x:v>0.0473300877210956</x:v>
      </x:c>
      <x:c r="R1329" s="19" t="str">
        <x:v>独立判定</x:v>
      </x:c>
    </x:row>
    <x:row r="1330" ht="19" customHeight="1">
      <x:c r="A1330" s="19" t="str">
        <x:v>D01326</x:v>
      </x:c>
      <x:c r="B1330" s="19" t="n">
        <x:v>3</x:v>
      </x:c>
      <x:c r="C1330" s="19" t="n">
        <x:v>6</x:v>
      </x:c>
      <x:c r="D1330" s="19" t="str">
        <x:v>C03-M070</x:v>
      </x:c>
      <x:c r="E1330" s="19" t="str">
        <x:v>哨垒祷告师</x:v>
      </x:c>
      <x:c r="F1330" s="19" t="str">
        <x:v>稀有</x:v>
      </x:c>
      <x:c r="G1330" s="19" t="str">
        <x:v>六神器公共池</x:v>
      </x:c>
      <x:c r="H1330" s="19" t="str">
        <x:v>POOL006</x:v>
      </x:c>
      <x:c r="I1330" s="22" t="n">
        <x:v>5000000</x:v>
      </x:c>
      <x:c r="J1330" s="22" t="n">
        <x:v>1</x:v>
      </x:c>
      <x:c r="K1330" s="19" t="n">
        <x:v>6</x:v>
      </x:c>
      <x:c r="L1330" s="24" t="n">
        <x:v>17.25</x:v>
      </x:c>
      <x:c r="M1330" s="26" t="n">
        <x:v>0.1</x:v>
      </x:c>
      <x:c r="N1330" s="24" t="n">
        <x:v>7.48301782151709</x:v>
      </x:c>
      <x:c r="O1330" s="28" t="n">
        <x:f>MIN(1,L1330/I1330)</x:f>
        <x:v>0.00000345</x:v>
      </x:c>
      <x:c r="P1330" s="30" t="n">
        <x:f>O1330*J1330*(1+M1330)</x:f>
        <x:v>0.0000037950000000000005</x:v>
      </x:c>
      <x:c r="Q1330" s="30" t="n">
        <x:f>P1330*N1330</x:f>
        <x:v>0.000028398052632657362</x:v>
      </x:c>
      <x:c r="R1330" s="19" t="str">
        <x:v>六选一；非6个独立爆率</x:v>
      </x:c>
    </x:row>
    <x:row r="1331" ht="19" customHeight="1">
      <x:c r="A1331" s="19" t="str">
        <x:v>D01327</x:v>
      </x:c>
      <x:c r="B1331" s="19" t="n">
        <x:v>3</x:v>
      </x:c>
      <x:c r="C1331" s="19" t="n">
        <x:v>6</x:v>
      </x:c>
      <x:c r="D1331" s="19" t="str">
        <x:v>C03-M071</x:v>
      </x:c>
      <x:c r="E1331" s="19" t="str">
        <x:v>金叶统帅·艾德</x:v>
      </x:c>
      <x:c r="F1331" s="19" t="str">
        <x:v>地图BOSS</x:v>
      </x:c>
      <x:c r="G1331" s="19" t="str">
        <x:v>自身专属</x:v>
      </x:c>
      <x:c r="H1331" s="19" t="str">
        <x:v>艾德统帅剑</x:v>
      </x:c>
      <x:c r="I1331" s="22" t="n">
        <x:v>80</x:v>
      </x:c>
      <x:c r="J1331" s="22" t="n">
        <x:v>1</x:v>
      </x:c>
      <x:c r="K1331" s="19" t="n">
        <x:v>1</x:v>
      </x:c>
      <x:c r="L1331" s="24" t="n">
        <x:v>17.25</x:v>
      </x:c>
      <x:c r="M1331" s="26" t="n">
        <x:v>0.1</x:v>
      </x:c>
      <x:c r="N1331" s="24" t="n">
        <x:v>2</x:v>
      </x:c>
      <x:c r="O1331" s="28" t="n">
        <x:f>MIN(1,L1331/I1331)</x:f>
        <x:v>0.215625</x:v>
      </x:c>
      <x:c r="P1331" s="30" t="n">
        <x:f>O1331*J1331*(1+M1331)</x:f>
        <x:v>0.23718750000000002</x:v>
      </x:c>
      <x:c r="Q1331" s="30" t="n">
        <x:f>P1331*N1331</x:f>
        <x:v>0.47437500000000005</x:v>
      </x:c>
      <x:c r="R1331" s="19" t="str">
        <x:v>独立判定</x:v>
      </x:c>
    </x:row>
    <x:row r="1332" ht="19" customHeight="1">
      <x:c r="A1332" s="19" t="str">
        <x:v>D01328</x:v>
      </x:c>
      <x:c r="B1332" s="19" t="n">
        <x:v>3</x:v>
      </x:c>
      <x:c r="C1332" s="19" t="n">
        <x:v>6</x:v>
      </x:c>
      <x:c r="D1332" s="19" t="str">
        <x:v>C03-M071</x:v>
      </x:c>
      <x:c r="E1332" s="19" t="str">
        <x:v>金叶统帅·艾德</x:v>
      </x:c>
      <x:c r="F1332" s="19" t="str">
        <x:v>地图BOSS</x:v>
      </x:c>
      <x:c r="G1332" s="19" t="str">
        <x:v>自身专属</x:v>
      </x:c>
      <x:c r="H1332" s="19" t="str">
        <x:v>哨光誓戒</x:v>
      </x:c>
      <x:c r="I1332" s="22" t="n">
        <x:v>80</x:v>
      </x:c>
      <x:c r="J1332" s="22" t="n">
        <x:v>1</x:v>
      </x:c>
      <x:c r="K1332" s="19" t="n">
        <x:v>1</x:v>
      </x:c>
      <x:c r="L1332" s="24" t="n">
        <x:v>17.25</x:v>
      </x:c>
      <x:c r="M1332" s="26" t="n">
        <x:v>0.1</x:v>
      </x:c>
      <x:c r="N1332" s="24" t="n">
        <x:v>2</x:v>
      </x:c>
      <x:c r="O1332" s="28" t="n">
        <x:f>MIN(1,L1332/I1332)</x:f>
        <x:v>0.215625</x:v>
      </x:c>
      <x:c r="P1332" s="30" t="n">
        <x:f>O1332*J1332*(1+M1332)</x:f>
        <x:v>0.23718750000000002</x:v>
      </x:c>
      <x:c r="Q1332" s="30" t="n">
        <x:f>P1332*N1332</x:f>
        <x:v>0.47437500000000005</x:v>
      </x:c>
      <x:c r="R1332" s="19" t="str">
        <x:v>独立判定</x:v>
      </x:c>
    </x:row>
    <x:row r="1333" ht="19" customHeight="1">
      <x:c r="A1333" s="19" t="str">
        <x:v>D01329</x:v>
      </x:c>
      <x:c r="B1333" s="19" t="n">
        <x:v>3</x:v>
      </x:c>
      <x:c r="C1333" s="19" t="n">
        <x:v>6</x:v>
      </x:c>
      <x:c r="D1333" s="19" t="str">
        <x:v>C03-M071</x:v>
      </x:c>
      <x:c r="E1333" s="19" t="str">
        <x:v>金叶统帅·艾德</x:v>
      </x:c>
      <x:c r="F1333" s="19" t="str">
        <x:v>地图BOSS</x:v>
      </x:c>
      <x:c r="G1333" s="19" t="str">
        <x:v>本图普通兼掉候选</x:v>
      </x:c>
      <x:c r="H1333" s="19" t="str">
        <x:v>POOL022</x:v>
      </x:c>
      <x:c r="I1333" s="22" t="n">
        <x:v>40</x:v>
      </x:c>
      <x:c r="J1333" s="22" t="n">
        <x:v>1</x:v>
      </x:c>
      <x:c r="K1333" s="19" t="n">
        <x:v>2</x:v>
      </x:c>
      <x:c r="L1333" s="24" t="n">
        <x:v>17.25</x:v>
      </x:c>
      <x:c r="M1333" s="26" t="n">
        <x:v>0.1</x:v>
      </x:c>
      <x:c r="N1333" s="24" t="n">
        <x:v>2</x:v>
      </x:c>
      <x:c r="O1333" s="28" t="n">
        <x:f>MIN(1,L1333/I1333)</x:f>
        <x:v>0.43125</x:v>
      </x:c>
      <x:c r="P1333" s="30" t="n">
        <x:f>O1333*J1333*(1+M1333)</x:f>
        <x:v>0.47437500000000005</x:v>
      </x:c>
      <x:c r="Q1333" s="30" t="n">
        <x:f>P1333*N1333</x:f>
        <x:v>0.9487500000000001</x:v>
      </x:c>
      <x:c r="R1333" s="19" t="str">
        <x:v>单池选一</x:v>
      </x:c>
    </x:row>
    <x:row r="1334" ht="19" customHeight="1">
      <x:c r="A1334" s="19" t="str">
        <x:v>D01330</x:v>
      </x:c>
      <x:c r="B1334" s="19" t="n">
        <x:v>3</x:v>
      </x:c>
      <x:c r="C1334" s="19" t="n">
        <x:v>6</x:v>
      </x:c>
      <x:c r="D1334" s="19" t="str">
        <x:v>C03-M071</x:v>
      </x:c>
      <x:c r="E1334" s="19" t="str">
        <x:v>金叶统帅·艾德</x:v>
      </x:c>
      <x:c r="F1334" s="19" t="str">
        <x:v>地图BOSS</x:v>
      </x:c>
      <x:c r="G1334" s="19" t="str">
        <x:v>材料独立候选</x:v>
      </x:c>
      <x:c r="H1334" s="19" t="str">
        <x:v>风蚀铁片</x:v>
      </x:c>
      <x:c r="I1334" s="22" t="n">
        <x:v>300</x:v>
      </x:c>
      <x:c r="J1334" s="22" t="n">
        <x:v>30</x:v>
      </x:c>
      <x:c r="K1334" s="19" t="n">
        <x:v>1</x:v>
      </x:c>
      <x:c r="L1334" s="24" t="n">
        <x:v>17.25</x:v>
      </x:c>
      <x:c r="M1334" s="26" t="n">
        <x:v>0.1</x:v>
      </x:c>
      <x:c r="N1334" s="24" t="n">
        <x:v>2</x:v>
      </x:c>
      <x:c r="O1334" s="28" t="n">
        <x:f>MIN(1,L1334/I1334)</x:f>
        <x:v>0.0575</x:v>
      </x:c>
      <x:c r="P1334" s="30" t="n">
        <x:f>O1334*J1334*(1+M1334)</x:f>
        <x:v>1.8975000000000002</x:v>
      </x:c>
      <x:c r="Q1334" s="30" t="n">
        <x:f>P1334*N1334</x:f>
        <x:v>3.7950000000000004</x:v>
      </x:c>
      <x:c r="R1334" s="19" t="str">
        <x:v>独立判定</x:v>
      </x:c>
    </x:row>
    <x:row r="1335" ht="19" customHeight="1">
      <x:c r="A1335" s="19" t="str">
        <x:v>D01331</x:v>
      </x:c>
      <x:c r="B1335" s="19" t="n">
        <x:v>3</x:v>
      </x:c>
      <x:c r="C1335" s="19" t="n">
        <x:v>6</x:v>
      </x:c>
      <x:c r="D1335" s="19" t="str">
        <x:v>C03-M071</x:v>
      </x:c>
      <x:c r="E1335" s="19" t="str">
        <x:v>金叶统帅·艾德</x:v>
      </x:c>
      <x:c r="F1335" s="19" t="str">
        <x:v>地图BOSS</x:v>
      </x:c>
      <x:c r="G1335" s="19" t="str">
        <x:v>材料独立候选</x:v>
      </x:c>
      <x:c r="H1335" s="19" t="str">
        <x:v>西境战旗</x:v>
      </x:c>
      <x:c r="I1335" s="22" t="n">
        <x:v>400</x:v>
      </x:c>
      <x:c r="J1335" s="22" t="n">
        <x:v>1</x:v>
      </x:c>
      <x:c r="K1335" s="19" t="n">
        <x:v>1</x:v>
      </x:c>
      <x:c r="L1335" s="24" t="n">
        <x:v>17.25</x:v>
      </x:c>
      <x:c r="M1335" s="26" t="n">
        <x:v>0.1</x:v>
      </x:c>
      <x:c r="N1335" s="24" t="n">
        <x:v>2</x:v>
      </x:c>
      <x:c r="O1335" s="28" t="n">
        <x:f>MIN(1,L1335/I1335)</x:f>
        <x:v>0.043125</x:v>
      </x:c>
      <x:c r="P1335" s="30" t="n">
        <x:f>O1335*J1335*(1+M1335)</x:f>
        <x:v>0.0474375</x:v>
      </x:c>
      <x:c r="Q1335" s="30" t="n">
        <x:f>P1335*N1335</x:f>
        <x:v>0.094875</x:v>
      </x:c>
      <x:c r="R1335" s="19" t="str">
        <x:v>独立判定</x:v>
      </x:c>
    </x:row>
    <x:row r="1336" ht="19" customHeight="1">
      <x:c r="A1336" s="19" t="str">
        <x:v>D01332</x:v>
      </x:c>
      <x:c r="B1336" s="19" t="n">
        <x:v>3</x:v>
      </x:c>
      <x:c r="C1336" s="19" t="n">
        <x:v>6</x:v>
      </x:c>
      <x:c r="D1336" s="19" t="str">
        <x:v>C03-M071</x:v>
      </x:c>
      <x:c r="E1336" s="19" t="str">
        <x:v>金叶统帅·艾德</x:v>
      </x:c>
      <x:c r="F1336" s="19" t="str">
        <x:v>地图BOSS</x:v>
      </x:c>
      <x:c r="G1336" s="19" t="str">
        <x:v>材料独立候选</x:v>
      </x:c>
      <x:c r="H1336" s="19" t="str">
        <x:v>西境战旗印</x:v>
      </x:c>
      <x:c r="I1336" s="22" t="n">
        <x:v>120</x:v>
      </x:c>
      <x:c r="J1336" s="22" t="n">
        <x:v>2</x:v>
      </x:c>
      <x:c r="K1336" s="19" t="n">
        <x:v>1</x:v>
      </x:c>
      <x:c r="L1336" s="24" t="n">
        <x:v>17.25</x:v>
      </x:c>
      <x:c r="M1336" s="26" t="n">
        <x:v>0.1</x:v>
      </x:c>
      <x:c r="N1336" s="24" t="n">
        <x:v>2</x:v>
      </x:c>
      <x:c r="O1336" s="28" t="n">
        <x:f>MIN(1,L1336/I1336)</x:f>
        <x:v>0.14375</x:v>
      </x:c>
      <x:c r="P1336" s="30" t="n">
        <x:f>O1336*J1336*(1+M1336)</x:f>
        <x:v>0.31625</x:v>
      </x:c>
      <x:c r="Q1336" s="30" t="n">
        <x:f>P1336*N1336</x:f>
        <x:v>0.6325</x:v>
      </x:c>
      <x:c r="R1336" s="19" t="str">
        <x:v>独立判定</x:v>
      </x:c>
    </x:row>
    <x:row r="1337" ht="19" customHeight="1">
      <x:c r="A1337" s="19" t="str">
        <x:v>D01333</x:v>
      </x:c>
      <x:c r="B1337" s="19" t="n">
        <x:v>3</x:v>
      </x:c>
      <x:c r="C1337" s="19" t="n">
        <x:v>6</x:v>
      </x:c>
      <x:c r="D1337" s="19" t="str">
        <x:v>C03-M071</x:v>
      </x:c>
      <x:c r="E1337" s="19" t="str">
        <x:v>金叶统帅·艾德</x:v>
      </x:c>
      <x:c r="F1337" s="19" t="str">
        <x:v>地图BOSS</x:v>
      </x:c>
      <x:c r="G1337" s="19" t="str">
        <x:v>材料独立候选</x:v>
      </x:c>
      <x:c r="H1337" s="19" t="str">
        <x:v>守垒铜钥</x:v>
      </x:c>
      <x:c r="I1337" s="22" t="n">
        <x:v>120</x:v>
      </x:c>
      <x:c r="J1337" s="22" t="n">
        <x:v>1</x:v>
      </x:c>
      <x:c r="K1337" s="19" t="n">
        <x:v>1</x:v>
      </x:c>
      <x:c r="L1337" s="24" t="n">
        <x:v>17.25</x:v>
      </x:c>
      <x:c r="M1337" s="26" t="n">
        <x:v>0.1</x:v>
      </x:c>
      <x:c r="N1337" s="24" t="n">
        <x:v>2</x:v>
      </x:c>
      <x:c r="O1337" s="28" t="n">
        <x:f>MIN(1,L1337/I1337)</x:f>
        <x:v>0.14375</x:v>
      </x:c>
      <x:c r="P1337" s="30" t="n">
        <x:f>O1337*J1337*(1+M1337)</x:f>
        <x:v>0.158125</x:v>
      </x:c>
      <x:c r="Q1337" s="30" t="n">
        <x:f>P1337*N1337</x:f>
        <x:v>0.31625</x:v>
      </x:c>
      <x:c r="R1337" s="19" t="str">
        <x:v>独立判定</x:v>
      </x:c>
    </x:row>
    <x:row r="1338" ht="19" customHeight="1">
      <x:c r="A1338" s="19" t="str">
        <x:v>D01334</x:v>
      </x:c>
      <x:c r="B1338" s="19" t="n">
        <x:v>3</x:v>
      </x:c>
      <x:c r="C1338" s="19" t="n">
        <x:v>6</x:v>
      </x:c>
      <x:c r="D1338" s="19" t="str">
        <x:v>C03-M071</x:v>
      </x:c>
      <x:c r="E1338" s="19" t="str">
        <x:v>金叶统帅·艾德</x:v>
      </x:c>
      <x:c r="F1338" s="19" t="str">
        <x:v>地图BOSS</x:v>
      </x:c>
      <x:c r="G1338" s="19" t="str">
        <x:v>材料独立候选</x:v>
      </x:c>
      <x:c r="H1338" s="19" t="str">
        <x:v>西境风痕碑拓</x:v>
      </x:c>
      <x:c r="I1338" s="22" t="n">
        <x:v>250000</x:v>
      </x:c>
      <x:c r="J1338" s="22" t="n">
        <x:v>1</x:v>
      </x:c>
      <x:c r="K1338" s="19" t="n">
        <x:v>1</x:v>
      </x:c>
      <x:c r="L1338" s="24" t="n">
        <x:v>17.25</x:v>
      </x:c>
      <x:c r="M1338" s="26" t="n">
        <x:v>0.1</x:v>
      </x:c>
      <x:c r="N1338" s="24" t="n">
        <x:v>2</x:v>
      </x:c>
      <x:c r="O1338" s="28" t="n">
        <x:f>MIN(1,L1338/I1338)</x:f>
        <x:v>0.000069</x:v>
      </x:c>
      <x:c r="P1338" s="30" t="n">
        <x:f>O1338*J1338*(1+M1338)</x:f>
        <x:v>0.0000759</x:v>
      </x:c>
      <x:c r="Q1338" s="30" t="n">
        <x:f>P1338*N1338</x:f>
        <x:v>0.0001518</x:v>
      </x:c>
      <x:c r="R1338" s="19" t="str">
        <x:v>独立判定</x:v>
      </x:c>
    </x:row>
    <x:row r="1339" ht="19" customHeight="1">
      <x:c r="A1339" s="19" t="str">
        <x:v>D01335</x:v>
      </x:c>
      <x:c r="B1339" s="19" t="n">
        <x:v>3</x:v>
      </x:c>
      <x:c r="C1339" s="19" t="n">
        <x:v>6</x:v>
      </x:c>
      <x:c r="D1339" s="19" t="str">
        <x:v>C03-M071</x:v>
      </x:c>
      <x:c r="E1339" s="19" t="str">
        <x:v>金叶统帅·艾德</x:v>
      </x:c>
      <x:c r="F1339" s="19" t="str">
        <x:v>地图BOSS</x:v>
      </x:c>
      <x:c r="G1339" s="19" t="str">
        <x:v>材料独立候选</x:v>
      </x:c>
      <x:c r="H1339" s="19" t="str">
        <x:v>黄金树芽</x:v>
      </x:c>
      <x:c r="I1339" s="22" t="n">
        <x:v>1000</x:v>
      </x:c>
      <x:c r="J1339" s="22" t="n">
        <x:v>1</x:v>
      </x:c>
      <x:c r="K1339" s="19" t="n">
        <x:v>1</x:v>
      </x:c>
      <x:c r="L1339" s="24" t="n">
        <x:v>17.25</x:v>
      </x:c>
      <x:c r="M1339" s="26" t="n">
        <x:v>0.1</x:v>
      </x:c>
      <x:c r="N1339" s="24" t="n">
        <x:v>2</x:v>
      </x:c>
      <x:c r="O1339" s="28" t="n">
        <x:f>MIN(1,L1339/I1339)</x:f>
        <x:v>0.01725</x:v>
      </x:c>
      <x:c r="P1339" s="30" t="n">
        <x:f>O1339*J1339*(1+M1339)</x:f>
        <x:v>0.018975000000000002</x:v>
      </x:c>
      <x:c r="Q1339" s="30" t="n">
        <x:f>P1339*N1339</x:f>
        <x:v>0.037950000000000005</x:v>
      </x:c>
      <x:c r="R1339" s="19" t="str">
        <x:v>独立判定</x:v>
      </x:c>
    </x:row>
    <x:row r="1340" ht="19" customHeight="1">
      <x:c r="A1340" s="19" t="str">
        <x:v>D01336</x:v>
      </x:c>
      <x:c r="B1340" s="19" t="n">
        <x:v>3</x:v>
      </x:c>
      <x:c r="C1340" s="19" t="n">
        <x:v>6</x:v>
      </x:c>
      <x:c r="D1340" s="19" t="str">
        <x:v>C03-M071</x:v>
      </x:c>
      <x:c r="E1340" s="19" t="str">
        <x:v>金叶统帅·艾德</x:v>
      </x:c>
      <x:c r="F1340" s="19" t="str">
        <x:v>地图BOSS</x:v>
      </x:c>
      <x:c r="G1340" s="19" t="str">
        <x:v>材料独立候选</x:v>
      </x:c>
      <x:c r="H1340" s="19" t="str">
        <x:v>野兽骨片</x:v>
      </x:c>
      <x:c r="I1340" s="22" t="n">
        <x:v>40</x:v>
      </x:c>
      <x:c r="J1340" s="22" t="n">
        <x:v>2</x:v>
      </x:c>
      <x:c r="K1340" s="19" t="n">
        <x:v>1</x:v>
      </x:c>
      <x:c r="L1340" s="24" t="n">
        <x:v>17.25</x:v>
      </x:c>
      <x:c r="M1340" s="26" t="n">
        <x:v>0.1</x:v>
      </x:c>
      <x:c r="N1340" s="24" t="n">
        <x:v>2</x:v>
      </x:c>
      <x:c r="O1340" s="28" t="n">
        <x:f>MIN(1,L1340/I1340)</x:f>
        <x:v>0.43125</x:v>
      </x:c>
      <x:c r="P1340" s="30" t="n">
        <x:f>O1340*J1340*(1+M1340)</x:f>
        <x:v>0.9487500000000001</x:v>
      </x:c>
      <x:c r="Q1340" s="30" t="n">
        <x:f>P1340*N1340</x:f>
        <x:v>1.8975000000000002</x:v>
      </x:c>
      <x:c r="R1340" s="19" t="str">
        <x:v>独立判定</x:v>
      </x:c>
    </x:row>
    <x:row r="1341" ht="19" customHeight="1">
      <x:c r="A1341" s="19" t="str">
        <x:v>D01337</x:v>
      </x:c>
      <x:c r="B1341" s="19" t="n">
        <x:v>3</x:v>
      </x:c>
      <x:c r="C1341" s="19" t="n">
        <x:v>6</x:v>
      </x:c>
      <x:c r="D1341" s="19" t="str">
        <x:v>C03-M071</x:v>
      </x:c>
      <x:c r="E1341" s="19" t="str">
        <x:v>金叶统帅·艾德</x:v>
      </x:c>
      <x:c r="F1341" s="19" t="str">
        <x:v>地图BOSS</x:v>
      </x:c>
      <x:c r="G1341" s="19" t="str">
        <x:v>材料独立候选</x:v>
      </x:c>
      <x:c r="H1341" s="19" t="str">
        <x:v>技能残页</x:v>
      </x:c>
      <x:c r="I1341" s="22" t="n">
        <x:v>100</x:v>
      </x:c>
      <x:c r="J1341" s="22" t="n">
        <x:v>1</x:v>
      </x:c>
      <x:c r="K1341" s="19" t="n">
        <x:v>1</x:v>
      </x:c>
      <x:c r="L1341" s="24" t="n">
        <x:v>17.25</x:v>
      </x:c>
      <x:c r="M1341" s="26" t="n">
        <x:v>0.1</x:v>
      </x:c>
      <x:c r="N1341" s="24" t="n">
        <x:v>2</x:v>
      </x:c>
      <x:c r="O1341" s="28" t="n">
        <x:f>MIN(1,L1341/I1341)</x:f>
        <x:v>0.1725</x:v>
      </x:c>
      <x:c r="P1341" s="30" t="n">
        <x:f>O1341*J1341*(1+M1341)</x:f>
        <x:v>0.18975</x:v>
      </x:c>
      <x:c r="Q1341" s="30" t="n">
        <x:f>P1341*N1341</x:f>
        <x:v>0.3795</x:v>
      </x:c>
      <x:c r="R1341" s="19" t="str">
        <x:v>独立判定</x:v>
      </x:c>
    </x:row>
    <x:row r="1342" ht="19" customHeight="1">
      <x:c r="A1342" s="19" t="str">
        <x:v>D01338</x:v>
      </x:c>
      <x:c r="B1342" s="19" t="n">
        <x:v>3</x:v>
      </x:c>
      <x:c r="C1342" s="19" t="n">
        <x:v>6</x:v>
      </x:c>
      <x:c r="D1342" s="19" t="str">
        <x:v>C03-M071</x:v>
      </x:c>
      <x:c r="E1342" s="19" t="str">
        <x:v>金叶统帅·艾德</x:v>
      </x:c>
      <x:c r="F1342" s="19" t="str">
        <x:v>地图BOSS</x:v>
      </x:c>
      <x:c r="G1342" s="19" t="str">
        <x:v>材料独立候选</x:v>
      </x:c>
      <x:c r="H1342" s="19" t="str">
        <x:v>宁姆格福誓页</x:v>
      </x:c>
      <x:c r="I1342" s="22" t="n">
        <x:v>200</x:v>
      </x:c>
      <x:c r="J1342" s="22" t="n">
        <x:v>1</x:v>
      </x:c>
      <x:c r="K1342" s="19" t="n">
        <x:v>1</x:v>
      </x:c>
      <x:c r="L1342" s="24" t="n">
        <x:v>17.25</x:v>
      </x:c>
      <x:c r="M1342" s="26" t="n">
        <x:v>0.1</x:v>
      </x:c>
      <x:c r="N1342" s="24" t="n">
        <x:v>2</x:v>
      </x:c>
      <x:c r="O1342" s="28" t="n">
        <x:f>MIN(1,L1342/I1342)</x:f>
        <x:v>0.08625</x:v>
      </x:c>
      <x:c r="P1342" s="30" t="n">
        <x:f>O1342*J1342*(1+M1342)</x:f>
        <x:v>0.094875</x:v>
      </x:c>
      <x:c r="Q1342" s="30" t="n">
        <x:f>P1342*N1342</x:f>
        <x:v>0.18975</x:v>
      </x:c>
      <x:c r="R1342" s="19" t="str">
        <x:v>独立判定</x:v>
      </x:c>
    </x:row>
    <x:row r="1343" ht="19" customHeight="1">
      <x:c r="A1343" s="19" t="str">
        <x:v>D01339</x:v>
      </x:c>
      <x:c r="B1343" s="19" t="n">
        <x:v>3</x:v>
      </x:c>
      <x:c r="C1343" s="19" t="n">
        <x:v>6</x:v>
      </x:c>
      <x:c r="D1343" s="19" t="str">
        <x:v>C03-M071</x:v>
      </x:c>
      <x:c r="E1343" s="19" t="str">
        <x:v>金叶统帅·艾德</x:v>
      </x:c>
      <x:c r="F1343" s="19" t="str">
        <x:v>地图BOSS</x:v>
      </x:c>
      <x:c r="G1343" s="19" t="str">
        <x:v>材料独立候选</x:v>
      </x:c>
      <x:c r="H1343" s="19" t="str">
        <x:v>小卢恩</x:v>
      </x:c>
      <x:c r="I1343" s="22" t="n">
        <x:v>1500</x:v>
      </x:c>
      <x:c r="J1343" s="22" t="n">
        <x:v>1</x:v>
      </x:c>
      <x:c r="K1343" s="19" t="n">
        <x:v>1</x:v>
      </x:c>
      <x:c r="L1343" s="24" t="n">
        <x:v>17.25</x:v>
      </x:c>
      <x:c r="M1343" s="26" t="n">
        <x:v>0.1</x:v>
      </x:c>
      <x:c r="N1343" s="24" t="n">
        <x:v>2</x:v>
      </x:c>
      <x:c r="O1343" s="28" t="n">
        <x:f>MIN(1,L1343/I1343)</x:f>
        <x:v>0.0115</x:v>
      </x:c>
      <x:c r="P1343" s="30" t="n">
        <x:f>O1343*J1343*(1+M1343)</x:f>
        <x:v>0.012650000000000002</x:v>
      </x:c>
      <x:c r="Q1343" s="30" t="n">
        <x:f>P1343*N1343</x:f>
        <x:v>0.025300000000000003</x:v>
      </x:c>
      <x:c r="R1343" s="19" t="str">
        <x:v>独立判定</x:v>
      </x:c>
    </x:row>
    <x:row r="1344" ht="19" customHeight="1">
      <x:c r="A1344" s="19" t="str">
        <x:v>D01340</x:v>
      </x:c>
      <x:c r="B1344" s="19" t="n">
        <x:v>3</x:v>
      </x:c>
      <x:c r="C1344" s="19" t="n">
        <x:v>6</x:v>
      </x:c>
      <x:c r="D1344" s="19" t="str">
        <x:v>C03-M071</x:v>
      </x:c>
      <x:c r="E1344" s="19" t="str">
        <x:v>金叶统帅·艾德</x:v>
      </x:c>
      <x:c r="F1344" s="19" t="str">
        <x:v>地图BOSS</x:v>
      </x:c>
      <x:c r="G1344" s="19" t="str">
        <x:v>材料独立候选</x:v>
      </x:c>
      <x:c r="H1344" s="19" t="str">
        <x:v>大卢恩</x:v>
      </x:c>
      <x:c r="I1344" s="22" t="n">
        <x:v>150</x:v>
      </x:c>
      <x:c r="J1344" s="22" t="n">
        <x:v>1</x:v>
      </x:c>
      <x:c r="K1344" s="19" t="n">
        <x:v>1</x:v>
      </x:c>
      <x:c r="L1344" s="24" t="n">
        <x:v>17.25</x:v>
      </x:c>
      <x:c r="M1344" s="26" t="n">
        <x:v>0.1</x:v>
      </x:c>
      <x:c r="N1344" s="24" t="n">
        <x:v>2</x:v>
      </x:c>
      <x:c r="O1344" s="28" t="n">
        <x:f>MIN(1,L1344/I1344)</x:f>
        <x:v>0.115</x:v>
      </x:c>
      <x:c r="P1344" s="30" t="n">
        <x:f>O1344*J1344*(1+M1344)</x:f>
        <x:v>0.12650000000000003</x:v>
      </x:c>
      <x:c r="Q1344" s="30" t="n">
        <x:f>P1344*N1344</x:f>
        <x:v>0.25300000000000006</x:v>
      </x:c>
      <x:c r="R1344" s="19" t="str">
        <x:v>独立判定</x:v>
      </x:c>
    </x:row>
    <x:row r="1345" ht="19" customHeight="1">
      <x:c r="A1345" s="19" t="str">
        <x:v>D01341</x:v>
      </x:c>
      <x:c r="B1345" s="19" t="n">
        <x:v>3</x:v>
      </x:c>
      <x:c r="C1345" s="19" t="n">
        <x:v>6</x:v>
      </x:c>
      <x:c r="D1345" s="19" t="str">
        <x:v>C03-M071</x:v>
      </x:c>
      <x:c r="E1345" s="19" t="str">
        <x:v>金叶统帅·艾德</x:v>
      </x:c>
      <x:c r="F1345" s="19" t="str">
        <x:v>地图BOSS</x:v>
      </x:c>
      <x:c r="G1345" s="19" t="str">
        <x:v>六神器公共池</x:v>
      </x:c>
      <x:c r="H1345" s="19" t="str">
        <x:v>POOL006</x:v>
      </x:c>
      <x:c r="I1345" s="22" t="n">
        <x:v>200000</x:v>
      </x:c>
      <x:c r="J1345" s="22" t="n">
        <x:v>1</x:v>
      </x:c>
      <x:c r="K1345" s="19" t="n">
        <x:v>6</x:v>
      </x:c>
      <x:c r="L1345" s="24" t="n">
        <x:v>17.25</x:v>
      </x:c>
      <x:c r="M1345" s="26" t="n">
        <x:v>0.1</x:v>
      </x:c>
      <x:c r="N1345" s="24" t="n">
        <x:v>2</x:v>
      </x:c>
      <x:c r="O1345" s="28" t="n">
        <x:f>MIN(1,L1345/I1345)</x:f>
        <x:v>0.00008625</x:v>
      </x:c>
      <x:c r="P1345" s="30" t="n">
        <x:f>O1345*J1345*(1+M1345)</x:f>
        <x:v>0.000094875</x:v>
      </x:c>
      <x:c r="Q1345" s="30" t="n">
        <x:f>P1345*N1345</x:f>
        <x:v>0.00018975</x:v>
      </x:c>
      <x:c r="R1345" s="19" t="str">
        <x:v>六选一；非6个独立爆率</x:v>
      </x:c>
    </x:row>
    <x:row r="1346" ht="19" customHeight="1">
      <x:c r="A1346" s="19" t="str">
        <x:v>D01342</x:v>
      </x:c>
      <x:c r="B1346" s="19" t="n">
        <x:v>3</x:v>
      </x:c>
      <x:c r="C1346" s="19" t="n">
        <x:v>6</x:v>
      </x:c>
      <x:c r="D1346" s="19" t="str">
        <x:v>C03-M072</x:v>
      </x:c>
      <x:c r="E1346" s="19" t="str">
        <x:v>黄金树化身·洛恩</x:v>
      </x:c>
      <x:c r="F1346" s="19" t="str">
        <x:v>地图BOSS</x:v>
      </x:c>
      <x:c r="G1346" s="19" t="str">
        <x:v>自身专属</x:v>
      </x:c>
      <x:c r="H1346" s="19" t="str">
        <x:v>洛恩树心甲</x:v>
      </x:c>
      <x:c r="I1346" s="22" t="n">
        <x:v>80</x:v>
      </x:c>
      <x:c r="J1346" s="22" t="n">
        <x:v>1</x:v>
      </x:c>
      <x:c r="K1346" s="19" t="n">
        <x:v>1</x:v>
      </x:c>
      <x:c r="L1346" s="24" t="n">
        <x:v>17.25</x:v>
      </x:c>
      <x:c r="M1346" s="26" t="n">
        <x:v>0.1</x:v>
      </x:c>
      <x:c r="N1346" s="24" t="n">
        <x:v>2</x:v>
      </x:c>
      <x:c r="O1346" s="28" t="n">
        <x:f>MIN(1,L1346/I1346)</x:f>
        <x:v>0.215625</x:v>
      </x:c>
      <x:c r="P1346" s="30" t="n">
        <x:f>O1346*J1346*(1+M1346)</x:f>
        <x:v>0.23718750000000002</x:v>
      </x:c>
      <x:c r="Q1346" s="30" t="n">
        <x:f>P1346*N1346</x:f>
        <x:v>0.47437500000000005</x:v>
      </x:c>
      <x:c r="R1346" s="19" t="str">
        <x:v>独立判定</x:v>
      </x:c>
    </x:row>
    <x:row r="1347" ht="19" customHeight="1">
      <x:c r="A1347" s="19" t="str">
        <x:v>D01343</x:v>
      </x:c>
      <x:c r="B1347" s="19" t="n">
        <x:v>3</x:v>
      </x:c>
      <x:c r="C1347" s="19" t="n">
        <x:v>6</x:v>
      </x:c>
      <x:c r="D1347" s="19" t="str">
        <x:v>C03-M072</x:v>
      </x:c>
      <x:c r="E1347" s="19" t="str">
        <x:v>黄金树化身·洛恩</x:v>
      </x:c>
      <x:c r="F1347" s="19" t="str">
        <x:v>地图BOSS</x:v>
      </x:c>
      <x:c r="G1347" s="19" t="str">
        <x:v>自身专属</x:v>
      </x:c>
      <x:c r="H1347" s="19" t="str">
        <x:v>追风辰鳞</x:v>
      </x:c>
      <x:c r="I1347" s="22" t="n">
        <x:v>80</x:v>
      </x:c>
      <x:c r="J1347" s="22" t="n">
        <x:v>1</x:v>
      </x:c>
      <x:c r="K1347" s="19" t="n">
        <x:v>1</x:v>
      </x:c>
      <x:c r="L1347" s="24" t="n">
        <x:v>17.25</x:v>
      </x:c>
      <x:c r="M1347" s="26" t="n">
        <x:v>0.1</x:v>
      </x:c>
      <x:c r="N1347" s="24" t="n">
        <x:v>2</x:v>
      </x:c>
      <x:c r="O1347" s="28" t="n">
        <x:f>MIN(1,L1347/I1347)</x:f>
        <x:v>0.215625</x:v>
      </x:c>
      <x:c r="P1347" s="30" t="n">
        <x:f>O1347*J1347*(1+M1347)</x:f>
        <x:v>0.23718750000000002</x:v>
      </x:c>
      <x:c r="Q1347" s="30" t="n">
        <x:f>P1347*N1347</x:f>
        <x:v>0.47437500000000005</x:v>
      </x:c>
      <x:c r="R1347" s="19" t="str">
        <x:v>独立判定</x:v>
      </x:c>
    </x:row>
    <x:row r="1348" ht="19" customHeight="1">
      <x:c r="A1348" s="19" t="str">
        <x:v>D01344</x:v>
      </x:c>
      <x:c r="B1348" s="19" t="n">
        <x:v>3</x:v>
      </x:c>
      <x:c r="C1348" s="19" t="n">
        <x:v>6</x:v>
      </x:c>
      <x:c r="D1348" s="19" t="str">
        <x:v>C03-M072</x:v>
      </x:c>
      <x:c r="E1348" s="19" t="str">
        <x:v>黄金树化身·洛恩</x:v>
      </x:c>
      <x:c r="F1348" s="19" t="str">
        <x:v>地图BOSS</x:v>
      </x:c>
      <x:c r="G1348" s="19" t="str">
        <x:v>本图普通兼掉候选</x:v>
      </x:c>
      <x:c r="H1348" s="19" t="str">
        <x:v>POOL023</x:v>
      </x:c>
      <x:c r="I1348" s="22" t="n">
        <x:v>40</x:v>
      </x:c>
      <x:c r="J1348" s="22" t="n">
        <x:v>1</x:v>
      </x:c>
      <x:c r="K1348" s="19" t="n">
        <x:v>2</x:v>
      </x:c>
      <x:c r="L1348" s="24" t="n">
        <x:v>17.25</x:v>
      </x:c>
      <x:c r="M1348" s="26" t="n">
        <x:v>0.1</x:v>
      </x:c>
      <x:c r="N1348" s="24" t="n">
        <x:v>2</x:v>
      </x:c>
      <x:c r="O1348" s="28" t="n">
        <x:f>MIN(1,L1348/I1348)</x:f>
        <x:v>0.43125</x:v>
      </x:c>
      <x:c r="P1348" s="30" t="n">
        <x:f>O1348*J1348*(1+M1348)</x:f>
        <x:v>0.47437500000000005</x:v>
      </x:c>
      <x:c r="Q1348" s="30" t="n">
        <x:f>P1348*N1348</x:f>
        <x:v>0.9487500000000001</x:v>
      </x:c>
      <x:c r="R1348" s="19" t="str">
        <x:v>单池选一</x:v>
      </x:c>
    </x:row>
    <x:row r="1349" ht="19" customHeight="1">
      <x:c r="A1349" s="19" t="str">
        <x:v>D01345</x:v>
      </x:c>
      <x:c r="B1349" s="19" t="n">
        <x:v>3</x:v>
      </x:c>
      <x:c r="C1349" s="19" t="n">
        <x:v>6</x:v>
      </x:c>
      <x:c r="D1349" s="19" t="str">
        <x:v>C03-M072</x:v>
      </x:c>
      <x:c r="E1349" s="19" t="str">
        <x:v>黄金树化身·洛恩</x:v>
      </x:c>
      <x:c r="F1349" s="19" t="str">
        <x:v>地图BOSS</x:v>
      </x:c>
      <x:c r="G1349" s="19" t="str">
        <x:v>材料独立候选</x:v>
      </x:c>
      <x:c r="H1349" s="19" t="str">
        <x:v>风蚀铁片</x:v>
      </x:c>
      <x:c r="I1349" s="22" t="n">
        <x:v>300</x:v>
      </x:c>
      <x:c r="J1349" s="22" t="n">
        <x:v>30</x:v>
      </x:c>
      <x:c r="K1349" s="19" t="n">
        <x:v>1</x:v>
      </x:c>
      <x:c r="L1349" s="24" t="n">
        <x:v>17.25</x:v>
      </x:c>
      <x:c r="M1349" s="26" t="n">
        <x:v>0.1</x:v>
      </x:c>
      <x:c r="N1349" s="24" t="n">
        <x:v>2</x:v>
      </x:c>
      <x:c r="O1349" s="28" t="n">
        <x:f>MIN(1,L1349/I1349)</x:f>
        <x:v>0.0575</x:v>
      </x:c>
      <x:c r="P1349" s="30" t="n">
        <x:f>O1349*J1349*(1+M1349)</x:f>
        <x:v>1.8975000000000002</x:v>
      </x:c>
      <x:c r="Q1349" s="30" t="n">
        <x:f>P1349*N1349</x:f>
        <x:v>3.7950000000000004</x:v>
      </x:c>
      <x:c r="R1349" s="19" t="str">
        <x:v>独立判定</x:v>
      </x:c>
    </x:row>
    <x:row r="1350" ht="19" customHeight="1">
      <x:c r="A1350" s="19" t="str">
        <x:v>D01346</x:v>
      </x:c>
      <x:c r="B1350" s="19" t="n">
        <x:v>3</x:v>
      </x:c>
      <x:c r="C1350" s="19" t="n">
        <x:v>6</x:v>
      </x:c>
      <x:c r="D1350" s="19" t="str">
        <x:v>C03-M072</x:v>
      </x:c>
      <x:c r="E1350" s="19" t="str">
        <x:v>黄金树化身·洛恩</x:v>
      </x:c>
      <x:c r="F1350" s="19" t="str">
        <x:v>地图BOSS</x:v>
      </x:c>
      <x:c r="G1350" s="19" t="str">
        <x:v>材料独立候选</x:v>
      </x:c>
      <x:c r="H1350" s="19" t="str">
        <x:v>西境战旗</x:v>
      </x:c>
      <x:c r="I1350" s="22" t="n">
        <x:v>400</x:v>
      </x:c>
      <x:c r="J1350" s="22" t="n">
        <x:v>1</x:v>
      </x:c>
      <x:c r="K1350" s="19" t="n">
        <x:v>1</x:v>
      </x:c>
      <x:c r="L1350" s="24" t="n">
        <x:v>17.25</x:v>
      </x:c>
      <x:c r="M1350" s="26" t="n">
        <x:v>0.1</x:v>
      </x:c>
      <x:c r="N1350" s="24" t="n">
        <x:v>2</x:v>
      </x:c>
      <x:c r="O1350" s="28" t="n">
        <x:f>MIN(1,L1350/I1350)</x:f>
        <x:v>0.043125</x:v>
      </x:c>
      <x:c r="P1350" s="30" t="n">
        <x:f>O1350*J1350*(1+M1350)</x:f>
        <x:v>0.0474375</x:v>
      </x:c>
      <x:c r="Q1350" s="30" t="n">
        <x:f>P1350*N1350</x:f>
        <x:v>0.094875</x:v>
      </x:c>
      <x:c r="R1350" s="19" t="str">
        <x:v>独立判定</x:v>
      </x:c>
    </x:row>
    <x:row r="1351" ht="19" customHeight="1">
      <x:c r="A1351" s="19" t="str">
        <x:v>D01347</x:v>
      </x:c>
      <x:c r="B1351" s="19" t="n">
        <x:v>3</x:v>
      </x:c>
      <x:c r="C1351" s="19" t="n">
        <x:v>6</x:v>
      </x:c>
      <x:c r="D1351" s="19" t="str">
        <x:v>C03-M072</x:v>
      </x:c>
      <x:c r="E1351" s="19" t="str">
        <x:v>黄金树化身·洛恩</x:v>
      </x:c>
      <x:c r="F1351" s="19" t="str">
        <x:v>地图BOSS</x:v>
      </x:c>
      <x:c r="G1351" s="19" t="str">
        <x:v>材料独立候选</x:v>
      </x:c>
      <x:c r="H1351" s="19" t="str">
        <x:v>西境战旗印</x:v>
      </x:c>
      <x:c r="I1351" s="22" t="n">
        <x:v>120</x:v>
      </x:c>
      <x:c r="J1351" s="22" t="n">
        <x:v>2</x:v>
      </x:c>
      <x:c r="K1351" s="19" t="n">
        <x:v>1</x:v>
      </x:c>
      <x:c r="L1351" s="24" t="n">
        <x:v>17.25</x:v>
      </x:c>
      <x:c r="M1351" s="26" t="n">
        <x:v>0.1</x:v>
      </x:c>
      <x:c r="N1351" s="24" t="n">
        <x:v>2</x:v>
      </x:c>
      <x:c r="O1351" s="28" t="n">
        <x:f>MIN(1,L1351/I1351)</x:f>
        <x:v>0.14375</x:v>
      </x:c>
      <x:c r="P1351" s="30" t="n">
        <x:f>O1351*J1351*(1+M1351)</x:f>
        <x:v>0.31625</x:v>
      </x:c>
      <x:c r="Q1351" s="30" t="n">
        <x:f>P1351*N1351</x:f>
        <x:v>0.6325</x:v>
      </x:c>
      <x:c r="R1351" s="19" t="str">
        <x:v>独立判定</x:v>
      </x:c>
    </x:row>
    <x:row r="1352" ht="19" customHeight="1">
      <x:c r="A1352" s="19" t="str">
        <x:v>D01348</x:v>
      </x:c>
      <x:c r="B1352" s="19" t="n">
        <x:v>3</x:v>
      </x:c>
      <x:c r="C1352" s="19" t="n">
        <x:v>6</x:v>
      </x:c>
      <x:c r="D1352" s="19" t="str">
        <x:v>C03-M072</x:v>
      </x:c>
      <x:c r="E1352" s="19" t="str">
        <x:v>黄金树化身·洛恩</x:v>
      </x:c>
      <x:c r="F1352" s="19" t="str">
        <x:v>地图BOSS</x:v>
      </x:c>
      <x:c r="G1352" s="19" t="str">
        <x:v>材料独立候选</x:v>
      </x:c>
      <x:c r="H1352" s="19" t="str">
        <x:v>守垒铜钥</x:v>
      </x:c>
      <x:c r="I1352" s="22" t="n">
        <x:v>120</x:v>
      </x:c>
      <x:c r="J1352" s="22" t="n">
        <x:v>1</x:v>
      </x:c>
      <x:c r="K1352" s="19" t="n">
        <x:v>1</x:v>
      </x:c>
      <x:c r="L1352" s="24" t="n">
        <x:v>17.25</x:v>
      </x:c>
      <x:c r="M1352" s="26" t="n">
        <x:v>0.1</x:v>
      </x:c>
      <x:c r="N1352" s="24" t="n">
        <x:v>2</x:v>
      </x:c>
      <x:c r="O1352" s="28" t="n">
        <x:f>MIN(1,L1352/I1352)</x:f>
        <x:v>0.14375</x:v>
      </x:c>
      <x:c r="P1352" s="30" t="n">
        <x:f>O1352*J1352*(1+M1352)</x:f>
        <x:v>0.158125</x:v>
      </x:c>
      <x:c r="Q1352" s="30" t="n">
        <x:f>P1352*N1352</x:f>
        <x:v>0.31625</x:v>
      </x:c>
      <x:c r="R1352" s="19" t="str">
        <x:v>独立判定</x:v>
      </x:c>
    </x:row>
    <x:row r="1353" ht="19" customHeight="1">
      <x:c r="A1353" s="19" t="str">
        <x:v>D01349</x:v>
      </x:c>
      <x:c r="B1353" s="19" t="n">
        <x:v>3</x:v>
      </x:c>
      <x:c r="C1353" s="19" t="n">
        <x:v>6</x:v>
      </x:c>
      <x:c r="D1353" s="19" t="str">
        <x:v>C03-M072</x:v>
      </x:c>
      <x:c r="E1353" s="19" t="str">
        <x:v>黄金树化身·洛恩</x:v>
      </x:c>
      <x:c r="F1353" s="19" t="str">
        <x:v>地图BOSS</x:v>
      </x:c>
      <x:c r="G1353" s="19" t="str">
        <x:v>材料独立候选</x:v>
      </x:c>
      <x:c r="H1353" s="19" t="str">
        <x:v>西境风痕碑拓</x:v>
      </x:c>
      <x:c r="I1353" s="22" t="n">
        <x:v>250000</x:v>
      </x:c>
      <x:c r="J1353" s="22" t="n">
        <x:v>1</x:v>
      </x:c>
      <x:c r="K1353" s="19" t="n">
        <x:v>1</x:v>
      </x:c>
      <x:c r="L1353" s="24" t="n">
        <x:v>17.25</x:v>
      </x:c>
      <x:c r="M1353" s="26" t="n">
        <x:v>0.1</x:v>
      </x:c>
      <x:c r="N1353" s="24" t="n">
        <x:v>2</x:v>
      </x:c>
      <x:c r="O1353" s="28" t="n">
        <x:f>MIN(1,L1353/I1353)</x:f>
        <x:v>0.000069</x:v>
      </x:c>
      <x:c r="P1353" s="30" t="n">
        <x:f>O1353*J1353*(1+M1353)</x:f>
        <x:v>0.0000759</x:v>
      </x:c>
      <x:c r="Q1353" s="30" t="n">
        <x:f>P1353*N1353</x:f>
        <x:v>0.0001518</x:v>
      </x:c>
      <x:c r="R1353" s="19" t="str">
        <x:v>独立判定</x:v>
      </x:c>
    </x:row>
    <x:row r="1354" ht="19" customHeight="1">
      <x:c r="A1354" s="19" t="str">
        <x:v>D01350</x:v>
      </x:c>
      <x:c r="B1354" s="19" t="n">
        <x:v>3</x:v>
      </x:c>
      <x:c r="C1354" s="19" t="n">
        <x:v>6</x:v>
      </x:c>
      <x:c r="D1354" s="19" t="str">
        <x:v>C03-M072</x:v>
      </x:c>
      <x:c r="E1354" s="19" t="str">
        <x:v>黄金树化身·洛恩</x:v>
      </x:c>
      <x:c r="F1354" s="19" t="str">
        <x:v>地图BOSS</x:v>
      </x:c>
      <x:c r="G1354" s="19" t="str">
        <x:v>材料独立候选</x:v>
      </x:c>
      <x:c r="H1354" s="19" t="str">
        <x:v>黄金树芽</x:v>
      </x:c>
      <x:c r="I1354" s="22" t="n">
        <x:v>1000</x:v>
      </x:c>
      <x:c r="J1354" s="22" t="n">
        <x:v>1</x:v>
      </x:c>
      <x:c r="K1354" s="19" t="n">
        <x:v>1</x:v>
      </x:c>
      <x:c r="L1354" s="24" t="n">
        <x:v>17.25</x:v>
      </x:c>
      <x:c r="M1354" s="26" t="n">
        <x:v>0.1</x:v>
      </x:c>
      <x:c r="N1354" s="24" t="n">
        <x:v>2</x:v>
      </x:c>
      <x:c r="O1354" s="28" t="n">
        <x:f>MIN(1,L1354/I1354)</x:f>
        <x:v>0.01725</x:v>
      </x:c>
      <x:c r="P1354" s="30" t="n">
        <x:f>O1354*J1354*(1+M1354)</x:f>
        <x:v>0.018975000000000002</x:v>
      </x:c>
      <x:c r="Q1354" s="30" t="n">
        <x:f>P1354*N1354</x:f>
        <x:v>0.037950000000000005</x:v>
      </x:c>
      <x:c r="R1354" s="19" t="str">
        <x:v>独立判定</x:v>
      </x:c>
    </x:row>
    <x:row r="1355" ht="19" customHeight="1">
      <x:c r="A1355" s="19" t="str">
        <x:v>D01351</x:v>
      </x:c>
      <x:c r="B1355" s="19" t="n">
        <x:v>3</x:v>
      </x:c>
      <x:c r="C1355" s="19" t="n">
        <x:v>6</x:v>
      </x:c>
      <x:c r="D1355" s="19" t="str">
        <x:v>C03-M072</x:v>
      </x:c>
      <x:c r="E1355" s="19" t="str">
        <x:v>黄金树化身·洛恩</x:v>
      </x:c>
      <x:c r="F1355" s="19" t="str">
        <x:v>地图BOSS</x:v>
      </x:c>
      <x:c r="G1355" s="19" t="str">
        <x:v>材料独立候选</x:v>
      </x:c>
      <x:c r="H1355" s="19" t="str">
        <x:v>野兽骨片</x:v>
      </x:c>
      <x:c r="I1355" s="22" t="n">
        <x:v>40</x:v>
      </x:c>
      <x:c r="J1355" s="22" t="n">
        <x:v>2</x:v>
      </x:c>
      <x:c r="K1355" s="19" t="n">
        <x:v>1</x:v>
      </x:c>
      <x:c r="L1355" s="24" t="n">
        <x:v>17.25</x:v>
      </x:c>
      <x:c r="M1355" s="26" t="n">
        <x:v>0.1</x:v>
      </x:c>
      <x:c r="N1355" s="24" t="n">
        <x:v>2</x:v>
      </x:c>
      <x:c r="O1355" s="28" t="n">
        <x:f>MIN(1,L1355/I1355)</x:f>
        <x:v>0.43125</x:v>
      </x:c>
      <x:c r="P1355" s="30" t="n">
        <x:f>O1355*J1355*(1+M1355)</x:f>
        <x:v>0.9487500000000001</x:v>
      </x:c>
      <x:c r="Q1355" s="30" t="n">
        <x:f>P1355*N1355</x:f>
        <x:v>1.8975000000000002</x:v>
      </x:c>
      <x:c r="R1355" s="19" t="str">
        <x:v>独立判定</x:v>
      </x:c>
    </x:row>
    <x:row r="1356" ht="19" customHeight="1">
      <x:c r="A1356" s="19" t="str">
        <x:v>D01352</x:v>
      </x:c>
      <x:c r="B1356" s="19" t="n">
        <x:v>3</x:v>
      </x:c>
      <x:c r="C1356" s="19" t="n">
        <x:v>6</x:v>
      </x:c>
      <x:c r="D1356" s="19" t="str">
        <x:v>C03-M072</x:v>
      </x:c>
      <x:c r="E1356" s="19" t="str">
        <x:v>黄金树化身·洛恩</x:v>
      </x:c>
      <x:c r="F1356" s="19" t="str">
        <x:v>地图BOSS</x:v>
      </x:c>
      <x:c r="G1356" s="19" t="str">
        <x:v>材料独立候选</x:v>
      </x:c>
      <x:c r="H1356" s="19" t="str">
        <x:v>技能残页</x:v>
      </x:c>
      <x:c r="I1356" s="22" t="n">
        <x:v>100</x:v>
      </x:c>
      <x:c r="J1356" s="22" t="n">
        <x:v>1</x:v>
      </x:c>
      <x:c r="K1356" s="19" t="n">
        <x:v>1</x:v>
      </x:c>
      <x:c r="L1356" s="24" t="n">
        <x:v>17.25</x:v>
      </x:c>
      <x:c r="M1356" s="26" t="n">
        <x:v>0.1</x:v>
      </x:c>
      <x:c r="N1356" s="24" t="n">
        <x:v>2</x:v>
      </x:c>
      <x:c r="O1356" s="28" t="n">
        <x:f>MIN(1,L1356/I1356)</x:f>
        <x:v>0.1725</x:v>
      </x:c>
      <x:c r="P1356" s="30" t="n">
        <x:f>O1356*J1356*(1+M1356)</x:f>
        <x:v>0.18975</x:v>
      </x:c>
      <x:c r="Q1356" s="30" t="n">
        <x:f>P1356*N1356</x:f>
        <x:v>0.3795</x:v>
      </x:c>
      <x:c r="R1356" s="19" t="str">
        <x:v>独立判定</x:v>
      </x:c>
    </x:row>
    <x:row r="1357" ht="19" customHeight="1">
      <x:c r="A1357" s="19" t="str">
        <x:v>D01353</x:v>
      </x:c>
      <x:c r="B1357" s="19" t="n">
        <x:v>3</x:v>
      </x:c>
      <x:c r="C1357" s="19" t="n">
        <x:v>6</x:v>
      </x:c>
      <x:c r="D1357" s="19" t="str">
        <x:v>C03-M072</x:v>
      </x:c>
      <x:c r="E1357" s="19" t="str">
        <x:v>黄金树化身·洛恩</x:v>
      </x:c>
      <x:c r="F1357" s="19" t="str">
        <x:v>地图BOSS</x:v>
      </x:c>
      <x:c r="G1357" s="19" t="str">
        <x:v>材料独立候选</x:v>
      </x:c>
      <x:c r="H1357" s="19" t="str">
        <x:v>宁姆格福誓页</x:v>
      </x:c>
      <x:c r="I1357" s="22" t="n">
        <x:v>200</x:v>
      </x:c>
      <x:c r="J1357" s="22" t="n">
        <x:v>1</x:v>
      </x:c>
      <x:c r="K1357" s="19" t="n">
        <x:v>1</x:v>
      </x:c>
      <x:c r="L1357" s="24" t="n">
        <x:v>17.25</x:v>
      </x:c>
      <x:c r="M1357" s="26" t="n">
        <x:v>0.1</x:v>
      </x:c>
      <x:c r="N1357" s="24" t="n">
        <x:v>2</x:v>
      </x:c>
      <x:c r="O1357" s="28" t="n">
        <x:f>MIN(1,L1357/I1357)</x:f>
        <x:v>0.08625</x:v>
      </x:c>
      <x:c r="P1357" s="30" t="n">
        <x:f>O1357*J1357*(1+M1357)</x:f>
        <x:v>0.094875</x:v>
      </x:c>
      <x:c r="Q1357" s="30" t="n">
        <x:f>P1357*N1357</x:f>
        <x:v>0.18975</x:v>
      </x:c>
      <x:c r="R1357" s="19" t="str">
        <x:v>独立判定</x:v>
      </x:c>
    </x:row>
    <x:row r="1358" ht="19" customHeight="1">
      <x:c r="A1358" s="19" t="str">
        <x:v>D01354</x:v>
      </x:c>
      <x:c r="B1358" s="19" t="n">
        <x:v>3</x:v>
      </x:c>
      <x:c r="C1358" s="19" t="n">
        <x:v>6</x:v>
      </x:c>
      <x:c r="D1358" s="19" t="str">
        <x:v>C03-M072</x:v>
      </x:c>
      <x:c r="E1358" s="19" t="str">
        <x:v>黄金树化身·洛恩</x:v>
      </x:c>
      <x:c r="F1358" s="19" t="str">
        <x:v>地图BOSS</x:v>
      </x:c>
      <x:c r="G1358" s="19" t="str">
        <x:v>材料独立候选</x:v>
      </x:c>
      <x:c r="H1358" s="19" t="str">
        <x:v>小卢恩</x:v>
      </x:c>
      <x:c r="I1358" s="22" t="n">
        <x:v>1500</x:v>
      </x:c>
      <x:c r="J1358" s="22" t="n">
        <x:v>1</x:v>
      </x:c>
      <x:c r="K1358" s="19" t="n">
        <x:v>1</x:v>
      </x:c>
      <x:c r="L1358" s="24" t="n">
        <x:v>17.25</x:v>
      </x:c>
      <x:c r="M1358" s="26" t="n">
        <x:v>0.1</x:v>
      </x:c>
      <x:c r="N1358" s="24" t="n">
        <x:v>2</x:v>
      </x:c>
      <x:c r="O1358" s="28" t="n">
        <x:f>MIN(1,L1358/I1358)</x:f>
        <x:v>0.0115</x:v>
      </x:c>
      <x:c r="P1358" s="30" t="n">
        <x:f>O1358*J1358*(1+M1358)</x:f>
        <x:v>0.012650000000000002</x:v>
      </x:c>
      <x:c r="Q1358" s="30" t="n">
        <x:f>P1358*N1358</x:f>
        <x:v>0.025300000000000003</x:v>
      </x:c>
      <x:c r="R1358" s="19" t="str">
        <x:v>独立判定</x:v>
      </x:c>
    </x:row>
    <x:row r="1359" ht="19" customHeight="1">
      <x:c r="A1359" s="19" t="str">
        <x:v>D01355</x:v>
      </x:c>
      <x:c r="B1359" s="19" t="n">
        <x:v>3</x:v>
      </x:c>
      <x:c r="C1359" s="19" t="n">
        <x:v>6</x:v>
      </x:c>
      <x:c r="D1359" s="19" t="str">
        <x:v>C03-M072</x:v>
      </x:c>
      <x:c r="E1359" s="19" t="str">
        <x:v>黄金树化身·洛恩</x:v>
      </x:c>
      <x:c r="F1359" s="19" t="str">
        <x:v>地图BOSS</x:v>
      </x:c>
      <x:c r="G1359" s="19" t="str">
        <x:v>材料独立候选</x:v>
      </x:c>
      <x:c r="H1359" s="19" t="str">
        <x:v>大卢恩</x:v>
      </x:c>
      <x:c r="I1359" s="22" t="n">
        <x:v>150</x:v>
      </x:c>
      <x:c r="J1359" s="22" t="n">
        <x:v>1</x:v>
      </x:c>
      <x:c r="K1359" s="19" t="n">
        <x:v>1</x:v>
      </x:c>
      <x:c r="L1359" s="24" t="n">
        <x:v>17.25</x:v>
      </x:c>
      <x:c r="M1359" s="26" t="n">
        <x:v>0.1</x:v>
      </x:c>
      <x:c r="N1359" s="24" t="n">
        <x:v>2</x:v>
      </x:c>
      <x:c r="O1359" s="28" t="n">
        <x:f>MIN(1,L1359/I1359)</x:f>
        <x:v>0.115</x:v>
      </x:c>
      <x:c r="P1359" s="30" t="n">
        <x:f>O1359*J1359*(1+M1359)</x:f>
        <x:v>0.12650000000000003</x:v>
      </x:c>
      <x:c r="Q1359" s="30" t="n">
        <x:f>P1359*N1359</x:f>
        <x:v>0.25300000000000006</x:v>
      </x:c>
      <x:c r="R1359" s="19" t="str">
        <x:v>独立判定</x:v>
      </x:c>
    </x:row>
    <x:row r="1360" ht="19" customHeight="1">
      <x:c r="A1360" s="19" t="str">
        <x:v>D01356</x:v>
      </x:c>
      <x:c r="B1360" s="19" t="n">
        <x:v>3</x:v>
      </x:c>
      <x:c r="C1360" s="19" t="n">
        <x:v>6</x:v>
      </x:c>
      <x:c r="D1360" s="19" t="str">
        <x:v>C03-M072</x:v>
      </x:c>
      <x:c r="E1360" s="19" t="str">
        <x:v>黄金树化身·洛恩</x:v>
      </x:c>
      <x:c r="F1360" s="19" t="str">
        <x:v>地图BOSS</x:v>
      </x:c>
      <x:c r="G1360" s="19" t="str">
        <x:v>六神器公共池</x:v>
      </x:c>
      <x:c r="H1360" s="19" t="str">
        <x:v>POOL006</x:v>
      </x:c>
      <x:c r="I1360" s="22" t="n">
        <x:v>200000</x:v>
      </x:c>
      <x:c r="J1360" s="22" t="n">
        <x:v>1</x:v>
      </x:c>
      <x:c r="K1360" s="19" t="n">
        <x:v>6</x:v>
      </x:c>
      <x:c r="L1360" s="24" t="n">
        <x:v>17.25</x:v>
      </x:c>
      <x:c r="M1360" s="26" t="n">
        <x:v>0.1</x:v>
      </x:c>
      <x:c r="N1360" s="24" t="n">
        <x:v>2</x:v>
      </x:c>
      <x:c r="O1360" s="28" t="n">
        <x:f>MIN(1,L1360/I1360)</x:f>
        <x:v>0.00008625</x:v>
      </x:c>
      <x:c r="P1360" s="30" t="n">
        <x:f>O1360*J1360*(1+M1360)</x:f>
        <x:v>0.000094875</x:v>
      </x:c>
      <x:c r="Q1360" s="30" t="n">
        <x:f>P1360*N1360</x:f>
        <x:v>0.00018975</x:v>
      </x:c>
      <x:c r="R1360" s="19" t="str">
        <x:v>六选一；非6个独立爆率</x:v>
      </x:c>
    </x:row>
    <x:row r="1361" ht="19" customHeight="1">
      <x:c r="A1361" s="19" t="str">
        <x:v>D01357</x:v>
      </x:c>
      <x:c r="B1361" s="19" t="n">
        <x:v>3</x:v>
      </x:c>
      <x:c r="C1361" s="19" t="n">
        <x:v>6</x:v>
      </x:c>
      <x:c r="D1361" s="19" t="str">
        <x:v>C03-M073</x:v>
      </x:c>
      <x:c r="E1361" s="19" t="str">
        <x:v>西境征服者·戈德里安</x:v>
      </x:c>
      <x:c r="F1361" s="19" t="str">
        <x:v>守关BOSS</x:v>
      </x:c>
      <x:c r="G1361" s="19" t="str">
        <x:v>自身专属</x:v>
      </x:c>
      <x:c r="H1361" s="19" t="str">
        <x:v>西境征服冠</x:v>
      </x:c>
      <x:c r="I1361" s="22" t="n">
        <x:v>60</x:v>
      </x:c>
      <x:c r="J1361" s="22" t="n">
        <x:v>1</x:v>
      </x:c>
      <x:c r="K1361" s="19" t="n">
        <x:v>1</x:v>
      </x:c>
      <x:c r="L1361" s="24" t="n">
        <x:v>17.25</x:v>
      </x:c>
      <x:c r="M1361" s="26" t="n">
        <x:v>0.1</x:v>
      </x:c>
      <x:c r="N1361" s="24" t="n">
        <x:v>0</x:v>
      </x:c>
      <x:c r="O1361" s="28" t="n">
        <x:f>MIN(1,L1361/I1361)</x:f>
        <x:v>0.2875</x:v>
      </x:c>
      <x:c r="P1361" s="30" t="n">
        <x:f>O1361*J1361*(1+M1361)</x:f>
        <x:v>0.31625</x:v>
      </x:c>
      <x:c r="Q1361" s="30" t="n">
        <x:f>P1361*N1361</x:f>
        <x:v>0</x:v>
      </x:c>
      <x:c r="R1361" s="19" t="str">
        <x:v>独立判定</x:v>
      </x:c>
    </x:row>
    <x:row r="1362" ht="19" customHeight="1">
      <x:c r="A1362" s="19" t="str">
        <x:v>D01358</x:v>
      </x:c>
      <x:c r="B1362" s="19" t="n">
        <x:v>3</x:v>
      </x:c>
      <x:c r="C1362" s="19" t="n">
        <x:v>6</x:v>
      </x:c>
      <x:c r="D1362" s="19" t="str">
        <x:v>C03-M073</x:v>
      </x:c>
      <x:c r="E1362" s="19" t="str">
        <x:v>西境征服者·戈德里安</x:v>
      </x:c>
      <x:c r="F1362" s="19" t="str">
        <x:v>守关BOSS</x:v>
      </x:c>
      <x:c r="G1362" s="19" t="str">
        <x:v>自身专属</x:v>
      </x:c>
      <x:c r="H1362" s="19" t="str">
        <x:v>征风仪刃</x:v>
      </x:c>
      <x:c r="I1362" s="22" t="n">
        <x:v>60</x:v>
      </x:c>
      <x:c r="J1362" s="22" t="n">
        <x:v>1</x:v>
      </x:c>
      <x:c r="K1362" s="19" t="n">
        <x:v>1</x:v>
      </x:c>
      <x:c r="L1362" s="24" t="n">
        <x:v>17.25</x:v>
      </x:c>
      <x:c r="M1362" s="26" t="n">
        <x:v>0.1</x:v>
      </x:c>
      <x:c r="N1362" s="24" t="n">
        <x:v>0</x:v>
      </x:c>
      <x:c r="O1362" s="28" t="n">
        <x:f>MIN(1,L1362/I1362)</x:f>
        <x:v>0.2875</x:v>
      </x:c>
      <x:c r="P1362" s="30" t="n">
        <x:f>O1362*J1362*(1+M1362)</x:f>
        <x:v>0.31625</x:v>
      </x:c>
      <x:c r="Q1362" s="30" t="n">
        <x:f>P1362*N1362</x:f>
        <x:v>0</x:v>
      </x:c>
      <x:c r="R1362" s="19" t="str">
        <x:v>独立判定</x:v>
      </x:c>
    </x:row>
    <x:row r="1363" ht="19" customHeight="1">
      <x:c r="A1363" s="19" t="str">
        <x:v>D01359</x:v>
      </x:c>
      <x:c r="B1363" s="19" t="n">
        <x:v>3</x:v>
      </x:c>
      <x:c r="C1363" s="19" t="n">
        <x:v>6</x:v>
      </x:c>
      <x:c r="D1363" s="19" t="str">
        <x:v>C03-M073</x:v>
      </x:c>
      <x:c r="E1363" s="19" t="str">
        <x:v>西境征服者·戈德里安</x:v>
      </x:c>
      <x:c r="F1363" s="19" t="str">
        <x:v>守关BOSS</x:v>
      </x:c>
      <x:c r="G1363" s="19" t="str">
        <x:v>自身专属</x:v>
      </x:c>
      <x:c r="H1363" s="19" t="str">
        <x:v>失旗王袍</x:v>
      </x:c>
      <x:c r="I1363" s="22" t="n">
        <x:v>60</x:v>
      </x:c>
      <x:c r="J1363" s="22" t="n">
        <x:v>1</x:v>
      </x:c>
      <x:c r="K1363" s="19" t="n">
        <x:v>1</x:v>
      </x:c>
      <x:c r="L1363" s="24" t="n">
        <x:v>17.25</x:v>
      </x:c>
      <x:c r="M1363" s="26" t="n">
        <x:v>0.1</x:v>
      </x:c>
      <x:c r="N1363" s="24" t="n">
        <x:v>0</x:v>
      </x:c>
      <x:c r="O1363" s="28" t="n">
        <x:f>MIN(1,L1363/I1363)</x:f>
        <x:v>0.2875</x:v>
      </x:c>
      <x:c r="P1363" s="30" t="n">
        <x:f>O1363*J1363*(1+M1363)</x:f>
        <x:v>0.31625</x:v>
      </x:c>
      <x:c r="Q1363" s="30" t="n">
        <x:f>P1363*N1363</x:f>
        <x:v>0</x:v>
      </x:c>
      <x:c r="R1363" s="19" t="str">
        <x:v>独立判定</x:v>
      </x:c>
    </x:row>
    <x:row r="1364" ht="19" customHeight="1">
      <x:c r="A1364" s="19" t="str">
        <x:v>D01360</x:v>
      </x:c>
      <x:c r="B1364" s="19" t="n">
        <x:v>3</x:v>
      </x:c>
      <x:c r="C1364" s="19" t="n">
        <x:v>6</x:v>
      </x:c>
      <x:c r="D1364" s="19" t="str">
        <x:v>C03-M073</x:v>
      </x:c>
      <x:c r="E1364" s="19" t="str">
        <x:v>西境征服者·戈德里安</x:v>
      </x:c>
      <x:c r="F1364" s="19" t="str">
        <x:v>守关BOSS</x:v>
      </x:c>
      <x:c r="G1364" s="19" t="str">
        <x:v>本图普通兼掉候选</x:v>
      </x:c>
      <x:c r="H1364" s="19" t="str">
        <x:v>POOL023</x:v>
      </x:c>
      <x:c r="I1364" s="22" t="n">
        <x:v>40</x:v>
      </x:c>
      <x:c r="J1364" s="22" t="n">
        <x:v>1</x:v>
      </x:c>
      <x:c r="K1364" s="19" t="n">
        <x:v>2</x:v>
      </x:c>
      <x:c r="L1364" s="24" t="n">
        <x:v>17.25</x:v>
      </x:c>
      <x:c r="M1364" s="26" t="n">
        <x:v>0.1</x:v>
      </x:c>
      <x:c r="N1364" s="24" t="n">
        <x:v>0</x:v>
      </x:c>
      <x:c r="O1364" s="28" t="n">
        <x:f>MIN(1,L1364/I1364)</x:f>
        <x:v>0.43125</x:v>
      </x:c>
      <x:c r="P1364" s="30" t="n">
        <x:f>O1364*J1364*(1+M1364)</x:f>
        <x:v>0.47437500000000005</x:v>
      </x:c>
      <x:c r="Q1364" s="30" t="n">
        <x:f>P1364*N1364</x:f>
        <x:v>0</x:v>
      </x:c>
      <x:c r="R1364" s="19" t="str">
        <x:v>单池选一</x:v>
      </x:c>
    </x:row>
    <x:row r="1365" ht="19" customHeight="1">
      <x:c r="A1365" s="19" t="str">
        <x:v>D01361</x:v>
      </x:c>
      <x:c r="B1365" s="19" t="n">
        <x:v>3</x:v>
      </x:c>
      <x:c r="C1365" s="19" t="n">
        <x:v>6</x:v>
      </x:c>
      <x:c r="D1365" s="19" t="str">
        <x:v>C03-M073</x:v>
      </x:c>
      <x:c r="E1365" s="19" t="str">
        <x:v>西境征服者·戈德里安</x:v>
      </x:c>
      <x:c r="F1365" s="19" t="str">
        <x:v>守关BOSS</x:v>
      </x:c>
      <x:c r="G1365" s="19" t="str">
        <x:v>材料独立候选</x:v>
      </x:c>
      <x:c r="H1365" s="19" t="str">
        <x:v>风蚀铁片</x:v>
      </x:c>
      <x:c r="I1365" s="22" t="n">
        <x:v>1</x:v>
      </x:c>
      <x:c r="J1365" s="22" t="n">
        <x:v>40</x:v>
      </x:c>
      <x:c r="K1365" s="19" t="n">
        <x:v>1</x:v>
      </x:c>
      <x:c r="L1365" s="24" t="n">
        <x:v>17.25</x:v>
      </x:c>
      <x:c r="M1365" s="26" t="n">
        <x:v>0.1</x:v>
      </x:c>
      <x:c r="N1365" s="24" t="n">
        <x:v>0</x:v>
      </x:c>
      <x:c r="O1365" s="28" t="n">
        <x:f>MIN(1,L1365/I1365)</x:f>
        <x:v>1</x:v>
      </x:c>
      <x:c r="P1365" s="30" t="n">
        <x:f>O1365*J1365*(1+M1365)</x:f>
        <x:v>44</x:v>
      </x:c>
      <x:c r="Q1365" s="30" t="n">
        <x:f>P1365*N1365</x:f>
        <x:v>0</x:v>
      </x:c>
      <x:c r="R1365" s="19" t="str">
        <x:v>独立判定</x:v>
      </x:c>
    </x:row>
    <x:row r="1366" ht="19" customHeight="1">
      <x:c r="A1366" s="19" t="str">
        <x:v>D01362</x:v>
      </x:c>
      <x:c r="B1366" s="19" t="n">
        <x:v>3</x:v>
      </x:c>
      <x:c r="C1366" s="19" t="n">
        <x:v>6</x:v>
      </x:c>
      <x:c r="D1366" s="19" t="str">
        <x:v>C03-M073</x:v>
      </x:c>
      <x:c r="E1366" s="19" t="str">
        <x:v>西境征服者·戈德里安</x:v>
      </x:c>
      <x:c r="F1366" s="19" t="str">
        <x:v>守关BOSS</x:v>
      </x:c>
      <x:c r="G1366" s="19" t="str">
        <x:v>材料独立候选</x:v>
      </x:c>
      <x:c r="H1366" s="19" t="str">
        <x:v>西境战旗</x:v>
      </x:c>
      <x:c r="I1366" s="22" t="n">
        <x:v>1</x:v>
      </x:c>
      <x:c r="J1366" s="22" t="n">
        <x:v>1</x:v>
      </x:c>
      <x:c r="K1366" s="19" t="n">
        <x:v>1</x:v>
      </x:c>
      <x:c r="L1366" s="24" t="n">
        <x:v>17.25</x:v>
      </x:c>
      <x:c r="M1366" s="26" t="n">
        <x:v>0.1</x:v>
      </x:c>
      <x:c r="N1366" s="24" t="n">
        <x:v>0</x:v>
      </x:c>
      <x:c r="O1366" s="28" t="n">
        <x:f>MIN(1,L1366/I1366)</x:f>
        <x:v>1</x:v>
      </x:c>
      <x:c r="P1366" s="30" t="n">
        <x:f>O1366*J1366*(1+M1366)</x:f>
        <x:v>1.1</x:v>
      </x:c>
      <x:c r="Q1366" s="30" t="n">
        <x:f>P1366*N1366</x:f>
        <x:v>0</x:v>
      </x:c>
      <x:c r="R1366" s="19" t="str">
        <x:v>独立判定</x:v>
      </x:c>
    </x:row>
    <x:row r="1367" ht="19" customHeight="1">
      <x:c r="A1367" s="19" t="str">
        <x:v>D01363</x:v>
      </x:c>
      <x:c r="B1367" s="19" t="n">
        <x:v>3</x:v>
      </x:c>
      <x:c r="C1367" s="19" t="n">
        <x:v>6</x:v>
      </x:c>
      <x:c r="D1367" s="19" t="str">
        <x:v>C03-M073</x:v>
      </x:c>
      <x:c r="E1367" s="19" t="str">
        <x:v>西境征服者·戈德里安</x:v>
      </x:c>
      <x:c r="F1367" s="19" t="str">
        <x:v>守关BOSS</x:v>
      </x:c>
      <x:c r="G1367" s="19" t="str">
        <x:v>材料独立候选</x:v>
      </x:c>
      <x:c r="H1367" s="19" t="str">
        <x:v>西境战旗印</x:v>
      </x:c>
      <x:c r="I1367" s="22" t="n">
        <x:v>1</x:v>
      </x:c>
      <x:c r="J1367" s="22" t="n">
        <x:v>1</x:v>
      </x:c>
      <x:c r="K1367" s="19" t="n">
        <x:v>1</x:v>
      </x:c>
      <x:c r="L1367" s="24" t="n">
        <x:v>17.25</x:v>
      </x:c>
      <x:c r="M1367" s="26" t="n">
        <x:v>0.1</x:v>
      </x:c>
      <x:c r="N1367" s="24" t="n">
        <x:v>0</x:v>
      </x:c>
      <x:c r="O1367" s="28" t="n">
        <x:f>MIN(1,L1367/I1367)</x:f>
        <x:v>1</x:v>
      </x:c>
      <x:c r="P1367" s="30" t="n">
        <x:f>O1367*J1367*(1+M1367)</x:f>
        <x:v>1.1</x:v>
      </x:c>
      <x:c r="Q1367" s="30" t="n">
        <x:f>P1367*N1367</x:f>
        <x:v>0</x:v>
      </x:c>
      <x:c r="R1367" s="19" t="str">
        <x:v>独立判定</x:v>
      </x:c>
    </x:row>
    <x:row r="1368" ht="19" customHeight="1">
      <x:c r="A1368" s="19" t="str">
        <x:v>D01364</x:v>
      </x:c>
      <x:c r="B1368" s="19" t="n">
        <x:v>3</x:v>
      </x:c>
      <x:c r="C1368" s="19" t="n">
        <x:v>6</x:v>
      </x:c>
      <x:c r="D1368" s="19" t="str">
        <x:v>C03-M073</x:v>
      </x:c>
      <x:c r="E1368" s="19" t="str">
        <x:v>西境征服者·戈德里安</x:v>
      </x:c>
      <x:c r="F1368" s="19" t="str">
        <x:v>守关BOSS</x:v>
      </x:c>
      <x:c r="G1368" s="19" t="str">
        <x:v>材料独立候选</x:v>
      </x:c>
      <x:c r="H1368" s="19" t="str">
        <x:v>哨垒旗冠</x:v>
      </x:c>
      <x:c r="I1368" s="22" t="n">
        <x:v>1</x:v>
      </x:c>
      <x:c r="J1368" s="22" t="n">
        <x:v>1</x:v>
      </x:c>
      <x:c r="K1368" s="19" t="n">
        <x:v>1</x:v>
      </x:c>
      <x:c r="L1368" s="24" t="n">
        <x:v>17.25</x:v>
      </x:c>
      <x:c r="M1368" s="26" t="n">
        <x:v>0.1</x:v>
      </x:c>
      <x:c r="N1368" s="24" t="n">
        <x:v>0</x:v>
      </x:c>
      <x:c r="O1368" s="28" t="n">
        <x:f>MIN(1,L1368/I1368)</x:f>
        <x:v>1</x:v>
      </x:c>
      <x:c r="P1368" s="30" t="n">
        <x:f>O1368*J1368*(1+M1368)</x:f>
        <x:v>1.1</x:v>
      </x:c>
      <x:c r="Q1368" s="30" t="n">
        <x:f>P1368*N1368</x:f>
        <x:v>0</x:v>
      </x:c>
      <x:c r="R1368" s="19" t="str">
        <x:v>独立判定</x:v>
      </x:c>
    </x:row>
    <x:row r="1369" ht="19" customHeight="1">
      <x:c r="A1369" s="19" t="str">
        <x:v>D01365</x:v>
      </x:c>
      <x:c r="B1369" s="19" t="n">
        <x:v>3</x:v>
      </x:c>
      <x:c r="C1369" s="19" t="n">
        <x:v>6</x:v>
      </x:c>
      <x:c r="D1369" s="19" t="str">
        <x:v>C03-M073</x:v>
      </x:c>
      <x:c r="E1369" s="19" t="str">
        <x:v>西境征服者·戈德里安</x:v>
      </x:c>
      <x:c r="F1369" s="19" t="str">
        <x:v>守关BOSS</x:v>
      </x:c>
      <x:c r="G1369" s="19" t="str">
        <x:v>材料独立候选</x:v>
      </x:c>
      <x:c r="H1369" s="19" t="str">
        <x:v>西境风痕碑拓</x:v>
      </x:c>
      <x:c r="I1369" s="22" t="n">
        <x:v>4000</x:v>
      </x:c>
      <x:c r="J1369" s="22" t="n">
        <x:v>1</x:v>
      </x:c>
      <x:c r="K1369" s="19" t="n">
        <x:v>1</x:v>
      </x:c>
      <x:c r="L1369" s="24" t="n">
        <x:v>17.25</x:v>
      </x:c>
      <x:c r="M1369" s="26" t="n">
        <x:v>0.1</x:v>
      </x:c>
      <x:c r="N1369" s="24" t="n">
        <x:v>0</x:v>
      </x:c>
      <x:c r="O1369" s="28" t="n">
        <x:f>MIN(1,L1369/I1369)</x:f>
        <x:v>0.0043125</x:v>
      </x:c>
      <x:c r="P1369" s="30" t="n">
        <x:f>O1369*J1369*(1+M1369)</x:f>
        <x:v>0.004743750000000001</x:v>
      </x:c>
      <x:c r="Q1369" s="30" t="n">
        <x:f>P1369*N1369</x:f>
        <x:v>0</x:v>
      </x:c>
      <x:c r="R1369" s="19" t="str">
        <x:v>独立判定</x:v>
      </x:c>
    </x:row>
    <x:row r="1370" ht="19" customHeight="1">
      <x:c r="A1370" s="19" t="str">
        <x:v>D01366</x:v>
      </x:c>
      <x:c r="B1370" s="19" t="n">
        <x:v>3</x:v>
      </x:c>
      <x:c r="C1370" s="19" t="n">
        <x:v>6</x:v>
      </x:c>
      <x:c r="D1370" s="19" t="str">
        <x:v>C03-M073</x:v>
      </x:c>
      <x:c r="E1370" s="19" t="str">
        <x:v>西境征服者·戈德里安</x:v>
      </x:c>
      <x:c r="F1370" s="19" t="str">
        <x:v>守关BOSS</x:v>
      </x:c>
      <x:c r="G1370" s="19" t="str">
        <x:v>材料独立候选</x:v>
      </x:c>
      <x:c r="H1370" s="19" t="str">
        <x:v>黄金树芽</x:v>
      </x:c>
      <x:c r="I1370" s="22" t="n">
        <x:v>1</x:v>
      </x:c>
      <x:c r="J1370" s="22" t="n">
        <x:v>1</x:v>
      </x:c>
      <x:c r="K1370" s="19" t="n">
        <x:v>1</x:v>
      </x:c>
      <x:c r="L1370" s="24" t="n">
        <x:v>17.25</x:v>
      </x:c>
      <x:c r="M1370" s="26" t="n">
        <x:v>0.1</x:v>
      </x:c>
      <x:c r="N1370" s="24" t="n">
        <x:v>0</x:v>
      </x:c>
      <x:c r="O1370" s="28" t="n">
        <x:f>MIN(1,L1370/I1370)</x:f>
        <x:v>1</x:v>
      </x:c>
      <x:c r="P1370" s="30" t="n">
        <x:f>O1370*J1370*(1+M1370)</x:f>
        <x:v>1.1</x:v>
      </x:c>
      <x:c r="Q1370" s="30" t="n">
        <x:f>P1370*N1370</x:f>
        <x:v>0</x:v>
      </x:c>
      <x:c r="R1370" s="19" t="str">
        <x:v>独立判定</x:v>
      </x:c>
    </x:row>
    <x:row r="1371" ht="19" customHeight="1">
      <x:c r="A1371" s="19" t="str">
        <x:v>D01367</x:v>
      </x:c>
      <x:c r="B1371" s="19" t="n">
        <x:v>3</x:v>
      </x:c>
      <x:c r="C1371" s="19" t="n">
        <x:v>6</x:v>
      </x:c>
      <x:c r="D1371" s="19" t="str">
        <x:v>C03-M073</x:v>
      </x:c>
      <x:c r="E1371" s="19" t="str">
        <x:v>西境征服者·戈德里安</x:v>
      </x:c>
      <x:c r="F1371" s="19" t="str">
        <x:v>守关BOSS</x:v>
      </x:c>
      <x:c r="G1371" s="19" t="str">
        <x:v>六神器公共池</x:v>
      </x:c>
      <x:c r="H1371" s="19" t="str">
        <x:v>POOL006</x:v>
      </x:c>
      <x:c r="I1371" s="22" t="n">
        <x:v>40000</x:v>
      </x:c>
      <x:c r="J1371" s="22" t="n">
        <x:v>1</x:v>
      </x:c>
      <x:c r="K1371" s="19" t="n">
        <x:v>6</x:v>
      </x:c>
      <x:c r="L1371" s="24" t="n">
        <x:v>17.25</x:v>
      </x:c>
      <x:c r="M1371" s="26" t="n">
        <x:v>0.1</x:v>
      </x:c>
      <x:c r="N1371" s="24" t="n">
        <x:v>0</x:v>
      </x:c>
      <x:c r="O1371" s="28" t="n">
        <x:f>MIN(1,L1371/I1371)</x:f>
        <x:v>0.00043125</x:v>
      </x:c>
      <x:c r="P1371" s="30" t="n">
        <x:f>O1371*J1371*(1+M1371)</x:f>
        <x:v>0.000474375</x:v>
      </x:c>
      <x:c r="Q1371" s="30" t="n">
        <x:f>P1371*N1371</x:f>
        <x:v>0</x:v>
      </x:c>
      <x:c r="R1371" s="19" t="str">
        <x:v>六选一；非6个独立爆率</x:v>
      </x:c>
    </x:row>
    <x:row r="1372" ht="19" customHeight="1">
      <x:c r="A1372" s="19" t="str">
        <x:v>D01368</x:v>
      </x:c>
      <x:c r="B1372" s="19" t="n">
        <x:v>4</x:v>
      </x:c>
      <x:c r="C1372" s="19" t="n">
        <x:v>1</x:v>
      </x:c>
      <x:c r="D1372" s="19" t="str">
        <x:v>C04-M001</x:v>
      </x:c>
      <x:c r="E1372" s="19" t="str">
        <x:v>雾脚泥蛙</x:v>
      </x:c>
      <x:c r="F1372" s="19" t="str">
        <x:v>普通</x:v>
      </x:c>
      <x:c r="G1372" s="19" t="str">
        <x:v>自身专属</x:v>
      </x:c>
      <x:c r="H1372" s="19" t="str">
        <x:v>雾脚蹼靴</x:v>
      </x:c>
      <x:c r="I1372" s="22" t="n">
        <x:v>1200</x:v>
      </x:c>
      <x:c r="J1372" s="22" t="n">
        <x:v>1</x:v>
      </x:c>
      <x:c r="K1372" s="19" t="n">
        <x:v>1</x:v>
      </x:c>
      <x:c r="L1372" s="24" t="n">
        <x:v>17.25</x:v>
      </x:c>
      <x:c r="M1372" s="26" t="n">
        <x:v>0.1</x:v>
      </x:c>
      <x:c r="N1372" s="24" t="n">
        <x:v>72</x:v>
      </x:c>
      <x:c r="O1372" s="28" t="n">
        <x:f>MIN(1,L1372/I1372)</x:f>
        <x:v>0.014375</x:v>
      </x:c>
      <x:c r="P1372" s="30" t="n">
        <x:f>O1372*J1372*(1+M1372)</x:f>
        <x:v>0.015812500000000004</x:v>
      </x:c>
      <x:c r="Q1372" s="30" t="n">
        <x:f>P1372*N1372</x:f>
        <x:v>1.1385000000000003</x:v>
      </x:c>
      <x:c r="R1372" s="19" t="str">
        <x:v>独立判定</x:v>
      </x:c>
    </x:row>
    <x:row r="1373" ht="19" customHeight="1">
      <x:c r="A1373" s="19" t="str">
        <x:v>D01369</x:v>
      </x:c>
      <x:c r="B1373" s="19" t="n">
        <x:v>4</x:v>
      </x:c>
      <x:c r="C1373" s="19" t="n">
        <x:v>1</x:v>
      </x:c>
      <x:c r="D1373" s="19" t="str">
        <x:v>C04-M001</x:v>
      </x:c>
      <x:c r="E1373" s="19" t="str">
        <x:v>雾脚泥蛙</x:v>
      </x:c>
      <x:c r="F1373" s="19" t="str">
        <x:v>普通</x:v>
      </x:c>
      <x:c r="G1373" s="19" t="str">
        <x:v>材料独立候选</x:v>
      </x:c>
      <x:c r="H1373" s="19" t="str">
        <x:v>湖盐结晶</x:v>
      </x:c>
      <x:c r="I1373" s="22" t="n">
        <x:v>500</x:v>
      </x:c>
      <x:c r="J1373" s="22" t="n">
        <x:v>8</x:v>
      </x:c>
      <x:c r="K1373" s="19" t="n">
        <x:v>1</x:v>
      </x:c>
      <x:c r="L1373" s="24" t="n">
        <x:v>17.25</x:v>
      </x:c>
      <x:c r="M1373" s="26" t="n">
        <x:v>0.1</x:v>
      </x:c>
      <x:c r="N1373" s="24" t="n">
        <x:v>72</x:v>
      </x:c>
      <x:c r="O1373" s="28" t="n">
        <x:f>MIN(1,L1373/I1373)</x:f>
        <x:v>0.0345</x:v>
      </x:c>
      <x:c r="P1373" s="30" t="n">
        <x:f>O1373*J1373*(1+M1373)</x:f>
        <x:v>0.30360000000000004</x:v>
      </x:c>
      <x:c r="Q1373" s="30" t="n">
        <x:f>P1373*N1373</x:f>
        <x:v>21.8592</x:v>
      </x:c>
      <x:c r="R1373" s="19" t="str">
        <x:v>独立判定</x:v>
      </x:c>
    </x:row>
    <x:row r="1374" ht="19" customHeight="1">
      <x:c r="A1374" s="19" t="str">
        <x:v>D01370</x:v>
      </x:c>
      <x:c r="B1374" s="19" t="n">
        <x:v>4</x:v>
      </x:c>
      <x:c r="C1374" s="19" t="n">
        <x:v>1</x:v>
      </x:c>
      <x:c r="D1374" s="19" t="str">
        <x:v>C04-M001</x:v>
      </x:c>
      <x:c r="E1374" s="19" t="str">
        <x:v>雾脚泥蛙</x:v>
      </x:c>
      <x:c r="F1374" s="19" t="str">
        <x:v>普通</x:v>
      </x:c>
      <x:c r="G1374" s="19" t="str">
        <x:v>材料独立候选</x:v>
      </x:c>
      <x:c r="H1374" s="19" t="str">
        <x:v>雾潮银鳞</x:v>
      </x:c>
      <x:c r="I1374" s="22" t="n">
        <x:v>600</x:v>
      </x:c>
      <x:c r="J1374" s="22" t="n">
        <x:v>1</x:v>
      </x:c>
      <x:c r="K1374" s="19" t="n">
        <x:v>1</x:v>
      </x:c>
      <x:c r="L1374" s="24" t="n">
        <x:v>17.25</x:v>
      </x:c>
      <x:c r="M1374" s="26" t="n">
        <x:v>0.1</x:v>
      </x:c>
      <x:c r="N1374" s="24" t="n">
        <x:v>72</x:v>
      </x:c>
      <x:c r="O1374" s="28" t="n">
        <x:f>MIN(1,L1374/I1374)</x:f>
        <x:v>0.02875</x:v>
      </x:c>
      <x:c r="P1374" s="30" t="n">
        <x:f>O1374*J1374*(1+M1374)</x:f>
        <x:v>0.03162500000000001</x:v>
      </x:c>
      <x:c r="Q1374" s="30" t="n">
        <x:f>P1374*N1374</x:f>
        <x:v>2.2770000000000006</x:v>
      </x:c>
      <x:c r="R1374" s="19" t="str">
        <x:v>独立判定</x:v>
      </x:c>
    </x:row>
    <x:row r="1375" ht="19" customHeight="1">
      <x:c r="A1375" s="19" t="str">
        <x:v>D01371</x:v>
      </x:c>
      <x:c r="B1375" s="19" t="n">
        <x:v>4</x:v>
      </x:c>
      <x:c r="C1375" s="19" t="n">
        <x:v>1</x:v>
      </x:c>
      <x:c r="D1375" s="19" t="str">
        <x:v>C04-M001</x:v>
      </x:c>
      <x:c r="E1375" s="19" t="str">
        <x:v>雾脚泥蛙</x:v>
      </x:c>
      <x:c r="F1375" s="19" t="str">
        <x:v>普通</x:v>
      </x:c>
      <x:c r="G1375" s="19" t="str">
        <x:v>材料独立候选</x:v>
      </x:c>
      <x:c r="H1375" s="19" t="str">
        <x:v>月潮忆珀</x:v>
      </x:c>
      <x:c r="I1375" s="22" t="n">
        <x:v>800000</x:v>
      </x:c>
      <x:c r="J1375" s="22" t="n">
        <x:v>1</x:v>
      </x:c>
      <x:c r="K1375" s="19" t="n">
        <x:v>1</x:v>
      </x:c>
      <x:c r="L1375" s="24" t="n">
        <x:v>17.25</x:v>
      </x:c>
      <x:c r="M1375" s="26" t="n">
        <x:v>0.1</x:v>
      </x:c>
      <x:c r="N1375" s="24" t="n">
        <x:v>72</x:v>
      </x:c>
      <x:c r="O1375" s="28" t="n">
        <x:f>MIN(1,L1375/I1375)</x:f>
        <x:v>0.0000215625</x:v>
      </x:c>
      <x:c r="P1375" s="30" t="n">
        <x:f>O1375*J1375*(1+M1375)</x:f>
        <x:v>0.00002371875</x:v>
      </x:c>
      <x:c r="Q1375" s="30" t="n">
        <x:f>P1375*N1375</x:f>
        <x:v>0.00170775</x:v>
      </x:c>
      <x:c r="R1375" s="19" t="str">
        <x:v>独立判定</x:v>
      </x:c>
    </x:row>
    <x:row r="1376" ht="19" customHeight="1">
      <x:c r="A1376" s="19" t="str">
        <x:v>D01372</x:v>
      </x:c>
      <x:c r="B1376" s="19" t="n">
        <x:v>4</x:v>
      </x:c>
      <x:c r="C1376" s="19" t="n">
        <x:v>1</x:v>
      </x:c>
      <x:c r="D1376" s="19" t="str">
        <x:v>C04-M001</x:v>
      </x:c>
      <x:c r="E1376" s="19" t="str">
        <x:v>雾脚泥蛙</x:v>
      </x:c>
      <x:c r="F1376" s="19" t="str">
        <x:v>普通</x:v>
      </x:c>
      <x:c r="G1376" s="19" t="str">
        <x:v>材料独立候选</x:v>
      </x:c>
      <x:c r="H1376" s="19" t="str">
        <x:v>野兽骨片</x:v>
      </x:c>
      <x:c r="I1376" s="22" t="n">
        <x:v>80</x:v>
      </x:c>
      <x:c r="J1376" s="22" t="n">
        <x:v>2</x:v>
      </x:c>
      <x:c r="K1376" s="19" t="n">
        <x:v>1</x:v>
      </x:c>
      <x:c r="L1376" s="24" t="n">
        <x:v>17.25</x:v>
      </x:c>
      <x:c r="M1376" s="26" t="n">
        <x:v>0.1</x:v>
      </x:c>
      <x:c r="N1376" s="24" t="n">
        <x:v>72</x:v>
      </x:c>
      <x:c r="O1376" s="28" t="n">
        <x:f>MIN(1,L1376/I1376)</x:f>
        <x:v>0.215625</x:v>
      </x:c>
      <x:c r="P1376" s="30" t="n">
        <x:f>O1376*J1376*(1+M1376)</x:f>
        <x:v>0.47437500000000005</x:v>
      </x:c>
      <x:c r="Q1376" s="30" t="n">
        <x:f>P1376*N1376</x:f>
        <x:v>34.155</x:v>
      </x:c>
      <x:c r="R1376" s="19" t="str">
        <x:v>独立判定</x:v>
      </x:c>
    </x:row>
    <x:row r="1377" ht="19" customHeight="1">
      <x:c r="A1377" s="19" t="str">
        <x:v>D01373</x:v>
      </x:c>
      <x:c r="B1377" s="19" t="n">
        <x:v>4</x:v>
      </x:c>
      <x:c r="C1377" s="19" t="n">
        <x:v>1</x:v>
      </x:c>
      <x:c r="D1377" s="19" t="str">
        <x:v>C04-M001</x:v>
      </x:c>
      <x:c r="E1377" s="19" t="str">
        <x:v>雾脚泥蛙</x:v>
      </x:c>
      <x:c r="F1377" s="19" t="str">
        <x:v>普通</x:v>
      </x:c>
      <x:c r="G1377" s="19" t="str">
        <x:v>材料独立候选</x:v>
      </x:c>
      <x:c r="H1377" s="19" t="str">
        <x:v>技能残页</x:v>
      </x:c>
      <x:c r="I1377" s="22" t="n">
        <x:v>400</x:v>
      </x:c>
      <x:c r="J1377" s="22" t="n">
        <x:v>1</x:v>
      </x:c>
      <x:c r="K1377" s="19" t="n">
        <x:v>1</x:v>
      </x:c>
      <x:c r="L1377" s="24" t="n">
        <x:v>17.25</x:v>
      </x:c>
      <x:c r="M1377" s="26" t="n">
        <x:v>0.1</x:v>
      </x:c>
      <x:c r="N1377" s="24" t="n">
        <x:v>72</x:v>
      </x:c>
      <x:c r="O1377" s="28" t="n">
        <x:f>MIN(1,L1377/I1377)</x:f>
        <x:v>0.043125</x:v>
      </x:c>
      <x:c r="P1377" s="30" t="n">
        <x:f>O1377*J1377*(1+M1377)</x:f>
        <x:v>0.0474375</x:v>
      </x:c>
      <x:c r="Q1377" s="30" t="n">
        <x:f>P1377*N1377</x:f>
        <x:v>3.4155</x:v>
      </x:c>
      <x:c r="R1377" s="19" t="str">
        <x:v>独立判定</x:v>
      </x:c>
    </x:row>
    <x:row r="1378" ht="19" customHeight="1">
      <x:c r="A1378" s="19" t="str">
        <x:v>D01374</x:v>
      </x:c>
      <x:c r="B1378" s="19" t="n">
        <x:v>4</x:v>
      </x:c>
      <x:c r="C1378" s="19" t="n">
        <x:v>1</x:v>
      </x:c>
      <x:c r="D1378" s="19" t="str">
        <x:v>C04-M001</x:v>
      </x:c>
      <x:c r="E1378" s="19" t="str">
        <x:v>雾脚泥蛙</x:v>
      </x:c>
      <x:c r="F1378" s="19" t="str">
        <x:v>普通</x:v>
      </x:c>
      <x:c r="G1378" s="19" t="str">
        <x:v>材料独立候选</x:v>
      </x:c>
      <x:c r="H1378" s="19" t="str">
        <x:v>小卢恩</x:v>
      </x:c>
      <x:c r="I1378" s="22" t="n">
        <x:v>800</x:v>
      </x:c>
      <x:c r="J1378" s="22" t="n">
        <x:v>1</x:v>
      </x:c>
      <x:c r="K1378" s="19" t="n">
        <x:v>1</x:v>
      </x:c>
      <x:c r="L1378" s="24" t="n">
        <x:v>17.25</x:v>
      </x:c>
      <x:c r="M1378" s="26" t="n">
        <x:v>0.1</x:v>
      </x:c>
      <x:c r="N1378" s="24" t="n">
        <x:v>72</x:v>
      </x:c>
      <x:c r="O1378" s="28" t="n">
        <x:f>MIN(1,L1378/I1378)</x:f>
        <x:v>0.0215625</x:v>
      </x:c>
      <x:c r="P1378" s="30" t="n">
        <x:f>O1378*J1378*(1+M1378)</x:f>
        <x:v>0.02371875</x:v>
      </x:c>
      <x:c r="Q1378" s="30" t="n">
        <x:f>P1378*N1378</x:f>
        <x:v>1.70775</x:v>
      </x:c>
      <x:c r="R1378" s="19" t="str">
        <x:v>独立判定</x:v>
      </x:c>
    </x:row>
    <x:row r="1379" ht="19" customHeight="1">
      <x:c r="A1379" s="19" t="str">
        <x:v>D01375</x:v>
      </x:c>
      <x:c r="B1379" s="19" t="n">
        <x:v>4</x:v>
      </x:c>
      <x:c r="C1379" s="19" t="n">
        <x:v>1</x:v>
      </x:c>
      <x:c r="D1379" s="19" t="str">
        <x:v>C04-M001</x:v>
      </x:c>
      <x:c r="E1379" s="19" t="str">
        <x:v>雾脚泥蛙</x:v>
      </x:c>
      <x:c r="F1379" s="19" t="str">
        <x:v>普通</x:v>
      </x:c>
      <x:c r="G1379" s="19" t="str">
        <x:v>六神器公共池</x:v>
      </x:c>
      <x:c r="H1379" s="19" t="str">
        <x:v>POOL006</x:v>
      </x:c>
      <x:c r="I1379" s="22" t="n">
        <x:v>20000000</x:v>
      </x:c>
      <x:c r="J1379" s="22" t="n">
        <x:v>1</x:v>
      </x:c>
      <x:c r="K1379" s="19" t="n">
        <x:v>6</x:v>
      </x:c>
      <x:c r="L1379" s="24" t="n">
        <x:v>17.25</x:v>
      </x:c>
      <x:c r="M1379" s="26" t="n">
        <x:v>0.1</x:v>
      </x:c>
      <x:c r="N1379" s="24" t="n">
        <x:v>72</x:v>
      </x:c>
      <x:c r="O1379" s="28" t="n">
        <x:f>MIN(1,L1379/I1379)</x:f>
        <x:v>8.625e-7</x:v>
      </x:c>
      <x:c r="P1379" s="30" t="n">
        <x:f>O1379*J1379*(1+M1379)</x:f>
        <x:v>9.487500000000001e-7</x:v>
      </x:c>
      <x:c r="Q1379" s="30" t="n">
        <x:f>P1379*N1379</x:f>
        <x:v>0.00006831000000000002</x:v>
      </x:c>
      <x:c r="R1379" s="19" t="str">
        <x:v>六选一；非6个独立爆率</x:v>
      </x:c>
    </x:row>
    <x:row r="1380" ht="19" customHeight="1">
      <x:c r="A1380" s="19" t="str">
        <x:v>D01376</x:v>
      </x:c>
      <x:c r="B1380" s="19" t="n">
        <x:v>4</x:v>
      </x:c>
      <x:c r="C1380" s="19" t="n">
        <x:v>1</x:v>
      </x:c>
      <x:c r="D1380" s="19" t="str">
        <x:v>C04-M002</x:v>
      </x:c>
      <x:c r="E1380" s="19" t="str">
        <x:v>苔冠沼鹿</x:v>
      </x:c>
      <x:c r="F1380" s="19" t="str">
        <x:v>普通</x:v>
      </x:c>
      <x:c r="G1380" s="19" t="str">
        <x:v>自身专属</x:v>
      </x:c>
      <x:c r="H1380" s="19" t="str">
        <x:v>沼鹿苔冠</x:v>
      </x:c>
      <x:c r="I1380" s="22" t="n">
        <x:v>1200</x:v>
      </x:c>
      <x:c r="J1380" s="22" t="n">
        <x:v>1</x:v>
      </x:c>
      <x:c r="K1380" s="19" t="n">
        <x:v>1</x:v>
      </x:c>
      <x:c r="L1380" s="24" t="n">
        <x:v>17.25</x:v>
      </x:c>
      <x:c r="M1380" s="26" t="n">
        <x:v>0.1</x:v>
      </x:c>
      <x:c r="N1380" s="24" t="n">
        <x:v>72</x:v>
      </x:c>
      <x:c r="O1380" s="28" t="n">
        <x:f>MIN(1,L1380/I1380)</x:f>
        <x:v>0.014375</x:v>
      </x:c>
      <x:c r="P1380" s="30" t="n">
        <x:f>O1380*J1380*(1+M1380)</x:f>
        <x:v>0.015812500000000004</x:v>
      </x:c>
      <x:c r="Q1380" s="30" t="n">
        <x:f>P1380*N1380</x:f>
        <x:v>1.1385000000000003</x:v>
      </x:c>
      <x:c r="R1380" s="19" t="str">
        <x:v>独立判定</x:v>
      </x:c>
    </x:row>
    <x:row r="1381" ht="19" customHeight="1">
      <x:c r="A1381" s="19" t="str">
        <x:v>D01377</x:v>
      </x:c>
      <x:c r="B1381" s="19" t="n">
        <x:v>4</x:v>
      </x:c>
      <x:c r="C1381" s="19" t="n">
        <x:v>1</x:v>
      </x:c>
      <x:c r="D1381" s="19" t="str">
        <x:v>C04-M002</x:v>
      </x:c>
      <x:c r="E1381" s="19" t="str">
        <x:v>苔冠沼鹿</x:v>
      </x:c>
      <x:c r="F1381" s="19" t="str">
        <x:v>普通</x:v>
      </x:c>
      <x:c r="G1381" s="19" t="str">
        <x:v>材料独立候选</x:v>
      </x:c>
      <x:c r="H1381" s="19" t="str">
        <x:v>湖盐结晶</x:v>
      </x:c>
      <x:c r="I1381" s="22" t="n">
        <x:v>500</x:v>
      </x:c>
      <x:c r="J1381" s="22" t="n">
        <x:v>8</x:v>
      </x:c>
      <x:c r="K1381" s="19" t="n">
        <x:v>1</x:v>
      </x:c>
      <x:c r="L1381" s="24" t="n">
        <x:v>17.25</x:v>
      </x:c>
      <x:c r="M1381" s="26" t="n">
        <x:v>0.1</x:v>
      </x:c>
      <x:c r="N1381" s="24" t="n">
        <x:v>72</x:v>
      </x:c>
      <x:c r="O1381" s="28" t="n">
        <x:f>MIN(1,L1381/I1381)</x:f>
        <x:v>0.0345</x:v>
      </x:c>
      <x:c r="P1381" s="30" t="n">
        <x:f>O1381*J1381*(1+M1381)</x:f>
        <x:v>0.30360000000000004</x:v>
      </x:c>
      <x:c r="Q1381" s="30" t="n">
        <x:f>P1381*N1381</x:f>
        <x:v>21.8592</x:v>
      </x:c>
      <x:c r="R1381" s="19" t="str">
        <x:v>独立判定</x:v>
      </x:c>
    </x:row>
    <x:row r="1382" ht="19" customHeight="1">
      <x:c r="A1382" s="19" t="str">
        <x:v>D01378</x:v>
      </x:c>
      <x:c r="B1382" s="19" t="n">
        <x:v>4</x:v>
      </x:c>
      <x:c r="C1382" s="19" t="n">
        <x:v>1</x:v>
      </x:c>
      <x:c r="D1382" s="19" t="str">
        <x:v>C04-M002</x:v>
      </x:c>
      <x:c r="E1382" s="19" t="str">
        <x:v>苔冠沼鹿</x:v>
      </x:c>
      <x:c r="F1382" s="19" t="str">
        <x:v>普通</x:v>
      </x:c>
      <x:c r="G1382" s="19" t="str">
        <x:v>材料独立候选</x:v>
      </x:c>
      <x:c r="H1382" s="19" t="str">
        <x:v>雾潮银鳞</x:v>
      </x:c>
      <x:c r="I1382" s="22" t="n">
        <x:v>600</x:v>
      </x:c>
      <x:c r="J1382" s="22" t="n">
        <x:v>1</x:v>
      </x:c>
      <x:c r="K1382" s="19" t="n">
        <x:v>1</x:v>
      </x:c>
      <x:c r="L1382" s="24" t="n">
        <x:v>17.25</x:v>
      </x:c>
      <x:c r="M1382" s="26" t="n">
        <x:v>0.1</x:v>
      </x:c>
      <x:c r="N1382" s="24" t="n">
        <x:v>72</x:v>
      </x:c>
      <x:c r="O1382" s="28" t="n">
        <x:f>MIN(1,L1382/I1382)</x:f>
        <x:v>0.02875</x:v>
      </x:c>
      <x:c r="P1382" s="30" t="n">
        <x:f>O1382*J1382*(1+M1382)</x:f>
        <x:v>0.03162500000000001</x:v>
      </x:c>
      <x:c r="Q1382" s="30" t="n">
        <x:f>P1382*N1382</x:f>
        <x:v>2.2770000000000006</x:v>
      </x:c>
      <x:c r="R1382" s="19" t="str">
        <x:v>独立判定</x:v>
      </x:c>
    </x:row>
    <x:row r="1383" ht="19" customHeight="1">
      <x:c r="A1383" s="19" t="str">
        <x:v>D01379</x:v>
      </x:c>
      <x:c r="B1383" s="19" t="n">
        <x:v>4</x:v>
      </x:c>
      <x:c r="C1383" s="19" t="n">
        <x:v>1</x:v>
      </x:c>
      <x:c r="D1383" s="19" t="str">
        <x:v>C04-M002</x:v>
      </x:c>
      <x:c r="E1383" s="19" t="str">
        <x:v>苔冠沼鹿</x:v>
      </x:c>
      <x:c r="F1383" s="19" t="str">
        <x:v>普通</x:v>
      </x:c>
      <x:c r="G1383" s="19" t="str">
        <x:v>材料独立候选</x:v>
      </x:c>
      <x:c r="H1383" s="19" t="str">
        <x:v>月潮忆珀</x:v>
      </x:c>
      <x:c r="I1383" s="22" t="n">
        <x:v>800000</x:v>
      </x:c>
      <x:c r="J1383" s="22" t="n">
        <x:v>1</x:v>
      </x:c>
      <x:c r="K1383" s="19" t="n">
        <x:v>1</x:v>
      </x:c>
      <x:c r="L1383" s="24" t="n">
        <x:v>17.25</x:v>
      </x:c>
      <x:c r="M1383" s="26" t="n">
        <x:v>0.1</x:v>
      </x:c>
      <x:c r="N1383" s="24" t="n">
        <x:v>72</x:v>
      </x:c>
      <x:c r="O1383" s="28" t="n">
        <x:f>MIN(1,L1383/I1383)</x:f>
        <x:v>0.0000215625</x:v>
      </x:c>
      <x:c r="P1383" s="30" t="n">
        <x:f>O1383*J1383*(1+M1383)</x:f>
        <x:v>0.00002371875</x:v>
      </x:c>
      <x:c r="Q1383" s="30" t="n">
        <x:f>P1383*N1383</x:f>
        <x:v>0.00170775</x:v>
      </x:c>
      <x:c r="R1383" s="19" t="str">
        <x:v>独立判定</x:v>
      </x:c>
    </x:row>
    <x:row r="1384" ht="19" customHeight="1">
      <x:c r="A1384" s="19" t="str">
        <x:v>D01380</x:v>
      </x:c>
      <x:c r="B1384" s="19" t="n">
        <x:v>4</x:v>
      </x:c>
      <x:c r="C1384" s="19" t="n">
        <x:v>1</x:v>
      </x:c>
      <x:c r="D1384" s="19" t="str">
        <x:v>C04-M002</x:v>
      </x:c>
      <x:c r="E1384" s="19" t="str">
        <x:v>苔冠沼鹿</x:v>
      </x:c>
      <x:c r="F1384" s="19" t="str">
        <x:v>普通</x:v>
      </x:c>
      <x:c r="G1384" s="19" t="str">
        <x:v>材料独立候选</x:v>
      </x:c>
      <x:c r="H1384" s="19" t="str">
        <x:v>野兽骨片</x:v>
      </x:c>
      <x:c r="I1384" s="22" t="n">
        <x:v>80</x:v>
      </x:c>
      <x:c r="J1384" s="22" t="n">
        <x:v>2</x:v>
      </x:c>
      <x:c r="K1384" s="19" t="n">
        <x:v>1</x:v>
      </x:c>
      <x:c r="L1384" s="24" t="n">
        <x:v>17.25</x:v>
      </x:c>
      <x:c r="M1384" s="26" t="n">
        <x:v>0.1</x:v>
      </x:c>
      <x:c r="N1384" s="24" t="n">
        <x:v>72</x:v>
      </x:c>
      <x:c r="O1384" s="28" t="n">
        <x:f>MIN(1,L1384/I1384)</x:f>
        <x:v>0.215625</x:v>
      </x:c>
      <x:c r="P1384" s="30" t="n">
        <x:f>O1384*J1384*(1+M1384)</x:f>
        <x:v>0.47437500000000005</x:v>
      </x:c>
      <x:c r="Q1384" s="30" t="n">
        <x:f>P1384*N1384</x:f>
        <x:v>34.155</x:v>
      </x:c>
      <x:c r="R1384" s="19" t="str">
        <x:v>独立判定</x:v>
      </x:c>
    </x:row>
    <x:row r="1385" ht="19" customHeight="1">
      <x:c r="A1385" s="19" t="str">
        <x:v>D01381</x:v>
      </x:c>
      <x:c r="B1385" s="19" t="n">
        <x:v>4</x:v>
      </x:c>
      <x:c r="C1385" s="19" t="n">
        <x:v>1</x:v>
      </x:c>
      <x:c r="D1385" s="19" t="str">
        <x:v>C04-M002</x:v>
      </x:c>
      <x:c r="E1385" s="19" t="str">
        <x:v>苔冠沼鹿</x:v>
      </x:c>
      <x:c r="F1385" s="19" t="str">
        <x:v>普通</x:v>
      </x:c>
      <x:c r="G1385" s="19" t="str">
        <x:v>材料独立候选</x:v>
      </x:c>
      <x:c r="H1385" s="19" t="str">
        <x:v>技能残页</x:v>
      </x:c>
      <x:c r="I1385" s="22" t="n">
        <x:v>400</x:v>
      </x:c>
      <x:c r="J1385" s="22" t="n">
        <x:v>1</x:v>
      </x:c>
      <x:c r="K1385" s="19" t="n">
        <x:v>1</x:v>
      </x:c>
      <x:c r="L1385" s="24" t="n">
        <x:v>17.25</x:v>
      </x:c>
      <x:c r="M1385" s="26" t="n">
        <x:v>0.1</x:v>
      </x:c>
      <x:c r="N1385" s="24" t="n">
        <x:v>72</x:v>
      </x:c>
      <x:c r="O1385" s="28" t="n">
        <x:f>MIN(1,L1385/I1385)</x:f>
        <x:v>0.043125</x:v>
      </x:c>
      <x:c r="P1385" s="30" t="n">
        <x:f>O1385*J1385*(1+M1385)</x:f>
        <x:v>0.0474375</x:v>
      </x:c>
      <x:c r="Q1385" s="30" t="n">
        <x:f>P1385*N1385</x:f>
        <x:v>3.4155</x:v>
      </x:c>
      <x:c r="R1385" s="19" t="str">
        <x:v>独立判定</x:v>
      </x:c>
    </x:row>
    <x:row r="1386" ht="19" customHeight="1">
      <x:c r="A1386" s="19" t="str">
        <x:v>D01382</x:v>
      </x:c>
      <x:c r="B1386" s="19" t="n">
        <x:v>4</x:v>
      </x:c>
      <x:c r="C1386" s="19" t="n">
        <x:v>1</x:v>
      </x:c>
      <x:c r="D1386" s="19" t="str">
        <x:v>C04-M002</x:v>
      </x:c>
      <x:c r="E1386" s="19" t="str">
        <x:v>苔冠沼鹿</x:v>
      </x:c>
      <x:c r="F1386" s="19" t="str">
        <x:v>普通</x:v>
      </x:c>
      <x:c r="G1386" s="19" t="str">
        <x:v>材料独立候选</x:v>
      </x:c>
      <x:c r="H1386" s="19" t="str">
        <x:v>小卢恩</x:v>
      </x:c>
      <x:c r="I1386" s="22" t="n">
        <x:v>800</x:v>
      </x:c>
      <x:c r="J1386" s="22" t="n">
        <x:v>1</x:v>
      </x:c>
      <x:c r="K1386" s="19" t="n">
        <x:v>1</x:v>
      </x:c>
      <x:c r="L1386" s="24" t="n">
        <x:v>17.25</x:v>
      </x:c>
      <x:c r="M1386" s="26" t="n">
        <x:v>0.1</x:v>
      </x:c>
      <x:c r="N1386" s="24" t="n">
        <x:v>72</x:v>
      </x:c>
      <x:c r="O1386" s="28" t="n">
        <x:f>MIN(1,L1386/I1386)</x:f>
        <x:v>0.0215625</x:v>
      </x:c>
      <x:c r="P1386" s="30" t="n">
        <x:f>O1386*J1386*(1+M1386)</x:f>
        <x:v>0.02371875</x:v>
      </x:c>
      <x:c r="Q1386" s="30" t="n">
        <x:f>P1386*N1386</x:f>
        <x:v>1.70775</x:v>
      </x:c>
      <x:c r="R1386" s="19" t="str">
        <x:v>独立判定</x:v>
      </x:c>
    </x:row>
    <x:row r="1387" ht="19" customHeight="1">
      <x:c r="A1387" s="19" t="str">
        <x:v>D01383</x:v>
      </x:c>
      <x:c r="B1387" s="19" t="n">
        <x:v>4</x:v>
      </x:c>
      <x:c r="C1387" s="19" t="n">
        <x:v>1</x:v>
      </x:c>
      <x:c r="D1387" s="19" t="str">
        <x:v>C04-M002</x:v>
      </x:c>
      <x:c r="E1387" s="19" t="str">
        <x:v>苔冠沼鹿</x:v>
      </x:c>
      <x:c r="F1387" s="19" t="str">
        <x:v>普通</x:v>
      </x:c>
      <x:c r="G1387" s="19" t="str">
        <x:v>六神器公共池</x:v>
      </x:c>
      <x:c r="H1387" s="19" t="str">
        <x:v>POOL006</x:v>
      </x:c>
      <x:c r="I1387" s="22" t="n">
        <x:v>20000000</x:v>
      </x:c>
      <x:c r="J1387" s="22" t="n">
        <x:v>1</x:v>
      </x:c>
      <x:c r="K1387" s="19" t="n">
        <x:v>6</x:v>
      </x:c>
      <x:c r="L1387" s="24" t="n">
        <x:v>17.25</x:v>
      </x:c>
      <x:c r="M1387" s="26" t="n">
        <x:v>0.1</x:v>
      </x:c>
      <x:c r="N1387" s="24" t="n">
        <x:v>72</x:v>
      </x:c>
      <x:c r="O1387" s="28" t="n">
        <x:f>MIN(1,L1387/I1387)</x:f>
        <x:v>8.625e-7</x:v>
      </x:c>
      <x:c r="P1387" s="30" t="n">
        <x:f>O1387*J1387*(1+M1387)</x:f>
        <x:v>9.487500000000001e-7</x:v>
      </x:c>
      <x:c r="Q1387" s="30" t="n">
        <x:f>P1387*N1387</x:f>
        <x:v>0.00006831000000000002</x:v>
      </x:c>
      <x:c r="R1387" s="19" t="str">
        <x:v>六选一；非6个独立爆率</x:v>
      </x:c>
    </x:row>
    <x:row r="1388" ht="19" customHeight="1">
      <x:c r="A1388" s="19" t="str">
        <x:v>D01384</x:v>
      </x:c>
      <x:c r="B1388" s="19" t="n">
        <x:v>4</x:v>
      </x:c>
      <x:c r="C1388" s="19" t="n">
        <x:v>1</x:v>
      </x:c>
      <x:c r="D1388" s="19" t="str">
        <x:v>C04-M003</x:v>
      </x:c>
      <x:c r="E1388" s="19" t="str">
        <x:v>潮沟芦妖</x:v>
      </x:c>
      <x:c r="F1388" s="19" t="str">
        <x:v>普通</x:v>
      </x:c>
      <x:c r="G1388" s="19" t="str">
        <x:v>自身专属</x:v>
      </x:c>
      <x:c r="H1388" s="19" t="str">
        <x:v>芦针腕环</x:v>
      </x:c>
      <x:c r="I1388" s="22" t="n">
        <x:v>1200</x:v>
      </x:c>
      <x:c r="J1388" s="22" t="n">
        <x:v>1</x:v>
      </x:c>
      <x:c r="K1388" s="19" t="n">
        <x:v>1</x:v>
      </x:c>
      <x:c r="L1388" s="24" t="n">
        <x:v>17.25</x:v>
      </x:c>
      <x:c r="M1388" s="26" t="n">
        <x:v>0.1</x:v>
      </x:c>
      <x:c r="N1388" s="24" t="n">
        <x:v>72</x:v>
      </x:c>
      <x:c r="O1388" s="28" t="n">
        <x:f>MIN(1,L1388/I1388)</x:f>
        <x:v>0.014375</x:v>
      </x:c>
      <x:c r="P1388" s="30" t="n">
        <x:f>O1388*J1388*(1+M1388)</x:f>
        <x:v>0.015812500000000004</x:v>
      </x:c>
      <x:c r="Q1388" s="30" t="n">
        <x:f>P1388*N1388</x:f>
        <x:v>1.1385000000000003</x:v>
      </x:c>
      <x:c r="R1388" s="19" t="str">
        <x:v>独立判定</x:v>
      </x:c>
    </x:row>
    <x:row r="1389" ht="19" customHeight="1">
      <x:c r="A1389" s="19" t="str">
        <x:v>D01385</x:v>
      </x:c>
      <x:c r="B1389" s="19" t="n">
        <x:v>4</x:v>
      </x:c>
      <x:c r="C1389" s="19" t="n">
        <x:v>1</x:v>
      </x:c>
      <x:c r="D1389" s="19" t="str">
        <x:v>C04-M003</x:v>
      </x:c>
      <x:c r="E1389" s="19" t="str">
        <x:v>潮沟芦妖</x:v>
      </x:c>
      <x:c r="F1389" s="19" t="str">
        <x:v>普通</x:v>
      </x:c>
      <x:c r="G1389" s="19" t="str">
        <x:v>材料独立候选</x:v>
      </x:c>
      <x:c r="H1389" s="19" t="str">
        <x:v>湖盐结晶</x:v>
      </x:c>
      <x:c r="I1389" s="22" t="n">
        <x:v>500</x:v>
      </x:c>
      <x:c r="J1389" s="22" t="n">
        <x:v>8</x:v>
      </x:c>
      <x:c r="K1389" s="19" t="n">
        <x:v>1</x:v>
      </x:c>
      <x:c r="L1389" s="24" t="n">
        <x:v>17.25</x:v>
      </x:c>
      <x:c r="M1389" s="26" t="n">
        <x:v>0.1</x:v>
      </x:c>
      <x:c r="N1389" s="24" t="n">
        <x:v>72</x:v>
      </x:c>
      <x:c r="O1389" s="28" t="n">
        <x:f>MIN(1,L1389/I1389)</x:f>
        <x:v>0.0345</x:v>
      </x:c>
      <x:c r="P1389" s="30" t="n">
        <x:f>O1389*J1389*(1+M1389)</x:f>
        <x:v>0.30360000000000004</x:v>
      </x:c>
      <x:c r="Q1389" s="30" t="n">
        <x:f>P1389*N1389</x:f>
        <x:v>21.8592</x:v>
      </x:c>
      <x:c r="R1389" s="19" t="str">
        <x:v>独立判定</x:v>
      </x:c>
    </x:row>
    <x:row r="1390" ht="19" customHeight="1">
      <x:c r="A1390" s="19" t="str">
        <x:v>D01386</x:v>
      </x:c>
      <x:c r="B1390" s="19" t="n">
        <x:v>4</x:v>
      </x:c>
      <x:c r="C1390" s="19" t="n">
        <x:v>1</x:v>
      </x:c>
      <x:c r="D1390" s="19" t="str">
        <x:v>C04-M003</x:v>
      </x:c>
      <x:c r="E1390" s="19" t="str">
        <x:v>潮沟芦妖</x:v>
      </x:c>
      <x:c r="F1390" s="19" t="str">
        <x:v>普通</x:v>
      </x:c>
      <x:c r="G1390" s="19" t="str">
        <x:v>材料独立候选</x:v>
      </x:c>
      <x:c r="H1390" s="19" t="str">
        <x:v>雾潮银鳞</x:v>
      </x:c>
      <x:c r="I1390" s="22" t="n">
        <x:v>600</x:v>
      </x:c>
      <x:c r="J1390" s="22" t="n">
        <x:v>1</x:v>
      </x:c>
      <x:c r="K1390" s="19" t="n">
        <x:v>1</x:v>
      </x:c>
      <x:c r="L1390" s="24" t="n">
        <x:v>17.25</x:v>
      </x:c>
      <x:c r="M1390" s="26" t="n">
        <x:v>0.1</x:v>
      </x:c>
      <x:c r="N1390" s="24" t="n">
        <x:v>72</x:v>
      </x:c>
      <x:c r="O1390" s="28" t="n">
        <x:f>MIN(1,L1390/I1390)</x:f>
        <x:v>0.02875</x:v>
      </x:c>
      <x:c r="P1390" s="30" t="n">
        <x:f>O1390*J1390*(1+M1390)</x:f>
        <x:v>0.03162500000000001</x:v>
      </x:c>
      <x:c r="Q1390" s="30" t="n">
        <x:f>P1390*N1390</x:f>
        <x:v>2.2770000000000006</x:v>
      </x:c>
      <x:c r="R1390" s="19" t="str">
        <x:v>独立判定</x:v>
      </x:c>
    </x:row>
    <x:row r="1391" ht="19" customHeight="1">
      <x:c r="A1391" s="19" t="str">
        <x:v>D01387</x:v>
      </x:c>
      <x:c r="B1391" s="19" t="n">
        <x:v>4</x:v>
      </x:c>
      <x:c r="C1391" s="19" t="n">
        <x:v>1</x:v>
      </x:c>
      <x:c r="D1391" s="19" t="str">
        <x:v>C04-M003</x:v>
      </x:c>
      <x:c r="E1391" s="19" t="str">
        <x:v>潮沟芦妖</x:v>
      </x:c>
      <x:c r="F1391" s="19" t="str">
        <x:v>普通</x:v>
      </x:c>
      <x:c r="G1391" s="19" t="str">
        <x:v>材料独立候选</x:v>
      </x:c>
      <x:c r="H1391" s="19" t="str">
        <x:v>月潮忆珀</x:v>
      </x:c>
      <x:c r="I1391" s="22" t="n">
        <x:v>800000</x:v>
      </x:c>
      <x:c r="J1391" s="22" t="n">
        <x:v>1</x:v>
      </x:c>
      <x:c r="K1391" s="19" t="n">
        <x:v>1</x:v>
      </x:c>
      <x:c r="L1391" s="24" t="n">
        <x:v>17.25</x:v>
      </x:c>
      <x:c r="M1391" s="26" t="n">
        <x:v>0.1</x:v>
      </x:c>
      <x:c r="N1391" s="24" t="n">
        <x:v>72</x:v>
      </x:c>
      <x:c r="O1391" s="28" t="n">
        <x:f>MIN(1,L1391/I1391)</x:f>
        <x:v>0.0000215625</x:v>
      </x:c>
      <x:c r="P1391" s="30" t="n">
        <x:f>O1391*J1391*(1+M1391)</x:f>
        <x:v>0.00002371875</x:v>
      </x:c>
      <x:c r="Q1391" s="30" t="n">
        <x:f>P1391*N1391</x:f>
        <x:v>0.00170775</x:v>
      </x:c>
      <x:c r="R1391" s="19" t="str">
        <x:v>独立判定</x:v>
      </x:c>
    </x:row>
    <x:row r="1392" ht="19" customHeight="1">
      <x:c r="A1392" s="19" t="str">
        <x:v>D01388</x:v>
      </x:c>
      <x:c r="B1392" s="19" t="n">
        <x:v>4</x:v>
      </x:c>
      <x:c r="C1392" s="19" t="n">
        <x:v>1</x:v>
      </x:c>
      <x:c r="D1392" s="19" t="str">
        <x:v>C04-M003</x:v>
      </x:c>
      <x:c r="E1392" s="19" t="str">
        <x:v>潮沟芦妖</x:v>
      </x:c>
      <x:c r="F1392" s="19" t="str">
        <x:v>普通</x:v>
      </x:c>
      <x:c r="G1392" s="19" t="str">
        <x:v>材料独立候选</x:v>
      </x:c>
      <x:c r="H1392" s="19" t="str">
        <x:v>野兽骨片</x:v>
      </x:c>
      <x:c r="I1392" s="22" t="n">
        <x:v>80</x:v>
      </x:c>
      <x:c r="J1392" s="22" t="n">
        <x:v>2</x:v>
      </x:c>
      <x:c r="K1392" s="19" t="n">
        <x:v>1</x:v>
      </x:c>
      <x:c r="L1392" s="24" t="n">
        <x:v>17.25</x:v>
      </x:c>
      <x:c r="M1392" s="26" t="n">
        <x:v>0.1</x:v>
      </x:c>
      <x:c r="N1392" s="24" t="n">
        <x:v>72</x:v>
      </x:c>
      <x:c r="O1392" s="28" t="n">
        <x:f>MIN(1,L1392/I1392)</x:f>
        <x:v>0.215625</x:v>
      </x:c>
      <x:c r="P1392" s="30" t="n">
        <x:f>O1392*J1392*(1+M1392)</x:f>
        <x:v>0.47437500000000005</x:v>
      </x:c>
      <x:c r="Q1392" s="30" t="n">
        <x:f>P1392*N1392</x:f>
        <x:v>34.155</x:v>
      </x:c>
      <x:c r="R1392" s="19" t="str">
        <x:v>独立判定</x:v>
      </x:c>
    </x:row>
    <x:row r="1393" ht="19" customHeight="1">
      <x:c r="A1393" s="19" t="str">
        <x:v>D01389</x:v>
      </x:c>
      <x:c r="B1393" s="19" t="n">
        <x:v>4</x:v>
      </x:c>
      <x:c r="C1393" s="19" t="n">
        <x:v>1</x:v>
      </x:c>
      <x:c r="D1393" s="19" t="str">
        <x:v>C04-M003</x:v>
      </x:c>
      <x:c r="E1393" s="19" t="str">
        <x:v>潮沟芦妖</x:v>
      </x:c>
      <x:c r="F1393" s="19" t="str">
        <x:v>普通</x:v>
      </x:c>
      <x:c r="G1393" s="19" t="str">
        <x:v>材料独立候选</x:v>
      </x:c>
      <x:c r="H1393" s="19" t="str">
        <x:v>技能残页</x:v>
      </x:c>
      <x:c r="I1393" s="22" t="n">
        <x:v>400</x:v>
      </x:c>
      <x:c r="J1393" s="22" t="n">
        <x:v>1</x:v>
      </x:c>
      <x:c r="K1393" s="19" t="n">
        <x:v>1</x:v>
      </x:c>
      <x:c r="L1393" s="24" t="n">
        <x:v>17.25</x:v>
      </x:c>
      <x:c r="M1393" s="26" t="n">
        <x:v>0.1</x:v>
      </x:c>
      <x:c r="N1393" s="24" t="n">
        <x:v>72</x:v>
      </x:c>
      <x:c r="O1393" s="28" t="n">
        <x:f>MIN(1,L1393/I1393)</x:f>
        <x:v>0.043125</x:v>
      </x:c>
      <x:c r="P1393" s="30" t="n">
        <x:f>O1393*J1393*(1+M1393)</x:f>
        <x:v>0.0474375</x:v>
      </x:c>
      <x:c r="Q1393" s="30" t="n">
        <x:f>P1393*N1393</x:f>
        <x:v>3.4155</x:v>
      </x:c>
      <x:c r="R1393" s="19" t="str">
        <x:v>独立判定</x:v>
      </x:c>
    </x:row>
    <x:row r="1394" ht="19" customHeight="1">
      <x:c r="A1394" s="19" t="str">
        <x:v>D01390</x:v>
      </x:c>
      <x:c r="B1394" s="19" t="n">
        <x:v>4</x:v>
      </x:c>
      <x:c r="C1394" s="19" t="n">
        <x:v>1</x:v>
      </x:c>
      <x:c r="D1394" s="19" t="str">
        <x:v>C04-M003</x:v>
      </x:c>
      <x:c r="E1394" s="19" t="str">
        <x:v>潮沟芦妖</x:v>
      </x:c>
      <x:c r="F1394" s="19" t="str">
        <x:v>普通</x:v>
      </x:c>
      <x:c r="G1394" s="19" t="str">
        <x:v>材料独立候选</x:v>
      </x:c>
      <x:c r="H1394" s="19" t="str">
        <x:v>小卢恩</x:v>
      </x:c>
      <x:c r="I1394" s="22" t="n">
        <x:v>800</x:v>
      </x:c>
      <x:c r="J1394" s="22" t="n">
        <x:v>1</x:v>
      </x:c>
      <x:c r="K1394" s="19" t="n">
        <x:v>1</x:v>
      </x:c>
      <x:c r="L1394" s="24" t="n">
        <x:v>17.25</x:v>
      </x:c>
      <x:c r="M1394" s="26" t="n">
        <x:v>0.1</x:v>
      </x:c>
      <x:c r="N1394" s="24" t="n">
        <x:v>72</x:v>
      </x:c>
      <x:c r="O1394" s="28" t="n">
        <x:f>MIN(1,L1394/I1394)</x:f>
        <x:v>0.0215625</x:v>
      </x:c>
      <x:c r="P1394" s="30" t="n">
        <x:f>O1394*J1394*(1+M1394)</x:f>
        <x:v>0.02371875</x:v>
      </x:c>
      <x:c r="Q1394" s="30" t="n">
        <x:f>P1394*N1394</x:f>
        <x:v>1.70775</x:v>
      </x:c>
      <x:c r="R1394" s="19" t="str">
        <x:v>独立判定</x:v>
      </x:c>
    </x:row>
    <x:row r="1395" ht="19" customHeight="1">
      <x:c r="A1395" s="19" t="str">
        <x:v>D01391</x:v>
      </x:c>
      <x:c r="B1395" s="19" t="n">
        <x:v>4</x:v>
      </x:c>
      <x:c r="C1395" s="19" t="n">
        <x:v>1</x:v>
      </x:c>
      <x:c r="D1395" s="19" t="str">
        <x:v>C04-M003</x:v>
      </x:c>
      <x:c r="E1395" s="19" t="str">
        <x:v>潮沟芦妖</x:v>
      </x:c>
      <x:c r="F1395" s="19" t="str">
        <x:v>普通</x:v>
      </x:c>
      <x:c r="G1395" s="19" t="str">
        <x:v>六神器公共池</x:v>
      </x:c>
      <x:c r="H1395" s="19" t="str">
        <x:v>POOL006</x:v>
      </x:c>
      <x:c r="I1395" s="22" t="n">
        <x:v>20000000</x:v>
      </x:c>
      <x:c r="J1395" s="22" t="n">
        <x:v>1</x:v>
      </x:c>
      <x:c r="K1395" s="19" t="n">
        <x:v>6</x:v>
      </x:c>
      <x:c r="L1395" s="24" t="n">
        <x:v>17.25</x:v>
      </x:c>
      <x:c r="M1395" s="26" t="n">
        <x:v>0.1</x:v>
      </x:c>
      <x:c r="N1395" s="24" t="n">
        <x:v>72</x:v>
      </x:c>
      <x:c r="O1395" s="28" t="n">
        <x:f>MIN(1,L1395/I1395)</x:f>
        <x:v>8.625e-7</x:v>
      </x:c>
      <x:c r="P1395" s="30" t="n">
        <x:f>O1395*J1395*(1+M1395)</x:f>
        <x:v>9.487500000000001e-7</x:v>
      </x:c>
      <x:c r="Q1395" s="30" t="n">
        <x:f>P1395*N1395</x:f>
        <x:v>0.00006831000000000002</x:v>
      </x:c>
      <x:c r="R1395" s="19" t="str">
        <x:v>六选一；非6个独立爆率</x:v>
      </x:c>
    </x:row>
    <x:row r="1396" ht="19" customHeight="1">
      <x:c r="A1396" s="19" t="str">
        <x:v>D01392</x:v>
      </x:c>
      <x:c r="B1396" s="19" t="n">
        <x:v>4</x:v>
      </x:c>
      <x:c r="C1396" s="19" t="n">
        <x:v>1</x:v>
      </x:c>
      <x:c r="D1396" s="19" t="str">
        <x:v>C04-M004</x:v>
      </x:c>
      <x:c r="E1396" s="19" t="str">
        <x:v>腐雾钳虾</x:v>
      </x:c>
      <x:c r="F1396" s="19" t="str">
        <x:v>普通</x:v>
      </x:c>
      <x:c r="G1396" s="19" t="str">
        <x:v>自身专属</x:v>
      </x:c>
      <x:c r="H1396" s="19" t="str">
        <x:v>青壳沼盾</x:v>
      </x:c>
      <x:c r="I1396" s="22" t="n">
        <x:v>1200</x:v>
      </x:c>
      <x:c r="J1396" s="22" t="n">
        <x:v>1</x:v>
      </x:c>
      <x:c r="K1396" s="19" t="n">
        <x:v>1</x:v>
      </x:c>
      <x:c r="L1396" s="24" t="n">
        <x:v>17.25</x:v>
      </x:c>
      <x:c r="M1396" s="26" t="n">
        <x:v>0.1</x:v>
      </x:c>
      <x:c r="N1396" s="24" t="n">
        <x:v>72</x:v>
      </x:c>
      <x:c r="O1396" s="28" t="n">
        <x:f>MIN(1,L1396/I1396)</x:f>
        <x:v>0.014375</x:v>
      </x:c>
      <x:c r="P1396" s="30" t="n">
        <x:f>O1396*J1396*(1+M1396)</x:f>
        <x:v>0.015812500000000004</x:v>
      </x:c>
      <x:c r="Q1396" s="30" t="n">
        <x:f>P1396*N1396</x:f>
        <x:v>1.1385000000000003</x:v>
      </x:c>
      <x:c r="R1396" s="19" t="str">
        <x:v>独立判定</x:v>
      </x:c>
    </x:row>
    <x:row r="1397" ht="19" customHeight="1">
      <x:c r="A1397" s="19" t="str">
        <x:v>D01393</x:v>
      </x:c>
      <x:c r="B1397" s="19" t="n">
        <x:v>4</x:v>
      </x:c>
      <x:c r="C1397" s="19" t="n">
        <x:v>1</x:v>
      </x:c>
      <x:c r="D1397" s="19" t="str">
        <x:v>C04-M004</x:v>
      </x:c>
      <x:c r="E1397" s="19" t="str">
        <x:v>腐雾钳虾</x:v>
      </x:c>
      <x:c r="F1397" s="19" t="str">
        <x:v>普通</x:v>
      </x:c>
      <x:c r="G1397" s="19" t="str">
        <x:v>材料独立候选</x:v>
      </x:c>
      <x:c r="H1397" s="19" t="str">
        <x:v>湖盐结晶</x:v>
      </x:c>
      <x:c r="I1397" s="22" t="n">
        <x:v>500</x:v>
      </x:c>
      <x:c r="J1397" s="22" t="n">
        <x:v>8</x:v>
      </x:c>
      <x:c r="K1397" s="19" t="n">
        <x:v>1</x:v>
      </x:c>
      <x:c r="L1397" s="24" t="n">
        <x:v>17.25</x:v>
      </x:c>
      <x:c r="M1397" s="26" t="n">
        <x:v>0.1</x:v>
      </x:c>
      <x:c r="N1397" s="24" t="n">
        <x:v>72</x:v>
      </x:c>
      <x:c r="O1397" s="28" t="n">
        <x:f>MIN(1,L1397/I1397)</x:f>
        <x:v>0.0345</x:v>
      </x:c>
      <x:c r="P1397" s="30" t="n">
        <x:f>O1397*J1397*(1+M1397)</x:f>
        <x:v>0.30360000000000004</x:v>
      </x:c>
      <x:c r="Q1397" s="30" t="n">
        <x:f>P1397*N1397</x:f>
        <x:v>21.8592</x:v>
      </x:c>
      <x:c r="R1397" s="19" t="str">
        <x:v>独立判定</x:v>
      </x:c>
    </x:row>
    <x:row r="1398" ht="19" customHeight="1">
      <x:c r="A1398" s="19" t="str">
        <x:v>D01394</x:v>
      </x:c>
      <x:c r="B1398" s="19" t="n">
        <x:v>4</x:v>
      </x:c>
      <x:c r="C1398" s="19" t="n">
        <x:v>1</x:v>
      </x:c>
      <x:c r="D1398" s="19" t="str">
        <x:v>C04-M004</x:v>
      </x:c>
      <x:c r="E1398" s="19" t="str">
        <x:v>腐雾钳虾</x:v>
      </x:c>
      <x:c r="F1398" s="19" t="str">
        <x:v>普通</x:v>
      </x:c>
      <x:c r="G1398" s="19" t="str">
        <x:v>材料独立候选</x:v>
      </x:c>
      <x:c r="H1398" s="19" t="str">
        <x:v>雾潮银鳞</x:v>
      </x:c>
      <x:c r="I1398" s="22" t="n">
        <x:v>600</x:v>
      </x:c>
      <x:c r="J1398" s="22" t="n">
        <x:v>1</x:v>
      </x:c>
      <x:c r="K1398" s="19" t="n">
        <x:v>1</x:v>
      </x:c>
      <x:c r="L1398" s="24" t="n">
        <x:v>17.25</x:v>
      </x:c>
      <x:c r="M1398" s="26" t="n">
        <x:v>0.1</x:v>
      </x:c>
      <x:c r="N1398" s="24" t="n">
        <x:v>72</x:v>
      </x:c>
      <x:c r="O1398" s="28" t="n">
        <x:f>MIN(1,L1398/I1398)</x:f>
        <x:v>0.02875</x:v>
      </x:c>
      <x:c r="P1398" s="30" t="n">
        <x:f>O1398*J1398*(1+M1398)</x:f>
        <x:v>0.03162500000000001</x:v>
      </x:c>
      <x:c r="Q1398" s="30" t="n">
        <x:f>P1398*N1398</x:f>
        <x:v>2.2770000000000006</x:v>
      </x:c>
      <x:c r="R1398" s="19" t="str">
        <x:v>独立判定</x:v>
      </x:c>
    </x:row>
    <x:row r="1399" ht="19" customHeight="1">
      <x:c r="A1399" s="19" t="str">
        <x:v>D01395</x:v>
      </x:c>
      <x:c r="B1399" s="19" t="n">
        <x:v>4</x:v>
      </x:c>
      <x:c r="C1399" s="19" t="n">
        <x:v>1</x:v>
      </x:c>
      <x:c r="D1399" s="19" t="str">
        <x:v>C04-M004</x:v>
      </x:c>
      <x:c r="E1399" s="19" t="str">
        <x:v>腐雾钳虾</x:v>
      </x:c>
      <x:c r="F1399" s="19" t="str">
        <x:v>普通</x:v>
      </x:c>
      <x:c r="G1399" s="19" t="str">
        <x:v>材料独立候选</x:v>
      </x:c>
      <x:c r="H1399" s="19" t="str">
        <x:v>月潮忆珀</x:v>
      </x:c>
      <x:c r="I1399" s="22" t="n">
        <x:v>800000</x:v>
      </x:c>
      <x:c r="J1399" s="22" t="n">
        <x:v>1</x:v>
      </x:c>
      <x:c r="K1399" s="19" t="n">
        <x:v>1</x:v>
      </x:c>
      <x:c r="L1399" s="24" t="n">
        <x:v>17.25</x:v>
      </x:c>
      <x:c r="M1399" s="26" t="n">
        <x:v>0.1</x:v>
      </x:c>
      <x:c r="N1399" s="24" t="n">
        <x:v>72</x:v>
      </x:c>
      <x:c r="O1399" s="28" t="n">
        <x:f>MIN(1,L1399/I1399)</x:f>
        <x:v>0.0000215625</x:v>
      </x:c>
      <x:c r="P1399" s="30" t="n">
        <x:f>O1399*J1399*(1+M1399)</x:f>
        <x:v>0.00002371875</x:v>
      </x:c>
      <x:c r="Q1399" s="30" t="n">
        <x:f>P1399*N1399</x:f>
        <x:v>0.00170775</x:v>
      </x:c>
      <x:c r="R1399" s="19" t="str">
        <x:v>独立判定</x:v>
      </x:c>
    </x:row>
    <x:row r="1400" ht="19" customHeight="1">
      <x:c r="A1400" s="19" t="str">
        <x:v>D01396</x:v>
      </x:c>
      <x:c r="B1400" s="19" t="n">
        <x:v>4</x:v>
      </x:c>
      <x:c r="C1400" s="19" t="n">
        <x:v>1</x:v>
      </x:c>
      <x:c r="D1400" s="19" t="str">
        <x:v>C04-M004</x:v>
      </x:c>
      <x:c r="E1400" s="19" t="str">
        <x:v>腐雾钳虾</x:v>
      </x:c>
      <x:c r="F1400" s="19" t="str">
        <x:v>普通</x:v>
      </x:c>
      <x:c r="G1400" s="19" t="str">
        <x:v>材料独立候选</x:v>
      </x:c>
      <x:c r="H1400" s="19" t="str">
        <x:v>野兽骨片</x:v>
      </x:c>
      <x:c r="I1400" s="22" t="n">
        <x:v>80</x:v>
      </x:c>
      <x:c r="J1400" s="22" t="n">
        <x:v>2</x:v>
      </x:c>
      <x:c r="K1400" s="19" t="n">
        <x:v>1</x:v>
      </x:c>
      <x:c r="L1400" s="24" t="n">
        <x:v>17.25</x:v>
      </x:c>
      <x:c r="M1400" s="26" t="n">
        <x:v>0.1</x:v>
      </x:c>
      <x:c r="N1400" s="24" t="n">
        <x:v>72</x:v>
      </x:c>
      <x:c r="O1400" s="28" t="n">
        <x:f>MIN(1,L1400/I1400)</x:f>
        <x:v>0.215625</x:v>
      </x:c>
      <x:c r="P1400" s="30" t="n">
        <x:f>O1400*J1400*(1+M1400)</x:f>
        <x:v>0.47437500000000005</x:v>
      </x:c>
      <x:c r="Q1400" s="30" t="n">
        <x:f>P1400*N1400</x:f>
        <x:v>34.155</x:v>
      </x:c>
      <x:c r="R1400" s="19" t="str">
        <x:v>独立判定</x:v>
      </x:c>
    </x:row>
    <x:row r="1401" ht="19" customHeight="1">
      <x:c r="A1401" s="19" t="str">
        <x:v>D01397</x:v>
      </x:c>
      <x:c r="B1401" s="19" t="n">
        <x:v>4</x:v>
      </x:c>
      <x:c r="C1401" s="19" t="n">
        <x:v>1</x:v>
      </x:c>
      <x:c r="D1401" s="19" t="str">
        <x:v>C04-M004</x:v>
      </x:c>
      <x:c r="E1401" s="19" t="str">
        <x:v>腐雾钳虾</x:v>
      </x:c>
      <x:c r="F1401" s="19" t="str">
        <x:v>普通</x:v>
      </x:c>
      <x:c r="G1401" s="19" t="str">
        <x:v>材料独立候选</x:v>
      </x:c>
      <x:c r="H1401" s="19" t="str">
        <x:v>技能残页</x:v>
      </x:c>
      <x:c r="I1401" s="22" t="n">
        <x:v>400</x:v>
      </x:c>
      <x:c r="J1401" s="22" t="n">
        <x:v>1</x:v>
      </x:c>
      <x:c r="K1401" s="19" t="n">
        <x:v>1</x:v>
      </x:c>
      <x:c r="L1401" s="24" t="n">
        <x:v>17.25</x:v>
      </x:c>
      <x:c r="M1401" s="26" t="n">
        <x:v>0.1</x:v>
      </x:c>
      <x:c r="N1401" s="24" t="n">
        <x:v>72</x:v>
      </x:c>
      <x:c r="O1401" s="28" t="n">
        <x:f>MIN(1,L1401/I1401)</x:f>
        <x:v>0.043125</x:v>
      </x:c>
      <x:c r="P1401" s="30" t="n">
        <x:f>O1401*J1401*(1+M1401)</x:f>
        <x:v>0.0474375</x:v>
      </x:c>
      <x:c r="Q1401" s="30" t="n">
        <x:f>P1401*N1401</x:f>
        <x:v>3.4155</x:v>
      </x:c>
      <x:c r="R1401" s="19" t="str">
        <x:v>独立判定</x:v>
      </x:c>
    </x:row>
    <x:row r="1402" ht="19" customHeight="1">
      <x:c r="A1402" s="19" t="str">
        <x:v>D01398</x:v>
      </x:c>
      <x:c r="B1402" s="19" t="n">
        <x:v>4</x:v>
      </x:c>
      <x:c r="C1402" s="19" t="n">
        <x:v>1</x:v>
      </x:c>
      <x:c r="D1402" s="19" t="str">
        <x:v>C04-M004</x:v>
      </x:c>
      <x:c r="E1402" s="19" t="str">
        <x:v>腐雾钳虾</x:v>
      </x:c>
      <x:c r="F1402" s="19" t="str">
        <x:v>普通</x:v>
      </x:c>
      <x:c r="G1402" s="19" t="str">
        <x:v>材料独立候选</x:v>
      </x:c>
      <x:c r="H1402" s="19" t="str">
        <x:v>小卢恩</x:v>
      </x:c>
      <x:c r="I1402" s="22" t="n">
        <x:v>800</x:v>
      </x:c>
      <x:c r="J1402" s="22" t="n">
        <x:v>1</x:v>
      </x:c>
      <x:c r="K1402" s="19" t="n">
        <x:v>1</x:v>
      </x:c>
      <x:c r="L1402" s="24" t="n">
        <x:v>17.25</x:v>
      </x:c>
      <x:c r="M1402" s="26" t="n">
        <x:v>0.1</x:v>
      </x:c>
      <x:c r="N1402" s="24" t="n">
        <x:v>72</x:v>
      </x:c>
      <x:c r="O1402" s="28" t="n">
        <x:f>MIN(1,L1402/I1402)</x:f>
        <x:v>0.0215625</x:v>
      </x:c>
      <x:c r="P1402" s="30" t="n">
        <x:f>O1402*J1402*(1+M1402)</x:f>
        <x:v>0.02371875</x:v>
      </x:c>
      <x:c r="Q1402" s="30" t="n">
        <x:f>P1402*N1402</x:f>
        <x:v>1.70775</x:v>
      </x:c>
      <x:c r="R1402" s="19" t="str">
        <x:v>独立判定</x:v>
      </x:c>
    </x:row>
    <x:row r="1403" ht="19" customHeight="1">
      <x:c r="A1403" s="19" t="str">
        <x:v>D01399</x:v>
      </x:c>
      <x:c r="B1403" s="19" t="n">
        <x:v>4</x:v>
      </x:c>
      <x:c r="C1403" s="19" t="n">
        <x:v>1</x:v>
      </x:c>
      <x:c r="D1403" s="19" t="str">
        <x:v>C04-M004</x:v>
      </x:c>
      <x:c r="E1403" s="19" t="str">
        <x:v>腐雾钳虾</x:v>
      </x:c>
      <x:c r="F1403" s="19" t="str">
        <x:v>普通</x:v>
      </x:c>
      <x:c r="G1403" s="19" t="str">
        <x:v>六神器公共池</x:v>
      </x:c>
      <x:c r="H1403" s="19" t="str">
        <x:v>POOL006</x:v>
      </x:c>
      <x:c r="I1403" s="22" t="n">
        <x:v>20000000</x:v>
      </x:c>
      <x:c r="J1403" s="22" t="n">
        <x:v>1</x:v>
      </x:c>
      <x:c r="K1403" s="19" t="n">
        <x:v>6</x:v>
      </x:c>
      <x:c r="L1403" s="24" t="n">
        <x:v>17.25</x:v>
      </x:c>
      <x:c r="M1403" s="26" t="n">
        <x:v>0.1</x:v>
      </x:c>
      <x:c r="N1403" s="24" t="n">
        <x:v>72</x:v>
      </x:c>
      <x:c r="O1403" s="28" t="n">
        <x:f>MIN(1,L1403/I1403)</x:f>
        <x:v>8.625e-7</x:v>
      </x:c>
      <x:c r="P1403" s="30" t="n">
        <x:f>O1403*J1403*(1+M1403)</x:f>
        <x:v>9.487500000000001e-7</x:v>
      </x:c>
      <x:c r="Q1403" s="30" t="n">
        <x:f>P1403*N1403</x:f>
        <x:v>0.00006831000000000002</x:v>
      </x:c>
      <x:c r="R1403" s="19" t="str">
        <x:v>六选一；非6个独立爆率</x:v>
      </x:c>
    </x:row>
    <x:row r="1404" ht="19" customHeight="1">
      <x:c r="A1404" s="19" t="str">
        <x:v>D01400</x:v>
      </x:c>
      <x:c r="B1404" s="19" t="n">
        <x:v>4</x:v>
      </x:c>
      <x:c r="C1404" s="19" t="n">
        <x:v>1</x:v>
      </x:c>
      <x:c r="D1404" s="19" t="str">
        <x:v>C04-M005</x:v>
      </x:c>
      <x:c r="E1404" s="19" t="str">
        <x:v>烂泽水蛭</x:v>
      </x:c>
      <x:c r="F1404" s="19" t="str">
        <x:v>普通</x:v>
      </x:c>
      <x:c r="G1404" s="19" t="str">
        <x:v>自身专属</x:v>
      </x:c>
      <x:c r="H1404" s="19" t="str">
        <x:v>吸潮血戒</x:v>
      </x:c>
      <x:c r="I1404" s="22" t="n">
        <x:v>1200</x:v>
      </x:c>
      <x:c r="J1404" s="22" t="n">
        <x:v>1</x:v>
      </x:c>
      <x:c r="K1404" s="19" t="n">
        <x:v>1</x:v>
      </x:c>
      <x:c r="L1404" s="24" t="n">
        <x:v>17.25</x:v>
      </x:c>
      <x:c r="M1404" s="26" t="n">
        <x:v>0.1</x:v>
      </x:c>
      <x:c r="N1404" s="24" t="n">
        <x:v>72</x:v>
      </x:c>
      <x:c r="O1404" s="28" t="n">
        <x:f>MIN(1,L1404/I1404)</x:f>
        <x:v>0.014375</x:v>
      </x:c>
      <x:c r="P1404" s="30" t="n">
        <x:f>O1404*J1404*(1+M1404)</x:f>
        <x:v>0.015812500000000004</x:v>
      </x:c>
      <x:c r="Q1404" s="30" t="n">
        <x:f>P1404*N1404</x:f>
        <x:v>1.1385000000000003</x:v>
      </x:c>
      <x:c r="R1404" s="19" t="str">
        <x:v>独立判定</x:v>
      </x:c>
    </x:row>
    <x:row r="1405" ht="19" customHeight="1">
      <x:c r="A1405" s="19" t="str">
        <x:v>D01401</x:v>
      </x:c>
      <x:c r="B1405" s="19" t="n">
        <x:v>4</x:v>
      </x:c>
      <x:c r="C1405" s="19" t="n">
        <x:v>1</x:v>
      </x:c>
      <x:c r="D1405" s="19" t="str">
        <x:v>C04-M005</x:v>
      </x:c>
      <x:c r="E1405" s="19" t="str">
        <x:v>烂泽水蛭</x:v>
      </x:c>
      <x:c r="F1405" s="19" t="str">
        <x:v>普通</x:v>
      </x:c>
      <x:c r="G1405" s="19" t="str">
        <x:v>材料独立候选</x:v>
      </x:c>
      <x:c r="H1405" s="19" t="str">
        <x:v>湖盐结晶</x:v>
      </x:c>
      <x:c r="I1405" s="22" t="n">
        <x:v>500</x:v>
      </x:c>
      <x:c r="J1405" s="22" t="n">
        <x:v>8</x:v>
      </x:c>
      <x:c r="K1405" s="19" t="n">
        <x:v>1</x:v>
      </x:c>
      <x:c r="L1405" s="24" t="n">
        <x:v>17.25</x:v>
      </x:c>
      <x:c r="M1405" s="26" t="n">
        <x:v>0.1</x:v>
      </x:c>
      <x:c r="N1405" s="24" t="n">
        <x:v>72</x:v>
      </x:c>
      <x:c r="O1405" s="28" t="n">
        <x:f>MIN(1,L1405/I1405)</x:f>
        <x:v>0.0345</x:v>
      </x:c>
      <x:c r="P1405" s="30" t="n">
        <x:f>O1405*J1405*(1+M1405)</x:f>
        <x:v>0.30360000000000004</x:v>
      </x:c>
      <x:c r="Q1405" s="30" t="n">
        <x:f>P1405*N1405</x:f>
        <x:v>21.8592</x:v>
      </x:c>
      <x:c r="R1405" s="19" t="str">
        <x:v>独立判定</x:v>
      </x:c>
    </x:row>
    <x:row r="1406" ht="19" customHeight="1">
      <x:c r="A1406" s="19" t="str">
        <x:v>D01402</x:v>
      </x:c>
      <x:c r="B1406" s="19" t="n">
        <x:v>4</x:v>
      </x:c>
      <x:c r="C1406" s="19" t="n">
        <x:v>1</x:v>
      </x:c>
      <x:c r="D1406" s="19" t="str">
        <x:v>C04-M005</x:v>
      </x:c>
      <x:c r="E1406" s="19" t="str">
        <x:v>烂泽水蛭</x:v>
      </x:c>
      <x:c r="F1406" s="19" t="str">
        <x:v>普通</x:v>
      </x:c>
      <x:c r="G1406" s="19" t="str">
        <x:v>材料独立候选</x:v>
      </x:c>
      <x:c r="H1406" s="19" t="str">
        <x:v>雾潮银鳞</x:v>
      </x:c>
      <x:c r="I1406" s="22" t="n">
        <x:v>600</x:v>
      </x:c>
      <x:c r="J1406" s="22" t="n">
        <x:v>1</x:v>
      </x:c>
      <x:c r="K1406" s="19" t="n">
        <x:v>1</x:v>
      </x:c>
      <x:c r="L1406" s="24" t="n">
        <x:v>17.25</x:v>
      </x:c>
      <x:c r="M1406" s="26" t="n">
        <x:v>0.1</x:v>
      </x:c>
      <x:c r="N1406" s="24" t="n">
        <x:v>72</x:v>
      </x:c>
      <x:c r="O1406" s="28" t="n">
        <x:f>MIN(1,L1406/I1406)</x:f>
        <x:v>0.02875</x:v>
      </x:c>
      <x:c r="P1406" s="30" t="n">
        <x:f>O1406*J1406*(1+M1406)</x:f>
        <x:v>0.03162500000000001</x:v>
      </x:c>
      <x:c r="Q1406" s="30" t="n">
        <x:f>P1406*N1406</x:f>
        <x:v>2.2770000000000006</x:v>
      </x:c>
      <x:c r="R1406" s="19" t="str">
        <x:v>独立判定</x:v>
      </x:c>
    </x:row>
    <x:row r="1407" ht="19" customHeight="1">
      <x:c r="A1407" s="19" t="str">
        <x:v>D01403</x:v>
      </x:c>
      <x:c r="B1407" s="19" t="n">
        <x:v>4</x:v>
      </x:c>
      <x:c r="C1407" s="19" t="n">
        <x:v>1</x:v>
      </x:c>
      <x:c r="D1407" s="19" t="str">
        <x:v>C04-M005</x:v>
      </x:c>
      <x:c r="E1407" s="19" t="str">
        <x:v>烂泽水蛭</x:v>
      </x:c>
      <x:c r="F1407" s="19" t="str">
        <x:v>普通</x:v>
      </x:c>
      <x:c r="G1407" s="19" t="str">
        <x:v>材料独立候选</x:v>
      </x:c>
      <x:c r="H1407" s="19" t="str">
        <x:v>月潮忆珀</x:v>
      </x:c>
      <x:c r="I1407" s="22" t="n">
        <x:v>800000</x:v>
      </x:c>
      <x:c r="J1407" s="22" t="n">
        <x:v>1</x:v>
      </x:c>
      <x:c r="K1407" s="19" t="n">
        <x:v>1</x:v>
      </x:c>
      <x:c r="L1407" s="24" t="n">
        <x:v>17.25</x:v>
      </x:c>
      <x:c r="M1407" s="26" t="n">
        <x:v>0.1</x:v>
      </x:c>
      <x:c r="N1407" s="24" t="n">
        <x:v>72</x:v>
      </x:c>
      <x:c r="O1407" s="28" t="n">
        <x:f>MIN(1,L1407/I1407)</x:f>
        <x:v>0.0000215625</x:v>
      </x:c>
      <x:c r="P1407" s="30" t="n">
        <x:f>O1407*J1407*(1+M1407)</x:f>
        <x:v>0.00002371875</x:v>
      </x:c>
      <x:c r="Q1407" s="30" t="n">
        <x:f>P1407*N1407</x:f>
        <x:v>0.00170775</x:v>
      </x:c>
      <x:c r="R1407" s="19" t="str">
        <x:v>独立判定</x:v>
      </x:c>
    </x:row>
    <x:row r="1408" ht="19" customHeight="1">
      <x:c r="A1408" s="19" t="str">
        <x:v>D01404</x:v>
      </x:c>
      <x:c r="B1408" s="19" t="n">
        <x:v>4</x:v>
      </x:c>
      <x:c r="C1408" s="19" t="n">
        <x:v>1</x:v>
      </x:c>
      <x:c r="D1408" s="19" t="str">
        <x:v>C04-M005</x:v>
      </x:c>
      <x:c r="E1408" s="19" t="str">
        <x:v>烂泽水蛭</x:v>
      </x:c>
      <x:c r="F1408" s="19" t="str">
        <x:v>普通</x:v>
      </x:c>
      <x:c r="G1408" s="19" t="str">
        <x:v>材料独立候选</x:v>
      </x:c>
      <x:c r="H1408" s="19" t="str">
        <x:v>野兽骨片</x:v>
      </x:c>
      <x:c r="I1408" s="22" t="n">
        <x:v>80</x:v>
      </x:c>
      <x:c r="J1408" s="22" t="n">
        <x:v>2</x:v>
      </x:c>
      <x:c r="K1408" s="19" t="n">
        <x:v>1</x:v>
      </x:c>
      <x:c r="L1408" s="24" t="n">
        <x:v>17.25</x:v>
      </x:c>
      <x:c r="M1408" s="26" t="n">
        <x:v>0.1</x:v>
      </x:c>
      <x:c r="N1408" s="24" t="n">
        <x:v>72</x:v>
      </x:c>
      <x:c r="O1408" s="28" t="n">
        <x:f>MIN(1,L1408/I1408)</x:f>
        <x:v>0.215625</x:v>
      </x:c>
      <x:c r="P1408" s="30" t="n">
        <x:f>O1408*J1408*(1+M1408)</x:f>
        <x:v>0.47437500000000005</x:v>
      </x:c>
      <x:c r="Q1408" s="30" t="n">
        <x:f>P1408*N1408</x:f>
        <x:v>34.155</x:v>
      </x:c>
      <x:c r="R1408" s="19" t="str">
        <x:v>独立判定</x:v>
      </x:c>
    </x:row>
    <x:row r="1409" ht="19" customHeight="1">
      <x:c r="A1409" s="19" t="str">
        <x:v>D01405</x:v>
      </x:c>
      <x:c r="B1409" s="19" t="n">
        <x:v>4</x:v>
      </x:c>
      <x:c r="C1409" s="19" t="n">
        <x:v>1</x:v>
      </x:c>
      <x:c r="D1409" s="19" t="str">
        <x:v>C04-M005</x:v>
      </x:c>
      <x:c r="E1409" s="19" t="str">
        <x:v>烂泽水蛭</x:v>
      </x:c>
      <x:c r="F1409" s="19" t="str">
        <x:v>普通</x:v>
      </x:c>
      <x:c r="G1409" s="19" t="str">
        <x:v>材料独立候选</x:v>
      </x:c>
      <x:c r="H1409" s="19" t="str">
        <x:v>技能残页</x:v>
      </x:c>
      <x:c r="I1409" s="22" t="n">
        <x:v>400</x:v>
      </x:c>
      <x:c r="J1409" s="22" t="n">
        <x:v>1</x:v>
      </x:c>
      <x:c r="K1409" s="19" t="n">
        <x:v>1</x:v>
      </x:c>
      <x:c r="L1409" s="24" t="n">
        <x:v>17.25</x:v>
      </x:c>
      <x:c r="M1409" s="26" t="n">
        <x:v>0.1</x:v>
      </x:c>
      <x:c r="N1409" s="24" t="n">
        <x:v>72</x:v>
      </x:c>
      <x:c r="O1409" s="28" t="n">
        <x:f>MIN(1,L1409/I1409)</x:f>
        <x:v>0.043125</x:v>
      </x:c>
      <x:c r="P1409" s="30" t="n">
        <x:f>O1409*J1409*(1+M1409)</x:f>
        <x:v>0.0474375</x:v>
      </x:c>
      <x:c r="Q1409" s="30" t="n">
        <x:f>P1409*N1409</x:f>
        <x:v>3.4155</x:v>
      </x:c>
      <x:c r="R1409" s="19" t="str">
        <x:v>独立判定</x:v>
      </x:c>
    </x:row>
    <x:row r="1410" ht="19" customHeight="1">
      <x:c r="A1410" s="19" t="str">
        <x:v>D01406</x:v>
      </x:c>
      <x:c r="B1410" s="19" t="n">
        <x:v>4</x:v>
      </x:c>
      <x:c r="C1410" s="19" t="n">
        <x:v>1</x:v>
      </x:c>
      <x:c r="D1410" s="19" t="str">
        <x:v>C04-M005</x:v>
      </x:c>
      <x:c r="E1410" s="19" t="str">
        <x:v>烂泽水蛭</x:v>
      </x:c>
      <x:c r="F1410" s="19" t="str">
        <x:v>普通</x:v>
      </x:c>
      <x:c r="G1410" s="19" t="str">
        <x:v>材料独立候选</x:v>
      </x:c>
      <x:c r="H1410" s="19" t="str">
        <x:v>小卢恩</x:v>
      </x:c>
      <x:c r="I1410" s="22" t="n">
        <x:v>800</x:v>
      </x:c>
      <x:c r="J1410" s="22" t="n">
        <x:v>1</x:v>
      </x:c>
      <x:c r="K1410" s="19" t="n">
        <x:v>1</x:v>
      </x:c>
      <x:c r="L1410" s="24" t="n">
        <x:v>17.25</x:v>
      </x:c>
      <x:c r="M1410" s="26" t="n">
        <x:v>0.1</x:v>
      </x:c>
      <x:c r="N1410" s="24" t="n">
        <x:v>72</x:v>
      </x:c>
      <x:c r="O1410" s="28" t="n">
        <x:f>MIN(1,L1410/I1410)</x:f>
        <x:v>0.0215625</x:v>
      </x:c>
      <x:c r="P1410" s="30" t="n">
        <x:f>O1410*J1410*(1+M1410)</x:f>
        <x:v>0.02371875</x:v>
      </x:c>
      <x:c r="Q1410" s="30" t="n">
        <x:f>P1410*N1410</x:f>
        <x:v>1.70775</x:v>
      </x:c>
      <x:c r="R1410" s="19" t="str">
        <x:v>独立判定</x:v>
      </x:c>
    </x:row>
    <x:row r="1411" ht="19" customHeight="1">
      <x:c r="A1411" s="19" t="str">
        <x:v>D01407</x:v>
      </x:c>
      <x:c r="B1411" s="19" t="n">
        <x:v>4</x:v>
      </x:c>
      <x:c r="C1411" s="19" t="n">
        <x:v>1</x:v>
      </x:c>
      <x:c r="D1411" s="19" t="str">
        <x:v>C04-M005</x:v>
      </x:c>
      <x:c r="E1411" s="19" t="str">
        <x:v>烂泽水蛭</x:v>
      </x:c>
      <x:c r="F1411" s="19" t="str">
        <x:v>普通</x:v>
      </x:c>
      <x:c r="G1411" s="19" t="str">
        <x:v>六神器公共池</x:v>
      </x:c>
      <x:c r="H1411" s="19" t="str">
        <x:v>POOL006</x:v>
      </x:c>
      <x:c r="I1411" s="22" t="n">
        <x:v>20000000</x:v>
      </x:c>
      <x:c r="J1411" s="22" t="n">
        <x:v>1</x:v>
      </x:c>
      <x:c r="K1411" s="19" t="n">
        <x:v>6</x:v>
      </x:c>
      <x:c r="L1411" s="24" t="n">
        <x:v>17.25</x:v>
      </x:c>
      <x:c r="M1411" s="26" t="n">
        <x:v>0.1</x:v>
      </x:c>
      <x:c r="N1411" s="24" t="n">
        <x:v>72</x:v>
      </x:c>
      <x:c r="O1411" s="28" t="n">
        <x:f>MIN(1,L1411/I1411)</x:f>
        <x:v>8.625e-7</x:v>
      </x:c>
      <x:c r="P1411" s="30" t="n">
        <x:f>O1411*J1411*(1+M1411)</x:f>
        <x:v>9.487500000000001e-7</x:v>
      </x:c>
      <x:c r="Q1411" s="30" t="n">
        <x:f>P1411*N1411</x:f>
        <x:v>0.00006831000000000002</x:v>
      </x:c>
      <x:c r="R1411" s="19" t="str">
        <x:v>六选一；非6个独立爆率</x:v>
      </x:c>
    </x:row>
    <x:row r="1412" ht="19" customHeight="1">
      <x:c r="A1412" s="19" t="str">
        <x:v>D01408</x:v>
      </x:c>
      <x:c r="B1412" s="19" t="n">
        <x:v>4</x:v>
      </x:c>
      <x:c r="C1412" s="19" t="n">
        <x:v>1</x:v>
      </x:c>
      <x:c r="D1412" s="19" t="str">
        <x:v>C04-M006</x:v>
      </x:c>
      <x:c r="E1412" s="19" t="str">
        <x:v>蒙眼采藕人</x:v>
      </x:c>
      <x:c r="F1412" s="19" t="str">
        <x:v>普通</x:v>
      </x:c>
      <x:c r="G1412" s="19" t="str">
        <x:v>自身专属</x:v>
      </x:c>
      <x:c r="H1412" s="19" t="str">
        <x:v>盲采藕刀</x:v>
      </x:c>
      <x:c r="I1412" s="22" t="n">
        <x:v>1200</x:v>
      </x:c>
      <x:c r="J1412" s="22" t="n">
        <x:v>1</x:v>
      </x:c>
      <x:c r="K1412" s="19" t="n">
        <x:v>1</x:v>
      </x:c>
      <x:c r="L1412" s="24" t="n">
        <x:v>17.25</x:v>
      </x:c>
      <x:c r="M1412" s="26" t="n">
        <x:v>0.1</x:v>
      </x:c>
      <x:c r="N1412" s="24" t="n">
        <x:v>72</x:v>
      </x:c>
      <x:c r="O1412" s="28" t="n">
        <x:f>MIN(1,L1412/I1412)</x:f>
        <x:v>0.014375</x:v>
      </x:c>
      <x:c r="P1412" s="30" t="n">
        <x:f>O1412*J1412*(1+M1412)</x:f>
        <x:v>0.015812500000000004</x:v>
      </x:c>
      <x:c r="Q1412" s="30" t="n">
        <x:f>P1412*N1412</x:f>
        <x:v>1.1385000000000003</x:v>
      </x:c>
      <x:c r="R1412" s="19" t="str">
        <x:v>独立判定</x:v>
      </x:c>
    </x:row>
    <x:row r="1413" ht="19" customHeight="1">
      <x:c r="A1413" s="19" t="str">
        <x:v>D01409</x:v>
      </x:c>
      <x:c r="B1413" s="19" t="n">
        <x:v>4</x:v>
      </x:c>
      <x:c r="C1413" s="19" t="n">
        <x:v>1</x:v>
      </x:c>
      <x:c r="D1413" s="19" t="str">
        <x:v>C04-M006</x:v>
      </x:c>
      <x:c r="E1413" s="19" t="str">
        <x:v>蒙眼采藕人</x:v>
      </x:c>
      <x:c r="F1413" s="19" t="str">
        <x:v>普通</x:v>
      </x:c>
      <x:c r="G1413" s="19" t="str">
        <x:v>材料独立候选</x:v>
      </x:c>
      <x:c r="H1413" s="19" t="str">
        <x:v>湖盐结晶</x:v>
      </x:c>
      <x:c r="I1413" s="22" t="n">
        <x:v>500</x:v>
      </x:c>
      <x:c r="J1413" s="22" t="n">
        <x:v>8</x:v>
      </x:c>
      <x:c r="K1413" s="19" t="n">
        <x:v>1</x:v>
      </x:c>
      <x:c r="L1413" s="24" t="n">
        <x:v>17.25</x:v>
      </x:c>
      <x:c r="M1413" s="26" t="n">
        <x:v>0.1</x:v>
      </x:c>
      <x:c r="N1413" s="24" t="n">
        <x:v>72</x:v>
      </x:c>
      <x:c r="O1413" s="28" t="n">
        <x:f>MIN(1,L1413/I1413)</x:f>
        <x:v>0.0345</x:v>
      </x:c>
      <x:c r="P1413" s="30" t="n">
        <x:f>O1413*J1413*(1+M1413)</x:f>
        <x:v>0.30360000000000004</x:v>
      </x:c>
      <x:c r="Q1413" s="30" t="n">
        <x:f>P1413*N1413</x:f>
        <x:v>21.8592</x:v>
      </x:c>
      <x:c r="R1413" s="19" t="str">
        <x:v>独立判定</x:v>
      </x:c>
    </x:row>
    <x:row r="1414" ht="19" customHeight="1">
      <x:c r="A1414" s="19" t="str">
        <x:v>D01410</x:v>
      </x:c>
      <x:c r="B1414" s="19" t="n">
        <x:v>4</x:v>
      </x:c>
      <x:c r="C1414" s="19" t="n">
        <x:v>1</x:v>
      </x:c>
      <x:c r="D1414" s="19" t="str">
        <x:v>C04-M006</x:v>
      </x:c>
      <x:c r="E1414" s="19" t="str">
        <x:v>蒙眼采藕人</x:v>
      </x:c>
      <x:c r="F1414" s="19" t="str">
        <x:v>普通</x:v>
      </x:c>
      <x:c r="G1414" s="19" t="str">
        <x:v>材料独立候选</x:v>
      </x:c>
      <x:c r="H1414" s="19" t="str">
        <x:v>雾潮银鳞</x:v>
      </x:c>
      <x:c r="I1414" s="22" t="n">
        <x:v>600</x:v>
      </x:c>
      <x:c r="J1414" s="22" t="n">
        <x:v>1</x:v>
      </x:c>
      <x:c r="K1414" s="19" t="n">
        <x:v>1</x:v>
      </x:c>
      <x:c r="L1414" s="24" t="n">
        <x:v>17.25</x:v>
      </x:c>
      <x:c r="M1414" s="26" t="n">
        <x:v>0.1</x:v>
      </x:c>
      <x:c r="N1414" s="24" t="n">
        <x:v>72</x:v>
      </x:c>
      <x:c r="O1414" s="28" t="n">
        <x:f>MIN(1,L1414/I1414)</x:f>
        <x:v>0.02875</x:v>
      </x:c>
      <x:c r="P1414" s="30" t="n">
        <x:f>O1414*J1414*(1+M1414)</x:f>
        <x:v>0.03162500000000001</x:v>
      </x:c>
      <x:c r="Q1414" s="30" t="n">
        <x:f>P1414*N1414</x:f>
        <x:v>2.2770000000000006</x:v>
      </x:c>
      <x:c r="R1414" s="19" t="str">
        <x:v>独立判定</x:v>
      </x:c>
    </x:row>
    <x:row r="1415" ht="19" customHeight="1">
      <x:c r="A1415" s="19" t="str">
        <x:v>D01411</x:v>
      </x:c>
      <x:c r="B1415" s="19" t="n">
        <x:v>4</x:v>
      </x:c>
      <x:c r="C1415" s="19" t="n">
        <x:v>1</x:v>
      </x:c>
      <x:c r="D1415" s="19" t="str">
        <x:v>C04-M006</x:v>
      </x:c>
      <x:c r="E1415" s="19" t="str">
        <x:v>蒙眼采藕人</x:v>
      </x:c>
      <x:c r="F1415" s="19" t="str">
        <x:v>普通</x:v>
      </x:c>
      <x:c r="G1415" s="19" t="str">
        <x:v>材料独立候选</x:v>
      </x:c>
      <x:c r="H1415" s="19" t="str">
        <x:v>月潮忆珀</x:v>
      </x:c>
      <x:c r="I1415" s="22" t="n">
        <x:v>800000</x:v>
      </x:c>
      <x:c r="J1415" s="22" t="n">
        <x:v>1</x:v>
      </x:c>
      <x:c r="K1415" s="19" t="n">
        <x:v>1</x:v>
      </x:c>
      <x:c r="L1415" s="24" t="n">
        <x:v>17.25</x:v>
      </x:c>
      <x:c r="M1415" s="26" t="n">
        <x:v>0.1</x:v>
      </x:c>
      <x:c r="N1415" s="24" t="n">
        <x:v>72</x:v>
      </x:c>
      <x:c r="O1415" s="28" t="n">
        <x:f>MIN(1,L1415/I1415)</x:f>
        <x:v>0.0000215625</x:v>
      </x:c>
      <x:c r="P1415" s="30" t="n">
        <x:f>O1415*J1415*(1+M1415)</x:f>
        <x:v>0.00002371875</x:v>
      </x:c>
      <x:c r="Q1415" s="30" t="n">
        <x:f>P1415*N1415</x:f>
        <x:v>0.00170775</x:v>
      </x:c>
      <x:c r="R1415" s="19" t="str">
        <x:v>独立判定</x:v>
      </x:c>
    </x:row>
    <x:row r="1416" ht="19" customHeight="1">
      <x:c r="A1416" s="19" t="str">
        <x:v>D01412</x:v>
      </x:c>
      <x:c r="B1416" s="19" t="n">
        <x:v>4</x:v>
      </x:c>
      <x:c r="C1416" s="19" t="n">
        <x:v>1</x:v>
      </x:c>
      <x:c r="D1416" s="19" t="str">
        <x:v>C04-M006</x:v>
      </x:c>
      <x:c r="E1416" s="19" t="str">
        <x:v>蒙眼采藕人</x:v>
      </x:c>
      <x:c r="F1416" s="19" t="str">
        <x:v>普通</x:v>
      </x:c>
      <x:c r="G1416" s="19" t="str">
        <x:v>材料独立候选</x:v>
      </x:c>
      <x:c r="H1416" s="19" t="str">
        <x:v>野兽骨片</x:v>
      </x:c>
      <x:c r="I1416" s="22" t="n">
        <x:v>80</x:v>
      </x:c>
      <x:c r="J1416" s="22" t="n">
        <x:v>2</x:v>
      </x:c>
      <x:c r="K1416" s="19" t="n">
        <x:v>1</x:v>
      </x:c>
      <x:c r="L1416" s="24" t="n">
        <x:v>17.25</x:v>
      </x:c>
      <x:c r="M1416" s="26" t="n">
        <x:v>0.1</x:v>
      </x:c>
      <x:c r="N1416" s="24" t="n">
        <x:v>72</x:v>
      </x:c>
      <x:c r="O1416" s="28" t="n">
        <x:f>MIN(1,L1416/I1416)</x:f>
        <x:v>0.215625</x:v>
      </x:c>
      <x:c r="P1416" s="30" t="n">
        <x:f>O1416*J1416*(1+M1416)</x:f>
        <x:v>0.47437500000000005</x:v>
      </x:c>
      <x:c r="Q1416" s="30" t="n">
        <x:f>P1416*N1416</x:f>
        <x:v>34.155</x:v>
      </x:c>
      <x:c r="R1416" s="19" t="str">
        <x:v>独立判定</x:v>
      </x:c>
    </x:row>
    <x:row r="1417" ht="19" customHeight="1">
      <x:c r="A1417" s="19" t="str">
        <x:v>D01413</x:v>
      </x:c>
      <x:c r="B1417" s="19" t="n">
        <x:v>4</x:v>
      </x:c>
      <x:c r="C1417" s="19" t="n">
        <x:v>1</x:v>
      </x:c>
      <x:c r="D1417" s="19" t="str">
        <x:v>C04-M006</x:v>
      </x:c>
      <x:c r="E1417" s="19" t="str">
        <x:v>蒙眼采藕人</x:v>
      </x:c>
      <x:c r="F1417" s="19" t="str">
        <x:v>普通</x:v>
      </x:c>
      <x:c r="G1417" s="19" t="str">
        <x:v>材料独立候选</x:v>
      </x:c>
      <x:c r="H1417" s="19" t="str">
        <x:v>技能残页</x:v>
      </x:c>
      <x:c r="I1417" s="22" t="n">
        <x:v>400</x:v>
      </x:c>
      <x:c r="J1417" s="22" t="n">
        <x:v>1</x:v>
      </x:c>
      <x:c r="K1417" s="19" t="n">
        <x:v>1</x:v>
      </x:c>
      <x:c r="L1417" s="24" t="n">
        <x:v>17.25</x:v>
      </x:c>
      <x:c r="M1417" s="26" t="n">
        <x:v>0.1</x:v>
      </x:c>
      <x:c r="N1417" s="24" t="n">
        <x:v>72</x:v>
      </x:c>
      <x:c r="O1417" s="28" t="n">
        <x:f>MIN(1,L1417/I1417)</x:f>
        <x:v>0.043125</x:v>
      </x:c>
      <x:c r="P1417" s="30" t="n">
        <x:f>O1417*J1417*(1+M1417)</x:f>
        <x:v>0.0474375</x:v>
      </x:c>
      <x:c r="Q1417" s="30" t="n">
        <x:f>P1417*N1417</x:f>
        <x:v>3.4155</x:v>
      </x:c>
      <x:c r="R1417" s="19" t="str">
        <x:v>独立判定</x:v>
      </x:c>
    </x:row>
    <x:row r="1418" ht="19" customHeight="1">
      <x:c r="A1418" s="19" t="str">
        <x:v>D01414</x:v>
      </x:c>
      <x:c r="B1418" s="19" t="n">
        <x:v>4</x:v>
      </x:c>
      <x:c r="C1418" s="19" t="n">
        <x:v>1</x:v>
      </x:c>
      <x:c r="D1418" s="19" t="str">
        <x:v>C04-M006</x:v>
      </x:c>
      <x:c r="E1418" s="19" t="str">
        <x:v>蒙眼采藕人</x:v>
      </x:c>
      <x:c r="F1418" s="19" t="str">
        <x:v>普通</x:v>
      </x:c>
      <x:c r="G1418" s="19" t="str">
        <x:v>材料独立候选</x:v>
      </x:c>
      <x:c r="H1418" s="19" t="str">
        <x:v>小卢恩</x:v>
      </x:c>
      <x:c r="I1418" s="22" t="n">
        <x:v>800</x:v>
      </x:c>
      <x:c r="J1418" s="22" t="n">
        <x:v>1</x:v>
      </x:c>
      <x:c r="K1418" s="19" t="n">
        <x:v>1</x:v>
      </x:c>
      <x:c r="L1418" s="24" t="n">
        <x:v>17.25</x:v>
      </x:c>
      <x:c r="M1418" s="26" t="n">
        <x:v>0.1</x:v>
      </x:c>
      <x:c r="N1418" s="24" t="n">
        <x:v>72</x:v>
      </x:c>
      <x:c r="O1418" s="28" t="n">
        <x:f>MIN(1,L1418/I1418)</x:f>
        <x:v>0.0215625</x:v>
      </x:c>
      <x:c r="P1418" s="30" t="n">
        <x:f>O1418*J1418*(1+M1418)</x:f>
        <x:v>0.02371875</x:v>
      </x:c>
      <x:c r="Q1418" s="30" t="n">
        <x:f>P1418*N1418</x:f>
        <x:v>1.70775</x:v>
      </x:c>
      <x:c r="R1418" s="19" t="str">
        <x:v>独立判定</x:v>
      </x:c>
    </x:row>
    <x:row r="1419" ht="19" customHeight="1">
      <x:c r="A1419" s="19" t="str">
        <x:v>D01415</x:v>
      </x:c>
      <x:c r="B1419" s="19" t="n">
        <x:v>4</x:v>
      </x:c>
      <x:c r="C1419" s="19" t="n">
        <x:v>1</x:v>
      </x:c>
      <x:c r="D1419" s="19" t="str">
        <x:v>C04-M006</x:v>
      </x:c>
      <x:c r="E1419" s="19" t="str">
        <x:v>蒙眼采藕人</x:v>
      </x:c>
      <x:c r="F1419" s="19" t="str">
        <x:v>普通</x:v>
      </x:c>
      <x:c r="G1419" s="19" t="str">
        <x:v>六神器公共池</x:v>
      </x:c>
      <x:c r="H1419" s="19" t="str">
        <x:v>POOL006</x:v>
      </x:c>
      <x:c r="I1419" s="22" t="n">
        <x:v>20000000</x:v>
      </x:c>
      <x:c r="J1419" s="22" t="n">
        <x:v>1</x:v>
      </x:c>
      <x:c r="K1419" s="19" t="n">
        <x:v>6</x:v>
      </x:c>
      <x:c r="L1419" s="24" t="n">
        <x:v>17.25</x:v>
      </x:c>
      <x:c r="M1419" s="26" t="n">
        <x:v>0.1</x:v>
      </x:c>
      <x:c r="N1419" s="24" t="n">
        <x:v>72</x:v>
      </x:c>
      <x:c r="O1419" s="28" t="n">
        <x:f>MIN(1,L1419/I1419)</x:f>
        <x:v>8.625e-7</x:v>
      </x:c>
      <x:c r="P1419" s="30" t="n">
        <x:f>O1419*J1419*(1+M1419)</x:f>
        <x:v>9.487500000000001e-7</x:v>
      </x:c>
      <x:c r="Q1419" s="30" t="n">
        <x:f>P1419*N1419</x:f>
        <x:v>0.00006831000000000002</x:v>
      </x:c>
      <x:c r="R1419" s="19" t="str">
        <x:v>六选一；非6个独立爆率</x:v>
      </x:c>
    </x:row>
    <x:row r="1420" ht="19" customHeight="1">
      <x:c r="A1420" s="19" t="str">
        <x:v>D01416</x:v>
      </x:c>
      <x:c r="B1420" s="19" t="n">
        <x:v>4</x:v>
      </x:c>
      <x:c r="C1420" s="19" t="n">
        <x:v>1</x:v>
      </x:c>
      <x:c r="D1420" s="19" t="str">
        <x:v>C04-M007</x:v>
      </x:c>
      <x:c r="E1420" s="19" t="str">
        <x:v>雾纱水巫</x:v>
      </x:c>
      <x:c r="F1420" s="19" t="str">
        <x:v>稀有</x:v>
      </x:c>
      <x:c r="G1420" s="19" t="str">
        <x:v>自身专属</x:v>
      </x:c>
      <x:c r="H1420" s="19" t="str">
        <x:v>水巫雾纱笠</x:v>
      </x:c>
      <x:c r="I1420" s="22" t="n">
        <x:v>300</x:v>
      </x:c>
      <x:c r="J1420" s="22" t="n">
        <x:v>1</x:v>
      </x:c>
      <x:c r="K1420" s="19" t="n">
        <x:v>1</x:v>
      </x:c>
      <x:c r="L1420" s="24" t="n">
        <x:v>17.25</x:v>
      </x:c>
      <x:c r="M1420" s="26" t="n">
        <x:v>0.1</x:v>
      </x:c>
      <x:c r="N1420" s="24" t="n">
        <x:v>12</x:v>
      </x:c>
      <x:c r="O1420" s="28" t="n">
        <x:f>MIN(1,L1420/I1420)</x:f>
        <x:v>0.0575</x:v>
      </x:c>
      <x:c r="P1420" s="30" t="n">
        <x:f>O1420*J1420*(1+M1420)</x:f>
        <x:v>0.06325000000000001</x:v>
      </x:c>
      <x:c r="Q1420" s="30" t="n">
        <x:f>P1420*N1420</x:f>
        <x:v>0.7590000000000001</x:v>
      </x:c>
      <x:c r="R1420" s="19" t="str">
        <x:v>独立判定</x:v>
      </x:c>
    </x:row>
    <x:row r="1421" ht="19" customHeight="1">
      <x:c r="A1421" s="19" t="str">
        <x:v>D01417</x:v>
      </x:c>
      <x:c r="B1421" s="19" t="n">
        <x:v>4</x:v>
      </x:c>
      <x:c r="C1421" s="19" t="n">
        <x:v>1</x:v>
      </x:c>
      <x:c r="D1421" s="19" t="str">
        <x:v>C04-M007</x:v>
      </x:c>
      <x:c r="E1421" s="19" t="str">
        <x:v>雾纱水巫</x:v>
      </x:c>
      <x:c r="F1421" s="19" t="str">
        <x:v>稀有</x:v>
      </x:c>
      <x:c r="G1421" s="19" t="str">
        <x:v>材料独立候选</x:v>
      </x:c>
      <x:c r="H1421" s="19" t="str">
        <x:v>湖盐结晶</x:v>
      </x:c>
      <x:c r="I1421" s="22" t="n">
        <x:v>300</x:v>
      </x:c>
      <x:c r="J1421" s="22" t="n">
        <x:v>15</x:v>
      </x:c>
      <x:c r="K1421" s="19" t="n">
        <x:v>1</x:v>
      </x:c>
      <x:c r="L1421" s="24" t="n">
        <x:v>17.25</x:v>
      </x:c>
      <x:c r="M1421" s="26" t="n">
        <x:v>0.1</x:v>
      </x:c>
      <x:c r="N1421" s="24" t="n">
        <x:v>12</x:v>
      </x:c>
      <x:c r="O1421" s="28" t="n">
        <x:f>MIN(1,L1421/I1421)</x:f>
        <x:v>0.0575</x:v>
      </x:c>
      <x:c r="P1421" s="30" t="n">
        <x:f>O1421*J1421*(1+M1421)</x:f>
        <x:v>0.9487500000000001</x:v>
      </x:c>
      <x:c r="Q1421" s="30" t="n">
        <x:f>P1421*N1421</x:f>
        <x:v>11.385000000000002</x:v>
      </x:c>
      <x:c r="R1421" s="19" t="str">
        <x:v>独立判定</x:v>
      </x:c>
    </x:row>
    <x:row r="1422" ht="19" customHeight="1">
      <x:c r="A1422" s="19" t="str">
        <x:v>D01418</x:v>
      </x:c>
      <x:c r="B1422" s="19" t="n">
        <x:v>4</x:v>
      </x:c>
      <x:c r="C1422" s="19" t="n">
        <x:v>1</x:v>
      </x:c>
      <x:c r="D1422" s="19" t="str">
        <x:v>C04-M007</x:v>
      </x:c>
      <x:c r="E1422" s="19" t="str">
        <x:v>雾纱水巫</x:v>
      </x:c>
      <x:c r="F1422" s="19" t="str">
        <x:v>稀有</x:v>
      </x:c>
      <x:c r="G1422" s="19" t="str">
        <x:v>材料独立候选</x:v>
      </x:c>
      <x:c r="H1422" s="19" t="str">
        <x:v>幽船铆钉</x:v>
      </x:c>
      <x:c r="I1422" s="22" t="n">
        <x:v>800</x:v>
      </x:c>
      <x:c r="J1422" s="22" t="n">
        <x:v>1</x:v>
      </x:c>
      <x:c r="K1422" s="19" t="n">
        <x:v>1</x:v>
      </x:c>
      <x:c r="L1422" s="24" t="n">
        <x:v>17.25</x:v>
      </x:c>
      <x:c r="M1422" s="26" t="n">
        <x:v>0.1</x:v>
      </x:c>
      <x:c r="N1422" s="24" t="n">
        <x:v>12</x:v>
      </x:c>
      <x:c r="O1422" s="28" t="n">
        <x:f>MIN(1,L1422/I1422)</x:f>
        <x:v>0.0215625</x:v>
      </x:c>
      <x:c r="P1422" s="30" t="n">
        <x:f>O1422*J1422*(1+M1422)</x:f>
        <x:v>0.02371875</x:v>
      </x:c>
      <x:c r="Q1422" s="30" t="n">
        <x:f>P1422*N1422</x:f>
        <x:v>0.284625</x:v>
      </x:c>
      <x:c r="R1422" s="19" t="str">
        <x:v>独立判定</x:v>
      </x:c>
    </x:row>
    <x:row r="1423" ht="19" customHeight="1">
      <x:c r="A1423" s="19" t="str">
        <x:v>D01419</x:v>
      </x:c>
      <x:c r="B1423" s="19" t="n">
        <x:v>4</x:v>
      </x:c>
      <x:c r="C1423" s="19" t="n">
        <x:v>1</x:v>
      </x:c>
      <x:c r="D1423" s="19" t="str">
        <x:v>C04-M007</x:v>
      </x:c>
      <x:c r="E1423" s="19" t="str">
        <x:v>雾纱水巫</x:v>
      </x:c>
      <x:c r="F1423" s="19" t="str">
        <x:v>稀有</x:v>
      </x:c>
      <x:c r="G1423" s="19" t="str">
        <x:v>材料独立候选</x:v>
      </x:c>
      <x:c r="H1423" s="19" t="str">
        <x:v>沉船缆扣</x:v>
      </x:c>
      <x:c r="I1423" s="22" t="n">
        <x:v>400</x:v>
      </x:c>
      <x:c r="J1423" s="22" t="n">
        <x:v>1</x:v>
      </x:c>
      <x:c r="K1423" s="19" t="n">
        <x:v>1</x:v>
      </x:c>
      <x:c r="L1423" s="24" t="n">
        <x:v>17.25</x:v>
      </x:c>
      <x:c r="M1423" s="26" t="n">
        <x:v>0.1</x:v>
      </x:c>
      <x:c r="N1423" s="24" t="n">
        <x:v>12</x:v>
      </x:c>
      <x:c r="O1423" s="28" t="n">
        <x:f>MIN(1,L1423/I1423)</x:f>
        <x:v>0.043125</x:v>
      </x:c>
      <x:c r="P1423" s="30" t="n">
        <x:f>O1423*J1423*(1+M1423)</x:f>
        <x:v>0.0474375</x:v>
      </x:c>
      <x:c r="Q1423" s="30" t="n">
        <x:f>P1423*N1423</x:f>
        <x:v>0.56925</x:v>
      </x:c>
      <x:c r="R1423" s="19" t="str">
        <x:v>独立判定</x:v>
      </x:c>
    </x:row>
    <x:row r="1424" ht="19" customHeight="1">
      <x:c r="A1424" s="19" t="str">
        <x:v>D01420</x:v>
      </x:c>
      <x:c r="B1424" s="19" t="n">
        <x:v>4</x:v>
      </x:c>
      <x:c r="C1424" s="19" t="n">
        <x:v>1</x:v>
      </x:c>
      <x:c r="D1424" s="19" t="str">
        <x:v>C04-M007</x:v>
      </x:c>
      <x:c r="E1424" s="19" t="str">
        <x:v>雾纱水巫</x:v>
      </x:c>
      <x:c r="F1424" s="19" t="str">
        <x:v>稀有</x:v>
      </x:c>
      <x:c r="G1424" s="19" t="str">
        <x:v>材料独立候选</x:v>
      </x:c>
      <x:c r="H1424" s="19" t="str">
        <x:v>月潮忆珀</x:v>
      </x:c>
      <x:c r="I1424" s="22" t="n">
        <x:v>500000</x:v>
      </x:c>
      <x:c r="J1424" s="22" t="n">
        <x:v>1</x:v>
      </x:c>
      <x:c r="K1424" s="19" t="n">
        <x:v>1</x:v>
      </x:c>
      <x:c r="L1424" s="24" t="n">
        <x:v>17.25</x:v>
      </x:c>
      <x:c r="M1424" s="26" t="n">
        <x:v>0.1</x:v>
      </x:c>
      <x:c r="N1424" s="24" t="n">
        <x:v>12</x:v>
      </x:c>
      <x:c r="O1424" s="28" t="n">
        <x:f>MIN(1,L1424/I1424)</x:f>
        <x:v>0.0000345</x:v>
      </x:c>
      <x:c r="P1424" s="30" t="n">
        <x:f>O1424*J1424*(1+M1424)</x:f>
        <x:v>0.00003795</x:v>
      </x:c>
      <x:c r="Q1424" s="30" t="n">
        <x:f>P1424*N1424</x:f>
        <x:v>0.0004554</x:v>
      </x:c>
      <x:c r="R1424" s="19" t="str">
        <x:v>独立判定</x:v>
      </x:c>
    </x:row>
    <x:row r="1425" ht="19" customHeight="1">
      <x:c r="A1425" s="19" t="str">
        <x:v>D01421</x:v>
      </x:c>
      <x:c r="B1425" s="19" t="n">
        <x:v>4</x:v>
      </x:c>
      <x:c r="C1425" s="19" t="n">
        <x:v>1</x:v>
      </x:c>
      <x:c r="D1425" s="19" t="str">
        <x:v>C04-M007</x:v>
      </x:c>
      <x:c r="E1425" s="19" t="str">
        <x:v>雾纱水巫</x:v>
      </x:c>
      <x:c r="F1425" s="19" t="str">
        <x:v>稀有</x:v>
      </x:c>
      <x:c r="G1425" s="19" t="str">
        <x:v>材料独立候选</x:v>
      </x:c>
      <x:c r="H1425" s="19" t="str">
        <x:v>黄金树芽</x:v>
      </x:c>
      <x:c r="I1425" s="22" t="n">
        <x:v>1500</x:v>
      </x:c>
      <x:c r="J1425" s="22" t="n">
        <x:v>1</x:v>
      </x:c>
      <x:c r="K1425" s="19" t="n">
        <x:v>1</x:v>
      </x:c>
      <x:c r="L1425" s="24" t="n">
        <x:v>17.25</x:v>
      </x:c>
      <x:c r="M1425" s="26" t="n">
        <x:v>0.1</x:v>
      </x:c>
      <x:c r="N1425" s="24" t="n">
        <x:v>12</x:v>
      </x:c>
      <x:c r="O1425" s="28" t="n">
        <x:f>MIN(1,L1425/I1425)</x:f>
        <x:v>0.0115</x:v>
      </x:c>
      <x:c r="P1425" s="30" t="n">
        <x:f>O1425*J1425*(1+M1425)</x:f>
        <x:v>0.012650000000000002</x:v>
      </x:c>
      <x:c r="Q1425" s="30" t="n">
        <x:f>P1425*N1425</x:f>
        <x:v>0.15180000000000002</x:v>
      </x:c>
      <x:c r="R1425" s="19" t="str">
        <x:v>独立判定</x:v>
      </x:c>
    </x:row>
    <x:row r="1426" ht="19" customHeight="1">
      <x:c r="A1426" s="19" t="str">
        <x:v>D01422</x:v>
      </x:c>
      <x:c r="B1426" s="19" t="n">
        <x:v>4</x:v>
      </x:c>
      <x:c r="C1426" s="19" t="n">
        <x:v>1</x:v>
      </x:c>
      <x:c r="D1426" s="19" t="str">
        <x:v>C04-M007</x:v>
      </x:c>
      <x:c r="E1426" s="19" t="str">
        <x:v>雾纱水巫</x:v>
      </x:c>
      <x:c r="F1426" s="19" t="str">
        <x:v>稀有</x:v>
      </x:c>
      <x:c r="G1426" s="19" t="str">
        <x:v>材料独立候选</x:v>
      </x:c>
      <x:c r="H1426" s="19" t="str">
        <x:v>野兽骨片</x:v>
      </x:c>
      <x:c r="I1426" s="22" t="n">
        <x:v>50</x:v>
      </x:c>
      <x:c r="J1426" s="22" t="n">
        <x:v>2</x:v>
      </x:c>
      <x:c r="K1426" s="19" t="n">
        <x:v>1</x:v>
      </x:c>
      <x:c r="L1426" s="24" t="n">
        <x:v>17.25</x:v>
      </x:c>
      <x:c r="M1426" s="26" t="n">
        <x:v>0.1</x:v>
      </x:c>
      <x:c r="N1426" s="24" t="n">
        <x:v>12</x:v>
      </x:c>
      <x:c r="O1426" s="28" t="n">
        <x:f>MIN(1,L1426/I1426)</x:f>
        <x:v>0.345</x:v>
      </x:c>
      <x:c r="P1426" s="30" t="n">
        <x:f>O1426*J1426*(1+M1426)</x:f>
        <x:v>0.759</x:v>
      </x:c>
      <x:c r="Q1426" s="30" t="n">
        <x:f>P1426*N1426</x:f>
        <x:v>9.108</x:v>
      </x:c>
      <x:c r="R1426" s="19" t="str">
        <x:v>独立判定</x:v>
      </x:c>
    </x:row>
    <x:row r="1427" ht="19" customHeight="1">
      <x:c r="A1427" s="19" t="str">
        <x:v>D01423</x:v>
      </x:c>
      <x:c r="B1427" s="19" t="n">
        <x:v>4</x:v>
      </x:c>
      <x:c r="C1427" s="19" t="n">
        <x:v>1</x:v>
      </x:c>
      <x:c r="D1427" s="19" t="str">
        <x:v>C04-M007</x:v>
      </x:c>
      <x:c r="E1427" s="19" t="str">
        <x:v>雾纱水巫</x:v>
      </x:c>
      <x:c r="F1427" s="19" t="str">
        <x:v>稀有</x:v>
      </x:c>
      <x:c r="G1427" s="19" t="str">
        <x:v>材料独立候选</x:v>
      </x:c>
      <x:c r="H1427" s="19" t="str">
        <x:v>技能残页</x:v>
      </x:c>
      <x:c r="I1427" s="22" t="n">
        <x:v>250</x:v>
      </x:c>
      <x:c r="J1427" s="22" t="n">
        <x:v>1</x:v>
      </x:c>
      <x:c r="K1427" s="19" t="n">
        <x:v>1</x:v>
      </x:c>
      <x:c r="L1427" s="24" t="n">
        <x:v>17.25</x:v>
      </x:c>
      <x:c r="M1427" s="26" t="n">
        <x:v>0.1</x:v>
      </x:c>
      <x:c r="N1427" s="24" t="n">
        <x:v>12</x:v>
      </x:c>
      <x:c r="O1427" s="28" t="n">
        <x:f>MIN(1,L1427/I1427)</x:f>
        <x:v>0.069</x:v>
      </x:c>
      <x:c r="P1427" s="30" t="n">
        <x:f>O1427*J1427*(1+M1427)</x:f>
        <x:v>0.07590000000000001</x:v>
      </x:c>
      <x:c r="Q1427" s="30" t="n">
        <x:f>P1427*N1427</x:f>
        <x:v>0.9108</x:v>
      </x:c>
      <x:c r="R1427" s="19" t="str">
        <x:v>独立判定</x:v>
      </x:c>
    </x:row>
    <x:row r="1428" ht="19" customHeight="1">
      <x:c r="A1428" s="19" t="str">
        <x:v>D01424</x:v>
      </x:c>
      <x:c r="B1428" s="19" t="n">
        <x:v>4</x:v>
      </x:c>
      <x:c r="C1428" s="19" t="n">
        <x:v>1</x:v>
      </x:c>
      <x:c r="D1428" s="19" t="str">
        <x:v>C04-M007</x:v>
      </x:c>
      <x:c r="E1428" s="19" t="str">
        <x:v>雾纱水巫</x:v>
      </x:c>
      <x:c r="F1428" s="19" t="str">
        <x:v>稀有</x:v>
      </x:c>
      <x:c r="G1428" s="19" t="str">
        <x:v>材料独立候选</x:v>
      </x:c>
      <x:c r="H1428" s="19" t="str">
        <x:v>小卢恩</x:v>
      </x:c>
      <x:c r="I1428" s="22" t="n">
        <x:v>500</x:v>
      </x:c>
      <x:c r="J1428" s="22" t="n">
        <x:v>1</x:v>
      </x:c>
      <x:c r="K1428" s="19" t="n">
        <x:v>1</x:v>
      </x:c>
      <x:c r="L1428" s="24" t="n">
        <x:v>17.25</x:v>
      </x:c>
      <x:c r="M1428" s="26" t="n">
        <x:v>0.1</x:v>
      </x:c>
      <x:c r="N1428" s="24" t="n">
        <x:v>12</x:v>
      </x:c>
      <x:c r="O1428" s="28" t="n">
        <x:f>MIN(1,L1428/I1428)</x:f>
        <x:v>0.0345</x:v>
      </x:c>
      <x:c r="P1428" s="30" t="n">
        <x:f>O1428*J1428*(1+M1428)</x:f>
        <x:v>0.037950000000000005</x:v>
      </x:c>
      <x:c r="Q1428" s="30" t="n">
        <x:f>P1428*N1428</x:f>
        <x:v>0.4554</x:v>
      </x:c>
      <x:c r="R1428" s="19" t="str">
        <x:v>独立判定</x:v>
      </x:c>
    </x:row>
    <x:row r="1429" ht="19" customHeight="1">
      <x:c r="A1429" s="19" t="str">
        <x:v>D01425</x:v>
      </x:c>
      <x:c r="B1429" s="19" t="n">
        <x:v>4</x:v>
      </x:c>
      <x:c r="C1429" s="19" t="n">
        <x:v>1</x:v>
      </x:c>
      <x:c r="D1429" s="19" t="str">
        <x:v>C04-M007</x:v>
      </x:c>
      <x:c r="E1429" s="19" t="str">
        <x:v>雾纱水巫</x:v>
      </x:c>
      <x:c r="F1429" s="19" t="str">
        <x:v>稀有</x:v>
      </x:c>
      <x:c r="G1429" s="19" t="str">
        <x:v>六神器公共池</x:v>
      </x:c>
      <x:c r="H1429" s="19" t="str">
        <x:v>POOL006</x:v>
      </x:c>
      <x:c r="I1429" s="22" t="n">
        <x:v>5000000</x:v>
      </x:c>
      <x:c r="J1429" s="22" t="n">
        <x:v>1</x:v>
      </x:c>
      <x:c r="K1429" s="19" t="n">
        <x:v>6</x:v>
      </x:c>
      <x:c r="L1429" s="24" t="n">
        <x:v>17.25</x:v>
      </x:c>
      <x:c r="M1429" s="26" t="n">
        <x:v>0.1</x:v>
      </x:c>
      <x:c r="N1429" s="24" t="n">
        <x:v>12</x:v>
      </x:c>
      <x:c r="O1429" s="28" t="n">
        <x:f>MIN(1,L1429/I1429)</x:f>
        <x:v>0.00000345</x:v>
      </x:c>
      <x:c r="P1429" s="30" t="n">
        <x:f>O1429*J1429*(1+M1429)</x:f>
        <x:v>0.0000037950000000000005</x:v>
      </x:c>
      <x:c r="Q1429" s="30" t="n">
        <x:f>P1429*N1429</x:f>
        <x:v>0.00004554000000000001</x:v>
      </x:c>
      <x:c r="R1429" s="19" t="str">
        <x:v>六选一；非6个独立爆率</x:v>
      </x:c>
    </x:row>
    <x:row r="1430" ht="19" customHeight="1">
      <x:c r="A1430" s="19" t="str">
        <x:v>D01426</x:v>
      </x:c>
      <x:c r="B1430" s="19" t="n">
        <x:v>4</x:v>
      </x:c>
      <x:c r="C1430" s="19" t="n">
        <x:v>1</x:v>
      </x:c>
      <x:c r="D1430" s="19" t="str">
        <x:v>C04-M008</x:v>
      </x:c>
      <x:c r="E1430" s="19" t="str">
        <x:v>银腹塘鳄</x:v>
      </x:c>
      <x:c r="F1430" s="19" t="str">
        <x:v>稀有</x:v>
      </x:c>
      <x:c r="G1430" s="19" t="str">
        <x:v>自身专属</x:v>
      </x:c>
      <x:c r="H1430" s="19" t="str">
        <x:v>银腹鳄甲</x:v>
      </x:c>
      <x:c r="I1430" s="22" t="n">
        <x:v>300</x:v>
      </x:c>
      <x:c r="J1430" s="22" t="n">
        <x:v>1</x:v>
      </x:c>
      <x:c r="K1430" s="19" t="n">
        <x:v>1</x:v>
      </x:c>
      <x:c r="L1430" s="24" t="n">
        <x:v>17.25</x:v>
      </x:c>
      <x:c r="M1430" s="26" t="n">
        <x:v>0.1</x:v>
      </x:c>
      <x:c r="N1430" s="24" t="n">
        <x:v>11.844506706534178</x:v>
      </x:c>
      <x:c r="O1430" s="28" t="n">
        <x:f>MIN(1,L1430/I1430)</x:f>
        <x:v>0.0575</x:v>
      </x:c>
      <x:c r="P1430" s="30" t="n">
        <x:f>O1430*J1430*(1+M1430)</x:f>
        <x:v>0.06325000000000001</x:v>
      </x:c>
      <x:c r="Q1430" s="30" t="n">
        <x:f>P1430*N1430</x:f>
        <x:v>0.749165049188287</x:v>
      </x:c>
      <x:c r="R1430" s="19" t="str">
        <x:v>独立判定</x:v>
      </x:c>
    </x:row>
    <x:row r="1431" ht="19" customHeight="1">
      <x:c r="A1431" s="19" t="str">
        <x:v>D01427</x:v>
      </x:c>
      <x:c r="B1431" s="19" t="n">
        <x:v>4</x:v>
      </x:c>
      <x:c r="C1431" s="19" t="n">
        <x:v>1</x:v>
      </x:c>
      <x:c r="D1431" s="19" t="str">
        <x:v>C04-M008</x:v>
      </x:c>
      <x:c r="E1431" s="19" t="str">
        <x:v>银腹塘鳄</x:v>
      </x:c>
      <x:c r="F1431" s="19" t="str">
        <x:v>稀有</x:v>
      </x:c>
      <x:c r="G1431" s="19" t="str">
        <x:v>材料独立候选</x:v>
      </x:c>
      <x:c r="H1431" s="19" t="str">
        <x:v>湖盐结晶</x:v>
      </x:c>
      <x:c r="I1431" s="22" t="n">
        <x:v>300</x:v>
      </x:c>
      <x:c r="J1431" s="22" t="n">
        <x:v>15</x:v>
      </x:c>
      <x:c r="K1431" s="19" t="n">
        <x:v>1</x:v>
      </x:c>
      <x:c r="L1431" s="24" t="n">
        <x:v>17.25</x:v>
      </x:c>
      <x:c r="M1431" s="26" t="n">
        <x:v>0.1</x:v>
      </x:c>
      <x:c r="N1431" s="24" t="n">
        <x:v>11.844506706534178</x:v>
      </x:c>
      <x:c r="O1431" s="28" t="n">
        <x:f>MIN(1,L1431/I1431)</x:f>
        <x:v>0.0575</x:v>
      </x:c>
      <x:c r="P1431" s="30" t="n">
        <x:f>O1431*J1431*(1+M1431)</x:f>
        <x:v>0.9487500000000001</x:v>
      </x:c>
      <x:c r="Q1431" s="30" t="n">
        <x:f>P1431*N1431</x:f>
        <x:v>11.237475737824303</x:v>
      </x:c>
      <x:c r="R1431" s="19" t="str">
        <x:v>独立判定</x:v>
      </x:c>
    </x:row>
    <x:row r="1432" ht="19" customHeight="1">
      <x:c r="A1432" s="19" t="str">
        <x:v>D01428</x:v>
      </x:c>
      <x:c r="B1432" s="19" t="n">
        <x:v>4</x:v>
      </x:c>
      <x:c r="C1432" s="19" t="n">
        <x:v>1</x:v>
      </x:c>
      <x:c r="D1432" s="19" t="str">
        <x:v>C04-M008</x:v>
      </x:c>
      <x:c r="E1432" s="19" t="str">
        <x:v>银腹塘鳄</x:v>
      </x:c>
      <x:c r="F1432" s="19" t="str">
        <x:v>稀有</x:v>
      </x:c>
      <x:c r="G1432" s="19" t="str">
        <x:v>材料独立候选</x:v>
      </x:c>
      <x:c r="H1432" s="19" t="str">
        <x:v>幽船铆钉</x:v>
      </x:c>
      <x:c r="I1432" s="22" t="n">
        <x:v>800</x:v>
      </x:c>
      <x:c r="J1432" s="22" t="n">
        <x:v>1</x:v>
      </x:c>
      <x:c r="K1432" s="19" t="n">
        <x:v>1</x:v>
      </x:c>
      <x:c r="L1432" s="24" t="n">
        <x:v>17.25</x:v>
      </x:c>
      <x:c r="M1432" s="26" t="n">
        <x:v>0.1</x:v>
      </x:c>
      <x:c r="N1432" s="24" t="n">
        <x:v>11.844506706534178</x:v>
      </x:c>
      <x:c r="O1432" s="28" t="n">
        <x:f>MIN(1,L1432/I1432)</x:f>
        <x:v>0.0215625</x:v>
      </x:c>
      <x:c r="P1432" s="30" t="n">
        <x:f>O1432*J1432*(1+M1432)</x:f>
        <x:v>0.02371875</x:v>
      </x:c>
      <x:c r="Q1432" s="30" t="n">
        <x:f>P1432*N1432</x:f>
        <x:v>0.2809368934456075</x:v>
      </x:c>
      <x:c r="R1432" s="19" t="str">
        <x:v>独立判定</x:v>
      </x:c>
    </x:row>
    <x:row r="1433" ht="19" customHeight="1">
      <x:c r="A1433" s="19" t="str">
        <x:v>D01429</x:v>
      </x:c>
      <x:c r="B1433" s="19" t="n">
        <x:v>4</x:v>
      </x:c>
      <x:c r="C1433" s="19" t="n">
        <x:v>1</x:v>
      </x:c>
      <x:c r="D1433" s="19" t="str">
        <x:v>C04-M008</x:v>
      </x:c>
      <x:c r="E1433" s="19" t="str">
        <x:v>银腹塘鳄</x:v>
      </x:c>
      <x:c r="F1433" s="19" t="str">
        <x:v>稀有</x:v>
      </x:c>
      <x:c r="G1433" s="19" t="str">
        <x:v>材料独立候选</x:v>
      </x:c>
      <x:c r="H1433" s="19" t="str">
        <x:v>沉船缆扣</x:v>
      </x:c>
      <x:c r="I1433" s="22" t="n">
        <x:v>400</x:v>
      </x:c>
      <x:c r="J1433" s="22" t="n">
        <x:v>1</x:v>
      </x:c>
      <x:c r="K1433" s="19" t="n">
        <x:v>1</x:v>
      </x:c>
      <x:c r="L1433" s="24" t="n">
        <x:v>17.25</x:v>
      </x:c>
      <x:c r="M1433" s="26" t="n">
        <x:v>0.1</x:v>
      </x:c>
      <x:c r="N1433" s="24" t="n">
        <x:v>11.844506706534178</x:v>
      </x:c>
      <x:c r="O1433" s="28" t="n">
        <x:f>MIN(1,L1433/I1433)</x:f>
        <x:v>0.043125</x:v>
      </x:c>
      <x:c r="P1433" s="30" t="n">
        <x:f>O1433*J1433*(1+M1433)</x:f>
        <x:v>0.0474375</x:v>
      </x:c>
      <x:c r="Q1433" s="30" t="n">
        <x:f>P1433*N1433</x:f>
        <x:v>0.561873786891215</x:v>
      </x:c>
      <x:c r="R1433" s="19" t="str">
        <x:v>独立判定</x:v>
      </x:c>
    </x:row>
    <x:row r="1434" ht="19" customHeight="1">
      <x:c r="A1434" s="19" t="str">
        <x:v>D01430</x:v>
      </x:c>
      <x:c r="B1434" s="19" t="n">
        <x:v>4</x:v>
      </x:c>
      <x:c r="C1434" s="19" t="n">
        <x:v>1</x:v>
      </x:c>
      <x:c r="D1434" s="19" t="str">
        <x:v>C04-M008</x:v>
      </x:c>
      <x:c r="E1434" s="19" t="str">
        <x:v>银腹塘鳄</x:v>
      </x:c>
      <x:c r="F1434" s="19" t="str">
        <x:v>稀有</x:v>
      </x:c>
      <x:c r="G1434" s="19" t="str">
        <x:v>材料独立候选</x:v>
      </x:c>
      <x:c r="H1434" s="19" t="str">
        <x:v>月潮忆珀</x:v>
      </x:c>
      <x:c r="I1434" s="22" t="n">
        <x:v>500000</x:v>
      </x:c>
      <x:c r="J1434" s="22" t="n">
        <x:v>1</x:v>
      </x:c>
      <x:c r="K1434" s="19" t="n">
        <x:v>1</x:v>
      </x:c>
      <x:c r="L1434" s="24" t="n">
        <x:v>17.25</x:v>
      </x:c>
      <x:c r="M1434" s="26" t="n">
        <x:v>0.1</x:v>
      </x:c>
      <x:c r="N1434" s="24" t="n">
        <x:v>11.844506706534178</x:v>
      </x:c>
      <x:c r="O1434" s="28" t="n">
        <x:f>MIN(1,L1434/I1434)</x:f>
        <x:v>0.0000345</x:v>
      </x:c>
      <x:c r="P1434" s="30" t="n">
        <x:f>O1434*J1434*(1+M1434)</x:f>
        <x:v>0.00003795</x:v>
      </x:c>
      <x:c r="Q1434" s="30" t="n">
        <x:f>P1434*N1434</x:f>
        <x:v>0.00044949902951297205</x:v>
      </x:c>
      <x:c r="R1434" s="19" t="str">
        <x:v>独立判定</x:v>
      </x:c>
    </x:row>
    <x:row r="1435" ht="19" customHeight="1">
      <x:c r="A1435" s="19" t="str">
        <x:v>D01431</x:v>
      </x:c>
      <x:c r="B1435" s="19" t="n">
        <x:v>4</x:v>
      </x:c>
      <x:c r="C1435" s="19" t="n">
        <x:v>1</x:v>
      </x:c>
      <x:c r="D1435" s="19" t="str">
        <x:v>C04-M008</x:v>
      </x:c>
      <x:c r="E1435" s="19" t="str">
        <x:v>银腹塘鳄</x:v>
      </x:c>
      <x:c r="F1435" s="19" t="str">
        <x:v>稀有</x:v>
      </x:c>
      <x:c r="G1435" s="19" t="str">
        <x:v>材料独立候选</x:v>
      </x:c>
      <x:c r="H1435" s="19" t="str">
        <x:v>黄金树芽</x:v>
      </x:c>
      <x:c r="I1435" s="22" t="n">
        <x:v>1500</x:v>
      </x:c>
      <x:c r="J1435" s="22" t="n">
        <x:v>1</x:v>
      </x:c>
      <x:c r="K1435" s="19" t="n">
        <x:v>1</x:v>
      </x:c>
      <x:c r="L1435" s="24" t="n">
        <x:v>17.25</x:v>
      </x:c>
      <x:c r="M1435" s="26" t="n">
        <x:v>0.1</x:v>
      </x:c>
      <x:c r="N1435" s="24" t="n">
        <x:v>11.844506706534178</x:v>
      </x:c>
      <x:c r="O1435" s="28" t="n">
        <x:f>MIN(1,L1435/I1435)</x:f>
        <x:v>0.0115</x:v>
      </x:c>
      <x:c r="P1435" s="30" t="n">
        <x:f>O1435*J1435*(1+M1435)</x:f>
        <x:v>0.012650000000000002</x:v>
      </x:c>
      <x:c r="Q1435" s="30" t="n">
        <x:f>P1435*N1435</x:f>
        <x:v>0.14983300983765738</x:v>
      </x:c>
      <x:c r="R1435" s="19" t="str">
        <x:v>独立判定</x:v>
      </x:c>
    </x:row>
    <x:row r="1436" ht="19" customHeight="1">
      <x:c r="A1436" s="19" t="str">
        <x:v>D01432</x:v>
      </x:c>
      <x:c r="B1436" s="19" t="n">
        <x:v>4</x:v>
      </x:c>
      <x:c r="C1436" s="19" t="n">
        <x:v>1</x:v>
      </x:c>
      <x:c r="D1436" s="19" t="str">
        <x:v>C04-M008</x:v>
      </x:c>
      <x:c r="E1436" s="19" t="str">
        <x:v>银腹塘鳄</x:v>
      </x:c>
      <x:c r="F1436" s="19" t="str">
        <x:v>稀有</x:v>
      </x:c>
      <x:c r="G1436" s="19" t="str">
        <x:v>材料独立候选</x:v>
      </x:c>
      <x:c r="H1436" s="19" t="str">
        <x:v>野兽骨片</x:v>
      </x:c>
      <x:c r="I1436" s="22" t="n">
        <x:v>50</x:v>
      </x:c>
      <x:c r="J1436" s="22" t="n">
        <x:v>2</x:v>
      </x:c>
      <x:c r="K1436" s="19" t="n">
        <x:v>1</x:v>
      </x:c>
      <x:c r="L1436" s="24" t="n">
        <x:v>17.25</x:v>
      </x:c>
      <x:c r="M1436" s="26" t="n">
        <x:v>0.1</x:v>
      </x:c>
      <x:c r="N1436" s="24" t="n">
        <x:v>11.844506706534178</x:v>
      </x:c>
      <x:c r="O1436" s="28" t="n">
        <x:f>MIN(1,L1436/I1436)</x:f>
        <x:v>0.345</x:v>
      </x:c>
      <x:c r="P1436" s="30" t="n">
        <x:f>O1436*J1436*(1+M1436)</x:f>
        <x:v>0.759</x:v>
      </x:c>
      <x:c r="Q1436" s="30" t="n">
        <x:f>P1436*N1436</x:f>
        <x:v>8.98998059025944</x:v>
      </x:c>
      <x:c r="R1436" s="19" t="str">
        <x:v>独立判定</x:v>
      </x:c>
    </x:row>
    <x:row r="1437" ht="19" customHeight="1">
      <x:c r="A1437" s="19" t="str">
        <x:v>D01433</x:v>
      </x:c>
      <x:c r="B1437" s="19" t="n">
        <x:v>4</x:v>
      </x:c>
      <x:c r="C1437" s="19" t="n">
        <x:v>1</x:v>
      </x:c>
      <x:c r="D1437" s="19" t="str">
        <x:v>C04-M008</x:v>
      </x:c>
      <x:c r="E1437" s="19" t="str">
        <x:v>银腹塘鳄</x:v>
      </x:c>
      <x:c r="F1437" s="19" t="str">
        <x:v>稀有</x:v>
      </x:c>
      <x:c r="G1437" s="19" t="str">
        <x:v>材料独立候选</x:v>
      </x:c>
      <x:c r="H1437" s="19" t="str">
        <x:v>技能残页</x:v>
      </x:c>
      <x:c r="I1437" s="22" t="n">
        <x:v>250</x:v>
      </x:c>
      <x:c r="J1437" s="22" t="n">
        <x:v>1</x:v>
      </x:c>
      <x:c r="K1437" s="19" t="n">
        <x:v>1</x:v>
      </x:c>
      <x:c r="L1437" s="24" t="n">
        <x:v>17.25</x:v>
      </x:c>
      <x:c r="M1437" s="26" t="n">
        <x:v>0.1</x:v>
      </x:c>
      <x:c r="N1437" s="24" t="n">
        <x:v>11.844506706534178</x:v>
      </x:c>
      <x:c r="O1437" s="28" t="n">
        <x:f>MIN(1,L1437/I1437)</x:f>
        <x:v>0.069</x:v>
      </x:c>
      <x:c r="P1437" s="30" t="n">
        <x:f>O1437*J1437*(1+M1437)</x:f>
        <x:v>0.07590000000000001</x:v>
      </x:c>
      <x:c r="Q1437" s="30" t="n">
        <x:f>P1437*N1437</x:f>
        <x:v>0.8989980590259442</x:v>
      </x:c>
      <x:c r="R1437" s="19" t="str">
        <x:v>独立判定</x:v>
      </x:c>
    </x:row>
    <x:row r="1438" ht="19" customHeight="1">
      <x:c r="A1438" s="19" t="str">
        <x:v>D01434</x:v>
      </x:c>
      <x:c r="B1438" s="19" t="n">
        <x:v>4</x:v>
      </x:c>
      <x:c r="C1438" s="19" t="n">
        <x:v>1</x:v>
      </x:c>
      <x:c r="D1438" s="19" t="str">
        <x:v>C04-M008</x:v>
      </x:c>
      <x:c r="E1438" s="19" t="str">
        <x:v>银腹塘鳄</x:v>
      </x:c>
      <x:c r="F1438" s="19" t="str">
        <x:v>稀有</x:v>
      </x:c>
      <x:c r="G1438" s="19" t="str">
        <x:v>材料独立候选</x:v>
      </x:c>
      <x:c r="H1438" s="19" t="str">
        <x:v>小卢恩</x:v>
      </x:c>
      <x:c r="I1438" s="22" t="n">
        <x:v>500</x:v>
      </x:c>
      <x:c r="J1438" s="22" t="n">
        <x:v>1</x:v>
      </x:c>
      <x:c r="K1438" s="19" t="n">
        <x:v>1</x:v>
      </x:c>
      <x:c r="L1438" s="24" t="n">
        <x:v>17.25</x:v>
      </x:c>
      <x:c r="M1438" s="26" t="n">
        <x:v>0.1</x:v>
      </x:c>
      <x:c r="N1438" s="24" t="n">
        <x:v>11.844506706534178</x:v>
      </x:c>
      <x:c r="O1438" s="28" t="n">
        <x:f>MIN(1,L1438/I1438)</x:f>
        <x:v>0.0345</x:v>
      </x:c>
      <x:c r="P1438" s="30" t="n">
        <x:f>O1438*J1438*(1+M1438)</x:f>
        <x:v>0.037950000000000005</x:v>
      </x:c>
      <x:c r="Q1438" s="30" t="n">
        <x:f>P1438*N1438</x:f>
        <x:v>0.4494990295129721</x:v>
      </x:c>
      <x:c r="R1438" s="19" t="str">
        <x:v>独立判定</x:v>
      </x:c>
    </x:row>
    <x:row r="1439" ht="19" customHeight="1">
      <x:c r="A1439" s="19" t="str">
        <x:v>D01435</x:v>
      </x:c>
      <x:c r="B1439" s="19" t="n">
        <x:v>4</x:v>
      </x:c>
      <x:c r="C1439" s="19" t="n">
        <x:v>1</x:v>
      </x:c>
      <x:c r="D1439" s="19" t="str">
        <x:v>C04-M008</x:v>
      </x:c>
      <x:c r="E1439" s="19" t="str">
        <x:v>银腹塘鳄</x:v>
      </x:c>
      <x:c r="F1439" s="19" t="str">
        <x:v>稀有</x:v>
      </x:c>
      <x:c r="G1439" s="19" t="str">
        <x:v>六神器公共池</x:v>
      </x:c>
      <x:c r="H1439" s="19" t="str">
        <x:v>POOL006</x:v>
      </x:c>
      <x:c r="I1439" s="22" t="n">
        <x:v>5000000</x:v>
      </x:c>
      <x:c r="J1439" s="22" t="n">
        <x:v>1</x:v>
      </x:c>
      <x:c r="K1439" s="19" t="n">
        <x:v>6</x:v>
      </x:c>
      <x:c r="L1439" s="24" t="n">
        <x:v>17.25</x:v>
      </x:c>
      <x:c r="M1439" s="26" t="n">
        <x:v>0.1</x:v>
      </x:c>
      <x:c r="N1439" s="24" t="n">
        <x:v>11.844506706534178</x:v>
      </x:c>
      <x:c r="O1439" s="28" t="n">
        <x:f>MIN(1,L1439/I1439)</x:f>
        <x:v>0.00000345</x:v>
      </x:c>
      <x:c r="P1439" s="30" t="n">
        <x:f>O1439*J1439*(1+M1439)</x:f>
        <x:v>0.0000037950000000000005</x:v>
      </x:c>
      <x:c r="Q1439" s="30" t="n">
        <x:f>P1439*N1439</x:f>
        <x:v>0.00004494990295129721</x:v>
      </x:c>
      <x:c r="R1439" s="19" t="str">
        <x:v>六选一；非6个独立爆率</x:v>
      </x:c>
    </x:row>
    <x:row r="1440" ht="19" customHeight="1">
      <x:c r="A1440" s="19" t="str">
        <x:v>D01436</x:v>
      </x:c>
      <x:c r="B1440" s="19" t="n">
        <x:v>4</x:v>
      </x:c>
      <x:c r="C1440" s="19" t="n">
        <x:v>1</x:v>
      </x:c>
      <x:c r="D1440" s="19" t="str">
        <x:v>C04-M009</x:v>
      </x:c>
      <x:c r="E1440" s="19" t="str">
        <x:v>腐泽孢母</x:v>
      </x:c>
      <x:c r="F1440" s="19" t="str">
        <x:v>稀有</x:v>
      </x:c>
      <x:c r="G1440" s="19" t="str">
        <x:v>自身专属</x:v>
      </x:c>
      <x:c r="H1440" s="19" t="str">
        <x:v>孢母菌带</x:v>
      </x:c>
      <x:c r="I1440" s="22" t="n">
        <x:v>300</x:v>
      </x:c>
      <x:c r="J1440" s="22" t="n">
        <x:v>1</x:v>
      </x:c>
      <x:c r="K1440" s="19" t="n">
        <x:v>1</x:v>
      </x:c>
      <x:c r="L1440" s="24" t="n">
        <x:v>17.25</x:v>
      </x:c>
      <x:c r="M1440" s="26" t="n">
        <x:v>0.1</x:v>
      </x:c>
      <x:c r="N1440" s="24" t="n">
        <x:v>10.755356664554025</x:v>
      </x:c>
      <x:c r="O1440" s="28" t="n">
        <x:f>MIN(1,L1440/I1440)</x:f>
        <x:v>0.0575</x:v>
      </x:c>
      <x:c r="P1440" s="30" t="n">
        <x:f>O1440*J1440*(1+M1440)</x:f>
        <x:v>0.06325000000000001</x:v>
      </x:c>
      <x:c r="Q1440" s="30" t="n">
        <x:f>P1440*N1440</x:f>
        <x:v>0.6802763090330423</x:v>
      </x:c>
      <x:c r="R1440" s="19" t="str">
        <x:v>独立判定</x:v>
      </x:c>
    </x:row>
    <x:row r="1441" ht="19" customHeight="1">
      <x:c r="A1441" s="19" t="str">
        <x:v>D01437</x:v>
      </x:c>
      <x:c r="B1441" s="19" t="n">
        <x:v>4</x:v>
      </x:c>
      <x:c r="C1441" s="19" t="n">
        <x:v>1</x:v>
      </x:c>
      <x:c r="D1441" s="19" t="str">
        <x:v>C04-M009</x:v>
      </x:c>
      <x:c r="E1441" s="19" t="str">
        <x:v>腐泽孢母</x:v>
      </x:c>
      <x:c r="F1441" s="19" t="str">
        <x:v>稀有</x:v>
      </x:c>
      <x:c r="G1441" s="19" t="str">
        <x:v>材料独立候选</x:v>
      </x:c>
      <x:c r="H1441" s="19" t="str">
        <x:v>湖盐结晶</x:v>
      </x:c>
      <x:c r="I1441" s="22" t="n">
        <x:v>300</x:v>
      </x:c>
      <x:c r="J1441" s="22" t="n">
        <x:v>15</x:v>
      </x:c>
      <x:c r="K1441" s="19" t="n">
        <x:v>1</x:v>
      </x:c>
      <x:c r="L1441" s="24" t="n">
        <x:v>17.25</x:v>
      </x:c>
      <x:c r="M1441" s="26" t="n">
        <x:v>0.1</x:v>
      </x:c>
      <x:c r="N1441" s="24" t="n">
        <x:v>10.755356664554025</x:v>
      </x:c>
      <x:c r="O1441" s="28" t="n">
        <x:f>MIN(1,L1441/I1441)</x:f>
        <x:v>0.0575</x:v>
      </x:c>
      <x:c r="P1441" s="30" t="n">
        <x:f>O1441*J1441*(1+M1441)</x:f>
        <x:v>0.9487500000000001</x:v>
      </x:c>
      <x:c r="Q1441" s="30" t="n">
        <x:f>P1441*N1441</x:f>
        <x:v>10.204144635495632</x:v>
      </x:c>
      <x:c r="R1441" s="19" t="str">
        <x:v>独立判定</x:v>
      </x:c>
    </x:row>
    <x:row r="1442" ht="19" customHeight="1">
      <x:c r="A1442" s="19" t="str">
        <x:v>D01438</x:v>
      </x:c>
      <x:c r="B1442" s="19" t="n">
        <x:v>4</x:v>
      </x:c>
      <x:c r="C1442" s="19" t="n">
        <x:v>1</x:v>
      </x:c>
      <x:c r="D1442" s="19" t="str">
        <x:v>C04-M009</x:v>
      </x:c>
      <x:c r="E1442" s="19" t="str">
        <x:v>腐泽孢母</x:v>
      </x:c>
      <x:c r="F1442" s="19" t="str">
        <x:v>稀有</x:v>
      </x:c>
      <x:c r="G1442" s="19" t="str">
        <x:v>材料独立候选</x:v>
      </x:c>
      <x:c r="H1442" s="19" t="str">
        <x:v>幽船铆钉</x:v>
      </x:c>
      <x:c r="I1442" s="22" t="n">
        <x:v>800</x:v>
      </x:c>
      <x:c r="J1442" s="22" t="n">
        <x:v>1</x:v>
      </x:c>
      <x:c r="K1442" s="19" t="n">
        <x:v>1</x:v>
      </x:c>
      <x:c r="L1442" s="24" t="n">
        <x:v>17.25</x:v>
      </x:c>
      <x:c r="M1442" s="26" t="n">
        <x:v>0.1</x:v>
      </x:c>
      <x:c r="N1442" s="24" t="n">
        <x:v>10.755356664554025</x:v>
      </x:c>
      <x:c r="O1442" s="28" t="n">
        <x:f>MIN(1,L1442/I1442)</x:f>
        <x:v>0.0215625</x:v>
      </x:c>
      <x:c r="P1442" s="30" t="n">
        <x:f>O1442*J1442*(1+M1442)</x:f>
        <x:v>0.02371875</x:v>
      </x:c>
      <x:c r="Q1442" s="30" t="n">
        <x:f>P1442*N1442</x:f>
        <x:v>0.2551036158873908</x:v>
      </x:c>
      <x:c r="R1442" s="19" t="str">
        <x:v>独立判定</x:v>
      </x:c>
    </x:row>
    <x:row r="1443" ht="19" customHeight="1">
      <x:c r="A1443" s="19" t="str">
        <x:v>D01439</x:v>
      </x:c>
      <x:c r="B1443" s="19" t="n">
        <x:v>4</x:v>
      </x:c>
      <x:c r="C1443" s="19" t="n">
        <x:v>1</x:v>
      </x:c>
      <x:c r="D1443" s="19" t="str">
        <x:v>C04-M009</x:v>
      </x:c>
      <x:c r="E1443" s="19" t="str">
        <x:v>腐泽孢母</x:v>
      </x:c>
      <x:c r="F1443" s="19" t="str">
        <x:v>稀有</x:v>
      </x:c>
      <x:c r="G1443" s="19" t="str">
        <x:v>材料独立候选</x:v>
      </x:c>
      <x:c r="H1443" s="19" t="str">
        <x:v>沉船缆扣</x:v>
      </x:c>
      <x:c r="I1443" s="22" t="n">
        <x:v>400</x:v>
      </x:c>
      <x:c r="J1443" s="22" t="n">
        <x:v>1</x:v>
      </x:c>
      <x:c r="K1443" s="19" t="n">
        <x:v>1</x:v>
      </x:c>
      <x:c r="L1443" s="24" t="n">
        <x:v>17.25</x:v>
      </x:c>
      <x:c r="M1443" s="26" t="n">
        <x:v>0.1</x:v>
      </x:c>
      <x:c r="N1443" s="24" t="n">
        <x:v>10.755356664554025</x:v>
      </x:c>
      <x:c r="O1443" s="28" t="n">
        <x:f>MIN(1,L1443/I1443)</x:f>
        <x:v>0.043125</x:v>
      </x:c>
      <x:c r="P1443" s="30" t="n">
        <x:f>O1443*J1443*(1+M1443)</x:f>
        <x:v>0.0474375</x:v>
      </x:c>
      <x:c r="Q1443" s="30" t="n">
        <x:f>P1443*N1443</x:f>
        <x:v>0.5102072317747816</x:v>
      </x:c>
      <x:c r="R1443" s="19" t="str">
        <x:v>独立判定</x:v>
      </x:c>
    </x:row>
    <x:row r="1444" ht="19" customHeight="1">
      <x:c r="A1444" s="19" t="str">
        <x:v>D01440</x:v>
      </x:c>
      <x:c r="B1444" s="19" t="n">
        <x:v>4</x:v>
      </x:c>
      <x:c r="C1444" s="19" t="n">
        <x:v>1</x:v>
      </x:c>
      <x:c r="D1444" s="19" t="str">
        <x:v>C04-M009</x:v>
      </x:c>
      <x:c r="E1444" s="19" t="str">
        <x:v>腐泽孢母</x:v>
      </x:c>
      <x:c r="F1444" s="19" t="str">
        <x:v>稀有</x:v>
      </x:c>
      <x:c r="G1444" s="19" t="str">
        <x:v>材料独立候选</x:v>
      </x:c>
      <x:c r="H1444" s="19" t="str">
        <x:v>月潮忆珀</x:v>
      </x:c>
      <x:c r="I1444" s="22" t="n">
        <x:v>500000</x:v>
      </x:c>
      <x:c r="J1444" s="22" t="n">
        <x:v>1</x:v>
      </x:c>
      <x:c r="K1444" s="19" t="n">
        <x:v>1</x:v>
      </x:c>
      <x:c r="L1444" s="24" t="n">
        <x:v>17.25</x:v>
      </x:c>
      <x:c r="M1444" s="26" t="n">
        <x:v>0.1</x:v>
      </x:c>
      <x:c r="N1444" s="24" t="n">
        <x:v>10.755356664554025</x:v>
      </x:c>
      <x:c r="O1444" s="28" t="n">
        <x:f>MIN(1,L1444/I1444)</x:f>
        <x:v>0.0000345</x:v>
      </x:c>
      <x:c r="P1444" s="30" t="n">
        <x:f>O1444*J1444*(1+M1444)</x:f>
        <x:v>0.00003795</x:v>
      </x:c>
      <x:c r="Q1444" s="30" t="n">
        <x:f>P1444*N1444</x:f>
        <x:v>0.00040816578541982525</x:v>
      </x:c>
      <x:c r="R1444" s="19" t="str">
        <x:v>独立判定</x:v>
      </x:c>
    </x:row>
    <x:row r="1445" ht="19" customHeight="1">
      <x:c r="A1445" s="19" t="str">
        <x:v>D01441</x:v>
      </x:c>
      <x:c r="B1445" s="19" t="n">
        <x:v>4</x:v>
      </x:c>
      <x:c r="C1445" s="19" t="n">
        <x:v>1</x:v>
      </x:c>
      <x:c r="D1445" s="19" t="str">
        <x:v>C04-M009</x:v>
      </x:c>
      <x:c r="E1445" s="19" t="str">
        <x:v>腐泽孢母</x:v>
      </x:c>
      <x:c r="F1445" s="19" t="str">
        <x:v>稀有</x:v>
      </x:c>
      <x:c r="G1445" s="19" t="str">
        <x:v>材料独立候选</x:v>
      </x:c>
      <x:c r="H1445" s="19" t="str">
        <x:v>黄金树芽</x:v>
      </x:c>
      <x:c r="I1445" s="22" t="n">
        <x:v>1500</x:v>
      </x:c>
      <x:c r="J1445" s="22" t="n">
        <x:v>1</x:v>
      </x:c>
      <x:c r="K1445" s="19" t="n">
        <x:v>1</x:v>
      </x:c>
      <x:c r="L1445" s="24" t="n">
        <x:v>17.25</x:v>
      </x:c>
      <x:c r="M1445" s="26" t="n">
        <x:v>0.1</x:v>
      </x:c>
      <x:c r="N1445" s="24" t="n">
        <x:v>10.755356664554025</x:v>
      </x:c>
      <x:c r="O1445" s="28" t="n">
        <x:f>MIN(1,L1445/I1445)</x:f>
        <x:v>0.0115</x:v>
      </x:c>
      <x:c r="P1445" s="30" t="n">
        <x:f>O1445*J1445*(1+M1445)</x:f>
        <x:v>0.012650000000000002</x:v>
      </x:c>
      <x:c r="Q1445" s="30" t="n">
        <x:f>P1445*N1445</x:f>
        <x:v>0.13605526180660843</x:v>
      </x:c>
      <x:c r="R1445" s="19" t="str">
        <x:v>独立判定</x:v>
      </x:c>
    </x:row>
    <x:row r="1446" ht="19" customHeight="1">
      <x:c r="A1446" s="19" t="str">
        <x:v>D01442</x:v>
      </x:c>
      <x:c r="B1446" s="19" t="n">
        <x:v>4</x:v>
      </x:c>
      <x:c r="C1446" s="19" t="n">
        <x:v>1</x:v>
      </x:c>
      <x:c r="D1446" s="19" t="str">
        <x:v>C04-M009</x:v>
      </x:c>
      <x:c r="E1446" s="19" t="str">
        <x:v>腐泽孢母</x:v>
      </x:c>
      <x:c r="F1446" s="19" t="str">
        <x:v>稀有</x:v>
      </x:c>
      <x:c r="G1446" s="19" t="str">
        <x:v>材料独立候选</x:v>
      </x:c>
      <x:c r="H1446" s="19" t="str">
        <x:v>野兽骨片</x:v>
      </x:c>
      <x:c r="I1446" s="22" t="n">
        <x:v>50</x:v>
      </x:c>
      <x:c r="J1446" s="22" t="n">
        <x:v>2</x:v>
      </x:c>
      <x:c r="K1446" s="19" t="n">
        <x:v>1</x:v>
      </x:c>
      <x:c r="L1446" s="24" t="n">
        <x:v>17.25</x:v>
      </x:c>
      <x:c r="M1446" s="26" t="n">
        <x:v>0.1</x:v>
      </x:c>
      <x:c r="N1446" s="24" t="n">
        <x:v>10.755356664554025</x:v>
      </x:c>
      <x:c r="O1446" s="28" t="n">
        <x:f>MIN(1,L1446/I1446)</x:f>
        <x:v>0.345</x:v>
      </x:c>
      <x:c r="P1446" s="30" t="n">
        <x:f>O1446*J1446*(1+M1446)</x:f>
        <x:v>0.759</x:v>
      </x:c>
      <x:c r="Q1446" s="30" t="n">
        <x:f>P1446*N1446</x:f>
        <x:v>8.163315708396505</x:v>
      </x:c>
      <x:c r="R1446" s="19" t="str">
        <x:v>独立判定</x:v>
      </x:c>
    </x:row>
    <x:row r="1447" ht="19" customHeight="1">
      <x:c r="A1447" s="19" t="str">
        <x:v>D01443</x:v>
      </x:c>
      <x:c r="B1447" s="19" t="n">
        <x:v>4</x:v>
      </x:c>
      <x:c r="C1447" s="19" t="n">
        <x:v>1</x:v>
      </x:c>
      <x:c r="D1447" s="19" t="str">
        <x:v>C04-M009</x:v>
      </x:c>
      <x:c r="E1447" s="19" t="str">
        <x:v>腐泽孢母</x:v>
      </x:c>
      <x:c r="F1447" s="19" t="str">
        <x:v>稀有</x:v>
      </x:c>
      <x:c r="G1447" s="19" t="str">
        <x:v>材料独立候选</x:v>
      </x:c>
      <x:c r="H1447" s="19" t="str">
        <x:v>技能残页</x:v>
      </x:c>
      <x:c r="I1447" s="22" t="n">
        <x:v>250</x:v>
      </x:c>
      <x:c r="J1447" s="22" t="n">
        <x:v>1</x:v>
      </x:c>
      <x:c r="K1447" s="19" t="n">
        <x:v>1</x:v>
      </x:c>
      <x:c r="L1447" s="24" t="n">
        <x:v>17.25</x:v>
      </x:c>
      <x:c r="M1447" s="26" t="n">
        <x:v>0.1</x:v>
      </x:c>
      <x:c r="N1447" s="24" t="n">
        <x:v>10.755356664554025</x:v>
      </x:c>
      <x:c r="O1447" s="28" t="n">
        <x:f>MIN(1,L1447/I1447)</x:f>
        <x:v>0.069</x:v>
      </x:c>
      <x:c r="P1447" s="30" t="n">
        <x:f>O1447*J1447*(1+M1447)</x:f>
        <x:v>0.07590000000000001</x:v>
      </x:c>
      <x:c r="Q1447" s="30" t="n">
        <x:f>P1447*N1447</x:f>
        <x:v>0.8163315708396506</x:v>
      </x:c>
      <x:c r="R1447" s="19" t="str">
        <x:v>独立判定</x:v>
      </x:c>
    </x:row>
    <x:row r="1448" ht="19" customHeight="1">
      <x:c r="A1448" s="19" t="str">
        <x:v>D01444</x:v>
      </x:c>
      <x:c r="B1448" s="19" t="n">
        <x:v>4</x:v>
      </x:c>
      <x:c r="C1448" s="19" t="n">
        <x:v>1</x:v>
      </x:c>
      <x:c r="D1448" s="19" t="str">
        <x:v>C04-M009</x:v>
      </x:c>
      <x:c r="E1448" s="19" t="str">
        <x:v>腐泽孢母</x:v>
      </x:c>
      <x:c r="F1448" s="19" t="str">
        <x:v>稀有</x:v>
      </x:c>
      <x:c r="G1448" s="19" t="str">
        <x:v>材料独立候选</x:v>
      </x:c>
      <x:c r="H1448" s="19" t="str">
        <x:v>小卢恩</x:v>
      </x:c>
      <x:c r="I1448" s="22" t="n">
        <x:v>500</x:v>
      </x:c>
      <x:c r="J1448" s="22" t="n">
        <x:v>1</x:v>
      </x:c>
      <x:c r="K1448" s="19" t="n">
        <x:v>1</x:v>
      </x:c>
      <x:c r="L1448" s="24" t="n">
        <x:v>17.25</x:v>
      </x:c>
      <x:c r="M1448" s="26" t="n">
        <x:v>0.1</x:v>
      </x:c>
      <x:c r="N1448" s="24" t="n">
        <x:v>10.755356664554025</x:v>
      </x:c>
      <x:c r="O1448" s="28" t="n">
        <x:f>MIN(1,L1448/I1448)</x:f>
        <x:v>0.0345</x:v>
      </x:c>
      <x:c r="P1448" s="30" t="n">
        <x:f>O1448*J1448*(1+M1448)</x:f>
        <x:v>0.037950000000000005</x:v>
      </x:c>
      <x:c r="Q1448" s="30" t="n">
        <x:f>P1448*N1448</x:f>
        <x:v>0.4081657854198253</x:v>
      </x:c>
      <x:c r="R1448" s="19" t="str">
        <x:v>独立判定</x:v>
      </x:c>
    </x:row>
    <x:row r="1449" ht="19" customHeight="1">
      <x:c r="A1449" s="19" t="str">
        <x:v>D01445</x:v>
      </x:c>
      <x:c r="B1449" s="19" t="n">
        <x:v>4</x:v>
      </x:c>
      <x:c r="C1449" s="19" t="n">
        <x:v>1</x:v>
      </x:c>
      <x:c r="D1449" s="19" t="str">
        <x:v>C04-M009</x:v>
      </x:c>
      <x:c r="E1449" s="19" t="str">
        <x:v>腐泽孢母</x:v>
      </x:c>
      <x:c r="F1449" s="19" t="str">
        <x:v>稀有</x:v>
      </x:c>
      <x:c r="G1449" s="19" t="str">
        <x:v>六神器公共池</x:v>
      </x:c>
      <x:c r="H1449" s="19" t="str">
        <x:v>POOL006</x:v>
      </x:c>
      <x:c r="I1449" s="22" t="n">
        <x:v>5000000</x:v>
      </x:c>
      <x:c r="J1449" s="22" t="n">
        <x:v>1</x:v>
      </x:c>
      <x:c r="K1449" s="19" t="n">
        <x:v>6</x:v>
      </x:c>
      <x:c r="L1449" s="24" t="n">
        <x:v>17.25</x:v>
      </x:c>
      <x:c r="M1449" s="26" t="n">
        <x:v>0.1</x:v>
      </x:c>
      <x:c r="N1449" s="24" t="n">
        <x:v>10.755356664554025</x:v>
      </x:c>
      <x:c r="O1449" s="28" t="n">
        <x:f>MIN(1,L1449/I1449)</x:f>
        <x:v>0.00000345</x:v>
      </x:c>
      <x:c r="P1449" s="30" t="n">
        <x:f>O1449*J1449*(1+M1449)</x:f>
        <x:v>0.0000037950000000000005</x:v>
      </x:c>
      <x:c r="Q1449" s="30" t="n">
        <x:f>P1449*N1449</x:f>
        <x:v>0.000040816578541982533</x:v>
      </x:c>
      <x:c r="R1449" s="19" t="str">
        <x:v>六选一；非6个独立爆率</x:v>
      </x:c>
    </x:row>
    <x:row r="1450" ht="19" customHeight="1">
      <x:c r="A1450" s="19" t="str">
        <x:v>D01446</x:v>
      </x:c>
      <x:c r="B1450" s="19" t="n">
        <x:v>4</x:v>
      </x:c>
      <x:c r="C1450" s="19" t="n">
        <x:v>1</x:v>
      </x:c>
      <x:c r="D1450" s="19" t="str">
        <x:v>C04-M010</x:v>
      </x:c>
      <x:c r="E1450" s="19" t="str">
        <x:v>提灯溺客</x:v>
      </x:c>
      <x:c r="F1450" s="19" t="str">
        <x:v>稀有</x:v>
      </x:c>
      <x:c r="G1450" s="19" t="str">
        <x:v>自身专属</x:v>
      </x:c>
      <x:c r="H1450" s="19" t="str">
        <x:v>溺客灯坠</x:v>
      </x:c>
      <x:c r="I1450" s="22" t="n">
        <x:v>300</x:v>
      </x:c>
      <x:c r="J1450" s="22" t="n">
        <x:v>1</x:v>
      </x:c>
      <x:c r="K1450" s="19" t="n">
        <x:v>1</x:v>
      </x:c>
      <x:c r="L1450" s="24" t="n">
        <x:v>17.25</x:v>
      </x:c>
      <x:c r="M1450" s="26" t="n">
        <x:v>0.1</x:v>
      </x:c>
      <x:c r="N1450" s="24" t="n">
        <x:v>10.755356664554025</x:v>
      </x:c>
      <x:c r="O1450" s="28" t="n">
        <x:f>MIN(1,L1450/I1450)</x:f>
        <x:v>0.0575</x:v>
      </x:c>
      <x:c r="P1450" s="30" t="n">
        <x:f>O1450*J1450*(1+M1450)</x:f>
        <x:v>0.06325000000000001</x:v>
      </x:c>
      <x:c r="Q1450" s="30" t="n">
        <x:f>P1450*N1450</x:f>
        <x:v>0.6802763090330423</x:v>
      </x:c>
      <x:c r="R1450" s="19" t="str">
        <x:v>独立判定</x:v>
      </x:c>
    </x:row>
    <x:row r="1451" ht="19" customHeight="1">
      <x:c r="A1451" s="19" t="str">
        <x:v>D01447</x:v>
      </x:c>
      <x:c r="B1451" s="19" t="n">
        <x:v>4</x:v>
      </x:c>
      <x:c r="C1451" s="19" t="n">
        <x:v>1</x:v>
      </x:c>
      <x:c r="D1451" s="19" t="str">
        <x:v>C04-M010</x:v>
      </x:c>
      <x:c r="E1451" s="19" t="str">
        <x:v>提灯溺客</x:v>
      </x:c>
      <x:c r="F1451" s="19" t="str">
        <x:v>稀有</x:v>
      </x:c>
      <x:c r="G1451" s="19" t="str">
        <x:v>材料独立候选</x:v>
      </x:c>
      <x:c r="H1451" s="19" t="str">
        <x:v>湖盐结晶</x:v>
      </x:c>
      <x:c r="I1451" s="22" t="n">
        <x:v>300</x:v>
      </x:c>
      <x:c r="J1451" s="22" t="n">
        <x:v>15</x:v>
      </x:c>
      <x:c r="K1451" s="19" t="n">
        <x:v>1</x:v>
      </x:c>
      <x:c r="L1451" s="24" t="n">
        <x:v>17.25</x:v>
      </x:c>
      <x:c r="M1451" s="26" t="n">
        <x:v>0.1</x:v>
      </x:c>
      <x:c r="N1451" s="24" t="n">
        <x:v>10.755356664554025</x:v>
      </x:c>
      <x:c r="O1451" s="28" t="n">
        <x:f>MIN(1,L1451/I1451)</x:f>
        <x:v>0.0575</x:v>
      </x:c>
      <x:c r="P1451" s="30" t="n">
        <x:f>O1451*J1451*(1+M1451)</x:f>
        <x:v>0.9487500000000001</x:v>
      </x:c>
      <x:c r="Q1451" s="30" t="n">
        <x:f>P1451*N1451</x:f>
        <x:v>10.204144635495632</x:v>
      </x:c>
      <x:c r="R1451" s="19" t="str">
        <x:v>独立判定</x:v>
      </x:c>
    </x:row>
    <x:row r="1452" ht="19" customHeight="1">
      <x:c r="A1452" s="19" t="str">
        <x:v>D01448</x:v>
      </x:c>
      <x:c r="B1452" s="19" t="n">
        <x:v>4</x:v>
      </x:c>
      <x:c r="C1452" s="19" t="n">
        <x:v>1</x:v>
      </x:c>
      <x:c r="D1452" s="19" t="str">
        <x:v>C04-M010</x:v>
      </x:c>
      <x:c r="E1452" s="19" t="str">
        <x:v>提灯溺客</x:v>
      </x:c>
      <x:c r="F1452" s="19" t="str">
        <x:v>稀有</x:v>
      </x:c>
      <x:c r="G1452" s="19" t="str">
        <x:v>材料独立候选</x:v>
      </x:c>
      <x:c r="H1452" s="19" t="str">
        <x:v>幽船铆钉</x:v>
      </x:c>
      <x:c r="I1452" s="22" t="n">
        <x:v>800</x:v>
      </x:c>
      <x:c r="J1452" s="22" t="n">
        <x:v>1</x:v>
      </x:c>
      <x:c r="K1452" s="19" t="n">
        <x:v>1</x:v>
      </x:c>
      <x:c r="L1452" s="24" t="n">
        <x:v>17.25</x:v>
      </x:c>
      <x:c r="M1452" s="26" t="n">
        <x:v>0.1</x:v>
      </x:c>
      <x:c r="N1452" s="24" t="n">
        <x:v>10.755356664554025</x:v>
      </x:c>
      <x:c r="O1452" s="28" t="n">
        <x:f>MIN(1,L1452/I1452)</x:f>
        <x:v>0.0215625</x:v>
      </x:c>
      <x:c r="P1452" s="30" t="n">
        <x:f>O1452*J1452*(1+M1452)</x:f>
        <x:v>0.02371875</x:v>
      </x:c>
      <x:c r="Q1452" s="30" t="n">
        <x:f>P1452*N1452</x:f>
        <x:v>0.2551036158873908</x:v>
      </x:c>
      <x:c r="R1452" s="19" t="str">
        <x:v>独立判定</x:v>
      </x:c>
    </x:row>
    <x:row r="1453" ht="19" customHeight="1">
      <x:c r="A1453" s="19" t="str">
        <x:v>D01449</x:v>
      </x:c>
      <x:c r="B1453" s="19" t="n">
        <x:v>4</x:v>
      </x:c>
      <x:c r="C1453" s="19" t="n">
        <x:v>1</x:v>
      </x:c>
      <x:c r="D1453" s="19" t="str">
        <x:v>C04-M010</x:v>
      </x:c>
      <x:c r="E1453" s="19" t="str">
        <x:v>提灯溺客</x:v>
      </x:c>
      <x:c r="F1453" s="19" t="str">
        <x:v>稀有</x:v>
      </x:c>
      <x:c r="G1453" s="19" t="str">
        <x:v>材料独立候选</x:v>
      </x:c>
      <x:c r="H1453" s="19" t="str">
        <x:v>沉船缆扣</x:v>
      </x:c>
      <x:c r="I1453" s="22" t="n">
        <x:v>400</x:v>
      </x:c>
      <x:c r="J1453" s="22" t="n">
        <x:v>1</x:v>
      </x:c>
      <x:c r="K1453" s="19" t="n">
        <x:v>1</x:v>
      </x:c>
      <x:c r="L1453" s="24" t="n">
        <x:v>17.25</x:v>
      </x:c>
      <x:c r="M1453" s="26" t="n">
        <x:v>0.1</x:v>
      </x:c>
      <x:c r="N1453" s="24" t="n">
        <x:v>10.755356664554025</x:v>
      </x:c>
      <x:c r="O1453" s="28" t="n">
        <x:f>MIN(1,L1453/I1453)</x:f>
        <x:v>0.043125</x:v>
      </x:c>
      <x:c r="P1453" s="30" t="n">
        <x:f>O1453*J1453*(1+M1453)</x:f>
        <x:v>0.0474375</x:v>
      </x:c>
      <x:c r="Q1453" s="30" t="n">
        <x:f>P1453*N1453</x:f>
        <x:v>0.5102072317747816</x:v>
      </x:c>
      <x:c r="R1453" s="19" t="str">
        <x:v>独立判定</x:v>
      </x:c>
    </x:row>
    <x:row r="1454" ht="19" customHeight="1">
      <x:c r="A1454" s="19" t="str">
        <x:v>D01450</x:v>
      </x:c>
      <x:c r="B1454" s="19" t="n">
        <x:v>4</x:v>
      </x:c>
      <x:c r="C1454" s="19" t="n">
        <x:v>1</x:v>
      </x:c>
      <x:c r="D1454" s="19" t="str">
        <x:v>C04-M010</x:v>
      </x:c>
      <x:c r="E1454" s="19" t="str">
        <x:v>提灯溺客</x:v>
      </x:c>
      <x:c r="F1454" s="19" t="str">
        <x:v>稀有</x:v>
      </x:c>
      <x:c r="G1454" s="19" t="str">
        <x:v>材料独立候选</x:v>
      </x:c>
      <x:c r="H1454" s="19" t="str">
        <x:v>月潮忆珀</x:v>
      </x:c>
      <x:c r="I1454" s="22" t="n">
        <x:v>500000</x:v>
      </x:c>
      <x:c r="J1454" s="22" t="n">
        <x:v>1</x:v>
      </x:c>
      <x:c r="K1454" s="19" t="n">
        <x:v>1</x:v>
      </x:c>
      <x:c r="L1454" s="24" t="n">
        <x:v>17.25</x:v>
      </x:c>
      <x:c r="M1454" s="26" t="n">
        <x:v>0.1</x:v>
      </x:c>
      <x:c r="N1454" s="24" t="n">
        <x:v>10.755356664554025</x:v>
      </x:c>
      <x:c r="O1454" s="28" t="n">
        <x:f>MIN(1,L1454/I1454)</x:f>
        <x:v>0.0000345</x:v>
      </x:c>
      <x:c r="P1454" s="30" t="n">
        <x:f>O1454*J1454*(1+M1454)</x:f>
        <x:v>0.00003795</x:v>
      </x:c>
      <x:c r="Q1454" s="30" t="n">
        <x:f>P1454*N1454</x:f>
        <x:v>0.00040816578541982525</x:v>
      </x:c>
      <x:c r="R1454" s="19" t="str">
        <x:v>独立判定</x:v>
      </x:c>
    </x:row>
    <x:row r="1455" ht="19" customHeight="1">
      <x:c r="A1455" s="19" t="str">
        <x:v>D01451</x:v>
      </x:c>
      <x:c r="B1455" s="19" t="n">
        <x:v>4</x:v>
      </x:c>
      <x:c r="C1455" s="19" t="n">
        <x:v>1</x:v>
      </x:c>
      <x:c r="D1455" s="19" t="str">
        <x:v>C04-M010</x:v>
      </x:c>
      <x:c r="E1455" s="19" t="str">
        <x:v>提灯溺客</x:v>
      </x:c>
      <x:c r="F1455" s="19" t="str">
        <x:v>稀有</x:v>
      </x:c>
      <x:c r="G1455" s="19" t="str">
        <x:v>材料独立候选</x:v>
      </x:c>
      <x:c r="H1455" s="19" t="str">
        <x:v>黄金树芽</x:v>
      </x:c>
      <x:c r="I1455" s="22" t="n">
        <x:v>1500</x:v>
      </x:c>
      <x:c r="J1455" s="22" t="n">
        <x:v>1</x:v>
      </x:c>
      <x:c r="K1455" s="19" t="n">
        <x:v>1</x:v>
      </x:c>
      <x:c r="L1455" s="24" t="n">
        <x:v>17.25</x:v>
      </x:c>
      <x:c r="M1455" s="26" t="n">
        <x:v>0.1</x:v>
      </x:c>
      <x:c r="N1455" s="24" t="n">
        <x:v>10.755356664554025</x:v>
      </x:c>
      <x:c r="O1455" s="28" t="n">
        <x:f>MIN(1,L1455/I1455)</x:f>
        <x:v>0.0115</x:v>
      </x:c>
      <x:c r="P1455" s="30" t="n">
        <x:f>O1455*J1455*(1+M1455)</x:f>
        <x:v>0.012650000000000002</x:v>
      </x:c>
      <x:c r="Q1455" s="30" t="n">
        <x:f>P1455*N1455</x:f>
        <x:v>0.13605526180660843</x:v>
      </x:c>
      <x:c r="R1455" s="19" t="str">
        <x:v>独立判定</x:v>
      </x:c>
    </x:row>
    <x:row r="1456" ht="19" customHeight="1">
      <x:c r="A1456" s="19" t="str">
        <x:v>D01452</x:v>
      </x:c>
      <x:c r="B1456" s="19" t="n">
        <x:v>4</x:v>
      </x:c>
      <x:c r="C1456" s="19" t="n">
        <x:v>1</x:v>
      </x:c>
      <x:c r="D1456" s="19" t="str">
        <x:v>C04-M010</x:v>
      </x:c>
      <x:c r="E1456" s="19" t="str">
        <x:v>提灯溺客</x:v>
      </x:c>
      <x:c r="F1456" s="19" t="str">
        <x:v>稀有</x:v>
      </x:c>
      <x:c r="G1456" s="19" t="str">
        <x:v>材料独立候选</x:v>
      </x:c>
      <x:c r="H1456" s="19" t="str">
        <x:v>野兽骨片</x:v>
      </x:c>
      <x:c r="I1456" s="22" t="n">
        <x:v>50</x:v>
      </x:c>
      <x:c r="J1456" s="22" t="n">
        <x:v>2</x:v>
      </x:c>
      <x:c r="K1456" s="19" t="n">
        <x:v>1</x:v>
      </x:c>
      <x:c r="L1456" s="24" t="n">
        <x:v>17.25</x:v>
      </x:c>
      <x:c r="M1456" s="26" t="n">
        <x:v>0.1</x:v>
      </x:c>
      <x:c r="N1456" s="24" t="n">
        <x:v>10.755356664554025</x:v>
      </x:c>
      <x:c r="O1456" s="28" t="n">
        <x:f>MIN(1,L1456/I1456)</x:f>
        <x:v>0.345</x:v>
      </x:c>
      <x:c r="P1456" s="30" t="n">
        <x:f>O1456*J1456*(1+M1456)</x:f>
        <x:v>0.759</x:v>
      </x:c>
      <x:c r="Q1456" s="30" t="n">
        <x:f>P1456*N1456</x:f>
        <x:v>8.163315708396505</x:v>
      </x:c>
      <x:c r="R1456" s="19" t="str">
        <x:v>独立判定</x:v>
      </x:c>
    </x:row>
    <x:row r="1457" ht="19" customHeight="1">
      <x:c r="A1457" s="19" t="str">
        <x:v>D01453</x:v>
      </x:c>
      <x:c r="B1457" s="19" t="n">
        <x:v>4</x:v>
      </x:c>
      <x:c r="C1457" s="19" t="n">
        <x:v>1</x:v>
      </x:c>
      <x:c r="D1457" s="19" t="str">
        <x:v>C04-M010</x:v>
      </x:c>
      <x:c r="E1457" s="19" t="str">
        <x:v>提灯溺客</x:v>
      </x:c>
      <x:c r="F1457" s="19" t="str">
        <x:v>稀有</x:v>
      </x:c>
      <x:c r="G1457" s="19" t="str">
        <x:v>材料独立候选</x:v>
      </x:c>
      <x:c r="H1457" s="19" t="str">
        <x:v>技能残页</x:v>
      </x:c>
      <x:c r="I1457" s="22" t="n">
        <x:v>250</x:v>
      </x:c>
      <x:c r="J1457" s="22" t="n">
        <x:v>1</x:v>
      </x:c>
      <x:c r="K1457" s="19" t="n">
        <x:v>1</x:v>
      </x:c>
      <x:c r="L1457" s="24" t="n">
        <x:v>17.25</x:v>
      </x:c>
      <x:c r="M1457" s="26" t="n">
        <x:v>0.1</x:v>
      </x:c>
      <x:c r="N1457" s="24" t="n">
        <x:v>10.755356664554025</x:v>
      </x:c>
      <x:c r="O1457" s="28" t="n">
        <x:f>MIN(1,L1457/I1457)</x:f>
        <x:v>0.069</x:v>
      </x:c>
      <x:c r="P1457" s="30" t="n">
        <x:f>O1457*J1457*(1+M1457)</x:f>
        <x:v>0.07590000000000001</x:v>
      </x:c>
      <x:c r="Q1457" s="30" t="n">
        <x:f>P1457*N1457</x:f>
        <x:v>0.8163315708396506</x:v>
      </x:c>
      <x:c r="R1457" s="19" t="str">
        <x:v>独立判定</x:v>
      </x:c>
    </x:row>
    <x:row r="1458" ht="19" customHeight="1">
      <x:c r="A1458" s="19" t="str">
        <x:v>D01454</x:v>
      </x:c>
      <x:c r="B1458" s="19" t="n">
        <x:v>4</x:v>
      </x:c>
      <x:c r="C1458" s="19" t="n">
        <x:v>1</x:v>
      </x:c>
      <x:c r="D1458" s="19" t="str">
        <x:v>C04-M010</x:v>
      </x:c>
      <x:c r="E1458" s="19" t="str">
        <x:v>提灯溺客</x:v>
      </x:c>
      <x:c r="F1458" s="19" t="str">
        <x:v>稀有</x:v>
      </x:c>
      <x:c r="G1458" s="19" t="str">
        <x:v>材料独立候选</x:v>
      </x:c>
      <x:c r="H1458" s="19" t="str">
        <x:v>小卢恩</x:v>
      </x:c>
      <x:c r="I1458" s="22" t="n">
        <x:v>500</x:v>
      </x:c>
      <x:c r="J1458" s="22" t="n">
        <x:v>1</x:v>
      </x:c>
      <x:c r="K1458" s="19" t="n">
        <x:v>1</x:v>
      </x:c>
      <x:c r="L1458" s="24" t="n">
        <x:v>17.25</x:v>
      </x:c>
      <x:c r="M1458" s="26" t="n">
        <x:v>0.1</x:v>
      </x:c>
      <x:c r="N1458" s="24" t="n">
        <x:v>10.755356664554025</x:v>
      </x:c>
      <x:c r="O1458" s="28" t="n">
        <x:f>MIN(1,L1458/I1458)</x:f>
        <x:v>0.0345</x:v>
      </x:c>
      <x:c r="P1458" s="30" t="n">
        <x:f>O1458*J1458*(1+M1458)</x:f>
        <x:v>0.037950000000000005</x:v>
      </x:c>
      <x:c r="Q1458" s="30" t="n">
        <x:f>P1458*N1458</x:f>
        <x:v>0.4081657854198253</x:v>
      </x:c>
      <x:c r="R1458" s="19" t="str">
        <x:v>独立判定</x:v>
      </x:c>
    </x:row>
    <x:row r="1459" ht="19" customHeight="1">
      <x:c r="A1459" s="19" t="str">
        <x:v>D01455</x:v>
      </x:c>
      <x:c r="B1459" s="19" t="n">
        <x:v>4</x:v>
      </x:c>
      <x:c r="C1459" s="19" t="n">
        <x:v>1</x:v>
      </x:c>
      <x:c r="D1459" s="19" t="str">
        <x:v>C04-M010</x:v>
      </x:c>
      <x:c r="E1459" s="19" t="str">
        <x:v>提灯溺客</x:v>
      </x:c>
      <x:c r="F1459" s="19" t="str">
        <x:v>稀有</x:v>
      </x:c>
      <x:c r="G1459" s="19" t="str">
        <x:v>六神器公共池</x:v>
      </x:c>
      <x:c r="H1459" s="19" t="str">
        <x:v>POOL006</x:v>
      </x:c>
      <x:c r="I1459" s="22" t="n">
        <x:v>5000000</x:v>
      </x:c>
      <x:c r="J1459" s="22" t="n">
        <x:v>1</x:v>
      </x:c>
      <x:c r="K1459" s="19" t="n">
        <x:v>6</x:v>
      </x:c>
      <x:c r="L1459" s="24" t="n">
        <x:v>17.25</x:v>
      </x:c>
      <x:c r="M1459" s="26" t="n">
        <x:v>0.1</x:v>
      </x:c>
      <x:c r="N1459" s="24" t="n">
        <x:v>10.755356664554025</x:v>
      </x:c>
      <x:c r="O1459" s="28" t="n">
        <x:f>MIN(1,L1459/I1459)</x:f>
        <x:v>0.00000345</x:v>
      </x:c>
      <x:c r="P1459" s="30" t="n">
        <x:f>O1459*J1459*(1+M1459)</x:f>
        <x:v>0.0000037950000000000005</x:v>
      </x:c>
      <x:c r="Q1459" s="30" t="n">
        <x:f>P1459*N1459</x:f>
        <x:v>0.000040816578541982533</x:v>
      </x:c>
      <x:c r="R1459" s="19" t="str">
        <x:v>六选一；非6个独立爆率</x:v>
      </x:c>
    </x:row>
    <x:row r="1460" ht="19" customHeight="1">
      <x:c r="A1460" s="19" t="str">
        <x:v>D01456</x:v>
      </x:c>
      <x:c r="B1460" s="19" t="n">
        <x:v>4</x:v>
      </x:c>
      <x:c r="C1460" s="19" t="n">
        <x:v>1</x:v>
      </x:c>
      <x:c r="D1460" s="19" t="str">
        <x:v>C04-M011</x:v>
      </x:c>
      <x:c r="E1460" s="19" t="str">
        <x:v>潮痕猎首·葛弥</x:v>
      </x:c>
      <x:c r="F1460" s="19" t="str">
        <x:v>地图BOSS</x:v>
      </x:c>
      <x:c r="G1460" s="19" t="str">
        <x:v>自身专属</x:v>
      </x:c>
      <x:c r="H1460" s="19" t="str">
        <x:v>葛弥的雾齿叉</x:v>
      </x:c>
      <x:c r="I1460" s="22" t="n">
        <x:v>40</x:v>
      </x:c>
      <x:c r="J1460" s="22" t="n">
        <x:v>1</x:v>
      </x:c>
      <x:c r="K1460" s="19" t="n">
        <x:v>1</x:v>
      </x:c>
      <x:c r="L1460" s="24" t="n">
        <x:v>17.25</x:v>
      </x:c>
      <x:c r="M1460" s="26" t="n">
        <x:v>0.1</x:v>
      </x:c>
      <x:c r="N1460" s="24" t="n">
        <x:v>2</x:v>
      </x:c>
      <x:c r="O1460" s="28" t="n">
        <x:f>MIN(1,L1460/I1460)</x:f>
        <x:v>0.43125</x:v>
      </x:c>
      <x:c r="P1460" s="30" t="n">
        <x:f>O1460*J1460*(1+M1460)</x:f>
        <x:v>0.47437500000000005</x:v>
      </x:c>
      <x:c r="Q1460" s="30" t="n">
        <x:f>P1460*N1460</x:f>
        <x:v>0.9487500000000001</x:v>
      </x:c>
      <x:c r="R1460" s="19" t="str">
        <x:v>独立判定</x:v>
      </x:c>
    </x:row>
    <x:row r="1461" ht="19" customHeight="1">
      <x:c r="A1461" s="19" t="str">
        <x:v>D01457</x:v>
      </x:c>
      <x:c r="B1461" s="19" t="n">
        <x:v>4</x:v>
      </x:c>
      <x:c r="C1461" s="19" t="n">
        <x:v>1</x:v>
      </x:c>
      <x:c r="D1461" s="19" t="str">
        <x:v>C04-M011</x:v>
      </x:c>
      <x:c r="E1461" s="19" t="str">
        <x:v>潮痕猎首·葛弥</x:v>
      </x:c>
      <x:c r="F1461" s="19" t="str">
        <x:v>地图BOSS</x:v>
      </x:c>
      <x:c r="G1461" s="19" t="str">
        <x:v>本图普通兼掉候选</x:v>
      </x:c>
      <x:c r="H1461" s="19" t="str">
        <x:v>POOL024</x:v>
      </x:c>
      <x:c r="I1461" s="22" t="n">
        <x:v>40</x:v>
      </x:c>
      <x:c r="J1461" s="22" t="n">
        <x:v>1</x:v>
      </x:c>
      <x:c r="K1461" s="19" t="n">
        <x:v>3</x:v>
      </x:c>
      <x:c r="L1461" s="24" t="n">
        <x:v>17.25</x:v>
      </x:c>
      <x:c r="M1461" s="26" t="n">
        <x:v>0.1</x:v>
      </x:c>
      <x:c r="N1461" s="24" t="n">
        <x:v>2</x:v>
      </x:c>
      <x:c r="O1461" s="28" t="n">
        <x:f>MIN(1,L1461/I1461)</x:f>
        <x:v>0.43125</x:v>
      </x:c>
      <x:c r="P1461" s="30" t="n">
        <x:f>O1461*J1461*(1+M1461)</x:f>
        <x:v>0.47437500000000005</x:v>
      </x:c>
      <x:c r="Q1461" s="30" t="n">
        <x:f>P1461*N1461</x:f>
        <x:v>0.9487500000000001</x:v>
      </x:c>
      <x:c r="R1461" s="19" t="str">
        <x:v>单池选一</x:v>
      </x:c>
    </x:row>
    <x:row r="1462" ht="19" customHeight="1">
      <x:c r="A1462" s="19" t="str">
        <x:v>D01458</x:v>
      </x:c>
      <x:c r="B1462" s="19" t="n">
        <x:v>4</x:v>
      </x:c>
      <x:c r="C1462" s="19" t="n">
        <x:v>1</x:v>
      </x:c>
      <x:c r="D1462" s="19" t="str">
        <x:v>C04-M011</x:v>
      </x:c>
      <x:c r="E1462" s="19" t="str">
        <x:v>潮痕猎首·葛弥</x:v>
      </x:c>
      <x:c r="F1462" s="19" t="str">
        <x:v>地图BOSS</x:v>
      </x:c>
      <x:c r="G1462" s="19" t="str">
        <x:v>材料独立候选</x:v>
      </x:c>
      <x:c r="H1462" s="19" t="str">
        <x:v>湖盐结晶</x:v>
      </x:c>
      <x:c r="I1462" s="22" t="n">
        <x:v>180</x:v>
      </x:c>
      <x:c r="J1462" s="22" t="n">
        <x:v>30</x:v>
      </x:c>
      <x:c r="K1462" s="19" t="n">
        <x:v>1</x:v>
      </x:c>
      <x:c r="L1462" s="24" t="n">
        <x:v>17.25</x:v>
      </x:c>
      <x:c r="M1462" s="26" t="n">
        <x:v>0.1</x:v>
      </x:c>
      <x:c r="N1462" s="24" t="n">
        <x:v>2</x:v>
      </x:c>
      <x:c r="O1462" s="28" t="n">
        <x:f>MIN(1,L1462/I1462)</x:f>
        <x:v>0.09583333333333334</x:v>
      </x:c>
      <x:c r="P1462" s="30" t="n">
        <x:f>O1462*J1462*(1+M1462)</x:f>
        <x:v>3.1625</x:v>
      </x:c>
      <x:c r="Q1462" s="30" t="n">
        <x:f>P1462*N1462</x:f>
        <x:v>6.325</x:v>
      </x:c>
      <x:c r="R1462" s="19" t="str">
        <x:v>独立判定</x:v>
      </x:c>
    </x:row>
    <x:row r="1463" ht="19" customHeight="1">
      <x:c r="A1463" s="19" t="str">
        <x:v>D01459</x:v>
      </x:c>
      <x:c r="B1463" s="19" t="n">
        <x:v>4</x:v>
      </x:c>
      <x:c r="C1463" s="19" t="n">
        <x:v>1</x:v>
      </x:c>
      <x:c r="D1463" s="19" t="str">
        <x:v>C04-M011</x:v>
      </x:c>
      <x:c r="E1463" s="19" t="str">
        <x:v>潮痕猎首·葛弥</x:v>
      </x:c>
      <x:c r="F1463" s="19" t="str">
        <x:v>地图BOSS</x:v>
      </x:c>
      <x:c r="G1463" s="19" t="str">
        <x:v>材料独立候选</x:v>
      </x:c>
      <x:c r="H1463" s="19" t="str">
        <x:v>幽船铆钉</x:v>
      </x:c>
      <x:c r="I1463" s="22" t="n">
        <x:v>500</x:v>
      </x:c>
      <x:c r="J1463" s="22" t="n">
        <x:v>1</x:v>
      </x:c>
      <x:c r="K1463" s="19" t="n">
        <x:v>1</x:v>
      </x:c>
      <x:c r="L1463" s="24" t="n">
        <x:v>17.25</x:v>
      </x:c>
      <x:c r="M1463" s="26" t="n">
        <x:v>0.1</x:v>
      </x:c>
      <x:c r="N1463" s="24" t="n">
        <x:v>2</x:v>
      </x:c>
      <x:c r="O1463" s="28" t="n">
        <x:f>MIN(1,L1463/I1463)</x:f>
        <x:v>0.0345</x:v>
      </x:c>
      <x:c r="P1463" s="30" t="n">
        <x:f>O1463*J1463*(1+M1463)</x:f>
        <x:v>0.037950000000000005</x:v>
      </x:c>
      <x:c r="Q1463" s="30" t="n">
        <x:f>P1463*N1463</x:f>
        <x:v>0.07590000000000001</x:v>
      </x:c>
      <x:c r="R1463" s="19" t="str">
        <x:v>独立判定</x:v>
      </x:c>
    </x:row>
    <x:row r="1464" ht="19" customHeight="1">
      <x:c r="A1464" s="19" t="str">
        <x:v>D01460</x:v>
      </x:c>
      <x:c r="B1464" s="19" t="n">
        <x:v>4</x:v>
      </x:c>
      <x:c r="C1464" s="19" t="n">
        <x:v>1</x:v>
      </x:c>
      <x:c r="D1464" s="19" t="str">
        <x:v>C04-M011</x:v>
      </x:c>
      <x:c r="E1464" s="19" t="str">
        <x:v>潮痕猎首·葛弥</x:v>
      </x:c>
      <x:c r="F1464" s="19" t="str">
        <x:v>地图BOSS</x:v>
      </x:c>
      <x:c r="G1464" s="19" t="str">
        <x:v>材料独立候选</x:v>
      </x:c>
      <x:c r="H1464" s="19" t="str">
        <x:v>沉湖王印</x:v>
      </x:c>
      <x:c r="I1464" s="22" t="n">
        <x:v>80</x:v>
      </x:c>
      <x:c r="J1464" s="22" t="n">
        <x:v>2</x:v>
      </x:c>
      <x:c r="K1464" s="19" t="n">
        <x:v>1</x:v>
      </x:c>
      <x:c r="L1464" s="24" t="n">
        <x:v>17.25</x:v>
      </x:c>
      <x:c r="M1464" s="26" t="n">
        <x:v>0.1</x:v>
      </x:c>
      <x:c r="N1464" s="24" t="n">
        <x:v>2</x:v>
      </x:c>
      <x:c r="O1464" s="28" t="n">
        <x:f>MIN(1,L1464/I1464)</x:f>
        <x:v>0.215625</x:v>
      </x:c>
      <x:c r="P1464" s="30" t="n">
        <x:f>O1464*J1464*(1+M1464)</x:f>
        <x:v>0.47437500000000005</x:v>
      </x:c>
      <x:c r="Q1464" s="30" t="n">
        <x:f>P1464*N1464</x:f>
        <x:v>0.9487500000000001</x:v>
      </x:c>
      <x:c r="R1464" s="19" t="str">
        <x:v>独立判定</x:v>
      </x:c>
    </x:row>
    <x:row r="1465" ht="19" customHeight="1">
      <x:c r="A1465" s="19" t="str">
        <x:v>D01461</x:v>
      </x:c>
      <x:c r="B1465" s="19" t="n">
        <x:v>4</x:v>
      </x:c>
      <x:c r="C1465" s="19" t="n">
        <x:v>1</x:v>
      </x:c>
      <x:c r="D1465" s="19" t="str">
        <x:v>C04-M011</x:v>
      </x:c>
      <x:c r="E1465" s="19" t="str">
        <x:v>潮痕猎首·葛弥</x:v>
      </x:c>
      <x:c r="F1465" s="19" t="str">
        <x:v>地图BOSS</x:v>
      </x:c>
      <x:c r="G1465" s="19" t="str">
        <x:v>材料独立候选</x:v>
      </x:c>
      <x:c r="H1465" s="19" t="str">
        <x:v>深湖压舱印</x:v>
      </x:c>
      <x:c r="I1465" s="22" t="n">
        <x:v>100</x:v>
      </x:c>
      <x:c r="J1465" s="22" t="n">
        <x:v>2</x:v>
      </x:c>
      <x:c r="K1465" s="19" t="n">
        <x:v>1</x:v>
      </x:c>
      <x:c r="L1465" s="24" t="n">
        <x:v>17.25</x:v>
      </x:c>
      <x:c r="M1465" s="26" t="n">
        <x:v>0.1</x:v>
      </x:c>
      <x:c r="N1465" s="24" t="n">
        <x:v>2</x:v>
      </x:c>
      <x:c r="O1465" s="28" t="n">
        <x:f>MIN(1,L1465/I1465)</x:f>
        <x:v>0.1725</x:v>
      </x:c>
      <x:c r="P1465" s="30" t="n">
        <x:f>O1465*J1465*(1+M1465)</x:f>
        <x:v>0.3795</x:v>
      </x:c>
      <x:c r="Q1465" s="30" t="n">
        <x:f>P1465*N1465</x:f>
        <x:v>0.759</x:v>
      </x:c>
      <x:c r="R1465" s="19" t="str">
        <x:v>独立判定</x:v>
      </x:c>
    </x:row>
    <x:row r="1466" ht="19" customHeight="1">
      <x:c r="A1466" s="19" t="str">
        <x:v>D01462</x:v>
      </x:c>
      <x:c r="B1466" s="19" t="n">
        <x:v>4</x:v>
      </x:c>
      <x:c r="C1466" s="19" t="n">
        <x:v>1</x:v>
      </x:c>
      <x:c r="D1466" s="19" t="str">
        <x:v>C04-M011</x:v>
      </x:c>
      <x:c r="E1466" s="19" t="str">
        <x:v>潮痕猎首·葛弥</x:v>
      </x:c>
      <x:c r="F1466" s="19" t="str">
        <x:v>地图BOSS</x:v>
      </x:c>
      <x:c r="G1466" s="19" t="str">
        <x:v>材料独立候选</x:v>
      </x:c>
      <x:c r="H1466" s="19" t="str">
        <x:v>月潮忆珀</x:v>
      </x:c>
      <x:c r="I1466" s="22" t="n">
        <x:v>250000</x:v>
      </x:c>
      <x:c r="J1466" s="22" t="n">
        <x:v>1</x:v>
      </x:c>
      <x:c r="K1466" s="19" t="n">
        <x:v>1</x:v>
      </x:c>
      <x:c r="L1466" s="24" t="n">
        <x:v>17.25</x:v>
      </x:c>
      <x:c r="M1466" s="26" t="n">
        <x:v>0.1</x:v>
      </x:c>
      <x:c r="N1466" s="24" t="n">
        <x:v>2</x:v>
      </x:c>
      <x:c r="O1466" s="28" t="n">
        <x:f>MIN(1,L1466/I1466)</x:f>
        <x:v>0.000069</x:v>
      </x:c>
      <x:c r="P1466" s="30" t="n">
        <x:f>O1466*J1466*(1+M1466)</x:f>
        <x:v>0.0000759</x:v>
      </x:c>
      <x:c r="Q1466" s="30" t="n">
        <x:f>P1466*N1466</x:f>
        <x:v>0.0001518</x:v>
      </x:c>
      <x:c r="R1466" s="19" t="str">
        <x:v>独立判定</x:v>
      </x:c>
    </x:row>
    <x:row r="1467" ht="19" customHeight="1">
      <x:c r="A1467" s="19" t="str">
        <x:v>D01463</x:v>
      </x:c>
      <x:c r="B1467" s="19" t="n">
        <x:v>4</x:v>
      </x:c>
      <x:c r="C1467" s="19" t="n">
        <x:v>1</x:v>
      </x:c>
      <x:c r="D1467" s="19" t="str">
        <x:v>C04-M011</x:v>
      </x:c>
      <x:c r="E1467" s="19" t="str">
        <x:v>潮痕猎首·葛弥</x:v>
      </x:c>
      <x:c r="F1467" s="19" t="str">
        <x:v>地图BOSS</x:v>
      </x:c>
      <x:c r="G1467" s="19" t="str">
        <x:v>材料独立候选</x:v>
      </x:c>
      <x:c r="H1467" s="19" t="str">
        <x:v>黄金树芽</x:v>
      </x:c>
      <x:c r="I1467" s="22" t="n">
        <x:v>800</x:v>
      </x:c>
      <x:c r="J1467" s="22" t="n">
        <x:v>1</x:v>
      </x:c>
      <x:c r="K1467" s="19" t="n">
        <x:v>1</x:v>
      </x:c>
      <x:c r="L1467" s="24" t="n">
        <x:v>17.25</x:v>
      </x:c>
      <x:c r="M1467" s="26" t="n">
        <x:v>0.1</x:v>
      </x:c>
      <x:c r="N1467" s="24" t="n">
        <x:v>2</x:v>
      </x:c>
      <x:c r="O1467" s="28" t="n">
        <x:f>MIN(1,L1467/I1467)</x:f>
        <x:v>0.0215625</x:v>
      </x:c>
      <x:c r="P1467" s="30" t="n">
        <x:f>O1467*J1467*(1+M1467)</x:f>
        <x:v>0.02371875</x:v>
      </x:c>
      <x:c r="Q1467" s="30" t="n">
        <x:f>P1467*N1467</x:f>
        <x:v>0.0474375</x:v>
      </x:c>
      <x:c r="R1467" s="19" t="str">
        <x:v>独立判定</x:v>
      </x:c>
    </x:row>
    <x:row r="1468" ht="19" customHeight="1">
      <x:c r="A1468" s="19" t="str">
        <x:v>D01464</x:v>
      </x:c>
      <x:c r="B1468" s="19" t="n">
        <x:v>4</x:v>
      </x:c>
      <x:c r="C1468" s="19" t="n">
        <x:v>1</x:v>
      </x:c>
      <x:c r="D1468" s="19" t="str">
        <x:v>C04-M011</x:v>
      </x:c>
      <x:c r="E1468" s="19" t="str">
        <x:v>潮痕猎首·葛弥</x:v>
      </x:c>
      <x:c r="F1468" s="19" t="str">
        <x:v>地图BOSS</x:v>
      </x:c>
      <x:c r="G1468" s="19" t="str">
        <x:v>材料独立候选</x:v>
      </x:c>
      <x:c r="H1468" s="19" t="str">
        <x:v>野兽骨片</x:v>
      </x:c>
      <x:c r="I1468" s="22" t="n">
        <x:v>25</x:v>
      </x:c>
      <x:c r="J1468" s="22" t="n">
        <x:v>2</x:v>
      </x:c>
      <x:c r="K1468" s="19" t="n">
        <x:v>1</x:v>
      </x:c>
      <x:c r="L1468" s="24" t="n">
        <x:v>17.25</x:v>
      </x:c>
      <x:c r="M1468" s="26" t="n">
        <x:v>0.1</x:v>
      </x:c>
      <x:c r="N1468" s="24" t="n">
        <x:v>2</x:v>
      </x:c>
      <x:c r="O1468" s="28" t="n">
        <x:f>MIN(1,L1468/I1468)</x:f>
        <x:v>0.69</x:v>
      </x:c>
      <x:c r="P1468" s="30" t="n">
        <x:f>O1468*J1468*(1+M1468)</x:f>
        <x:v>1.518</x:v>
      </x:c>
      <x:c r="Q1468" s="30" t="n">
        <x:f>P1468*N1468</x:f>
        <x:v>3.036</x:v>
      </x:c>
      <x:c r="R1468" s="19" t="str">
        <x:v>独立判定</x:v>
      </x:c>
    </x:row>
    <x:row r="1469" ht="19" customHeight="1">
      <x:c r="A1469" s="19" t="str">
        <x:v>D01465</x:v>
      </x:c>
      <x:c r="B1469" s="19" t="n">
        <x:v>4</x:v>
      </x:c>
      <x:c r="C1469" s="19" t="n">
        <x:v>1</x:v>
      </x:c>
      <x:c r="D1469" s="19" t="str">
        <x:v>C04-M011</x:v>
      </x:c>
      <x:c r="E1469" s="19" t="str">
        <x:v>潮痕猎首·葛弥</x:v>
      </x:c>
      <x:c r="F1469" s="19" t="str">
        <x:v>地图BOSS</x:v>
      </x:c>
      <x:c r="G1469" s="19" t="str">
        <x:v>材料独立候选</x:v>
      </x:c>
      <x:c r="H1469" s="19" t="str">
        <x:v>技能残页</x:v>
      </x:c>
      <x:c r="I1469" s="22" t="n">
        <x:v>120</x:v>
      </x:c>
      <x:c r="J1469" s="22" t="n">
        <x:v>1</x:v>
      </x:c>
      <x:c r="K1469" s="19" t="n">
        <x:v>1</x:v>
      </x:c>
      <x:c r="L1469" s="24" t="n">
        <x:v>17.25</x:v>
      </x:c>
      <x:c r="M1469" s="26" t="n">
        <x:v>0.1</x:v>
      </x:c>
      <x:c r="N1469" s="24" t="n">
        <x:v>2</x:v>
      </x:c>
      <x:c r="O1469" s="28" t="n">
        <x:f>MIN(1,L1469/I1469)</x:f>
        <x:v>0.14375</x:v>
      </x:c>
      <x:c r="P1469" s="30" t="n">
        <x:f>O1469*J1469*(1+M1469)</x:f>
        <x:v>0.158125</x:v>
      </x:c>
      <x:c r="Q1469" s="30" t="n">
        <x:f>P1469*N1469</x:f>
        <x:v>0.31625</x:v>
      </x:c>
      <x:c r="R1469" s="19" t="str">
        <x:v>独立判定</x:v>
      </x:c>
    </x:row>
    <x:row r="1470" ht="19" customHeight="1">
      <x:c r="A1470" s="19" t="str">
        <x:v>D01466</x:v>
      </x:c>
      <x:c r="B1470" s="19" t="n">
        <x:v>4</x:v>
      </x:c>
      <x:c r="C1470" s="19" t="n">
        <x:v>1</x:v>
      </x:c>
      <x:c r="D1470" s="19" t="str">
        <x:v>C04-M011</x:v>
      </x:c>
      <x:c r="E1470" s="19" t="str">
        <x:v>潮痕猎首·葛弥</x:v>
      </x:c>
      <x:c r="F1470" s="19" t="str">
        <x:v>地图BOSS</x:v>
      </x:c>
      <x:c r="G1470" s="19" t="str">
        <x:v>材料独立候选</x:v>
      </x:c>
      <x:c r="H1470" s="19" t="str">
        <x:v>宁姆格福誓页</x:v>
      </x:c>
      <x:c r="I1470" s="22" t="n">
        <x:v>200</x:v>
      </x:c>
      <x:c r="J1470" s="22" t="n">
        <x:v>1</x:v>
      </x:c>
      <x:c r="K1470" s="19" t="n">
        <x:v>1</x:v>
      </x:c>
      <x:c r="L1470" s="24" t="n">
        <x:v>17.25</x:v>
      </x:c>
      <x:c r="M1470" s="26" t="n">
        <x:v>0.1</x:v>
      </x:c>
      <x:c r="N1470" s="24" t="n">
        <x:v>2</x:v>
      </x:c>
      <x:c r="O1470" s="28" t="n">
        <x:f>MIN(1,L1470/I1470)</x:f>
        <x:v>0.08625</x:v>
      </x:c>
      <x:c r="P1470" s="30" t="n">
        <x:f>O1470*J1470*(1+M1470)</x:f>
        <x:v>0.094875</x:v>
      </x:c>
      <x:c r="Q1470" s="30" t="n">
        <x:f>P1470*N1470</x:f>
        <x:v>0.18975</x:v>
      </x:c>
      <x:c r="R1470" s="19" t="str">
        <x:v>独立判定</x:v>
      </x:c>
    </x:row>
    <x:row r="1471" ht="19" customHeight="1">
      <x:c r="A1471" s="19" t="str">
        <x:v>D01467</x:v>
      </x:c>
      <x:c r="B1471" s="19" t="n">
        <x:v>4</x:v>
      </x:c>
      <x:c r="C1471" s="19" t="n">
        <x:v>1</x:v>
      </x:c>
      <x:c r="D1471" s="19" t="str">
        <x:v>C04-M011</x:v>
      </x:c>
      <x:c r="E1471" s="19" t="str">
        <x:v>潮痕猎首·葛弥</x:v>
      </x:c>
      <x:c r="F1471" s="19" t="str">
        <x:v>地图BOSS</x:v>
      </x:c>
      <x:c r="G1471" s="19" t="str">
        <x:v>材料独立候选</x:v>
      </x:c>
      <x:c r="H1471" s="19" t="str">
        <x:v>小卢恩</x:v>
      </x:c>
      <x:c r="I1471" s="22" t="n">
        <x:v>250</x:v>
      </x:c>
      <x:c r="J1471" s="22" t="n">
        <x:v>1</x:v>
      </x:c>
      <x:c r="K1471" s="19" t="n">
        <x:v>1</x:v>
      </x:c>
      <x:c r="L1471" s="24" t="n">
        <x:v>17.25</x:v>
      </x:c>
      <x:c r="M1471" s="26" t="n">
        <x:v>0.1</x:v>
      </x:c>
      <x:c r="N1471" s="24" t="n">
        <x:v>2</x:v>
      </x:c>
      <x:c r="O1471" s="28" t="n">
        <x:f>MIN(1,L1471/I1471)</x:f>
        <x:v>0.069</x:v>
      </x:c>
      <x:c r="P1471" s="30" t="n">
        <x:f>O1471*J1471*(1+M1471)</x:f>
        <x:v>0.07590000000000001</x:v>
      </x:c>
      <x:c r="Q1471" s="30" t="n">
        <x:f>P1471*N1471</x:f>
        <x:v>0.15180000000000002</x:v>
      </x:c>
      <x:c r="R1471" s="19" t="str">
        <x:v>独立判定</x:v>
      </x:c>
    </x:row>
    <x:row r="1472" ht="19" customHeight="1">
      <x:c r="A1472" s="19" t="str">
        <x:v>D01468</x:v>
      </x:c>
      <x:c r="B1472" s="19" t="n">
        <x:v>4</x:v>
      </x:c>
      <x:c r="C1472" s="19" t="n">
        <x:v>1</x:v>
      </x:c>
      <x:c r="D1472" s="19" t="str">
        <x:v>C04-M011</x:v>
      </x:c>
      <x:c r="E1472" s="19" t="str">
        <x:v>潮痕猎首·葛弥</x:v>
      </x:c>
      <x:c r="F1472" s="19" t="str">
        <x:v>地图BOSS</x:v>
      </x:c>
      <x:c r="G1472" s="19" t="str">
        <x:v>材料独立候选</x:v>
      </x:c>
      <x:c r="H1472" s="19" t="str">
        <x:v>大卢恩</x:v>
      </x:c>
      <x:c r="I1472" s="22" t="n">
        <x:v>150</x:v>
      </x:c>
      <x:c r="J1472" s="22" t="n">
        <x:v>1</x:v>
      </x:c>
      <x:c r="K1472" s="19" t="n">
        <x:v>1</x:v>
      </x:c>
      <x:c r="L1472" s="24" t="n">
        <x:v>17.25</x:v>
      </x:c>
      <x:c r="M1472" s="26" t="n">
        <x:v>0.1</x:v>
      </x:c>
      <x:c r="N1472" s="24" t="n">
        <x:v>2</x:v>
      </x:c>
      <x:c r="O1472" s="28" t="n">
        <x:f>MIN(1,L1472/I1472)</x:f>
        <x:v>0.115</x:v>
      </x:c>
      <x:c r="P1472" s="30" t="n">
        <x:f>O1472*J1472*(1+M1472)</x:f>
        <x:v>0.12650000000000003</x:v>
      </x:c>
      <x:c r="Q1472" s="30" t="n">
        <x:f>P1472*N1472</x:f>
        <x:v>0.25300000000000006</x:v>
      </x:c>
      <x:c r="R1472" s="19" t="str">
        <x:v>独立判定</x:v>
      </x:c>
    </x:row>
    <x:row r="1473" ht="19" customHeight="1">
      <x:c r="A1473" s="19" t="str">
        <x:v>D01469</x:v>
      </x:c>
      <x:c r="B1473" s="19" t="n">
        <x:v>4</x:v>
      </x:c>
      <x:c r="C1473" s="19" t="n">
        <x:v>1</x:v>
      </x:c>
      <x:c r="D1473" s="19" t="str">
        <x:v>C04-M011</x:v>
      </x:c>
      <x:c r="E1473" s="19" t="str">
        <x:v>潮痕猎首·葛弥</x:v>
      </x:c>
      <x:c r="F1473" s="19" t="str">
        <x:v>地图BOSS</x:v>
      </x:c>
      <x:c r="G1473" s="19" t="str">
        <x:v>六神器公共池</x:v>
      </x:c>
      <x:c r="H1473" s="19" t="str">
        <x:v>POOL006</x:v>
      </x:c>
      <x:c r="I1473" s="22" t="n">
        <x:v>200000</x:v>
      </x:c>
      <x:c r="J1473" s="22" t="n">
        <x:v>1</x:v>
      </x:c>
      <x:c r="K1473" s="19" t="n">
        <x:v>6</x:v>
      </x:c>
      <x:c r="L1473" s="24" t="n">
        <x:v>17.25</x:v>
      </x:c>
      <x:c r="M1473" s="26" t="n">
        <x:v>0.1</x:v>
      </x:c>
      <x:c r="N1473" s="24" t="n">
        <x:v>2</x:v>
      </x:c>
      <x:c r="O1473" s="28" t="n">
        <x:f>MIN(1,L1473/I1473)</x:f>
        <x:v>0.00008625</x:v>
      </x:c>
      <x:c r="P1473" s="30" t="n">
        <x:f>O1473*J1473*(1+M1473)</x:f>
        <x:v>0.000094875</x:v>
      </x:c>
      <x:c r="Q1473" s="30" t="n">
        <x:f>P1473*N1473</x:f>
        <x:v>0.00018975</x:v>
      </x:c>
      <x:c r="R1473" s="19" t="str">
        <x:v>六选一；非6个独立爆率</x:v>
      </x:c>
    </x:row>
    <x:row r="1474" ht="19" customHeight="1">
      <x:c r="A1474" s="19" t="str">
        <x:v>D01470</x:v>
      </x:c>
      <x:c r="B1474" s="19" t="n">
        <x:v>4</x:v>
      </x:c>
      <x:c r="C1474" s="19" t="n">
        <x:v>1</x:v>
      </x:c>
      <x:c r="D1474" s="19" t="str">
        <x:v>C04-M012</x:v>
      </x:c>
      <x:c r="E1474" s="19" t="str">
        <x:v>沼冠腐龙·弥瑟</x:v>
      </x:c>
      <x:c r="F1474" s="19" t="str">
        <x:v>地图BOSS</x:v>
      </x:c>
      <x:c r="G1474" s="19" t="str">
        <x:v>自身专属</x:v>
      </x:c>
      <x:c r="H1474" s="19" t="str">
        <x:v>弥瑟腐鳞衣</x:v>
      </x:c>
      <x:c r="I1474" s="22" t="n">
        <x:v>80</x:v>
      </x:c>
      <x:c r="J1474" s="22" t="n">
        <x:v>1</x:v>
      </x:c>
      <x:c r="K1474" s="19" t="n">
        <x:v>1</x:v>
      </x:c>
      <x:c r="L1474" s="24" t="n">
        <x:v>17.25</x:v>
      </x:c>
      <x:c r="M1474" s="26" t="n">
        <x:v>0.1</x:v>
      </x:c>
      <x:c r="N1474" s="24" t="n">
        <x:v>2</x:v>
      </x:c>
      <x:c r="O1474" s="28" t="n">
        <x:f>MIN(1,L1474/I1474)</x:f>
        <x:v>0.215625</x:v>
      </x:c>
      <x:c r="P1474" s="30" t="n">
        <x:f>O1474*J1474*(1+M1474)</x:f>
        <x:v>0.23718750000000002</x:v>
      </x:c>
      <x:c r="Q1474" s="30" t="n">
        <x:f>P1474*N1474</x:f>
        <x:v>0.47437500000000005</x:v>
      </x:c>
      <x:c r="R1474" s="19" t="str">
        <x:v>独立判定</x:v>
      </x:c>
    </x:row>
    <x:row r="1475" ht="19" customHeight="1">
      <x:c r="A1475" s="19" t="str">
        <x:v>D01471</x:v>
      </x:c>
      <x:c r="B1475" s="19" t="n">
        <x:v>4</x:v>
      </x:c>
      <x:c r="C1475" s="19" t="n">
        <x:v>1</x:v>
      </x:c>
      <x:c r="D1475" s="19" t="str">
        <x:v>C04-M012</x:v>
      </x:c>
      <x:c r="E1475" s="19" t="str">
        <x:v>沼冠腐龙·弥瑟</x:v>
      </x:c>
      <x:c r="F1475" s="19" t="str">
        <x:v>地图BOSS</x:v>
      </x:c>
      <x:c r="G1475" s="19" t="str">
        <x:v>自身专属</x:v>
      </x:c>
      <x:c r="H1475" s="19" t="str">
        <x:v>幽舵三重冠</x:v>
      </x:c>
      <x:c r="I1475" s="22" t="n">
        <x:v>80</x:v>
      </x:c>
      <x:c r="J1475" s="22" t="n">
        <x:v>1</x:v>
      </x:c>
      <x:c r="K1475" s="19" t="n">
        <x:v>1</x:v>
      </x:c>
      <x:c r="L1475" s="24" t="n">
        <x:v>17.25</x:v>
      </x:c>
      <x:c r="M1475" s="26" t="n">
        <x:v>0.1</x:v>
      </x:c>
      <x:c r="N1475" s="24" t="n">
        <x:v>2</x:v>
      </x:c>
      <x:c r="O1475" s="28" t="n">
        <x:f>MIN(1,L1475/I1475)</x:f>
        <x:v>0.215625</x:v>
      </x:c>
      <x:c r="P1475" s="30" t="n">
        <x:f>O1475*J1475*(1+M1475)</x:f>
        <x:v>0.23718750000000002</x:v>
      </x:c>
      <x:c r="Q1475" s="30" t="n">
        <x:f>P1475*N1475</x:f>
        <x:v>0.47437500000000005</x:v>
      </x:c>
      <x:c r="R1475" s="19" t="str">
        <x:v>独立判定</x:v>
      </x:c>
    </x:row>
    <x:row r="1476" ht="19" customHeight="1">
      <x:c r="A1476" s="19" t="str">
        <x:v>D01472</x:v>
      </x:c>
      <x:c r="B1476" s="19" t="n">
        <x:v>4</x:v>
      </x:c>
      <x:c r="C1476" s="19" t="n">
        <x:v>1</x:v>
      </x:c>
      <x:c r="D1476" s="19" t="str">
        <x:v>C04-M012</x:v>
      </x:c>
      <x:c r="E1476" s="19" t="str">
        <x:v>沼冠腐龙·弥瑟</x:v>
      </x:c>
      <x:c r="F1476" s="19" t="str">
        <x:v>地图BOSS</x:v>
      </x:c>
      <x:c r="G1476" s="19" t="str">
        <x:v>本图普通兼掉候选</x:v>
      </x:c>
      <x:c r="H1476" s="19" t="str">
        <x:v>POOL025</x:v>
      </x:c>
      <x:c r="I1476" s="22" t="n">
        <x:v>40</x:v>
      </x:c>
      <x:c r="J1476" s="22" t="n">
        <x:v>1</x:v>
      </x:c>
      <x:c r="K1476" s="19" t="n">
        <x:v>3</x:v>
      </x:c>
      <x:c r="L1476" s="24" t="n">
        <x:v>17.25</x:v>
      </x:c>
      <x:c r="M1476" s="26" t="n">
        <x:v>0.1</x:v>
      </x:c>
      <x:c r="N1476" s="24" t="n">
        <x:v>2</x:v>
      </x:c>
      <x:c r="O1476" s="28" t="n">
        <x:f>MIN(1,L1476/I1476)</x:f>
        <x:v>0.43125</x:v>
      </x:c>
      <x:c r="P1476" s="30" t="n">
        <x:f>O1476*J1476*(1+M1476)</x:f>
        <x:v>0.47437500000000005</x:v>
      </x:c>
      <x:c r="Q1476" s="30" t="n">
        <x:f>P1476*N1476</x:f>
        <x:v>0.9487500000000001</x:v>
      </x:c>
      <x:c r="R1476" s="19" t="str">
        <x:v>单池选一</x:v>
      </x:c>
    </x:row>
    <x:row r="1477" ht="19" customHeight="1">
      <x:c r="A1477" s="19" t="str">
        <x:v>D01473</x:v>
      </x:c>
      <x:c r="B1477" s="19" t="n">
        <x:v>4</x:v>
      </x:c>
      <x:c r="C1477" s="19" t="n">
        <x:v>1</x:v>
      </x:c>
      <x:c r="D1477" s="19" t="str">
        <x:v>C04-M012</x:v>
      </x:c>
      <x:c r="E1477" s="19" t="str">
        <x:v>沼冠腐龙·弥瑟</x:v>
      </x:c>
      <x:c r="F1477" s="19" t="str">
        <x:v>地图BOSS</x:v>
      </x:c>
      <x:c r="G1477" s="19" t="str">
        <x:v>材料独立候选</x:v>
      </x:c>
      <x:c r="H1477" s="19" t="str">
        <x:v>湖盐结晶</x:v>
      </x:c>
      <x:c r="I1477" s="22" t="n">
        <x:v>180</x:v>
      </x:c>
      <x:c r="J1477" s="22" t="n">
        <x:v>30</x:v>
      </x:c>
      <x:c r="K1477" s="19" t="n">
        <x:v>1</x:v>
      </x:c>
      <x:c r="L1477" s="24" t="n">
        <x:v>17.25</x:v>
      </x:c>
      <x:c r="M1477" s="26" t="n">
        <x:v>0.1</x:v>
      </x:c>
      <x:c r="N1477" s="24" t="n">
        <x:v>2</x:v>
      </x:c>
      <x:c r="O1477" s="28" t="n">
        <x:f>MIN(1,L1477/I1477)</x:f>
        <x:v>0.09583333333333334</x:v>
      </x:c>
      <x:c r="P1477" s="30" t="n">
        <x:f>O1477*J1477*(1+M1477)</x:f>
        <x:v>3.1625</x:v>
      </x:c>
      <x:c r="Q1477" s="30" t="n">
        <x:f>P1477*N1477</x:f>
        <x:v>6.325</x:v>
      </x:c>
      <x:c r="R1477" s="19" t="str">
        <x:v>独立判定</x:v>
      </x:c>
    </x:row>
    <x:row r="1478" ht="19" customHeight="1">
      <x:c r="A1478" s="19" t="str">
        <x:v>D01474</x:v>
      </x:c>
      <x:c r="B1478" s="19" t="n">
        <x:v>4</x:v>
      </x:c>
      <x:c r="C1478" s="19" t="n">
        <x:v>1</x:v>
      </x:c>
      <x:c r="D1478" s="19" t="str">
        <x:v>C04-M012</x:v>
      </x:c>
      <x:c r="E1478" s="19" t="str">
        <x:v>沼冠腐龙·弥瑟</x:v>
      </x:c>
      <x:c r="F1478" s="19" t="str">
        <x:v>地图BOSS</x:v>
      </x:c>
      <x:c r="G1478" s="19" t="str">
        <x:v>材料独立候选</x:v>
      </x:c>
      <x:c r="H1478" s="19" t="str">
        <x:v>幽船铆钉</x:v>
      </x:c>
      <x:c r="I1478" s="22" t="n">
        <x:v>500</x:v>
      </x:c>
      <x:c r="J1478" s="22" t="n">
        <x:v>1</x:v>
      </x:c>
      <x:c r="K1478" s="19" t="n">
        <x:v>1</x:v>
      </x:c>
      <x:c r="L1478" s="24" t="n">
        <x:v>17.25</x:v>
      </x:c>
      <x:c r="M1478" s="26" t="n">
        <x:v>0.1</x:v>
      </x:c>
      <x:c r="N1478" s="24" t="n">
        <x:v>2</x:v>
      </x:c>
      <x:c r="O1478" s="28" t="n">
        <x:f>MIN(1,L1478/I1478)</x:f>
        <x:v>0.0345</x:v>
      </x:c>
      <x:c r="P1478" s="30" t="n">
        <x:f>O1478*J1478*(1+M1478)</x:f>
        <x:v>0.037950000000000005</x:v>
      </x:c>
      <x:c r="Q1478" s="30" t="n">
        <x:f>P1478*N1478</x:f>
        <x:v>0.07590000000000001</x:v>
      </x:c>
      <x:c r="R1478" s="19" t="str">
        <x:v>独立判定</x:v>
      </x:c>
    </x:row>
    <x:row r="1479" ht="19" customHeight="1">
      <x:c r="A1479" s="19" t="str">
        <x:v>D01475</x:v>
      </x:c>
      <x:c r="B1479" s="19" t="n">
        <x:v>4</x:v>
      </x:c>
      <x:c r="C1479" s="19" t="n">
        <x:v>1</x:v>
      </x:c>
      <x:c r="D1479" s="19" t="str">
        <x:v>C04-M012</x:v>
      </x:c>
      <x:c r="E1479" s="19" t="str">
        <x:v>沼冠腐龙·弥瑟</x:v>
      </x:c>
      <x:c r="F1479" s="19" t="str">
        <x:v>地图BOSS</x:v>
      </x:c>
      <x:c r="G1479" s="19" t="str">
        <x:v>材料独立候选</x:v>
      </x:c>
      <x:c r="H1479" s="19" t="str">
        <x:v>沉湖王印</x:v>
      </x:c>
      <x:c r="I1479" s="22" t="n">
        <x:v>80</x:v>
      </x:c>
      <x:c r="J1479" s="22" t="n">
        <x:v>2</x:v>
      </x:c>
      <x:c r="K1479" s="19" t="n">
        <x:v>1</x:v>
      </x:c>
      <x:c r="L1479" s="24" t="n">
        <x:v>17.25</x:v>
      </x:c>
      <x:c r="M1479" s="26" t="n">
        <x:v>0.1</x:v>
      </x:c>
      <x:c r="N1479" s="24" t="n">
        <x:v>2</x:v>
      </x:c>
      <x:c r="O1479" s="28" t="n">
        <x:f>MIN(1,L1479/I1479)</x:f>
        <x:v>0.215625</x:v>
      </x:c>
      <x:c r="P1479" s="30" t="n">
        <x:f>O1479*J1479*(1+M1479)</x:f>
        <x:v>0.47437500000000005</x:v>
      </x:c>
      <x:c r="Q1479" s="30" t="n">
        <x:f>P1479*N1479</x:f>
        <x:v>0.9487500000000001</x:v>
      </x:c>
      <x:c r="R1479" s="19" t="str">
        <x:v>独立判定</x:v>
      </x:c>
    </x:row>
    <x:row r="1480" ht="19" customHeight="1">
      <x:c r="A1480" s="19" t="str">
        <x:v>D01476</x:v>
      </x:c>
      <x:c r="B1480" s="19" t="n">
        <x:v>4</x:v>
      </x:c>
      <x:c r="C1480" s="19" t="n">
        <x:v>1</x:v>
      </x:c>
      <x:c r="D1480" s="19" t="str">
        <x:v>C04-M012</x:v>
      </x:c>
      <x:c r="E1480" s="19" t="str">
        <x:v>沼冠腐龙·弥瑟</x:v>
      </x:c>
      <x:c r="F1480" s="19" t="str">
        <x:v>地图BOSS</x:v>
      </x:c>
      <x:c r="G1480" s="19" t="str">
        <x:v>材料独立候选</x:v>
      </x:c>
      <x:c r="H1480" s="19" t="str">
        <x:v>深湖压舱印</x:v>
      </x:c>
      <x:c r="I1480" s="22" t="n">
        <x:v>100</x:v>
      </x:c>
      <x:c r="J1480" s="22" t="n">
        <x:v>2</x:v>
      </x:c>
      <x:c r="K1480" s="19" t="n">
        <x:v>1</x:v>
      </x:c>
      <x:c r="L1480" s="24" t="n">
        <x:v>17.25</x:v>
      </x:c>
      <x:c r="M1480" s="26" t="n">
        <x:v>0.1</x:v>
      </x:c>
      <x:c r="N1480" s="24" t="n">
        <x:v>2</x:v>
      </x:c>
      <x:c r="O1480" s="28" t="n">
        <x:f>MIN(1,L1480/I1480)</x:f>
        <x:v>0.1725</x:v>
      </x:c>
      <x:c r="P1480" s="30" t="n">
        <x:f>O1480*J1480*(1+M1480)</x:f>
        <x:v>0.3795</x:v>
      </x:c>
      <x:c r="Q1480" s="30" t="n">
        <x:f>P1480*N1480</x:f>
        <x:v>0.759</x:v>
      </x:c>
      <x:c r="R1480" s="19" t="str">
        <x:v>独立判定</x:v>
      </x:c>
    </x:row>
    <x:row r="1481" ht="19" customHeight="1">
      <x:c r="A1481" s="19" t="str">
        <x:v>D01477</x:v>
      </x:c>
      <x:c r="B1481" s="19" t="n">
        <x:v>4</x:v>
      </x:c>
      <x:c r="C1481" s="19" t="n">
        <x:v>1</x:v>
      </x:c>
      <x:c r="D1481" s="19" t="str">
        <x:v>C04-M012</x:v>
      </x:c>
      <x:c r="E1481" s="19" t="str">
        <x:v>沼冠腐龙·弥瑟</x:v>
      </x:c>
      <x:c r="F1481" s="19" t="str">
        <x:v>地图BOSS</x:v>
      </x:c>
      <x:c r="G1481" s="19" t="str">
        <x:v>材料独立候选</x:v>
      </x:c>
      <x:c r="H1481" s="19" t="str">
        <x:v>月潮忆珀</x:v>
      </x:c>
      <x:c r="I1481" s="22" t="n">
        <x:v>250000</x:v>
      </x:c>
      <x:c r="J1481" s="22" t="n">
        <x:v>1</x:v>
      </x:c>
      <x:c r="K1481" s="19" t="n">
        <x:v>1</x:v>
      </x:c>
      <x:c r="L1481" s="24" t="n">
        <x:v>17.25</x:v>
      </x:c>
      <x:c r="M1481" s="26" t="n">
        <x:v>0.1</x:v>
      </x:c>
      <x:c r="N1481" s="24" t="n">
        <x:v>2</x:v>
      </x:c>
      <x:c r="O1481" s="28" t="n">
        <x:f>MIN(1,L1481/I1481)</x:f>
        <x:v>0.000069</x:v>
      </x:c>
      <x:c r="P1481" s="30" t="n">
        <x:f>O1481*J1481*(1+M1481)</x:f>
        <x:v>0.0000759</x:v>
      </x:c>
      <x:c r="Q1481" s="30" t="n">
        <x:f>P1481*N1481</x:f>
        <x:v>0.0001518</x:v>
      </x:c>
      <x:c r="R1481" s="19" t="str">
        <x:v>独立判定</x:v>
      </x:c>
    </x:row>
    <x:row r="1482" ht="19" customHeight="1">
      <x:c r="A1482" s="19" t="str">
        <x:v>D01478</x:v>
      </x:c>
      <x:c r="B1482" s="19" t="n">
        <x:v>4</x:v>
      </x:c>
      <x:c r="C1482" s="19" t="n">
        <x:v>1</x:v>
      </x:c>
      <x:c r="D1482" s="19" t="str">
        <x:v>C04-M012</x:v>
      </x:c>
      <x:c r="E1482" s="19" t="str">
        <x:v>沼冠腐龙·弥瑟</x:v>
      </x:c>
      <x:c r="F1482" s="19" t="str">
        <x:v>地图BOSS</x:v>
      </x:c>
      <x:c r="G1482" s="19" t="str">
        <x:v>材料独立候选</x:v>
      </x:c>
      <x:c r="H1482" s="19" t="str">
        <x:v>黄金树芽</x:v>
      </x:c>
      <x:c r="I1482" s="22" t="n">
        <x:v>800</x:v>
      </x:c>
      <x:c r="J1482" s="22" t="n">
        <x:v>1</x:v>
      </x:c>
      <x:c r="K1482" s="19" t="n">
        <x:v>1</x:v>
      </x:c>
      <x:c r="L1482" s="24" t="n">
        <x:v>17.25</x:v>
      </x:c>
      <x:c r="M1482" s="26" t="n">
        <x:v>0.1</x:v>
      </x:c>
      <x:c r="N1482" s="24" t="n">
        <x:v>2</x:v>
      </x:c>
      <x:c r="O1482" s="28" t="n">
        <x:f>MIN(1,L1482/I1482)</x:f>
        <x:v>0.0215625</x:v>
      </x:c>
      <x:c r="P1482" s="30" t="n">
        <x:f>O1482*J1482*(1+M1482)</x:f>
        <x:v>0.02371875</x:v>
      </x:c>
      <x:c r="Q1482" s="30" t="n">
        <x:f>P1482*N1482</x:f>
        <x:v>0.0474375</x:v>
      </x:c>
      <x:c r="R1482" s="19" t="str">
        <x:v>独立判定</x:v>
      </x:c>
    </x:row>
    <x:row r="1483" ht="19" customHeight="1">
      <x:c r="A1483" s="19" t="str">
        <x:v>D01479</x:v>
      </x:c>
      <x:c r="B1483" s="19" t="n">
        <x:v>4</x:v>
      </x:c>
      <x:c r="C1483" s="19" t="n">
        <x:v>1</x:v>
      </x:c>
      <x:c r="D1483" s="19" t="str">
        <x:v>C04-M012</x:v>
      </x:c>
      <x:c r="E1483" s="19" t="str">
        <x:v>沼冠腐龙·弥瑟</x:v>
      </x:c>
      <x:c r="F1483" s="19" t="str">
        <x:v>地图BOSS</x:v>
      </x:c>
      <x:c r="G1483" s="19" t="str">
        <x:v>材料独立候选</x:v>
      </x:c>
      <x:c r="H1483" s="19" t="str">
        <x:v>野兽骨片</x:v>
      </x:c>
      <x:c r="I1483" s="22" t="n">
        <x:v>25</x:v>
      </x:c>
      <x:c r="J1483" s="22" t="n">
        <x:v>2</x:v>
      </x:c>
      <x:c r="K1483" s="19" t="n">
        <x:v>1</x:v>
      </x:c>
      <x:c r="L1483" s="24" t="n">
        <x:v>17.25</x:v>
      </x:c>
      <x:c r="M1483" s="26" t="n">
        <x:v>0.1</x:v>
      </x:c>
      <x:c r="N1483" s="24" t="n">
        <x:v>2</x:v>
      </x:c>
      <x:c r="O1483" s="28" t="n">
        <x:f>MIN(1,L1483/I1483)</x:f>
        <x:v>0.69</x:v>
      </x:c>
      <x:c r="P1483" s="30" t="n">
        <x:f>O1483*J1483*(1+M1483)</x:f>
        <x:v>1.518</x:v>
      </x:c>
      <x:c r="Q1483" s="30" t="n">
        <x:f>P1483*N1483</x:f>
        <x:v>3.036</x:v>
      </x:c>
      <x:c r="R1483" s="19" t="str">
        <x:v>独立判定</x:v>
      </x:c>
    </x:row>
    <x:row r="1484" ht="19" customHeight="1">
      <x:c r="A1484" s="19" t="str">
        <x:v>D01480</x:v>
      </x:c>
      <x:c r="B1484" s="19" t="n">
        <x:v>4</x:v>
      </x:c>
      <x:c r="C1484" s="19" t="n">
        <x:v>1</x:v>
      </x:c>
      <x:c r="D1484" s="19" t="str">
        <x:v>C04-M012</x:v>
      </x:c>
      <x:c r="E1484" s="19" t="str">
        <x:v>沼冠腐龙·弥瑟</x:v>
      </x:c>
      <x:c r="F1484" s="19" t="str">
        <x:v>地图BOSS</x:v>
      </x:c>
      <x:c r="G1484" s="19" t="str">
        <x:v>材料独立候选</x:v>
      </x:c>
      <x:c r="H1484" s="19" t="str">
        <x:v>技能残页</x:v>
      </x:c>
      <x:c r="I1484" s="22" t="n">
        <x:v>120</x:v>
      </x:c>
      <x:c r="J1484" s="22" t="n">
        <x:v>1</x:v>
      </x:c>
      <x:c r="K1484" s="19" t="n">
        <x:v>1</x:v>
      </x:c>
      <x:c r="L1484" s="24" t="n">
        <x:v>17.25</x:v>
      </x:c>
      <x:c r="M1484" s="26" t="n">
        <x:v>0.1</x:v>
      </x:c>
      <x:c r="N1484" s="24" t="n">
        <x:v>2</x:v>
      </x:c>
      <x:c r="O1484" s="28" t="n">
        <x:f>MIN(1,L1484/I1484)</x:f>
        <x:v>0.14375</x:v>
      </x:c>
      <x:c r="P1484" s="30" t="n">
        <x:f>O1484*J1484*(1+M1484)</x:f>
        <x:v>0.158125</x:v>
      </x:c>
      <x:c r="Q1484" s="30" t="n">
        <x:f>P1484*N1484</x:f>
        <x:v>0.31625</x:v>
      </x:c>
      <x:c r="R1484" s="19" t="str">
        <x:v>独立判定</x:v>
      </x:c>
    </x:row>
    <x:row r="1485" ht="19" customHeight="1">
      <x:c r="A1485" s="19" t="str">
        <x:v>D01481</x:v>
      </x:c>
      <x:c r="B1485" s="19" t="n">
        <x:v>4</x:v>
      </x:c>
      <x:c r="C1485" s="19" t="n">
        <x:v>1</x:v>
      </x:c>
      <x:c r="D1485" s="19" t="str">
        <x:v>C04-M012</x:v>
      </x:c>
      <x:c r="E1485" s="19" t="str">
        <x:v>沼冠腐龙·弥瑟</x:v>
      </x:c>
      <x:c r="F1485" s="19" t="str">
        <x:v>地图BOSS</x:v>
      </x:c>
      <x:c r="G1485" s="19" t="str">
        <x:v>材料独立候选</x:v>
      </x:c>
      <x:c r="H1485" s="19" t="str">
        <x:v>宁姆格福誓页</x:v>
      </x:c>
      <x:c r="I1485" s="22" t="n">
        <x:v>200</x:v>
      </x:c>
      <x:c r="J1485" s="22" t="n">
        <x:v>1</x:v>
      </x:c>
      <x:c r="K1485" s="19" t="n">
        <x:v>1</x:v>
      </x:c>
      <x:c r="L1485" s="24" t="n">
        <x:v>17.25</x:v>
      </x:c>
      <x:c r="M1485" s="26" t="n">
        <x:v>0.1</x:v>
      </x:c>
      <x:c r="N1485" s="24" t="n">
        <x:v>2</x:v>
      </x:c>
      <x:c r="O1485" s="28" t="n">
        <x:f>MIN(1,L1485/I1485)</x:f>
        <x:v>0.08625</x:v>
      </x:c>
      <x:c r="P1485" s="30" t="n">
        <x:f>O1485*J1485*(1+M1485)</x:f>
        <x:v>0.094875</x:v>
      </x:c>
      <x:c r="Q1485" s="30" t="n">
        <x:f>P1485*N1485</x:f>
        <x:v>0.18975</x:v>
      </x:c>
      <x:c r="R1485" s="19" t="str">
        <x:v>独立判定</x:v>
      </x:c>
    </x:row>
    <x:row r="1486" ht="19" customHeight="1">
      <x:c r="A1486" s="19" t="str">
        <x:v>D01482</x:v>
      </x:c>
      <x:c r="B1486" s="19" t="n">
        <x:v>4</x:v>
      </x:c>
      <x:c r="C1486" s="19" t="n">
        <x:v>1</x:v>
      </x:c>
      <x:c r="D1486" s="19" t="str">
        <x:v>C04-M012</x:v>
      </x:c>
      <x:c r="E1486" s="19" t="str">
        <x:v>沼冠腐龙·弥瑟</x:v>
      </x:c>
      <x:c r="F1486" s="19" t="str">
        <x:v>地图BOSS</x:v>
      </x:c>
      <x:c r="G1486" s="19" t="str">
        <x:v>材料独立候选</x:v>
      </x:c>
      <x:c r="H1486" s="19" t="str">
        <x:v>小卢恩</x:v>
      </x:c>
      <x:c r="I1486" s="22" t="n">
        <x:v>250</x:v>
      </x:c>
      <x:c r="J1486" s="22" t="n">
        <x:v>1</x:v>
      </x:c>
      <x:c r="K1486" s="19" t="n">
        <x:v>1</x:v>
      </x:c>
      <x:c r="L1486" s="24" t="n">
        <x:v>17.25</x:v>
      </x:c>
      <x:c r="M1486" s="26" t="n">
        <x:v>0.1</x:v>
      </x:c>
      <x:c r="N1486" s="24" t="n">
        <x:v>2</x:v>
      </x:c>
      <x:c r="O1486" s="28" t="n">
        <x:f>MIN(1,L1486/I1486)</x:f>
        <x:v>0.069</x:v>
      </x:c>
      <x:c r="P1486" s="30" t="n">
        <x:f>O1486*J1486*(1+M1486)</x:f>
        <x:v>0.07590000000000001</x:v>
      </x:c>
      <x:c r="Q1486" s="30" t="n">
        <x:f>P1486*N1486</x:f>
        <x:v>0.15180000000000002</x:v>
      </x:c>
      <x:c r="R1486" s="19" t="str">
        <x:v>独立判定</x:v>
      </x:c>
    </x:row>
    <x:row r="1487" ht="19" customHeight="1">
      <x:c r="A1487" s="19" t="str">
        <x:v>D01483</x:v>
      </x:c>
      <x:c r="B1487" s="19" t="n">
        <x:v>4</x:v>
      </x:c>
      <x:c r="C1487" s="19" t="n">
        <x:v>1</x:v>
      </x:c>
      <x:c r="D1487" s="19" t="str">
        <x:v>C04-M012</x:v>
      </x:c>
      <x:c r="E1487" s="19" t="str">
        <x:v>沼冠腐龙·弥瑟</x:v>
      </x:c>
      <x:c r="F1487" s="19" t="str">
        <x:v>地图BOSS</x:v>
      </x:c>
      <x:c r="G1487" s="19" t="str">
        <x:v>材料独立候选</x:v>
      </x:c>
      <x:c r="H1487" s="19" t="str">
        <x:v>大卢恩</x:v>
      </x:c>
      <x:c r="I1487" s="22" t="n">
        <x:v>150</x:v>
      </x:c>
      <x:c r="J1487" s="22" t="n">
        <x:v>1</x:v>
      </x:c>
      <x:c r="K1487" s="19" t="n">
        <x:v>1</x:v>
      </x:c>
      <x:c r="L1487" s="24" t="n">
        <x:v>17.25</x:v>
      </x:c>
      <x:c r="M1487" s="26" t="n">
        <x:v>0.1</x:v>
      </x:c>
      <x:c r="N1487" s="24" t="n">
        <x:v>2</x:v>
      </x:c>
      <x:c r="O1487" s="28" t="n">
        <x:f>MIN(1,L1487/I1487)</x:f>
        <x:v>0.115</x:v>
      </x:c>
      <x:c r="P1487" s="30" t="n">
        <x:f>O1487*J1487*(1+M1487)</x:f>
        <x:v>0.12650000000000003</x:v>
      </x:c>
      <x:c r="Q1487" s="30" t="n">
        <x:f>P1487*N1487</x:f>
        <x:v>0.25300000000000006</x:v>
      </x:c>
      <x:c r="R1487" s="19" t="str">
        <x:v>独立判定</x:v>
      </x:c>
    </x:row>
    <x:row r="1488" ht="19" customHeight="1">
      <x:c r="A1488" s="19" t="str">
        <x:v>D01484</x:v>
      </x:c>
      <x:c r="B1488" s="19" t="n">
        <x:v>4</x:v>
      </x:c>
      <x:c r="C1488" s="19" t="n">
        <x:v>1</x:v>
      </x:c>
      <x:c r="D1488" s="19" t="str">
        <x:v>C04-M012</x:v>
      </x:c>
      <x:c r="E1488" s="19" t="str">
        <x:v>沼冠腐龙·弥瑟</x:v>
      </x:c>
      <x:c r="F1488" s="19" t="str">
        <x:v>地图BOSS</x:v>
      </x:c>
      <x:c r="G1488" s="19" t="str">
        <x:v>六神器公共池</x:v>
      </x:c>
      <x:c r="H1488" s="19" t="str">
        <x:v>POOL006</x:v>
      </x:c>
      <x:c r="I1488" s="22" t="n">
        <x:v>200000</x:v>
      </x:c>
      <x:c r="J1488" s="22" t="n">
        <x:v>1</x:v>
      </x:c>
      <x:c r="K1488" s="19" t="n">
        <x:v>6</x:v>
      </x:c>
      <x:c r="L1488" s="24" t="n">
        <x:v>17.25</x:v>
      </x:c>
      <x:c r="M1488" s="26" t="n">
        <x:v>0.1</x:v>
      </x:c>
      <x:c r="N1488" s="24" t="n">
        <x:v>2</x:v>
      </x:c>
      <x:c r="O1488" s="28" t="n">
        <x:f>MIN(1,L1488/I1488)</x:f>
        <x:v>0.00008625</x:v>
      </x:c>
      <x:c r="P1488" s="30" t="n">
        <x:f>O1488*J1488*(1+M1488)</x:f>
        <x:v>0.000094875</x:v>
      </x:c>
      <x:c r="Q1488" s="30" t="n">
        <x:f>P1488*N1488</x:f>
        <x:v>0.00018975</x:v>
      </x:c>
      <x:c r="R1488" s="19" t="str">
        <x:v>六选一；非6个独立爆率</x:v>
      </x:c>
    </x:row>
    <x:row r="1489" ht="19" customHeight="1">
      <x:c r="A1489" s="19" t="str">
        <x:v>D01485</x:v>
      </x:c>
      <x:c r="B1489" s="19" t="n">
        <x:v>4</x:v>
      </x:c>
      <x:c r="C1489" s="19" t="n">
        <x:v>2</x:v>
      </x:c>
      <x:c r="D1489" s="19" t="str">
        <x:v>C04-M013</x:v>
      </x:c>
      <x:c r="E1489" s="19" t="str">
        <x:v>潜碑拾荒者</x:v>
      </x:c>
      <x:c r="F1489" s="19" t="str">
        <x:v>普通</x:v>
      </x:c>
      <x:c r="G1489" s="19" t="str">
        <x:v>自身专属</x:v>
      </x:c>
      <x:c r="H1489" s="19" t="str">
        <x:v>拾碑短刃</x:v>
      </x:c>
      <x:c r="I1489" s="22" t="n">
        <x:v>1200</x:v>
      </x:c>
      <x:c r="J1489" s="22" t="n">
        <x:v>1</x:v>
      </x:c>
      <x:c r="K1489" s="19" t="n">
        <x:v>1</x:v>
      </x:c>
      <x:c r="L1489" s="24" t="n">
        <x:v>17.25</x:v>
      </x:c>
      <x:c r="M1489" s="26" t="n">
        <x:v>0.1</x:v>
      </x:c>
      <x:c r="N1489" s="24" t="n">
        <x:v>72</x:v>
      </x:c>
      <x:c r="O1489" s="28" t="n">
        <x:f>MIN(1,L1489/I1489)</x:f>
        <x:v>0.014375</x:v>
      </x:c>
      <x:c r="P1489" s="30" t="n">
        <x:f>O1489*J1489*(1+M1489)</x:f>
        <x:v>0.015812500000000004</x:v>
      </x:c>
      <x:c r="Q1489" s="30" t="n">
        <x:f>P1489*N1489</x:f>
        <x:v>1.1385000000000003</x:v>
      </x:c>
      <x:c r="R1489" s="19" t="str">
        <x:v>独立判定</x:v>
      </x:c>
    </x:row>
    <x:row r="1490" ht="19" customHeight="1">
      <x:c r="A1490" s="19" t="str">
        <x:v>D01486</x:v>
      </x:c>
      <x:c r="B1490" s="19" t="n">
        <x:v>4</x:v>
      </x:c>
      <x:c r="C1490" s="19" t="n">
        <x:v>2</x:v>
      </x:c>
      <x:c r="D1490" s="19" t="str">
        <x:v>C04-M013</x:v>
      </x:c>
      <x:c r="E1490" s="19" t="str">
        <x:v>潜碑拾荒者</x:v>
      </x:c>
      <x:c r="F1490" s="19" t="str">
        <x:v>普通</x:v>
      </x:c>
      <x:c r="G1490" s="19" t="str">
        <x:v>材料独立候选</x:v>
      </x:c>
      <x:c r="H1490" s="19" t="str">
        <x:v>湖盐结晶</x:v>
      </x:c>
      <x:c r="I1490" s="22" t="n">
        <x:v>500</x:v>
      </x:c>
      <x:c r="J1490" s="22" t="n">
        <x:v>8</x:v>
      </x:c>
      <x:c r="K1490" s="19" t="n">
        <x:v>1</x:v>
      </x:c>
      <x:c r="L1490" s="24" t="n">
        <x:v>17.25</x:v>
      </x:c>
      <x:c r="M1490" s="26" t="n">
        <x:v>0.1</x:v>
      </x:c>
      <x:c r="N1490" s="24" t="n">
        <x:v>72</x:v>
      </x:c>
      <x:c r="O1490" s="28" t="n">
        <x:f>MIN(1,L1490/I1490)</x:f>
        <x:v>0.0345</x:v>
      </x:c>
      <x:c r="P1490" s="30" t="n">
        <x:f>O1490*J1490*(1+M1490)</x:f>
        <x:v>0.30360000000000004</x:v>
      </x:c>
      <x:c r="Q1490" s="30" t="n">
        <x:f>P1490*N1490</x:f>
        <x:v>21.8592</x:v>
      </x:c>
      <x:c r="R1490" s="19" t="str">
        <x:v>独立判定</x:v>
      </x:c>
    </x:row>
    <x:row r="1491" ht="19" customHeight="1">
      <x:c r="A1491" s="19" t="str">
        <x:v>D01487</x:v>
      </x:c>
      <x:c r="B1491" s="19" t="n">
        <x:v>4</x:v>
      </x:c>
      <x:c r="C1491" s="19" t="n">
        <x:v>2</x:v>
      </x:c>
      <x:c r="D1491" s="19" t="str">
        <x:v>C04-M013</x:v>
      </x:c>
      <x:c r="E1491" s="19" t="str">
        <x:v>潜碑拾荒者</x:v>
      </x:c>
      <x:c r="F1491" s="19" t="str">
        <x:v>普通</x:v>
      </x:c>
      <x:c r="G1491" s="19" t="str">
        <x:v>材料独立候选</x:v>
      </x:c>
      <x:c r="H1491" s="19" t="str">
        <x:v>雾潮银鳞</x:v>
      </x:c>
      <x:c r="I1491" s="22" t="n">
        <x:v>600</x:v>
      </x:c>
      <x:c r="J1491" s="22" t="n">
        <x:v>1</x:v>
      </x:c>
      <x:c r="K1491" s="19" t="n">
        <x:v>1</x:v>
      </x:c>
      <x:c r="L1491" s="24" t="n">
        <x:v>17.25</x:v>
      </x:c>
      <x:c r="M1491" s="26" t="n">
        <x:v>0.1</x:v>
      </x:c>
      <x:c r="N1491" s="24" t="n">
        <x:v>72</x:v>
      </x:c>
      <x:c r="O1491" s="28" t="n">
        <x:f>MIN(1,L1491/I1491)</x:f>
        <x:v>0.02875</x:v>
      </x:c>
      <x:c r="P1491" s="30" t="n">
        <x:f>O1491*J1491*(1+M1491)</x:f>
        <x:v>0.03162500000000001</x:v>
      </x:c>
      <x:c r="Q1491" s="30" t="n">
        <x:f>P1491*N1491</x:f>
        <x:v>2.2770000000000006</x:v>
      </x:c>
      <x:c r="R1491" s="19" t="str">
        <x:v>独立判定</x:v>
      </x:c>
    </x:row>
    <x:row r="1492" ht="19" customHeight="1">
      <x:c r="A1492" s="19" t="str">
        <x:v>D01488</x:v>
      </x:c>
      <x:c r="B1492" s="19" t="n">
        <x:v>4</x:v>
      </x:c>
      <x:c r="C1492" s="19" t="n">
        <x:v>2</x:v>
      </x:c>
      <x:c r="D1492" s="19" t="str">
        <x:v>C04-M013</x:v>
      </x:c>
      <x:c r="E1492" s="19" t="str">
        <x:v>潜碑拾荒者</x:v>
      </x:c>
      <x:c r="F1492" s="19" t="str">
        <x:v>普通</x:v>
      </x:c>
      <x:c r="G1492" s="19" t="str">
        <x:v>材料独立候选</x:v>
      </x:c>
      <x:c r="H1492" s="19" t="str">
        <x:v>月潮忆珀</x:v>
      </x:c>
      <x:c r="I1492" s="22" t="n">
        <x:v>800000</x:v>
      </x:c>
      <x:c r="J1492" s="22" t="n">
        <x:v>1</x:v>
      </x:c>
      <x:c r="K1492" s="19" t="n">
        <x:v>1</x:v>
      </x:c>
      <x:c r="L1492" s="24" t="n">
        <x:v>17.25</x:v>
      </x:c>
      <x:c r="M1492" s="26" t="n">
        <x:v>0.1</x:v>
      </x:c>
      <x:c r="N1492" s="24" t="n">
        <x:v>72</x:v>
      </x:c>
      <x:c r="O1492" s="28" t="n">
        <x:f>MIN(1,L1492/I1492)</x:f>
        <x:v>0.0000215625</x:v>
      </x:c>
      <x:c r="P1492" s="30" t="n">
        <x:f>O1492*J1492*(1+M1492)</x:f>
        <x:v>0.00002371875</x:v>
      </x:c>
      <x:c r="Q1492" s="30" t="n">
        <x:f>P1492*N1492</x:f>
        <x:v>0.00170775</x:v>
      </x:c>
      <x:c r="R1492" s="19" t="str">
        <x:v>独立判定</x:v>
      </x:c>
    </x:row>
    <x:row r="1493" ht="19" customHeight="1">
      <x:c r="A1493" s="19" t="str">
        <x:v>D01489</x:v>
      </x:c>
      <x:c r="B1493" s="19" t="n">
        <x:v>4</x:v>
      </x:c>
      <x:c r="C1493" s="19" t="n">
        <x:v>2</x:v>
      </x:c>
      <x:c r="D1493" s="19" t="str">
        <x:v>C04-M013</x:v>
      </x:c>
      <x:c r="E1493" s="19" t="str">
        <x:v>潜碑拾荒者</x:v>
      </x:c>
      <x:c r="F1493" s="19" t="str">
        <x:v>普通</x:v>
      </x:c>
      <x:c r="G1493" s="19" t="str">
        <x:v>材料独立候选</x:v>
      </x:c>
      <x:c r="H1493" s="19" t="str">
        <x:v>野兽骨片</x:v>
      </x:c>
      <x:c r="I1493" s="22" t="n">
        <x:v>80</x:v>
      </x:c>
      <x:c r="J1493" s="22" t="n">
        <x:v>2</x:v>
      </x:c>
      <x:c r="K1493" s="19" t="n">
        <x:v>1</x:v>
      </x:c>
      <x:c r="L1493" s="24" t="n">
        <x:v>17.25</x:v>
      </x:c>
      <x:c r="M1493" s="26" t="n">
        <x:v>0.1</x:v>
      </x:c>
      <x:c r="N1493" s="24" t="n">
        <x:v>72</x:v>
      </x:c>
      <x:c r="O1493" s="28" t="n">
        <x:f>MIN(1,L1493/I1493)</x:f>
        <x:v>0.215625</x:v>
      </x:c>
      <x:c r="P1493" s="30" t="n">
        <x:f>O1493*J1493*(1+M1493)</x:f>
        <x:v>0.47437500000000005</x:v>
      </x:c>
      <x:c r="Q1493" s="30" t="n">
        <x:f>P1493*N1493</x:f>
        <x:v>34.155</x:v>
      </x:c>
      <x:c r="R1493" s="19" t="str">
        <x:v>独立判定</x:v>
      </x:c>
    </x:row>
    <x:row r="1494" ht="19" customHeight="1">
      <x:c r="A1494" s="19" t="str">
        <x:v>D01490</x:v>
      </x:c>
      <x:c r="B1494" s="19" t="n">
        <x:v>4</x:v>
      </x:c>
      <x:c r="C1494" s="19" t="n">
        <x:v>2</x:v>
      </x:c>
      <x:c r="D1494" s="19" t="str">
        <x:v>C04-M013</x:v>
      </x:c>
      <x:c r="E1494" s="19" t="str">
        <x:v>潜碑拾荒者</x:v>
      </x:c>
      <x:c r="F1494" s="19" t="str">
        <x:v>普通</x:v>
      </x:c>
      <x:c r="G1494" s="19" t="str">
        <x:v>材料独立候选</x:v>
      </x:c>
      <x:c r="H1494" s="19" t="str">
        <x:v>技能残页</x:v>
      </x:c>
      <x:c r="I1494" s="22" t="n">
        <x:v>400</x:v>
      </x:c>
      <x:c r="J1494" s="22" t="n">
        <x:v>1</x:v>
      </x:c>
      <x:c r="K1494" s="19" t="n">
        <x:v>1</x:v>
      </x:c>
      <x:c r="L1494" s="24" t="n">
        <x:v>17.25</x:v>
      </x:c>
      <x:c r="M1494" s="26" t="n">
        <x:v>0.1</x:v>
      </x:c>
      <x:c r="N1494" s="24" t="n">
        <x:v>72</x:v>
      </x:c>
      <x:c r="O1494" s="28" t="n">
        <x:f>MIN(1,L1494/I1494)</x:f>
        <x:v>0.043125</x:v>
      </x:c>
      <x:c r="P1494" s="30" t="n">
        <x:f>O1494*J1494*(1+M1494)</x:f>
        <x:v>0.0474375</x:v>
      </x:c>
      <x:c r="Q1494" s="30" t="n">
        <x:f>P1494*N1494</x:f>
        <x:v>3.4155</x:v>
      </x:c>
      <x:c r="R1494" s="19" t="str">
        <x:v>独立判定</x:v>
      </x:c>
    </x:row>
    <x:row r="1495" ht="19" customHeight="1">
      <x:c r="A1495" s="19" t="str">
        <x:v>D01491</x:v>
      </x:c>
      <x:c r="B1495" s="19" t="n">
        <x:v>4</x:v>
      </x:c>
      <x:c r="C1495" s="19" t="n">
        <x:v>2</x:v>
      </x:c>
      <x:c r="D1495" s="19" t="str">
        <x:v>C04-M013</x:v>
      </x:c>
      <x:c r="E1495" s="19" t="str">
        <x:v>潜碑拾荒者</x:v>
      </x:c>
      <x:c r="F1495" s="19" t="str">
        <x:v>普通</x:v>
      </x:c>
      <x:c r="G1495" s="19" t="str">
        <x:v>材料独立候选</x:v>
      </x:c>
      <x:c r="H1495" s="19" t="str">
        <x:v>小卢恩</x:v>
      </x:c>
      <x:c r="I1495" s="22" t="n">
        <x:v>800</x:v>
      </x:c>
      <x:c r="J1495" s="22" t="n">
        <x:v>1</x:v>
      </x:c>
      <x:c r="K1495" s="19" t="n">
        <x:v>1</x:v>
      </x:c>
      <x:c r="L1495" s="24" t="n">
        <x:v>17.25</x:v>
      </x:c>
      <x:c r="M1495" s="26" t="n">
        <x:v>0.1</x:v>
      </x:c>
      <x:c r="N1495" s="24" t="n">
        <x:v>72</x:v>
      </x:c>
      <x:c r="O1495" s="28" t="n">
        <x:f>MIN(1,L1495/I1495)</x:f>
        <x:v>0.0215625</x:v>
      </x:c>
      <x:c r="P1495" s="30" t="n">
        <x:f>O1495*J1495*(1+M1495)</x:f>
        <x:v>0.02371875</x:v>
      </x:c>
      <x:c r="Q1495" s="30" t="n">
        <x:f>P1495*N1495</x:f>
        <x:v>1.70775</x:v>
      </x:c>
      <x:c r="R1495" s="19" t="str">
        <x:v>独立判定</x:v>
      </x:c>
    </x:row>
    <x:row r="1496" ht="19" customHeight="1">
      <x:c r="A1496" s="19" t="str">
        <x:v>D01492</x:v>
      </x:c>
      <x:c r="B1496" s="19" t="n">
        <x:v>4</x:v>
      </x:c>
      <x:c r="C1496" s="19" t="n">
        <x:v>2</x:v>
      </x:c>
      <x:c r="D1496" s="19" t="str">
        <x:v>C04-M013</x:v>
      </x:c>
      <x:c r="E1496" s="19" t="str">
        <x:v>潜碑拾荒者</x:v>
      </x:c>
      <x:c r="F1496" s="19" t="str">
        <x:v>普通</x:v>
      </x:c>
      <x:c r="G1496" s="19" t="str">
        <x:v>六神器公共池</x:v>
      </x:c>
      <x:c r="H1496" s="19" t="str">
        <x:v>POOL006</x:v>
      </x:c>
      <x:c r="I1496" s="22" t="n">
        <x:v>20000000</x:v>
      </x:c>
      <x:c r="J1496" s="22" t="n">
        <x:v>1</x:v>
      </x:c>
      <x:c r="K1496" s="19" t="n">
        <x:v>6</x:v>
      </x:c>
      <x:c r="L1496" s="24" t="n">
        <x:v>17.25</x:v>
      </x:c>
      <x:c r="M1496" s="26" t="n">
        <x:v>0.1</x:v>
      </x:c>
      <x:c r="N1496" s="24" t="n">
        <x:v>72</x:v>
      </x:c>
      <x:c r="O1496" s="28" t="n">
        <x:f>MIN(1,L1496/I1496)</x:f>
        <x:v>8.625e-7</x:v>
      </x:c>
      <x:c r="P1496" s="30" t="n">
        <x:f>O1496*J1496*(1+M1496)</x:f>
        <x:v>9.487500000000001e-7</x:v>
      </x:c>
      <x:c r="Q1496" s="30" t="n">
        <x:f>P1496*N1496</x:f>
        <x:v>0.00006831000000000002</x:v>
      </x:c>
      <x:c r="R1496" s="19" t="str">
        <x:v>六选一；非6个独立爆率</x:v>
      </x:c>
    </x:row>
    <x:row r="1497" ht="19" customHeight="1">
      <x:c r="A1497" s="19" t="str">
        <x:v>D01493</x:v>
      </x:c>
      <x:c r="B1497" s="19" t="n">
        <x:v>4</x:v>
      </x:c>
      <x:c r="C1497" s="19" t="n">
        <x:v>2</x:v>
      </x:c>
      <x:c r="D1497" s="19" t="str">
        <x:v>C04-M014</x:v>
      </x:c>
      <x:c r="E1497" s="19" t="str">
        <x:v>藻甲石仆</x:v>
      </x:c>
      <x:c r="F1497" s="19" t="str">
        <x:v>普通</x:v>
      </x:c>
      <x:c r="G1497" s="19" t="str">
        <x:v>自身专属</x:v>
      </x:c>
      <x:c r="H1497" s="19" t="str">
        <x:v>藻纹石盔</x:v>
      </x:c>
      <x:c r="I1497" s="22" t="n">
        <x:v>1200</x:v>
      </x:c>
      <x:c r="J1497" s="22" t="n">
        <x:v>1</x:v>
      </x:c>
      <x:c r="K1497" s="19" t="n">
        <x:v>1</x:v>
      </x:c>
      <x:c r="L1497" s="24" t="n">
        <x:v>17.25</x:v>
      </x:c>
      <x:c r="M1497" s="26" t="n">
        <x:v>0.1</x:v>
      </x:c>
      <x:c r="N1497" s="24" t="n">
        <x:v>72</x:v>
      </x:c>
      <x:c r="O1497" s="28" t="n">
        <x:f>MIN(1,L1497/I1497)</x:f>
        <x:v>0.014375</x:v>
      </x:c>
      <x:c r="P1497" s="30" t="n">
        <x:f>O1497*J1497*(1+M1497)</x:f>
        <x:v>0.015812500000000004</x:v>
      </x:c>
      <x:c r="Q1497" s="30" t="n">
        <x:f>P1497*N1497</x:f>
        <x:v>1.1385000000000003</x:v>
      </x:c>
      <x:c r="R1497" s="19" t="str">
        <x:v>独立判定</x:v>
      </x:c>
    </x:row>
    <x:row r="1498" ht="19" customHeight="1">
      <x:c r="A1498" s="19" t="str">
        <x:v>D01494</x:v>
      </x:c>
      <x:c r="B1498" s="19" t="n">
        <x:v>4</x:v>
      </x:c>
      <x:c r="C1498" s="19" t="n">
        <x:v>2</x:v>
      </x:c>
      <x:c r="D1498" s="19" t="str">
        <x:v>C04-M014</x:v>
      </x:c>
      <x:c r="E1498" s="19" t="str">
        <x:v>藻甲石仆</x:v>
      </x:c>
      <x:c r="F1498" s="19" t="str">
        <x:v>普通</x:v>
      </x:c>
      <x:c r="G1498" s="19" t="str">
        <x:v>材料独立候选</x:v>
      </x:c>
      <x:c r="H1498" s="19" t="str">
        <x:v>湖盐结晶</x:v>
      </x:c>
      <x:c r="I1498" s="22" t="n">
        <x:v>500</x:v>
      </x:c>
      <x:c r="J1498" s="22" t="n">
        <x:v>8</x:v>
      </x:c>
      <x:c r="K1498" s="19" t="n">
        <x:v>1</x:v>
      </x:c>
      <x:c r="L1498" s="24" t="n">
        <x:v>17.25</x:v>
      </x:c>
      <x:c r="M1498" s="26" t="n">
        <x:v>0.1</x:v>
      </x:c>
      <x:c r="N1498" s="24" t="n">
        <x:v>72</x:v>
      </x:c>
      <x:c r="O1498" s="28" t="n">
        <x:f>MIN(1,L1498/I1498)</x:f>
        <x:v>0.0345</x:v>
      </x:c>
      <x:c r="P1498" s="30" t="n">
        <x:f>O1498*J1498*(1+M1498)</x:f>
        <x:v>0.30360000000000004</x:v>
      </x:c>
      <x:c r="Q1498" s="30" t="n">
        <x:f>P1498*N1498</x:f>
        <x:v>21.8592</x:v>
      </x:c>
      <x:c r="R1498" s="19" t="str">
        <x:v>独立判定</x:v>
      </x:c>
    </x:row>
    <x:row r="1499" ht="19" customHeight="1">
      <x:c r="A1499" s="19" t="str">
        <x:v>D01495</x:v>
      </x:c>
      <x:c r="B1499" s="19" t="n">
        <x:v>4</x:v>
      </x:c>
      <x:c r="C1499" s="19" t="n">
        <x:v>2</x:v>
      </x:c>
      <x:c r="D1499" s="19" t="str">
        <x:v>C04-M014</x:v>
      </x:c>
      <x:c r="E1499" s="19" t="str">
        <x:v>藻甲石仆</x:v>
      </x:c>
      <x:c r="F1499" s="19" t="str">
        <x:v>普通</x:v>
      </x:c>
      <x:c r="G1499" s="19" t="str">
        <x:v>材料独立候选</x:v>
      </x:c>
      <x:c r="H1499" s="19" t="str">
        <x:v>雾潮银鳞</x:v>
      </x:c>
      <x:c r="I1499" s="22" t="n">
        <x:v>600</x:v>
      </x:c>
      <x:c r="J1499" s="22" t="n">
        <x:v>1</x:v>
      </x:c>
      <x:c r="K1499" s="19" t="n">
        <x:v>1</x:v>
      </x:c>
      <x:c r="L1499" s="24" t="n">
        <x:v>17.25</x:v>
      </x:c>
      <x:c r="M1499" s="26" t="n">
        <x:v>0.1</x:v>
      </x:c>
      <x:c r="N1499" s="24" t="n">
        <x:v>72</x:v>
      </x:c>
      <x:c r="O1499" s="28" t="n">
        <x:f>MIN(1,L1499/I1499)</x:f>
        <x:v>0.02875</x:v>
      </x:c>
      <x:c r="P1499" s="30" t="n">
        <x:f>O1499*J1499*(1+M1499)</x:f>
        <x:v>0.03162500000000001</x:v>
      </x:c>
      <x:c r="Q1499" s="30" t="n">
        <x:f>P1499*N1499</x:f>
        <x:v>2.2770000000000006</x:v>
      </x:c>
      <x:c r="R1499" s="19" t="str">
        <x:v>独立判定</x:v>
      </x:c>
    </x:row>
    <x:row r="1500" ht="19" customHeight="1">
      <x:c r="A1500" s="19" t="str">
        <x:v>D01496</x:v>
      </x:c>
      <x:c r="B1500" s="19" t="n">
        <x:v>4</x:v>
      </x:c>
      <x:c r="C1500" s="19" t="n">
        <x:v>2</x:v>
      </x:c>
      <x:c r="D1500" s="19" t="str">
        <x:v>C04-M014</x:v>
      </x:c>
      <x:c r="E1500" s="19" t="str">
        <x:v>藻甲石仆</x:v>
      </x:c>
      <x:c r="F1500" s="19" t="str">
        <x:v>普通</x:v>
      </x:c>
      <x:c r="G1500" s="19" t="str">
        <x:v>材料独立候选</x:v>
      </x:c>
      <x:c r="H1500" s="19" t="str">
        <x:v>月潮忆珀</x:v>
      </x:c>
      <x:c r="I1500" s="22" t="n">
        <x:v>800000</x:v>
      </x:c>
      <x:c r="J1500" s="22" t="n">
        <x:v>1</x:v>
      </x:c>
      <x:c r="K1500" s="19" t="n">
        <x:v>1</x:v>
      </x:c>
      <x:c r="L1500" s="24" t="n">
        <x:v>17.25</x:v>
      </x:c>
      <x:c r="M1500" s="26" t="n">
        <x:v>0.1</x:v>
      </x:c>
      <x:c r="N1500" s="24" t="n">
        <x:v>72</x:v>
      </x:c>
      <x:c r="O1500" s="28" t="n">
        <x:f>MIN(1,L1500/I1500)</x:f>
        <x:v>0.0000215625</x:v>
      </x:c>
      <x:c r="P1500" s="30" t="n">
        <x:f>O1500*J1500*(1+M1500)</x:f>
        <x:v>0.00002371875</x:v>
      </x:c>
      <x:c r="Q1500" s="30" t="n">
        <x:f>P1500*N1500</x:f>
        <x:v>0.00170775</x:v>
      </x:c>
      <x:c r="R1500" s="19" t="str">
        <x:v>独立判定</x:v>
      </x:c>
    </x:row>
    <x:row r="1501" ht="19" customHeight="1">
      <x:c r="A1501" s="19" t="str">
        <x:v>D01497</x:v>
      </x:c>
      <x:c r="B1501" s="19" t="n">
        <x:v>4</x:v>
      </x:c>
      <x:c r="C1501" s="19" t="n">
        <x:v>2</x:v>
      </x:c>
      <x:c r="D1501" s="19" t="str">
        <x:v>C04-M014</x:v>
      </x:c>
      <x:c r="E1501" s="19" t="str">
        <x:v>藻甲石仆</x:v>
      </x:c>
      <x:c r="F1501" s="19" t="str">
        <x:v>普通</x:v>
      </x:c>
      <x:c r="G1501" s="19" t="str">
        <x:v>材料独立候选</x:v>
      </x:c>
      <x:c r="H1501" s="19" t="str">
        <x:v>野兽骨片</x:v>
      </x:c>
      <x:c r="I1501" s="22" t="n">
        <x:v>80</x:v>
      </x:c>
      <x:c r="J1501" s="22" t="n">
        <x:v>2</x:v>
      </x:c>
      <x:c r="K1501" s="19" t="n">
        <x:v>1</x:v>
      </x:c>
      <x:c r="L1501" s="24" t="n">
        <x:v>17.25</x:v>
      </x:c>
      <x:c r="M1501" s="26" t="n">
        <x:v>0.1</x:v>
      </x:c>
      <x:c r="N1501" s="24" t="n">
        <x:v>72</x:v>
      </x:c>
      <x:c r="O1501" s="28" t="n">
        <x:f>MIN(1,L1501/I1501)</x:f>
        <x:v>0.215625</x:v>
      </x:c>
      <x:c r="P1501" s="30" t="n">
        <x:f>O1501*J1501*(1+M1501)</x:f>
        <x:v>0.47437500000000005</x:v>
      </x:c>
      <x:c r="Q1501" s="30" t="n">
        <x:f>P1501*N1501</x:f>
        <x:v>34.155</x:v>
      </x:c>
      <x:c r="R1501" s="19" t="str">
        <x:v>独立判定</x:v>
      </x:c>
    </x:row>
    <x:row r="1502" ht="19" customHeight="1">
      <x:c r="A1502" s="19" t="str">
        <x:v>D01498</x:v>
      </x:c>
      <x:c r="B1502" s="19" t="n">
        <x:v>4</x:v>
      </x:c>
      <x:c r="C1502" s="19" t="n">
        <x:v>2</x:v>
      </x:c>
      <x:c r="D1502" s="19" t="str">
        <x:v>C04-M014</x:v>
      </x:c>
      <x:c r="E1502" s="19" t="str">
        <x:v>藻甲石仆</x:v>
      </x:c>
      <x:c r="F1502" s="19" t="str">
        <x:v>普通</x:v>
      </x:c>
      <x:c r="G1502" s="19" t="str">
        <x:v>材料独立候选</x:v>
      </x:c>
      <x:c r="H1502" s="19" t="str">
        <x:v>技能残页</x:v>
      </x:c>
      <x:c r="I1502" s="22" t="n">
        <x:v>400</x:v>
      </x:c>
      <x:c r="J1502" s="22" t="n">
        <x:v>1</x:v>
      </x:c>
      <x:c r="K1502" s="19" t="n">
        <x:v>1</x:v>
      </x:c>
      <x:c r="L1502" s="24" t="n">
        <x:v>17.25</x:v>
      </x:c>
      <x:c r="M1502" s="26" t="n">
        <x:v>0.1</x:v>
      </x:c>
      <x:c r="N1502" s="24" t="n">
        <x:v>72</x:v>
      </x:c>
      <x:c r="O1502" s="28" t="n">
        <x:f>MIN(1,L1502/I1502)</x:f>
        <x:v>0.043125</x:v>
      </x:c>
      <x:c r="P1502" s="30" t="n">
        <x:f>O1502*J1502*(1+M1502)</x:f>
        <x:v>0.0474375</x:v>
      </x:c>
      <x:c r="Q1502" s="30" t="n">
        <x:f>P1502*N1502</x:f>
        <x:v>3.4155</x:v>
      </x:c>
      <x:c r="R1502" s="19" t="str">
        <x:v>独立判定</x:v>
      </x:c>
    </x:row>
    <x:row r="1503" ht="19" customHeight="1">
      <x:c r="A1503" s="19" t="str">
        <x:v>D01499</x:v>
      </x:c>
      <x:c r="B1503" s="19" t="n">
        <x:v>4</x:v>
      </x:c>
      <x:c r="C1503" s="19" t="n">
        <x:v>2</x:v>
      </x:c>
      <x:c r="D1503" s="19" t="str">
        <x:v>C04-M014</x:v>
      </x:c>
      <x:c r="E1503" s="19" t="str">
        <x:v>藻甲石仆</x:v>
      </x:c>
      <x:c r="F1503" s="19" t="str">
        <x:v>普通</x:v>
      </x:c>
      <x:c r="G1503" s="19" t="str">
        <x:v>材料独立候选</x:v>
      </x:c>
      <x:c r="H1503" s="19" t="str">
        <x:v>小卢恩</x:v>
      </x:c>
      <x:c r="I1503" s="22" t="n">
        <x:v>800</x:v>
      </x:c>
      <x:c r="J1503" s="22" t="n">
        <x:v>1</x:v>
      </x:c>
      <x:c r="K1503" s="19" t="n">
        <x:v>1</x:v>
      </x:c>
      <x:c r="L1503" s="24" t="n">
        <x:v>17.25</x:v>
      </x:c>
      <x:c r="M1503" s="26" t="n">
        <x:v>0.1</x:v>
      </x:c>
      <x:c r="N1503" s="24" t="n">
        <x:v>72</x:v>
      </x:c>
      <x:c r="O1503" s="28" t="n">
        <x:f>MIN(1,L1503/I1503)</x:f>
        <x:v>0.0215625</x:v>
      </x:c>
      <x:c r="P1503" s="30" t="n">
        <x:f>O1503*J1503*(1+M1503)</x:f>
        <x:v>0.02371875</x:v>
      </x:c>
      <x:c r="Q1503" s="30" t="n">
        <x:f>P1503*N1503</x:f>
        <x:v>1.70775</x:v>
      </x:c>
      <x:c r="R1503" s="19" t="str">
        <x:v>独立判定</x:v>
      </x:c>
    </x:row>
    <x:row r="1504" ht="19" customHeight="1">
      <x:c r="A1504" s="19" t="str">
        <x:v>D01500</x:v>
      </x:c>
      <x:c r="B1504" s="19" t="n">
        <x:v>4</x:v>
      </x:c>
      <x:c r="C1504" s="19" t="n">
        <x:v>2</x:v>
      </x:c>
      <x:c r="D1504" s="19" t="str">
        <x:v>C04-M014</x:v>
      </x:c>
      <x:c r="E1504" s="19" t="str">
        <x:v>藻甲石仆</x:v>
      </x:c>
      <x:c r="F1504" s="19" t="str">
        <x:v>普通</x:v>
      </x:c>
      <x:c r="G1504" s="19" t="str">
        <x:v>六神器公共池</x:v>
      </x:c>
      <x:c r="H1504" s="19" t="str">
        <x:v>POOL006</x:v>
      </x:c>
      <x:c r="I1504" s="22" t="n">
        <x:v>20000000</x:v>
      </x:c>
      <x:c r="J1504" s="22" t="n">
        <x:v>1</x:v>
      </x:c>
      <x:c r="K1504" s="19" t="n">
        <x:v>6</x:v>
      </x:c>
      <x:c r="L1504" s="24" t="n">
        <x:v>17.25</x:v>
      </x:c>
      <x:c r="M1504" s="26" t="n">
        <x:v>0.1</x:v>
      </x:c>
      <x:c r="N1504" s="24" t="n">
        <x:v>72</x:v>
      </x:c>
      <x:c r="O1504" s="28" t="n">
        <x:f>MIN(1,L1504/I1504)</x:f>
        <x:v>8.625e-7</x:v>
      </x:c>
      <x:c r="P1504" s="30" t="n">
        <x:f>O1504*J1504*(1+M1504)</x:f>
        <x:v>9.487500000000001e-7</x:v>
      </x:c>
      <x:c r="Q1504" s="30" t="n">
        <x:f>P1504*N1504</x:f>
        <x:v>0.00006831000000000002</x:v>
      </x:c>
      <x:c r="R1504" s="19" t="str">
        <x:v>六选一；非6个独立爆率</x:v>
      </x:c>
    </x:row>
    <x:row r="1505" ht="19" customHeight="1">
      <x:c r="A1505" s="19" t="str">
        <x:v>D01501</x:v>
      </x:c>
      <x:c r="B1505" s="19" t="n">
        <x:v>4</x:v>
      </x:c>
      <x:c r="C1505" s="19" t="n">
        <x:v>2</x:v>
      </x:c>
      <x:c r="D1505" s="19" t="str">
        <x:v>C04-M015</x:v>
      </x:c>
      <x:c r="E1505" s="19" t="str">
        <x:v>回廊水弩手</x:v>
      </x:c>
      <x:c r="F1505" s="19" t="str">
        <x:v>普通</x:v>
      </x:c>
      <x:c r="G1505" s="19" t="str">
        <x:v>自身专属</x:v>
      </x:c>
      <x:c r="H1505" s="19" t="str">
        <x:v>浸廊手弩</x:v>
      </x:c>
      <x:c r="I1505" s="22" t="n">
        <x:v>1200</x:v>
      </x:c>
      <x:c r="J1505" s="22" t="n">
        <x:v>1</x:v>
      </x:c>
      <x:c r="K1505" s="19" t="n">
        <x:v>1</x:v>
      </x:c>
      <x:c r="L1505" s="24" t="n">
        <x:v>17.25</x:v>
      </x:c>
      <x:c r="M1505" s="26" t="n">
        <x:v>0.1</x:v>
      </x:c>
      <x:c r="N1505" s="24" t="n">
        <x:v>72</x:v>
      </x:c>
      <x:c r="O1505" s="28" t="n">
        <x:f>MIN(1,L1505/I1505)</x:f>
        <x:v>0.014375</x:v>
      </x:c>
      <x:c r="P1505" s="30" t="n">
        <x:f>O1505*J1505*(1+M1505)</x:f>
        <x:v>0.015812500000000004</x:v>
      </x:c>
      <x:c r="Q1505" s="30" t="n">
        <x:f>P1505*N1505</x:f>
        <x:v>1.1385000000000003</x:v>
      </x:c>
      <x:c r="R1505" s="19" t="str">
        <x:v>独立判定</x:v>
      </x:c>
    </x:row>
    <x:row r="1506" ht="19" customHeight="1">
      <x:c r="A1506" s="19" t="str">
        <x:v>D01502</x:v>
      </x:c>
      <x:c r="B1506" s="19" t="n">
        <x:v>4</x:v>
      </x:c>
      <x:c r="C1506" s="19" t="n">
        <x:v>2</x:v>
      </x:c>
      <x:c r="D1506" s="19" t="str">
        <x:v>C04-M015</x:v>
      </x:c>
      <x:c r="E1506" s="19" t="str">
        <x:v>回廊水弩手</x:v>
      </x:c>
      <x:c r="F1506" s="19" t="str">
        <x:v>普通</x:v>
      </x:c>
      <x:c r="G1506" s="19" t="str">
        <x:v>材料独立候选</x:v>
      </x:c>
      <x:c r="H1506" s="19" t="str">
        <x:v>湖盐结晶</x:v>
      </x:c>
      <x:c r="I1506" s="22" t="n">
        <x:v>500</x:v>
      </x:c>
      <x:c r="J1506" s="22" t="n">
        <x:v>8</x:v>
      </x:c>
      <x:c r="K1506" s="19" t="n">
        <x:v>1</x:v>
      </x:c>
      <x:c r="L1506" s="24" t="n">
        <x:v>17.25</x:v>
      </x:c>
      <x:c r="M1506" s="26" t="n">
        <x:v>0.1</x:v>
      </x:c>
      <x:c r="N1506" s="24" t="n">
        <x:v>72</x:v>
      </x:c>
      <x:c r="O1506" s="28" t="n">
        <x:f>MIN(1,L1506/I1506)</x:f>
        <x:v>0.0345</x:v>
      </x:c>
      <x:c r="P1506" s="30" t="n">
        <x:f>O1506*J1506*(1+M1506)</x:f>
        <x:v>0.30360000000000004</x:v>
      </x:c>
      <x:c r="Q1506" s="30" t="n">
        <x:f>P1506*N1506</x:f>
        <x:v>21.8592</x:v>
      </x:c>
      <x:c r="R1506" s="19" t="str">
        <x:v>独立判定</x:v>
      </x:c>
    </x:row>
    <x:row r="1507" ht="19" customHeight="1">
      <x:c r="A1507" s="19" t="str">
        <x:v>D01503</x:v>
      </x:c>
      <x:c r="B1507" s="19" t="n">
        <x:v>4</x:v>
      </x:c>
      <x:c r="C1507" s="19" t="n">
        <x:v>2</x:v>
      </x:c>
      <x:c r="D1507" s="19" t="str">
        <x:v>C04-M015</x:v>
      </x:c>
      <x:c r="E1507" s="19" t="str">
        <x:v>回廊水弩手</x:v>
      </x:c>
      <x:c r="F1507" s="19" t="str">
        <x:v>普通</x:v>
      </x:c>
      <x:c r="G1507" s="19" t="str">
        <x:v>材料独立候选</x:v>
      </x:c>
      <x:c r="H1507" s="19" t="str">
        <x:v>雾潮银鳞</x:v>
      </x:c>
      <x:c r="I1507" s="22" t="n">
        <x:v>600</x:v>
      </x:c>
      <x:c r="J1507" s="22" t="n">
        <x:v>1</x:v>
      </x:c>
      <x:c r="K1507" s="19" t="n">
        <x:v>1</x:v>
      </x:c>
      <x:c r="L1507" s="24" t="n">
        <x:v>17.25</x:v>
      </x:c>
      <x:c r="M1507" s="26" t="n">
        <x:v>0.1</x:v>
      </x:c>
      <x:c r="N1507" s="24" t="n">
        <x:v>72</x:v>
      </x:c>
      <x:c r="O1507" s="28" t="n">
        <x:f>MIN(1,L1507/I1507)</x:f>
        <x:v>0.02875</x:v>
      </x:c>
      <x:c r="P1507" s="30" t="n">
        <x:f>O1507*J1507*(1+M1507)</x:f>
        <x:v>0.03162500000000001</x:v>
      </x:c>
      <x:c r="Q1507" s="30" t="n">
        <x:f>P1507*N1507</x:f>
        <x:v>2.2770000000000006</x:v>
      </x:c>
      <x:c r="R1507" s="19" t="str">
        <x:v>独立判定</x:v>
      </x:c>
    </x:row>
    <x:row r="1508" ht="19" customHeight="1">
      <x:c r="A1508" s="19" t="str">
        <x:v>D01504</x:v>
      </x:c>
      <x:c r="B1508" s="19" t="n">
        <x:v>4</x:v>
      </x:c>
      <x:c r="C1508" s="19" t="n">
        <x:v>2</x:v>
      </x:c>
      <x:c r="D1508" s="19" t="str">
        <x:v>C04-M015</x:v>
      </x:c>
      <x:c r="E1508" s="19" t="str">
        <x:v>回廊水弩手</x:v>
      </x:c>
      <x:c r="F1508" s="19" t="str">
        <x:v>普通</x:v>
      </x:c>
      <x:c r="G1508" s="19" t="str">
        <x:v>材料独立候选</x:v>
      </x:c>
      <x:c r="H1508" s="19" t="str">
        <x:v>月潮忆珀</x:v>
      </x:c>
      <x:c r="I1508" s="22" t="n">
        <x:v>800000</x:v>
      </x:c>
      <x:c r="J1508" s="22" t="n">
        <x:v>1</x:v>
      </x:c>
      <x:c r="K1508" s="19" t="n">
        <x:v>1</x:v>
      </x:c>
      <x:c r="L1508" s="24" t="n">
        <x:v>17.25</x:v>
      </x:c>
      <x:c r="M1508" s="26" t="n">
        <x:v>0.1</x:v>
      </x:c>
      <x:c r="N1508" s="24" t="n">
        <x:v>72</x:v>
      </x:c>
      <x:c r="O1508" s="28" t="n">
        <x:f>MIN(1,L1508/I1508)</x:f>
        <x:v>0.0000215625</x:v>
      </x:c>
      <x:c r="P1508" s="30" t="n">
        <x:f>O1508*J1508*(1+M1508)</x:f>
        <x:v>0.00002371875</x:v>
      </x:c>
      <x:c r="Q1508" s="30" t="n">
        <x:f>P1508*N1508</x:f>
        <x:v>0.00170775</x:v>
      </x:c>
      <x:c r="R1508" s="19" t="str">
        <x:v>独立判定</x:v>
      </x:c>
    </x:row>
    <x:row r="1509" ht="19" customHeight="1">
      <x:c r="A1509" s="19" t="str">
        <x:v>D01505</x:v>
      </x:c>
      <x:c r="B1509" s="19" t="n">
        <x:v>4</x:v>
      </x:c>
      <x:c r="C1509" s="19" t="n">
        <x:v>2</x:v>
      </x:c>
      <x:c r="D1509" s="19" t="str">
        <x:v>C04-M015</x:v>
      </x:c>
      <x:c r="E1509" s="19" t="str">
        <x:v>回廊水弩手</x:v>
      </x:c>
      <x:c r="F1509" s="19" t="str">
        <x:v>普通</x:v>
      </x:c>
      <x:c r="G1509" s="19" t="str">
        <x:v>材料独立候选</x:v>
      </x:c>
      <x:c r="H1509" s="19" t="str">
        <x:v>野兽骨片</x:v>
      </x:c>
      <x:c r="I1509" s="22" t="n">
        <x:v>80</x:v>
      </x:c>
      <x:c r="J1509" s="22" t="n">
        <x:v>2</x:v>
      </x:c>
      <x:c r="K1509" s="19" t="n">
        <x:v>1</x:v>
      </x:c>
      <x:c r="L1509" s="24" t="n">
        <x:v>17.25</x:v>
      </x:c>
      <x:c r="M1509" s="26" t="n">
        <x:v>0.1</x:v>
      </x:c>
      <x:c r="N1509" s="24" t="n">
        <x:v>72</x:v>
      </x:c>
      <x:c r="O1509" s="28" t="n">
        <x:f>MIN(1,L1509/I1509)</x:f>
        <x:v>0.215625</x:v>
      </x:c>
      <x:c r="P1509" s="30" t="n">
        <x:f>O1509*J1509*(1+M1509)</x:f>
        <x:v>0.47437500000000005</x:v>
      </x:c>
      <x:c r="Q1509" s="30" t="n">
        <x:f>P1509*N1509</x:f>
        <x:v>34.155</x:v>
      </x:c>
      <x:c r="R1509" s="19" t="str">
        <x:v>独立判定</x:v>
      </x:c>
    </x:row>
    <x:row r="1510" ht="19" customHeight="1">
      <x:c r="A1510" s="19" t="str">
        <x:v>D01506</x:v>
      </x:c>
      <x:c r="B1510" s="19" t="n">
        <x:v>4</x:v>
      </x:c>
      <x:c r="C1510" s="19" t="n">
        <x:v>2</x:v>
      </x:c>
      <x:c r="D1510" s="19" t="str">
        <x:v>C04-M015</x:v>
      </x:c>
      <x:c r="E1510" s="19" t="str">
        <x:v>回廊水弩手</x:v>
      </x:c>
      <x:c r="F1510" s="19" t="str">
        <x:v>普通</x:v>
      </x:c>
      <x:c r="G1510" s="19" t="str">
        <x:v>材料独立候选</x:v>
      </x:c>
      <x:c r="H1510" s="19" t="str">
        <x:v>技能残页</x:v>
      </x:c>
      <x:c r="I1510" s="22" t="n">
        <x:v>400</x:v>
      </x:c>
      <x:c r="J1510" s="22" t="n">
        <x:v>1</x:v>
      </x:c>
      <x:c r="K1510" s="19" t="n">
        <x:v>1</x:v>
      </x:c>
      <x:c r="L1510" s="24" t="n">
        <x:v>17.25</x:v>
      </x:c>
      <x:c r="M1510" s="26" t="n">
        <x:v>0.1</x:v>
      </x:c>
      <x:c r="N1510" s="24" t="n">
        <x:v>72</x:v>
      </x:c>
      <x:c r="O1510" s="28" t="n">
        <x:f>MIN(1,L1510/I1510)</x:f>
        <x:v>0.043125</x:v>
      </x:c>
      <x:c r="P1510" s="30" t="n">
        <x:f>O1510*J1510*(1+M1510)</x:f>
        <x:v>0.0474375</x:v>
      </x:c>
      <x:c r="Q1510" s="30" t="n">
        <x:f>P1510*N1510</x:f>
        <x:v>3.4155</x:v>
      </x:c>
      <x:c r="R1510" s="19" t="str">
        <x:v>独立判定</x:v>
      </x:c>
    </x:row>
    <x:row r="1511" ht="19" customHeight="1">
      <x:c r="A1511" s="19" t="str">
        <x:v>D01507</x:v>
      </x:c>
      <x:c r="B1511" s="19" t="n">
        <x:v>4</x:v>
      </x:c>
      <x:c r="C1511" s="19" t="n">
        <x:v>2</x:v>
      </x:c>
      <x:c r="D1511" s="19" t="str">
        <x:v>C04-M015</x:v>
      </x:c>
      <x:c r="E1511" s="19" t="str">
        <x:v>回廊水弩手</x:v>
      </x:c>
      <x:c r="F1511" s="19" t="str">
        <x:v>普通</x:v>
      </x:c>
      <x:c r="G1511" s="19" t="str">
        <x:v>材料独立候选</x:v>
      </x:c>
      <x:c r="H1511" s="19" t="str">
        <x:v>小卢恩</x:v>
      </x:c>
      <x:c r="I1511" s="22" t="n">
        <x:v>800</x:v>
      </x:c>
      <x:c r="J1511" s="22" t="n">
        <x:v>1</x:v>
      </x:c>
      <x:c r="K1511" s="19" t="n">
        <x:v>1</x:v>
      </x:c>
      <x:c r="L1511" s="24" t="n">
        <x:v>17.25</x:v>
      </x:c>
      <x:c r="M1511" s="26" t="n">
        <x:v>0.1</x:v>
      </x:c>
      <x:c r="N1511" s="24" t="n">
        <x:v>72</x:v>
      </x:c>
      <x:c r="O1511" s="28" t="n">
        <x:f>MIN(1,L1511/I1511)</x:f>
        <x:v>0.0215625</x:v>
      </x:c>
      <x:c r="P1511" s="30" t="n">
        <x:f>O1511*J1511*(1+M1511)</x:f>
        <x:v>0.02371875</x:v>
      </x:c>
      <x:c r="Q1511" s="30" t="n">
        <x:f>P1511*N1511</x:f>
        <x:v>1.70775</x:v>
      </x:c>
      <x:c r="R1511" s="19" t="str">
        <x:v>独立判定</x:v>
      </x:c>
    </x:row>
    <x:row r="1512" ht="19" customHeight="1">
      <x:c r="A1512" s="19" t="str">
        <x:v>D01508</x:v>
      </x:c>
      <x:c r="B1512" s="19" t="n">
        <x:v>4</x:v>
      </x:c>
      <x:c r="C1512" s="19" t="n">
        <x:v>2</x:v>
      </x:c>
      <x:c r="D1512" s="19" t="str">
        <x:v>C04-M015</x:v>
      </x:c>
      <x:c r="E1512" s="19" t="str">
        <x:v>回廊水弩手</x:v>
      </x:c>
      <x:c r="F1512" s="19" t="str">
        <x:v>普通</x:v>
      </x:c>
      <x:c r="G1512" s="19" t="str">
        <x:v>六神器公共池</x:v>
      </x:c>
      <x:c r="H1512" s="19" t="str">
        <x:v>POOL006</x:v>
      </x:c>
      <x:c r="I1512" s="22" t="n">
        <x:v>20000000</x:v>
      </x:c>
      <x:c r="J1512" s="22" t="n">
        <x:v>1</x:v>
      </x:c>
      <x:c r="K1512" s="19" t="n">
        <x:v>6</x:v>
      </x:c>
      <x:c r="L1512" s="24" t="n">
        <x:v>17.25</x:v>
      </x:c>
      <x:c r="M1512" s="26" t="n">
        <x:v>0.1</x:v>
      </x:c>
      <x:c r="N1512" s="24" t="n">
        <x:v>72</x:v>
      </x:c>
      <x:c r="O1512" s="28" t="n">
        <x:f>MIN(1,L1512/I1512)</x:f>
        <x:v>8.625e-7</x:v>
      </x:c>
      <x:c r="P1512" s="30" t="n">
        <x:f>O1512*J1512*(1+M1512)</x:f>
        <x:v>9.487500000000001e-7</x:v>
      </x:c>
      <x:c r="Q1512" s="30" t="n">
        <x:f>P1512*N1512</x:f>
        <x:v>0.00006831000000000002</x:v>
      </x:c>
      <x:c r="R1512" s="19" t="str">
        <x:v>六选一；非6个独立爆率</x:v>
      </x:c>
    </x:row>
    <x:row r="1513" ht="19" customHeight="1">
      <x:c r="A1513" s="19" t="str">
        <x:v>D01509</x:v>
      </x:c>
      <x:c r="B1513" s="19" t="n">
        <x:v>4</x:v>
      </x:c>
      <x:c r="C1513" s="19" t="n">
        <x:v>2</x:v>
      </x:c>
      <x:c r="D1513" s="19" t="str">
        <x:v>C04-M016</x:v>
      </x:c>
      <x:c r="E1513" s="19" t="str">
        <x:v>沉钟侍祭</x:v>
      </x:c>
      <x:c r="F1513" s="19" t="str">
        <x:v>普通</x:v>
      </x:c>
      <x:c r="G1513" s="19" t="str">
        <x:v>自身专属</x:v>
      </x:c>
      <x:c r="H1513" s="19" t="str">
        <x:v>沉钟祭袍</x:v>
      </x:c>
      <x:c r="I1513" s="22" t="n">
        <x:v>1200</x:v>
      </x:c>
      <x:c r="J1513" s="22" t="n">
        <x:v>1</x:v>
      </x:c>
      <x:c r="K1513" s="19" t="n">
        <x:v>1</x:v>
      </x:c>
      <x:c r="L1513" s="24" t="n">
        <x:v>17.25</x:v>
      </x:c>
      <x:c r="M1513" s="26" t="n">
        <x:v>0.1</x:v>
      </x:c>
      <x:c r="N1513" s="24" t="n">
        <x:v>72</x:v>
      </x:c>
      <x:c r="O1513" s="28" t="n">
        <x:f>MIN(1,L1513/I1513)</x:f>
        <x:v>0.014375</x:v>
      </x:c>
      <x:c r="P1513" s="30" t="n">
        <x:f>O1513*J1513*(1+M1513)</x:f>
        <x:v>0.015812500000000004</x:v>
      </x:c>
      <x:c r="Q1513" s="30" t="n">
        <x:f>P1513*N1513</x:f>
        <x:v>1.1385000000000003</x:v>
      </x:c>
      <x:c r="R1513" s="19" t="str">
        <x:v>独立判定</x:v>
      </x:c>
    </x:row>
    <x:row r="1514" ht="19" customHeight="1">
      <x:c r="A1514" s="19" t="str">
        <x:v>D01510</x:v>
      </x:c>
      <x:c r="B1514" s="19" t="n">
        <x:v>4</x:v>
      </x:c>
      <x:c r="C1514" s="19" t="n">
        <x:v>2</x:v>
      </x:c>
      <x:c r="D1514" s="19" t="str">
        <x:v>C04-M016</x:v>
      </x:c>
      <x:c r="E1514" s="19" t="str">
        <x:v>沉钟侍祭</x:v>
      </x:c>
      <x:c r="F1514" s="19" t="str">
        <x:v>普通</x:v>
      </x:c>
      <x:c r="G1514" s="19" t="str">
        <x:v>材料独立候选</x:v>
      </x:c>
      <x:c r="H1514" s="19" t="str">
        <x:v>湖盐结晶</x:v>
      </x:c>
      <x:c r="I1514" s="22" t="n">
        <x:v>500</x:v>
      </x:c>
      <x:c r="J1514" s="22" t="n">
        <x:v>8</x:v>
      </x:c>
      <x:c r="K1514" s="19" t="n">
        <x:v>1</x:v>
      </x:c>
      <x:c r="L1514" s="24" t="n">
        <x:v>17.25</x:v>
      </x:c>
      <x:c r="M1514" s="26" t="n">
        <x:v>0.1</x:v>
      </x:c>
      <x:c r="N1514" s="24" t="n">
        <x:v>72</x:v>
      </x:c>
      <x:c r="O1514" s="28" t="n">
        <x:f>MIN(1,L1514/I1514)</x:f>
        <x:v>0.0345</x:v>
      </x:c>
      <x:c r="P1514" s="30" t="n">
        <x:f>O1514*J1514*(1+M1514)</x:f>
        <x:v>0.30360000000000004</x:v>
      </x:c>
      <x:c r="Q1514" s="30" t="n">
        <x:f>P1514*N1514</x:f>
        <x:v>21.8592</x:v>
      </x:c>
      <x:c r="R1514" s="19" t="str">
        <x:v>独立判定</x:v>
      </x:c>
    </x:row>
    <x:row r="1515" ht="19" customHeight="1">
      <x:c r="A1515" s="19" t="str">
        <x:v>D01511</x:v>
      </x:c>
      <x:c r="B1515" s="19" t="n">
        <x:v>4</x:v>
      </x:c>
      <x:c r="C1515" s="19" t="n">
        <x:v>2</x:v>
      </x:c>
      <x:c r="D1515" s="19" t="str">
        <x:v>C04-M016</x:v>
      </x:c>
      <x:c r="E1515" s="19" t="str">
        <x:v>沉钟侍祭</x:v>
      </x:c>
      <x:c r="F1515" s="19" t="str">
        <x:v>普通</x:v>
      </x:c>
      <x:c r="G1515" s="19" t="str">
        <x:v>材料独立候选</x:v>
      </x:c>
      <x:c r="H1515" s="19" t="str">
        <x:v>雾潮银鳞</x:v>
      </x:c>
      <x:c r="I1515" s="22" t="n">
        <x:v>600</x:v>
      </x:c>
      <x:c r="J1515" s="22" t="n">
        <x:v>1</x:v>
      </x:c>
      <x:c r="K1515" s="19" t="n">
        <x:v>1</x:v>
      </x:c>
      <x:c r="L1515" s="24" t="n">
        <x:v>17.25</x:v>
      </x:c>
      <x:c r="M1515" s="26" t="n">
        <x:v>0.1</x:v>
      </x:c>
      <x:c r="N1515" s="24" t="n">
        <x:v>72</x:v>
      </x:c>
      <x:c r="O1515" s="28" t="n">
        <x:f>MIN(1,L1515/I1515)</x:f>
        <x:v>0.02875</x:v>
      </x:c>
      <x:c r="P1515" s="30" t="n">
        <x:f>O1515*J1515*(1+M1515)</x:f>
        <x:v>0.03162500000000001</x:v>
      </x:c>
      <x:c r="Q1515" s="30" t="n">
        <x:f>P1515*N1515</x:f>
        <x:v>2.2770000000000006</x:v>
      </x:c>
      <x:c r="R1515" s="19" t="str">
        <x:v>独立判定</x:v>
      </x:c>
    </x:row>
    <x:row r="1516" ht="19" customHeight="1">
      <x:c r="A1516" s="19" t="str">
        <x:v>D01512</x:v>
      </x:c>
      <x:c r="B1516" s="19" t="n">
        <x:v>4</x:v>
      </x:c>
      <x:c r="C1516" s="19" t="n">
        <x:v>2</x:v>
      </x:c>
      <x:c r="D1516" s="19" t="str">
        <x:v>C04-M016</x:v>
      </x:c>
      <x:c r="E1516" s="19" t="str">
        <x:v>沉钟侍祭</x:v>
      </x:c>
      <x:c r="F1516" s="19" t="str">
        <x:v>普通</x:v>
      </x:c>
      <x:c r="G1516" s="19" t="str">
        <x:v>材料独立候选</x:v>
      </x:c>
      <x:c r="H1516" s="19" t="str">
        <x:v>月潮忆珀</x:v>
      </x:c>
      <x:c r="I1516" s="22" t="n">
        <x:v>800000</x:v>
      </x:c>
      <x:c r="J1516" s="22" t="n">
        <x:v>1</x:v>
      </x:c>
      <x:c r="K1516" s="19" t="n">
        <x:v>1</x:v>
      </x:c>
      <x:c r="L1516" s="24" t="n">
        <x:v>17.25</x:v>
      </x:c>
      <x:c r="M1516" s="26" t="n">
        <x:v>0.1</x:v>
      </x:c>
      <x:c r="N1516" s="24" t="n">
        <x:v>72</x:v>
      </x:c>
      <x:c r="O1516" s="28" t="n">
        <x:f>MIN(1,L1516/I1516)</x:f>
        <x:v>0.0000215625</x:v>
      </x:c>
      <x:c r="P1516" s="30" t="n">
        <x:f>O1516*J1516*(1+M1516)</x:f>
        <x:v>0.00002371875</x:v>
      </x:c>
      <x:c r="Q1516" s="30" t="n">
        <x:f>P1516*N1516</x:f>
        <x:v>0.00170775</x:v>
      </x:c>
      <x:c r="R1516" s="19" t="str">
        <x:v>独立判定</x:v>
      </x:c>
    </x:row>
    <x:row r="1517" ht="19" customHeight="1">
      <x:c r="A1517" s="19" t="str">
        <x:v>D01513</x:v>
      </x:c>
      <x:c r="B1517" s="19" t="n">
        <x:v>4</x:v>
      </x:c>
      <x:c r="C1517" s="19" t="n">
        <x:v>2</x:v>
      </x:c>
      <x:c r="D1517" s="19" t="str">
        <x:v>C04-M016</x:v>
      </x:c>
      <x:c r="E1517" s="19" t="str">
        <x:v>沉钟侍祭</x:v>
      </x:c>
      <x:c r="F1517" s="19" t="str">
        <x:v>普通</x:v>
      </x:c>
      <x:c r="G1517" s="19" t="str">
        <x:v>材料独立候选</x:v>
      </x:c>
      <x:c r="H1517" s="19" t="str">
        <x:v>野兽骨片</x:v>
      </x:c>
      <x:c r="I1517" s="22" t="n">
        <x:v>80</x:v>
      </x:c>
      <x:c r="J1517" s="22" t="n">
        <x:v>2</x:v>
      </x:c>
      <x:c r="K1517" s="19" t="n">
        <x:v>1</x:v>
      </x:c>
      <x:c r="L1517" s="24" t="n">
        <x:v>17.25</x:v>
      </x:c>
      <x:c r="M1517" s="26" t="n">
        <x:v>0.1</x:v>
      </x:c>
      <x:c r="N1517" s="24" t="n">
        <x:v>72</x:v>
      </x:c>
      <x:c r="O1517" s="28" t="n">
        <x:f>MIN(1,L1517/I1517)</x:f>
        <x:v>0.215625</x:v>
      </x:c>
      <x:c r="P1517" s="30" t="n">
        <x:f>O1517*J1517*(1+M1517)</x:f>
        <x:v>0.47437500000000005</x:v>
      </x:c>
      <x:c r="Q1517" s="30" t="n">
        <x:f>P1517*N1517</x:f>
        <x:v>34.155</x:v>
      </x:c>
      <x:c r="R1517" s="19" t="str">
        <x:v>独立判定</x:v>
      </x:c>
    </x:row>
    <x:row r="1518" ht="19" customHeight="1">
      <x:c r="A1518" s="19" t="str">
        <x:v>D01514</x:v>
      </x:c>
      <x:c r="B1518" s="19" t="n">
        <x:v>4</x:v>
      </x:c>
      <x:c r="C1518" s="19" t="n">
        <x:v>2</x:v>
      </x:c>
      <x:c r="D1518" s="19" t="str">
        <x:v>C04-M016</x:v>
      </x:c>
      <x:c r="E1518" s="19" t="str">
        <x:v>沉钟侍祭</x:v>
      </x:c>
      <x:c r="F1518" s="19" t="str">
        <x:v>普通</x:v>
      </x:c>
      <x:c r="G1518" s="19" t="str">
        <x:v>材料独立候选</x:v>
      </x:c>
      <x:c r="H1518" s="19" t="str">
        <x:v>技能残页</x:v>
      </x:c>
      <x:c r="I1518" s="22" t="n">
        <x:v>400</x:v>
      </x:c>
      <x:c r="J1518" s="22" t="n">
        <x:v>1</x:v>
      </x:c>
      <x:c r="K1518" s="19" t="n">
        <x:v>1</x:v>
      </x:c>
      <x:c r="L1518" s="24" t="n">
        <x:v>17.25</x:v>
      </x:c>
      <x:c r="M1518" s="26" t="n">
        <x:v>0.1</x:v>
      </x:c>
      <x:c r="N1518" s="24" t="n">
        <x:v>72</x:v>
      </x:c>
      <x:c r="O1518" s="28" t="n">
        <x:f>MIN(1,L1518/I1518)</x:f>
        <x:v>0.043125</x:v>
      </x:c>
      <x:c r="P1518" s="30" t="n">
        <x:f>O1518*J1518*(1+M1518)</x:f>
        <x:v>0.0474375</x:v>
      </x:c>
      <x:c r="Q1518" s="30" t="n">
        <x:f>P1518*N1518</x:f>
        <x:v>3.4155</x:v>
      </x:c>
      <x:c r="R1518" s="19" t="str">
        <x:v>独立判定</x:v>
      </x:c>
    </x:row>
    <x:row r="1519" ht="19" customHeight="1">
      <x:c r="A1519" s="19" t="str">
        <x:v>D01515</x:v>
      </x:c>
      <x:c r="B1519" s="19" t="n">
        <x:v>4</x:v>
      </x:c>
      <x:c r="C1519" s="19" t="n">
        <x:v>2</x:v>
      </x:c>
      <x:c r="D1519" s="19" t="str">
        <x:v>C04-M016</x:v>
      </x:c>
      <x:c r="E1519" s="19" t="str">
        <x:v>沉钟侍祭</x:v>
      </x:c>
      <x:c r="F1519" s="19" t="str">
        <x:v>普通</x:v>
      </x:c>
      <x:c r="G1519" s="19" t="str">
        <x:v>材料独立候选</x:v>
      </x:c>
      <x:c r="H1519" s="19" t="str">
        <x:v>小卢恩</x:v>
      </x:c>
      <x:c r="I1519" s="22" t="n">
        <x:v>800</x:v>
      </x:c>
      <x:c r="J1519" s="22" t="n">
        <x:v>1</x:v>
      </x:c>
      <x:c r="K1519" s="19" t="n">
        <x:v>1</x:v>
      </x:c>
      <x:c r="L1519" s="24" t="n">
        <x:v>17.25</x:v>
      </x:c>
      <x:c r="M1519" s="26" t="n">
        <x:v>0.1</x:v>
      </x:c>
      <x:c r="N1519" s="24" t="n">
        <x:v>72</x:v>
      </x:c>
      <x:c r="O1519" s="28" t="n">
        <x:f>MIN(1,L1519/I1519)</x:f>
        <x:v>0.0215625</x:v>
      </x:c>
      <x:c r="P1519" s="30" t="n">
        <x:f>O1519*J1519*(1+M1519)</x:f>
        <x:v>0.02371875</x:v>
      </x:c>
      <x:c r="Q1519" s="30" t="n">
        <x:f>P1519*N1519</x:f>
        <x:v>1.70775</x:v>
      </x:c>
      <x:c r="R1519" s="19" t="str">
        <x:v>独立判定</x:v>
      </x:c>
    </x:row>
    <x:row r="1520" ht="19" customHeight="1">
      <x:c r="A1520" s="19" t="str">
        <x:v>D01516</x:v>
      </x:c>
      <x:c r="B1520" s="19" t="n">
        <x:v>4</x:v>
      </x:c>
      <x:c r="C1520" s="19" t="n">
        <x:v>2</x:v>
      </x:c>
      <x:c r="D1520" s="19" t="str">
        <x:v>C04-M016</x:v>
      </x:c>
      <x:c r="E1520" s="19" t="str">
        <x:v>沉钟侍祭</x:v>
      </x:c>
      <x:c r="F1520" s="19" t="str">
        <x:v>普通</x:v>
      </x:c>
      <x:c r="G1520" s="19" t="str">
        <x:v>六神器公共池</x:v>
      </x:c>
      <x:c r="H1520" s="19" t="str">
        <x:v>POOL006</x:v>
      </x:c>
      <x:c r="I1520" s="22" t="n">
        <x:v>20000000</x:v>
      </x:c>
      <x:c r="J1520" s="22" t="n">
        <x:v>1</x:v>
      </x:c>
      <x:c r="K1520" s="19" t="n">
        <x:v>6</x:v>
      </x:c>
      <x:c r="L1520" s="24" t="n">
        <x:v>17.25</x:v>
      </x:c>
      <x:c r="M1520" s="26" t="n">
        <x:v>0.1</x:v>
      </x:c>
      <x:c r="N1520" s="24" t="n">
        <x:v>72</x:v>
      </x:c>
      <x:c r="O1520" s="28" t="n">
        <x:f>MIN(1,L1520/I1520)</x:f>
        <x:v>8.625e-7</x:v>
      </x:c>
      <x:c r="P1520" s="30" t="n">
        <x:f>O1520*J1520*(1+M1520)</x:f>
        <x:v>9.487500000000001e-7</x:v>
      </x:c>
      <x:c r="Q1520" s="30" t="n">
        <x:f>P1520*N1520</x:f>
        <x:v>0.00006831000000000002</x:v>
      </x:c>
      <x:c r="R1520" s="19" t="str">
        <x:v>六选一；非6个独立爆率</x:v>
      </x:c>
    </x:row>
    <x:row r="1521" ht="19" customHeight="1">
      <x:c r="A1521" s="19" t="str">
        <x:v>D01517</x:v>
      </x:c>
      <x:c r="B1521" s="19" t="n">
        <x:v>4</x:v>
      </x:c>
      <x:c r="C1521" s="19" t="n">
        <x:v>2</x:v>
      </x:c>
      <x:c r="D1521" s="19" t="str">
        <x:v>C04-M017</x:v>
      </x:c>
      <x:c r="E1521" s="19" t="str">
        <x:v>祭坛盲鱼</x:v>
      </x:c>
      <x:c r="F1521" s="19" t="str">
        <x:v>普通</x:v>
      </x:c>
      <x:c r="G1521" s="19" t="str">
        <x:v>自身专属</x:v>
      </x:c>
      <x:c r="H1521" s="19" t="str">
        <x:v>盲鱼鳍靴</x:v>
      </x:c>
      <x:c r="I1521" s="22" t="n">
        <x:v>1200</x:v>
      </x:c>
      <x:c r="J1521" s="22" t="n">
        <x:v>1</x:v>
      </x:c>
      <x:c r="K1521" s="19" t="n">
        <x:v>1</x:v>
      </x:c>
      <x:c r="L1521" s="24" t="n">
        <x:v>17.25</x:v>
      </x:c>
      <x:c r="M1521" s="26" t="n">
        <x:v>0.1</x:v>
      </x:c>
      <x:c r="N1521" s="24" t="n">
        <x:v>72</x:v>
      </x:c>
      <x:c r="O1521" s="28" t="n">
        <x:f>MIN(1,L1521/I1521)</x:f>
        <x:v>0.014375</x:v>
      </x:c>
      <x:c r="P1521" s="30" t="n">
        <x:f>O1521*J1521*(1+M1521)</x:f>
        <x:v>0.015812500000000004</x:v>
      </x:c>
      <x:c r="Q1521" s="30" t="n">
        <x:f>P1521*N1521</x:f>
        <x:v>1.1385000000000003</x:v>
      </x:c>
      <x:c r="R1521" s="19" t="str">
        <x:v>独立判定</x:v>
      </x:c>
    </x:row>
    <x:row r="1522" ht="19" customHeight="1">
      <x:c r="A1522" s="19" t="str">
        <x:v>D01518</x:v>
      </x:c>
      <x:c r="B1522" s="19" t="n">
        <x:v>4</x:v>
      </x:c>
      <x:c r="C1522" s="19" t="n">
        <x:v>2</x:v>
      </x:c>
      <x:c r="D1522" s="19" t="str">
        <x:v>C04-M017</x:v>
      </x:c>
      <x:c r="E1522" s="19" t="str">
        <x:v>祭坛盲鱼</x:v>
      </x:c>
      <x:c r="F1522" s="19" t="str">
        <x:v>普通</x:v>
      </x:c>
      <x:c r="G1522" s="19" t="str">
        <x:v>材料独立候选</x:v>
      </x:c>
      <x:c r="H1522" s="19" t="str">
        <x:v>湖盐结晶</x:v>
      </x:c>
      <x:c r="I1522" s="22" t="n">
        <x:v>500</x:v>
      </x:c>
      <x:c r="J1522" s="22" t="n">
        <x:v>8</x:v>
      </x:c>
      <x:c r="K1522" s="19" t="n">
        <x:v>1</x:v>
      </x:c>
      <x:c r="L1522" s="24" t="n">
        <x:v>17.25</x:v>
      </x:c>
      <x:c r="M1522" s="26" t="n">
        <x:v>0.1</x:v>
      </x:c>
      <x:c r="N1522" s="24" t="n">
        <x:v>72</x:v>
      </x:c>
      <x:c r="O1522" s="28" t="n">
        <x:f>MIN(1,L1522/I1522)</x:f>
        <x:v>0.0345</x:v>
      </x:c>
      <x:c r="P1522" s="30" t="n">
        <x:f>O1522*J1522*(1+M1522)</x:f>
        <x:v>0.30360000000000004</x:v>
      </x:c>
      <x:c r="Q1522" s="30" t="n">
        <x:f>P1522*N1522</x:f>
        <x:v>21.8592</x:v>
      </x:c>
      <x:c r="R1522" s="19" t="str">
        <x:v>独立判定</x:v>
      </x:c>
    </x:row>
    <x:row r="1523" ht="19" customHeight="1">
      <x:c r="A1523" s="19" t="str">
        <x:v>D01519</x:v>
      </x:c>
      <x:c r="B1523" s="19" t="n">
        <x:v>4</x:v>
      </x:c>
      <x:c r="C1523" s="19" t="n">
        <x:v>2</x:v>
      </x:c>
      <x:c r="D1523" s="19" t="str">
        <x:v>C04-M017</x:v>
      </x:c>
      <x:c r="E1523" s="19" t="str">
        <x:v>祭坛盲鱼</x:v>
      </x:c>
      <x:c r="F1523" s="19" t="str">
        <x:v>普通</x:v>
      </x:c>
      <x:c r="G1523" s="19" t="str">
        <x:v>材料独立候选</x:v>
      </x:c>
      <x:c r="H1523" s="19" t="str">
        <x:v>雾潮银鳞</x:v>
      </x:c>
      <x:c r="I1523" s="22" t="n">
        <x:v>600</x:v>
      </x:c>
      <x:c r="J1523" s="22" t="n">
        <x:v>1</x:v>
      </x:c>
      <x:c r="K1523" s="19" t="n">
        <x:v>1</x:v>
      </x:c>
      <x:c r="L1523" s="24" t="n">
        <x:v>17.25</x:v>
      </x:c>
      <x:c r="M1523" s="26" t="n">
        <x:v>0.1</x:v>
      </x:c>
      <x:c r="N1523" s="24" t="n">
        <x:v>72</x:v>
      </x:c>
      <x:c r="O1523" s="28" t="n">
        <x:f>MIN(1,L1523/I1523)</x:f>
        <x:v>0.02875</x:v>
      </x:c>
      <x:c r="P1523" s="30" t="n">
        <x:f>O1523*J1523*(1+M1523)</x:f>
        <x:v>0.03162500000000001</x:v>
      </x:c>
      <x:c r="Q1523" s="30" t="n">
        <x:f>P1523*N1523</x:f>
        <x:v>2.2770000000000006</x:v>
      </x:c>
      <x:c r="R1523" s="19" t="str">
        <x:v>独立判定</x:v>
      </x:c>
    </x:row>
    <x:row r="1524" ht="19" customHeight="1">
      <x:c r="A1524" s="19" t="str">
        <x:v>D01520</x:v>
      </x:c>
      <x:c r="B1524" s="19" t="n">
        <x:v>4</x:v>
      </x:c>
      <x:c r="C1524" s="19" t="n">
        <x:v>2</x:v>
      </x:c>
      <x:c r="D1524" s="19" t="str">
        <x:v>C04-M017</x:v>
      </x:c>
      <x:c r="E1524" s="19" t="str">
        <x:v>祭坛盲鱼</x:v>
      </x:c>
      <x:c r="F1524" s="19" t="str">
        <x:v>普通</x:v>
      </x:c>
      <x:c r="G1524" s="19" t="str">
        <x:v>材料独立候选</x:v>
      </x:c>
      <x:c r="H1524" s="19" t="str">
        <x:v>月潮忆珀</x:v>
      </x:c>
      <x:c r="I1524" s="22" t="n">
        <x:v>800000</x:v>
      </x:c>
      <x:c r="J1524" s="22" t="n">
        <x:v>1</x:v>
      </x:c>
      <x:c r="K1524" s="19" t="n">
        <x:v>1</x:v>
      </x:c>
      <x:c r="L1524" s="24" t="n">
        <x:v>17.25</x:v>
      </x:c>
      <x:c r="M1524" s="26" t="n">
        <x:v>0.1</x:v>
      </x:c>
      <x:c r="N1524" s="24" t="n">
        <x:v>72</x:v>
      </x:c>
      <x:c r="O1524" s="28" t="n">
        <x:f>MIN(1,L1524/I1524)</x:f>
        <x:v>0.0000215625</x:v>
      </x:c>
      <x:c r="P1524" s="30" t="n">
        <x:f>O1524*J1524*(1+M1524)</x:f>
        <x:v>0.00002371875</x:v>
      </x:c>
      <x:c r="Q1524" s="30" t="n">
        <x:f>P1524*N1524</x:f>
        <x:v>0.00170775</x:v>
      </x:c>
      <x:c r="R1524" s="19" t="str">
        <x:v>独立判定</x:v>
      </x:c>
    </x:row>
    <x:row r="1525" ht="19" customHeight="1">
      <x:c r="A1525" s="19" t="str">
        <x:v>D01521</x:v>
      </x:c>
      <x:c r="B1525" s="19" t="n">
        <x:v>4</x:v>
      </x:c>
      <x:c r="C1525" s="19" t="n">
        <x:v>2</x:v>
      </x:c>
      <x:c r="D1525" s="19" t="str">
        <x:v>C04-M017</x:v>
      </x:c>
      <x:c r="E1525" s="19" t="str">
        <x:v>祭坛盲鱼</x:v>
      </x:c>
      <x:c r="F1525" s="19" t="str">
        <x:v>普通</x:v>
      </x:c>
      <x:c r="G1525" s="19" t="str">
        <x:v>材料独立候选</x:v>
      </x:c>
      <x:c r="H1525" s="19" t="str">
        <x:v>野兽骨片</x:v>
      </x:c>
      <x:c r="I1525" s="22" t="n">
        <x:v>80</x:v>
      </x:c>
      <x:c r="J1525" s="22" t="n">
        <x:v>2</x:v>
      </x:c>
      <x:c r="K1525" s="19" t="n">
        <x:v>1</x:v>
      </x:c>
      <x:c r="L1525" s="24" t="n">
        <x:v>17.25</x:v>
      </x:c>
      <x:c r="M1525" s="26" t="n">
        <x:v>0.1</x:v>
      </x:c>
      <x:c r="N1525" s="24" t="n">
        <x:v>72</x:v>
      </x:c>
      <x:c r="O1525" s="28" t="n">
        <x:f>MIN(1,L1525/I1525)</x:f>
        <x:v>0.215625</x:v>
      </x:c>
      <x:c r="P1525" s="30" t="n">
        <x:f>O1525*J1525*(1+M1525)</x:f>
        <x:v>0.47437500000000005</x:v>
      </x:c>
      <x:c r="Q1525" s="30" t="n">
        <x:f>P1525*N1525</x:f>
        <x:v>34.155</x:v>
      </x:c>
      <x:c r="R1525" s="19" t="str">
        <x:v>独立判定</x:v>
      </x:c>
    </x:row>
    <x:row r="1526" ht="19" customHeight="1">
      <x:c r="A1526" s="19" t="str">
        <x:v>D01522</x:v>
      </x:c>
      <x:c r="B1526" s="19" t="n">
        <x:v>4</x:v>
      </x:c>
      <x:c r="C1526" s="19" t="n">
        <x:v>2</x:v>
      </x:c>
      <x:c r="D1526" s="19" t="str">
        <x:v>C04-M017</x:v>
      </x:c>
      <x:c r="E1526" s="19" t="str">
        <x:v>祭坛盲鱼</x:v>
      </x:c>
      <x:c r="F1526" s="19" t="str">
        <x:v>普通</x:v>
      </x:c>
      <x:c r="G1526" s="19" t="str">
        <x:v>材料独立候选</x:v>
      </x:c>
      <x:c r="H1526" s="19" t="str">
        <x:v>技能残页</x:v>
      </x:c>
      <x:c r="I1526" s="22" t="n">
        <x:v>400</x:v>
      </x:c>
      <x:c r="J1526" s="22" t="n">
        <x:v>1</x:v>
      </x:c>
      <x:c r="K1526" s="19" t="n">
        <x:v>1</x:v>
      </x:c>
      <x:c r="L1526" s="24" t="n">
        <x:v>17.25</x:v>
      </x:c>
      <x:c r="M1526" s="26" t="n">
        <x:v>0.1</x:v>
      </x:c>
      <x:c r="N1526" s="24" t="n">
        <x:v>72</x:v>
      </x:c>
      <x:c r="O1526" s="28" t="n">
        <x:f>MIN(1,L1526/I1526)</x:f>
        <x:v>0.043125</x:v>
      </x:c>
      <x:c r="P1526" s="30" t="n">
        <x:f>O1526*J1526*(1+M1526)</x:f>
        <x:v>0.0474375</x:v>
      </x:c>
      <x:c r="Q1526" s="30" t="n">
        <x:f>P1526*N1526</x:f>
        <x:v>3.4155</x:v>
      </x:c>
      <x:c r="R1526" s="19" t="str">
        <x:v>独立判定</x:v>
      </x:c>
    </x:row>
    <x:row r="1527" ht="19" customHeight="1">
      <x:c r="A1527" s="19" t="str">
        <x:v>D01523</x:v>
      </x:c>
      <x:c r="B1527" s="19" t="n">
        <x:v>4</x:v>
      </x:c>
      <x:c r="C1527" s="19" t="n">
        <x:v>2</x:v>
      </x:c>
      <x:c r="D1527" s="19" t="str">
        <x:v>C04-M017</x:v>
      </x:c>
      <x:c r="E1527" s="19" t="str">
        <x:v>祭坛盲鱼</x:v>
      </x:c>
      <x:c r="F1527" s="19" t="str">
        <x:v>普通</x:v>
      </x:c>
      <x:c r="G1527" s="19" t="str">
        <x:v>材料独立候选</x:v>
      </x:c>
      <x:c r="H1527" s="19" t="str">
        <x:v>小卢恩</x:v>
      </x:c>
      <x:c r="I1527" s="22" t="n">
        <x:v>800</x:v>
      </x:c>
      <x:c r="J1527" s="22" t="n">
        <x:v>1</x:v>
      </x:c>
      <x:c r="K1527" s="19" t="n">
        <x:v>1</x:v>
      </x:c>
      <x:c r="L1527" s="24" t="n">
        <x:v>17.25</x:v>
      </x:c>
      <x:c r="M1527" s="26" t="n">
        <x:v>0.1</x:v>
      </x:c>
      <x:c r="N1527" s="24" t="n">
        <x:v>72</x:v>
      </x:c>
      <x:c r="O1527" s="28" t="n">
        <x:f>MIN(1,L1527/I1527)</x:f>
        <x:v>0.0215625</x:v>
      </x:c>
      <x:c r="P1527" s="30" t="n">
        <x:f>O1527*J1527*(1+M1527)</x:f>
        <x:v>0.02371875</x:v>
      </x:c>
      <x:c r="Q1527" s="30" t="n">
        <x:f>P1527*N1527</x:f>
        <x:v>1.70775</x:v>
      </x:c>
      <x:c r="R1527" s="19" t="str">
        <x:v>独立判定</x:v>
      </x:c>
    </x:row>
    <x:row r="1528" ht="19" customHeight="1">
      <x:c r="A1528" s="19" t="str">
        <x:v>D01524</x:v>
      </x:c>
      <x:c r="B1528" s="19" t="n">
        <x:v>4</x:v>
      </x:c>
      <x:c r="C1528" s="19" t="n">
        <x:v>2</x:v>
      </x:c>
      <x:c r="D1528" s="19" t="str">
        <x:v>C04-M017</x:v>
      </x:c>
      <x:c r="E1528" s="19" t="str">
        <x:v>祭坛盲鱼</x:v>
      </x:c>
      <x:c r="F1528" s="19" t="str">
        <x:v>普通</x:v>
      </x:c>
      <x:c r="G1528" s="19" t="str">
        <x:v>六神器公共池</x:v>
      </x:c>
      <x:c r="H1528" s="19" t="str">
        <x:v>POOL006</x:v>
      </x:c>
      <x:c r="I1528" s="22" t="n">
        <x:v>20000000</x:v>
      </x:c>
      <x:c r="J1528" s="22" t="n">
        <x:v>1</x:v>
      </x:c>
      <x:c r="K1528" s="19" t="n">
        <x:v>6</x:v>
      </x:c>
      <x:c r="L1528" s="24" t="n">
        <x:v>17.25</x:v>
      </x:c>
      <x:c r="M1528" s="26" t="n">
        <x:v>0.1</x:v>
      </x:c>
      <x:c r="N1528" s="24" t="n">
        <x:v>72</x:v>
      </x:c>
      <x:c r="O1528" s="28" t="n">
        <x:f>MIN(1,L1528/I1528)</x:f>
        <x:v>8.625e-7</x:v>
      </x:c>
      <x:c r="P1528" s="30" t="n">
        <x:f>O1528*J1528*(1+M1528)</x:f>
        <x:v>9.487500000000001e-7</x:v>
      </x:c>
      <x:c r="Q1528" s="30" t="n">
        <x:f>P1528*N1528</x:f>
        <x:v>0.00006831000000000002</x:v>
      </x:c>
      <x:c r="R1528" s="19" t="str">
        <x:v>六选一；非6个独立爆率</x:v>
      </x:c>
    </x:row>
    <x:row r="1529" ht="19" customHeight="1">
      <x:c r="A1529" s="19" t="str">
        <x:v>D01525</x:v>
      </x:c>
      <x:c r="B1529" s="19" t="n">
        <x:v>4</x:v>
      </x:c>
      <x:c r="C1529" s="19" t="n">
        <x:v>2</x:v>
      </x:c>
      <x:c r="D1529" s="19" t="str">
        <x:v>C04-M018</x:v>
      </x:c>
      <x:c r="E1529" s="19" t="str">
        <x:v>捧盏泥俑</x:v>
      </x:c>
      <x:c r="F1529" s="19" t="str">
        <x:v>普通</x:v>
      </x:c>
      <x:c r="G1529" s="19" t="str">
        <x:v>自身专属</x:v>
      </x:c>
      <x:c r="H1529" s="19" t="str">
        <x:v>供盏腕轮</x:v>
      </x:c>
      <x:c r="I1529" s="22" t="n">
        <x:v>1200</x:v>
      </x:c>
      <x:c r="J1529" s="22" t="n">
        <x:v>1</x:v>
      </x:c>
      <x:c r="K1529" s="19" t="n">
        <x:v>1</x:v>
      </x:c>
      <x:c r="L1529" s="24" t="n">
        <x:v>17.25</x:v>
      </x:c>
      <x:c r="M1529" s="26" t="n">
        <x:v>0.1</x:v>
      </x:c>
      <x:c r="N1529" s="24" t="n">
        <x:v>72</x:v>
      </x:c>
      <x:c r="O1529" s="28" t="n">
        <x:f>MIN(1,L1529/I1529)</x:f>
        <x:v>0.014375</x:v>
      </x:c>
      <x:c r="P1529" s="30" t="n">
        <x:f>O1529*J1529*(1+M1529)</x:f>
        <x:v>0.015812500000000004</x:v>
      </x:c>
      <x:c r="Q1529" s="30" t="n">
        <x:f>P1529*N1529</x:f>
        <x:v>1.1385000000000003</x:v>
      </x:c>
      <x:c r="R1529" s="19" t="str">
        <x:v>独立判定</x:v>
      </x:c>
    </x:row>
    <x:row r="1530" ht="19" customHeight="1">
      <x:c r="A1530" s="19" t="str">
        <x:v>D01526</x:v>
      </x:c>
      <x:c r="B1530" s="19" t="n">
        <x:v>4</x:v>
      </x:c>
      <x:c r="C1530" s="19" t="n">
        <x:v>2</x:v>
      </x:c>
      <x:c r="D1530" s="19" t="str">
        <x:v>C04-M018</x:v>
      </x:c>
      <x:c r="E1530" s="19" t="str">
        <x:v>捧盏泥俑</x:v>
      </x:c>
      <x:c r="F1530" s="19" t="str">
        <x:v>普通</x:v>
      </x:c>
      <x:c r="G1530" s="19" t="str">
        <x:v>材料独立候选</x:v>
      </x:c>
      <x:c r="H1530" s="19" t="str">
        <x:v>湖盐结晶</x:v>
      </x:c>
      <x:c r="I1530" s="22" t="n">
        <x:v>500</x:v>
      </x:c>
      <x:c r="J1530" s="22" t="n">
        <x:v>8</x:v>
      </x:c>
      <x:c r="K1530" s="19" t="n">
        <x:v>1</x:v>
      </x:c>
      <x:c r="L1530" s="24" t="n">
        <x:v>17.25</x:v>
      </x:c>
      <x:c r="M1530" s="26" t="n">
        <x:v>0.1</x:v>
      </x:c>
      <x:c r="N1530" s="24" t="n">
        <x:v>72</x:v>
      </x:c>
      <x:c r="O1530" s="28" t="n">
        <x:f>MIN(1,L1530/I1530)</x:f>
        <x:v>0.0345</x:v>
      </x:c>
      <x:c r="P1530" s="30" t="n">
        <x:f>O1530*J1530*(1+M1530)</x:f>
        <x:v>0.30360000000000004</x:v>
      </x:c>
      <x:c r="Q1530" s="30" t="n">
        <x:f>P1530*N1530</x:f>
        <x:v>21.8592</x:v>
      </x:c>
      <x:c r="R1530" s="19" t="str">
        <x:v>独立判定</x:v>
      </x:c>
    </x:row>
    <x:row r="1531" ht="19" customHeight="1">
      <x:c r="A1531" s="19" t="str">
        <x:v>D01527</x:v>
      </x:c>
      <x:c r="B1531" s="19" t="n">
        <x:v>4</x:v>
      </x:c>
      <x:c r="C1531" s="19" t="n">
        <x:v>2</x:v>
      </x:c>
      <x:c r="D1531" s="19" t="str">
        <x:v>C04-M018</x:v>
      </x:c>
      <x:c r="E1531" s="19" t="str">
        <x:v>捧盏泥俑</x:v>
      </x:c>
      <x:c r="F1531" s="19" t="str">
        <x:v>普通</x:v>
      </x:c>
      <x:c r="G1531" s="19" t="str">
        <x:v>材料独立候选</x:v>
      </x:c>
      <x:c r="H1531" s="19" t="str">
        <x:v>雾潮银鳞</x:v>
      </x:c>
      <x:c r="I1531" s="22" t="n">
        <x:v>600</x:v>
      </x:c>
      <x:c r="J1531" s="22" t="n">
        <x:v>1</x:v>
      </x:c>
      <x:c r="K1531" s="19" t="n">
        <x:v>1</x:v>
      </x:c>
      <x:c r="L1531" s="24" t="n">
        <x:v>17.25</x:v>
      </x:c>
      <x:c r="M1531" s="26" t="n">
        <x:v>0.1</x:v>
      </x:c>
      <x:c r="N1531" s="24" t="n">
        <x:v>72</x:v>
      </x:c>
      <x:c r="O1531" s="28" t="n">
        <x:f>MIN(1,L1531/I1531)</x:f>
        <x:v>0.02875</x:v>
      </x:c>
      <x:c r="P1531" s="30" t="n">
        <x:f>O1531*J1531*(1+M1531)</x:f>
        <x:v>0.03162500000000001</x:v>
      </x:c>
      <x:c r="Q1531" s="30" t="n">
        <x:f>P1531*N1531</x:f>
        <x:v>2.2770000000000006</x:v>
      </x:c>
      <x:c r="R1531" s="19" t="str">
        <x:v>独立判定</x:v>
      </x:c>
    </x:row>
    <x:row r="1532" ht="19" customHeight="1">
      <x:c r="A1532" s="19" t="str">
        <x:v>D01528</x:v>
      </x:c>
      <x:c r="B1532" s="19" t="n">
        <x:v>4</x:v>
      </x:c>
      <x:c r="C1532" s="19" t="n">
        <x:v>2</x:v>
      </x:c>
      <x:c r="D1532" s="19" t="str">
        <x:v>C04-M018</x:v>
      </x:c>
      <x:c r="E1532" s="19" t="str">
        <x:v>捧盏泥俑</x:v>
      </x:c>
      <x:c r="F1532" s="19" t="str">
        <x:v>普通</x:v>
      </x:c>
      <x:c r="G1532" s="19" t="str">
        <x:v>材料独立候选</x:v>
      </x:c>
      <x:c r="H1532" s="19" t="str">
        <x:v>月潮忆珀</x:v>
      </x:c>
      <x:c r="I1532" s="22" t="n">
        <x:v>800000</x:v>
      </x:c>
      <x:c r="J1532" s="22" t="n">
        <x:v>1</x:v>
      </x:c>
      <x:c r="K1532" s="19" t="n">
        <x:v>1</x:v>
      </x:c>
      <x:c r="L1532" s="24" t="n">
        <x:v>17.25</x:v>
      </x:c>
      <x:c r="M1532" s="26" t="n">
        <x:v>0.1</x:v>
      </x:c>
      <x:c r="N1532" s="24" t="n">
        <x:v>72</x:v>
      </x:c>
      <x:c r="O1532" s="28" t="n">
        <x:f>MIN(1,L1532/I1532)</x:f>
        <x:v>0.0000215625</x:v>
      </x:c>
      <x:c r="P1532" s="30" t="n">
        <x:f>O1532*J1532*(1+M1532)</x:f>
        <x:v>0.00002371875</x:v>
      </x:c>
      <x:c r="Q1532" s="30" t="n">
        <x:f>P1532*N1532</x:f>
        <x:v>0.00170775</x:v>
      </x:c>
      <x:c r="R1532" s="19" t="str">
        <x:v>独立判定</x:v>
      </x:c>
    </x:row>
    <x:row r="1533" ht="19" customHeight="1">
      <x:c r="A1533" s="19" t="str">
        <x:v>D01529</x:v>
      </x:c>
      <x:c r="B1533" s="19" t="n">
        <x:v>4</x:v>
      </x:c>
      <x:c r="C1533" s="19" t="n">
        <x:v>2</x:v>
      </x:c>
      <x:c r="D1533" s="19" t="str">
        <x:v>C04-M018</x:v>
      </x:c>
      <x:c r="E1533" s="19" t="str">
        <x:v>捧盏泥俑</x:v>
      </x:c>
      <x:c r="F1533" s="19" t="str">
        <x:v>普通</x:v>
      </x:c>
      <x:c r="G1533" s="19" t="str">
        <x:v>材料独立候选</x:v>
      </x:c>
      <x:c r="H1533" s="19" t="str">
        <x:v>野兽骨片</x:v>
      </x:c>
      <x:c r="I1533" s="22" t="n">
        <x:v>80</x:v>
      </x:c>
      <x:c r="J1533" s="22" t="n">
        <x:v>2</x:v>
      </x:c>
      <x:c r="K1533" s="19" t="n">
        <x:v>1</x:v>
      </x:c>
      <x:c r="L1533" s="24" t="n">
        <x:v>17.25</x:v>
      </x:c>
      <x:c r="M1533" s="26" t="n">
        <x:v>0.1</x:v>
      </x:c>
      <x:c r="N1533" s="24" t="n">
        <x:v>72</x:v>
      </x:c>
      <x:c r="O1533" s="28" t="n">
        <x:f>MIN(1,L1533/I1533)</x:f>
        <x:v>0.215625</x:v>
      </x:c>
      <x:c r="P1533" s="30" t="n">
        <x:f>O1533*J1533*(1+M1533)</x:f>
        <x:v>0.47437500000000005</x:v>
      </x:c>
      <x:c r="Q1533" s="30" t="n">
        <x:f>P1533*N1533</x:f>
        <x:v>34.155</x:v>
      </x:c>
      <x:c r="R1533" s="19" t="str">
        <x:v>独立判定</x:v>
      </x:c>
    </x:row>
    <x:row r="1534" ht="19" customHeight="1">
      <x:c r="A1534" s="19" t="str">
        <x:v>D01530</x:v>
      </x:c>
      <x:c r="B1534" s="19" t="n">
        <x:v>4</x:v>
      </x:c>
      <x:c r="C1534" s="19" t="n">
        <x:v>2</x:v>
      </x:c>
      <x:c r="D1534" s="19" t="str">
        <x:v>C04-M018</x:v>
      </x:c>
      <x:c r="E1534" s="19" t="str">
        <x:v>捧盏泥俑</x:v>
      </x:c>
      <x:c r="F1534" s="19" t="str">
        <x:v>普通</x:v>
      </x:c>
      <x:c r="G1534" s="19" t="str">
        <x:v>材料独立候选</x:v>
      </x:c>
      <x:c r="H1534" s="19" t="str">
        <x:v>技能残页</x:v>
      </x:c>
      <x:c r="I1534" s="22" t="n">
        <x:v>400</x:v>
      </x:c>
      <x:c r="J1534" s="22" t="n">
        <x:v>1</x:v>
      </x:c>
      <x:c r="K1534" s="19" t="n">
        <x:v>1</x:v>
      </x:c>
      <x:c r="L1534" s="24" t="n">
        <x:v>17.25</x:v>
      </x:c>
      <x:c r="M1534" s="26" t="n">
        <x:v>0.1</x:v>
      </x:c>
      <x:c r="N1534" s="24" t="n">
        <x:v>72</x:v>
      </x:c>
      <x:c r="O1534" s="28" t="n">
        <x:f>MIN(1,L1534/I1534)</x:f>
        <x:v>0.043125</x:v>
      </x:c>
      <x:c r="P1534" s="30" t="n">
        <x:f>O1534*J1534*(1+M1534)</x:f>
        <x:v>0.0474375</x:v>
      </x:c>
      <x:c r="Q1534" s="30" t="n">
        <x:f>P1534*N1534</x:f>
        <x:v>3.4155</x:v>
      </x:c>
      <x:c r="R1534" s="19" t="str">
        <x:v>独立判定</x:v>
      </x:c>
    </x:row>
    <x:row r="1535" ht="19" customHeight="1">
      <x:c r="A1535" s="19" t="str">
        <x:v>D01531</x:v>
      </x:c>
      <x:c r="B1535" s="19" t="n">
        <x:v>4</x:v>
      </x:c>
      <x:c r="C1535" s="19" t="n">
        <x:v>2</x:v>
      </x:c>
      <x:c r="D1535" s="19" t="str">
        <x:v>C04-M018</x:v>
      </x:c>
      <x:c r="E1535" s="19" t="str">
        <x:v>捧盏泥俑</x:v>
      </x:c>
      <x:c r="F1535" s="19" t="str">
        <x:v>普通</x:v>
      </x:c>
      <x:c r="G1535" s="19" t="str">
        <x:v>材料独立候选</x:v>
      </x:c>
      <x:c r="H1535" s="19" t="str">
        <x:v>小卢恩</x:v>
      </x:c>
      <x:c r="I1535" s="22" t="n">
        <x:v>800</x:v>
      </x:c>
      <x:c r="J1535" s="22" t="n">
        <x:v>1</x:v>
      </x:c>
      <x:c r="K1535" s="19" t="n">
        <x:v>1</x:v>
      </x:c>
      <x:c r="L1535" s="24" t="n">
        <x:v>17.25</x:v>
      </x:c>
      <x:c r="M1535" s="26" t="n">
        <x:v>0.1</x:v>
      </x:c>
      <x:c r="N1535" s="24" t="n">
        <x:v>72</x:v>
      </x:c>
      <x:c r="O1535" s="28" t="n">
        <x:f>MIN(1,L1535/I1535)</x:f>
        <x:v>0.0215625</x:v>
      </x:c>
      <x:c r="P1535" s="30" t="n">
        <x:f>O1535*J1535*(1+M1535)</x:f>
        <x:v>0.02371875</x:v>
      </x:c>
      <x:c r="Q1535" s="30" t="n">
        <x:f>P1535*N1535</x:f>
        <x:v>1.70775</x:v>
      </x:c>
      <x:c r="R1535" s="19" t="str">
        <x:v>独立判定</x:v>
      </x:c>
    </x:row>
    <x:row r="1536" ht="19" customHeight="1">
      <x:c r="A1536" s="19" t="str">
        <x:v>D01532</x:v>
      </x:c>
      <x:c r="B1536" s="19" t="n">
        <x:v>4</x:v>
      </x:c>
      <x:c r="C1536" s="19" t="n">
        <x:v>2</x:v>
      </x:c>
      <x:c r="D1536" s="19" t="str">
        <x:v>C04-M018</x:v>
      </x:c>
      <x:c r="E1536" s="19" t="str">
        <x:v>捧盏泥俑</x:v>
      </x:c>
      <x:c r="F1536" s="19" t="str">
        <x:v>普通</x:v>
      </x:c>
      <x:c r="G1536" s="19" t="str">
        <x:v>六神器公共池</x:v>
      </x:c>
      <x:c r="H1536" s="19" t="str">
        <x:v>POOL006</x:v>
      </x:c>
      <x:c r="I1536" s="22" t="n">
        <x:v>20000000</x:v>
      </x:c>
      <x:c r="J1536" s="22" t="n">
        <x:v>1</x:v>
      </x:c>
      <x:c r="K1536" s="19" t="n">
        <x:v>6</x:v>
      </x:c>
      <x:c r="L1536" s="24" t="n">
        <x:v>17.25</x:v>
      </x:c>
      <x:c r="M1536" s="26" t="n">
        <x:v>0.1</x:v>
      </x:c>
      <x:c r="N1536" s="24" t="n">
        <x:v>72</x:v>
      </x:c>
      <x:c r="O1536" s="28" t="n">
        <x:f>MIN(1,L1536/I1536)</x:f>
        <x:v>8.625e-7</x:v>
      </x:c>
      <x:c r="P1536" s="30" t="n">
        <x:f>O1536*J1536*(1+M1536)</x:f>
        <x:v>9.487500000000001e-7</x:v>
      </x:c>
      <x:c r="Q1536" s="30" t="n">
        <x:f>P1536*N1536</x:f>
        <x:v>0.00006831000000000002</x:v>
      </x:c>
      <x:c r="R1536" s="19" t="str">
        <x:v>六选一；非6个独立爆率</x:v>
      </x:c>
    </x:row>
    <x:row r="1537" ht="19" customHeight="1">
      <x:c r="A1537" s="19" t="str">
        <x:v>D01533</x:v>
      </x:c>
      <x:c r="B1537" s="19" t="n">
        <x:v>4</x:v>
      </x:c>
      <x:c r="C1537" s="19" t="n">
        <x:v>2</x:v>
      </x:c>
      <x:c r="D1537" s="19" t="str">
        <x:v>C04-M019</x:v>
      </x:c>
      <x:c r="E1537" s="19" t="str">
        <x:v>碑林巡潮官</x:v>
      </x:c>
      <x:c r="F1537" s="19" t="str">
        <x:v>稀有</x:v>
      </x:c>
      <x:c r="G1537" s="19" t="str">
        <x:v>自身专属</x:v>
      </x:c>
      <x:c r="H1537" s="19" t="str">
        <x:v>巡潮重盾</x:v>
      </x:c>
      <x:c r="I1537" s="22" t="n">
        <x:v>300</x:v>
      </x:c>
      <x:c r="J1537" s="22" t="n">
        <x:v>1</x:v>
      </x:c>
      <x:c r="K1537" s="19" t="n">
        <x:v>1</x:v>
      </x:c>
      <x:c r="L1537" s="24" t="n">
        <x:v>17.25</x:v>
      </x:c>
      <x:c r="M1537" s="26" t="n">
        <x:v>0.1</x:v>
      </x:c>
      <x:c r="N1537" s="24" t="n">
        <x:v>10.37538552053694</x:v>
      </x:c>
      <x:c r="O1537" s="28" t="n">
        <x:f>MIN(1,L1537/I1537)</x:f>
        <x:v>0.0575</x:v>
      </x:c>
      <x:c r="P1537" s="30" t="n">
        <x:f>O1537*J1537*(1+M1537)</x:f>
        <x:v>0.06325000000000001</x:v>
      </x:c>
      <x:c r="Q1537" s="30" t="n">
        <x:f>P1537*N1537</x:f>
        <x:v>0.6562431341739615</x:v>
      </x:c>
      <x:c r="R1537" s="19" t="str">
        <x:v>独立判定</x:v>
      </x:c>
    </x:row>
    <x:row r="1538" ht="19" customHeight="1">
      <x:c r="A1538" s="19" t="str">
        <x:v>D01534</x:v>
      </x:c>
      <x:c r="B1538" s="19" t="n">
        <x:v>4</x:v>
      </x:c>
      <x:c r="C1538" s="19" t="n">
        <x:v>2</x:v>
      </x:c>
      <x:c r="D1538" s="19" t="str">
        <x:v>C04-M019</x:v>
      </x:c>
      <x:c r="E1538" s="19" t="str">
        <x:v>碑林巡潮官</x:v>
      </x:c>
      <x:c r="F1538" s="19" t="str">
        <x:v>稀有</x:v>
      </x:c>
      <x:c r="G1538" s="19" t="str">
        <x:v>材料独立候选</x:v>
      </x:c>
      <x:c r="H1538" s="19" t="str">
        <x:v>湖盐结晶</x:v>
      </x:c>
      <x:c r="I1538" s="22" t="n">
        <x:v>300</x:v>
      </x:c>
      <x:c r="J1538" s="22" t="n">
        <x:v>15</x:v>
      </x:c>
      <x:c r="K1538" s="19" t="n">
        <x:v>1</x:v>
      </x:c>
      <x:c r="L1538" s="24" t="n">
        <x:v>17.25</x:v>
      </x:c>
      <x:c r="M1538" s="26" t="n">
        <x:v>0.1</x:v>
      </x:c>
      <x:c r="N1538" s="24" t="n">
        <x:v>10.37538552053694</x:v>
      </x:c>
      <x:c r="O1538" s="28" t="n">
        <x:f>MIN(1,L1538/I1538)</x:f>
        <x:v>0.0575</x:v>
      </x:c>
      <x:c r="P1538" s="30" t="n">
        <x:f>O1538*J1538*(1+M1538)</x:f>
        <x:v>0.9487500000000001</x:v>
      </x:c>
      <x:c r="Q1538" s="30" t="n">
        <x:f>P1538*N1538</x:f>
        <x:v>9.843647012609422</x:v>
      </x:c>
      <x:c r="R1538" s="19" t="str">
        <x:v>独立判定</x:v>
      </x:c>
    </x:row>
    <x:row r="1539" ht="19" customHeight="1">
      <x:c r="A1539" s="19" t="str">
        <x:v>D01535</x:v>
      </x:c>
      <x:c r="B1539" s="19" t="n">
        <x:v>4</x:v>
      </x:c>
      <x:c r="C1539" s="19" t="n">
        <x:v>2</x:v>
      </x:c>
      <x:c r="D1539" s="19" t="str">
        <x:v>C04-M019</x:v>
      </x:c>
      <x:c r="E1539" s="19" t="str">
        <x:v>碑林巡潮官</x:v>
      </x:c>
      <x:c r="F1539" s="19" t="str">
        <x:v>稀有</x:v>
      </x:c>
      <x:c r="G1539" s="19" t="str">
        <x:v>材料独立候选</x:v>
      </x:c>
      <x:c r="H1539" s="19" t="str">
        <x:v>幽船铆钉</x:v>
      </x:c>
      <x:c r="I1539" s="22" t="n">
        <x:v>800</x:v>
      </x:c>
      <x:c r="J1539" s="22" t="n">
        <x:v>1</x:v>
      </x:c>
      <x:c r="K1539" s="19" t="n">
        <x:v>1</x:v>
      </x:c>
      <x:c r="L1539" s="24" t="n">
        <x:v>17.25</x:v>
      </x:c>
      <x:c r="M1539" s="26" t="n">
        <x:v>0.1</x:v>
      </x:c>
      <x:c r="N1539" s="24" t="n">
        <x:v>10.37538552053694</x:v>
      </x:c>
      <x:c r="O1539" s="28" t="n">
        <x:f>MIN(1,L1539/I1539)</x:f>
        <x:v>0.0215625</x:v>
      </x:c>
      <x:c r="P1539" s="30" t="n">
        <x:f>O1539*J1539*(1+M1539)</x:f>
        <x:v>0.02371875</x:v>
      </x:c>
      <x:c r="Q1539" s="30" t="n">
        <x:f>P1539*N1539</x:f>
        <x:v>0.24609117531523553</x:v>
      </x:c>
      <x:c r="R1539" s="19" t="str">
        <x:v>独立判定</x:v>
      </x:c>
    </x:row>
    <x:row r="1540" ht="19" customHeight="1">
      <x:c r="A1540" s="19" t="str">
        <x:v>D01536</x:v>
      </x:c>
      <x:c r="B1540" s="19" t="n">
        <x:v>4</x:v>
      </x:c>
      <x:c r="C1540" s="19" t="n">
        <x:v>2</x:v>
      </x:c>
      <x:c r="D1540" s="19" t="str">
        <x:v>C04-M019</x:v>
      </x:c>
      <x:c r="E1540" s="19" t="str">
        <x:v>碑林巡潮官</x:v>
      </x:c>
      <x:c r="F1540" s="19" t="str">
        <x:v>稀有</x:v>
      </x:c>
      <x:c r="G1540" s="19" t="str">
        <x:v>材料独立候选</x:v>
      </x:c>
      <x:c r="H1540" s="19" t="str">
        <x:v>沉船缆扣</x:v>
      </x:c>
      <x:c r="I1540" s="22" t="n">
        <x:v>400</x:v>
      </x:c>
      <x:c r="J1540" s="22" t="n">
        <x:v>1</x:v>
      </x:c>
      <x:c r="K1540" s="19" t="n">
        <x:v>1</x:v>
      </x:c>
      <x:c r="L1540" s="24" t="n">
        <x:v>17.25</x:v>
      </x:c>
      <x:c r="M1540" s="26" t="n">
        <x:v>0.1</x:v>
      </x:c>
      <x:c r="N1540" s="24" t="n">
        <x:v>10.37538552053694</x:v>
      </x:c>
      <x:c r="O1540" s="28" t="n">
        <x:f>MIN(1,L1540/I1540)</x:f>
        <x:v>0.043125</x:v>
      </x:c>
      <x:c r="P1540" s="30" t="n">
        <x:f>O1540*J1540*(1+M1540)</x:f>
        <x:v>0.0474375</x:v>
      </x:c>
      <x:c r="Q1540" s="30" t="n">
        <x:f>P1540*N1540</x:f>
        <x:v>0.49218235063047105</x:v>
      </x:c>
      <x:c r="R1540" s="19" t="str">
        <x:v>独立判定</x:v>
      </x:c>
    </x:row>
    <x:row r="1541" ht="19" customHeight="1">
      <x:c r="A1541" s="19" t="str">
        <x:v>D01537</x:v>
      </x:c>
      <x:c r="B1541" s="19" t="n">
        <x:v>4</x:v>
      </x:c>
      <x:c r="C1541" s="19" t="n">
        <x:v>2</x:v>
      </x:c>
      <x:c r="D1541" s="19" t="str">
        <x:v>C04-M019</x:v>
      </x:c>
      <x:c r="E1541" s="19" t="str">
        <x:v>碑林巡潮官</x:v>
      </x:c>
      <x:c r="F1541" s="19" t="str">
        <x:v>稀有</x:v>
      </x:c>
      <x:c r="G1541" s="19" t="str">
        <x:v>材料独立候选</x:v>
      </x:c>
      <x:c r="H1541" s="19" t="str">
        <x:v>月潮忆珀</x:v>
      </x:c>
      <x:c r="I1541" s="22" t="n">
        <x:v>500000</x:v>
      </x:c>
      <x:c r="J1541" s="22" t="n">
        <x:v>1</x:v>
      </x:c>
      <x:c r="K1541" s="19" t="n">
        <x:v>1</x:v>
      </x:c>
      <x:c r="L1541" s="24" t="n">
        <x:v>17.25</x:v>
      </x:c>
      <x:c r="M1541" s="26" t="n">
        <x:v>0.1</x:v>
      </x:c>
      <x:c r="N1541" s="24" t="n">
        <x:v>10.37538552053694</x:v>
      </x:c>
      <x:c r="O1541" s="28" t="n">
        <x:f>MIN(1,L1541/I1541)</x:f>
        <x:v>0.0000345</x:v>
      </x:c>
      <x:c r="P1541" s="30" t="n">
        <x:f>O1541*J1541*(1+M1541)</x:f>
        <x:v>0.00003795</x:v>
      </x:c>
      <x:c r="Q1541" s="30" t="n">
        <x:f>P1541*N1541</x:f>
        <x:v>0.00039374588050437685</x:v>
      </x:c>
      <x:c r="R1541" s="19" t="str">
        <x:v>独立判定</x:v>
      </x:c>
    </x:row>
    <x:row r="1542" ht="19" customHeight="1">
      <x:c r="A1542" s="19" t="str">
        <x:v>D01538</x:v>
      </x:c>
      <x:c r="B1542" s="19" t="n">
        <x:v>4</x:v>
      </x:c>
      <x:c r="C1542" s="19" t="n">
        <x:v>2</x:v>
      </x:c>
      <x:c r="D1542" s="19" t="str">
        <x:v>C04-M019</x:v>
      </x:c>
      <x:c r="E1542" s="19" t="str">
        <x:v>碑林巡潮官</x:v>
      </x:c>
      <x:c r="F1542" s="19" t="str">
        <x:v>稀有</x:v>
      </x:c>
      <x:c r="G1542" s="19" t="str">
        <x:v>材料独立候选</x:v>
      </x:c>
      <x:c r="H1542" s="19" t="str">
        <x:v>黄金树芽</x:v>
      </x:c>
      <x:c r="I1542" s="22" t="n">
        <x:v>1500</x:v>
      </x:c>
      <x:c r="J1542" s="22" t="n">
        <x:v>1</x:v>
      </x:c>
      <x:c r="K1542" s="19" t="n">
        <x:v>1</x:v>
      </x:c>
      <x:c r="L1542" s="24" t="n">
        <x:v>17.25</x:v>
      </x:c>
      <x:c r="M1542" s="26" t="n">
        <x:v>0.1</x:v>
      </x:c>
      <x:c r="N1542" s="24" t="n">
        <x:v>10.37538552053694</x:v>
      </x:c>
      <x:c r="O1542" s="28" t="n">
        <x:f>MIN(1,L1542/I1542)</x:f>
        <x:v>0.0115</x:v>
      </x:c>
      <x:c r="P1542" s="30" t="n">
        <x:f>O1542*J1542*(1+M1542)</x:f>
        <x:v>0.012650000000000002</x:v>
      </x:c>
      <x:c r="Q1542" s="30" t="n">
        <x:f>P1542*N1542</x:f>
        <x:v>0.1312486268347923</x:v>
      </x:c>
      <x:c r="R1542" s="19" t="str">
        <x:v>独立判定</x:v>
      </x:c>
    </x:row>
    <x:row r="1543" ht="19" customHeight="1">
      <x:c r="A1543" s="19" t="str">
        <x:v>D01539</x:v>
      </x:c>
      <x:c r="B1543" s="19" t="n">
        <x:v>4</x:v>
      </x:c>
      <x:c r="C1543" s="19" t="n">
        <x:v>2</x:v>
      </x:c>
      <x:c r="D1543" s="19" t="str">
        <x:v>C04-M019</x:v>
      </x:c>
      <x:c r="E1543" s="19" t="str">
        <x:v>碑林巡潮官</x:v>
      </x:c>
      <x:c r="F1543" s="19" t="str">
        <x:v>稀有</x:v>
      </x:c>
      <x:c r="G1543" s="19" t="str">
        <x:v>材料独立候选</x:v>
      </x:c>
      <x:c r="H1543" s="19" t="str">
        <x:v>野兽骨片</x:v>
      </x:c>
      <x:c r="I1543" s="22" t="n">
        <x:v>50</x:v>
      </x:c>
      <x:c r="J1543" s="22" t="n">
        <x:v>2</x:v>
      </x:c>
      <x:c r="K1543" s="19" t="n">
        <x:v>1</x:v>
      </x:c>
      <x:c r="L1543" s="24" t="n">
        <x:v>17.25</x:v>
      </x:c>
      <x:c r="M1543" s="26" t="n">
        <x:v>0.1</x:v>
      </x:c>
      <x:c r="N1543" s="24" t="n">
        <x:v>10.37538552053694</x:v>
      </x:c>
      <x:c r="O1543" s="28" t="n">
        <x:f>MIN(1,L1543/I1543)</x:f>
        <x:v>0.345</x:v>
      </x:c>
      <x:c r="P1543" s="30" t="n">
        <x:f>O1543*J1543*(1+M1543)</x:f>
        <x:v>0.759</x:v>
      </x:c>
      <x:c r="Q1543" s="30" t="n">
        <x:f>P1543*N1543</x:f>
        <x:v>7.874917610087537</x:v>
      </x:c>
      <x:c r="R1543" s="19" t="str">
        <x:v>独立判定</x:v>
      </x:c>
    </x:row>
    <x:row r="1544" ht="19" customHeight="1">
      <x:c r="A1544" s="19" t="str">
        <x:v>D01540</x:v>
      </x:c>
      <x:c r="B1544" s="19" t="n">
        <x:v>4</x:v>
      </x:c>
      <x:c r="C1544" s="19" t="n">
        <x:v>2</x:v>
      </x:c>
      <x:c r="D1544" s="19" t="str">
        <x:v>C04-M019</x:v>
      </x:c>
      <x:c r="E1544" s="19" t="str">
        <x:v>碑林巡潮官</x:v>
      </x:c>
      <x:c r="F1544" s="19" t="str">
        <x:v>稀有</x:v>
      </x:c>
      <x:c r="G1544" s="19" t="str">
        <x:v>材料独立候选</x:v>
      </x:c>
      <x:c r="H1544" s="19" t="str">
        <x:v>技能残页</x:v>
      </x:c>
      <x:c r="I1544" s="22" t="n">
        <x:v>250</x:v>
      </x:c>
      <x:c r="J1544" s="22" t="n">
        <x:v>1</x:v>
      </x:c>
      <x:c r="K1544" s="19" t="n">
        <x:v>1</x:v>
      </x:c>
      <x:c r="L1544" s="24" t="n">
        <x:v>17.25</x:v>
      </x:c>
      <x:c r="M1544" s="26" t="n">
        <x:v>0.1</x:v>
      </x:c>
      <x:c r="N1544" s="24" t="n">
        <x:v>10.37538552053694</x:v>
      </x:c>
      <x:c r="O1544" s="28" t="n">
        <x:f>MIN(1,L1544/I1544)</x:f>
        <x:v>0.069</x:v>
      </x:c>
      <x:c r="P1544" s="30" t="n">
        <x:f>O1544*J1544*(1+M1544)</x:f>
        <x:v>0.07590000000000001</x:v>
      </x:c>
      <x:c r="Q1544" s="30" t="n">
        <x:f>P1544*N1544</x:f>
        <x:v>0.7874917610087538</x:v>
      </x:c>
      <x:c r="R1544" s="19" t="str">
        <x:v>独立判定</x:v>
      </x:c>
    </x:row>
    <x:row r="1545" ht="19" customHeight="1">
      <x:c r="A1545" s="19" t="str">
        <x:v>D01541</x:v>
      </x:c>
      <x:c r="B1545" s="19" t="n">
        <x:v>4</x:v>
      </x:c>
      <x:c r="C1545" s="19" t="n">
        <x:v>2</x:v>
      </x:c>
      <x:c r="D1545" s="19" t="str">
        <x:v>C04-M019</x:v>
      </x:c>
      <x:c r="E1545" s="19" t="str">
        <x:v>碑林巡潮官</x:v>
      </x:c>
      <x:c r="F1545" s="19" t="str">
        <x:v>稀有</x:v>
      </x:c>
      <x:c r="G1545" s="19" t="str">
        <x:v>材料独立候选</x:v>
      </x:c>
      <x:c r="H1545" s="19" t="str">
        <x:v>小卢恩</x:v>
      </x:c>
      <x:c r="I1545" s="22" t="n">
        <x:v>500</x:v>
      </x:c>
      <x:c r="J1545" s="22" t="n">
        <x:v>1</x:v>
      </x:c>
      <x:c r="K1545" s="19" t="n">
        <x:v>1</x:v>
      </x:c>
      <x:c r="L1545" s="24" t="n">
        <x:v>17.25</x:v>
      </x:c>
      <x:c r="M1545" s="26" t="n">
        <x:v>0.1</x:v>
      </x:c>
      <x:c r="N1545" s="24" t="n">
        <x:v>10.37538552053694</x:v>
      </x:c>
      <x:c r="O1545" s="28" t="n">
        <x:f>MIN(1,L1545/I1545)</x:f>
        <x:v>0.0345</x:v>
      </x:c>
      <x:c r="P1545" s="30" t="n">
        <x:f>O1545*J1545*(1+M1545)</x:f>
        <x:v>0.037950000000000005</x:v>
      </x:c>
      <x:c r="Q1545" s="30" t="n">
        <x:f>P1545*N1545</x:f>
        <x:v>0.3937458805043769</x:v>
      </x:c>
      <x:c r="R1545" s="19" t="str">
        <x:v>独立判定</x:v>
      </x:c>
    </x:row>
    <x:row r="1546" ht="19" customHeight="1">
      <x:c r="A1546" s="19" t="str">
        <x:v>D01542</x:v>
      </x:c>
      <x:c r="B1546" s="19" t="n">
        <x:v>4</x:v>
      </x:c>
      <x:c r="C1546" s="19" t="n">
        <x:v>2</x:v>
      </x:c>
      <x:c r="D1546" s="19" t="str">
        <x:v>C04-M019</x:v>
      </x:c>
      <x:c r="E1546" s="19" t="str">
        <x:v>碑林巡潮官</x:v>
      </x:c>
      <x:c r="F1546" s="19" t="str">
        <x:v>稀有</x:v>
      </x:c>
      <x:c r="G1546" s="19" t="str">
        <x:v>六神器公共池</x:v>
      </x:c>
      <x:c r="H1546" s="19" t="str">
        <x:v>POOL006</x:v>
      </x:c>
      <x:c r="I1546" s="22" t="n">
        <x:v>5000000</x:v>
      </x:c>
      <x:c r="J1546" s="22" t="n">
        <x:v>1</x:v>
      </x:c>
      <x:c r="K1546" s="19" t="n">
        <x:v>6</x:v>
      </x:c>
      <x:c r="L1546" s="24" t="n">
        <x:v>17.25</x:v>
      </x:c>
      <x:c r="M1546" s="26" t="n">
        <x:v>0.1</x:v>
      </x:c>
      <x:c r="N1546" s="24" t="n">
        <x:v>10.37538552053694</x:v>
      </x:c>
      <x:c r="O1546" s="28" t="n">
        <x:f>MIN(1,L1546/I1546)</x:f>
        <x:v>0.00000345</x:v>
      </x:c>
      <x:c r="P1546" s="30" t="n">
        <x:f>O1546*J1546*(1+M1546)</x:f>
        <x:v>0.0000037950000000000005</x:v>
      </x:c>
      <x:c r="Q1546" s="30" t="n">
        <x:f>P1546*N1546</x:f>
        <x:v>0.00003937458805043769</x:v>
      </x:c>
      <x:c r="R1546" s="19" t="str">
        <x:v>六选一；非6个独立爆率</x:v>
      </x:c>
    </x:row>
    <x:row r="1547" ht="19" customHeight="1">
      <x:c r="A1547" s="19" t="str">
        <x:v>D01543</x:v>
      </x:c>
      <x:c r="B1547" s="19" t="n">
        <x:v>4</x:v>
      </x:c>
      <x:c r="C1547" s="19" t="n">
        <x:v>2</x:v>
      </x:c>
      <x:c r="D1547" s="19" t="str">
        <x:v>C04-M020</x:v>
      </x:c>
      <x:c r="E1547" s="19" t="str">
        <x:v>断链湖狮</x:v>
      </x:c>
      <x:c r="F1547" s="19" t="str">
        <x:v>稀有</x:v>
      </x:c>
      <x:c r="G1547" s="19" t="str">
        <x:v>自身专属</x:v>
      </x:c>
      <x:c r="H1547" s="19" t="str">
        <x:v>湖狮断链坠</x:v>
      </x:c>
      <x:c r="I1547" s="22" t="n">
        <x:v>300</x:v>
      </x:c>
      <x:c r="J1547" s="22" t="n">
        <x:v>1</x:v>
      </x:c>
      <x:c r="K1547" s="19" t="n">
        <x:v>1</x:v>
      </x:c>
      <x:c r="L1547" s="24" t="n">
        <x:v>17.25</x:v>
      </x:c>
      <x:c r="M1547" s="26" t="n">
        <x:v>0.1</x:v>
      </x:c>
      <x:c r="N1547" s="24" t="n">
        <x:v>12</x:v>
      </x:c>
      <x:c r="O1547" s="28" t="n">
        <x:f>MIN(1,L1547/I1547)</x:f>
        <x:v>0.0575</x:v>
      </x:c>
      <x:c r="P1547" s="30" t="n">
        <x:f>O1547*J1547*(1+M1547)</x:f>
        <x:v>0.06325000000000001</x:v>
      </x:c>
      <x:c r="Q1547" s="30" t="n">
        <x:f>P1547*N1547</x:f>
        <x:v>0.7590000000000001</x:v>
      </x:c>
      <x:c r="R1547" s="19" t="str">
        <x:v>独立判定</x:v>
      </x:c>
    </x:row>
    <x:row r="1548" ht="19" customHeight="1">
      <x:c r="A1548" s="19" t="str">
        <x:v>D01544</x:v>
      </x:c>
      <x:c r="B1548" s="19" t="n">
        <x:v>4</x:v>
      </x:c>
      <x:c r="C1548" s="19" t="n">
        <x:v>2</x:v>
      </x:c>
      <x:c r="D1548" s="19" t="str">
        <x:v>C04-M020</x:v>
      </x:c>
      <x:c r="E1548" s="19" t="str">
        <x:v>断链湖狮</x:v>
      </x:c>
      <x:c r="F1548" s="19" t="str">
        <x:v>稀有</x:v>
      </x:c>
      <x:c r="G1548" s="19" t="str">
        <x:v>材料独立候选</x:v>
      </x:c>
      <x:c r="H1548" s="19" t="str">
        <x:v>湖盐结晶</x:v>
      </x:c>
      <x:c r="I1548" s="22" t="n">
        <x:v>300</x:v>
      </x:c>
      <x:c r="J1548" s="22" t="n">
        <x:v>15</x:v>
      </x:c>
      <x:c r="K1548" s="19" t="n">
        <x:v>1</x:v>
      </x:c>
      <x:c r="L1548" s="24" t="n">
        <x:v>17.25</x:v>
      </x:c>
      <x:c r="M1548" s="26" t="n">
        <x:v>0.1</x:v>
      </x:c>
      <x:c r="N1548" s="24" t="n">
        <x:v>12</x:v>
      </x:c>
      <x:c r="O1548" s="28" t="n">
        <x:f>MIN(1,L1548/I1548)</x:f>
        <x:v>0.0575</x:v>
      </x:c>
      <x:c r="P1548" s="30" t="n">
        <x:f>O1548*J1548*(1+M1548)</x:f>
        <x:v>0.9487500000000001</x:v>
      </x:c>
      <x:c r="Q1548" s="30" t="n">
        <x:f>P1548*N1548</x:f>
        <x:v>11.385000000000002</x:v>
      </x:c>
      <x:c r="R1548" s="19" t="str">
        <x:v>独立判定</x:v>
      </x:c>
    </x:row>
    <x:row r="1549" ht="19" customHeight="1">
      <x:c r="A1549" s="19" t="str">
        <x:v>D01545</x:v>
      </x:c>
      <x:c r="B1549" s="19" t="n">
        <x:v>4</x:v>
      </x:c>
      <x:c r="C1549" s="19" t="n">
        <x:v>2</x:v>
      </x:c>
      <x:c r="D1549" s="19" t="str">
        <x:v>C04-M020</x:v>
      </x:c>
      <x:c r="E1549" s="19" t="str">
        <x:v>断链湖狮</x:v>
      </x:c>
      <x:c r="F1549" s="19" t="str">
        <x:v>稀有</x:v>
      </x:c>
      <x:c r="G1549" s="19" t="str">
        <x:v>材料独立候选</x:v>
      </x:c>
      <x:c r="H1549" s="19" t="str">
        <x:v>幽船铆钉</x:v>
      </x:c>
      <x:c r="I1549" s="22" t="n">
        <x:v>800</x:v>
      </x:c>
      <x:c r="J1549" s="22" t="n">
        <x:v>1</x:v>
      </x:c>
      <x:c r="K1549" s="19" t="n">
        <x:v>1</x:v>
      </x:c>
      <x:c r="L1549" s="24" t="n">
        <x:v>17.25</x:v>
      </x:c>
      <x:c r="M1549" s="26" t="n">
        <x:v>0.1</x:v>
      </x:c>
      <x:c r="N1549" s="24" t="n">
        <x:v>12</x:v>
      </x:c>
      <x:c r="O1549" s="28" t="n">
        <x:f>MIN(1,L1549/I1549)</x:f>
        <x:v>0.0215625</x:v>
      </x:c>
      <x:c r="P1549" s="30" t="n">
        <x:f>O1549*J1549*(1+M1549)</x:f>
        <x:v>0.02371875</x:v>
      </x:c>
      <x:c r="Q1549" s="30" t="n">
        <x:f>P1549*N1549</x:f>
        <x:v>0.284625</x:v>
      </x:c>
      <x:c r="R1549" s="19" t="str">
        <x:v>独立判定</x:v>
      </x:c>
    </x:row>
    <x:row r="1550" ht="19" customHeight="1">
      <x:c r="A1550" s="19" t="str">
        <x:v>D01546</x:v>
      </x:c>
      <x:c r="B1550" s="19" t="n">
        <x:v>4</x:v>
      </x:c>
      <x:c r="C1550" s="19" t="n">
        <x:v>2</x:v>
      </x:c>
      <x:c r="D1550" s="19" t="str">
        <x:v>C04-M020</x:v>
      </x:c>
      <x:c r="E1550" s="19" t="str">
        <x:v>断链湖狮</x:v>
      </x:c>
      <x:c r="F1550" s="19" t="str">
        <x:v>稀有</x:v>
      </x:c>
      <x:c r="G1550" s="19" t="str">
        <x:v>材料独立候选</x:v>
      </x:c>
      <x:c r="H1550" s="19" t="str">
        <x:v>沉船缆扣</x:v>
      </x:c>
      <x:c r="I1550" s="22" t="n">
        <x:v>400</x:v>
      </x:c>
      <x:c r="J1550" s="22" t="n">
        <x:v>1</x:v>
      </x:c>
      <x:c r="K1550" s="19" t="n">
        <x:v>1</x:v>
      </x:c>
      <x:c r="L1550" s="24" t="n">
        <x:v>17.25</x:v>
      </x:c>
      <x:c r="M1550" s="26" t="n">
        <x:v>0.1</x:v>
      </x:c>
      <x:c r="N1550" s="24" t="n">
        <x:v>12</x:v>
      </x:c>
      <x:c r="O1550" s="28" t="n">
        <x:f>MIN(1,L1550/I1550)</x:f>
        <x:v>0.043125</x:v>
      </x:c>
      <x:c r="P1550" s="30" t="n">
        <x:f>O1550*J1550*(1+M1550)</x:f>
        <x:v>0.0474375</x:v>
      </x:c>
      <x:c r="Q1550" s="30" t="n">
        <x:f>P1550*N1550</x:f>
        <x:v>0.56925</x:v>
      </x:c>
      <x:c r="R1550" s="19" t="str">
        <x:v>独立判定</x:v>
      </x:c>
    </x:row>
    <x:row r="1551" ht="19" customHeight="1">
      <x:c r="A1551" s="19" t="str">
        <x:v>D01547</x:v>
      </x:c>
      <x:c r="B1551" s="19" t="n">
        <x:v>4</x:v>
      </x:c>
      <x:c r="C1551" s="19" t="n">
        <x:v>2</x:v>
      </x:c>
      <x:c r="D1551" s="19" t="str">
        <x:v>C04-M020</x:v>
      </x:c>
      <x:c r="E1551" s="19" t="str">
        <x:v>断链湖狮</x:v>
      </x:c>
      <x:c r="F1551" s="19" t="str">
        <x:v>稀有</x:v>
      </x:c>
      <x:c r="G1551" s="19" t="str">
        <x:v>材料独立候选</x:v>
      </x:c>
      <x:c r="H1551" s="19" t="str">
        <x:v>月潮忆珀</x:v>
      </x:c>
      <x:c r="I1551" s="22" t="n">
        <x:v>500000</x:v>
      </x:c>
      <x:c r="J1551" s="22" t="n">
        <x:v>1</x:v>
      </x:c>
      <x:c r="K1551" s="19" t="n">
        <x:v>1</x:v>
      </x:c>
      <x:c r="L1551" s="24" t="n">
        <x:v>17.25</x:v>
      </x:c>
      <x:c r="M1551" s="26" t="n">
        <x:v>0.1</x:v>
      </x:c>
      <x:c r="N1551" s="24" t="n">
        <x:v>12</x:v>
      </x:c>
      <x:c r="O1551" s="28" t="n">
        <x:f>MIN(1,L1551/I1551)</x:f>
        <x:v>0.0000345</x:v>
      </x:c>
      <x:c r="P1551" s="30" t="n">
        <x:f>O1551*J1551*(1+M1551)</x:f>
        <x:v>0.00003795</x:v>
      </x:c>
      <x:c r="Q1551" s="30" t="n">
        <x:f>P1551*N1551</x:f>
        <x:v>0.0004554</x:v>
      </x:c>
      <x:c r="R1551" s="19" t="str">
        <x:v>独立判定</x:v>
      </x:c>
    </x:row>
    <x:row r="1552" ht="19" customHeight="1">
      <x:c r="A1552" s="19" t="str">
        <x:v>D01548</x:v>
      </x:c>
      <x:c r="B1552" s="19" t="n">
        <x:v>4</x:v>
      </x:c>
      <x:c r="C1552" s="19" t="n">
        <x:v>2</x:v>
      </x:c>
      <x:c r="D1552" s="19" t="str">
        <x:v>C04-M020</x:v>
      </x:c>
      <x:c r="E1552" s="19" t="str">
        <x:v>断链湖狮</x:v>
      </x:c>
      <x:c r="F1552" s="19" t="str">
        <x:v>稀有</x:v>
      </x:c>
      <x:c r="G1552" s="19" t="str">
        <x:v>材料独立候选</x:v>
      </x:c>
      <x:c r="H1552" s="19" t="str">
        <x:v>黄金树芽</x:v>
      </x:c>
      <x:c r="I1552" s="22" t="n">
        <x:v>1500</x:v>
      </x:c>
      <x:c r="J1552" s="22" t="n">
        <x:v>1</x:v>
      </x:c>
      <x:c r="K1552" s="19" t="n">
        <x:v>1</x:v>
      </x:c>
      <x:c r="L1552" s="24" t="n">
        <x:v>17.25</x:v>
      </x:c>
      <x:c r="M1552" s="26" t="n">
        <x:v>0.1</x:v>
      </x:c>
      <x:c r="N1552" s="24" t="n">
        <x:v>12</x:v>
      </x:c>
      <x:c r="O1552" s="28" t="n">
        <x:f>MIN(1,L1552/I1552)</x:f>
        <x:v>0.0115</x:v>
      </x:c>
      <x:c r="P1552" s="30" t="n">
        <x:f>O1552*J1552*(1+M1552)</x:f>
        <x:v>0.012650000000000002</x:v>
      </x:c>
      <x:c r="Q1552" s="30" t="n">
        <x:f>P1552*N1552</x:f>
        <x:v>0.15180000000000002</x:v>
      </x:c>
      <x:c r="R1552" s="19" t="str">
        <x:v>独立判定</x:v>
      </x:c>
    </x:row>
    <x:row r="1553" ht="19" customHeight="1">
      <x:c r="A1553" s="19" t="str">
        <x:v>D01549</x:v>
      </x:c>
      <x:c r="B1553" s="19" t="n">
        <x:v>4</x:v>
      </x:c>
      <x:c r="C1553" s="19" t="n">
        <x:v>2</x:v>
      </x:c>
      <x:c r="D1553" s="19" t="str">
        <x:v>C04-M020</x:v>
      </x:c>
      <x:c r="E1553" s="19" t="str">
        <x:v>断链湖狮</x:v>
      </x:c>
      <x:c r="F1553" s="19" t="str">
        <x:v>稀有</x:v>
      </x:c>
      <x:c r="G1553" s="19" t="str">
        <x:v>材料独立候选</x:v>
      </x:c>
      <x:c r="H1553" s="19" t="str">
        <x:v>野兽骨片</x:v>
      </x:c>
      <x:c r="I1553" s="22" t="n">
        <x:v>50</x:v>
      </x:c>
      <x:c r="J1553" s="22" t="n">
        <x:v>2</x:v>
      </x:c>
      <x:c r="K1553" s="19" t="n">
        <x:v>1</x:v>
      </x:c>
      <x:c r="L1553" s="24" t="n">
        <x:v>17.25</x:v>
      </x:c>
      <x:c r="M1553" s="26" t="n">
        <x:v>0.1</x:v>
      </x:c>
      <x:c r="N1553" s="24" t="n">
        <x:v>12</x:v>
      </x:c>
      <x:c r="O1553" s="28" t="n">
        <x:f>MIN(1,L1553/I1553)</x:f>
        <x:v>0.345</x:v>
      </x:c>
      <x:c r="P1553" s="30" t="n">
        <x:f>O1553*J1553*(1+M1553)</x:f>
        <x:v>0.759</x:v>
      </x:c>
      <x:c r="Q1553" s="30" t="n">
        <x:f>P1553*N1553</x:f>
        <x:v>9.108</x:v>
      </x:c>
      <x:c r="R1553" s="19" t="str">
        <x:v>独立判定</x:v>
      </x:c>
    </x:row>
    <x:row r="1554" ht="19" customHeight="1">
      <x:c r="A1554" s="19" t="str">
        <x:v>D01550</x:v>
      </x:c>
      <x:c r="B1554" s="19" t="n">
        <x:v>4</x:v>
      </x:c>
      <x:c r="C1554" s="19" t="n">
        <x:v>2</x:v>
      </x:c>
      <x:c r="D1554" s="19" t="str">
        <x:v>C04-M020</x:v>
      </x:c>
      <x:c r="E1554" s="19" t="str">
        <x:v>断链湖狮</x:v>
      </x:c>
      <x:c r="F1554" s="19" t="str">
        <x:v>稀有</x:v>
      </x:c>
      <x:c r="G1554" s="19" t="str">
        <x:v>材料独立候选</x:v>
      </x:c>
      <x:c r="H1554" s="19" t="str">
        <x:v>技能残页</x:v>
      </x:c>
      <x:c r="I1554" s="22" t="n">
        <x:v>250</x:v>
      </x:c>
      <x:c r="J1554" s="22" t="n">
        <x:v>1</x:v>
      </x:c>
      <x:c r="K1554" s="19" t="n">
        <x:v>1</x:v>
      </x:c>
      <x:c r="L1554" s="24" t="n">
        <x:v>17.25</x:v>
      </x:c>
      <x:c r="M1554" s="26" t="n">
        <x:v>0.1</x:v>
      </x:c>
      <x:c r="N1554" s="24" t="n">
        <x:v>12</x:v>
      </x:c>
      <x:c r="O1554" s="28" t="n">
        <x:f>MIN(1,L1554/I1554)</x:f>
        <x:v>0.069</x:v>
      </x:c>
      <x:c r="P1554" s="30" t="n">
        <x:f>O1554*J1554*(1+M1554)</x:f>
        <x:v>0.07590000000000001</x:v>
      </x:c>
      <x:c r="Q1554" s="30" t="n">
        <x:f>P1554*N1554</x:f>
        <x:v>0.9108</x:v>
      </x:c>
      <x:c r="R1554" s="19" t="str">
        <x:v>独立判定</x:v>
      </x:c>
    </x:row>
    <x:row r="1555" ht="19" customHeight="1">
      <x:c r="A1555" s="19" t="str">
        <x:v>D01551</x:v>
      </x:c>
      <x:c r="B1555" s="19" t="n">
        <x:v>4</x:v>
      </x:c>
      <x:c r="C1555" s="19" t="n">
        <x:v>2</x:v>
      </x:c>
      <x:c r="D1555" s="19" t="str">
        <x:v>C04-M020</x:v>
      </x:c>
      <x:c r="E1555" s="19" t="str">
        <x:v>断链湖狮</x:v>
      </x:c>
      <x:c r="F1555" s="19" t="str">
        <x:v>稀有</x:v>
      </x:c>
      <x:c r="G1555" s="19" t="str">
        <x:v>材料独立候选</x:v>
      </x:c>
      <x:c r="H1555" s="19" t="str">
        <x:v>小卢恩</x:v>
      </x:c>
      <x:c r="I1555" s="22" t="n">
        <x:v>500</x:v>
      </x:c>
      <x:c r="J1555" s="22" t="n">
        <x:v>1</x:v>
      </x:c>
      <x:c r="K1555" s="19" t="n">
        <x:v>1</x:v>
      </x:c>
      <x:c r="L1555" s="24" t="n">
        <x:v>17.25</x:v>
      </x:c>
      <x:c r="M1555" s="26" t="n">
        <x:v>0.1</x:v>
      </x:c>
      <x:c r="N1555" s="24" t="n">
        <x:v>12</x:v>
      </x:c>
      <x:c r="O1555" s="28" t="n">
        <x:f>MIN(1,L1555/I1555)</x:f>
        <x:v>0.0345</x:v>
      </x:c>
      <x:c r="P1555" s="30" t="n">
        <x:f>O1555*J1555*(1+M1555)</x:f>
        <x:v>0.037950000000000005</x:v>
      </x:c>
      <x:c r="Q1555" s="30" t="n">
        <x:f>P1555*N1555</x:f>
        <x:v>0.4554</x:v>
      </x:c>
      <x:c r="R1555" s="19" t="str">
        <x:v>独立判定</x:v>
      </x:c>
    </x:row>
    <x:row r="1556" ht="19" customHeight="1">
      <x:c r="A1556" s="19" t="str">
        <x:v>D01552</x:v>
      </x:c>
      <x:c r="B1556" s="19" t="n">
        <x:v>4</x:v>
      </x:c>
      <x:c r="C1556" s="19" t="n">
        <x:v>2</x:v>
      </x:c>
      <x:c r="D1556" s="19" t="str">
        <x:v>C04-M020</x:v>
      </x:c>
      <x:c r="E1556" s="19" t="str">
        <x:v>断链湖狮</x:v>
      </x:c>
      <x:c r="F1556" s="19" t="str">
        <x:v>稀有</x:v>
      </x:c>
      <x:c r="G1556" s="19" t="str">
        <x:v>六神器公共池</x:v>
      </x:c>
      <x:c r="H1556" s="19" t="str">
        <x:v>POOL006</x:v>
      </x:c>
      <x:c r="I1556" s="22" t="n">
        <x:v>5000000</x:v>
      </x:c>
      <x:c r="J1556" s="22" t="n">
        <x:v>1</x:v>
      </x:c>
      <x:c r="K1556" s="19" t="n">
        <x:v>6</x:v>
      </x:c>
      <x:c r="L1556" s="24" t="n">
        <x:v>17.25</x:v>
      </x:c>
      <x:c r="M1556" s="26" t="n">
        <x:v>0.1</x:v>
      </x:c>
      <x:c r="N1556" s="24" t="n">
        <x:v>12</x:v>
      </x:c>
      <x:c r="O1556" s="28" t="n">
        <x:f>MIN(1,L1556/I1556)</x:f>
        <x:v>0.00000345</x:v>
      </x:c>
      <x:c r="P1556" s="30" t="n">
        <x:f>O1556*J1556*(1+M1556)</x:f>
        <x:v>0.0000037950000000000005</x:v>
      </x:c>
      <x:c r="Q1556" s="30" t="n">
        <x:f>P1556*N1556</x:f>
        <x:v>0.00004554000000000001</x:v>
      </x:c>
      <x:c r="R1556" s="19" t="str">
        <x:v>六选一；非6个独立爆率</x:v>
      </x:c>
    </x:row>
    <x:row r="1557" ht="19" customHeight="1">
      <x:c r="A1557" s="19" t="str">
        <x:v>D01553</x:v>
      </x:c>
      <x:c r="B1557" s="19" t="n">
        <x:v>4</x:v>
      </x:c>
      <x:c r="C1557" s="19" t="n">
        <x:v>2</x:v>
      </x:c>
      <x:c r="D1557" s="19" t="str">
        <x:v>C04-M021</x:v>
      </x:c>
      <x:c r="E1557" s="19" t="str">
        <x:v>蓝焰祷亡者</x:v>
      </x:c>
      <x:c r="F1557" s="19" t="str">
        <x:v>稀有</x:v>
      </x:c>
      <x:c r="G1557" s="19" t="str">
        <x:v>自身专属</x:v>
      </x:c>
      <x:c r="H1557" s="19" t="str">
        <x:v>蓝焰祷戒</x:v>
      </x:c>
      <x:c r="I1557" s="22" t="n">
        <x:v>300</x:v>
      </x:c>
      <x:c r="J1557" s="22" t="n">
        <x:v>1</x:v>
      </x:c>
      <x:c r="K1557" s="19" t="n">
        <x:v>1</x:v>
      </x:c>
      <x:c r="L1557" s="24" t="n">
        <x:v>17.25</x:v>
      </x:c>
      <x:c r="M1557" s="26" t="n">
        <x:v>0.1</x:v>
      </x:c>
      <x:c r="N1557" s="24" t="n">
        <x:v>11.943757750385547</x:v>
      </x:c>
      <x:c r="O1557" s="28" t="n">
        <x:f>MIN(1,L1557/I1557)</x:f>
        <x:v>0.0575</x:v>
      </x:c>
      <x:c r="P1557" s="30" t="n">
        <x:f>O1557*J1557*(1+M1557)</x:f>
        <x:v>0.06325000000000001</x:v>
      </x:c>
      <x:c r="Q1557" s="30" t="n">
        <x:f>P1557*N1557</x:f>
        <x:v>0.755442677711886</x:v>
      </x:c>
      <x:c r="R1557" s="19" t="str">
        <x:v>独立判定</x:v>
      </x:c>
    </x:row>
    <x:row r="1558" ht="19" customHeight="1">
      <x:c r="A1558" s="19" t="str">
        <x:v>D01554</x:v>
      </x:c>
      <x:c r="B1558" s="19" t="n">
        <x:v>4</x:v>
      </x:c>
      <x:c r="C1558" s="19" t="n">
        <x:v>2</x:v>
      </x:c>
      <x:c r="D1558" s="19" t="str">
        <x:v>C04-M021</x:v>
      </x:c>
      <x:c r="E1558" s="19" t="str">
        <x:v>蓝焰祷亡者</x:v>
      </x:c>
      <x:c r="F1558" s="19" t="str">
        <x:v>稀有</x:v>
      </x:c>
      <x:c r="G1558" s="19" t="str">
        <x:v>材料独立候选</x:v>
      </x:c>
      <x:c r="H1558" s="19" t="str">
        <x:v>湖盐结晶</x:v>
      </x:c>
      <x:c r="I1558" s="22" t="n">
        <x:v>300</x:v>
      </x:c>
      <x:c r="J1558" s="22" t="n">
        <x:v>15</x:v>
      </x:c>
      <x:c r="K1558" s="19" t="n">
        <x:v>1</x:v>
      </x:c>
      <x:c r="L1558" s="24" t="n">
        <x:v>17.25</x:v>
      </x:c>
      <x:c r="M1558" s="26" t="n">
        <x:v>0.1</x:v>
      </x:c>
      <x:c r="N1558" s="24" t="n">
        <x:v>11.943757750385547</x:v>
      </x:c>
      <x:c r="O1558" s="28" t="n">
        <x:f>MIN(1,L1558/I1558)</x:f>
        <x:v>0.0575</x:v>
      </x:c>
      <x:c r="P1558" s="30" t="n">
        <x:f>O1558*J1558*(1+M1558)</x:f>
        <x:v>0.9487500000000001</x:v>
      </x:c>
      <x:c r="Q1558" s="30" t="n">
        <x:f>P1558*N1558</x:f>
        <x:v>11.331640165678289</x:v>
      </x:c>
      <x:c r="R1558" s="19" t="str">
        <x:v>独立判定</x:v>
      </x:c>
    </x:row>
    <x:row r="1559" ht="19" customHeight="1">
      <x:c r="A1559" s="19" t="str">
        <x:v>D01555</x:v>
      </x:c>
      <x:c r="B1559" s="19" t="n">
        <x:v>4</x:v>
      </x:c>
      <x:c r="C1559" s="19" t="n">
        <x:v>2</x:v>
      </x:c>
      <x:c r="D1559" s="19" t="str">
        <x:v>C04-M021</x:v>
      </x:c>
      <x:c r="E1559" s="19" t="str">
        <x:v>蓝焰祷亡者</x:v>
      </x:c>
      <x:c r="F1559" s="19" t="str">
        <x:v>稀有</x:v>
      </x:c>
      <x:c r="G1559" s="19" t="str">
        <x:v>材料独立候选</x:v>
      </x:c>
      <x:c r="H1559" s="19" t="str">
        <x:v>幽船铆钉</x:v>
      </x:c>
      <x:c r="I1559" s="22" t="n">
        <x:v>800</x:v>
      </x:c>
      <x:c r="J1559" s="22" t="n">
        <x:v>1</x:v>
      </x:c>
      <x:c r="K1559" s="19" t="n">
        <x:v>1</x:v>
      </x:c>
      <x:c r="L1559" s="24" t="n">
        <x:v>17.25</x:v>
      </x:c>
      <x:c r="M1559" s="26" t="n">
        <x:v>0.1</x:v>
      </x:c>
      <x:c r="N1559" s="24" t="n">
        <x:v>11.943757750385547</x:v>
      </x:c>
      <x:c r="O1559" s="28" t="n">
        <x:f>MIN(1,L1559/I1559)</x:f>
        <x:v>0.0215625</x:v>
      </x:c>
      <x:c r="P1559" s="30" t="n">
        <x:f>O1559*J1559*(1+M1559)</x:f>
        <x:v>0.02371875</x:v>
      </x:c>
      <x:c r="Q1559" s="30" t="n">
        <x:f>P1559*N1559</x:f>
        <x:v>0.2832910041419572</x:v>
      </x:c>
      <x:c r="R1559" s="19" t="str">
        <x:v>独立判定</x:v>
      </x:c>
    </x:row>
    <x:row r="1560" ht="19" customHeight="1">
      <x:c r="A1560" s="19" t="str">
        <x:v>D01556</x:v>
      </x:c>
      <x:c r="B1560" s="19" t="n">
        <x:v>4</x:v>
      </x:c>
      <x:c r="C1560" s="19" t="n">
        <x:v>2</x:v>
      </x:c>
      <x:c r="D1560" s="19" t="str">
        <x:v>C04-M021</x:v>
      </x:c>
      <x:c r="E1560" s="19" t="str">
        <x:v>蓝焰祷亡者</x:v>
      </x:c>
      <x:c r="F1560" s="19" t="str">
        <x:v>稀有</x:v>
      </x:c>
      <x:c r="G1560" s="19" t="str">
        <x:v>材料独立候选</x:v>
      </x:c>
      <x:c r="H1560" s="19" t="str">
        <x:v>沉船缆扣</x:v>
      </x:c>
      <x:c r="I1560" s="22" t="n">
        <x:v>400</x:v>
      </x:c>
      <x:c r="J1560" s="22" t="n">
        <x:v>1</x:v>
      </x:c>
      <x:c r="K1560" s="19" t="n">
        <x:v>1</x:v>
      </x:c>
      <x:c r="L1560" s="24" t="n">
        <x:v>17.25</x:v>
      </x:c>
      <x:c r="M1560" s="26" t="n">
        <x:v>0.1</x:v>
      </x:c>
      <x:c r="N1560" s="24" t="n">
        <x:v>11.943757750385547</x:v>
      </x:c>
      <x:c r="O1560" s="28" t="n">
        <x:f>MIN(1,L1560/I1560)</x:f>
        <x:v>0.043125</x:v>
      </x:c>
      <x:c r="P1560" s="30" t="n">
        <x:f>O1560*J1560*(1+M1560)</x:f>
        <x:v>0.0474375</x:v>
      </x:c>
      <x:c r="Q1560" s="30" t="n">
        <x:f>P1560*N1560</x:f>
        <x:v>0.5665820082839144</x:v>
      </x:c>
      <x:c r="R1560" s="19" t="str">
        <x:v>独立判定</x:v>
      </x:c>
    </x:row>
    <x:row r="1561" ht="19" customHeight="1">
      <x:c r="A1561" s="19" t="str">
        <x:v>D01557</x:v>
      </x:c>
      <x:c r="B1561" s="19" t="n">
        <x:v>4</x:v>
      </x:c>
      <x:c r="C1561" s="19" t="n">
        <x:v>2</x:v>
      </x:c>
      <x:c r="D1561" s="19" t="str">
        <x:v>C04-M021</x:v>
      </x:c>
      <x:c r="E1561" s="19" t="str">
        <x:v>蓝焰祷亡者</x:v>
      </x:c>
      <x:c r="F1561" s="19" t="str">
        <x:v>稀有</x:v>
      </x:c>
      <x:c r="G1561" s="19" t="str">
        <x:v>材料独立候选</x:v>
      </x:c>
      <x:c r="H1561" s="19" t="str">
        <x:v>月潮忆珀</x:v>
      </x:c>
      <x:c r="I1561" s="22" t="n">
        <x:v>500000</x:v>
      </x:c>
      <x:c r="J1561" s="22" t="n">
        <x:v>1</x:v>
      </x:c>
      <x:c r="K1561" s="19" t="n">
        <x:v>1</x:v>
      </x:c>
      <x:c r="L1561" s="24" t="n">
        <x:v>17.25</x:v>
      </x:c>
      <x:c r="M1561" s="26" t="n">
        <x:v>0.1</x:v>
      </x:c>
      <x:c r="N1561" s="24" t="n">
        <x:v>11.943757750385547</x:v>
      </x:c>
      <x:c r="O1561" s="28" t="n">
        <x:f>MIN(1,L1561/I1561)</x:f>
        <x:v>0.0000345</x:v>
      </x:c>
      <x:c r="P1561" s="30" t="n">
        <x:f>O1561*J1561*(1+M1561)</x:f>
        <x:v>0.00003795</x:v>
      </x:c>
      <x:c r="Q1561" s="30" t="n">
        <x:f>P1561*N1561</x:f>
        <x:v>0.0004532656066271315</x:v>
      </x:c>
      <x:c r="R1561" s="19" t="str">
        <x:v>独立判定</x:v>
      </x:c>
    </x:row>
    <x:row r="1562" ht="19" customHeight="1">
      <x:c r="A1562" s="19" t="str">
        <x:v>D01558</x:v>
      </x:c>
      <x:c r="B1562" s="19" t="n">
        <x:v>4</x:v>
      </x:c>
      <x:c r="C1562" s="19" t="n">
        <x:v>2</x:v>
      </x:c>
      <x:c r="D1562" s="19" t="str">
        <x:v>C04-M021</x:v>
      </x:c>
      <x:c r="E1562" s="19" t="str">
        <x:v>蓝焰祷亡者</x:v>
      </x:c>
      <x:c r="F1562" s="19" t="str">
        <x:v>稀有</x:v>
      </x:c>
      <x:c r="G1562" s="19" t="str">
        <x:v>材料独立候选</x:v>
      </x:c>
      <x:c r="H1562" s="19" t="str">
        <x:v>黄金树芽</x:v>
      </x:c>
      <x:c r="I1562" s="22" t="n">
        <x:v>1500</x:v>
      </x:c>
      <x:c r="J1562" s="22" t="n">
        <x:v>1</x:v>
      </x:c>
      <x:c r="K1562" s="19" t="n">
        <x:v>1</x:v>
      </x:c>
      <x:c r="L1562" s="24" t="n">
        <x:v>17.25</x:v>
      </x:c>
      <x:c r="M1562" s="26" t="n">
        <x:v>0.1</x:v>
      </x:c>
      <x:c r="N1562" s="24" t="n">
        <x:v>11.943757750385547</x:v>
      </x:c>
      <x:c r="O1562" s="28" t="n">
        <x:f>MIN(1,L1562/I1562)</x:f>
        <x:v>0.0115</x:v>
      </x:c>
      <x:c r="P1562" s="30" t="n">
        <x:f>O1562*J1562*(1+M1562)</x:f>
        <x:v>0.012650000000000002</x:v>
      </x:c>
      <x:c r="Q1562" s="30" t="n">
        <x:f>P1562*N1562</x:f>
        <x:v>0.1510885355423772</x:v>
      </x:c>
      <x:c r="R1562" s="19" t="str">
        <x:v>独立判定</x:v>
      </x:c>
    </x:row>
    <x:row r="1563" ht="19" customHeight="1">
      <x:c r="A1563" s="19" t="str">
        <x:v>D01559</x:v>
      </x:c>
      <x:c r="B1563" s="19" t="n">
        <x:v>4</x:v>
      </x:c>
      <x:c r="C1563" s="19" t="n">
        <x:v>2</x:v>
      </x:c>
      <x:c r="D1563" s="19" t="str">
        <x:v>C04-M021</x:v>
      </x:c>
      <x:c r="E1563" s="19" t="str">
        <x:v>蓝焰祷亡者</x:v>
      </x:c>
      <x:c r="F1563" s="19" t="str">
        <x:v>稀有</x:v>
      </x:c>
      <x:c r="G1563" s="19" t="str">
        <x:v>材料独立候选</x:v>
      </x:c>
      <x:c r="H1563" s="19" t="str">
        <x:v>野兽骨片</x:v>
      </x:c>
      <x:c r="I1563" s="22" t="n">
        <x:v>50</x:v>
      </x:c>
      <x:c r="J1563" s="22" t="n">
        <x:v>2</x:v>
      </x:c>
      <x:c r="K1563" s="19" t="n">
        <x:v>1</x:v>
      </x:c>
      <x:c r="L1563" s="24" t="n">
        <x:v>17.25</x:v>
      </x:c>
      <x:c r="M1563" s="26" t="n">
        <x:v>0.1</x:v>
      </x:c>
      <x:c r="N1563" s="24" t="n">
        <x:v>11.943757750385547</x:v>
      </x:c>
      <x:c r="O1563" s="28" t="n">
        <x:f>MIN(1,L1563/I1563)</x:f>
        <x:v>0.345</x:v>
      </x:c>
      <x:c r="P1563" s="30" t="n">
        <x:f>O1563*J1563*(1+M1563)</x:f>
        <x:v>0.759</x:v>
      </x:c>
      <x:c r="Q1563" s="30" t="n">
        <x:f>P1563*N1563</x:f>
        <x:v>9.06531213254263</x:v>
      </x:c>
      <x:c r="R1563" s="19" t="str">
        <x:v>独立判定</x:v>
      </x:c>
    </x:row>
    <x:row r="1564" ht="19" customHeight="1">
      <x:c r="A1564" s="19" t="str">
        <x:v>D01560</x:v>
      </x:c>
      <x:c r="B1564" s="19" t="n">
        <x:v>4</x:v>
      </x:c>
      <x:c r="C1564" s="19" t="n">
        <x:v>2</x:v>
      </x:c>
      <x:c r="D1564" s="19" t="str">
        <x:v>C04-M021</x:v>
      </x:c>
      <x:c r="E1564" s="19" t="str">
        <x:v>蓝焰祷亡者</x:v>
      </x:c>
      <x:c r="F1564" s="19" t="str">
        <x:v>稀有</x:v>
      </x:c>
      <x:c r="G1564" s="19" t="str">
        <x:v>材料独立候选</x:v>
      </x:c>
      <x:c r="H1564" s="19" t="str">
        <x:v>技能残页</x:v>
      </x:c>
      <x:c r="I1564" s="22" t="n">
        <x:v>250</x:v>
      </x:c>
      <x:c r="J1564" s="22" t="n">
        <x:v>1</x:v>
      </x:c>
      <x:c r="K1564" s="19" t="n">
        <x:v>1</x:v>
      </x:c>
      <x:c r="L1564" s="24" t="n">
        <x:v>17.25</x:v>
      </x:c>
      <x:c r="M1564" s="26" t="n">
        <x:v>0.1</x:v>
      </x:c>
      <x:c r="N1564" s="24" t="n">
        <x:v>11.943757750385547</x:v>
      </x:c>
      <x:c r="O1564" s="28" t="n">
        <x:f>MIN(1,L1564/I1564)</x:f>
        <x:v>0.069</x:v>
      </x:c>
      <x:c r="P1564" s="30" t="n">
        <x:f>O1564*J1564*(1+M1564)</x:f>
        <x:v>0.07590000000000001</x:v>
      </x:c>
      <x:c r="Q1564" s="30" t="n">
        <x:f>P1564*N1564</x:f>
        <x:v>0.9065312132542631</x:v>
      </x:c>
      <x:c r="R1564" s="19" t="str">
        <x:v>独立判定</x:v>
      </x:c>
    </x:row>
    <x:row r="1565" ht="19" customHeight="1">
      <x:c r="A1565" s="19" t="str">
        <x:v>D01561</x:v>
      </x:c>
      <x:c r="B1565" s="19" t="n">
        <x:v>4</x:v>
      </x:c>
      <x:c r="C1565" s="19" t="n">
        <x:v>2</x:v>
      </x:c>
      <x:c r="D1565" s="19" t="str">
        <x:v>C04-M021</x:v>
      </x:c>
      <x:c r="E1565" s="19" t="str">
        <x:v>蓝焰祷亡者</x:v>
      </x:c>
      <x:c r="F1565" s="19" t="str">
        <x:v>稀有</x:v>
      </x:c>
      <x:c r="G1565" s="19" t="str">
        <x:v>材料独立候选</x:v>
      </x:c>
      <x:c r="H1565" s="19" t="str">
        <x:v>小卢恩</x:v>
      </x:c>
      <x:c r="I1565" s="22" t="n">
        <x:v>500</x:v>
      </x:c>
      <x:c r="J1565" s="22" t="n">
        <x:v>1</x:v>
      </x:c>
      <x:c r="K1565" s="19" t="n">
        <x:v>1</x:v>
      </x:c>
      <x:c r="L1565" s="24" t="n">
        <x:v>17.25</x:v>
      </x:c>
      <x:c r="M1565" s="26" t="n">
        <x:v>0.1</x:v>
      </x:c>
      <x:c r="N1565" s="24" t="n">
        <x:v>11.943757750385547</x:v>
      </x:c>
      <x:c r="O1565" s="28" t="n">
        <x:f>MIN(1,L1565/I1565)</x:f>
        <x:v>0.0345</x:v>
      </x:c>
      <x:c r="P1565" s="30" t="n">
        <x:f>O1565*J1565*(1+M1565)</x:f>
        <x:v>0.037950000000000005</x:v>
      </x:c>
      <x:c r="Q1565" s="30" t="n">
        <x:f>P1565*N1565</x:f>
        <x:v>0.45326560662713156</x:v>
      </x:c>
      <x:c r="R1565" s="19" t="str">
        <x:v>独立判定</x:v>
      </x:c>
    </x:row>
    <x:row r="1566" ht="19" customHeight="1">
      <x:c r="A1566" s="19" t="str">
        <x:v>D01562</x:v>
      </x:c>
      <x:c r="B1566" s="19" t="n">
        <x:v>4</x:v>
      </x:c>
      <x:c r="C1566" s="19" t="n">
        <x:v>2</x:v>
      </x:c>
      <x:c r="D1566" s="19" t="str">
        <x:v>C04-M021</x:v>
      </x:c>
      <x:c r="E1566" s="19" t="str">
        <x:v>蓝焰祷亡者</x:v>
      </x:c>
      <x:c r="F1566" s="19" t="str">
        <x:v>稀有</x:v>
      </x:c>
      <x:c r="G1566" s="19" t="str">
        <x:v>六神器公共池</x:v>
      </x:c>
      <x:c r="H1566" s="19" t="str">
        <x:v>POOL006</x:v>
      </x:c>
      <x:c r="I1566" s="22" t="n">
        <x:v>5000000</x:v>
      </x:c>
      <x:c r="J1566" s="22" t="n">
        <x:v>1</x:v>
      </x:c>
      <x:c r="K1566" s="19" t="n">
        <x:v>6</x:v>
      </x:c>
      <x:c r="L1566" s="24" t="n">
        <x:v>17.25</x:v>
      </x:c>
      <x:c r="M1566" s="26" t="n">
        <x:v>0.1</x:v>
      </x:c>
      <x:c r="N1566" s="24" t="n">
        <x:v>11.943757750385547</x:v>
      </x:c>
      <x:c r="O1566" s="28" t="n">
        <x:f>MIN(1,L1566/I1566)</x:f>
        <x:v>0.00000345</x:v>
      </x:c>
      <x:c r="P1566" s="30" t="n">
        <x:f>O1566*J1566*(1+M1566)</x:f>
        <x:v>0.0000037950000000000005</x:v>
      </x:c>
      <x:c r="Q1566" s="30" t="n">
        <x:f>P1566*N1566</x:f>
        <x:v>0.000045326560662713155</x:v>
      </x:c>
      <x:c r="R1566" s="19" t="str">
        <x:v>六选一；非6个独立爆率</x:v>
      </x:c>
    </x:row>
    <x:row r="1567" ht="19" customHeight="1">
      <x:c r="A1567" s="19" t="str">
        <x:v>D01563</x:v>
      </x:c>
      <x:c r="B1567" s="19" t="n">
        <x:v>4</x:v>
      </x:c>
      <x:c r="C1567" s="19" t="n">
        <x:v>2</x:v>
      </x:c>
      <x:c r="D1567" s="19" t="str">
        <x:v>C04-M022</x:v>
      </x:c>
      <x:c r="E1567" s="19" t="str">
        <x:v>祭池双生螯</x:v>
      </x:c>
      <x:c r="F1567" s="19" t="str">
        <x:v>稀有</x:v>
      </x:c>
      <x:c r="G1567" s="19" t="str">
        <x:v>自身专属</x:v>
      </x:c>
      <x:c r="H1567" s="19" t="str">
        <x:v>双螯束带</x:v>
      </x:c>
      <x:c r="I1567" s="22" t="n">
        <x:v>300</x:v>
      </x:c>
      <x:c r="J1567" s="22" t="n">
        <x:v>1</x:v>
      </x:c>
      <x:c r="K1567" s="19" t="n">
        <x:v>1</x:v>
      </x:c>
      <x:c r="L1567" s="24" t="n">
        <x:v>17.25</x:v>
      </x:c>
      <x:c r="M1567" s="26" t="n">
        <x:v>0.1</x:v>
      </x:c>
      <x:c r="N1567" s="24" t="n">
        <x:v>10.37538552053694</x:v>
      </x:c>
      <x:c r="O1567" s="28" t="n">
        <x:f>MIN(1,L1567/I1567)</x:f>
        <x:v>0.0575</x:v>
      </x:c>
      <x:c r="P1567" s="30" t="n">
        <x:f>O1567*J1567*(1+M1567)</x:f>
        <x:v>0.06325000000000001</x:v>
      </x:c>
      <x:c r="Q1567" s="30" t="n">
        <x:f>P1567*N1567</x:f>
        <x:v>0.6562431341739615</x:v>
      </x:c>
      <x:c r="R1567" s="19" t="str">
        <x:v>独立判定</x:v>
      </x:c>
    </x:row>
    <x:row r="1568" ht="19" customHeight="1">
      <x:c r="A1568" s="19" t="str">
        <x:v>D01564</x:v>
      </x:c>
      <x:c r="B1568" s="19" t="n">
        <x:v>4</x:v>
      </x:c>
      <x:c r="C1568" s="19" t="n">
        <x:v>2</x:v>
      </x:c>
      <x:c r="D1568" s="19" t="str">
        <x:v>C04-M022</x:v>
      </x:c>
      <x:c r="E1568" s="19" t="str">
        <x:v>祭池双生螯</x:v>
      </x:c>
      <x:c r="F1568" s="19" t="str">
        <x:v>稀有</x:v>
      </x:c>
      <x:c r="G1568" s="19" t="str">
        <x:v>材料独立候选</x:v>
      </x:c>
      <x:c r="H1568" s="19" t="str">
        <x:v>湖盐结晶</x:v>
      </x:c>
      <x:c r="I1568" s="22" t="n">
        <x:v>300</x:v>
      </x:c>
      <x:c r="J1568" s="22" t="n">
        <x:v>15</x:v>
      </x:c>
      <x:c r="K1568" s="19" t="n">
        <x:v>1</x:v>
      </x:c>
      <x:c r="L1568" s="24" t="n">
        <x:v>17.25</x:v>
      </x:c>
      <x:c r="M1568" s="26" t="n">
        <x:v>0.1</x:v>
      </x:c>
      <x:c r="N1568" s="24" t="n">
        <x:v>10.37538552053694</x:v>
      </x:c>
      <x:c r="O1568" s="28" t="n">
        <x:f>MIN(1,L1568/I1568)</x:f>
        <x:v>0.0575</x:v>
      </x:c>
      <x:c r="P1568" s="30" t="n">
        <x:f>O1568*J1568*(1+M1568)</x:f>
        <x:v>0.9487500000000001</x:v>
      </x:c>
      <x:c r="Q1568" s="30" t="n">
        <x:f>P1568*N1568</x:f>
        <x:v>9.843647012609422</x:v>
      </x:c>
      <x:c r="R1568" s="19" t="str">
        <x:v>独立判定</x:v>
      </x:c>
    </x:row>
    <x:row r="1569" ht="19" customHeight="1">
      <x:c r="A1569" s="19" t="str">
        <x:v>D01565</x:v>
      </x:c>
      <x:c r="B1569" s="19" t="n">
        <x:v>4</x:v>
      </x:c>
      <x:c r="C1569" s="19" t="n">
        <x:v>2</x:v>
      </x:c>
      <x:c r="D1569" s="19" t="str">
        <x:v>C04-M022</x:v>
      </x:c>
      <x:c r="E1569" s="19" t="str">
        <x:v>祭池双生螯</x:v>
      </x:c>
      <x:c r="F1569" s="19" t="str">
        <x:v>稀有</x:v>
      </x:c>
      <x:c r="G1569" s="19" t="str">
        <x:v>材料独立候选</x:v>
      </x:c>
      <x:c r="H1569" s="19" t="str">
        <x:v>幽船铆钉</x:v>
      </x:c>
      <x:c r="I1569" s="22" t="n">
        <x:v>800</x:v>
      </x:c>
      <x:c r="J1569" s="22" t="n">
        <x:v>1</x:v>
      </x:c>
      <x:c r="K1569" s="19" t="n">
        <x:v>1</x:v>
      </x:c>
      <x:c r="L1569" s="24" t="n">
        <x:v>17.25</x:v>
      </x:c>
      <x:c r="M1569" s="26" t="n">
        <x:v>0.1</x:v>
      </x:c>
      <x:c r="N1569" s="24" t="n">
        <x:v>10.37538552053694</x:v>
      </x:c>
      <x:c r="O1569" s="28" t="n">
        <x:f>MIN(1,L1569/I1569)</x:f>
        <x:v>0.0215625</x:v>
      </x:c>
      <x:c r="P1569" s="30" t="n">
        <x:f>O1569*J1569*(1+M1569)</x:f>
        <x:v>0.02371875</x:v>
      </x:c>
      <x:c r="Q1569" s="30" t="n">
        <x:f>P1569*N1569</x:f>
        <x:v>0.24609117531523553</x:v>
      </x:c>
      <x:c r="R1569" s="19" t="str">
        <x:v>独立判定</x:v>
      </x:c>
    </x:row>
    <x:row r="1570" ht="19" customHeight="1">
      <x:c r="A1570" s="19" t="str">
        <x:v>D01566</x:v>
      </x:c>
      <x:c r="B1570" s="19" t="n">
        <x:v>4</x:v>
      </x:c>
      <x:c r="C1570" s="19" t="n">
        <x:v>2</x:v>
      </x:c>
      <x:c r="D1570" s="19" t="str">
        <x:v>C04-M022</x:v>
      </x:c>
      <x:c r="E1570" s="19" t="str">
        <x:v>祭池双生螯</x:v>
      </x:c>
      <x:c r="F1570" s="19" t="str">
        <x:v>稀有</x:v>
      </x:c>
      <x:c r="G1570" s="19" t="str">
        <x:v>材料独立候选</x:v>
      </x:c>
      <x:c r="H1570" s="19" t="str">
        <x:v>沉船缆扣</x:v>
      </x:c>
      <x:c r="I1570" s="22" t="n">
        <x:v>400</x:v>
      </x:c>
      <x:c r="J1570" s="22" t="n">
        <x:v>1</x:v>
      </x:c>
      <x:c r="K1570" s="19" t="n">
        <x:v>1</x:v>
      </x:c>
      <x:c r="L1570" s="24" t="n">
        <x:v>17.25</x:v>
      </x:c>
      <x:c r="M1570" s="26" t="n">
        <x:v>0.1</x:v>
      </x:c>
      <x:c r="N1570" s="24" t="n">
        <x:v>10.37538552053694</x:v>
      </x:c>
      <x:c r="O1570" s="28" t="n">
        <x:f>MIN(1,L1570/I1570)</x:f>
        <x:v>0.043125</x:v>
      </x:c>
      <x:c r="P1570" s="30" t="n">
        <x:f>O1570*J1570*(1+M1570)</x:f>
        <x:v>0.0474375</x:v>
      </x:c>
      <x:c r="Q1570" s="30" t="n">
        <x:f>P1570*N1570</x:f>
        <x:v>0.49218235063047105</x:v>
      </x:c>
      <x:c r="R1570" s="19" t="str">
        <x:v>独立判定</x:v>
      </x:c>
    </x:row>
    <x:row r="1571" ht="19" customHeight="1">
      <x:c r="A1571" s="19" t="str">
        <x:v>D01567</x:v>
      </x:c>
      <x:c r="B1571" s="19" t="n">
        <x:v>4</x:v>
      </x:c>
      <x:c r="C1571" s="19" t="n">
        <x:v>2</x:v>
      </x:c>
      <x:c r="D1571" s="19" t="str">
        <x:v>C04-M022</x:v>
      </x:c>
      <x:c r="E1571" s="19" t="str">
        <x:v>祭池双生螯</x:v>
      </x:c>
      <x:c r="F1571" s="19" t="str">
        <x:v>稀有</x:v>
      </x:c>
      <x:c r="G1571" s="19" t="str">
        <x:v>材料独立候选</x:v>
      </x:c>
      <x:c r="H1571" s="19" t="str">
        <x:v>月潮忆珀</x:v>
      </x:c>
      <x:c r="I1571" s="22" t="n">
        <x:v>500000</x:v>
      </x:c>
      <x:c r="J1571" s="22" t="n">
        <x:v>1</x:v>
      </x:c>
      <x:c r="K1571" s="19" t="n">
        <x:v>1</x:v>
      </x:c>
      <x:c r="L1571" s="24" t="n">
        <x:v>17.25</x:v>
      </x:c>
      <x:c r="M1571" s="26" t="n">
        <x:v>0.1</x:v>
      </x:c>
      <x:c r="N1571" s="24" t="n">
        <x:v>10.37538552053694</x:v>
      </x:c>
      <x:c r="O1571" s="28" t="n">
        <x:f>MIN(1,L1571/I1571)</x:f>
        <x:v>0.0000345</x:v>
      </x:c>
      <x:c r="P1571" s="30" t="n">
        <x:f>O1571*J1571*(1+M1571)</x:f>
        <x:v>0.00003795</x:v>
      </x:c>
      <x:c r="Q1571" s="30" t="n">
        <x:f>P1571*N1571</x:f>
        <x:v>0.00039374588050437685</x:v>
      </x:c>
      <x:c r="R1571" s="19" t="str">
        <x:v>独立判定</x:v>
      </x:c>
    </x:row>
    <x:row r="1572" ht="19" customHeight="1">
      <x:c r="A1572" s="19" t="str">
        <x:v>D01568</x:v>
      </x:c>
      <x:c r="B1572" s="19" t="n">
        <x:v>4</x:v>
      </x:c>
      <x:c r="C1572" s="19" t="n">
        <x:v>2</x:v>
      </x:c>
      <x:c r="D1572" s="19" t="str">
        <x:v>C04-M022</x:v>
      </x:c>
      <x:c r="E1572" s="19" t="str">
        <x:v>祭池双生螯</x:v>
      </x:c>
      <x:c r="F1572" s="19" t="str">
        <x:v>稀有</x:v>
      </x:c>
      <x:c r="G1572" s="19" t="str">
        <x:v>材料独立候选</x:v>
      </x:c>
      <x:c r="H1572" s="19" t="str">
        <x:v>黄金树芽</x:v>
      </x:c>
      <x:c r="I1572" s="22" t="n">
        <x:v>1500</x:v>
      </x:c>
      <x:c r="J1572" s="22" t="n">
        <x:v>1</x:v>
      </x:c>
      <x:c r="K1572" s="19" t="n">
        <x:v>1</x:v>
      </x:c>
      <x:c r="L1572" s="24" t="n">
        <x:v>17.25</x:v>
      </x:c>
      <x:c r="M1572" s="26" t="n">
        <x:v>0.1</x:v>
      </x:c>
      <x:c r="N1572" s="24" t="n">
        <x:v>10.37538552053694</x:v>
      </x:c>
      <x:c r="O1572" s="28" t="n">
        <x:f>MIN(1,L1572/I1572)</x:f>
        <x:v>0.0115</x:v>
      </x:c>
      <x:c r="P1572" s="30" t="n">
        <x:f>O1572*J1572*(1+M1572)</x:f>
        <x:v>0.012650000000000002</x:v>
      </x:c>
      <x:c r="Q1572" s="30" t="n">
        <x:f>P1572*N1572</x:f>
        <x:v>0.1312486268347923</x:v>
      </x:c>
      <x:c r="R1572" s="19" t="str">
        <x:v>独立判定</x:v>
      </x:c>
    </x:row>
    <x:row r="1573" ht="19" customHeight="1">
      <x:c r="A1573" s="19" t="str">
        <x:v>D01569</x:v>
      </x:c>
      <x:c r="B1573" s="19" t="n">
        <x:v>4</x:v>
      </x:c>
      <x:c r="C1573" s="19" t="n">
        <x:v>2</x:v>
      </x:c>
      <x:c r="D1573" s="19" t="str">
        <x:v>C04-M022</x:v>
      </x:c>
      <x:c r="E1573" s="19" t="str">
        <x:v>祭池双生螯</x:v>
      </x:c>
      <x:c r="F1573" s="19" t="str">
        <x:v>稀有</x:v>
      </x:c>
      <x:c r="G1573" s="19" t="str">
        <x:v>材料独立候选</x:v>
      </x:c>
      <x:c r="H1573" s="19" t="str">
        <x:v>野兽骨片</x:v>
      </x:c>
      <x:c r="I1573" s="22" t="n">
        <x:v>50</x:v>
      </x:c>
      <x:c r="J1573" s="22" t="n">
        <x:v>2</x:v>
      </x:c>
      <x:c r="K1573" s="19" t="n">
        <x:v>1</x:v>
      </x:c>
      <x:c r="L1573" s="24" t="n">
        <x:v>17.25</x:v>
      </x:c>
      <x:c r="M1573" s="26" t="n">
        <x:v>0.1</x:v>
      </x:c>
      <x:c r="N1573" s="24" t="n">
        <x:v>10.37538552053694</x:v>
      </x:c>
      <x:c r="O1573" s="28" t="n">
        <x:f>MIN(1,L1573/I1573)</x:f>
        <x:v>0.345</x:v>
      </x:c>
      <x:c r="P1573" s="30" t="n">
        <x:f>O1573*J1573*(1+M1573)</x:f>
        <x:v>0.759</x:v>
      </x:c>
      <x:c r="Q1573" s="30" t="n">
        <x:f>P1573*N1573</x:f>
        <x:v>7.874917610087537</x:v>
      </x:c>
      <x:c r="R1573" s="19" t="str">
        <x:v>独立判定</x:v>
      </x:c>
    </x:row>
    <x:row r="1574" ht="19" customHeight="1">
      <x:c r="A1574" s="19" t="str">
        <x:v>D01570</x:v>
      </x:c>
      <x:c r="B1574" s="19" t="n">
        <x:v>4</x:v>
      </x:c>
      <x:c r="C1574" s="19" t="n">
        <x:v>2</x:v>
      </x:c>
      <x:c r="D1574" s="19" t="str">
        <x:v>C04-M022</x:v>
      </x:c>
      <x:c r="E1574" s="19" t="str">
        <x:v>祭池双生螯</x:v>
      </x:c>
      <x:c r="F1574" s="19" t="str">
        <x:v>稀有</x:v>
      </x:c>
      <x:c r="G1574" s="19" t="str">
        <x:v>材料独立候选</x:v>
      </x:c>
      <x:c r="H1574" s="19" t="str">
        <x:v>技能残页</x:v>
      </x:c>
      <x:c r="I1574" s="22" t="n">
        <x:v>250</x:v>
      </x:c>
      <x:c r="J1574" s="22" t="n">
        <x:v>1</x:v>
      </x:c>
      <x:c r="K1574" s="19" t="n">
        <x:v>1</x:v>
      </x:c>
      <x:c r="L1574" s="24" t="n">
        <x:v>17.25</x:v>
      </x:c>
      <x:c r="M1574" s="26" t="n">
        <x:v>0.1</x:v>
      </x:c>
      <x:c r="N1574" s="24" t="n">
        <x:v>10.37538552053694</x:v>
      </x:c>
      <x:c r="O1574" s="28" t="n">
        <x:f>MIN(1,L1574/I1574)</x:f>
        <x:v>0.069</x:v>
      </x:c>
      <x:c r="P1574" s="30" t="n">
        <x:f>O1574*J1574*(1+M1574)</x:f>
        <x:v>0.07590000000000001</x:v>
      </x:c>
      <x:c r="Q1574" s="30" t="n">
        <x:f>P1574*N1574</x:f>
        <x:v>0.7874917610087538</x:v>
      </x:c>
      <x:c r="R1574" s="19" t="str">
        <x:v>独立判定</x:v>
      </x:c>
    </x:row>
    <x:row r="1575" ht="19" customHeight="1">
      <x:c r="A1575" s="19" t="str">
        <x:v>D01571</x:v>
      </x:c>
      <x:c r="B1575" s="19" t="n">
        <x:v>4</x:v>
      </x:c>
      <x:c r="C1575" s="19" t="n">
        <x:v>2</x:v>
      </x:c>
      <x:c r="D1575" s="19" t="str">
        <x:v>C04-M022</x:v>
      </x:c>
      <x:c r="E1575" s="19" t="str">
        <x:v>祭池双生螯</x:v>
      </x:c>
      <x:c r="F1575" s="19" t="str">
        <x:v>稀有</x:v>
      </x:c>
      <x:c r="G1575" s="19" t="str">
        <x:v>材料独立候选</x:v>
      </x:c>
      <x:c r="H1575" s="19" t="str">
        <x:v>小卢恩</x:v>
      </x:c>
      <x:c r="I1575" s="22" t="n">
        <x:v>500</x:v>
      </x:c>
      <x:c r="J1575" s="22" t="n">
        <x:v>1</x:v>
      </x:c>
      <x:c r="K1575" s="19" t="n">
        <x:v>1</x:v>
      </x:c>
      <x:c r="L1575" s="24" t="n">
        <x:v>17.25</x:v>
      </x:c>
      <x:c r="M1575" s="26" t="n">
        <x:v>0.1</x:v>
      </x:c>
      <x:c r="N1575" s="24" t="n">
        <x:v>10.37538552053694</x:v>
      </x:c>
      <x:c r="O1575" s="28" t="n">
        <x:f>MIN(1,L1575/I1575)</x:f>
        <x:v>0.0345</x:v>
      </x:c>
      <x:c r="P1575" s="30" t="n">
        <x:f>O1575*J1575*(1+M1575)</x:f>
        <x:v>0.037950000000000005</x:v>
      </x:c>
      <x:c r="Q1575" s="30" t="n">
        <x:f>P1575*N1575</x:f>
        <x:v>0.3937458805043769</x:v>
      </x:c>
      <x:c r="R1575" s="19" t="str">
        <x:v>独立判定</x:v>
      </x:c>
    </x:row>
    <x:row r="1576" ht="19" customHeight="1">
      <x:c r="A1576" s="19" t="str">
        <x:v>D01572</x:v>
      </x:c>
      <x:c r="B1576" s="19" t="n">
        <x:v>4</x:v>
      </x:c>
      <x:c r="C1576" s="19" t="n">
        <x:v>2</x:v>
      </x:c>
      <x:c r="D1576" s="19" t="str">
        <x:v>C04-M022</x:v>
      </x:c>
      <x:c r="E1576" s="19" t="str">
        <x:v>祭池双生螯</x:v>
      </x:c>
      <x:c r="F1576" s="19" t="str">
        <x:v>稀有</x:v>
      </x:c>
      <x:c r="G1576" s="19" t="str">
        <x:v>六神器公共池</x:v>
      </x:c>
      <x:c r="H1576" s="19" t="str">
        <x:v>POOL006</x:v>
      </x:c>
      <x:c r="I1576" s="22" t="n">
        <x:v>5000000</x:v>
      </x:c>
      <x:c r="J1576" s="22" t="n">
        <x:v>1</x:v>
      </x:c>
      <x:c r="K1576" s="19" t="n">
        <x:v>6</x:v>
      </x:c>
      <x:c r="L1576" s="24" t="n">
        <x:v>17.25</x:v>
      </x:c>
      <x:c r="M1576" s="26" t="n">
        <x:v>0.1</x:v>
      </x:c>
      <x:c r="N1576" s="24" t="n">
        <x:v>10.37538552053694</x:v>
      </x:c>
      <x:c r="O1576" s="28" t="n">
        <x:f>MIN(1,L1576/I1576)</x:f>
        <x:v>0.00000345</x:v>
      </x:c>
      <x:c r="P1576" s="30" t="n">
        <x:f>O1576*J1576*(1+M1576)</x:f>
        <x:v>0.0000037950000000000005</x:v>
      </x:c>
      <x:c r="Q1576" s="30" t="n">
        <x:f>P1576*N1576</x:f>
        <x:v>0.00003937458805043769</x:v>
      </x:c>
      <x:c r="R1576" s="19" t="str">
        <x:v>六选一；非6个独立爆率</x:v>
      </x:c>
    </x:row>
    <x:row r="1577" ht="19" customHeight="1">
      <x:c r="A1577" s="19" t="str">
        <x:v>D01573</x:v>
      </x:c>
      <x:c r="B1577" s="19" t="n">
        <x:v>4</x:v>
      </x:c>
      <x:c r="C1577" s="19" t="n">
        <x:v>2</x:v>
      </x:c>
      <x:c r="D1577" s="19" t="str">
        <x:v>C04-M023</x:v>
      </x:c>
      <x:c r="E1577" s="19" t="str">
        <x:v>淹廊判官·摩汶</x:v>
      </x:c>
      <x:c r="F1577" s="19" t="str">
        <x:v>地图BOSS</x:v>
      </x:c>
      <x:c r="G1577" s="19" t="str">
        <x:v>自身专属</x:v>
      </x:c>
      <x:c r="H1577" s="19" t="str">
        <x:v>摩汶的沉水铡</x:v>
      </x:c>
      <x:c r="I1577" s="22" t="n">
        <x:v>40</x:v>
      </x:c>
      <x:c r="J1577" s="22" t="n">
        <x:v>1</x:v>
      </x:c>
      <x:c r="K1577" s="19" t="n">
        <x:v>1</x:v>
      </x:c>
      <x:c r="L1577" s="24" t="n">
        <x:v>17.25</x:v>
      </x:c>
      <x:c r="M1577" s="26" t="n">
        <x:v>0.1</x:v>
      </x:c>
      <x:c r="N1577" s="24" t="n">
        <x:v>2</x:v>
      </x:c>
      <x:c r="O1577" s="28" t="n">
        <x:f>MIN(1,L1577/I1577)</x:f>
        <x:v>0.43125</x:v>
      </x:c>
      <x:c r="P1577" s="30" t="n">
        <x:f>O1577*J1577*(1+M1577)</x:f>
        <x:v>0.47437500000000005</x:v>
      </x:c>
      <x:c r="Q1577" s="30" t="n">
        <x:f>P1577*N1577</x:f>
        <x:v>0.9487500000000001</x:v>
      </x:c>
      <x:c r="R1577" s="19" t="str">
        <x:v>独立判定</x:v>
      </x:c>
    </x:row>
    <x:row r="1578" ht="19" customHeight="1">
      <x:c r="A1578" s="19" t="str">
        <x:v>D01574</x:v>
      </x:c>
      <x:c r="B1578" s="19" t="n">
        <x:v>4</x:v>
      </x:c>
      <x:c r="C1578" s="19" t="n">
        <x:v>2</x:v>
      </x:c>
      <x:c r="D1578" s="19" t="str">
        <x:v>C04-M023</x:v>
      </x:c>
      <x:c r="E1578" s="19" t="str">
        <x:v>淹廊判官·摩汶</x:v>
      </x:c>
      <x:c r="F1578" s="19" t="str">
        <x:v>地图BOSS</x:v>
      </x:c>
      <x:c r="G1578" s="19" t="str">
        <x:v>本图普通兼掉候选</x:v>
      </x:c>
      <x:c r="H1578" s="19" t="str">
        <x:v>POOL026</x:v>
      </x:c>
      <x:c r="I1578" s="22" t="n">
        <x:v>40</x:v>
      </x:c>
      <x:c r="J1578" s="22" t="n">
        <x:v>1</x:v>
      </x:c>
      <x:c r="K1578" s="19" t="n">
        <x:v>2</x:v>
      </x:c>
      <x:c r="L1578" s="24" t="n">
        <x:v>17.25</x:v>
      </x:c>
      <x:c r="M1578" s="26" t="n">
        <x:v>0.1</x:v>
      </x:c>
      <x:c r="N1578" s="24" t="n">
        <x:v>2</x:v>
      </x:c>
      <x:c r="O1578" s="28" t="n">
        <x:f>MIN(1,L1578/I1578)</x:f>
        <x:v>0.43125</x:v>
      </x:c>
      <x:c r="P1578" s="30" t="n">
        <x:f>O1578*J1578*(1+M1578)</x:f>
        <x:v>0.47437500000000005</x:v>
      </x:c>
      <x:c r="Q1578" s="30" t="n">
        <x:f>P1578*N1578</x:f>
        <x:v>0.9487500000000001</x:v>
      </x:c>
      <x:c r="R1578" s="19" t="str">
        <x:v>单池选一</x:v>
      </x:c>
    </x:row>
    <x:row r="1579" ht="19" customHeight="1">
      <x:c r="A1579" s="19" t="str">
        <x:v>D01575</x:v>
      </x:c>
      <x:c r="B1579" s="19" t="n">
        <x:v>4</x:v>
      </x:c>
      <x:c r="C1579" s="19" t="n">
        <x:v>2</x:v>
      </x:c>
      <x:c r="D1579" s="19" t="str">
        <x:v>C04-M023</x:v>
      </x:c>
      <x:c r="E1579" s="19" t="str">
        <x:v>淹廊判官·摩汶</x:v>
      </x:c>
      <x:c r="F1579" s="19" t="str">
        <x:v>地图BOSS</x:v>
      </x:c>
      <x:c r="G1579" s="19" t="str">
        <x:v>材料独立候选</x:v>
      </x:c>
      <x:c r="H1579" s="19" t="str">
        <x:v>湖盐结晶</x:v>
      </x:c>
      <x:c r="I1579" s="22" t="n">
        <x:v>180</x:v>
      </x:c>
      <x:c r="J1579" s="22" t="n">
        <x:v>30</x:v>
      </x:c>
      <x:c r="K1579" s="19" t="n">
        <x:v>1</x:v>
      </x:c>
      <x:c r="L1579" s="24" t="n">
        <x:v>17.25</x:v>
      </x:c>
      <x:c r="M1579" s="26" t="n">
        <x:v>0.1</x:v>
      </x:c>
      <x:c r="N1579" s="24" t="n">
        <x:v>2</x:v>
      </x:c>
      <x:c r="O1579" s="28" t="n">
        <x:f>MIN(1,L1579/I1579)</x:f>
        <x:v>0.09583333333333334</x:v>
      </x:c>
      <x:c r="P1579" s="30" t="n">
        <x:f>O1579*J1579*(1+M1579)</x:f>
        <x:v>3.1625</x:v>
      </x:c>
      <x:c r="Q1579" s="30" t="n">
        <x:f>P1579*N1579</x:f>
        <x:v>6.325</x:v>
      </x:c>
      <x:c r="R1579" s="19" t="str">
        <x:v>独立判定</x:v>
      </x:c>
    </x:row>
    <x:row r="1580" ht="19" customHeight="1">
      <x:c r="A1580" s="19" t="str">
        <x:v>D01576</x:v>
      </x:c>
      <x:c r="B1580" s="19" t="n">
        <x:v>4</x:v>
      </x:c>
      <x:c r="C1580" s="19" t="n">
        <x:v>2</x:v>
      </x:c>
      <x:c r="D1580" s="19" t="str">
        <x:v>C04-M023</x:v>
      </x:c>
      <x:c r="E1580" s="19" t="str">
        <x:v>淹廊判官·摩汶</x:v>
      </x:c>
      <x:c r="F1580" s="19" t="str">
        <x:v>地图BOSS</x:v>
      </x:c>
      <x:c r="G1580" s="19" t="str">
        <x:v>材料独立候选</x:v>
      </x:c>
      <x:c r="H1580" s="19" t="str">
        <x:v>幽船铆钉</x:v>
      </x:c>
      <x:c r="I1580" s="22" t="n">
        <x:v>500</x:v>
      </x:c>
      <x:c r="J1580" s="22" t="n">
        <x:v>1</x:v>
      </x:c>
      <x:c r="K1580" s="19" t="n">
        <x:v>1</x:v>
      </x:c>
      <x:c r="L1580" s="24" t="n">
        <x:v>17.25</x:v>
      </x:c>
      <x:c r="M1580" s="26" t="n">
        <x:v>0.1</x:v>
      </x:c>
      <x:c r="N1580" s="24" t="n">
        <x:v>2</x:v>
      </x:c>
      <x:c r="O1580" s="28" t="n">
        <x:f>MIN(1,L1580/I1580)</x:f>
        <x:v>0.0345</x:v>
      </x:c>
      <x:c r="P1580" s="30" t="n">
        <x:f>O1580*J1580*(1+M1580)</x:f>
        <x:v>0.037950000000000005</x:v>
      </x:c>
      <x:c r="Q1580" s="30" t="n">
        <x:f>P1580*N1580</x:f>
        <x:v>0.07590000000000001</x:v>
      </x:c>
      <x:c r="R1580" s="19" t="str">
        <x:v>独立判定</x:v>
      </x:c>
    </x:row>
    <x:row r="1581" ht="19" customHeight="1">
      <x:c r="A1581" s="19" t="str">
        <x:v>D01577</x:v>
      </x:c>
      <x:c r="B1581" s="19" t="n">
        <x:v>4</x:v>
      </x:c>
      <x:c r="C1581" s="19" t="n">
        <x:v>2</x:v>
      </x:c>
      <x:c r="D1581" s="19" t="str">
        <x:v>C04-M023</x:v>
      </x:c>
      <x:c r="E1581" s="19" t="str">
        <x:v>淹廊判官·摩汶</x:v>
      </x:c>
      <x:c r="F1581" s="19" t="str">
        <x:v>地图BOSS</x:v>
      </x:c>
      <x:c r="G1581" s="19" t="str">
        <x:v>材料独立候选</x:v>
      </x:c>
      <x:c r="H1581" s="19" t="str">
        <x:v>沉湖王印</x:v>
      </x:c>
      <x:c r="I1581" s="22" t="n">
        <x:v>80</x:v>
      </x:c>
      <x:c r="J1581" s="22" t="n">
        <x:v>2</x:v>
      </x:c>
      <x:c r="K1581" s="19" t="n">
        <x:v>1</x:v>
      </x:c>
      <x:c r="L1581" s="24" t="n">
        <x:v>17.25</x:v>
      </x:c>
      <x:c r="M1581" s="26" t="n">
        <x:v>0.1</x:v>
      </x:c>
      <x:c r="N1581" s="24" t="n">
        <x:v>2</x:v>
      </x:c>
      <x:c r="O1581" s="28" t="n">
        <x:f>MIN(1,L1581/I1581)</x:f>
        <x:v>0.215625</x:v>
      </x:c>
      <x:c r="P1581" s="30" t="n">
        <x:f>O1581*J1581*(1+M1581)</x:f>
        <x:v>0.47437500000000005</x:v>
      </x:c>
      <x:c r="Q1581" s="30" t="n">
        <x:f>P1581*N1581</x:f>
        <x:v>0.9487500000000001</x:v>
      </x:c>
      <x:c r="R1581" s="19" t="str">
        <x:v>独立判定</x:v>
      </x:c>
    </x:row>
    <x:row r="1582" ht="19" customHeight="1">
      <x:c r="A1582" s="19" t="str">
        <x:v>D01578</x:v>
      </x:c>
      <x:c r="B1582" s="19" t="n">
        <x:v>4</x:v>
      </x:c>
      <x:c r="C1582" s="19" t="n">
        <x:v>2</x:v>
      </x:c>
      <x:c r="D1582" s="19" t="str">
        <x:v>C04-M023</x:v>
      </x:c>
      <x:c r="E1582" s="19" t="str">
        <x:v>淹廊判官·摩汶</x:v>
      </x:c>
      <x:c r="F1582" s="19" t="str">
        <x:v>地图BOSS</x:v>
      </x:c>
      <x:c r="G1582" s="19" t="str">
        <x:v>材料独立候选</x:v>
      </x:c>
      <x:c r="H1582" s="19" t="str">
        <x:v>深湖压舱印</x:v>
      </x:c>
      <x:c r="I1582" s="22" t="n">
        <x:v>100</x:v>
      </x:c>
      <x:c r="J1582" s="22" t="n">
        <x:v>2</x:v>
      </x:c>
      <x:c r="K1582" s="19" t="n">
        <x:v>1</x:v>
      </x:c>
      <x:c r="L1582" s="24" t="n">
        <x:v>17.25</x:v>
      </x:c>
      <x:c r="M1582" s="26" t="n">
        <x:v>0.1</x:v>
      </x:c>
      <x:c r="N1582" s="24" t="n">
        <x:v>2</x:v>
      </x:c>
      <x:c r="O1582" s="28" t="n">
        <x:f>MIN(1,L1582/I1582)</x:f>
        <x:v>0.1725</x:v>
      </x:c>
      <x:c r="P1582" s="30" t="n">
        <x:f>O1582*J1582*(1+M1582)</x:f>
        <x:v>0.3795</x:v>
      </x:c>
      <x:c r="Q1582" s="30" t="n">
        <x:f>P1582*N1582</x:f>
        <x:v>0.759</x:v>
      </x:c>
      <x:c r="R1582" s="19" t="str">
        <x:v>独立判定</x:v>
      </x:c>
    </x:row>
    <x:row r="1583" ht="19" customHeight="1">
      <x:c r="A1583" s="19" t="str">
        <x:v>D01579</x:v>
      </x:c>
      <x:c r="B1583" s="19" t="n">
        <x:v>4</x:v>
      </x:c>
      <x:c r="C1583" s="19" t="n">
        <x:v>2</x:v>
      </x:c>
      <x:c r="D1583" s="19" t="str">
        <x:v>C04-M023</x:v>
      </x:c>
      <x:c r="E1583" s="19" t="str">
        <x:v>淹廊判官·摩汶</x:v>
      </x:c>
      <x:c r="F1583" s="19" t="str">
        <x:v>地图BOSS</x:v>
      </x:c>
      <x:c r="G1583" s="19" t="str">
        <x:v>材料独立候选</x:v>
      </x:c>
      <x:c r="H1583" s="19" t="str">
        <x:v>月潮忆珀</x:v>
      </x:c>
      <x:c r="I1583" s="22" t="n">
        <x:v>250000</x:v>
      </x:c>
      <x:c r="J1583" s="22" t="n">
        <x:v>1</x:v>
      </x:c>
      <x:c r="K1583" s="19" t="n">
        <x:v>1</x:v>
      </x:c>
      <x:c r="L1583" s="24" t="n">
        <x:v>17.25</x:v>
      </x:c>
      <x:c r="M1583" s="26" t="n">
        <x:v>0.1</x:v>
      </x:c>
      <x:c r="N1583" s="24" t="n">
        <x:v>2</x:v>
      </x:c>
      <x:c r="O1583" s="28" t="n">
        <x:f>MIN(1,L1583/I1583)</x:f>
        <x:v>0.000069</x:v>
      </x:c>
      <x:c r="P1583" s="30" t="n">
        <x:f>O1583*J1583*(1+M1583)</x:f>
        <x:v>0.0000759</x:v>
      </x:c>
      <x:c r="Q1583" s="30" t="n">
        <x:f>P1583*N1583</x:f>
        <x:v>0.0001518</x:v>
      </x:c>
      <x:c r="R1583" s="19" t="str">
        <x:v>独立判定</x:v>
      </x:c>
    </x:row>
    <x:row r="1584" ht="19" customHeight="1">
      <x:c r="A1584" s="19" t="str">
        <x:v>D01580</x:v>
      </x:c>
      <x:c r="B1584" s="19" t="n">
        <x:v>4</x:v>
      </x:c>
      <x:c r="C1584" s="19" t="n">
        <x:v>2</x:v>
      </x:c>
      <x:c r="D1584" s="19" t="str">
        <x:v>C04-M023</x:v>
      </x:c>
      <x:c r="E1584" s="19" t="str">
        <x:v>淹廊判官·摩汶</x:v>
      </x:c>
      <x:c r="F1584" s="19" t="str">
        <x:v>地图BOSS</x:v>
      </x:c>
      <x:c r="G1584" s="19" t="str">
        <x:v>材料独立候选</x:v>
      </x:c>
      <x:c r="H1584" s="19" t="str">
        <x:v>黄金树芽</x:v>
      </x:c>
      <x:c r="I1584" s="22" t="n">
        <x:v>800</x:v>
      </x:c>
      <x:c r="J1584" s="22" t="n">
        <x:v>1</x:v>
      </x:c>
      <x:c r="K1584" s="19" t="n">
        <x:v>1</x:v>
      </x:c>
      <x:c r="L1584" s="24" t="n">
        <x:v>17.25</x:v>
      </x:c>
      <x:c r="M1584" s="26" t="n">
        <x:v>0.1</x:v>
      </x:c>
      <x:c r="N1584" s="24" t="n">
        <x:v>2</x:v>
      </x:c>
      <x:c r="O1584" s="28" t="n">
        <x:f>MIN(1,L1584/I1584)</x:f>
        <x:v>0.0215625</x:v>
      </x:c>
      <x:c r="P1584" s="30" t="n">
        <x:f>O1584*J1584*(1+M1584)</x:f>
        <x:v>0.02371875</x:v>
      </x:c>
      <x:c r="Q1584" s="30" t="n">
        <x:f>P1584*N1584</x:f>
        <x:v>0.0474375</x:v>
      </x:c>
      <x:c r="R1584" s="19" t="str">
        <x:v>独立判定</x:v>
      </x:c>
    </x:row>
    <x:row r="1585" ht="19" customHeight="1">
      <x:c r="A1585" s="19" t="str">
        <x:v>D01581</x:v>
      </x:c>
      <x:c r="B1585" s="19" t="n">
        <x:v>4</x:v>
      </x:c>
      <x:c r="C1585" s="19" t="n">
        <x:v>2</x:v>
      </x:c>
      <x:c r="D1585" s="19" t="str">
        <x:v>C04-M023</x:v>
      </x:c>
      <x:c r="E1585" s="19" t="str">
        <x:v>淹廊判官·摩汶</x:v>
      </x:c>
      <x:c r="F1585" s="19" t="str">
        <x:v>地图BOSS</x:v>
      </x:c>
      <x:c r="G1585" s="19" t="str">
        <x:v>材料独立候选</x:v>
      </x:c>
      <x:c r="H1585" s="19" t="str">
        <x:v>野兽骨片</x:v>
      </x:c>
      <x:c r="I1585" s="22" t="n">
        <x:v>25</x:v>
      </x:c>
      <x:c r="J1585" s="22" t="n">
        <x:v>2</x:v>
      </x:c>
      <x:c r="K1585" s="19" t="n">
        <x:v>1</x:v>
      </x:c>
      <x:c r="L1585" s="24" t="n">
        <x:v>17.25</x:v>
      </x:c>
      <x:c r="M1585" s="26" t="n">
        <x:v>0.1</x:v>
      </x:c>
      <x:c r="N1585" s="24" t="n">
        <x:v>2</x:v>
      </x:c>
      <x:c r="O1585" s="28" t="n">
        <x:f>MIN(1,L1585/I1585)</x:f>
        <x:v>0.69</x:v>
      </x:c>
      <x:c r="P1585" s="30" t="n">
        <x:f>O1585*J1585*(1+M1585)</x:f>
        <x:v>1.518</x:v>
      </x:c>
      <x:c r="Q1585" s="30" t="n">
        <x:f>P1585*N1585</x:f>
        <x:v>3.036</x:v>
      </x:c>
      <x:c r="R1585" s="19" t="str">
        <x:v>独立判定</x:v>
      </x:c>
    </x:row>
    <x:row r="1586" ht="19" customHeight="1">
      <x:c r="A1586" s="19" t="str">
        <x:v>D01582</x:v>
      </x:c>
      <x:c r="B1586" s="19" t="n">
        <x:v>4</x:v>
      </x:c>
      <x:c r="C1586" s="19" t="n">
        <x:v>2</x:v>
      </x:c>
      <x:c r="D1586" s="19" t="str">
        <x:v>C04-M023</x:v>
      </x:c>
      <x:c r="E1586" s="19" t="str">
        <x:v>淹廊判官·摩汶</x:v>
      </x:c>
      <x:c r="F1586" s="19" t="str">
        <x:v>地图BOSS</x:v>
      </x:c>
      <x:c r="G1586" s="19" t="str">
        <x:v>材料独立候选</x:v>
      </x:c>
      <x:c r="H1586" s="19" t="str">
        <x:v>技能残页</x:v>
      </x:c>
      <x:c r="I1586" s="22" t="n">
        <x:v>120</x:v>
      </x:c>
      <x:c r="J1586" s="22" t="n">
        <x:v>1</x:v>
      </x:c>
      <x:c r="K1586" s="19" t="n">
        <x:v>1</x:v>
      </x:c>
      <x:c r="L1586" s="24" t="n">
        <x:v>17.25</x:v>
      </x:c>
      <x:c r="M1586" s="26" t="n">
        <x:v>0.1</x:v>
      </x:c>
      <x:c r="N1586" s="24" t="n">
        <x:v>2</x:v>
      </x:c>
      <x:c r="O1586" s="28" t="n">
        <x:f>MIN(1,L1586/I1586)</x:f>
        <x:v>0.14375</x:v>
      </x:c>
      <x:c r="P1586" s="30" t="n">
        <x:f>O1586*J1586*(1+M1586)</x:f>
        <x:v>0.158125</x:v>
      </x:c>
      <x:c r="Q1586" s="30" t="n">
        <x:f>P1586*N1586</x:f>
        <x:v>0.31625</x:v>
      </x:c>
      <x:c r="R1586" s="19" t="str">
        <x:v>独立判定</x:v>
      </x:c>
    </x:row>
    <x:row r="1587" ht="19" customHeight="1">
      <x:c r="A1587" s="19" t="str">
        <x:v>D01583</x:v>
      </x:c>
      <x:c r="B1587" s="19" t="n">
        <x:v>4</x:v>
      </x:c>
      <x:c r="C1587" s="19" t="n">
        <x:v>2</x:v>
      </x:c>
      <x:c r="D1587" s="19" t="str">
        <x:v>C04-M023</x:v>
      </x:c>
      <x:c r="E1587" s="19" t="str">
        <x:v>淹廊判官·摩汶</x:v>
      </x:c>
      <x:c r="F1587" s="19" t="str">
        <x:v>地图BOSS</x:v>
      </x:c>
      <x:c r="G1587" s="19" t="str">
        <x:v>材料独立候选</x:v>
      </x:c>
      <x:c r="H1587" s="19" t="str">
        <x:v>宁姆格福誓页</x:v>
      </x:c>
      <x:c r="I1587" s="22" t="n">
        <x:v>200</x:v>
      </x:c>
      <x:c r="J1587" s="22" t="n">
        <x:v>1</x:v>
      </x:c>
      <x:c r="K1587" s="19" t="n">
        <x:v>1</x:v>
      </x:c>
      <x:c r="L1587" s="24" t="n">
        <x:v>17.25</x:v>
      </x:c>
      <x:c r="M1587" s="26" t="n">
        <x:v>0.1</x:v>
      </x:c>
      <x:c r="N1587" s="24" t="n">
        <x:v>2</x:v>
      </x:c>
      <x:c r="O1587" s="28" t="n">
        <x:f>MIN(1,L1587/I1587)</x:f>
        <x:v>0.08625</x:v>
      </x:c>
      <x:c r="P1587" s="30" t="n">
        <x:f>O1587*J1587*(1+M1587)</x:f>
        <x:v>0.094875</x:v>
      </x:c>
      <x:c r="Q1587" s="30" t="n">
        <x:f>P1587*N1587</x:f>
        <x:v>0.18975</x:v>
      </x:c>
      <x:c r="R1587" s="19" t="str">
        <x:v>独立判定</x:v>
      </x:c>
    </x:row>
    <x:row r="1588" ht="19" customHeight="1">
      <x:c r="A1588" s="19" t="str">
        <x:v>D01584</x:v>
      </x:c>
      <x:c r="B1588" s="19" t="n">
        <x:v>4</x:v>
      </x:c>
      <x:c r="C1588" s="19" t="n">
        <x:v>2</x:v>
      </x:c>
      <x:c r="D1588" s="19" t="str">
        <x:v>C04-M023</x:v>
      </x:c>
      <x:c r="E1588" s="19" t="str">
        <x:v>淹廊判官·摩汶</x:v>
      </x:c>
      <x:c r="F1588" s="19" t="str">
        <x:v>地图BOSS</x:v>
      </x:c>
      <x:c r="G1588" s="19" t="str">
        <x:v>材料独立候选</x:v>
      </x:c>
      <x:c r="H1588" s="19" t="str">
        <x:v>小卢恩</x:v>
      </x:c>
      <x:c r="I1588" s="22" t="n">
        <x:v>250</x:v>
      </x:c>
      <x:c r="J1588" s="22" t="n">
        <x:v>1</x:v>
      </x:c>
      <x:c r="K1588" s="19" t="n">
        <x:v>1</x:v>
      </x:c>
      <x:c r="L1588" s="24" t="n">
        <x:v>17.25</x:v>
      </x:c>
      <x:c r="M1588" s="26" t="n">
        <x:v>0.1</x:v>
      </x:c>
      <x:c r="N1588" s="24" t="n">
        <x:v>2</x:v>
      </x:c>
      <x:c r="O1588" s="28" t="n">
        <x:f>MIN(1,L1588/I1588)</x:f>
        <x:v>0.069</x:v>
      </x:c>
      <x:c r="P1588" s="30" t="n">
        <x:f>O1588*J1588*(1+M1588)</x:f>
        <x:v>0.07590000000000001</x:v>
      </x:c>
      <x:c r="Q1588" s="30" t="n">
        <x:f>P1588*N1588</x:f>
        <x:v>0.15180000000000002</x:v>
      </x:c>
      <x:c r="R1588" s="19" t="str">
        <x:v>独立判定</x:v>
      </x:c>
    </x:row>
    <x:row r="1589" ht="19" customHeight="1">
      <x:c r="A1589" s="19" t="str">
        <x:v>D01585</x:v>
      </x:c>
      <x:c r="B1589" s="19" t="n">
        <x:v>4</x:v>
      </x:c>
      <x:c r="C1589" s="19" t="n">
        <x:v>2</x:v>
      </x:c>
      <x:c r="D1589" s="19" t="str">
        <x:v>C04-M023</x:v>
      </x:c>
      <x:c r="E1589" s="19" t="str">
        <x:v>淹廊判官·摩汶</x:v>
      </x:c>
      <x:c r="F1589" s="19" t="str">
        <x:v>地图BOSS</x:v>
      </x:c>
      <x:c r="G1589" s="19" t="str">
        <x:v>材料独立候选</x:v>
      </x:c>
      <x:c r="H1589" s="19" t="str">
        <x:v>大卢恩</x:v>
      </x:c>
      <x:c r="I1589" s="22" t="n">
        <x:v>150</x:v>
      </x:c>
      <x:c r="J1589" s="22" t="n">
        <x:v>1</x:v>
      </x:c>
      <x:c r="K1589" s="19" t="n">
        <x:v>1</x:v>
      </x:c>
      <x:c r="L1589" s="24" t="n">
        <x:v>17.25</x:v>
      </x:c>
      <x:c r="M1589" s="26" t="n">
        <x:v>0.1</x:v>
      </x:c>
      <x:c r="N1589" s="24" t="n">
        <x:v>2</x:v>
      </x:c>
      <x:c r="O1589" s="28" t="n">
        <x:f>MIN(1,L1589/I1589)</x:f>
        <x:v>0.115</x:v>
      </x:c>
      <x:c r="P1589" s="30" t="n">
        <x:f>O1589*J1589*(1+M1589)</x:f>
        <x:v>0.12650000000000003</x:v>
      </x:c>
      <x:c r="Q1589" s="30" t="n">
        <x:f>P1589*N1589</x:f>
        <x:v>0.25300000000000006</x:v>
      </x:c>
      <x:c r="R1589" s="19" t="str">
        <x:v>独立判定</x:v>
      </x:c>
    </x:row>
    <x:row r="1590" ht="19" customHeight="1">
      <x:c r="A1590" s="19" t="str">
        <x:v>D01586</x:v>
      </x:c>
      <x:c r="B1590" s="19" t="n">
        <x:v>4</x:v>
      </x:c>
      <x:c r="C1590" s="19" t="n">
        <x:v>2</x:v>
      </x:c>
      <x:c r="D1590" s="19" t="str">
        <x:v>C04-M023</x:v>
      </x:c>
      <x:c r="E1590" s="19" t="str">
        <x:v>淹廊判官·摩汶</x:v>
      </x:c>
      <x:c r="F1590" s="19" t="str">
        <x:v>地图BOSS</x:v>
      </x:c>
      <x:c r="G1590" s="19" t="str">
        <x:v>六神器公共池</x:v>
      </x:c>
      <x:c r="H1590" s="19" t="str">
        <x:v>POOL006</x:v>
      </x:c>
      <x:c r="I1590" s="22" t="n">
        <x:v>200000</x:v>
      </x:c>
      <x:c r="J1590" s="22" t="n">
        <x:v>1</x:v>
      </x:c>
      <x:c r="K1590" s="19" t="n">
        <x:v>6</x:v>
      </x:c>
      <x:c r="L1590" s="24" t="n">
        <x:v>17.25</x:v>
      </x:c>
      <x:c r="M1590" s="26" t="n">
        <x:v>0.1</x:v>
      </x:c>
      <x:c r="N1590" s="24" t="n">
        <x:v>2</x:v>
      </x:c>
      <x:c r="O1590" s="28" t="n">
        <x:f>MIN(1,L1590/I1590)</x:f>
        <x:v>0.00008625</x:v>
      </x:c>
      <x:c r="P1590" s="30" t="n">
        <x:f>O1590*J1590*(1+M1590)</x:f>
        <x:v>0.000094875</x:v>
      </x:c>
      <x:c r="Q1590" s="30" t="n">
        <x:f>P1590*N1590</x:f>
        <x:v>0.00018975</x:v>
      </x:c>
      <x:c r="R1590" s="19" t="str">
        <x:v>六选一；非6个独立爆率</x:v>
      </x:c>
    </x:row>
    <x:row r="1591" ht="19" customHeight="1">
      <x:c r="A1591" s="19" t="str">
        <x:v>D01587</x:v>
      </x:c>
      <x:c r="B1591" s="19" t="n">
        <x:v>4</x:v>
      </x:c>
      <x:c r="C1591" s="19" t="n">
        <x:v>2</x:v>
      </x:c>
      <x:c r="D1591" s="19" t="str">
        <x:v>C04-M024</x:v>
      </x:c>
      <x:c r="E1591" s="19" t="str">
        <x:v>无声湖后·塞芙拉</x:v>
      </x:c>
      <x:c r="F1591" s="19" t="str">
        <x:v>地图BOSS</x:v>
      </x:c>
      <x:c r="G1591" s="19" t="str">
        <x:v>自身专属</x:v>
      </x:c>
      <x:c r="H1591" s="19" t="str">
        <x:v>塞芙拉无声衣</x:v>
      </x:c>
      <x:c r="I1591" s="22" t="n">
        <x:v>80</x:v>
      </x:c>
      <x:c r="J1591" s="22" t="n">
        <x:v>1</x:v>
      </x:c>
      <x:c r="K1591" s="19" t="n">
        <x:v>1</x:v>
      </x:c>
      <x:c r="L1591" s="24" t="n">
        <x:v>17.25</x:v>
      </x:c>
      <x:c r="M1591" s="26" t="n">
        <x:v>0.1</x:v>
      </x:c>
      <x:c r="N1591" s="24" t="n">
        <x:v>2</x:v>
      </x:c>
      <x:c r="O1591" s="28" t="n">
        <x:f>MIN(1,L1591/I1591)</x:f>
        <x:v>0.215625</x:v>
      </x:c>
      <x:c r="P1591" s="30" t="n">
        <x:f>O1591*J1591*(1+M1591)</x:f>
        <x:v>0.23718750000000002</x:v>
      </x:c>
      <x:c r="Q1591" s="30" t="n">
        <x:f>P1591*N1591</x:f>
        <x:v>0.47437500000000005</x:v>
      </x:c>
      <x:c r="R1591" s="19" t="str">
        <x:v>独立判定</x:v>
      </x:c>
    </x:row>
    <x:row r="1592" ht="19" customHeight="1">
      <x:c r="A1592" s="19" t="str">
        <x:v>D01588</x:v>
      </x:c>
      <x:c r="B1592" s="19" t="n">
        <x:v>4</x:v>
      </x:c>
      <x:c r="C1592" s="19" t="n">
        <x:v>2</x:v>
      </x:c>
      <x:c r="D1592" s="19" t="str">
        <x:v>C04-M024</x:v>
      </x:c>
      <x:c r="E1592" s="19" t="str">
        <x:v>无声湖后·塞芙拉</x:v>
      </x:c>
      <x:c r="F1592" s="19" t="str">
        <x:v>地图BOSS</x:v>
      </x:c>
      <x:c r="G1592" s="19" t="str">
        <x:v>自身专属</x:v>
      </x:c>
      <x:c r="H1592" s="19" t="str">
        <x:v>无声潮坠</x:v>
      </x:c>
      <x:c r="I1592" s="22" t="n">
        <x:v>80</x:v>
      </x:c>
      <x:c r="J1592" s="22" t="n">
        <x:v>1</x:v>
      </x:c>
      <x:c r="K1592" s="19" t="n">
        <x:v>1</x:v>
      </x:c>
      <x:c r="L1592" s="24" t="n">
        <x:v>17.25</x:v>
      </x:c>
      <x:c r="M1592" s="26" t="n">
        <x:v>0.1</x:v>
      </x:c>
      <x:c r="N1592" s="24" t="n">
        <x:v>2</x:v>
      </x:c>
      <x:c r="O1592" s="28" t="n">
        <x:f>MIN(1,L1592/I1592)</x:f>
        <x:v>0.215625</x:v>
      </x:c>
      <x:c r="P1592" s="30" t="n">
        <x:f>O1592*J1592*(1+M1592)</x:f>
        <x:v>0.23718750000000002</x:v>
      </x:c>
      <x:c r="Q1592" s="30" t="n">
        <x:f>P1592*N1592</x:f>
        <x:v>0.47437500000000005</x:v>
      </x:c>
      <x:c r="R1592" s="19" t="str">
        <x:v>独立判定</x:v>
      </x:c>
    </x:row>
    <x:row r="1593" ht="19" customHeight="1">
      <x:c r="A1593" s="19" t="str">
        <x:v>D01589</x:v>
      </x:c>
      <x:c r="B1593" s="19" t="n">
        <x:v>4</x:v>
      </x:c>
      <x:c r="C1593" s="19" t="n">
        <x:v>2</x:v>
      </x:c>
      <x:c r="D1593" s="19" t="str">
        <x:v>C04-M024</x:v>
      </x:c>
      <x:c r="E1593" s="19" t="str">
        <x:v>无声湖后·塞芙拉</x:v>
      </x:c>
      <x:c r="F1593" s="19" t="str">
        <x:v>地图BOSS</x:v>
      </x:c>
      <x:c r="G1593" s="19" t="str">
        <x:v>本图普通兼掉候选</x:v>
      </x:c>
      <x:c r="H1593" s="19" t="str">
        <x:v>POOL027</x:v>
      </x:c>
      <x:c r="I1593" s="22" t="n">
        <x:v>40</x:v>
      </x:c>
      <x:c r="J1593" s="22" t="n">
        <x:v>1</x:v>
      </x:c>
      <x:c r="K1593" s="19" t="n">
        <x:v>2</x:v>
      </x:c>
      <x:c r="L1593" s="24" t="n">
        <x:v>17.25</x:v>
      </x:c>
      <x:c r="M1593" s="26" t="n">
        <x:v>0.1</x:v>
      </x:c>
      <x:c r="N1593" s="24" t="n">
        <x:v>2</x:v>
      </x:c>
      <x:c r="O1593" s="28" t="n">
        <x:f>MIN(1,L1593/I1593)</x:f>
        <x:v>0.43125</x:v>
      </x:c>
      <x:c r="P1593" s="30" t="n">
        <x:f>O1593*J1593*(1+M1593)</x:f>
        <x:v>0.47437500000000005</x:v>
      </x:c>
      <x:c r="Q1593" s="30" t="n">
        <x:f>P1593*N1593</x:f>
        <x:v>0.9487500000000001</x:v>
      </x:c>
      <x:c r="R1593" s="19" t="str">
        <x:v>单池选一</x:v>
      </x:c>
    </x:row>
    <x:row r="1594" ht="19" customHeight="1">
      <x:c r="A1594" s="19" t="str">
        <x:v>D01590</x:v>
      </x:c>
      <x:c r="B1594" s="19" t="n">
        <x:v>4</x:v>
      </x:c>
      <x:c r="C1594" s="19" t="n">
        <x:v>2</x:v>
      </x:c>
      <x:c r="D1594" s="19" t="str">
        <x:v>C04-M024</x:v>
      </x:c>
      <x:c r="E1594" s="19" t="str">
        <x:v>无声湖后·塞芙拉</x:v>
      </x:c>
      <x:c r="F1594" s="19" t="str">
        <x:v>地图BOSS</x:v>
      </x:c>
      <x:c r="G1594" s="19" t="str">
        <x:v>材料独立候选</x:v>
      </x:c>
      <x:c r="H1594" s="19" t="str">
        <x:v>湖盐结晶</x:v>
      </x:c>
      <x:c r="I1594" s="22" t="n">
        <x:v>180</x:v>
      </x:c>
      <x:c r="J1594" s="22" t="n">
        <x:v>30</x:v>
      </x:c>
      <x:c r="K1594" s="19" t="n">
        <x:v>1</x:v>
      </x:c>
      <x:c r="L1594" s="24" t="n">
        <x:v>17.25</x:v>
      </x:c>
      <x:c r="M1594" s="26" t="n">
        <x:v>0.1</x:v>
      </x:c>
      <x:c r="N1594" s="24" t="n">
        <x:v>2</x:v>
      </x:c>
      <x:c r="O1594" s="28" t="n">
        <x:f>MIN(1,L1594/I1594)</x:f>
        <x:v>0.09583333333333334</x:v>
      </x:c>
      <x:c r="P1594" s="30" t="n">
        <x:f>O1594*J1594*(1+M1594)</x:f>
        <x:v>3.1625</x:v>
      </x:c>
      <x:c r="Q1594" s="30" t="n">
        <x:f>P1594*N1594</x:f>
        <x:v>6.325</x:v>
      </x:c>
      <x:c r="R1594" s="19" t="str">
        <x:v>独立判定</x:v>
      </x:c>
    </x:row>
    <x:row r="1595" ht="19" customHeight="1">
      <x:c r="A1595" s="19" t="str">
        <x:v>D01591</x:v>
      </x:c>
      <x:c r="B1595" s="19" t="n">
        <x:v>4</x:v>
      </x:c>
      <x:c r="C1595" s="19" t="n">
        <x:v>2</x:v>
      </x:c>
      <x:c r="D1595" s="19" t="str">
        <x:v>C04-M024</x:v>
      </x:c>
      <x:c r="E1595" s="19" t="str">
        <x:v>无声湖后·塞芙拉</x:v>
      </x:c>
      <x:c r="F1595" s="19" t="str">
        <x:v>地图BOSS</x:v>
      </x:c>
      <x:c r="G1595" s="19" t="str">
        <x:v>材料独立候选</x:v>
      </x:c>
      <x:c r="H1595" s="19" t="str">
        <x:v>幽船铆钉</x:v>
      </x:c>
      <x:c r="I1595" s="22" t="n">
        <x:v>500</x:v>
      </x:c>
      <x:c r="J1595" s="22" t="n">
        <x:v>1</x:v>
      </x:c>
      <x:c r="K1595" s="19" t="n">
        <x:v>1</x:v>
      </x:c>
      <x:c r="L1595" s="24" t="n">
        <x:v>17.25</x:v>
      </x:c>
      <x:c r="M1595" s="26" t="n">
        <x:v>0.1</x:v>
      </x:c>
      <x:c r="N1595" s="24" t="n">
        <x:v>2</x:v>
      </x:c>
      <x:c r="O1595" s="28" t="n">
        <x:f>MIN(1,L1595/I1595)</x:f>
        <x:v>0.0345</x:v>
      </x:c>
      <x:c r="P1595" s="30" t="n">
        <x:f>O1595*J1595*(1+M1595)</x:f>
        <x:v>0.037950000000000005</x:v>
      </x:c>
      <x:c r="Q1595" s="30" t="n">
        <x:f>P1595*N1595</x:f>
        <x:v>0.07590000000000001</x:v>
      </x:c>
      <x:c r="R1595" s="19" t="str">
        <x:v>独立判定</x:v>
      </x:c>
    </x:row>
    <x:row r="1596" ht="19" customHeight="1">
      <x:c r="A1596" s="19" t="str">
        <x:v>D01592</x:v>
      </x:c>
      <x:c r="B1596" s="19" t="n">
        <x:v>4</x:v>
      </x:c>
      <x:c r="C1596" s="19" t="n">
        <x:v>2</x:v>
      </x:c>
      <x:c r="D1596" s="19" t="str">
        <x:v>C04-M024</x:v>
      </x:c>
      <x:c r="E1596" s="19" t="str">
        <x:v>无声湖后·塞芙拉</x:v>
      </x:c>
      <x:c r="F1596" s="19" t="str">
        <x:v>地图BOSS</x:v>
      </x:c>
      <x:c r="G1596" s="19" t="str">
        <x:v>材料独立候选</x:v>
      </x:c>
      <x:c r="H1596" s="19" t="str">
        <x:v>沉湖王印</x:v>
      </x:c>
      <x:c r="I1596" s="22" t="n">
        <x:v>80</x:v>
      </x:c>
      <x:c r="J1596" s="22" t="n">
        <x:v>2</x:v>
      </x:c>
      <x:c r="K1596" s="19" t="n">
        <x:v>1</x:v>
      </x:c>
      <x:c r="L1596" s="24" t="n">
        <x:v>17.25</x:v>
      </x:c>
      <x:c r="M1596" s="26" t="n">
        <x:v>0.1</x:v>
      </x:c>
      <x:c r="N1596" s="24" t="n">
        <x:v>2</x:v>
      </x:c>
      <x:c r="O1596" s="28" t="n">
        <x:f>MIN(1,L1596/I1596)</x:f>
        <x:v>0.215625</x:v>
      </x:c>
      <x:c r="P1596" s="30" t="n">
        <x:f>O1596*J1596*(1+M1596)</x:f>
        <x:v>0.47437500000000005</x:v>
      </x:c>
      <x:c r="Q1596" s="30" t="n">
        <x:f>P1596*N1596</x:f>
        <x:v>0.9487500000000001</x:v>
      </x:c>
      <x:c r="R1596" s="19" t="str">
        <x:v>独立判定</x:v>
      </x:c>
    </x:row>
    <x:row r="1597" ht="19" customHeight="1">
      <x:c r="A1597" s="19" t="str">
        <x:v>D01593</x:v>
      </x:c>
      <x:c r="B1597" s="19" t="n">
        <x:v>4</x:v>
      </x:c>
      <x:c r="C1597" s="19" t="n">
        <x:v>2</x:v>
      </x:c>
      <x:c r="D1597" s="19" t="str">
        <x:v>C04-M024</x:v>
      </x:c>
      <x:c r="E1597" s="19" t="str">
        <x:v>无声湖后·塞芙拉</x:v>
      </x:c>
      <x:c r="F1597" s="19" t="str">
        <x:v>地图BOSS</x:v>
      </x:c>
      <x:c r="G1597" s="19" t="str">
        <x:v>材料独立候选</x:v>
      </x:c>
      <x:c r="H1597" s="19" t="str">
        <x:v>深湖压舱印</x:v>
      </x:c>
      <x:c r="I1597" s="22" t="n">
        <x:v>100</x:v>
      </x:c>
      <x:c r="J1597" s="22" t="n">
        <x:v>2</x:v>
      </x:c>
      <x:c r="K1597" s="19" t="n">
        <x:v>1</x:v>
      </x:c>
      <x:c r="L1597" s="24" t="n">
        <x:v>17.25</x:v>
      </x:c>
      <x:c r="M1597" s="26" t="n">
        <x:v>0.1</x:v>
      </x:c>
      <x:c r="N1597" s="24" t="n">
        <x:v>2</x:v>
      </x:c>
      <x:c r="O1597" s="28" t="n">
        <x:f>MIN(1,L1597/I1597)</x:f>
        <x:v>0.1725</x:v>
      </x:c>
      <x:c r="P1597" s="30" t="n">
        <x:f>O1597*J1597*(1+M1597)</x:f>
        <x:v>0.3795</x:v>
      </x:c>
      <x:c r="Q1597" s="30" t="n">
        <x:f>P1597*N1597</x:f>
        <x:v>0.759</x:v>
      </x:c>
      <x:c r="R1597" s="19" t="str">
        <x:v>独立判定</x:v>
      </x:c>
    </x:row>
    <x:row r="1598" ht="19" customHeight="1">
      <x:c r="A1598" s="19" t="str">
        <x:v>D01594</x:v>
      </x:c>
      <x:c r="B1598" s="19" t="n">
        <x:v>4</x:v>
      </x:c>
      <x:c r="C1598" s="19" t="n">
        <x:v>2</x:v>
      </x:c>
      <x:c r="D1598" s="19" t="str">
        <x:v>C04-M024</x:v>
      </x:c>
      <x:c r="E1598" s="19" t="str">
        <x:v>无声湖后·塞芙拉</x:v>
      </x:c>
      <x:c r="F1598" s="19" t="str">
        <x:v>地图BOSS</x:v>
      </x:c>
      <x:c r="G1598" s="19" t="str">
        <x:v>材料独立候选</x:v>
      </x:c>
      <x:c r="H1598" s="19" t="str">
        <x:v>月潮忆珀</x:v>
      </x:c>
      <x:c r="I1598" s="22" t="n">
        <x:v>250000</x:v>
      </x:c>
      <x:c r="J1598" s="22" t="n">
        <x:v>1</x:v>
      </x:c>
      <x:c r="K1598" s="19" t="n">
        <x:v>1</x:v>
      </x:c>
      <x:c r="L1598" s="24" t="n">
        <x:v>17.25</x:v>
      </x:c>
      <x:c r="M1598" s="26" t="n">
        <x:v>0.1</x:v>
      </x:c>
      <x:c r="N1598" s="24" t="n">
        <x:v>2</x:v>
      </x:c>
      <x:c r="O1598" s="28" t="n">
        <x:f>MIN(1,L1598/I1598)</x:f>
        <x:v>0.000069</x:v>
      </x:c>
      <x:c r="P1598" s="30" t="n">
        <x:f>O1598*J1598*(1+M1598)</x:f>
        <x:v>0.0000759</x:v>
      </x:c>
      <x:c r="Q1598" s="30" t="n">
        <x:f>P1598*N1598</x:f>
        <x:v>0.0001518</x:v>
      </x:c>
      <x:c r="R1598" s="19" t="str">
        <x:v>独立判定</x:v>
      </x:c>
    </x:row>
    <x:row r="1599" ht="19" customHeight="1">
      <x:c r="A1599" s="19" t="str">
        <x:v>D01595</x:v>
      </x:c>
      <x:c r="B1599" s="19" t="n">
        <x:v>4</x:v>
      </x:c>
      <x:c r="C1599" s="19" t="n">
        <x:v>2</x:v>
      </x:c>
      <x:c r="D1599" s="19" t="str">
        <x:v>C04-M024</x:v>
      </x:c>
      <x:c r="E1599" s="19" t="str">
        <x:v>无声湖后·塞芙拉</x:v>
      </x:c>
      <x:c r="F1599" s="19" t="str">
        <x:v>地图BOSS</x:v>
      </x:c>
      <x:c r="G1599" s="19" t="str">
        <x:v>材料独立候选</x:v>
      </x:c>
      <x:c r="H1599" s="19" t="str">
        <x:v>黄金树芽</x:v>
      </x:c>
      <x:c r="I1599" s="22" t="n">
        <x:v>800</x:v>
      </x:c>
      <x:c r="J1599" s="22" t="n">
        <x:v>1</x:v>
      </x:c>
      <x:c r="K1599" s="19" t="n">
        <x:v>1</x:v>
      </x:c>
      <x:c r="L1599" s="24" t="n">
        <x:v>17.25</x:v>
      </x:c>
      <x:c r="M1599" s="26" t="n">
        <x:v>0.1</x:v>
      </x:c>
      <x:c r="N1599" s="24" t="n">
        <x:v>2</x:v>
      </x:c>
      <x:c r="O1599" s="28" t="n">
        <x:f>MIN(1,L1599/I1599)</x:f>
        <x:v>0.0215625</x:v>
      </x:c>
      <x:c r="P1599" s="30" t="n">
        <x:f>O1599*J1599*(1+M1599)</x:f>
        <x:v>0.02371875</x:v>
      </x:c>
      <x:c r="Q1599" s="30" t="n">
        <x:f>P1599*N1599</x:f>
        <x:v>0.0474375</x:v>
      </x:c>
      <x:c r="R1599" s="19" t="str">
        <x:v>独立判定</x:v>
      </x:c>
    </x:row>
    <x:row r="1600" ht="19" customHeight="1">
      <x:c r="A1600" s="19" t="str">
        <x:v>D01596</x:v>
      </x:c>
      <x:c r="B1600" s="19" t="n">
        <x:v>4</x:v>
      </x:c>
      <x:c r="C1600" s="19" t="n">
        <x:v>2</x:v>
      </x:c>
      <x:c r="D1600" s="19" t="str">
        <x:v>C04-M024</x:v>
      </x:c>
      <x:c r="E1600" s="19" t="str">
        <x:v>无声湖后·塞芙拉</x:v>
      </x:c>
      <x:c r="F1600" s="19" t="str">
        <x:v>地图BOSS</x:v>
      </x:c>
      <x:c r="G1600" s="19" t="str">
        <x:v>材料独立候选</x:v>
      </x:c>
      <x:c r="H1600" s="19" t="str">
        <x:v>野兽骨片</x:v>
      </x:c>
      <x:c r="I1600" s="22" t="n">
        <x:v>25</x:v>
      </x:c>
      <x:c r="J1600" s="22" t="n">
        <x:v>2</x:v>
      </x:c>
      <x:c r="K1600" s="19" t="n">
        <x:v>1</x:v>
      </x:c>
      <x:c r="L1600" s="24" t="n">
        <x:v>17.25</x:v>
      </x:c>
      <x:c r="M1600" s="26" t="n">
        <x:v>0.1</x:v>
      </x:c>
      <x:c r="N1600" s="24" t="n">
        <x:v>2</x:v>
      </x:c>
      <x:c r="O1600" s="28" t="n">
        <x:f>MIN(1,L1600/I1600)</x:f>
        <x:v>0.69</x:v>
      </x:c>
      <x:c r="P1600" s="30" t="n">
        <x:f>O1600*J1600*(1+M1600)</x:f>
        <x:v>1.518</x:v>
      </x:c>
      <x:c r="Q1600" s="30" t="n">
        <x:f>P1600*N1600</x:f>
        <x:v>3.036</x:v>
      </x:c>
      <x:c r="R1600" s="19" t="str">
        <x:v>独立判定</x:v>
      </x:c>
    </x:row>
    <x:row r="1601" ht="19" customHeight="1">
      <x:c r="A1601" s="19" t="str">
        <x:v>D01597</x:v>
      </x:c>
      <x:c r="B1601" s="19" t="n">
        <x:v>4</x:v>
      </x:c>
      <x:c r="C1601" s="19" t="n">
        <x:v>2</x:v>
      </x:c>
      <x:c r="D1601" s="19" t="str">
        <x:v>C04-M024</x:v>
      </x:c>
      <x:c r="E1601" s="19" t="str">
        <x:v>无声湖后·塞芙拉</x:v>
      </x:c>
      <x:c r="F1601" s="19" t="str">
        <x:v>地图BOSS</x:v>
      </x:c>
      <x:c r="G1601" s="19" t="str">
        <x:v>材料独立候选</x:v>
      </x:c>
      <x:c r="H1601" s="19" t="str">
        <x:v>技能残页</x:v>
      </x:c>
      <x:c r="I1601" s="22" t="n">
        <x:v>120</x:v>
      </x:c>
      <x:c r="J1601" s="22" t="n">
        <x:v>1</x:v>
      </x:c>
      <x:c r="K1601" s="19" t="n">
        <x:v>1</x:v>
      </x:c>
      <x:c r="L1601" s="24" t="n">
        <x:v>17.25</x:v>
      </x:c>
      <x:c r="M1601" s="26" t="n">
        <x:v>0.1</x:v>
      </x:c>
      <x:c r="N1601" s="24" t="n">
        <x:v>2</x:v>
      </x:c>
      <x:c r="O1601" s="28" t="n">
        <x:f>MIN(1,L1601/I1601)</x:f>
        <x:v>0.14375</x:v>
      </x:c>
      <x:c r="P1601" s="30" t="n">
        <x:f>O1601*J1601*(1+M1601)</x:f>
        <x:v>0.158125</x:v>
      </x:c>
      <x:c r="Q1601" s="30" t="n">
        <x:f>P1601*N1601</x:f>
        <x:v>0.31625</x:v>
      </x:c>
      <x:c r="R1601" s="19" t="str">
        <x:v>独立判定</x:v>
      </x:c>
    </x:row>
    <x:row r="1602" ht="19" customHeight="1">
      <x:c r="A1602" s="19" t="str">
        <x:v>D01598</x:v>
      </x:c>
      <x:c r="B1602" s="19" t="n">
        <x:v>4</x:v>
      </x:c>
      <x:c r="C1602" s="19" t="n">
        <x:v>2</x:v>
      </x:c>
      <x:c r="D1602" s="19" t="str">
        <x:v>C04-M024</x:v>
      </x:c>
      <x:c r="E1602" s="19" t="str">
        <x:v>无声湖后·塞芙拉</x:v>
      </x:c>
      <x:c r="F1602" s="19" t="str">
        <x:v>地图BOSS</x:v>
      </x:c>
      <x:c r="G1602" s="19" t="str">
        <x:v>材料独立候选</x:v>
      </x:c>
      <x:c r="H1602" s="19" t="str">
        <x:v>宁姆格福誓页</x:v>
      </x:c>
      <x:c r="I1602" s="22" t="n">
        <x:v>200</x:v>
      </x:c>
      <x:c r="J1602" s="22" t="n">
        <x:v>1</x:v>
      </x:c>
      <x:c r="K1602" s="19" t="n">
        <x:v>1</x:v>
      </x:c>
      <x:c r="L1602" s="24" t="n">
        <x:v>17.25</x:v>
      </x:c>
      <x:c r="M1602" s="26" t="n">
        <x:v>0.1</x:v>
      </x:c>
      <x:c r="N1602" s="24" t="n">
        <x:v>2</x:v>
      </x:c>
      <x:c r="O1602" s="28" t="n">
        <x:f>MIN(1,L1602/I1602)</x:f>
        <x:v>0.08625</x:v>
      </x:c>
      <x:c r="P1602" s="30" t="n">
        <x:f>O1602*J1602*(1+M1602)</x:f>
        <x:v>0.094875</x:v>
      </x:c>
      <x:c r="Q1602" s="30" t="n">
        <x:f>P1602*N1602</x:f>
        <x:v>0.18975</x:v>
      </x:c>
      <x:c r="R1602" s="19" t="str">
        <x:v>独立判定</x:v>
      </x:c>
    </x:row>
    <x:row r="1603" ht="19" customHeight="1">
      <x:c r="A1603" s="19" t="str">
        <x:v>D01599</x:v>
      </x:c>
      <x:c r="B1603" s="19" t="n">
        <x:v>4</x:v>
      </x:c>
      <x:c r="C1603" s="19" t="n">
        <x:v>2</x:v>
      </x:c>
      <x:c r="D1603" s="19" t="str">
        <x:v>C04-M024</x:v>
      </x:c>
      <x:c r="E1603" s="19" t="str">
        <x:v>无声湖后·塞芙拉</x:v>
      </x:c>
      <x:c r="F1603" s="19" t="str">
        <x:v>地图BOSS</x:v>
      </x:c>
      <x:c r="G1603" s="19" t="str">
        <x:v>材料独立候选</x:v>
      </x:c>
      <x:c r="H1603" s="19" t="str">
        <x:v>小卢恩</x:v>
      </x:c>
      <x:c r="I1603" s="22" t="n">
        <x:v>250</x:v>
      </x:c>
      <x:c r="J1603" s="22" t="n">
        <x:v>1</x:v>
      </x:c>
      <x:c r="K1603" s="19" t="n">
        <x:v>1</x:v>
      </x:c>
      <x:c r="L1603" s="24" t="n">
        <x:v>17.25</x:v>
      </x:c>
      <x:c r="M1603" s="26" t="n">
        <x:v>0.1</x:v>
      </x:c>
      <x:c r="N1603" s="24" t="n">
        <x:v>2</x:v>
      </x:c>
      <x:c r="O1603" s="28" t="n">
        <x:f>MIN(1,L1603/I1603)</x:f>
        <x:v>0.069</x:v>
      </x:c>
      <x:c r="P1603" s="30" t="n">
        <x:f>O1603*J1603*(1+M1603)</x:f>
        <x:v>0.07590000000000001</x:v>
      </x:c>
      <x:c r="Q1603" s="30" t="n">
        <x:f>P1603*N1603</x:f>
        <x:v>0.15180000000000002</x:v>
      </x:c>
      <x:c r="R1603" s="19" t="str">
        <x:v>独立判定</x:v>
      </x:c>
    </x:row>
    <x:row r="1604" ht="19" customHeight="1">
      <x:c r="A1604" s="19" t="str">
        <x:v>D01600</x:v>
      </x:c>
      <x:c r="B1604" s="19" t="n">
        <x:v>4</x:v>
      </x:c>
      <x:c r="C1604" s="19" t="n">
        <x:v>2</x:v>
      </x:c>
      <x:c r="D1604" s="19" t="str">
        <x:v>C04-M024</x:v>
      </x:c>
      <x:c r="E1604" s="19" t="str">
        <x:v>无声湖后·塞芙拉</x:v>
      </x:c>
      <x:c r="F1604" s="19" t="str">
        <x:v>地图BOSS</x:v>
      </x:c>
      <x:c r="G1604" s="19" t="str">
        <x:v>材料独立候选</x:v>
      </x:c>
      <x:c r="H1604" s="19" t="str">
        <x:v>大卢恩</x:v>
      </x:c>
      <x:c r="I1604" s="22" t="n">
        <x:v>150</x:v>
      </x:c>
      <x:c r="J1604" s="22" t="n">
        <x:v>1</x:v>
      </x:c>
      <x:c r="K1604" s="19" t="n">
        <x:v>1</x:v>
      </x:c>
      <x:c r="L1604" s="24" t="n">
        <x:v>17.25</x:v>
      </x:c>
      <x:c r="M1604" s="26" t="n">
        <x:v>0.1</x:v>
      </x:c>
      <x:c r="N1604" s="24" t="n">
        <x:v>2</x:v>
      </x:c>
      <x:c r="O1604" s="28" t="n">
        <x:f>MIN(1,L1604/I1604)</x:f>
        <x:v>0.115</x:v>
      </x:c>
      <x:c r="P1604" s="30" t="n">
        <x:f>O1604*J1604*(1+M1604)</x:f>
        <x:v>0.12650000000000003</x:v>
      </x:c>
      <x:c r="Q1604" s="30" t="n">
        <x:f>P1604*N1604</x:f>
        <x:v>0.25300000000000006</x:v>
      </x:c>
      <x:c r="R1604" s="19" t="str">
        <x:v>独立判定</x:v>
      </x:c>
    </x:row>
    <x:row r="1605" ht="19" customHeight="1">
      <x:c r="A1605" s="19" t="str">
        <x:v>D01601</x:v>
      </x:c>
      <x:c r="B1605" s="19" t="n">
        <x:v>4</x:v>
      </x:c>
      <x:c r="C1605" s="19" t="n">
        <x:v>2</x:v>
      </x:c>
      <x:c r="D1605" s="19" t="str">
        <x:v>C04-M024</x:v>
      </x:c>
      <x:c r="E1605" s="19" t="str">
        <x:v>无声湖后·塞芙拉</x:v>
      </x:c>
      <x:c r="F1605" s="19" t="str">
        <x:v>地图BOSS</x:v>
      </x:c>
      <x:c r="G1605" s="19" t="str">
        <x:v>六神器公共池</x:v>
      </x:c>
      <x:c r="H1605" s="19" t="str">
        <x:v>POOL006</x:v>
      </x:c>
      <x:c r="I1605" s="22" t="n">
        <x:v>200000</x:v>
      </x:c>
      <x:c r="J1605" s="22" t="n">
        <x:v>1</x:v>
      </x:c>
      <x:c r="K1605" s="19" t="n">
        <x:v>6</x:v>
      </x:c>
      <x:c r="L1605" s="24" t="n">
        <x:v>17.25</x:v>
      </x:c>
      <x:c r="M1605" s="26" t="n">
        <x:v>0.1</x:v>
      </x:c>
      <x:c r="N1605" s="24" t="n">
        <x:v>2</x:v>
      </x:c>
      <x:c r="O1605" s="28" t="n">
        <x:f>MIN(1,L1605/I1605)</x:f>
        <x:v>0.00008625</x:v>
      </x:c>
      <x:c r="P1605" s="30" t="n">
        <x:f>O1605*J1605*(1+M1605)</x:f>
        <x:v>0.000094875</x:v>
      </x:c>
      <x:c r="Q1605" s="30" t="n">
        <x:f>P1605*N1605</x:f>
        <x:v>0.00018975</x:v>
      </x:c>
      <x:c r="R1605" s="19" t="str">
        <x:v>六选一；非6个独立爆率</x:v>
      </x:c>
    </x:row>
    <x:row r="1606" ht="19" customHeight="1">
      <x:c r="A1606" s="19" t="str">
        <x:v>D01602</x:v>
      </x:c>
      <x:c r="B1606" s="19" t="n">
        <x:v>4</x:v>
      </x:c>
      <x:c r="C1606" s="19" t="n">
        <x:v>3</x:v>
      </x:c>
      <x:c r="D1606" s="19" t="str">
        <x:v>C04-M025</x:v>
      </x:c>
      <x:c r="E1606" s="19" t="str">
        <x:v>破帆水手</x:v>
      </x:c>
      <x:c r="F1606" s="19" t="str">
        <x:v>普通</x:v>
      </x:c>
      <x:c r="G1606" s="19" t="str">
        <x:v>自身专属</x:v>
      </x:c>
      <x:c r="H1606" s="19" t="str">
        <x:v>破帆腰带</x:v>
      </x:c>
      <x:c r="I1606" s="22" t="n">
        <x:v>1200</x:v>
      </x:c>
      <x:c r="J1606" s="22" t="n">
        <x:v>1</x:v>
      </x:c>
      <x:c r="K1606" s="19" t="n">
        <x:v>1</x:v>
      </x:c>
      <x:c r="L1606" s="24" t="n">
        <x:v>18.78333333333333</x:v>
      </x:c>
      <x:c r="M1606" s="26" t="n">
        <x:v>0.1</x:v>
      </x:c>
      <x:c r="N1606" s="24" t="n">
        <x:v>72</x:v>
      </x:c>
      <x:c r="O1606" s="28" t="n">
        <x:f>MIN(1,L1606/I1606)</x:f>
        <x:v>0.015652777777777776</x:v>
      </x:c>
      <x:c r="P1606" s="30" t="n">
        <x:f>O1606*J1606*(1+M1606)</x:f>
        <x:v>0.017218055555555556</x:v>
      </x:c>
      <x:c r="Q1606" s="30" t="n">
        <x:f>P1606*N1606</x:f>
        <x:v>1.2397</x:v>
      </x:c>
      <x:c r="R1606" s="19" t="str">
        <x:v>独立判定</x:v>
      </x:c>
    </x:row>
    <x:row r="1607" ht="19" customHeight="1">
      <x:c r="A1607" s="19" t="str">
        <x:v>D01603</x:v>
      </x:c>
      <x:c r="B1607" s="19" t="n">
        <x:v>4</x:v>
      </x:c>
      <x:c r="C1607" s="19" t="n">
        <x:v>3</x:v>
      </x:c>
      <x:c r="D1607" s="19" t="str">
        <x:v>C04-M025</x:v>
      </x:c>
      <x:c r="E1607" s="19" t="str">
        <x:v>破帆水手</x:v>
      </x:c>
      <x:c r="F1607" s="19" t="str">
        <x:v>普通</x:v>
      </x:c>
      <x:c r="G1607" s="19" t="str">
        <x:v>材料独立候选</x:v>
      </x:c>
      <x:c r="H1607" s="19" t="str">
        <x:v>湖盐结晶</x:v>
      </x:c>
      <x:c r="I1607" s="22" t="n">
        <x:v>600</x:v>
      </x:c>
      <x:c r="J1607" s="22" t="n">
        <x:v>8</x:v>
      </x:c>
      <x:c r="K1607" s="19" t="n">
        <x:v>1</x:v>
      </x:c>
      <x:c r="L1607" s="24" t="n">
        <x:v>18.78333333333333</x:v>
      </x:c>
      <x:c r="M1607" s="26" t="n">
        <x:v>0.1</x:v>
      </x:c>
      <x:c r="N1607" s="24" t="n">
        <x:v>72</x:v>
      </x:c>
      <x:c r="O1607" s="28" t="n">
        <x:f>MIN(1,L1607/I1607)</x:f>
        <x:v>0.03130555555555555</x:v>
      </x:c>
      <x:c r="P1607" s="30" t="n">
        <x:f>O1607*J1607*(1+M1607)</x:f>
        <x:v>0.2754888888888889</x:v>
      </x:c>
      <x:c r="Q1607" s="30" t="n">
        <x:f>P1607*N1607</x:f>
        <x:v>19.8352</x:v>
      </x:c>
      <x:c r="R1607" s="19" t="str">
        <x:v>独立判定</x:v>
      </x:c>
    </x:row>
    <x:row r="1608" ht="19" customHeight="1">
      <x:c r="A1608" s="19" t="str">
        <x:v>D01604</x:v>
      </x:c>
      <x:c r="B1608" s="19" t="n">
        <x:v>4</x:v>
      </x:c>
      <x:c r="C1608" s="19" t="n">
        <x:v>3</x:v>
      </x:c>
      <x:c r="D1608" s="19" t="str">
        <x:v>C04-M025</x:v>
      </x:c>
      <x:c r="E1608" s="19" t="str">
        <x:v>破帆水手</x:v>
      </x:c>
      <x:c r="F1608" s="19" t="str">
        <x:v>普通</x:v>
      </x:c>
      <x:c r="G1608" s="19" t="str">
        <x:v>材料独立候选</x:v>
      </x:c>
      <x:c r="H1608" s="19" t="str">
        <x:v>雾潮银鳞</x:v>
      </x:c>
      <x:c r="I1608" s="22" t="n">
        <x:v>600</x:v>
      </x:c>
      <x:c r="J1608" s="22" t="n">
        <x:v>1</x:v>
      </x:c>
      <x:c r="K1608" s="19" t="n">
        <x:v>1</x:v>
      </x:c>
      <x:c r="L1608" s="24" t="n">
        <x:v>18.78333333333333</x:v>
      </x:c>
      <x:c r="M1608" s="26" t="n">
        <x:v>0.1</x:v>
      </x:c>
      <x:c r="N1608" s="24" t="n">
        <x:v>72</x:v>
      </x:c>
      <x:c r="O1608" s="28" t="n">
        <x:f>MIN(1,L1608/I1608)</x:f>
        <x:v>0.03130555555555555</x:v>
      </x:c>
      <x:c r="P1608" s="30" t="n">
        <x:f>O1608*J1608*(1+M1608)</x:f>
        <x:v>0.03443611111111111</x:v>
      </x:c>
      <x:c r="Q1608" s="30" t="n">
        <x:f>P1608*N1608</x:f>
        <x:v>2.4794</x:v>
      </x:c>
      <x:c r="R1608" s="19" t="str">
        <x:v>独立判定</x:v>
      </x:c>
    </x:row>
    <x:row r="1609" ht="19" customHeight="1">
      <x:c r="A1609" s="19" t="str">
        <x:v>D01605</x:v>
      </x:c>
      <x:c r="B1609" s="19" t="n">
        <x:v>4</x:v>
      </x:c>
      <x:c r="C1609" s="19" t="n">
        <x:v>3</x:v>
      </x:c>
      <x:c r="D1609" s="19" t="str">
        <x:v>C04-M025</x:v>
      </x:c>
      <x:c r="E1609" s="19" t="str">
        <x:v>破帆水手</x:v>
      </x:c>
      <x:c r="F1609" s="19" t="str">
        <x:v>普通</x:v>
      </x:c>
      <x:c r="G1609" s="19" t="str">
        <x:v>材料独立候选</x:v>
      </x:c>
      <x:c r="H1609" s="19" t="str">
        <x:v>月潮忆珀</x:v>
      </x:c>
      <x:c r="I1609" s="22" t="n">
        <x:v>800000</x:v>
      </x:c>
      <x:c r="J1609" s="22" t="n">
        <x:v>1</x:v>
      </x:c>
      <x:c r="K1609" s="19" t="n">
        <x:v>1</x:v>
      </x:c>
      <x:c r="L1609" s="24" t="n">
        <x:v>18.78333333333333</x:v>
      </x:c>
      <x:c r="M1609" s="26" t="n">
        <x:v>0.1</x:v>
      </x:c>
      <x:c r="N1609" s="24" t="n">
        <x:v>72</x:v>
      </x:c>
      <x:c r="O1609" s="28" t="n">
        <x:f>MIN(1,L1609/I1609)</x:f>
        <x:v>0.000023479166666666664</x:v>
      </x:c>
      <x:c r="P1609" s="30" t="n">
        <x:f>O1609*J1609*(1+M1609)</x:f>
        <x:v>0.000025827083333333332</x:v>
      </x:c>
      <x:c r="Q1609" s="30" t="n">
        <x:f>P1609*N1609</x:f>
        <x:v>0.00185955</x:v>
      </x:c>
      <x:c r="R1609" s="19" t="str">
        <x:v>独立判定</x:v>
      </x:c>
    </x:row>
    <x:row r="1610" ht="19" customHeight="1">
      <x:c r="A1610" s="19" t="str">
        <x:v>D01606</x:v>
      </x:c>
      <x:c r="B1610" s="19" t="n">
        <x:v>4</x:v>
      </x:c>
      <x:c r="C1610" s="19" t="n">
        <x:v>3</x:v>
      </x:c>
      <x:c r="D1610" s="19" t="str">
        <x:v>C04-M025</x:v>
      </x:c>
      <x:c r="E1610" s="19" t="str">
        <x:v>破帆水手</x:v>
      </x:c>
      <x:c r="F1610" s="19" t="str">
        <x:v>普通</x:v>
      </x:c>
      <x:c r="G1610" s="19" t="str">
        <x:v>材料独立候选</x:v>
      </x:c>
      <x:c r="H1610" s="19" t="str">
        <x:v>野兽骨片</x:v>
      </x:c>
      <x:c r="I1610" s="22" t="n">
        <x:v>80</x:v>
      </x:c>
      <x:c r="J1610" s="22" t="n">
        <x:v>2</x:v>
      </x:c>
      <x:c r="K1610" s="19" t="n">
        <x:v>1</x:v>
      </x:c>
      <x:c r="L1610" s="24" t="n">
        <x:v>18.78333333333333</x:v>
      </x:c>
      <x:c r="M1610" s="26" t="n">
        <x:v>0.1</x:v>
      </x:c>
      <x:c r="N1610" s="24" t="n">
        <x:v>72</x:v>
      </x:c>
      <x:c r="O1610" s="28" t="n">
        <x:f>MIN(1,L1610/I1610)</x:f>
        <x:v>0.23479166666666665</x:v>
      </x:c>
      <x:c r="P1610" s="30" t="n">
        <x:f>O1610*J1610*(1+M1610)</x:f>
        <x:v>0.5165416666666667</x:v>
      </x:c>
      <x:c r="Q1610" s="30" t="n">
        <x:f>P1610*N1610</x:f>
        <x:v>37.191</x:v>
      </x:c>
      <x:c r="R1610" s="19" t="str">
        <x:v>独立判定</x:v>
      </x:c>
    </x:row>
    <x:row r="1611" ht="19" customHeight="1">
      <x:c r="A1611" s="19" t="str">
        <x:v>D01607</x:v>
      </x:c>
      <x:c r="B1611" s="19" t="n">
        <x:v>4</x:v>
      </x:c>
      <x:c r="C1611" s="19" t="n">
        <x:v>3</x:v>
      </x:c>
      <x:c r="D1611" s="19" t="str">
        <x:v>C04-M025</x:v>
      </x:c>
      <x:c r="E1611" s="19" t="str">
        <x:v>破帆水手</x:v>
      </x:c>
      <x:c r="F1611" s="19" t="str">
        <x:v>普通</x:v>
      </x:c>
      <x:c r="G1611" s="19" t="str">
        <x:v>材料独立候选</x:v>
      </x:c>
      <x:c r="H1611" s="19" t="str">
        <x:v>技能残页</x:v>
      </x:c>
      <x:c r="I1611" s="22" t="n">
        <x:v>400</x:v>
      </x:c>
      <x:c r="J1611" s="22" t="n">
        <x:v>1</x:v>
      </x:c>
      <x:c r="K1611" s="19" t="n">
        <x:v>1</x:v>
      </x:c>
      <x:c r="L1611" s="24" t="n">
        <x:v>18.78333333333333</x:v>
      </x:c>
      <x:c r="M1611" s="26" t="n">
        <x:v>0.1</x:v>
      </x:c>
      <x:c r="N1611" s="24" t="n">
        <x:v>72</x:v>
      </x:c>
      <x:c r="O1611" s="28" t="n">
        <x:f>MIN(1,L1611/I1611)</x:f>
        <x:v>0.04695833333333333</x:v>
      </x:c>
      <x:c r="P1611" s="30" t="n">
        <x:f>O1611*J1611*(1+M1611)</x:f>
        <x:v>0.05165416666666667</x:v>
      </x:c>
      <x:c r="Q1611" s="30" t="n">
        <x:f>P1611*N1611</x:f>
        <x:v>3.7191</x:v>
      </x:c>
      <x:c r="R1611" s="19" t="str">
        <x:v>独立判定</x:v>
      </x:c>
    </x:row>
    <x:row r="1612" ht="19" customHeight="1">
      <x:c r="A1612" s="19" t="str">
        <x:v>D01608</x:v>
      </x:c>
      <x:c r="B1612" s="19" t="n">
        <x:v>4</x:v>
      </x:c>
      <x:c r="C1612" s="19" t="n">
        <x:v>3</x:v>
      </x:c>
      <x:c r="D1612" s="19" t="str">
        <x:v>C04-M025</x:v>
      </x:c>
      <x:c r="E1612" s="19" t="str">
        <x:v>破帆水手</x:v>
      </x:c>
      <x:c r="F1612" s="19" t="str">
        <x:v>普通</x:v>
      </x:c>
      <x:c r="G1612" s="19" t="str">
        <x:v>材料独立候选</x:v>
      </x:c>
      <x:c r="H1612" s="19" t="str">
        <x:v>小卢恩</x:v>
      </x:c>
      <x:c r="I1612" s="22" t="n">
        <x:v>800</x:v>
      </x:c>
      <x:c r="J1612" s="22" t="n">
        <x:v>1</x:v>
      </x:c>
      <x:c r="K1612" s="19" t="n">
        <x:v>1</x:v>
      </x:c>
      <x:c r="L1612" s="24" t="n">
        <x:v>18.78333333333333</x:v>
      </x:c>
      <x:c r="M1612" s="26" t="n">
        <x:v>0.1</x:v>
      </x:c>
      <x:c r="N1612" s="24" t="n">
        <x:v>72</x:v>
      </x:c>
      <x:c r="O1612" s="28" t="n">
        <x:f>MIN(1,L1612/I1612)</x:f>
        <x:v>0.023479166666666666</x:v>
      </x:c>
      <x:c r="P1612" s="30" t="n">
        <x:f>O1612*J1612*(1+M1612)</x:f>
        <x:v>0.025827083333333334</x:v>
      </x:c>
      <x:c r="Q1612" s="30" t="n">
        <x:f>P1612*N1612</x:f>
        <x:v>1.85955</x:v>
      </x:c>
      <x:c r="R1612" s="19" t="str">
        <x:v>独立判定</x:v>
      </x:c>
    </x:row>
    <x:row r="1613" ht="19" customHeight="1">
      <x:c r="A1613" s="19" t="str">
        <x:v>D01609</x:v>
      </x:c>
      <x:c r="B1613" s="19" t="n">
        <x:v>4</x:v>
      </x:c>
      <x:c r="C1613" s="19" t="n">
        <x:v>3</x:v>
      </x:c>
      <x:c r="D1613" s="19" t="str">
        <x:v>C04-M025</x:v>
      </x:c>
      <x:c r="E1613" s="19" t="str">
        <x:v>破帆水手</x:v>
      </x:c>
      <x:c r="F1613" s="19" t="str">
        <x:v>普通</x:v>
      </x:c>
      <x:c r="G1613" s="19" t="str">
        <x:v>六神器公共池</x:v>
      </x:c>
      <x:c r="H1613" s="19" t="str">
        <x:v>POOL006</x:v>
      </x:c>
      <x:c r="I1613" s="22" t="n">
        <x:v>20000000</x:v>
      </x:c>
      <x:c r="J1613" s="22" t="n">
        <x:v>1</x:v>
      </x:c>
      <x:c r="K1613" s="19" t="n">
        <x:v>6</x:v>
      </x:c>
      <x:c r="L1613" s="24" t="n">
        <x:v>18.78333333333333</x:v>
      </x:c>
      <x:c r="M1613" s="26" t="n">
        <x:v>0.1</x:v>
      </x:c>
      <x:c r="N1613" s="24" t="n">
        <x:v>72</x:v>
      </x:c>
      <x:c r="O1613" s="28" t="n">
        <x:f>MIN(1,L1613/I1613)</x:f>
        <x:v>9.391666666666665e-7</x:v>
      </x:c>
      <x:c r="P1613" s="30" t="n">
        <x:f>O1613*J1613*(1+M1613)</x:f>
        <x:v>0.0000010330833333333332</x:v>
      </x:c>
      <x:c r="Q1613" s="30" t="n">
        <x:f>P1613*N1613</x:f>
        <x:v>0.000074382</x:v>
      </x:c>
      <x:c r="R1613" s="19" t="str">
        <x:v>六选一；非6个独立爆率</x:v>
      </x:c>
    </x:row>
    <x:row r="1614" ht="19" customHeight="1">
      <x:c r="A1614" s="19" t="str">
        <x:v>D01610</x:v>
      </x:c>
      <x:c r="B1614" s="19" t="n">
        <x:v>4</x:v>
      </x:c>
      <x:c r="C1614" s="19" t="n">
        <x:v>3</x:v>
      </x:c>
      <x:c r="D1614" s="19" t="str">
        <x:v>C04-M026</x:v>
      </x:c>
      <x:c r="E1614" s="19" t="str">
        <x:v>缠藻桅猴</x:v>
      </x:c>
      <x:c r="F1614" s="19" t="str">
        <x:v>普通</x:v>
      </x:c>
      <x:c r="G1614" s="19" t="str">
        <x:v>自身专属</x:v>
      </x:c>
      <x:c r="H1614" s="19" t="str">
        <x:v>桅猴跳靴</x:v>
      </x:c>
      <x:c r="I1614" s="22" t="n">
        <x:v>1200</x:v>
      </x:c>
      <x:c r="J1614" s="22" t="n">
        <x:v>1</x:v>
      </x:c>
      <x:c r="K1614" s="19" t="n">
        <x:v>1</x:v>
      </x:c>
      <x:c r="L1614" s="24" t="n">
        <x:v>18.78333333333333</x:v>
      </x:c>
      <x:c r="M1614" s="26" t="n">
        <x:v>0.1</x:v>
      </x:c>
      <x:c r="N1614" s="24" t="n">
        <x:v>72</x:v>
      </x:c>
      <x:c r="O1614" s="28" t="n">
        <x:f>MIN(1,L1614/I1614)</x:f>
        <x:v>0.015652777777777776</x:v>
      </x:c>
      <x:c r="P1614" s="30" t="n">
        <x:f>O1614*J1614*(1+M1614)</x:f>
        <x:v>0.017218055555555556</x:v>
      </x:c>
      <x:c r="Q1614" s="30" t="n">
        <x:f>P1614*N1614</x:f>
        <x:v>1.2397</x:v>
      </x:c>
      <x:c r="R1614" s="19" t="str">
        <x:v>独立判定</x:v>
      </x:c>
    </x:row>
    <x:row r="1615" ht="19" customHeight="1">
      <x:c r="A1615" s="19" t="str">
        <x:v>D01611</x:v>
      </x:c>
      <x:c r="B1615" s="19" t="n">
        <x:v>4</x:v>
      </x:c>
      <x:c r="C1615" s="19" t="n">
        <x:v>3</x:v>
      </x:c>
      <x:c r="D1615" s="19" t="str">
        <x:v>C04-M026</x:v>
      </x:c>
      <x:c r="E1615" s="19" t="str">
        <x:v>缠藻桅猴</x:v>
      </x:c>
      <x:c r="F1615" s="19" t="str">
        <x:v>普通</x:v>
      </x:c>
      <x:c r="G1615" s="19" t="str">
        <x:v>材料独立候选</x:v>
      </x:c>
      <x:c r="H1615" s="19" t="str">
        <x:v>湖盐结晶</x:v>
      </x:c>
      <x:c r="I1615" s="22" t="n">
        <x:v>600</x:v>
      </x:c>
      <x:c r="J1615" s="22" t="n">
        <x:v>8</x:v>
      </x:c>
      <x:c r="K1615" s="19" t="n">
        <x:v>1</x:v>
      </x:c>
      <x:c r="L1615" s="24" t="n">
        <x:v>18.78333333333333</x:v>
      </x:c>
      <x:c r="M1615" s="26" t="n">
        <x:v>0.1</x:v>
      </x:c>
      <x:c r="N1615" s="24" t="n">
        <x:v>72</x:v>
      </x:c>
      <x:c r="O1615" s="28" t="n">
        <x:f>MIN(1,L1615/I1615)</x:f>
        <x:v>0.03130555555555555</x:v>
      </x:c>
      <x:c r="P1615" s="30" t="n">
        <x:f>O1615*J1615*(1+M1615)</x:f>
        <x:v>0.2754888888888889</x:v>
      </x:c>
      <x:c r="Q1615" s="30" t="n">
        <x:f>P1615*N1615</x:f>
        <x:v>19.8352</x:v>
      </x:c>
      <x:c r="R1615" s="19" t="str">
        <x:v>独立判定</x:v>
      </x:c>
    </x:row>
    <x:row r="1616" ht="19" customHeight="1">
      <x:c r="A1616" s="19" t="str">
        <x:v>D01612</x:v>
      </x:c>
      <x:c r="B1616" s="19" t="n">
        <x:v>4</x:v>
      </x:c>
      <x:c r="C1616" s="19" t="n">
        <x:v>3</x:v>
      </x:c>
      <x:c r="D1616" s="19" t="str">
        <x:v>C04-M026</x:v>
      </x:c>
      <x:c r="E1616" s="19" t="str">
        <x:v>缠藻桅猴</x:v>
      </x:c>
      <x:c r="F1616" s="19" t="str">
        <x:v>普通</x:v>
      </x:c>
      <x:c r="G1616" s="19" t="str">
        <x:v>材料独立候选</x:v>
      </x:c>
      <x:c r="H1616" s="19" t="str">
        <x:v>雾潮银鳞</x:v>
      </x:c>
      <x:c r="I1616" s="22" t="n">
        <x:v>600</x:v>
      </x:c>
      <x:c r="J1616" s="22" t="n">
        <x:v>1</x:v>
      </x:c>
      <x:c r="K1616" s="19" t="n">
        <x:v>1</x:v>
      </x:c>
      <x:c r="L1616" s="24" t="n">
        <x:v>18.78333333333333</x:v>
      </x:c>
      <x:c r="M1616" s="26" t="n">
        <x:v>0.1</x:v>
      </x:c>
      <x:c r="N1616" s="24" t="n">
        <x:v>72</x:v>
      </x:c>
      <x:c r="O1616" s="28" t="n">
        <x:f>MIN(1,L1616/I1616)</x:f>
        <x:v>0.03130555555555555</x:v>
      </x:c>
      <x:c r="P1616" s="30" t="n">
        <x:f>O1616*J1616*(1+M1616)</x:f>
        <x:v>0.03443611111111111</x:v>
      </x:c>
      <x:c r="Q1616" s="30" t="n">
        <x:f>P1616*N1616</x:f>
        <x:v>2.4794</x:v>
      </x:c>
      <x:c r="R1616" s="19" t="str">
        <x:v>独立判定</x:v>
      </x:c>
    </x:row>
    <x:row r="1617" ht="19" customHeight="1">
      <x:c r="A1617" s="19" t="str">
        <x:v>D01613</x:v>
      </x:c>
      <x:c r="B1617" s="19" t="n">
        <x:v>4</x:v>
      </x:c>
      <x:c r="C1617" s="19" t="n">
        <x:v>3</x:v>
      </x:c>
      <x:c r="D1617" s="19" t="str">
        <x:v>C04-M026</x:v>
      </x:c>
      <x:c r="E1617" s="19" t="str">
        <x:v>缠藻桅猴</x:v>
      </x:c>
      <x:c r="F1617" s="19" t="str">
        <x:v>普通</x:v>
      </x:c>
      <x:c r="G1617" s="19" t="str">
        <x:v>材料独立候选</x:v>
      </x:c>
      <x:c r="H1617" s="19" t="str">
        <x:v>月潮忆珀</x:v>
      </x:c>
      <x:c r="I1617" s="22" t="n">
        <x:v>800000</x:v>
      </x:c>
      <x:c r="J1617" s="22" t="n">
        <x:v>1</x:v>
      </x:c>
      <x:c r="K1617" s="19" t="n">
        <x:v>1</x:v>
      </x:c>
      <x:c r="L1617" s="24" t="n">
        <x:v>18.78333333333333</x:v>
      </x:c>
      <x:c r="M1617" s="26" t="n">
        <x:v>0.1</x:v>
      </x:c>
      <x:c r="N1617" s="24" t="n">
        <x:v>72</x:v>
      </x:c>
      <x:c r="O1617" s="28" t="n">
        <x:f>MIN(1,L1617/I1617)</x:f>
        <x:v>0.000023479166666666664</x:v>
      </x:c>
      <x:c r="P1617" s="30" t="n">
        <x:f>O1617*J1617*(1+M1617)</x:f>
        <x:v>0.000025827083333333332</x:v>
      </x:c>
      <x:c r="Q1617" s="30" t="n">
        <x:f>P1617*N1617</x:f>
        <x:v>0.00185955</x:v>
      </x:c>
      <x:c r="R1617" s="19" t="str">
        <x:v>独立判定</x:v>
      </x:c>
    </x:row>
    <x:row r="1618" ht="19" customHeight="1">
      <x:c r="A1618" s="19" t="str">
        <x:v>D01614</x:v>
      </x:c>
      <x:c r="B1618" s="19" t="n">
        <x:v>4</x:v>
      </x:c>
      <x:c r="C1618" s="19" t="n">
        <x:v>3</x:v>
      </x:c>
      <x:c r="D1618" s="19" t="str">
        <x:v>C04-M026</x:v>
      </x:c>
      <x:c r="E1618" s="19" t="str">
        <x:v>缠藻桅猴</x:v>
      </x:c>
      <x:c r="F1618" s="19" t="str">
        <x:v>普通</x:v>
      </x:c>
      <x:c r="G1618" s="19" t="str">
        <x:v>材料独立候选</x:v>
      </x:c>
      <x:c r="H1618" s="19" t="str">
        <x:v>野兽骨片</x:v>
      </x:c>
      <x:c r="I1618" s="22" t="n">
        <x:v>80</x:v>
      </x:c>
      <x:c r="J1618" s="22" t="n">
        <x:v>2</x:v>
      </x:c>
      <x:c r="K1618" s="19" t="n">
        <x:v>1</x:v>
      </x:c>
      <x:c r="L1618" s="24" t="n">
        <x:v>18.78333333333333</x:v>
      </x:c>
      <x:c r="M1618" s="26" t="n">
        <x:v>0.1</x:v>
      </x:c>
      <x:c r="N1618" s="24" t="n">
        <x:v>72</x:v>
      </x:c>
      <x:c r="O1618" s="28" t="n">
        <x:f>MIN(1,L1618/I1618)</x:f>
        <x:v>0.23479166666666665</x:v>
      </x:c>
      <x:c r="P1618" s="30" t="n">
        <x:f>O1618*J1618*(1+M1618)</x:f>
        <x:v>0.5165416666666667</x:v>
      </x:c>
      <x:c r="Q1618" s="30" t="n">
        <x:f>P1618*N1618</x:f>
        <x:v>37.191</x:v>
      </x:c>
      <x:c r="R1618" s="19" t="str">
        <x:v>独立判定</x:v>
      </x:c>
    </x:row>
    <x:row r="1619" ht="19" customHeight="1">
      <x:c r="A1619" s="19" t="str">
        <x:v>D01615</x:v>
      </x:c>
      <x:c r="B1619" s="19" t="n">
        <x:v>4</x:v>
      </x:c>
      <x:c r="C1619" s="19" t="n">
        <x:v>3</x:v>
      </x:c>
      <x:c r="D1619" s="19" t="str">
        <x:v>C04-M026</x:v>
      </x:c>
      <x:c r="E1619" s="19" t="str">
        <x:v>缠藻桅猴</x:v>
      </x:c>
      <x:c r="F1619" s="19" t="str">
        <x:v>普通</x:v>
      </x:c>
      <x:c r="G1619" s="19" t="str">
        <x:v>材料独立候选</x:v>
      </x:c>
      <x:c r="H1619" s="19" t="str">
        <x:v>技能残页</x:v>
      </x:c>
      <x:c r="I1619" s="22" t="n">
        <x:v>400</x:v>
      </x:c>
      <x:c r="J1619" s="22" t="n">
        <x:v>1</x:v>
      </x:c>
      <x:c r="K1619" s="19" t="n">
        <x:v>1</x:v>
      </x:c>
      <x:c r="L1619" s="24" t="n">
        <x:v>18.78333333333333</x:v>
      </x:c>
      <x:c r="M1619" s="26" t="n">
        <x:v>0.1</x:v>
      </x:c>
      <x:c r="N1619" s="24" t="n">
        <x:v>72</x:v>
      </x:c>
      <x:c r="O1619" s="28" t="n">
        <x:f>MIN(1,L1619/I1619)</x:f>
        <x:v>0.04695833333333333</x:v>
      </x:c>
      <x:c r="P1619" s="30" t="n">
        <x:f>O1619*J1619*(1+M1619)</x:f>
        <x:v>0.05165416666666667</x:v>
      </x:c>
      <x:c r="Q1619" s="30" t="n">
        <x:f>P1619*N1619</x:f>
        <x:v>3.7191</x:v>
      </x:c>
      <x:c r="R1619" s="19" t="str">
        <x:v>独立判定</x:v>
      </x:c>
    </x:row>
    <x:row r="1620" ht="19" customHeight="1">
      <x:c r="A1620" s="19" t="str">
        <x:v>D01616</x:v>
      </x:c>
      <x:c r="B1620" s="19" t="n">
        <x:v>4</x:v>
      </x:c>
      <x:c r="C1620" s="19" t="n">
        <x:v>3</x:v>
      </x:c>
      <x:c r="D1620" s="19" t="str">
        <x:v>C04-M026</x:v>
      </x:c>
      <x:c r="E1620" s="19" t="str">
        <x:v>缠藻桅猴</x:v>
      </x:c>
      <x:c r="F1620" s="19" t="str">
        <x:v>普通</x:v>
      </x:c>
      <x:c r="G1620" s="19" t="str">
        <x:v>材料独立候选</x:v>
      </x:c>
      <x:c r="H1620" s="19" t="str">
        <x:v>小卢恩</x:v>
      </x:c>
      <x:c r="I1620" s="22" t="n">
        <x:v>800</x:v>
      </x:c>
      <x:c r="J1620" s="22" t="n">
        <x:v>1</x:v>
      </x:c>
      <x:c r="K1620" s="19" t="n">
        <x:v>1</x:v>
      </x:c>
      <x:c r="L1620" s="24" t="n">
        <x:v>18.78333333333333</x:v>
      </x:c>
      <x:c r="M1620" s="26" t="n">
        <x:v>0.1</x:v>
      </x:c>
      <x:c r="N1620" s="24" t="n">
        <x:v>72</x:v>
      </x:c>
      <x:c r="O1620" s="28" t="n">
        <x:f>MIN(1,L1620/I1620)</x:f>
        <x:v>0.023479166666666666</x:v>
      </x:c>
      <x:c r="P1620" s="30" t="n">
        <x:f>O1620*J1620*(1+M1620)</x:f>
        <x:v>0.025827083333333334</x:v>
      </x:c>
      <x:c r="Q1620" s="30" t="n">
        <x:f>P1620*N1620</x:f>
        <x:v>1.85955</x:v>
      </x:c>
      <x:c r="R1620" s="19" t="str">
        <x:v>独立判定</x:v>
      </x:c>
    </x:row>
    <x:row r="1621" ht="19" customHeight="1">
      <x:c r="A1621" s="19" t="str">
        <x:v>D01617</x:v>
      </x:c>
      <x:c r="B1621" s="19" t="n">
        <x:v>4</x:v>
      </x:c>
      <x:c r="C1621" s="19" t="n">
        <x:v>3</x:v>
      </x:c>
      <x:c r="D1621" s="19" t="str">
        <x:v>C04-M026</x:v>
      </x:c>
      <x:c r="E1621" s="19" t="str">
        <x:v>缠藻桅猴</x:v>
      </x:c>
      <x:c r="F1621" s="19" t="str">
        <x:v>普通</x:v>
      </x:c>
      <x:c r="G1621" s="19" t="str">
        <x:v>六神器公共池</x:v>
      </x:c>
      <x:c r="H1621" s="19" t="str">
        <x:v>POOL006</x:v>
      </x:c>
      <x:c r="I1621" s="22" t="n">
        <x:v>20000000</x:v>
      </x:c>
      <x:c r="J1621" s="22" t="n">
        <x:v>1</x:v>
      </x:c>
      <x:c r="K1621" s="19" t="n">
        <x:v>6</x:v>
      </x:c>
      <x:c r="L1621" s="24" t="n">
        <x:v>18.78333333333333</x:v>
      </x:c>
      <x:c r="M1621" s="26" t="n">
        <x:v>0.1</x:v>
      </x:c>
      <x:c r="N1621" s="24" t="n">
        <x:v>72</x:v>
      </x:c>
      <x:c r="O1621" s="28" t="n">
        <x:f>MIN(1,L1621/I1621)</x:f>
        <x:v>9.391666666666665e-7</x:v>
      </x:c>
      <x:c r="P1621" s="30" t="n">
        <x:f>O1621*J1621*(1+M1621)</x:f>
        <x:v>0.0000010330833333333332</x:v>
      </x:c>
      <x:c r="Q1621" s="30" t="n">
        <x:f>P1621*N1621</x:f>
        <x:v>0.000074382</x:v>
      </x:c>
      <x:c r="R1621" s="19" t="str">
        <x:v>六选一；非6个独立爆率</x:v>
      </x:c>
    </x:row>
    <x:row r="1622" ht="19" customHeight="1">
      <x:c r="A1622" s="19" t="str">
        <x:v>D01618</x:v>
      </x:c>
      <x:c r="B1622" s="19" t="n">
        <x:v>4</x:v>
      </x:c>
      <x:c r="C1622" s="19" t="n">
        <x:v>3</x:v>
      </x:c>
      <x:c r="D1622" s="19" t="str">
        <x:v>C04-M027</x:v>
      </x:c>
      <x:c r="E1622" s="19" t="str">
        <x:v>舱门凿击者</x:v>
      </x:c>
      <x:c r="F1622" s="19" t="str">
        <x:v>普通</x:v>
      </x:c>
      <x:c r="G1622" s="19" t="str">
        <x:v>自身专属</x:v>
      </x:c>
      <x:c r="H1622" s="19" t="str">
        <x:v>凿舱铁锤</x:v>
      </x:c>
      <x:c r="I1622" s="22" t="n">
        <x:v>1200</x:v>
      </x:c>
      <x:c r="J1622" s="22" t="n">
        <x:v>1</x:v>
      </x:c>
      <x:c r="K1622" s="19" t="n">
        <x:v>1</x:v>
      </x:c>
      <x:c r="L1622" s="24" t="n">
        <x:v>18.78333333333333</x:v>
      </x:c>
      <x:c r="M1622" s="26" t="n">
        <x:v>0.1</x:v>
      </x:c>
      <x:c r="N1622" s="24" t="n">
        <x:v>72</x:v>
      </x:c>
      <x:c r="O1622" s="28" t="n">
        <x:f>MIN(1,L1622/I1622)</x:f>
        <x:v>0.015652777777777776</x:v>
      </x:c>
      <x:c r="P1622" s="30" t="n">
        <x:f>O1622*J1622*(1+M1622)</x:f>
        <x:v>0.017218055555555556</x:v>
      </x:c>
      <x:c r="Q1622" s="30" t="n">
        <x:f>P1622*N1622</x:f>
        <x:v>1.2397</x:v>
      </x:c>
      <x:c r="R1622" s="19" t="str">
        <x:v>独立判定</x:v>
      </x:c>
    </x:row>
    <x:row r="1623" ht="19" customHeight="1">
      <x:c r="A1623" s="19" t="str">
        <x:v>D01619</x:v>
      </x:c>
      <x:c r="B1623" s="19" t="n">
        <x:v>4</x:v>
      </x:c>
      <x:c r="C1623" s="19" t="n">
        <x:v>3</x:v>
      </x:c>
      <x:c r="D1623" s="19" t="str">
        <x:v>C04-M027</x:v>
      </x:c>
      <x:c r="E1623" s="19" t="str">
        <x:v>舱门凿击者</x:v>
      </x:c>
      <x:c r="F1623" s="19" t="str">
        <x:v>普通</x:v>
      </x:c>
      <x:c r="G1623" s="19" t="str">
        <x:v>材料独立候选</x:v>
      </x:c>
      <x:c r="H1623" s="19" t="str">
        <x:v>湖盐结晶</x:v>
      </x:c>
      <x:c r="I1623" s="22" t="n">
        <x:v>600</x:v>
      </x:c>
      <x:c r="J1623" s="22" t="n">
        <x:v>8</x:v>
      </x:c>
      <x:c r="K1623" s="19" t="n">
        <x:v>1</x:v>
      </x:c>
      <x:c r="L1623" s="24" t="n">
        <x:v>18.78333333333333</x:v>
      </x:c>
      <x:c r="M1623" s="26" t="n">
        <x:v>0.1</x:v>
      </x:c>
      <x:c r="N1623" s="24" t="n">
        <x:v>72</x:v>
      </x:c>
      <x:c r="O1623" s="28" t="n">
        <x:f>MIN(1,L1623/I1623)</x:f>
        <x:v>0.03130555555555555</x:v>
      </x:c>
      <x:c r="P1623" s="30" t="n">
        <x:f>O1623*J1623*(1+M1623)</x:f>
        <x:v>0.2754888888888889</x:v>
      </x:c>
      <x:c r="Q1623" s="30" t="n">
        <x:f>P1623*N1623</x:f>
        <x:v>19.8352</x:v>
      </x:c>
      <x:c r="R1623" s="19" t="str">
        <x:v>独立判定</x:v>
      </x:c>
    </x:row>
    <x:row r="1624" ht="19" customHeight="1">
      <x:c r="A1624" s="19" t="str">
        <x:v>D01620</x:v>
      </x:c>
      <x:c r="B1624" s="19" t="n">
        <x:v>4</x:v>
      </x:c>
      <x:c r="C1624" s="19" t="n">
        <x:v>3</x:v>
      </x:c>
      <x:c r="D1624" s="19" t="str">
        <x:v>C04-M027</x:v>
      </x:c>
      <x:c r="E1624" s="19" t="str">
        <x:v>舱门凿击者</x:v>
      </x:c>
      <x:c r="F1624" s="19" t="str">
        <x:v>普通</x:v>
      </x:c>
      <x:c r="G1624" s="19" t="str">
        <x:v>材料独立候选</x:v>
      </x:c>
      <x:c r="H1624" s="19" t="str">
        <x:v>雾潮银鳞</x:v>
      </x:c>
      <x:c r="I1624" s="22" t="n">
        <x:v>600</x:v>
      </x:c>
      <x:c r="J1624" s="22" t="n">
        <x:v>1</x:v>
      </x:c>
      <x:c r="K1624" s="19" t="n">
        <x:v>1</x:v>
      </x:c>
      <x:c r="L1624" s="24" t="n">
        <x:v>18.78333333333333</x:v>
      </x:c>
      <x:c r="M1624" s="26" t="n">
        <x:v>0.1</x:v>
      </x:c>
      <x:c r="N1624" s="24" t="n">
        <x:v>72</x:v>
      </x:c>
      <x:c r="O1624" s="28" t="n">
        <x:f>MIN(1,L1624/I1624)</x:f>
        <x:v>0.03130555555555555</x:v>
      </x:c>
      <x:c r="P1624" s="30" t="n">
        <x:f>O1624*J1624*(1+M1624)</x:f>
        <x:v>0.03443611111111111</x:v>
      </x:c>
      <x:c r="Q1624" s="30" t="n">
        <x:f>P1624*N1624</x:f>
        <x:v>2.4794</x:v>
      </x:c>
      <x:c r="R1624" s="19" t="str">
        <x:v>独立判定</x:v>
      </x:c>
    </x:row>
    <x:row r="1625" ht="19" customHeight="1">
      <x:c r="A1625" s="19" t="str">
        <x:v>D01621</x:v>
      </x:c>
      <x:c r="B1625" s="19" t="n">
        <x:v>4</x:v>
      </x:c>
      <x:c r="C1625" s="19" t="n">
        <x:v>3</x:v>
      </x:c>
      <x:c r="D1625" s="19" t="str">
        <x:v>C04-M027</x:v>
      </x:c>
      <x:c r="E1625" s="19" t="str">
        <x:v>舱门凿击者</x:v>
      </x:c>
      <x:c r="F1625" s="19" t="str">
        <x:v>普通</x:v>
      </x:c>
      <x:c r="G1625" s="19" t="str">
        <x:v>材料独立候选</x:v>
      </x:c>
      <x:c r="H1625" s="19" t="str">
        <x:v>月潮忆珀</x:v>
      </x:c>
      <x:c r="I1625" s="22" t="n">
        <x:v>800000</x:v>
      </x:c>
      <x:c r="J1625" s="22" t="n">
        <x:v>1</x:v>
      </x:c>
      <x:c r="K1625" s="19" t="n">
        <x:v>1</x:v>
      </x:c>
      <x:c r="L1625" s="24" t="n">
        <x:v>18.78333333333333</x:v>
      </x:c>
      <x:c r="M1625" s="26" t="n">
        <x:v>0.1</x:v>
      </x:c>
      <x:c r="N1625" s="24" t="n">
        <x:v>72</x:v>
      </x:c>
      <x:c r="O1625" s="28" t="n">
        <x:f>MIN(1,L1625/I1625)</x:f>
        <x:v>0.000023479166666666664</x:v>
      </x:c>
      <x:c r="P1625" s="30" t="n">
        <x:f>O1625*J1625*(1+M1625)</x:f>
        <x:v>0.000025827083333333332</x:v>
      </x:c>
      <x:c r="Q1625" s="30" t="n">
        <x:f>P1625*N1625</x:f>
        <x:v>0.00185955</x:v>
      </x:c>
      <x:c r="R1625" s="19" t="str">
        <x:v>独立判定</x:v>
      </x:c>
    </x:row>
    <x:row r="1626" ht="19" customHeight="1">
      <x:c r="A1626" s="19" t="str">
        <x:v>D01622</x:v>
      </x:c>
      <x:c r="B1626" s="19" t="n">
        <x:v>4</x:v>
      </x:c>
      <x:c r="C1626" s="19" t="n">
        <x:v>3</x:v>
      </x:c>
      <x:c r="D1626" s="19" t="str">
        <x:v>C04-M027</x:v>
      </x:c>
      <x:c r="E1626" s="19" t="str">
        <x:v>舱门凿击者</x:v>
      </x:c>
      <x:c r="F1626" s="19" t="str">
        <x:v>普通</x:v>
      </x:c>
      <x:c r="G1626" s="19" t="str">
        <x:v>材料独立候选</x:v>
      </x:c>
      <x:c r="H1626" s="19" t="str">
        <x:v>野兽骨片</x:v>
      </x:c>
      <x:c r="I1626" s="22" t="n">
        <x:v>80</x:v>
      </x:c>
      <x:c r="J1626" s="22" t="n">
        <x:v>2</x:v>
      </x:c>
      <x:c r="K1626" s="19" t="n">
        <x:v>1</x:v>
      </x:c>
      <x:c r="L1626" s="24" t="n">
        <x:v>18.78333333333333</x:v>
      </x:c>
      <x:c r="M1626" s="26" t="n">
        <x:v>0.1</x:v>
      </x:c>
      <x:c r="N1626" s="24" t="n">
        <x:v>72</x:v>
      </x:c>
      <x:c r="O1626" s="28" t="n">
        <x:f>MIN(1,L1626/I1626)</x:f>
        <x:v>0.23479166666666665</x:v>
      </x:c>
      <x:c r="P1626" s="30" t="n">
        <x:f>O1626*J1626*(1+M1626)</x:f>
        <x:v>0.5165416666666667</x:v>
      </x:c>
      <x:c r="Q1626" s="30" t="n">
        <x:f>P1626*N1626</x:f>
        <x:v>37.191</x:v>
      </x:c>
      <x:c r="R1626" s="19" t="str">
        <x:v>独立判定</x:v>
      </x:c>
    </x:row>
    <x:row r="1627" ht="19" customHeight="1">
      <x:c r="A1627" s="19" t="str">
        <x:v>D01623</x:v>
      </x:c>
      <x:c r="B1627" s="19" t="n">
        <x:v>4</x:v>
      </x:c>
      <x:c r="C1627" s="19" t="n">
        <x:v>3</x:v>
      </x:c>
      <x:c r="D1627" s="19" t="str">
        <x:v>C04-M027</x:v>
      </x:c>
      <x:c r="E1627" s="19" t="str">
        <x:v>舱门凿击者</x:v>
      </x:c>
      <x:c r="F1627" s="19" t="str">
        <x:v>普通</x:v>
      </x:c>
      <x:c r="G1627" s="19" t="str">
        <x:v>材料独立候选</x:v>
      </x:c>
      <x:c r="H1627" s="19" t="str">
        <x:v>技能残页</x:v>
      </x:c>
      <x:c r="I1627" s="22" t="n">
        <x:v>400</x:v>
      </x:c>
      <x:c r="J1627" s="22" t="n">
        <x:v>1</x:v>
      </x:c>
      <x:c r="K1627" s="19" t="n">
        <x:v>1</x:v>
      </x:c>
      <x:c r="L1627" s="24" t="n">
        <x:v>18.78333333333333</x:v>
      </x:c>
      <x:c r="M1627" s="26" t="n">
        <x:v>0.1</x:v>
      </x:c>
      <x:c r="N1627" s="24" t="n">
        <x:v>72</x:v>
      </x:c>
      <x:c r="O1627" s="28" t="n">
        <x:f>MIN(1,L1627/I1627)</x:f>
        <x:v>0.04695833333333333</x:v>
      </x:c>
      <x:c r="P1627" s="30" t="n">
        <x:f>O1627*J1627*(1+M1627)</x:f>
        <x:v>0.05165416666666667</x:v>
      </x:c>
      <x:c r="Q1627" s="30" t="n">
        <x:f>P1627*N1627</x:f>
        <x:v>3.7191</x:v>
      </x:c>
      <x:c r="R1627" s="19" t="str">
        <x:v>独立判定</x:v>
      </x:c>
    </x:row>
    <x:row r="1628" ht="19" customHeight="1">
      <x:c r="A1628" s="19" t="str">
        <x:v>D01624</x:v>
      </x:c>
      <x:c r="B1628" s="19" t="n">
        <x:v>4</x:v>
      </x:c>
      <x:c r="C1628" s="19" t="n">
        <x:v>3</x:v>
      </x:c>
      <x:c r="D1628" s="19" t="str">
        <x:v>C04-M027</x:v>
      </x:c>
      <x:c r="E1628" s="19" t="str">
        <x:v>舱门凿击者</x:v>
      </x:c>
      <x:c r="F1628" s="19" t="str">
        <x:v>普通</x:v>
      </x:c>
      <x:c r="G1628" s="19" t="str">
        <x:v>材料独立候选</x:v>
      </x:c>
      <x:c r="H1628" s="19" t="str">
        <x:v>小卢恩</x:v>
      </x:c>
      <x:c r="I1628" s="22" t="n">
        <x:v>800</x:v>
      </x:c>
      <x:c r="J1628" s="22" t="n">
        <x:v>1</x:v>
      </x:c>
      <x:c r="K1628" s="19" t="n">
        <x:v>1</x:v>
      </x:c>
      <x:c r="L1628" s="24" t="n">
        <x:v>18.78333333333333</x:v>
      </x:c>
      <x:c r="M1628" s="26" t="n">
        <x:v>0.1</x:v>
      </x:c>
      <x:c r="N1628" s="24" t="n">
        <x:v>72</x:v>
      </x:c>
      <x:c r="O1628" s="28" t="n">
        <x:f>MIN(1,L1628/I1628)</x:f>
        <x:v>0.023479166666666666</x:v>
      </x:c>
      <x:c r="P1628" s="30" t="n">
        <x:f>O1628*J1628*(1+M1628)</x:f>
        <x:v>0.025827083333333334</x:v>
      </x:c>
      <x:c r="Q1628" s="30" t="n">
        <x:f>P1628*N1628</x:f>
        <x:v>1.85955</x:v>
      </x:c>
      <x:c r="R1628" s="19" t="str">
        <x:v>独立判定</x:v>
      </x:c>
    </x:row>
    <x:row r="1629" ht="19" customHeight="1">
      <x:c r="A1629" s="19" t="str">
        <x:v>D01625</x:v>
      </x:c>
      <x:c r="B1629" s="19" t="n">
        <x:v>4</x:v>
      </x:c>
      <x:c r="C1629" s="19" t="n">
        <x:v>3</x:v>
      </x:c>
      <x:c r="D1629" s="19" t="str">
        <x:v>C04-M027</x:v>
      </x:c>
      <x:c r="E1629" s="19" t="str">
        <x:v>舱门凿击者</x:v>
      </x:c>
      <x:c r="F1629" s="19" t="str">
        <x:v>普通</x:v>
      </x:c>
      <x:c r="G1629" s="19" t="str">
        <x:v>六神器公共池</x:v>
      </x:c>
      <x:c r="H1629" s="19" t="str">
        <x:v>POOL006</x:v>
      </x:c>
      <x:c r="I1629" s="22" t="n">
        <x:v>20000000</x:v>
      </x:c>
      <x:c r="J1629" s="22" t="n">
        <x:v>1</x:v>
      </x:c>
      <x:c r="K1629" s="19" t="n">
        <x:v>6</x:v>
      </x:c>
      <x:c r="L1629" s="24" t="n">
        <x:v>18.78333333333333</x:v>
      </x:c>
      <x:c r="M1629" s="26" t="n">
        <x:v>0.1</x:v>
      </x:c>
      <x:c r="N1629" s="24" t="n">
        <x:v>72</x:v>
      </x:c>
      <x:c r="O1629" s="28" t="n">
        <x:f>MIN(1,L1629/I1629)</x:f>
        <x:v>9.391666666666665e-7</x:v>
      </x:c>
      <x:c r="P1629" s="30" t="n">
        <x:f>O1629*J1629*(1+M1629)</x:f>
        <x:v>0.0000010330833333333332</x:v>
      </x:c>
      <x:c r="Q1629" s="30" t="n">
        <x:f>P1629*N1629</x:f>
        <x:v>0.000074382</x:v>
      </x:c>
      <x:c r="R1629" s="19" t="str">
        <x:v>六选一；非6个独立爆率</x:v>
      </x:c>
    </x:row>
    <x:row r="1630" ht="19" customHeight="1">
      <x:c r="A1630" s="19" t="str">
        <x:v>D01626</x:v>
      </x:c>
      <x:c r="B1630" s="19" t="n">
        <x:v>4</x:v>
      </x:c>
      <x:c r="C1630" s="19" t="n">
        <x:v>3</x:v>
      </x:c>
      <x:c r="D1630" s="19" t="str">
        <x:v>C04-M028</x:v>
      </x:c>
      <x:c r="E1630" s="19" t="str">
        <x:v>油灯怨影</x:v>
      </x:c>
      <x:c r="F1630" s="19" t="str">
        <x:v>普通</x:v>
      </x:c>
      <x:c r="G1630" s="19" t="str">
        <x:v>自身专属</x:v>
      </x:c>
      <x:c r="H1630" s="19" t="str">
        <x:v>怨灯项链</x:v>
      </x:c>
      <x:c r="I1630" s="22" t="n">
        <x:v>1200</x:v>
      </x:c>
      <x:c r="J1630" s="22" t="n">
        <x:v>1</x:v>
      </x:c>
      <x:c r="K1630" s="19" t="n">
        <x:v>1</x:v>
      </x:c>
      <x:c r="L1630" s="24" t="n">
        <x:v>18.78333333333333</x:v>
      </x:c>
      <x:c r="M1630" s="26" t="n">
        <x:v>0.1</x:v>
      </x:c>
      <x:c r="N1630" s="24" t="n">
        <x:v>72</x:v>
      </x:c>
      <x:c r="O1630" s="28" t="n">
        <x:f>MIN(1,L1630/I1630)</x:f>
        <x:v>0.015652777777777776</x:v>
      </x:c>
      <x:c r="P1630" s="30" t="n">
        <x:f>O1630*J1630*(1+M1630)</x:f>
        <x:v>0.017218055555555556</x:v>
      </x:c>
      <x:c r="Q1630" s="30" t="n">
        <x:f>P1630*N1630</x:f>
        <x:v>1.2397</x:v>
      </x:c>
      <x:c r="R1630" s="19" t="str">
        <x:v>独立判定</x:v>
      </x:c>
    </x:row>
    <x:row r="1631" ht="19" customHeight="1">
      <x:c r="A1631" s="19" t="str">
        <x:v>D01627</x:v>
      </x:c>
      <x:c r="B1631" s="19" t="n">
        <x:v>4</x:v>
      </x:c>
      <x:c r="C1631" s="19" t="n">
        <x:v>3</x:v>
      </x:c>
      <x:c r="D1631" s="19" t="str">
        <x:v>C04-M028</x:v>
      </x:c>
      <x:c r="E1631" s="19" t="str">
        <x:v>油灯怨影</x:v>
      </x:c>
      <x:c r="F1631" s="19" t="str">
        <x:v>普通</x:v>
      </x:c>
      <x:c r="G1631" s="19" t="str">
        <x:v>材料独立候选</x:v>
      </x:c>
      <x:c r="H1631" s="19" t="str">
        <x:v>湖盐结晶</x:v>
      </x:c>
      <x:c r="I1631" s="22" t="n">
        <x:v>600</x:v>
      </x:c>
      <x:c r="J1631" s="22" t="n">
        <x:v>8</x:v>
      </x:c>
      <x:c r="K1631" s="19" t="n">
        <x:v>1</x:v>
      </x:c>
      <x:c r="L1631" s="24" t="n">
        <x:v>18.78333333333333</x:v>
      </x:c>
      <x:c r="M1631" s="26" t="n">
        <x:v>0.1</x:v>
      </x:c>
      <x:c r="N1631" s="24" t="n">
        <x:v>72</x:v>
      </x:c>
      <x:c r="O1631" s="28" t="n">
        <x:f>MIN(1,L1631/I1631)</x:f>
        <x:v>0.03130555555555555</x:v>
      </x:c>
      <x:c r="P1631" s="30" t="n">
        <x:f>O1631*J1631*(1+M1631)</x:f>
        <x:v>0.2754888888888889</x:v>
      </x:c>
      <x:c r="Q1631" s="30" t="n">
        <x:f>P1631*N1631</x:f>
        <x:v>19.8352</x:v>
      </x:c>
      <x:c r="R1631" s="19" t="str">
        <x:v>独立判定</x:v>
      </x:c>
    </x:row>
    <x:row r="1632" ht="19" customHeight="1">
      <x:c r="A1632" s="19" t="str">
        <x:v>D01628</x:v>
      </x:c>
      <x:c r="B1632" s="19" t="n">
        <x:v>4</x:v>
      </x:c>
      <x:c r="C1632" s="19" t="n">
        <x:v>3</x:v>
      </x:c>
      <x:c r="D1632" s="19" t="str">
        <x:v>C04-M028</x:v>
      </x:c>
      <x:c r="E1632" s="19" t="str">
        <x:v>油灯怨影</x:v>
      </x:c>
      <x:c r="F1632" s="19" t="str">
        <x:v>普通</x:v>
      </x:c>
      <x:c r="G1632" s="19" t="str">
        <x:v>材料独立候选</x:v>
      </x:c>
      <x:c r="H1632" s="19" t="str">
        <x:v>雾潮银鳞</x:v>
      </x:c>
      <x:c r="I1632" s="22" t="n">
        <x:v>600</x:v>
      </x:c>
      <x:c r="J1632" s="22" t="n">
        <x:v>1</x:v>
      </x:c>
      <x:c r="K1632" s="19" t="n">
        <x:v>1</x:v>
      </x:c>
      <x:c r="L1632" s="24" t="n">
        <x:v>18.78333333333333</x:v>
      </x:c>
      <x:c r="M1632" s="26" t="n">
        <x:v>0.1</x:v>
      </x:c>
      <x:c r="N1632" s="24" t="n">
        <x:v>72</x:v>
      </x:c>
      <x:c r="O1632" s="28" t="n">
        <x:f>MIN(1,L1632/I1632)</x:f>
        <x:v>0.03130555555555555</x:v>
      </x:c>
      <x:c r="P1632" s="30" t="n">
        <x:f>O1632*J1632*(1+M1632)</x:f>
        <x:v>0.03443611111111111</x:v>
      </x:c>
      <x:c r="Q1632" s="30" t="n">
        <x:f>P1632*N1632</x:f>
        <x:v>2.4794</x:v>
      </x:c>
      <x:c r="R1632" s="19" t="str">
        <x:v>独立判定</x:v>
      </x:c>
    </x:row>
    <x:row r="1633" ht="19" customHeight="1">
      <x:c r="A1633" s="19" t="str">
        <x:v>D01629</x:v>
      </x:c>
      <x:c r="B1633" s="19" t="n">
        <x:v>4</x:v>
      </x:c>
      <x:c r="C1633" s="19" t="n">
        <x:v>3</x:v>
      </x:c>
      <x:c r="D1633" s="19" t="str">
        <x:v>C04-M028</x:v>
      </x:c>
      <x:c r="E1633" s="19" t="str">
        <x:v>油灯怨影</x:v>
      </x:c>
      <x:c r="F1633" s="19" t="str">
        <x:v>普通</x:v>
      </x:c>
      <x:c r="G1633" s="19" t="str">
        <x:v>材料独立候选</x:v>
      </x:c>
      <x:c r="H1633" s="19" t="str">
        <x:v>月潮忆珀</x:v>
      </x:c>
      <x:c r="I1633" s="22" t="n">
        <x:v>800000</x:v>
      </x:c>
      <x:c r="J1633" s="22" t="n">
        <x:v>1</x:v>
      </x:c>
      <x:c r="K1633" s="19" t="n">
        <x:v>1</x:v>
      </x:c>
      <x:c r="L1633" s="24" t="n">
        <x:v>18.78333333333333</x:v>
      </x:c>
      <x:c r="M1633" s="26" t="n">
        <x:v>0.1</x:v>
      </x:c>
      <x:c r="N1633" s="24" t="n">
        <x:v>72</x:v>
      </x:c>
      <x:c r="O1633" s="28" t="n">
        <x:f>MIN(1,L1633/I1633)</x:f>
        <x:v>0.000023479166666666664</x:v>
      </x:c>
      <x:c r="P1633" s="30" t="n">
        <x:f>O1633*J1633*(1+M1633)</x:f>
        <x:v>0.000025827083333333332</x:v>
      </x:c>
      <x:c r="Q1633" s="30" t="n">
        <x:f>P1633*N1633</x:f>
        <x:v>0.00185955</x:v>
      </x:c>
      <x:c r="R1633" s="19" t="str">
        <x:v>独立判定</x:v>
      </x:c>
    </x:row>
    <x:row r="1634" ht="19" customHeight="1">
      <x:c r="A1634" s="19" t="str">
        <x:v>D01630</x:v>
      </x:c>
      <x:c r="B1634" s="19" t="n">
        <x:v>4</x:v>
      </x:c>
      <x:c r="C1634" s="19" t="n">
        <x:v>3</x:v>
      </x:c>
      <x:c r="D1634" s="19" t="str">
        <x:v>C04-M028</x:v>
      </x:c>
      <x:c r="E1634" s="19" t="str">
        <x:v>油灯怨影</x:v>
      </x:c>
      <x:c r="F1634" s="19" t="str">
        <x:v>普通</x:v>
      </x:c>
      <x:c r="G1634" s="19" t="str">
        <x:v>材料独立候选</x:v>
      </x:c>
      <x:c r="H1634" s="19" t="str">
        <x:v>野兽骨片</x:v>
      </x:c>
      <x:c r="I1634" s="22" t="n">
        <x:v>80</x:v>
      </x:c>
      <x:c r="J1634" s="22" t="n">
        <x:v>2</x:v>
      </x:c>
      <x:c r="K1634" s="19" t="n">
        <x:v>1</x:v>
      </x:c>
      <x:c r="L1634" s="24" t="n">
        <x:v>18.78333333333333</x:v>
      </x:c>
      <x:c r="M1634" s="26" t="n">
        <x:v>0.1</x:v>
      </x:c>
      <x:c r="N1634" s="24" t="n">
        <x:v>72</x:v>
      </x:c>
      <x:c r="O1634" s="28" t="n">
        <x:f>MIN(1,L1634/I1634)</x:f>
        <x:v>0.23479166666666665</x:v>
      </x:c>
      <x:c r="P1634" s="30" t="n">
        <x:f>O1634*J1634*(1+M1634)</x:f>
        <x:v>0.5165416666666667</x:v>
      </x:c>
      <x:c r="Q1634" s="30" t="n">
        <x:f>P1634*N1634</x:f>
        <x:v>37.191</x:v>
      </x:c>
      <x:c r="R1634" s="19" t="str">
        <x:v>独立判定</x:v>
      </x:c>
    </x:row>
    <x:row r="1635" ht="19" customHeight="1">
      <x:c r="A1635" s="19" t="str">
        <x:v>D01631</x:v>
      </x:c>
      <x:c r="B1635" s="19" t="n">
        <x:v>4</x:v>
      </x:c>
      <x:c r="C1635" s="19" t="n">
        <x:v>3</x:v>
      </x:c>
      <x:c r="D1635" s="19" t="str">
        <x:v>C04-M028</x:v>
      </x:c>
      <x:c r="E1635" s="19" t="str">
        <x:v>油灯怨影</x:v>
      </x:c>
      <x:c r="F1635" s="19" t="str">
        <x:v>普通</x:v>
      </x:c>
      <x:c r="G1635" s="19" t="str">
        <x:v>材料独立候选</x:v>
      </x:c>
      <x:c r="H1635" s="19" t="str">
        <x:v>技能残页</x:v>
      </x:c>
      <x:c r="I1635" s="22" t="n">
        <x:v>400</x:v>
      </x:c>
      <x:c r="J1635" s="22" t="n">
        <x:v>1</x:v>
      </x:c>
      <x:c r="K1635" s="19" t="n">
        <x:v>1</x:v>
      </x:c>
      <x:c r="L1635" s="24" t="n">
        <x:v>18.78333333333333</x:v>
      </x:c>
      <x:c r="M1635" s="26" t="n">
        <x:v>0.1</x:v>
      </x:c>
      <x:c r="N1635" s="24" t="n">
        <x:v>72</x:v>
      </x:c>
      <x:c r="O1635" s="28" t="n">
        <x:f>MIN(1,L1635/I1635)</x:f>
        <x:v>0.04695833333333333</x:v>
      </x:c>
      <x:c r="P1635" s="30" t="n">
        <x:f>O1635*J1635*(1+M1635)</x:f>
        <x:v>0.05165416666666667</x:v>
      </x:c>
      <x:c r="Q1635" s="30" t="n">
        <x:f>P1635*N1635</x:f>
        <x:v>3.7191</x:v>
      </x:c>
      <x:c r="R1635" s="19" t="str">
        <x:v>独立判定</x:v>
      </x:c>
    </x:row>
    <x:row r="1636" ht="19" customHeight="1">
      <x:c r="A1636" s="19" t="str">
        <x:v>D01632</x:v>
      </x:c>
      <x:c r="B1636" s="19" t="n">
        <x:v>4</x:v>
      </x:c>
      <x:c r="C1636" s="19" t="n">
        <x:v>3</x:v>
      </x:c>
      <x:c r="D1636" s="19" t="str">
        <x:v>C04-M028</x:v>
      </x:c>
      <x:c r="E1636" s="19" t="str">
        <x:v>油灯怨影</x:v>
      </x:c>
      <x:c r="F1636" s="19" t="str">
        <x:v>普通</x:v>
      </x:c>
      <x:c r="G1636" s="19" t="str">
        <x:v>材料独立候选</x:v>
      </x:c>
      <x:c r="H1636" s="19" t="str">
        <x:v>小卢恩</x:v>
      </x:c>
      <x:c r="I1636" s="22" t="n">
        <x:v>800</x:v>
      </x:c>
      <x:c r="J1636" s="22" t="n">
        <x:v>1</x:v>
      </x:c>
      <x:c r="K1636" s="19" t="n">
        <x:v>1</x:v>
      </x:c>
      <x:c r="L1636" s="24" t="n">
        <x:v>18.78333333333333</x:v>
      </x:c>
      <x:c r="M1636" s="26" t="n">
        <x:v>0.1</x:v>
      </x:c>
      <x:c r="N1636" s="24" t="n">
        <x:v>72</x:v>
      </x:c>
      <x:c r="O1636" s="28" t="n">
        <x:f>MIN(1,L1636/I1636)</x:f>
        <x:v>0.023479166666666666</x:v>
      </x:c>
      <x:c r="P1636" s="30" t="n">
        <x:f>O1636*J1636*(1+M1636)</x:f>
        <x:v>0.025827083333333334</x:v>
      </x:c>
      <x:c r="Q1636" s="30" t="n">
        <x:f>P1636*N1636</x:f>
        <x:v>1.85955</x:v>
      </x:c>
      <x:c r="R1636" s="19" t="str">
        <x:v>独立判定</x:v>
      </x:c>
    </x:row>
    <x:row r="1637" ht="19" customHeight="1">
      <x:c r="A1637" s="19" t="str">
        <x:v>D01633</x:v>
      </x:c>
      <x:c r="B1637" s="19" t="n">
        <x:v>4</x:v>
      </x:c>
      <x:c r="C1637" s="19" t="n">
        <x:v>3</x:v>
      </x:c>
      <x:c r="D1637" s="19" t="str">
        <x:v>C04-M028</x:v>
      </x:c>
      <x:c r="E1637" s="19" t="str">
        <x:v>油灯怨影</x:v>
      </x:c>
      <x:c r="F1637" s="19" t="str">
        <x:v>普通</x:v>
      </x:c>
      <x:c r="G1637" s="19" t="str">
        <x:v>六神器公共池</x:v>
      </x:c>
      <x:c r="H1637" s="19" t="str">
        <x:v>POOL006</x:v>
      </x:c>
      <x:c r="I1637" s="22" t="n">
        <x:v>20000000</x:v>
      </x:c>
      <x:c r="J1637" s="22" t="n">
        <x:v>1</x:v>
      </x:c>
      <x:c r="K1637" s="19" t="n">
        <x:v>6</x:v>
      </x:c>
      <x:c r="L1637" s="24" t="n">
        <x:v>18.78333333333333</x:v>
      </x:c>
      <x:c r="M1637" s="26" t="n">
        <x:v>0.1</x:v>
      </x:c>
      <x:c r="N1637" s="24" t="n">
        <x:v>72</x:v>
      </x:c>
      <x:c r="O1637" s="28" t="n">
        <x:f>MIN(1,L1637/I1637)</x:f>
        <x:v>9.391666666666665e-7</x:v>
      </x:c>
      <x:c r="P1637" s="30" t="n">
        <x:f>O1637*J1637*(1+M1637)</x:f>
        <x:v>0.0000010330833333333332</x:v>
      </x:c>
      <x:c r="Q1637" s="30" t="n">
        <x:f>P1637*N1637</x:f>
        <x:v>0.000074382</x:v>
      </x:c>
      <x:c r="R1637" s="19" t="str">
        <x:v>六选一；非6个独立爆率</x:v>
      </x:c>
    </x:row>
    <x:row r="1638" ht="19" customHeight="1">
      <x:c r="A1638" s="19" t="str">
        <x:v>D01634</x:v>
      </x:c>
      <x:c r="B1638" s="19" t="n">
        <x:v>4</x:v>
      </x:c>
      <x:c r="C1638" s="19" t="n">
        <x:v>3</x:v>
      </x:c>
      <x:c r="D1638" s="19" t="str">
        <x:v>C04-M029</x:v>
      </x:c>
      <x:c r="E1638" s="19" t="str">
        <x:v>墓舱寄居蟹</x:v>
      </x:c>
      <x:c r="F1638" s="19" t="str">
        <x:v>普通</x:v>
      </x:c>
      <x:c r="G1638" s="19" t="str">
        <x:v>自身专属</x:v>
      </x:c>
      <x:c r="H1638" s="19" t="str">
        <x:v>墓舱壳盾</x:v>
      </x:c>
      <x:c r="I1638" s="22" t="n">
        <x:v>1200</x:v>
      </x:c>
      <x:c r="J1638" s="22" t="n">
        <x:v>1</x:v>
      </x:c>
      <x:c r="K1638" s="19" t="n">
        <x:v>1</x:v>
      </x:c>
      <x:c r="L1638" s="24" t="n">
        <x:v>18.78333333333333</x:v>
      </x:c>
      <x:c r="M1638" s="26" t="n">
        <x:v>0.1</x:v>
      </x:c>
      <x:c r="N1638" s="24" t="n">
        <x:v>72</x:v>
      </x:c>
      <x:c r="O1638" s="28" t="n">
        <x:f>MIN(1,L1638/I1638)</x:f>
        <x:v>0.015652777777777776</x:v>
      </x:c>
      <x:c r="P1638" s="30" t="n">
        <x:f>O1638*J1638*(1+M1638)</x:f>
        <x:v>0.017218055555555556</x:v>
      </x:c>
      <x:c r="Q1638" s="30" t="n">
        <x:f>P1638*N1638</x:f>
        <x:v>1.2397</x:v>
      </x:c>
      <x:c r="R1638" s="19" t="str">
        <x:v>独立判定</x:v>
      </x:c>
    </x:row>
    <x:row r="1639" ht="19" customHeight="1">
      <x:c r="A1639" s="19" t="str">
        <x:v>D01635</x:v>
      </x:c>
      <x:c r="B1639" s="19" t="n">
        <x:v>4</x:v>
      </x:c>
      <x:c r="C1639" s="19" t="n">
        <x:v>3</x:v>
      </x:c>
      <x:c r="D1639" s="19" t="str">
        <x:v>C04-M029</x:v>
      </x:c>
      <x:c r="E1639" s="19" t="str">
        <x:v>墓舱寄居蟹</x:v>
      </x:c>
      <x:c r="F1639" s="19" t="str">
        <x:v>普通</x:v>
      </x:c>
      <x:c r="G1639" s="19" t="str">
        <x:v>材料独立候选</x:v>
      </x:c>
      <x:c r="H1639" s="19" t="str">
        <x:v>湖盐结晶</x:v>
      </x:c>
      <x:c r="I1639" s="22" t="n">
        <x:v>600</x:v>
      </x:c>
      <x:c r="J1639" s="22" t="n">
        <x:v>8</x:v>
      </x:c>
      <x:c r="K1639" s="19" t="n">
        <x:v>1</x:v>
      </x:c>
      <x:c r="L1639" s="24" t="n">
        <x:v>18.78333333333333</x:v>
      </x:c>
      <x:c r="M1639" s="26" t="n">
        <x:v>0.1</x:v>
      </x:c>
      <x:c r="N1639" s="24" t="n">
        <x:v>72</x:v>
      </x:c>
      <x:c r="O1639" s="28" t="n">
        <x:f>MIN(1,L1639/I1639)</x:f>
        <x:v>0.03130555555555555</x:v>
      </x:c>
      <x:c r="P1639" s="30" t="n">
        <x:f>O1639*J1639*(1+M1639)</x:f>
        <x:v>0.2754888888888889</x:v>
      </x:c>
      <x:c r="Q1639" s="30" t="n">
        <x:f>P1639*N1639</x:f>
        <x:v>19.8352</x:v>
      </x:c>
      <x:c r="R1639" s="19" t="str">
        <x:v>独立判定</x:v>
      </x:c>
    </x:row>
    <x:row r="1640" ht="19" customHeight="1">
      <x:c r="A1640" s="19" t="str">
        <x:v>D01636</x:v>
      </x:c>
      <x:c r="B1640" s="19" t="n">
        <x:v>4</x:v>
      </x:c>
      <x:c r="C1640" s="19" t="n">
        <x:v>3</x:v>
      </x:c>
      <x:c r="D1640" s="19" t="str">
        <x:v>C04-M029</x:v>
      </x:c>
      <x:c r="E1640" s="19" t="str">
        <x:v>墓舱寄居蟹</x:v>
      </x:c>
      <x:c r="F1640" s="19" t="str">
        <x:v>普通</x:v>
      </x:c>
      <x:c r="G1640" s="19" t="str">
        <x:v>材料独立候选</x:v>
      </x:c>
      <x:c r="H1640" s="19" t="str">
        <x:v>雾潮银鳞</x:v>
      </x:c>
      <x:c r="I1640" s="22" t="n">
        <x:v>600</x:v>
      </x:c>
      <x:c r="J1640" s="22" t="n">
        <x:v>1</x:v>
      </x:c>
      <x:c r="K1640" s="19" t="n">
        <x:v>1</x:v>
      </x:c>
      <x:c r="L1640" s="24" t="n">
        <x:v>18.78333333333333</x:v>
      </x:c>
      <x:c r="M1640" s="26" t="n">
        <x:v>0.1</x:v>
      </x:c>
      <x:c r="N1640" s="24" t="n">
        <x:v>72</x:v>
      </x:c>
      <x:c r="O1640" s="28" t="n">
        <x:f>MIN(1,L1640/I1640)</x:f>
        <x:v>0.03130555555555555</x:v>
      </x:c>
      <x:c r="P1640" s="30" t="n">
        <x:f>O1640*J1640*(1+M1640)</x:f>
        <x:v>0.03443611111111111</x:v>
      </x:c>
      <x:c r="Q1640" s="30" t="n">
        <x:f>P1640*N1640</x:f>
        <x:v>2.4794</x:v>
      </x:c>
      <x:c r="R1640" s="19" t="str">
        <x:v>独立判定</x:v>
      </x:c>
    </x:row>
    <x:row r="1641" ht="19" customHeight="1">
      <x:c r="A1641" s="19" t="str">
        <x:v>D01637</x:v>
      </x:c>
      <x:c r="B1641" s="19" t="n">
        <x:v>4</x:v>
      </x:c>
      <x:c r="C1641" s="19" t="n">
        <x:v>3</x:v>
      </x:c>
      <x:c r="D1641" s="19" t="str">
        <x:v>C04-M029</x:v>
      </x:c>
      <x:c r="E1641" s="19" t="str">
        <x:v>墓舱寄居蟹</x:v>
      </x:c>
      <x:c r="F1641" s="19" t="str">
        <x:v>普通</x:v>
      </x:c>
      <x:c r="G1641" s="19" t="str">
        <x:v>材料独立候选</x:v>
      </x:c>
      <x:c r="H1641" s="19" t="str">
        <x:v>月潮忆珀</x:v>
      </x:c>
      <x:c r="I1641" s="22" t="n">
        <x:v>800000</x:v>
      </x:c>
      <x:c r="J1641" s="22" t="n">
        <x:v>1</x:v>
      </x:c>
      <x:c r="K1641" s="19" t="n">
        <x:v>1</x:v>
      </x:c>
      <x:c r="L1641" s="24" t="n">
        <x:v>18.78333333333333</x:v>
      </x:c>
      <x:c r="M1641" s="26" t="n">
        <x:v>0.1</x:v>
      </x:c>
      <x:c r="N1641" s="24" t="n">
        <x:v>72</x:v>
      </x:c>
      <x:c r="O1641" s="28" t="n">
        <x:f>MIN(1,L1641/I1641)</x:f>
        <x:v>0.000023479166666666664</x:v>
      </x:c>
      <x:c r="P1641" s="30" t="n">
        <x:f>O1641*J1641*(1+M1641)</x:f>
        <x:v>0.000025827083333333332</x:v>
      </x:c>
      <x:c r="Q1641" s="30" t="n">
        <x:f>P1641*N1641</x:f>
        <x:v>0.00185955</x:v>
      </x:c>
      <x:c r="R1641" s="19" t="str">
        <x:v>独立判定</x:v>
      </x:c>
    </x:row>
    <x:row r="1642" ht="19" customHeight="1">
      <x:c r="A1642" s="19" t="str">
        <x:v>D01638</x:v>
      </x:c>
      <x:c r="B1642" s="19" t="n">
        <x:v>4</x:v>
      </x:c>
      <x:c r="C1642" s="19" t="n">
        <x:v>3</x:v>
      </x:c>
      <x:c r="D1642" s="19" t="str">
        <x:v>C04-M029</x:v>
      </x:c>
      <x:c r="E1642" s="19" t="str">
        <x:v>墓舱寄居蟹</x:v>
      </x:c>
      <x:c r="F1642" s="19" t="str">
        <x:v>普通</x:v>
      </x:c>
      <x:c r="G1642" s="19" t="str">
        <x:v>材料独立候选</x:v>
      </x:c>
      <x:c r="H1642" s="19" t="str">
        <x:v>野兽骨片</x:v>
      </x:c>
      <x:c r="I1642" s="22" t="n">
        <x:v>80</x:v>
      </x:c>
      <x:c r="J1642" s="22" t="n">
        <x:v>2</x:v>
      </x:c>
      <x:c r="K1642" s="19" t="n">
        <x:v>1</x:v>
      </x:c>
      <x:c r="L1642" s="24" t="n">
        <x:v>18.78333333333333</x:v>
      </x:c>
      <x:c r="M1642" s="26" t="n">
        <x:v>0.1</x:v>
      </x:c>
      <x:c r="N1642" s="24" t="n">
        <x:v>72</x:v>
      </x:c>
      <x:c r="O1642" s="28" t="n">
        <x:f>MIN(1,L1642/I1642)</x:f>
        <x:v>0.23479166666666665</x:v>
      </x:c>
      <x:c r="P1642" s="30" t="n">
        <x:f>O1642*J1642*(1+M1642)</x:f>
        <x:v>0.5165416666666667</x:v>
      </x:c>
      <x:c r="Q1642" s="30" t="n">
        <x:f>P1642*N1642</x:f>
        <x:v>37.191</x:v>
      </x:c>
      <x:c r="R1642" s="19" t="str">
        <x:v>独立判定</x:v>
      </x:c>
    </x:row>
    <x:row r="1643" ht="19" customHeight="1">
      <x:c r="A1643" s="19" t="str">
        <x:v>D01639</x:v>
      </x:c>
      <x:c r="B1643" s="19" t="n">
        <x:v>4</x:v>
      </x:c>
      <x:c r="C1643" s="19" t="n">
        <x:v>3</x:v>
      </x:c>
      <x:c r="D1643" s="19" t="str">
        <x:v>C04-M029</x:v>
      </x:c>
      <x:c r="E1643" s="19" t="str">
        <x:v>墓舱寄居蟹</x:v>
      </x:c>
      <x:c r="F1643" s="19" t="str">
        <x:v>普通</x:v>
      </x:c>
      <x:c r="G1643" s="19" t="str">
        <x:v>材料独立候选</x:v>
      </x:c>
      <x:c r="H1643" s="19" t="str">
        <x:v>技能残页</x:v>
      </x:c>
      <x:c r="I1643" s="22" t="n">
        <x:v>400</x:v>
      </x:c>
      <x:c r="J1643" s="22" t="n">
        <x:v>1</x:v>
      </x:c>
      <x:c r="K1643" s="19" t="n">
        <x:v>1</x:v>
      </x:c>
      <x:c r="L1643" s="24" t="n">
        <x:v>18.78333333333333</x:v>
      </x:c>
      <x:c r="M1643" s="26" t="n">
        <x:v>0.1</x:v>
      </x:c>
      <x:c r="N1643" s="24" t="n">
        <x:v>72</x:v>
      </x:c>
      <x:c r="O1643" s="28" t="n">
        <x:f>MIN(1,L1643/I1643)</x:f>
        <x:v>0.04695833333333333</x:v>
      </x:c>
      <x:c r="P1643" s="30" t="n">
        <x:f>O1643*J1643*(1+M1643)</x:f>
        <x:v>0.05165416666666667</x:v>
      </x:c>
      <x:c r="Q1643" s="30" t="n">
        <x:f>P1643*N1643</x:f>
        <x:v>3.7191</x:v>
      </x:c>
      <x:c r="R1643" s="19" t="str">
        <x:v>独立判定</x:v>
      </x:c>
    </x:row>
    <x:row r="1644" ht="19" customHeight="1">
      <x:c r="A1644" s="19" t="str">
        <x:v>D01640</x:v>
      </x:c>
      <x:c r="B1644" s="19" t="n">
        <x:v>4</x:v>
      </x:c>
      <x:c r="C1644" s="19" t="n">
        <x:v>3</x:v>
      </x:c>
      <x:c r="D1644" s="19" t="str">
        <x:v>C04-M029</x:v>
      </x:c>
      <x:c r="E1644" s="19" t="str">
        <x:v>墓舱寄居蟹</x:v>
      </x:c>
      <x:c r="F1644" s="19" t="str">
        <x:v>普通</x:v>
      </x:c>
      <x:c r="G1644" s="19" t="str">
        <x:v>材料独立候选</x:v>
      </x:c>
      <x:c r="H1644" s="19" t="str">
        <x:v>小卢恩</x:v>
      </x:c>
      <x:c r="I1644" s="22" t="n">
        <x:v>800</x:v>
      </x:c>
      <x:c r="J1644" s="22" t="n">
        <x:v>1</x:v>
      </x:c>
      <x:c r="K1644" s="19" t="n">
        <x:v>1</x:v>
      </x:c>
      <x:c r="L1644" s="24" t="n">
        <x:v>18.78333333333333</x:v>
      </x:c>
      <x:c r="M1644" s="26" t="n">
        <x:v>0.1</x:v>
      </x:c>
      <x:c r="N1644" s="24" t="n">
        <x:v>72</x:v>
      </x:c>
      <x:c r="O1644" s="28" t="n">
        <x:f>MIN(1,L1644/I1644)</x:f>
        <x:v>0.023479166666666666</x:v>
      </x:c>
      <x:c r="P1644" s="30" t="n">
        <x:f>O1644*J1644*(1+M1644)</x:f>
        <x:v>0.025827083333333334</x:v>
      </x:c>
      <x:c r="Q1644" s="30" t="n">
        <x:f>P1644*N1644</x:f>
        <x:v>1.85955</x:v>
      </x:c>
      <x:c r="R1644" s="19" t="str">
        <x:v>独立判定</x:v>
      </x:c>
    </x:row>
    <x:row r="1645" ht="19" customHeight="1">
      <x:c r="A1645" s="19" t="str">
        <x:v>D01641</x:v>
      </x:c>
      <x:c r="B1645" s="19" t="n">
        <x:v>4</x:v>
      </x:c>
      <x:c r="C1645" s="19" t="n">
        <x:v>3</x:v>
      </x:c>
      <x:c r="D1645" s="19" t="str">
        <x:v>C04-M029</x:v>
      </x:c>
      <x:c r="E1645" s="19" t="str">
        <x:v>墓舱寄居蟹</x:v>
      </x:c>
      <x:c r="F1645" s="19" t="str">
        <x:v>普通</x:v>
      </x:c>
      <x:c r="G1645" s="19" t="str">
        <x:v>六神器公共池</x:v>
      </x:c>
      <x:c r="H1645" s="19" t="str">
        <x:v>POOL006</x:v>
      </x:c>
      <x:c r="I1645" s="22" t="n">
        <x:v>20000000</x:v>
      </x:c>
      <x:c r="J1645" s="22" t="n">
        <x:v>1</x:v>
      </x:c>
      <x:c r="K1645" s="19" t="n">
        <x:v>6</x:v>
      </x:c>
      <x:c r="L1645" s="24" t="n">
        <x:v>18.78333333333333</x:v>
      </x:c>
      <x:c r="M1645" s="26" t="n">
        <x:v>0.1</x:v>
      </x:c>
      <x:c r="N1645" s="24" t="n">
        <x:v>72</x:v>
      </x:c>
      <x:c r="O1645" s="28" t="n">
        <x:f>MIN(1,L1645/I1645)</x:f>
        <x:v>9.391666666666665e-7</x:v>
      </x:c>
      <x:c r="P1645" s="30" t="n">
        <x:f>O1645*J1645*(1+M1645)</x:f>
        <x:v>0.0000010330833333333332</x:v>
      </x:c>
      <x:c r="Q1645" s="30" t="n">
        <x:f>P1645*N1645</x:f>
        <x:v>0.000074382</x:v>
      </x:c>
      <x:c r="R1645" s="19" t="str">
        <x:v>六选一；非6个独立爆率</x:v>
      </x:c>
    </x:row>
    <x:row r="1646" ht="19" customHeight="1">
      <x:c r="A1646" s="19" t="str">
        <x:v>D01642</x:v>
      </x:c>
      <x:c r="B1646" s="19" t="n">
        <x:v>4</x:v>
      </x:c>
      <x:c r="C1646" s="19" t="n">
        <x:v>3</x:v>
      </x:c>
      <x:c r="D1646" s="19" t="str">
        <x:v>C04-M030</x:v>
      </x:c>
      <x:c r="E1646" s="19" t="str">
        <x:v>裹布船尸</x:v>
      </x:c>
      <x:c r="F1646" s="19" t="str">
        <x:v>普通</x:v>
      </x:c>
      <x:c r="G1646" s="19" t="str">
        <x:v>自身专属</x:v>
      </x:c>
      <x:c r="H1646" s="19" t="str">
        <x:v>盐裹尸衣</x:v>
      </x:c>
      <x:c r="I1646" s="22" t="n">
        <x:v>1200</x:v>
      </x:c>
      <x:c r="J1646" s="22" t="n">
        <x:v>1</x:v>
      </x:c>
      <x:c r="K1646" s="19" t="n">
        <x:v>1</x:v>
      </x:c>
      <x:c r="L1646" s="24" t="n">
        <x:v>18.78333333333333</x:v>
      </x:c>
      <x:c r="M1646" s="26" t="n">
        <x:v>0.1</x:v>
      </x:c>
      <x:c r="N1646" s="24" t="n">
        <x:v>72</x:v>
      </x:c>
      <x:c r="O1646" s="28" t="n">
        <x:f>MIN(1,L1646/I1646)</x:f>
        <x:v>0.015652777777777776</x:v>
      </x:c>
      <x:c r="P1646" s="30" t="n">
        <x:f>O1646*J1646*(1+M1646)</x:f>
        <x:v>0.017218055555555556</x:v>
      </x:c>
      <x:c r="Q1646" s="30" t="n">
        <x:f>P1646*N1646</x:f>
        <x:v>1.2397</x:v>
      </x:c>
      <x:c r="R1646" s="19" t="str">
        <x:v>独立判定</x:v>
      </x:c>
    </x:row>
    <x:row r="1647" ht="19" customHeight="1">
      <x:c r="A1647" s="19" t="str">
        <x:v>D01643</x:v>
      </x:c>
      <x:c r="B1647" s="19" t="n">
        <x:v>4</x:v>
      </x:c>
      <x:c r="C1647" s="19" t="n">
        <x:v>3</x:v>
      </x:c>
      <x:c r="D1647" s="19" t="str">
        <x:v>C04-M030</x:v>
      </x:c>
      <x:c r="E1647" s="19" t="str">
        <x:v>裹布船尸</x:v>
      </x:c>
      <x:c r="F1647" s="19" t="str">
        <x:v>普通</x:v>
      </x:c>
      <x:c r="G1647" s="19" t="str">
        <x:v>材料独立候选</x:v>
      </x:c>
      <x:c r="H1647" s="19" t="str">
        <x:v>湖盐结晶</x:v>
      </x:c>
      <x:c r="I1647" s="22" t="n">
        <x:v>600</x:v>
      </x:c>
      <x:c r="J1647" s="22" t="n">
        <x:v>8</x:v>
      </x:c>
      <x:c r="K1647" s="19" t="n">
        <x:v>1</x:v>
      </x:c>
      <x:c r="L1647" s="24" t="n">
        <x:v>18.78333333333333</x:v>
      </x:c>
      <x:c r="M1647" s="26" t="n">
        <x:v>0.1</x:v>
      </x:c>
      <x:c r="N1647" s="24" t="n">
        <x:v>72</x:v>
      </x:c>
      <x:c r="O1647" s="28" t="n">
        <x:f>MIN(1,L1647/I1647)</x:f>
        <x:v>0.03130555555555555</x:v>
      </x:c>
      <x:c r="P1647" s="30" t="n">
        <x:f>O1647*J1647*(1+M1647)</x:f>
        <x:v>0.2754888888888889</x:v>
      </x:c>
      <x:c r="Q1647" s="30" t="n">
        <x:f>P1647*N1647</x:f>
        <x:v>19.8352</x:v>
      </x:c>
      <x:c r="R1647" s="19" t="str">
        <x:v>独立判定</x:v>
      </x:c>
    </x:row>
    <x:row r="1648" ht="19" customHeight="1">
      <x:c r="A1648" s="19" t="str">
        <x:v>D01644</x:v>
      </x:c>
      <x:c r="B1648" s="19" t="n">
        <x:v>4</x:v>
      </x:c>
      <x:c r="C1648" s="19" t="n">
        <x:v>3</x:v>
      </x:c>
      <x:c r="D1648" s="19" t="str">
        <x:v>C04-M030</x:v>
      </x:c>
      <x:c r="E1648" s="19" t="str">
        <x:v>裹布船尸</x:v>
      </x:c>
      <x:c r="F1648" s="19" t="str">
        <x:v>普通</x:v>
      </x:c>
      <x:c r="G1648" s="19" t="str">
        <x:v>材料独立候选</x:v>
      </x:c>
      <x:c r="H1648" s="19" t="str">
        <x:v>雾潮银鳞</x:v>
      </x:c>
      <x:c r="I1648" s="22" t="n">
        <x:v>600</x:v>
      </x:c>
      <x:c r="J1648" s="22" t="n">
        <x:v>1</x:v>
      </x:c>
      <x:c r="K1648" s="19" t="n">
        <x:v>1</x:v>
      </x:c>
      <x:c r="L1648" s="24" t="n">
        <x:v>18.78333333333333</x:v>
      </x:c>
      <x:c r="M1648" s="26" t="n">
        <x:v>0.1</x:v>
      </x:c>
      <x:c r="N1648" s="24" t="n">
        <x:v>72</x:v>
      </x:c>
      <x:c r="O1648" s="28" t="n">
        <x:f>MIN(1,L1648/I1648)</x:f>
        <x:v>0.03130555555555555</x:v>
      </x:c>
      <x:c r="P1648" s="30" t="n">
        <x:f>O1648*J1648*(1+M1648)</x:f>
        <x:v>0.03443611111111111</x:v>
      </x:c>
      <x:c r="Q1648" s="30" t="n">
        <x:f>P1648*N1648</x:f>
        <x:v>2.4794</x:v>
      </x:c>
      <x:c r="R1648" s="19" t="str">
        <x:v>独立判定</x:v>
      </x:c>
    </x:row>
    <x:row r="1649" ht="19" customHeight="1">
      <x:c r="A1649" s="19" t="str">
        <x:v>D01645</x:v>
      </x:c>
      <x:c r="B1649" s="19" t="n">
        <x:v>4</x:v>
      </x:c>
      <x:c r="C1649" s="19" t="n">
        <x:v>3</x:v>
      </x:c>
      <x:c r="D1649" s="19" t="str">
        <x:v>C04-M030</x:v>
      </x:c>
      <x:c r="E1649" s="19" t="str">
        <x:v>裹布船尸</x:v>
      </x:c>
      <x:c r="F1649" s="19" t="str">
        <x:v>普通</x:v>
      </x:c>
      <x:c r="G1649" s="19" t="str">
        <x:v>材料独立候选</x:v>
      </x:c>
      <x:c r="H1649" s="19" t="str">
        <x:v>月潮忆珀</x:v>
      </x:c>
      <x:c r="I1649" s="22" t="n">
        <x:v>800000</x:v>
      </x:c>
      <x:c r="J1649" s="22" t="n">
        <x:v>1</x:v>
      </x:c>
      <x:c r="K1649" s="19" t="n">
        <x:v>1</x:v>
      </x:c>
      <x:c r="L1649" s="24" t="n">
        <x:v>18.78333333333333</x:v>
      </x:c>
      <x:c r="M1649" s="26" t="n">
        <x:v>0.1</x:v>
      </x:c>
      <x:c r="N1649" s="24" t="n">
        <x:v>72</x:v>
      </x:c>
      <x:c r="O1649" s="28" t="n">
        <x:f>MIN(1,L1649/I1649)</x:f>
        <x:v>0.000023479166666666664</x:v>
      </x:c>
      <x:c r="P1649" s="30" t="n">
        <x:f>O1649*J1649*(1+M1649)</x:f>
        <x:v>0.000025827083333333332</x:v>
      </x:c>
      <x:c r="Q1649" s="30" t="n">
        <x:f>P1649*N1649</x:f>
        <x:v>0.00185955</x:v>
      </x:c>
      <x:c r="R1649" s="19" t="str">
        <x:v>独立判定</x:v>
      </x:c>
    </x:row>
    <x:row r="1650" ht="19" customHeight="1">
      <x:c r="A1650" s="19" t="str">
        <x:v>D01646</x:v>
      </x:c>
      <x:c r="B1650" s="19" t="n">
        <x:v>4</x:v>
      </x:c>
      <x:c r="C1650" s="19" t="n">
        <x:v>3</x:v>
      </x:c>
      <x:c r="D1650" s="19" t="str">
        <x:v>C04-M030</x:v>
      </x:c>
      <x:c r="E1650" s="19" t="str">
        <x:v>裹布船尸</x:v>
      </x:c>
      <x:c r="F1650" s="19" t="str">
        <x:v>普通</x:v>
      </x:c>
      <x:c r="G1650" s="19" t="str">
        <x:v>材料独立候选</x:v>
      </x:c>
      <x:c r="H1650" s="19" t="str">
        <x:v>野兽骨片</x:v>
      </x:c>
      <x:c r="I1650" s="22" t="n">
        <x:v>80</x:v>
      </x:c>
      <x:c r="J1650" s="22" t="n">
        <x:v>2</x:v>
      </x:c>
      <x:c r="K1650" s="19" t="n">
        <x:v>1</x:v>
      </x:c>
      <x:c r="L1650" s="24" t="n">
        <x:v>18.78333333333333</x:v>
      </x:c>
      <x:c r="M1650" s="26" t="n">
        <x:v>0.1</x:v>
      </x:c>
      <x:c r="N1650" s="24" t="n">
        <x:v>72</x:v>
      </x:c>
      <x:c r="O1650" s="28" t="n">
        <x:f>MIN(1,L1650/I1650)</x:f>
        <x:v>0.23479166666666665</x:v>
      </x:c>
      <x:c r="P1650" s="30" t="n">
        <x:f>O1650*J1650*(1+M1650)</x:f>
        <x:v>0.5165416666666667</x:v>
      </x:c>
      <x:c r="Q1650" s="30" t="n">
        <x:f>P1650*N1650</x:f>
        <x:v>37.191</x:v>
      </x:c>
      <x:c r="R1650" s="19" t="str">
        <x:v>独立判定</x:v>
      </x:c>
    </x:row>
    <x:row r="1651" ht="19" customHeight="1">
      <x:c r="A1651" s="19" t="str">
        <x:v>D01647</x:v>
      </x:c>
      <x:c r="B1651" s="19" t="n">
        <x:v>4</x:v>
      </x:c>
      <x:c r="C1651" s="19" t="n">
        <x:v>3</x:v>
      </x:c>
      <x:c r="D1651" s="19" t="str">
        <x:v>C04-M030</x:v>
      </x:c>
      <x:c r="E1651" s="19" t="str">
        <x:v>裹布船尸</x:v>
      </x:c>
      <x:c r="F1651" s="19" t="str">
        <x:v>普通</x:v>
      </x:c>
      <x:c r="G1651" s="19" t="str">
        <x:v>材料独立候选</x:v>
      </x:c>
      <x:c r="H1651" s="19" t="str">
        <x:v>技能残页</x:v>
      </x:c>
      <x:c r="I1651" s="22" t="n">
        <x:v>400</x:v>
      </x:c>
      <x:c r="J1651" s="22" t="n">
        <x:v>1</x:v>
      </x:c>
      <x:c r="K1651" s="19" t="n">
        <x:v>1</x:v>
      </x:c>
      <x:c r="L1651" s="24" t="n">
        <x:v>18.78333333333333</x:v>
      </x:c>
      <x:c r="M1651" s="26" t="n">
        <x:v>0.1</x:v>
      </x:c>
      <x:c r="N1651" s="24" t="n">
        <x:v>72</x:v>
      </x:c>
      <x:c r="O1651" s="28" t="n">
        <x:f>MIN(1,L1651/I1651)</x:f>
        <x:v>0.04695833333333333</x:v>
      </x:c>
      <x:c r="P1651" s="30" t="n">
        <x:f>O1651*J1651*(1+M1651)</x:f>
        <x:v>0.05165416666666667</x:v>
      </x:c>
      <x:c r="Q1651" s="30" t="n">
        <x:f>P1651*N1651</x:f>
        <x:v>3.7191</x:v>
      </x:c>
      <x:c r="R1651" s="19" t="str">
        <x:v>独立判定</x:v>
      </x:c>
    </x:row>
    <x:row r="1652" ht="19" customHeight="1">
      <x:c r="A1652" s="19" t="str">
        <x:v>D01648</x:v>
      </x:c>
      <x:c r="B1652" s="19" t="n">
        <x:v>4</x:v>
      </x:c>
      <x:c r="C1652" s="19" t="n">
        <x:v>3</x:v>
      </x:c>
      <x:c r="D1652" s="19" t="str">
        <x:v>C04-M030</x:v>
      </x:c>
      <x:c r="E1652" s="19" t="str">
        <x:v>裹布船尸</x:v>
      </x:c>
      <x:c r="F1652" s="19" t="str">
        <x:v>普通</x:v>
      </x:c>
      <x:c r="G1652" s="19" t="str">
        <x:v>材料独立候选</x:v>
      </x:c>
      <x:c r="H1652" s="19" t="str">
        <x:v>小卢恩</x:v>
      </x:c>
      <x:c r="I1652" s="22" t="n">
        <x:v>800</x:v>
      </x:c>
      <x:c r="J1652" s="22" t="n">
        <x:v>1</x:v>
      </x:c>
      <x:c r="K1652" s="19" t="n">
        <x:v>1</x:v>
      </x:c>
      <x:c r="L1652" s="24" t="n">
        <x:v>18.78333333333333</x:v>
      </x:c>
      <x:c r="M1652" s="26" t="n">
        <x:v>0.1</x:v>
      </x:c>
      <x:c r="N1652" s="24" t="n">
        <x:v>72</x:v>
      </x:c>
      <x:c r="O1652" s="28" t="n">
        <x:f>MIN(1,L1652/I1652)</x:f>
        <x:v>0.023479166666666666</x:v>
      </x:c>
      <x:c r="P1652" s="30" t="n">
        <x:f>O1652*J1652*(1+M1652)</x:f>
        <x:v>0.025827083333333334</x:v>
      </x:c>
      <x:c r="Q1652" s="30" t="n">
        <x:f>P1652*N1652</x:f>
        <x:v>1.85955</x:v>
      </x:c>
      <x:c r="R1652" s="19" t="str">
        <x:v>独立判定</x:v>
      </x:c>
    </x:row>
    <x:row r="1653" ht="19" customHeight="1">
      <x:c r="A1653" s="19" t="str">
        <x:v>D01649</x:v>
      </x:c>
      <x:c r="B1653" s="19" t="n">
        <x:v>4</x:v>
      </x:c>
      <x:c r="C1653" s="19" t="n">
        <x:v>3</x:v>
      </x:c>
      <x:c r="D1653" s="19" t="str">
        <x:v>C04-M030</x:v>
      </x:c>
      <x:c r="E1653" s="19" t="str">
        <x:v>裹布船尸</x:v>
      </x:c>
      <x:c r="F1653" s="19" t="str">
        <x:v>普通</x:v>
      </x:c>
      <x:c r="G1653" s="19" t="str">
        <x:v>六神器公共池</x:v>
      </x:c>
      <x:c r="H1653" s="19" t="str">
        <x:v>POOL006</x:v>
      </x:c>
      <x:c r="I1653" s="22" t="n">
        <x:v>20000000</x:v>
      </x:c>
      <x:c r="J1653" s="22" t="n">
        <x:v>1</x:v>
      </x:c>
      <x:c r="K1653" s="19" t="n">
        <x:v>6</x:v>
      </x:c>
      <x:c r="L1653" s="24" t="n">
        <x:v>18.78333333333333</x:v>
      </x:c>
      <x:c r="M1653" s="26" t="n">
        <x:v>0.1</x:v>
      </x:c>
      <x:c r="N1653" s="24" t="n">
        <x:v>72</x:v>
      </x:c>
      <x:c r="O1653" s="28" t="n">
        <x:f>MIN(1,L1653/I1653)</x:f>
        <x:v>9.391666666666665e-7</x:v>
      </x:c>
      <x:c r="P1653" s="30" t="n">
        <x:f>O1653*J1653*(1+M1653)</x:f>
        <x:v>0.0000010330833333333332</x:v>
      </x:c>
      <x:c r="Q1653" s="30" t="n">
        <x:f>P1653*N1653</x:f>
        <x:v>0.000074382</x:v>
      </x:c>
      <x:c r="R1653" s="19" t="str">
        <x:v>六选一；非6个独立爆率</x:v>
      </x:c>
    </x:row>
    <x:row r="1654" ht="19" customHeight="1">
      <x:c r="A1654" s="19" t="str">
        <x:v>D01650</x:v>
      </x:c>
      <x:c r="B1654" s="19" t="n">
        <x:v>4</x:v>
      </x:c>
      <x:c r="C1654" s="19" t="n">
        <x:v>3</x:v>
      </x:c>
      <x:c r="D1654" s="19" t="str">
        <x:v>C04-M031</x:v>
      </x:c>
      <x:c r="E1654" s="19" t="str">
        <x:v>白鳍劫舟客</x:v>
      </x:c>
      <x:c r="F1654" s="19" t="str">
        <x:v>稀有</x:v>
      </x:c>
      <x:c r="G1654" s="19" t="str">
        <x:v>自身专属</x:v>
      </x:c>
      <x:c r="H1654" s="19" t="str">
        <x:v>白鳍浪客笠</x:v>
      </x:c>
      <x:c r="I1654" s="22" t="n">
        <x:v>300</x:v>
      </x:c>
      <x:c r="J1654" s="22" t="n">
        <x:v>1</x:v>
      </x:c>
      <x:c r="K1654" s="19" t="n">
        <x:v>1</x:v>
      </x:c>
      <x:c r="L1654" s="24" t="n">
        <x:v>18.78333333333333</x:v>
      </x:c>
      <x:c r="M1654" s="26" t="n">
        <x:v>0.1</x:v>
      </x:c>
      <x:c r="N1654" s="24" t="n">
        <x:v>10.996520421719863</x:v>
      </x:c>
      <x:c r="O1654" s="28" t="n">
        <x:f>MIN(1,L1654/I1654)</x:f>
        <x:v>0.0626111111111111</x:v>
      </x:c>
      <x:c r="P1654" s="30" t="n">
        <x:f>O1654*J1654*(1+M1654)</x:f>
        <x:v>0.06887222222222222</x:v>
      </x:c>
      <x:c r="Q1654" s="30" t="n">
        <x:f>P1654*N1654</x:f>
        <x:v>0.7573547981558952</x:v>
      </x:c>
      <x:c r="R1654" s="19" t="str">
        <x:v>独立判定</x:v>
      </x:c>
    </x:row>
    <x:row r="1655" ht="19" customHeight="1">
      <x:c r="A1655" s="19" t="str">
        <x:v>D01651</x:v>
      </x:c>
      <x:c r="B1655" s="19" t="n">
        <x:v>4</x:v>
      </x:c>
      <x:c r="C1655" s="19" t="n">
        <x:v>3</x:v>
      </x:c>
      <x:c r="D1655" s="19" t="str">
        <x:v>C04-M031</x:v>
      </x:c>
      <x:c r="E1655" s="19" t="str">
        <x:v>白鳍劫舟客</x:v>
      </x:c>
      <x:c r="F1655" s="19" t="str">
        <x:v>稀有</x:v>
      </x:c>
      <x:c r="G1655" s="19" t="str">
        <x:v>材料独立候选</x:v>
      </x:c>
      <x:c r="H1655" s="19" t="str">
        <x:v>湖盐结晶</x:v>
      </x:c>
      <x:c r="I1655" s="22" t="n">
        <x:v>400</x:v>
      </x:c>
      <x:c r="J1655" s="22" t="n">
        <x:v>15</x:v>
      </x:c>
      <x:c r="K1655" s="19" t="n">
        <x:v>1</x:v>
      </x:c>
      <x:c r="L1655" s="24" t="n">
        <x:v>18.78333333333333</x:v>
      </x:c>
      <x:c r="M1655" s="26" t="n">
        <x:v>0.1</x:v>
      </x:c>
      <x:c r="N1655" s="24" t="n">
        <x:v>10.996520421719863</x:v>
      </x:c>
      <x:c r="O1655" s="28" t="n">
        <x:f>MIN(1,L1655/I1655)</x:f>
        <x:v>0.04695833333333333</x:v>
      </x:c>
      <x:c r="P1655" s="30" t="n">
        <x:f>O1655*J1655*(1+M1655)</x:f>
        <x:v>0.7748125</x:v>
      </x:c>
      <x:c r="Q1655" s="30" t="n">
        <x:f>P1655*N1655</x:f>
        <x:v>8.520241479253821</x:v>
      </x:c>
      <x:c r="R1655" s="19" t="str">
        <x:v>独立判定</x:v>
      </x:c>
    </x:row>
    <x:row r="1656" ht="19" customHeight="1">
      <x:c r="A1656" s="19" t="str">
        <x:v>D01652</x:v>
      </x:c>
      <x:c r="B1656" s="19" t="n">
        <x:v>4</x:v>
      </x:c>
      <x:c r="C1656" s="19" t="n">
        <x:v>3</x:v>
      </x:c>
      <x:c r="D1656" s="19" t="str">
        <x:v>C04-M031</x:v>
      </x:c>
      <x:c r="E1656" s="19" t="str">
        <x:v>白鳍劫舟客</x:v>
      </x:c>
      <x:c r="F1656" s="19" t="str">
        <x:v>稀有</x:v>
      </x:c>
      <x:c r="G1656" s="19" t="str">
        <x:v>材料独立候选</x:v>
      </x:c>
      <x:c r="H1656" s="19" t="str">
        <x:v>幽船铆钉</x:v>
      </x:c>
      <x:c r="I1656" s="22" t="n">
        <x:v>1000</x:v>
      </x:c>
      <x:c r="J1656" s="22" t="n">
        <x:v>1</x:v>
      </x:c>
      <x:c r="K1656" s="19" t="n">
        <x:v>1</x:v>
      </x:c>
      <x:c r="L1656" s="24" t="n">
        <x:v>18.78333333333333</x:v>
      </x:c>
      <x:c r="M1656" s="26" t="n">
        <x:v>0.1</x:v>
      </x:c>
      <x:c r="N1656" s="24" t="n">
        <x:v>10.996520421719863</x:v>
      </x:c>
      <x:c r="O1656" s="28" t="n">
        <x:f>MIN(1,L1656/I1656)</x:f>
        <x:v>0.018783333333333332</x:v>
      </x:c>
      <x:c r="P1656" s="30" t="n">
        <x:f>O1656*J1656*(1+M1656)</x:f>
        <x:v>0.02066166666666667</x:v>
      </x:c>
      <x:c r="Q1656" s="30" t="n">
        <x:f>P1656*N1656</x:f>
        <x:v>0.22720643944676858</x:v>
      </x:c>
      <x:c r="R1656" s="19" t="str">
        <x:v>独立判定</x:v>
      </x:c>
    </x:row>
    <x:row r="1657" ht="19" customHeight="1">
      <x:c r="A1657" s="19" t="str">
        <x:v>D01653</x:v>
      </x:c>
      <x:c r="B1657" s="19" t="n">
        <x:v>4</x:v>
      </x:c>
      <x:c r="C1657" s="19" t="n">
        <x:v>3</x:v>
      </x:c>
      <x:c r="D1657" s="19" t="str">
        <x:v>C04-M031</x:v>
      </x:c>
      <x:c r="E1657" s="19" t="str">
        <x:v>白鳍劫舟客</x:v>
      </x:c>
      <x:c r="F1657" s="19" t="str">
        <x:v>稀有</x:v>
      </x:c>
      <x:c r="G1657" s="19" t="str">
        <x:v>材料独立候选</x:v>
      </x:c>
      <x:c r="H1657" s="19" t="str">
        <x:v>沉船缆扣</x:v>
      </x:c>
      <x:c r="I1657" s="22" t="n">
        <x:v>400</x:v>
      </x:c>
      <x:c r="J1657" s="22" t="n">
        <x:v>1</x:v>
      </x:c>
      <x:c r="K1657" s="19" t="n">
        <x:v>1</x:v>
      </x:c>
      <x:c r="L1657" s="24" t="n">
        <x:v>18.78333333333333</x:v>
      </x:c>
      <x:c r="M1657" s="26" t="n">
        <x:v>0.1</x:v>
      </x:c>
      <x:c r="N1657" s="24" t="n">
        <x:v>10.996520421719863</x:v>
      </x:c>
      <x:c r="O1657" s="28" t="n">
        <x:f>MIN(1,L1657/I1657)</x:f>
        <x:v>0.04695833333333333</x:v>
      </x:c>
      <x:c r="P1657" s="30" t="n">
        <x:f>O1657*J1657*(1+M1657)</x:f>
        <x:v>0.05165416666666667</x:v>
      </x:c>
      <x:c r="Q1657" s="30" t="n">
        <x:f>P1657*N1657</x:f>
        <x:v>0.5680160986169215</x:v>
      </x:c>
      <x:c r="R1657" s="19" t="str">
        <x:v>独立判定</x:v>
      </x:c>
    </x:row>
    <x:row r="1658" ht="19" customHeight="1">
      <x:c r="A1658" s="19" t="str">
        <x:v>D01654</x:v>
      </x:c>
      <x:c r="B1658" s="19" t="n">
        <x:v>4</x:v>
      </x:c>
      <x:c r="C1658" s="19" t="n">
        <x:v>3</x:v>
      </x:c>
      <x:c r="D1658" s="19" t="str">
        <x:v>C04-M031</x:v>
      </x:c>
      <x:c r="E1658" s="19" t="str">
        <x:v>白鳍劫舟客</x:v>
      </x:c>
      <x:c r="F1658" s="19" t="str">
        <x:v>稀有</x:v>
      </x:c>
      <x:c r="G1658" s="19" t="str">
        <x:v>材料独立候选</x:v>
      </x:c>
      <x:c r="H1658" s="19" t="str">
        <x:v>月潮忆珀</x:v>
      </x:c>
      <x:c r="I1658" s="22" t="n">
        <x:v>500000</x:v>
      </x:c>
      <x:c r="J1658" s="22" t="n">
        <x:v>1</x:v>
      </x:c>
      <x:c r="K1658" s="19" t="n">
        <x:v>1</x:v>
      </x:c>
      <x:c r="L1658" s="24" t="n">
        <x:v>18.78333333333333</x:v>
      </x:c>
      <x:c r="M1658" s="26" t="n">
        <x:v>0.1</x:v>
      </x:c>
      <x:c r="N1658" s="24" t="n">
        <x:v>10.996520421719863</x:v>
      </x:c>
      <x:c r="O1658" s="28" t="n">
        <x:f>MIN(1,L1658/I1658)</x:f>
        <x:v>0.00003756666666666666</x:v>
      </x:c>
      <x:c r="P1658" s="30" t="n">
        <x:f>O1658*J1658*(1+M1658)</x:f>
        <x:v>0.00004132333333333333</x:v>
      </x:c>
      <x:c r="Q1658" s="30" t="n">
        <x:f>P1658*N1658</x:f>
        <x:v>0.0004544128788935371</x:v>
      </x:c>
      <x:c r="R1658" s="19" t="str">
        <x:v>独立判定</x:v>
      </x:c>
    </x:row>
    <x:row r="1659" ht="19" customHeight="1">
      <x:c r="A1659" s="19" t="str">
        <x:v>D01655</x:v>
      </x:c>
      <x:c r="B1659" s="19" t="n">
        <x:v>4</x:v>
      </x:c>
      <x:c r="C1659" s="19" t="n">
        <x:v>3</x:v>
      </x:c>
      <x:c r="D1659" s="19" t="str">
        <x:v>C04-M031</x:v>
      </x:c>
      <x:c r="E1659" s="19" t="str">
        <x:v>白鳍劫舟客</x:v>
      </x:c>
      <x:c r="F1659" s="19" t="str">
        <x:v>稀有</x:v>
      </x:c>
      <x:c r="G1659" s="19" t="str">
        <x:v>材料独立候选</x:v>
      </x:c>
      <x:c r="H1659" s="19" t="str">
        <x:v>黄金树芽</x:v>
      </x:c>
      <x:c r="I1659" s="22" t="n">
        <x:v>1800</x:v>
      </x:c>
      <x:c r="J1659" s="22" t="n">
        <x:v>1</x:v>
      </x:c>
      <x:c r="K1659" s="19" t="n">
        <x:v>1</x:v>
      </x:c>
      <x:c r="L1659" s="24" t="n">
        <x:v>18.78333333333333</x:v>
      </x:c>
      <x:c r="M1659" s="26" t="n">
        <x:v>0.1</x:v>
      </x:c>
      <x:c r="N1659" s="24" t="n">
        <x:v>10.996520421719863</x:v>
      </x:c>
      <x:c r="O1659" s="28" t="n">
        <x:f>MIN(1,L1659/I1659)</x:f>
        <x:v>0.010435185185185184</x:v>
      </x:c>
      <x:c r="P1659" s="30" t="n">
        <x:f>O1659*J1659*(1+M1659)</x:f>
        <x:v>0.011478703703703705</x:v>
      </x:c>
      <x:c r="Q1659" s="30" t="n">
        <x:f>P1659*N1659</x:f>
        <x:v>0.12622579969264922</x:v>
      </x:c>
      <x:c r="R1659" s="19" t="str">
        <x:v>独立判定</x:v>
      </x:c>
    </x:row>
    <x:row r="1660" ht="19" customHeight="1">
      <x:c r="A1660" s="19" t="str">
        <x:v>D01656</x:v>
      </x:c>
      <x:c r="B1660" s="19" t="n">
        <x:v>4</x:v>
      </x:c>
      <x:c r="C1660" s="19" t="n">
        <x:v>3</x:v>
      </x:c>
      <x:c r="D1660" s="19" t="str">
        <x:v>C04-M031</x:v>
      </x:c>
      <x:c r="E1660" s="19" t="str">
        <x:v>白鳍劫舟客</x:v>
      </x:c>
      <x:c r="F1660" s="19" t="str">
        <x:v>稀有</x:v>
      </x:c>
      <x:c r="G1660" s="19" t="str">
        <x:v>材料独立候选</x:v>
      </x:c>
      <x:c r="H1660" s="19" t="str">
        <x:v>野兽骨片</x:v>
      </x:c>
      <x:c r="I1660" s="22" t="n">
        <x:v>60</x:v>
      </x:c>
      <x:c r="J1660" s="22" t="n">
        <x:v>2</x:v>
      </x:c>
      <x:c r="K1660" s="19" t="n">
        <x:v>1</x:v>
      </x:c>
      <x:c r="L1660" s="24" t="n">
        <x:v>18.78333333333333</x:v>
      </x:c>
      <x:c r="M1660" s="26" t="n">
        <x:v>0.1</x:v>
      </x:c>
      <x:c r="N1660" s="24" t="n">
        <x:v>10.996520421719863</x:v>
      </x:c>
      <x:c r="O1660" s="28" t="n">
        <x:f>MIN(1,L1660/I1660)</x:f>
        <x:v>0.31305555555555553</x:v>
      </x:c>
      <x:c r="P1660" s="30" t="n">
        <x:f>O1660*J1660*(1+M1660)</x:f>
        <x:v>0.6887222222222222</x:v>
      </x:c>
      <x:c r="Q1660" s="30" t="n">
        <x:f>P1660*N1660</x:f>
        <x:v>7.573547981558953</x:v>
      </x:c>
      <x:c r="R1660" s="19" t="str">
        <x:v>独立判定</x:v>
      </x:c>
    </x:row>
    <x:row r="1661" ht="19" customHeight="1">
      <x:c r="A1661" s="19" t="str">
        <x:v>D01657</x:v>
      </x:c>
      <x:c r="B1661" s="19" t="n">
        <x:v>4</x:v>
      </x:c>
      <x:c r="C1661" s="19" t="n">
        <x:v>3</x:v>
      </x:c>
      <x:c r="D1661" s="19" t="str">
        <x:v>C04-M031</x:v>
      </x:c>
      <x:c r="E1661" s="19" t="str">
        <x:v>白鳍劫舟客</x:v>
      </x:c>
      <x:c r="F1661" s="19" t="str">
        <x:v>稀有</x:v>
      </x:c>
      <x:c r="G1661" s="19" t="str">
        <x:v>材料独立候选</x:v>
      </x:c>
      <x:c r="H1661" s="19" t="str">
        <x:v>技能残页</x:v>
      </x:c>
      <x:c r="I1661" s="22" t="n">
        <x:v>250</x:v>
      </x:c>
      <x:c r="J1661" s="22" t="n">
        <x:v>1</x:v>
      </x:c>
      <x:c r="K1661" s="19" t="n">
        <x:v>1</x:v>
      </x:c>
      <x:c r="L1661" s="24" t="n">
        <x:v>18.78333333333333</x:v>
      </x:c>
      <x:c r="M1661" s="26" t="n">
        <x:v>0.1</x:v>
      </x:c>
      <x:c r="N1661" s="24" t="n">
        <x:v>10.996520421719863</x:v>
      </x:c>
      <x:c r="O1661" s="28" t="n">
        <x:f>MIN(1,L1661/I1661)</x:f>
        <x:v>0.07513333333333333</x:v>
      </x:c>
      <x:c r="P1661" s="30" t="n">
        <x:f>O1661*J1661*(1+M1661)</x:f>
        <x:v>0.08264666666666667</x:v>
      </x:c>
      <x:c r="Q1661" s="30" t="n">
        <x:f>P1661*N1661</x:f>
        <x:v>0.9088257577870743</x:v>
      </x:c>
      <x:c r="R1661" s="19" t="str">
        <x:v>独立判定</x:v>
      </x:c>
    </x:row>
    <x:row r="1662" ht="19" customHeight="1">
      <x:c r="A1662" s="19" t="str">
        <x:v>D01658</x:v>
      </x:c>
      <x:c r="B1662" s="19" t="n">
        <x:v>4</x:v>
      </x:c>
      <x:c r="C1662" s="19" t="n">
        <x:v>3</x:v>
      </x:c>
      <x:c r="D1662" s="19" t="str">
        <x:v>C04-M031</x:v>
      </x:c>
      <x:c r="E1662" s="19" t="str">
        <x:v>白鳍劫舟客</x:v>
      </x:c>
      <x:c r="F1662" s="19" t="str">
        <x:v>稀有</x:v>
      </x:c>
      <x:c r="G1662" s="19" t="str">
        <x:v>材料独立候选</x:v>
      </x:c>
      <x:c r="H1662" s="19" t="str">
        <x:v>小卢恩</x:v>
      </x:c>
      <x:c r="I1662" s="22" t="n">
        <x:v>500</x:v>
      </x:c>
      <x:c r="J1662" s="22" t="n">
        <x:v>1</x:v>
      </x:c>
      <x:c r="K1662" s="19" t="n">
        <x:v>1</x:v>
      </x:c>
      <x:c r="L1662" s="24" t="n">
        <x:v>18.78333333333333</x:v>
      </x:c>
      <x:c r="M1662" s="26" t="n">
        <x:v>0.1</x:v>
      </x:c>
      <x:c r="N1662" s="24" t="n">
        <x:v>10.996520421719863</x:v>
      </x:c>
      <x:c r="O1662" s="28" t="n">
        <x:f>MIN(1,L1662/I1662)</x:f>
        <x:v>0.037566666666666665</x:v>
      </x:c>
      <x:c r="P1662" s="30" t="n">
        <x:f>O1662*J1662*(1+M1662)</x:f>
        <x:v>0.04132333333333334</x:v>
      </x:c>
      <x:c r="Q1662" s="30" t="n">
        <x:f>P1662*N1662</x:f>
        <x:v>0.45441287889353715</x:v>
      </x:c>
      <x:c r="R1662" s="19" t="str">
        <x:v>独立判定</x:v>
      </x:c>
    </x:row>
    <x:row r="1663" ht="19" customHeight="1">
      <x:c r="A1663" s="19" t="str">
        <x:v>D01659</x:v>
      </x:c>
      <x:c r="B1663" s="19" t="n">
        <x:v>4</x:v>
      </x:c>
      <x:c r="C1663" s="19" t="n">
        <x:v>3</x:v>
      </x:c>
      <x:c r="D1663" s="19" t="str">
        <x:v>C04-M031</x:v>
      </x:c>
      <x:c r="E1663" s="19" t="str">
        <x:v>白鳍劫舟客</x:v>
      </x:c>
      <x:c r="F1663" s="19" t="str">
        <x:v>稀有</x:v>
      </x:c>
      <x:c r="G1663" s="19" t="str">
        <x:v>六神器公共池</x:v>
      </x:c>
      <x:c r="H1663" s="19" t="str">
        <x:v>POOL006</x:v>
      </x:c>
      <x:c r="I1663" s="22" t="n">
        <x:v>5000000</x:v>
      </x:c>
      <x:c r="J1663" s="22" t="n">
        <x:v>1</x:v>
      </x:c>
      <x:c r="K1663" s="19" t="n">
        <x:v>6</x:v>
      </x:c>
      <x:c r="L1663" s="24" t="n">
        <x:v>18.78333333333333</x:v>
      </x:c>
      <x:c r="M1663" s="26" t="n">
        <x:v>0.1</x:v>
      </x:c>
      <x:c r="N1663" s="24" t="n">
        <x:v>10.996520421719863</x:v>
      </x:c>
      <x:c r="O1663" s="28" t="n">
        <x:f>MIN(1,L1663/I1663)</x:f>
        <x:v>0.000003756666666666666</x:v>
      </x:c>
      <x:c r="P1663" s="30" t="n">
        <x:f>O1663*J1663*(1+M1663)</x:f>
        <x:v>0.000004132333333333333</x:v>
      </x:c>
      <x:c r="Q1663" s="30" t="n">
        <x:f>P1663*N1663</x:f>
        <x:v>0.00004544128788935371</x:v>
      </x:c>
      <x:c r="R1663" s="19" t="str">
        <x:v>六选一；非6个独立爆率</x:v>
      </x:c>
    </x:row>
    <x:row r="1664" ht="19" customHeight="1">
      <x:c r="A1664" s="19" t="str">
        <x:v>D01660</x:v>
      </x:c>
      <x:c r="B1664" s="19" t="n">
        <x:v>4</x:v>
      </x:c>
      <x:c r="C1664" s="19" t="n">
        <x:v>3</x:v>
      </x:c>
      <x:c r="D1664" s="19" t="str">
        <x:v>C04-M032</x:v>
      </x:c>
      <x:c r="E1664" s="19" t="str">
        <x:v>抱舵老幽魂</x:v>
      </x:c>
      <x:c r="F1664" s="19" t="str">
        <x:v>稀有</x:v>
      </x:c>
      <x:c r="G1664" s="19" t="str">
        <x:v>自身专属</x:v>
      </x:c>
      <x:c r="H1664" s="19" t="str">
        <x:v>老舵手镯</x:v>
      </x:c>
      <x:c r="I1664" s="22" t="n">
        <x:v>300</x:v>
      </x:c>
      <x:c r="J1664" s="22" t="n">
        <x:v>1</x:v>
      </x:c>
      <x:c r="K1664" s="19" t="n">
        <x:v>1</x:v>
      </x:c>
      <x:c r="L1664" s="24" t="n">
        <x:v>18.78333333333333</x:v>
      </x:c>
      <x:c r="M1664" s="26" t="n">
        <x:v>0.1</x:v>
      </x:c>
      <x:c r="N1664" s="24" t="n">
        <x:v>12</x:v>
      </x:c>
      <x:c r="O1664" s="28" t="n">
        <x:f>MIN(1,L1664/I1664)</x:f>
        <x:v>0.0626111111111111</x:v>
      </x:c>
      <x:c r="P1664" s="30" t="n">
        <x:f>O1664*J1664*(1+M1664)</x:f>
        <x:v>0.06887222222222222</x:v>
      </x:c>
      <x:c r="Q1664" s="30" t="n">
        <x:f>P1664*N1664</x:f>
        <x:v>0.8264666666666667</x:v>
      </x:c>
      <x:c r="R1664" s="19" t="str">
        <x:v>独立判定</x:v>
      </x:c>
    </x:row>
    <x:row r="1665" ht="19" customHeight="1">
      <x:c r="A1665" s="19" t="str">
        <x:v>D01661</x:v>
      </x:c>
      <x:c r="B1665" s="19" t="n">
        <x:v>4</x:v>
      </x:c>
      <x:c r="C1665" s="19" t="n">
        <x:v>3</x:v>
      </x:c>
      <x:c r="D1665" s="19" t="str">
        <x:v>C04-M032</x:v>
      </x:c>
      <x:c r="E1665" s="19" t="str">
        <x:v>抱舵老幽魂</x:v>
      </x:c>
      <x:c r="F1665" s="19" t="str">
        <x:v>稀有</x:v>
      </x:c>
      <x:c r="G1665" s="19" t="str">
        <x:v>材料独立候选</x:v>
      </x:c>
      <x:c r="H1665" s="19" t="str">
        <x:v>湖盐结晶</x:v>
      </x:c>
      <x:c r="I1665" s="22" t="n">
        <x:v>400</x:v>
      </x:c>
      <x:c r="J1665" s="22" t="n">
        <x:v>15</x:v>
      </x:c>
      <x:c r="K1665" s="19" t="n">
        <x:v>1</x:v>
      </x:c>
      <x:c r="L1665" s="24" t="n">
        <x:v>18.78333333333333</x:v>
      </x:c>
      <x:c r="M1665" s="26" t="n">
        <x:v>0.1</x:v>
      </x:c>
      <x:c r="N1665" s="24" t="n">
        <x:v>12</x:v>
      </x:c>
      <x:c r="O1665" s="28" t="n">
        <x:f>MIN(1,L1665/I1665)</x:f>
        <x:v>0.04695833333333333</x:v>
      </x:c>
      <x:c r="P1665" s="30" t="n">
        <x:f>O1665*J1665*(1+M1665)</x:f>
        <x:v>0.7748125</x:v>
      </x:c>
      <x:c r="Q1665" s="30" t="n">
        <x:f>P1665*N1665</x:f>
        <x:v>9.29775</x:v>
      </x:c>
      <x:c r="R1665" s="19" t="str">
        <x:v>独立判定</x:v>
      </x:c>
    </x:row>
    <x:row r="1666" ht="19" customHeight="1">
      <x:c r="A1666" s="19" t="str">
        <x:v>D01662</x:v>
      </x:c>
      <x:c r="B1666" s="19" t="n">
        <x:v>4</x:v>
      </x:c>
      <x:c r="C1666" s="19" t="n">
        <x:v>3</x:v>
      </x:c>
      <x:c r="D1666" s="19" t="str">
        <x:v>C04-M032</x:v>
      </x:c>
      <x:c r="E1666" s="19" t="str">
        <x:v>抱舵老幽魂</x:v>
      </x:c>
      <x:c r="F1666" s="19" t="str">
        <x:v>稀有</x:v>
      </x:c>
      <x:c r="G1666" s="19" t="str">
        <x:v>材料独立候选</x:v>
      </x:c>
      <x:c r="H1666" s="19" t="str">
        <x:v>幽船铆钉</x:v>
      </x:c>
      <x:c r="I1666" s="22" t="n">
        <x:v>1000</x:v>
      </x:c>
      <x:c r="J1666" s="22" t="n">
        <x:v>1</x:v>
      </x:c>
      <x:c r="K1666" s="19" t="n">
        <x:v>1</x:v>
      </x:c>
      <x:c r="L1666" s="24" t="n">
        <x:v>18.78333333333333</x:v>
      </x:c>
      <x:c r="M1666" s="26" t="n">
        <x:v>0.1</x:v>
      </x:c>
      <x:c r="N1666" s="24" t="n">
        <x:v>12</x:v>
      </x:c>
      <x:c r="O1666" s="28" t="n">
        <x:f>MIN(1,L1666/I1666)</x:f>
        <x:v>0.018783333333333332</x:v>
      </x:c>
      <x:c r="P1666" s="30" t="n">
        <x:f>O1666*J1666*(1+M1666)</x:f>
        <x:v>0.02066166666666667</x:v>
      </x:c>
      <x:c r="Q1666" s="30" t="n">
        <x:f>P1666*N1666</x:f>
        <x:v>0.24794000000000002</x:v>
      </x:c>
      <x:c r="R1666" s="19" t="str">
        <x:v>独立判定</x:v>
      </x:c>
    </x:row>
    <x:row r="1667" ht="19" customHeight="1">
      <x:c r="A1667" s="19" t="str">
        <x:v>D01663</x:v>
      </x:c>
      <x:c r="B1667" s="19" t="n">
        <x:v>4</x:v>
      </x:c>
      <x:c r="C1667" s="19" t="n">
        <x:v>3</x:v>
      </x:c>
      <x:c r="D1667" s="19" t="str">
        <x:v>C04-M032</x:v>
      </x:c>
      <x:c r="E1667" s="19" t="str">
        <x:v>抱舵老幽魂</x:v>
      </x:c>
      <x:c r="F1667" s="19" t="str">
        <x:v>稀有</x:v>
      </x:c>
      <x:c r="G1667" s="19" t="str">
        <x:v>材料独立候选</x:v>
      </x:c>
      <x:c r="H1667" s="19" t="str">
        <x:v>沉船缆扣</x:v>
      </x:c>
      <x:c r="I1667" s="22" t="n">
        <x:v>400</x:v>
      </x:c>
      <x:c r="J1667" s="22" t="n">
        <x:v>1</x:v>
      </x:c>
      <x:c r="K1667" s="19" t="n">
        <x:v>1</x:v>
      </x:c>
      <x:c r="L1667" s="24" t="n">
        <x:v>18.78333333333333</x:v>
      </x:c>
      <x:c r="M1667" s="26" t="n">
        <x:v>0.1</x:v>
      </x:c>
      <x:c r="N1667" s="24" t="n">
        <x:v>12</x:v>
      </x:c>
      <x:c r="O1667" s="28" t="n">
        <x:f>MIN(1,L1667/I1667)</x:f>
        <x:v>0.04695833333333333</x:v>
      </x:c>
      <x:c r="P1667" s="30" t="n">
        <x:f>O1667*J1667*(1+M1667)</x:f>
        <x:v>0.05165416666666667</x:v>
      </x:c>
      <x:c r="Q1667" s="30" t="n">
        <x:f>P1667*N1667</x:f>
        <x:v>0.61985</x:v>
      </x:c>
      <x:c r="R1667" s="19" t="str">
        <x:v>独立判定</x:v>
      </x:c>
    </x:row>
    <x:row r="1668" ht="19" customHeight="1">
      <x:c r="A1668" s="19" t="str">
        <x:v>D01664</x:v>
      </x:c>
      <x:c r="B1668" s="19" t="n">
        <x:v>4</x:v>
      </x:c>
      <x:c r="C1668" s="19" t="n">
        <x:v>3</x:v>
      </x:c>
      <x:c r="D1668" s="19" t="str">
        <x:v>C04-M032</x:v>
      </x:c>
      <x:c r="E1668" s="19" t="str">
        <x:v>抱舵老幽魂</x:v>
      </x:c>
      <x:c r="F1668" s="19" t="str">
        <x:v>稀有</x:v>
      </x:c>
      <x:c r="G1668" s="19" t="str">
        <x:v>材料独立候选</x:v>
      </x:c>
      <x:c r="H1668" s="19" t="str">
        <x:v>月潮忆珀</x:v>
      </x:c>
      <x:c r="I1668" s="22" t="n">
        <x:v>500000</x:v>
      </x:c>
      <x:c r="J1668" s="22" t="n">
        <x:v>1</x:v>
      </x:c>
      <x:c r="K1668" s="19" t="n">
        <x:v>1</x:v>
      </x:c>
      <x:c r="L1668" s="24" t="n">
        <x:v>18.78333333333333</x:v>
      </x:c>
      <x:c r="M1668" s="26" t="n">
        <x:v>0.1</x:v>
      </x:c>
      <x:c r="N1668" s="24" t="n">
        <x:v>12</x:v>
      </x:c>
      <x:c r="O1668" s="28" t="n">
        <x:f>MIN(1,L1668/I1668)</x:f>
        <x:v>0.00003756666666666666</x:v>
      </x:c>
      <x:c r="P1668" s="30" t="n">
        <x:f>O1668*J1668*(1+M1668)</x:f>
        <x:v>0.00004132333333333333</x:v>
      </x:c>
      <x:c r="Q1668" s="30" t="n">
        <x:f>P1668*N1668</x:f>
        <x:v>0.00049588</x:v>
      </x:c>
      <x:c r="R1668" s="19" t="str">
        <x:v>独立判定</x:v>
      </x:c>
    </x:row>
    <x:row r="1669" ht="19" customHeight="1">
      <x:c r="A1669" s="19" t="str">
        <x:v>D01665</x:v>
      </x:c>
      <x:c r="B1669" s="19" t="n">
        <x:v>4</x:v>
      </x:c>
      <x:c r="C1669" s="19" t="n">
        <x:v>3</x:v>
      </x:c>
      <x:c r="D1669" s="19" t="str">
        <x:v>C04-M032</x:v>
      </x:c>
      <x:c r="E1669" s="19" t="str">
        <x:v>抱舵老幽魂</x:v>
      </x:c>
      <x:c r="F1669" s="19" t="str">
        <x:v>稀有</x:v>
      </x:c>
      <x:c r="G1669" s="19" t="str">
        <x:v>材料独立候选</x:v>
      </x:c>
      <x:c r="H1669" s="19" t="str">
        <x:v>黄金树芽</x:v>
      </x:c>
      <x:c r="I1669" s="22" t="n">
        <x:v>1800</x:v>
      </x:c>
      <x:c r="J1669" s="22" t="n">
        <x:v>1</x:v>
      </x:c>
      <x:c r="K1669" s="19" t="n">
        <x:v>1</x:v>
      </x:c>
      <x:c r="L1669" s="24" t="n">
        <x:v>18.78333333333333</x:v>
      </x:c>
      <x:c r="M1669" s="26" t="n">
        <x:v>0.1</x:v>
      </x:c>
      <x:c r="N1669" s="24" t="n">
        <x:v>12</x:v>
      </x:c>
      <x:c r="O1669" s="28" t="n">
        <x:f>MIN(1,L1669/I1669)</x:f>
        <x:v>0.010435185185185184</x:v>
      </x:c>
      <x:c r="P1669" s="30" t="n">
        <x:f>O1669*J1669*(1+M1669)</x:f>
        <x:v>0.011478703703703705</x:v>
      </x:c>
      <x:c r="Q1669" s="30" t="n">
        <x:f>P1669*N1669</x:f>
        <x:v>0.13774444444444445</x:v>
      </x:c>
      <x:c r="R1669" s="19" t="str">
        <x:v>独立判定</x:v>
      </x:c>
    </x:row>
    <x:row r="1670" ht="19" customHeight="1">
      <x:c r="A1670" s="19" t="str">
        <x:v>D01666</x:v>
      </x:c>
      <x:c r="B1670" s="19" t="n">
        <x:v>4</x:v>
      </x:c>
      <x:c r="C1670" s="19" t="n">
        <x:v>3</x:v>
      </x:c>
      <x:c r="D1670" s="19" t="str">
        <x:v>C04-M032</x:v>
      </x:c>
      <x:c r="E1670" s="19" t="str">
        <x:v>抱舵老幽魂</x:v>
      </x:c>
      <x:c r="F1670" s="19" t="str">
        <x:v>稀有</x:v>
      </x:c>
      <x:c r="G1670" s="19" t="str">
        <x:v>材料独立候选</x:v>
      </x:c>
      <x:c r="H1670" s="19" t="str">
        <x:v>野兽骨片</x:v>
      </x:c>
      <x:c r="I1670" s="22" t="n">
        <x:v>60</x:v>
      </x:c>
      <x:c r="J1670" s="22" t="n">
        <x:v>2</x:v>
      </x:c>
      <x:c r="K1670" s="19" t="n">
        <x:v>1</x:v>
      </x:c>
      <x:c r="L1670" s="24" t="n">
        <x:v>18.78333333333333</x:v>
      </x:c>
      <x:c r="M1670" s="26" t="n">
        <x:v>0.1</x:v>
      </x:c>
      <x:c r="N1670" s="24" t="n">
        <x:v>12</x:v>
      </x:c>
      <x:c r="O1670" s="28" t="n">
        <x:f>MIN(1,L1670/I1670)</x:f>
        <x:v>0.31305555555555553</x:v>
      </x:c>
      <x:c r="P1670" s="30" t="n">
        <x:f>O1670*J1670*(1+M1670)</x:f>
        <x:v>0.6887222222222222</x:v>
      </x:c>
      <x:c r="Q1670" s="30" t="n">
        <x:f>P1670*N1670</x:f>
        <x:v>8.264666666666667</x:v>
      </x:c>
      <x:c r="R1670" s="19" t="str">
        <x:v>独立判定</x:v>
      </x:c>
    </x:row>
    <x:row r="1671" ht="19" customHeight="1">
      <x:c r="A1671" s="19" t="str">
        <x:v>D01667</x:v>
      </x:c>
      <x:c r="B1671" s="19" t="n">
        <x:v>4</x:v>
      </x:c>
      <x:c r="C1671" s="19" t="n">
        <x:v>3</x:v>
      </x:c>
      <x:c r="D1671" s="19" t="str">
        <x:v>C04-M032</x:v>
      </x:c>
      <x:c r="E1671" s="19" t="str">
        <x:v>抱舵老幽魂</x:v>
      </x:c>
      <x:c r="F1671" s="19" t="str">
        <x:v>稀有</x:v>
      </x:c>
      <x:c r="G1671" s="19" t="str">
        <x:v>材料独立候选</x:v>
      </x:c>
      <x:c r="H1671" s="19" t="str">
        <x:v>技能残页</x:v>
      </x:c>
      <x:c r="I1671" s="22" t="n">
        <x:v>250</x:v>
      </x:c>
      <x:c r="J1671" s="22" t="n">
        <x:v>1</x:v>
      </x:c>
      <x:c r="K1671" s="19" t="n">
        <x:v>1</x:v>
      </x:c>
      <x:c r="L1671" s="24" t="n">
        <x:v>18.78333333333333</x:v>
      </x:c>
      <x:c r="M1671" s="26" t="n">
        <x:v>0.1</x:v>
      </x:c>
      <x:c r="N1671" s="24" t="n">
        <x:v>12</x:v>
      </x:c>
      <x:c r="O1671" s="28" t="n">
        <x:f>MIN(1,L1671/I1671)</x:f>
        <x:v>0.07513333333333333</x:v>
      </x:c>
      <x:c r="P1671" s="30" t="n">
        <x:f>O1671*J1671*(1+M1671)</x:f>
        <x:v>0.08264666666666667</x:v>
      </x:c>
      <x:c r="Q1671" s="30" t="n">
        <x:f>P1671*N1671</x:f>
        <x:v>0.9917600000000001</x:v>
      </x:c>
      <x:c r="R1671" s="19" t="str">
        <x:v>独立判定</x:v>
      </x:c>
    </x:row>
    <x:row r="1672" ht="19" customHeight="1">
      <x:c r="A1672" s="19" t="str">
        <x:v>D01668</x:v>
      </x:c>
      <x:c r="B1672" s="19" t="n">
        <x:v>4</x:v>
      </x:c>
      <x:c r="C1672" s="19" t="n">
        <x:v>3</x:v>
      </x:c>
      <x:c r="D1672" s="19" t="str">
        <x:v>C04-M032</x:v>
      </x:c>
      <x:c r="E1672" s="19" t="str">
        <x:v>抱舵老幽魂</x:v>
      </x:c>
      <x:c r="F1672" s="19" t="str">
        <x:v>稀有</x:v>
      </x:c>
      <x:c r="G1672" s="19" t="str">
        <x:v>材料独立候选</x:v>
      </x:c>
      <x:c r="H1672" s="19" t="str">
        <x:v>小卢恩</x:v>
      </x:c>
      <x:c r="I1672" s="22" t="n">
        <x:v>500</x:v>
      </x:c>
      <x:c r="J1672" s="22" t="n">
        <x:v>1</x:v>
      </x:c>
      <x:c r="K1672" s="19" t="n">
        <x:v>1</x:v>
      </x:c>
      <x:c r="L1672" s="24" t="n">
        <x:v>18.78333333333333</x:v>
      </x:c>
      <x:c r="M1672" s="26" t="n">
        <x:v>0.1</x:v>
      </x:c>
      <x:c r="N1672" s="24" t="n">
        <x:v>12</x:v>
      </x:c>
      <x:c r="O1672" s="28" t="n">
        <x:f>MIN(1,L1672/I1672)</x:f>
        <x:v>0.037566666666666665</x:v>
      </x:c>
      <x:c r="P1672" s="30" t="n">
        <x:f>O1672*J1672*(1+M1672)</x:f>
        <x:v>0.04132333333333334</x:v>
      </x:c>
      <x:c r="Q1672" s="30" t="n">
        <x:f>P1672*N1672</x:f>
        <x:v>0.49588000000000004</x:v>
      </x:c>
      <x:c r="R1672" s="19" t="str">
        <x:v>独立判定</x:v>
      </x:c>
    </x:row>
    <x:row r="1673" ht="19" customHeight="1">
      <x:c r="A1673" s="19" t="str">
        <x:v>D01669</x:v>
      </x:c>
      <x:c r="B1673" s="19" t="n">
        <x:v>4</x:v>
      </x:c>
      <x:c r="C1673" s="19" t="n">
        <x:v>3</x:v>
      </x:c>
      <x:c r="D1673" s="19" t="str">
        <x:v>C04-M032</x:v>
      </x:c>
      <x:c r="E1673" s="19" t="str">
        <x:v>抱舵老幽魂</x:v>
      </x:c>
      <x:c r="F1673" s="19" t="str">
        <x:v>稀有</x:v>
      </x:c>
      <x:c r="G1673" s="19" t="str">
        <x:v>六神器公共池</x:v>
      </x:c>
      <x:c r="H1673" s="19" t="str">
        <x:v>POOL006</x:v>
      </x:c>
      <x:c r="I1673" s="22" t="n">
        <x:v>5000000</x:v>
      </x:c>
      <x:c r="J1673" s="22" t="n">
        <x:v>1</x:v>
      </x:c>
      <x:c r="K1673" s="19" t="n">
        <x:v>6</x:v>
      </x:c>
      <x:c r="L1673" s="24" t="n">
        <x:v>18.78333333333333</x:v>
      </x:c>
      <x:c r="M1673" s="26" t="n">
        <x:v>0.1</x:v>
      </x:c>
      <x:c r="N1673" s="24" t="n">
        <x:v>12</x:v>
      </x:c>
      <x:c r="O1673" s="28" t="n">
        <x:f>MIN(1,L1673/I1673)</x:f>
        <x:v>0.000003756666666666666</x:v>
      </x:c>
      <x:c r="P1673" s="30" t="n">
        <x:f>O1673*J1673*(1+M1673)</x:f>
        <x:v>0.000004132333333333333</x:v>
      </x:c>
      <x:c r="Q1673" s="30" t="n">
        <x:f>P1673*N1673</x:f>
        <x:v>0.000049587999999999993</x:v>
      </x:c>
      <x:c r="R1673" s="19" t="str">
        <x:v>六选一；非6个独立爆率</x:v>
      </x:c>
    </x:row>
    <x:row r="1674" ht="19" customHeight="1">
      <x:c r="A1674" s="19" t="str">
        <x:v>D01670</x:v>
      </x:c>
      <x:c r="B1674" s="19" t="n">
        <x:v>4</x:v>
      </x:c>
      <x:c r="C1674" s="19" t="n">
        <x:v>3</x:v>
      </x:c>
      <x:c r="D1674" s="19" t="str">
        <x:v>C04-M033</x:v>
      </x:c>
      <x:c r="E1674" s="19" t="str">
        <x:v>棺板伏行者</x:v>
      </x:c>
      <x:c r="F1674" s="19" t="str">
        <x:v>稀有</x:v>
      </x:c>
      <x:c r="G1674" s="19" t="str">
        <x:v>自身专属</x:v>
      </x:c>
      <x:c r="H1674" s="19" t="str">
        <x:v>棺钉指环</x:v>
      </x:c>
      <x:c r="I1674" s="22" t="n">
        <x:v>300</x:v>
      </x:c>
      <x:c r="J1674" s="22" t="n">
        <x:v>1</x:v>
      </x:c>
      <x:c r="K1674" s="19" t="n">
        <x:v>1</x:v>
      </x:c>
      <x:c r="L1674" s="24" t="n">
        <x:v>18.78333333333333</x:v>
      </x:c>
      <x:c r="M1674" s="26" t="n">
        <x:v>0.1</x:v>
      </x:c>
      <x:c r="N1674" s="24" t="n">
        <x:v>10.996520421719863</x:v>
      </x:c>
      <x:c r="O1674" s="28" t="n">
        <x:f>MIN(1,L1674/I1674)</x:f>
        <x:v>0.0626111111111111</x:v>
      </x:c>
      <x:c r="P1674" s="30" t="n">
        <x:f>O1674*J1674*(1+M1674)</x:f>
        <x:v>0.06887222222222222</x:v>
      </x:c>
      <x:c r="Q1674" s="30" t="n">
        <x:f>P1674*N1674</x:f>
        <x:v>0.7573547981558952</x:v>
      </x:c>
      <x:c r="R1674" s="19" t="str">
        <x:v>独立判定</x:v>
      </x:c>
    </x:row>
    <x:row r="1675" ht="19" customHeight="1">
      <x:c r="A1675" s="19" t="str">
        <x:v>D01671</x:v>
      </x:c>
      <x:c r="B1675" s="19" t="n">
        <x:v>4</x:v>
      </x:c>
      <x:c r="C1675" s="19" t="n">
        <x:v>3</x:v>
      </x:c>
      <x:c r="D1675" s="19" t="str">
        <x:v>C04-M033</x:v>
      </x:c>
      <x:c r="E1675" s="19" t="str">
        <x:v>棺板伏行者</x:v>
      </x:c>
      <x:c r="F1675" s="19" t="str">
        <x:v>稀有</x:v>
      </x:c>
      <x:c r="G1675" s="19" t="str">
        <x:v>材料独立候选</x:v>
      </x:c>
      <x:c r="H1675" s="19" t="str">
        <x:v>湖盐结晶</x:v>
      </x:c>
      <x:c r="I1675" s="22" t="n">
        <x:v>400</x:v>
      </x:c>
      <x:c r="J1675" s="22" t="n">
        <x:v>15</x:v>
      </x:c>
      <x:c r="K1675" s="19" t="n">
        <x:v>1</x:v>
      </x:c>
      <x:c r="L1675" s="24" t="n">
        <x:v>18.78333333333333</x:v>
      </x:c>
      <x:c r="M1675" s="26" t="n">
        <x:v>0.1</x:v>
      </x:c>
      <x:c r="N1675" s="24" t="n">
        <x:v>10.996520421719863</x:v>
      </x:c>
      <x:c r="O1675" s="28" t="n">
        <x:f>MIN(1,L1675/I1675)</x:f>
        <x:v>0.04695833333333333</x:v>
      </x:c>
      <x:c r="P1675" s="30" t="n">
        <x:f>O1675*J1675*(1+M1675)</x:f>
        <x:v>0.7748125</x:v>
      </x:c>
      <x:c r="Q1675" s="30" t="n">
        <x:f>P1675*N1675</x:f>
        <x:v>8.520241479253821</x:v>
      </x:c>
      <x:c r="R1675" s="19" t="str">
        <x:v>独立判定</x:v>
      </x:c>
    </x:row>
    <x:row r="1676" ht="19" customHeight="1">
      <x:c r="A1676" s="19" t="str">
        <x:v>D01672</x:v>
      </x:c>
      <x:c r="B1676" s="19" t="n">
        <x:v>4</x:v>
      </x:c>
      <x:c r="C1676" s="19" t="n">
        <x:v>3</x:v>
      </x:c>
      <x:c r="D1676" s="19" t="str">
        <x:v>C04-M033</x:v>
      </x:c>
      <x:c r="E1676" s="19" t="str">
        <x:v>棺板伏行者</x:v>
      </x:c>
      <x:c r="F1676" s="19" t="str">
        <x:v>稀有</x:v>
      </x:c>
      <x:c r="G1676" s="19" t="str">
        <x:v>材料独立候选</x:v>
      </x:c>
      <x:c r="H1676" s="19" t="str">
        <x:v>幽船铆钉</x:v>
      </x:c>
      <x:c r="I1676" s="22" t="n">
        <x:v>1000</x:v>
      </x:c>
      <x:c r="J1676" s="22" t="n">
        <x:v>1</x:v>
      </x:c>
      <x:c r="K1676" s="19" t="n">
        <x:v>1</x:v>
      </x:c>
      <x:c r="L1676" s="24" t="n">
        <x:v>18.78333333333333</x:v>
      </x:c>
      <x:c r="M1676" s="26" t="n">
        <x:v>0.1</x:v>
      </x:c>
      <x:c r="N1676" s="24" t="n">
        <x:v>10.996520421719863</x:v>
      </x:c>
      <x:c r="O1676" s="28" t="n">
        <x:f>MIN(1,L1676/I1676)</x:f>
        <x:v>0.018783333333333332</x:v>
      </x:c>
      <x:c r="P1676" s="30" t="n">
        <x:f>O1676*J1676*(1+M1676)</x:f>
        <x:v>0.02066166666666667</x:v>
      </x:c>
      <x:c r="Q1676" s="30" t="n">
        <x:f>P1676*N1676</x:f>
        <x:v>0.22720643944676858</x:v>
      </x:c>
      <x:c r="R1676" s="19" t="str">
        <x:v>独立判定</x:v>
      </x:c>
    </x:row>
    <x:row r="1677" ht="19" customHeight="1">
      <x:c r="A1677" s="19" t="str">
        <x:v>D01673</x:v>
      </x:c>
      <x:c r="B1677" s="19" t="n">
        <x:v>4</x:v>
      </x:c>
      <x:c r="C1677" s="19" t="n">
        <x:v>3</x:v>
      </x:c>
      <x:c r="D1677" s="19" t="str">
        <x:v>C04-M033</x:v>
      </x:c>
      <x:c r="E1677" s="19" t="str">
        <x:v>棺板伏行者</x:v>
      </x:c>
      <x:c r="F1677" s="19" t="str">
        <x:v>稀有</x:v>
      </x:c>
      <x:c r="G1677" s="19" t="str">
        <x:v>材料独立候选</x:v>
      </x:c>
      <x:c r="H1677" s="19" t="str">
        <x:v>沉船缆扣</x:v>
      </x:c>
      <x:c r="I1677" s="22" t="n">
        <x:v>400</x:v>
      </x:c>
      <x:c r="J1677" s="22" t="n">
        <x:v>1</x:v>
      </x:c>
      <x:c r="K1677" s="19" t="n">
        <x:v>1</x:v>
      </x:c>
      <x:c r="L1677" s="24" t="n">
        <x:v>18.78333333333333</x:v>
      </x:c>
      <x:c r="M1677" s="26" t="n">
        <x:v>0.1</x:v>
      </x:c>
      <x:c r="N1677" s="24" t="n">
        <x:v>10.996520421719863</x:v>
      </x:c>
      <x:c r="O1677" s="28" t="n">
        <x:f>MIN(1,L1677/I1677)</x:f>
        <x:v>0.04695833333333333</x:v>
      </x:c>
      <x:c r="P1677" s="30" t="n">
        <x:f>O1677*J1677*(1+M1677)</x:f>
        <x:v>0.05165416666666667</x:v>
      </x:c>
      <x:c r="Q1677" s="30" t="n">
        <x:f>P1677*N1677</x:f>
        <x:v>0.5680160986169215</x:v>
      </x:c>
      <x:c r="R1677" s="19" t="str">
        <x:v>独立判定</x:v>
      </x:c>
    </x:row>
    <x:row r="1678" ht="19" customHeight="1">
      <x:c r="A1678" s="19" t="str">
        <x:v>D01674</x:v>
      </x:c>
      <x:c r="B1678" s="19" t="n">
        <x:v>4</x:v>
      </x:c>
      <x:c r="C1678" s="19" t="n">
        <x:v>3</x:v>
      </x:c>
      <x:c r="D1678" s="19" t="str">
        <x:v>C04-M033</x:v>
      </x:c>
      <x:c r="E1678" s="19" t="str">
        <x:v>棺板伏行者</x:v>
      </x:c>
      <x:c r="F1678" s="19" t="str">
        <x:v>稀有</x:v>
      </x:c>
      <x:c r="G1678" s="19" t="str">
        <x:v>材料独立候选</x:v>
      </x:c>
      <x:c r="H1678" s="19" t="str">
        <x:v>月潮忆珀</x:v>
      </x:c>
      <x:c r="I1678" s="22" t="n">
        <x:v>500000</x:v>
      </x:c>
      <x:c r="J1678" s="22" t="n">
        <x:v>1</x:v>
      </x:c>
      <x:c r="K1678" s="19" t="n">
        <x:v>1</x:v>
      </x:c>
      <x:c r="L1678" s="24" t="n">
        <x:v>18.78333333333333</x:v>
      </x:c>
      <x:c r="M1678" s="26" t="n">
        <x:v>0.1</x:v>
      </x:c>
      <x:c r="N1678" s="24" t="n">
        <x:v>10.996520421719863</x:v>
      </x:c>
      <x:c r="O1678" s="28" t="n">
        <x:f>MIN(1,L1678/I1678)</x:f>
        <x:v>0.00003756666666666666</x:v>
      </x:c>
      <x:c r="P1678" s="30" t="n">
        <x:f>O1678*J1678*(1+M1678)</x:f>
        <x:v>0.00004132333333333333</x:v>
      </x:c>
      <x:c r="Q1678" s="30" t="n">
        <x:f>P1678*N1678</x:f>
        <x:v>0.0004544128788935371</x:v>
      </x:c>
      <x:c r="R1678" s="19" t="str">
        <x:v>独立判定</x:v>
      </x:c>
    </x:row>
    <x:row r="1679" ht="19" customHeight="1">
      <x:c r="A1679" s="19" t="str">
        <x:v>D01675</x:v>
      </x:c>
      <x:c r="B1679" s="19" t="n">
        <x:v>4</x:v>
      </x:c>
      <x:c r="C1679" s="19" t="n">
        <x:v>3</x:v>
      </x:c>
      <x:c r="D1679" s="19" t="str">
        <x:v>C04-M033</x:v>
      </x:c>
      <x:c r="E1679" s="19" t="str">
        <x:v>棺板伏行者</x:v>
      </x:c>
      <x:c r="F1679" s="19" t="str">
        <x:v>稀有</x:v>
      </x:c>
      <x:c r="G1679" s="19" t="str">
        <x:v>材料独立候选</x:v>
      </x:c>
      <x:c r="H1679" s="19" t="str">
        <x:v>黄金树芽</x:v>
      </x:c>
      <x:c r="I1679" s="22" t="n">
        <x:v>1800</x:v>
      </x:c>
      <x:c r="J1679" s="22" t="n">
        <x:v>1</x:v>
      </x:c>
      <x:c r="K1679" s="19" t="n">
        <x:v>1</x:v>
      </x:c>
      <x:c r="L1679" s="24" t="n">
        <x:v>18.78333333333333</x:v>
      </x:c>
      <x:c r="M1679" s="26" t="n">
        <x:v>0.1</x:v>
      </x:c>
      <x:c r="N1679" s="24" t="n">
        <x:v>10.996520421719863</x:v>
      </x:c>
      <x:c r="O1679" s="28" t="n">
        <x:f>MIN(1,L1679/I1679)</x:f>
        <x:v>0.010435185185185184</x:v>
      </x:c>
      <x:c r="P1679" s="30" t="n">
        <x:f>O1679*J1679*(1+M1679)</x:f>
        <x:v>0.011478703703703705</x:v>
      </x:c>
      <x:c r="Q1679" s="30" t="n">
        <x:f>P1679*N1679</x:f>
        <x:v>0.12622579969264922</x:v>
      </x:c>
      <x:c r="R1679" s="19" t="str">
        <x:v>独立判定</x:v>
      </x:c>
    </x:row>
    <x:row r="1680" ht="19" customHeight="1">
      <x:c r="A1680" s="19" t="str">
        <x:v>D01676</x:v>
      </x:c>
      <x:c r="B1680" s="19" t="n">
        <x:v>4</x:v>
      </x:c>
      <x:c r="C1680" s="19" t="n">
        <x:v>3</x:v>
      </x:c>
      <x:c r="D1680" s="19" t="str">
        <x:v>C04-M033</x:v>
      </x:c>
      <x:c r="E1680" s="19" t="str">
        <x:v>棺板伏行者</x:v>
      </x:c>
      <x:c r="F1680" s="19" t="str">
        <x:v>稀有</x:v>
      </x:c>
      <x:c r="G1680" s="19" t="str">
        <x:v>材料独立候选</x:v>
      </x:c>
      <x:c r="H1680" s="19" t="str">
        <x:v>野兽骨片</x:v>
      </x:c>
      <x:c r="I1680" s="22" t="n">
        <x:v>60</x:v>
      </x:c>
      <x:c r="J1680" s="22" t="n">
        <x:v>2</x:v>
      </x:c>
      <x:c r="K1680" s="19" t="n">
        <x:v>1</x:v>
      </x:c>
      <x:c r="L1680" s="24" t="n">
        <x:v>18.78333333333333</x:v>
      </x:c>
      <x:c r="M1680" s="26" t="n">
        <x:v>0.1</x:v>
      </x:c>
      <x:c r="N1680" s="24" t="n">
        <x:v>10.996520421719863</x:v>
      </x:c>
      <x:c r="O1680" s="28" t="n">
        <x:f>MIN(1,L1680/I1680)</x:f>
        <x:v>0.31305555555555553</x:v>
      </x:c>
      <x:c r="P1680" s="30" t="n">
        <x:f>O1680*J1680*(1+M1680)</x:f>
        <x:v>0.6887222222222222</x:v>
      </x:c>
      <x:c r="Q1680" s="30" t="n">
        <x:f>P1680*N1680</x:f>
        <x:v>7.573547981558953</x:v>
      </x:c>
      <x:c r="R1680" s="19" t="str">
        <x:v>独立判定</x:v>
      </x:c>
    </x:row>
    <x:row r="1681" ht="19" customHeight="1">
      <x:c r="A1681" s="19" t="str">
        <x:v>D01677</x:v>
      </x:c>
      <x:c r="B1681" s="19" t="n">
        <x:v>4</x:v>
      </x:c>
      <x:c r="C1681" s="19" t="n">
        <x:v>3</x:v>
      </x:c>
      <x:c r="D1681" s="19" t="str">
        <x:v>C04-M033</x:v>
      </x:c>
      <x:c r="E1681" s="19" t="str">
        <x:v>棺板伏行者</x:v>
      </x:c>
      <x:c r="F1681" s="19" t="str">
        <x:v>稀有</x:v>
      </x:c>
      <x:c r="G1681" s="19" t="str">
        <x:v>材料独立候选</x:v>
      </x:c>
      <x:c r="H1681" s="19" t="str">
        <x:v>技能残页</x:v>
      </x:c>
      <x:c r="I1681" s="22" t="n">
        <x:v>250</x:v>
      </x:c>
      <x:c r="J1681" s="22" t="n">
        <x:v>1</x:v>
      </x:c>
      <x:c r="K1681" s="19" t="n">
        <x:v>1</x:v>
      </x:c>
      <x:c r="L1681" s="24" t="n">
        <x:v>18.78333333333333</x:v>
      </x:c>
      <x:c r="M1681" s="26" t="n">
        <x:v>0.1</x:v>
      </x:c>
      <x:c r="N1681" s="24" t="n">
        <x:v>10.996520421719863</x:v>
      </x:c>
      <x:c r="O1681" s="28" t="n">
        <x:f>MIN(1,L1681/I1681)</x:f>
        <x:v>0.07513333333333333</x:v>
      </x:c>
      <x:c r="P1681" s="30" t="n">
        <x:f>O1681*J1681*(1+M1681)</x:f>
        <x:v>0.08264666666666667</x:v>
      </x:c>
      <x:c r="Q1681" s="30" t="n">
        <x:f>P1681*N1681</x:f>
        <x:v>0.9088257577870743</x:v>
      </x:c>
      <x:c r="R1681" s="19" t="str">
        <x:v>独立判定</x:v>
      </x:c>
    </x:row>
    <x:row r="1682" ht="19" customHeight="1">
      <x:c r="A1682" s="19" t="str">
        <x:v>D01678</x:v>
      </x:c>
      <x:c r="B1682" s="19" t="n">
        <x:v>4</x:v>
      </x:c>
      <x:c r="C1682" s="19" t="n">
        <x:v>3</x:v>
      </x:c>
      <x:c r="D1682" s="19" t="str">
        <x:v>C04-M033</x:v>
      </x:c>
      <x:c r="E1682" s="19" t="str">
        <x:v>棺板伏行者</x:v>
      </x:c>
      <x:c r="F1682" s="19" t="str">
        <x:v>稀有</x:v>
      </x:c>
      <x:c r="G1682" s="19" t="str">
        <x:v>材料独立候选</x:v>
      </x:c>
      <x:c r="H1682" s="19" t="str">
        <x:v>小卢恩</x:v>
      </x:c>
      <x:c r="I1682" s="22" t="n">
        <x:v>500</x:v>
      </x:c>
      <x:c r="J1682" s="22" t="n">
        <x:v>1</x:v>
      </x:c>
      <x:c r="K1682" s="19" t="n">
        <x:v>1</x:v>
      </x:c>
      <x:c r="L1682" s="24" t="n">
        <x:v>18.78333333333333</x:v>
      </x:c>
      <x:c r="M1682" s="26" t="n">
        <x:v>0.1</x:v>
      </x:c>
      <x:c r="N1682" s="24" t="n">
        <x:v>10.996520421719863</x:v>
      </x:c>
      <x:c r="O1682" s="28" t="n">
        <x:f>MIN(1,L1682/I1682)</x:f>
        <x:v>0.037566666666666665</x:v>
      </x:c>
      <x:c r="P1682" s="30" t="n">
        <x:f>O1682*J1682*(1+M1682)</x:f>
        <x:v>0.04132333333333334</x:v>
      </x:c>
      <x:c r="Q1682" s="30" t="n">
        <x:f>P1682*N1682</x:f>
        <x:v>0.45441287889353715</x:v>
      </x:c>
      <x:c r="R1682" s="19" t="str">
        <x:v>独立判定</x:v>
      </x:c>
    </x:row>
    <x:row r="1683" ht="19" customHeight="1">
      <x:c r="A1683" s="19" t="str">
        <x:v>D01679</x:v>
      </x:c>
      <x:c r="B1683" s="19" t="n">
        <x:v>4</x:v>
      </x:c>
      <x:c r="C1683" s="19" t="n">
        <x:v>3</x:v>
      </x:c>
      <x:c r="D1683" s="19" t="str">
        <x:v>C04-M033</x:v>
      </x:c>
      <x:c r="E1683" s="19" t="str">
        <x:v>棺板伏行者</x:v>
      </x:c>
      <x:c r="F1683" s="19" t="str">
        <x:v>稀有</x:v>
      </x:c>
      <x:c r="G1683" s="19" t="str">
        <x:v>六神器公共池</x:v>
      </x:c>
      <x:c r="H1683" s="19" t="str">
        <x:v>POOL006</x:v>
      </x:c>
      <x:c r="I1683" s="22" t="n">
        <x:v>5000000</x:v>
      </x:c>
      <x:c r="J1683" s="22" t="n">
        <x:v>1</x:v>
      </x:c>
      <x:c r="K1683" s="19" t="n">
        <x:v>6</x:v>
      </x:c>
      <x:c r="L1683" s="24" t="n">
        <x:v>18.78333333333333</x:v>
      </x:c>
      <x:c r="M1683" s="26" t="n">
        <x:v>0.1</x:v>
      </x:c>
      <x:c r="N1683" s="24" t="n">
        <x:v>10.996520421719863</x:v>
      </x:c>
      <x:c r="O1683" s="28" t="n">
        <x:f>MIN(1,L1683/I1683)</x:f>
        <x:v>0.000003756666666666666</x:v>
      </x:c>
      <x:c r="P1683" s="30" t="n">
        <x:f>O1683*J1683*(1+M1683)</x:f>
        <x:v>0.000004132333333333333</x:v>
      </x:c>
      <x:c r="Q1683" s="30" t="n">
        <x:f>P1683*N1683</x:f>
        <x:v>0.00004544128788935371</x:v>
      </x:c>
      <x:c r="R1683" s="19" t="str">
        <x:v>六选一；非6个独立爆率</x:v>
      </x:c>
    </x:row>
    <x:row r="1684" ht="19" customHeight="1">
      <x:c r="A1684" s="19" t="str">
        <x:v>D01680</x:v>
      </x:c>
      <x:c r="B1684" s="19" t="n">
        <x:v>4</x:v>
      </x:c>
      <x:c r="C1684" s="19" t="n">
        <x:v>3</x:v>
      </x:c>
      <x:c r="D1684" s="19" t="str">
        <x:v>C04-M034</x:v>
      </x:c>
      <x:c r="E1684" s="19" t="str">
        <x:v>啃锚深渊鱼</x:v>
      </x:c>
      <x:c r="F1684" s="19" t="str">
        <x:v>稀有</x:v>
      </x:c>
      <x:c r="G1684" s="19" t="str">
        <x:v>自身专属</x:v>
      </x:c>
      <x:c r="H1684" s="19" t="str">
        <x:v>锚齿鱼盔</x:v>
      </x:c>
      <x:c r="I1684" s="22" t="n">
        <x:v>300</x:v>
      </x:c>
      <x:c r="J1684" s="22" t="n">
        <x:v>1</x:v>
      </x:c>
      <x:c r="K1684" s="19" t="n">
        <x:v>1</x:v>
      </x:c>
      <x:c r="L1684" s="24" t="n">
        <x:v>18.78333333333333</x:v>
      </x:c>
      <x:c r="M1684" s="26" t="n">
        <x:v>0.1</x:v>
      </x:c>
      <x:c r="N1684" s="24" t="n">
        <x:v>12</x:v>
      </x:c>
      <x:c r="O1684" s="28" t="n">
        <x:f>MIN(1,L1684/I1684)</x:f>
        <x:v>0.0626111111111111</x:v>
      </x:c>
      <x:c r="P1684" s="30" t="n">
        <x:f>O1684*J1684*(1+M1684)</x:f>
        <x:v>0.06887222222222222</x:v>
      </x:c>
      <x:c r="Q1684" s="30" t="n">
        <x:f>P1684*N1684</x:f>
        <x:v>0.8264666666666667</x:v>
      </x:c>
      <x:c r="R1684" s="19" t="str">
        <x:v>独立判定</x:v>
      </x:c>
    </x:row>
    <x:row r="1685" ht="19" customHeight="1">
      <x:c r="A1685" s="19" t="str">
        <x:v>D01681</x:v>
      </x:c>
      <x:c r="B1685" s="19" t="n">
        <x:v>4</x:v>
      </x:c>
      <x:c r="C1685" s="19" t="n">
        <x:v>3</x:v>
      </x:c>
      <x:c r="D1685" s="19" t="str">
        <x:v>C04-M034</x:v>
      </x:c>
      <x:c r="E1685" s="19" t="str">
        <x:v>啃锚深渊鱼</x:v>
      </x:c>
      <x:c r="F1685" s="19" t="str">
        <x:v>稀有</x:v>
      </x:c>
      <x:c r="G1685" s="19" t="str">
        <x:v>材料独立候选</x:v>
      </x:c>
      <x:c r="H1685" s="19" t="str">
        <x:v>湖盐结晶</x:v>
      </x:c>
      <x:c r="I1685" s="22" t="n">
        <x:v>400</x:v>
      </x:c>
      <x:c r="J1685" s="22" t="n">
        <x:v>15</x:v>
      </x:c>
      <x:c r="K1685" s="19" t="n">
        <x:v>1</x:v>
      </x:c>
      <x:c r="L1685" s="24" t="n">
        <x:v>18.78333333333333</x:v>
      </x:c>
      <x:c r="M1685" s="26" t="n">
        <x:v>0.1</x:v>
      </x:c>
      <x:c r="N1685" s="24" t="n">
        <x:v>12</x:v>
      </x:c>
      <x:c r="O1685" s="28" t="n">
        <x:f>MIN(1,L1685/I1685)</x:f>
        <x:v>0.04695833333333333</x:v>
      </x:c>
      <x:c r="P1685" s="30" t="n">
        <x:f>O1685*J1685*(1+M1685)</x:f>
        <x:v>0.7748125</x:v>
      </x:c>
      <x:c r="Q1685" s="30" t="n">
        <x:f>P1685*N1685</x:f>
        <x:v>9.29775</x:v>
      </x:c>
      <x:c r="R1685" s="19" t="str">
        <x:v>独立判定</x:v>
      </x:c>
    </x:row>
    <x:row r="1686" ht="19" customHeight="1">
      <x:c r="A1686" s="19" t="str">
        <x:v>D01682</x:v>
      </x:c>
      <x:c r="B1686" s="19" t="n">
        <x:v>4</x:v>
      </x:c>
      <x:c r="C1686" s="19" t="n">
        <x:v>3</x:v>
      </x:c>
      <x:c r="D1686" s="19" t="str">
        <x:v>C04-M034</x:v>
      </x:c>
      <x:c r="E1686" s="19" t="str">
        <x:v>啃锚深渊鱼</x:v>
      </x:c>
      <x:c r="F1686" s="19" t="str">
        <x:v>稀有</x:v>
      </x:c>
      <x:c r="G1686" s="19" t="str">
        <x:v>材料独立候选</x:v>
      </x:c>
      <x:c r="H1686" s="19" t="str">
        <x:v>幽船铆钉</x:v>
      </x:c>
      <x:c r="I1686" s="22" t="n">
        <x:v>1000</x:v>
      </x:c>
      <x:c r="J1686" s="22" t="n">
        <x:v>1</x:v>
      </x:c>
      <x:c r="K1686" s="19" t="n">
        <x:v>1</x:v>
      </x:c>
      <x:c r="L1686" s="24" t="n">
        <x:v>18.78333333333333</x:v>
      </x:c>
      <x:c r="M1686" s="26" t="n">
        <x:v>0.1</x:v>
      </x:c>
      <x:c r="N1686" s="24" t="n">
        <x:v>12</x:v>
      </x:c>
      <x:c r="O1686" s="28" t="n">
        <x:f>MIN(1,L1686/I1686)</x:f>
        <x:v>0.018783333333333332</x:v>
      </x:c>
      <x:c r="P1686" s="30" t="n">
        <x:f>O1686*J1686*(1+M1686)</x:f>
        <x:v>0.02066166666666667</x:v>
      </x:c>
      <x:c r="Q1686" s="30" t="n">
        <x:f>P1686*N1686</x:f>
        <x:v>0.24794000000000002</x:v>
      </x:c>
      <x:c r="R1686" s="19" t="str">
        <x:v>独立判定</x:v>
      </x:c>
    </x:row>
    <x:row r="1687" ht="19" customHeight="1">
      <x:c r="A1687" s="19" t="str">
        <x:v>D01683</x:v>
      </x:c>
      <x:c r="B1687" s="19" t="n">
        <x:v>4</x:v>
      </x:c>
      <x:c r="C1687" s="19" t="n">
        <x:v>3</x:v>
      </x:c>
      <x:c r="D1687" s="19" t="str">
        <x:v>C04-M034</x:v>
      </x:c>
      <x:c r="E1687" s="19" t="str">
        <x:v>啃锚深渊鱼</x:v>
      </x:c>
      <x:c r="F1687" s="19" t="str">
        <x:v>稀有</x:v>
      </x:c>
      <x:c r="G1687" s="19" t="str">
        <x:v>材料独立候选</x:v>
      </x:c>
      <x:c r="H1687" s="19" t="str">
        <x:v>沉船缆扣</x:v>
      </x:c>
      <x:c r="I1687" s="22" t="n">
        <x:v>400</x:v>
      </x:c>
      <x:c r="J1687" s="22" t="n">
        <x:v>1</x:v>
      </x:c>
      <x:c r="K1687" s="19" t="n">
        <x:v>1</x:v>
      </x:c>
      <x:c r="L1687" s="24" t="n">
        <x:v>18.78333333333333</x:v>
      </x:c>
      <x:c r="M1687" s="26" t="n">
        <x:v>0.1</x:v>
      </x:c>
      <x:c r="N1687" s="24" t="n">
        <x:v>12</x:v>
      </x:c>
      <x:c r="O1687" s="28" t="n">
        <x:f>MIN(1,L1687/I1687)</x:f>
        <x:v>0.04695833333333333</x:v>
      </x:c>
      <x:c r="P1687" s="30" t="n">
        <x:f>O1687*J1687*(1+M1687)</x:f>
        <x:v>0.05165416666666667</x:v>
      </x:c>
      <x:c r="Q1687" s="30" t="n">
        <x:f>P1687*N1687</x:f>
        <x:v>0.61985</x:v>
      </x:c>
      <x:c r="R1687" s="19" t="str">
        <x:v>独立判定</x:v>
      </x:c>
    </x:row>
    <x:row r="1688" ht="19" customHeight="1">
      <x:c r="A1688" s="19" t="str">
        <x:v>D01684</x:v>
      </x:c>
      <x:c r="B1688" s="19" t="n">
        <x:v>4</x:v>
      </x:c>
      <x:c r="C1688" s="19" t="n">
        <x:v>3</x:v>
      </x:c>
      <x:c r="D1688" s="19" t="str">
        <x:v>C04-M034</x:v>
      </x:c>
      <x:c r="E1688" s="19" t="str">
        <x:v>啃锚深渊鱼</x:v>
      </x:c>
      <x:c r="F1688" s="19" t="str">
        <x:v>稀有</x:v>
      </x:c>
      <x:c r="G1688" s="19" t="str">
        <x:v>材料独立候选</x:v>
      </x:c>
      <x:c r="H1688" s="19" t="str">
        <x:v>月潮忆珀</x:v>
      </x:c>
      <x:c r="I1688" s="22" t="n">
        <x:v>500000</x:v>
      </x:c>
      <x:c r="J1688" s="22" t="n">
        <x:v>1</x:v>
      </x:c>
      <x:c r="K1688" s="19" t="n">
        <x:v>1</x:v>
      </x:c>
      <x:c r="L1688" s="24" t="n">
        <x:v>18.78333333333333</x:v>
      </x:c>
      <x:c r="M1688" s="26" t="n">
        <x:v>0.1</x:v>
      </x:c>
      <x:c r="N1688" s="24" t="n">
        <x:v>12</x:v>
      </x:c>
      <x:c r="O1688" s="28" t="n">
        <x:f>MIN(1,L1688/I1688)</x:f>
        <x:v>0.00003756666666666666</x:v>
      </x:c>
      <x:c r="P1688" s="30" t="n">
        <x:f>O1688*J1688*(1+M1688)</x:f>
        <x:v>0.00004132333333333333</x:v>
      </x:c>
      <x:c r="Q1688" s="30" t="n">
        <x:f>P1688*N1688</x:f>
        <x:v>0.00049588</x:v>
      </x:c>
      <x:c r="R1688" s="19" t="str">
        <x:v>独立判定</x:v>
      </x:c>
    </x:row>
    <x:row r="1689" ht="19" customHeight="1">
      <x:c r="A1689" s="19" t="str">
        <x:v>D01685</x:v>
      </x:c>
      <x:c r="B1689" s="19" t="n">
        <x:v>4</x:v>
      </x:c>
      <x:c r="C1689" s="19" t="n">
        <x:v>3</x:v>
      </x:c>
      <x:c r="D1689" s="19" t="str">
        <x:v>C04-M034</x:v>
      </x:c>
      <x:c r="E1689" s="19" t="str">
        <x:v>啃锚深渊鱼</x:v>
      </x:c>
      <x:c r="F1689" s="19" t="str">
        <x:v>稀有</x:v>
      </x:c>
      <x:c r="G1689" s="19" t="str">
        <x:v>材料独立候选</x:v>
      </x:c>
      <x:c r="H1689" s="19" t="str">
        <x:v>黄金树芽</x:v>
      </x:c>
      <x:c r="I1689" s="22" t="n">
        <x:v>1800</x:v>
      </x:c>
      <x:c r="J1689" s="22" t="n">
        <x:v>1</x:v>
      </x:c>
      <x:c r="K1689" s="19" t="n">
        <x:v>1</x:v>
      </x:c>
      <x:c r="L1689" s="24" t="n">
        <x:v>18.78333333333333</x:v>
      </x:c>
      <x:c r="M1689" s="26" t="n">
        <x:v>0.1</x:v>
      </x:c>
      <x:c r="N1689" s="24" t="n">
        <x:v>12</x:v>
      </x:c>
      <x:c r="O1689" s="28" t="n">
        <x:f>MIN(1,L1689/I1689)</x:f>
        <x:v>0.010435185185185184</x:v>
      </x:c>
      <x:c r="P1689" s="30" t="n">
        <x:f>O1689*J1689*(1+M1689)</x:f>
        <x:v>0.011478703703703705</x:v>
      </x:c>
      <x:c r="Q1689" s="30" t="n">
        <x:f>P1689*N1689</x:f>
        <x:v>0.13774444444444445</x:v>
      </x:c>
      <x:c r="R1689" s="19" t="str">
        <x:v>独立判定</x:v>
      </x:c>
    </x:row>
    <x:row r="1690" ht="19" customHeight="1">
      <x:c r="A1690" s="19" t="str">
        <x:v>D01686</x:v>
      </x:c>
      <x:c r="B1690" s="19" t="n">
        <x:v>4</x:v>
      </x:c>
      <x:c r="C1690" s="19" t="n">
        <x:v>3</x:v>
      </x:c>
      <x:c r="D1690" s="19" t="str">
        <x:v>C04-M034</x:v>
      </x:c>
      <x:c r="E1690" s="19" t="str">
        <x:v>啃锚深渊鱼</x:v>
      </x:c>
      <x:c r="F1690" s="19" t="str">
        <x:v>稀有</x:v>
      </x:c>
      <x:c r="G1690" s="19" t="str">
        <x:v>材料独立候选</x:v>
      </x:c>
      <x:c r="H1690" s="19" t="str">
        <x:v>野兽骨片</x:v>
      </x:c>
      <x:c r="I1690" s="22" t="n">
        <x:v>60</x:v>
      </x:c>
      <x:c r="J1690" s="22" t="n">
        <x:v>2</x:v>
      </x:c>
      <x:c r="K1690" s="19" t="n">
        <x:v>1</x:v>
      </x:c>
      <x:c r="L1690" s="24" t="n">
        <x:v>18.78333333333333</x:v>
      </x:c>
      <x:c r="M1690" s="26" t="n">
        <x:v>0.1</x:v>
      </x:c>
      <x:c r="N1690" s="24" t="n">
        <x:v>12</x:v>
      </x:c>
      <x:c r="O1690" s="28" t="n">
        <x:f>MIN(1,L1690/I1690)</x:f>
        <x:v>0.31305555555555553</x:v>
      </x:c>
      <x:c r="P1690" s="30" t="n">
        <x:f>O1690*J1690*(1+M1690)</x:f>
        <x:v>0.6887222222222222</x:v>
      </x:c>
      <x:c r="Q1690" s="30" t="n">
        <x:f>P1690*N1690</x:f>
        <x:v>8.264666666666667</x:v>
      </x:c>
      <x:c r="R1690" s="19" t="str">
        <x:v>独立判定</x:v>
      </x:c>
    </x:row>
    <x:row r="1691" ht="19" customHeight="1">
      <x:c r="A1691" s="19" t="str">
        <x:v>D01687</x:v>
      </x:c>
      <x:c r="B1691" s="19" t="n">
        <x:v>4</x:v>
      </x:c>
      <x:c r="C1691" s="19" t="n">
        <x:v>3</x:v>
      </x:c>
      <x:c r="D1691" s="19" t="str">
        <x:v>C04-M034</x:v>
      </x:c>
      <x:c r="E1691" s="19" t="str">
        <x:v>啃锚深渊鱼</x:v>
      </x:c>
      <x:c r="F1691" s="19" t="str">
        <x:v>稀有</x:v>
      </x:c>
      <x:c r="G1691" s="19" t="str">
        <x:v>材料独立候选</x:v>
      </x:c>
      <x:c r="H1691" s="19" t="str">
        <x:v>技能残页</x:v>
      </x:c>
      <x:c r="I1691" s="22" t="n">
        <x:v>250</x:v>
      </x:c>
      <x:c r="J1691" s="22" t="n">
        <x:v>1</x:v>
      </x:c>
      <x:c r="K1691" s="19" t="n">
        <x:v>1</x:v>
      </x:c>
      <x:c r="L1691" s="24" t="n">
        <x:v>18.78333333333333</x:v>
      </x:c>
      <x:c r="M1691" s="26" t="n">
        <x:v>0.1</x:v>
      </x:c>
      <x:c r="N1691" s="24" t="n">
        <x:v>12</x:v>
      </x:c>
      <x:c r="O1691" s="28" t="n">
        <x:f>MIN(1,L1691/I1691)</x:f>
        <x:v>0.07513333333333333</x:v>
      </x:c>
      <x:c r="P1691" s="30" t="n">
        <x:f>O1691*J1691*(1+M1691)</x:f>
        <x:v>0.08264666666666667</x:v>
      </x:c>
      <x:c r="Q1691" s="30" t="n">
        <x:f>P1691*N1691</x:f>
        <x:v>0.9917600000000001</x:v>
      </x:c>
      <x:c r="R1691" s="19" t="str">
        <x:v>独立判定</x:v>
      </x:c>
    </x:row>
    <x:row r="1692" ht="19" customHeight="1">
      <x:c r="A1692" s="19" t="str">
        <x:v>D01688</x:v>
      </x:c>
      <x:c r="B1692" s="19" t="n">
        <x:v>4</x:v>
      </x:c>
      <x:c r="C1692" s="19" t="n">
        <x:v>3</x:v>
      </x:c>
      <x:c r="D1692" s="19" t="str">
        <x:v>C04-M034</x:v>
      </x:c>
      <x:c r="E1692" s="19" t="str">
        <x:v>啃锚深渊鱼</x:v>
      </x:c>
      <x:c r="F1692" s="19" t="str">
        <x:v>稀有</x:v>
      </x:c>
      <x:c r="G1692" s="19" t="str">
        <x:v>材料独立候选</x:v>
      </x:c>
      <x:c r="H1692" s="19" t="str">
        <x:v>小卢恩</x:v>
      </x:c>
      <x:c r="I1692" s="22" t="n">
        <x:v>500</x:v>
      </x:c>
      <x:c r="J1692" s="22" t="n">
        <x:v>1</x:v>
      </x:c>
      <x:c r="K1692" s="19" t="n">
        <x:v>1</x:v>
      </x:c>
      <x:c r="L1692" s="24" t="n">
        <x:v>18.78333333333333</x:v>
      </x:c>
      <x:c r="M1692" s="26" t="n">
        <x:v>0.1</x:v>
      </x:c>
      <x:c r="N1692" s="24" t="n">
        <x:v>12</x:v>
      </x:c>
      <x:c r="O1692" s="28" t="n">
        <x:f>MIN(1,L1692/I1692)</x:f>
        <x:v>0.037566666666666665</x:v>
      </x:c>
      <x:c r="P1692" s="30" t="n">
        <x:f>O1692*J1692*(1+M1692)</x:f>
        <x:v>0.04132333333333334</x:v>
      </x:c>
      <x:c r="Q1692" s="30" t="n">
        <x:f>P1692*N1692</x:f>
        <x:v>0.49588000000000004</x:v>
      </x:c>
      <x:c r="R1692" s="19" t="str">
        <x:v>独立判定</x:v>
      </x:c>
    </x:row>
    <x:row r="1693" ht="19" customHeight="1">
      <x:c r="A1693" s="19" t="str">
        <x:v>D01689</x:v>
      </x:c>
      <x:c r="B1693" s="19" t="n">
        <x:v>4</x:v>
      </x:c>
      <x:c r="C1693" s="19" t="n">
        <x:v>3</x:v>
      </x:c>
      <x:c r="D1693" s="19" t="str">
        <x:v>C04-M034</x:v>
      </x:c>
      <x:c r="E1693" s="19" t="str">
        <x:v>啃锚深渊鱼</x:v>
      </x:c>
      <x:c r="F1693" s="19" t="str">
        <x:v>稀有</x:v>
      </x:c>
      <x:c r="G1693" s="19" t="str">
        <x:v>六神器公共池</x:v>
      </x:c>
      <x:c r="H1693" s="19" t="str">
        <x:v>POOL006</x:v>
      </x:c>
      <x:c r="I1693" s="22" t="n">
        <x:v>5000000</x:v>
      </x:c>
      <x:c r="J1693" s="22" t="n">
        <x:v>1</x:v>
      </x:c>
      <x:c r="K1693" s="19" t="n">
        <x:v>6</x:v>
      </x:c>
      <x:c r="L1693" s="24" t="n">
        <x:v>18.78333333333333</x:v>
      </x:c>
      <x:c r="M1693" s="26" t="n">
        <x:v>0.1</x:v>
      </x:c>
      <x:c r="N1693" s="24" t="n">
        <x:v>12</x:v>
      </x:c>
      <x:c r="O1693" s="28" t="n">
        <x:f>MIN(1,L1693/I1693)</x:f>
        <x:v>0.000003756666666666666</x:v>
      </x:c>
      <x:c r="P1693" s="30" t="n">
        <x:f>O1693*J1693*(1+M1693)</x:f>
        <x:v>0.000004132333333333333</x:v>
      </x:c>
      <x:c r="Q1693" s="30" t="n">
        <x:f>P1693*N1693</x:f>
        <x:v>0.000049587999999999993</x:v>
      </x:c>
      <x:c r="R1693" s="19" t="str">
        <x:v>六选一；非6个独立爆率</x:v>
      </x:c>
    </x:row>
    <x:row r="1694" ht="19" customHeight="1">
      <x:c r="A1694" s="19" t="str">
        <x:v>D01690</x:v>
      </x:c>
      <x:c r="B1694" s="19" t="n">
        <x:v>4</x:v>
      </x:c>
      <x:c r="C1694" s="19" t="n">
        <x:v>3</x:v>
      </x:c>
      <x:c r="D1694" s="19" t="str">
        <x:v>C04-M035</x:v>
      </x:c>
      <x:c r="E1694" s="19" t="str">
        <x:v>锁舱船长·奥杜</x:v>
      </x:c>
      <x:c r="F1694" s="19" t="str">
        <x:v>地图BOSS</x:v>
      </x:c>
      <x:c r="G1694" s="19" t="str">
        <x:v>自身专属</x:v>
      </x:c>
      <x:c r="H1694" s="19" t="str">
        <x:v>奥杜的锁舱刀</x:v>
      </x:c>
      <x:c r="I1694" s="22" t="n">
        <x:v>50</x:v>
      </x:c>
      <x:c r="J1694" s="22" t="n">
        <x:v>1</x:v>
      </x:c>
      <x:c r="K1694" s="19" t="n">
        <x:v>1</x:v>
      </x:c>
      <x:c r="L1694" s="24" t="n">
        <x:v>18.78333333333333</x:v>
      </x:c>
      <x:c r="M1694" s="26" t="n">
        <x:v>0.1</x:v>
      </x:c>
      <x:c r="N1694" s="24" t="n">
        <x:v>2</x:v>
      </x:c>
      <x:c r="O1694" s="28" t="n">
        <x:f>MIN(1,L1694/I1694)</x:f>
        <x:v>0.37566666666666665</x:v>
      </x:c>
      <x:c r="P1694" s="30" t="n">
        <x:f>O1694*J1694*(1+M1694)</x:f>
        <x:v>0.41323333333333334</x:v>
      </x:c>
      <x:c r="Q1694" s="30" t="n">
        <x:f>P1694*N1694</x:f>
        <x:v>0.8264666666666667</x:v>
      </x:c>
      <x:c r="R1694" s="19" t="str">
        <x:v>独立判定</x:v>
      </x:c>
    </x:row>
    <x:row r="1695" ht="19" customHeight="1">
      <x:c r="A1695" s="19" t="str">
        <x:v>D01691</x:v>
      </x:c>
      <x:c r="B1695" s="19" t="n">
        <x:v>4</x:v>
      </x:c>
      <x:c r="C1695" s="19" t="n">
        <x:v>3</x:v>
      </x:c>
      <x:c r="D1695" s="19" t="str">
        <x:v>C04-M035</x:v>
      </x:c>
      <x:c r="E1695" s="19" t="str">
        <x:v>锁舱船长·奥杜</x:v>
      </x:c>
      <x:c r="F1695" s="19" t="str">
        <x:v>地图BOSS</x:v>
      </x:c>
      <x:c r="G1695" s="19" t="str">
        <x:v>本图普通兼掉候选</x:v>
      </x:c>
      <x:c r="H1695" s="19" t="str">
        <x:v>POOL028</x:v>
      </x:c>
      <x:c r="I1695" s="22" t="n">
        <x:v>50</x:v>
      </x:c>
      <x:c r="J1695" s="22" t="n">
        <x:v>1</x:v>
      </x:c>
      <x:c r="K1695" s="19" t="n">
        <x:v>2</x:v>
      </x:c>
      <x:c r="L1695" s="24" t="n">
        <x:v>18.78333333333333</x:v>
      </x:c>
      <x:c r="M1695" s="26" t="n">
        <x:v>0.1</x:v>
      </x:c>
      <x:c r="N1695" s="24" t="n">
        <x:v>2</x:v>
      </x:c>
      <x:c r="O1695" s="28" t="n">
        <x:f>MIN(1,L1695/I1695)</x:f>
        <x:v>0.37566666666666665</x:v>
      </x:c>
      <x:c r="P1695" s="30" t="n">
        <x:f>O1695*J1695*(1+M1695)</x:f>
        <x:v>0.41323333333333334</x:v>
      </x:c>
      <x:c r="Q1695" s="30" t="n">
        <x:f>P1695*N1695</x:f>
        <x:v>0.8264666666666667</x:v>
      </x:c>
      <x:c r="R1695" s="19" t="str">
        <x:v>单池选一</x:v>
      </x:c>
    </x:row>
    <x:row r="1696" ht="19" customHeight="1">
      <x:c r="A1696" s="19" t="str">
        <x:v>D01692</x:v>
      </x:c>
      <x:c r="B1696" s="19" t="n">
        <x:v>4</x:v>
      </x:c>
      <x:c r="C1696" s="19" t="n">
        <x:v>3</x:v>
      </x:c>
      <x:c r="D1696" s="19" t="str">
        <x:v>C04-M035</x:v>
      </x:c>
      <x:c r="E1696" s="19" t="str">
        <x:v>锁舱船长·奥杜</x:v>
      </x:c>
      <x:c r="F1696" s="19" t="str">
        <x:v>地图BOSS</x:v>
      </x:c>
      <x:c r="G1696" s="19" t="str">
        <x:v>材料独立候选</x:v>
      </x:c>
      <x:c r="H1696" s="19" t="str">
        <x:v>湖盐结晶</x:v>
      </x:c>
      <x:c r="I1696" s="22" t="n">
        <x:v>180</x:v>
      </x:c>
      <x:c r="J1696" s="22" t="n">
        <x:v>30</x:v>
      </x:c>
      <x:c r="K1696" s="19" t="n">
        <x:v>1</x:v>
      </x:c>
      <x:c r="L1696" s="24" t="n">
        <x:v>18.78333333333333</x:v>
      </x:c>
      <x:c r="M1696" s="26" t="n">
        <x:v>0.1</x:v>
      </x:c>
      <x:c r="N1696" s="24" t="n">
        <x:v>2</x:v>
      </x:c>
      <x:c r="O1696" s="28" t="n">
        <x:f>MIN(1,L1696/I1696)</x:f>
        <x:v>0.10435185185185183</x:v>
      </x:c>
      <x:c r="P1696" s="30" t="n">
        <x:f>O1696*J1696*(1+M1696)</x:f>
        <x:v>3.4436111111111107</x:v>
      </x:c>
      <x:c r="Q1696" s="30" t="n">
        <x:f>P1696*N1696</x:f>
        <x:v>6.8872222222222215</x:v>
      </x:c>
      <x:c r="R1696" s="19" t="str">
        <x:v>独立判定</x:v>
      </x:c>
    </x:row>
    <x:row r="1697" ht="19" customHeight="1">
      <x:c r="A1697" s="19" t="str">
        <x:v>D01693</x:v>
      </x:c>
      <x:c r="B1697" s="19" t="n">
        <x:v>4</x:v>
      </x:c>
      <x:c r="C1697" s="19" t="n">
        <x:v>3</x:v>
      </x:c>
      <x:c r="D1697" s="19" t="str">
        <x:v>C04-M035</x:v>
      </x:c>
      <x:c r="E1697" s="19" t="str">
        <x:v>锁舱船长·奥杜</x:v>
      </x:c>
      <x:c r="F1697" s="19" t="str">
        <x:v>地图BOSS</x:v>
      </x:c>
      <x:c r="G1697" s="19" t="str">
        <x:v>材料独立候选</x:v>
      </x:c>
      <x:c r="H1697" s="19" t="str">
        <x:v>幽船铆钉</x:v>
      </x:c>
      <x:c r="I1697" s="22" t="n">
        <x:v>500</x:v>
      </x:c>
      <x:c r="J1697" s="22" t="n">
        <x:v>1</x:v>
      </x:c>
      <x:c r="K1697" s="19" t="n">
        <x:v>1</x:v>
      </x:c>
      <x:c r="L1697" s="24" t="n">
        <x:v>18.78333333333333</x:v>
      </x:c>
      <x:c r="M1697" s="26" t="n">
        <x:v>0.1</x:v>
      </x:c>
      <x:c r="N1697" s="24" t="n">
        <x:v>2</x:v>
      </x:c>
      <x:c r="O1697" s="28" t="n">
        <x:f>MIN(1,L1697/I1697)</x:f>
        <x:v>0.037566666666666665</x:v>
      </x:c>
      <x:c r="P1697" s="30" t="n">
        <x:f>O1697*J1697*(1+M1697)</x:f>
        <x:v>0.04132333333333334</x:v>
      </x:c>
      <x:c r="Q1697" s="30" t="n">
        <x:f>P1697*N1697</x:f>
        <x:v>0.08264666666666667</x:v>
      </x:c>
      <x:c r="R1697" s="19" t="str">
        <x:v>独立判定</x:v>
      </x:c>
    </x:row>
    <x:row r="1698" ht="19" customHeight="1">
      <x:c r="A1698" s="19" t="str">
        <x:v>D01694</x:v>
      </x:c>
      <x:c r="B1698" s="19" t="n">
        <x:v>4</x:v>
      </x:c>
      <x:c r="C1698" s="19" t="n">
        <x:v>3</x:v>
      </x:c>
      <x:c r="D1698" s="19" t="str">
        <x:v>C04-M035</x:v>
      </x:c>
      <x:c r="E1698" s="19" t="str">
        <x:v>锁舱船长·奥杜</x:v>
      </x:c>
      <x:c r="F1698" s="19" t="str">
        <x:v>地图BOSS</x:v>
      </x:c>
      <x:c r="G1698" s="19" t="str">
        <x:v>材料独立候选</x:v>
      </x:c>
      <x:c r="H1698" s="19" t="str">
        <x:v>沉湖王印</x:v>
      </x:c>
      <x:c r="I1698" s="22" t="n">
        <x:v>80</x:v>
      </x:c>
      <x:c r="J1698" s="22" t="n">
        <x:v>2</x:v>
      </x:c>
      <x:c r="K1698" s="19" t="n">
        <x:v>1</x:v>
      </x:c>
      <x:c r="L1698" s="24" t="n">
        <x:v>18.78333333333333</x:v>
      </x:c>
      <x:c r="M1698" s="26" t="n">
        <x:v>0.1</x:v>
      </x:c>
      <x:c r="N1698" s="24" t="n">
        <x:v>2</x:v>
      </x:c>
      <x:c r="O1698" s="28" t="n">
        <x:f>MIN(1,L1698/I1698)</x:f>
        <x:v>0.23479166666666665</x:v>
      </x:c>
      <x:c r="P1698" s="30" t="n">
        <x:f>O1698*J1698*(1+M1698)</x:f>
        <x:v>0.5165416666666667</x:v>
      </x:c>
      <x:c r="Q1698" s="30" t="n">
        <x:f>P1698*N1698</x:f>
        <x:v>1.0330833333333334</x:v>
      </x:c>
      <x:c r="R1698" s="19" t="str">
        <x:v>独立判定</x:v>
      </x:c>
    </x:row>
    <x:row r="1699" ht="19" customHeight="1">
      <x:c r="A1699" s="19" t="str">
        <x:v>D01695</x:v>
      </x:c>
      <x:c r="B1699" s="19" t="n">
        <x:v>4</x:v>
      </x:c>
      <x:c r="C1699" s="19" t="n">
        <x:v>3</x:v>
      </x:c>
      <x:c r="D1699" s="19" t="str">
        <x:v>C04-M035</x:v>
      </x:c>
      <x:c r="E1699" s="19" t="str">
        <x:v>锁舱船长·奥杜</x:v>
      </x:c>
      <x:c r="F1699" s="19" t="str">
        <x:v>地图BOSS</x:v>
      </x:c>
      <x:c r="G1699" s="19" t="str">
        <x:v>材料独立候选</x:v>
      </x:c>
      <x:c r="H1699" s="19" t="str">
        <x:v>深湖压舱印</x:v>
      </x:c>
      <x:c r="I1699" s="22" t="n">
        <x:v>100</x:v>
      </x:c>
      <x:c r="J1699" s="22" t="n">
        <x:v>2</x:v>
      </x:c>
      <x:c r="K1699" s="19" t="n">
        <x:v>1</x:v>
      </x:c>
      <x:c r="L1699" s="24" t="n">
        <x:v>18.78333333333333</x:v>
      </x:c>
      <x:c r="M1699" s="26" t="n">
        <x:v>0.1</x:v>
      </x:c>
      <x:c r="N1699" s="24" t="n">
        <x:v>2</x:v>
      </x:c>
      <x:c r="O1699" s="28" t="n">
        <x:f>MIN(1,L1699/I1699)</x:f>
        <x:v>0.18783333333333332</x:v>
      </x:c>
      <x:c r="P1699" s="30" t="n">
        <x:f>O1699*J1699*(1+M1699)</x:f>
        <x:v>0.41323333333333334</x:v>
      </x:c>
      <x:c r="Q1699" s="30" t="n">
        <x:f>P1699*N1699</x:f>
        <x:v>0.8264666666666667</x:v>
      </x:c>
      <x:c r="R1699" s="19" t="str">
        <x:v>独立判定</x:v>
      </x:c>
    </x:row>
    <x:row r="1700" ht="19" customHeight="1">
      <x:c r="A1700" s="19" t="str">
        <x:v>D01696</x:v>
      </x:c>
      <x:c r="B1700" s="19" t="n">
        <x:v>4</x:v>
      </x:c>
      <x:c r="C1700" s="19" t="n">
        <x:v>3</x:v>
      </x:c>
      <x:c r="D1700" s="19" t="str">
        <x:v>C04-M035</x:v>
      </x:c>
      <x:c r="E1700" s="19" t="str">
        <x:v>锁舱船长·奥杜</x:v>
      </x:c>
      <x:c r="F1700" s="19" t="str">
        <x:v>地图BOSS</x:v>
      </x:c>
      <x:c r="G1700" s="19" t="str">
        <x:v>材料独立候选</x:v>
      </x:c>
      <x:c r="H1700" s="19" t="str">
        <x:v>月潮忆珀</x:v>
      </x:c>
      <x:c r="I1700" s="22" t="n">
        <x:v>300000</x:v>
      </x:c>
      <x:c r="J1700" s="22" t="n">
        <x:v>1</x:v>
      </x:c>
      <x:c r="K1700" s="19" t="n">
        <x:v>1</x:v>
      </x:c>
      <x:c r="L1700" s="24" t="n">
        <x:v>18.78333333333333</x:v>
      </x:c>
      <x:c r="M1700" s="26" t="n">
        <x:v>0.1</x:v>
      </x:c>
      <x:c r="N1700" s="24" t="n">
        <x:v>2</x:v>
      </x:c>
      <x:c r="O1700" s="28" t="n">
        <x:f>MIN(1,L1700/I1700)</x:f>
        <x:v>0.0000626111111111111</x:v>
      </x:c>
      <x:c r="P1700" s="30" t="n">
        <x:f>O1700*J1700*(1+M1700)</x:f>
        <x:v>0.00006887222222222222</x:v>
      </x:c>
      <x:c r="Q1700" s="30" t="n">
        <x:f>P1700*N1700</x:f>
        <x:v>0.00013774444444444444</x:v>
      </x:c>
      <x:c r="R1700" s="19" t="str">
        <x:v>独立判定</x:v>
      </x:c>
    </x:row>
    <x:row r="1701" ht="19" customHeight="1">
      <x:c r="A1701" s="19" t="str">
        <x:v>D01697</x:v>
      </x:c>
      <x:c r="B1701" s="19" t="n">
        <x:v>4</x:v>
      </x:c>
      <x:c r="C1701" s="19" t="n">
        <x:v>3</x:v>
      </x:c>
      <x:c r="D1701" s="19" t="str">
        <x:v>C04-M035</x:v>
      </x:c>
      <x:c r="E1701" s="19" t="str">
        <x:v>锁舱船长·奥杜</x:v>
      </x:c>
      <x:c r="F1701" s="19" t="str">
        <x:v>地图BOSS</x:v>
      </x:c>
      <x:c r="G1701" s="19" t="str">
        <x:v>材料独立候选</x:v>
      </x:c>
      <x:c r="H1701" s="19" t="str">
        <x:v>黄金树芽</x:v>
      </x:c>
      <x:c r="I1701" s="22" t="n">
        <x:v>800</x:v>
      </x:c>
      <x:c r="J1701" s="22" t="n">
        <x:v>1</x:v>
      </x:c>
      <x:c r="K1701" s="19" t="n">
        <x:v>1</x:v>
      </x:c>
      <x:c r="L1701" s="24" t="n">
        <x:v>18.78333333333333</x:v>
      </x:c>
      <x:c r="M1701" s="26" t="n">
        <x:v>0.1</x:v>
      </x:c>
      <x:c r="N1701" s="24" t="n">
        <x:v>2</x:v>
      </x:c>
      <x:c r="O1701" s="28" t="n">
        <x:f>MIN(1,L1701/I1701)</x:f>
        <x:v>0.023479166666666666</x:v>
      </x:c>
      <x:c r="P1701" s="30" t="n">
        <x:f>O1701*J1701*(1+M1701)</x:f>
        <x:v>0.025827083333333334</x:v>
      </x:c>
      <x:c r="Q1701" s="30" t="n">
        <x:f>P1701*N1701</x:f>
        <x:v>0.05165416666666667</x:v>
      </x:c>
      <x:c r="R1701" s="19" t="str">
        <x:v>独立判定</x:v>
      </x:c>
    </x:row>
    <x:row r="1702" ht="19" customHeight="1">
      <x:c r="A1702" s="19" t="str">
        <x:v>D01698</x:v>
      </x:c>
      <x:c r="B1702" s="19" t="n">
        <x:v>4</x:v>
      </x:c>
      <x:c r="C1702" s="19" t="n">
        <x:v>3</x:v>
      </x:c>
      <x:c r="D1702" s="19" t="str">
        <x:v>C04-M035</x:v>
      </x:c>
      <x:c r="E1702" s="19" t="str">
        <x:v>锁舱船长·奥杜</x:v>
      </x:c>
      <x:c r="F1702" s="19" t="str">
        <x:v>地图BOSS</x:v>
      </x:c>
      <x:c r="G1702" s="19" t="str">
        <x:v>材料独立候选</x:v>
      </x:c>
      <x:c r="H1702" s="19" t="str">
        <x:v>野兽骨片</x:v>
      </x:c>
      <x:c r="I1702" s="22" t="n">
        <x:v>30</x:v>
      </x:c>
      <x:c r="J1702" s="22" t="n">
        <x:v>2</x:v>
      </x:c>
      <x:c r="K1702" s="19" t="n">
        <x:v>1</x:v>
      </x:c>
      <x:c r="L1702" s="24" t="n">
        <x:v>18.78333333333333</x:v>
      </x:c>
      <x:c r="M1702" s="26" t="n">
        <x:v>0.1</x:v>
      </x:c>
      <x:c r="N1702" s="24" t="n">
        <x:v>2</x:v>
      </x:c>
      <x:c r="O1702" s="28" t="n">
        <x:f>MIN(1,L1702/I1702)</x:f>
        <x:v>0.6261111111111111</x:v>
      </x:c>
      <x:c r="P1702" s="30" t="n">
        <x:f>O1702*J1702*(1+M1702)</x:f>
        <x:v>1.3774444444444445</x:v>
      </x:c>
      <x:c r="Q1702" s="30" t="n">
        <x:f>P1702*N1702</x:f>
        <x:v>2.754888888888889</x:v>
      </x:c>
      <x:c r="R1702" s="19" t="str">
        <x:v>独立判定</x:v>
      </x:c>
    </x:row>
    <x:row r="1703" ht="19" customHeight="1">
      <x:c r="A1703" s="19" t="str">
        <x:v>D01699</x:v>
      </x:c>
      <x:c r="B1703" s="19" t="n">
        <x:v>4</x:v>
      </x:c>
      <x:c r="C1703" s="19" t="n">
        <x:v>3</x:v>
      </x:c>
      <x:c r="D1703" s="19" t="str">
        <x:v>C04-M035</x:v>
      </x:c>
      <x:c r="E1703" s="19" t="str">
        <x:v>锁舱船长·奥杜</x:v>
      </x:c>
      <x:c r="F1703" s="19" t="str">
        <x:v>地图BOSS</x:v>
      </x:c>
      <x:c r="G1703" s="19" t="str">
        <x:v>材料独立候选</x:v>
      </x:c>
      <x:c r="H1703" s="19" t="str">
        <x:v>技能残页</x:v>
      </x:c>
      <x:c r="I1703" s="22" t="n">
        <x:v>150</x:v>
      </x:c>
      <x:c r="J1703" s="22" t="n">
        <x:v>1</x:v>
      </x:c>
      <x:c r="K1703" s="19" t="n">
        <x:v>1</x:v>
      </x:c>
      <x:c r="L1703" s="24" t="n">
        <x:v>18.78333333333333</x:v>
      </x:c>
      <x:c r="M1703" s="26" t="n">
        <x:v>0.1</x:v>
      </x:c>
      <x:c r="N1703" s="24" t="n">
        <x:v>2</x:v>
      </x:c>
      <x:c r="O1703" s="28" t="n">
        <x:f>MIN(1,L1703/I1703)</x:f>
        <x:v>0.1252222222222222</x:v>
      </x:c>
      <x:c r="P1703" s="30" t="n">
        <x:f>O1703*J1703*(1+M1703)</x:f>
        <x:v>0.13774444444444445</x:v>
      </x:c>
      <x:c r="Q1703" s="30" t="n">
        <x:f>P1703*N1703</x:f>
        <x:v>0.2754888888888889</x:v>
      </x:c>
      <x:c r="R1703" s="19" t="str">
        <x:v>独立判定</x:v>
      </x:c>
    </x:row>
    <x:row r="1704" ht="19" customHeight="1">
      <x:c r="A1704" s="19" t="str">
        <x:v>D01700</x:v>
      </x:c>
      <x:c r="B1704" s="19" t="n">
        <x:v>4</x:v>
      </x:c>
      <x:c r="C1704" s="19" t="n">
        <x:v>3</x:v>
      </x:c>
      <x:c r="D1704" s="19" t="str">
        <x:v>C04-M035</x:v>
      </x:c>
      <x:c r="E1704" s="19" t="str">
        <x:v>锁舱船长·奥杜</x:v>
      </x:c>
      <x:c r="F1704" s="19" t="str">
        <x:v>地图BOSS</x:v>
      </x:c>
      <x:c r="G1704" s="19" t="str">
        <x:v>材料独立候选</x:v>
      </x:c>
      <x:c r="H1704" s="19" t="str">
        <x:v>宁姆格福誓页</x:v>
      </x:c>
      <x:c r="I1704" s="22" t="n">
        <x:v>250</x:v>
      </x:c>
      <x:c r="J1704" s="22" t="n">
        <x:v>1</x:v>
      </x:c>
      <x:c r="K1704" s="19" t="n">
        <x:v>1</x:v>
      </x:c>
      <x:c r="L1704" s="24" t="n">
        <x:v>18.78333333333333</x:v>
      </x:c>
      <x:c r="M1704" s="26" t="n">
        <x:v>0.1</x:v>
      </x:c>
      <x:c r="N1704" s="24" t="n">
        <x:v>2</x:v>
      </x:c>
      <x:c r="O1704" s="28" t="n">
        <x:f>MIN(1,L1704/I1704)</x:f>
        <x:v>0.07513333333333333</x:v>
      </x:c>
      <x:c r="P1704" s="30" t="n">
        <x:f>O1704*J1704*(1+M1704)</x:f>
        <x:v>0.08264666666666667</x:v>
      </x:c>
      <x:c r="Q1704" s="30" t="n">
        <x:f>P1704*N1704</x:f>
        <x:v>0.16529333333333335</x:v>
      </x:c>
      <x:c r="R1704" s="19" t="str">
        <x:v>独立判定</x:v>
      </x:c>
    </x:row>
    <x:row r="1705" ht="19" customHeight="1">
      <x:c r="A1705" s="19" t="str">
        <x:v>D01701</x:v>
      </x:c>
      <x:c r="B1705" s="19" t="n">
        <x:v>4</x:v>
      </x:c>
      <x:c r="C1705" s="19" t="n">
        <x:v>3</x:v>
      </x:c>
      <x:c r="D1705" s="19" t="str">
        <x:v>C04-M035</x:v>
      </x:c>
      <x:c r="E1705" s="19" t="str">
        <x:v>锁舱船长·奥杜</x:v>
      </x:c>
      <x:c r="F1705" s="19" t="str">
        <x:v>地图BOSS</x:v>
      </x:c>
      <x:c r="G1705" s="19" t="str">
        <x:v>材料独立候选</x:v>
      </x:c>
      <x:c r="H1705" s="19" t="str">
        <x:v>小卢恩</x:v>
      </x:c>
      <x:c r="I1705" s="22" t="n">
        <x:v>250</x:v>
      </x:c>
      <x:c r="J1705" s="22" t="n">
        <x:v>1</x:v>
      </x:c>
      <x:c r="K1705" s="19" t="n">
        <x:v>1</x:v>
      </x:c>
      <x:c r="L1705" s="24" t="n">
        <x:v>18.78333333333333</x:v>
      </x:c>
      <x:c r="M1705" s="26" t="n">
        <x:v>0.1</x:v>
      </x:c>
      <x:c r="N1705" s="24" t="n">
        <x:v>2</x:v>
      </x:c>
      <x:c r="O1705" s="28" t="n">
        <x:f>MIN(1,L1705/I1705)</x:f>
        <x:v>0.07513333333333333</x:v>
      </x:c>
      <x:c r="P1705" s="30" t="n">
        <x:f>O1705*J1705*(1+M1705)</x:f>
        <x:v>0.08264666666666667</x:v>
      </x:c>
      <x:c r="Q1705" s="30" t="n">
        <x:f>P1705*N1705</x:f>
        <x:v>0.16529333333333335</x:v>
      </x:c>
      <x:c r="R1705" s="19" t="str">
        <x:v>独立判定</x:v>
      </x:c>
    </x:row>
    <x:row r="1706" ht="19" customHeight="1">
      <x:c r="A1706" s="19" t="str">
        <x:v>D01702</x:v>
      </x:c>
      <x:c r="B1706" s="19" t="n">
        <x:v>4</x:v>
      </x:c>
      <x:c r="C1706" s="19" t="n">
        <x:v>3</x:v>
      </x:c>
      <x:c r="D1706" s="19" t="str">
        <x:v>C04-M035</x:v>
      </x:c>
      <x:c r="E1706" s="19" t="str">
        <x:v>锁舱船长·奥杜</x:v>
      </x:c>
      <x:c r="F1706" s="19" t="str">
        <x:v>地图BOSS</x:v>
      </x:c>
      <x:c r="G1706" s="19" t="str">
        <x:v>材料独立候选</x:v>
      </x:c>
      <x:c r="H1706" s="19" t="str">
        <x:v>大卢恩</x:v>
      </x:c>
      <x:c r="I1706" s="22" t="n">
        <x:v>180</x:v>
      </x:c>
      <x:c r="J1706" s="22" t="n">
        <x:v>1</x:v>
      </x:c>
      <x:c r="K1706" s="19" t="n">
        <x:v>1</x:v>
      </x:c>
      <x:c r="L1706" s="24" t="n">
        <x:v>18.78333333333333</x:v>
      </x:c>
      <x:c r="M1706" s="26" t="n">
        <x:v>0.1</x:v>
      </x:c>
      <x:c r="N1706" s="24" t="n">
        <x:v>2</x:v>
      </x:c>
      <x:c r="O1706" s="28" t="n">
        <x:f>MIN(1,L1706/I1706)</x:f>
        <x:v>0.10435185185185183</x:v>
      </x:c>
      <x:c r="P1706" s="30" t="n">
        <x:f>O1706*J1706*(1+M1706)</x:f>
        <x:v>0.11478703703703702</x:v>
      </x:c>
      <x:c r="Q1706" s="30" t="n">
        <x:f>P1706*N1706</x:f>
        <x:v>0.22957407407407404</x:v>
      </x:c>
      <x:c r="R1706" s="19" t="str">
        <x:v>独立判定</x:v>
      </x:c>
    </x:row>
    <x:row r="1707" ht="19" customHeight="1">
      <x:c r="A1707" s="19" t="str">
        <x:v>D01703</x:v>
      </x:c>
      <x:c r="B1707" s="19" t="n">
        <x:v>4</x:v>
      </x:c>
      <x:c r="C1707" s="19" t="n">
        <x:v>3</x:v>
      </x:c>
      <x:c r="D1707" s="19" t="str">
        <x:v>C04-M035</x:v>
      </x:c>
      <x:c r="E1707" s="19" t="str">
        <x:v>锁舱船长·奥杜</x:v>
      </x:c>
      <x:c r="F1707" s="19" t="str">
        <x:v>地图BOSS</x:v>
      </x:c>
      <x:c r="G1707" s="19" t="str">
        <x:v>六神器公共池</x:v>
      </x:c>
      <x:c r="H1707" s="19" t="str">
        <x:v>POOL006</x:v>
      </x:c>
      <x:c r="I1707" s="22" t="n">
        <x:v>200000</x:v>
      </x:c>
      <x:c r="J1707" s="22" t="n">
        <x:v>1</x:v>
      </x:c>
      <x:c r="K1707" s="19" t="n">
        <x:v>6</x:v>
      </x:c>
      <x:c r="L1707" s="24" t="n">
        <x:v>18.78333333333333</x:v>
      </x:c>
      <x:c r="M1707" s="26" t="n">
        <x:v>0.1</x:v>
      </x:c>
      <x:c r="N1707" s="24" t="n">
        <x:v>2</x:v>
      </x:c>
      <x:c r="O1707" s="28" t="n">
        <x:f>MIN(1,L1707/I1707)</x:f>
        <x:v>0.00009391666666666665</x:v>
      </x:c>
      <x:c r="P1707" s="30" t="n">
        <x:f>O1707*J1707*(1+M1707)</x:f>
        <x:v>0.00010330833333333333</x:v>
      </x:c>
      <x:c r="Q1707" s="30" t="n">
        <x:f>P1707*N1707</x:f>
        <x:v>0.00020661666666666666</x:v>
      </x:c>
      <x:c r="R1707" s="19" t="str">
        <x:v>六选一；非6个独立爆率</x:v>
      </x:c>
    </x:row>
    <x:row r="1708" ht="19" customHeight="1">
      <x:c r="A1708" s="19" t="str">
        <x:v>D01704</x:v>
      </x:c>
      <x:c r="B1708" s="19" t="n">
        <x:v>4</x:v>
      </x:c>
      <x:c r="C1708" s="19" t="n">
        <x:v>3</x:v>
      </x:c>
      <x:c r="D1708" s="19" t="str">
        <x:v>C04-M036</x:v>
      </x:c>
      <x:c r="E1708" s="19" t="str">
        <x:v>亡舟新娘·伊蕾莎</x:v>
      </x:c>
      <x:c r="F1708" s="19" t="str">
        <x:v>地图BOSS</x:v>
      </x:c>
      <x:c r="G1708" s="19" t="str">
        <x:v>自身专属</x:v>
      </x:c>
      <x:c r="H1708" s="19" t="str">
        <x:v>伊蕾莎潮婚衣</x:v>
      </x:c>
      <x:c r="I1708" s="22" t="n">
        <x:v>100</x:v>
      </x:c>
      <x:c r="J1708" s="22" t="n">
        <x:v>1</x:v>
      </x:c>
      <x:c r="K1708" s="19" t="n">
        <x:v>1</x:v>
      </x:c>
      <x:c r="L1708" s="24" t="n">
        <x:v>18.78333333333333</x:v>
      </x:c>
      <x:c r="M1708" s="26" t="n">
        <x:v>0.1</x:v>
      </x:c>
      <x:c r="N1708" s="24" t="n">
        <x:v>2</x:v>
      </x:c>
      <x:c r="O1708" s="28" t="n">
        <x:f>MIN(1,L1708/I1708)</x:f>
        <x:v>0.18783333333333332</x:v>
      </x:c>
      <x:c r="P1708" s="30" t="n">
        <x:f>O1708*J1708*(1+M1708)</x:f>
        <x:v>0.20661666666666667</x:v>
      </x:c>
      <x:c r="Q1708" s="30" t="n">
        <x:f>P1708*N1708</x:f>
        <x:v>0.41323333333333334</x:v>
      </x:c>
      <x:c r="R1708" s="19" t="str">
        <x:v>独立判定</x:v>
      </x:c>
    </x:row>
    <x:row r="1709" ht="19" customHeight="1">
      <x:c r="A1709" s="19" t="str">
        <x:v>D01705</x:v>
      </x:c>
      <x:c r="B1709" s="19" t="n">
        <x:v>4</x:v>
      </x:c>
      <x:c r="C1709" s="19" t="n">
        <x:v>3</x:v>
      </x:c>
      <x:c r="D1709" s="19" t="str">
        <x:v>C04-M036</x:v>
      </x:c>
      <x:c r="E1709" s="19" t="str">
        <x:v>亡舟新娘·伊蕾莎</x:v>
      </x:c>
      <x:c r="F1709" s="19" t="str">
        <x:v>地图BOSS</x:v>
      </x:c>
      <x:c r="G1709" s="19" t="str">
        <x:v>自身专属</x:v>
      </x:c>
      <x:c r="H1709" s="19" t="str">
        <x:v>回流锁腕</x:v>
      </x:c>
      <x:c r="I1709" s="22" t="n">
        <x:v>100</x:v>
      </x:c>
      <x:c r="J1709" s="22" t="n">
        <x:v>1</x:v>
      </x:c>
      <x:c r="K1709" s="19" t="n">
        <x:v>1</x:v>
      </x:c>
      <x:c r="L1709" s="24" t="n">
        <x:v>18.78333333333333</x:v>
      </x:c>
      <x:c r="M1709" s="26" t="n">
        <x:v>0.1</x:v>
      </x:c>
      <x:c r="N1709" s="24" t="n">
        <x:v>2</x:v>
      </x:c>
      <x:c r="O1709" s="28" t="n">
        <x:f>MIN(1,L1709/I1709)</x:f>
        <x:v>0.18783333333333332</x:v>
      </x:c>
      <x:c r="P1709" s="30" t="n">
        <x:f>O1709*J1709*(1+M1709)</x:f>
        <x:v>0.20661666666666667</x:v>
      </x:c>
      <x:c r="Q1709" s="30" t="n">
        <x:f>P1709*N1709</x:f>
        <x:v>0.41323333333333334</x:v>
      </x:c>
      <x:c r="R1709" s="19" t="str">
        <x:v>独立判定</x:v>
      </x:c>
    </x:row>
    <x:row r="1710" ht="19" customHeight="1">
      <x:c r="A1710" s="19" t="str">
        <x:v>D01706</x:v>
      </x:c>
      <x:c r="B1710" s="19" t="n">
        <x:v>4</x:v>
      </x:c>
      <x:c r="C1710" s="19" t="n">
        <x:v>3</x:v>
      </x:c>
      <x:c r="D1710" s="19" t="str">
        <x:v>C04-M036</x:v>
      </x:c>
      <x:c r="E1710" s="19" t="str">
        <x:v>亡舟新娘·伊蕾莎</x:v>
      </x:c>
      <x:c r="F1710" s="19" t="str">
        <x:v>地图BOSS</x:v>
      </x:c>
      <x:c r="G1710" s="19" t="str">
        <x:v>本图普通兼掉候选</x:v>
      </x:c>
      <x:c r="H1710" s="19" t="str">
        <x:v>POOL029</x:v>
      </x:c>
      <x:c r="I1710" s="22" t="n">
        <x:v>50</x:v>
      </x:c>
      <x:c r="J1710" s="22" t="n">
        <x:v>1</x:v>
      </x:c>
      <x:c r="K1710" s="19" t="n">
        <x:v>2</x:v>
      </x:c>
      <x:c r="L1710" s="24" t="n">
        <x:v>18.78333333333333</x:v>
      </x:c>
      <x:c r="M1710" s="26" t="n">
        <x:v>0.1</x:v>
      </x:c>
      <x:c r="N1710" s="24" t="n">
        <x:v>2</x:v>
      </x:c>
      <x:c r="O1710" s="28" t="n">
        <x:f>MIN(1,L1710/I1710)</x:f>
        <x:v>0.37566666666666665</x:v>
      </x:c>
      <x:c r="P1710" s="30" t="n">
        <x:f>O1710*J1710*(1+M1710)</x:f>
        <x:v>0.41323333333333334</x:v>
      </x:c>
      <x:c r="Q1710" s="30" t="n">
        <x:f>P1710*N1710</x:f>
        <x:v>0.8264666666666667</x:v>
      </x:c>
      <x:c r="R1710" s="19" t="str">
        <x:v>单池选一</x:v>
      </x:c>
    </x:row>
    <x:row r="1711" ht="19" customHeight="1">
      <x:c r="A1711" s="19" t="str">
        <x:v>D01707</x:v>
      </x:c>
      <x:c r="B1711" s="19" t="n">
        <x:v>4</x:v>
      </x:c>
      <x:c r="C1711" s="19" t="n">
        <x:v>3</x:v>
      </x:c>
      <x:c r="D1711" s="19" t="str">
        <x:v>C04-M036</x:v>
      </x:c>
      <x:c r="E1711" s="19" t="str">
        <x:v>亡舟新娘·伊蕾莎</x:v>
      </x:c>
      <x:c r="F1711" s="19" t="str">
        <x:v>地图BOSS</x:v>
      </x:c>
      <x:c r="G1711" s="19" t="str">
        <x:v>材料独立候选</x:v>
      </x:c>
      <x:c r="H1711" s="19" t="str">
        <x:v>湖盐结晶</x:v>
      </x:c>
      <x:c r="I1711" s="22" t="n">
        <x:v>180</x:v>
      </x:c>
      <x:c r="J1711" s="22" t="n">
        <x:v>30</x:v>
      </x:c>
      <x:c r="K1711" s="19" t="n">
        <x:v>1</x:v>
      </x:c>
      <x:c r="L1711" s="24" t="n">
        <x:v>18.78333333333333</x:v>
      </x:c>
      <x:c r="M1711" s="26" t="n">
        <x:v>0.1</x:v>
      </x:c>
      <x:c r="N1711" s="24" t="n">
        <x:v>2</x:v>
      </x:c>
      <x:c r="O1711" s="28" t="n">
        <x:f>MIN(1,L1711/I1711)</x:f>
        <x:v>0.10435185185185183</x:v>
      </x:c>
      <x:c r="P1711" s="30" t="n">
        <x:f>O1711*J1711*(1+M1711)</x:f>
        <x:v>3.4436111111111107</x:v>
      </x:c>
      <x:c r="Q1711" s="30" t="n">
        <x:f>P1711*N1711</x:f>
        <x:v>6.8872222222222215</x:v>
      </x:c>
      <x:c r="R1711" s="19" t="str">
        <x:v>独立判定</x:v>
      </x:c>
    </x:row>
    <x:row r="1712" ht="19" customHeight="1">
      <x:c r="A1712" s="19" t="str">
        <x:v>D01708</x:v>
      </x:c>
      <x:c r="B1712" s="19" t="n">
        <x:v>4</x:v>
      </x:c>
      <x:c r="C1712" s="19" t="n">
        <x:v>3</x:v>
      </x:c>
      <x:c r="D1712" s="19" t="str">
        <x:v>C04-M036</x:v>
      </x:c>
      <x:c r="E1712" s="19" t="str">
        <x:v>亡舟新娘·伊蕾莎</x:v>
      </x:c>
      <x:c r="F1712" s="19" t="str">
        <x:v>地图BOSS</x:v>
      </x:c>
      <x:c r="G1712" s="19" t="str">
        <x:v>材料独立候选</x:v>
      </x:c>
      <x:c r="H1712" s="19" t="str">
        <x:v>幽船铆钉</x:v>
      </x:c>
      <x:c r="I1712" s="22" t="n">
        <x:v>500</x:v>
      </x:c>
      <x:c r="J1712" s="22" t="n">
        <x:v>1</x:v>
      </x:c>
      <x:c r="K1712" s="19" t="n">
        <x:v>1</x:v>
      </x:c>
      <x:c r="L1712" s="24" t="n">
        <x:v>18.78333333333333</x:v>
      </x:c>
      <x:c r="M1712" s="26" t="n">
        <x:v>0.1</x:v>
      </x:c>
      <x:c r="N1712" s="24" t="n">
        <x:v>2</x:v>
      </x:c>
      <x:c r="O1712" s="28" t="n">
        <x:f>MIN(1,L1712/I1712)</x:f>
        <x:v>0.037566666666666665</x:v>
      </x:c>
      <x:c r="P1712" s="30" t="n">
        <x:f>O1712*J1712*(1+M1712)</x:f>
        <x:v>0.04132333333333334</x:v>
      </x:c>
      <x:c r="Q1712" s="30" t="n">
        <x:f>P1712*N1712</x:f>
        <x:v>0.08264666666666667</x:v>
      </x:c>
      <x:c r="R1712" s="19" t="str">
        <x:v>独立判定</x:v>
      </x:c>
    </x:row>
    <x:row r="1713" ht="19" customHeight="1">
      <x:c r="A1713" s="19" t="str">
        <x:v>D01709</x:v>
      </x:c>
      <x:c r="B1713" s="19" t="n">
        <x:v>4</x:v>
      </x:c>
      <x:c r="C1713" s="19" t="n">
        <x:v>3</x:v>
      </x:c>
      <x:c r="D1713" s="19" t="str">
        <x:v>C04-M036</x:v>
      </x:c>
      <x:c r="E1713" s="19" t="str">
        <x:v>亡舟新娘·伊蕾莎</x:v>
      </x:c>
      <x:c r="F1713" s="19" t="str">
        <x:v>地图BOSS</x:v>
      </x:c>
      <x:c r="G1713" s="19" t="str">
        <x:v>材料独立候选</x:v>
      </x:c>
      <x:c r="H1713" s="19" t="str">
        <x:v>沉湖王印</x:v>
      </x:c>
      <x:c r="I1713" s="22" t="n">
        <x:v>80</x:v>
      </x:c>
      <x:c r="J1713" s="22" t="n">
        <x:v>2</x:v>
      </x:c>
      <x:c r="K1713" s="19" t="n">
        <x:v>1</x:v>
      </x:c>
      <x:c r="L1713" s="24" t="n">
        <x:v>18.78333333333333</x:v>
      </x:c>
      <x:c r="M1713" s="26" t="n">
        <x:v>0.1</x:v>
      </x:c>
      <x:c r="N1713" s="24" t="n">
        <x:v>2</x:v>
      </x:c>
      <x:c r="O1713" s="28" t="n">
        <x:f>MIN(1,L1713/I1713)</x:f>
        <x:v>0.23479166666666665</x:v>
      </x:c>
      <x:c r="P1713" s="30" t="n">
        <x:f>O1713*J1713*(1+M1713)</x:f>
        <x:v>0.5165416666666667</x:v>
      </x:c>
      <x:c r="Q1713" s="30" t="n">
        <x:f>P1713*N1713</x:f>
        <x:v>1.0330833333333334</x:v>
      </x:c>
      <x:c r="R1713" s="19" t="str">
        <x:v>独立判定</x:v>
      </x:c>
    </x:row>
    <x:row r="1714" ht="19" customHeight="1">
      <x:c r="A1714" s="19" t="str">
        <x:v>D01710</x:v>
      </x:c>
      <x:c r="B1714" s="19" t="n">
        <x:v>4</x:v>
      </x:c>
      <x:c r="C1714" s="19" t="n">
        <x:v>3</x:v>
      </x:c>
      <x:c r="D1714" s="19" t="str">
        <x:v>C04-M036</x:v>
      </x:c>
      <x:c r="E1714" s="19" t="str">
        <x:v>亡舟新娘·伊蕾莎</x:v>
      </x:c>
      <x:c r="F1714" s="19" t="str">
        <x:v>地图BOSS</x:v>
      </x:c>
      <x:c r="G1714" s="19" t="str">
        <x:v>材料独立候选</x:v>
      </x:c>
      <x:c r="H1714" s="19" t="str">
        <x:v>深湖压舱印</x:v>
      </x:c>
      <x:c r="I1714" s="22" t="n">
        <x:v>100</x:v>
      </x:c>
      <x:c r="J1714" s="22" t="n">
        <x:v>2</x:v>
      </x:c>
      <x:c r="K1714" s="19" t="n">
        <x:v>1</x:v>
      </x:c>
      <x:c r="L1714" s="24" t="n">
        <x:v>18.78333333333333</x:v>
      </x:c>
      <x:c r="M1714" s="26" t="n">
        <x:v>0.1</x:v>
      </x:c>
      <x:c r="N1714" s="24" t="n">
        <x:v>2</x:v>
      </x:c>
      <x:c r="O1714" s="28" t="n">
        <x:f>MIN(1,L1714/I1714)</x:f>
        <x:v>0.18783333333333332</x:v>
      </x:c>
      <x:c r="P1714" s="30" t="n">
        <x:f>O1714*J1714*(1+M1714)</x:f>
        <x:v>0.41323333333333334</x:v>
      </x:c>
      <x:c r="Q1714" s="30" t="n">
        <x:f>P1714*N1714</x:f>
        <x:v>0.8264666666666667</x:v>
      </x:c>
      <x:c r="R1714" s="19" t="str">
        <x:v>独立判定</x:v>
      </x:c>
    </x:row>
    <x:row r="1715" ht="19" customHeight="1">
      <x:c r="A1715" s="19" t="str">
        <x:v>D01711</x:v>
      </x:c>
      <x:c r="B1715" s="19" t="n">
        <x:v>4</x:v>
      </x:c>
      <x:c r="C1715" s="19" t="n">
        <x:v>3</x:v>
      </x:c>
      <x:c r="D1715" s="19" t="str">
        <x:v>C04-M036</x:v>
      </x:c>
      <x:c r="E1715" s="19" t="str">
        <x:v>亡舟新娘·伊蕾莎</x:v>
      </x:c>
      <x:c r="F1715" s="19" t="str">
        <x:v>地图BOSS</x:v>
      </x:c>
      <x:c r="G1715" s="19" t="str">
        <x:v>材料独立候选</x:v>
      </x:c>
      <x:c r="H1715" s="19" t="str">
        <x:v>月潮忆珀</x:v>
      </x:c>
      <x:c r="I1715" s="22" t="n">
        <x:v>300000</x:v>
      </x:c>
      <x:c r="J1715" s="22" t="n">
        <x:v>1</x:v>
      </x:c>
      <x:c r="K1715" s="19" t="n">
        <x:v>1</x:v>
      </x:c>
      <x:c r="L1715" s="24" t="n">
        <x:v>18.78333333333333</x:v>
      </x:c>
      <x:c r="M1715" s="26" t="n">
        <x:v>0.1</x:v>
      </x:c>
      <x:c r="N1715" s="24" t="n">
        <x:v>2</x:v>
      </x:c>
      <x:c r="O1715" s="28" t="n">
        <x:f>MIN(1,L1715/I1715)</x:f>
        <x:v>0.0000626111111111111</x:v>
      </x:c>
      <x:c r="P1715" s="30" t="n">
        <x:f>O1715*J1715*(1+M1715)</x:f>
        <x:v>0.00006887222222222222</x:v>
      </x:c>
      <x:c r="Q1715" s="30" t="n">
        <x:f>P1715*N1715</x:f>
        <x:v>0.00013774444444444444</x:v>
      </x:c>
      <x:c r="R1715" s="19" t="str">
        <x:v>独立判定</x:v>
      </x:c>
    </x:row>
    <x:row r="1716" ht="19" customHeight="1">
      <x:c r="A1716" s="19" t="str">
        <x:v>D01712</x:v>
      </x:c>
      <x:c r="B1716" s="19" t="n">
        <x:v>4</x:v>
      </x:c>
      <x:c r="C1716" s="19" t="n">
        <x:v>3</x:v>
      </x:c>
      <x:c r="D1716" s="19" t="str">
        <x:v>C04-M036</x:v>
      </x:c>
      <x:c r="E1716" s="19" t="str">
        <x:v>亡舟新娘·伊蕾莎</x:v>
      </x:c>
      <x:c r="F1716" s="19" t="str">
        <x:v>地图BOSS</x:v>
      </x:c>
      <x:c r="G1716" s="19" t="str">
        <x:v>材料独立候选</x:v>
      </x:c>
      <x:c r="H1716" s="19" t="str">
        <x:v>黄金树芽</x:v>
      </x:c>
      <x:c r="I1716" s="22" t="n">
        <x:v>800</x:v>
      </x:c>
      <x:c r="J1716" s="22" t="n">
        <x:v>1</x:v>
      </x:c>
      <x:c r="K1716" s="19" t="n">
        <x:v>1</x:v>
      </x:c>
      <x:c r="L1716" s="24" t="n">
        <x:v>18.78333333333333</x:v>
      </x:c>
      <x:c r="M1716" s="26" t="n">
        <x:v>0.1</x:v>
      </x:c>
      <x:c r="N1716" s="24" t="n">
        <x:v>2</x:v>
      </x:c>
      <x:c r="O1716" s="28" t="n">
        <x:f>MIN(1,L1716/I1716)</x:f>
        <x:v>0.023479166666666666</x:v>
      </x:c>
      <x:c r="P1716" s="30" t="n">
        <x:f>O1716*J1716*(1+M1716)</x:f>
        <x:v>0.025827083333333334</x:v>
      </x:c>
      <x:c r="Q1716" s="30" t="n">
        <x:f>P1716*N1716</x:f>
        <x:v>0.05165416666666667</x:v>
      </x:c>
      <x:c r="R1716" s="19" t="str">
        <x:v>独立判定</x:v>
      </x:c>
    </x:row>
    <x:row r="1717" ht="19" customHeight="1">
      <x:c r="A1717" s="19" t="str">
        <x:v>D01713</x:v>
      </x:c>
      <x:c r="B1717" s="19" t="n">
        <x:v>4</x:v>
      </x:c>
      <x:c r="C1717" s="19" t="n">
        <x:v>3</x:v>
      </x:c>
      <x:c r="D1717" s="19" t="str">
        <x:v>C04-M036</x:v>
      </x:c>
      <x:c r="E1717" s="19" t="str">
        <x:v>亡舟新娘·伊蕾莎</x:v>
      </x:c>
      <x:c r="F1717" s="19" t="str">
        <x:v>地图BOSS</x:v>
      </x:c>
      <x:c r="G1717" s="19" t="str">
        <x:v>材料独立候选</x:v>
      </x:c>
      <x:c r="H1717" s="19" t="str">
        <x:v>野兽骨片</x:v>
      </x:c>
      <x:c r="I1717" s="22" t="n">
        <x:v>30</x:v>
      </x:c>
      <x:c r="J1717" s="22" t="n">
        <x:v>2</x:v>
      </x:c>
      <x:c r="K1717" s="19" t="n">
        <x:v>1</x:v>
      </x:c>
      <x:c r="L1717" s="24" t="n">
        <x:v>18.78333333333333</x:v>
      </x:c>
      <x:c r="M1717" s="26" t="n">
        <x:v>0.1</x:v>
      </x:c>
      <x:c r="N1717" s="24" t="n">
        <x:v>2</x:v>
      </x:c>
      <x:c r="O1717" s="28" t="n">
        <x:f>MIN(1,L1717/I1717)</x:f>
        <x:v>0.6261111111111111</x:v>
      </x:c>
      <x:c r="P1717" s="30" t="n">
        <x:f>O1717*J1717*(1+M1717)</x:f>
        <x:v>1.3774444444444445</x:v>
      </x:c>
      <x:c r="Q1717" s="30" t="n">
        <x:f>P1717*N1717</x:f>
        <x:v>2.754888888888889</x:v>
      </x:c>
      <x:c r="R1717" s="19" t="str">
        <x:v>独立判定</x:v>
      </x:c>
    </x:row>
    <x:row r="1718" ht="19" customHeight="1">
      <x:c r="A1718" s="19" t="str">
        <x:v>D01714</x:v>
      </x:c>
      <x:c r="B1718" s="19" t="n">
        <x:v>4</x:v>
      </x:c>
      <x:c r="C1718" s="19" t="n">
        <x:v>3</x:v>
      </x:c>
      <x:c r="D1718" s="19" t="str">
        <x:v>C04-M036</x:v>
      </x:c>
      <x:c r="E1718" s="19" t="str">
        <x:v>亡舟新娘·伊蕾莎</x:v>
      </x:c>
      <x:c r="F1718" s="19" t="str">
        <x:v>地图BOSS</x:v>
      </x:c>
      <x:c r="G1718" s="19" t="str">
        <x:v>材料独立候选</x:v>
      </x:c>
      <x:c r="H1718" s="19" t="str">
        <x:v>技能残页</x:v>
      </x:c>
      <x:c r="I1718" s="22" t="n">
        <x:v>150</x:v>
      </x:c>
      <x:c r="J1718" s="22" t="n">
        <x:v>1</x:v>
      </x:c>
      <x:c r="K1718" s="19" t="n">
        <x:v>1</x:v>
      </x:c>
      <x:c r="L1718" s="24" t="n">
        <x:v>18.78333333333333</x:v>
      </x:c>
      <x:c r="M1718" s="26" t="n">
        <x:v>0.1</x:v>
      </x:c>
      <x:c r="N1718" s="24" t="n">
        <x:v>2</x:v>
      </x:c>
      <x:c r="O1718" s="28" t="n">
        <x:f>MIN(1,L1718/I1718)</x:f>
        <x:v>0.1252222222222222</x:v>
      </x:c>
      <x:c r="P1718" s="30" t="n">
        <x:f>O1718*J1718*(1+M1718)</x:f>
        <x:v>0.13774444444444445</x:v>
      </x:c>
      <x:c r="Q1718" s="30" t="n">
        <x:f>P1718*N1718</x:f>
        <x:v>0.2754888888888889</x:v>
      </x:c>
      <x:c r="R1718" s="19" t="str">
        <x:v>独立判定</x:v>
      </x:c>
    </x:row>
    <x:row r="1719" ht="19" customHeight="1">
      <x:c r="A1719" s="19" t="str">
        <x:v>D01715</x:v>
      </x:c>
      <x:c r="B1719" s="19" t="n">
        <x:v>4</x:v>
      </x:c>
      <x:c r="C1719" s="19" t="n">
        <x:v>3</x:v>
      </x:c>
      <x:c r="D1719" s="19" t="str">
        <x:v>C04-M036</x:v>
      </x:c>
      <x:c r="E1719" s="19" t="str">
        <x:v>亡舟新娘·伊蕾莎</x:v>
      </x:c>
      <x:c r="F1719" s="19" t="str">
        <x:v>地图BOSS</x:v>
      </x:c>
      <x:c r="G1719" s="19" t="str">
        <x:v>材料独立候选</x:v>
      </x:c>
      <x:c r="H1719" s="19" t="str">
        <x:v>宁姆格福誓页</x:v>
      </x:c>
      <x:c r="I1719" s="22" t="n">
        <x:v>250</x:v>
      </x:c>
      <x:c r="J1719" s="22" t="n">
        <x:v>1</x:v>
      </x:c>
      <x:c r="K1719" s="19" t="n">
        <x:v>1</x:v>
      </x:c>
      <x:c r="L1719" s="24" t="n">
        <x:v>18.78333333333333</x:v>
      </x:c>
      <x:c r="M1719" s="26" t="n">
        <x:v>0.1</x:v>
      </x:c>
      <x:c r="N1719" s="24" t="n">
        <x:v>2</x:v>
      </x:c>
      <x:c r="O1719" s="28" t="n">
        <x:f>MIN(1,L1719/I1719)</x:f>
        <x:v>0.07513333333333333</x:v>
      </x:c>
      <x:c r="P1719" s="30" t="n">
        <x:f>O1719*J1719*(1+M1719)</x:f>
        <x:v>0.08264666666666667</x:v>
      </x:c>
      <x:c r="Q1719" s="30" t="n">
        <x:f>P1719*N1719</x:f>
        <x:v>0.16529333333333335</x:v>
      </x:c>
      <x:c r="R1719" s="19" t="str">
        <x:v>独立判定</x:v>
      </x:c>
    </x:row>
    <x:row r="1720" ht="19" customHeight="1">
      <x:c r="A1720" s="19" t="str">
        <x:v>D01716</x:v>
      </x:c>
      <x:c r="B1720" s="19" t="n">
        <x:v>4</x:v>
      </x:c>
      <x:c r="C1720" s="19" t="n">
        <x:v>3</x:v>
      </x:c>
      <x:c r="D1720" s="19" t="str">
        <x:v>C04-M036</x:v>
      </x:c>
      <x:c r="E1720" s="19" t="str">
        <x:v>亡舟新娘·伊蕾莎</x:v>
      </x:c>
      <x:c r="F1720" s="19" t="str">
        <x:v>地图BOSS</x:v>
      </x:c>
      <x:c r="G1720" s="19" t="str">
        <x:v>材料独立候选</x:v>
      </x:c>
      <x:c r="H1720" s="19" t="str">
        <x:v>小卢恩</x:v>
      </x:c>
      <x:c r="I1720" s="22" t="n">
        <x:v>250</x:v>
      </x:c>
      <x:c r="J1720" s="22" t="n">
        <x:v>1</x:v>
      </x:c>
      <x:c r="K1720" s="19" t="n">
        <x:v>1</x:v>
      </x:c>
      <x:c r="L1720" s="24" t="n">
        <x:v>18.78333333333333</x:v>
      </x:c>
      <x:c r="M1720" s="26" t="n">
        <x:v>0.1</x:v>
      </x:c>
      <x:c r="N1720" s="24" t="n">
        <x:v>2</x:v>
      </x:c>
      <x:c r="O1720" s="28" t="n">
        <x:f>MIN(1,L1720/I1720)</x:f>
        <x:v>0.07513333333333333</x:v>
      </x:c>
      <x:c r="P1720" s="30" t="n">
        <x:f>O1720*J1720*(1+M1720)</x:f>
        <x:v>0.08264666666666667</x:v>
      </x:c>
      <x:c r="Q1720" s="30" t="n">
        <x:f>P1720*N1720</x:f>
        <x:v>0.16529333333333335</x:v>
      </x:c>
      <x:c r="R1720" s="19" t="str">
        <x:v>独立判定</x:v>
      </x:c>
    </x:row>
    <x:row r="1721" ht="19" customHeight="1">
      <x:c r="A1721" s="19" t="str">
        <x:v>D01717</x:v>
      </x:c>
      <x:c r="B1721" s="19" t="n">
        <x:v>4</x:v>
      </x:c>
      <x:c r="C1721" s="19" t="n">
        <x:v>3</x:v>
      </x:c>
      <x:c r="D1721" s="19" t="str">
        <x:v>C04-M036</x:v>
      </x:c>
      <x:c r="E1721" s="19" t="str">
        <x:v>亡舟新娘·伊蕾莎</x:v>
      </x:c>
      <x:c r="F1721" s="19" t="str">
        <x:v>地图BOSS</x:v>
      </x:c>
      <x:c r="G1721" s="19" t="str">
        <x:v>材料独立候选</x:v>
      </x:c>
      <x:c r="H1721" s="19" t="str">
        <x:v>大卢恩</x:v>
      </x:c>
      <x:c r="I1721" s="22" t="n">
        <x:v>180</x:v>
      </x:c>
      <x:c r="J1721" s="22" t="n">
        <x:v>1</x:v>
      </x:c>
      <x:c r="K1721" s="19" t="n">
        <x:v>1</x:v>
      </x:c>
      <x:c r="L1721" s="24" t="n">
        <x:v>18.78333333333333</x:v>
      </x:c>
      <x:c r="M1721" s="26" t="n">
        <x:v>0.1</x:v>
      </x:c>
      <x:c r="N1721" s="24" t="n">
        <x:v>2</x:v>
      </x:c>
      <x:c r="O1721" s="28" t="n">
        <x:f>MIN(1,L1721/I1721)</x:f>
        <x:v>0.10435185185185183</x:v>
      </x:c>
      <x:c r="P1721" s="30" t="n">
        <x:f>O1721*J1721*(1+M1721)</x:f>
        <x:v>0.11478703703703702</x:v>
      </x:c>
      <x:c r="Q1721" s="30" t="n">
        <x:f>P1721*N1721</x:f>
        <x:v>0.22957407407407404</x:v>
      </x:c>
      <x:c r="R1721" s="19" t="str">
        <x:v>独立判定</x:v>
      </x:c>
    </x:row>
    <x:row r="1722" ht="19" customHeight="1">
      <x:c r="A1722" s="19" t="str">
        <x:v>D01718</x:v>
      </x:c>
      <x:c r="B1722" s="19" t="n">
        <x:v>4</x:v>
      </x:c>
      <x:c r="C1722" s="19" t="n">
        <x:v>3</x:v>
      </x:c>
      <x:c r="D1722" s="19" t="str">
        <x:v>C04-M036</x:v>
      </x:c>
      <x:c r="E1722" s="19" t="str">
        <x:v>亡舟新娘·伊蕾莎</x:v>
      </x:c>
      <x:c r="F1722" s="19" t="str">
        <x:v>地图BOSS</x:v>
      </x:c>
      <x:c r="G1722" s="19" t="str">
        <x:v>六神器公共池</x:v>
      </x:c>
      <x:c r="H1722" s="19" t="str">
        <x:v>POOL006</x:v>
      </x:c>
      <x:c r="I1722" s="22" t="n">
        <x:v>200000</x:v>
      </x:c>
      <x:c r="J1722" s="22" t="n">
        <x:v>1</x:v>
      </x:c>
      <x:c r="K1722" s="19" t="n">
        <x:v>6</x:v>
      </x:c>
      <x:c r="L1722" s="24" t="n">
        <x:v>18.78333333333333</x:v>
      </x:c>
      <x:c r="M1722" s="26" t="n">
        <x:v>0.1</x:v>
      </x:c>
      <x:c r="N1722" s="24" t="n">
        <x:v>2</x:v>
      </x:c>
      <x:c r="O1722" s="28" t="n">
        <x:f>MIN(1,L1722/I1722)</x:f>
        <x:v>0.00009391666666666665</x:v>
      </x:c>
      <x:c r="P1722" s="30" t="n">
        <x:f>O1722*J1722*(1+M1722)</x:f>
        <x:v>0.00010330833333333333</x:v>
      </x:c>
      <x:c r="Q1722" s="30" t="n">
        <x:f>P1722*N1722</x:f>
        <x:v>0.00020661666666666666</x:v>
      </x:c>
      <x:c r="R1722" s="19" t="str">
        <x:v>六选一；非6个独立爆率</x:v>
      </x:c>
    </x:row>
    <x:row r="1723" ht="19" customHeight="1">
      <x:c r="A1723" s="19" t="str">
        <x:v>D01719</x:v>
      </x:c>
      <x:c r="B1723" s="19" t="n">
        <x:v>4</x:v>
      </x:c>
      <x:c r="C1723" s="19" t="n">
        <x:v>4</x:v>
      </x:c>
      <x:c r="D1723" s="19" t="str">
        <x:v>C04-M037</x:v>
      </x:c>
      <x:c r="E1723" s="19" t="str">
        <x:v>磷火甲板兵</x:v>
      </x:c>
      <x:c r="F1723" s="19" t="str">
        <x:v>普通</x:v>
      </x:c>
      <x:c r="G1723" s="19" t="str">
        <x:v>自身专属</x:v>
      </x:c>
      <x:c r="H1723" s="19" t="str">
        <x:v>磷火腕铠</x:v>
      </x:c>
      <x:c r="I1723" s="22" t="n">
        <x:v>1500</x:v>
      </x:c>
      <x:c r="J1723" s="22" t="n">
        <x:v>1</x:v>
      </x:c>
      <x:c r="K1723" s="19" t="n">
        <x:v>1</x:v>
      </x:c>
      <x:c r="L1723" s="24" t="n">
        <x:v>21.849999999999998</x:v>
      </x:c>
      <x:c r="M1723" s="26" t="n">
        <x:v>0.1</x:v>
      </x:c>
      <x:c r="N1723" s="24" t="n">
        <x:v>72</x:v>
      </x:c>
      <x:c r="O1723" s="28" t="n">
        <x:f>MIN(1,L1723/I1723)</x:f>
        <x:v>0.014566666666666665</x:v>
      </x:c>
      <x:c r="P1723" s="30" t="n">
        <x:f>O1723*J1723*(1+M1723)</x:f>
        <x:v>0.016023333333333334</x:v>
      </x:c>
      <x:c r="Q1723" s="30" t="n">
        <x:f>P1723*N1723</x:f>
        <x:v>1.15368</x:v>
      </x:c>
      <x:c r="R1723" s="19" t="str">
        <x:v>独立判定</x:v>
      </x:c>
    </x:row>
    <x:row r="1724" ht="19" customHeight="1">
      <x:c r="A1724" s="19" t="str">
        <x:v>D01720</x:v>
      </x:c>
      <x:c r="B1724" s="19" t="n">
        <x:v>4</x:v>
      </x:c>
      <x:c r="C1724" s="19" t="n">
        <x:v>4</x:v>
      </x:c>
      <x:c r="D1724" s="19" t="str">
        <x:v>C04-M037</x:v>
      </x:c>
      <x:c r="E1724" s="19" t="str">
        <x:v>磷火甲板兵</x:v>
      </x:c>
      <x:c r="F1724" s="19" t="str">
        <x:v>普通</x:v>
      </x:c>
      <x:c r="G1724" s="19" t="str">
        <x:v>材料独立候选</x:v>
      </x:c>
      <x:c r="H1724" s="19" t="str">
        <x:v>湖盐结晶</x:v>
      </x:c>
      <x:c r="I1724" s="22" t="n">
        <x:v>600</x:v>
      </x:c>
      <x:c r="J1724" s="22" t="n">
        <x:v>8</x:v>
      </x:c>
      <x:c r="K1724" s="19" t="n">
        <x:v>1</x:v>
      </x:c>
      <x:c r="L1724" s="24" t="n">
        <x:v>21.849999999999998</x:v>
      </x:c>
      <x:c r="M1724" s="26" t="n">
        <x:v>0.1</x:v>
      </x:c>
      <x:c r="N1724" s="24" t="n">
        <x:v>72</x:v>
      </x:c>
      <x:c r="O1724" s="28" t="n">
        <x:f>MIN(1,L1724/I1724)</x:f>
        <x:v>0.03641666666666666</x:v>
      </x:c>
      <x:c r="P1724" s="30" t="n">
        <x:f>O1724*J1724*(1+M1724)</x:f>
        <x:v>0.3204666666666666</x:v>
      </x:c>
      <x:c r="Q1724" s="30" t="n">
        <x:f>P1724*N1724</x:f>
        <x:v>23.073599999999995</x:v>
      </x:c>
      <x:c r="R1724" s="19" t="str">
        <x:v>独立判定</x:v>
      </x:c>
    </x:row>
    <x:row r="1725" ht="19" customHeight="1">
      <x:c r="A1725" s="19" t="str">
        <x:v>D01721</x:v>
      </x:c>
      <x:c r="B1725" s="19" t="n">
        <x:v>4</x:v>
      </x:c>
      <x:c r="C1725" s="19" t="n">
        <x:v>4</x:v>
      </x:c>
      <x:c r="D1725" s="19" t="str">
        <x:v>C04-M037</x:v>
      </x:c>
      <x:c r="E1725" s="19" t="str">
        <x:v>磷火甲板兵</x:v>
      </x:c>
      <x:c r="F1725" s="19" t="str">
        <x:v>普通</x:v>
      </x:c>
      <x:c r="G1725" s="19" t="str">
        <x:v>材料独立候选</x:v>
      </x:c>
      <x:c r="H1725" s="19" t="str">
        <x:v>雾潮银鳞</x:v>
      </x:c>
      <x:c r="I1725" s="22" t="n">
        <x:v>800</x:v>
      </x:c>
      <x:c r="J1725" s="22" t="n">
        <x:v>1</x:v>
      </x:c>
      <x:c r="K1725" s="19" t="n">
        <x:v>1</x:v>
      </x:c>
      <x:c r="L1725" s="24" t="n">
        <x:v>21.849999999999998</x:v>
      </x:c>
      <x:c r="M1725" s="26" t="n">
        <x:v>0.1</x:v>
      </x:c>
      <x:c r="N1725" s="24" t="n">
        <x:v>72</x:v>
      </x:c>
      <x:c r="O1725" s="28" t="n">
        <x:f>MIN(1,L1725/I1725)</x:f>
        <x:v>0.027312499999999997</x:v>
      </x:c>
      <x:c r="P1725" s="30" t="n">
        <x:f>O1725*J1725*(1+M1725)</x:f>
        <x:v>0.030043749999999998</x:v>
      </x:c>
      <x:c r="Q1725" s="30" t="n">
        <x:f>P1725*N1725</x:f>
        <x:v>2.16315</x:v>
      </x:c>
      <x:c r="R1725" s="19" t="str">
        <x:v>独立判定</x:v>
      </x:c>
    </x:row>
    <x:row r="1726" ht="19" customHeight="1">
      <x:c r="A1726" s="19" t="str">
        <x:v>D01722</x:v>
      </x:c>
      <x:c r="B1726" s="19" t="n">
        <x:v>4</x:v>
      </x:c>
      <x:c r="C1726" s="19" t="n">
        <x:v>4</x:v>
      </x:c>
      <x:c r="D1726" s="19" t="str">
        <x:v>C04-M037</x:v>
      </x:c>
      <x:c r="E1726" s="19" t="str">
        <x:v>磷火甲板兵</x:v>
      </x:c>
      <x:c r="F1726" s="19" t="str">
        <x:v>普通</x:v>
      </x:c>
      <x:c r="G1726" s="19" t="str">
        <x:v>材料独立候选</x:v>
      </x:c>
      <x:c r="H1726" s="19" t="str">
        <x:v>月潮忆珀</x:v>
      </x:c>
      <x:c r="I1726" s="22" t="n">
        <x:v>1000000</x:v>
      </x:c>
      <x:c r="J1726" s="22" t="n">
        <x:v>1</x:v>
      </x:c>
      <x:c r="K1726" s="19" t="n">
        <x:v>1</x:v>
      </x:c>
      <x:c r="L1726" s="24" t="n">
        <x:v>21.849999999999998</x:v>
      </x:c>
      <x:c r="M1726" s="26" t="n">
        <x:v>0.1</x:v>
      </x:c>
      <x:c r="N1726" s="24" t="n">
        <x:v>72</x:v>
      </x:c>
      <x:c r="O1726" s="28" t="n">
        <x:f>MIN(1,L1726/I1726)</x:f>
        <x:v>0.00002185</x:v>
      </x:c>
      <x:c r="P1726" s="30" t="n">
        <x:f>O1726*J1726*(1+M1726)</x:f>
        <x:v>0.000024035</x:v>
      </x:c>
      <x:c r="Q1726" s="30" t="n">
        <x:f>P1726*N1726</x:f>
        <x:v>0.00173052</x:v>
      </x:c>
      <x:c r="R1726" s="19" t="str">
        <x:v>独立判定</x:v>
      </x:c>
    </x:row>
    <x:row r="1727" ht="19" customHeight="1">
      <x:c r="A1727" s="19" t="str">
        <x:v>D01723</x:v>
      </x:c>
      <x:c r="B1727" s="19" t="n">
        <x:v>4</x:v>
      </x:c>
      <x:c r="C1727" s="19" t="n">
        <x:v>4</x:v>
      </x:c>
      <x:c r="D1727" s="19" t="str">
        <x:v>C04-M037</x:v>
      </x:c>
      <x:c r="E1727" s="19" t="str">
        <x:v>磷火甲板兵</x:v>
      </x:c>
      <x:c r="F1727" s="19" t="str">
        <x:v>普通</x:v>
      </x:c>
      <x:c r="G1727" s="19" t="str">
        <x:v>材料独立候选</x:v>
      </x:c>
      <x:c r="H1727" s="19" t="str">
        <x:v>野兽骨片</x:v>
      </x:c>
      <x:c r="I1727" s="22" t="n">
        <x:v>100</x:v>
      </x:c>
      <x:c r="J1727" s="22" t="n">
        <x:v>2</x:v>
      </x:c>
      <x:c r="K1727" s="19" t="n">
        <x:v>1</x:v>
      </x:c>
      <x:c r="L1727" s="24" t="n">
        <x:v>21.849999999999998</x:v>
      </x:c>
      <x:c r="M1727" s="26" t="n">
        <x:v>0.1</x:v>
      </x:c>
      <x:c r="N1727" s="24" t="n">
        <x:v>72</x:v>
      </x:c>
      <x:c r="O1727" s="28" t="n">
        <x:f>MIN(1,L1727/I1727)</x:f>
        <x:v>0.21849999999999997</x:v>
      </x:c>
      <x:c r="P1727" s="30" t="n">
        <x:f>O1727*J1727*(1+M1727)</x:f>
        <x:v>0.48069999999999996</x:v>
      </x:c>
      <x:c r="Q1727" s="30" t="n">
        <x:f>P1727*N1727</x:f>
        <x:v>34.6104</x:v>
      </x:c>
      <x:c r="R1727" s="19" t="str">
        <x:v>独立判定</x:v>
      </x:c>
    </x:row>
    <x:row r="1728" ht="19" customHeight="1">
      <x:c r="A1728" s="19" t="str">
        <x:v>D01724</x:v>
      </x:c>
      <x:c r="B1728" s="19" t="n">
        <x:v>4</x:v>
      </x:c>
      <x:c r="C1728" s="19" t="n">
        <x:v>4</x:v>
      </x:c>
      <x:c r="D1728" s="19" t="str">
        <x:v>C04-M037</x:v>
      </x:c>
      <x:c r="E1728" s="19" t="str">
        <x:v>磷火甲板兵</x:v>
      </x:c>
      <x:c r="F1728" s="19" t="str">
        <x:v>普通</x:v>
      </x:c>
      <x:c r="G1728" s="19" t="str">
        <x:v>材料独立候选</x:v>
      </x:c>
      <x:c r="H1728" s="19" t="str">
        <x:v>技能残页</x:v>
      </x:c>
      <x:c r="I1728" s="22" t="n">
        <x:v>500</x:v>
      </x:c>
      <x:c r="J1728" s="22" t="n">
        <x:v>1</x:v>
      </x:c>
      <x:c r="K1728" s="19" t="n">
        <x:v>1</x:v>
      </x:c>
      <x:c r="L1728" s="24" t="n">
        <x:v>21.849999999999998</x:v>
      </x:c>
      <x:c r="M1728" s="26" t="n">
        <x:v>0.1</x:v>
      </x:c>
      <x:c r="N1728" s="24" t="n">
        <x:v>72</x:v>
      </x:c>
      <x:c r="O1728" s="28" t="n">
        <x:f>MIN(1,L1728/I1728)</x:f>
        <x:v>0.043699999999999996</x:v>
      </x:c>
      <x:c r="P1728" s="30" t="n">
        <x:f>O1728*J1728*(1+M1728)</x:f>
        <x:v>0.04807</x:v>
      </x:c>
      <x:c r="Q1728" s="30" t="n">
        <x:f>P1728*N1728</x:f>
        <x:v>3.46104</x:v>
      </x:c>
      <x:c r="R1728" s="19" t="str">
        <x:v>独立判定</x:v>
      </x:c>
    </x:row>
    <x:row r="1729" ht="19" customHeight="1">
      <x:c r="A1729" s="19" t="str">
        <x:v>D01725</x:v>
      </x:c>
      <x:c r="B1729" s="19" t="n">
        <x:v>4</x:v>
      </x:c>
      <x:c r="C1729" s="19" t="n">
        <x:v>4</x:v>
      </x:c>
      <x:c r="D1729" s="19" t="str">
        <x:v>C04-M037</x:v>
      </x:c>
      <x:c r="E1729" s="19" t="str">
        <x:v>磷火甲板兵</x:v>
      </x:c>
      <x:c r="F1729" s="19" t="str">
        <x:v>普通</x:v>
      </x:c>
      <x:c r="G1729" s="19" t="str">
        <x:v>材料独立候选</x:v>
      </x:c>
      <x:c r="H1729" s="19" t="str">
        <x:v>小卢恩</x:v>
      </x:c>
      <x:c r="I1729" s="22" t="n">
        <x:v>1000</x:v>
      </x:c>
      <x:c r="J1729" s="22" t="n">
        <x:v>1</x:v>
      </x:c>
      <x:c r="K1729" s="19" t="n">
        <x:v>1</x:v>
      </x:c>
      <x:c r="L1729" s="24" t="n">
        <x:v>21.849999999999998</x:v>
      </x:c>
      <x:c r="M1729" s="26" t="n">
        <x:v>0.1</x:v>
      </x:c>
      <x:c r="N1729" s="24" t="n">
        <x:v>72</x:v>
      </x:c>
      <x:c r="O1729" s="28" t="n">
        <x:f>MIN(1,L1729/I1729)</x:f>
        <x:v>0.021849999999999998</x:v>
      </x:c>
      <x:c r="P1729" s="30" t="n">
        <x:f>O1729*J1729*(1+M1729)</x:f>
        <x:v>0.024035</x:v>
      </x:c>
      <x:c r="Q1729" s="30" t="n">
        <x:f>P1729*N1729</x:f>
        <x:v>1.73052</x:v>
      </x:c>
      <x:c r="R1729" s="19" t="str">
        <x:v>独立判定</x:v>
      </x:c>
    </x:row>
    <x:row r="1730" ht="19" customHeight="1">
      <x:c r="A1730" s="19" t="str">
        <x:v>D01726</x:v>
      </x:c>
      <x:c r="B1730" s="19" t="n">
        <x:v>4</x:v>
      </x:c>
      <x:c r="C1730" s="19" t="n">
        <x:v>4</x:v>
      </x:c>
      <x:c r="D1730" s="19" t="str">
        <x:v>C04-M037</x:v>
      </x:c>
      <x:c r="E1730" s="19" t="str">
        <x:v>磷火甲板兵</x:v>
      </x:c>
      <x:c r="F1730" s="19" t="str">
        <x:v>普通</x:v>
      </x:c>
      <x:c r="G1730" s="19" t="str">
        <x:v>六神器公共池</x:v>
      </x:c>
      <x:c r="H1730" s="19" t="str">
        <x:v>POOL006</x:v>
      </x:c>
      <x:c r="I1730" s="22" t="n">
        <x:v>20000000</x:v>
      </x:c>
      <x:c r="J1730" s="22" t="n">
        <x:v>1</x:v>
      </x:c>
      <x:c r="K1730" s="19" t="n">
        <x:v>6</x:v>
      </x:c>
      <x:c r="L1730" s="24" t="n">
        <x:v>21.849999999999998</x:v>
      </x:c>
      <x:c r="M1730" s="26" t="n">
        <x:v>0.1</x:v>
      </x:c>
      <x:c r="N1730" s="24" t="n">
        <x:v>72</x:v>
      </x:c>
      <x:c r="O1730" s="28" t="n">
        <x:f>MIN(1,L1730/I1730)</x:f>
        <x:v>0.0000010925</x:v>
      </x:c>
      <x:c r="P1730" s="30" t="n">
        <x:f>O1730*J1730*(1+M1730)</x:f>
        <x:v>0.00000120175</x:v>
      </x:c>
      <x:c r="Q1730" s="30" t="n">
        <x:f>P1730*N1730</x:f>
        <x:v>0.00008652599999999999</x:v>
      </x:c>
      <x:c r="R1730" s="19" t="str">
        <x:v>六选一；非6个独立爆率</x:v>
      </x:c>
    </x:row>
    <x:row r="1731" ht="19" customHeight="1">
      <x:c r="A1731" s="19" t="str">
        <x:v>D01727</x:v>
      </x:c>
      <x:c r="B1731" s="19" t="n">
        <x:v>4</x:v>
      </x:c>
      <x:c r="C1731" s="19" t="n">
        <x:v>4</x:v>
      </x:c>
      <x:c r="D1731" s="19" t="str">
        <x:v>C04-M038</x:v>
      </x:c>
      <x:c r="E1731" s="19" t="str">
        <x:v>船骸骨鸥</x:v>
      </x:c>
      <x:c r="F1731" s="19" t="str">
        <x:v>普通</x:v>
      </x:c>
      <x:c r="G1731" s="19" t="str">
        <x:v>自身专属</x:v>
      </x:c>
      <x:c r="H1731" s="19" t="str">
        <x:v>骨鸥喙盔</x:v>
      </x:c>
      <x:c r="I1731" s="22" t="n">
        <x:v>1500</x:v>
      </x:c>
      <x:c r="J1731" s="22" t="n">
        <x:v>1</x:v>
      </x:c>
      <x:c r="K1731" s="19" t="n">
        <x:v>1</x:v>
      </x:c>
      <x:c r="L1731" s="24" t="n">
        <x:v>21.849999999999998</x:v>
      </x:c>
      <x:c r="M1731" s="26" t="n">
        <x:v>0.1</x:v>
      </x:c>
      <x:c r="N1731" s="24" t="n">
        <x:v>72</x:v>
      </x:c>
      <x:c r="O1731" s="28" t="n">
        <x:f>MIN(1,L1731/I1731)</x:f>
        <x:v>0.014566666666666665</x:v>
      </x:c>
      <x:c r="P1731" s="30" t="n">
        <x:f>O1731*J1731*(1+M1731)</x:f>
        <x:v>0.016023333333333334</x:v>
      </x:c>
      <x:c r="Q1731" s="30" t="n">
        <x:f>P1731*N1731</x:f>
        <x:v>1.15368</x:v>
      </x:c>
      <x:c r="R1731" s="19" t="str">
        <x:v>独立判定</x:v>
      </x:c>
    </x:row>
    <x:row r="1732" ht="19" customHeight="1">
      <x:c r="A1732" s="19" t="str">
        <x:v>D01728</x:v>
      </x:c>
      <x:c r="B1732" s="19" t="n">
        <x:v>4</x:v>
      </x:c>
      <x:c r="C1732" s="19" t="n">
        <x:v>4</x:v>
      </x:c>
      <x:c r="D1732" s="19" t="str">
        <x:v>C04-M038</x:v>
      </x:c>
      <x:c r="E1732" s="19" t="str">
        <x:v>船骸骨鸥</x:v>
      </x:c>
      <x:c r="F1732" s="19" t="str">
        <x:v>普通</x:v>
      </x:c>
      <x:c r="G1732" s="19" t="str">
        <x:v>材料独立候选</x:v>
      </x:c>
      <x:c r="H1732" s="19" t="str">
        <x:v>湖盐结晶</x:v>
      </x:c>
      <x:c r="I1732" s="22" t="n">
        <x:v>600</x:v>
      </x:c>
      <x:c r="J1732" s="22" t="n">
        <x:v>8</x:v>
      </x:c>
      <x:c r="K1732" s="19" t="n">
        <x:v>1</x:v>
      </x:c>
      <x:c r="L1732" s="24" t="n">
        <x:v>21.849999999999998</x:v>
      </x:c>
      <x:c r="M1732" s="26" t="n">
        <x:v>0.1</x:v>
      </x:c>
      <x:c r="N1732" s="24" t="n">
        <x:v>72</x:v>
      </x:c>
      <x:c r="O1732" s="28" t="n">
        <x:f>MIN(1,L1732/I1732)</x:f>
        <x:v>0.03641666666666666</x:v>
      </x:c>
      <x:c r="P1732" s="30" t="n">
        <x:f>O1732*J1732*(1+M1732)</x:f>
        <x:v>0.3204666666666666</x:v>
      </x:c>
      <x:c r="Q1732" s="30" t="n">
        <x:f>P1732*N1732</x:f>
        <x:v>23.073599999999995</x:v>
      </x:c>
      <x:c r="R1732" s="19" t="str">
        <x:v>独立判定</x:v>
      </x:c>
    </x:row>
    <x:row r="1733" ht="19" customHeight="1">
      <x:c r="A1733" s="19" t="str">
        <x:v>D01729</x:v>
      </x:c>
      <x:c r="B1733" s="19" t="n">
        <x:v>4</x:v>
      </x:c>
      <x:c r="C1733" s="19" t="n">
        <x:v>4</x:v>
      </x:c>
      <x:c r="D1733" s="19" t="str">
        <x:v>C04-M038</x:v>
      </x:c>
      <x:c r="E1733" s="19" t="str">
        <x:v>船骸骨鸥</x:v>
      </x:c>
      <x:c r="F1733" s="19" t="str">
        <x:v>普通</x:v>
      </x:c>
      <x:c r="G1733" s="19" t="str">
        <x:v>材料独立候选</x:v>
      </x:c>
      <x:c r="H1733" s="19" t="str">
        <x:v>雾潮银鳞</x:v>
      </x:c>
      <x:c r="I1733" s="22" t="n">
        <x:v>800</x:v>
      </x:c>
      <x:c r="J1733" s="22" t="n">
        <x:v>1</x:v>
      </x:c>
      <x:c r="K1733" s="19" t="n">
        <x:v>1</x:v>
      </x:c>
      <x:c r="L1733" s="24" t="n">
        <x:v>21.849999999999998</x:v>
      </x:c>
      <x:c r="M1733" s="26" t="n">
        <x:v>0.1</x:v>
      </x:c>
      <x:c r="N1733" s="24" t="n">
        <x:v>72</x:v>
      </x:c>
      <x:c r="O1733" s="28" t="n">
        <x:f>MIN(1,L1733/I1733)</x:f>
        <x:v>0.027312499999999997</x:v>
      </x:c>
      <x:c r="P1733" s="30" t="n">
        <x:f>O1733*J1733*(1+M1733)</x:f>
        <x:v>0.030043749999999998</x:v>
      </x:c>
      <x:c r="Q1733" s="30" t="n">
        <x:f>P1733*N1733</x:f>
        <x:v>2.16315</x:v>
      </x:c>
      <x:c r="R1733" s="19" t="str">
        <x:v>独立判定</x:v>
      </x:c>
    </x:row>
    <x:row r="1734" ht="19" customHeight="1">
      <x:c r="A1734" s="19" t="str">
        <x:v>D01730</x:v>
      </x:c>
      <x:c r="B1734" s="19" t="n">
        <x:v>4</x:v>
      </x:c>
      <x:c r="C1734" s="19" t="n">
        <x:v>4</x:v>
      </x:c>
      <x:c r="D1734" s="19" t="str">
        <x:v>C04-M038</x:v>
      </x:c>
      <x:c r="E1734" s="19" t="str">
        <x:v>船骸骨鸥</x:v>
      </x:c>
      <x:c r="F1734" s="19" t="str">
        <x:v>普通</x:v>
      </x:c>
      <x:c r="G1734" s="19" t="str">
        <x:v>材料独立候选</x:v>
      </x:c>
      <x:c r="H1734" s="19" t="str">
        <x:v>月潮忆珀</x:v>
      </x:c>
      <x:c r="I1734" s="22" t="n">
        <x:v>1000000</x:v>
      </x:c>
      <x:c r="J1734" s="22" t="n">
        <x:v>1</x:v>
      </x:c>
      <x:c r="K1734" s="19" t="n">
        <x:v>1</x:v>
      </x:c>
      <x:c r="L1734" s="24" t="n">
        <x:v>21.849999999999998</x:v>
      </x:c>
      <x:c r="M1734" s="26" t="n">
        <x:v>0.1</x:v>
      </x:c>
      <x:c r="N1734" s="24" t="n">
        <x:v>72</x:v>
      </x:c>
      <x:c r="O1734" s="28" t="n">
        <x:f>MIN(1,L1734/I1734)</x:f>
        <x:v>0.00002185</x:v>
      </x:c>
      <x:c r="P1734" s="30" t="n">
        <x:f>O1734*J1734*(1+M1734)</x:f>
        <x:v>0.000024035</x:v>
      </x:c>
      <x:c r="Q1734" s="30" t="n">
        <x:f>P1734*N1734</x:f>
        <x:v>0.00173052</x:v>
      </x:c>
      <x:c r="R1734" s="19" t="str">
        <x:v>独立判定</x:v>
      </x:c>
    </x:row>
    <x:row r="1735" ht="19" customHeight="1">
      <x:c r="A1735" s="19" t="str">
        <x:v>D01731</x:v>
      </x:c>
      <x:c r="B1735" s="19" t="n">
        <x:v>4</x:v>
      </x:c>
      <x:c r="C1735" s="19" t="n">
        <x:v>4</x:v>
      </x:c>
      <x:c r="D1735" s="19" t="str">
        <x:v>C04-M038</x:v>
      </x:c>
      <x:c r="E1735" s="19" t="str">
        <x:v>船骸骨鸥</x:v>
      </x:c>
      <x:c r="F1735" s="19" t="str">
        <x:v>普通</x:v>
      </x:c>
      <x:c r="G1735" s="19" t="str">
        <x:v>材料独立候选</x:v>
      </x:c>
      <x:c r="H1735" s="19" t="str">
        <x:v>野兽骨片</x:v>
      </x:c>
      <x:c r="I1735" s="22" t="n">
        <x:v>100</x:v>
      </x:c>
      <x:c r="J1735" s="22" t="n">
        <x:v>2</x:v>
      </x:c>
      <x:c r="K1735" s="19" t="n">
        <x:v>1</x:v>
      </x:c>
      <x:c r="L1735" s="24" t="n">
        <x:v>21.849999999999998</x:v>
      </x:c>
      <x:c r="M1735" s="26" t="n">
        <x:v>0.1</x:v>
      </x:c>
      <x:c r="N1735" s="24" t="n">
        <x:v>72</x:v>
      </x:c>
      <x:c r="O1735" s="28" t="n">
        <x:f>MIN(1,L1735/I1735)</x:f>
        <x:v>0.21849999999999997</x:v>
      </x:c>
      <x:c r="P1735" s="30" t="n">
        <x:f>O1735*J1735*(1+M1735)</x:f>
        <x:v>0.48069999999999996</x:v>
      </x:c>
      <x:c r="Q1735" s="30" t="n">
        <x:f>P1735*N1735</x:f>
        <x:v>34.6104</x:v>
      </x:c>
      <x:c r="R1735" s="19" t="str">
        <x:v>独立判定</x:v>
      </x:c>
    </x:row>
    <x:row r="1736" ht="19" customHeight="1">
      <x:c r="A1736" s="19" t="str">
        <x:v>D01732</x:v>
      </x:c>
      <x:c r="B1736" s="19" t="n">
        <x:v>4</x:v>
      </x:c>
      <x:c r="C1736" s="19" t="n">
        <x:v>4</x:v>
      </x:c>
      <x:c r="D1736" s="19" t="str">
        <x:v>C04-M038</x:v>
      </x:c>
      <x:c r="E1736" s="19" t="str">
        <x:v>船骸骨鸥</x:v>
      </x:c>
      <x:c r="F1736" s="19" t="str">
        <x:v>普通</x:v>
      </x:c>
      <x:c r="G1736" s="19" t="str">
        <x:v>材料独立候选</x:v>
      </x:c>
      <x:c r="H1736" s="19" t="str">
        <x:v>技能残页</x:v>
      </x:c>
      <x:c r="I1736" s="22" t="n">
        <x:v>500</x:v>
      </x:c>
      <x:c r="J1736" s="22" t="n">
        <x:v>1</x:v>
      </x:c>
      <x:c r="K1736" s="19" t="n">
        <x:v>1</x:v>
      </x:c>
      <x:c r="L1736" s="24" t="n">
        <x:v>21.849999999999998</x:v>
      </x:c>
      <x:c r="M1736" s="26" t="n">
        <x:v>0.1</x:v>
      </x:c>
      <x:c r="N1736" s="24" t="n">
        <x:v>72</x:v>
      </x:c>
      <x:c r="O1736" s="28" t="n">
        <x:f>MIN(1,L1736/I1736)</x:f>
        <x:v>0.043699999999999996</x:v>
      </x:c>
      <x:c r="P1736" s="30" t="n">
        <x:f>O1736*J1736*(1+M1736)</x:f>
        <x:v>0.04807</x:v>
      </x:c>
      <x:c r="Q1736" s="30" t="n">
        <x:f>P1736*N1736</x:f>
        <x:v>3.46104</x:v>
      </x:c>
      <x:c r="R1736" s="19" t="str">
        <x:v>独立判定</x:v>
      </x:c>
    </x:row>
    <x:row r="1737" ht="19" customHeight="1">
      <x:c r="A1737" s="19" t="str">
        <x:v>D01733</x:v>
      </x:c>
      <x:c r="B1737" s="19" t="n">
        <x:v>4</x:v>
      </x:c>
      <x:c r="C1737" s="19" t="n">
        <x:v>4</x:v>
      </x:c>
      <x:c r="D1737" s="19" t="str">
        <x:v>C04-M038</x:v>
      </x:c>
      <x:c r="E1737" s="19" t="str">
        <x:v>船骸骨鸥</x:v>
      </x:c>
      <x:c r="F1737" s="19" t="str">
        <x:v>普通</x:v>
      </x:c>
      <x:c r="G1737" s="19" t="str">
        <x:v>材料独立候选</x:v>
      </x:c>
      <x:c r="H1737" s="19" t="str">
        <x:v>小卢恩</x:v>
      </x:c>
      <x:c r="I1737" s="22" t="n">
        <x:v>1000</x:v>
      </x:c>
      <x:c r="J1737" s="22" t="n">
        <x:v>1</x:v>
      </x:c>
      <x:c r="K1737" s="19" t="n">
        <x:v>1</x:v>
      </x:c>
      <x:c r="L1737" s="24" t="n">
        <x:v>21.849999999999998</x:v>
      </x:c>
      <x:c r="M1737" s="26" t="n">
        <x:v>0.1</x:v>
      </x:c>
      <x:c r="N1737" s="24" t="n">
        <x:v>72</x:v>
      </x:c>
      <x:c r="O1737" s="28" t="n">
        <x:f>MIN(1,L1737/I1737)</x:f>
        <x:v>0.021849999999999998</x:v>
      </x:c>
      <x:c r="P1737" s="30" t="n">
        <x:f>O1737*J1737*(1+M1737)</x:f>
        <x:v>0.024035</x:v>
      </x:c>
      <x:c r="Q1737" s="30" t="n">
        <x:f>P1737*N1737</x:f>
        <x:v>1.73052</x:v>
      </x:c>
      <x:c r="R1737" s="19" t="str">
        <x:v>独立判定</x:v>
      </x:c>
    </x:row>
    <x:row r="1738" ht="19" customHeight="1">
      <x:c r="A1738" s="19" t="str">
        <x:v>D01734</x:v>
      </x:c>
      <x:c r="B1738" s="19" t="n">
        <x:v>4</x:v>
      </x:c>
      <x:c r="C1738" s="19" t="n">
        <x:v>4</x:v>
      </x:c>
      <x:c r="D1738" s="19" t="str">
        <x:v>C04-M038</x:v>
      </x:c>
      <x:c r="E1738" s="19" t="str">
        <x:v>船骸骨鸥</x:v>
      </x:c>
      <x:c r="F1738" s="19" t="str">
        <x:v>普通</x:v>
      </x:c>
      <x:c r="G1738" s="19" t="str">
        <x:v>六神器公共池</x:v>
      </x:c>
      <x:c r="H1738" s="19" t="str">
        <x:v>POOL006</x:v>
      </x:c>
      <x:c r="I1738" s="22" t="n">
        <x:v>20000000</x:v>
      </x:c>
      <x:c r="J1738" s="22" t="n">
        <x:v>1</x:v>
      </x:c>
      <x:c r="K1738" s="19" t="n">
        <x:v>6</x:v>
      </x:c>
      <x:c r="L1738" s="24" t="n">
        <x:v>21.849999999999998</x:v>
      </x:c>
      <x:c r="M1738" s="26" t="n">
        <x:v>0.1</x:v>
      </x:c>
      <x:c r="N1738" s="24" t="n">
        <x:v>72</x:v>
      </x:c>
      <x:c r="O1738" s="28" t="n">
        <x:f>MIN(1,L1738/I1738)</x:f>
        <x:v>0.0000010925</x:v>
      </x:c>
      <x:c r="P1738" s="30" t="n">
        <x:f>O1738*J1738*(1+M1738)</x:f>
        <x:v>0.00000120175</x:v>
      </x:c>
      <x:c r="Q1738" s="30" t="n">
        <x:f>P1738*N1738</x:f>
        <x:v>0.00008652599999999999</x:v>
      </x:c>
      <x:c r="R1738" s="19" t="str">
        <x:v>六选一；非6个独立爆率</x:v>
      </x:c>
    </x:row>
    <x:row r="1739" ht="19" customHeight="1">
      <x:c r="A1739" s="19" t="str">
        <x:v>D01735</x:v>
      </x:c>
      <x:c r="B1739" s="19" t="n">
        <x:v>4</x:v>
      </x:c>
      <x:c r="C1739" s="19" t="n">
        <x:v>4</x:v>
      </x:c>
      <x:c r="D1739" s="19" t="str">
        <x:v>C04-M039</x:v>
      </x:c>
      <x:c r="E1739" s="19" t="str">
        <x:v>漏舱舀水鬼</x:v>
      </x:c>
      <x:c r="F1739" s="19" t="str">
        <x:v>普通</x:v>
      </x:c>
      <x:c r="G1739" s="19" t="str">
        <x:v>自身专属</x:v>
      </x:c>
      <x:c r="H1739" s="19" t="str">
        <x:v>舀魂铜瓢</x:v>
      </x:c>
      <x:c r="I1739" s="22" t="n">
        <x:v>1500</x:v>
      </x:c>
      <x:c r="J1739" s="22" t="n">
        <x:v>1</x:v>
      </x:c>
      <x:c r="K1739" s="19" t="n">
        <x:v>1</x:v>
      </x:c>
      <x:c r="L1739" s="24" t="n">
        <x:v>21.849999999999998</x:v>
      </x:c>
      <x:c r="M1739" s="26" t="n">
        <x:v>0.1</x:v>
      </x:c>
      <x:c r="N1739" s="24" t="n">
        <x:v>72</x:v>
      </x:c>
      <x:c r="O1739" s="28" t="n">
        <x:f>MIN(1,L1739/I1739)</x:f>
        <x:v>0.014566666666666665</x:v>
      </x:c>
      <x:c r="P1739" s="30" t="n">
        <x:f>O1739*J1739*(1+M1739)</x:f>
        <x:v>0.016023333333333334</x:v>
      </x:c>
      <x:c r="Q1739" s="30" t="n">
        <x:f>P1739*N1739</x:f>
        <x:v>1.15368</x:v>
      </x:c>
      <x:c r="R1739" s="19" t="str">
        <x:v>独立判定</x:v>
      </x:c>
    </x:row>
    <x:row r="1740" ht="19" customHeight="1">
      <x:c r="A1740" s="19" t="str">
        <x:v>D01736</x:v>
      </x:c>
      <x:c r="B1740" s="19" t="n">
        <x:v>4</x:v>
      </x:c>
      <x:c r="C1740" s="19" t="n">
        <x:v>4</x:v>
      </x:c>
      <x:c r="D1740" s="19" t="str">
        <x:v>C04-M039</x:v>
      </x:c>
      <x:c r="E1740" s="19" t="str">
        <x:v>漏舱舀水鬼</x:v>
      </x:c>
      <x:c r="F1740" s="19" t="str">
        <x:v>普通</x:v>
      </x:c>
      <x:c r="G1740" s="19" t="str">
        <x:v>材料独立候选</x:v>
      </x:c>
      <x:c r="H1740" s="19" t="str">
        <x:v>湖盐结晶</x:v>
      </x:c>
      <x:c r="I1740" s="22" t="n">
        <x:v>600</x:v>
      </x:c>
      <x:c r="J1740" s="22" t="n">
        <x:v>8</x:v>
      </x:c>
      <x:c r="K1740" s="19" t="n">
        <x:v>1</x:v>
      </x:c>
      <x:c r="L1740" s="24" t="n">
        <x:v>21.849999999999998</x:v>
      </x:c>
      <x:c r="M1740" s="26" t="n">
        <x:v>0.1</x:v>
      </x:c>
      <x:c r="N1740" s="24" t="n">
        <x:v>72</x:v>
      </x:c>
      <x:c r="O1740" s="28" t="n">
        <x:f>MIN(1,L1740/I1740)</x:f>
        <x:v>0.03641666666666666</x:v>
      </x:c>
      <x:c r="P1740" s="30" t="n">
        <x:f>O1740*J1740*(1+M1740)</x:f>
        <x:v>0.3204666666666666</x:v>
      </x:c>
      <x:c r="Q1740" s="30" t="n">
        <x:f>P1740*N1740</x:f>
        <x:v>23.073599999999995</x:v>
      </x:c>
      <x:c r="R1740" s="19" t="str">
        <x:v>独立判定</x:v>
      </x:c>
    </x:row>
    <x:row r="1741" ht="19" customHeight="1">
      <x:c r="A1741" s="19" t="str">
        <x:v>D01737</x:v>
      </x:c>
      <x:c r="B1741" s="19" t="n">
        <x:v>4</x:v>
      </x:c>
      <x:c r="C1741" s="19" t="n">
        <x:v>4</x:v>
      </x:c>
      <x:c r="D1741" s="19" t="str">
        <x:v>C04-M039</x:v>
      </x:c>
      <x:c r="E1741" s="19" t="str">
        <x:v>漏舱舀水鬼</x:v>
      </x:c>
      <x:c r="F1741" s="19" t="str">
        <x:v>普通</x:v>
      </x:c>
      <x:c r="G1741" s="19" t="str">
        <x:v>材料独立候选</x:v>
      </x:c>
      <x:c r="H1741" s="19" t="str">
        <x:v>雾潮银鳞</x:v>
      </x:c>
      <x:c r="I1741" s="22" t="n">
        <x:v>800</x:v>
      </x:c>
      <x:c r="J1741" s="22" t="n">
        <x:v>1</x:v>
      </x:c>
      <x:c r="K1741" s="19" t="n">
        <x:v>1</x:v>
      </x:c>
      <x:c r="L1741" s="24" t="n">
        <x:v>21.849999999999998</x:v>
      </x:c>
      <x:c r="M1741" s="26" t="n">
        <x:v>0.1</x:v>
      </x:c>
      <x:c r="N1741" s="24" t="n">
        <x:v>72</x:v>
      </x:c>
      <x:c r="O1741" s="28" t="n">
        <x:f>MIN(1,L1741/I1741)</x:f>
        <x:v>0.027312499999999997</x:v>
      </x:c>
      <x:c r="P1741" s="30" t="n">
        <x:f>O1741*J1741*(1+M1741)</x:f>
        <x:v>0.030043749999999998</x:v>
      </x:c>
      <x:c r="Q1741" s="30" t="n">
        <x:f>P1741*N1741</x:f>
        <x:v>2.16315</x:v>
      </x:c>
      <x:c r="R1741" s="19" t="str">
        <x:v>独立判定</x:v>
      </x:c>
    </x:row>
    <x:row r="1742" ht="19" customHeight="1">
      <x:c r="A1742" s="19" t="str">
        <x:v>D01738</x:v>
      </x:c>
      <x:c r="B1742" s="19" t="n">
        <x:v>4</x:v>
      </x:c>
      <x:c r="C1742" s="19" t="n">
        <x:v>4</x:v>
      </x:c>
      <x:c r="D1742" s="19" t="str">
        <x:v>C04-M039</x:v>
      </x:c>
      <x:c r="E1742" s="19" t="str">
        <x:v>漏舱舀水鬼</x:v>
      </x:c>
      <x:c r="F1742" s="19" t="str">
        <x:v>普通</x:v>
      </x:c>
      <x:c r="G1742" s="19" t="str">
        <x:v>材料独立候选</x:v>
      </x:c>
      <x:c r="H1742" s="19" t="str">
        <x:v>月潮忆珀</x:v>
      </x:c>
      <x:c r="I1742" s="22" t="n">
        <x:v>1000000</x:v>
      </x:c>
      <x:c r="J1742" s="22" t="n">
        <x:v>1</x:v>
      </x:c>
      <x:c r="K1742" s="19" t="n">
        <x:v>1</x:v>
      </x:c>
      <x:c r="L1742" s="24" t="n">
        <x:v>21.849999999999998</x:v>
      </x:c>
      <x:c r="M1742" s="26" t="n">
        <x:v>0.1</x:v>
      </x:c>
      <x:c r="N1742" s="24" t="n">
        <x:v>72</x:v>
      </x:c>
      <x:c r="O1742" s="28" t="n">
        <x:f>MIN(1,L1742/I1742)</x:f>
        <x:v>0.00002185</x:v>
      </x:c>
      <x:c r="P1742" s="30" t="n">
        <x:f>O1742*J1742*(1+M1742)</x:f>
        <x:v>0.000024035</x:v>
      </x:c>
      <x:c r="Q1742" s="30" t="n">
        <x:f>P1742*N1742</x:f>
        <x:v>0.00173052</x:v>
      </x:c>
      <x:c r="R1742" s="19" t="str">
        <x:v>独立判定</x:v>
      </x:c>
    </x:row>
    <x:row r="1743" ht="19" customHeight="1">
      <x:c r="A1743" s="19" t="str">
        <x:v>D01739</x:v>
      </x:c>
      <x:c r="B1743" s="19" t="n">
        <x:v>4</x:v>
      </x:c>
      <x:c r="C1743" s="19" t="n">
        <x:v>4</x:v>
      </x:c>
      <x:c r="D1743" s="19" t="str">
        <x:v>C04-M039</x:v>
      </x:c>
      <x:c r="E1743" s="19" t="str">
        <x:v>漏舱舀水鬼</x:v>
      </x:c>
      <x:c r="F1743" s="19" t="str">
        <x:v>普通</x:v>
      </x:c>
      <x:c r="G1743" s="19" t="str">
        <x:v>材料独立候选</x:v>
      </x:c>
      <x:c r="H1743" s="19" t="str">
        <x:v>野兽骨片</x:v>
      </x:c>
      <x:c r="I1743" s="22" t="n">
        <x:v>100</x:v>
      </x:c>
      <x:c r="J1743" s="22" t="n">
        <x:v>2</x:v>
      </x:c>
      <x:c r="K1743" s="19" t="n">
        <x:v>1</x:v>
      </x:c>
      <x:c r="L1743" s="24" t="n">
        <x:v>21.849999999999998</x:v>
      </x:c>
      <x:c r="M1743" s="26" t="n">
        <x:v>0.1</x:v>
      </x:c>
      <x:c r="N1743" s="24" t="n">
        <x:v>72</x:v>
      </x:c>
      <x:c r="O1743" s="28" t="n">
        <x:f>MIN(1,L1743/I1743)</x:f>
        <x:v>0.21849999999999997</x:v>
      </x:c>
      <x:c r="P1743" s="30" t="n">
        <x:f>O1743*J1743*(1+M1743)</x:f>
        <x:v>0.48069999999999996</x:v>
      </x:c>
      <x:c r="Q1743" s="30" t="n">
        <x:f>P1743*N1743</x:f>
        <x:v>34.6104</x:v>
      </x:c>
      <x:c r="R1743" s="19" t="str">
        <x:v>独立判定</x:v>
      </x:c>
    </x:row>
    <x:row r="1744" ht="19" customHeight="1">
      <x:c r="A1744" s="19" t="str">
        <x:v>D01740</x:v>
      </x:c>
      <x:c r="B1744" s="19" t="n">
        <x:v>4</x:v>
      </x:c>
      <x:c r="C1744" s="19" t="n">
        <x:v>4</x:v>
      </x:c>
      <x:c r="D1744" s="19" t="str">
        <x:v>C04-M039</x:v>
      </x:c>
      <x:c r="E1744" s="19" t="str">
        <x:v>漏舱舀水鬼</x:v>
      </x:c>
      <x:c r="F1744" s="19" t="str">
        <x:v>普通</x:v>
      </x:c>
      <x:c r="G1744" s="19" t="str">
        <x:v>材料独立候选</x:v>
      </x:c>
      <x:c r="H1744" s="19" t="str">
        <x:v>技能残页</x:v>
      </x:c>
      <x:c r="I1744" s="22" t="n">
        <x:v>500</x:v>
      </x:c>
      <x:c r="J1744" s="22" t="n">
        <x:v>1</x:v>
      </x:c>
      <x:c r="K1744" s="19" t="n">
        <x:v>1</x:v>
      </x:c>
      <x:c r="L1744" s="24" t="n">
        <x:v>21.849999999999998</x:v>
      </x:c>
      <x:c r="M1744" s="26" t="n">
        <x:v>0.1</x:v>
      </x:c>
      <x:c r="N1744" s="24" t="n">
        <x:v>72</x:v>
      </x:c>
      <x:c r="O1744" s="28" t="n">
        <x:f>MIN(1,L1744/I1744)</x:f>
        <x:v>0.043699999999999996</x:v>
      </x:c>
      <x:c r="P1744" s="30" t="n">
        <x:f>O1744*J1744*(1+M1744)</x:f>
        <x:v>0.04807</x:v>
      </x:c>
      <x:c r="Q1744" s="30" t="n">
        <x:f>P1744*N1744</x:f>
        <x:v>3.46104</x:v>
      </x:c>
      <x:c r="R1744" s="19" t="str">
        <x:v>独立判定</x:v>
      </x:c>
    </x:row>
    <x:row r="1745" ht="19" customHeight="1">
      <x:c r="A1745" s="19" t="str">
        <x:v>D01741</x:v>
      </x:c>
      <x:c r="B1745" s="19" t="n">
        <x:v>4</x:v>
      </x:c>
      <x:c r="C1745" s="19" t="n">
        <x:v>4</x:v>
      </x:c>
      <x:c r="D1745" s="19" t="str">
        <x:v>C04-M039</x:v>
      </x:c>
      <x:c r="E1745" s="19" t="str">
        <x:v>漏舱舀水鬼</x:v>
      </x:c>
      <x:c r="F1745" s="19" t="str">
        <x:v>普通</x:v>
      </x:c>
      <x:c r="G1745" s="19" t="str">
        <x:v>材料独立候选</x:v>
      </x:c>
      <x:c r="H1745" s="19" t="str">
        <x:v>小卢恩</x:v>
      </x:c>
      <x:c r="I1745" s="22" t="n">
        <x:v>1000</x:v>
      </x:c>
      <x:c r="J1745" s="22" t="n">
        <x:v>1</x:v>
      </x:c>
      <x:c r="K1745" s="19" t="n">
        <x:v>1</x:v>
      </x:c>
      <x:c r="L1745" s="24" t="n">
        <x:v>21.849999999999998</x:v>
      </x:c>
      <x:c r="M1745" s="26" t="n">
        <x:v>0.1</x:v>
      </x:c>
      <x:c r="N1745" s="24" t="n">
        <x:v>72</x:v>
      </x:c>
      <x:c r="O1745" s="28" t="n">
        <x:f>MIN(1,L1745/I1745)</x:f>
        <x:v>0.021849999999999998</x:v>
      </x:c>
      <x:c r="P1745" s="30" t="n">
        <x:f>O1745*J1745*(1+M1745)</x:f>
        <x:v>0.024035</x:v>
      </x:c>
      <x:c r="Q1745" s="30" t="n">
        <x:f>P1745*N1745</x:f>
        <x:v>1.73052</x:v>
      </x:c>
      <x:c r="R1745" s="19" t="str">
        <x:v>独立判定</x:v>
      </x:c>
    </x:row>
    <x:row r="1746" ht="19" customHeight="1">
      <x:c r="A1746" s="19" t="str">
        <x:v>D01742</x:v>
      </x:c>
      <x:c r="B1746" s="19" t="n">
        <x:v>4</x:v>
      </x:c>
      <x:c r="C1746" s="19" t="n">
        <x:v>4</x:v>
      </x:c>
      <x:c r="D1746" s="19" t="str">
        <x:v>C04-M039</x:v>
      </x:c>
      <x:c r="E1746" s="19" t="str">
        <x:v>漏舱舀水鬼</x:v>
      </x:c>
      <x:c r="F1746" s="19" t="str">
        <x:v>普通</x:v>
      </x:c>
      <x:c r="G1746" s="19" t="str">
        <x:v>六神器公共池</x:v>
      </x:c>
      <x:c r="H1746" s="19" t="str">
        <x:v>POOL006</x:v>
      </x:c>
      <x:c r="I1746" s="22" t="n">
        <x:v>20000000</x:v>
      </x:c>
      <x:c r="J1746" s="22" t="n">
        <x:v>1</x:v>
      </x:c>
      <x:c r="K1746" s="19" t="n">
        <x:v>6</x:v>
      </x:c>
      <x:c r="L1746" s="24" t="n">
        <x:v>21.849999999999998</x:v>
      </x:c>
      <x:c r="M1746" s="26" t="n">
        <x:v>0.1</x:v>
      </x:c>
      <x:c r="N1746" s="24" t="n">
        <x:v>72</x:v>
      </x:c>
      <x:c r="O1746" s="28" t="n">
        <x:f>MIN(1,L1746/I1746)</x:f>
        <x:v>0.0000010925</x:v>
      </x:c>
      <x:c r="P1746" s="30" t="n">
        <x:f>O1746*J1746*(1+M1746)</x:f>
        <x:v>0.00000120175</x:v>
      </x:c>
      <x:c r="Q1746" s="30" t="n">
        <x:f>P1746*N1746</x:f>
        <x:v>0.00008652599999999999</x:v>
      </x:c>
      <x:c r="R1746" s="19" t="str">
        <x:v>六选一；非6个独立爆率</x:v>
      </x:c>
    </x:row>
    <x:row r="1747" ht="19" customHeight="1">
      <x:c r="A1747" s="19" t="str">
        <x:v>D01743</x:v>
      </x:c>
      <x:c r="B1747" s="19" t="n">
        <x:v>4</x:v>
      </x:c>
      <x:c r="C1747" s="19" t="n">
        <x:v>4</x:v>
      </x:c>
      <x:c r="D1747" s="19" t="str">
        <x:v>C04-M040</x:v>
      </x:c>
      <x:c r="E1747" s="19" t="str">
        <x:v>铜铃引魂童</x:v>
      </x:c>
      <x:c r="F1747" s="19" t="str">
        <x:v>普通</x:v>
      </x:c>
      <x:c r="G1747" s="19" t="str">
        <x:v>自身专属</x:v>
      </x:c>
      <x:c r="H1747" s="19" t="str">
        <x:v>引魂铜铃链</x:v>
      </x:c>
      <x:c r="I1747" s="22" t="n">
        <x:v>1500</x:v>
      </x:c>
      <x:c r="J1747" s="22" t="n">
        <x:v>1</x:v>
      </x:c>
      <x:c r="K1747" s="19" t="n">
        <x:v>1</x:v>
      </x:c>
      <x:c r="L1747" s="24" t="n">
        <x:v>21.849999999999998</x:v>
      </x:c>
      <x:c r="M1747" s="26" t="n">
        <x:v>0.1</x:v>
      </x:c>
      <x:c r="N1747" s="24" t="n">
        <x:v>72</x:v>
      </x:c>
      <x:c r="O1747" s="28" t="n">
        <x:f>MIN(1,L1747/I1747)</x:f>
        <x:v>0.014566666666666665</x:v>
      </x:c>
      <x:c r="P1747" s="30" t="n">
        <x:f>O1747*J1747*(1+M1747)</x:f>
        <x:v>0.016023333333333334</x:v>
      </x:c>
      <x:c r="Q1747" s="30" t="n">
        <x:f>P1747*N1747</x:f>
        <x:v>1.15368</x:v>
      </x:c>
      <x:c r="R1747" s="19" t="str">
        <x:v>独立判定</x:v>
      </x:c>
    </x:row>
    <x:row r="1748" ht="19" customHeight="1">
      <x:c r="A1748" s="19" t="str">
        <x:v>D01744</x:v>
      </x:c>
      <x:c r="B1748" s="19" t="n">
        <x:v>4</x:v>
      </x:c>
      <x:c r="C1748" s="19" t="n">
        <x:v>4</x:v>
      </x:c>
      <x:c r="D1748" s="19" t="str">
        <x:v>C04-M040</x:v>
      </x:c>
      <x:c r="E1748" s="19" t="str">
        <x:v>铜铃引魂童</x:v>
      </x:c>
      <x:c r="F1748" s="19" t="str">
        <x:v>普通</x:v>
      </x:c>
      <x:c r="G1748" s="19" t="str">
        <x:v>材料独立候选</x:v>
      </x:c>
      <x:c r="H1748" s="19" t="str">
        <x:v>湖盐结晶</x:v>
      </x:c>
      <x:c r="I1748" s="22" t="n">
        <x:v>600</x:v>
      </x:c>
      <x:c r="J1748" s="22" t="n">
        <x:v>8</x:v>
      </x:c>
      <x:c r="K1748" s="19" t="n">
        <x:v>1</x:v>
      </x:c>
      <x:c r="L1748" s="24" t="n">
        <x:v>21.849999999999998</x:v>
      </x:c>
      <x:c r="M1748" s="26" t="n">
        <x:v>0.1</x:v>
      </x:c>
      <x:c r="N1748" s="24" t="n">
        <x:v>72</x:v>
      </x:c>
      <x:c r="O1748" s="28" t="n">
        <x:f>MIN(1,L1748/I1748)</x:f>
        <x:v>0.03641666666666666</x:v>
      </x:c>
      <x:c r="P1748" s="30" t="n">
        <x:f>O1748*J1748*(1+M1748)</x:f>
        <x:v>0.3204666666666666</x:v>
      </x:c>
      <x:c r="Q1748" s="30" t="n">
        <x:f>P1748*N1748</x:f>
        <x:v>23.073599999999995</x:v>
      </x:c>
      <x:c r="R1748" s="19" t="str">
        <x:v>独立判定</x:v>
      </x:c>
    </x:row>
    <x:row r="1749" ht="19" customHeight="1">
      <x:c r="A1749" s="19" t="str">
        <x:v>D01745</x:v>
      </x:c>
      <x:c r="B1749" s="19" t="n">
        <x:v>4</x:v>
      </x:c>
      <x:c r="C1749" s="19" t="n">
        <x:v>4</x:v>
      </x:c>
      <x:c r="D1749" s="19" t="str">
        <x:v>C04-M040</x:v>
      </x:c>
      <x:c r="E1749" s="19" t="str">
        <x:v>铜铃引魂童</x:v>
      </x:c>
      <x:c r="F1749" s="19" t="str">
        <x:v>普通</x:v>
      </x:c>
      <x:c r="G1749" s="19" t="str">
        <x:v>材料独立候选</x:v>
      </x:c>
      <x:c r="H1749" s="19" t="str">
        <x:v>雾潮银鳞</x:v>
      </x:c>
      <x:c r="I1749" s="22" t="n">
        <x:v>800</x:v>
      </x:c>
      <x:c r="J1749" s="22" t="n">
        <x:v>1</x:v>
      </x:c>
      <x:c r="K1749" s="19" t="n">
        <x:v>1</x:v>
      </x:c>
      <x:c r="L1749" s="24" t="n">
        <x:v>21.849999999999998</x:v>
      </x:c>
      <x:c r="M1749" s="26" t="n">
        <x:v>0.1</x:v>
      </x:c>
      <x:c r="N1749" s="24" t="n">
        <x:v>72</x:v>
      </x:c>
      <x:c r="O1749" s="28" t="n">
        <x:f>MIN(1,L1749/I1749)</x:f>
        <x:v>0.027312499999999997</x:v>
      </x:c>
      <x:c r="P1749" s="30" t="n">
        <x:f>O1749*J1749*(1+M1749)</x:f>
        <x:v>0.030043749999999998</x:v>
      </x:c>
      <x:c r="Q1749" s="30" t="n">
        <x:f>P1749*N1749</x:f>
        <x:v>2.16315</x:v>
      </x:c>
      <x:c r="R1749" s="19" t="str">
        <x:v>独立判定</x:v>
      </x:c>
    </x:row>
    <x:row r="1750" ht="19" customHeight="1">
      <x:c r="A1750" s="19" t="str">
        <x:v>D01746</x:v>
      </x:c>
      <x:c r="B1750" s="19" t="n">
        <x:v>4</x:v>
      </x:c>
      <x:c r="C1750" s="19" t="n">
        <x:v>4</x:v>
      </x:c>
      <x:c r="D1750" s="19" t="str">
        <x:v>C04-M040</x:v>
      </x:c>
      <x:c r="E1750" s="19" t="str">
        <x:v>铜铃引魂童</x:v>
      </x:c>
      <x:c r="F1750" s="19" t="str">
        <x:v>普通</x:v>
      </x:c>
      <x:c r="G1750" s="19" t="str">
        <x:v>材料独立候选</x:v>
      </x:c>
      <x:c r="H1750" s="19" t="str">
        <x:v>月潮忆珀</x:v>
      </x:c>
      <x:c r="I1750" s="22" t="n">
        <x:v>1000000</x:v>
      </x:c>
      <x:c r="J1750" s="22" t="n">
        <x:v>1</x:v>
      </x:c>
      <x:c r="K1750" s="19" t="n">
        <x:v>1</x:v>
      </x:c>
      <x:c r="L1750" s="24" t="n">
        <x:v>21.849999999999998</x:v>
      </x:c>
      <x:c r="M1750" s="26" t="n">
        <x:v>0.1</x:v>
      </x:c>
      <x:c r="N1750" s="24" t="n">
        <x:v>72</x:v>
      </x:c>
      <x:c r="O1750" s="28" t="n">
        <x:f>MIN(1,L1750/I1750)</x:f>
        <x:v>0.00002185</x:v>
      </x:c>
      <x:c r="P1750" s="30" t="n">
        <x:f>O1750*J1750*(1+M1750)</x:f>
        <x:v>0.000024035</x:v>
      </x:c>
      <x:c r="Q1750" s="30" t="n">
        <x:f>P1750*N1750</x:f>
        <x:v>0.00173052</x:v>
      </x:c>
      <x:c r="R1750" s="19" t="str">
        <x:v>独立判定</x:v>
      </x:c>
    </x:row>
    <x:row r="1751" ht="19" customHeight="1">
      <x:c r="A1751" s="19" t="str">
        <x:v>D01747</x:v>
      </x:c>
      <x:c r="B1751" s="19" t="n">
        <x:v>4</x:v>
      </x:c>
      <x:c r="C1751" s="19" t="n">
        <x:v>4</x:v>
      </x:c>
      <x:c r="D1751" s="19" t="str">
        <x:v>C04-M040</x:v>
      </x:c>
      <x:c r="E1751" s="19" t="str">
        <x:v>铜铃引魂童</x:v>
      </x:c>
      <x:c r="F1751" s="19" t="str">
        <x:v>普通</x:v>
      </x:c>
      <x:c r="G1751" s="19" t="str">
        <x:v>材料独立候选</x:v>
      </x:c>
      <x:c r="H1751" s="19" t="str">
        <x:v>野兽骨片</x:v>
      </x:c>
      <x:c r="I1751" s="22" t="n">
        <x:v>100</x:v>
      </x:c>
      <x:c r="J1751" s="22" t="n">
        <x:v>2</x:v>
      </x:c>
      <x:c r="K1751" s="19" t="n">
        <x:v>1</x:v>
      </x:c>
      <x:c r="L1751" s="24" t="n">
        <x:v>21.849999999999998</x:v>
      </x:c>
      <x:c r="M1751" s="26" t="n">
        <x:v>0.1</x:v>
      </x:c>
      <x:c r="N1751" s="24" t="n">
        <x:v>72</x:v>
      </x:c>
      <x:c r="O1751" s="28" t="n">
        <x:f>MIN(1,L1751/I1751)</x:f>
        <x:v>0.21849999999999997</x:v>
      </x:c>
      <x:c r="P1751" s="30" t="n">
        <x:f>O1751*J1751*(1+M1751)</x:f>
        <x:v>0.48069999999999996</x:v>
      </x:c>
      <x:c r="Q1751" s="30" t="n">
        <x:f>P1751*N1751</x:f>
        <x:v>34.6104</x:v>
      </x:c>
      <x:c r="R1751" s="19" t="str">
        <x:v>独立判定</x:v>
      </x:c>
    </x:row>
    <x:row r="1752" ht="19" customHeight="1">
      <x:c r="A1752" s="19" t="str">
        <x:v>D01748</x:v>
      </x:c>
      <x:c r="B1752" s="19" t="n">
        <x:v>4</x:v>
      </x:c>
      <x:c r="C1752" s="19" t="n">
        <x:v>4</x:v>
      </x:c>
      <x:c r="D1752" s="19" t="str">
        <x:v>C04-M040</x:v>
      </x:c>
      <x:c r="E1752" s="19" t="str">
        <x:v>铜铃引魂童</x:v>
      </x:c>
      <x:c r="F1752" s="19" t="str">
        <x:v>普通</x:v>
      </x:c>
      <x:c r="G1752" s="19" t="str">
        <x:v>材料独立候选</x:v>
      </x:c>
      <x:c r="H1752" s="19" t="str">
        <x:v>技能残页</x:v>
      </x:c>
      <x:c r="I1752" s="22" t="n">
        <x:v>500</x:v>
      </x:c>
      <x:c r="J1752" s="22" t="n">
        <x:v>1</x:v>
      </x:c>
      <x:c r="K1752" s="19" t="n">
        <x:v>1</x:v>
      </x:c>
      <x:c r="L1752" s="24" t="n">
        <x:v>21.849999999999998</x:v>
      </x:c>
      <x:c r="M1752" s="26" t="n">
        <x:v>0.1</x:v>
      </x:c>
      <x:c r="N1752" s="24" t="n">
        <x:v>72</x:v>
      </x:c>
      <x:c r="O1752" s="28" t="n">
        <x:f>MIN(1,L1752/I1752)</x:f>
        <x:v>0.043699999999999996</x:v>
      </x:c>
      <x:c r="P1752" s="30" t="n">
        <x:f>O1752*J1752*(1+M1752)</x:f>
        <x:v>0.04807</x:v>
      </x:c>
      <x:c r="Q1752" s="30" t="n">
        <x:f>P1752*N1752</x:f>
        <x:v>3.46104</x:v>
      </x:c>
      <x:c r="R1752" s="19" t="str">
        <x:v>独立判定</x:v>
      </x:c>
    </x:row>
    <x:row r="1753" ht="19" customHeight="1">
      <x:c r="A1753" s="19" t="str">
        <x:v>D01749</x:v>
      </x:c>
      <x:c r="B1753" s="19" t="n">
        <x:v>4</x:v>
      </x:c>
      <x:c r="C1753" s="19" t="n">
        <x:v>4</x:v>
      </x:c>
      <x:c r="D1753" s="19" t="str">
        <x:v>C04-M040</x:v>
      </x:c>
      <x:c r="E1753" s="19" t="str">
        <x:v>铜铃引魂童</x:v>
      </x:c>
      <x:c r="F1753" s="19" t="str">
        <x:v>普通</x:v>
      </x:c>
      <x:c r="G1753" s="19" t="str">
        <x:v>材料独立候选</x:v>
      </x:c>
      <x:c r="H1753" s="19" t="str">
        <x:v>小卢恩</x:v>
      </x:c>
      <x:c r="I1753" s="22" t="n">
        <x:v>1000</x:v>
      </x:c>
      <x:c r="J1753" s="22" t="n">
        <x:v>1</x:v>
      </x:c>
      <x:c r="K1753" s="19" t="n">
        <x:v>1</x:v>
      </x:c>
      <x:c r="L1753" s="24" t="n">
        <x:v>21.849999999999998</x:v>
      </x:c>
      <x:c r="M1753" s="26" t="n">
        <x:v>0.1</x:v>
      </x:c>
      <x:c r="N1753" s="24" t="n">
        <x:v>72</x:v>
      </x:c>
      <x:c r="O1753" s="28" t="n">
        <x:f>MIN(1,L1753/I1753)</x:f>
        <x:v>0.021849999999999998</x:v>
      </x:c>
      <x:c r="P1753" s="30" t="n">
        <x:f>O1753*J1753*(1+M1753)</x:f>
        <x:v>0.024035</x:v>
      </x:c>
      <x:c r="Q1753" s="30" t="n">
        <x:f>P1753*N1753</x:f>
        <x:v>1.73052</x:v>
      </x:c>
      <x:c r="R1753" s="19" t="str">
        <x:v>独立判定</x:v>
      </x:c>
    </x:row>
    <x:row r="1754" ht="19" customHeight="1">
      <x:c r="A1754" s="19" t="str">
        <x:v>D01750</x:v>
      </x:c>
      <x:c r="B1754" s="19" t="n">
        <x:v>4</x:v>
      </x:c>
      <x:c r="C1754" s="19" t="n">
        <x:v>4</x:v>
      </x:c>
      <x:c r="D1754" s="19" t="str">
        <x:v>C04-M040</x:v>
      </x:c>
      <x:c r="E1754" s="19" t="str">
        <x:v>铜铃引魂童</x:v>
      </x:c>
      <x:c r="F1754" s="19" t="str">
        <x:v>普通</x:v>
      </x:c>
      <x:c r="G1754" s="19" t="str">
        <x:v>六神器公共池</x:v>
      </x:c>
      <x:c r="H1754" s="19" t="str">
        <x:v>POOL006</x:v>
      </x:c>
      <x:c r="I1754" s="22" t="n">
        <x:v>20000000</x:v>
      </x:c>
      <x:c r="J1754" s="22" t="n">
        <x:v>1</x:v>
      </x:c>
      <x:c r="K1754" s="19" t="n">
        <x:v>6</x:v>
      </x:c>
      <x:c r="L1754" s="24" t="n">
        <x:v>21.849999999999998</x:v>
      </x:c>
      <x:c r="M1754" s="26" t="n">
        <x:v>0.1</x:v>
      </x:c>
      <x:c r="N1754" s="24" t="n">
        <x:v>72</x:v>
      </x:c>
      <x:c r="O1754" s="28" t="n">
        <x:f>MIN(1,L1754/I1754)</x:f>
        <x:v>0.0000010925</x:v>
      </x:c>
      <x:c r="P1754" s="30" t="n">
        <x:f>O1754*J1754*(1+M1754)</x:f>
        <x:v>0.00000120175</x:v>
      </x:c>
      <x:c r="Q1754" s="30" t="n">
        <x:f>P1754*N1754</x:f>
        <x:v>0.00008652599999999999</x:v>
      </x:c>
      <x:c r="R1754" s="19" t="str">
        <x:v>六选一；非6个独立爆率</x:v>
      </x:c>
    </x:row>
    <x:row r="1755" ht="19" customHeight="1">
      <x:c r="A1755" s="19" t="str">
        <x:v>D01751</x:v>
      </x:c>
      <x:c r="B1755" s="19" t="n">
        <x:v>4</x:v>
      </x:c>
      <x:c r="C1755" s="19" t="n">
        <x:v>4</x:v>
      </x:c>
      <x:c r="D1755" s="19" t="str">
        <x:v>C04-M041</x:v>
      </x:c>
      <x:c r="E1755" s="19" t="str">
        <x:v>密舱蜡尸</x:v>
      </x:c>
      <x:c r="F1755" s="19" t="str">
        <x:v>普通</x:v>
      </x:c>
      <x:c r="G1755" s="19" t="str">
        <x:v>自身专属</x:v>
      </x:c>
      <x:c r="H1755" s="19" t="str">
        <x:v>蜡封尸衣</x:v>
      </x:c>
      <x:c r="I1755" s="22" t="n">
        <x:v>1500</x:v>
      </x:c>
      <x:c r="J1755" s="22" t="n">
        <x:v>1</x:v>
      </x:c>
      <x:c r="K1755" s="19" t="n">
        <x:v>1</x:v>
      </x:c>
      <x:c r="L1755" s="24" t="n">
        <x:v>21.849999999999998</x:v>
      </x:c>
      <x:c r="M1755" s="26" t="n">
        <x:v>0.1</x:v>
      </x:c>
      <x:c r="N1755" s="24" t="n">
        <x:v>72</x:v>
      </x:c>
      <x:c r="O1755" s="28" t="n">
        <x:f>MIN(1,L1755/I1755)</x:f>
        <x:v>0.014566666666666665</x:v>
      </x:c>
      <x:c r="P1755" s="30" t="n">
        <x:f>O1755*J1755*(1+M1755)</x:f>
        <x:v>0.016023333333333334</x:v>
      </x:c>
      <x:c r="Q1755" s="30" t="n">
        <x:f>P1755*N1755</x:f>
        <x:v>1.15368</x:v>
      </x:c>
      <x:c r="R1755" s="19" t="str">
        <x:v>独立判定</x:v>
      </x:c>
    </x:row>
    <x:row r="1756" ht="19" customHeight="1">
      <x:c r="A1756" s="19" t="str">
        <x:v>D01752</x:v>
      </x:c>
      <x:c r="B1756" s="19" t="n">
        <x:v>4</x:v>
      </x:c>
      <x:c r="C1756" s="19" t="n">
        <x:v>4</x:v>
      </x:c>
      <x:c r="D1756" s="19" t="str">
        <x:v>C04-M041</x:v>
      </x:c>
      <x:c r="E1756" s="19" t="str">
        <x:v>密舱蜡尸</x:v>
      </x:c>
      <x:c r="F1756" s="19" t="str">
        <x:v>普通</x:v>
      </x:c>
      <x:c r="G1756" s="19" t="str">
        <x:v>材料独立候选</x:v>
      </x:c>
      <x:c r="H1756" s="19" t="str">
        <x:v>湖盐结晶</x:v>
      </x:c>
      <x:c r="I1756" s="22" t="n">
        <x:v>600</x:v>
      </x:c>
      <x:c r="J1756" s="22" t="n">
        <x:v>8</x:v>
      </x:c>
      <x:c r="K1756" s="19" t="n">
        <x:v>1</x:v>
      </x:c>
      <x:c r="L1756" s="24" t="n">
        <x:v>21.849999999999998</x:v>
      </x:c>
      <x:c r="M1756" s="26" t="n">
        <x:v>0.1</x:v>
      </x:c>
      <x:c r="N1756" s="24" t="n">
        <x:v>72</x:v>
      </x:c>
      <x:c r="O1756" s="28" t="n">
        <x:f>MIN(1,L1756/I1756)</x:f>
        <x:v>0.03641666666666666</x:v>
      </x:c>
      <x:c r="P1756" s="30" t="n">
        <x:f>O1756*J1756*(1+M1756)</x:f>
        <x:v>0.3204666666666666</x:v>
      </x:c>
      <x:c r="Q1756" s="30" t="n">
        <x:f>P1756*N1756</x:f>
        <x:v>23.073599999999995</x:v>
      </x:c>
      <x:c r="R1756" s="19" t="str">
        <x:v>独立判定</x:v>
      </x:c>
    </x:row>
    <x:row r="1757" ht="19" customHeight="1">
      <x:c r="A1757" s="19" t="str">
        <x:v>D01753</x:v>
      </x:c>
      <x:c r="B1757" s="19" t="n">
        <x:v>4</x:v>
      </x:c>
      <x:c r="C1757" s="19" t="n">
        <x:v>4</x:v>
      </x:c>
      <x:c r="D1757" s="19" t="str">
        <x:v>C04-M041</x:v>
      </x:c>
      <x:c r="E1757" s="19" t="str">
        <x:v>密舱蜡尸</x:v>
      </x:c>
      <x:c r="F1757" s="19" t="str">
        <x:v>普通</x:v>
      </x:c>
      <x:c r="G1757" s="19" t="str">
        <x:v>材料独立候选</x:v>
      </x:c>
      <x:c r="H1757" s="19" t="str">
        <x:v>雾潮银鳞</x:v>
      </x:c>
      <x:c r="I1757" s="22" t="n">
        <x:v>800</x:v>
      </x:c>
      <x:c r="J1757" s="22" t="n">
        <x:v>1</x:v>
      </x:c>
      <x:c r="K1757" s="19" t="n">
        <x:v>1</x:v>
      </x:c>
      <x:c r="L1757" s="24" t="n">
        <x:v>21.849999999999998</x:v>
      </x:c>
      <x:c r="M1757" s="26" t="n">
        <x:v>0.1</x:v>
      </x:c>
      <x:c r="N1757" s="24" t="n">
        <x:v>72</x:v>
      </x:c>
      <x:c r="O1757" s="28" t="n">
        <x:f>MIN(1,L1757/I1757)</x:f>
        <x:v>0.027312499999999997</x:v>
      </x:c>
      <x:c r="P1757" s="30" t="n">
        <x:f>O1757*J1757*(1+M1757)</x:f>
        <x:v>0.030043749999999998</x:v>
      </x:c>
      <x:c r="Q1757" s="30" t="n">
        <x:f>P1757*N1757</x:f>
        <x:v>2.16315</x:v>
      </x:c>
      <x:c r="R1757" s="19" t="str">
        <x:v>独立判定</x:v>
      </x:c>
    </x:row>
    <x:row r="1758" ht="19" customHeight="1">
      <x:c r="A1758" s="19" t="str">
        <x:v>D01754</x:v>
      </x:c>
      <x:c r="B1758" s="19" t="n">
        <x:v>4</x:v>
      </x:c>
      <x:c r="C1758" s="19" t="n">
        <x:v>4</x:v>
      </x:c>
      <x:c r="D1758" s="19" t="str">
        <x:v>C04-M041</x:v>
      </x:c>
      <x:c r="E1758" s="19" t="str">
        <x:v>密舱蜡尸</x:v>
      </x:c>
      <x:c r="F1758" s="19" t="str">
        <x:v>普通</x:v>
      </x:c>
      <x:c r="G1758" s="19" t="str">
        <x:v>材料独立候选</x:v>
      </x:c>
      <x:c r="H1758" s="19" t="str">
        <x:v>月潮忆珀</x:v>
      </x:c>
      <x:c r="I1758" s="22" t="n">
        <x:v>1000000</x:v>
      </x:c>
      <x:c r="J1758" s="22" t="n">
        <x:v>1</x:v>
      </x:c>
      <x:c r="K1758" s="19" t="n">
        <x:v>1</x:v>
      </x:c>
      <x:c r="L1758" s="24" t="n">
        <x:v>21.849999999999998</x:v>
      </x:c>
      <x:c r="M1758" s="26" t="n">
        <x:v>0.1</x:v>
      </x:c>
      <x:c r="N1758" s="24" t="n">
        <x:v>72</x:v>
      </x:c>
      <x:c r="O1758" s="28" t="n">
        <x:f>MIN(1,L1758/I1758)</x:f>
        <x:v>0.00002185</x:v>
      </x:c>
      <x:c r="P1758" s="30" t="n">
        <x:f>O1758*J1758*(1+M1758)</x:f>
        <x:v>0.000024035</x:v>
      </x:c>
      <x:c r="Q1758" s="30" t="n">
        <x:f>P1758*N1758</x:f>
        <x:v>0.00173052</x:v>
      </x:c>
      <x:c r="R1758" s="19" t="str">
        <x:v>独立判定</x:v>
      </x:c>
    </x:row>
    <x:row r="1759" ht="19" customHeight="1">
      <x:c r="A1759" s="19" t="str">
        <x:v>D01755</x:v>
      </x:c>
      <x:c r="B1759" s="19" t="n">
        <x:v>4</x:v>
      </x:c>
      <x:c r="C1759" s="19" t="n">
        <x:v>4</x:v>
      </x:c>
      <x:c r="D1759" s="19" t="str">
        <x:v>C04-M041</x:v>
      </x:c>
      <x:c r="E1759" s="19" t="str">
        <x:v>密舱蜡尸</x:v>
      </x:c>
      <x:c r="F1759" s="19" t="str">
        <x:v>普通</x:v>
      </x:c>
      <x:c r="G1759" s="19" t="str">
        <x:v>材料独立候选</x:v>
      </x:c>
      <x:c r="H1759" s="19" t="str">
        <x:v>野兽骨片</x:v>
      </x:c>
      <x:c r="I1759" s="22" t="n">
        <x:v>100</x:v>
      </x:c>
      <x:c r="J1759" s="22" t="n">
        <x:v>2</x:v>
      </x:c>
      <x:c r="K1759" s="19" t="n">
        <x:v>1</x:v>
      </x:c>
      <x:c r="L1759" s="24" t="n">
        <x:v>21.849999999999998</x:v>
      </x:c>
      <x:c r="M1759" s="26" t="n">
        <x:v>0.1</x:v>
      </x:c>
      <x:c r="N1759" s="24" t="n">
        <x:v>72</x:v>
      </x:c>
      <x:c r="O1759" s="28" t="n">
        <x:f>MIN(1,L1759/I1759)</x:f>
        <x:v>0.21849999999999997</x:v>
      </x:c>
      <x:c r="P1759" s="30" t="n">
        <x:f>O1759*J1759*(1+M1759)</x:f>
        <x:v>0.48069999999999996</x:v>
      </x:c>
      <x:c r="Q1759" s="30" t="n">
        <x:f>P1759*N1759</x:f>
        <x:v>34.6104</x:v>
      </x:c>
      <x:c r="R1759" s="19" t="str">
        <x:v>独立判定</x:v>
      </x:c>
    </x:row>
    <x:row r="1760" ht="19" customHeight="1">
      <x:c r="A1760" s="19" t="str">
        <x:v>D01756</x:v>
      </x:c>
      <x:c r="B1760" s="19" t="n">
        <x:v>4</x:v>
      </x:c>
      <x:c r="C1760" s="19" t="n">
        <x:v>4</x:v>
      </x:c>
      <x:c r="D1760" s="19" t="str">
        <x:v>C04-M041</x:v>
      </x:c>
      <x:c r="E1760" s="19" t="str">
        <x:v>密舱蜡尸</x:v>
      </x:c>
      <x:c r="F1760" s="19" t="str">
        <x:v>普通</x:v>
      </x:c>
      <x:c r="G1760" s="19" t="str">
        <x:v>材料独立候选</x:v>
      </x:c>
      <x:c r="H1760" s="19" t="str">
        <x:v>技能残页</x:v>
      </x:c>
      <x:c r="I1760" s="22" t="n">
        <x:v>500</x:v>
      </x:c>
      <x:c r="J1760" s="22" t="n">
        <x:v>1</x:v>
      </x:c>
      <x:c r="K1760" s="19" t="n">
        <x:v>1</x:v>
      </x:c>
      <x:c r="L1760" s="24" t="n">
        <x:v>21.849999999999998</x:v>
      </x:c>
      <x:c r="M1760" s="26" t="n">
        <x:v>0.1</x:v>
      </x:c>
      <x:c r="N1760" s="24" t="n">
        <x:v>72</x:v>
      </x:c>
      <x:c r="O1760" s="28" t="n">
        <x:f>MIN(1,L1760/I1760)</x:f>
        <x:v>0.043699999999999996</x:v>
      </x:c>
      <x:c r="P1760" s="30" t="n">
        <x:f>O1760*J1760*(1+M1760)</x:f>
        <x:v>0.04807</x:v>
      </x:c>
      <x:c r="Q1760" s="30" t="n">
        <x:f>P1760*N1760</x:f>
        <x:v>3.46104</x:v>
      </x:c>
      <x:c r="R1760" s="19" t="str">
        <x:v>独立判定</x:v>
      </x:c>
    </x:row>
    <x:row r="1761" ht="19" customHeight="1">
      <x:c r="A1761" s="19" t="str">
        <x:v>D01757</x:v>
      </x:c>
      <x:c r="B1761" s="19" t="n">
        <x:v>4</x:v>
      </x:c>
      <x:c r="C1761" s="19" t="n">
        <x:v>4</x:v>
      </x:c>
      <x:c r="D1761" s="19" t="str">
        <x:v>C04-M041</x:v>
      </x:c>
      <x:c r="E1761" s="19" t="str">
        <x:v>密舱蜡尸</x:v>
      </x:c>
      <x:c r="F1761" s="19" t="str">
        <x:v>普通</x:v>
      </x:c>
      <x:c r="G1761" s="19" t="str">
        <x:v>材料独立候选</x:v>
      </x:c>
      <x:c r="H1761" s="19" t="str">
        <x:v>小卢恩</x:v>
      </x:c>
      <x:c r="I1761" s="22" t="n">
        <x:v>1000</x:v>
      </x:c>
      <x:c r="J1761" s="22" t="n">
        <x:v>1</x:v>
      </x:c>
      <x:c r="K1761" s="19" t="n">
        <x:v>1</x:v>
      </x:c>
      <x:c r="L1761" s="24" t="n">
        <x:v>21.849999999999998</x:v>
      </x:c>
      <x:c r="M1761" s="26" t="n">
        <x:v>0.1</x:v>
      </x:c>
      <x:c r="N1761" s="24" t="n">
        <x:v>72</x:v>
      </x:c>
      <x:c r="O1761" s="28" t="n">
        <x:f>MIN(1,L1761/I1761)</x:f>
        <x:v>0.021849999999999998</x:v>
      </x:c>
      <x:c r="P1761" s="30" t="n">
        <x:f>O1761*J1761*(1+M1761)</x:f>
        <x:v>0.024035</x:v>
      </x:c>
      <x:c r="Q1761" s="30" t="n">
        <x:f>P1761*N1761</x:f>
        <x:v>1.73052</x:v>
      </x:c>
      <x:c r="R1761" s="19" t="str">
        <x:v>独立判定</x:v>
      </x:c>
    </x:row>
    <x:row r="1762" ht="19" customHeight="1">
      <x:c r="A1762" s="19" t="str">
        <x:v>D01758</x:v>
      </x:c>
      <x:c r="B1762" s="19" t="n">
        <x:v>4</x:v>
      </x:c>
      <x:c r="C1762" s="19" t="n">
        <x:v>4</x:v>
      </x:c>
      <x:c r="D1762" s="19" t="str">
        <x:v>C04-M041</x:v>
      </x:c>
      <x:c r="E1762" s="19" t="str">
        <x:v>密舱蜡尸</x:v>
      </x:c>
      <x:c r="F1762" s="19" t="str">
        <x:v>普通</x:v>
      </x:c>
      <x:c r="G1762" s="19" t="str">
        <x:v>六神器公共池</x:v>
      </x:c>
      <x:c r="H1762" s="19" t="str">
        <x:v>POOL006</x:v>
      </x:c>
      <x:c r="I1762" s="22" t="n">
        <x:v>20000000</x:v>
      </x:c>
      <x:c r="J1762" s="22" t="n">
        <x:v>1</x:v>
      </x:c>
      <x:c r="K1762" s="19" t="n">
        <x:v>6</x:v>
      </x:c>
      <x:c r="L1762" s="24" t="n">
        <x:v>21.849999999999998</x:v>
      </x:c>
      <x:c r="M1762" s="26" t="n">
        <x:v>0.1</x:v>
      </x:c>
      <x:c r="N1762" s="24" t="n">
        <x:v>72</x:v>
      </x:c>
      <x:c r="O1762" s="28" t="n">
        <x:f>MIN(1,L1762/I1762)</x:f>
        <x:v>0.0000010925</x:v>
      </x:c>
      <x:c r="P1762" s="30" t="n">
        <x:f>O1762*J1762*(1+M1762)</x:f>
        <x:v>0.00000120175</x:v>
      </x:c>
      <x:c r="Q1762" s="30" t="n">
        <x:f>P1762*N1762</x:f>
        <x:v>0.00008652599999999999</x:v>
      </x:c>
      <x:c r="R1762" s="19" t="str">
        <x:v>六选一；非6个独立爆率</x:v>
      </x:c>
    </x:row>
    <x:row r="1763" ht="19" customHeight="1">
      <x:c r="A1763" s="19" t="str">
        <x:v>D01759</x:v>
      </x:c>
      <x:c r="B1763" s="19" t="n">
        <x:v>4</x:v>
      </x:c>
      <x:c r="C1763" s="19" t="n">
        <x:v>4</x:v>
      </x:c>
      <x:c r="D1763" s="19" t="str">
        <x:v>C04-M042</x:v>
      </x:c>
      <x:c r="E1763" s="19" t="str">
        <x:v>食梦船蛾</x:v>
      </x:c>
      <x:c r="F1763" s="19" t="str">
        <x:v>普通</x:v>
      </x:c>
      <x:c r="G1763" s="19" t="str">
        <x:v>自身专属</x:v>
      </x:c>
      <x:c r="H1763" s="19" t="str">
        <x:v>梦蛾踏水靴</x:v>
      </x:c>
      <x:c r="I1763" s="22" t="n">
        <x:v>1500</x:v>
      </x:c>
      <x:c r="J1763" s="22" t="n">
        <x:v>1</x:v>
      </x:c>
      <x:c r="K1763" s="19" t="n">
        <x:v>1</x:v>
      </x:c>
      <x:c r="L1763" s="24" t="n">
        <x:v>21.849999999999998</x:v>
      </x:c>
      <x:c r="M1763" s="26" t="n">
        <x:v>0.1</x:v>
      </x:c>
      <x:c r="N1763" s="24" t="n">
        <x:v>72</x:v>
      </x:c>
      <x:c r="O1763" s="28" t="n">
        <x:f>MIN(1,L1763/I1763)</x:f>
        <x:v>0.014566666666666665</x:v>
      </x:c>
      <x:c r="P1763" s="30" t="n">
        <x:f>O1763*J1763*(1+M1763)</x:f>
        <x:v>0.016023333333333334</x:v>
      </x:c>
      <x:c r="Q1763" s="30" t="n">
        <x:f>P1763*N1763</x:f>
        <x:v>1.15368</x:v>
      </x:c>
      <x:c r="R1763" s="19" t="str">
        <x:v>独立判定</x:v>
      </x:c>
    </x:row>
    <x:row r="1764" ht="19" customHeight="1">
      <x:c r="A1764" s="19" t="str">
        <x:v>D01760</x:v>
      </x:c>
      <x:c r="B1764" s="19" t="n">
        <x:v>4</x:v>
      </x:c>
      <x:c r="C1764" s="19" t="n">
        <x:v>4</x:v>
      </x:c>
      <x:c r="D1764" s="19" t="str">
        <x:v>C04-M042</x:v>
      </x:c>
      <x:c r="E1764" s="19" t="str">
        <x:v>食梦船蛾</x:v>
      </x:c>
      <x:c r="F1764" s="19" t="str">
        <x:v>普通</x:v>
      </x:c>
      <x:c r="G1764" s="19" t="str">
        <x:v>材料独立候选</x:v>
      </x:c>
      <x:c r="H1764" s="19" t="str">
        <x:v>湖盐结晶</x:v>
      </x:c>
      <x:c r="I1764" s="22" t="n">
        <x:v>600</x:v>
      </x:c>
      <x:c r="J1764" s="22" t="n">
        <x:v>8</x:v>
      </x:c>
      <x:c r="K1764" s="19" t="n">
        <x:v>1</x:v>
      </x:c>
      <x:c r="L1764" s="24" t="n">
        <x:v>21.849999999999998</x:v>
      </x:c>
      <x:c r="M1764" s="26" t="n">
        <x:v>0.1</x:v>
      </x:c>
      <x:c r="N1764" s="24" t="n">
        <x:v>72</x:v>
      </x:c>
      <x:c r="O1764" s="28" t="n">
        <x:f>MIN(1,L1764/I1764)</x:f>
        <x:v>0.03641666666666666</x:v>
      </x:c>
      <x:c r="P1764" s="30" t="n">
        <x:f>O1764*J1764*(1+M1764)</x:f>
        <x:v>0.3204666666666666</x:v>
      </x:c>
      <x:c r="Q1764" s="30" t="n">
        <x:f>P1764*N1764</x:f>
        <x:v>23.073599999999995</x:v>
      </x:c>
      <x:c r="R1764" s="19" t="str">
        <x:v>独立判定</x:v>
      </x:c>
    </x:row>
    <x:row r="1765" ht="19" customHeight="1">
      <x:c r="A1765" s="19" t="str">
        <x:v>D01761</x:v>
      </x:c>
      <x:c r="B1765" s="19" t="n">
        <x:v>4</x:v>
      </x:c>
      <x:c r="C1765" s="19" t="n">
        <x:v>4</x:v>
      </x:c>
      <x:c r="D1765" s="19" t="str">
        <x:v>C04-M042</x:v>
      </x:c>
      <x:c r="E1765" s="19" t="str">
        <x:v>食梦船蛾</x:v>
      </x:c>
      <x:c r="F1765" s="19" t="str">
        <x:v>普通</x:v>
      </x:c>
      <x:c r="G1765" s="19" t="str">
        <x:v>材料独立候选</x:v>
      </x:c>
      <x:c r="H1765" s="19" t="str">
        <x:v>雾潮银鳞</x:v>
      </x:c>
      <x:c r="I1765" s="22" t="n">
        <x:v>800</x:v>
      </x:c>
      <x:c r="J1765" s="22" t="n">
        <x:v>1</x:v>
      </x:c>
      <x:c r="K1765" s="19" t="n">
        <x:v>1</x:v>
      </x:c>
      <x:c r="L1765" s="24" t="n">
        <x:v>21.849999999999998</x:v>
      </x:c>
      <x:c r="M1765" s="26" t="n">
        <x:v>0.1</x:v>
      </x:c>
      <x:c r="N1765" s="24" t="n">
        <x:v>72</x:v>
      </x:c>
      <x:c r="O1765" s="28" t="n">
        <x:f>MIN(1,L1765/I1765)</x:f>
        <x:v>0.027312499999999997</x:v>
      </x:c>
      <x:c r="P1765" s="30" t="n">
        <x:f>O1765*J1765*(1+M1765)</x:f>
        <x:v>0.030043749999999998</x:v>
      </x:c>
      <x:c r="Q1765" s="30" t="n">
        <x:f>P1765*N1765</x:f>
        <x:v>2.16315</x:v>
      </x:c>
      <x:c r="R1765" s="19" t="str">
        <x:v>独立判定</x:v>
      </x:c>
    </x:row>
    <x:row r="1766" ht="19" customHeight="1">
      <x:c r="A1766" s="19" t="str">
        <x:v>D01762</x:v>
      </x:c>
      <x:c r="B1766" s="19" t="n">
        <x:v>4</x:v>
      </x:c>
      <x:c r="C1766" s="19" t="n">
        <x:v>4</x:v>
      </x:c>
      <x:c r="D1766" s="19" t="str">
        <x:v>C04-M042</x:v>
      </x:c>
      <x:c r="E1766" s="19" t="str">
        <x:v>食梦船蛾</x:v>
      </x:c>
      <x:c r="F1766" s="19" t="str">
        <x:v>普通</x:v>
      </x:c>
      <x:c r="G1766" s="19" t="str">
        <x:v>材料独立候选</x:v>
      </x:c>
      <x:c r="H1766" s="19" t="str">
        <x:v>月潮忆珀</x:v>
      </x:c>
      <x:c r="I1766" s="22" t="n">
        <x:v>1000000</x:v>
      </x:c>
      <x:c r="J1766" s="22" t="n">
        <x:v>1</x:v>
      </x:c>
      <x:c r="K1766" s="19" t="n">
        <x:v>1</x:v>
      </x:c>
      <x:c r="L1766" s="24" t="n">
        <x:v>21.849999999999998</x:v>
      </x:c>
      <x:c r="M1766" s="26" t="n">
        <x:v>0.1</x:v>
      </x:c>
      <x:c r="N1766" s="24" t="n">
        <x:v>72</x:v>
      </x:c>
      <x:c r="O1766" s="28" t="n">
        <x:f>MIN(1,L1766/I1766)</x:f>
        <x:v>0.00002185</x:v>
      </x:c>
      <x:c r="P1766" s="30" t="n">
        <x:f>O1766*J1766*(1+M1766)</x:f>
        <x:v>0.000024035</x:v>
      </x:c>
      <x:c r="Q1766" s="30" t="n">
        <x:f>P1766*N1766</x:f>
        <x:v>0.00173052</x:v>
      </x:c>
      <x:c r="R1766" s="19" t="str">
        <x:v>独立判定</x:v>
      </x:c>
    </x:row>
    <x:row r="1767" ht="19" customHeight="1">
      <x:c r="A1767" s="19" t="str">
        <x:v>D01763</x:v>
      </x:c>
      <x:c r="B1767" s="19" t="n">
        <x:v>4</x:v>
      </x:c>
      <x:c r="C1767" s="19" t="n">
        <x:v>4</x:v>
      </x:c>
      <x:c r="D1767" s="19" t="str">
        <x:v>C04-M042</x:v>
      </x:c>
      <x:c r="E1767" s="19" t="str">
        <x:v>食梦船蛾</x:v>
      </x:c>
      <x:c r="F1767" s="19" t="str">
        <x:v>普通</x:v>
      </x:c>
      <x:c r="G1767" s="19" t="str">
        <x:v>材料独立候选</x:v>
      </x:c>
      <x:c r="H1767" s="19" t="str">
        <x:v>野兽骨片</x:v>
      </x:c>
      <x:c r="I1767" s="22" t="n">
        <x:v>100</x:v>
      </x:c>
      <x:c r="J1767" s="22" t="n">
        <x:v>2</x:v>
      </x:c>
      <x:c r="K1767" s="19" t="n">
        <x:v>1</x:v>
      </x:c>
      <x:c r="L1767" s="24" t="n">
        <x:v>21.849999999999998</x:v>
      </x:c>
      <x:c r="M1767" s="26" t="n">
        <x:v>0.1</x:v>
      </x:c>
      <x:c r="N1767" s="24" t="n">
        <x:v>72</x:v>
      </x:c>
      <x:c r="O1767" s="28" t="n">
        <x:f>MIN(1,L1767/I1767)</x:f>
        <x:v>0.21849999999999997</x:v>
      </x:c>
      <x:c r="P1767" s="30" t="n">
        <x:f>O1767*J1767*(1+M1767)</x:f>
        <x:v>0.48069999999999996</x:v>
      </x:c>
      <x:c r="Q1767" s="30" t="n">
        <x:f>P1767*N1767</x:f>
        <x:v>34.6104</x:v>
      </x:c>
      <x:c r="R1767" s="19" t="str">
        <x:v>独立判定</x:v>
      </x:c>
    </x:row>
    <x:row r="1768" ht="19" customHeight="1">
      <x:c r="A1768" s="19" t="str">
        <x:v>D01764</x:v>
      </x:c>
      <x:c r="B1768" s="19" t="n">
        <x:v>4</x:v>
      </x:c>
      <x:c r="C1768" s="19" t="n">
        <x:v>4</x:v>
      </x:c>
      <x:c r="D1768" s="19" t="str">
        <x:v>C04-M042</x:v>
      </x:c>
      <x:c r="E1768" s="19" t="str">
        <x:v>食梦船蛾</x:v>
      </x:c>
      <x:c r="F1768" s="19" t="str">
        <x:v>普通</x:v>
      </x:c>
      <x:c r="G1768" s="19" t="str">
        <x:v>材料独立候选</x:v>
      </x:c>
      <x:c r="H1768" s="19" t="str">
        <x:v>技能残页</x:v>
      </x:c>
      <x:c r="I1768" s="22" t="n">
        <x:v>500</x:v>
      </x:c>
      <x:c r="J1768" s="22" t="n">
        <x:v>1</x:v>
      </x:c>
      <x:c r="K1768" s="19" t="n">
        <x:v>1</x:v>
      </x:c>
      <x:c r="L1768" s="24" t="n">
        <x:v>21.849999999999998</x:v>
      </x:c>
      <x:c r="M1768" s="26" t="n">
        <x:v>0.1</x:v>
      </x:c>
      <x:c r="N1768" s="24" t="n">
        <x:v>72</x:v>
      </x:c>
      <x:c r="O1768" s="28" t="n">
        <x:f>MIN(1,L1768/I1768)</x:f>
        <x:v>0.043699999999999996</x:v>
      </x:c>
      <x:c r="P1768" s="30" t="n">
        <x:f>O1768*J1768*(1+M1768)</x:f>
        <x:v>0.04807</x:v>
      </x:c>
      <x:c r="Q1768" s="30" t="n">
        <x:f>P1768*N1768</x:f>
        <x:v>3.46104</x:v>
      </x:c>
      <x:c r="R1768" s="19" t="str">
        <x:v>独立判定</x:v>
      </x:c>
    </x:row>
    <x:row r="1769" ht="19" customHeight="1">
      <x:c r="A1769" s="19" t="str">
        <x:v>D01765</x:v>
      </x:c>
      <x:c r="B1769" s="19" t="n">
        <x:v>4</x:v>
      </x:c>
      <x:c r="C1769" s="19" t="n">
        <x:v>4</x:v>
      </x:c>
      <x:c r="D1769" s="19" t="str">
        <x:v>C04-M042</x:v>
      </x:c>
      <x:c r="E1769" s="19" t="str">
        <x:v>食梦船蛾</x:v>
      </x:c>
      <x:c r="F1769" s="19" t="str">
        <x:v>普通</x:v>
      </x:c>
      <x:c r="G1769" s="19" t="str">
        <x:v>材料独立候选</x:v>
      </x:c>
      <x:c r="H1769" s="19" t="str">
        <x:v>小卢恩</x:v>
      </x:c>
      <x:c r="I1769" s="22" t="n">
        <x:v>1000</x:v>
      </x:c>
      <x:c r="J1769" s="22" t="n">
        <x:v>1</x:v>
      </x:c>
      <x:c r="K1769" s="19" t="n">
        <x:v>1</x:v>
      </x:c>
      <x:c r="L1769" s="24" t="n">
        <x:v>21.849999999999998</x:v>
      </x:c>
      <x:c r="M1769" s="26" t="n">
        <x:v>0.1</x:v>
      </x:c>
      <x:c r="N1769" s="24" t="n">
        <x:v>72</x:v>
      </x:c>
      <x:c r="O1769" s="28" t="n">
        <x:f>MIN(1,L1769/I1769)</x:f>
        <x:v>0.021849999999999998</x:v>
      </x:c>
      <x:c r="P1769" s="30" t="n">
        <x:f>O1769*J1769*(1+M1769)</x:f>
        <x:v>0.024035</x:v>
      </x:c>
      <x:c r="Q1769" s="30" t="n">
        <x:f>P1769*N1769</x:f>
        <x:v>1.73052</x:v>
      </x:c>
      <x:c r="R1769" s="19" t="str">
        <x:v>独立判定</x:v>
      </x:c>
    </x:row>
    <x:row r="1770" ht="19" customHeight="1">
      <x:c r="A1770" s="19" t="str">
        <x:v>D01766</x:v>
      </x:c>
      <x:c r="B1770" s="19" t="n">
        <x:v>4</x:v>
      </x:c>
      <x:c r="C1770" s="19" t="n">
        <x:v>4</x:v>
      </x:c>
      <x:c r="D1770" s="19" t="str">
        <x:v>C04-M042</x:v>
      </x:c>
      <x:c r="E1770" s="19" t="str">
        <x:v>食梦船蛾</x:v>
      </x:c>
      <x:c r="F1770" s="19" t="str">
        <x:v>普通</x:v>
      </x:c>
      <x:c r="G1770" s="19" t="str">
        <x:v>六神器公共池</x:v>
      </x:c>
      <x:c r="H1770" s="19" t="str">
        <x:v>POOL006</x:v>
      </x:c>
      <x:c r="I1770" s="22" t="n">
        <x:v>20000000</x:v>
      </x:c>
      <x:c r="J1770" s="22" t="n">
        <x:v>1</x:v>
      </x:c>
      <x:c r="K1770" s="19" t="n">
        <x:v>6</x:v>
      </x:c>
      <x:c r="L1770" s="24" t="n">
        <x:v>21.849999999999998</x:v>
      </x:c>
      <x:c r="M1770" s="26" t="n">
        <x:v>0.1</x:v>
      </x:c>
      <x:c r="N1770" s="24" t="n">
        <x:v>72</x:v>
      </x:c>
      <x:c r="O1770" s="28" t="n">
        <x:f>MIN(1,L1770/I1770)</x:f>
        <x:v>0.0000010925</x:v>
      </x:c>
      <x:c r="P1770" s="30" t="n">
        <x:f>O1770*J1770*(1+M1770)</x:f>
        <x:v>0.00000120175</x:v>
      </x:c>
      <x:c r="Q1770" s="30" t="n">
        <x:f>P1770*N1770</x:f>
        <x:v>0.00008652599999999999</x:v>
      </x:c>
      <x:c r="R1770" s="19" t="str">
        <x:v>六选一；非6个独立爆率</x:v>
      </x:c>
    </x:row>
    <x:row r="1771" ht="19" customHeight="1">
      <x:c r="A1771" s="19" t="str">
        <x:v>D01767</x:v>
      </x:c>
      <x:c r="B1771" s="19" t="n">
        <x:v>4</x:v>
      </x:c>
      <x:c r="C1771" s="19" t="n">
        <x:v>4</x:v>
      </x:c>
      <x:c r="D1771" s="19" t="str">
        <x:v>C04-M043</x:v>
      </x:c>
      <x:c r="E1771" s="19" t="str">
        <x:v>倒吊瞭望手</x:v>
      </x:c>
      <x:c r="F1771" s="19" t="str">
        <x:v>稀有</x:v>
      </x:c>
      <x:c r="G1771" s="19" t="str">
        <x:v>自身专属</x:v>
      </x:c>
      <x:c r="H1771" s="19" t="str">
        <x:v>倒桅瞭望笠</x:v>
      </x:c>
      <x:c r="I1771" s="22" t="n">
        <x:v>400</x:v>
      </x:c>
      <x:c r="J1771" s="22" t="n">
        <x:v>1</x:v>
      </x:c>
      <x:c r="K1771" s="19" t="n">
        <x:v>1</x:v>
      </x:c>
      <x:c r="L1771" s="24" t="n">
        <x:v>21.849999999999998</x:v>
      </x:c>
      <x:c r="M1771" s="26" t="n">
        <x:v>0.1</x:v>
      </x:c>
      <x:c r="N1771" s="24" t="n">
        <x:v>12</x:v>
      </x:c>
      <x:c r="O1771" s="28" t="n">
        <x:f>MIN(1,L1771/I1771)</x:f>
        <x:v>0.05462499999999999</x:v>
      </x:c>
      <x:c r="P1771" s="30" t="n">
        <x:f>O1771*J1771*(1+M1771)</x:f>
        <x:v>0.060087499999999995</x:v>
      </x:c>
      <x:c r="Q1771" s="30" t="n">
        <x:f>P1771*N1771</x:f>
        <x:v>0.72105</x:v>
      </x:c>
      <x:c r="R1771" s="19" t="str">
        <x:v>独立判定</x:v>
      </x:c>
    </x:row>
    <x:row r="1772" ht="19" customHeight="1">
      <x:c r="A1772" s="19" t="str">
        <x:v>D01768</x:v>
      </x:c>
      <x:c r="B1772" s="19" t="n">
        <x:v>4</x:v>
      </x:c>
      <x:c r="C1772" s="19" t="n">
        <x:v>4</x:v>
      </x:c>
      <x:c r="D1772" s="19" t="str">
        <x:v>C04-M043</x:v>
      </x:c>
      <x:c r="E1772" s="19" t="str">
        <x:v>倒吊瞭望手</x:v>
      </x:c>
      <x:c r="F1772" s="19" t="str">
        <x:v>稀有</x:v>
      </x:c>
      <x:c r="G1772" s="19" t="str">
        <x:v>材料独立候选</x:v>
      </x:c>
      <x:c r="H1772" s="19" t="str">
        <x:v>湖盐结晶</x:v>
      </x:c>
      <x:c r="I1772" s="22" t="n">
        <x:v>400</x:v>
      </x:c>
      <x:c r="J1772" s="22" t="n">
        <x:v>15</x:v>
      </x:c>
      <x:c r="K1772" s="19" t="n">
        <x:v>1</x:v>
      </x:c>
      <x:c r="L1772" s="24" t="n">
        <x:v>21.849999999999998</x:v>
      </x:c>
      <x:c r="M1772" s="26" t="n">
        <x:v>0.1</x:v>
      </x:c>
      <x:c r="N1772" s="24" t="n">
        <x:v>12</x:v>
      </x:c>
      <x:c r="O1772" s="28" t="n">
        <x:f>MIN(1,L1772/I1772)</x:f>
        <x:v>0.05462499999999999</x:v>
      </x:c>
      <x:c r="P1772" s="30" t="n">
        <x:f>O1772*J1772*(1+M1772)</x:f>
        <x:v>0.9013125</x:v>
      </x:c>
      <x:c r="Q1772" s="30" t="n">
        <x:f>P1772*N1772</x:f>
        <x:v>10.81575</x:v>
      </x:c>
      <x:c r="R1772" s="19" t="str">
        <x:v>独立判定</x:v>
      </x:c>
    </x:row>
    <x:row r="1773" ht="19" customHeight="1">
      <x:c r="A1773" s="19" t="str">
        <x:v>D01769</x:v>
      </x:c>
      <x:c r="B1773" s="19" t="n">
        <x:v>4</x:v>
      </x:c>
      <x:c r="C1773" s="19" t="n">
        <x:v>4</x:v>
      </x:c>
      <x:c r="D1773" s="19" t="str">
        <x:v>C04-M043</x:v>
      </x:c>
      <x:c r="E1773" s="19" t="str">
        <x:v>倒吊瞭望手</x:v>
      </x:c>
      <x:c r="F1773" s="19" t="str">
        <x:v>稀有</x:v>
      </x:c>
      <x:c r="G1773" s="19" t="str">
        <x:v>材料独立候选</x:v>
      </x:c>
      <x:c r="H1773" s="19" t="str">
        <x:v>幽船铆钉</x:v>
      </x:c>
      <x:c r="I1773" s="22" t="n">
        <x:v>1200</x:v>
      </x:c>
      <x:c r="J1773" s="22" t="n">
        <x:v>1</x:v>
      </x:c>
      <x:c r="K1773" s="19" t="n">
        <x:v>1</x:v>
      </x:c>
      <x:c r="L1773" s="24" t="n">
        <x:v>21.849999999999998</x:v>
      </x:c>
      <x:c r="M1773" s="26" t="n">
        <x:v>0.1</x:v>
      </x:c>
      <x:c r="N1773" s="24" t="n">
        <x:v>12</x:v>
      </x:c>
      <x:c r="O1773" s="28" t="n">
        <x:f>MIN(1,L1773/I1773)</x:f>
        <x:v>0.01820833333333333</x:v>
      </x:c>
      <x:c r="P1773" s="30" t="n">
        <x:f>O1773*J1773*(1+M1773)</x:f>
        <x:v>0.020029166666666664</x:v>
      </x:c>
      <x:c r="Q1773" s="30" t="n">
        <x:f>P1773*N1773</x:f>
        <x:v>0.24034999999999995</x:v>
      </x:c>
      <x:c r="R1773" s="19" t="str">
        <x:v>独立判定</x:v>
      </x:c>
    </x:row>
    <x:row r="1774" ht="19" customHeight="1">
      <x:c r="A1774" s="19" t="str">
        <x:v>D01770</x:v>
      </x:c>
      <x:c r="B1774" s="19" t="n">
        <x:v>4</x:v>
      </x:c>
      <x:c r="C1774" s="19" t="n">
        <x:v>4</x:v>
      </x:c>
      <x:c r="D1774" s="19" t="str">
        <x:v>C04-M043</x:v>
      </x:c>
      <x:c r="E1774" s="19" t="str">
        <x:v>倒吊瞭望手</x:v>
      </x:c>
      <x:c r="F1774" s="19" t="str">
        <x:v>稀有</x:v>
      </x:c>
      <x:c r="G1774" s="19" t="str">
        <x:v>材料独立候选</x:v>
      </x:c>
      <x:c r="H1774" s="19" t="str">
        <x:v>沉船缆扣</x:v>
      </x:c>
      <x:c r="I1774" s="22" t="n">
        <x:v>500</x:v>
      </x:c>
      <x:c r="J1774" s="22" t="n">
        <x:v>1</x:v>
      </x:c>
      <x:c r="K1774" s="19" t="n">
        <x:v>1</x:v>
      </x:c>
      <x:c r="L1774" s="24" t="n">
        <x:v>21.849999999999998</x:v>
      </x:c>
      <x:c r="M1774" s="26" t="n">
        <x:v>0.1</x:v>
      </x:c>
      <x:c r="N1774" s="24" t="n">
        <x:v>12</x:v>
      </x:c>
      <x:c r="O1774" s="28" t="n">
        <x:f>MIN(1,L1774/I1774)</x:f>
        <x:v>0.043699999999999996</x:v>
      </x:c>
      <x:c r="P1774" s="30" t="n">
        <x:f>O1774*J1774*(1+M1774)</x:f>
        <x:v>0.04807</x:v>
      </x:c>
      <x:c r="Q1774" s="30" t="n">
        <x:f>P1774*N1774</x:f>
        <x:v>0.57684</x:v>
      </x:c>
      <x:c r="R1774" s="19" t="str">
        <x:v>独立判定</x:v>
      </x:c>
    </x:row>
    <x:row r="1775" ht="19" customHeight="1">
      <x:c r="A1775" s="19" t="str">
        <x:v>D01771</x:v>
      </x:c>
      <x:c r="B1775" s="19" t="n">
        <x:v>4</x:v>
      </x:c>
      <x:c r="C1775" s="19" t="n">
        <x:v>4</x:v>
      </x:c>
      <x:c r="D1775" s="19" t="str">
        <x:v>C04-M043</x:v>
      </x:c>
      <x:c r="E1775" s="19" t="str">
        <x:v>倒吊瞭望手</x:v>
      </x:c>
      <x:c r="F1775" s="19" t="str">
        <x:v>稀有</x:v>
      </x:c>
      <x:c r="G1775" s="19" t="str">
        <x:v>材料独立候选</x:v>
      </x:c>
      <x:c r="H1775" s="19" t="str">
        <x:v>月潮忆珀</x:v>
      </x:c>
      <x:c r="I1775" s="22" t="n">
        <x:v>600000</x:v>
      </x:c>
      <x:c r="J1775" s="22" t="n">
        <x:v>1</x:v>
      </x:c>
      <x:c r="K1775" s="19" t="n">
        <x:v>1</x:v>
      </x:c>
      <x:c r="L1775" s="24" t="n">
        <x:v>21.849999999999998</x:v>
      </x:c>
      <x:c r="M1775" s="26" t="n">
        <x:v>0.1</x:v>
      </x:c>
      <x:c r="N1775" s="24" t="n">
        <x:v>12</x:v>
      </x:c>
      <x:c r="O1775" s="28" t="n">
        <x:f>MIN(1,L1775/I1775)</x:f>
        <x:v>0.000036416666666666666</x:v>
      </x:c>
      <x:c r="P1775" s="30" t="n">
        <x:f>O1775*J1775*(1+M1775)</x:f>
        <x:v>0.000040058333333333336</x:v>
      </x:c>
      <x:c r="Q1775" s="30" t="n">
        <x:f>P1775*N1775</x:f>
        <x:v>0.00048070000000000003</x:v>
      </x:c>
      <x:c r="R1775" s="19" t="str">
        <x:v>独立判定</x:v>
      </x:c>
    </x:row>
    <x:row r="1776" ht="19" customHeight="1">
      <x:c r="A1776" s="19" t="str">
        <x:v>D01772</x:v>
      </x:c>
      <x:c r="B1776" s="19" t="n">
        <x:v>4</x:v>
      </x:c>
      <x:c r="C1776" s="19" t="n">
        <x:v>4</x:v>
      </x:c>
      <x:c r="D1776" s="19" t="str">
        <x:v>C04-M043</x:v>
      </x:c>
      <x:c r="E1776" s="19" t="str">
        <x:v>倒吊瞭望手</x:v>
      </x:c>
      <x:c r="F1776" s="19" t="str">
        <x:v>稀有</x:v>
      </x:c>
      <x:c r="G1776" s="19" t="str">
        <x:v>材料独立候选</x:v>
      </x:c>
      <x:c r="H1776" s="19" t="str">
        <x:v>黄金树芽</x:v>
      </x:c>
      <x:c r="I1776" s="22" t="n">
        <x:v>2000</x:v>
      </x:c>
      <x:c r="J1776" s="22" t="n">
        <x:v>1</x:v>
      </x:c>
      <x:c r="K1776" s="19" t="n">
        <x:v>1</x:v>
      </x:c>
      <x:c r="L1776" s="24" t="n">
        <x:v>21.849999999999998</x:v>
      </x:c>
      <x:c r="M1776" s="26" t="n">
        <x:v>0.1</x:v>
      </x:c>
      <x:c r="N1776" s="24" t="n">
        <x:v>12</x:v>
      </x:c>
      <x:c r="O1776" s="28" t="n">
        <x:f>MIN(1,L1776/I1776)</x:f>
        <x:v>0.010924999999999999</x:v>
      </x:c>
      <x:c r="P1776" s="30" t="n">
        <x:f>O1776*J1776*(1+M1776)</x:f>
        <x:v>0.0120175</x:v>
      </x:c>
      <x:c r="Q1776" s="30" t="n">
        <x:f>P1776*N1776</x:f>
        <x:v>0.14421</x:v>
      </x:c>
      <x:c r="R1776" s="19" t="str">
        <x:v>独立判定</x:v>
      </x:c>
    </x:row>
    <x:row r="1777" ht="19" customHeight="1">
      <x:c r="A1777" s="19" t="str">
        <x:v>D01773</x:v>
      </x:c>
      <x:c r="B1777" s="19" t="n">
        <x:v>4</x:v>
      </x:c>
      <x:c r="C1777" s="19" t="n">
        <x:v>4</x:v>
      </x:c>
      <x:c r="D1777" s="19" t="str">
        <x:v>C04-M043</x:v>
      </x:c>
      <x:c r="E1777" s="19" t="str">
        <x:v>倒吊瞭望手</x:v>
      </x:c>
      <x:c r="F1777" s="19" t="str">
        <x:v>稀有</x:v>
      </x:c>
      <x:c r="G1777" s="19" t="str">
        <x:v>材料独立候选</x:v>
      </x:c>
      <x:c r="H1777" s="19" t="str">
        <x:v>野兽骨片</x:v>
      </x:c>
      <x:c r="I1777" s="22" t="n">
        <x:v>60</x:v>
      </x:c>
      <x:c r="J1777" s="22" t="n">
        <x:v>2</x:v>
      </x:c>
      <x:c r="K1777" s="19" t="n">
        <x:v>1</x:v>
      </x:c>
      <x:c r="L1777" s="24" t="n">
        <x:v>21.849999999999998</x:v>
      </x:c>
      <x:c r="M1777" s="26" t="n">
        <x:v>0.1</x:v>
      </x:c>
      <x:c r="N1777" s="24" t="n">
        <x:v>12</x:v>
      </x:c>
      <x:c r="O1777" s="28" t="n">
        <x:f>MIN(1,L1777/I1777)</x:f>
        <x:v>0.36416666666666664</x:v>
      </x:c>
      <x:c r="P1777" s="30" t="n">
        <x:f>O1777*J1777*(1+M1777)</x:f>
        <x:v>0.8011666666666667</x:v>
      </x:c>
      <x:c r="Q1777" s="30" t="n">
        <x:f>P1777*N1777</x:f>
        <x:v>9.614</x:v>
      </x:c>
      <x:c r="R1777" s="19" t="str">
        <x:v>独立判定</x:v>
      </x:c>
    </x:row>
    <x:row r="1778" ht="19" customHeight="1">
      <x:c r="A1778" s="19" t="str">
        <x:v>D01774</x:v>
      </x:c>
      <x:c r="B1778" s="19" t="n">
        <x:v>4</x:v>
      </x:c>
      <x:c r="C1778" s="19" t="n">
        <x:v>4</x:v>
      </x:c>
      <x:c r="D1778" s="19" t="str">
        <x:v>C04-M043</x:v>
      </x:c>
      <x:c r="E1778" s="19" t="str">
        <x:v>倒吊瞭望手</x:v>
      </x:c>
      <x:c r="F1778" s="19" t="str">
        <x:v>稀有</x:v>
      </x:c>
      <x:c r="G1778" s="19" t="str">
        <x:v>材料独立候选</x:v>
      </x:c>
      <x:c r="H1778" s="19" t="str">
        <x:v>技能残页</x:v>
      </x:c>
      <x:c r="I1778" s="22" t="n">
        <x:v>300</x:v>
      </x:c>
      <x:c r="J1778" s="22" t="n">
        <x:v>1</x:v>
      </x:c>
      <x:c r="K1778" s="19" t="n">
        <x:v>1</x:v>
      </x:c>
      <x:c r="L1778" s="24" t="n">
        <x:v>21.849999999999998</x:v>
      </x:c>
      <x:c r="M1778" s="26" t="n">
        <x:v>0.1</x:v>
      </x:c>
      <x:c r="N1778" s="24" t="n">
        <x:v>12</x:v>
      </x:c>
      <x:c r="O1778" s="28" t="n">
        <x:f>MIN(1,L1778/I1778)</x:f>
        <x:v>0.07283333333333332</x:v>
      </x:c>
      <x:c r="P1778" s="30" t="n">
        <x:f>O1778*J1778*(1+M1778)</x:f>
        <x:v>0.08011666666666666</x:v>
      </x:c>
      <x:c r="Q1778" s="30" t="n">
        <x:f>P1778*N1778</x:f>
        <x:v>0.9613999999999998</x:v>
      </x:c>
      <x:c r="R1778" s="19" t="str">
        <x:v>独立判定</x:v>
      </x:c>
    </x:row>
    <x:row r="1779" ht="19" customHeight="1">
      <x:c r="A1779" s="19" t="str">
        <x:v>D01775</x:v>
      </x:c>
      <x:c r="B1779" s="19" t="n">
        <x:v>4</x:v>
      </x:c>
      <x:c r="C1779" s="19" t="n">
        <x:v>4</x:v>
      </x:c>
      <x:c r="D1779" s="19" t="str">
        <x:v>C04-M043</x:v>
      </x:c>
      <x:c r="E1779" s="19" t="str">
        <x:v>倒吊瞭望手</x:v>
      </x:c>
      <x:c r="F1779" s="19" t="str">
        <x:v>稀有</x:v>
      </x:c>
      <x:c r="G1779" s="19" t="str">
        <x:v>材料独立候选</x:v>
      </x:c>
      <x:c r="H1779" s="19" t="str">
        <x:v>小卢恩</x:v>
      </x:c>
      <x:c r="I1779" s="22" t="n">
        <x:v>600</x:v>
      </x:c>
      <x:c r="J1779" s="22" t="n">
        <x:v>1</x:v>
      </x:c>
      <x:c r="K1779" s="19" t="n">
        <x:v>1</x:v>
      </x:c>
      <x:c r="L1779" s="24" t="n">
        <x:v>21.849999999999998</x:v>
      </x:c>
      <x:c r="M1779" s="26" t="n">
        <x:v>0.1</x:v>
      </x:c>
      <x:c r="N1779" s="24" t="n">
        <x:v>12</x:v>
      </x:c>
      <x:c r="O1779" s="28" t="n">
        <x:f>MIN(1,L1779/I1779)</x:f>
        <x:v>0.03641666666666666</x:v>
      </x:c>
      <x:c r="P1779" s="30" t="n">
        <x:f>O1779*J1779*(1+M1779)</x:f>
        <x:v>0.04005833333333333</x:v>
      </x:c>
      <x:c r="Q1779" s="30" t="n">
        <x:f>P1779*N1779</x:f>
        <x:v>0.4806999999999999</x:v>
      </x:c>
      <x:c r="R1779" s="19" t="str">
        <x:v>独立判定</x:v>
      </x:c>
    </x:row>
    <x:row r="1780" ht="19" customHeight="1">
      <x:c r="A1780" s="19" t="str">
        <x:v>D01776</x:v>
      </x:c>
      <x:c r="B1780" s="19" t="n">
        <x:v>4</x:v>
      </x:c>
      <x:c r="C1780" s="19" t="n">
        <x:v>4</x:v>
      </x:c>
      <x:c r="D1780" s="19" t="str">
        <x:v>C04-M043</x:v>
      </x:c>
      <x:c r="E1780" s="19" t="str">
        <x:v>倒吊瞭望手</x:v>
      </x:c>
      <x:c r="F1780" s="19" t="str">
        <x:v>稀有</x:v>
      </x:c>
      <x:c r="G1780" s="19" t="str">
        <x:v>六神器公共池</x:v>
      </x:c>
      <x:c r="H1780" s="19" t="str">
        <x:v>POOL006</x:v>
      </x:c>
      <x:c r="I1780" s="22" t="n">
        <x:v>5000000</x:v>
      </x:c>
      <x:c r="J1780" s="22" t="n">
        <x:v>1</x:v>
      </x:c>
      <x:c r="K1780" s="19" t="n">
        <x:v>6</x:v>
      </x:c>
      <x:c r="L1780" s="24" t="n">
        <x:v>21.849999999999998</x:v>
      </x:c>
      <x:c r="M1780" s="26" t="n">
        <x:v>0.1</x:v>
      </x:c>
      <x:c r="N1780" s="24" t="n">
        <x:v>12</x:v>
      </x:c>
      <x:c r="O1780" s="28" t="n">
        <x:f>MIN(1,L1780/I1780)</x:f>
        <x:v>0.00000437</x:v>
      </x:c>
      <x:c r="P1780" s="30" t="n">
        <x:f>O1780*J1780*(1+M1780)</x:f>
        <x:v>0.000004807</x:v>
      </x:c>
      <x:c r="Q1780" s="30" t="n">
        <x:f>P1780*N1780</x:f>
        <x:v>0.000057684</x:v>
      </x:c>
      <x:c r="R1780" s="19" t="str">
        <x:v>六选一；非6个独立爆率</x:v>
      </x:c>
    </x:row>
    <x:row r="1781" ht="19" customHeight="1">
      <x:c r="A1781" s="19" t="str">
        <x:v>D01777</x:v>
      </x:c>
      <x:c r="B1781" s="19" t="n">
        <x:v>4</x:v>
      </x:c>
      <x:c r="C1781" s="19" t="n">
        <x:v>4</x:v>
      </x:c>
      <x:c r="D1781" s="19" t="str">
        <x:v>C04-M044</x:v>
      </x:c>
      <x:c r="E1781" s="19" t="str">
        <x:v>无面桨官</x:v>
      </x:c>
      <x:c r="F1781" s="19" t="str">
        <x:v>稀有</x:v>
      </x:c>
      <x:c r="G1781" s="19" t="str">
        <x:v>自身专属</x:v>
      </x:c>
      <x:c r="H1781" s="19" t="str">
        <x:v>桨官铁盾</x:v>
      </x:c>
      <x:c r="I1781" s="22" t="n">
        <x:v>400</x:v>
      </x:c>
      <x:c r="J1781" s="22" t="n">
        <x:v>1</x:v>
      </x:c>
      <x:c r="K1781" s="19" t="n">
        <x:v>1</x:v>
      </x:c>
      <x:c r="L1781" s="24" t="n">
        <x:v>21.849999999999998</x:v>
      </x:c>
      <x:c r="M1781" s="26" t="n">
        <x:v>0.1</x:v>
      </x:c>
      <x:c r="N1781" s="24" t="n">
        <x:v>12</x:v>
      </x:c>
      <x:c r="O1781" s="28" t="n">
        <x:f>MIN(1,L1781/I1781)</x:f>
        <x:v>0.05462499999999999</x:v>
      </x:c>
      <x:c r="P1781" s="30" t="n">
        <x:f>O1781*J1781*(1+M1781)</x:f>
        <x:v>0.060087499999999995</x:v>
      </x:c>
      <x:c r="Q1781" s="30" t="n">
        <x:f>P1781*N1781</x:f>
        <x:v>0.72105</x:v>
      </x:c>
      <x:c r="R1781" s="19" t="str">
        <x:v>独立判定</x:v>
      </x:c>
    </x:row>
    <x:row r="1782" ht="19" customHeight="1">
      <x:c r="A1782" s="19" t="str">
        <x:v>D01778</x:v>
      </x:c>
      <x:c r="B1782" s="19" t="n">
        <x:v>4</x:v>
      </x:c>
      <x:c r="C1782" s="19" t="n">
        <x:v>4</x:v>
      </x:c>
      <x:c r="D1782" s="19" t="str">
        <x:v>C04-M044</x:v>
      </x:c>
      <x:c r="E1782" s="19" t="str">
        <x:v>无面桨官</x:v>
      </x:c>
      <x:c r="F1782" s="19" t="str">
        <x:v>稀有</x:v>
      </x:c>
      <x:c r="G1782" s="19" t="str">
        <x:v>材料独立候选</x:v>
      </x:c>
      <x:c r="H1782" s="19" t="str">
        <x:v>湖盐结晶</x:v>
      </x:c>
      <x:c r="I1782" s="22" t="n">
        <x:v>400</x:v>
      </x:c>
      <x:c r="J1782" s="22" t="n">
        <x:v>15</x:v>
      </x:c>
      <x:c r="K1782" s="19" t="n">
        <x:v>1</x:v>
      </x:c>
      <x:c r="L1782" s="24" t="n">
        <x:v>21.849999999999998</x:v>
      </x:c>
      <x:c r="M1782" s="26" t="n">
        <x:v>0.1</x:v>
      </x:c>
      <x:c r="N1782" s="24" t="n">
        <x:v>12</x:v>
      </x:c>
      <x:c r="O1782" s="28" t="n">
        <x:f>MIN(1,L1782/I1782)</x:f>
        <x:v>0.05462499999999999</x:v>
      </x:c>
      <x:c r="P1782" s="30" t="n">
        <x:f>O1782*J1782*(1+M1782)</x:f>
        <x:v>0.9013125</x:v>
      </x:c>
      <x:c r="Q1782" s="30" t="n">
        <x:f>P1782*N1782</x:f>
        <x:v>10.81575</x:v>
      </x:c>
      <x:c r="R1782" s="19" t="str">
        <x:v>独立判定</x:v>
      </x:c>
    </x:row>
    <x:row r="1783" ht="19" customHeight="1">
      <x:c r="A1783" s="19" t="str">
        <x:v>D01779</x:v>
      </x:c>
      <x:c r="B1783" s="19" t="n">
        <x:v>4</x:v>
      </x:c>
      <x:c r="C1783" s="19" t="n">
        <x:v>4</x:v>
      </x:c>
      <x:c r="D1783" s="19" t="str">
        <x:v>C04-M044</x:v>
      </x:c>
      <x:c r="E1783" s="19" t="str">
        <x:v>无面桨官</x:v>
      </x:c>
      <x:c r="F1783" s="19" t="str">
        <x:v>稀有</x:v>
      </x:c>
      <x:c r="G1783" s="19" t="str">
        <x:v>材料独立候选</x:v>
      </x:c>
      <x:c r="H1783" s="19" t="str">
        <x:v>幽船铆钉</x:v>
      </x:c>
      <x:c r="I1783" s="22" t="n">
        <x:v>1200</x:v>
      </x:c>
      <x:c r="J1783" s="22" t="n">
        <x:v>1</x:v>
      </x:c>
      <x:c r="K1783" s="19" t="n">
        <x:v>1</x:v>
      </x:c>
      <x:c r="L1783" s="24" t="n">
        <x:v>21.849999999999998</x:v>
      </x:c>
      <x:c r="M1783" s="26" t="n">
        <x:v>0.1</x:v>
      </x:c>
      <x:c r="N1783" s="24" t="n">
        <x:v>12</x:v>
      </x:c>
      <x:c r="O1783" s="28" t="n">
        <x:f>MIN(1,L1783/I1783)</x:f>
        <x:v>0.01820833333333333</x:v>
      </x:c>
      <x:c r="P1783" s="30" t="n">
        <x:f>O1783*J1783*(1+M1783)</x:f>
        <x:v>0.020029166666666664</x:v>
      </x:c>
      <x:c r="Q1783" s="30" t="n">
        <x:f>P1783*N1783</x:f>
        <x:v>0.24034999999999995</x:v>
      </x:c>
      <x:c r="R1783" s="19" t="str">
        <x:v>独立判定</x:v>
      </x:c>
    </x:row>
    <x:row r="1784" ht="19" customHeight="1">
      <x:c r="A1784" s="19" t="str">
        <x:v>D01780</x:v>
      </x:c>
      <x:c r="B1784" s="19" t="n">
        <x:v>4</x:v>
      </x:c>
      <x:c r="C1784" s="19" t="n">
        <x:v>4</x:v>
      </x:c>
      <x:c r="D1784" s="19" t="str">
        <x:v>C04-M044</x:v>
      </x:c>
      <x:c r="E1784" s="19" t="str">
        <x:v>无面桨官</x:v>
      </x:c>
      <x:c r="F1784" s="19" t="str">
        <x:v>稀有</x:v>
      </x:c>
      <x:c r="G1784" s="19" t="str">
        <x:v>材料独立候选</x:v>
      </x:c>
      <x:c r="H1784" s="19" t="str">
        <x:v>沉船缆扣</x:v>
      </x:c>
      <x:c r="I1784" s="22" t="n">
        <x:v>500</x:v>
      </x:c>
      <x:c r="J1784" s="22" t="n">
        <x:v>1</x:v>
      </x:c>
      <x:c r="K1784" s="19" t="n">
        <x:v>1</x:v>
      </x:c>
      <x:c r="L1784" s="24" t="n">
        <x:v>21.849999999999998</x:v>
      </x:c>
      <x:c r="M1784" s="26" t="n">
        <x:v>0.1</x:v>
      </x:c>
      <x:c r="N1784" s="24" t="n">
        <x:v>12</x:v>
      </x:c>
      <x:c r="O1784" s="28" t="n">
        <x:f>MIN(1,L1784/I1784)</x:f>
        <x:v>0.043699999999999996</x:v>
      </x:c>
      <x:c r="P1784" s="30" t="n">
        <x:f>O1784*J1784*(1+M1784)</x:f>
        <x:v>0.04807</x:v>
      </x:c>
      <x:c r="Q1784" s="30" t="n">
        <x:f>P1784*N1784</x:f>
        <x:v>0.57684</x:v>
      </x:c>
      <x:c r="R1784" s="19" t="str">
        <x:v>独立判定</x:v>
      </x:c>
    </x:row>
    <x:row r="1785" ht="19" customHeight="1">
      <x:c r="A1785" s="19" t="str">
        <x:v>D01781</x:v>
      </x:c>
      <x:c r="B1785" s="19" t="n">
        <x:v>4</x:v>
      </x:c>
      <x:c r="C1785" s="19" t="n">
        <x:v>4</x:v>
      </x:c>
      <x:c r="D1785" s="19" t="str">
        <x:v>C04-M044</x:v>
      </x:c>
      <x:c r="E1785" s="19" t="str">
        <x:v>无面桨官</x:v>
      </x:c>
      <x:c r="F1785" s="19" t="str">
        <x:v>稀有</x:v>
      </x:c>
      <x:c r="G1785" s="19" t="str">
        <x:v>材料独立候选</x:v>
      </x:c>
      <x:c r="H1785" s="19" t="str">
        <x:v>月潮忆珀</x:v>
      </x:c>
      <x:c r="I1785" s="22" t="n">
        <x:v>600000</x:v>
      </x:c>
      <x:c r="J1785" s="22" t="n">
        <x:v>1</x:v>
      </x:c>
      <x:c r="K1785" s="19" t="n">
        <x:v>1</x:v>
      </x:c>
      <x:c r="L1785" s="24" t="n">
        <x:v>21.849999999999998</x:v>
      </x:c>
      <x:c r="M1785" s="26" t="n">
        <x:v>0.1</x:v>
      </x:c>
      <x:c r="N1785" s="24" t="n">
        <x:v>12</x:v>
      </x:c>
      <x:c r="O1785" s="28" t="n">
        <x:f>MIN(1,L1785/I1785)</x:f>
        <x:v>0.000036416666666666666</x:v>
      </x:c>
      <x:c r="P1785" s="30" t="n">
        <x:f>O1785*J1785*(1+M1785)</x:f>
        <x:v>0.000040058333333333336</x:v>
      </x:c>
      <x:c r="Q1785" s="30" t="n">
        <x:f>P1785*N1785</x:f>
        <x:v>0.00048070000000000003</x:v>
      </x:c>
      <x:c r="R1785" s="19" t="str">
        <x:v>独立判定</x:v>
      </x:c>
    </x:row>
    <x:row r="1786" ht="19" customHeight="1">
      <x:c r="A1786" s="19" t="str">
        <x:v>D01782</x:v>
      </x:c>
      <x:c r="B1786" s="19" t="n">
        <x:v>4</x:v>
      </x:c>
      <x:c r="C1786" s="19" t="n">
        <x:v>4</x:v>
      </x:c>
      <x:c r="D1786" s="19" t="str">
        <x:v>C04-M044</x:v>
      </x:c>
      <x:c r="E1786" s="19" t="str">
        <x:v>无面桨官</x:v>
      </x:c>
      <x:c r="F1786" s="19" t="str">
        <x:v>稀有</x:v>
      </x:c>
      <x:c r="G1786" s="19" t="str">
        <x:v>材料独立候选</x:v>
      </x:c>
      <x:c r="H1786" s="19" t="str">
        <x:v>黄金树芽</x:v>
      </x:c>
      <x:c r="I1786" s="22" t="n">
        <x:v>2000</x:v>
      </x:c>
      <x:c r="J1786" s="22" t="n">
        <x:v>1</x:v>
      </x:c>
      <x:c r="K1786" s="19" t="n">
        <x:v>1</x:v>
      </x:c>
      <x:c r="L1786" s="24" t="n">
        <x:v>21.849999999999998</x:v>
      </x:c>
      <x:c r="M1786" s="26" t="n">
        <x:v>0.1</x:v>
      </x:c>
      <x:c r="N1786" s="24" t="n">
        <x:v>12</x:v>
      </x:c>
      <x:c r="O1786" s="28" t="n">
        <x:f>MIN(1,L1786/I1786)</x:f>
        <x:v>0.010924999999999999</x:v>
      </x:c>
      <x:c r="P1786" s="30" t="n">
        <x:f>O1786*J1786*(1+M1786)</x:f>
        <x:v>0.0120175</x:v>
      </x:c>
      <x:c r="Q1786" s="30" t="n">
        <x:f>P1786*N1786</x:f>
        <x:v>0.14421</x:v>
      </x:c>
      <x:c r="R1786" s="19" t="str">
        <x:v>独立判定</x:v>
      </x:c>
    </x:row>
    <x:row r="1787" ht="19" customHeight="1">
      <x:c r="A1787" s="19" t="str">
        <x:v>D01783</x:v>
      </x:c>
      <x:c r="B1787" s="19" t="n">
        <x:v>4</x:v>
      </x:c>
      <x:c r="C1787" s="19" t="n">
        <x:v>4</x:v>
      </x:c>
      <x:c r="D1787" s="19" t="str">
        <x:v>C04-M044</x:v>
      </x:c>
      <x:c r="E1787" s="19" t="str">
        <x:v>无面桨官</x:v>
      </x:c>
      <x:c r="F1787" s="19" t="str">
        <x:v>稀有</x:v>
      </x:c>
      <x:c r="G1787" s="19" t="str">
        <x:v>材料独立候选</x:v>
      </x:c>
      <x:c r="H1787" s="19" t="str">
        <x:v>野兽骨片</x:v>
      </x:c>
      <x:c r="I1787" s="22" t="n">
        <x:v>60</x:v>
      </x:c>
      <x:c r="J1787" s="22" t="n">
        <x:v>2</x:v>
      </x:c>
      <x:c r="K1787" s="19" t="n">
        <x:v>1</x:v>
      </x:c>
      <x:c r="L1787" s="24" t="n">
        <x:v>21.849999999999998</x:v>
      </x:c>
      <x:c r="M1787" s="26" t="n">
        <x:v>0.1</x:v>
      </x:c>
      <x:c r="N1787" s="24" t="n">
        <x:v>12</x:v>
      </x:c>
      <x:c r="O1787" s="28" t="n">
        <x:f>MIN(1,L1787/I1787)</x:f>
        <x:v>0.36416666666666664</x:v>
      </x:c>
      <x:c r="P1787" s="30" t="n">
        <x:f>O1787*J1787*(1+M1787)</x:f>
        <x:v>0.8011666666666667</x:v>
      </x:c>
      <x:c r="Q1787" s="30" t="n">
        <x:f>P1787*N1787</x:f>
        <x:v>9.614</x:v>
      </x:c>
      <x:c r="R1787" s="19" t="str">
        <x:v>独立判定</x:v>
      </x:c>
    </x:row>
    <x:row r="1788" ht="19" customHeight="1">
      <x:c r="A1788" s="19" t="str">
        <x:v>D01784</x:v>
      </x:c>
      <x:c r="B1788" s="19" t="n">
        <x:v>4</x:v>
      </x:c>
      <x:c r="C1788" s="19" t="n">
        <x:v>4</x:v>
      </x:c>
      <x:c r="D1788" s="19" t="str">
        <x:v>C04-M044</x:v>
      </x:c>
      <x:c r="E1788" s="19" t="str">
        <x:v>无面桨官</x:v>
      </x:c>
      <x:c r="F1788" s="19" t="str">
        <x:v>稀有</x:v>
      </x:c>
      <x:c r="G1788" s="19" t="str">
        <x:v>材料独立候选</x:v>
      </x:c>
      <x:c r="H1788" s="19" t="str">
        <x:v>技能残页</x:v>
      </x:c>
      <x:c r="I1788" s="22" t="n">
        <x:v>300</x:v>
      </x:c>
      <x:c r="J1788" s="22" t="n">
        <x:v>1</x:v>
      </x:c>
      <x:c r="K1788" s="19" t="n">
        <x:v>1</x:v>
      </x:c>
      <x:c r="L1788" s="24" t="n">
        <x:v>21.849999999999998</x:v>
      </x:c>
      <x:c r="M1788" s="26" t="n">
        <x:v>0.1</x:v>
      </x:c>
      <x:c r="N1788" s="24" t="n">
        <x:v>12</x:v>
      </x:c>
      <x:c r="O1788" s="28" t="n">
        <x:f>MIN(1,L1788/I1788)</x:f>
        <x:v>0.07283333333333332</x:v>
      </x:c>
      <x:c r="P1788" s="30" t="n">
        <x:f>O1788*J1788*(1+M1788)</x:f>
        <x:v>0.08011666666666666</x:v>
      </x:c>
      <x:c r="Q1788" s="30" t="n">
        <x:f>P1788*N1788</x:f>
        <x:v>0.9613999999999998</x:v>
      </x:c>
      <x:c r="R1788" s="19" t="str">
        <x:v>独立判定</x:v>
      </x:c>
    </x:row>
    <x:row r="1789" ht="19" customHeight="1">
      <x:c r="A1789" s="19" t="str">
        <x:v>D01785</x:v>
      </x:c>
      <x:c r="B1789" s="19" t="n">
        <x:v>4</x:v>
      </x:c>
      <x:c r="C1789" s="19" t="n">
        <x:v>4</x:v>
      </x:c>
      <x:c r="D1789" s="19" t="str">
        <x:v>C04-M044</x:v>
      </x:c>
      <x:c r="E1789" s="19" t="str">
        <x:v>无面桨官</x:v>
      </x:c>
      <x:c r="F1789" s="19" t="str">
        <x:v>稀有</x:v>
      </x:c>
      <x:c r="G1789" s="19" t="str">
        <x:v>材料独立候选</x:v>
      </x:c>
      <x:c r="H1789" s="19" t="str">
        <x:v>小卢恩</x:v>
      </x:c>
      <x:c r="I1789" s="22" t="n">
        <x:v>600</x:v>
      </x:c>
      <x:c r="J1789" s="22" t="n">
        <x:v>1</x:v>
      </x:c>
      <x:c r="K1789" s="19" t="n">
        <x:v>1</x:v>
      </x:c>
      <x:c r="L1789" s="24" t="n">
        <x:v>21.849999999999998</x:v>
      </x:c>
      <x:c r="M1789" s="26" t="n">
        <x:v>0.1</x:v>
      </x:c>
      <x:c r="N1789" s="24" t="n">
        <x:v>12</x:v>
      </x:c>
      <x:c r="O1789" s="28" t="n">
        <x:f>MIN(1,L1789/I1789)</x:f>
        <x:v>0.03641666666666666</x:v>
      </x:c>
      <x:c r="P1789" s="30" t="n">
        <x:f>O1789*J1789*(1+M1789)</x:f>
        <x:v>0.04005833333333333</x:v>
      </x:c>
      <x:c r="Q1789" s="30" t="n">
        <x:f>P1789*N1789</x:f>
        <x:v>0.4806999999999999</x:v>
      </x:c>
      <x:c r="R1789" s="19" t="str">
        <x:v>独立判定</x:v>
      </x:c>
    </x:row>
    <x:row r="1790" ht="19" customHeight="1">
      <x:c r="A1790" s="19" t="str">
        <x:v>D01786</x:v>
      </x:c>
      <x:c r="B1790" s="19" t="n">
        <x:v>4</x:v>
      </x:c>
      <x:c r="C1790" s="19" t="n">
        <x:v>4</x:v>
      </x:c>
      <x:c r="D1790" s="19" t="str">
        <x:v>C04-M044</x:v>
      </x:c>
      <x:c r="E1790" s="19" t="str">
        <x:v>无面桨官</x:v>
      </x:c>
      <x:c r="F1790" s="19" t="str">
        <x:v>稀有</x:v>
      </x:c>
      <x:c r="G1790" s="19" t="str">
        <x:v>六神器公共池</x:v>
      </x:c>
      <x:c r="H1790" s="19" t="str">
        <x:v>POOL006</x:v>
      </x:c>
      <x:c r="I1790" s="22" t="n">
        <x:v>5000000</x:v>
      </x:c>
      <x:c r="J1790" s="22" t="n">
        <x:v>1</x:v>
      </x:c>
      <x:c r="K1790" s="19" t="n">
        <x:v>6</x:v>
      </x:c>
      <x:c r="L1790" s="24" t="n">
        <x:v>21.849999999999998</x:v>
      </x:c>
      <x:c r="M1790" s="26" t="n">
        <x:v>0.1</x:v>
      </x:c>
      <x:c r="N1790" s="24" t="n">
        <x:v>12</x:v>
      </x:c>
      <x:c r="O1790" s="28" t="n">
        <x:f>MIN(1,L1790/I1790)</x:f>
        <x:v>0.00000437</x:v>
      </x:c>
      <x:c r="P1790" s="30" t="n">
        <x:f>O1790*J1790*(1+M1790)</x:f>
        <x:v>0.000004807</x:v>
      </x:c>
      <x:c r="Q1790" s="30" t="n">
        <x:f>P1790*N1790</x:f>
        <x:v>0.000057684</x:v>
      </x:c>
      <x:c r="R1790" s="19" t="str">
        <x:v>六选一；非6个独立爆率</x:v>
      </x:c>
    </x:row>
    <x:row r="1791" ht="19" customHeight="1">
      <x:c r="A1791" s="19" t="str">
        <x:v>D01787</x:v>
      </x:c>
      <x:c r="B1791" s="19" t="n">
        <x:v>4</x:v>
      </x:c>
      <x:c r="C1791" s="19" t="n">
        <x:v>4</x:v>
      </x:c>
      <x:c r="D1791" s="19" t="str">
        <x:v>C04-M045</x:v>
      </x:c>
      <x:c r="E1791" s="19" t="str">
        <x:v>舱壁缝合怪</x:v>
      </x:c>
      <x:c r="F1791" s="19" t="str">
        <x:v>稀有</x:v>
      </x:c>
      <x:c r="G1791" s="19" t="str">
        <x:v>自身专属</x:v>
      </x:c>
      <x:c r="H1791" s="19" t="str">
        <x:v>缝舱腰箍</x:v>
      </x:c>
      <x:c r="I1791" s="22" t="n">
        <x:v>400</x:v>
      </x:c>
      <x:c r="J1791" s="22" t="n">
        <x:v>1</x:v>
      </x:c>
      <x:c r="K1791" s="19" t="n">
        <x:v>1</x:v>
      </x:c>
      <x:c r="L1791" s="24" t="n">
        <x:v>21.849999999999998</x:v>
      </x:c>
      <x:c r="M1791" s="26" t="n">
        <x:v>0.1</x:v>
      </x:c>
      <x:c r="N1791" s="24" t="n">
        <x:v>11.822560243412168</x:v>
      </x:c>
      <x:c r="O1791" s="28" t="n">
        <x:f>MIN(1,L1791/I1791)</x:f>
        <x:v>0.05462499999999999</x:v>
      </x:c>
      <x:c r="P1791" s="30" t="n">
        <x:f>O1791*J1791*(1+M1791)</x:f>
        <x:v>0.060087499999999995</x:v>
      </x:c>
      <x:c r="Q1791" s="30" t="n">
        <x:f>P1791*N1791</x:f>
        <x:v>0.7103880886260285</x:v>
      </x:c>
      <x:c r="R1791" s="19" t="str">
        <x:v>独立判定</x:v>
      </x:c>
    </x:row>
    <x:row r="1792" ht="19" customHeight="1">
      <x:c r="A1792" s="19" t="str">
        <x:v>D01788</x:v>
      </x:c>
      <x:c r="B1792" s="19" t="n">
        <x:v>4</x:v>
      </x:c>
      <x:c r="C1792" s="19" t="n">
        <x:v>4</x:v>
      </x:c>
      <x:c r="D1792" s="19" t="str">
        <x:v>C04-M045</x:v>
      </x:c>
      <x:c r="E1792" s="19" t="str">
        <x:v>舱壁缝合怪</x:v>
      </x:c>
      <x:c r="F1792" s="19" t="str">
        <x:v>稀有</x:v>
      </x:c>
      <x:c r="G1792" s="19" t="str">
        <x:v>材料独立候选</x:v>
      </x:c>
      <x:c r="H1792" s="19" t="str">
        <x:v>湖盐结晶</x:v>
      </x:c>
      <x:c r="I1792" s="22" t="n">
        <x:v>400</x:v>
      </x:c>
      <x:c r="J1792" s="22" t="n">
        <x:v>15</x:v>
      </x:c>
      <x:c r="K1792" s="19" t="n">
        <x:v>1</x:v>
      </x:c>
      <x:c r="L1792" s="24" t="n">
        <x:v>21.849999999999998</x:v>
      </x:c>
      <x:c r="M1792" s="26" t="n">
        <x:v>0.1</x:v>
      </x:c>
      <x:c r="N1792" s="24" t="n">
        <x:v>11.822560243412168</x:v>
      </x:c>
      <x:c r="O1792" s="28" t="n">
        <x:f>MIN(1,L1792/I1792)</x:f>
        <x:v>0.05462499999999999</x:v>
      </x:c>
      <x:c r="P1792" s="30" t="n">
        <x:f>O1792*J1792*(1+M1792)</x:f>
        <x:v>0.9013125</x:v>
      </x:c>
      <x:c r="Q1792" s="30" t="n">
        <x:f>P1792*N1792</x:f>
        <x:v>10.65582132939043</x:v>
      </x:c>
      <x:c r="R1792" s="19" t="str">
        <x:v>独立判定</x:v>
      </x:c>
    </x:row>
    <x:row r="1793" ht="19" customHeight="1">
      <x:c r="A1793" s="19" t="str">
        <x:v>D01789</x:v>
      </x:c>
      <x:c r="B1793" s="19" t="n">
        <x:v>4</x:v>
      </x:c>
      <x:c r="C1793" s="19" t="n">
        <x:v>4</x:v>
      </x:c>
      <x:c r="D1793" s="19" t="str">
        <x:v>C04-M045</x:v>
      </x:c>
      <x:c r="E1793" s="19" t="str">
        <x:v>舱壁缝合怪</x:v>
      </x:c>
      <x:c r="F1793" s="19" t="str">
        <x:v>稀有</x:v>
      </x:c>
      <x:c r="G1793" s="19" t="str">
        <x:v>材料独立候选</x:v>
      </x:c>
      <x:c r="H1793" s="19" t="str">
        <x:v>幽船铆钉</x:v>
      </x:c>
      <x:c r="I1793" s="22" t="n">
        <x:v>1200</x:v>
      </x:c>
      <x:c r="J1793" s="22" t="n">
        <x:v>1</x:v>
      </x:c>
      <x:c r="K1793" s="19" t="n">
        <x:v>1</x:v>
      </x:c>
      <x:c r="L1793" s="24" t="n">
        <x:v>21.849999999999998</x:v>
      </x:c>
      <x:c r="M1793" s="26" t="n">
        <x:v>0.1</x:v>
      </x:c>
      <x:c r="N1793" s="24" t="n">
        <x:v>11.822560243412168</x:v>
      </x:c>
      <x:c r="O1793" s="28" t="n">
        <x:f>MIN(1,L1793/I1793)</x:f>
        <x:v>0.01820833333333333</x:v>
      </x:c>
      <x:c r="P1793" s="30" t="n">
        <x:f>O1793*J1793*(1+M1793)</x:f>
        <x:v>0.020029166666666664</x:v>
      </x:c>
      <x:c r="Q1793" s="30" t="n">
        <x:f>P1793*N1793</x:f>
        <x:v>0.2367960295420095</x:v>
      </x:c>
      <x:c r="R1793" s="19" t="str">
        <x:v>独立判定</x:v>
      </x:c>
    </x:row>
    <x:row r="1794" ht="19" customHeight="1">
      <x:c r="A1794" s="19" t="str">
        <x:v>D01790</x:v>
      </x:c>
      <x:c r="B1794" s="19" t="n">
        <x:v>4</x:v>
      </x:c>
      <x:c r="C1794" s="19" t="n">
        <x:v>4</x:v>
      </x:c>
      <x:c r="D1794" s="19" t="str">
        <x:v>C04-M045</x:v>
      </x:c>
      <x:c r="E1794" s="19" t="str">
        <x:v>舱壁缝合怪</x:v>
      </x:c>
      <x:c r="F1794" s="19" t="str">
        <x:v>稀有</x:v>
      </x:c>
      <x:c r="G1794" s="19" t="str">
        <x:v>材料独立候选</x:v>
      </x:c>
      <x:c r="H1794" s="19" t="str">
        <x:v>沉船缆扣</x:v>
      </x:c>
      <x:c r="I1794" s="22" t="n">
        <x:v>500</x:v>
      </x:c>
      <x:c r="J1794" s="22" t="n">
        <x:v>1</x:v>
      </x:c>
      <x:c r="K1794" s="19" t="n">
        <x:v>1</x:v>
      </x:c>
      <x:c r="L1794" s="24" t="n">
        <x:v>21.849999999999998</x:v>
      </x:c>
      <x:c r="M1794" s="26" t="n">
        <x:v>0.1</x:v>
      </x:c>
      <x:c r="N1794" s="24" t="n">
        <x:v>11.822560243412168</x:v>
      </x:c>
      <x:c r="O1794" s="28" t="n">
        <x:f>MIN(1,L1794/I1794)</x:f>
        <x:v>0.043699999999999996</x:v>
      </x:c>
      <x:c r="P1794" s="30" t="n">
        <x:f>O1794*J1794*(1+M1794)</x:f>
        <x:v>0.04807</x:v>
      </x:c>
      <x:c r="Q1794" s="30" t="n">
        <x:f>P1794*N1794</x:f>
        <x:v>0.568310470900823</x:v>
      </x:c>
      <x:c r="R1794" s="19" t="str">
        <x:v>独立判定</x:v>
      </x:c>
    </x:row>
    <x:row r="1795" ht="19" customHeight="1">
      <x:c r="A1795" s="19" t="str">
        <x:v>D01791</x:v>
      </x:c>
      <x:c r="B1795" s="19" t="n">
        <x:v>4</x:v>
      </x:c>
      <x:c r="C1795" s="19" t="n">
        <x:v>4</x:v>
      </x:c>
      <x:c r="D1795" s="19" t="str">
        <x:v>C04-M045</x:v>
      </x:c>
      <x:c r="E1795" s="19" t="str">
        <x:v>舱壁缝合怪</x:v>
      </x:c>
      <x:c r="F1795" s="19" t="str">
        <x:v>稀有</x:v>
      </x:c>
      <x:c r="G1795" s="19" t="str">
        <x:v>材料独立候选</x:v>
      </x:c>
      <x:c r="H1795" s="19" t="str">
        <x:v>月潮忆珀</x:v>
      </x:c>
      <x:c r="I1795" s="22" t="n">
        <x:v>600000</x:v>
      </x:c>
      <x:c r="J1795" s="22" t="n">
        <x:v>1</x:v>
      </x:c>
      <x:c r="K1795" s="19" t="n">
        <x:v>1</x:v>
      </x:c>
      <x:c r="L1795" s="24" t="n">
        <x:v>21.849999999999998</x:v>
      </x:c>
      <x:c r="M1795" s="26" t="n">
        <x:v>0.1</x:v>
      </x:c>
      <x:c r="N1795" s="24" t="n">
        <x:v>11.822560243412168</x:v>
      </x:c>
      <x:c r="O1795" s="28" t="n">
        <x:f>MIN(1,L1795/I1795)</x:f>
        <x:v>0.000036416666666666666</x:v>
      </x:c>
      <x:c r="P1795" s="30" t="n">
        <x:f>O1795*J1795*(1+M1795)</x:f>
        <x:v>0.000040058333333333336</x:v>
      </x:c>
      <x:c r="Q1795" s="30" t="n">
        <x:f>P1795*N1795</x:f>
        <x:v>0.00047359205908401915</x:v>
      </x:c>
      <x:c r="R1795" s="19" t="str">
        <x:v>独立判定</x:v>
      </x:c>
    </x:row>
    <x:row r="1796" ht="19" customHeight="1">
      <x:c r="A1796" s="19" t="str">
        <x:v>D01792</x:v>
      </x:c>
      <x:c r="B1796" s="19" t="n">
        <x:v>4</x:v>
      </x:c>
      <x:c r="C1796" s="19" t="n">
        <x:v>4</x:v>
      </x:c>
      <x:c r="D1796" s="19" t="str">
        <x:v>C04-M045</x:v>
      </x:c>
      <x:c r="E1796" s="19" t="str">
        <x:v>舱壁缝合怪</x:v>
      </x:c>
      <x:c r="F1796" s="19" t="str">
        <x:v>稀有</x:v>
      </x:c>
      <x:c r="G1796" s="19" t="str">
        <x:v>材料独立候选</x:v>
      </x:c>
      <x:c r="H1796" s="19" t="str">
        <x:v>黄金树芽</x:v>
      </x:c>
      <x:c r="I1796" s="22" t="n">
        <x:v>2000</x:v>
      </x:c>
      <x:c r="J1796" s="22" t="n">
        <x:v>1</x:v>
      </x:c>
      <x:c r="K1796" s="19" t="n">
        <x:v>1</x:v>
      </x:c>
      <x:c r="L1796" s="24" t="n">
        <x:v>21.849999999999998</x:v>
      </x:c>
      <x:c r="M1796" s="26" t="n">
        <x:v>0.1</x:v>
      </x:c>
      <x:c r="N1796" s="24" t="n">
        <x:v>11.822560243412168</x:v>
      </x:c>
      <x:c r="O1796" s="28" t="n">
        <x:f>MIN(1,L1796/I1796)</x:f>
        <x:v>0.010924999999999999</x:v>
      </x:c>
      <x:c r="P1796" s="30" t="n">
        <x:f>O1796*J1796*(1+M1796)</x:f>
        <x:v>0.0120175</x:v>
      </x:c>
      <x:c r="Q1796" s="30" t="n">
        <x:f>P1796*N1796</x:f>
        <x:v>0.14207761772520575</x:v>
      </x:c>
      <x:c r="R1796" s="19" t="str">
        <x:v>独立判定</x:v>
      </x:c>
    </x:row>
    <x:row r="1797" ht="19" customHeight="1">
      <x:c r="A1797" s="19" t="str">
        <x:v>D01793</x:v>
      </x:c>
      <x:c r="B1797" s="19" t="n">
        <x:v>4</x:v>
      </x:c>
      <x:c r="C1797" s="19" t="n">
        <x:v>4</x:v>
      </x:c>
      <x:c r="D1797" s="19" t="str">
        <x:v>C04-M045</x:v>
      </x:c>
      <x:c r="E1797" s="19" t="str">
        <x:v>舱壁缝合怪</x:v>
      </x:c>
      <x:c r="F1797" s="19" t="str">
        <x:v>稀有</x:v>
      </x:c>
      <x:c r="G1797" s="19" t="str">
        <x:v>材料独立候选</x:v>
      </x:c>
      <x:c r="H1797" s="19" t="str">
        <x:v>野兽骨片</x:v>
      </x:c>
      <x:c r="I1797" s="22" t="n">
        <x:v>60</x:v>
      </x:c>
      <x:c r="J1797" s="22" t="n">
        <x:v>2</x:v>
      </x:c>
      <x:c r="K1797" s="19" t="n">
        <x:v>1</x:v>
      </x:c>
      <x:c r="L1797" s="24" t="n">
        <x:v>21.849999999999998</x:v>
      </x:c>
      <x:c r="M1797" s="26" t="n">
        <x:v>0.1</x:v>
      </x:c>
      <x:c r="N1797" s="24" t="n">
        <x:v>11.822560243412168</x:v>
      </x:c>
      <x:c r="O1797" s="28" t="n">
        <x:f>MIN(1,L1797/I1797)</x:f>
        <x:v>0.36416666666666664</x:v>
      </x:c>
      <x:c r="P1797" s="30" t="n">
        <x:f>O1797*J1797*(1+M1797)</x:f>
        <x:v>0.8011666666666667</x:v>
      </x:c>
      <x:c r="Q1797" s="30" t="n">
        <x:f>P1797*N1797</x:f>
        <x:v>9.471841181680382</x:v>
      </x:c>
      <x:c r="R1797" s="19" t="str">
        <x:v>独立判定</x:v>
      </x:c>
    </x:row>
    <x:row r="1798" ht="19" customHeight="1">
      <x:c r="A1798" s="19" t="str">
        <x:v>D01794</x:v>
      </x:c>
      <x:c r="B1798" s="19" t="n">
        <x:v>4</x:v>
      </x:c>
      <x:c r="C1798" s="19" t="n">
        <x:v>4</x:v>
      </x:c>
      <x:c r="D1798" s="19" t="str">
        <x:v>C04-M045</x:v>
      </x:c>
      <x:c r="E1798" s="19" t="str">
        <x:v>舱壁缝合怪</x:v>
      </x:c>
      <x:c r="F1798" s="19" t="str">
        <x:v>稀有</x:v>
      </x:c>
      <x:c r="G1798" s="19" t="str">
        <x:v>材料独立候选</x:v>
      </x:c>
      <x:c r="H1798" s="19" t="str">
        <x:v>技能残页</x:v>
      </x:c>
      <x:c r="I1798" s="22" t="n">
        <x:v>300</x:v>
      </x:c>
      <x:c r="J1798" s="22" t="n">
        <x:v>1</x:v>
      </x:c>
      <x:c r="K1798" s="19" t="n">
        <x:v>1</x:v>
      </x:c>
      <x:c r="L1798" s="24" t="n">
        <x:v>21.849999999999998</x:v>
      </x:c>
      <x:c r="M1798" s="26" t="n">
        <x:v>0.1</x:v>
      </x:c>
      <x:c r="N1798" s="24" t="n">
        <x:v>11.822560243412168</x:v>
      </x:c>
      <x:c r="O1798" s="28" t="n">
        <x:f>MIN(1,L1798/I1798)</x:f>
        <x:v>0.07283333333333332</x:v>
      </x:c>
      <x:c r="P1798" s="30" t="n">
        <x:f>O1798*J1798*(1+M1798)</x:f>
        <x:v>0.08011666666666666</x:v>
      </x:c>
      <x:c r="Q1798" s="30" t="n">
        <x:f>P1798*N1798</x:f>
        <x:v>0.947184118168038</x:v>
      </x:c>
      <x:c r="R1798" s="19" t="str">
        <x:v>独立判定</x:v>
      </x:c>
    </x:row>
    <x:row r="1799" ht="19" customHeight="1">
      <x:c r="A1799" s="19" t="str">
        <x:v>D01795</x:v>
      </x:c>
      <x:c r="B1799" s="19" t="n">
        <x:v>4</x:v>
      </x:c>
      <x:c r="C1799" s="19" t="n">
        <x:v>4</x:v>
      </x:c>
      <x:c r="D1799" s="19" t="str">
        <x:v>C04-M045</x:v>
      </x:c>
      <x:c r="E1799" s="19" t="str">
        <x:v>舱壁缝合怪</x:v>
      </x:c>
      <x:c r="F1799" s="19" t="str">
        <x:v>稀有</x:v>
      </x:c>
      <x:c r="G1799" s="19" t="str">
        <x:v>材料独立候选</x:v>
      </x:c>
      <x:c r="H1799" s="19" t="str">
        <x:v>小卢恩</x:v>
      </x:c>
      <x:c r="I1799" s="22" t="n">
        <x:v>600</x:v>
      </x:c>
      <x:c r="J1799" s="22" t="n">
        <x:v>1</x:v>
      </x:c>
      <x:c r="K1799" s="19" t="n">
        <x:v>1</x:v>
      </x:c>
      <x:c r="L1799" s="24" t="n">
        <x:v>21.849999999999998</x:v>
      </x:c>
      <x:c r="M1799" s="26" t="n">
        <x:v>0.1</x:v>
      </x:c>
      <x:c r="N1799" s="24" t="n">
        <x:v>11.822560243412168</x:v>
      </x:c>
      <x:c r="O1799" s="28" t="n">
        <x:f>MIN(1,L1799/I1799)</x:f>
        <x:v>0.03641666666666666</x:v>
      </x:c>
      <x:c r="P1799" s="30" t="n">
        <x:f>O1799*J1799*(1+M1799)</x:f>
        <x:v>0.04005833333333333</x:v>
      </x:c>
      <x:c r="Q1799" s="30" t="n">
        <x:f>P1799*N1799</x:f>
        <x:v>0.473592059084019</x:v>
      </x:c>
      <x:c r="R1799" s="19" t="str">
        <x:v>独立判定</x:v>
      </x:c>
    </x:row>
    <x:row r="1800" ht="19" customHeight="1">
      <x:c r="A1800" s="19" t="str">
        <x:v>D01796</x:v>
      </x:c>
      <x:c r="B1800" s="19" t="n">
        <x:v>4</x:v>
      </x:c>
      <x:c r="C1800" s="19" t="n">
        <x:v>4</x:v>
      </x:c>
      <x:c r="D1800" s="19" t="str">
        <x:v>C04-M045</x:v>
      </x:c>
      <x:c r="E1800" s="19" t="str">
        <x:v>舱壁缝合怪</x:v>
      </x:c>
      <x:c r="F1800" s="19" t="str">
        <x:v>稀有</x:v>
      </x:c>
      <x:c r="G1800" s="19" t="str">
        <x:v>六神器公共池</x:v>
      </x:c>
      <x:c r="H1800" s="19" t="str">
        <x:v>POOL006</x:v>
      </x:c>
      <x:c r="I1800" s="22" t="n">
        <x:v>5000000</x:v>
      </x:c>
      <x:c r="J1800" s="22" t="n">
        <x:v>1</x:v>
      </x:c>
      <x:c r="K1800" s="19" t="n">
        <x:v>6</x:v>
      </x:c>
      <x:c r="L1800" s="24" t="n">
        <x:v>21.849999999999998</x:v>
      </x:c>
      <x:c r="M1800" s="26" t="n">
        <x:v>0.1</x:v>
      </x:c>
      <x:c r="N1800" s="24" t="n">
        <x:v>11.822560243412168</x:v>
      </x:c>
      <x:c r="O1800" s="28" t="n">
        <x:f>MIN(1,L1800/I1800)</x:f>
        <x:v>0.00000437</x:v>
      </x:c>
      <x:c r="P1800" s="30" t="n">
        <x:f>O1800*J1800*(1+M1800)</x:f>
        <x:v>0.000004807</x:v>
      </x:c>
      <x:c r="Q1800" s="30" t="n">
        <x:f>P1800*N1800</x:f>
        <x:v>0.00005683104709008229</x:v>
      </x:c>
      <x:c r="R1800" s="19" t="str">
        <x:v>六选一；非6个独立爆率</x:v>
      </x:c>
    </x:row>
    <x:row r="1801" ht="19" customHeight="1">
      <x:c r="A1801" s="19" t="str">
        <x:v>D01797</x:v>
      </x:c>
      <x:c r="B1801" s="19" t="n">
        <x:v>4</x:v>
      </x:c>
      <x:c r="C1801" s="19" t="n">
        <x:v>4</x:v>
      </x:c>
      <x:c r="D1801" s="19" t="str">
        <x:v>C04-M046</x:v>
      </x:c>
      <x:c r="E1801" s="19" t="str">
        <x:v>黑帆招魂师</x:v>
      </x:c>
      <x:c r="F1801" s="19" t="str">
        <x:v>稀有</x:v>
      </x:c>
      <x:c r="G1801" s="19" t="str">
        <x:v>自身专属</x:v>
      </x:c>
      <x:c r="H1801" s="19" t="str">
        <x:v>黑帆魂戒</x:v>
      </x:c>
      <x:c r="I1801" s="22" t="n">
        <x:v>400</x:v>
      </x:c>
      <x:c r="J1801" s="22" t="n">
        <x:v>1</x:v>
      </x:c>
      <x:c r="K1801" s="19" t="n">
        <x:v>1</x:v>
      </x:c>
      <x:c r="L1801" s="24" t="n">
        <x:v>21.849999999999998</x:v>
      </x:c>
      <x:c r="M1801" s="26" t="n">
        <x:v>0.1</x:v>
      </x:c>
      <x:c r="N1801" s="24" t="n">
        <x:v>11.822560243412168</x:v>
      </x:c>
      <x:c r="O1801" s="28" t="n">
        <x:f>MIN(1,L1801/I1801)</x:f>
        <x:v>0.05462499999999999</x:v>
      </x:c>
      <x:c r="P1801" s="30" t="n">
        <x:f>O1801*J1801*(1+M1801)</x:f>
        <x:v>0.060087499999999995</x:v>
      </x:c>
      <x:c r="Q1801" s="30" t="n">
        <x:f>P1801*N1801</x:f>
        <x:v>0.7103880886260285</x:v>
      </x:c>
      <x:c r="R1801" s="19" t="str">
        <x:v>独立判定</x:v>
      </x:c>
    </x:row>
    <x:row r="1802" ht="19" customHeight="1">
      <x:c r="A1802" s="19" t="str">
        <x:v>D01798</x:v>
      </x:c>
      <x:c r="B1802" s="19" t="n">
        <x:v>4</x:v>
      </x:c>
      <x:c r="C1802" s="19" t="n">
        <x:v>4</x:v>
      </x:c>
      <x:c r="D1802" s="19" t="str">
        <x:v>C04-M046</x:v>
      </x:c>
      <x:c r="E1802" s="19" t="str">
        <x:v>黑帆招魂师</x:v>
      </x:c>
      <x:c r="F1802" s="19" t="str">
        <x:v>稀有</x:v>
      </x:c>
      <x:c r="G1802" s="19" t="str">
        <x:v>材料独立候选</x:v>
      </x:c>
      <x:c r="H1802" s="19" t="str">
        <x:v>湖盐结晶</x:v>
      </x:c>
      <x:c r="I1802" s="22" t="n">
        <x:v>400</x:v>
      </x:c>
      <x:c r="J1802" s="22" t="n">
        <x:v>15</x:v>
      </x:c>
      <x:c r="K1802" s="19" t="n">
        <x:v>1</x:v>
      </x:c>
      <x:c r="L1802" s="24" t="n">
        <x:v>21.849999999999998</x:v>
      </x:c>
      <x:c r="M1802" s="26" t="n">
        <x:v>0.1</x:v>
      </x:c>
      <x:c r="N1802" s="24" t="n">
        <x:v>11.822560243412168</x:v>
      </x:c>
      <x:c r="O1802" s="28" t="n">
        <x:f>MIN(1,L1802/I1802)</x:f>
        <x:v>0.05462499999999999</x:v>
      </x:c>
      <x:c r="P1802" s="30" t="n">
        <x:f>O1802*J1802*(1+M1802)</x:f>
        <x:v>0.9013125</x:v>
      </x:c>
      <x:c r="Q1802" s="30" t="n">
        <x:f>P1802*N1802</x:f>
        <x:v>10.65582132939043</x:v>
      </x:c>
      <x:c r="R1802" s="19" t="str">
        <x:v>独立判定</x:v>
      </x:c>
    </x:row>
    <x:row r="1803" ht="19" customHeight="1">
      <x:c r="A1803" s="19" t="str">
        <x:v>D01799</x:v>
      </x:c>
      <x:c r="B1803" s="19" t="n">
        <x:v>4</x:v>
      </x:c>
      <x:c r="C1803" s="19" t="n">
        <x:v>4</x:v>
      </x:c>
      <x:c r="D1803" s="19" t="str">
        <x:v>C04-M046</x:v>
      </x:c>
      <x:c r="E1803" s="19" t="str">
        <x:v>黑帆招魂师</x:v>
      </x:c>
      <x:c r="F1803" s="19" t="str">
        <x:v>稀有</x:v>
      </x:c>
      <x:c r="G1803" s="19" t="str">
        <x:v>材料独立候选</x:v>
      </x:c>
      <x:c r="H1803" s="19" t="str">
        <x:v>幽船铆钉</x:v>
      </x:c>
      <x:c r="I1803" s="22" t="n">
        <x:v>1200</x:v>
      </x:c>
      <x:c r="J1803" s="22" t="n">
        <x:v>1</x:v>
      </x:c>
      <x:c r="K1803" s="19" t="n">
        <x:v>1</x:v>
      </x:c>
      <x:c r="L1803" s="24" t="n">
        <x:v>21.849999999999998</x:v>
      </x:c>
      <x:c r="M1803" s="26" t="n">
        <x:v>0.1</x:v>
      </x:c>
      <x:c r="N1803" s="24" t="n">
        <x:v>11.822560243412168</x:v>
      </x:c>
      <x:c r="O1803" s="28" t="n">
        <x:f>MIN(1,L1803/I1803)</x:f>
        <x:v>0.01820833333333333</x:v>
      </x:c>
      <x:c r="P1803" s="30" t="n">
        <x:f>O1803*J1803*(1+M1803)</x:f>
        <x:v>0.020029166666666664</x:v>
      </x:c>
      <x:c r="Q1803" s="30" t="n">
        <x:f>P1803*N1803</x:f>
        <x:v>0.2367960295420095</x:v>
      </x:c>
      <x:c r="R1803" s="19" t="str">
        <x:v>独立判定</x:v>
      </x:c>
    </x:row>
    <x:row r="1804" ht="19" customHeight="1">
      <x:c r="A1804" s="19" t="str">
        <x:v>D01800</x:v>
      </x:c>
      <x:c r="B1804" s="19" t="n">
        <x:v>4</x:v>
      </x:c>
      <x:c r="C1804" s="19" t="n">
        <x:v>4</x:v>
      </x:c>
      <x:c r="D1804" s="19" t="str">
        <x:v>C04-M046</x:v>
      </x:c>
      <x:c r="E1804" s="19" t="str">
        <x:v>黑帆招魂师</x:v>
      </x:c>
      <x:c r="F1804" s="19" t="str">
        <x:v>稀有</x:v>
      </x:c>
      <x:c r="G1804" s="19" t="str">
        <x:v>材料独立候选</x:v>
      </x:c>
      <x:c r="H1804" s="19" t="str">
        <x:v>沉船缆扣</x:v>
      </x:c>
      <x:c r="I1804" s="22" t="n">
        <x:v>500</x:v>
      </x:c>
      <x:c r="J1804" s="22" t="n">
        <x:v>1</x:v>
      </x:c>
      <x:c r="K1804" s="19" t="n">
        <x:v>1</x:v>
      </x:c>
      <x:c r="L1804" s="24" t="n">
        <x:v>21.849999999999998</x:v>
      </x:c>
      <x:c r="M1804" s="26" t="n">
        <x:v>0.1</x:v>
      </x:c>
      <x:c r="N1804" s="24" t="n">
        <x:v>11.822560243412168</x:v>
      </x:c>
      <x:c r="O1804" s="28" t="n">
        <x:f>MIN(1,L1804/I1804)</x:f>
        <x:v>0.043699999999999996</x:v>
      </x:c>
      <x:c r="P1804" s="30" t="n">
        <x:f>O1804*J1804*(1+M1804)</x:f>
        <x:v>0.04807</x:v>
      </x:c>
      <x:c r="Q1804" s="30" t="n">
        <x:f>P1804*N1804</x:f>
        <x:v>0.568310470900823</x:v>
      </x:c>
      <x:c r="R1804" s="19" t="str">
        <x:v>独立判定</x:v>
      </x:c>
    </x:row>
    <x:row r="1805" ht="19" customHeight="1">
      <x:c r="A1805" s="19" t="str">
        <x:v>D01801</x:v>
      </x:c>
      <x:c r="B1805" s="19" t="n">
        <x:v>4</x:v>
      </x:c>
      <x:c r="C1805" s="19" t="n">
        <x:v>4</x:v>
      </x:c>
      <x:c r="D1805" s="19" t="str">
        <x:v>C04-M046</x:v>
      </x:c>
      <x:c r="E1805" s="19" t="str">
        <x:v>黑帆招魂师</x:v>
      </x:c>
      <x:c r="F1805" s="19" t="str">
        <x:v>稀有</x:v>
      </x:c>
      <x:c r="G1805" s="19" t="str">
        <x:v>材料独立候选</x:v>
      </x:c>
      <x:c r="H1805" s="19" t="str">
        <x:v>月潮忆珀</x:v>
      </x:c>
      <x:c r="I1805" s="22" t="n">
        <x:v>600000</x:v>
      </x:c>
      <x:c r="J1805" s="22" t="n">
        <x:v>1</x:v>
      </x:c>
      <x:c r="K1805" s="19" t="n">
        <x:v>1</x:v>
      </x:c>
      <x:c r="L1805" s="24" t="n">
        <x:v>21.849999999999998</x:v>
      </x:c>
      <x:c r="M1805" s="26" t="n">
        <x:v>0.1</x:v>
      </x:c>
      <x:c r="N1805" s="24" t="n">
        <x:v>11.822560243412168</x:v>
      </x:c>
      <x:c r="O1805" s="28" t="n">
        <x:f>MIN(1,L1805/I1805)</x:f>
        <x:v>0.000036416666666666666</x:v>
      </x:c>
      <x:c r="P1805" s="30" t="n">
        <x:f>O1805*J1805*(1+M1805)</x:f>
        <x:v>0.000040058333333333336</x:v>
      </x:c>
      <x:c r="Q1805" s="30" t="n">
        <x:f>P1805*N1805</x:f>
        <x:v>0.00047359205908401915</x:v>
      </x:c>
      <x:c r="R1805" s="19" t="str">
        <x:v>独立判定</x:v>
      </x:c>
    </x:row>
    <x:row r="1806" ht="19" customHeight="1">
      <x:c r="A1806" s="19" t="str">
        <x:v>D01802</x:v>
      </x:c>
      <x:c r="B1806" s="19" t="n">
        <x:v>4</x:v>
      </x:c>
      <x:c r="C1806" s="19" t="n">
        <x:v>4</x:v>
      </x:c>
      <x:c r="D1806" s="19" t="str">
        <x:v>C04-M046</x:v>
      </x:c>
      <x:c r="E1806" s="19" t="str">
        <x:v>黑帆招魂师</x:v>
      </x:c>
      <x:c r="F1806" s="19" t="str">
        <x:v>稀有</x:v>
      </x:c>
      <x:c r="G1806" s="19" t="str">
        <x:v>材料独立候选</x:v>
      </x:c>
      <x:c r="H1806" s="19" t="str">
        <x:v>黄金树芽</x:v>
      </x:c>
      <x:c r="I1806" s="22" t="n">
        <x:v>2000</x:v>
      </x:c>
      <x:c r="J1806" s="22" t="n">
        <x:v>1</x:v>
      </x:c>
      <x:c r="K1806" s="19" t="n">
        <x:v>1</x:v>
      </x:c>
      <x:c r="L1806" s="24" t="n">
        <x:v>21.849999999999998</x:v>
      </x:c>
      <x:c r="M1806" s="26" t="n">
        <x:v>0.1</x:v>
      </x:c>
      <x:c r="N1806" s="24" t="n">
        <x:v>11.822560243412168</x:v>
      </x:c>
      <x:c r="O1806" s="28" t="n">
        <x:f>MIN(1,L1806/I1806)</x:f>
        <x:v>0.010924999999999999</x:v>
      </x:c>
      <x:c r="P1806" s="30" t="n">
        <x:f>O1806*J1806*(1+M1806)</x:f>
        <x:v>0.0120175</x:v>
      </x:c>
      <x:c r="Q1806" s="30" t="n">
        <x:f>P1806*N1806</x:f>
        <x:v>0.14207761772520575</x:v>
      </x:c>
      <x:c r="R1806" s="19" t="str">
        <x:v>独立判定</x:v>
      </x:c>
    </x:row>
    <x:row r="1807" ht="19" customHeight="1">
      <x:c r="A1807" s="19" t="str">
        <x:v>D01803</x:v>
      </x:c>
      <x:c r="B1807" s="19" t="n">
        <x:v>4</x:v>
      </x:c>
      <x:c r="C1807" s="19" t="n">
        <x:v>4</x:v>
      </x:c>
      <x:c r="D1807" s="19" t="str">
        <x:v>C04-M046</x:v>
      </x:c>
      <x:c r="E1807" s="19" t="str">
        <x:v>黑帆招魂师</x:v>
      </x:c>
      <x:c r="F1807" s="19" t="str">
        <x:v>稀有</x:v>
      </x:c>
      <x:c r="G1807" s="19" t="str">
        <x:v>材料独立候选</x:v>
      </x:c>
      <x:c r="H1807" s="19" t="str">
        <x:v>野兽骨片</x:v>
      </x:c>
      <x:c r="I1807" s="22" t="n">
        <x:v>60</x:v>
      </x:c>
      <x:c r="J1807" s="22" t="n">
        <x:v>2</x:v>
      </x:c>
      <x:c r="K1807" s="19" t="n">
        <x:v>1</x:v>
      </x:c>
      <x:c r="L1807" s="24" t="n">
        <x:v>21.849999999999998</x:v>
      </x:c>
      <x:c r="M1807" s="26" t="n">
        <x:v>0.1</x:v>
      </x:c>
      <x:c r="N1807" s="24" t="n">
        <x:v>11.822560243412168</x:v>
      </x:c>
      <x:c r="O1807" s="28" t="n">
        <x:f>MIN(1,L1807/I1807)</x:f>
        <x:v>0.36416666666666664</x:v>
      </x:c>
      <x:c r="P1807" s="30" t="n">
        <x:f>O1807*J1807*(1+M1807)</x:f>
        <x:v>0.8011666666666667</x:v>
      </x:c>
      <x:c r="Q1807" s="30" t="n">
        <x:f>P1807*N1807</x:f>
        <x:v>9.471841181680382</x:v>
      </x:c>
      <x:c r="R1807" s="19" t="str">
        <x:v>独立判定</x:v>
      </x:c>
    </x:row>
    <x:row r="1808" ht="19" customHeight="1">
      <x:c r="A1808" s="19" t="str">
        <x:v>D01804</x:v>
      </x:c>
      <x:c r="B1808" s="19" t="n">
        <x:v>4</x:v>
      </x:c>
      <x:c r="C1808" s="19" t="n">
        <x:v>4</x:v>
      </x:c>
      <x:c r="D1808" s="19" t="str">
        <x:v>C04-M046</x:v>
      </x:c>
      <x:c r="E1808" s="19" t="str">
        <x:v>黑帆招魂师</x:v>
      </x:c>
      <x:c r="F1808" s="19" t="str">
        <x:v>稀有</x:v>
      </x:c>
      <x:c r="G1808" s="19" t="str">
        <x:v>材料独立候选</x:v>
      </x:c>
      <x:c r="H1808" s="19" t="str">
        <x:v>技能残页</x:v>
      </x:c>
      <x:c r="I1808" s="22" t="n">
        <x:v>300</x:v>
      </x:c>
      <x:c r="J1808" s="22" t="n">
        <x:v>1</x:v>
      </x:c>
      <x:c r="K1808" s="19" t="n">
        <x:v>1</x:v>
      </x:c>
      <x:c r="L1808" s="24" t="n">
        <x:v>21.849999999999998</x:v>
      </x:c>
      <x:c r="M1808" s="26" t="n">
        <x:v>0.1</x:v>
      </x:c>
      <x:c r="N1808" s="24" t="n">
        <x:v>11.822560243412168</x:v>
      </x:c>
      <x:c r="O1808" s="28" t="n">
        <x:f>MIN(1,L1808/I1808)</x:f>
        <x:v>0.07283333333333332</x:v>
      </x:c>
      <x:c r="P1808" s="30" t="n">
        <x:f>O1808*J1808*(1+M1808)</x:f>
        <x:v>0.08011666666666666</x:v>
      </x:c>
      <x:c r="Q1808" s="30" t="n">
        <x:f>P1808*N1808</x:f>
        <x:v>0.947184118168038</x:v>
      </x:c>
      <x:c r="R1808" s="19" t="str">
        <x:v>独立判定</x:v>
      </x:c>
    </x:row>
    <x:row r="1809" ht="19" customHeight="1">
      <x:c r="A1809" s="19" t="str">
        <x:v>D01805</x:v>
      </x:c>
      <x:c r="B1809" s="19" t="n">
        <x:v>4</x:v>
      </x:c>
      <x:c r="C1809" s="19" t="n">
        <x:v>4</x:v>
      </x:c>
      <x:c r="D1809" s="19" t="str">
        <x:v>C04-M046</x:v>
      </x:c>
      <x:c r="E1809" s="19" t="str">
        <x:v>黑帆招魂师</x:v>
      </x:c>
      <x:c r="F1809" s="19" t="str">
        <x:v>稀有</x:v>
      </x:c>
      <x:c r="G1809" s="19" t="str">
        <x:v>材料独立候选</x:v>
      </x:c>
      <x:c r="H1809" s="19" t="str">
        <x:v>小卢恩</x:v>
      </x:c>
      <x:c r="I1809" s="22" t="n">
        <x:v>600</x:v>
      </x:c>
      <x:c r="J1809" s="22" t="n">
        <x:v>1</x:v>
      </x:c>
      <x:c r="K1809" s="19" t="n">
        <x:v>1</x:v>
      </x:c>
      <x:c r="L1809" s="24" t="n">
        <x:v>21.849999999999998</x:v>
      </x:c>
      <x:c r="M1809" s="26" t="n">
        <x:v>0.1</x:v>
      </x:c>
      <x:c r="N1809" s="24" t="n">
        <x:v>11.822560243412168</x:v>
      </x:c>
      <x:c r="O1809" s="28" t="n">
        <x:f>MIN(1,L1809/I1809)</x:f>
        <x:v>0.03641666666666666</x:v>
      </x:c>
      <x:c r="P1809" s="30" t="n">
        <x:f>O1809*J1809*(1+M1809)</x:f>
        <x:v>0.04005833333333333</x:v>
      </x:c>
      <x:c r="Q1809" s="30" t="n">
        <x:f>P1809*N1809</x:f>
        <x:v>0.473592059084019</x:v>
      </x:c>
      <x:c r="R1809" s="19" t="str">
        <x:v>独立判定</x:v>
      </x:c>
    </x:row>
    <x:row r="1810" ht="19" customHeight="1">
      <x:c r="A1810" s="19" t="str">
        <x:v>D01806</x:v>
      </x:c>
      <x:c r="B1810" s="19" t="n">
        <x:v>4</x:v>
      </x:c>
      <x:c r="C1810" s="19" t="n">
        <x:v>4</x:v>
      </x:c>
      <x:c r="D1810" s="19" t="str">
        <x:v>C04-M046</x:v>
      </x:c>
      <x:c r="E1810" s="19" t="str">
        <x:v>黑帆招魂师</x:v>
      </x:c>
      <x:c r="F1810" s="19" t="str">
        <x:v>稀有</x:v>
      </x:c>
      <x:c r="G1810" s="19" t="str">
        <x:v>六神器公共池</x:v>
      </x:c>
      <x:c r="H1810" s="19" t="str">
        <x:v>POOL006</x:v>
      </x:c>
      <x:c r="I1810" s="22" t="n">
        <x:v>5000000</x:v>
      </x:c>
      <x:c r="J1810" s="22" t="n">
        <x:v>1</x:v>
      </x:c>
      <x:c r="K1810" s="19" t="n">
        <x:v>6</x:v>
      </x:c>
      <x:c r="L1810" s="24" t="n">
        <x:v>21.849999999999998</x:v>
      </x:c>
      <x:c r="M1810" s="26" t="n">
        <x:v>0.1</x:v>
      </x:c>
      <x:c r="N1810" s="24" t="n">
        <x:v>11.822560243412168</x:v>
      </x:c>
      <x:c r="O1810" s="28" t="n">
        <x:f>MIN(1,L1810/I1810)</x:f>
        <x:v>0.00000437</x:v>
      </x:c>
      <x:c r="P1810" s="30" t="n">
        <x:f>O1810*J1810*(1+M1810)</x:f>
        <x:v>0.000004807</x:v>
      </x:c>
      <x:c r="Q1810" s="30" t="n">
        <x:f>P1810*N1810</x:f>
        <x:v>0.00005683104709008229</x:v>
      </x:c>
      <x:c r="R1810" s="19" t="str">
        <x:v>六选一；非6个独立爆率</x:v>
      </x:c>
    </x:row>
    <x:row r="1811" ht="19" customHeight="1">
      <x:c r="A1811" s="19" t="str">
        <x:v>D01807</x:v>
      </x:c>
      <x:c r="B1811" s="19" t="n">
        <x:v>4</x:v>
      </x:c>
      <x:c r="C1811" s="19" t="n">
        <x:v>4</x:v>
      </x:c>
      <x:c r="D1811" s="19" t="str">
        <x:v>C04-M047</x:v>
      </x:c>
      <x:c r="E1811" s="19" t="str">
        <x:v>幽舵大副·赫岚</x:v>
      </x:c>
      <x:c r="F1811" s="19" t="str">
        <x:v>地图BOSS</x:v>
      </x:c>
      <x:c r="G1811" s="19" t="str">
        <x:v>自身专属</x:v>
      </x:c>
      <x:c r="H1811" s="19" t="str">
        <x:v>赫岚的幽舵刃</x:v>
      </x:c>
      <x:c r="I1811" s="22" t="n">
        <x:v>50</x:v>
      </x:c>
      <x:c r="J1811" s="22" t="n">
        <x:v>1</x:v>
      </x:c>
      <x:c r="K1811" s="19" t="n">
        <x:v>1</x:v>
      </x:c>
      <x:c r="L1811" s="24" t="n">
        <x:v>21.849999999999998</x:v>
      </x:c>
      <x:c r="M1811" s="26" t="n">
        <x:v>0.1</x:v>
      </x:c>
      <x:c r="N1811" s="24" t="n">
        <x:v>2</x:v>
      </x:c>
      <x:c r="O1811" s="28" t="n">
        <x:f>MIN(1,L1811/I1811)</x:f>
        <x:v>0.43699999999999994</x:v>
      </x:c>
      <x:c r="P1811" s="30" t="n">
        <x:f>O1811*J1811*(1+M1811)</x:f>
        <x:v>0.48069999999999996</x:v>
      </x:c>
      <x:c r="Q1811" s="30" t="n">
        <x:f>P1811*N1811</x:f>
        <x:v>0.9613999999999999</x:v>
      </x:c>
      <x:c r="R1811" s="19" t="str">
        <x:v>独立判定</x:v>
      </x:c>
    </x:row>
    <x:row r="1812" ht="19" customHeight="1">
      <x:c r="A1812" s="19" t="str">
        <x:v>D01808</x:v>
      </x:c>
      <x:c r="B1812" s="19" t="n">
        <x:v>4</x:v>
      </x:c>
      <x:c r="C1812" s="19" t="n">
        <x:v>4</x:v>
      </x:c>
      <x:c r="D1812" s="19" t="str">
        <x:v>C04-M047</x:v>
      </x:c>
      <x:c r="E1812" s="19" t="str">
        <x:v>幽舵大副·赫岚</x:v>
      </x:c>
      <x:c r="F1812" s="19" t="str">
        <x:v>地图BOSS</x:v>
      </x:c>
      <x:c r="G1812" s="19" t="str">
        <x:v>本图普通兼掉候选</x:v>
      </x:c>
      <x:c r="H1812" s="19" t="str">
        <x:v>POOL030</x:v>
      </x:c>
      <x:c r="I1812" s="22" t="n">
        <x:v>50</x:v>
      </x:c>
      <x:c r="J1812" s="22" t="n">
        <x:v>1</x:v>
      </x:c>
      <x:c r="K1812" s="19" t="n">
        <x:v>2</x:v>
      </x:c>
      <x:c r="L1812" s="24" t="n">
        <x:v>21.849999999999998</x:v>
      </x:c>
      <x:c r="M1812" s="26" t="n">
        <x:v>0.1</x:v>
      </x:c>
      <x:c r="N1812" s="24" t="n">
        <x:v>2</x:v>
      </x:c>
      <x:c r="O1812" s="28" t="n">
        <x:f>MIN(1,L1812/I1812)</x:f>
        <x:v>0.43699999999999994</x:v>
      </x:c>
      <x:c r="P1812" s="30" t="n">
        <x:f>O1812*J1812*(1+M1812)</x:f>
        <x:v>0.48069999999999996</x:v>
      </x:c>
      <x:c r="Q1812" s="30" t="n">
        <x:f>P1812*N1812</x:f>
        <x:v>0.9613999999999999</x:v>
      </x:c>
      <x:c r="R1812" s="19" t="str">
        <x:v>单池选一</x:v>
      </x:c>
    </x:row>
    <x:row r="1813" ht="19" customHeight="1">
      <x:c r="A1813" s="19" t="str">
        <x:v>D01809</x:v>
      </x:c>
      <x:c r="B1813" s="19" t="n">
        <x:v>4</x:v>
      </x:c>
      <x:c r="C1813" s="19" t="n">
        <x:v>4</x:v>
      </x:c>
      <x:c r="D1813" s="19" t="str">
        <x:v>C04-M047</x:v>
      </x:c>
      <x:c r="E1813" s="19" t="str">
        <x:v>幽舵大副·赫岚</x:v>
      </x:c>
      <x:c r="F1813" s="19" t="str">
        <x:v>地图BOSS</x:v>
      </x:c>
      <x:c r="G1813" s="19" t="str">
        <x:v>材料独立候选</x:v>
      </x:c>
      <x:c r="H1813" s="19" t="str">
        <x:v>湖盐结晶</x:v>
      </x:c>
      <x:c r="I1813" s="22" t="n">
        <x:v>200</x:v>
      </x:c>
      <x:c r="J1813" s="22" t="n">
        <x:v>30</x:v>
      </x:c>
      <x:c r="K1813" s="19" t="n">
        <x:v>1</x:v>
      </x:c>
      <x:c r="L1813" s="24" t="n">
        <x:v>21.849999999999998</x:v>
      </x:c>
      <x:c r="M1813" s="26" t="n">
        <x:v>0.1</x:v>
      </x:c>
      <x:c r="N1813" s="24" t="n">
        <x:v>2</x:v>
      </x:c>
      <x:c r="O1813" s="28" t="n">
        <x:f>MIN(1,L1813/I1813)</x:f>
        <x:v>0.10924999999999999</x:v>
      </x:c>
      <x:c r="P1813" s="30" t="n">
        <x:f>O1813*J1813*(1+M1813)</x:f>
        <x:v>3.60525</x:v>
      </x:c>
      <x:c r="Q1813" s="30" t="n">
        <x:f>P1813*N1813</x:f>
        <x:v>7.2105</x:v>
      </x:c>
      <x:c r="R1813" s="19" t="str">
        <x:v>独立判定</x:v>
      </x:c>
    </x:row>
    <x:row r="1814" ht="19" customHeight="1">
      <x:c r="A1814" s="19" t="str">
        <x:v>D01810</x:v>
      </x:c>
      <x:c r="B1814" s="19" t="n">
        <x:v>4</x:v>
      </x:c>
      <x:c r="C1814" s="19" t="n">
        <x:v>4</x:v>
      </x:c>
      <x:c r="D1814" s="19" t="str">
        <x:v>C04-M047</x:v>
      </x:c>
      <x:c r="E1814" s="19" t="str">
        <x:v>幽舵大副·赫岚</x:v>
      </x:c>
      <x:c r="F1814" s="19" t="str">
        <x:v>地图BOSS</x:v>
      </x:c>
      <x:c r="G1814" s="19" t="str">
        <x:v>材料独立候选</x:v>
      </x:c>
      <x:c r="H1814" s="19" t="str">
        <x:v>幽船铆钉</x:v>
      </x:c>
      <x:c r="I1814" s="22" t="n">
        <x:v>600</x:v>
      </x:c>
      <x:c r="J1814" s="22" t="n">
        <x:v>1</x:v>
      </x:c>
      <x:c r="K1814" s="19" t="n">
        <x:v>1</x:v>
      </x:c>
      <x:c r="L1814" s="24" t="n">
        <x:v>21.849999999999998</x:v>
      </x:c>
      <x:c r="M1814" s="26" t="n">
        <x:v>0.1</x:v>
      </x:c>
      <x:c r="N1814" s="24" t="n">
        <x:v>2</x:v>
      </x:c>
      <x:c r="O1814" s="28" t="n">
        <x:f>MIN(1,L1814/I1814)</x:f>
        <x:v>0.03641666666666666</x:v>
      </x:c>
      <x:c r="P1814" s="30" t="n">
        <x:f>O1814*J1814*(1+M1814)</x:f>
        <x:v>0.04005833333333333</x:v>
      </x:c>
      <x:c r="Q1814" s="30" t="n">
        <x:f>P1814*N1814</x:f>
        <x:v>0.08011666666666666</x:v>
      </x:c>
      <x:c r="R1814" s="19" t="str">
        <x:v>独立判定</x:v>
      </x:c>
    </x:row>
    <x:row r="1815" ht="19" customHeight="1">
      <x:c r="A1815" s="19" t="str">
        <x:v>D01811</x:v>
      </x:c>
      <x:c r="B1815" s="19" t="n">
        <x:v>4</x:v>
      </x:c>
      <x:c r="C1815" s="19" t="n">
        <x:v>4</x:v>
      </x:c>
      <x:c r="D1815" s="19" t="str">
        <x:v>C04-M047</x:v>
      </x:c>
      <x:c r="E1815" s="19" t="str">
        <x:v>幽舵大副·赫岚</x:v>
      </x:c>
      <x:c r="F1815" s="19" t="str">
        <x:v>地图BOSS</x:v>
      </x:c>
      <x:c r="G1815" s="19" t="str">
        <x:v>材料独立候选</x:v>
      </x:c>
      <x:c r="H1815" s="19" t="str">
        <x:v>沉湖王印</x:v>
      </x:c>
      <x:c r="I1815" s="22" t="n">
        <x:v>100</x:v>
      </x:c>
      <x:c r="J1815" s="22" t="n">
        <x:v>2</x:v>
      </x:c>
      <x:c r="K1815" s="19" t="n">
        <x:v>1</x:v>
      </x:c>
      <x:c r="L1815" s="24" t="n">
        <x:v>21.849999999999998</x:v>
      </x:c>
      <x:c r="M1815" s="26" t="n">
        <x:v>0.1</x:v>
      </x:c>
      <x:c r="N1815" s="24" t="n">
        <x:v>2</x:v>
      </x:c>
      <x:c r="O1815" s="28" t="n">
        <x:f>MIN(1,L1815/I1815)</x:f>
        <x:v>0.21849999999999997</x:v>
      </x:c>
      <x:c r="P1815" s="30" t="n">
        <x:f>O1815*J1815*(1+M1815)</x:f>
        <x:v>0.48069999999999996</x:v>
      </x:c>
      <x:c r="Q1815" s="30" t="n">
        <x:f>P1815*N1815</x:f>
        <x:v>0.9613999999999999</x:v>
      </x:c>
      <x:c r="R1815" s="19" t="str">
        <x:v>独立判定</x:v>
      </x:c>
    </x:row>
    <x:row r="1816" ht="19" customHeight="1">
      <x:c r="A1816" s="19" t="str">
        <x:v>D01812</x:v>
      </x:c>
      <x:c r="B1816" s="19" t="n">
        <x:v>4</x:v>
      </x:c>
      <x:c r="C1816" s="19" t="n">
        <x:v>4</x:v>
      </x:c>
      <x:c r="D1816" s="19" t="str">
        <x:v>C04-M047</x:v>
      </x:c>
      <x:c r="E1816" s="19" t="str">
        <x:v>幽舵大副·赫岚</x:v>
      </x:c>
      <x:c r="F1816" s="19" t="str">
        <x:v>地图BOSS</x:v>
      </x:c>
      <x:c r="G1816" s="19" t="str">
        <x:v>材料独立候选</x:v>
      </x:c>
      <x:c r="H1816" s="19" t="str">
        <x:v>深湖压舱印</x:v>
      </x:c>
      <x:c r="I1816" s="22" t="n">
        <x:v>120</x:v>
      </x:c>
      <x:c r="J1816" s="22" t="n">
        <x:v>2</x:v>
      </x:c>
      <x:c r="K1816" s="19" t="n">
        <x:v>1</x:v>
      </x:c>
      <x:c r="L1816" s="24" t="n">
        <x:v>21.849999999999998</x:v>
      </x:c>
      <x:c r="M1816" s="26" t="n">
        <x:v>0.1</x:v>
      </x:c>
      <x:c r="N1816" s="24" t="n">
        <x:v>2</x:v>
      </x:c>
      <x:c r="O1816" s="28" t="n">
        <x:f>MIN(1,L1816/I1816)</x:f>
        <x:v>0.18208333333333332</x:v>
      </x:c>
      <x:c r="P1816" s="30" t="n">
        <x:f>O1816*J1816*(1+M1816)</x:f>
        <x:v>0.40058333333333335</x:v>
      </x:c>
      <x:c r="Q1816" s="30" t="n">
        <x:f>P1816*N1816</x:f>
        <x:v>0.8011666666666667</x:v>
      </x:c>
      <x:c r="R1816" s="19" t="str">
        <x:v>独立判定</x:v>
      </x:c>
    </x:row>
    <x:row r="1817" ht="19" customHeight="1">
      <x:c r="A1817" s="19" t="str">
        <x:v>D01813</x:v>
      </x:c>
      <x:c r="B1817" s="19" t="n">
        <x:v>4</x:v>
      </x:c>
      <x:c r="C1817" s="19" t="n">
        <x:v>4</x:v>
      </x:c>
      <x:c r="D1817" s="19" t="str">
        <x:v>C04-M047</x:v>
      </x:c>
      <x:c r="E1817" s="19" t="str">
        <x:v>幽舵大副·赫岚</x:v>
      </x:c>
      <x:c r="F1817" s="19" t="str">
        <x:v>地图BOSS</x:v>
      </x:c>
      <x:c r="G1817" s="19" t="str">
        <x:v>材料独立候选</x:v>
      </x:c>
      <x:c r="H1817" s="19" t="str">
        <x:v>月潮忆珀</x:v>
      </x:c>
      <x:c r="I1817" s="22" t="n">
        <x:v>300000</x:v>
      </x:c>
      <x:c r="J1817" s="22" t="n">
        <x:v>1</x:v>
      </x:c>
      <x:c r="K1817" s="19" t="n">
        <x:v>1</x:v>
      </x:c>
      <x:c r="L1817" s="24" t="n">
        <x:v>21.849999999999998</x:v>
      </x:c>
      <x:c r="M1817" s="26" t="n">
        <x:v>0.1</x:v>
      </x:c>
      <x:c r="N1817" s="24" t="n">
        <x:v>2</x:v>
      </x:c>
      <x:c r="O1817" s="28" t="n">
        <x:f>MIN(1,L1817/I1817)</x:f>
        <x:v>0.00007283333333333333</x:v>
      </x:c>
      <x:c r="P1817" s="30" t="n">
        <x:f>O1817*J1817*(1+M1817)</x:f>
        <x:v>0.00008011666666666667</x:v>
      </x:c>
      <x:c r="Q1817" s="30" t="n">
        <x:f>P1817*N1817</x:f>
        <x:v>0.00016023333333333334</x:v>
      </x:c>
      <x:c r="R1817" s="19" t="str">
        <x:v>独立判定</x:v>
      </x:c>
    </x:row>
    <x:row r="1818" ht="19" customHeight="1">
      <x:c r="A1818" s="19" t="str">
        <x:v>D01814</x:v>
      </x:c>
      <x:c r="B1818" s="19" t="n">
        <x:v>4</x:v>
      </x:c>
      <x:c r="C1818" s="19" t="n">
        <x:v>4</x:v>
      </x:c>
      <x:c r="D1818" s="19" t="str">
        <x:v>C04-M047</x:v>
      </x:c>
      <x:c r="E1818" s="19" t="str">
        <x:v>幽舵大副·赫岚</x:v>
      </x:c>
      <x:c r="F1818" s="19" t="str">
        <x:v>地图BOSS</x:v>
      </x:c>
      <x:c r="G1818" s="19" t="str">
        <x:v>材料独立候选</x:v>
      </x:c>
      <x:c r="H1818" s="19" t="str">
        <x:v>黄金树芽</x:v>
      </x:c>
      <x:c r="I1818" s="22" t="n">
        <x:v>1000</x:v>
      </x:c>
      <x:c r="J1818" s="22" t="n">
        <x:v>1</x:v>
      </x:c>
      <x:c r="K1818" s="19" t="n">
        <x:v>1</x:v>
      </x:c>
      <x:c r="L1818" s="24" t="n">
        <x:v>21.849999999999998</x:v>
      </x:c>
      <x:c r="M1818" s="26" t="n">
        <x:v>0.1</x:v>
      </x:c>
      <x:c r="N1818" s="24" t="n">
        <x:v>2</x:v>
      </x:c>
      <x:c r="O1818" s="28" t="n">
        <x:f>MIN(1,L1818/I1818)</x:f>
        <x:v>0.021849999999999998</x:v>
      </x:c>
      <x:c r="P1818" s="30" t="n">
        <x:f>O1818*J1818*(1+M1818)</x:f>
        <x:v>0.024035</x:v>
      </x:c>
      <x:c r="Q1818" s="30" t="n">
        <x:f>P1818*N1818</x:f>
        <x:v>0.04807</x:v>
      </x:c>
      <x:c r="R1818" s="19" t="str">
        <x:v>独立判定</x:v>
      </x:c>
    </x:row>
    <x:row r="1819" ht="19" customHeight="1">
      <x:c r="A1819" s="19" t="str">
        <x:v>D01815</x:v>
      </x:c>
      <x:c r="B1819" s="19" t="n">
        <x:v>4</x:v>
      </x:c>
      <x:c r="C1819" s="19" t="n">
        <x:v>4</x:v>
      </x:c>
      <x:c r="D1819" s="19" t="str">
        <x:v>C04-M047</x:v>
      </x:c>
      <x:c r="E1819" s="19" t="str">
        <x:v>幽舵大副·赫岚</x:v>
      </x:c>
      <x:c r="F1819" s="19" t="str">
        <x:v>地图BOSS</x:v>
      </x:c>
      <x:c r="G1819" s="19" t="str">
        <x:v>材料独立候选</x:v>
      </x:c>
      <x:c r="H1819" s="19" t="str">
        <x:v>野兽骨片</x:v>
      </x:c>
      <x:c r="I1819" s="22" t="n">
        <x:v>40</x:v>
      </x:c>
      <x:c r="J1819" s="22" t="n">
        <x:v>2</x:v>
      </x:c>
      <x:c r="K1819" s="19" t="n">
        <x:v>1</x:v>
      </x:c>
      <x:c r="L1819" s="24" t="n">
        <x:v>21.849999999999998</x:v>
      </x:c>
      <x:c r="M1819" s="26" t="n">
        <x:v>0.1</x:v>
      </x:c>
      <x:c r="N1819" s="24" t="n">
        <x:v>2</x:v>
      </x:c>
      <x:c r="O1819" s="28" t="n">
        <x:f>MIN(1,L1819/I1819)</x:f>
        <x:v>0.5462499999999999</x:v>
      </x:c>
      <x:c r="P1819" s="30" t="n">
        <x:f>O1819*J1819*(1+M1819)</x:f>
        <x:v>1.2017499999999999</x:v>
      </x:c>
      <x:c r="Q1819" s="30" t="n">
        <x:f>P1819*N1819</x:f>
        <x:v>2.4034999999999997</x:v>
      </x:c>
      <x:c r="R1819" s="19" t="str">
        <x:v>独立判定</x:v>
      </x:c>
    </x:row>
    <x:row r="1820" ht="19" customHeight="1">
      <x:c r="A1820" s="19" t="str">
        <x:v>D01816</x:v>
      </x:c>
      <x:c r="B1820" s="19" t="n">
        <x:v>4</x:v>
      </x:c>
      <x:c r="C1820" s="19" t="n">
        <x:v>4</x:v>
      </x:c>
      <x:c r="D1820" s="19" t="str">
        <x:v>C04-M047</x:v>
      </x:c>
      <x:c r="E1820" s="19" t="str">
        <x:v>幽舵大副·赫岚</x:v>
      </x:c>
      <x:c r="F1820" s="19" t="str">
        <x:v>地图BOSS</x:v>
      </x:c>
      <x:c r="G1820" s="19" t="str">
        <x:v>材料独立候选</x:v>
      </x:c>
      <x:c r="H1820" s="19" t="str">
        <x:v>技能残页</x:v>
      </x:c>
      <x:c r="I1820" s="22" t="n">
        <x:v>180</x:v>
      </x:c>
      <x:c r="J1820" s="22" t="n">
        <x:v>1</x:v>
      </x:c>
      <x:c r="K1820" s="19" t="n">
        <x:v>1</x:v>
      </x:c>
      <x:c r="L1820" s="24" t="n">
        <x:v>21.849999999999998</x:v>
      </x:c>
      <x:c r="M1820" s="26" t="n">
        <x:v>0.1</x:v>
      </x:c>
      <x:c r="N1820" s="24" t="n">
        <x:v>2</x:v>
      </x:c>
      <x:c r="O1820" s="28" t="n">
        <x:f>MIN(1,L1820/I1820)</x:f>
        <x:v>0.12138888888888888</x:v>
      </x:c>
      <x:c r="P1820" s="30" t="n">
        <x:f>O1820*J1820*(1+M1820)</x:f>
        <x:v>0.13352777777777777</x:v>
      </x:c>
      <x:c r="Q1820" s="30" t="n">
        <x:f>P1820*N1820</x:f>
        <x:v>0.26705555555555555</x:v>
      </x:c>
      <x:c r="R1820" s="19" t="str">
        <x:v>独立判定</x:v>
      </x:c>
    </x:row>
    <x:row r="1821" ht="19" customHeight="1">
      <x:c r="A1821" s="19" t="str">
        <x:v>D01817</x:v>
      </x:c>
      <x:c r="B1821" s="19" t="n">
        <x:v>4</x:v>
      </x:c>
      <x:c r="C1821" s="19" t="n">
        <x:v>4</x:v>
      </x:c>
      <x:c r="D1821" s="19" t="str">
        <x:v>C04-M047</x:v>
      </x:c>
      <x:c r="E1821" s="19" t="str">
        <x:v>幽舵大副·赫岚</x:v>
      </x:c>
      <x:c r="F1821" s="19" t="str">
        <x:v>地图BOSS</x:v>
      </x:c>
      <x:c r="G1821" s="19" t="str">
        <x:v>材料独立候选</x:v>
      </x:c>
      <x:c r="H1821" s="19" t="str">
        <x:v>宁姆格福誓页</x:v>
      </x:c>
      <x:c r="I1821" s="22" t="n">
        <x:v>300</x:v>
      </x:c>
      <x:c r="J1821" s="22" t="n">
        <x:v>1</x:v>
      </x:c>
      <x:c r="K1821" s="19" t="n">
        <x:v>1</x:v>
      </x:c>
      <x:c r="L1821" s="24" t="n">
        <x:v>21.849999999999998</x:v>
      </x:c>
      <x:c r="M1821" s="26" t="n">
        <x:v>0.1</x:v>
      </x:c>
      <x:c r="N1821" s="24" t="n">
        <x:v>2</x:v>
      </x:c>
      <x:c r="O1821" s="28" t="n">
        <x:f>MIN(1,L1821/I1821)</x:f>
        <x:v>0.07283333333333332</x:v>
      </x:c>
      <x:c r="P1821" s="30" t="n">
        <x:f>O1821*J1821*(1+M1821)</x:f>
        <x:v>0.08011666666666666</x:v>
      </x:c>
      <x:c r="Q1821" s="30" t="n">
        <x:f>P1821*N1821</x:f>
        <x:v>0.1602333333333333</x:v>
      </x:c>
      <x:c r="R1821" s="19" t="str">
        <x:v>独立判定</x:v>
      </x:c>
    </x:row>
    <x:row r="1822" ht="19" customHeight="1">
      <x:c r="A1822" s="19" t="str">
        <x:v>D01818</x:v>
      </x:c>
      <x:c r="B1822" s="19" t="n">
        <x:v>4</x:v>
      </x:c>
      <x:c r="C1822" s="19" t="n">
        <x:v>4</x:v>
      </x:c>
      <x:c r="D1822" s="19" t="str">
        <x:v>C04-M047</x:v>
      </x:c>
      <x:c r="E1822" s="19" t="str">
        <x:v>幽舵大副·赫岚</x:v>
      </x:c>
      <x:c r="F1822" s="19" t="str">
        <x:v>地图BOSS</x:v>
      </x:c>
      <x:c r="G1822" s="19" t="str">
        <x:v>材料独立候选</x:v>
      </x:c>
      <x:c r="H1822" s="19" t="str">
        <x:v>小卢恩</x:v>
      </x:c>
      <x:c r="I1822" s="22" t="n">
        <x:v>300</x:v>
      </x:c>
      <x:c r="J1822" s="22" t="n">
        <x:v>1</x:v>
      </x:c>
      <x:c r="K1822" s="19" t="n">
        <x:v>1</x:v>
      </x:c>
      <x:c r="L1822" s="24" t="n">
        <x:v>21.849999999999998</x:v>
      </x:c>
      <x:c r="M1822" s="26" t="n">
        <x:v>0.1</x:v>
      </x:c>
      <x:c r="N1822" s="24" t="n">
        <x:v>2</x:v>
      </x:c>
      <x:c r="O1822" s="28" t="n">
        <x:f>MIN(1,L1822/I1822)</x:f>
        <x:v>0.07283333333333332</x:v>
      </x:c>
      <x:c r="P1822" s="30" t="n">
        <x:f>O1822*J1822*(1+M1822)</x:f>
        <x:v>0.08011666666666666</x:v>
      </x:c>
      <x:c r="Q1822" s="30" t="n">
        <x:f>P1822*N1822</x:f>
        <x:v>0.1602333333333333</x:v>
      </x:c>
      <x:c r="R1822" s="19" t="str">
        <x:v>独立判定</x:v>
      </x:c>
    </x:row>
    <x:row r="1823" ht="19" customHeight="1">
      <x:c r="A1823" s="19" t="str">
        <x:v>D01819</x:v>
      </x:c>
      <x:c r="B1823" s="19" t="n">
        <x:v>4</x:v>
      </x:c>
      <x:c r="C1823" s="19" t="n">
        <x:v>4</x:v>
      </x:c>
      <x:c r="D1823" s="19" t="str">
        <x:v>C04-M047</x:v>
      </x:c>
      <x:c r="E1823" s="19" t="str">
        <x:v>幽舵大副·赫岚</x:v>
      </x:c>
      <x:c r="F1823" s="19" t="str">
        <x:v>地图BOSS</x:v>
      </x:c>
      <x:c r="G1823" s="19" t="str">
        <x:v>材料独立候选</x:v>
      </x:c>
      <x:c r="H1823" s="19" t="str">
        <x:v>大卢恩</x:v>
      </x:c>
      <x:c r="I1823" s="22" t="n">
        <x:v>200</x:v>
      </x:c>
      <x:c r="J1823" s="22" t="n">
        <x:v>1</x:v>
      </x:c>
      <x:c r="K1823" s="19" t="n">
        <x:v>1</x:v>
      </x:c>
      <x:c r="L1823" s="24" t="n">
        <x:v>21.849999999999998</x:v>
      </x:c>
      <x:c r="M1823" s="26" t="n">
        <x:v>0.1</x:v>
      </x:c>
      <x:c r="N1823" s="24" t="n">
        <x:v>2</x:v>
      </x:c>
      <x:c r="O1823" s="28" t="n">
        <x:f>MIN(1,L1823/I1823)</x:f>
        <x:v>0.10924999999999999</x:v>
      </x:c>
      <x:c r="P1823" s="30" t="n">
        <x:f>O1823*J1823*(1+M1823)</x:f>
        <x:v>0.12017499999999999</x:v>
      </x:c>
      <x:c r="Q1823" s="30" t="n">
        <x:f>P1823*N1823</x:f>
        <x:v>0.24034999999999998</x:v>
      </x:c>
      <x:c r="R1823" s="19" t="str">
        <x:v>独立判定</x:v>
      </x:c>
    </x:row>
    <x:row r="1824" ht="19" customHeight="1">
      <x:c r="A1824" s="19" t="str">
        <x:v>D01820</x:v>
      </x:c>
      <x:c r="B1824" s="19" t="n">
        <x:v>4</x:v>
      </x:c>
      <x:c r="C1824" s="19" t="n">
        <x:v>4</x:v>
      </x:c>
      <x:c r="D1824" s="19" t="str">
        <x:v>C04-M047</x:v>
      </x:c>
      <x:c r="E1824" s="19" t="str">
        <x:v>幽舵大副·赫岚</x:v>
      </x:c>
      <x:c r="F1824" s="19" t="str">
        <x:v>地图BOSS</x:v>
      </x:c>
      <x:c r="G1824" s="19" t="str">
        <x:v>六神器公共池</x:v>
      </x:c>
      <x:c r="H1824" s="19" t="str">
        <x:v>POOL006</x:v>
      </x:c>
      <x:c r="I1824" s="22" t="n">
        <x:v>200000</x:v>
      </x:c>
      <x:c r="J1824" s="22" t="n">
        <x:v>1</x:v>
      </x:c>
      <x:c r="K1824" s="19" t="n">
        <x:v>6</x:v>
      </x:c>
      <x:c r="L1824" s="24" t="n">
        <x:v>21.849999999999998</x:v>
      </x:c>
      <x:c r="M1824" s="26" t="n">
        <x:v>0.1</x:v>
      </x:c>
      <x:c r="N1824" s="24" t="n">
        <x:v>2</x:v>
      </x:c>
      <x:c r="O1824" s="28" t="n">
        <x:f>MIN(1,L1824/I1824)</x:f>
        <x:v>0.00010924999999999999</x:v>
      </x:c>
      <x:c r="P1824" s="30" t="n">
        <x:f>O1824*J1824*(1+M1824)</x:f>
        <x:v>0.000120175</x:v>
      </x:c>
      <x:c r="Q1824" s="30" t="n">
        <x:f>P1824*N1824</x:f>
        <x:v>0.00024035</x:v>
      </x:c>
      <x:c r="R1824" s="19" t="str">
        <x:v>六选一；非6个独立爆率</x:v>
      </x:c>
    </x:row>
    <x:row r="1825" ht="19" customHeight="1">
      <x:c r="A1825" s="19" t="str">
        <x:v>D01821</x:v>
      </x:c>
      <x:c r="B1825" s="19" t="n">
        <x:v>4</x:v>
      </x:c>
      <x:c r="C1825" s="19" t="n">
        <x:v>4</x:v>
      </x:c>
      <x:c r="D1825" s="19" t="str">
        <x:v>C04-M048</x:v>
      </x:c>
      <x:c r="E1825" s="19" t="str">
        <x:v>百舱吞魂者·沃姆</x:v>
      </x:c>
      <x:c r="F1825" s="19" t="str">
        <x:v>地图BOSS</x:v>
      </x:c>
      <x:c r="G1825" s="19" t="str">
        <x:v>自身专属</x:v>
      </x:c>
      <x:c r="H1825" s="19" t="str">
        <x:v>沃姆吞魂舱甲</x:v>
      </x:c>
      <x:c r="I1825" s="22" t="n">
        <x:v>50</x:v>
      </x:c>
      <x:c r="J1825" s="22" t="n">
        <x:v>1</x:v>
      </x:c>
      <x:c r="K1825" s="19" t="n">
        <x:v>1</x:v>
      </x:c>
      <x:c r="L1825" s="24" t="n">
        <x:v>21.849999999999998</x:v>
      </x:c>
      <x:c r="M1825" s="26" t="n">
        <x:v>0.1</x:v>
      </x:c>
      <x:c r="N1825" s="24" t="n">
        <x:v>2</x:v>
      </x:c>
      <x:c r="O1825" s="28" t="n">
        <x:f>MIN(1,L1825/I1825)</x:f>
        <x:v>0.43699999999999994</x:v>
      </x:c>
      <x:c r="P1825" s="30" t="n">
        <x:f>O1825*J1825*(1+M1825)</x:f>
        <x:v>0.48069999999999996</x:v>
      </x:c>
      <x:c r="Q1825" s="30" t="n">
        <x:f>P1825*N1825</x:f>
        <x:v>0.9613999999999999</x:v>
      </x:c>
      <x:c r="R1825" s="19" t="str">
        <x:v>独立判定</x:v>
      </x:c>
    </x:row>
    <x:row r="1826" ht="19" customHeight="1">
      <x:c r="A1826" s="19" t="str">
        <x:v>D01822</x:v>
      </x:c>
      <x:c r="B1826" s="19" t="n">
        <x:v>4</x:v>
      </x:c>
      <x:c r="C1826" s="19" t="n">
        <x:v>4</x:v>
      </x:c>
      <x:c r="D1826" s="19" t="str">
        <x:v>C04-M048</x:v>
      </x:c>
      <x:c r="E1826" s="19" t="str">
        <x:v>百舱吞魂者·沃姆</x:v>
      </x:c>
      <x:c r="F1826" s="19" t="str">
        <x:v>地图BOSS</x:v>
      </x:c>
      <x:c r="G1826" s="19" t="str">
        <x:v>本图普通兼掉候选</x:v>
      </x:c>
      <x:c r="H1826" s="19" t="str">
        <x:v>POOL031</x:v>
      </x:c>
      <x:c r="I1826" s="22" t="n">
        <x:v>50</x:v>
      </x:c>
      <x:c r="J1826" s="22" t="n">
        <x:v>1</x:v>
      </x:c>
      <x:c r="K1826" s="19" t="n">
        <x:v>2</x:v>
      </x:c>
      <x:c r="L1826" s="24" t="n">
        <x:v>21.849999999999998</x:v>
      </x:c>
      <x:c r="M1826" s="26" t="n">
        <x:v>0.1</x:v>
      </x:c>
      <x:c r="N1826" s="24" t="n">
        <x:v>2</x:v>
      </x:c>
      <x:c r="O1826" s="28" t="n">
        <x:f>MIN(1,L1826/I1826)</x:f>
        <x:v>0.43699999999999994</x:v>
      </x:c>
      <x:c r="P1826" s="30" t="n">
        <x:f>O1826*J1826*(1+M1826)</x:f>
        <x:v>0.48069999999999996</x:v>
      </x:c>
      <x:c r="Q1826" s="30" t="n">
        <x:f>P1826*N1826</x:f>
        <x:v>0.9613999999999999</x:v>
      </x:c>
      <x:c r="R1826" s="19" t="str">
        <x:v>单池选一</x:v>
      </x:c>
    </x:row>
    <x:row r="1827" ht="19" customHeight="1">
      <x:c r="A1827" s="19" t="str">
        <x:v>D01823</x:v>
      </x:c>
      <x:c r="B1827" s="19" t="n">
        <x:v>4</x:v>
      </x:c>
      <x:c r="C1827" s="19" t="n">
        <x:v>4</x:v>
      </x:c>
      <x:c r="D1827" s="19" t="str">
        <x:v>C04-M048</x:v>
      </x:c>
      <x:c r="E1827" s="19" t="str">
        <x:v>百舱吞魂者·沃姆</x:v>
      </x:c>
      <x:c r="F1827" s="19" t="str">
        <x:v>地图BOSS</x:v>
      </x:c>
      <x:c r="G1827" s="19" t="str">
        <x:v>材料独立候选</x:v>
      </x:c>
      <x:c r="H1827" s="19" t="str">
        <x:v>湖盐结晶</x:v>
      </x:c>
      <x:c r="I1827" s="22" t="n">
        <x:v>200</x:v>
      </x:c>
      <x:c r="J1827" s="22" t="n">
        <x:v>30</x:v>
      </x:c>
      <x:c r="K1827" s="19" t="n">
        <x:v>1</x:v>
      </x:c>
      <x:c r="L1827" s="24" t="n">
        <x:v>21.849999999999998</x:v>
      </x:c>
      <x:c r="M1827" s="26" t="n">
        <x:v>0.1</x:v>
      </x:c>
      <x:c r="N1827" s="24" t="n">
        <x:v>2</x:v>
      </x:c>
      <x:c r="O1827" s="28" t="n">
        <x:f>MIN(1,L1827/I1827)</x:f>
        <x:v>0.10924999999999999</x:v>
      </x:c>
      <x:c r="P1827" s="30" t="n">
        <x:f>O1827*J1827*(1+M1827)</x:f>
        <x:v>3.60525</x:v>
      </x:c>
      <x:c r="Q1827" s="30" t="n">
        <x:f>P1827*N1827</x:f>
        <x:v>7.2105</x:v>
      </x:c>
      <x:c r="R1827" s="19" t="str">
        <x:v>独立判定</x:v>
      </x:c>
    </x:row>
    <x:row r="1828" ht="19" customHeight="1">
      <x:c r="A1828" s="19" t="str">
        <x:v>D01824</x:v>
      </x:c>
      <x:c r="B1828" s="19" t="n">
        <x:v>4</x:v>
      </x:c>
      <x:c r="C1828" s="19" t="n">
        <x:v>4</x:v>
      </x:c>
      <x:c r="D1828" s="19" t="str">
        <x:v>C04-M048</x:v>
      </x:c>
      <x:c r="E1828" s="19" t="str">
        <x:v>百舱吞魂者·沃姆</x:v>
      </x:c>
      <x:c r="F1828" s="19" t="str">
        <x:v>地图BOSS</x:v>
      </x:c>
      <x:c r="G1828" s="19" t="str">
        <x:v>材料独立候选</x:v>
      </x:c>
      <x:c r="H1828" s="19" t="str">
        <x:v>幽船铆钉</x:v>
      </x:c>
      <x:c r="I1828" s="22" t="n">
        <x:v>600</x:v>
      </x:c>
      <x:c r="J1828" s="22" t="n">
        <x:v>1</x:v>
      </x:c>
      <x:c r="K1828" s="19" t="n">
        <x:v>1</x:v>
      </x:c>
      <x:c r="L1828" s="24" t="n">
        <x:v>21.849999999999998</x:v>
      </x:c>
      <x:c r="M1828" s="26" t="n">
        <x:v>0.1</x:v>
      </x:c>
      <x:c r="N1828" s="24" t="n">
        <x:v>2</x:v>
      </x:c>
      <x:c r="O1828" s="28" t="n">
        <x:f>MIN(1,L1828/I1828)</x:f>
        <x:v>0.03641666666666666</x:v>
      </x:c>
      <x:c r="P1828" s="30" t="n">
        <x:f>O1828*J1828*(1+M1828)</x:f>
        <x:v>0.04005833333333333</x:v>
      </x:c>
      <x:c r="Q1828" s="30" t="n">
        <x:f>P1828*N1828</x:f>
        <x:v>0.08011666666666666</x:v>
      </x:c>
      <x:c r="R1828" s="19" t="str">
        <x:v>独立判定</x:v>
      </x:c>
    </x:row>
    <x:row r="1829" ht="19" customHeight="1">
      <x:c r="A1829" s="19" t="str">
        <x:v>D01825</x:v>
      </x:c>
      <x:c r="B1829" s="19" t="n">
        <x:v>4</x:v>
      </x:c>
      <x:c r="C1829" s="19" t="n">
        <x:v>4</x:v>
      </x:c>
      <x:c r="D1829" s="19" t="str">
        <x:v>C04-M048</x:v>
      </x:c>
      <x:c r="E1829" s="19" t="str">
        <x:v>百舱吞魂者·沃姆</x:v>
      </x:c>
      <x:c r="F1829" s="19" t="str">
        <x:v>地图BOSS</x:v>
      </x:c>
      <x:c r="G1829" s="19" t="str">
        <x:v>材料独立候选</x:v>
      </x:c>
      <x:c r="H1829" s="19" t="str">
        <x:v>沉湖王印</x:v>
      </x:c>
      <x:c r="I1829" s="22" t="n">
        <x:v>100</x:v>
      </x:c>
      <x:c r="J1829" s="22" t="n">
        <x:v>2</x:v>
      </x:c>
      <x:c r="K1829" s="19" t="n">
        <x:v>1</x:v>
      </x:c>
      <x:c r="L1829" s="24" t="n">
        <x:v>21.849999999999998</x:v>
      </x:c>
      <x:c r="M1829" s="26" t="n">
        <x:v>0.1</x:v>
      </x:c>
      <x:c r="N1829" s="24" t="n">
        <x:v>2</x:v>
      </x:c>
      <x:c r="O1829" s="28" t="n">
        <x:f>MIN(1,L1829/I1829)</x:f>
        <x:v>0.21849999999999997</x:v>
      </x:c>
      <x:c r="P1829" s="30" t="n">
        <x:f>O1829*J1829*(1+M1829)</x:f>
        <x:v>0.48069999999999996</x:v>
      </x:c>
      <x:c r="Q1829" s="30" t="n">
        <x:f>P1829*N1829</x:f>
        <x:v>0.9613999999999999</x:v>
      </x:c>
      <x:c r="R1829" s="19" t="str">
        <x:v>独立判定</x:v>
      </x:c>
    </x:row>
    <x:row r="1830" ht="19" customHeight="1">
      <x:c r="A1830" s="19" t="str">
        <x:v>D01826</x:v>
      </x:c>
      <x:c r="B1830" s="19" t="n">
        <x:v>4</x:v>
      </x:c>
      <x:c r="C1830" s="19" t="n">
        <x:v>4</x:v>
      </x:c>
      <x:c r="D1830" s="19" t="str">
        <x:v>C04-M048</x:v>
      </x:c>
      <x:c r="E1830" s="19" t="str">
        <x:v>百舱吞魂者·沃姆</x:v>
      </x:c>
      <x:c r="F1830" s="19" t="str">
        <x:v>地图BOSS</x:v>
      </x:c>
      <x:c r="G1830" s="19" t="str">
        <x:v>材料独立候选</x:v>
      </x:c>
      <x:c r="H1830" s="19" t="str">
        <x:v>深湖压舱印</x:v>
      </x:c>
      <x:c r="I1830" s="22" t="n">
        <x:v>120</x:v>
      </x:c>
      <x:c r="J1830" s="22" t="n">
        <x:v>2</x:v>
      </x:c>
      <x:c r="K1830" s="19" t="n">
        <x:v>1</x:v>
      </x:c>
      <x:c r="L1830" s="24" t="n">
        <x:v>21.849999999999998</x:v>
      </x:c>
      <x:c r="M1830" s="26" t="n">
        <x:v>0.1</x:v>
      </x:c>
      <x:c r="N1830" s="24" t="n">
        <x:v>2</x:v>
      </x:c>
      <x:c r="O1830" s="28" t="n">
        <x:f>MIN(1,L1830/I1830)</x:f>
        <x:v>0.18208333333333332</x:v>
      </x:c>
      <x:c r="P1830" s="30" t="n">
        <x:f>O1830*J1830*(1+M1830)</x:f>
        <x:v>0.40058333333333335</x:v>
      </x:c>
      <x:c r="Q1830" s="30" t="n">
        <x:f>P1830*N1830</x:f>
        <x:v>0.8011666666666667</x:v>
      </x:c>
      <x:c r="R1830" s="19" t="str">
        <x:v>独立判定</x:v>
      </x:c>
    </x:row>
    <x:row r="1831" ht="19" customHeight="1">
      <x:c r="A1831" s="19" t="str">
        <x:v>D01827</x:v>
      </x:c>
      <x:c r="B1831" s="19" t="n">
        <x:v>4</x:v>
      </x:c>
      <x:c r="C1831" s="19" t="n">
        <x:v>4</x:v>
      </x:c>
      <x:c r="D1831" s="19" t="str">
        <x:v>C04-M048</x:v>
      </x:c>
      <x:c r="E1831" s="19" t="str">
        <x:v>百舱吞魂者·沃姆</x:v>
      </x:c>
      <x:c r="F1831" s="19" t="str">
        <x:v>地图BOSS</x:v>
      </x:c>
      <x:c r="G1831" s="19" t="str">
        <x:v>材料独立候选</x:v>
      </x:c>
      <x:c r="H1831" s="19" t="str">
        <x:v>月潮忆珀</x:v>
      </x:c>
      <x:c r="I1831" s="22" t="n">
        <x:v>300000</x:v>
      </x:c>
      <x:c r="J1831" s="22" t="n">
        <x:v>1</x:v>
      </x:c>
      <x:c r="K1831" s="19" t="n">
        <x:v>1</x:v>
      </x:c>
      <x:c r="L1831" s="24" t="n">
        <x:v>21.849999999999998</x:v>
      </x:c>
      <x:c r="M1831" s="26" t="n">
        <x:v>0.1</x:v>
      </x:c>
      <x:c r="N1831" s="24" t="n">
        <x:v>2</x:v>
      </x:c>
      <x:c r="O1831" s="28" t="n">
        <x:f>MIN(1,L1831/I1831)</x:f>
        <x:v>0.00007283333333333333</x:v>
      </x:c>
      <x:c r="P1831" s="30" t="n">
        <x:f>O1831*J1831*(1+M1831)</x:f>
        <x:v>0.00008011666666666667</x:v>
      </x:c>
      <x:c r="Q1831" s="30" t="n">
        <x:f>P1831*N1831</x:f>
        <x:v>0.00016023333333333334</x:v>
      </x:c>
      <x:c r="R1831" s="19" t="str">
        <x:v>独立判定</x:v>
      </x:c>
    </x:row>
    <x:row r="1832" ht="19" customHeight="1">
      <x:c r="A1832" s="19" t="str">
        <x:v>D01828</x:v>
      </x:c>
      <x:c r="B1832" s="19" t="n">
        <x:v>4</x:v>
      </x:c>
      <x:c r="C1832" s="19" t="n">
        <x:v>4</x:v>
      </x:c>
      <x:c r="D1832" s="19" t="str">
        <x:v>C04-M048</x:v>
      </x:c>
      <x:c r="E1832" s="19" t="str">
        <x:v>百舱吞魂者·沃姆</x:v>
      </x:c>
      <x:c r="F1832" s="19" t="str">
        <x:v>地图BOSS</x:v>
      </x:c>
      <x:c r="G1832" s="19" t="str">
        <x:v>材料独立候选</x:v>
      </x:c>
      <x:c r="H1832" s="19" t="str">
        <x:v>黄金树芽</x:v>
      </x:c>
      <x:c r="I1832" s="22" t="n">
        <x:v>1000</x:v>
      </x:c>
      <x:c r="J1832" s="22" t="n">
        <x:v>1</x:v>
      </x:c>
      <x:c r="K1832" s="19" t="n">
        <x:v>1</x:v>
      </x:c>
      <x:c r="L1832" s="24" t="n">
        <x:v>21.849999999999998</x:v>
      </x:c>
      <x:c r="M1832" s="26" t="n">
        <x:v>0.1</x:v>
      </x:c>
      <x:c r="N1832" s="24" t="n">
        <x:v>2</x:v>
      </x:c>
      <x:c r="O1832" s="28" t="n">
        <x:f>MIN(1,L1832/I1832)</x:f>
        <x:v>0.021849999999999998</x:v>
      </x:c>
      <x:c r="P1832" s="30" t="n">
        <x:f>O1832*J1832*(1+M1832)</x:f>
        <x:v>0.024035</x:v>
      </x:c>
      <x:c r="Q1832" s="30" t="n">
        <x:f>P1832*N1832</x:f>
        <x:v>0.04807</x:v>
      </x:c>
      <x:c r="R1832" s="19" t="str">
        <x:v>独立判定</x:v>
      </x:c>
    </x:row>
    <x:row r="1833" ht="19" customHeight="1">
      <x:c r="A1833" s="19" t="str">
        <x:v>D01829</x:v>
      </x:c>
      <x:c r="B1833" s="19" t="n">
        <x:v>4</x:v>
      </x:c>
      <x:c r="C1833" s="19" t="n">
        <x:v>4</x:v>
      </x:c>
      <x:c r="D1833" s="19" t="str">
        <x:v>C04-M048</x:v>
      </x:c>
      <x:c r="E1833" s="19" t="str">
        <x:v>百舱吞魂者·沃姆</x:v>
      </x:c>
      <x:c r="F1833" s="19" t="str">
        <x:v>地图BOSS</x:v>
      </x:c>
      <x:c r="G1833" s="19" t="str">
        <x:v>材料独立候选</x:v>
      </x:c>
      <x:c r="H1833" s="19" t="str">
        <x:v>野兽骨片</x:v>
      </x:c>
      <x:c r="I1833" s="22" t="n">
        <x:v>40</x:v>
      </x:c>
      <x:c r="J1833" s="22" t="n">
        <x:v>2</x:v>
      </x:c>
      <x:c r="K1833" s="19" t="n">
        <x:v>1</x:v>
      </x:c>
      <x:c r="L1833" s="24" t="n">
        <x:v>21.849999999999998</x:v>
      </x:c>
      <x:c r="M1833" s="26" t="n">
        <x:v>0.1</x:v>
      </x:c>
      <x:c r="N1833" s="24" t="n">
        <x:v>2</x:v>
      </x:c>
      <x:c r="O1833" s="28" t="n">
        <x:f>MIN(1,L1833/I1833)</x:f>
        <x:v>0.5462499999999999</x:v>
      </x:c>
      <x:c r="P1833" s="30" t="n">
        <x:f>O1833*J1833*(1+M1833)</x:f>
        <x:v>1.2017499999999999</x:v>
      </x:c>
      <x:c r="Q1833" s="30" t="n">
        <x:f>P1833*N1833</x:f>
        <x:v>2.4034999999999997</x:v>
      </x:c>
      <x:c r="R1833" s="19" t="str">
        <x:v>独立判定</x:v>
      </x:c>
    </x:row>
    <x:row r="1834" ht="19" customHeight="1">
      <x:c r="A1834" s="19" t="str">
        <x:v>D01830</x:v>
      </x:c>
      <x:c r="B1834" s="19" t="n">
        <x:v>4</x:v>
      </x:c>
      <x:c r="C1834" s="19" t="n">
        <x:v>4</x:v>
      </x:c>
      <x:c r="D1834" s="19" t="str">
        <x:v>C04-M048</x:v>
      </x:c>
      <x:c r="E1834" s="19" t="str">
        <x:v>百舱吞魂者·沃姆</x:v>
      </x:c>
      <x:c r="F1834" s="19" t="str">
        <x:v>地图BOSS</x:v>
      </x:c>
      <x:c r="G1834" s="19" t="str">
        <x:v>材料独立候选</x:v>
      </x:c>
      <x:c r="H1834" s="19" t="str">
        <x:v>技能残页</x:v>
      </x:c>
      <x:c r="I1834" s="22" t="n">
        <x:v>180</x:v>
      </x:c>
      <x:c r="J1834" s="22" t="n">
        <x:v>1</x:v>
      </x:c>
      <x:c r="K1834" s="19" t="n">
        <x:v>1</x:v>
      </x:c>
      <x:c r="L1834" s="24" t="n">
        <x:v>21.849999999999998</x:v>
      </x:c>
      <x:c r="M1834" s="26" t="n">
        <x:v>0.1</x:v>
      </x:c>
      <x:c r="N1834" s="24" t="n">
        <x:v>2</x:v>
      </x:c>
      <x:c r="O1834" s="28" t="n">
        <x:f>MIN(1,L1834/I1834)</x:f>
        <x:v>0.12138888888888888</x:v>
      </x:c>
      <x:c r="P1834" s="30" t="n">
        <x:f>O1834*J1834*(1+M1834)</x:f>
        <x:v>0.13352777777777777</x:v>
      </x:c>
      <x:c r="Q1834" s="30" t="n">
        <x:f>P1834*N1834</x:f>
        <x:v>0.26705555555555555</x:v>
      </x:c>
      <x:c r="R1834" s="19" t="str">
        <x:v>独立判定</x:v>
      </x:c>
    </x:row>
    <x:row r="1835" ht="19" customHeight="1">
      <x:c r="A1835" s="19" t="str">
        <x:v>D01831</x:v>
      </x:c>
      <x:c r="B1835" s="19" t="n">
        <x:v>4</x:v>
      </x:c>
      <x:c r="C1835" s="19" t="n">
        <x:v>4</x:v>
      </x:c>
      <x:c r="D1835" s="19" t="str">
        <x:v>C04-M048</x:v>
      </x:c>
      <x:c r="E1835" s="19" t="str">
        <x:v>百舱吞魂者·沃姆</x:v>
      </x:c>
      <x:c r="F1835" s="19" t="str">
        <x:v>地图BOSS</x:v>
      </x:c>
      <x:c r="G1835" s="19" t="str">
        <x:v>材料独立候选</x:v>
      </x:c>
      <x:c r="H1835" s="19" t="str">
        <x:v>宁姆格福誓页</x:v>
      </x:c>
      <x:c r="I1835" s="22" t="n">
        <x:v>300</x:v>
      </x:c>
      <x:c r="J1835" s="22" t="n">
        <x:v>1</x:v>
      </x:c>
      <x:c r="K1835" s="19" t="n">
        <x:v>1</x:v>
      </x:c>
      <x:c r="L1835" s="24" t="n">
        <x:v>21.849999999999998</x:v>
      </x:c>
      <x:c r="M1835" s="26" t="n">
        <x:v>0.1</x:v>
      </x:c>
      <x:c r="N1835" s="24" t="n">
        <x:v>2</x:v>
      </x:c>
      <x:c r="O1835" s="28" t="n">
        <x:f>MIN(1,L1835/I1835)</x:f>
        <x:v>0.07283333333333332</x:v>
      </x:c>
      <x:c r="P1835" s="30" t="n">
        <x:f>O1835*J1835*(1+M1835)</x:f>
        <x:v>0.08011666666666666</x:v>
      </x:c>
      <x:c r="Q1835" s="30" t="n">
        <x:f>P1835*N1835</x:f>
        <x:v>0.1602333333333333</x:v>
      </x:c>
      <x:c r="R1835" s="19" t="str">
        <x:v>独立判定</x:v>
      </x:c>
    </x:row>
    <x:row r="1836" ht="19" customHeight="1">
      <x:c r="A1836" s="19" t="str">
        <x:v>D01832</x:v>
      </x:c>
      <x:c r="B1836" s="19" t="n">
        <x:v>4</x:v>
      </x:c>
      <x:c r="C1836" s="19" t="n">
        <x:v>4</x:v>
      </x:c>
      <x:c r="D1836" s="19" t="str">
        <x:v>C04-M048</x:v>
      </x:c>
      <x:c r="E1836" s="19" t="str">
        <x:v>百舱吞魂者·沃姆</x:v>
      </x:c>
      <x:c r="F1836" s="19" t="str">
        <x:v>地图BOSS</x:v>
      </x:c>
      <x:c r="G1836" s="19" t="str">
        <x:v>材料独立候选</x:v>
      </x:c>
      <x:c r="H1836" s="19" t="str">
        <x:v>小卢恩</x:v>
      </x:c>
      <x:c r="I1836" s="22" t="n">
        <x:v>300</x:v>
      </x:c>
      <x:c r="J1836" s="22" t="n">
        <x:v>1</x:v>
      </x:c>
      <x:c r="K1836" s="19" t="n">
        <x:v>1</x:v>
      </x:c>
      <x:c r="L1836" s="24" t="n">
        <x:v>21.849999999999998</x:v>
      </x:c>
      <x:c r="M1836" s="26" t="n">
        <x:v>0.1</x:v>
      </x:c>
      <x:c r="N1836" s="24" t="n">
        <x:v>2</x:v>
      </x:c>
      <x:c r="O1836" s="28" t="n">
        <x:f>MIN(1,L1836/I1836)</x:f>
        <x:v>0.07283333333333332</x:v>
      </x:c>
      <x:c r="P1836" s="30" t="n">
        <x:f>O1836*J1836*(1+M1836)</x:f>
        <x:v>0.08011666666666666</x:v>
      </x:c>
      <x:c r="Q1836" s="30" t="n">
        <x:f>P1836*N1836</x:f>
        <x:v>0.1602333333333333</x:v>
      </x:c>
      <x:c r="R1836" s="19" t="str">
        <x:v>独立判定</x:v>
      </x:c>
    </x:row>
    <x:row r="1837" ht="19" customHeight="1">
      <x:c r="A1837" s="19" t="str">
        <x:v>D01833</x:v>
      </x:c>
      <x:c r="B1837" s="19" t="n">
        <x:v>4</x:v>
      </x:c>
      <x:c r="C1837" s="19" t="n">
        <x:v>4</x:v>
      </x:c>
      <x:c r="D1837" s="19" t="str">
        <x:v>C04-M048</x:v>
      </x:c>
      <x:c r="E1837" s="19" t="str">
        <x:v>百舱吞魂者·沃姆</x:v>
      </x:c>
      <x:c r="F1837" s="19" t="str">
        <x:v>地图BOSS</x:v>
      </x:c>
      <x:c r="G1837" s="19" t="str">
        <x:v>材料独立候选</x:v>
      </x:c>
      <x:c r="H1837" s="19" t="str">
        <x:v>大卢恩</x:v>
      </x:c>
      <x:c r="I1837" s="22" t="n">
        <x:v>200</x:v>
      </x:c>
      <x:c r="J1837" s="22" t="n">
        <x:v>1</x:v>
      </x:c>
      <x:c r="K1837" s="19" t="n">
        <x:v>1</x:v>
      </x:c>
      <x:c r="L1837" s="24" t="n">
        <x:v>21.849999999999998</x:v>
      </x:c>
      <x:c r="M1837" s="26" t="n">
        <x:v>0.1</x:v>
      </x:c>
      <x:c r="N1837" s="24" t="n">
        <x:v>2</x:v>
      </x:c>
      <x:c r="O1837" s="28" t="n">
        <x:f>MIN(1,L1837/I1837)</x:f>
        <x:v>0.10924999999999999</x:v>
      </x:c>
      <x:c r="P1837" s="30" t="n">
        <x:f>O1837*J1837*(1+M1837)</x:f>
        <x:v>0.12017499999999999</x:v>
      </x:c>
      <x:c r="Q1837" s="30" t="n">
        <x:f>P1837*N1837</x:f>
        <x:v>0.24034999999999998</x:v>
      </x:c>
      <x:c r="R1837" s="19" t="str">
        <x:v>独立判定</x:v>
      </x:c>
    </x:row>
    <x:row r="1838" ht="19" customHeight="1">
      <x:c r="A1838" s="19" t="str">
        <x:v>D01834</x:v>
      </x:c>
      <x:c r="B1838" s="19" t="n">
        <x:v>4</x:v>
      </x:c>
      <x:c r="C1838" s="19" t="n">
        <x:v>4</x:v>
      </x:c>
      <x:c r="D1838" s="19" t="str">
        <x:v>C04-M048</x:v>
      </x:c>
      <x:c r="E1838" s="19" t="str">
        <x:v>百舱吞魂者·沃姆</x:v>
      </x:c>
      <x:c r="F1838" s="19" t="str">
        <x:v>地图BOSS</x:v>
      </x:c>
      <x:c r="G1838" s="19" t="str">
        <x:v>六神器公共池</x:v>
      </x:c>
      <x:c r="H1838" s="19" t="str">
        <x:v>POOL006</x:v>
      </x:c>
      <x:c r="I1838" s="22" t="n">
        <x:v>200000</x:v>
      </x:c>
      <x:c r="J1838" s="22" t="n">
        <x:v>1</x:v>
      </x:c>
      <x:c r="K1838" s="19" t="n">
        <x:v>6</x:v>
      </x:c>
      <x:c r="L1838" s="24" t="n">
        <x:v>21.849999999999998</x:v>
      </x:c>
      <x:c r="M1838" s="26" t="n">
        <x:v>0.1</x:v>
      </x:c>
      <x:c r="N1838" s="24" t="n">
        <x:v>2</x:v>
      </x:c>
      <x:c r="O1838" s="28" t="n">
        <x:f>MIN(1,L1838/I1838)</x:f>
        <x:v>0.00010924999999999999</x:v>
      </x:c>
      <x:c r="P1838" s="30" t="n">
        <x:f>O1838*J1838*(1+M1838)</x:f>
        <x:v>0.000120175</x:v>
      </x:c>
      <x:c r="Q1838" s="30" t="n">
        <x:f>P1838*N1838</x:f>
        <x:v>0.00024035</x:v>
      </x:c>
      <x:c r="R1838" s="19" t="str">
        <x:v>六选一；非6个独立爆率</x:v>
      </x:c>
    </x:row>
    <x:row r="1839" ht="19" customHeight="1">
      <x:c r="A1839" s="19" t="str">
        <x:v>D01835</x:v>
      </x:c>
      <x:c r="B1839" s="19" t="n">
        <x:v>4</x:v>
      </x:c>
      <x:c r="C1839" s="19" t="n">
        <x:v>5</x:v>
      </x:c>
      <x:c r="D1839" s="19" t="str">
        <x:v>C04-M049</x:v>
      </x:c>
      <x:c r="E1839" s="19" t="str">
        <x:v>水闸巡守</x:v>
      </x:c>
      <x:c r="F1839" s="19" t="str">
        <x:v>普通</x:v>
      </x:c>
      <x:c r="G1839" s="19" t="str">
        <x:v>自身专属</x:v>
      </x:c>
      <x:c r="H1839" s="19" t="str">
        <x:v>巡闸圆盾</x:v>
      </x:c>
      <x:c r="I1839" s="22" t="n">
        <x:v>1500</x:v>
      </x:c>
      <x:c r="J1839" s="22" t="n">
        <x:v>1</x:v>
      </x:c>
      <x:c r="K1839" s="19" t="n">
        <x:v>1</x:v>
      </x:c>
      <x:c r="L1839" s="24" t="n">
        <x:v>21.849999999999998</x:v>
      </x:c>
      <x:c r="M1839" s="26" t="n">
        <x:v>0.1</x:v>
      </x:c>
      <x:c r="N1839" s="24" t="n">
        <x:v>72</x:v>
      </x:c>
      <x:c r="O1839" s="28" t="n">
        <x:f>MIN(1,L1839/I1839)</x:f>
        <x:v>0.014566666666666665</x:v>
      </x:c>
      <x:c r="P1839" s="30" t="n">
        <x:f>O1839*J1839*(1+M1839)</x:f>
        <x:v>0.016023333333333334</x:v>
      </x:c>
      <x:c r="Q1839" s="30" t="n">
        <x:f>P1839*N1839</x:f>
        <x:v>1.15368</x:v>
      </x:c>
      <x:c r="R1839" s="19" t="str">
        <x:v>独立判定</x:v>
      </x:c>
    </x:row>
    <x:row r="1840" ht="19" customHeight="1">
      <x:c r="A1840" s="19" t="str">
        <x:v>D01836</x:v>
      </x:c>
      <x:c r="B1840" s="19" t="n">
        <x:v>4</x:v>
      </x:c>
      <x:c r="C1840" s="19" t="n">
        <x:v>5</x:v>
      </x:c>
      <x:c r="D1840" s="19" t="str">
        <x:v>C04-M049</x:v>
      </x:c>
      <x:c r="E1840" s="19" t="str">
        <x:v>水闸巡守</x:v>
      </x:c>
      <x:c r="F1840" s="19" t="str">
        <x:v>普通</x:v>
      </x:c>
      <x:c r="G1840" s="19" t="str">
        <x:v>材料独立候选</x:v>
      </x:c>
      <x:c r="H1840" s="19" t="str">
        <x:v>湖盐结晶</x:v>
      </x:c>
      <x:c r="I1840" s="22" t="n">
        <x:v>600</x:v>
      </x:c>
      <x:c r="J1840" s="22" t="n">
        <x:v>8</x:v>
      </x:c>
      <x:c r="K1840" s="19" t="n">
        <x:v>1</x:v>
      </x:c>
      <x:c r="L1840" s="24" t="n">
        <x:v>21.849999999999998</x:v>
      </x:c>
      <x:c r="M1840" s="26" t="n">
        <x:v>0.1</x:v>
      </x:c>
      <x:c r="N1840" s="24" t="n">
        <x:v>72</x:v>
      </x:c>
      <x:c r="O1840" s="28" t="n">
        <x:f>MIN(1,L1840/I1840)</x:f>
        <x:v>0.03641666666666666</x:v>
      </x:c>
      <x:c r="P1840" s="30" t="n">
        <x:f>O1840*J1840*(1+M1840)</x:f>
        <x:v>0.3204666666666666</x:v>
      </x:c>
      <x:c r="Q1840" s="30" t="n">
        <x:f>P1840*N1840</x:f>
        <x:v>23.073599999999995</x:v>
      </x:c>
      <x:c r="R1840" s="19" t="str">
        <x:v>独立判定</x:v>
      </x:c>
    </x:row>
    <x:row r="1841" ht="19" customHeight="1">
      <x:c r="A1841" s="19" t="str">
        <x:v>D01837</x:v>
      </x:c>
      <x:c r="B1841" s="19" t="n">
        <x:v>4</x:v>
      </x:c>
      <x:c r="C1841" s="19" t="n">
        <x:v>5</x:v>
      </x:c>
      <x:c r="D1841" s="19" t="str">
        <x:v>C04-M049</x:v>
      </x:c>
      <x:c r="E1841" s="19" t="str">
        <x:v>水闸巡守</x:v>
      </x:c>
      <x:c r="F1841" s="19" t="str">
        <x:v>普通</x:v>
      </x:c>
      <x:c r="G1841" s="19" t="str">
        <x:v>材料独立候选</x:v>
      </x:c>
      <x:c r="H1841" s="19" t="str">
        <x:v>雾潮银鳞</x:v>
      </x:c>
      <x:c r="I1841" s="22" t="n">
        <x:v>800</x:v>
      </x:c>
      <x:c r="J1841" s="22" t="n">
        <x:v>1</x:v>
      </x:c>
      <x:c r="K1841" s="19" t="n">
        <x:v>1</x:v>
      </x:c>
      <x:c r="L1841" s="24" t="n">
        <x:v>21.849999999999998</x:v>
      </x:c>
      <x:c r="M1841" s="26" t="n">
        <x:v>0.1</x:v>
      </x:c>
      <x:c r="N1841" s="24" t="n">
        <x:v>72</x:v>
      </x:c>
      <x:c r="O1841" s="28" t="n">
        <x:f>MIN(1,L1841/I1841)</x:f>
        <x:v>0.027312499999999997</x:v>
      </x:c>
      <x:c r="P1841" s="30" t="n">
        <x:f>O1841*J1841*(1+M1841)</x:f>
        <x:v>0.030043749999999998</x:v>
      </x:c>
      <x:c r="Q1841" s="30" t="n">
        <x:f>P1841*N1841</x:f>
        <x:v>2.16315</x:v>
      </x:c>
      <x:c r="R1841" s="19" t="str">
        <x:v>独立判定</x:v>
      </x:c>
    </x:row>
    <x:row r="1842" ht="19" customHeight="1">
      <x:c r="A1842" s="19" t="str">
        <x:v>D01838</x:v>
      </x:c>
      <x:c r="B1842" s="19" t="n">
        <x:v>4</x:v>
      </x:c>
      <x:c r="C1842" s="19" t="n">
        <x:v>5</x:v>
      </x:c>
      <x:c r="D1842" s="19" t="str">
        <x:v>C04-M049</x:v>
      </x:c>
      <x:c r="E1842" s="19" t="str">
        <x:v>水闸巡守</x:v>
      </x:c>
      <x:c r="F1842" s="19" t="str">
        <x:v>普通</x:v>
      </x:c>
      <x:c r="G1842" s="19" t="str">
        <x:v>材料独立候选</x:v>
      </x:c>
      <x:c r="H1842" s="19" t="str">
        <x:v>月潮忆珀</x:v>
      </x:c>
      <x:c r="I1842" s="22" t="n">
        <x:v>1000000</x:v>
      </x:c>
      <x:c r="J1842" s="22" t="n">
        <x:v>1</x:v>
      </x:c>
      <x:c r="K1842" s="19" t="n">
        <x:v>1</x:v>
      </x:c>
      <x:c r="L1842" s="24" t="n">
        <x:v>21.849999999999998</x:v>
      </x:c>
      <x:c r="M1842" s="26" t="n">
        <x:v>0.1</x:v>
      </x:c>
      <x:c r="N1842" s="24" t="n">
        <x:v>72</x:v>
      </x:c>
      <x:c r="O1842" s="28" t="n">
        <x:f>MIN(1,L1842/I1842)</x:f>
        <x:v>0.00002185</x:v>
      </x:c>
      <x:c r="P1842" s="30" t="n">
        <x:f>O1842*J1842*(1+M1842)</x:f>
        <x:v>0.000024035</x:v>
      </x:c>
      <x:c r="Q1842" s="30" t="n">
        <x:f>P1842*N1842</x:f>
        <x:v>0.00173052</x:v>
      </x:c>
      <x:c r="R1842" s="19" t="str">
        <x:v>独立判定</x:v>
      </x:c>
    </x:row>
    <x:row r="1843" ht="19" customHeight="1">
      <x:c r="A1843" s="19" t="str">
        <x:v>D01839</x:v>
      </x:c>
      <x:c r="B1843" s="19" t="n">
        <x:v>4</x:v>
      </x:c>
      <x:c r="C1843" s="19" t="n">
        <x:v>5</x:v>
      </x:c>
      <x:c r="D1843" s="19" t="str">
        <x:v>C04-M049</x:v>
      </x:c>
      <x:c r="E1843" s="19" t="str">
        <x:v>水闸巡守</x:v>
      </x:c>
      <x:c r="F1843" s="19" t="str">
        <x:v>普通</x:v>
      </x:c>
      <x:c r="G1843" s="19" t="str">
        <x:v>材料独立候选</x:v>
      </x:c>
      <x:c r="H1843" s="19" t="str">
        <x:v>野兽骨片</x:v>
      </x:c>
      <x:c r="I1843" s="22" t="n">
        <x:v>100</x:v>
      </x:c>
      <x:c r="J1843" s="22" t="n">
        <x:v>2</x:v>
      </x:c>
      <x:c r="K1843" s="19" t="n">
        <x:v>1</x:v>
      </x:c>
      <x:c r="L1843" s="24" t="n">
        <x:v>21.849999999999998</x:v>
      </x:c>
      <x:c r="M1843" s="26" t="n">
        <x:v>0.1</x:v>
      </x:c>
      <x:c r="N1843" s="24" t="n">
        <x:v>72</x:v>
      </x:c>
      <x:c r="O1843" s="28" t="n">
        <x:f>MIN(1,L1843/I1843)</x:f>
        <x:v>0.21849999999999997</x:v>
      </x:c>
      <x:c r="P1843" s="30" t="n">
        <x:f>O1843*J1843*(1+M1843)</x:f>
        <x:v>0.48069999999999996</x:v>
      </x:c>
      <x:c r="Q1843" s="30" t="n">
        <x:f>P1843*N1843</x:f>
        <x:v>34.6104</x:v>
      </x:c>
      <x:c r="R1843" s="19" t="str">
        <x:v>独立判定</x:v>
      </x:c>
    </x:row>
    <x:row r="1844" ht="19" customHeight="1">
      <x:c r="A1844" s="19" t="str">
        <x:v>D01840</x:v>
      </x:c>
      <x:c r="B1844" s="19" t="n">
        <x:v>4</x:v>
      </x:c>
      <x:c r="C1844" s="19" t="n">
        <x:v>5</x:v>
      </x:c>
      <x:c r="D1844" s="19" t="str">
        <x:v>C04-M049</x:v>
      </x:c>
      <x:c r="E1844" s="19" t="str">
        <x:v>水闸巡守</x:v>
      </x:c>
      <x:c r="F1844" s="19" t="str">
        <x:v>普通</x:v>
      </x:c>
      <x:c r="G1844" s="19" t="str">
        <x:v>材料独立候选</x:v>
      </x:c>
      <x:c r="H1844" s="19" t="str">
        <x:v>技能残页</x:v>
      </x:c>
      <x:c r="I1844" s="22" t="n">
        <x:v>500</x:v>
      </x:c>
      <x:c r="J1844" s="22" t="n">
        <x:v>1</x:v>
      </x:c>
      <x:c r="K1844" s="19" t="n">
        <x:v>1</x:v>
      </x:c>
      <x:c r="L1844" s="24" t="n">
        <x:v>21.849999999999998</x:v>
      </x:c>
      <x:c r="M1844" s="26" t="n">
        <x:v>0.1</x:v>
      </x:c>
      <x:c r="N1844" s="24" t="n">
        <x:v>72</x:v>
      </x:c>
      <x:c r="O1844" s="28" t="n">
        <x:f>MIN(1,L1844/I1844)</x:f>
        <x:v>0.043699999999999996</x:v>
      </x:c>
      <x:c r="P1844" s="30" t="n">
        <x:f>O1844*J1844*(1+M1844)</x:f>
        <x:v>0.04807</x:v>
      </x:c>
      <x:c r="Q1844" s="30" t="n">
        <x:f>P1844*N1844</x:f>
        <x:v>3.46104</x:v>
      </x:c>
      <x:c r="R1844" s="19" t="str">
        <x:v>独立判定</x:v>
      </x:c>
    </x:row>
    <x:row r="1845" ht="19" customHeight="1">
      <x:c r="A1845" s="19" t="str">
        <x:v>D01841</x:v>
      </x:c>
      <x:c r="B1845" s="19" t="n">
        <x:v>4</x:v>
      </x:c>
      <x:c r="C1845" s="19" t="n">
        <x:v>5</x:v>
      </x:c>
      <x:c r="D1845" s="19" t="str">
        <x:v>C04-M049</x:v>
      </x:c>
      <x:c r="E1845" s="19" t="str">
        <x:v>水闸巡守</x:v>
      </x:c>
      <x:c r="F1845" s="19" t="str">
        <x:v>普通</x:v>
      </x:c>
      <x:c r="G1845" s="19" t="str">
        <x:v>材料独立候选</x:v>
      </x:c>
      <x:c r="H1845" s="19" t="str">
        <x:v>小卢恩</x:v>
      </x:c>
      <x:c r="I1845" s="22" t="n">
        <x:v>1000</x:v>
      </x:c>
      <x:c r="J1845" s="22" t="n">
        <x:v>1</x:v>
      </x:c>
      <x:c r="K1845" s="19" t="n">
        <x:v>1</x:v>
      </x:c>
      <x:c r="L1845" s="24" t="n">
        <x:v>21.849999999999998</x:v>
      </x:c>
      <x:c r="M1845" s="26" t="n">
        <x:v>0.1</x:v>
      </x:c>
      <x:c r="N1845" s="24" t="n">
        <x:v>72</x:v>
      </x:c>
      <x:c r="O1845" s="28" t="n">
        <x:f>MIN(1,L1845/I1845)</x:f>
        <x:v>0.021849999999999998</x:v>
      </x:c>
      <x:c r="P1845" s="30" t="n">
        <x:f>O1845*J1845*(1+M1845)</x:f>
        <x:v>0.024035</x:v>
      </x:c>
      <x:c r="Q1845" s="30" t="n">
        <x:f>P1845*N1845</x:f>
        <x:v>1.73052</x:v>
      </x:c>
      <x:c r="R1845" s="19" t="str">
        <x:v>独立判定</x:v>
      </x:c>
    </x:row>
    <x:row r="1846" ht="19" customHeight="1">
      <x:c r="A1846" s="19" t="str">
        <x:v>D01842</x:v>
      </x:c>
      <x:c r="B1846" s="19" t="n">
        <x:v>4</x:v>
      </x:c>
      <x:c r="C1846" s="19" t="n">
        <x:v>5</x:v>
      </x:c>
      <x:c r="D1846" s="19" t="str">
        <x:v>C04-M049</x:v>
      </x:c>
      <x:c r="E1846" s="19" t="str">
        <x:v>水闸巡守</x:v>
      </x:c>
      <x:c r="F1846" s="19" t="str">
        <x:v>普通</x:v>
      </x:c>
      <x:c r="G1846" s="19" t="str">
        <x:v>六神器公共池</x:v>
      </x:c>
      <x:c r="H1846" s="19" t="str">
        <x:v>POOL006</x:v>
      </x:c>
      <x:c r="I1846" s="22" t="n">
        <x:v>20000000</x:v>
      </x:c>
      <x:c r="J1846" s="22" t="n">
        <x:v>1</x:v>
      </x:c>
      <x:c r="K1846" s="19" t="n">
        <x:v>6</x:v>
      </x:c>
      <x:c r="L1846" s="24" t="n">
        <x:v>21.849999999999998</x:v>
      </x:c>
      <x:c r="M1846" s="26" t="n">
        <x:v>0.1</x:v>
      </x:c>
      <x:c r="N1846" s="24" t="n">
        <x:v>72</x:v>
      </x:c>
      <x:c r="O1846" s="28" t="n">
        <x:f>MIN(1,L1846/I1846)</x:f>
        <x:v>0.0000010925</x:v>
      </x:c>
      <x:c r="P1846" s="30" t="n">
        <x:f>O1846*J1846*(1+M1846)</x:f>
        <x:v>0.00000120175</x:v>
      </x:c>
      <x:c r="Q1846" s="30" t="n">
        <x:f>P1846*N1846</x:f>
        <x:v>0.00008652599999999999</x:v>
      </x:c>
      <x:c r="R1846" s="19" t="str">
        <x:v>六选一；非6个独立爆率</x:v>
      </x:c>
    </x:row>
    <x:row r="1847" ht="19" customHeight="1">
      <x:c r="A1847" s="19" t="str">
        <x:v>D01843</x:v>
      </x:c>
      <x:c r="B1847" s="19" t="n">
        <x:v>4</x:v>
      </x:c>
      <x:c r="C1847" s="19" t="n">
        <x:v>5</x:v>
      </x:c>
      <x:c r="D1847" s="19" t="str">
        <x:v>C04-M050</x:v>
      </x:c>
      <x:c r="E1847" s="19" t="str">
        <x:v>涡背鳗犬</x:v>
      </x:c>
      <x:c r="F1847" s="19" t="str">
        <x:v>普通</x:v>
      </x:c>
      <x:c r="G1847" s="19" t="str">
        <x:v>自身专属</x:v>
      </x:c>
      <x:c r="H1847" s="19" t="str">
        <x:v>鳗皮束腰</x:v>
      </x:c>
      <x:c r="I1847" s="22" t="n">
        <x:v>1500</x:v>
      </x:c>
      <x:c r="J1847" s="22" t="n">
        <x:v>1</x:v>
      </x:c>
      <x:c r="K1847" s="19" t="n">
        <x:v>1</x:v>
      </x:c>
      <x:c r="L1847" s="24" t="n">
        <x:v>21.849999999999998</x:v>
      </x:c>
      <x:c r="M1847" s="26" t="n">
        <x:v>0.1</x:v>
      </x:c>
      <x:c r="N1847" s="24" t="n">
        <x:v>72</x:v>
      </x:c>
      <x:c r="O1847" s="28" t="n">
        <x:f>MIN(1,L1847/I1847)</x:f>
        <x:v>0.014566666666666665</x:v>
      </x:c>
      <x:c r="P1847" s="30" t="n">
        <x:f>O1847*J1847*(1+M1847)</x:f>
        <x:v>0.016023333333333334</x:v>
      </x:c>
      <x:c r="Q1847" s="30" t="n">
        <x:f>P1847*N1847</x:f>
        <x:v>1.15368</x:v>
      </x:c>
      <x:c r="R1847" s="19" t="str">
        <x:v>独立判定</x:v>
      </x:c>
    </x:row>
    <x:row r="1848" ht="19" customHeight="1">
      <x:c r="A1848" s="19" t="str">
        <x:v>D01844</x:v>
      </x:c>
      <x:c r="B1848" s="19" t="n">
        <x:v>4</x:v>
      </x:c>
      <x:c r="C1848" s="19" t="n">
        <x:v>5</x:v>
      </x:c>
      <x:c r="D1848" s="19" t="str">
        <x:v>C04-M050</x:v>
      </x:c>
      <x:c r="E1848" s="19" t="str">
        <x:v>涡背鳗犬</x:v>
      </x:c>
      <x:c r="F1848" s="19" t="str">
        <x:v>普通</x:v>
      </x:c>
      <x:c r="G1848" s="19" t="str">
        <x:v>材料独立候选</x:v>
      </x:c>
      <x:c r="H1848" s="19" t="str">
        <x:v>湖盐结晶</x:v>
      </x:c>
      <x:c r="I1848" s="22" t="n">
        <x:v>600</x:v>
      </x:c>
      <x:c r="J1848" s="22" t="n">
        <x:v>8</x:v>
      </x:c>
      <x:c r="K1848" s="19" t="n">
        <x:v>1</x:v>
      </x:c>
      <x:c r="L1848" s="24" t="n">
        <x:v>21.849999999999998</x:v>
      </x:c>
      <x:c r="M1848" s="26" t="n">
        <x:v>0.1</x:v>
      </x:c>
      <x:c r="N1848" s="24" t="n">
        <x:v>72</x:v>
      </x:c>
      <x:c r="O1848" s="28" t="n">
        <x:f>MIN(1,L1848/I1848)</x:f>
        <x:v>0.03641666666666666</x:v>
      </x:c>
      <x:c r="P1848" s="30" t="n">
        <x:f>O1848*J1848*(1+M1848)</x:f>
        <x:v>0.3204666666666666</x:v>
      </x:c>
      <x:c r="Q1848" s="30" t="n">
        <x:f>P1848*N1848</x:f>
        <x:v>23.073599999999995</x:v>
      </x:c>
      <x:c r="R1848" s="19" t="str">
        <x:v>独立判定</x:v>
      </x:c>
    </x:row>
    <x:row r="1849" ht="19" customHeight="1">
      <x:c r="A1849" s="19" t="str">
        <x:v>D01845</x:v>
      </x:c>
      <x:c r="B1849" s="19" t="n">
        <x:v>4</x:v>
      </x:c>
      <x:c r="C1849" s="19" t="n">
        <x:v>5</x:v>
      </x:c>
      <x:c r="D1849" s="19" t="str">
        <x:v>C04-M050</x:v>
      </x:c>
      <x:c r="E1849" s="19" t="str">
        <x:v>涡背鳗犬</x:v>
      </x:c>
      <x:c r="F1849" s="19" t="str">
        <x:v>普通</x:v>
      </x:c>
      <x:c r="G1849" s="19" t="str">
        <x:v>材料独立候选</x:v>
      </x:c>
      <x:c r="H1849" s="19" t="str">
        <x:v>雾潮银鳞</x:v>
      </x:c>
      <x:c r="I1849" s="22" t="n">
        <x:v>800</x:v>
      </x:c>
      <x:c r="J1849" s="22" t="n">
        <x:v>1</x:v>
      </x:c>
      <x:c r="K1849" s="19" t="n">
        <x:v>1</x:v>
      </x:c>
      <x:c r="L1849" s="24" t="n">
        <x:v>21.849999999999998</x:v>
      </x:c>
      <x:c r="M1849" s="26" t="n">
        <x:v>0.1</x:v>
      </x:c>
      <x:c r="N1849" s="24" t="n">
        <x:v>72</x:v>
      </x:c>
      <x:c r="O1849" s="28" t="n">
        <x:f>MIN(1,L1849/I1849)</x:f>
        <x:v>0.027312499999999997</x:v>
      </x:c>
      <x:c r="P1849" s="30" t="n">
        <x:f>O1849*J1849*(1+M1849)</x:f>
        <x:v>0.030043749999999998</x:v>
      </x:c>
      <x:c r="Q1849" s="30" t="n">
        <x:f>P1849*N1849</x:f>
        <x:v>2.16315</x:v>
      </x:c>
      <x:c r="R1849" s="19" t="str">
        <x:v>独立判定</x:v>
      </x:c>
    </x:row>
    <x:row r="1850" ht="19" customHeight="1">
      <x:c r="A1850" s="19" t="str">
        <x:v>D01846</x:v>
      </x:c>
      <x:c r="B1850" s="19" t="n">
        <x:v>4</x:v>
      </x:c>
      <x:c r="C1850" s="19" t="n">
        <x:v>5</x:v>
      </x:c>
      <x:c r="D1850" s="19" t="str">
        <x:v>C04-M050</x:v>
      </x:c>
      <x:c r="E1850" s="19" t="str">
        <x:v>涡背鳗犬</x:v>
      </x:c>
      <x:c r="F1850" s="19" t="str">
        <x:v>普通</x:v>
      </x:c>
      <x:c r="G1850" s="19" t="str">
        <x:v>材料独立候选</x:v>
      </x:c>
      <x:c r="H1850" s="19" t="str">
        <x:v>月潮忆珀</x:v>
      </x:c>
      <x:c r="I1850" s="22" t="n">
        <x:v>1000000</x:v>
      </x:c>
      <x:c r="J1850" s="22" t="n">
        <x:v>1</x:v>
      </x:c>
      <x:c r="K1850" s="19" t="n">
        <x:v>1</x:v>
      </x:c>
      <x:c r="L1850" s="24" t="n">
        <x:v>21.849999999999998</x:v>
      </x:c>
      <x:c r="M1850" s="26" t="n">
        <x:v>0.1</x:v>
      </x:c>
      <x:c r="N1850" s="24" t="n">
        <x:v>72</x:v>
      </x:c>
      <x:c r="O1850" s="28" t="n">
        <x:f>MIN(1,L1850/I1850)</x:f>
        <x:v>0.00002185</x:v>
      </x:c>
      <x:c r="P1850" s="30" t="n">
        <x:f>O1850*J1850*(1+M1850)</x:f>
        <x:v>0.000024035</x:v>
      </x:c>
      <x:c r="Q1850" s="30" t="n">
        <x:f>P1850*N1850</x:f>
        <x:v>0.00173052</x:v>
      </x:c>
      <x:c r="R1850" s="19" t="str">
        <x:v>独立判定</x:v>
      </x:c>
    </x:row>
    <x:row r="1851" ht="19" customHeight="1">
      <x:c r="A1851" s="19" t="str">
        <x:v>D01847</x:v>
      </x:c>
      <x:c r="B1851" s="19" t="n">
        <x:v>4</x:v>
      </x:c>
      <x:c r="C1851" s="19" t="n">
        <x:v>5</x:v>
      </x:c>
      <x:c r="D1851" s="19" t="str">
        <x:v>C04-M050</x:v>
      </x:c>
      <x:c r="E1851" s="19" t="str">
        <x:v>涡背鳗犬</x:v>
      </x:c>
      <x:c r="F1851" s="19" t="str">
        <x:v>普通</x:v>
      </x:c>
      <x:c r="G1851" s="19" t="str">
        <x:v>材料独立候选</x:v>
      </x:c>
      <x:c r="H1851" s="19" t="str">
        <x:v>野兽骨片</x:v>
      </x:c>
      <x:c r="I1851" s="22" t="n">
        <x:v>100</x:v>
      </x:c>
      <x:c r="J1851" s="22" t="n">
        <x:v>2</x:v>
      </x:c>
      <x:c r="K1851" s="19" t="n">
        <x:v>1</x:v>
      </x:c>
      <x:c r="L1851" s="24" t="n">
        <x:v>21.849999999999998</x:v>
      </x:c>
      <x:c r="M1851" s="26" t="n">
        <x:v>0.1</x:v>
      </x:c>
      <x:c r="N1851" s="24" t="n">
        <x:v>72</x:v>
      </x:c>
      <x:c r="O1851" s="28" t="n">
        <x:f>MIN(1,L1851/I1851)</x:f>
        <x:v>0.21849999999999997</x:v>
      </x:c>
      <x:c r="P1851" s="30" t="n">
        <x:f>O1851*J1851*(1+M1851)</x:f>
        <x:v>0.48069999999999996</x:v>
      </x:c>
      <x:c r="Q1851" s="30" t="n">
        <x:f>P1851*N1851</x:f>
        <x:v>34.6104</x:v>
      </x:c>
      <x:c r="R1851" s="19" t="str">
        <x:v>独立判定</x:v>
      </x:c>
    </x:row>
    <x:row r="1852" ht="19" customHeight="1">
      <x:c r="A1852" s="19" t="str">
        <x:v>D01848</x:v>
      </x:c>
      <x:c r="B1852" s="19" t="n">
        <x:v>4</x:v>
      </x:c>
      <x:c r="C1852" s="19" t="n">
        <x:v>5</x:v>
      </x:c>
      <x:c r="D1852" s="19" t="str">
        <x:v>C04-M050</x:v>
      </x:c>
      <x:c r="E1852" s="19" t="str">
        <x:v>涡背鳗犬</x:v>
      </x:c>
      <x:c r="F1852" s="19" t="str">
        <x:v>普通</x:v>
      </x:c>
      <x:c r="G1852" s="19" t="str">
        <x:v>材料独立候选</x:v>
      </x:c>
      <x:c r="H1852" s="19" t="str">
        <x:v>技能残页</x:v>
      </x:c>
      <x:c r="I1852" s="22" t="n">
        <x:v>500</x:v>
      </x:c>
      <x:c r="J1852" s="22" t="n">
        <x:v>1</x:v>
      </x:c>
      <x:c r="K1852" s="19" t="n">
        <x:v>1</x:v>
      </x:c>
      <x:c r="L1852" s="24" t="n">
        <x:v>21.849999999999998</x:v>
      </x:c>
      <x:c r="M1852" s="26" t="n">
        <x:v>0.1</x:v>
      </x:c>
      <x:c r="N1852" s="24" t="n">
        <x:v>72</x:v>
      </x:c>
      <x:c r="O1852" s="28" t="n">
        <x:f>MIN(1,L1852/I1852)</x:f>
        <x:v>0.043699999999999996</x:v>
      </x:c>
      <x:c r="P1852" s="30" t="n">
        <x:f>O1852*J1852*(1+M1852)</x:f>
        <x:v>0.04807</x:v>
      </x:c>
      <x:c r="Q1852" s="30" t="n">
        <x:f>P1852*N1852</x:f>
        <x:v>3.46104</x:v>
      </x:c>
      <x:c r="R1852" s="19" t="str">
        <x:v>独立判定</x:v>
      </x:c>
    </x:row>
    <x:row r="1853" ht="19" customHeight="1">
      <x:c r="A1853" s="19" t="str">
        <x:v>D01849</x:v>
      </x:c>
      <x:c r="B1853" s="19" t="n">
        <x:v>4</x:v>
      </x:c>
      <x:c r="C1853" s="19" t="n">
        <x:v>5</x:v>
      </x:c>
      <x:c r="D1853" s="19" t="str">
        <x:v>C04-M050</x:v>
      </x:c>
      <x:c r="E1853" s="19" t="str">
        <x:v>涡背鳗犬</x:v>
      </x:c>
      <x:c r="F1853" s="19" t="str">
        <x:v>普通</x:v>
      </x:c>
      <x:c r="G1853" s="19" t="str">
        <x:v>材料独立候选</x:v>
      </x:c>
      <x:c r="H1853" s="19" t="str">
        <x:v>小卢恩</x:v>
      </x:c>
      <x:c r="I1853" s="22" t="n">
        <x:v>1000</x:v>
      </x:c>
      <x:c r="J1853" s="22" t="n">
        <x:v>1</x:v>
      </x:c>
      <x:c r="K1853" s="19" t="n">
        <x:v>1</x:v>
      </x:c>
      <x:c r="L1853" s="24" t="n">
        <x:v>21.849999999999998</x:v>
      </x:c>
      <x:c r="M1853" s="26" t="n">
        <x:v>0.1</x:v>
      </x:c>
      <x:c r="N1853" s="24" t="n">
        <x:v>72</x:v>
      </x:c>
      <x:c r="O1853" s="28" t="n">
        <x:f>MIN(1,L1853/I1853)</x:f>
        <x:v>0.021849999999999998</x:v>
      </x:c>
      <x:c r="P1853" s="30" t="n">
        <x:f>O1853*J1853*(1+M1853)</x:f>
        <x:v>0.024035</x:v>
      </x:c>
      <x:c r="Q1853" s="30" t="n">
        <x:f>P1853*N1853</x:f>
        <x:v>1.73052</x:v>
      </x:c>
      <x:c r="R1853" s="19" t="str">
        <x:v>独立判定</x:v>
      </x:c>
    </x:row>
    <x:row r="1854" ht="19" customHeight="1">
      <x:c r="A1854" s="19" t="str">
        <x:v>D01850</x:v>
      </x:c>
      <x:c r="B1854" s="19" t="n">
        <x:v>4</x:v>
      </x:c>
      <x:c r="C1854" s="19" t="n">
        <x:v>5</x:v>
      </x:c>
      <x:c r="D1854" s="19" t="str">
        <x:v>C04-M050</x:v>
      </x:c>
      <x:c r="E1854" s="19" t="str">
        <x:v>涡背鳗犬</x:v>
      </x:c>
      <x:c r="F1854" s="19" t="str">
        <x:v>普通</x:v>
      </x:c>
      <x:c r="G1854" s="19" t="str">
        <x:v>六神器公共池</x:v>
      </x:c>
      <x:c r="H1854" s="19" t="str">
        <x:v>POOL006</x:v>
      </x:c>
      <x:c r="I1854" s="22" t="n">
        <x:v>20000000</x:v>
      </x:c>
      <x:c r="J1854" s="22" t="n">
        <x:v>1</x:v>
      </x:c>
      <x:c r="K1854" s="19" t="n">
        <x:v>6</x:v>
      </x:c>
      <x:c r="L1854" s="24" t="n">
        <x:v>21.849999999999998</x:v>
      </x:c>
      <x:c r="M1854" s="26" t="n">
        <x:v>0.1</x:v>
      </x:c>
      <x:c r="N1854" s="24" t="n">
        <x:v>72</x:v>
      </x:c>
      <x:c r="O1854" s="28" t="n">
        <x:f>MIN(1,L1854/I1854)</x:f>
        <x:v>0.0000010925</x:v>
      </x:c>
      <x:c r="P1854" s="30" t="n">
        <x:f>O1854*J1854*(1+M1854)</x:f>
        <x:v>0.00000120175</x:v>
      </x:c>
      <x:c r="Q1854" s="30" t="n">
        <x:f>P1854*N1854</x:f>
        <x:v>0.00008652599999999999</x:v>
      </x:c>
      <x:c r="R1854" s="19" t="str">
        <x:v>六选一；非6个独立爆率</x:v>
      </x:c>
    </x:row>
    <x:row r="1855" ht="19" customHeight="1">
      <x:c r="A1855" s="19" t="str">
        <x:v>D01851</x:v>
      </x:c>
      <x:c r="B1855" s="19" t="n">
        <x:v>4</x:v>
      </x:c>
      <x:c r="C1855" s="19" t="n">
        <x:v>5</x:v>
      </x:c>
      <x:c r="D1855" s="19" t="str">
        <x:v>C04-M051</x:v>
      </x:c>
      <x:c r="E1855" s="19" t="str">
        <x:v>月河箭蛙</x:v>
      </x:c>
      <x:c r="F1855" s="19" t="str">
        <x:v>普通</x:v>
      </x:c>
      <x:c r="G1855" s="19" t="str">
        <x:v>自身专属</x:v>
      </x:c>
      <x:c r="H1855" s="19" t="str">
        <x:v>月蛙刺弩</x:v>
      </x:c>
      <x:c r="I1855" s="22" t="n">
        <x:v>1500</x:v>
      </x:c>
      <x:c r="J1855" s="22" t="n">
        <x:v>1</x:v>
      </x:c>
      <x:c r="K1855" s="19" t="n">
        <x:v>1</x:v>
      </x:c>
      <x:c r="L1855" s="24" t="n">
        <x:v>21.849999999999998</x:v>
      </x:c>
      <x:c r="M1855" s="26" t="n">
        <x:v>0.1</x:v>
      </x:c>
      <x:c r="N1855" s="24" t="n">
        <x:v>72</x:v>
      </x:c>
      <x:c r="O1855" s="28" t="n">
        <x:f>MIN(1,L1855/I1855)</x:f>
        <x:v>0.014566666666666665</x:v>
      </x:c>
      <x:c r="P1855" s="30" t="n">
        <x:f>O1855*J1855*(1+M1855)</x:f>
        <x:v>0.016023333333333334</x:v>
      </x:c>
      <x:c r="Q1855" s="30" t="n">
        <x:f>P1855*N1855</x:f>
        <x:v>1.15368</x:v>
      </x:c>
      <x:c r="R1855" s="19" t="str">
        <x:v>独立判定</x:v>
      </x:c>
    </x:row>
    <x:row r="1856" ht="19" customHeight="1">
      <x:c r="A1856" s="19" t="str">
        <x:v>D01852</x:v>
      </x:c>
      <x:c r="B1856" s="19" t="n">
        <x:v>4</x:v>
      </x:c>
      <x:c r="C1856" s="19" t="n">
        <x:v>5</x:v>
      </x:c>
      <x:c r="D1856" s="19" t="str">
        <x:v>C04-M051</x:v>
      </x:c>
      <x:c r="E1856" s="19" t="str">
        <x:v>月河箭蛙</x:v>
      </x:c>
      <x:c r="F1856" s="19" t="str">
        <x:v>普通</x:v>
      </x:c>
      <x:c r="G1856" s="19" t="str">
        <x:v>材料独立候选</x:v>
      </x:c>
      <x:c r="H1856" s="19" t="str">
        <x:v>湖盐结晶</x:v>
      </x:c>
      <x:c r="I1856" s="22" t="n">
        <x:v>600</x:v>
      </x:c>
      <x:c r="J1856" s="22" t="n">
        <x:v>8</x:v>
      </x:c>
      <x:c r="K1856" s="19" t="n">
        <x:v>1</x:v>
      </x:c>
      <x:c r="L1856" s="24" t="n">
        <x:v>21.849999999999998</x:v>
      </x:c>
      <x:c r="M1856" s="26" t="n">
        <x:v>0.1</x:v>
      </x:c>
      <x:c r="N1856" s="24" t="n">
        <x:v>72</x:v>
      </x:c>
      <x:c r="O1856" s="28" t="n">
        <x:f>MIN(1,L1856/I1856)</x:f>
        <x:v>0.03641666666666666</x:v>
      </x:c>
      <x:c r="P1856" s="30" t="n">
        <x:f>O1856*J1856*(1+M1856)</x:f>
        <x:v>0.3204666666666666</x:v>
      </x:c>
      <x:c r="Q1856" s="30" t="n">
        <x:f>P1856*N1856</x:f>
        <x:v>23.073599999999995</x:v>
      </x:c>
      <x:c r="R1856" s="19" t="str">
        <x:v>独立判定</x:v>
      </x:c>
    </x:row>
    <x:row r="1857" ht="19" customHeight="1">
      <x:c r="A1857" s="19" t="str">
        <x:v>D01853</x:v>
      </x:c>
      <x:c r="B1857" s="19" t="n">
        <x:v>4</x:v>
      </x:c>
      <x:c r="C1857" s="19" t="n">
        <x:v>5</x:v>
      </x:c>
      <x:c r="D1857" s="19" t="str">
        <x:v>C04-M051</x:v>
      </x:c>
      <x:c r="E1857" s="19" t="str">
        <x:v>月河箭蛙</x:v>
      </x:c>
      <x:c r="F1857" s="19" t="str">
        <x:v>普通</x:v>
      </x:c>
      <x:c r="G1857" s="19" t="str">
        <x:v>材料独立候选</x:v>
      </x:c>
      <x:c r="H1857" s="19" t="str">
        <x:v>雾潮银鳞</x:v>
      </x:c>
      <x:c r="I1857" s="22" t="n">
        <x:v>800</x:v>
      </x:c>
      <x:c r="J1857" s="22" t="n">
        <x:v>1</x:v>
      </x:c>
      <x:c r="K1857" s="19" t="n">
        <x:v>1</x:v>
      </x:c>
      <x:c r="L1857" s="24" t="n">
        <x:v>21.849999999999998</x:v>
      </x:c>
      <x:c r="M1857" s="26" t="n">
        <x:v>0.1</x:v>
      </x:c>
      <x:c r="N1857" s="24" t="n">
        <x:v>72</x:v>
      </x:c>
      <x:c r="O1857" s="28" t="n">
        <x:f>MIN(1,L1857/I1857)</x:f>
        <x:v>0.027312499999999997</x:v>
      </x:c>
      <x:c r="P1857" s="30" t="n">
        <x:f>O1857*J1857*(1+M1857)</x:f>
        <x:v>0.030043749999999998</x:v>
      </x:c>
      <x:c r="Q1857" s="30" t="n">
        <x:f>P1857*N1857</x:f>
        <x:v>2.16315</x:v>
      </x:c>
      <x:c r="R1857" s="19" t="str">
        <x:v>独立判定</x:v>
      </x:c>
    </x:row>
    <x:row r="1858" ht="19" customHeight="1">
      <x:c r="A1858" s="19" t="str">
        <x:v>D01854</x:v>
      </x:c>
      <x:c r="B1858" s="19" t="n">
        <x:v>4</x:v>
      </x:c>
      <x:c r="C1858" s="19" t="n">
        <x:v>5</x:v>
      </x:c>
      <x:c r="D1858" s="19" t="str">
        <x:v>C04-M051</x:v>
      </x:c>
      <x:c r="E1858" s="19" t="str">
        <x:v>月河箭蛙</x:v>
      </x:c>
      <x:c r="F1858" s="19" t="str">
        <x:v>普通</x:v>
      </x:c>
      <x:c r="G1858" s="19" t="str">
        <x:v>材料独立候选</x:v>
      </x:c>
      <x:c r="H1858" s="19" t="str">
        <x:v>月潮忆珀</x:v>
      </x:c>
      <x:c r="I1858" s="22" t="n">
        <x:v>1000000</x:v>
      </x:c>
      <x:c r="J1858" s="22" t="n">
        <x:v>1</x:v>
      </x:c>
      <x:c r="K1858" s="19" t="n">
        <x:v>1</x:v>
      </x:c>
      <x:c r="L1858" s="24" t="n">
        <x:v>21.849999999999998</x:v>
      </x:c>
      <x:c r="M1858" s="26" t="n">
        <x:v>0.1</x:v>
      </x:c>
      <x:c r="N1858" s="24" t="n">
        <x:v>72</x:v>
      </x:c>
      <x:c r="O1858" s="28" t="n">
        <x:f>MIN(1,L1858/I1858)</x:f>
        <x:v>0.00002185</x:v>
      </x:c>
      <x:c r="P1858" s="30" t="n">
        <x:f>O1858*J1858*(1+M1858)</x:f>
        <x:v>0.000024035</x:v>
      </x:c>
      <x:c r="Q1858" s="30" t="n">
        <x:f>P1858*N1858</x:f>
        <x:v>0.00173052</x:v>
      </x:c>
      <x:c r="R1858" s="19" t="str">
        <x:v>独立判定</x:v>
      </x:c>
    </x:row>
    <x:row r="1859" ht="19" customHeight="1">
      <x:c r="A1859" s="19" t="str">
        <x:v>D01855</x:v>
      </x:c>
      <x:c r="B1859" s="19" t="n">
        <x:v>4</x:v>
      </x:c>
      <x:c r="C1859" s="19" t="n">
        <x:v>5</x:v>
      </x:c>
      <x:c r="D1859" s="19" t="str">
        <x:v>C04-M051</x:v>
      </x:c>
      <x:c r="E1859" s="19" t="str">
        <x:v>月河箭蛙</x:v>
      </x:c>
      <x:c r="F1859" s="19" t="str">
        <x:v>普通</x:v>
      </x:c>
      <x:c r="G1859" s="19" t="str">
        <x:v>材料独立候选</x:v>
      </x:c>
      <x:c r="H1859" s="19" t="str">
        <x:v>野兽骨片</x:v>
      </x:c>
      <x:c r="I1859" s="22" t="n">
        <x:v>100</x:v>
      </x:c>
      <x:c r="J1859" s="22" t="n">
        <x:v>2</x:v>
      </x:c>
      <x:c r="K1859" s="19" t="n">
        <x:v>1</x:v>
      </x:c>
      <x:c r="L1859" s="24" t="n">
        <x:v>21.849999999999998</x:v>
      </x:c>
      <x:c r="M1859" s="26" t="n">
        <x:v>0.1</x:v>
      </x:c>
      <x:c r="N1859" s="24" t="n">
        <x:v>72</x:v>
      </x:c>
      <x:c r="O1859" s="28" t="n">
        <x:f>MIN(1,L1859/I1859)</x:f>
        <x:v>0.21849999999999997</x:v>
      </x:c>
      <x:c r="P1859" s="30" t="n">
        <x:f>O1859*J1859*(1+M1859)</x:f>
        <x:v>0.48069999999999996</x:v>
      </x:c>
      <x:c r="Q1859" s="30" t="n">
        <x:f>P1859*N1859</x:f>
        <x:v>34.6104</x:v>
      </x:c>
      <x:c r="R1859" s="19" t="str">
        <x:v>独立判定</x:v>
      </x:c>
    </x:row>
    <x:row r="1860" ht="19" customHeight="1">
      <x:c r="A1860" s="19" t="str">
        <x:v>D01856</x:v>
      </x:c>
      <x:c r="B1860" s="19" t="n">
        <x:v>4</x:v>
      </x:c>
      <x:c r="C1860" s="19" t="n">
        <x:v>5</x:v>
      </x:c>
      <x:c r="D1860" s="19" t="str">
        <x:v>C04-M051</x:v>
      </x:c>
      <x:c r="E1860" s="19" t="str">
        <x:v>月河箭蛙</x:v>
      </x:c>
      <x:c r="F1860" s="19" t="str">
        <x:v>普通</x:v>
      </x:c>
      <x:c r="G1860" s="19" t="str">
        <x:v>材料独立候选</x:v>
      </x:c>
      <x:c r="H1860" s="19" t="str">
        <x:v>技能残页</x:v>
      </x:c>
      <x:c r="I1860" s="22" t="n">
        <x:v>500</x:v>
      </x:c>
      <x:c r="J1860" s="22" t="n">
        <x:v>1</x:v>
      </x:c>
      <x:c r="K1860" s="19" t="n">
        <x:v>1</x:v>
      </x:c>
      <x:c r="L1860" s="24" t="n">
        <x:v>21.849999999999998</x:v>
      </x:c>
      <x:c r="M1860" s="26" t="n">
        <x:v>0.1</x:v>
      </x:c>
      <x:c r="N1860" s="24" t="n">
        <x:v>72</x:v>
      </x:c>
      <x:c r="O1860" s="28" t="n">
        <x:f>MIN(1,L1860/I1860)</x:f>
        <x:v>0.043699999999999996</x:v>
      </x:c>
      <x:c r="P1860" s="30" t="n">
        <x:f>O1860*J1860*(1+M1860)</x:f>
        <x:v>0.04807</x:v>
      </x:c>
      <x:c r="Q1860" s="30" t="n">
        <x:f>P1860*N1860</x:f>
        <x:v>3.46104</x:v>
      </x:c>
      <x:c r="R1860" s="19" t="str">
        <x:v>独立判定</x:v>
      </x:c>
    </x:row>
    <x:row r="1861" ht="19" customHeight="1">
      <x:c r="A1861" s="19" t="str">
        <x:v>D01857</x:v>
      </x:c>
      <x:c r="B1861" s="19" t="n">
        <x:v>4</x:v>
      </x:c>
      <x:c r="C1861" s="19" t="n">
        <x:v>5</x:v>
      </x:c>
      <x:c r="D1861" s="19" t="str">
        <x:v>C04-M051</x:v>
      </x:c>
      <x:c r="E1861" s="19" t="str">
        <x:v>月河箭蛙</x:v>
      </x:c>
      <x:c r="F1861" s="19" t="str">
        <x:v>普通</x:v>
      </x:c>
      <x:c r="G1861" s="19" t="str">
        <x:v>材料独立候选</x:v>
      </x:c>
      <x:c r="H1861" s="19" t="str">
        <x:v>小卢恩</x:v>
      </x:c>
      <x:c r="I1861" s="22" t="n">
        <x:v>1000</x:v>
      </x:c>
      <x:c r="J1861" s="22" t="n">
        <x:v>1</x:v>
      </x:c>
      <x:c r="K1861" s="19" t="n">
        <x:v>1</x:v>
      </x:c>
      <x:c r="L1861" s="24" t="n">
        <x:v>21.849999999999998</x:v>
      </x:c>
      <x:c r="M1861" s="26" t="n">
        <x:v>0.1</x:v>
      </x:c>
      <x:c r="N1861" s="24" t="n">
        <x:v>72</x:v>
      </x:c>
      <x:c r="O1861" s="28" t="n">
        <x:f>MIN(1,L1861/I1861)</x:f>
        <x:v>0.021849999999999998</x:v>
      </x:c>
      <x:c r="P1861" s="30" t="n">
        <x:f>O1861*J1861*(1+M1861)</x:f>
        <x:v>0.024035</x:v>
      </x:c>
      <x:c r="Q1861" s="30" t="n">
        <x:f>P1861*N1861</x:f>
        <x:v>1.73052</x:v>
      </x:c>
      <x:c r="R1861" s="19" t="str">
        <x:v>独立判定</x:v>
      </x:c>
    </x:row>
    <x:row r="1862" ht="19" customHeight="1">
      <x:c r="A1862" s="19" t="str">
        <x:v>D01858</x:v>
      </x:c>
      <x:c r="B1862" s="19" t="n">
        <x:v>4</x:v>
      </x:c>
      <x:c r="C1862" s="19" t="n">
        <x:v>5</x:v>
      </x:c>
      <x:c r="D1862" s="19" t="str">
        <x:v>C04-M051</x:v>
      </x:c>
      <x:c r="E1862" s="19" t="str">
        <x:v>月河箭蛙</x:v>
      </x:c>
      <x:c r="F1862" s="19" t="str">
        <x:v>普通</x:v>
      </x:c>
      <x:c r="G1862" s="19" t="str">
        <x:v>六神器公共池</x:v>
      </x:c>
      <x:c r="H1862" s="19" t="str">
        <x:v>POOL006</x:v>
      </x:c>
      <x:c r="I1862" s="22" t="n">
        <x:v>20000000</x:v>
      </x:c>
      <x:c r="J1862" s="22" t="n">
        <x:v>1</x:v>
      </x:c>
      <x:c r="K1862" s="19" t="n">
        <x:v>6</x:v>
      </x:c>
      <x:c r="L1862" s="24" t="n">
        <x:v>21.849999999999998</x:v>
      </x:c>
      <x:c r="M1862" s="26" t="n">
        <x:v>0.1</x:v>
      </x:c>
      <x:c r="N1862" s="24" t="n">
        <x:v>72</x:v>
      </x:c>
      <x:c r="O1862" s="28" t="n">
        <x:f>MIN(1,L1862/I1862)</x:f>
        <x:v>0.0000010925</x:v>
      </x:c>
      <x:c r="P1862" s="30" t="n">
        <x:f>O1862*J1862*(1+M1862)</x:f>
        <x:v>0.00000120175</x:v>
      </x:c>
      <x:c r="Q1862" s="30" t="n">
        <x:f>P1862*N1862</x:f>
        <x:v>0.00008652599999999999</x:v>
      </x:c>
      <x:c r="R1862" s="19" t="str">
        <x:v>六选一；非6个独立爆率</x:v>
      </x:c>
    </x:row>
    <x:row r="1863" ht="19" customHeight="1">
      <x:c r="A1863" s="19" t="str">
        <x:v>D01859</x:v>
      </x:c>
      <x:c r="B1863" s="19" t="n">
        <x:v>4</x:v>
      </x:c>
      <x:c r="C1863" s="19" t="n">
        <x:v>5</x:v>
      </x:c>
      <x:c r="D1863" s="19" t="str">
        <x:v>C04-M052</x:v>
      </x:c>
      <x:c r="E1863" s="19" t="str">
        <x:v>暗径拾珠客</x:v>
      </x:c>
      <x:c r="F1863" s="19" t="str">
        <x:v>普通</x:v>
      </x:c>
      <x:c r="G1863" s="19" t="str">
        <x:v>自身专属</x:v>
      </x:c>
      <x:c r="H1863" s="19" t="str">
        <x:v>拾珠客斗笠</x:v>
      </x:c>
      <x:c r="I1863" s="22" t="n">
        <x:v>1500</x:v>
      </x:c>
      <x:c r="J1863" s="22" t="n">
        <x:v>1</x:v>
      </x:c>
      <x:c r="K1863" s="19" t="n">
        <x:v>1</x:v>
      </x:c>
      <x:c r="L1863" s="24" t="n">
        <x:v>21.849999999999998</x:v>
      </x:c>
      <x:c r="M1863" s="26" t="n">
        <x:v>0.1</x:v>
      </x:c>
      <x:c r="N1863" s="24" t="n">
        <x:v>72</x:v>
      </x:c>
      <x:c r="O1863" s="28" t="n">
        <x:f>MIN(1,L1863/I1863)</x:f>
        <x:v>0.014566666666666665</x:v>
      </x:c>
      <x:c r="P1863" s="30" t="n">
        <x:f>O1863*J1863*(1+M1863)</x:f>
        <x:v>0.016023333333333334</x:v>
      </x:c>
      <x:c r="Q1863" s="30" t="n">
        <x:f>P1863*N1863</x:f>
        <x:v>1.15368</x:v>
      </x:c>
      <x:c r="R1863" s="19" t="str">
        <x:v>独立判定</x:v>
      </x:c>
    </x:row>
    <x:row r="1864" ht="19" customHeight="1">
      <x:c r="A1864" s="19" t="str">
        <x:v>D01860</x:v>
      </x:c>
      <x:c r="B1864" s="19" t="n">
        <x:v>4</x:v>
      </x:c>
      <x:c r="C1864" s="19" t="n">
        <x:v>5</x:v>
      </x:c>
      <x:c r="D1864" s="19" t="str">
        <x:v>C04-M052</x:v>
      </x:c>
      <x:c r="E1864" s="19" t="str">
        <x:v>暗径拾珠客</x:v>
      </x:c>
      <x:c r="F1864" s="19" t="str">
        <x:v>普通</x:v>
      </x:c>
      <x:c r="G1864" s="19" t="str">
        <x:v>材料独立候选</x:v>
      </x:c>
      <x:c r="H1864" s="19" t="str">
        <x:v>湖盐结晶</x:v>
      </x:c>
      <x:c r="I1864" s="22" t="n">
        <x:v>600</x:v>
      </x:c>
      <x:c r="J1864" s="22" t="n">
        <x:v>8</x:v>
      </x:c>
      <x:c r="K1864" s="19" t="n">
        <x:v>1</x:v>
      </x:c>
      <x:c r="L1864" s="24" t="n">
        <x:v>21.849999999999998</x:v>
      </x:c>
      <x:c r="M1864" s="26" t="n">
        <x:v>0.1</x:v>
      </x:c>
      <x:c r="N1864" s="24" t="n">
        <x:v>72</x:v>
      </x:c>
      <x:c r="O1864" s="28" t="n">
        <x:f>MIN(1,L1864/I1864)</x:f>
        <x:v>0.03641666666666666</x:v>
      </x:c>
      <x:c r="P1864" s="30" t="n">
        <x:f>O1864*J1864*(1+M1864)</x:f>
        <x:v>0.3204666666666666</x:v>
      </x:c>
      <x:c r="Q1864" s="30" t="n">
        <x:f>P1864*N1864</x:f>
        <x:v>23.073599999999995</x:v>
      </x:c>
      <x:c r="R1864" s="19" t="str">
        <x:v>独立判定</x:v>
      </x:c>
    </x:row>
    <x:row r="1865" ht="19" customHeight="1">
      <x:c r="A1865" s="19" t="str">
        <x:v>D01861</x:v>
      </x:c>
      <x:c r="B1865" s="19" t="n">
        <x:v>4</x:v>
      </x:c>
      <x:c r="C1865" s="19" t="n">
        <x:v>5</x:v>
      </x:c>
      <x:c r="D1865" s="19" t="str">
        <x:v>C04-M052</x:v>
      </x:c>
      <x:c r="E1865" s="19" t="str">
        <x:v>暗径拾珠客</x:v>
      </x:c>
      <x:c r="F1865" s="19" t="str">
        <x:v>普通</x:v>
      </x:c>
      <x:c r="G1865" s="19" t="str">
        <x:v>材料独立候选</x:v>
      </x:c>
      <x:c r="H1865" s="19" t="str">
        <x:v>雾潮银鳞</x:v>
      </x:c>
      <x:c r="I1865" s="22" t="n">
        <x:v>800</x:v>
      </x:c>
      <x:c r="J1865" s="22" t="n">
        <x:v>1</x:v>
      </x:c>
      <x:c r="K1865" s="19" t="n">
        <x:v>1</x:v>
      </x:c>
      <x:c r="L1865" s="24" t="n">
        <x:v>21.849999999999998</x:v>
      </x:c>
      <x:c r="M1865" s="26" t="n">
        <x:v>0.1</x:v>
      </x:c>
      <x:c r="N1865" s="24" t="n">
        <x:v>72</x:v>
      </x:c>
      <x:c r="O1865" s="28" t="n">
        <x:f>MIN(1,L1865/I1865)</x:f>
        <x:v>0.027312499999999997</x:v>
      </x:c>
      <x:c r="P1865" s="30" t="n">
        <x:f>O1865*J1865*(1+M1865)</x:f>
        <x:v>0.030043749999999998</x:v>
      </x:c>
      <x:c r="Q1865" s="30" t="n">
        <x:f>P1865*N1865</x:f>
        <x:v>2.16315</x:v>
      </x:c>
      <x:c r="R1865" s="19" t="str">
        <x:v>独立判定</x:v>
      </x:c>
    </x:row>
    <x:row r="1866" ht="19" customHeight="1">
      <x:c r="A1866" s="19" t="str">
        <x:v>D01862</x:v>
      </x:c>
      <x:c r="B1866" s="19" t="n">
        <x:v>4</x:v>
      </x:c>
      <x:c r="C1866" s="19" t="n">
        <x:v>5</x:v>
      </x:c>
      <x:c r="D1866" s="19" t="str">
        <x:v>C04-M052</x:v>
      </x:c>
      <x:c r="E1866" s="19" t="str">
        <x:v>暗径拾珠客</x:v>
      </x:c>
      <x:c r="F1866" s="19" t="str">
        <x:v>普通</x:v>
      </x:c>
      <x:c r="G1866" s="19" t="str">
        <x:v>材料独立候选</x:v>
      </x:c>
      <x:c r="H1866" s="19" t="str">
        <x:v>月潮忆珀</x:v>
      </x:c>
      <x:c r="I1866" s="22" t="n">
        <x:v>1000000</x:v>
      </x:c>
      <x:c r="J1866" s="22" t="n">
        <x:v>1</x:v>
      </x:c>
      <x:c r="K1866" s="19" t="n">
        <x:v>1</x:v>
      </x:c>
      <x:c r="L1866" s="24" t="n">
        <x:v>21.849999999999998</x:v>
      </x:c>
      <x:c r="M1866" s="26" t="n">
        <x:v>0.1</x:v>
      </x:c>
      <x:c r="N1866" s="24" t="n">
        <x:v>72</x:v>
      </x:c>
      <x:c r="O1866" s="28" t="n">
        <x:f>MIN(1,L1866/I1866)</x:f>
        <x:v>0.00002185</x:v>
      </x:c>
      <x:c r="P1866" s="30" t="n">
        <x:f>O1866*J1866*(1+M1866)</x:f>
        <x:v>0.000024035</x:v>
      </x:c>
      <x:c r="Q1866" s="30" t="n">
        <x:f>P1866*N1866</x:f>
        <x:v>0.00173052</x:v>
      </x:c>
      <x:c r="R1866" s="19" t="str">
        <x:v>独立判定</x:v>
      </x:c>
    </x:row>
    <x:row r="1867" ht="19" customHeight="1">
      <x:c r="A1867" s="19" t="str">
        <x:v>D01863</x:v>
      </x:c>
      <x:c r="B1867" s="19" t="n">
        <x:v>4</x:v>
      </x:c>
      <x:c r="C1867" s="19" t="n">
        <x:v>5</x:v>
      </x:c>
      <x:c r="D1867" s="19" t="str">
        <x:v>C04-M052</x:v>
      </x:c>
      <x:c r="E1867" s="19" t="str">
        <x:v>暗径拾珠客</x:v>
      </x:c>
      <x:c r="F1867" s="19" t="str">
        <x:v>普通</x:v>
      </x:c>
      <x:c r="G1867" s="19" t="str">
        <x:v>材料独立候选</x:v>
      </x:c>
      <x:c r="H1867" s="19" t="str">
        <x:v>野兽骨片</x:v>
      </x:c>
      <x:c r="I1867" s="22" t="n">
        <x:v>100</x:v>
      </x:c>
      <x:c r="J1867" s="22" t="n">
        <x:v>2</x:v>
      </x:c>
      <x:c r="K1867" s="19" t="n">
        <x:v>1</x:v>
      </x:c>
      <x:c r="L1867" s="24" t="n">
        <x:v>21.849999999999998</x:v>
      </x:c>
      <x:c r="M1867" s="26" t="n">
        <x:v>0.1</x:v>
      </x:c>
      <x:c r="N1867" s="24" t="n">
        <x:v>72</x:v>
      </x:c>
      <x:c r="O1867" s="28" t="n">
        <x:f>MIN(1,L1867/I1867)</x:f>
        <x:v>0.21849999999999997</x:v>
      </x:c>
      <x:c r="P1867" s="30" t="n">
        <x:f>O1867*J1867*(1+M1867)</x:f>
        <x:v>0.48069999999999996</x:v>
      </x:c>
      <x:c r="Q1867" s="30" t="n">
        <x:f>P1867*N1867</x:f>
        <x:v>34.6104</x:v>
      </x:c>
      <x:c r="R1867" s="19" t="str">
        <x:v>独立判定</x:v>
      </x:c>
    </x:row>
    <x:row r="1868" ht="19" customHeight="1">
      <x:c r="A1868" s="19" t="str">
        <x:v>D01864</x:v>
      </x:c>
      <x:c r="B1868" s="19" t="n">
        <x:v>4</x:v>
      </x:c>
      <x:c r="C1868" s="19" t="n">
        <x:v>5</x:v>
      </x:c>
      <x:c r="D1868" s="19" t="str">
        <x:v>C04-M052</x:v>
      </x:c>
      <x:c r="E1868" s="19" t="str">
        <x:v>暗径拾珠客</x:v>
      </x:c>
      <x:c r="F1868" s="19" t="str">
        <x:v>普通</x:v>
      </x:c>
      <x:c r="G1868" s="19" t="str">
        <x:v>材料独立候选</x:v>
      </x:c>
      <x:c r="H1868" s="19" t="str">
        <x:v>技能残页</x:v>
      </x:c>
      <x:c r="I1868" s="22" t="n">
        <x:v>500</x:v>
      </x:c>
      <x:c r="J1868" s="22" t="n">
        <x:v>1</x:v>
      </x:c>
      <x:c r="K1868" s="19" t="n">
        <x:v>1</x:v>
      </x:c>
      <x:c r="L1868" s="24" t="n">
        <x:v>21.849999999999998</x:v>
      </x:c>
      <x:c r="M1868" s="26" t="n">
        <x:v>0.1</x:v>
      </x:c>
      <x:c r="N1868" s="24" t="n">
        <x:v>72</x:v>
      </x:c>
      <x:c r="O1868" s="28" t="n">
        <x:f>MIN(1,L1868/I1868)</x:f>
        <x:v>0.043699999999999996</x:v>
      </x:c>
      <x:c r="P1868" s="30" t="n">
        <x:f>O1868*J1868*(1+M1868)</x:f>
        <x:v>0.04807</x:v>
      </x:c>
      <x:c r="Q1868" s="30" t="n">
        <x:f>P1868*N1868</x:f>
        <x:v>3.46104</x:v>
      </x:c>
      <x:c r="R1868" s="19" t="str">
        <x:v>独立判定</x:v>
      </x:c>
    </x:row>
    <x:row r="1869" ht="19" customHeight="1">
      <x:c r="A1869" s="19" t="str">
        <x:v>D01865</x:v>
      </x:c>
      <x:c r="B1869" s="19" t="n">
        <x:v>4</x:v>
      </x:c>
      <x:c r="C1869" s="19" t="n">
        <x:v>5</x:v>
      </x:c>
      <x:c r="D1869" s="19" t="str">
        <x:v>C04-M052</x:v>
      </x:c>
      <x:c r="E1869" s="19" t="str">
        <x:v>暗径拾珠客</x:v>
      </x:c>
      <x:c r="F1869" s="19" t="str">
        <x:v>普通</x:v>
      </x:c>
      <x:c r="G1869" s="19" t="str">
        <x:v>材料独立候选</x:v>
      </x:c>
      <x:c r="H1869" s="19" t="str">
        <x:v>小卢恩</x:v>
      </x:c>
      <x:c r="I1869" s="22" t="n">
        <x:v>1000</x:v>
      </x:c>
      <x:c r="J1869" s="22" t="n">
        <x:v>1</x:v>
      </x:c>
      <x:c r="K1869" s="19" t="n">
        <x:v>1</x:v>
      </x:c>
      <x:c r="L1869" s="24" t="n">
        <x:v>21.849999999999998</x:v>
      </x:c>
      <x:c r="M1869" s="26" t="n">
        <x:v>0.1</x:v>
      </x:c>
      <x:c r="N1869" s="24" t="n">
        <x:v>72</x:v>
      </x:c>
      <x:c r="O1869" s="28" t="n">
        <x:f>MIN(1,L1869/I1869)</x:f>
        <x:v>0.021849999999999998</x:v>
      </x:c>
      <x:c r="P1869" s="30" t="n">
        <x:f>O1869*J1869*(1+M1869)</x:f>
        <x:v>0.024035</x:v>
      </x:c>
      <x:c r="Q1869" s="30" t="n">
        <x:f>P1869*N1869</x:f>
        <x:v>1.73052</x:v>
      </x:c>
      <x:c r="R1869" s="19" t="str">
        <x:v>独立判定</x:v>
      </x:c>
    </x:row>
    <x:row r="1870" ht="19" customHeight="1">
      <x:c r="A1870" s="19" t="str">
        <x:v>D01866</x:v>
      </x:c>
      <x:c r="B1870" s="19" t="n">
        <x:v>4</x:v>
      </x:c>
      <x:c r="C1870" s="19" t="n">
        <x:v>5</x:v>
      </x:c>
      <x:c r="D1870" s="19" t="str">
        <x:v>C04-M052</x:v>
      </x:c>
      <x:c r="E1870" s="19" t="str">
        <x:v>暗径拾珠客</x:v>
      </x:c>
      <x:c r="F1870" s="19" t="str">
        <x:v>普通</x:v>
      </x:c>
      <x:c r="G1870" s="19" t="str">
        <x:v>六神器公共池</x:v>
      </x:c>
      <x:c r="H1870" s="19" t="str">
        <x:v>POOL006</x:v>
      </x:c>
      <x:c r="I1870" s="22" t="n">
        <x:v>20000000</x:v>
      </x:c>
      <x:c r="J1870" s="22" t="n">
        <x:v>1</x:v>
      </x:c>
      <x:c r="K1870" s="19" t="n">
        <x:v>6</x:v>
      </x:c>
      <x:c r="L1870" s="24" t="n">
        <x:v>21.849999999999998</x:v>
      </x:c>
      <x:c r="M1870" s="26" t="n">
        <x:v>0.1</x:v>
      </x:c>
      <x:c r="N1870" s="24" t="n">
        <x:v>72</x:v>
      </x:c>
      <x:c r="O1870" s="28" t="n">
        <x:f>MIN(1,L1870/I1870)</x:f>
        <x:v>0.0000010925</x:v>
      </x:c>
      <x:c r="P1870" s="30" t="n">
        <x:f>O1870*J1870*(1+M1870)</x:f>
        <x:v>0.00000120175</x:v>
      </x:c>
      <x:c r="Q1870" s="30" t="n">
        <x:f>P1870*N1870</x:f>
        <x:v>0.00008652599999999999</x:v>
      </x:c>
      <x:c r="R1870" s="19" t="str">
        <x:v>六选一；非6个独立爆率</x:v>
      </x:c>
    </x:row>
    <x:row r="1871" ht="19" customHeight="1">
      <x:c r="A1871" s="19" t="str">
        <x:v>D01867</x:v>
      </x:c>
      <x:c r="B1871" s="19" t="n">
        <x:v>4</x:v>
      </x:c>
      <x:c r="C1871" s="19" t="n">
        <x:v>5</x:v>
      </x:c>
      <x:c r="D1871" s="19" t="str">
        <x:v>C04-M053</x:v>
      </x:c>
      <x:c r="E1871" s="19" t="str">
        <x:v>渊口盔虾</x:v>
      </x:c>
      <x:c r="F1871" s="19" t="str">
        <x:v>普通</x:v>
      </x:c>
      <x:c r="G1871" s="19" t="str">
        <x:v>自身专属</x:v>
      </x:c>
      <x:c r="H1871" s="19" t="str">
        <x:v>盔虾壳帽</x:v>
      </x:c>
      <x:c r="I1871" s="22" t="n">
        <x:v>1500</x:v>
      </x:c>
      <x:c r="J1871" s="22" t="n">
        <x:v>1</x:v>
      </x:c>
      <x:c r="K1871" s="19" t="n">
        <x:v>1</x:v>
      </x:c>
      <x:c r="L1871" s="24" t="n">
        <x:v>21.849999999999998</x:v>
      </x:c>
      <x:c r="M1871" s="26" t="n">
        <x:v>0.1</x:v>
      </x:c>
      <x:c r="N1871" s="24" t="n">
        <x:v>72</x:v>
      </x:c>
      <x:c r="O1871" s="28" t="n">
        <x:f>MIN(1,L1871/I1871)</x:f>
        <x:v>0.014566666666666665</x:v>
      </x:c>
      <x:c r="P1871" s="30" t="n">
        <x:f>O1871*J1871*(1+M1871)</x:f>
        <x:v>0.016023333333333334</x:v>
      </x:c>
      <x:c r="Q1871" s="30" t="n">
        <x:f>P1871*N1871</x:f>
        <x:v>1.15368</x:v>
      </x:c>
      <x:c r="R1871" s="19" t="str">
        <x:v>独立判定</x:v>
      </x:c>
    </x:row>
    <x:row r="1872" ht="19" customHeight="1">
      <x:c r="A1872" s="19" t="str">
        <x:v>D01868</x:v>
      </x:c>
      <x:c r="B1872" s="19" t="n">
        <x:v>4</x:v>
      </x:c>
      <x:c r="C1872" s="19" t="n">
        <x:v>5</x:v>
      </x:c>
      <x:c r="D1872" s="19" t="str">
        <x:v>C04-M053</x:v>
      </x:c>
      <x:c r="E1872" s="19" t="str">
        <x:v>渊口盔虾</x:v>
      </x:c>
      <x:c r="F1872" s="19" t="str">
        <x:v>普通</x:v>
      </x:c>
      <x:c r="G1872" s="19" t="str">
        <x:v>材料独立候选</x:v>
      </x:c>
      <x:c r="H1872" s="19" t="str">
        <x:v>湖盐结晶</x:v>
      </x:c>
      <x:c r="I1872" s="22" t="n">
        <x:v>600</x:v>
      </x:c>
      <x:c r="J1872" s="22" t="n">
        <x:v>8</x:v>
      </x:c>
      <x:c r="K1872" s="19" t="n">
        <x:v>1</x:v>
      </x:c>
      <x:c r="L1872" s="24" t="n">
        <x:v>21.849999999999998</x:v>
      </x:c>
      <x:c r="M1872" s="26" t="n">
        <x:v>0.1</x:v>
      </x:c>
      <x:c r="N1872" s="24" t="n">
        <x:v>72</x:v>
      </x:c>
      <x:c r="O1872" s="28" t="n">
        <x:f>MIN(1,L1872/I1872)</x:f>
        <x:v>0.03641666666666666</x:v>
      </x:c>
      <x:c r="P1872" s="30" t="n">
        <x:f>O1872*J1872*(1+M1872)</x:f>
        <x:v>0.3204666666666666</x:v>
      </x:c>
      <x:c r="Q1872" s="30" t="n">
        <x:f>P1872*N1872</x:f>
        <x:v>23.073599999999995</x:v>
      </x:c>
      <x:c r="R1872" s="19" t="str">
        <x:v>独立判定</x:v>
      </x:c>
    </x:row>
    <x:row r="1873" ht="19" customHeight="1">
      <x:c r="A1873" s="19" t="str">
        <x:v>D01869</x:v>
      </x:c>
      <x:c r="B1873" s="19" t="n">
        <x:v>4</x:v>
      </x:c>
      <x:c r="C1873" s="19" t="n">
        <x:v>5</x:v>
      </x:c>
      <x:c r="D1873" s="19" t="str">
        <x:v>C04-M053</x:v>
      </x:c>
      <x:c r="E1873" s="19" t="str">
        <x:v>渊口盔虾</x:v>
      </x:c>
      <x:c r="F1873" s="19" t="str">
        <x:v>普通</x:v>
      </x:c>
      <x:c r="G1873" s="19" t="str">
        <x:v>材料独立候选</x:v>
      </x:c>
      <x:c r="H1873" s="19" t="str">
        <x:v>雾潮银鳞</x:v>
      </x:c>
      <x:c r="I1873" s="22" t="n">
        <x:v>800</x:v>
      </x:c>
      <x:c r="J1873" s="22" t="n">
        <x:v>1</x:v>
      </x:c>
      <x:c r="K1873" s="19" t="n">
        <x:v>1</x:v>
      </x:c>
      <x:c r="L1873" s="24" t="n">
        <x:v>21.849999999999998</x:v>
      </x:c>
      <x:c r="M1873" s="26" t="n">
        <x:v>0.1</x:v>
      </x:c>
      <x:c r="N1873" s="24" t="n">
        <x:v>72</x:v>
      </x:c>
      <x:c r="O1873" s="28" t="n">
        <x:f>MIN(1,L1873/I1873)</x:f>
        <x:v>0.027312499999999997</x:v>
      </x:c>
      <x:c r="P1873" s="30" t="n">
        <x:f>O1873*J1873*(1+M1873)</x:f>
        <x:v>0.030043749999999998</x:v>
      </x:c>
      <x:c r="Q1873" s="30" t="n">
        <x:f>P1873*N1873</x:f>
        <x:v>2.16315</x:v>
      </x:c>
      <x:c r="R1873" s="19" t="str">
        <x:v>独立判定</x:v>
      </x:c>
    </x:row>
    <x:row r="1874" ht="19" customHeight="1">
      <x:c r="A1874" s="19" t="str">
        <x:v>D01870</x:v>
      </x:c>
      <x:c r="B1874" s="19" t="n">
        <x:v>4</x:v>
      </x:c>
      <x:c r="C1874" s="19" t="n">
        <x:v>5</x:v>
      </x:c>
      <x:c r="D1874" s="19" t="str">
        <x:v>C04-M053</x:v>
      </x:c>
      <x:c r="E1874" s="19" t="str">
        <x:v>渊口盔虾</x:v>
      </x:c>
      <x:c r="F1874" s="19" t="str">
        <x:v>普通</x:v>
      </x:c>
      <x:c r="G1874" s="19" t="str">
        <x:v>材料独立候选</x:v>
      </x:c>
      <x:c r="H1874" s="19" t="str">
        <x:v>月潮忆珀</x:v>
      </x:c>
      <x:c r="I1874" s="22" t="n">
        <x:v>1000000</x:v>
      </x:c>
      <x:c r="J1874" s="22" t="n">
        <x:v>1</x:v>
      </x:c>
      <x:c r="K1874" s="19" t="n">
        <x:v>1</x:v>
      </x:c>
      <x:c r="L1874" s="24" t="n">
        <x:v>21.849999999999998</x:v>
      </x:c>
      <x:c r="M1874" s="26" t="n">
        <x:v>0.1</x:v>
      </x:c>
      <x:c r="N1874" s="24" t="n">
        <x:v>72</x:v>
      </x:c>
      <x:c r="O1874" s="28" t="n">
        <x:f>MIN(1,L1874/I1874)</x:f>
        <x:v>0.00002185</x:v>
      </x:c>
      <x:c r="P1874" s="30" t="n">
        <x:f>O1874*J1874*(1+M1874)</x:f>
        <x:v>0.000024035</x:v>
      </x:c>
      <x:c r="Q1874" s="30" t="n">
        <x:f>P1874*N1874</x:f>
        <x:v>0.00173052</x:v>
      </x:c>
      <x:c r="R1874" s="19" t="str">
        <x:v>独立判定</x:v>
      </x:c>
    </x:row>
    <x:row r="1875" ht="19" customHeight="1">
      <x:c r="A1875" s="19" t="str">
        <x:v>D01871</x:v>
      </x:c>
      <x:c r="B1875" s="19" t="n">
        <x:v>4</x:v>
      </x:c>
      <x:c r="C1875" s="19" t="n">
        <x:v>5</x:v>
      </x:c>
      <x:c r="D1875" s="19" t="str">
        <x:v>C04-M053</x:v>
      </x:c>
      <x:c r="E1875" s="19" t="str">
        <x:v>渊口盔虾</x:v>
      </x:c>
      <x:c r="F1875" s="19" t="str">
        <x:v>普通</x:v>
      </x:c>
      <x:c r="G1875" s="19" t="str">
        <x:v>材料独立候选</x:v>
      </x:c>
      <x:c r="H1875" s="19" t="str">
        <x:v>野兽骨片</x:v>
      </x:c>
      <x:c r="I1875" s="22" t="n">
        <x:v>100</x:v>
      </x:c>
      <x:c r="J1875" s="22" t="n">
        <x:v>2</x:v>
      </x:c>
      <x:c r="K1875" s="19" t="n">
        <x:v>1</x:v>
      </x:c>
      <x:c r="L1875" s="24" t="n">
        <x:v>21.849999999999998</x:v>
      </x:c>
      <x:c r="M1875" s="26" t="n">
        <x:v>0.1</x:v>
      </x:c>
      <x:c r="N1875" s="24" t="n">
        <x:v>72</x:v>
      </x:c>
      <x:c r="O1875" s="28" t="n">
        <x:f>MIN(1,L1875/I1875)</x:f>
        <x:v>0.21849999999999997</x:v>
      </x:c>
      <x:c r="P1875" s="30" t="n">
        <x:f>O1875*J1875*(1+M1875)</x:f>
        <x:v>0.48069999999999996</x:v>
      </x:c>
      <x:c r="Q1875" s="30" t="n">
        <x:f>P1875*N1875</x:f>
        <x:v>34.6104</x:v>
      </x:c>
      <x:c r="R1875" s="19" t="str">
        <x:v>独立判定</x:v>
      </x:c>
    </x:row>
    <x:row r="1876" ht="19" customHeight="1">
      <x:c r="A1876" s="19" t="str">
        <x:v>D01872</x:v>
      </x:c>
      <x:c r="B1876" s="19" t="n">
        <x:v>4</x:v>
      </x:c>
      <x:c r="C1876" s="19" t="n">
        <x:v>5</x:v>
      </x:c>
      <x:c r="D1876" s="19" t="str">
        <x:v>C04-M053</x:v>
      </x:c>
      <x:c r="E1876" s="19" t="str">
        <x:v>渊口盔虾</x:v>
      </x:c>
      <x:c r="F1876" s="19" t="str">
        <x:v>普通</x:v>
      </x:c>
      <x:c r="G1876" s="19" t="str">
        <x:v>材料独立候选</x:v>
      </x:c>
      <x:c r="H1876" s="19" t="str">
        <x:v>技能残页</x:v>
      </x:c>
      <x:c r="I1876" s="22" t="n">
        <x:v>500</x:v>
      </x:c>
      <x:c r="J1876" s="22" t="n">
        <x:v>1</x:v>
      </x:c>
      <x:c r="K1876" s="19" t="n">
        <x:v>1</x:v>
      </x:c>
      <x:c r="L1876" s="24" t="n">
        <x:v>21.849999999999998</x:v>
      </x:c>
      <x:c r="M1876" s="26" t="n">
        <x:v>0.1</x:v>
      </x:c>
      <x:c r="N1876" s="24" t="n">
        <x:v>72</x:v>
      </x:c>
      <x:c r="O1876" s="28" t="n">
        <x:f>MIN(1,L1876/I1876)</x:f>
        <x:v>0.043699999999999996</x:v>
      </x:c>
      <x:c r="P1876" s="30" t="n">
        <x:f>O1876*J1876*(1+M1876)</x:f>
        <x:v>0.04807</x:v>
      </x:c>
      <x:c r="Q1876" s="30" t="n">
        <x:f>P1876*N1876</x:f>
        <x:v>3.46104</x:v>
      </x:c>
      <x:c r="R1876" s="19" t="str">
        <x:v>独立判定</x:v>
      </x:c>
    </x:row>
    <x:row r="1877" ht="19" customHeight="1">
      <x:c r="A1877" s="19" t="str">
        <x:v>D01873</x:v>
      </x:c>
      <x:c r="B1877" s="19" t="n">
        <x:v>4</x:v>
      </x:c>
      <x:c r="C1877" s="19" t="n">
        <x:v>5</x:v>
      </x:c>
      <x:c r="D1877" s="19" t="str">
        <x:v>C04-M053</x:v>
      </x:c>
      <x:c r="E1877" s="19" t="str">
        <x:v>渊口盔虾</x:v>
      </x:c>
      <x:c r="F1877" s="19" t="str">
        <x:v>普通</x:v>
      </x:c>
      <x:c r="G1877" s="19" t="str">
        <x:v>材料独立候选</x:v>
      </x:c>
      <x:c r="H1877" s="19" t="str">
        <x:v>小卢恩</x:v>
      </x:c>
      <x:c r="I1877" s="22" t="n">
        <x:v>1000</x:v>
      </x:c>
      <x:c r="J1877" s="22" t="n">
        <x:v>1</x:v>
      </x:c>
      <x:c r="K1877" s="19" t="n">
        <x:v>1</x:v>
      </x:c>
      <x:c r="L1877" s="24" t="n">
        <x:v>21.849999999999998</x:v>
      </x:c>
      <x:c r="M1877" s="26" t="n">
        <x:v>0.1</x:v>
      </x:c>
      <x:c r="N1877" s="24" t="n">
        <x:v>72</x:v>
      </x:c>
      <x:c r="O1877" s="28" t="n">
        <x:f>MIN(1,L1877/I1877)</x:f>
        <x:v>0.021849999999999998</x:v>
      </x:c>
      <x:c r="P1877" s="30" t="n">
        <x:f>O1877*J1877*(1+M1877)</x:f>
        <x:v>0.024035</x:v>
      </x:c>
      <x:c r="Q1877" s="30" t="n">
        <x:f>P1877*N1877</x:f>
        <x:v>1.73052</x:v>
      </x:c>
      <x:c r="R1877" s="19" t="str">
        <x:v>独立判定</x:v>
      </x:c>
    </x:row>
    <x:row r="1878" ht="19" customHeight="1">
      <x:c r="A1878" s="19" t="str">
        <x:v>D01874</x:v>
      </x:c>
      <x:c r="B1878" s="19" t="n">
        <x:v>4</x:v>
      </x:c>
      <x:c r="C1878" s="19" t="n">
        <x:v>5</x:v>
      </x:c>
      <x:c r="D1878" s="19" t="str">
        <x:v>C04-M053</x:v>
      </x:c>
      <x:c r="E1878" s="19" t="str">
        <x:v>渊口盔虾</x:v>
      </x:c>
      <x:c r="F1878" s="19" t="str">
        <x:v>普通</x:v>
      </x:c>
      <x:c r="G1878" s="19" t="str">
        <x:v>六神器公共池</x:v>
      </x:c>
      <x:c r="H1878" s="19" t="str">
        <x:v>POOL006</x:v>
      </x:c>
      <x:c r="I1878" s="22" t="n">
        <x:v>20000000</x:v>
      </x:c>
      <x:c r="J1878" s="22" t="n">
        <x:v>1</x:v>
      </x:c>
      <x:c r="K1878" s="19" t="n">
        <x:v>6</x:v>
      </x:c>
      <x:c r="L1878" s="24" t="n">
        <x:v>21.849999999999998</x:v>
      </x:c>
      <x:c r="M1878" s="26" t="n">
        <x:v>0.1</x:v>
      </x:c>
      <x:c r="N1878" s="24" t="n">
        <x:v>72</x:v>
      </x:c>
      <x:c r="O1878" s="28" t="n">
        <x:f>MIN(1,L1878/I1878)</x:f>
        <x:v>0.0000010925</x:v>
      </x:c>
      <x:c r="P1878" s="30" t="n">
        <x:f>O1878*J1878*(1+M1878)</x:f>
        <x:v>0.00000120175</x:v>
      </x:c>
      <x:c r="Q1878" s="30" t="n">
        <x:f>P1878*N1878</x:f>
        <x:v>0.00008652599999999999</x:v>
      </x:c>
      <x:c r="R1878" s="19" t="str">
        <x:v>六选一；非6个独立爆率</x:v>
      </x:c>
    </x:row>
    <x:row r="1879" ht="19" customHeight="1">
      <x:c r="A1879" s="19" t="str">
        <x:v>D01875</x:v>
      </x:c>
      <x:c r="B1879" s="19" t="n">
        <x:v>4</x:v>
      </x:c>
      <x:c r="C1879" s="19" t="n">
        <x:v>5</x:v>
      </x:c>
      <x:c r="D1879" s="19" t="str">
        <x:v>C04-M054</x:v>
      </x:c>
      <x:c r="E1879" s="19" t="str">
        <x:v>伏流石鳗</x:v>
      </x:c>
      <x:c r="F1879" s="19" t="str">
        <x:v>普通</x:v>
      </x:c>
      <x:c r="G1879" s="19" t="str">
        <x:v>自身专属</x:v>
      </x:c>
      <x:c r="H1879" s="19" t="str">
        <x:v>伏流鳞靴</x:v>
      </x:c>
      <x:c r="I1879" s="22" t="n">
        <x:v>1500</x:v>
      </x:c>
      <x:c r="J1879" s="22" t="n">
        <x:v>1</x:v>
      </x:c>
      <x:c r="K1879" s="19" t="n">
        <x:v>1</x:v>
      </x:c>
      <x:c r="L1879" s="24" t="n">
        <x:v>21.849999999999998</x:v>
      </x:c>
      <x:c r="M1879" s="26" t="n">
        <x:v>0.1</x:v>
      </x:c>
      <x:c r="N1879" s="24" t="n">
        <x:v>72</x:v>
      </x:c>
      <x:c r="O1879" s="28" t="n">
        <x:f>MIN(1,L1879/I1879)</x:f>
        <x:v>0.014566666666666665</x:v>
      </x:c>
      <x:c r="P1879" s="30" t="n">
        <x:f>O1879*J1879*(1+M1879)</x:f>
        <x:v>0.016023333333333334</x:v>
      </x:c>
      <x:c r="Q1879" s="30" t="n">
        <x:f>P1879*N1879</x:f>
        <x:v>1.15368</x:v>
      </x:c>
      <x:c r="R1879" s="19" t="str">
        <x:v>独立判定</x:v>
      </x:c>
    </x:row>
    <x:row r="1880" ht="19" customHeight="1">
      <x:c r="A1880" s="19" t="str">
        <x:v>D01876</x:v>
      </x:c>
      <x:c r="B1880" s="19" t="n">
        <x:v>4</x:v>
      </x:c>
      <x:c r="C1880" s="19" t="n">
        <x:v>5</x:v>
      </x:c>
      <x:c r="D1880" s="19" t="str">
        <x:v>C04-M054</x:v>
      </x:c>
      <x:c r="E1880" s="19" t="str">
        <x:v>伏流石鳗</x:v>
      </x:c>
      <x:c r="F1880" s="19" t="str">
        <x:v>普通</x:v>
      </x:c>
      <x:c r="G1880" s="19" t="str">
        <x:v>材料独立候选</x:v>
      </x:c>
      <x:c r="H1880" s="19" t="str">
        <x:v>湖盐结晶</x:v>
      </x:c>
      <x:c r="I1880" s="22" t="n">
        <x:v>600</x:v>
      </x:c>
      <x:c r="J1880" s="22" t="n">
        <x:v>8</x:v>
      </x:c>
      <x:c r="K1880" s="19" t="n">
        <x:v>1</x:v>
      </x:c>
      <x:c r="L1880" s="24" t="n">
        <x:v>21.849999999999998</x:v>
      </x:c>
      <x:c r="M1880" s="26" t="n">
        <x:v>0.1</x:v>
      </x:c>
      <x:c r="N1880" s="24" t="n">
        <x:v>72</x:v>
      </x:c>
      <x:c r="O1880" s="28" t="n">
        <x:f>MIN(1,L1880/I1880)</x:f>
        <x:v>0.03641666666666666</x:v>
      </x:c>
      <x:c r="P1880" s="30" t="n">
        <x:f>O1880*J1880*(1+M1880)</x:f>
        <x:v>0.3204666666666666</x:v>
      </x:c>
      <x:c r="Q1880" s="30" t="n">
        <x:f>P1880*N1880</x:f>
        <x:v>23.073599999999995</x:v>
      </x:c>
      <x:c r="R1880" s="19" t="str">
        <x:v>独立判定</x:v>
      </x:c>
    </x:row>
    <x:row r="1881" ht="19" customHeight="1">
      <x:c r="A1881" s="19" t="str">
        <x:v>D01877</x:v>
      </x:c>
      <x:c r="B1881" s="19" t="n">
        <x:v>4</x:v>
      </x:c>
      <x:c r="C1881" s="19" t="n">
        <x:v>5</x:v>
      </x:c>
      <x:c r="D1881" s="19" t="str">
        <x:v>C04-M054</x:v>
      </x:c>
      <x:c r="E1881" s="19" t="str">
        <x:v>伏流石鳗</x:v>
      </x:c>
      <x:c r="F1881" s="19" t="str">
        <x:v>普通</x:v>
      </x:c>
      <x:c r="G1881" s="19" t="str">
        <x:v>材料独立候选</x:v>
      </x:c>
      <x:c r="H1881" s="19" t="str">
        <x:v>雾潮银鳞</x:v>
      </x:c>
      <x:c r="I1881" s="22" t="n">
        <x:v>800</x:v>
      </x:c>
      <x:c r="J1881" s="22" t="n">
        <x:v>1</x:v>
      </x:c>
      <x:c r="K1881" s="19" t="n">
        <x:v>1</x:v>
      </x:c>
      <x:c r="L1881" s="24" t="n">
        <x:v>21.849999999999998</x:v>
      </x:c>
      <x:c r="M1881" s="26" t="n">
        <x:v>0.1</x:v>
      </x:c>
      <x:c r="N1881" s="24" t="n">
        <x:v>72</x:v>
      </x:c>
      <x:c r="O1881" s="28" t="n">
        <x:f>MIN(1,L1881/I1881)</x:f>
        <x:v>0.027312499999999997</x:v>
      </x:c>
      <x:c r="P1881" s="30" t="n">
        <x:f>O1881*J1881*(1+M1881)</x:f>
        <x:v>0.030043749999999998</x:v>
      </x:c>
      <x:c r="Q1881" s="30" t="n">
        <x:f>P1881*N1881</x:f>
        <x:v>2.16315</x:v>
      </x:c>
      <x:c r="R1881" s="19" t="str">
        <x:v>独立判定</x:v>
      </x:c>
    </x:row>
    <x:row r="1882" ht="19" customHeight="1">
      <x:c r="A1882" s="19" t="str">
        <x:v>D01878</x:v>
      </x:c>
      <x:c r="B1882" s="19" t="n">
        <x:v>4</x:v>
      </x:c>
      <x:c r="C1882" s="19" t="n">
        <x:v>5</x:v>
      </x:c>
      <x:c r="D1882" s="19" t="str">
        <x:v>C04-M054</x:v>
      </x:c>
      <x:c r="E1882" s="19" t="str">
        <x:v>伏流石鳗</x:v>
      </x:c>
      <x:c r="F1882" s="19" t="str">
        <x:v>普通</x:v>
      </x:c>
      <x:c r="G1882" s="19" t="str">
        <x:v>材料独立候选</x:v>
      </x:c>
      <x:c r="H1882" s="19" t="str">
        <x:v>月潮忆珀</x:v>
      </x:c>
      <x:c r="I1882" s="22" t="n">
        <x:v>1000000</x:v>
      </x:c>
      <x:c r="J1882" s="22" t="n">
        <x:v>1</x:v>
      </x:c>
      <x:c r="K1882" s="19" t="n">
        <x:v>1</x:v>
      </x:c>
      <x:c r="L1882" s="24" t="n">
        <x:v>21.849999999999998</x:v>
      </x:c>
      <x:c r="M1882" s="26" t="n">
        <x:v>0.1</x:v>
      </x:c>
      <x:c r="N1882" s="24" t="n">
        <x:v>72</x:v>
      </x:c>
      <x:c r="O1882" s="28" t="n">
        <x:f>MIN(1,L1882/I1882)</x:f>
        <x:v>0.00002185</x:v>
      </x:c>
      <x:c r="P1882" s="30" t="n">
        <x:f>O1882*J1882*(1+M1882)</x:f>
        <x:v>0.000024035</x:v>
      </x:c>
      <x:c r="Q1882" s="30" t="n">
        <x:f>P1882*N1882</x:f>
        <x:v>0.00173052</x:v>
      </x:c>
      <x:c r="R1882" s="19" t="str">
        <x:v>独立判定</x:v>
      </x:c>
    </x:row>
    <x:row r="1883" ht="19" customHeight="1">
      <x:c r="A1883" s="19" t="str">
        <x:v>D01879</x:v>
      </x:c>
      <x:c r="B1883" s="19" t="n">
        <x:v>4</x:v>
      </x:c>
      <x:c r="C1883" s="19" t="n">
        <x:v>5</x:v>
      </x:c>
      <x:c r="D1883" s="19" t="str">
        <x:v>C04-M054</x:v>
      </x:c>
      <x:c r="E1883" s="19" t="str">
        <x:v>伏流石鳗</x:v>
      </x:c>
      <x:c r="F1883" s="19" t="str">
        <x:v>普通</x:v>
      </x:c>
      <x:c r="G1883" s="19" t="str">
        <x:v>材料独立候选</x:v>
      </x:c>
      <x:c r="H1883" s="19" t="str">
        <x:v>野兽骨片</x:v>
      </x:c>
      <x:c r="I1883" s="22" t="n">
        <x:v>100</x:v>
      </x:c>
      <x:c r="J1883" s="22" t="n">
        <x:v>2</x:v>
      </x:c>
      <x:c r="K1883" s="19" t="n">
        <x:v>1</x:v>
      </x:c>
      <x:c r="L1883" s="24" t="n">
        <x:v>21.849999999999998</x:v>
      </x:c>
      <x:c r="M1883" s="26" t="n">
        <x:v>0.1</x:v>
      </x:c>
      <x:c r="N1883" s="24" t="n">
        <x:v>72</x:v>
      </x:c>
      <x:c r="O1883" s="28" t="n">
        <x:f>MIN(1,L1883/I1883)</x:f>
        <x:v>0.21849999999999997</x:v>
      </x:c>
      <x:c r="P1883" s="30" t="n">
        <x:f>O1883*J1883*(1+M1883)</x:f>
        <x:v>0.48069999999999996</x:v>
      </x:c>
      <x:c r="Q1883" s="30" t="n">
        <x:f>P1883*N1883</x:f>
        <x:v>34.6104</x:v>
      </x:c>
      <x:c r="R1883" s="19" t="str">
        <x:v>独立判定</x:v>
      </x:c>
    </x:row>
    <x:row r="1884" ht="19" customHeight="1">
      <x:c r="A1884" s="19" t="str">
        <x:v>D01880</x:v>
      </x:c>
      <x:c r="B1884" s="19" t="n">
        <x:v>4</x:v>
      </x:c>
      <x:c r="C1884" s="19" t="n">
        <x:v>5</x:v>
      </x:c>
      <x:c r="D1884" s="19" t="str">
        <x:v>C04-M054</x:v>
      </x:c>
      <x:c r="E1884" s="19" t="str">
        <x:v>伏流石鳗</x:v>
      </x:c>
      <x:c r="F1884" s="19" t="str">
        <x:v>普通</x:v>
      </x:c>
      <x:c r="G1884" s="19" t="str">
        <x:v>材料独立候选</x:v>
      </x:c>
      <x:c r="H1884" s="19" t="str">
        <x:v>技能残页</x:v>
      </x:c>
      <x:c r="I1884" s="22" t="n">
        <x:v>500</x:v>
      </x:c>
      <x:c r="J1884" s="22" t="n">
        <x:v>1</x:v>
      </x:c>
      <x:c r="K1884" s="19" t="n">
        <x:v>1</x:v>
      </x:c>
      <x:c r="L1884" s="24" t="n">
        <x:v>21.849999999999998</x:v>
      </x:c>
      <x:c r="M1884" s="26" t="n">
        <x:v>0.1</x:v>
      </x:c>
      <x:c r="N1884" s="24" t="n">
        <x:v>72</x:v>
      </x:c>
      <x:c r="O1884" s="28" t="n">
        <x:f>MIN(1,L1884/I1884)</x:f>
        <x:v>0.043699999999999996</x:v>
      </x:c>
      <x:c r="P1884" s="30" t="n">
        <x:f>O1884*J1884*(1+M1884)</x:f>
        <x:v>0.04807</x:v>
      </x:c>
      <x:c r="Q1884" s="30" t="n">
        <x:f>P1884*N1884</x:f>
        <x:v>3.46104</x:v>
      </x:c>
      <x:c r="R1884" s="19" t="str">
        <x:v>独立判定</x:v>
      </x:c>
    </x:row>
    <x:row r="1885" ht="19" customHeight="1">
      <x:c r="A1885" s="19" t="str">
        <x:v>D01881</x:v>
      </x:c>
      <x:c r="B1885" s="19" t="n">
        <x:v>4</x:v>
      </x:c>
      <x:c r="C1885" s="19" t="n">
        <x:v>5</x:v>
      </x:c>
      <x:c r="D1885" s="19" t="str">
        <x:v>C04-M054</x:v>
      </x:c>
      <x:c r="E1885" s="19" t="str">
        <x:v>伏流石鳗</x:v>
      </x:c>
      <x:c r="F1885" s="19" t="str">
        <x:v>普通</x:v>
      </x:c>
      <x:c r="G1885" s="19" t="str">
        <x:v>材料独立候选</x:v>
      </x:c>
      <x:c r="H1885" s="19" t="str">
        <x:v>小卢恩</x:v>
      </x:c>
      <x:c r="I1885" s="22" t="n">
        <x:v>1000</x:v>
      </x:c>
      <x:c r="J1885" s="22" t="n">
        <x:v>1</x:v>
      </x:c>
      <x:c r="K1885" s="19" t="n">
        <x:v>1</x:v>
      </x:c>
      <x:c r="L1885" s="24" t="n">
        <x:v>21.849999999999998</x:v>
      </x:c>
      <x:c r="M1885" s="26" t="n">
        <x:v>0.1</x:v>
      </x:c>
      <x:c r="N1885" s="24" t="n">
        <x:v>72</x:v>
      </x:c>
      <x:c r="O1885" s="28" t="n">
        <x:f>MIN(1,L1885/I1885)</x:f>
        <x:v>0.021849999999999998</x:v>
      </x:c>
      <x:c r="P1885" s="30" t="n">
        <x:f>O1885*J1885*(1+M1885)</x:f>
        <x:v>0.024035</x:v>
      </x:c>
      <x:c r="Q1885" s="30" t="n">
        <x:f>P1885*N1885</x:f>
        <x:v>1.73052</x:v>
      </x:c>
      <x:c r="R1885" s="19" t="str">
        <x:v>独立判定</x:v>
      </x:c>
    </x:row>
    <x:row r="1886" ht="19" customHeight="1">
      <x:c r="A1886" s="19" t="str">
        <x:v>D01882</x:v>
      </x:c>
      <x:c r="B1886" s="19" t="n">
        <x:v>4</x:v>
      </x:c>
      <x:c r="C1886" s="19" t="n">
        <x:v>5</x:v>
      </x:c>
      <x:c r="D1886" s="19" t="str">
        <x:v>C04-M054</x:v>
      </x:c>
      <x:c r="E1886" s="19" t="str">
        <x:v>伏流石鳗</x:v>
      </x:c>
      <x:c r="F1886" s="19" t="str">
        <x:v>普通</x:v>
      </x:c>
      <x:c r="G1886" s="19" t="str">
        <x:v>六神器公共池</x:v>
      </x:c>
      <x:c r="H1886" s="19" t="str">
        <x:v>POOL006</x:v>
      </x:c>
      <x:c r="I1886" s="22" t="n">
        <x:v>20000000</x:v>
      </x:c>
      <x:c r="J1886" s="22" t="n">
        <x:v>1</x:v>
      </x:c>
      <x:c r="K1886" s="19" t="n">
        <x:v>6</x:v>
      </x:c>
      <x:c r="L1886" s="24" t="n">
        <x:v>21.849999999999998</x:v>
      </x:c>
      <x:c r="M1886" s="26" t="n">
        <x:v>0.1</x:v>
      </x:c>
      <x:c r="N1886" s="24" t="n">
        <x:v>72</x:v>
      </x:c>
      <x:c r="O1886" s="28" t="n">
        <x:f>MIN(1,L1886/I1886)</x:f>
        <x:v>0.0000010925</x:v>
      </x:c>
      <x:c r="P1886" s="30" t="n">
        <x:f>O1886*J1886*(1+M1886)</x:f>
        <x:v>0.00000120175</x:v>
      </x:c>
      <x:c r="Q1886" s="30" t="n">
        <x:f>P1886*N1886</x:f>
        <x:v>0.00008652599999999999</x:v>
      </x:c>
      <x:c r="R1886" s="19" t="str">
        <x:v>六选一；非6个独立爆率</x:v>
      </x:c>
    </x:row>
    <x:row r="1887" ht="19" customHeight="1">
      <x:c r="A1887" s="19" t="str">
        <x:v>D01883</x:v>
      </x:c>
      <x:c r="B1887" s="19" t="n">
        <x:v>4</x:v>
      </x:c>
      <x:c r="C1887" s="19" t="n">
        <x:v>5</x:v>
      </x:c>
      <x:c r="D1887" s="19" t="str">
        <x:v>C04-M055</x:v>
      </x:c>
      <x:c r="E1887" s="19" t="str">
        <x:v>断闸铁卫</x:v>
      </x:c>
      <x:c r="F1887" s="19" t="str">
        <x:v>稀有</x:v>
      </x:c>
      <x:c r="G1887" s="19" t="str">
        <x:v>自身专属</x:v>
      </x:c>
      <x:c r="H1887" s="19" t="str">
        <x:v>断闸铁衣</x:v>
      </x:c>
      <x:c r="I1887" s="22" t="n">
        <x:v>400</x:v>
      </x:c>
      <x:c r="J1887" s="22" t="n">
        <x:v>1</x:v>
      </x:c>
      <x:c r="K1887" s="19" t="n">
        <x:v>1</x:v>
      </x:c>
      <x:c r="L1887" s="24" t="n">
        <x:v>21.849999999999998</x:v>
      </x:c>
      <x:c r="M1887" s="26" t="n">
        <x:v>0.1</x:v>
      </x:c>
      <x:c r="N1887" s="24" t="n">
        <x:v>11.934361729064266</x:v>
      </x:c>
      <x:c r="O1887" s="28" t="n">
        <x:f>MIN(1,L1887/I1887)</x:f>
        <x:v>0.05462499999999999</x:v>
      </x:c>
      <x:c r="P1887" s="30" t="n">
        <x:f>O1887*J1887*(1+M1887)</x:f>
        <x:v>0.060087499999999995</x:v>
      </x:c>
      <x:c r="Q1887" s="30" t="n">
        <x:f>P1887*N1887</x:f>
        <x:v>0.7171059603951491</x:v>
      </x:c>
      <x:c r="R1887" s="19" t="str">
        <x:v>独立判定</x:v>
      </x:c>
    </x:row>
    <x:row r="1888" ht="19" customHeight="1">
      <x:c r="A1888" s="19" t="str">
        <x:v>D01884</x:v>
      </x:c>
      <x:c r="B1888" s="19" t="n">
        <x:v>4</x:v>
      </x:c>
      <x:c r="C1888" s="19" t="n">
        <x:v>5</x:v>
      </x:c>
      <x:c r="D1888" s="19" t="str">
        <x:v>C04-M055</x:v>
      </x:c>
      <x:c r="E1888" s="19" t="str">
        <x:v>断闸铁卫</x:v>
      </x:c>
      <x:c r="F1888" s="19" t="str">
        <x:v>稀有</x:v>
      </x:c>
      <x:c r="G1888" s="19" t="str">
        <x:v>材料独立候选</x:v>
      </x:c>
      <x:c r="H1888" s="19" t="str">
        <x:v>湖盐结晶</x:v>
      </x:c>
      <x:c r="I1888" s="22" t="n">
        <x:v>400</x:v>
      </x:c>
      <x:c r="J1888" s="22" t="n">
        <x:v>15</x:v>
      </x:c>
      <x:c r="K1888" s="19" t="n">
        <x:v>1</x:v>
      </x:c>
      <x:c r="L1888" s="24" t="n">
        <x:v>21.849999999999998</x:v>
      </x:c>
      <x:c r="M1888" s="26" t="n">
        <x:v>0.1</x:v>
      </x:c>
      <x:c r="N1888" s="24" t="n">
        <x:v>11.934361729064266</x:v>
      </x:c>
      <x:c r="O1888" s="28" t="n">
        <x:f>MIN(1,L1888/I1888)</x:f>
        <x:v>0.05462499999999999</x:v>
      </x:c>
      <x:c r="P1888" s="30" t="n">
        <x:f>O1888*J1888*(1+M1888)</x:f>
        <x:v>0.9013125</x:v>
      </x:c>
      <x:c r="Q1888" s="30" t="n">
        <x:f>P1888*N1888</x:f>
        <x:v>10.756589405927235</x:v>
      </x:c>
      <x:c r="R1888" s="19" t="str">
        <x:v>独立判定</x:v>
      </x:c>
    </x:row>
    <x:row r="1889" ht="19" customHeight="1">
      <x:c r="A1889" s="19" t="str">
        <x:v>D01885</x:v>
      </x:c>
      <x:c r="B1889" s="19" t="n">
        <x:v>4</x:v>
      </x:c>
      <x:c r="C1889" s="19" t="n">
        <x:v>5</x:v>
      </x:c>
      <x:c r="D1889" s="19" t="str">
        <x:v>C04-M055</x:v>
      </x:c>
      <x:c r="E1889" s="19" t="str">
        <x:v>断闸铁卫</x:v>
      </x:c>
      <x:c r="F1889" s="19" t="str">
        <x:v>稀有</x:v>
      </x:c>
      <x:c r="G1889" s="19" t="str">
        <x:v>材料独立候选</x:v>
      </x:c>
      <x:c r="H1889" s="19" t="str">
        <x:v>幽船铆钉</x:v>
      </x:c>
      <x:c r="I1889" s="22" t="n">
        <x:v>1200</x:v>
      </x:c>
      <x:c r="J1889" s="22" t="n">
        <x:v>1</x:v>
      </x:c>
      <x:c r="K1889" s="19" t="n">
        <x:v>1</x:v>
      </x:c>
      <x:c r="L1889" s="24" t="n">
        <x:v>21.849999999999998</x:v>
      </x:c>
      <x:c r="M1889" s="26" t="n">
        <x:v>0.1</x:v>
      </x:c>
      <x:c r="N1889" s="24" t="n">
        <x:v>11.934361729064266</x:v>
      </x:c>
      <x:c r="O1889" s="28" t="n">
        <x:f>MIN(1,L1889/I1889)</x:f>
        <x:v>0.01820833333333333</x:v>
      </x:c>
      <x:c r="P1889" s="30" t="n">
        <x:f>O1889*J1889*(1+M1889)</x:f>
        <x:v>0.020029166666666664</x:v>
      </x:c>
      <x:c r="Q1889" s="30" t="n">
        <x:f>P1889*N1889</x:f>
        <x:v>0.23903532013171633</x:v>
      </x:c>
      <x:c r="R1889" s="19" t="str">
        <x:v>独立判定</x:v>
      </x:c>
    </x:row>
    <x:row r="1890" ht="19" customHeight="1">
      <x:c r="A1890" s="19" t="str">
        <x:v>D01886</x:v>
      </x:c>
      <x:c r="B1890" s="19" t="n">
        <x:v>4</x:v>
      </x:c>
      <x:c r="C1890" s="19" t="n">
        <x:v>5</x:v>
      </x:c>
      <x:c r="D1890" s="19" t="str">
        <x:v>C04-M055</x:v>
      </x:c>
      <x:c r="E1890" s="19" t="str">
        <x:v>断闸铁卫</x:v>
      </x:c>
      <x:c r="F1890" s="19" t="str">
        <x:v>稀有</x:v>
      </x:c>
      <x:c r="G1890" s="19" t="str">
        <x:v>材料独立候选</x:v>
      </x:c>
      <x:c r="H1890" s="19" t="str">
        <x:v>沉船缆扣</x:v>
      </x:c>
      <x:c r="I1890" s="22" t="n">
        <x:v>500</x:v>
      </x:c>
      <x:c r="J1890" s="22" t="n">
        <x:v>1</x:v>
      </x:c>
      <x:c r="K1890" s="19" t="n">
        <x:v>1</x:v>
      </x:c>
      <x:c r="L1890" s="24" t="n">
        <x:v>21.849999999999998</x:v>
      </x:c>
      <x:c r="M1890" s="26" t="n">
        <x:v>0.1</x:v>
      </x:c>
      <x:c r="N1890" s="24" t="n">
        <x:v>11.934361729064266</x:v>
      </x:c>
      <x:c r="O1890" s="28" t="n">
        <x:f>MIN(1,L1890/I1890)</x:f>
        <x:v>0.043699999999999996</x:v>
      </x:c>
      <x:c r="P1890" s="30" t="n">
        <x:f>O1890*J1890*(1+M1890)</x:f>
        <x:v>0.04807</x:v>
      </x:c>
      <x:c r="Q1890" s="30" t="n">
        <x:f>P1890*N1890</x:f>
        <x:v>0.5736847683161193</x:v>
      </x:c>
      <x:c r="R1890" s="19" t="str">
        <x:v>独立判定</x:v>
      </x:c>
    </x:row>
    <x:row r="1891" ht="19" customHeight="1">
      <x:c r="A1891" s="19" t="str">
        <x:v>D01887</x:v>
      </x:c>
      <x:c r="B1891" s="19" t="n">
        <x:v>4</x:v>
      </x:c>
      <x:c r="C1891" s="19" t="n">
        <x:v>5</x:v>
      </x:c>
      <x:c r="D1891" s="19" t="str">
        <x:v>C04-M055</x:v>
      </x:c>
      <x:c r="E1891" s="19" t="str">
        <x:v>断闸铁卫</x:v>
      </x:c>
      <x:c r="F1891" s="19" t="str">
        <x:v>稀有</x:v>
      </x:c>
      <x:c r="G1891" s="19" t="str">
        <x:v>材料独立候选</x:v>
      </x:c>
      <x:c r="H1891" s="19" t="str">
        <x:v>月潮忆珀</x:v>
      </x:c>
      <x:c r="I1891" s="22" t="n">
        <x:v>600000</x:v>
      </x:c>
      <x:c r="J1891" s="22" t="n">
        <x:v>1</x:v>
      </x:c>
      <x:c r="K1891" s="19" t="n">
        <x:v>1</x:v>
      </x:c>
      <x:c r="L1891" s="24" t="n">
        <x:v>21.849999999999998</x:v>
      </x:c>
      <x:c r="M1891" s="26" t="n">
        <x:v>0.1</x:v>
      </x:c>
      <x:c r="N1891" s="24" t="n">
        <x:v>11.934361729064266</x:v>
      </x:c>
      <x:c r="O1891" s="28" t="n">
        <x:f>MIN(1,L1891/I1891)</x:f>
        <x:v>0.000036416666666666666</x:v>
      </x:c>
      <x:c r="P1891" s="30" t="n">
        <x:f>O1891*J1891*(1+M1891)</x:f>
        <x:v>0.000040058333333333336</x:v>
      </x:c>
      <x:c r="Q1891" s="30" t="n">
        <x:f>P1891*N1891</x:f>
        <x:v>0.00047807064026343275</x:v>
      </x:c>
      <x:c r="R1891" s="19" t="str">
        <x:v>独立判定</x:v>
      </x:c>
    </x:row>
    <x:row r="1892" ht="19" customHeight="1">
      <x:c r="A1892" s="19" t="str">
        <x:v>D01888</x:v>
      </x:c>
      <x:c r="B1892" s="19" t="n">
        <x:v>4</x:v>
      </x:c>
      <x:c r="C1892" s="19" t="n">
        <x:v>5</x:v>
      </x:c>
      <x:c r="D1892" s="19" t="str">
        <x:v>C04-M055</x:v>
      </x:c>
      <x:c r="E1892" s="19" t="str">
        <x:v>断闸铁卫</x:v>
      </x:c>
      <x:c r="F1892" s="19" t="str">
        <x:v>稀有</x:v>
      </x:c>
      <x:c r="G1892" s="19" t="str">
        <x:v>材料独立候选</x:v>
      </x:c>
      <x:c r="H1892" s="19" t="str">
        <x:v>黄金树芽</x:v>
      </x:c>
      <x:c r="I1892" s="22" t="n">
        <x:v>2000</x:v>
      </x:c>
      <x:c r="J1892" s="22" t="n">
        <x:v>1</x:v>
      </x:c>
      <x:c r="K1892" s="19" t="n">
        <x:v>1</x:v>
      </x:c>
      <x:c r="L1892" s="24" t="n">
        <x:v>21.849999999999998</x:v>
      </x:c>
      <x:c r="M1892" s="26" t="n">
        <x:v>0.1</x:v>
      </x:c>
      <x:c r="N1892" s="24" t="n">
        <x:v>11.934361729064266</x:v>
      </x:c>
      <x:c r="O1892" s="28" t="n">
        <x:f>MIN(1,L1892/I1892)</x:f>
        <x:v>0.010924999999999999</x:v>
      </x:c>
      <x:c r="P1892" s="30" t="n">
        <x:f>O1892*J1892*(1+M1892)</x:f>
        <x:v>0.0120175</x:v>
      </x:c>
      <x:c r="Q1892" s="30" t="n">
        <x:f>P1892*N1892</x:f>
        <x:v>0.1434211920790298</x:v>
      </x:c>
      <x:c r="R1892" s="19" t="str">
        <x:v>独立判定</x:v>
      </x:c>
    </x:row>
    <x:row r="1893" ht="19" customHeight="1">
      <x:c r="A1893" s="19" t="str">
        <x:v>D01889</x:v>
      </x:c>
      <x:c r="B1893" s="19" t="n">
        <x:v>4</x:v>
      </x:c>
      <x:c r="C1893" s="19" t="n">
        <x:v>5</x:v>
      </x:c>
      <x:c r="D1893" s="19" t="str">
        <x:v>C04-M055</x:v>
      </x:c>
      <x:c r="E1893" s="19" t="str">
        <x:v>断闸铁卫</x:v>
      </x:c>
      <x:c r="F1893" s="19" t="str">
        <x:v>稀有</x:v>
      </x:c>
      <x:c r="G1893" s="19" t="str">
        <x:v>材料独立候选</x:v>
      </x:c>
      <x:c r="H1893" s="19" t="str">
        <x:v>野兽骨片</x:v>
      </x:c>
      <x:c r="I1893" s="22" t="n">
        <x:v>60</x:v>
      </x:c>
      <x:c r="J1893" s="22" t="n">
        <x:v>2</x:v>
      </x:c>
      <x:c r="K1893" s="19" t="n">
        <x:v>1</x:v>
      </x:c>
      <x:c r="L1893" s="24" t="n">
        <x:v>21.849999999999998</x:v>
      </x:c>
      <x:c r="M1893" s="26" t="n">
        <x:v>0.1</x:v>
      </x:c>
      <x:c r="N1893" s="24" t="n">
        <x:v>11.934361729064266</x:v>
      </x:c>
      <x:c r="O1893" s="28" t="n">
        <x:f>MIN(1,L1893/I1893)</x:f>
        <x:v>0.36416666666666664</x:v>
      </x:c>
      <x:c r="P1893" s="30" t="n">
        <x:f>O1893*J1893*(1+M1893)</x:f>
        <x:v>0.8011666666666667</x:v>
      </x:c>
      <x:c r="Q1893" s="30" t="n">
        <x:f>P1893*N1893</x:f>
        <x:v>9.561412805268654</x:v>
      </x:c>
      <x:c r="R1893" s="19" t="str">
        <x:v>独立判定</x:v>
      </x:c>
    </x:row>
    <x:row r="1894" ht="19" customHeight="1">
      <x:c r="A1894" s="19" t="str">
        <x:v>D01890</x:v>
      </x:c>
      <x:c r="B1894" s="19" t="n">
        <x:v>4</x:v>
      </x:c>
      <x:c r="C1894" s="19" t="n">
        <x:v>5</x:v>
      </x:c>
      <x:c r="D1894" s="19" t="str">
        <x:v>C04-M055</x:v>
      </x:c>
      <x:c r="E1894" s="19" t="str">
        <x:v>断闸铁卫</x:v>
      </x:c>
      <x:c r="F1894" s="19" t="str">
        <x:v>稀有</x:v>
      </x:c>
      <x:c r="G1894" s="19" t="str">
        <x:v>材料独立候选</x:v>
      </x:c>
      <x:c r="H1894" s="19" t="str">
        <x:v>技能残页</x:v>
      </x:c>
      <x:c r="I1894" s="22" t="n">
        <x:v>300</x:v>
      </x:c>
      <x:c r="J1894" s="22" t="n">
        <x:v>1</x:v>
      </x:c>
      <x:c r="K1894" s="19" t="n">
        <x:v>1</x:v>
      </x:c>
      <x:c r="L1894" s="24" t="n">
        <x:v>21.849999999999998</x:v>
      </x:c>
      <x:c r="M1894" s="26" t="n">
        <x:v>0.1</x:v>
      </x:c>
      <x:c r="N1894" s="24" t="n">
        <x:v>11.934361729064266</x:v>
      </x:c>
      <x:c r="O1894" s="28" t="n">
        <x:f>MIN(1,L1894/I1894)</x:f>
        <x:v>0.07283333333333332</x:v>
      </x:c>
      <x:c r="P1894" s="30" t="n">
        <x:f>O1894*J1894*(1+M1894)</x:f>
        <x:v>0.08011666666666666</x:v>
      </x:c>
      <x:c r="Q1894" s="30" t="n">
        <x:f>P1894*N1894</x:f>
        <x:v>0.9561412805268653</x:v>
      </x:c>
      <x:c r="R1894" s="19" t="str">
        <x:v>独立判定</x:v>
      </x:c>
    </x:row>
    <x:row r="1895" ht="19" customHeight="1">
      <x:c r="A1895" s="19" t="str">
        <x:v>D01891</x:v>
      </x:c>
      <x:c r="B1895" s="19" t="n">
        <x:v>4</x:v>
      </x:c>
      <x:c r="C1895" s="19" t="n">
        <x:v>5</x:v>
      </x:c>
      <x:c r="D1895" s="19" t="str">
        <x:v>C04-M055</x:v>
      </x:c>
      <x:c r="E1895" s="19" t="str">
        <x:v>断闸铁卫</x:v>
      </x:c>
      <x:c r="F1895" s="19" t="str">
        <x:v>稀有</x:v>
      </x:c>
      <x:c r="G1895" s="19" t="str">
        <x:v>材料独立候选</x:v>
      </x:c>
      <x:c r="H1895" s="19" t="str">
        <x:v>小卢恩</x:v>
      </x:c>
      <x:c r="I1895" s="22" t="n">
        <x:v>600</x:v>
      </x:c>
      <x:c r="J1895" s="22" t="n">
        <x:v>1</x:v>
      </x:c>
      <x:c r="K1895" s="19" t="n">
        <x:v>1</x:v>
      </x:c>
      <x:c r="L1895" s="24" t="n">
        <x:v>21.849999999999998</x:v>
      </x:c>
      <x:c r="M1895" s="26" t="n">
        <x:v>0.1</x:v>
      </x:c>
      <x:c r="N1895" s="24" t="n">
        <x:v>11.934361729064266</x:v>
      </x:c>
      <x:c r="O1895" s="28" t="n">
        <x:f>MIN(1,L1895/I1895)</x:f>
        <x:v>0.03641666666666666</x:v>
      </x:c>
      <x:c r="P1895" s="30" t="n">
        <x:f>O1895*J1895*(1+M1895)</x:f>
        <x:v>0.04005833333333333</x:v>
      </x:c>
      <x:c r="Q1895" s="30" t="n">
        <x:f>P1895*N1895</x:f>
        <x:v>0.47807064026343266</x:v>
      </x:c>
      <x:c r="R1895" s="19" t="str">
        <x:v>独立判定</x:v>
      </x:c>
    </x:row>
    <x:row r="1896" ht="19" customHeight="1">
      <x:c r="A1896" s="19" t="str">
        <x:v>D01892</x:v>
      </x:c>
      <x:c r="B1896" s="19" t="n">
        <x:v>4</x:v>
      </x:c>
      <x:c r="C1896" s="19" t="n">
        <x:v>5</x:v>
      </x:c>
      <x:c r="D1896" s="19" t="str">
        <x:v>C04-M055</x:v>
      </x:c>
      <x:c r="E1896" s="19" t="str">
        <x:v>断闸铁卫</x:v>
      </x:c>
      <x:c r="F1896" s="19" t="str">
        <x:v>稀有</x:v>
      </x:c>
      <x:c r="G1896" s="19" t="str">
        <x:v>六神器公共池</x:v>
      </x:c>
      <x:c r="H1896" s="19" t="str">
        <x:v>POOL006</x:v>
      </x:c>
      <x:c r="I1896" s="22" t="n">
        <x:v>5000000</x:v>
      </x:c>
      <x:c r="J1896" s="22" t="n">
        <x:v>1</x:v>
      </x:c>
      <x:c r="K1896" s="19" t="n">
        <x:v>6</x:v>
      </x:c>
      <x:c r="L1896" s="24" t="n">
        <x:v>21.849999999999998</x:v>
      </x:c>
      <x:c r="M1896" s="26" t="n">
        <x:v>0.1</x:v>
      </x:c>
      <x:c r="N1896" s="24" t="n">
        <x:v>11.934361729064266</x:v>
      </x:c>
      <x:c r="O1896" s="28" t="n">
        <x:f>MIN(1,L1896/I1896)</x:f>
        <x:v>0.00000437</x:v>
      </x:c>
      <x:c r="P1896" s="30" t="n">
        <x:f>O1896*J1896*(1+M1896)</x:f>
        <x:v>0.000004807</x:v>
      </x:c>
      <x:c r="Q1896" s="30" t="n">
        <x:f>P1896*N1896</x:f>
        <x:v>0.000057368476831611925</x:v>
      </x:c>
      <x:c r="R1896" s="19" t="str">
        <x:v>六选一；非6个独立爆率</x:v>
      </x:c>
    </x:row>
    <x:row r="1897" ht="19" customHeight="1">
      <x:c r="A1897" s="19" t="str">
        <x:v>D01893</x:v>
      </x:c>
      <x:c r="B1897" s="19" t="n">
        <x:v>4</x:v>
      </x:c>
      <x:c r="C1897" s="19" t="n">
        <x:v>5</x:v>
      </x:c>
      <x:c r="D1897" s="19" t="str">
        <x:v>C04-M056</x:v>
      </x:c>
      <x:c r="E1897" s="19" t="str">
        <x:v>月痕水咒师</x:v>
      </x:c>
      <x:c r="F1897" s="19" t="str">
        <x:v>稀有</x:v>
      </x:c>
      <x:c r="G1897" s="19" t="str">
        <x:v>自身专属</x:v>
      </x:c>
      <x:c r="H1897" s="19" t="str">
        <x:v>月痕咒镯</x:v>
      </x:c>
      <x:c r="I1897" s="22" t="n">
        <x:v>400</x:v>
      </x:c>
      <x:c r="J1897" s="22" t="n">
        <x:v>1</x:v>
      </x:c>
      <x:c r="K1897" s="19" t="n">
        <x:v>1</x:v>
      </x:c>
      <x:c r="L1897" s="24" t="n">
        <x:v>21.849999999999998</x:v>
      </x:c>
      <x:c r="M1897" s="26" t="n">
        <x:v>0.1</x:v>
      </x:c>
      <x:c r="N1897" s="24" t="n">
        <x:v>11.934361729064266</x:v>
      </x:c>
      <x:c r="O1897" s="28" t="n">
        <x:f>MIN(1,L1897/I1897)</x:f>
        <x:v>0.05462499999999999</x:v>
      </x:c>
      <x:c r="P1897" s="30" t="n">
        <x:f>O1897*J1897*(1+M1897)</x:f>
        <x:v>0.060087499999999995</x:v>
      </x:c>
      <x:c r="Q1897" s="30" t="n">
        <x:f>P1897*N1897</x:f>
        <x:v>0.7171059603951491</x:v>
      </x:c>
      <x:c r="R1897" s="19" t="str">
        <x:v>独立判定</x:v>
      </x:c>
    </x:row>
    <x:row r="1898" ht="19" customHeight="1">
      <x:c r="A1898" s="19" t="str">
        <x:v>D01894</x:v>
      </x:c>
      <x:c r="B1898" s="19" t="n">
        <x:v>4</x:v>
      </x:c>
      <x:c r="C1898" s="19" t="n">
        <x:v>5</x:v>
      </x:c>
      <x:c r="D1898" s="19" t="str">
        <x:v>C04-M056</x:v>
      </x:c>
      <x:c r="E1898" s="19" t="str">
        <x:v>月痕水咒师</x:v>
      </x:c>
      <x:c r="F1898" s="19" t="str">
        <x:v>稀有</x:v>
      </x:c>
      <x:c r="G1898" s="19" t="str">
        <x:v>材料独立候选</x:v>
      </x:c>
      <x:c r="H1898" s="19" t="str">
        <x:v>湖盐结晶</x:v>
      </x:c>
      <x:c r="I1898" s="22" t="n">
        <x:v>400</x:v>
      </x:c>
      <x:c r="J1898" s="22" t="n">
        <x:v>15</x:v>
      </x:c>
      <x:c r="K1898" s="19" t="n">
        <x:v>1</x:v>
      </x:c>
      <x:c r="L1898" s="24" t="n">
        <x:v>21.849999999999998</x:v>
      </x:c>
      <x:c r="M1898" s="26" t="n">
        <x:v>0.1</x:v>
      </x:c>
      <x:c r="N1898" s="24" t="n">
        <x:v>11.934361729064266</x:v>
      </x:c>
      <x:c r="O1898" s="28" t="n">
        <x:f>MIN(1,L1898/I1898)</x:f>
        <x:v>0.05462499999999999</x:v>
      </x:c>
      <x:c r="P1898" s="30" t="n">
        <x:f>O1898*J1898*(1+M1898)</x:f>
        <x:v>0.9013125</x:v>
      </x:c>
      <x:c r="Q1898" s="30" t="n">
        <x:f>P1898*N1898</x:f>
        <x:v>10.756589405927235</x:v>
      </x:c>
      <x:c r="R1898" s="19" t="str">
        <x:v>独立判定</x:v>
      </x:c>
    </x:row>
    <x:row r="1899" ht="19" customHeight="1">
      <x:c r="A1899" s="19" t="str">
        <x:v>D01895</x:v>
      </x:c>
      <x:c r="B1899" s="19" t="n">
        <x:v>4</x:v>
      </x:c>
      <x:c r="C1899" s="19" t="n">
        <x:v>5</x:v>
      </x:c>
      <x:c r="D1899" s="19" t="str">
        <x:v>C04-M056</x:v>
      </x:c>
      <x:c r="E1899" s="19" t="str">
        <x:v>月痕水咒师</x:v>
      </x:c>
      <x:c r="F1899" s="19" t="str">
        <x:v>稀有</x:v>
      </x:c>
      <x:c r="G1899" s="19" t="str">
        <x:v>材料独立候选</x:v>
      </x:c>
      <x:c r="H1899" s="19" t="str">
        <x:v>幽船铆钉</x:v>
      </x:c>
      <x:c r="I1899" s="22" t="n">
        <x:v>1200</x:v>
      </x:c>
      <x:c r="J1899" s="22" t="n">
        <x:v>1</x:v>
      </x:c>
      <x:c r="K1899" s="19" t="n">
        <x:v>1</x:v>
      </x:c>
      <x:c r="L1899" s="24" t="n">
        <x:v>21.849999999999998</x:v>
      </x:c>
      <x:c r="M1899" s="26" t="n">
        <x:v>0.1</x:v>
      </x:c>
      <x:c r="N1899" s="24" t="n">
        <x:v>11.934361729064266</x:v>
      </x:c>
      <x:c r="O1899" s="28" t="n">
        <x:f>MIN(1,L1899/I1899)</x:f>
        <x:v>0.01820833333333333</x:v>
      </x:c>
      <x:c r="P1899" s="30" t="n">
        <x:f>O1899*J1899*(1+M1899)</x:f>
        <x:v>0.020029166666666664</x:v>
      </x:c>
      <x:c r="Q1899" s="30" t="n">
        <x:f>P1899*N1899</x:f>
        <x:v>0.23903532013171633</x:v>
      </x:c>
      <x:c r="R1899" s="19" t="str">
        <x:v>独立判定</x:v>
      </x:c>
    </x:row>
    <x:row r="1900" ht="19" customHeight="1">
      <x:c r="A1900" s="19" t="str">
        <x:v>D01896</x:v>
      </x:c>
      <x:c r="B1900" s="19" t="n">
        <x:v>4</x:v>
      </x:c>
      <x:c r="C1900" s="19" t="n">
        <x:v>5</x:v>
      </x:c>
      <x:c r="D1900" s="19" t="str">
        <x:v>C04-M056</x:v>
      </x:c>
      <x:c r="E1900" s="19" t="str">
        <x:v>月痕水咒师</x:v>
      </x:c>
      <x:c r="F1900" s="19" t="str">
        <x:v>稀有</x:v>
      </x:c>
      <x:c r="G1900" s="19" t="str">
        <x:v>材料独立候选</x:v>
      </x:c>
      <x:c r="H1900" s="19" t="str">
        <x:v>沉船缆扣</x:v>
      </x:c>
      <x:c r="I1900" s="22" t="n">
        <x:v>500</x:v>
      </x:c>
      <x:c r="J1900" s="22" t="n">
        <x:v>1</x:v>
      </x:c>
      <x:c r="K1900" s="19" t="n">
        <x:v>1</x:v>
      </x:c>
      <x:c r="L1900" s="24" t="n">
        <x:v>21.849999999999998</x:v>
      </x:c>
      <x:c r="M1900" s="26" t="n">
        <x:v>0.1</x:v>
      </x:c>
      <x:c r="N1900" s="24" t="n">
        <x:v>11.934361729064266</x:v>
      </x:c>
      <x:c r="O1900" s="28" t="n">
        <x:f>MIN(1,L1900/I1900)</x:f>
        <x:v>0.043699999999999996</x:v>
      </x:c>
      <x:c r="P1900" s="30" t="n">
        <x:f>O1900*J1900*(1+M1900)</x:f>
        <x:v>0.04807</x:v>
      </x:c>
      <x:c r="Q1900" s="30" t="n">
        <x:f>P1900*N1900</x:f>
        <x:v>0.5736847683161193</x:v>
      </x:c>
      <x:c r="R1900" s="19" t="str">
        <x:v>独立判定</x:v>
      </x:c>
    </x:row>
    <x:row r="1901" ht="19" customHeight="1">
      <x:c r="A1901" s="19" t="str">
        <x:v>D01897</x:v>
      </x:c>
      <x:c r="B1901" s="19" t="n">
        <x:v>4</x:v>
      </x:c>
      <x:c r="C1901" s="19" t="n">
        <x:v>5</x:v>
      </x:c>
      <x:c r="D1901" s="19" t="str">
        <x:v>C04-M056</x:v>
      </x:c>
      <x:c r="E1901" s="19" t="str">
        <x:v>月痕水咒师</x:v>
      </x:c>
      <x:c r="F1901" s="19" t="str">
        <x:v>稀有</x:v>
      </x:c>
      <x:c r="G1901" s="19" t="str">
        <x:v>材料独立候选</x:v>
      </x:c>
      <x:c r="H1901" s="19" t="str">
        <x:v>月潮忆珀</x:v>
      </x:c>
      <x:c r="I1901" s="22" t="n">
        <x:v>600000</x:v>
      </x:c>
      <x:c r="J1901" s="22" t="n">
        <x:v>1</x:v>
      </x:c>
      <x:c r="K1901" s="19" t="n">
        <x:v>1</x:v>
      </x:c>
      <x:c r="L1901" s="24" t="n">
        <x:v>21.849999999999998</x:v>
      </x:c>
      <x:c r="M1901" s="26" t="n">
        <x:v>0.1</x:v>
      </x:c>
      <x:c r="N1901" s="24" t="n">
        <x:v>11.934361729064266</x:v>
      </x:c>
      <x:c r="O1901" s="28" t="n">
        <x:f>MIN(1,L1901/I1901)</x:f>
        <x:v>0.000036416666666666666</x:v>
      </x:c>
      <x:c r="P1901" s="30" t="n">
        <x:f>O1901*J1901*(1+M1901)</x:f>
        <x:v>0.000040058333333333336</x:v>
      </x:c>
      <x:c r="Q1901" s="30" t="n">
        <x:f>P1901*N1901</x:f>
        <x:v>0.00047807064026343275</x:v>
      </x:c>
      <x:c r="R1901" s="19" t="str">
        <x:v>独立判定</x:v>
      </x:c>
    </x:row>
    <x:row r="1902" ht="19" customHeight="1">
      <x:c r="A1902" s="19" t="str">
        <x:v>D01898</x:v>
      </x:c>
      <x:c r="B1902" s="19" t="n">
        <x:v>4</x:v>
      </x:c>
      <x:c r="C1902" s="19" t="n">
        <x:v>5</x:v>
      </x:c>
      <x:c r="D1902" s="19" t="str">
        <x:v>C04-M056</x:v>
      </x:c>
      <x:c r="E1902" s="19" t="str">
        <x:v>月痕水咒师</x:v>
      </x:c>
      <x:c r="F1902" s="19" t="str">
        <x:v>稀有</x:v>
      </x:c>
      <x:c r="G1902" s="19" t="str">
        <x:v>材料独立候选</x:v>
      </x:c>
      <x:c r="H1902" s="19" t="str">
        <x:v>黄金树芽</x:v>
      </x:c>
      <x:c r="I1902" s="22" t="n">
        <x:v>2000</x:v>
      </x:c>
      <x:c r="J1902" s="22" t="n">
        <x:v>1</x:v>
      </x:c>
      <x:c r="K1902" s="19" t="n">
        <x:v>1</x:v>
      </x:c>
      <x:c r="L1902" s="24" t="n">
        <x:v>21.849999999999998</x:v>
      </x:c>
      <x:c r="M1902" s="26" t="n">
        <x:v>0.1</x:v>
      </x:c>
      <x:c r="N1902" s="24" t="n">
        <x:v>11.934361729064266</x:v>
      </x:c>
      <x:c r="O1902" s="28" t="n">
        <x:f>MIN(1,L1902/I1902)</x:f>
        <x:v>0.010924999999999999</x:v>
      </x:c>
      <x:c r="P1902" s="30" t="n">
        <x:f>O1902*J1902*(1+M1902)</x:f>
        <x:v>0.0120175</x:v>
      </x:c>
      <x:c r="Q1902" s="30" t="n">
        <x:f>P1902*N1902</x:f>
        <x:v>0.1434211920790298</x:v>
      </x:c>
      <x:c r="R1902" s="19" t="str">
        <x:v>独立判定</x:v>
      </x:c>
    </x:row>
    <x:row r="1903" ht="19" customHeight="1">
      <x:c r="A1903" s="19" t="str">
        <x:v>D01899</x:v>
      </x:c>
      <x:c r="B1903" s="19" t="n">
        <x:v>4</x:v>
      </x:c>
      <x:c r="C1903" s="19" t="n">
        <x:v>5</x:v>
      </x:c>
      <x:c r="D1903" s="19" t="str">
        <x:v>C04-M056</x:v>
      </x:c>
      <x:c r="E1903" s="19" t="str">
        <x:v>月痕水咒师</x:v>
      </x:c>
      <x:c r="F1903" s="19" t="str">
        <x:v>稀有</x:v>
      </x:c>
      <x:c r="G1903" s="19" t="str">
        <x:v>材料独立候选</x:v>
      </x:c>
      <x:c r="H1903" s="19" t="str">
        <x:v>野兽骨片</x:v>
      </x:c>
      <x:c r="I1903" s="22" t="n">
        <x:v>60</x:v>
      </x:c>
      <x:c r="J1903" s="22" t="n">
        <x:v>2</x:v>
      </x:c>
      <x:c r="K1903" s="19" t="n">
        <x:v>1</x:v>
      </x:c>
      <x:c r="L1903" s="24" t="n">
        <x:v>21.849999999999998</x:v>
      </x:c>
      <x:c r="M1903" s="26" t="n">
        <x:v>0.1</x:v>
      </x:c>
      <x:c r="N1903" s="24" t="n">
        <x:v>11.934361729064266</x:v>
      </x:c>
      <x:c r="O1903" s="28" t="n">
        <x:f>MIN(1,L1903/I1903)</x:f>
        <x:v>0.36416666666666664</x:v>
      </x:c>
      <x:c r="P1903" s="30" t="n">
        <x:f>O1903*J1903*(1+M1903)</x:f>
        <x:v>0.8011666666666667</x:v>
      </x:c>
      <x:c r="Q1903" s="30" t="n">
        <x:f>P1903*N1903</x:f>
        <x:v>9.561412805268654</x:v>
      </x:c>
      <x:c r="R1903" s="19" t="str">
        <x:v>独立判定</x:v>
      </x:c>
    </x:row>
    <x:row r="1904" ht="19" customHeight="1">
      <x:c r="A1904" s="19" t="str">
        <x:v>D01900</x:v>
      </x:c>
      <x:c r="B1904" s="19" t="n">
        <x:v>4</x:v>
      </x:c>
      <x:c r="C1904" s="19" t="n">
        <x:v>5</x:v>
      </x:c>
      <x:c r="D1904" s="19" t="str">
        <x:v>C04-M056</x:v>
      </x:c>
      <x:c r="E1904" s="19" t="str">
        <x:v>月痕水咒师</x:v>
      </x:c>
      <x:c r="F1904" s="19" t="str">
        <x:v>稀有</x:v>
      </x:c>
      <x:c r="G1904" s="19" t="str">
        <x:v>材料独立候选</x:v>
      </x:c>
      <x:c r="H1904" s="19" t="str">
        <x:v>技能残页</x:v>
      </x:c>
      <x:c r="I1904" s="22" t="n">
        <x:v>300</x:v>
      </x:c>
      <x:c r="J1904" s="22" t="n">
        <x:v>1</x:v>
      </x:c>
      <x:c r="K1904" s="19" t="n">
        <x:v>1</x:v>
      </x:c>
      <x:c r="L1904" s="24" t="n">
        <x:v>21.849999999999998</x:v>
      </x:c>
      <x:c r="M1904" s="26" t="n">
        <x:v>0.1</x:v>
      </x:c>
      <x:c r="N1904" s="24" t="n">
        <x:v>11.934361729064266</x:v>
      </x:c>
      <x:c r="O1904" s="28" t="n">
        <x:f>MIN(1,L1904/I1904)</x:f>
        <x:v>0.07283333333333332</x:v>
      </x:c>
      <x:c r="P1904" s="30" t="n">
        <x:f>O1904*J1904*(1+M1904)</x:f>
        <x:v>0.08011666666666666</x:v>
      </x:c>
      <x:c r="Q1904" s="30" t="n">
        <x:f>P1904*N1904</x:f>
        <x:v>0.9561412805268653</x:v>
      </x:c>
      <x:c r="R1904" s="19" t="str">
        <x:v>独立判定</x:v>
      </x:c>
    </x:row>
    <x:row r="1905" ht="19" customHeight="1">
      <x:c r="A1905" s="19" t="str">
        <x:v>D01901</x:v>
      </x:c>
      <x:c r="B1905" s="19" t="n">
        <x:v>4</x:v>
      </x:c>
      <x:c r="C1905" s="19" t="n">
        <x:v>5</x:v>
      </x:c>
      <x:c r="D1905" s="19" t="str">
        <x:v>C04-M056</x:v>
      </x:c>
      <x:c r="E1905" s="19" t="str">
        <x:v>月痕水咒师</x:v>
      </x:c>
      <x:c r="F1905" s="19" t="str">
        <x:v>稀有</x:v>
      </x:c>
      <x:c r="G1905" s="19" t="str">
        <x:v>材料独立候选</x:v>
      </x:c>
      <x:c r="H1905" s="19" t="str">
        <x:v>小卢恩</x:v>
      </x:c>
      <x:c r="I1905" s="22" t="n">
        <x:v>600</x:v>
      </x:c>
      <x:c r="J1905" s="22" t="n">
        <x:v>1</x:v>
      </x:c>
      <x:c r="K1905" s="19" t="n">
        <x:v>1</x:v>
      </x:c>
      <x:c r="L1905" s="24" t="n">
        <x:v>21.849999999999998</x:v>
      </x:c>
      <x:c r="M1905" s="26" t="n">
        <x:v>0.1</x:v>
      </x:c>
      <x:c r="N1905" s="24" t="n">
        <x:v>11.934361729064266</x:v>
      </x:c>
      <x:c r="O1905" s="28" t="n">
        <x:f>MIN(1,L1905/I1905)</x:f>
        <x:v>0.03641666666666666</x:v>
      </x:c>
      <x:c r="P1905" s="30" t="n">
        <x:f>O1905*J1905*(1+M1905)</x:f>
        <x:v>0.04005833333333333</x:v>
      </x:c>
      <x:c r="Q1905" s="30" t="n">
        <x:f>P1905*N1905</x:f>
        <x:v>0.47807064026343266</x:v>
      </x:c>
      <x:c r="R1905" s="19" t="str">
        <x:v>独立判定</x:v>
      </x:c>
    </x:row>
    <x:row r="1906" ht="19" customHeight="1">
      <x:c r="A1906" s="19" t="str">
        <x:v>D01902</x:v>
      </x:c>
      <x:c r="B1906" s="19" t="n">
        <x:v>4</x:v>
      </x:c>
      <x:c r="C1906" s="19" t="n">
        <x:v>5</x:v>
      </x:c>
      <x:c r="D1906" s="19" t="str">
        <x:v>C04-M056</x:v>
      </x:c>
      <x:c r="E1906" s="19" t="str">
        <x:v>月痕水咒师</x:v>
      </x:c>
      <x:c r="F1906" s="19" t="str">
        <x:v>稀有</x:v>
      </x:c>
      <x:c r="G1906" s="19" t="str">
        <x:v>六神器公共池</x:v>
      </x:c>
      <x:c r="H1906" s="19" t="str">
        <x:v>POOL006</x:v>
      </x:c>
      <x:c r="I1906" s="22" t="n">
        <x:v>5000000</x:v>
      </x:c>
      <x:c r="J1906" s="22" t="n">
        <x:v>1</x:v>
      </x:c>
      <x:c r="K1906" s="19" t="n">
        <x:v>6</x:v>
      </x:c>
      <x:c r="L1906" s="24" t="n">
        <x:v>21.849999999999998</x:v>
      </x:c>
      <x:c r="M1906" s="26" t="n">
        <x:v>0.1</x:v>
      </x:c>
      <x:c r="N1906" s="24" t="n">
        <x:v>11.934361729064266</x:v>
      </x:c>
      <x:c r="O1906" s="28" t="n">
        <x:f>MIN(1,L1906/I1906)</x:f>
        <x:v>0.00000437</x:v>
      </x:c>
      <x:c r="P1906" s="30" t="n">
        <x:f>O1906*J1906*(1+M1906)</x:f>
        <x:v>0.000004807</x:v>
      </x:c>
      <x:c r="Q1906" s="30" t="n">
        <x:f>P1906*N1906</x:f>
        <x:v>0.000057368476831611925</x:v>
      </x:c>
      <x:c r="R1906" s="19" t="str">
        <x:v>六选一；非6个独立爆率</x:v>
      </x:c>
    </x:row>
    <x:row r="1907" ht="19" customHeight="1">
      <x:c r="A1907" s="19" t="str">
        <x:v>D01903</x:v>
      </x:c>
      <x:c r="B1907" s="19" t="n">
        <x:v>4</x:v>
      </x:c>
      <x:c r="C1907" s="19" t="n">
        <x:v>5</x:v>
      </x:c>
      <x:c r="D1907" s="19" t="str">
        <x:v>C04-M057</x:v>
      </x:c>
      <x:c r="E1907" s="19" t="str">
        <x:v>渊声诱猎者</x:v>
      </x:c>
      <x:c r="F1907" s="19" t="str">
        <x:v>稀有</x:v>
      </x:c>
      <x:c r="G1907" s="19" t="str">
        <x:v>自身专属</x:v>
      </x:c>
      <x:c r="H1907" s="19" t="str">
        <x:v>诱猎声坠</x:v>
      </x:c>
      <x:c r="I1907" s="22" t="n">
        <x:v>400</x:v>
      </x:c>
      <x:c r="J1907" s="22" t="n">
        <x:v>1</x:v>
      </x:c>
      <x:c r="K1907" s="19" t="n">
        <x:v>1</x:v>
      </x:c>
      <x:c r="L1907" s="24" t="n">
        <x:v>21.849999999999998</x:v>
      </x:c>
      <x:c r="M1907" s="26" t="n">
        <x:v>0.1</x:v>
      </x:c>
      <x:c r="N1907" s="24" t="n">
        <x:v>12</x:v>
      </x:c>
      <x:c r="O1907" s="28" t="n">
        <x:f>MIN(1,L1907/I1907)</x:f>
        <x:v>0.05462499999999999</x:v>
      </x:c>
      <x:c r="P1907" s="30" t="n">
        <x:f>O1907*J1907*(1+M1907)</x:f>
        <x:v>0.060087499999999995</x:v>
      </x:c>
      <x:c r="Q1907" s="30" t="n">
        <x:f>P1907*N1907</x:f>
        <x:v>0.72105</x:v>
      </x:c>
      <x:c r="R1907" s="19" t="str">
        <x:v>独立判定</x:v>
      </x:c>
    </x:row>
    <x:row r="1908" ht="19" customHeight="1">
      <x:c r="A1908" s="19" t="str">
        <x:v>D01904</x:v>
      </x:c>
      <x:c r="B1908" s="19" t="n">
        <x:v>4</x:v>
      </x:c>
      <x:c r="C1908" s="19" t="n">
        <x:v>5</x:v>
      </x:c>
      <x:c r="D1908" s="19" t="str">
        <x:v>C04-M057</x:v>
      </x:c>
      <x:c r="E1908" s="19" t="str">
        <x:v>渊声诱猎者</x:v>
      </x:c>
      <x:c r="F1908" s="19" t="str">
        <x:v>稀有</x:v>
      </x:c>
      <x:c r="G1908" s="19" t="str">
        <x:v>材料独立候选</x:v>
      </x:c>
      <x:c r="H1908" s="19" t="str">
        <x:v>湖盐结晶</x:v>
      </x:c>
      <x:c r="I1908" s="22" t="n">
        <x:v>400</x:v>
      </x:c>
      <x:c r="J1908" s="22" t="n">
        <x:v>15</x:v>
      </x:c>
      <x:c r="K1908" s="19" t="n">
        <x:v>1</x:v>
      </x:c>
      <x:c r="L1908" s="24" t="n">
        <x:v>21.849999999999998</x:v>
      </x:c>
      <x:c r="M1908" s="26" t="n">
        <x:v>0.1</x:v>
      </x:c>
      <x:c r="N1908" s="24" t="n">
        <x:v>12</x:v>
      </x:c>
      <x:c r="O1908" s="28" t="n">
        <x:f>MIN(1,L1908/I1908)</x:f>
        <x:v>0.05462499999999999</x:v>
      </x:c>
      <x:c r="P1908" s="30" t="n">
        <x:f>O1908*J1908*(1+M1908)</x:f>
        <x:v>0.9013125</x:v>
      </x:c>
      <x:c r="Q1908" s="30" t="n">
        <x:f>P1908*N1908</x:f>
        <x:v>10.81575</x:v>
      </x:c>
      <x:c r="R1908" s="19" t="str">
        <x:v>独立判定</x:v>
      </x:c>
    </x:row>
    <x:row r="1909" ht="19" customHeight="1">
      <x:c r="A1909" s="19" t="str">
        <x:v>D01905</x:v>
      </x:c>
      <x:c r="B1909" s="19" t="n">
        <x:v>4</x:v>
      </x:c>
      <x:c r="C1909" s="19" t="n">
        <x:v>5</x:v>
      </x:c>
      <x:c r="D1909" s="19" t="str">
        <x:v>C04-M057</x:v>
      </x:c>
      <x:c r="E1909" s="19" t="str">
        <x:v>渊声诱猎者</x:v>
      </x:c>
      <x:c r="F1909" s="19" t="str">
        <x:v>稀有</x:v>
      </x:c>
      <x:c r="G1909" s="19" t="str">
        <x:v>材料独立候选</x:v>
      </x:c>
      <x:c r="H1909" s="19" t="str">
        <x:v>幽船铆钉</x:v>
      </x:c>
      <x:c r="I1909" s="22" t="n">
        <x:v>1200</x:v>
      </x:c>
      <x:c r="J1909" s="22" t="n">
        <x:v>1</x:v>
      </x:c>
      <x:c r="K1909" s="19" t="n">
        <x:v>1</x:v>
      </x:c>
      <x:c r="L1909" s="24" t="n">
        <x:v>21.849999999999998</x:v>
      </x:c>
      <x:c r="M1909" s="26" t="n">
        <x:v>0.1</x:v>
      </x:c>
      <x:c r="N1909" s="24" t="n">
        <x:v>12</x:v>
      </x:c>
      <x:c r="O1909" s="28" t="n">
        <x:f>MIN(1,L1909/I1909)</x:f>
        <x:v>0.01820833333333333</x:v>
      </x:c>
      <x:c r="P1909" s="30" t="n">
        <x:f>O1909*J1909*(1+M1909)</x:f>
        <x:v>0.020029166666666664</x:v>
      </x:c>
      <x:c r="Q1909" s="30" t="n">
        <x:f>P1909*N1909</x:f>
        <x:v>0.24034999999999995</x:v>
      </x:c>
      <x:c r="R1909" s="19" t="str">
        <x:v>独立判定</x:v>
      </x:c>
    </x:row>
    <x:row r="1910" ht="19" customHeight="1">
      <x:c r="A1910" s="19" t="str">
        <x:v>D01906</x:v>
      </x:c>
      <x:c r="B1910" s="19" t="n">
        <x:v>4</x:v>
      </x:c>
      <x:c r="C1910" s="19" t="n">
        <x:v>5</x:v>
      </x:c>
      <x:c r="D1910" s="19" t="str">
        <x:v>C04-M057</x:v>
      </x:c>
      <x:c r="E1910" s="19" t="str">
        <x:v>渊声诱猎者</x:v>
      </x:c>
      <x:c r="F1910" s="19" t="str">
        <x:v>稀有</x:v>
      </x:c>
      <x:c r="G1910" s="19" t="str">
        <x:v>材料独立候选</x:v>
      </x:c>
      <x:c r="H1910" s="19" t="str">
        <x:v>沉船缆扣</x:v>
      </x:c>
      <x:c r="I1910" s="22" t="n">
        <x:v>500</x:v>
      </x:c>
      <x:c r="J1910" s="22" t="n">
        <x:v>1</x:v>
      </x:c>
      <x:c r="K1910" s="19" t="n">
        <x:v>1</x:v>
      </x:c>
      <x:c r="L1910" s="24" t="n">
        <x:v>21.849999999999998</x:v>
      </x:c>
      <x:c r="M1910" s="26" t="n">
        <x:v>0.1</x:v>
      </x:c>
      <x:c r="N1910" s="24" t="n">
        <x:v>12</x:v>
      </x:c>
      <x:c r="O1910" s="28" t="n">
        <x:f>MIN(1,L1910/I1910)</x:f>
        <x:v>0.043699999999999996</x:v>
      </x:c>
      <x:c r="P1910" s="30" t="n">
        <x:f>O1910*J1910*(1+M1910)</x:f>
        <x:v>0.04807</x:v>
      </x:c>
      <x:c r="Q1910" s="30" t="n">
        <x:f>P1910*N1910</x:f>
        <x:v>0.57684</x:v>
      </x:c>
      <x:c r="R1910" s="19" t="str">
        <x:v>独立判定</x:v>
      </x:c>
    </x:row>
    <x:row r="1911" ht="19" customHeight="1">
      <x:c r="A1911" s="19" t="str">
        <x:v>D01907</x:v>
      </x:c>
      <x:c r="B1911" s="19" t="n">
        <x:v>4</x:v>
      </x:c>
      <x:c r="C1911" s="19" t="n">
        <x:v>5</x:v>
      </x:c>
      <x:c r="D1911" s="19" t="str">
        <x:v>C04-M057</x:v>
      </x:c>
      <x:c r="E1911" s="19" t="str">
        <x:v>渊声诱猎者</x:v>
      </x:c>
      <x:c r="F1911" s="19" t="str">
        <x:v>稀有</x:v>
      </x:c>
      <x:c r="G1911" s="19" t="str">
        <x:v>材料独立候选</x:v>
      </x:c>
      <x:c r="H1911" s="19" t="str">
        <x:v>月潮忆珀</x:v>
      </x:c>
      <x:c r="I1911" s="22" t="n">
        <x:v>600000</x:v>
      </x:c>
      <x:c r="J1911" s="22" t="n">
        <x:v>1</x:v>
      </x:c>
      <x:c r="K1911" s="19" t="n">
        <x:v>1</x:v>
      </x:c>
      <x:c r="L1911" s="24" t="n">
        <x:v>21.849999999999998</x:v>
      </x:c>
      <x:c r="M1911" s="26" t="n">
        <x:v>0.1</x:v>
      </x:c>
      <x:c r="N1911" s="24" t="n">
        <x:v>12</x:v>
      </x:c>
      <x:c r="O1911" s="28" t="n">
        <x:f>MIN(1,L1911/I1911)</x:f>
        <x:v>0.000036416666666666666</x:v>
      </x:c>
      <x:c r="P1911" s="30" t="n">
        <x:f>O1911*J1911*(1+M1911)</x:f>
        <x:v>0.000040058333333333336</x:v>
      </x:c>
      <x:c r="Q1911" s="30" t="n">
        <x:f>P1911*N1911</x:f>
        <x:v>0.00048070000000000003</x:v>
      </x:c>
      <x:c r="R1911" s="19" t="str">
        <x:v>独立判定</x:v>
      </x:c>
    </x:row>
    <x:row r="1912" ht="19" customHeight="1">
      <x:c r="A1912" s="19" t="str">
        <x:v>D01908</x:v>
      </x:c>
      <x:c r="B1912" s="19" t="n">
        <x:v>4</x:v>
      </x:c>
      <x:c r="C1912" s="19" t="n">
        <x:v>5</x:v>
      </x:c>
      <x:c r="D1912" s="19" t="str">
        <x:v>C04-M057</x:v>
      </x:c>
      <x:c r="E1912" s="19" t="str">
        <x:v>渊声诱猎者</x:v>
      </x:c>
      <x:c r="F1912" s="19" t="str">
        <x:v>稀有</x:v>
      </x:c>
      <x:c r="G1912" s="19" t="str">
        <x:v>材料独立候选</x:v>
      </x:c>
      <x:c r="H1912" s="19" t="str">
        <x:v>黄金树芽</x:v>
      </x:c>
      <x:c r="I1912" s="22" t="n">
        <x:v>2000</x:v>
      </x:c>
      <x:c r="J1912" s="22" t="n">
        <x:v>1</x:v>
      </x:c>
      <x:c r="K1912" s="19" t="n">
        <x:v>1</x:v>
      </x:c>
      <x:c r="L1912" s="24" t="n">
        <x:v>21.849999999999998</x:v>
      </x:c>
      <x:c r="M1912" s="26" t="n">
        <x:v>0.1</x:v>
      </x:c>
      <x:c r="N1912" s="24" t="n">
        <x:v>12</x:v>
      </x:c>
      <x:c r="O1912" s="28" t="n">
        <x:f>MIN(1,L1912/I1912)</x:f>
        <x:v>0.010924999999999999</x:v>
      </x:c>
      <x:c r="P1912" s="30" t="n">
        <x:f>O1912*J1912*(1+M1912)</x:f>
        <x:v>0.0120175</x:v>
      </x:c>
      <x:c r="Q1912" s="30" t="n">
        <x:f>P1912*N1912</x:f>
        <x:v>0.14421</x:v>
      </x:c>
      <x:c r="R1912" s="19" t="str">
        <x:v>独立判定</x:v>
      </x:c>
    </x:row>
    <x:row r="1913" ht="19" customHeight="1">
      <x:c r="A1913" s="19" t="str">
        <x:v>D01909</x:v>
      </x:c>
      <x:c r="B1913" s="19" t="n">
        <x:v>4</x:v>
      </x:c>
      <x:c r="C1913" s="19" t="n">
        <x:v>5</x:v>
      </x:c>
      <x:c r="D1913" s="19" t="str">
        <x:v>C04-M057</x:v>
      </x:c>
      <x:c r="E1913" s="19" t="str">
        <x:v>渊声诱猎者</x:v>
      </x:c>
      <x:c r="F1913" s="19" t="str">
        <x:v>稀有</x:v>
      </x:c>
      <x:c r="G1913" s="19" t="str">
        <x:v>材料独立候选</x:v>
      </x:c>
      <x:c r="H1913" s="19" t="str">
        <x:v>野兽骨片</x:v>
      </x:c>
      <x:c r="I1913" s="22" t="n">
        <x:v>60</x:v>
      </x:c>
      <x:c r="J1913" s="22" t="n">
        <x:v>2</x:v>
      </x:c>
      <x:c r="K1913" s="19" t="n">
        <x:v>1</x:v>
      </x:c>
      <x:c r="L1913" s="24" t="n">
        <x:v>21.849999999999998</x:v>
      </x:c>
      <x:c r="M1913" s="26" t="n">
        <x:v>0.1</x:v>
      </x:c>
      <x:c r="N1913" s="24" t="n">
        <x:v>12</x:v>
      </x:c>
      <x:c r="O1913" s="28" t="n">
        <x:f>MIN(1,L1913/I1913)</x:f>
        <x:v>0.36416666666666664</x:v>
      </x:c>
      <x:c r="P1913" s="30" t="n">
        <x:f>O1913*J1913*(1+M1913)</x:f>
        <x:v>0.8011666666666667</x:v>
      </x:c>
      <x:c r="Q1913" s="30" t="n">
        <x:f>P1913*N1913</x:f>
        <x:v>9.614</x:v>
      </x:c>
      <x:c r="R1913" s="19" t="str">
        <x:v>独立判定</x:v>
      </x:c>
    </x:row>
    <x:row r="1914" ht="19" customHeight="1">
      <x:c r="A1914" s="19" t="str">
        <x:v>D01910</x:v>
      </x:c>
      <x:c r="B1914" s="19" t="n">
        <x:v>4</x:v>
      </x:c>
      <x:c r="C1914" s="19" t="n">
        <x:v>5</x:v>
      </x:c>
      <x:c r="D1914" s="19" t="str">
        <x:v>C04-M057</x:v>
      </x:c>
      <x:c r="E1914" s="19" t="str">
        <x:v>渊声诱猎者</x:v>
      </x:c>
      <x:c r="F1914" s="19" t="str">
        <x:v>稀有</x:v>
      </x:c>
      <x:c r="G1914" s="19" t="str">
        <x:v>材料独立候选</x:v>
      </x:c>
      <x:c r="H1914" s="19" t="str">
        <x:v>技能残页</x:v>
      </x:c>
      <x:c r="I1914" s="22" t="n">
        <x:v>300</x:v>
      </x:c>
      <x:c r="J1914" s="22" t="n">
        <x:v>1</x:v>
      </x:c>
      <x:c r="K1914" s="19" t="n">
        <x:v>1</x:v>
      </x:c>
      <x:c r="L1914" s="24" t="n">
        <x:v>21.849999999999998</x:v>
      </x:c>
      <x:c r="M1914" s="26" t="n">
        <x:v>0.1</x:v>
      </x:c>
      <x:c r="N1914" s="24" t="n">
        <x:v>12</x:v>
      </x:c>
      <x:c r="O1914" s="28" t="n">
        <x:f>MIN(1,L1914/I1914)</x:f>
        <x:v>0.07283333333333332</x:v>
      </x:c>
      <x:c r="P1914" s="30" t="n">
        <x:f>O1914*J1914*(1+M1914)</x:f>
        <x:v>0.08011666666666666</x:v>
      </x:c>
      <x:c r="Q1914" s="30" t="n">
        <x:f>P1914*N1914</x:f>
        <x:v>0.9613999999999998</x:v>
      </x:c>
      <x:c r="R1914" s="19" t="str">
        <x:v>独立判定</x:v>
      </x:c>
    </x:row>
    <x:row r="1915" ht="19" customHeight="1">
      <x:c r="A1915" s="19" t="str">
        <x:v>D01911</x:v>
      </x:c>
      <x:c r="B1915" s="19" t="n">
        <x:v>4</x:v>
      </x:c>
      <x:c r="C1915" s="19" t="n">
        <x:v>5</x:v>
      </x:c>
      <x:c r="D1915" s="19" t="str">
        <x:v>C04-M057</x:v>
      </x:c>
      <x:c r="E1915" s="19" t="str">
        <x:v>渊声诱猎者</x:v>
      </x:c>
      <x:c r="F1915" s="19" t="str">
        <x:v>稀有</x:v>
      </x:c>
      <x:c r="G1915" s="19" t="str">
        <x:v>材料独立候选</x:v>
      </x:c>
      <x:c r="H1915" s="19" t="str">
        <x:v>小卢恩</x:v>
      </x:c>
      <x:c r="I1915" s="22" t="n">
        <x:v>600</x:v>
      </x:c>
      <x:c r="J1915" s="22" t="n">
        <x:v>1</x:v>
      </x:c>
      <x:c r="K1915" s="19" t="n">
        <x:v>1</x:v>
      </x:c>
      <x:c r="L1915" s="24" t="n">
        <x:v>21.849999999999998</x:v>
      </x:c>
      <x:c r="M1915" s="26" t="n">
        <x:v>0.1</x:v>
      </x:c>
      <x:c r="N1915" s="24" t="n">
        <x:v>12</x:v>
      </x:c>
      <x:c r="O1915" s="28" t="n">
        <x:f>MIN(1,L1915/I1915)</x:f>
        <x:v>0.03641666666666666</x:v>
      </x:c>
      <x:c r="P1915" s="30" t="n">
        <x:f>O1915*J1915*(1+M1915)</x:f>
        <x:v>0.04005833333333333</x:v>
      </x:c>
      <x:c r="Q1915" s="30" t="n">
        <x:f>P1915*N1915</x:f>
        <x:v>0.4806999999999999</x:v>
      </x:c>
      <x:c r="R1915" s="19" t="str">
        <x:v>独立判定</x:v>
      </x:c>
    </x:row>
    <x:row r="1916" ht="19" customHeight="1">
      <x:c r="A1916" s="19" t="str">
        <x:v>D01912</x:v>
      </x:c>
      <x:c r="B1916" s="19" t="n">
        <x:v>4</x:v>
      </x:c>
      <x:c r="C1916" s="19" t="n">
        <x:v>5</x:v>
      </x:c>
      <x:c r="D1916" s="19" t="str">
        <x:v>C04-M057</x:v>
      </x:c>
      <x:c r="E1916" s="19" t="str">
        <x:v>渊声诱猎者</x:v>
      </x:c>
      <x:c r="F1916" s="19" t="str">
        <x:v>稀有</x:v>
      </x:c>
      <x:c r="G1916" s="19" t="str">
        <x:v>六神器公共池</x:v>
      </x:c>
      <x:c r="H1916" s="19" t="str">
        <x:v>POOL006</x:v>
      </x:c>
      <x:c r="I1916" s="22" t="n">
        <x:v>5000000</x:v>
      </x:c>
      <x:c r="J1916" s="22" t="n">
        <x:v>1</x:v>
      </x:c>
      <x:c r="K1916" s="19" t="n">
        <x:v>6</x:v>
      </x:c>
      <x:c r="L1916" s="24" t="n">
        <x:v>21.849999999999998</x:v>
      </x:c>
      <x:c r="M1916" s="26" t="n">
        <x:v>0.1</x:v>
      </x:c>
      <x:c r="N1916" s="24" t="n">
        <x:v>12</x:v>
      </x:c>
      <x:c r="O1916" s="28" t="n">
        <x:f>MIN(1,L1916/I1916)</x:f>
        <x:v>0.00000437</x:v>
      </x:c>
      <x:c r="P1916" s="30" t="n">
        <x:f>O1916*J1916*(1+M1916)</x:f>
        <x:v>0.000004807</x:v>
      </x:c>
      <x:c r="Q1916" s="30" t="n">
        <x:f>P1916*N1916</x:f>
        <x:v>0.000057684</x:v>
      </x:c>
      <x:c r="R1916" s="19" t="str">
        <x:v>六选一；非6个独立爆率</x:v>
      </x:c>
    </x:row>
    <x:row r="1917" ht="19" customHeight="1">
      <x:c r="A1917" s="19" t="str">
        <x:v>D01913</x:v>
      </x:c>
      <x:c r="B1917" s="19" t="n">
        <x:v>4</x:v>
      </x:c>
      <x:c r="C1917" s="19" t="n">
        <x:v>5</x:v>
      </x:c>
      <x:c r="D1917" s="19" t="str">
        <x:v>C04-M058</x:v>
      </x:c>
      <x:c r="E1917" s="19" t="str">
        <x:v>吞灯巨鲶</x:v>
      </x:c>
      <x:c r="F1917" s="19" t="str">
        <x:v>稀有</x:v>
      </x:c>
      <x:c r="G1917" s="19" t="str">
        <x:v>自身专属</x:v>
      </x:c>
      <x:c r="H1917" s="19" t="str">
        <x:v>吞灯牙戒</x:v>
      </x:c>
      <x:c r="I1917" s="22" t="n">
        <x:v>400</x:v>
      </x:c>
      <x:c r="J1917" s="22" t="n">
        <x:v>1</x:v>
      </x:c>
      <x:c r="K1917" s="19" t="n">
        <x:v>1</x:v>
      </x:c>
      <x:c r="L1917" s="24" t="n">
        <x:v>21.849999999999998</x:v>
      </x:c>
      <x:c r="M1917" s="26" t="n">
        <x:v>0.1</x:v>
      </x:c>
      <x:c r="N1917" s="24" t="n">
        <x:v>10.797755850105764</x:v>
      </x:c>
      <x:c r="O1917" s="28" t="n">
        <x:f>MIN(1,L1917/I1917)</x:f>
        <x:v>0.05462499999999999</x:v>
      </x:c>
      <x:c r="P1917" s="30" t="n">
        <x:f>O1917*J1917*(1+M1917)</x:f>
        <x:v>0.060087499999999995</x:v>
      </x:c>
      <x:c r="Q1917" s="30" t="n">
        <x:f>P1917*N1917</x:f>
        <x:v>0.64881015464323</x:v>
      </x:c>
      <x:c r="R1917" s="19" t="str">
        <x:v>独立判定</x:v>
      </x:c>
    </x:row>
    <x:row r="1918" ht="19" customHeight="1">
      <x:c r="A1918" s="19" t="str">
        <x:v>D01914</x:v>
      </x:c>
      <x:c r="B1918" s="19" t="n">
        <x:v>4</x:v>
      </x:c>
      <x:c r="C1918" s="19" t="n">
        <x:v>5</x:v>
      </x:c>
      <x:c r="D1918" s="19" t="str">
        <x:v>C04-M058</x:v>
      </x:c>
      <x:c r="E1918" s="19" t="str">
        <x:v>吞灯巨鲶</x:v>
      </x:c>
      <x:c r="F1918" s="19" t="str">
        <x:v>稀有</x:v>
      </x:c>
      <x:c r="G1918" s="19" t="str">
        <x:v>材料独立候选</x:v>
      </x:c>
      <x:c r="H1918" s="19" t="str">
        <x:v>湖盐结晶</x:v>
      </x:c>
      <x:c r="I1918" s="22" t="n">
        <x:v>400</x:v>
      </x:c>
      <x:c r="J1918" s="22" t="n">
        <x:v>15</x:v>
      </x:c>
      <x:c r="K1918" s="19" t="n">
        <x:v>1</x:v>
      </x:c>
      <x:c r="L1918" s="24" t="n">
        <x:v>21.849999999999998</x:v>
      </x:c>
      <x:c r="M1918" s="26" t="n">
        <x:v>0.1</x:v>
      </x:c>
      <x:c r="N1918" s="24" t="n">
        <x:v>10.797755850105764</x:v>
      </x:c>
      <x:c r="O1918" s="28" t="n">
        <x:f>MIN(1,L1918/I1918)</x:f>
        <x:v>0.05462499999999999</x:v>
      </x:c>
      <x:c r="P1918" s="30" t="n">
        <x:f>O1918*J1918*(1+M1918)</x:f>
        <x:v>0.9013125</x:v>
      </x:c>
      <x:c r="Q1918" s="30" t="n">
        <x:f>P1918*N1918</x:f>
        <x:v>9.732152319648451</x:v>
      </x:c>
      <x:c r="R1918" s="19" t="str">
        <x:v>独立判定</x:v>
      </x:c>
    </x:row>
    <x:row r="1919" ht="19" customHeight="1">
      <x:c r="A1919" s="19" t="str">
        <x:v>D01915</x:v>
      </x:c>
      <x:c r="B1919" s="19" t="n">
        <x:v>4</x:v>
      </x:c>
      <x:c r="C1919" s="19" t="n">
        <x:v>5</x:v>
      </x:c>
      <x:c r="D1919" s="19" t="str">
        <x:v>C04-M058</x:v>
      </x:c>
      <x:c r="E1919" s="19" t="str">
        <x:v>吞灯巨鲶</x:v>
      </x:c>
      <x:c r="F1919" s="19" t="str">
        <x:v>稀有</x:v>
      </x:c>
      <x:c r="G1919" s="19" t="str">
        <x:v>材料独立候选</x:v>
      </x:c>
      <x:c r="H1919" s="19" t="str">
        <x:v>幽船铆钉</x:v>
      </x:c>
      <x:c r="I1919" s="22" t="n">
        <x:v>1200</x:v>
      </x:c>
      <x:c r="J1919" s="22" t="n">
        <x:v>1</x:v>
      </x:c>
      <x:c r="K1919" s="19" t="n">
        <x:v>1</x:v>
      </x:c>
      <x:c r="L1919" s="24" t="n">
        <x:v>21.849999999999998</x:v>
      </x:c>
      <x:c r="M1919" s="26" t="n">
        <x:v>0.1</x:v>
      </x:c>
      <x:c r="N1919" s="24" t="n">
        <x:v>10.797755850105764</x:v>
      </x:c>
      <x:c r="O1919" s="28" t="n">
        <x:f>MIN(1,L1919/I1919)</x:f>
        <x:v>0.01820833333333333</x:v>
      </x:c>
      <x:c r="P1919" s="30" t="n">
        <x:f>O1919*J1919*(1+M1919)</x:f>
        <x:v>0.020029166666666664</x:v>
      </x:c>
      <x:c r="Q1919" s="30" t="n">
        <x:f>P1919*N1919</x:f>
        <x:v>0.21627005154774334</x:v>
      </x:c>
      <x:c r="R1919" s="19" t="str">
        <x:v>独立判定</x:v>
      </x:c>
    </x:row>
    <x:row r="1920" ht="19" customHeight="1">
      <x:c r="A1920" s="19" t="str">
        <x:v>D01916</x:v>
      </x:c>
      <x:c r="B1920" s="19" t="n">
        <x:v>4</x:v>
      </x:c>
      <x:c r="C1920" s="19" t="n">
        <x:v>5</x:v>
      </x:c>
      <x:c r="D1920" s="19" t="str">
        <x:v>C04-M058</x:v>
      </x:c>
      <x:c r="E1920" s="19" t="str">
        <x:v>吞灯巨鲶</x:v>
      </x:c>
      <x:c r="F1920" s="19" t="str">
        <x:v>稀有</x:v>
      </x:c>
      <x:c r="G1920" s="19" t="str">
        <x:v>材料独立候选</x:v>
      </x:c>
      <x:c r="H1920" s="19" t="str">
        <x:v>沉船缆扣</x:v>
      </x:c>
      <x:c r="I1920" s="22" t="n">
        <x:v>500</x:v>
      </x:c>
      <x:c r="J1920" s="22" t="n">
        <x:v>1</x:v>
      </x:c>
      <x:c r="K1920" s="19" t="n">
        <x:v>1</x:v>
      </x:c>
      <x:c r="L1920" s="24" t="n">
        <x:v>21.849999999999998</x:v>
      </x:c>
      <x:c r="M1920" s="26" t="n">
        <x:v>0.1</x:v>
      </x:c>
      <x:c r="N1920" s="24" t="n">
        <x:v>10.797755850105764</x:v>
      </x:c>
      <x:c r="O1920" s="28" t="n">
        <x:f>MIN(1,L1920/I1920)</x:f>
        <x:v>0.043699999999999996</x:v>
      </x:c>
      <x:c r="P1920" s="30" t="n">
        <x:f>O1920*J1920*(1+M1920)</x:f>
        <x:v>0.04807</x:v>
      </x:c>
      <x:c r="Q1920" s="30" t="n">
        <x:f>P1920*N1920</x:f>
        <x:v>0.5190481237145841</x:v>
      </x:c>
      <x:c r="R1920" s="19" t="str">
        <x:v>独立判定</x:v>
      </x:c>
    </x:row>
    <x:row r="1921" ht="19" customHeight="1">
      <x:c r="A1921" s="19" t="str">
        <x:v>D01917</x:v>
      </x:c>
      <x:c r="B1921" s="19" t="n">
        <x:v>4</x:v>
      </x:c>
      <x:c r="C1921" s="19" t="n">
        <x:v>5</x:v>
      </x:c>
      <x:c r="D1921" s="19" t="str">
        <x:v>C04-M058</x:v>
      </x:c>
      <x:c r="E1921" s="19" t="str">
        <x:v>吞灯巨鲶</x:v>
      </x:c>
      <x:c r="F1921" s="19" t="str">
        <x:v>稀有</x:v>
      </x:c>
      <x:c r="G1921" s="19" t="str">
        <x:v>材料独立候选</x:v>
      </x:c>
      <x:c r="H1921" s="19" t="str">
        <x:v>月潮忆珀</x:v>
      </x:c>
      <x:c r="I1921" s="22" t="n">
        <x:v>600000</x:v>
      </x:c>
      <x:c r="J1921" s="22" t="n">
        <x:v>1</x:v>
      </x:c>
      <x:c r="K1921" s="19" t="n">
        <x:v>1</x:v>
      </x:c>
      <x:c r="L1921" s="24" t="n">
        <x:v>21.849999999999998</x:v>
      </x:c>
      <x:c r="M1921" s="26" t="n">
        <x:v>0.1</x:v>
      </x:c>
      <x:c r="N1921" s="24" t="n">
        <x:v>10.797755850105764</x:v>
      </x:c>
      <x:c r="O1921" s="28" t="n">
        <x:f>MIN(1,L1921/I1921)</x:f>
        <x:v>0.000036416666666666666</x:v>
      </x:c>
      <x:c r="P1921" s="30" t="n">
        <x:f>O1921*J1921*(1+M1921)</x:f>
        <x:v>0.000040058333333333336</x:v>
      </x:c>
      <x:c r="Q1921" s="30" t="n">
        <x:f>P1921*N1921</x:f>
        <x:v>0.00043254010309548677</x:v>
      </x:c>
      <x:c r="R1921" s="19" t="str">
        <x:v>独立判定</x:v>
      </x:c>
    </x:row>
    <x:row r="1922" ht="19" customHeight="1">
      <x:c r="A1922" s="19" t="str">
        <x:v>D01918</x:v>
      </x:c>
      <x:c r="B1922" s="19" t="n">
        <x:v>4</x:v>
      </x:c>
      <x:c r="C1922" s="19" t="n">
        <x:v>5</x:v>
      </x:c>
      <x:c r="D1922" s="19" t="str">
        <x:v>C04-M058</x:v>
      </x:c>
      <x:c r="E1922" s="19" t="str">
        <x:v>吞灯巨鲶</x:v>
      </x:c>
      <x:c r="F1922" s="19" t="str">
        <x:v>稀有</x:v>
      </x:c>
      <x:c r="G1922" s="19" t="str">
        <x:v>材料独立候选</x:v>
      </x:c>
      <x:c r="H1922" s="19" t="str">
        <x:v>黄金树芽</x:v>
      </x:c>
      <x:c r="I1922" s="22" t="n">
        <x:v>2000</x:v>
      </x:c>
      <x:c r="J1922" s="22" t="n">
        <x:v>1</x:v>
      </x:c>
      <x:c r="K1922" s="19" t="n">
        <x:v>1</x:v>
      </x:c>
      <x:c r="L1922" s="24" t="n">
        <x:v>21.849999999999998</x:v>
      </x:c>
      <x:c r="M1922" s="26" t="n">
        <x:v>0.1</x:v>
      </x:c>
      <x:c r="N1922" s="24" t="n">
        <x:v>10.797755850105764</x:v>
      </x:c>
      <x:c r="O1922" s="28" t="n">
        <x:f>MIN(1,L1922/I1922)</x:f>
        <x:v>0.010924999999999999</x:v>
      </x:c>
      <x:c r="P1922" s="30" t="n">
        <x:f>O1922*J1922*(1+M1922)</x:f>
        <x:v>0.0120175</x:v>
      </x:c>
      <x:c r="Q1922" s="30" t="n">
        <x:f>P1922*N1922</x:f>
        <x:v>0.12976203092864602</x:v>
      </x:c>
      <x:c r="R1922" s="19" t="str">
        <x:v>独立判定</x:v>
      </x:c>
    </x:row>
    <x:row r="1923" ht="19" customHeight="1">
      <x:c r="A1923" s="19" t="str">
        <x:v>D01919</x:v>
      </x:c>
      <x:c r="B1923" s="19" t="n">
        <x:v>4</x:v>
      </x:c>
      <x:c r="C1923" s="19" t="n">
        <x:v>5</x:v>
      </x:c>
      <x:c r="D1923" s="19" t="str">
        <x:v>C04-M058</x:v>
      </x:c>
      <x:c r="E1923" s="19" t="str">
        <x:v>吞灯巨鲶</x:v>
      </x:c>
      <x:c r="F1923" s="19" t="str">
        <x:v>稀有</x:v>
      </x:c>
      <x:c r="G1923" s="19" t="str">
        <x:v>材料独立候选</x:v>
      </x:c>
      <x:c r="H1923" s="19" t="str">
        <x:v>野兽骨片</x:v>
      </x:c>
      <x:c r="I1923" s="22" t="n">
        <x:v>60</x:v>
      </x:c>
      <x:c r="J1923" s="22" t="n">
        <x:v>2</x:v>
      </x:c>
      <x:c r="K1923" s="19" t="n">
        <x:v>1</x:v>
      </x:c>
      <x:c r="L1923" s="24" t="n">
        <x:v>21.849999999999998</x:v>
      </x:c>
      <x:c r="M1923" s="26" t="n">
        <x:v>0.1</x:v>
      </x:c>
      <x:c r="N1923" s="24" t="n">
        <x:v>10.797755850105764</x:v>
      </x:c>
      <x:c r="O1923" s="28" t="n">
        <x:f>MIN(1,L1923/I1923)</x:f>
        <x:v>0.36416666666666664</x:v>
      </x:c>
      <x:c r="P1923" s="30" t="n">
        <x:f>O1923*J1923*(1+M1923)</x:f>
        <x:v>0.8011666666666667</x:v>
      </x:c>
      <x:c r="Q1923" s="30" t="n">
        <x:f>P1923*N1923</x:f>
        <x:v>8.650802061909735</x:v>
      </x:c>
      <x:c r="R1923" s="19" t="str">
        <x:v>独立判定</x:v>
      </x:c>
    </x:row>
    <x:row r="1924" ht="19" customHeight="1">
      <x:c r="A1924" s="19" t="str">
        <x:v>D01920</x:v>
      </x:c>
      <x:c r="B1924" s="19" t="n">
        <x:v>4</x:v>
      </x:c>
      <x:c r="C1924" s="19" t="n">
        <x:v>5</x:v>
      </x:c>
      <x:c r="D1924" s="19" t="str">
        <x:v>C04-M058</x:v>
      </x:c>
      <x:c r="E1924" s="19" t="str">
        <x:v>吞灯巨鲶</x:v>
      </x:c>
      <x:c r="F1924" s="19" t="str">
        <x:v>稀有</x:v>
      </x:c>
      <x:c r="G1924" s="19" t="str">
        <x:v>材料独立候选</x:v>
      </x:c>
      <x:c r="H1924" s="19" t="str">
        <x:v>技能残页</x:v>
      </x:c>
      <x:c r="I1924" s="22" t="n">
        <x:v>300</x:v>
      </x:c>
      <x:c r="J1924" s="22" t="n">
        <x:v>1</x:v>
      </x:c>
      <x:c r="K1924" s="19" t="n">
        <x:v>1</x:v>
      </x:c>
      <x:c r="L1924" s="24" t="n">
        <x:v>21.849999999999998</x:v>
      </x:c>
      <x:c r="M1924" s="26" t="n">
        <x:v>0.1</x:v>
      </x:c>
      <x:c r="N1924" s="24" t="n">
        <x:v>10.797755850105764</x:v>
      </x:c>
      <x:c r="O1924" s="28" t="n">
        <x:f>MIN(1,L1924/I1924)</x:f>
        <x:v>0.07283333333333332</x:v>
      </x:c>
      <x:c r="P1924" s="30" t="n">
        <x:f>O1924*J1924*(1+M1924)</x:f>
        <x:v>0.08011666666666666</x:v>
      </x:c>
      <x:c r="Q1924" s="30" t="n">
        <x:f>P1924*N1924</x:f>
        <x:v>0.8650802061909734</x:v>
      </x:c>
      <x:c r="R1924" s="19" t="str">
        <x:v>独立判定</x:v>
      </x:c>
    </x:row>
    <x:row r="1925" ht="19" customHeight="1">
      <x:c r="A1925" s="19" t="str">
        <x:v>D01921</x:v>
      </x:c>
      <x:c r="B1925" s="19" t="n">
        <x:v>4</x:v>
      </x:c>
      <x:c r="C1925" s="19" t="n">
        <x:v>5</x:v>
      </x:c>
      <x:c r="D1925" s="19" t="str">
        <x:v>C04-M058</x:v>
      </x:c>
      <x:c r="E1925" s="19" t="str">
        <x:v>吞灯巨鲶</x:v>
      </x:c>
      <x:c r="F1925" s="19" t="str">
        <x:v>稀有</x:v>
      </x:c>
      <x:c r="G1925" s="19" t="str">
        <x:v>材料独立候选</x:v>
      </x:c>
      <x:c r="H1925" s="19" t="str">
        <x:v>小卢恩</x:v>
      </x:c>
      <x:c r="I1925" s="22" t="n">
        <x:v>600</x:v>
      </x:c>
      <x:c r="J1925" s="22" t="n">
        <x:v>1</x:v>
      </x:c>
      <x:c r="K1925" s="19" t="n">
        <x:v>1</x:v>
      </x:c>
      <x:c r="L1925" s="24" t="n">
        <x:v>21.849999999999998</x:v>
      </x:c>
      <x:c r="M1925" s="26" t="n">
        <x:v>0.1</x:v>
      </x:c>
      <x:c r="N1925" s="24" t="n">
        <x:v>10.797755850105764</x:v>
      </x:c>
      <x:c r="O1925" s="28" t="n">
        <x:f>MIN(1,L1925/I1925)</x:f>
        <x:v>0.03641666666666666</x:v>
      </x:c>
      <x:c r="P1925" s="30" t="n">
        <x:f>O1925*J1925*(1+M1925)</x:f>
        <x:v>0.04005833333333333</x:v>
      </x:c>
      <x:c r="Q1925" s="30" t="n">
        <x:f>P1925*N1925</x:f>
        <x:v>0.4325401030954867</x:v>
      </x:c>
      <x:c r="R1925" s="19" t="str">
        <x:v>独立判定</x:v>
      </x:c>
    </x:row>
    <x:row r="1926" ht="19" customHeight="1">
      <x:c r="A1926" s="19" t="str">
        <x:v>D01922</x:v>
      </x:c>
      <x:c r="B1926" s="19" t="n">
        <x:v>4</x:v>
      </x:c>
      <x:c r="C1926" s="19" t="n">
        <x:v>5</x:v>
      </x:c>
      <x:c r="D1926" s="19" t="str">
        <x:v>C04-M058</x:v>
      </x:c>
      <x:c r="E1926" s="19" t="str">
        <x:v>吞灯巨鲶</x:v>
      </x:c>
      <x:c r="F1926" s="19" t="str">
        <x:v>稀有</x:v>
      </x:c>
      <x:c r="G1926" s="19" t="str">
        <x:v>六神器公共池</x:v>
      </x:c>
      <x:c r="H1926" s="19" t="str">
        <x:v>POOL006</x:v>
      </x:c>
      <x:c r="I1926" s="22" t="n">
        <x:v>5000000</x:v>
      </x:c>
      <x:c r="J1926" s="22" t="n">
        <x:v>1</x:v>
      </x:c>
      <x:c r="K1926" s="19" t="n">
        <x:v>6</x:v>
      </x:c>
      <x:c r="L1926" s="24" t="n">
        <x:v>21.849999999999998</x:v>
      </x:c>
      <x:c r="M1926" s="26" t="n">
        <x:v>0.1</x:v>
      </x:c>
      <x:c r="N1926" s="24" t="n">
        <x:v>10.797755850105764</x:v>
      </x:c>
      <x:c r="O1926" s="28" t="n">
        <x:f>MIN(1,L1926/I1926)</x:f>
        <x:v>0.00000437</x:v>
      </x:c>
      <x:c r="P1926" s="30" t="n">
        <x:f>O1926*J1926*(1+M1926)</x:f>
        <x:v>0.000004807</x:v>
      </x:c>
      <x:c r="Q1926" s="30" t="n">
        <x:f>P1926*N1926</x:f>
        <x:v>0.00005190481237145841</x:v>
      </x:c>
      <x:c r="R1926" s="19" t="str">
        <x:v>六选一；非6个独立爆率</x:v>
      </x:c>
    </x:row>
    <x:row r="1927" ht="19" customHeight="1">
      <x:c r="A1927" s="19" t="str">
        <x:v>D01923</x:v>
      </x:c>
      <x:c r="B1927" s="19" t="n">
        <x:v>4</x:v>
      </x:c>
      <x:c r="C1927" s="19" t="n">
        <x:v>5</x:v>
      </x:c>
      <x:c r="D1927" s="19" t="str">
        <x:v>C04-M059</x:v>
      </x:c>
      <x:c r="E1927" s="19" t="str">
        <x:v>暗河剑师·罗缇</x:v>
      </x:c>
      <x:c r="F1927" s="19" t="str">
        <x:v>地图BOSS</x:v>
      </x:c>
      <x:c r="G1927" s="19" t="str">
        <x:v>自身专属</x:v>
      </x:c>
      <x:c r="H1927" s="19" t="str">
        <x:v>罗缇的回流剑</x:v>
      </x:c>
      <x:c r="I1927" s="22" t="n">
        <x:v>50</x:v>
      </x:c>
      <x:c r="J1927" s="22" t="n">
        <x:v>1</x:v>
      </x:c>
      <x:c r="K1927" s="19" t="n">
        <x:v>1</x:v>
      </x:c>
      <x:c r="L1927" s="24" t="n">
        <x:v>21.849999999999998</x:v>
      </x:c>
      <x:c r="M1927" s="26" t="n">
        <x:v>0.1</x:v>
      </x:c>
      <x:c r="N1927" s="24" t="n">
        <x:v>2</x:v>
      </x:c>
      <x:c r="O1927" s="28" t="n">
        <x:f>MIN(1,L1927/I1927)</x:f>
        <x:v>0.43699999999999994</x:v>
      </x:c>
      <x:c r="P1927" s="30" t="n">
        <x:f>O1927*J1927*(1+M1927)</x:f>
        <x:v>0.48069999999999996</x:v>
      </x:c>
      <x:c r="Q1927" s="30" t="n">
        <x:f>P1927*N1927</x:f>
        <x:v>0.9613999999999999</x:v>
      </x:c>
      <x:c r="R1927" s="19" t="str">
        <x:v>独立判定</x:v>
      </x:c>
    </x:row>
    <x:row r="1928" ht="19" customHeight="1">
      <x:c r="A1928" s="19" t="str">
        <x:v>D01924</x:v>
      </x:c>
      <x:c r="B1928" s="19" t="n">
        <x:v>4</x:v>
      </x:c>
      <x:c r="C1928" s="19" t="n">
        <x:v>5</x:v>
      </x:c>
      <x:c r="D1928" s="19" t="str">
        <x:v>C04-M059</x:v>
      </x:c>
      <x:c r="E1928" s="19" t="str">
        <x:v>暗河剑师·罗缇</x:v>
      </x:c>
      <x:c r="F1928" s="19" t="str">
        <x:v>地图BOSS</x:v>
      </x:c>
      <x:c r="G1928" s="19" t="str">
        <x:v>本图普通兼掉候选</x:v>
      </x:c>
      <x:c r="H1928" s="19" t="str">
        <x:v>POOL032</x:v>
      </x:c>
      <x:c r="I1928" s="22" t="n">
        <x:v>50</x:v>
      </x:c>
      <x:c r="J1928" s="22" t="n">
        <x:v>1</x:v>
      </x:c>
      <x:c r="K1928" s="19" t="n">
        <x:v>2</x:v>
      </x:c>
      <x:c r="L1928" s="24" t="n">
        <x:v>21.849999999999998</x:v>
      </x:c>
      <x:c r="M1928" s="26" t="n">
        <x:v>0.1</x:v>
      </x:c>
      <x:c r="N1928" s="24" t="n">
        <x:v>2</x:v>
      </x:c>
      <x:c r="O1928" s="28" t="n">
        <x:f>MIN(1,L1928/I1928)</x:f>
        <x:v>0.43699999999999994</x:v>
      </x:c>
      <x:c r="P1928" s="30" t="n">
        <x:f>O1928*J1928*(1+M1928)</x:f>
        <x:v>0.48069999999999996</x:v>
      </x:c>
      <x:c r="Q1928" s="30" t="n">
        <x:f>P1928*N1928</x:f>
        <x:v>0.9613999999999999</x:v>
      </x:c>
      <x:c r="R1928" s="19" t="str">
        <x:v>单池选一</x:v>
      </x:c>
    </x:row>
    <x:row r="1929" ht="19" customHeight="1">
      <x:c r="A1929" s="19" t="str">
        <x:v>D01925</x:v>
      </x:c>
      <x:c r="B1929" s="19" t="n">
        <x:v>4</x:v>
      </x:c>
      <x:c r="C1929" s="19" t="n">
        <x:v>5</x:v>
      </x:c>
      <x:c r="D1929" s="19" t="str">
        <x:v>C04-M059</x:v>
      </x:c>
      <x:c r="E1929" s="19" t="str">
        <x:v>暗河剑师·罗缇</x:v>
      </x:c>
      <x:c r="F1929" s="19" t="str">
        <x:v>地图BOSS</x:v>
      </x:c>
      <x:c r="G1929" s="19" t="str">
        <x:v>材料独立候选</x:v>
      </x:c>
      <x:c r="H1929" s="19" t="str">
        <x:v>湖盐结晶</x:v>
      </x:c>
      <x:c r="I1929" s="22" t="n">
        <x:v>200</x:v>
      </x:c>
      <x:c r="J1929" s="22" t="n">
        <x:v>30</x:v>
      </x:c>
      <x:c r="K1929" s="19" t="n">
        <x:v>1</x:v>
      </x:c>
      <x:c r="L1929" s="24" t="n">
        <x:v>21.849999999999998</x:v>
      </x:c>
      <x:c r="M1929" s="26" t="n">
        <x:v>0.1</x:v>
      </x:c>
      <x:c r="N1929" s="24" t="n">
        <x:v>2</x:v>
      </x:c>
      <x:c r="O1929" s="28" t="n">
        <x:f>MIN(1,L1929/I1929)</x:f>
        <x:v>0.10924999999999999</x:v>
      </x:c>
      <x:c r="P1929" s="30" t="n">
        <x:f>O1929*J1929*(1+M1929)</x:f>
        <x:v>3.60525</x:v>
      </x:c>
      <x:c r="Q1929" s="30" t="n">
        <x:f>P1929*N1929</x:f>
        <x:v>7.2105</x:v>
      </x:c>
      <x:c r="R1929" s="19" t="str">
        <x:v>独立判定</x:v>
      </x:c>
    </x:row>
    <x:row r="1930" ht="19" customHeight="1">
      <x:c r="A1930" s="19" t="str">
        <x:v>D01926</x:v>
      </x:c>
      <x:c r="B1930" s="19" t="n">
        <x:v>4</x:v>
      </x:c>
      <x:c r="C1930" s="19" t="n">
        <x:v>5</x:v>
      </x:c>
      <x:c r="D1930" s="19" t="str">
        <x:v>C04-M059</x:v>
      </x:c>
      <x:c r="E1930" s="19" t="str">
        <x:v>暗河剑师·罗缇</x:v>
      </x:c>
      <x:c r="F1930" s="19" t="str">
        <x:v>地图BOSS</x:v>
      </x:c>
      <x:c r="G1930" s="19" t="str">
        <x:v>材料独立候选</x:v>
      </x:c>
      <x:c r="H1930" s="19" t="str">
        <x:v>幽船铆钉</x:v>
      </x:c>
      <x:c r="I1930" s="22" t="n">
        <x:v>600</x:v>
      </x:c>
      <x:c r="J1930" s="22" t="n">
        <x:v>1</x:v>
      </x:c>
      <x:c r="K1930" s="19" t="n">
        <x:v>1</x:v>
      </x:c>
      <x:c r="L1930" s="24" t="n">
        <x:v>21.849999999999998</x:v>
      </x:c>
      <x:c r="M1930" s="26" t="n">
        <x:v>0.1</x:v>
      </x:c>
      <x:c r="N1930" s="24" t="n">
        <x:v>2</x:v>
      </x:c>
      <x:c r="O1930" s="28" t="n">
        <x:f>MIN(1,L1930/I1930)</x:f>
        <x:v>0.03641666666666666</x:v>
      </x:c>
      <x:c r="P1930" s="30" t="n">
        <x:f>O1930*J1930*(1+M1930)</x:f>
        <x:v>0.04005833333333333</x:v>
      </x:c>
      <x:c r="Q1930" s="30" t="n">
        <x:f>P1930*N1930</x:f>
        <x:v>0.08011666666666666</x:v>
      </x:c>
      <x:c r="R1930" s="19" t="str">
        <x:v>独立判定</x:v>
      </x:c>
    </x:row>
    <x:row r="1931" ht="19" customHeight="1">
      <x:c r="A1931" s="19" t="str">
        <x:v>D01927</x:v>
      </x:c>
      <x:c r="B1931" s="19" t="n">
        <x:v>4</x:v>
      </x:c>
      <x:c r="C1931" s="19" t="n">
        <x:v>5</x:v>
      </x:c>
      <x:c r="D1931" s="19" t="str">
        <x:v>C04-M059</x:v>
      </x:c>
      <x:c r="E1931" s="19" t="str">
        <x:v>暗河剑师·罗缇</x:v>
      </x:c>
      <x:c r="F1931" s="19" t="str">
        <x:v>地图BOSS</x:v>
      </x:c>
      <x:c r="G1931" s="19" t="str">
        <x:v>材料独立候选</x:v>
      </x:c>
      <x:c r="H1931" s="19" t="str">
        <x:v>沉湖王印</x:v>
      </x:c>
      <x:c r="I1931" s="22" t="n">
        <x:v>100</x:v>
      </x:c>
      <x:c r="J1931" s="22" t="n">
        <x:v>2</x:v>
      </x:c>
      <x:c r="K1931" s="19" t="n">
        <x:v>1</x:v>
      </x:c>
      <x:c r="L1931" s="24" t="n">
        <x:v>21.849999999999998</x:v>
      </x:c>
      <x:c r="M1931" s="26" t="n">
        <x:v>0.1</x:v>
      </x:c>
      <x:c r="N1931" s="24" t="n">
        <x:v>2</x:v>
      </x:c>
      <x:c r="O1931" s="28" t="n">
        <x:f>MIN(1,L1931/I1931)</x:f>
        <x:v>0.21849999999999997</x:v>
      </x:c>
      <x:c r="P1931" s="30" t="n">
        <x:f>O1931*J1931*(1+M1931)</x:f>
        <x:v>0.48069999999999996</x:v>
      </x:c>
      <x:c r="Q1931" s="30" t="n">
        <x:f>P1931*N1931</x:f>
        <x:v>0.9613999999999999</x:v>
      </x:c>
      <x:c r="R1931" s="19" t="str">
        <x:v>独立判定</x:v>
      </x:c>
    </x:row>
    <x:row r="1932" ht="19" customHeight="1">
      <x:c r="A1932" s="19" t="str">
        <x:v>D01928</x:v>
      </x:c>
      <x:c r="B1932" s="19" t="n">
        <x:v>4</x:v>
      </x:c>
      <x:c r="C1932" s="19" t="n">
        <x:v>5</x:v>
      </x:c>
      <x:c r="D1932" s="19" t="str">
        <x:v>C04-M059</x:v>
      </x:c>
      <x:c r="E1932" s="19" t="str">
        <x:v>暗河剑师·罗缇</x:v>
      </x:c>
      <x:c r="F1932" s="19" t="str">
        <x:v>地图BOSS</x:v>
      </x:c>
      <x:c r="G1932" s="19" t="str">
        <x:v>材料独立候选</x:v>
      </x:c>
      <x:c r="H1932" s="19" t="str">
        <x:v>深湖压舱印</x:v>
      </x:c>
      <x:c r="I1932" s="22" t="n">
        <x:v>120</x:v>
      </x:c>
      <x:c r="J1932" s="22" t="n">
        <x:v>2</x:v>
      </x:c>
      <x:c r="K1932" s="19" t="n">
        <x:v>1</x:v>
      </x:c>
      <x:c r="L1932" s="24" t="n">
        <x:v>21.849999999999998</x:v>
      </x:c>
      <x:c r="M1932" s="26" t="n">
        <x:v>0.1</x:v>
      </x:c>
      <x:c r="N1932" s="24" t="n">
        <x:v>2</x:v>
      </x:c>
      <x:c r="O1932" s="28" t="n">
        <x:f>MIN(1,L1932/I1932)</x:f>
        <x:v>0.18208333333333332</x:v>
      </x:c>
      <x:c r="P1932" s="30" t="n">
        <x:f>O1932*J1932*(1+M1932)</x:f>
        <x:v>0.40058333333333335</x:v>
      </x:c>
      <x:c r="Q1932" s="30" t="n">
        <x:f>P1932*N1932</x:f>
        <x:v>0.8011666666666667</x:v>
      </x:c>
      <x:c r="R1932" s="19" t="str">
        <x:v>独立判定</x:v>
      </x:c>
    </x:row>
    <x:row r="1933" ht="19" customHeight="1">
      <x:c r="A1933" s="19" t="str">
        <x:v>D01929</x:v>
      </x:c>
      <x:c r="B1933" s="19" t="n">
        <x:v>4</x:v>
      </x:c>
      <x:c r="C1933" s="19" t="n">
        <x:v>5</x:v>
      </x:c>
      <x:c r="D1933" s="19" t="str">
        <x:v>C04-M059</x:v>
      </x:c>
      <x:c r="E1933" s="19" t="str">
        <x:v>暗河剑师·罗缇</x:v>
      </x:c>
      <x:c r="F1933" s="19" t="str">
        <x:v>地图BOSS</x:v>
      </x:c>
      <x:c r="G1933" s="19" t="str">
        <x:v>材料独立候选</x:v>
      </x:c>
      <x:c r="H1933" s="19" t="str">
        <x:v>月潮忆珀</x:v>
      </x:c>
      <x:c r="I1933" s="22" t="n">
        <x:v>300000</x:v>
      </x:c>
      <x:c r="J1933" s="22" t="n">
        <x:v>1</x:v>
      </x:c>
      <x:c r="K1933" s="19" t="n">
        <x:v>1</x:v>
      </x:c>
      <x:c r="L1933" s="24" t="n">
        <x:v>21.849999999999998</x:v>
      </x:c>
      <x:c r="M1933" s="26" t="n">
        <x:v>0.1</x:v>
      </x:c>
      <x:c r="N1933" s="24" t="n">
        <x:v>2</x:v>
      </x:c>
      <x:c r="O1933" s="28" t="n">
        <x:f>MIN(1,L1933/I1933)</x:f>
        <x:v>0.00007283333333333333</x:v>
      </x:c>
      <x:c r="P1933" s="30" t="n">
        <x:f>O1933*J1933*(1+M1933)</x:f>
        <x:v>0.00008011666666666667</x:v>
      </x:c>
      <x:c r="Q1933" s="30" t="n">
        <x:f>P1933*N1933</x:f>
        <x:v>0.00016023333333333334</x:v>
      </x:c>
      <x:c r="R1933" s="19" t="str">
        <x:v>独立判定</x:v>
      </x:c>
    </x:row>
    <x:row r="1934" ht="19" customHeight="1">
      <x:c r="A1934" s="19" t="str">
        <x:v>D01930</x:v>
      </x:c>
      <x:c r="B1934" s="19" t="n">
        <x:v>4</x:v>
      </x:c>
      <x:c r="C1934" s="19" t="n">
        <x:v>5</x:v>
      </x:c>
      <x:c r="D1934" s="19" t="str">
        <x:v>C04-M059</x:v>
      </x:c>
      <x:c r="E1934" s="19" t="str">
        <x:v>暗河剑师·罗缇</x:v>
      </x:c>
      <x:c r="F1934" s="19" t="str">
        <x:v>地图BOSS</x:v>
      </x:c>
      <x:c r="G1934" s="19" t="str">
        <x:v>材料独立候选</x:v>
      </x:c>
      <x:c r="H1934" s="19" t="str">
        <x:v>黄金树芽</x:v>
      </x:c>
      <x:c r="I1934" s="22" t="n">
        <x:v>1000</x:v>
      </x:c>
      <x:c r="J1934" s="22" t="n">
        <x:v>1</x:v>
      </x:c>
      <x:c r="K1934" s="19" t="n">
        <x:v>1</x:v>
      </x:c>
      <x:c r="L1934" s="24" t="n">
        <x:v>21.849999999999998</x:v>
      </x:c>
      <x:c r="M1934" s="26" t="n">
        <x:v>0.1</x:v>
      </x:c>
      <x:c r="N1934" s="24" t="n">
        <x:v>2</x:v>
      </x:c>
      <x:c r="O1934" s="28" t="n">
        <x:f>MIN(1,L1934/I1934)</x:f>
        <x:v>0.021849999999999998</x:v>
      </x:c>
      <x:c r="P1934" s="30" t="n">
        <x:f>O1934*J1934*(1+M1934)</x:f>
        <x:v>0.024035</x:v>
      </x:c>
      <x:c r="Q1934" s="30" t="n">
        <x:f>P1934*N1934</x:f>
        <x:v>0.04807</x:v>
      </x:c>
      <x:c r="R1934" s="19" t="str">
        <x:v>独立判定</x:v>
      </x:c>
    </x:row>
    <x:row r="1935" ht="19" customHeight="1">
      <x:c r="A1935" s="19" t="str">
        <x:v>D01931</x:v>
      </x:c>
      <x:c r="B1935" s="19" t="n">
        <x:v>4</x:v>
      </x:c>
      <x:c r="C1935" s="19" t="n">
        <x:v>5</x:v>
      </x:c>
      <x:c r="D1935" s="19" t="str">
        <x:v>C04-M059</x:v>
      </x:c>
      <x:c r="E1935" s="19" t="str">
        <x:v>暗河剑师·罗缇</x:v>
      </x:c>
      <x:c r="F1935" s="19" t="str">
        <x:v>地图BOSS</x:v>
      </x:c>
      <x:c r="G1935" s="19" t="str">
        <x:v>材料独立候选</x:v>
      </x:c>
      <x:c r="H1935" s="19" t="str">
        <x:v>野兽骨片</x:v>
      </x:c>
      <x:c r="I1935" s="22" t="n">
        <x:v>40</x:v>
      </x:c>
      <x:c r="J1935" s="22" t="n">
        <x:v>2</x:v>
      </x:c>
      <x:c r="K1935" s="19" t="n">
        <x:v>1</x:v>
      </x:c>
      <x:c r="L1935" s="24" t="n">
        <x:v>21.849999999999998</x:v>
      </x:c>
      <x:c r="M1935" s="26" t="n">
        <x:v>0.1</x:v>
      </x:c>
      <x:c r="N1935" s="24" t="n">
        <x:v>2</x:v>
      </x:c>
      <x:c r="O1935" s="28" t="n">
        <x:f>MIN(1,L1935/I1935)</x:f>
        <x:v>0.5462499999999999</x:v>
      </x:c>
      <x:c r="P1935" s="30" t="n">
        <x:f>O1935*J1935*(1+M1935)</x:f>
        <x:v>1.2017499999999999</x:v>
      </x:c>
      <x:c r="Q1935" s="30" t="n">
        <x:f>P1935*N1935</x:f>
        <x:v>2.4034999999999997</x:v>
      </x:c>
      <x:c r="R1935" s="19" t="str">
        <x:v>独立判定</x:v>
      </x:c>
    </x:row>
    <x:row r="1936" ht="19" customHeight="1">
      <x:c r="A1936" s="19" t="str">
        <x:v>D01932</x:v>
      </x:c>
      <x:c r="B1936" s="19" t="n">
        <x:v>4</x:v>
      </x:c>
      <x:c r="C1936" s="19" t="n">
        <x:v>5</x:v>
      </x:c>
      <x:c r="D1936" s="19" t="str">
        <x:v>C04-M059</x:v>
      </x:c>
      <x:c r="E1936" s="19" t="str">
        <x:v>暗河剑师·罗缇</x:v>
      </x:c>
      <x:c r="F1936" s="19" t="str">
        <x:v>地图BOSS</x:v>
      </x:c>
      <x:c r="G1936" s="19" t="str">
        <x:v>材料独立候选</x:v>
      </x:c>
      <x:c r="H1936" s="19" t="str">
        <x:v>技能残页</x:v>
      </x:c>
      <x:c r="I1936" s="22" t="n">
        <x:v>180</x:v>
      </x:c>
      <x:c r="J1936" s="22" t="n">
        <x:v>1</x:v>
      </x:c>
      <x:c r="K1936" s="19" t="n">
        <x:v>1</x:v>
      </x:c>
      <x:c r="L1936" s="24" t="n">
        <x:v>21.849999999999998</x:v>
      </x:c>
      <x:c r="M1936" s="26" t="n">
        <x:v>0.1</x:v>
      </x:c>
      <x:c r="N1936" s="24" t="n">
        <x:v>2</x:v>
      </x:c>
      <x:c r="O1936" s="28" t="n">
        <x:f>MIN(1,L1936/I1936)</x:f>
        <x:v>0.12138888888888888</x:v>
      </x:c>
      <x:c r="P1936" s="30" t="n">
        <x:f>O1936*J1936*(1+M1936)</x:f>
        <x:v>0.13352777777777777</x:v>
      </x:c>
      <x:c r="Q1936" s="30" t="n">
        <x:f>P1936*N1936</x:f>
        <x:v>0.26705555555555555</x:v>
      </x:c>
      <x:c r="R1936" s="19" t="str">
        <x:v>独立判定</x:v>
      </x:c>
    </x:row>
    <x:row r="1937" ht="19" customHeight="1">
      <x:c r="A1937" s="19" t="str">
        <x:v>D01933</x:v>
      </x:c>
      <x:c r="B1937" s="19" t="n">
        <x:v>4</x:v>
      </x:c>
      <x:c r="C1937" s="19" t="n">
        <x:v>5</x:v>
      </x:c>
      <x:c r="D1937" s="19" t="str">
        <x:v>C04-M059</x:v>
      </x:c>
      <x:c r="E1937" s="19" t="str">
        <x:v>暗河剑师·罗缇</x:v>
      </x:c>
      <x:c r="F1937" s="19" t="str">
        <x:v>地图BOSS</x:v>
      </x:c>
      <x:c r="G1937" s="19" t="str">
        <x:v>材料独立候选</x:v>
      </x:c>
      <x:c r="H1937" s="19" t="str">
        <x:v>宁姆格福誓页</x:v>
      </x:c>
      <x:c r="I1937" s="22" t="n">
        <x:v>300</x:v>
      </x:c>
      <x:c r="J1937" s="22" t="n">
        <x:v>1</x:v>
      </x:c>
      <x:c r="K1937" s="19" t="n">
        <x:v>1</x:v>
      </x:c>
      <x:c r="L1937" s="24" t="n">
        <x:v>21.849999999999998</x:v>
      </x:c>
      <x:c r="M1937" s="26" t="n">
        <x:v>0.1</x:v>
      </x:c>
      <x:c r="N1937" s="24" t="n">
        <x:v>2</x:v>
      </x:c>
      <x:c r="O1937" s="28" t="n">
        <x:f>MIN(1,L1937/I1937)</x:f>
        <x:v>0.07283333333333332</x:v>
      </x:c>
      <x:c r="P1937" s="30" t="n">
        <x:f>O1937*J1937*(1+M1937)</x:f>
        <x:v>0.08011666666666666</x:v>
      </x:c>
      <x:c r="Q1937" s="30" t="n">
        <x:f>P1937*N1937</x:f>
        <x:v>0.1602333333333333</x:v>
      </x:c>
      <x:c r="R1937" s="19" t="str">
        <x:v>独立判定</x:v>
      </x:c>
    </x:row>
    <x:row r="1938" ht="19" customHeight="1">
      <x:c r="A1938" s="19" t="str">
        <x:v>D01934</x:v>
      </x:c>
      <x:c r="B1938" s="19" t="n">
        <x:v>4</x:v>
      </x:c>
      <x:c r="C1938" s="19" t="n">
        <x:v>5</x:v>
      </x:c>
      <x:c r="D1938" s="19" t="str">
        <x:v>C04-M059</x:v>
      </x:c>
      <x:c r="E1938" s="19" t="str">
        <x:v>暗河剑师·罗缇</x:v>
      </x:c>
      <x:c r="F1938" s="19" t="str">
        <x:v>地图BOSS</x:v>
      </x:c>
      <x:c r="G1938" s="19" t="str">
        <x:v>材料独立候选</x:v>
      </x:c>
      <x:c r="H1938" s="19" t="str">
        <x:v>小卢恩</x:v>
      </x:c>
      <x:c r="I1938" s="22" t="n">
        <x:v>300</x:v>
      </x:c>
      <x:c r="J1938" s="22" t="n">
        <x:v>1</x:v>
      </x:c>
      <x:c r="K1938" s="19" t="n">
        <x:v>1</x:v>
      </x:c>
      <x:c r="L1938" s="24" t="n">
        <x:v>21.849999999999998</x:v>
      </x:c>
      <x:c r="M1938" s="26" t="n">
        <x:v>0.1</x:v>
      </x:c>
      <x:c r="N1938" s="24" t="n">
        <x:v>2</x:v>
      </x:c>
      <x:c r="O1938" s="28" t="n">
        <x:f>MIN(1,L1938/I1938)</x:f>
        <x:v>0.07283333333333332</x:v>
      </x:c>
      <x:c r="P1938" s="30" t="n">
        <x:f>O1938*J1938*(1+M1938)</x:f>
        <x:v>0.08011666666666666</x:v>
      </x:c>
      <x:c r="Q1938" s="30" t="n">
        <x:f>P1938*N1938</x:f>
        <x:v>0.1602333333333333</x:v>
      </x:c>
      <x:c r="R1938" s="19" t="str">
        <x:v>独立判定</x:v>
      </x:c>
    </x:row>
    <x:row r="1939" ht="19" customHeight="1">
      <x:c r="A1939" s="19" t="str">
        <x:v>D01935</x:v>
      </x:c>
      <x:c r="B1939" s="19" t="n">
        <x:v>4</x:v>
      </x:c>
      <x:c r="C1939" s="19" t="n">
        <x:v>5</x:v>
      </x:c>
      <x:c r="D1939" s="19" t="str">
        <x:v>C04-M059</x:v>
      </x:c>
      <x:c r="E1939" s="19" t="str">
        <x:v>暗河剑师·罗缇</x:v>
      </x:c>
      <x:c r="F1939" s="19" t="str">
        <x:v>地图BOSS</x:v>
      </x:c>
      <x:c r="G1939" s="19" t="str">
        <x:v>材料独立候选</x:v>
      </x:c>
      <x:c r="H1939" s="19" t="str">
        <x:v>大卢恩</x:v>
      </x:c>
      <x:c r="I1939" s="22" t="n">
        <x:v>200</x:v>
      </x:c>
      <x:c r="J1939" s="22" t="n">
        <x:v>1</x:v>
      </x:c>
      <x:c r="K1939" s="19" t="n">
        <x:v>1</x:v>
      </x:c>
      <x:c r="L1939" s="24" t="n">
        <x:v>21.849999999999998</x:v>
      </x:c>
      <x:c r="M1939" s="26" t="n">
        <x:v>0.1</x:v>
      </x:c>
      <x:c r="N1939" s="24" t="n">
        <x:v>2</x:v>
      </x:c>
      <x:c r="O1939" s="28" t="n">
        <x:f>MIN(1,L1939/I1939)</x:f>
        <x:v>0.10924999999999999</x:v>
      </x:c>
      <x:c r="P1939" s="30" t="n">
        <x:f>O1939*J1939*(1+M1939)</x:f>
        <x:v>0.12017499999999999</x:v>
      </x:c>
      <x:c r="Q1939" s="30" t="n">
        <x:f>P1939*N1939</x:f>
        <x:v>0.24034999999999998</x:v>
      </x:c>
      <x:c r="R1939" s="19" t="str">
        <x:v>独立判定</x:v>
      </x:c>
    </x:row>
    <x:row r="1940" ht="19" customHeight="1">
      <x:c r="A1940" s="19" t="str">
        <x:v>D01936</x:v>
      </x:c>
      <x:c r="B1940" s="19" t="n">
        <x:v>4</x:v>
      </x:c>
      <x:c r="C1940" s="19" t="n">
        <x:v>5</x:v>
      </x:c>
      <x:c r="D1940" s="19" t="str">
        <x:v>C04-M059</x:v>
      </x:c>
      <x:c r="E1940" s="19" t="str">
        <x:v>暗河剑师·罗缇</x:v>
      </x:c>
      <x:c r="F1940" s="19" t="str">
        <x:v>地图BOSS</x:v>
      </x:c>
      <x:c r="G1940" s="19" t="str">
        <x:v>六神器公共池</x:v>
      </x:c>
      <x:c r="H1940" s="19" t="str">
        <x:v>POOL006</x:v>
      </x:c>
      <x:c r="I1940" s="22" t="n">
        <x:v>200000</x:v>
      </x:c>
      <x:c r="J1940" s="22" t="n">
        <x:v>1</x:v>
      </x:c>
      <x:c r="K1940" s="19" t="n">
        <x:v>6</x:v>
      </x:c>
      <x:c r="L1940" s="24" t="n">
        <x:v>21.849999999999998</x:v>
      </x:c>
      <x:c r="M1940" s="26" t="n">
        <x:v>0.1</x:v>
      </x:c>
      <x:c r="N1940" s="24" t="n">
        <x:v>2</x:v>
      </x:c>
      <x:c r="O1940" s="28" t="n">
        <x:f>MIN(1,L1940/I1940)</x:f>
        <x:v>0.00010924999999999999</x:v>
      </x:c>
      <x:c r="P1940" s="30" t="n">
        <x:f>O1940*J1940*(1+M1940)</x:f>
        <x:v>0.000120175</x:v>
      </x:c>
      <x:c r="Q1940" s="30" t="n">
        <x:f>P1940*N1940</x:f>
        <x:v>0.00024035</x:v>
      </x:c>
      <x:c r="R1940" s="19" t="str">
        <x:v>六选一；非6个独立爆率</x:v>
      </x:c>
    </x:row>
    <x:row r="1941" ht="19" customHeight="1">
      <x:c r="A1941" s="19" t="str">
        <x:v>D01937</x:v>
      </x:c>
      <x:c r="B1941" s="19" t="n">
        <x:v>4</x:v>
      </x:c>
      <x:c r="C1941" s="19" t="n">
        <x:v>5</x:v>
      </x:c>
      <x:c r="D1941" s="19" t="str">
        <x:v>C04-M060</x:v>
      </x:c>
      <x:c r="E1941" s="19" t="str">
        <x:v>渊口老蛟·涅珈</x:v>
      </x:c>
      <x:c r="F1941" s="19" t="str">
        <x:v>地图BOSS</x:v>
      </x:c>
      <x:c r="G1941" s="19" t="str">
        <x:v>自身专属</x:v>
      </x:c>
      <x:c r="H1941" s="19" t="str">
        <x:v>涅珈镇渊衣</x:v>
      </x:c>
      <x:c r="I1941" s="22" t="n">
        <x:v>50</x:v>
      </x:c>
      <x:c r="J1941" s="22" t="n">
        <x:v>1</x:v>
      </x:c>
      <x:c r="K1941" s="19" t="n">
        <x:v>1</x:v>
      </x:c>
      <x:c r="L1941" s="24" t="n">
        <x:v>21.849999999999998</x:v>
      </x:c>
      <x:c r="M1941" s="26" t="n">
        <x:v>0.1</x:v>
      </x:c>
      <x:c r="N1941" s="24" t="n">
        <x:v>2</x:v>
      </x:c>
      <x:c r="O1941" s="28" t="n">
        <x:f>MIN(1,L1941/I1941)</x:f>
        <x:v>0.43699999999999994</x:v>
      </x:c>
      <x:c r="P1941" s="30" t="n">
        <x:f>O1941*J1941*(1+M1941)</x:f>
        <x:v>0.48069999999999996</x:v>
      </x:c>
      <x:c r="Q1941" s="30" t="n">
        <x:f>P1941*N1941</x:f>
        <x:v>0.9613999999999999</x:v>
      </x:c>
      <x:c r="R1941" s="19" t="str">
        <x:v>独立判定</x:v>
      </x:c>
    </x:row>
    <x:row r="1942" ht="19" customHeight="1">
      <x:c r="A1942" s="19" t="str">
        <x:v>D01938</x:v>
      </x:c>
      <x:c r="B1942" s="19" t="n">
        <x:v>4</x:v>
      </x:c>
      <x:c r="C1942" s="19" t="n">
        <x:v>5</x:v>
      </x:c>
      <x:c r="D1942" s="19" t="str">
        <x:v>C04-M060</x:v>
      </x:c>
      <x:c r="E1942" s="19" t="str">
        <x:v>渊口老蛟·涅珈</x:v>
      </x:c>
      <x:c r="F1942" s="19" t="str">
        <x:v>地图BOSS</x:v>
      </x:c>
      <x:c r="G1942" s="19" t="str">
        <x:v>本图普通兼掉候选</x:v>
      </x:c>
      <x:c r="H1942" s="19" t="str">
        <x:v>POOL033</x:v>
      </x:c>
      <x:c r="I1942" s="22" t="n">
        <x:v>50</x:v>
      </x:c>
      <x:c r="J1942" s="22" t="n">
        <x:v>1</x:v>
      </x:c>
      <x:c r="K1942" s="19" t="n">
        <x:v>2</x:v>
      </x:c>
      <x:c r="L1942" s="24" t="n">
        <x:v>21.849999999999998</x:v>
      </x:c>
      <x:c r="M1942" s="26" t="n">
        <x:v>0.1</x:v>
      </x:c>
      <x:c r="N1942" s="24" t="n">
        <x:v>2</x:v>
      </x:c>
      <x:c r="O1942" s="28" t="n">
        <x:f>MIN(1,L1942/I1942)</x:f>
        <x:v>0.43699999999999994</x:v>
      </x:c>
      <x:c r="P1942" s="30" t="n">
        <x:f>O1942*J1942*(1+M1942)</x:f>
        <x:v>0.48069999999999996</x:v>
      </x:c>
      <x:c r="Q1942" s="30" t="n">
        <x:f>P1942*N1942</x:f>
        <x:v>0.9613999999999999</x:v>
      </x:c>
      <x:c r="R1942" s="19" t="str">
        <x:v>单池选一</x:v>
      </x:c>
    </x:row>
    <x:row r="1943" ht="19" customHeight="1">
      <x:c r="A1943" s="19" t="str">
        <x:v>D01939</x:v>
      </x:c>
      <x:c r="B1943" s="19" t="n">
        <x:v>4</x:v>
      </x:c>
      <x:c r="C1943" s="19" t="n">
        <x:v>5</x:v>
      </x:c>
      <x:c r="D1943" s="19" t="str">
        <x:v>C04-M060</x:v>
      </x:c>
      <x:c r="E1943" s="19" t="str">
        <x:v>渊口老蛟·涅珈</x:v>
      </x:c>
      <x:c r="F1943" s="19" t="str">
        <x:v>地图BOSS</x:v>
      </x:c>
      <x:c r="G1943" s="19" t="str">
        <x:v>材料独立候选</x:v>
      </x:c>
      <x:c r="H1943" s="19" t="str">
        <x:v>湖盐结晶</x:v>
      </x:c>
      <x:c r="I1943" s="22" t="n">
        <x:v>200</x:v>
      </x:c>
      <x:c r="J1943" s="22" t="n">
        <x:v>30</x:v>
      </x:c>
      <x:c r="K1943" s="19" t="n">
        <x:v>1</x:v>
      </x:c>
      <x:c r="L1943" s="24" t="n">
        <x:v>21.849999999999998</x:v>
      </x:c>
      <x:c r="M1943" s="26" t="n">
        <x:v>0.1</x:v>
      </x:c>
      <x:c r="N1943" s="24" t="n">
        <x:v>2</x:v>
      </x:c>
      <x:c r="O1943" s="28" t="n">
        <x:f>MIN(1,L1943/I1943)</x:f>
        <x:v>0.10924999999999999</x:v>
      </x:c>
      <x:c r="P1943" s="30" t="n">
        <x:f>O1943*J1943*(1+M1943)</x:f>
        <x:v>3.60525</x:v>
      </x:c>
      <x:c r="Q1943" s="30" t="n">
        <x:f>P1943*N1943</x:f>
        <x:v>7.2105</x:v>
      </x:c>
      <x:c r="R1943" s="19" t="str">
        <x:v>独立判定</x:v>
      </x:c>
    </x:row>
    <x:row r="1944" ht="19" customHeight="1">
      <x:c r="A1944" s="19" t="str">
        <x:v>D01940</x:v>
      </x:c>
      <x:c r="B1944" s="19" t="n">
        <x:v>4</x:v>
      </x:c>
      <x:c r="C1944" s="19" t="n">
        <x:v>5</x:v>
      </x:c>
      <x:c r="D1944" s="19" t="str">
        <x:v>C04-M060</x:v>
      </x:c>
      <x:c r="E1944" s="19" t="str">
        <x:v>渊口老蛟·涅珈</x:v>
      </x:c>
      <x:c r="F1944" s="19" t="str">
        <x:v>地图BOSS</x:v>
      </x:c>
      <x:c r="G1944" s="19" t="str">
        <x:v>材料独立候选</x:v>
      </x:c>
      <x:c r="H1944" s="19" t="str">
        <x:v>幽船铆钉</x:v>
      </x:c>
      <x:c r="I1944" s="22" t="n">
        <x:v>600</x:v>
      </x:c>
      <x:c r="J1944" s="22" t="n">
        <x:v>1</x:v>
      </x:c>
      <x:c r="K1944" s="19" t="n">
        <x:v>1</x:v>
      </x:c>
      <x:c r="L1944" s="24" t="n">
        <x:v>21.849999999999998</x:v>
      </x:c>
      <x:c r="M1944" s="26" t="n">
        <x:v>0.1</x:v>
      </x:c>
      <x:c r="N1944" s="24" t="n">
        <x:v>2</x:v>
      </x:c>
      <x:c r="O1944" s="28" t="n">
        <x:f>MIN(1,L1944/I1944)</x:f>
        <x:v>0.03641666666666666</x:v>
      </x:c>
      <x:c r="P1944" s="30" t="n">
        <x:f>O1944*J1944*(1+M1944)</x:f>
        <x:v>0.04005833333333333</x:v>
      </x:c>
      <x:c r="Q1944" s="30" t="n">
        <x:f>P1944*N1944</x:f>
        <x:v>0.08011666666666666</x:v>
      </x:c>
      <x:c r="R1944" s="19" t="str">
        <x:v>独立判定</x:v>
      </x:c>
    </x:row>
    <x:row r="1945" ht="19" customHeight="1">
      <x:c r="A1945" s="19" t="str">
        <x:v>D01941</x:v>
      </x:c>
      <x:c r="B1945" s="19" t="n">
        <x:v>4</x:v>
      </x:c>
      <x:c r="C1945" s="19" t="n">
        <x:v>5</x:v>
      </x:c>
      <x:c r="D1945" s="19" t="str">
        <x:v>C04-M060</x:v>
      </x:c>
      <x:c r="E1945" s="19" t="str">
        <x:v>渊口老蛟·涅珈</x:v>
      </x:c>
      <x:c r="F1945" s="19" t="str">
        <x:v>地图BOSS</x:v>
      </x:c>
      <x:c r="G1945" s="19" t="str">
        <x:v>材料独立候选</x:v>
      </x:c>
      <x:c r="H1945" s="19" t="str">
        <x:v>沉湖王印</x:v>
      </x:c>
      <x:c r="I1945" s="22" t="n">
        <x:v>100</x:v>
      </x:c>
      <x:c r="J1945" s="22" t="n">
        <x:v>2</x:v>
      </x:c>
      <x:c r="K1945" s="19" t="n">
        <x:v>1</x:v>
      </x:c>
      <x:c r="L1945" s="24" t="n">
        <x:v>21.849999999999998</x:v>
      </x:c>
      <x:c r="M1945" s="26" t="n">
        <x:v>0.1</x:v>
      </x:c>
      <x:c r="N1945" s="24" t="n">
        <x:v>2</x:v>
      </x:c>
      <x:c r="O1945" s="28" t="n">
        <x:f>MIN(1,L1945/I1945)</x:f>
        <x:v>0.21849999999999997</x:v>
      </x:c>
      <x:c r="P1945" s="30" t="n">
        <x:f>O1945*J1945*(1+M1945)</x:f>
        <x:v>0.48069999999999996</x:v>
      </x:c>
      <x:c r="Q1945" s="30" t="n">
        <x:f>P1945*N1945</x:f>
        <x:v>0.9613999999999999</x:v>
      </x:c>
      <x:c r="R1945" s="19" t="str">
        <x:v>独立判定</x:v>
      </x:c>
    </x:row>
    <x:row r="1946" ht="19" customHeight="1">
      <x:c r="A1946" s="19" t="str">
        <x:v>D01942</x:v>
      </x:c>
      <x:c r="B1946" s="19" t="n">
        <x:v>4</x:v>
      </x:c>
      <x:c r="C1946" s="19" t="n">
        <x:v>5</x:v>
      </x:c>
      <x:c r="D1946" s="19" t="str">
        <x:v>C04-M060</x:v>
      </x:c>
      <x:c r="E1946" s="19" t="str">
        <x:v>渊口老蛟·涅珈</x:v>
      </x:c>
      <x:c r="F1946" s="19" t="str">
        <x:v>地图BOSS</x:v>
      </x:c>
      <x:c r="G1946" s="19" t="str">
        <x:v>材料独立候选</x:v>
      </x:c>
      <x:c r="H1946" s="19" t="str">
        <x:v>深湖压舱印</x:v>
      </x:c>
      <x:c r="I1946" s="22" t="n">
        <x:v>120</x:v>
      </x:c>
      <x:c r="J1946" s="22" t="n">
        <x:v>2</x:v>
      </x:c>
      <x:c r="K1946" s="19" t="n">
        <x:v>1</x:v>
      </x:c>
      <x:c r="L1946" s="24" t="n">
        <x:v>21.849999999999998</x:v>
      </x:c>
      <x:c r="M1946" s="26" t="n">
        <x:v>0.1</x:v>
      </x:c>
      <x:c r="N1946" s="24" t="n">
        <x:v>2</x:v>
      </x:c>
      <x:c r="O1946" s="28" t="n">
        <x:f>MIN(1,L1946/I1946)</x:f>
        <x:v>0.18208333333333332</x:v>
      </x:c>
      <x:c r="P1946" s="30" t="n">
        <x:f>O1946*J1946*(1+M1946)</x:f>
        <x:v>0.40058333333333335</x:v>
      </x:c>
      <x:c r="Q1946" s="30" t="n">
        <x:f>P1946*N1946</x:f>
        <x:v>0.8011666666666667</x:v>
      </x:c>
      <x:c r="R1946" s="19" t="str">
        <x:v>独立判定</x:v>
      </x:c>
    </x:row>
    <x:row r="1947" ht="19" customHeight="1">
      <x:c r="A1947" s="19" t="str">
        <x:v>D01943</x:v>
      </x:c>
      <x:c r="B1947" s="19" t="n">
        <x:v>4</x:v>
      </x:c>
      <x:c r="C1947" s="19" t="n">
        <x:v>5</x:v>
      </x:c>
      <x:c r="D1947" s="19" t="str">
        <x:v>C04-M060</x:v>
      </x:c>
      <x:c r="E1947" s="19" t="str">
        <x:v>渊口老蛟·涅珈</x:v>
      </x:c>
      <x:c r="F1947" s="19" t="str">
        <x:v>地图BOSS</x:v>
      </x:c>
      <x:c r="G1947" s="19" t="str">
        <x:v>材料独立候选</x:v>
      </x:c>
      <x:c r="H1947" s="19" t="str">
        <x:v>月潮忆珀</x:v>
      </x:c>
      <x:c r="I1947" s="22" t="n">
        <x:v>300000</x:v>
      </x:c>
      <x:c r="J1947" s="22" t="n">
        <x:v>1</x:v>
      </x:c>
      <x:c r="K1947" s="19" t="n">
        <x:v>1</x:v>
      </x:c>
      <x:c r="L1947" s="24" t="n">
        <x:v>21.849999999999998</x:v>
      </x:c>
      <x:c r="M1947" s="26" t="n">
        <x:v>0.1</x:v>
      </x:c>
      <x:c r="N1947" s="24" t="n">
        <x:v>2</x:v>
      </x:c>
      <x:c r="O1947" s="28" t="n">
        <x:f>MIN(1,L1947/I1947)</x:f>
        <x:v>0.00007283333333333333</x:v>
      </x:c>
      <x:c r="P1947" s="30" t="n">
        <x:f>O1947*J1947*(1+M1947)</x:f>
        <x:v>0.00008011666666666667</x:v>
      </x:c>
      <x:c r="Q1947" s="30" t="n">
        <x:f>P1947*N1947</x:f>
        <x:v>0.00016023333333333334</x:v>
      </x:c>
      <x:c r="R1947" s="19" t="str">
        <x:v>独立判定</x:v>
      </x:c>
    </x:row>
    <x:row r="1948" ht="19" customHeight="1">
      <x:c r="A1948" s="19" t="str">
        <x:v>D01944</x:v>
      </x:c>
      <x:c r="B1948" s="19" t="n">
        <x:v>4</x:v>
      </x:c>
      <x:c r="C1948" s="19" t="n">
        <x:v>5</x:v>
      </x:c>
      <x:c r="D1948" s="19" t="str">
        <x:v>C04-M060</x:v>
      </x:c>
      <x:c r="E1948" s="19" t="str">
        <x:v>渊口老蛟·涅珈</x:v>
      </x:c>
      <x:c r="F1948" s="19" t="str">
        <x:v>地图BOSS</x:v>
      </x:c>
      <x:c r="G1948" s="19" t="str">
        <x:v>材料独立候选</x:v>
      </x:c>
      <x:c r="H1948" s="19" t="str">
        <x:v>黄金树芽</x:v>
      </x:c>
      <x:c r="I1948" s="22" t="n">
        <x:v>1000</x:v>
      </x:c>
      <x:c r="J1948" s="22" t="n">
        <x:v>1</x:v>
      </x:c>
      <x:c r="K1948" s="19" t="n">
        <x:v>1</x:v>
      </x:c>
      <x:c r="L1948" s="24" t="n">
        <x:v>21.849999999999998</x:v>
      </x:c>
      <x:c r="M1948" s="26" t="n">
        <x:v>0.1</x:v>
      </x:c>
      <x:c r="N1948" s="24" t="n">
        <x:v>2</x:v>
      </x:c>
      <x:c r="O1948" s="28" t="n">
        <x:f>MIN(1,L1948/I1948)</x:f>
        <x:v>0.021849999999999998</x:v>
      </x:c>
      <x:c r="P1948" s="30" t="n">
        <x:f>O1948*J1948*(1+M1948)</x:f>
        <x:v>0.024035</x:v>
      </x:c>
      <x:c r="Q1948" s="30" t="n">
        <x:f>P1948*N1948</x:f>
        <x:v>0.04807</x:v>
      </x:c>
      <x:c r="R1948" s="19" t="str">
        <x:v>独立判定</x:v>
      </x:c>
    </x:row>
    <x:row r="1949" ht="19" customHeight="1">
      <x:c r="A1949" s="19" t="str">
        <x:v>D01945</x:v>
      </x:c>
      <x:c r="B1949" s="19" t="n">
        <x:v>4</x:v>
      </x:c>
      <x:c r="C1949" s="19" t="n">
        <x:v>5</x:v>
      </x:c>
      <x:c r="D1949" s="19" t="str">
        <x:v>C04-M060</x:v>
      </x:c>
      <x:c r="E1949" s="19" t="str">
        <x:v>渊口老蛟·涅珈</x:v>
      </x:c>
      <x:c r="F1949" s="19" t="str">
        <x:v>地图BOSS</x:v>
      </x:c>
      <x:c r="G1949" s="19" t="str">
        <x:v>材料独立候选</x:v>
      </x:c>
      <x:c r="H1949" s="19" t="str">
        <x:v>野兽骨片</x:v>
      </x:c>
      <x:c r="I1949" s="22" t="n">
        <x:v>40</x:v>
      </x:c>
      <x:c r="J1949" s="22" t="n">
        <x:v>2</x:v>
      </x:c>
      <x:c r="K1949" s="19" t="n">
        <x:v>1</x:v>
      </x:c>
      <x:c r="L1949" s="24" t="n">
        <x:v>21.849999999999998</x:v>
      </x:c>
      <x:c r="M1949" s="26" t="n">
        <x:v>0.1</x:v>
      </x:c>
      <x:c r="N1949" s="24" t="n">
        <x:v>2</x:v>
      </x:c>
      <x:c r="O1949" s="28" t="n">
        <x:f>MIN(1,L1949/I1949)</x:f>
        <x:v>0.5462499999999999</x:v>
      </x:c>
      <x:c r="P1949" s="30" t="n">
        <x:f>O1949*J1949*(1+M1949)</x:f>
        <x:v>1.2017499999999999</x:v>
      </x:c>
      <x:c r="Q1949" s="30" t="n">
        <x:f>P1949*N1949</x:f>
        <x:v>2.4034999999999997</x:v>
      </x:c>
      <x:c r="R1949" s="19" t="str">
        <x:v>独立判定</x:v>
      </x:c>
    </x:row>
    <x:row r="1950" ht="19" customHeight="1">
      <x:c r="A1950" s="19" t="str">
        <x:v>D01946</x:v>
      </x:c>
      <x:c r="B1950" s="19" t="n">
        <x:v>4</x:v>
      </x:c>
      <x:c r="C1950" s="19" t="n">
        <x:v>5</x:v>
      </x:c>
      <x:c r="D1950" s="19" t="str">
        <x:v>C04-M060</x:v>
      </x:c>
      <x:c r="E1950" s="19" t="str">
        <x:v>渊口老蛟·涅珈</x:v>
      </x:c>
      <x:c r="F1950" s="19" t="str">
        <x:v>地图BOSS</x:v>
      </x:c>
      <x:c r="G1950" s="19" t="str">
        <x:v>材料独立候选</x:v>
      </x:c>
      <x:c r="H1950" s="19" t="str">
        <x:v>技能残页</x:v>
      </x:c>
      <x:c r="I1950" s="22" t="n">
        <x:v>180</x:v>
      </x:c>
      <x:c r="J1950" s="22" t="n">
        <x:v>1</x:v>
      </x:c>
      <x:c r="K1950" s="19" t="n">
        <x:v>1</x:v>
      </x:c>
      <x:c r="L1950" s="24" t="n">
        <x:v>21.849999999999998</x:v>
      </x:c>
      <x:c r="M1950" s="26" t="n">
        <x:v>0.1</x:v>
      </x:c>
      <x:c r="N1950" s="24" t="n">
        <x:v>2</x:v>
      </x:c>
      <x:c r="O1950" s="28" t="n">
        <x:f>MIN(1,L1950/I1950)</x:f>
        <x:v>0.12138888888888888</x:v>
      </x:c>
      <x:c r="P1950" s="30" t="n">
        <x:f>O1950*J1950*(1+M1950)</x:f>
        <x:v>0.13352777777777777</x:v>
      </x:c>
      <x:c r="Q1950" s="30" t="n">
        <x:f>P1950*N1950</x:f>
        <x:v>0.26705555555555555</x:v>
      </x:c>
      <x:c r="R1950" s="19" t="str">
        <x:v>独立判定</x:v>
      </x:c>
    </x:row>
    <x:row r="1951" ht="19" customHeight="1">
      <x:c r="A1951" s="19" t="str">
        <x:v>D01947</x:v>
      </x:c>
      <x:c r="B1951" s="19" t="n">
        <x:v>4</x:v>
      </x:c>
      <x:c r="C1951" s="19" t="n">
        <x:v>5</x:v>
      </x:c>
      <x:c r="D1951" s="19" t="str">
        <x:v>C04-M060</x:v>
      </x:c>
      <x:c r="E1951" s="19" t="str">
        <x:v>渊口老蛟·涅珈</x:v>
      </x:c>
      <x:c r="F1951" s="19" t="str">
        <x:v>地图BOSS</x:v>
      </x:c>
      <x:c r="G1951" s="19" t="str">
        <x:v>材料独立候选</x:v>
      </x:c>
      <x:c r="H1951" s="19" t="str">
        <x:v>宁姆格福誓页</x:v>
      </x:c>
      <x:c r="I1951" s="22" t="n">
        <x:v>300</x:v>
      </x:c>
      <x:c r="J1951" s="22" t="n">
        <x:v>1</x:v>
      </x:c>
      <x:c r="K1951" s="19" t="n">
        <x:v>1</x:v>
      </x:c>
      <x:c r="L1951" s="24" t="n">
        <x:v>21.849999999999998</x:v>
      </x:c>
      <x:c r="M1951" s="26" t="n">
        <x:v>0.1</x:v>
      </x:c>
      <x:c r="N1951" s="24" t="n">
        <x:v>2</x:v>
      </x:c>
      <x:c r="O1951" s="28" t="n">
        <x:f>MIN(1,L1951/I1951)</x:f>
        <x:v>0.07283333333333332</x:v>
      </x:c>
      <x:c r="P1951" s="30" t="n">
        <x:f>O1951*J1951*(1+M1951)</x:f>
        <x:v>0.08011666666666666</x:v>
      </x:c>
      <x:c r="Q1951" s="30" t="n">
        <x:f>P1951*N1951</x:f>
        <x:v>0.1602333333333333</x:v>
      </x:c>
      <x:c r="R1951" s="19" t="str">
        <x:v>独立判定</x:v>
      </x:c>
    </x:row>
    <x:row r="1952" ht="19" customHeight="1">
      <x:c r="A1952" s="19" t="str">
        <x:v>D01948</x:v>
      </x:c>
      <x:c r="B1952" s="19" t="n">
        <x:v>4</x:v>
      </x:c>
      <x:c r="C1952" s="19" t="n">
        <x:v>5</x:v>
      </x:c>
      <x:c r="D1952" s="19" t="str">
        <x:v>C04-M060</x:v>
      </x:c>
      <x:c r="E1952" s="19" t="str">
        <x:v>渊口老蛟·涅珈</x:v>
      </x:c>
      <x:c r="F1952" s="19" t="str">
        <x:v>地图BOSS</x:v>
      </x:c>
      <x:c r="G1952" s="19" t="str">
        <x:v>材料独立候选</x:v>
      </x:c>
      <x:c r="H1952" s="19" t="str">
        <x:v>小卢恩</x:v>
      </x:c>
      <x:c r="I1952" s="22" t="n">
        <x:v>300</x:v>
      </x:c>
      <x:c r="J1952" s="22" t="n">
        <x:v>1</x:v>
      </x:c>
      <x:c r="K1952" s="19" t="n">
        <x:v>1</x:v>
      </x:c>
      <x:c r="L1952" s="24" t="n">
        <x:v>21.849999999999998</x:v>
      </x:c>
      <x:c r="M1952" s="26" t="n">
        <x:v>0.1</x:v>
      </x:c>
      <x:c r="N1952" s="24" t="n">
        <x:v>2</x:v>
      </x:c>
      <x:c r="O1952" s="28" t="n">
        <x:f>MIN(1,L1952/I1952)</x:f>
        <x:v>0.07283333333333332</x:v>
      </x:c>
      <x:c r="P1952" s="30" t="n">
        <x:f>O1952*J1952*(1+M1952)</x:f>
        <x:v>0.08011666666666666</x:v>
      </x:c>
      <x:c r="Q1952" s="30" t="n">
        <x:f>P1952*N1952</x:f>
        <x:v>0.1602333333333333</x:v>
      </x:c>
      <x:c r="R1952" s="19" t="str">
        <x:v>独立判定</x:v>
      </x:c>
    </x:row>
    <x:row r="1953" ht="19" customHeight="1">
      <x:c r="A1953" s="19" t="str">
        <x:v>D01949</x:v>
      </x:c>
      <x:c r="B1953" s="19" t="n">
        <x:v>4</x:v>
      </x:c>
      <x:c r="C1953" s="19" t="n">
        <x:v>5</x:v>
      </x:c>
      <x:c r="D1953" s="19" t="str">
        <x:v>C04-M060</x:v>
      </x:c>
      <x:c r="E1953" s="19" t="str">
        <x:v>渊口老蛟·涅珈</x:v>
      </x:c>
      <x:c r="F1953" s="19" t="str">
        <x:v>地图BOSS</x:v>
      </x:c>
      <x:c r="G1953" s="19" t="str">
        <x:v>材料独立候选</x:v>
      </x:c>
      <x:c r="H1953" s="19" t="str">
        <x:v>大卢恩</x:v>
      </x:c>
      <x:c r="I1953" s="22" t="n">
        <x:v>200</x:v>
      </x:c>
      <x:c r="J1953" s="22" t="n">
        <x:v>1</x:v>
      </x:c>
      <x:c r="K1953" s="19" t="n">
        <x:v>1</x:v>
      </x:c>
      <x:c r="L1953" s="24" t="n">
        <x:v>21.849999999999998</x:v>
      </x:c>
      <x:c r="M1953" s="26" t="n">
        <x:v>0.1</x:v>
      </x:c>
      <x:c r="N1953" s="24" t="n">
        <x:v>2</x:v>
      </x:c>
      <x:c r="O1953" s="28" t="n">
        <x:f>MIN(1,L1953/I1953)</x:f>
        <x:v>0.10924999999999999</x:v>
      </x:c>
      <x:c r="P1953" s="30" t="n">
        <x:f>O1953*J1953*(1+M1953)</x:f>
        <x:v>0.12017499999999999</x:v>
      </x:c>
      <x:c r="Q1953" s="30" t="n">
        <x:f>P1953*N1953</x:f>
        <x:v>0.24034999999999998</x:v>
      </x:c>
      <x:c r="R1953" s="19" t="str">
        <x:v>独立判定</x:v>
      </x:c>
    </x:row>
    <x:row r="1954" ht="19" customHeight="1">
      <x:c r="A1954" s="19" t="str">
        <x:v>D01950</x:v>
      </x:c>
      <x:c r="B1954" s="19" t="n">
        <x:v>4</x:v>
      </x:c>
      <x:c r="C1954" s="19" t="n">
        <x:v>5</x:v>
      </x:c>
      <x:c r="D1954" s="19" t="str">
        <x:v>C04-M060</x:v>
      </x:c>
      <x:c r="E1954" s="19" t="str">
        <x:v>渊口老蛟·涅珈</x:v>
      </x:c>
      <x:c r="F1954" s="19" t="str">
        <x:v>地图BOSS</x:v>
      </x:c>
      <x:c r="G1954" s="19" t="str">
        <x:v>六神器公共池</x:v>
      </x:c>
      <x:c r="H1954" s="19" t="str">
        <x:v>POOL006</x:v>
      </x:c>
      <x:c r="I1954" s="22" t="n">
        <x:v>200000</x:v>
      </x:c>
      <x:c r="J1954" s="22" t="n">
        <x:v>1</x:v>
      </x:c>
      <x:c r="K1954" s="19" t="n">
        <x:v>6</x:v>
      </x:c>
      <x:c r="L1954" s="24" t="n">
        <x:v>21.849999999999998</x:v>
      </x:c>
      <x:c r="M1954" s="26" t="n">
        <x:v>0.1</x:v>
      </x:c>
      <x:c r="N1954" s="24" t="n">
        <x:v>2</x:v>
      </x:c>
      <x:c r="O1954" s="28" t="n">
        <x:f>MIN(1,L1954/I1954)</x:f>
        <x:v>0.00010924999999999999</x:v>
      </x:c>
      <x:c r="P1954" s="30" t="n">
        <x:f>O1954*J1954*(1+M1954)</x:f>
        <x:v>0.000120175</x:v>
      </x:c>
      <x:c r="Q1954" s="30" t="n">
        <x:f>P1954*N1954</x:f>
        <x:v>0.00024035</x:v>
      </x:c>
      <x:c r="R1954" s="19" t="str">
        <x:v>六选一；非6个独立爆率</x:v>
      </x:c>
    </x:row>
    <x:row r="1955" ht="19" customHeight="1">
      <x:c r="A1955" s="19" t="str">
        <x:v>D01951</x:v>
      </x:c>
      <x:c r="B1955" s="19" t="n">
        <x:v>4</x:v>
      </x:c>
      <x:c r="C1955" s="19" t="n">
        <x:v>6</x:v>
      </x:c>
      <x:c r="D1955" s="19" t="str">
        <x:v>C04-M061</x:v>
      </x:c>
      <x:c r="E1955" s="19" t="str">
        <x:v>摸壁潜行者</x:v>
      </x:c>
      <x:c r="F1955" s="19" t="str">
        <x:v>普通</x:v>
      </x:c>
      <x:c r="G1955" s="19" t="str">
        <x:v>自身专属</x:v>
      </x:c>
      <x:c r="H1955" s="19" t="str">
        <x:v>潜壁短钩</x:v>
      </x:c>
      <x:c r="I1955" s="22" t="n">
        <x:v>1500</x:v>
      </x:c>
      <x:c r="J1955" s="22" t="n">
        <x:v>1</x:v>
      </x:c>
      <x:c r="K1955" s="19" t="n">
        <x:v>1</x:v>
      </x:c>
      <x:c r="L1955" s="24" t="n">
        <x:v>21.849999999999998</x:v>
      </x:c>
      <x:c r="M1955" s="26" t="n">
        <x:v>0.1</x:v>
      </x:c>
      <x:c r="N1955" s="24" t="n">
        <x:v>72</x:v>
      </x:c>
      <x:c r="O1955" s="28" t="n">
        <x:f>MIN(1,L1955/I1955)</x:f>
        <x:v>0.014566666666666665</x:v>
      </x:c>
      <x:c r="P1955" s="30" t="n">
        <x:f>O1955*J1955*(1+M1955)</x:f>
        <x:v>0.016023333333333334</x:v>
      </x:c>
      <x:c r="Q1955" s="30" t="n">
        <x:f>P1955*N1955</x:f>
        <x:v>1.15368</x:v>
      </x:c>
      <x:c r="R1955" s="19" t="str">
        <x:v>独立判定</x:v>
      </x:c>
    </x:row>
    <x:row r="1956" ht="19" customHeight="1">
      <x:c r="A1956" s="19" t="str">
        <x:v>D01952</x:v>
      </x:c>
      <x:c r="B1956" s="19" t="n">
        <x:v>4</x:v>
      </x:c>
      <x:c r="C1956" s="19" t="n">
        <x:v>6</x:v>
      </x:c>
      <x:c r="D1956" s="19" t="str">
        <x:v>C04-M061</x:v>
      </x:c>
      <x:c r="E1956" s="19" t="str">
        <x:v>摸壁潜行者</x:v>
      </x:c>
      <x:c r="F1956" s="19" t="str">
        <x:v>普通</x:v>
      </x:c>
      <x:c r="G1956" s="19" t="str">
        <x:v>材料独立候选</x:v>
      </x:c>
      <x:c r="H1956" s="19" t="str">
        <x:v>湖盐结晶</x:v>
      </x:c>
      <x:c r="I1956" s="22" t="n">
        <x:v>600</x:v>
      </x:c>
      <x:c r="J1956" s="22" t="n">
        <x:v>8</x:v>
      </x:c>
      <x:c r="K1956" s="19" t="n">
        <x:v>1</x:v>
      </x:c>
      <x:c r="L1956" s="24" t="n">
        <x:v>21.849999999999998</x:v>
      </x:c>
      <x:c r="M1956" s="26" t="n">
        <x:v>0.1</x:v>
      </x:c>
      <x:c r="N1956" s="24" t="n">
        <x:v>72</x:v>
      </x:c>
      <x:c r="O1956" s="28" t="n">
        <x:f>MIN(1,L1956/I1956)</x:f>
        <x:v>0.03641666666666666</x:v>
      </x:c>
      <x:c r="P1956" s="30" t="n">
        <x:f>O1956*J1956*(1+M1956)</x:f>
        <x:v>0.3204666666666666</x:v>
      </x:c>
      <x:c r="Q1956" s="30" t="n">
        <x:f>P1956*N1956</x:f>
        <x:v>23.073599999999995</x:v>
      </x:c>
      <x:c r="R1956" s="19" t="str">
        <x:v>独立判定</x:v>
      </x:c>
    </x:row>
    <x:row r="1957" ht="19" customHeight="1">
      <x:c r="A1957" s="19" t="str">
        <x:v>D01953</x:v>
      </x:c>
      <x:c r="B1957" s="19" t="n">
        <x:v>4</x:v>
      </x:c>
      <x:c r="C1957" s="19" t="n">
        <x:v>6</x:v>
      </x:c>
      <x:c r="D1957" s="19" t="str">
        <x:v>C04-M061</x:v>
      </x:c>
      <x:c r="E1957" s="19" t="str">
        <x:v>摸壁潜行者</x:v>
      </x:c>
      <x:c r="F1957" s="19" t="str">
        <x:v>普通</x:v>
      </x:c>
      <x:c r="G1957" s="19" t="str">
        <x:v>材料独立候选</x:v>
      </x:c>
      <x:c r="H1957" s="19" t="str">
        <x:v>雾潮银鳞</x:v>
      </x:c>
      <x:c r="I1957" s="22" t="n">
        <x:v>800</x:v>
      </x:c>
      <x:c r="J1957" s="22" t="n">
        <x:v>1</x:v>
      </x:c>
      <x:c r="K1957" s="19" t="n">
        <x:v>1</x:v>
      </x:c>
      <x:c r="L1957" s="24" t="n">
        <x:v>21.849999999999998</x:v>
      </x:c>
      <x:c r="M1957" s="26" t="n">
        <x:v>0.1</x:v>
      </x:c>
      <x:c r="N1957" s="24" t="n">
        <x:v>72</x:v>
      </x:c>
      <x:c r="O1957" s="28" t="n">
        <x:f>MIN(1,L1957/I1957)</x:f>
        <x:v>0.027312499999999997</x:v>
      </x:c>
      <x:c r="P1957" s="30" t="n">
        <x:f>O1957*J1957*(1+M1957)</x:f>
        <x:v>0.030043749999999998</x:v>
      </x:c>
      <x:c r="Q1957" s="30" t="n">
        <x:f>P1957*N1957</x:f>
        <x:v>2.16315</x:v>
      </x:c>
      <x:c r="R1957" s="19" t="str">
        <x:v>独立判定</x:v>
      </x:c>
    </x:row>
    <x:row r="1958" ht="19" customHeight="1">
      <x:c r="A1958" s="19" t="str">
        <x:v>D01954</x:v>
      </x:c>
      <x:c r="B1958" s="19" t="n">
        <x:v>4</x:v>
      </x:c>
      <x:c r="C1958" s="19" t="n">
        <x:v>6</x:v>
      </x:c>
      <x:c r="D1958" s="19" t="str">
        <x:v>C04-M061</x:v>
      </x:c>
      <x:c r="E1958" s="19" t="str">
        <x:v>摸壁潜行者</x:v>
      </x:c>
      <x:c r="F1958" s="19" t="str">
        <x:v>普通</x:v>
      </x:c>
      <x:c r="G1958" s="19" t="str">
        <x:v>材料独立候选</x:v>
      </x:c>
      <x:c r="H1958" s="19" t="str">
        <x:v>月潮忆珀</x:v>
      </x:c>
      <x:c r="I1958" s="22" t="n">
        <x:v>1000000</x:v>
      </x:c>
      <x:c r="J1958" s="22" t="n">
        <x:v>1</x:v>
      </x:c>
      <x:c r="K1958" s="19" t="n">
        <x:v>1</x:v>
      </x:c>
      <x:c r="L1958" s="24" t="n">
        <x:v>21.849999999999998</x:v>
      </x:c>
      <x:c r="M1958" s="26" t="n">
        <x:v>0.1</x:v>
      </x:c>
      <x:c r="N1958" s="24" t="n">
        <x:v>72</x:v>
      </x:c>
      <x:c r="O1958" s="28" t="n">
        <x:f>MIN(1,L1958/I1958)</x:f>
        <x:v>0.00002185</x:v>
      </x:c>
      <x:c r="P1958" s="30" t="n">
        <x:f>O1958*J1958*(1+M1958)</x:f>
        <x:v>0.000024035</x:v>
      </x:c>
      <x:c r="Q1958" s="30" t="n">
        <x:f>P1958*N1958</x:f>
        <x:v>0.00173052</x:v>
      </x:c>
      <x:c r="R1958" s="19" t="str">
        <x:v>独立判定</x:v>
      </x:c>
    </x:row>
    <x:row r="1959" ht="19" customHeight="1">
      <x:c r="A1959" s="19" t="str">
        <x:v>D01955</x:v>
      </x:c>
      <x:c r="B1959" s="19" t="n">
        <x:v>4</x:v>
      </x:c>
      <x:c r="C1959" s="19" t="n">
        <x:v>6</x:v>
      </x:c>
      <x:c r="D1959" s="19" t="str">
        <x:v>C04-M061</x:v>
      </x:c>
      <x:c r="E1959" s="19" t="str">
        <x:v>摸壁潜行者</x:v>
      </x:c>
      <x:c r="F1959" s="19" t="str">
        <x:v>普通</x:v>
      </x:c>
      <x:c r="G1959" s="19" t="str">
        <x:v>材料独立候选</x:v>
      </x:c>
      <x:c r="H1959" s="19" t="str">
        <x:v>野兽骨片</x:v>
      </x:c>
      <x:c r="I1959" s="22" t="n">
        <x:v>100</x:v>
      </x:c>
      <x:c r="J1959" s="22" t="n">
        <x:v>2</x:v>
      </x:c>
      <x:c r="K1959" s="19" t="n">
        <x:v>1</x:v>
      </x:c>
      <x:c r="L1959" s="24" t="n">
        <x:v>21.849999999999998</x:v>
      </x:c>
      <x:c r="M1959" s="26" t="n">
        <x:v>0.1</x:v>
      </x:c>
      <x:c r="N1959" s="24" t="n">
        <x:v>72</x:v>
      </x:c>
      <x:c r="O1959" s="28" t="n">
        <x:f>MIN(1,L1959/I1959)</x:f>
        <x:v>0.21849999999999997</x:v>
      </x:c>
      <x:c r="P1959" s="30" t="n">
        <x:f>O1959*J1959*(1+M1959)</x:f>
        <x:v>0.48069999999999996</x:v>
      </x:c>
      <x:c r="Q1959" s="30" t="n">
        <x:f>P1959*N1959</x:f>
        <x:v>34.6104</x:v>
      </x:c>
      <x:c r="R1959" s="19" t="str">
        <x:v>独立判定</x:v>
      </x:c>
    </x:row>
    <x:row r="1960" ht="19" customHeight="1">
      <x:c r="A1960" s="19" t="str">
        <x:v>D01956</x:v>
      </x:c>
      <x:c r="B1960" s="19" t="n">
        <x:v>4</x:v>
      </x:c>
      <x:c r="C1960" s="19" t="n">
        <x:v>6</x:v>
      </x:c>
      <x:c r="D1960" s="19" t="str">
        <x:v>C04-M061</x:v>
      </x:c>
      <x:c r="E1960" s="19" t="str">
        <x:v>摸壁潜行者</x:v>
      </x:c>
      <x:c r="F1960" s="19" t="str">
        <x:v>普通</x:v>
      </x:c>
      <x:c r="G1960" s="19" t="str">
        <x:v>材料独立候选</x:v>
      </x:c>
      <x:c r="H1960" s="19" t="str">
        <x:v>技能残页</x:v>
      </x:c>
      <x:c r="I1960" s="22" t="n">
        <x:v>500</x:v>
      </x:c>
      <x:c r="J1960" s="22" t="n">
        <x:v>1</x:v>
      </x:c>
      <x:c r="K1960" s="19" t="n">
        <x:v>1</x:v>
      </x:c>
      <x:c r="L1960" s="24" t="n">
        <x:v>21.849999999999998</x:v>
      </x:c>
      <x:c r="M1960" s="26" t="n">
        <x:v>0.1</x:v>
      </x:c>
      <x:c r="N1960" s="24" t="n">
        <x:v>72</x:v>
      </x:c>
      <x:c r="O1960" s="28" t="n">
        <x:f>MIN(1,L1960/I1960)</x:f>
        <x:v>0.043699999999999996</x:v>
      </x:c>
      <x:c r="P1960" s="30" t="n">
        <x:f>O1960*J1960*(1+M1960)</x:f>
        <x:v>0.04807</x:v>
      </x:c>
      <x:c r="Q1960" s="30" t="n">
        <x:f>P1960*N1960</x:f>
        <x:v>3.46104</x:v>
      </x:c>
      <x:c r="R1960" s="19" t="str">
        <x:v>独立判定</x:v>
      </x:c>
    </x:row>
    <x:row r="1961" ht="19" customHeight="1">
      <x:c r="A1961" s="19" t="str">
        <x:v>D01957</x:v>
      </x:c>
      <x:c r="B1961" s="19" t="n">
        <x:v>4</x:v>
      </x:c>
      <x:c r="C1961" s="19" t="n">
        <x:v>6</x:v>
      </x:c>
      <x:c r="D1961" s="19" t="str">
        <x:v>C04-M061</x:v>
      </x:c>
      <x:c r="E1961" s="19" t="str">
        <x:v>摸壁潜行者</x:v>
      </x:c>
      <x:c r="F1961" s="19" t="str">
        <x:v>普通</x:v>
      </x:c>
      <x:c r="G1961" s="19" t="str">
        <x:v>材料独立候选</x:v>
      </x:c>
      <x:c r="H1961" s="19" t="str">
        <x:v>小卢恩</x:v>
      </x:c>
      <x:c r="I1961" s="22" t="n">
        <x:v>1000</x:v>
      </x:c>
      <x:c r="J1961" s="22" t="n">
        <x:v>1</x:v>
      </x:c>
      <x:c r="K1961" s="19" t="n">
        <x:v>1</x:v>
      </x:c>
      <x:c r="L1961" s="24" t="n">
        <x:v>21.849999999999998</x:v>
      </x:c>
      <x:c r="M1961" s="26" t="n">
        <x:v>0.1</x:v>
      </x:c>
      <x:c r="N1961" s="24" t="n">
        <x:v>72</x:v>
      </x:c>
      <x:c r="O1961" s="28" t="n">
        <x:f>MIN(1,L1961/I1961)</x:f>
        <x:v>0.021849999999999998</x:v>
      </x:c>
      <x:c r="P1961" s="30" t="n">
        <x:f>O1961*J1961*(1+M1961)</x:f>
        <x:v>0.024035</x:v>
      </x:c>
      <x:c r="Q1961" s="30" t="n">
        <x:f>P1961*N1961</x:f>
        <x:v>1.73052</x:v>
      </x:c>
      <x:c r="R1961" s="19" t="str">
        <x:v>独立判定</x:v>
      </x:c>
    </x:row>
    <x:row r="1962" ht="19" customHeight="1">
      <x:c r="A1962" s="19" t="str">
        <x:v>D01958</x:v>
      </x:c>
      <x:c r="B1962" s="19" t="n">
        <x:v>4</x:v>
      </x:c>
      <x:c r="C1962" s="19" t="n">
        <x:v>6</x:v>
      </x:c>
      <x:c r="D1962" s="19" t="str">
        <x:v>C04-M061</x:v>
      </x:c>
      <x:c r="E1962" s="19" t="str">
        <x:v>摸壁潜行者</x:v>
      </x:c>
      <x:c r="F1962" s="19" t="str">
        <x:v>普通</x:v>
      </x:c>
      <x:c r="G1962" s="19" t="str">
        <x:v>六神器公共池</x:v>
      </x:c>
      <x:c r="H1962" s="19" t="str">
        <x:v>POOL006</x:v>
      </x:c>
      <x:c r="I1962" s="22" t="n">
        <x:v>20000000</x:v>
      </x:c>
      <x:c r="J1962" s="22" t="n">
        <x:v>1</x:v>
      </x:c>
      <x:c r="K1962" s="19" t="n">
        <x:v>6</x:v>
      </x:c>
      <x:c r="L1962" s="24" t="n">
        <x:v>21.849999999999998</x:v>
      </x:c>
      <x:c r="M1962" s="26" t="n">
        <x:v>0.1</x:v>
      </x:c>
      <x:c r="N1962" s="24" t="n">
        <x:v>72</x:v>
      </x:c>
      <x:c r="O1962" s="28" t="n">
        <x:f>MIN(1,L1962/I1962)</x:f>
        <x:v>0.0000010925</x:v>
      </x:c>
      <x:c r="P1962" s="30" t="n">
        <x:f>O1962*J1962*(1+M1962)</x:f>
        <x:v>0.00000120175</x:v>
      </x:c>
      <x:c r="Q1962" s="30" t="n">
        <x:f>P1962*N1962</x:f>
        <x:v>0.00008652599999999999</x:v>
      </x:c>
      <x:c r="R1962" s="19" t="str">
        <x:v>六选一；非6个独立爆率</x:v>
      </x:c>
    </x:row>
    <x:row r="1963" ht="19" customHeight="1">
      <x:c r="A1963" s="19" t="str">
        <x:v>D01959</x:v>
      </x:c>
      <x:c r="B1963" s="19" t="n">
        <x:v>4</x:v>
      </x:c>
      <x:c r="C1963" s="19" t="n">
        <x:v>6</x:v>
      </x:c>
      <x:c r="D1963" s="19" t="str">
        <x:v>C04-M062</x:v>
      </x:c>
      <x:c r="E1963" s="19" t="str">
        <x:v>砾壳穴龟</x:v>
      </x:c>
      <x:c r="F1963" s="19" t="str">
        <x:v>普通</x:v>
      </x:c>
      <x:c r="G1963" s="19" t="str">
        <x:v>自身专属</x:v>
      </x:c>
      <x:c r="H1963" s="19" t="str">
        <x:v>穴龟石盾</x:v>
      </x:c>
      <x:c r="I1963" s="22" t="n">
        <x:v>1500</x:v>
      </x:c>
      <x:c r="J1963" s="22" t="n">
        <x:v>1</x:v>
      </x:c>
      <x:c r="K1963" s="19" t="n">
        <x:v>1</x:v>
      </x:c>
      <x:c r="L1963" s="24" t="n">
        <x:v>21.849999999999998</x:v>
      </x:c>
      <x:c r="M1963" s="26" t="n">
        <x:v>0.1</x:v>
      </x:c>
      <x:c r="N1963" s="24" t="n">
        <x:v>72</x:v>
      </x:c>
      <x:c r="O1963" s="28" t="n">
        <x:f>MIN(1,L1963/I1963)</x:f>
        <x:v>0.014566666666666665</x:v>
      </x:c>
      <x:c r="P1963" s="30" t="n">
        <x:f>O1963*J1963*(1+M1963)</x:f>
        <x:v>0.016023333333333334</x:v>
      </x:c>
      <x:c r="Q1963" s="30" t="n">
        <x:f>P1963*N1963</x:f>
        <x:v>1.15368</x:v>
      </x:c>
      <x:c r="R1963" s="19" t="str">
        <x:v>独立判定</x:v>
      </x:c>
    </x:row>
    <x:row r="1964" ht="19" customHeight="1">
      <x:c r="A1964" s="19" t="str">
        <x:v>D01960</x:v>
      </x:c>
      <x:c r="B1964" s="19" t="n">
        <x:v>4</x:v>
      </x:c>
      <x:c r="C1964" s="19" t="n">
        <x:v>6</x:v>
      </x:c>
      <x:c r="D1964" s="19" t="str">
        <x:v>C04-M062</x:v>
      </x:c>
      <x:c r="E1964" s="19" t="str">
        <x:v>砾壳穴龟</x:v>
      </x:c>
      <x:c r="F1964" s="19" t="str">
        <x:v>普通</x:v>
      </x:c>
      <x:c r="G1964" s="19" t="str">
        <x:v>材料独立候选</x:v>
      </x:c>
      <x:c r="H1964" s="19" t="str">
        <x:v>湖盐结晶</x:v>
      </x:c>
      <x:c r="I1964" s="22" t="n">
        <x:v>600</x:v>
      </x:c>
      <x:c r="J1964" s="22" t="n">
        <x:v>8</x:v>
      </x:c>
      <x:c r="K1964" s="19" t="n">
        <x:v>1</x:v>
      </x:c>
      <x:c r="L1964" s="24" t="n">
        <x:v>21.849999999999998</x:v>
      </x:c>
      <x:c r="M1964" s="26" t="n">
        <x:v>0.1</x:v>
      </x:c>
      <x:c r="N1964" s="24" t="n">
        <x:v>72</x:v>
      </x:c>
      <x:c r="O1964" s="28" t="n">
        <x:f>MIN(1,L1964/I1964)</x:f>
        <x:v>0.03641666666666666</x:v>
      </x:c>
      <x:c r="P1964" s="30" t="n">
        <x:f>O1964*J1964*(1+M1964)</x:f>
        <x:v>0.3204666666666666</x:v>
      </x:c>
      <x:c r="Q1964" s="30" t="n">
        <x:f>P1964*N1964</x:f>
        <x:v>23.073599999999995</x:v>
      </x:c>
      <x:c r="R1964" s="19" t="str">
        <x:v>独立判定</x:v>
      </x:c>
    </x:row>
    <x:row r="1965" ht="19" customHeight="1">
      <x:c r="A1965" s="19" t="str">
        <x:v>D01961</x:v>
      </x:c>
      <x:c r="B1965" s="19" t="n">
        <x:v>4</x:v>
      </x:c>
      <x:c r="C1965" s="19" t="n">
        <x:v>6</x:v>
      </x:c>
      <x:c r="D1965" s="19" t="str">
        <x:v>C04-M062</x:v>
      </x:c>
      <x:c r="E1965" s="19" t="str">
        <x:v>砾壳穴龟</x:v>
      </x:c>
      <x:c r="F1965" s="19" t="str">
        <x:v>普通</x:v>
      </x:c>
      <x:c r="G1965" s="19" t="str">
        <x:v>材料独立候选</x:v>
      </x:c>
      <x:c r="H1965" s="19" t="str">
        <x:v>雾潮银鳞</x:v>
      </x:c>
      <x:c r="I1965" s="22" t="n">
        <x:v>800</x:v>
      </x:c>
      <x:c r="J1965" s="22" t="n">
        <x:v>1</x:v>
      </x:c>
      <x:c r="K1965" s="19" t="n">
        <x:v>1</x:v>
      </x:c>
      <x:c r="L1965" s="24" t="n">
        <x:v>21.849999999999998</x:v>
      </x:c>
      <x:c r="M1965" s="26" t="n">
        <x:v>0.1</x:v>
      </x:c>
      <x:c r="N1965" s="24" t="n">
        <x:v>72</x:v>
      </x:c>
      <x:c r="O1965" s="28" t="n">
        <x:f>MIN(1,L1965/I1965)</x:f>
        <x:v>0.027312499999999997</x:v>
      </x:c>
      <x:c r="P1965" s="30" t="n">
        <x:f>O1965*J1965*(1+M1965)</x:f>
        <x:v>0.030043749999999998</x:v>
      </x:c>
      <x:c r="Q1965" s="30" t="n">
        <x:f>P1965*N1965</x:f>
        <x:v>2.16315</x:v>
      </x:c>
      <x:c r="R1965" s="19" t="str">
        <x:v>独立判定</x:v>
      </x:c>
    </x:row>
    <x:row r="1966" ht="19" customHeight="1">
      <x:c r="A1966" s="19" t="str">
        <x:v>D01962</x:v>
      </x:c>
      <x:c r="B1966" s="19" t="n">
        <x:v>4</x:v>
      </x:c>
      <x:c r="C1966" s="19" t="n">
        <x:v>6</x:v>
      </x:c>
      <x:c r="D1966" s="19" t="str">
        <x:v>C04-M062</x:v>
      </x:c>
      <x:c r="E1966" s="19" t="str">
        <x:v>砾壳穴龟</x:v>
      </x:c>
      <x:c r="F1966" s="19" t="str">
        <x:v>普通</x:v>
      </x:c>
      <x:c r="G1966" s="19" t="str">
        <x:v>材料独立候选</x:v>
      </x:c>
      <x:c r="H1966" s="19" t="str">
        <x:v>月潮忆珀</x:v>
      </x:c>
      <x:c r="I1966" s="22" t="n">
        <x:v>1000000</x:v>
      </x:c>
      <x:c r="J1966" s="22" t="n">
        <x:v>1</x:v>
      </x:c>
      <x:c r="K1966" s="19" t="n">
        <x:v>1</x:v>
      </x:c>
      <x:c r="L1966" s="24" t="n">
        <x:v>21.849999999999998</x:v>
      </x:c>
      <x:c r="M1966" s="26" t="n">
        <x:v>0.1</x:v>
      </x:c>
      <x:c r="N1966" s="24" t="n">
        <x:v>72</x:v>
      </x:c>
      <x:c r="O1966" s="28" t="n">
        <x:f>MIN(1,L1966/I1966)</x:f>
        <x:v>0.00002185</x:v>
      </x:c>
      <x:c r="P1966" s="30" t="n">
        <x:f>O1966*J1966*(1+M1966)</x:f>
        <x:v>0.000024035</x:v>
      </x:c>
      <x:c r="Q1966" s="30" t="n">
        <x:f>P1966*N1966</x:f>
        <x:v>0.00173052</x:v>
      </x:c>
      <x:c r="R1966" s="19" t="str">
        <x:v>独立判定</x:v>
      </x:c>
    </x:row>
    <x:row r="1967" ht="19" customHeight="1">
      <x:c r="A1967" s="19" t="str">
        <x:v>D01963</x:v>
      </x:c>
      <x:c r="B1967" s="19" t="n">
        <x:v>4</x:v>
      </x:c>
      <x:c r="C1967" s="19" t="n">
        <x:v>6</x:v>
      </x:c>
      <x:c r="D1967" s="19" t="str">
        <x:v>C04-M062</x:v>
      </x:c>
      <x:c r="E1967" s="19" t="str">
        <x:v>砾壳穴龟</x:v>
      </x:c>
      <x:c r="F1967" s="19" t="str">
        <x:v>普通</x:v>
      </x:c>
      <x:c r="G1967" s="19" t="str">
        <x:v>材料独立候选</x:v>
      </x:c>
      <x:c r="H1967" s="19" t="str">
        <x:v>野兽骨片</x:v>
      </x:c>
      <x:c r="I1967" s="22" t="n">
        <x:v>100</x:v>
      </x:c>
      <x:c r="J1967" s="22" t="n">
        <x:v>2</x:v>
      </x:c>
      <x:c r="K1967" s="19" t="n">
        <x:v>1</x:v>
      </x:c>
      <x:c r="L1967" s="24" t="n">
        <x:v>21.849999999999998</x:v>
      </x:c>
      <x:c r="M1967" s="26" t="n">
        <x:v>0.1</x:v>
      </x:c>
      <x:c r="N1967" s="24" t="n">
        <x:v>72</x:v>
      </x:c>
      <x:c r="O1967" s="28" t="n">
        <x:f>MIN(1,L1967/I1967)</x:f>
        <x:v>0.21849999999999997</x:v>
      </x:c>
      <x:c r="P1967" s="30" t="n">
        <x:f>O1967*J1967*(1+M1967)</x:f>
        <x:v>0.48069999999999996</x:v>
      </x:c>
      <x:c r="Q1967" s="30" t="n">
        <x:f>P1967*N1967</x:f>
        <x:v>34.6104</x:v>
      </x:c>
      <x:c r="R1967" s="19" t="str">
        <x:v>独立判定</x:v>
      </x:c>
    </x:row>
    <x:row r="1968" ht="19" customHeight="1">
      <x:c r="A1968" s="19" t="str">
        <x:v>D01964</x:v>
      </x:c>
      <x:c r="B1968" s="19" t="n">
        <x:v>4</x:v>
      </x:c>
      <x:c r="C1968" s="19" t="n">
        <x:v>6</x:v>
      </x:c>
      <x:c r="D1968" s="19" t="str">
        <x:v>C04-M062</x:v>
      </x:c>
      <x:c r="E1968" s="19" t="str">
        <x:v>砾壳穴龟</x:v>
      </x:c>
      <x:c r="F1968" s="19" t="str">
        <x:v>普通</x:v>
      </x:c>
      <x:c r="G1968" s="19" t="str">
        <x:v>材料独立候选</x:v>
      </x:c>
      <x:c r="H1968" s="19" t="str">
        <x:v>技能残页</x:v>
      </x:c>
      <x:c r="I1968" s="22" t="n">
        <x:v>500</x:v>
      </x:c>
      <x:c r="J1968" s="22" t="n">
        <x:v>1</x:v>
      </x:c>
      <x:c r="K1968" s="19" t="n">
        <x:v>1</x:v>
      </x:c>
      <x:c r="L1968" s="24" t="n">
        <x:v>21.849999999999998</x:v>
      </x:c>
      <x:c r="M1968" s="26" t="n">
        <x:v>0.1</x:v>
      </x:c>
      <x:c r="N1968" s="24" t="n">
        <x:v>72</x:v>
      </x:c>
      <x:c r="O1968" s="28" t="n">
        <x:f>MIN(1,L1968/I1968)</x:f>
        <x:v>0.043699999999999996</x:v>
      </x:c>
      <x:c r="P1968" s="30" t="n">
        <x:f>O1968*J1968*(1+M1968)</x:f>
        <x:v>0.04807</x:v>
      </x:c>
      <x:c r="Q1968" s="30" t="n">
        <x:f>P1968*N1968</x:f>
        <x:v>3.46104</x:v>
      </x:c>
      <x:c r="R1968" s="19" t="str">
        <x:v>独立判定</x:v>
      </x:c>
    </x:row>
    <x:row r="1969" ht="19" customHeight="1">
      <x:c r="A1969" s="19" t="str">
        <x:v>D01965</x:v>
      </x:c>
      <x:c r="B1969" s="19" t="n">
        <x:v>4</x:v>
      </x:c>
      <x:c r="C1969" s="19" t="n">
        <x:v>6</x:v>
      </x:c>
      <x:c r="D1969" s="19" t="str">
        <x:v>C04-M062</x:v>
      </x:c>
      <x:c r="E1969" s="19" t="str">
        <x:v>砾壳穴龟</x:v>
      </x:c>
      <x:c r="F1969" s="19" t="str">
        <x:v>普通</x:v>
      </x:c>
      <x:c r="G1969" s="19" t="str">
        <x:v>材料独立候选</x:v>
      </x:c>
      <x:c r="H1969" s="19" t="str">
        <x:v>小卢恩</x:v>
      </x:c>
      <x:c r="I1969" s="22" t="n">
        <x:v>1000</x:v>
      </x:c>
      <x:c r="J1969" s="22" t="n">
        <x:v>1</x:v>
      </x:c>
      <x:c r="K1969" s="19" t="n">
        <x:v>1</x:v>
      </x:c>
      <x:c r="L1969" s="24" t="n">
        <x:v>21.849999999999998</x:v>
      </x:c>
      <x:c r="M1969" s="26" t="n">
        <x:v>0.1</x:v>
      </x:c>
      <x:c r="N1969" s="24" t="n">
        <x:v>72</x:v>
      </x:c>
      <x:c r="O1969" s="28" t="n">
        <x:f>MIN(1,L1969/I1969)</x:f>
        <x:v>0.021849999999999998</x:v>
      </x:c>
      <x:c r="P1969" s="30" t="n">
        <x:f>O1969*J1969*(1+M1969)</x:f>
        <x:v>0.024035</x:v>
      </x:c>
      <x:c r="Q1969" s="30" t="n">
        <x:f>P1969*N1969</x:f>
        <x:v>1.73052</x:v>
      </x:c>
      <x:c r="R1969" s="19" t="str">
        <x:v>独立判定</x:v>
      </x:c>
    </x:row>
    <x:row r="1970" ht="19" customHeight="1">
      <x:c r="A1970" s="19" t="str">
        <x:v>D01966</x:v>
      </x:c>
      <x:c r="B1970" s="19" t="n">
        <x:v>4</x:v>
      </x:c>
      <x:c r="C1970" s="19" t="n">
        <x:v>6</x:v>
      </x:c>
      <x:c r="D1970" s="19" t="str">
        <x:v>C04-M062</x:v>
      </x:c>
      <x:c r="E1970" s="19" t="str">
        <x:v>砾壳穴龟</x:v>
      </x:c>
      <x:c r="F1970" s="19" t="str">
        <x:v>普通</x:v>
      </x:c>
      <x:c r="G1970" s="19" t="str">
        <x:v>六神器公共池</x:v>
      </x:c>
      <x:c r="H1970" s="19" t="str">
        <x:v>POOL006</x:v>
      </x:c>
      <x:c r="I1970" s="22" t="n">
        <x:v>20000000</x:v>
      </x:c>
      <x:c r="J1970" s="22" t="n">
        <x:v>1</x:v>
      </x:c>
      <x:c r="K1970" s="19" t="n">
        <x:v>6</x:v>
      </x:c>
      <x:c r="L1970" s="24" t="n">
        <x:v>21.849999999999998</x:v>
      </x:c>
      <x:c r="M1970" s="26" t="n">
        <x:v>0.1</x:v>
      </x:c>
      <x:c r="N1970" s="24" t="n">
        <x:v>72</x:v>
      </x:c>
      <x:c r="O1970" s="28" t="n">
        <x:f>MIN(1,L1970/I1970)</x:f>
        <x:v>0.0000010925</x:v>
      </x:c>
      <x:c r="P1970" s="30" t="n">
        <x:f>O1970*J1970*(1+M1970)</x:f>
        <x:v>0.00000120175</x:v>
      </x:c>
      <x:c r="Q1970" s="30" t="n">
        <x:f>P1970*N1970</x:f>
        <x:v>0.00008652599999999999</x:v>
      </x:c>
      <x:c r="R1970" s="19" t="str">
        <x:v>六选一；非6个独立爆率</x:v>
      </x:c>
    </x:row>
    <x:row r="1971" ht="19" customHeight="1">
      <x:c r="A1971" s="19" t="str">
        <x:v>D01967</x:v>
      </x:c>
      <x:c r="B1971" s="19" t="n">
        <x:v>4</x:v>
      </x:c>
      <x:c r="C1971" s="19" t="n">
        <x:v>6</x:v>
      </x:c>
      <x:c r="D1971" s="19" t="str">
        <x:v>C04-M063</x:v>
      </x:c>
      <x:c r="E1971" s="19" t="str">
        <x:v>暗渠滤水蚌</x:v>
      </x:c>
      <x:c r="F1971" s="19" t="str">
        <x:v>普通</x:v>
      </x:c>
      <x:c r="G1971" s="19" t="str">
        <x:v>自身专属</x:v>
      </x:c>
      <x:c r="H1971" s="19" t="str">
        <x:v>滤水蚌盔</x:v>
      </x:c>
      <x:c r="I1971" s="22" t="n">
        <x:v>1500</x:v>
      </x:c>
      <x:c r="J1971" s="22" t="n">
        <x:v>1</x:v>
      </x:c>
      <x:c r="K1971" s="19" t="n">
        <x:v>1</x:v>
      </x:c>
      <x:c r="L1971" s="24" t="n">
        <x:v>21.849999999999998</x:v>
      </x:c>
      <x:c r="M1971" s="26" t="n">
        <x:v>0.1</x:v>
      </x:c>
      <x:c r="N1971" s="24" t="n">
        <x:v>72</x:v>
      </x:c>
      <x:c r="O1971" s="28" t="n">
        <x:f>MIN(1,L1971/I1971)</x:f>
        <x:v>0.014566666666666665</x:v>
      </x:c>
      <x:c r="P1971" s="30" t="n">
        <x:f>O1971*J1971*(1+M1971)</x:f>
        <x:v>0.016023333333333334</x:v>
      </x:c>
      <x:c r="Q1971" s="30" t="n">
        <x:f>P1971*N1971</x:f>
        <x:v>1.15368</x:v>
      </x:c>
      <x:c r="R1971" s="19" t="str">
        <x:v>独立判定</x:v>
      </x:c>
    </x:row>
    <x:row r="1972" ht="19" customHeight="1">
      <x:c r="A1972" s="19" t="str">
        <x:v>D01968</x:v>
      </x:c>
      <x:c r="B1972" s="19" t="n">
        <x:v>4</x:v>
      </x:c>
      <x:c r="C1972" s="19" t="n">
        <x:v>6</x:v>
      </x:c>
      <x:c r="D1972" s="19" t="str">
        <x:v>C04-M063</x:v>
      </x:c>
      <x:c r="E1972" s="19" t="str">
        <x:v>暗渠滤水蚌</x:v>
      </x:c>
      <x:c r="F1972" s="19" t="str">
        <x:v>普通</x:v>
      </x:c>
      <x:c r="G1972" s="19" t="str">
        <x:v>材料独立候选</x:v>
      </x:c>
      <x:c r="H1972" s="19" t="str">
        <x:v>湖盐结晶</x:v>
      </x:c>
      <x:c r="I1972" s="22" t="n">
        <x:v>600</x:v>
      </x:c>
      <x:c r="J1972" s="22" t="n">
        <x:v>8</x:v>
      </x:c>
      <x:c r="K1972" s="19" t="n">
        <x:v>1</x:v>
      </x:c>
      <x:c r="L1972" s="24" t="n">
        <x:v>21.849999999999998</x:v>
      </x:c>
      <x:c r="M1972" s="26" t="n">
        <x:v>0.1</x:v>
      </x:c>
      <x:c r="N1972" s="24" t="n">
        <x:v>72</x:v>
      </x:c>
      <x:c r="O1972" s="28" t="n">
        <x:f>MIN(1,L1972/I1972)</x:f>
        <x:v>0.03641666666666666</x:v>
      </x:c>
      <x:c r="P1972" s="30" t="n">
        <x:f>O1972*J1972*(1+M1972)</x:f>
        <x:v>0.3204666666666666</x:v>
      </x:c>
      <x:c r="Q1972" s="30" t="n">
        <x:f>P1972*N1972</x:f>
        <x:v>23.073599999999995</x:v>
      </x:c>
      <x:c r="R1972" s="19" t="str">
        <x:v>独立判定</x:v>
      </x:c>
    </x:row>
    <x:row r="1973" ht="19" customHeight="1">
      <x:c r="A1973" s="19" t="str">
        <x:v>D01969</x:v>
      </x:c>
      <x:c r="B1973" s="19" t="n">
        <x:v>4</x:v>
      </x:c>
      <x:c r="C1973" s="19" t="n">
        <x:v>6</x:v>
      </x:c>
      <x:c r="D1973" s="19" t="str">
        <x:v>C04-M063</x:v>
      </x:c>
      <x:c r="E1973" s="19" t="str">
        <x:v>暗渠滤水蚌</x:v>
      </x:c>
      <x:c r="F1973" s="19" t="str">
        <x:v>普通</x:v>
      </x:c>
      <x:c r="G1973" s="19" t="str">
        <x:v>材料独立候选</x:v>
      </x:c>
      <x:c r="H1973" s="19" t="str">
        <x:v>雾潮银鳞</x:v>
      </x:c>
      <x:c r="I1973" s="22" t="n">
        <x:v>800</x:v>
      </x:c>
      <x:c r="J1973" s="22" t="n">
        <x:v>1</x:v>
      </x:c>
      <x:c r="K1973" s="19" t="n">
        <x:v>1</x:v>
      </x:c>
      <x:c r="L1973" s="24" t="n">
        <x:v>21.849999999999998</x:v>
      </x:c>
      <x:c r="M1973" s="26" t="n">
        <x:v>0.1</x:v>
      </x:c>
      <x:c r="N1973" s="24" t="n">
        <x:v>72</x:v>
      </x:c>
      <x:c r="O1973" s="28" t="n">
        <x:f>MIN(1,L1973/I1973)</x:f>
        <x:v>0.027312499999999997</x:v>
      </x:c>
      <x:c r="P1973" s="30" t="n">
        <x:f>O1973*J1973*(1+M1973)</x:f>
        <x:v>0.030043749999999998</x:v>
      </x:c>
      <x:c r="Q1973" s="30" t="n">
        <x:f>P1973*N1973</x:f>
        <x:v>2.16315</x:v>
      </x:c>
      <x:c r="R1973" s="19" t="str">
        <x:v>独立判定</x:v>
      </x:c>
    </x:row>
    <x:row r="1974" ht="19" customHeight="1">
      <x:c r="A1974" s="19" t="str">
        <x:v>D01970</x:v>
      </x:c>
      <x:c r="B1974" s="19" t="n">
        <x:v>4</x:v>
      </x:c>
      <x:c r="C1974" s="19" t="n">
        <x:v>6</x:v>
      </x:c>
      <x:c r="D1974" s="19" t="str">
        <x:v>C04-M063</x:v>
      </x:c>
      <x:c r="E1974" s="19" t="str">
        <x:v>暗渠滤水蚌</x:v>
      </x:c>
      <x:c r="F1974" s="19" t="str">
        <x:v>普通</x:v>
      </x:c>
      <x:c r="G1974" s="19" t="str">
        <x:v>材料独立候选</x:v>
      </x:c>
      <x:c r="H1974" s="19" t="str">
        <x:v>月潮忆珀</x:v>
      </x:c>
      <x:c r="I1974" s="22" t="n">
        <x:v>1000000</x:v>
      </x:c>
      <x:c r="J1974" s="22" t="n">
        <x:v>1</x:v>
      </x:c>
      <x:c r="K1974" s="19" t="n">
        <x:v>1</x:v>
      </x:c>
      <x:c r="L1974" s="24" t="n">
        <x:v>21.849999999999998</x:v>
      </x:c>
      <x:c r="M1974" s="26" t="n">
        <x:v>0.1</x:v>
      </x:c>
      <x:c r="N1974" s="24" t="n">
        <x:v>72</x:v>
      </x:c>
      <x:c r="O1974" s="28" t="n">
        <x:f>MIN(1,L1974/I1974)</x:f>
        <x:v>0.00002185</x:v>
      </x:c>
      <x:c r="P1974" s="30" t="n">
        <x:f>O1974*J1974*(1+M1974)</x:f>
        <x:v>0.000024035</x:v>
      </x:c>
      <x:c r="Q1974" s="30" t="n">
        <x:f>P1974*N1974</x:f>
        <x:v>0.00173052</x:v>
      </x:c>
      <x:c r="R1974" s="19" t="str">
        <x:v>独立判定</x:v>
      </x:c>
    </x:row>
    <x:row r="1975" ht="19" customHeight="1">
      <x:c r="A1975" s="19" t="str">
        <x:v>D01971</x:v>
      </x:c>
      <x:c r="B1975" s="19" t="n">
        <x:v>4</x:v>
      </x:c>
      <x:c r="C1975" s="19" t="n">
        <x:v>6</x:v>
      </x:c>
      <x:c r="D1975" s="19" t="str">
        <x:v>C04-M063</x:v>
      </x:c>
      <x:c r="E1975" s="19" t="str">
        <x:v>暗渠滤水蚌</x:v>
      </x:c>
      <x:c r="F1975" s="19" t="str">
        <x:v>普通</x:v>
      </x:c>
      <x:c r="G1975" s="19" t="str">
        <x:v>材料独立候选</x:v>
      </x:c>
      <x:c r="H1975" s="19" t="str">
        <x:v>野兽骨片</x:v>
      </x:c>
      <x:c r="I1975" s="22" t="n">
        <x:v>100</x:v>
      </x:c>
      <x:c r="J1975" s="22" t="n">
        <x:v>2</x:v>
      </x:c>
      <x:c r="K1975" s="19" t="n">
        <x:v>1</x:v>
      </x:c>
      <x:c r="L1975" s="24" t="n">
        <x:v>21.849999999999998</x:v>
      </x:c>
      <x:c r="M1975" s="26" t="n">
        <x:v>0.1</x:v>
      </x:c>
      <x:c r="N1975" s="24" t="n">
        <x:v>72</x:v>
      </x:c>
      <x:c r="O1975" s="28" t="n">
        <x:f>MIN(1,L1975/I1975)</x:f>
        <x:v>0.21849999999999997</x:v>
      </x:c>
      <x:c r="P1975" s="30" t="n">
        <x:f>O1975*J1975*(1+M1975)</x:f>
        <x:v>0.48069999999999996</x:v>
      </x:c>
      <x:c r="Q1975" s="30" t="n">
        <x:f>P1975*N1975</x:f>
        <x:v>34.6104</x:v>
      </x:c>
      <x:c r="R1975" s="19" t="str">
        <x:v>独立判定</x:v>
      </x:c>
    </x:row>
    <x:row r="1976" ht="19" customHeight="1">
      <x:c r="A1976" s="19" t="str">
        <x:v>D01972</x:v>
      </x:c>
      <x:c r="B1976" s="19" t="n">
        <x:v>4</x:v>
      </x:c>
      <x:c r="C1976" s="19" t="n">
        <x:v>6</x:v>
      </x:c>
      <x:c r="D1976" s="19" t="str">
        <x:v>C04-M063</x:v>
      </x:c>
      <x:c r="E1976" s="19" t="str">
        <x:v>暗渠滤水蚌</x:v>
      </x:c>
      <x:c r="F1976" s="19" t="str">
        <x:v>普通</x:v>
      </x:c>
      <x:c r="G1976" s="19" t="str">
        <x:v>材料独立候选</x:v>
      </x:c>
      <x:c r="H1976" s="19" t="str">
        <x:v>技能残页</x:v>
      </x:c>
      <x:c r="I1976" s="22" t="n">
        <x:v>500</x:v>
      </x:c>
      <x:c r="J1976" s="22" t="n">
        <x:v>1</x:v>
      </x:c>
      <x:c r="K1976" s="19" t="n">
        <x:v>1</x:v>
      </x:c>
      <x:c r="L1976" s="24" t="n">
        <x:v>21.849999999999998</x:v>
      </x:c>
      <x:c r="M1976" s="26" t="n">
        <x:v>0.1</x:v>
      </x:c>
      <x:c r="N1976" s="24" t="n">
        <x:v>72</x:v>
      </x:c>
      <x:c r="O1976" s="28" t="n">
        <x:f>MIN(1,L1976/I1976)</x:f>
        <x:v>0.043699999999999996</x:v>
      </x:c>
      <x:c r="P1976" s="30" t="n">
        <x:f>O1976*J1976*(1+M1976)</x:f>
        <x:v>0.04807</x:v>
      </x:c>
      <x:c r="Q1976" s="30" t="n">
        <x:f>P1976*N1976</x:f>
        <x:v>3.46104</x:v>
      </x:c>
      <x:c r="R1976" s="19" t="str">
        <x:v>独立判定</x:v>
      </x:c>
    </x:row>
    <x:row r="1977" ht="19" customHeight="1">
      <x:c r="A1977" s="19" t="str">
        <x:v>D01973</x:v>
      </x:c>
      <x:c r="B1977" s="19" t="n">
        <x:v>4</x:v>
      </x:c>
      <x:c r="C1977" s="19" t="n">
        <x:v>6</x:v>
      </x:c>
      <x:c r="D1977" s="19" t="str">
        <x:v>C04-M063</x:v>
      </x:c>
      <x:c r="E1977" s="19" t="str">
        <x:v>暗渠滤水蚌</x:v>
      </x:c>
      <x:c r="F1977" s="19" t="str">
        <x:v>普通</x:v>
      </x:c>
      <x:c r="G1977" s="19" t="str">
        <x:v>材料独立候选</x:v>
      </x:c>
      <x:c r="H1977" s="19" t="str">
        <x:v>小卢恩</x:v>
      </x:c>
      <x:c r="I1977" s="22" t="n">
        <x:v>1000</x:v>
      </x:c>
      <x:c r="J1977" s="22" t="n">
        <x:v>1</x:v>
      </x:c>
      <x:c r="K1977" s="19" t="n">
        <x:v>1</x:v>
      </x:c>
      <x:c r="L1977" s="24" t="n">
        <x:v>21.849999999999998</x:v>
      </x:c>
      <x:c r="M1977" s="26" t="n">
        <x:v>0.1</x:v>
      </x:c>
      <x:c r="N1977" s="24" t="n">
        <x:v>72</x:v>
      </x:c>
      <x:c r="O1977" s="28" t="n">
        <x:f>MIN(1,L1977/I1977)</x:f>
        <x:v>0.021849999999999998</x:v>
      </x:c>
      <x:c r="P1977" s="30" t="n">
        <x:f>O1977*J1977*(1+M1977)</x:f>
        <x:v>0.024035</x:v>
      </x:c>
      <x:c r="Q1977" s="30" t="n">
        <x:f>P1977*N1977</x:f>
        <x:v>1.73052</x:v>
      </x:c>
      <x:c r="R1977" s="19" t="str">
        <x:v>独立判定</x:v>
      </x:c>
    </x:row>
    <x:row r="1978" ht="19" customHeight="1">
      <x:c r="A1978" s="19" t="str">
        <x:v>D01974</x:v>
      </x:c>
      <x:c r="B1978" s="19" t="n">
        <x:v>4</x:v>
      </x:c>
      <x:c r="C1978" s="19" t="n">
        <x:v>6</x:v>
      </x:c>
      <x:c r="D1978" s="19" t="str">
        <x:v>C04-M063</x:v>
      </x:c>
      <x:c r="E1978" s="19" t="str">
        <x:v>暗渠滤水蚌</x:v>
      </x:c>
      <x:c r="F1978" s="19" t="str">
        <x:v>普通</x:v>
      </x:c>
      <x:c r="G1978" s="19" t="str">
        <x:v>六神器公共池</x:v>
      </x:c>
      <x:c r="H1978" s="19" t="str">
        <x:v>POOL006</x:v>
      </x:c>
      <x:c r="I1978" s="22" t="n">
        <x:v>20000000</x:v>
      </x:c>
      <x:c r="J1978" s="22" t="n">
        <x:v>1</x:v>
      </x:c>
      <x:c r="K1978" s="19" t="n">
        <x:v>6</x:v>
      </x:c>
      <x:c r="L1978" s="24" t="n">
        <x:v>21.849999999999998</x:v>
      </x:c>
      <x:c r="M1978" s="26" t="n">
        <x:v>0.1</x:v>
      </x:c>
      <x:c r="N1978" s="24" t="n">
        <x:v>72</x:v>
      </x:c>
      <x:c r="O1978" s="28" t="n">
        <x:f>MIN(1,L1978/I1978)</x:f>
        <x:v>0.0000010925</x:v>
      </x:c>
      <x:c r="P1978" s="30" t="n">
        <x:f>O1978*J1978*(1+M1978)</x:f>
        <x:v>0.00000120175</x:v>
      </x:c>
      <x:c r="Q1978" s="30" t="n">
        <x:f>P1978*N1978</x:f>
        <x:v>0.00008652599999999999</x:v>
      </x:c>
      <x:c r="R1978" s="19" t="str">
        <x:v>六选一；非6个独立爆率</x:v>
      </x:c>
    </x:row>
    <x:row r="1979" ht="19" customHeight="1">
      <x:c r="A1979" s="19" t="str">
        <x:v>D01975</x:v>
      </x:c>
      <x:c r="B1979" s="19" t="n">
        <x:v>4</x:v>
      </x:c>
      <x:c r="C1979" s="19" t="n">
        <x:v>6</x:v>
      </x:c>
      <x:c r="D1979" s="19" t="str">
        <x:v>C04-M064</x:v>
      </x:c>
      <x:c r="E1979" s="19" t="str">
        <x:v>锈闸守渠人</x:v>
      </x:c>
      <x:c r="F1979" s="19" t="str">
        <x:v>普通</x:v>
      </x:c>
      <x:c r="G1979" s="19" t="str">
        <x:v>自身专属</x:v>
      </x:c>
      <x:c r="H1979" s="19" t="str">
        <x:v>守渠锈衣</x:v>
      </x:c>
      <x:c r="I1979" s="22" t="n">
        <x:v>1500</x:v>
      </x:c>
      <x:c r="J1979" s="22" t="n">
        <x:v>1</x:v>
      </x:c>
      <x:c r="K1979" s="19" t="n">
        <x:v>1</x:v>
      </x:c>
      <x:c r="L1979" s="24" t="n">
        <x:v>21.849999999999998</x:v>
      </x:c>
      <x:c r="M1979" s="26" t="n">
        <x:v>0.1</x:v>
      </x:c>
      <x:c r="N1979" s="24" t="n">
        <x:v>72</x:v>
      </x:c>
      <x:c r="O1979" s="28" t="n">
        <x:f>MIN(1,L1979/I1979)</x:f>
        <x:v>0.014566666666666665</x:v>
      </x:c>
      <x:c r="P1979" s="30" t="n">
        <x:f>O1979*J1979*(1+M1979)</x:f>
        <x:v>0.016023333333333334</x:v>
      </x:c>
      <x:c r="Q1979" s="30" t="n">
        <x:f>P1979*N1979</x:f>
        <x:v>1.15368</x:v>
      </x:c>
      <x:c r="R1979" s="19" t="str">
        <x:v>独立判定</x:v>
      </x:c>
    </x:row>
    <x:row r="1980" ht="19" customHeight="1">
      <x:c r="A1980" s="19" t="str">
        <x:v>D01976</x:v>
      </x:c>
      <x:c r="B1980" s="19" t="n">
        <x:v>4</x:v>
      </x:c>
      <x:c r="C1980" s="19" t="n">
        <x:v>6</x:v>
      </x:c>
      <x:c r="D1980" s="19" t="str">
        <x:v>C04-M064</x:v>
      </x:c>
      <x:c r="E1980" s="19" t="str">
        <x:v>锈闸守渠人</x:v>
      </x:c>
      <x:c r="F1980" s="19" t="str">
        <x:v>普通</x:v>
      </x:c>
      <x:c r="G1980" s="19" t="str">
        <x:v>材料独立候选</x:v>
      </x:c>
      <x:c r="H1980" s="19" t="str">
        <x:v>湖盐结晶</x:v>
      </x:c>
      <x:c r="I1980" s="22" t="n">
        <x:v>600</x:v>
      </x:c>
      <x:c r="J1980" s="22" t="n">
        <x:v>8</x:v>
      </x:c>
      <x:c r="K1980" s="19" t="n">
        <x:v>1</x:v>
      </x:c>
      <x:c r="L1980" s="24" t="n">
        <x:v>21.849999999999998</x:v>
      </x:c>
      <x:c r="M1980" s="26" t="n">
        <x:v>0.1</x:v>
      </x:c>
      <x:c r="N1980" s="24" t="n">
        <x:v>72</x:v>
      </x:c>
      <x:c r="O1980" s="28" t="n">
        <x:f>MIN(1,L1980/I1980)</x:f>
        <x:v>0.03641666666666666</x:v>
      </x:c>
      <x:c r="P1980" s="30" t="n">
        <x:f>O1980*J1980*(1+M1980)</x:f>
        <x:v>0.3204666666666666</x:v>
      </x:c>
      <x:c r="Q1980" s="30" t="n">
        <x:f>P1980*N1980</x:f>
        <x:v>23.073599999999995</x:v>
      </x:c>
      <x:c r="R1980" s="19" t="str">
        <x:v>独立判定</x:v>
      </x:c>
    </x:row>
    <x:row r="1981" ht="19" customHeight="1">
      <x:c r="A1981" s="19" t="str">
        <x:v>D01977</x:v>
      </x:c>
      <x:c r="B1981" s="19" t="n">
        <x:v>4</x:v>
      </x:c>
      <x:c r="C1981" s="19" t="n">
        <x:v>6</x:v>
      </x:c>
      <x:c r="D1981" s="19" t="str">
        <x:v>C04-M064</x:v>
      </x:c>
      <x:c r="E1981" s="19" t="str">
        <x:v>锈闸守渠人</x:v>
      </x:c>
      <x:c r="F1981" s="19" t="str">
        <x:v>普通</x:v>
      </x:c>
      <x:c r="G1981" s="19" t="str">
        <x:v>材料独立候选</x:v>
      </x:c>
      <x:c r="H1981" s="19" t="str">
        <x:v>雾潮银鳞</x:v>
      </x:c>
      <x:c r="I1981" s="22" t="n">
        <x:v>800</x:v>
      </x:c>
      <x:c r="J1981" s="22" t="n">
        <x:v>1</x:v>
      </x:c>
      <x:c r="K1981" s="19" t="n">
        <x:v>1</x:v>
      </x:c>
      <x:c r="L1981" s="24" t="n">
        <x:v>21.849999999999998</x:v>
      </x:c>
      <x:c r="M1981" s="26" t="n">
        <x:v>0.1</x:v>
      </x:c>
      <x:c r="N1981" s="24" t="n">
        <x:v>72</x:v>
      </x:c>
      <x:c r="O1981" s="28" t="n">
        <x:f>MIN(1,L1981/I1981)</x:f>
        <x:v>0.027312499999999997</x:v>
      </x:c>
      <x:c r="P1981" s="30" t="n">
        <x:f>O1981*J1981*(1+M1981)</x:f>
        <x:v>0.030043749999999998</x:v>
      </x:c>
      <x:c r="Q1981" s="30" t="n">
        <x:f>P1981*N1981</x:f>
        <x:v>2.16315</x:v>
      </x:c>
      <x:c r="R1981" s="19" t="str">
        <x:v>独立判定</x:v>
      </x:c>
    </x:row>
    <x:row r="1982" ht="19" customHeight="1">
      <x:c r="A1982" s="19" t="str">
        <x:v>D01978</x:v>
      </x:c>
      <x:c r="B1982" s="19" t="n">
        <x:v>4</x:v>
      </x:c>
      <x:c r="C1982" s="19" t="n">
        <x:v>6</x:v>
      </x:c>
      <x:c r="D1982" s="19" t="str">
        <x:v>C04-M064</x:v>
      </x:c>
      <x:c r="E1982" s="19" t="str">
        <x:v>锈闸守渠人</x:v>
      </x:c>
      <x:c r="F1982" s="19" t="str">
        <x:v>普通</x:v>
      </x:c>
      <x:c r="G1982" s="19" t="str">
        <x:v>材料独立候选</x:v>
      </x:c>
      <x:c r="H1982" s="19" t="str">
        <x:v>月潮忆珀</x:v>
      </x:c>
      <x:c r="I1982" s="22" t="n">
        <x:v>1000000</x:v>
      </x:c>
      <x:c r="J1982" s="22" t="n">
        <x:v>1</x:v>
      </x:c>
      <x:c r="K1982" s="19" t="n">
        <x:v>1</x:v>
      </x:c>
      <x:c r="L1982" s="24" t="n">
        <x:v>21.849999999999998</x:v>
      </x:c>
      <x:c r="M1982" s="26" t="n">
        <x:v>0.1</x:v>
      </x:c>
      <x:c r="N1982" s="24" t="n">
        <x:v>72</x:v>
      </x:c>
      <x:c r="O1982" s="28" t="n">
        <x:f>MIN(1,L1982/I1982)</x:f>
        <x:v>0.00002185</x:v>
      </x:c>
      <x:c r="P1982" s="30" t="n">
        <x:f>O1982*J1982*(1+M1982)</x:f>
        <x:v>0.000024035</x:v>
      </x:c>
      <x:c r="Q1982" s="30" t="n">
        <x:f>P1982*N1982</x:f>
        <x:v>0.00173052</x:v>
      </x:c>
      <x:c r="R1982" s="19" t="str">
        <x:v>独立判定</x:v>
      </x:c>
    </x:row>
    <x:row r="1983" ht="19" customHeight="1">
      <x:c r="A1983" s="19" t="str">
        <x:v>D01979</x:v>
      </x:c>
      <x:c r="B1983" s="19" t="n">
        <x:v>4</x:v>
      </x:c>
      <x:c r="C1983" s="19" t="n">
        <x:v>6</x:v>
      </x:c>
      <x:c r="D1983" s="19" t="str">
        <x:v>C04-M064</x:v>
      </x:c>
      <x:c r="E1983" s="19" t="str">
        <x:v>锈闸守渠人</x:v>
      </x:c>
      <x:c r="F1983" s="19" t="str">
        <x:v>普通</x:v>
      </x:c>
      <x:c r="G1983" s="19" t="str">
        <x:v>材料独立候选</x:v>
      </x:c>
      <x:c r="H1983" s="19" t="str">
        <x:v>野兽骨片</x:v>
      </x:c>
      <x:c r="I1983" s="22" t="n">
        <x:v>100</x:v>
      </x:c>
      <x:c r="J1983" s="22" t="n">
        <x:v>2</x:v>
      </x:c>
      <x:c r="K1983" s="19" t="n">
        <x:v>1</x:v>
      </x:c>
      <x:c r="L1983" s="24" t="n">
        <x:v>21.849999999999998</x:v>
      </x:c>
      <x:c r="M1983" s="26" t="n">
        <x:v>0.1</x:v>
      </x:c>
      <x:c r="N1983" s="24" t="n">
        <x:v>72</x:v>
      </x:c>
      <x:c r="O1983" s="28" t="n">
        <x:f>MIN(1,L1983/I1983)</x:f>
        <x:v>0.21849999999999997</x:v>
      </x:c>
      <x:c r="P1983" s="30" t="n">
        <x:f>O1983*J1983*(1+M1983)</x:f>
        <x:v>0.48069999999999996</x:v>
      </x:c>
      <x:c r="Q1983" s="30" t="n">
        <x:f>P1983*N1983</x:f>
        <x:v>34.6104</x:v>
      </x:c>
      <x:c r="R1983" s="19" t="str">
        <x:v>独立判定</x:v>
      </x:c>
    </x:row>
    <x:row r="1984" ht="19" customHeight="1">
      <x:c r="A1984" s="19" t="str">
        <x:v>D01980</x:v>
      </x:c>
      <x:c r="B1984" s="19" t="n">
        <x:v>4</x:v>
      </x:c>
      <x:c r="C1984" s="19" t="n">
        <x:v>6</x:v>
      </x:c>
      <x:c r="D1984" s="19" t="str">
        <x:v>C04-M064</x:v>
      </x:c>
      <x:c r="E1984" s="19" t="str">
        <x:v>锈闸守渠人</x:v>
      </x:c>
      <x:c r="F1984" s="19" t="str">
        <x:v>普通</x:v>
      </x:c>
      <x:c r="G1984" s="19" t="str">
        <x:v>材料独立候选</x:v>
      </x:c>
      <x:c r="H1984" s="19" t="str">
        <x:v>技能残页</x:v>
      </x:c>
      <x:c r="I1984" s="22" t="n">
        <x:v>500</x:v>
      </x:c>
      <x:c r="J1984" s="22" t="n">
        <x:v>1</x:v>
      </x:c>
      <x:c r="K1984" s="19" t="n">
        <x:v>1</x:v>
      </x:c>
      <x:c r="L1984" s="24" t="n">
        <x:v>21.849999999999998</x:v>
      </x:c>
      <x:c r="M1984" s="26" t="n">
        <x:v>0.1</x:v>
      </x:c>
      <x:c r="N1984" s="24" t="n">
        <x:v>72</x:v>
      </x:c>
      <x:c r="O1984" s="28" t="n">
        <x:f>MIN(1,L1984/I1984)</x:f>
        <x:v>0.043699999999999996</x:v>
      </x:c>
      <x:c r="P1984" s="30" t="n">
        <x:f>O1984*J1984*(1+M1984)</x:f>
        <x:v>0.04807</x:v>
      </x:c>
      <x:c r="Q1984" s="30" t="n">
        <x:f>P1984*N1984</x:f>
        <x:v>3.46104</x:v>
      </x:c>
      <x:c r="R1984" s="19" t="str">
        <x:v>独立判定</x:v>
      </x:c>
    </x:row>
    <x:row r="1985" ht="19" customHeight="1">
      <x:c r="A1985" s="19" t="str">
        <x:v>D01981</x:v>
      </x:c>
      <x:c r="B1985" s="19" t="n">
        <x:v>4</x:v>
      </x:c>
      <x:c r="C1985" s="19" t="n">
        <x:v>6</x:v>
      </x:c>
      <x:c r="D1985" s="19" t="str">
        <x:v>C04-M064</x:v>
      </x:c>
      <x:c r="E1985" s="19" t="str">
        <x:v>锈闸守渠人</x:v>
      </x:c>
      <x:c r="F1985" s="19" t="str">
        <x:v>普通</x:v>
      </x:c>
      <x:c r="G1985" s="19" t="str">
        <x:v>材料独立候选</x:v>
      </x:c>
      <x:c r="H1985" s="19" t="str">
        <x:v>小卢恩</x:v>
      </x:c>
      <x:c r="I1985" s="22" t="n">
        <x:v>1000</x:v>
      </x:c>
      <x:c r="J1985" s="22" t="n">
        <x:v>1</x:v>
      </x:c>
      <x:c r="K1985" s="19" t="n">
        <x:v>1</x:v>
      </x:c>
      <x:c r="L1985" s="24" t="n">
        <x:v>21.849999999999998</x:v>
      </x:c>
      <x:c r="M1985" s="26" t="n">
        <x:v>0.1</x:v>
      </x:c>
      <x:c r="N1985" s="24" t="n">
        <x:v>72</x:v>
      </x:c>
      <x:c r="O1985" s="28" t="n">
        <x:f>MIN(1,L1985/I1985)</x:f>
        <x:v>0.021849999999999998</x:v>
      </x:c>
      <x:c r="P1985" s="30" t="n">
        <x:f>O1985*J1985*(1+M1985)</x:f>
        <x:v>0.024035</x:v>
      </x:c>
      <x:c r="Q1985" s="30" t="n">
        <x:f>P1985*N1985</x:f>
        <x:v>1.73052</x:v>
      </x:c>
      <x:c r="R1985" s="19" t="str">
        <x:v>独立判定</x:v>
      </x:c>
    </x:row>
    <x:row r="1986" ht="19" customHeight="1">
      <x:c r="A1986" s="19" t="str">
        <x:v>D01982</x:v>
      </x:c>
      <x:c r="B1986" s="19" t="n">
        <x:v>4</x:v>
      </x:c>
      <x:c r="C1986" s="19" t="n">
        <x:v>6</x:v>
      </x:c>
      <x:c r="D1986" s="19" t="str">
        <x:v>C04-M064</x:v>
      </x:c>
      <x:c r="E1986" s="19" t="str">
        <x:v>锈闸守渠人</x:v>
      </x:c>
      <x:c r="F1986" s="19" t="str">
        <x:v>普通</x:v>
      </x:c>
      <x:c r="G1986" s="19" t="str">
        <x:v>六神器公共池</x:v>
      </x:c>
      <x:c r="H1986" s="19" t="str">
        <x:v>POOL006</x:v>
      </x:c>
      <x:c r="I1986" s="22" t="n">
        <x:v>20000000</x:v>
      </x:c>
      <x:c r="J1986" s="22" t="n">
        <x:v>1</x:v>
      </x:c>
      <x:c r="K1986" s="19" t="n">
        <x:v>6</x:v>
      </x:c>
      <x:c r="L1986" s="24" t="n">
        <x:v>21.849999999999998</x:v>
      </x:c>
      <x:c r="M1986" s="26" t="n">
        <x:v>0.1</x:v>
      </x:c>
      <x:c r="N1986" s="24" t="n">
        <x:v>72</x:v>
      </x:c>
      <x:c r="O1986" s="28" t="n">
        <x:f>MIN(1,L1986/I1986)</x:f>
        <x:v>0.0000010925</x:v>
      </x:c>
      <x:c r="P1986" s="30" t="n">
        <x:f>O1986*J1986*(1+M1986)</x:f>
        <x:v>0.00000120175</x:v>
      </x:c>
      <x:c r="Q1986" s="30" t="n">
        <x:f>P1986*N1986</x:f>
        <x:v>0.00008652599999999999</x:v>
      </x:c>
      <x:c r="R1986" s="19" t="str">
        <x:v>六选一；非6个独立爆率</x:v>
      </x:c>
    </x:row>
    <x:row r="1987" ht="19" customHeight="1">
      <x:c r="A1987" s="19" t="str">
        <x:v>D01983</x:v>
      </x:c>
      <x:c r="B1987" s="19" t="n">
        <x:v>4</x:v>
      </x:c>
      <x:c r="C1987" s="19" t="n">
        <x:v>6</x:v>
      </x:c>
      <x:c r="D1987" s="19" t="str">
        <x:v>C04-M065</x:v>
      </x:c>
      <x:c r="E1987" s="19" t="str">
        <x:v>秘室灯笼鱼</x:v>
      </x:c>
      <x:c r="F1987" s="19" t="str">
        <x:v>普通</x:v>
      </x:c>
      <x:c r="G1987" s="19" t="str">
        <x:v>自身专属</x:v>
      </x:c>
      <x:c r="H1987" s="19" t="str">
        <x:v>幽灯鱼坠</x:v>
      </x:c>
      <x:c r="I1987" s="22" t="n">
        <x:v>1500</x:v>
      </x:c>
      <x:c r="J1987" s="22" t="n">
        <x:v>1</x:v>
      </x:c>
      <x:c r="K1987" s="19" t="n">
        <x:v>1</x:v>
      </x:c>
      <x:c r="L1987" s="24" t="n">
        <x:v>21.849999999999998</x:v>
      </x:c>
      <x:c r="M1987" s="26" t="n">
        <x:v>0.1</x:v>
      </x:c>
      <x:c r="N1987" s="24" t="n">
        <x:v>72</x:v>
      </x:c>
      <x:c r="O1987" s="28" t="n">
        <x:f>MIN(1,L1987/I1987)</x:f>
        <x:v>0.014566666666666665</x:v>
      </x:c>
      <x:c r="P1987" s="30" t="n">
        <x:f>O1987*J1987*(1+M1987)</x:f>
        <x:v>0.016023333333333334</x:v>
      </x:c>
      <x:c r="Q1987" s="30" t="n">
        <x:f>P1987*N1987</x:f>
        <x:v>1.15368</x:v>
      </x:c>
      <x:c r="R1987" s="19" t="str">
        <x:v>独立判定</x:v>
      </x:c>
    </x:row>
    <x:row r="1988" ht="19" customHeight="1">
      <x:c r="A1988" s="19" t="str">
        <x:v>D01984</x:v>
      </x:c>
      <x:c r="B1988" s="19" t="n">
        <x:v>4</x:v>
      </x:c>
      <x:c r="C1988" s="19" t="n">
        <x:v>6</x:v>
      </x:c>
      <x:c r="D1988" s="19" t="str">
        <x:v>C04-M065</x:v>
      </x:c>
      <x:c r="E1988" s="19" t="str">
        <x:v>秘室灯笼鱼</x:v>
      </x:c>
      <x:c r="F1988" s="19" t="str">
        <x:v>普通</x:v>
      </x:c>
      <x:c r="G1988" s="19" t="str">
        <x:v>材料独立候选</x:v>
      </x:c>
      <x:c r="H1988" s="19" t="str">
        <x:v>湖盐结晶</x:v>
      </x:c>
      <x:c r="I1988" s="22" t="n">
        <x:v>600</x:v>
      </x:c>
      <x:c r="J1988" s="22" t="n">
        <x:v>8</x:v>
      </x:c>
      <x:c r="K1988" s="19" t="n">
        <x:v>1</x:v>
      </x:c>
      <x:c r="L1988" s="24" t="n">
        <x:v>21.849999999999998</x:v>
      </x:c>
      <x:c r="M1988" s="26" t="n">
        <x:v>0.1</x:v>
      </x:c>
      <x:c r="N1988" s="24" t="n">
        <x:v>72</x:v>
      </x:c>
      <x:c r="O1988" s="28" t="n">
        <x:f>MIN(1,L1988/I1988)</x:f>
        <x:v>0.03641666666666666</x:v>
      </x:c>
      <x:c r="P1988" s="30" t="n">
        <x:f>O1988*J1988*(1+M1988)</x:f>
        <x:v>0.3204666666666666</x:v>
      </x:c>
      <x:c r="Q1988" s="30" t="n">
        <x:f>P1988*N1988</x:f>
        <x:v>23.073599999999995</x:v>
      </x:c>
      <x:c r="R1988" s="19" t="str">
        <x:v>独立判定</x:v>
      </x:c>
    </x:row>
    <x:row r="1989" ht="19" customHeight="1">
      <x:c r="A1989" s="19" t="str">
        <x:v>D01985</x:v>
      </x:c>
      <x:c r="B1989" s="19" t="n">
        <x:v>4</x:v>
      </x:c>
      <x:c r="C1989" s="19" t="n">
        <x:v>6</x:v>
      </x:c>
      <x:c r="D1989" s="19" t="str">
        <x:v>C04-M065</x:v>
      </x:c>
      <x:c r="E1989" s="19" t="str">
        <x:v>秘室灯笼鱼</x:v>
      </x:c>
      <x:c r="F1989" s="19" t="str">
        <x:v>普通</x:v>
      </x:c>
      <x:c r="G1989" s="19" t="str">
        <x:v>材料独立候选</x:v>
      </x:c>
      <x:c r="H1989" s="19" t="str">
        <x:v>雾潮银鳞</x:v>
      </x:c>
      <x:c r="I1989" s="22" t="n">
        <x:v>800</x:v>
      </x:c>
      <x:c r="J1989" s="22" t="n">
        <x:v>1</x:v>
      </x:c>
      <x:c r="K1989" s="19" t="n">
        <x:v>1</x:v>
      </x:c>
      <x:c r="L1989" s="24" t="n">
        <x:v>21.849999999999998</x:v>
      </x:c>
      <x:c r="M1989" s="26" t="n">
        <x:v>0.1</x:v>
      </x:c>
      <x:c r="N1989" s="24" t="n">
        <x:v>72</x:v>
      </x:c>
      <x:c r="O1989" s="28" t="n">
        <x:f>MIN(1,L1989/I1989)</x:f>
        <x:v>0.027312499999999997</x:v>
      </x:c>
      <x:c r="P1989" s="30" t="n">
        <x:f>O1989*J1989*(1+M1989)</x:f>
        <x:v>0.030043749999999998</x:v>
      </x:c>
      <x:c r="Q1989" s="30" t="n">
        <x:f>P1989*N1989</x:f>
        <x:v>2.16315</x:v>
      </x:c>
      <x:c r="R1989" s="19" t="str">
        <x:v>独立判定</x:v>
      </x:c>
    </x:row>
    <x:row r="1990" ht="19" customHeight="1">
      <x:c r="A1990" s="19" t="str">
        <x:v>D01986</x:v>
      </x:c>
      <x:c r="B1990" s="19" t="n">
        <x:v>4</x:v>
      </x:c>
      <x:c r="C1990" s="19" t="n">
        <x:v>6</x:v>
      </x:c>
      <x:c r="D1990" s="19" t="str">
        <x:v>C04-M065</x:v>
      </x:c>
      <x:c r="E1990" s="19" t="str">
        <x:v>秘室灯笼鱼</x:v>
      </x:c>
      <x:c r="F1990" s="19" t="str">
        <x:v>普通</x:v>
      </x:c>
      <x:c r="G1990" s="19" t="str">
        <x:v>材料独立候选</x:v>
      </x:c>
      <x:c r="H1990" s="19" t="str">
        <x:v>月潮忆珀</x:v>
      </x:c>
      <x:c r="I1990" s="22" t="n">
        <x:v>1000000</x:v>
      </x:c>
      <x:c r="J1990" s="22" t="n">
        <x:v>1</x:v>
      </x:c>
      <x:c r="K1990" s="19" t="n">
        <x:v>1</x:v>
      </x:c>
      <x:c r="L1990" s="24" t="n">
        <x:v>21.849999999999998</x:v>
      </x:c>
      <x:c r="M1990" s="26" t="n">
        <x:v>0.1</x:v>
      </x:c>
      <x:c r="N1990" s="24" t="n">
        <x:v>72</x:v>
      </x:c>
      <x:c r="O1990" s="28" t="n">
        <x:f>MIN(1,L1990/I1990)</x:f>
        <x:v>0.00002185</x:v>
      </x:c>
      <x:c r="P1990" s="30" t="n">
        <x:f>O1990*J1990*(1+M1990)</x:f>
        <x:v>0.000024035</x:v>
      </x:c>
      <x:c r="Q1990" s="30" t="n">
        <x:f>P1990*N1990</x:f>
        <x:v>0.00173052</x:v>
      </x:c>
      <x:c r="R1990" s="19" t="str">
        <x:v>独立判定</x:v>
      </x:c>
    </x:row>
    <x:row r="1991" ht="19" customHeight="1">
      <x:c r="A1991" s="19" t="str">
        <x:v>D01987</x:v>
      </x:c>
      <x:c r="B1991" s="19" t="n">
        <x:v>4</x:v>
      </x:c>
      <x:c r="C1991" s="19" t="n">
        <x:v>6</x:v>
      </x:c>
      <x:c r="D1991" s="19" t="str">
        <x:v>C04-M065</x:v>
      </x:c>
      <x:c r="E1991" s="19" t="str">
        <x:v>秘室灯笼鱼</x:v>
      </x:c>
      <x:c r="F1991" s="19" t="str">
        <x:v>普通</x:v>
      </x:c>
      <x:c r="G1991" s="19" t="str">
        <x:v>材料独立候选</x:v>
      </x:c>
      <x:c r="H1991" s="19" t="str">
        <x:v>野兽骨片</x:v>
      </x:c>
      <x:c r="I1991" s="22" t="n">
        <x:v>100</x:v>
      </x:c>
      <x:c r="J1991" s="22" t="n">
        <x:v>2</x:v>
      </x:c>
      <x:c r="K1991" s="19" t="n">
        <x:v>1</x:v>
      </x:c>
      <x:c r="L1991" s="24" t="n">
        <x:v>21.849999999999998</x:v>
      </x:c>
      <x:c r="M1991" s="26" t="n">
        <x:v>0.1</x:v>
      </x:c>
      <x:c r="N1991" s="24" t="n">
        <x:v>72</x:v>
      </x:c>
      <x:c r="O1991" s="28" t="n">
        <x:f>MIN(1,L1991/I1991)</x:f>
        <x:v>0.21849999999999997</x:v>
      </x:c>
      <x:c r="P1991" s="30" t="n">
        <x:f>O1991*J1991*(1+M1991)</x:f>
        <x:v>0.48069999999999996</x:v>
      </x:c>
      <x:c r="Q1991" s="30" t="n">
        <x:f>P1991*N1991</x:f>
        <x:v>34.6104</x:v>
      </x:c>
      <x:c r="R1991" s="19" t="str">
        <x:v>独立判定</x:v>
      </x:c>
    </x:row>
    <x:row r="1992" ht="19" customHeight="1">
      <x:c r="A1992" s="19" t="str">
        <x:v>D01988</x:v>
      </x:c>
      <x:c r="B1992" s="19" t="n">
        <x:v>4</x:v>
      </x:c>
      <x:c r="C1992" s="19" t="n">
        <x:v>6</x:v>
      </x:c>
      <x:c r="D1992" s="19" t="str">
        <x:v>C04-M065</x:v>
      </x:c>
      <x:c r="E1992" s="19" t="str">
        <x:v>秘室灯笼鱼</x:v>
      </x:c>
      <x:c r="F1992" s="19" t="str">
        <x:v>普通</x:v>
      </x:c>
      <x:c r="G1992" s="19" t="str">
        <x:v>材料独立候选</x:v>
      </x:c>
      <x:c r="H1992" s="19" t="str">
        <x:v>技能残页</x:v>
      </x:c>
      <x:c r="I1992" s="22" t="n">
        <x:v>500</x:v>
      </x:c>
      <x:c r="J1992" s="22" t="n">
        <x:v>1</x:v>
      </x:c>
      <x:c r="K1992" s="19" t="n">
        <x:v>1</x:v>
      </x:c>
      <x:c r="L1992" s="24" t="n">
        <x:v>21.849999999999998</x:v>
      </x:c>
      <x:c r="M1992" s="26" t="n">
        <x:v>0.1</x:v>
      </x:c>
      <x:c r="N1992" s="24" t="n">
        <x:v>72</x:v>
      </x:c>
      <x:c r="O1992" s="28" t="n">
        <x:f>MIN(1,L1992/I1992)</x:f>
        <x:v>0.043699999999999996</x:v>
      </x:c>
      <x:c r="P1992" s="30" t="n">
        <x:f>O1992*J1992*(1+M1992)</x:f>
        <x:v>0.04807</x:v>
      </x:c>
      <x:c r="Q1992" s="30" t="n">
        <x:f>P1992*N1992</x:f>
        <x:v>3.46104</x:v>
      </x:c>
      <x:c r="R1992" s="19" t="str">
        <x:v>独立判定</x:v>
      </x:c>
    </x:row>
    <x:row r="1993" ht="19" customHeight="1">
      <x:c r="A1993" s="19" t="str">
        <x:v>D01989</x:v>
      </x:c>
      <x:c r="B1993" s="19" t="n">
        <x:v>4</x:v>
      </x:c>
      <x:c r="C1993" s="19" t="n">
        <x:v>6</x:v>
      </x:c>
      <x:c r="D1993" s="19" t="str">
        <x:v>C04-M065</x:v>
      </x:c>
      <x:c r="E1993" s="19" t="str">
        <x:v>秘室灯笼鱼</x:v>
      </x:c>
      <x:c r="F1993" s="19" t="str">
        <x:v>普通</x:v>
      </x:c>
      <x:c r="G1993" s="19" t="str">
        <x:v>材料独立候选</x:v>
      </x:c>
      <x:c r="H1993" s="19" t="str">
        <x:v>小卢恩</x:v>
      </x:c>
      <x:c r="I1993" s="22" t="n">
        <x:v>1000</x:v>
      </x:c>
      <x:c r="J1993" s="22" t="n">
        <x:v>1</x:v>
      </x:c>
      <x:c r="K1993" s="19" t="n">
        <x:v>1</x:v>
      </x:c>
      <x:c r="L1993" s="24" t="n">
        <x:v>21.849999999999998</x:v>
      </x:c>
      <x:c r="M1993" s="26" t="n">
        <x:v>0.1</x:v>
      </x:c>
      <x:c r="N1993" s="24" t="n">
        <x:v>72</x:v>
      </x:c>
      <x:c r="O1993" s="28" t="n">
        <x:f>MIN(1,L1993/I1993)</x:f>
        <x:v>0.021849999999999998</x:v>
      </x:c>
      <x:c r="P1993" s="30" t="n">
        <x:f>O1993*J1993*(1+M1993)</x:f>
        <x:v>0.024035</x:v>
      </x:c>
      <x:c r="Q1993" s="30" t="n">
        <x:f>P1993*N1993</x:f>
        <x:v>1.73052</x:v>
      </x:c>
      <x:c r="R1993" s="19" t="str">
        <x:v>独立判定</x:v>
      </x:c>
    </x:row>
    <x:row r="1994" ht="19" customHeight="1">
      <x:c r="A1994" s="19" t="str">
        <x:v>D01990</x:v>
      </x:c>
      <x:c r="B1994" s="19" t="n">
        <x:v>4</x:v>
      </x:c>
      <x:c r="C1994" s="19" t="n">
        <x:v>6</x:v>
      </x:c>
      <x:c r="D1994" s="19" t="str">
        <x:v>C04-M065</x:v>
      </x:c>
      <x:c r="E1994" s="19" t="str">
        <x:v>秘室灯笼鱼</x:v>
      </x:c>
      <x:c r="F1994" s="19" t="str">
        <x:v>普通</x:v>
      </x:c>
      <x:c r="G1994" s="19" t="str">
        <x:v>六神器公共池</x:v>
      </x:c>
      <x:c r="H1994" s="19" t="str">
        <x:v>POOL006</x:v>
      </x:c>
      <x:c r="I1994" s="22" t="n">
        <x:v>20000000</x:v>
      </x:c>
      <x:c r="J1994" s="22" t="n">
        <x:v>1</x:v>
      </x:c>
      <x:c r="K1994" s="19" t="n">
        <x:v>6</x:v>
      </x:c>
      <x:c r="L1994" s="24" t="n">
        <x:v>21.849999999999998</x:v>
      </x:c>
      <x:c r="M1994" s="26" t="n">
        <x:v>0.1</x:v>
      </x:c>
      <x:c r="N1994" s="24" t="n">
        <x:v>72</x:v>
      </x:c>
      <x:c r="O1994" s="28" t="n">
        <x:f>MIN(1,L1994/I1994)</x:f>
        <x:v>0.0000010925</x:v>
      </x:c>
      <x:c r="P1994" s="30" t="n">
        <x:f>O1994*J1994*(1+M1994)</x:f>
        <x:v>0.00000120175</x:v>
      </x:c>
      <x:c r="Q1994" s="30" t="n">
        <x:f>P1994*N1994</x:f>
        <x:v>0.00008652599999999999</x:v>
      </x:c>
      <x:c r="R1994" s="19" t="str">
        <x:v>六选一；非6个独立爆率</x:v>
      </x:c>
    </x:row>
    <x:row r="1995" ht="19" customHeight="1">
      <x:c r="A1995" s="19" t="str">
        <x:v>D01991</x:v>
      </x:c>
      <x:c r="B1995" s="19" t="n">
        <x:v>4</x:v>
      </x:c>
      <x:c r="C1995" s="19" t="n">
        <x:v>6</x:v>
      </x:c>
      <x:c r="D1995" s="19" t="str">
        <x:v>C04-M066</x:v>
      </x:c>
      <x:c r="E1995" s="19" t="str">
        <x:v>封门泥塑</x:v>
      </x:c>
      <x:c r="F1995" s="19" t="str">
        <x:v>普通</x:v>
      </x:c>
      <x:c r="G1995" s="19" t="str">
        <x:v>自身专属</x:v>
      </x:c>
      <x:c r="H1995" s="19" t="str">
        <x:v>封门泥履</x:v>
      </x:c>
      <x:c r="I1995" s="22" t="n">
        <x:v>1500</x:v>
      </x:c>
      <x:c r="J1995" s="22" t="n">
        <x:v>1</x:v>
      </x:c>
      <x:c r="K1995" s="19" t="n">
        <x:v>1</x:v>
      </x:c>
      <x:c r="L1995" s="24" t="n">
        <x:v>21.849999999999998</x:v>
      </x:c>
      <x:c r="M1995" s="26" t="n">
        <x:v>0.1</x:v>
      </x:c>
      <x:c r="N1995" s="24" t="n">
        <x:v>72</x:v>
      </x:c>
      <x:c r="O1995" s="28" t="n">
        <x:f>MIN(1,L1995/I1995)</x:f>
        <x:v>0.014566666666666665</x:v>
      </x:c>
      <x:c r="P1995" s="30" t="n">
        <x:f>O1995*J1995*(1+M1995)</x:f>
        <x:v>0.016023333333333334</x:v>
      </x:c>
      <x:c r="Q1995" s="30" t="n">
        <x:f>P1995*N1995</x:f>
        <x:v>1.15368</x:v>
      </x:c>
      <x:c r="R1995" s="19" t="str">
        <x:v>独立判定</x:v>
      </x:c>
    </x:row>
    <x:row r="1996" ht="19" customHeight="1">
      <x:c r="A1996" s="19" t="str">
        <x:v>D01992</x:v>
      </x:c>
      <x:c r="B1996" s="19" t="n">
        <x:v>4</x:v>
      </x:c>
      <x:c r="C1996" s="19" t="n">
        <x:v>6</x:v>
      </x:c>
      <x:c r="D1996" s="19" t="str">
        <x:v>C04-M066</x:v>
      </x:c>
      <x:c r="E1996" s="19" t="str">
        <x:v>封门泥塑</x:v>
      </x:c>
      <x:c r="F1996" s="19" t="str">
        <x:v>普通</x:v>
      </x:c>
      <x:c r="G1996" s="19" t="str">
        <x:v>材料独立候选</x:v>
      </x:c>
      <x:c r="H1996" s="19" t="str">
        <x:v>湖盐结晶</x:v>
      </x:c>
      <x:c r="I1996" s="22" t="n">
        <x:v>600</x:v>
      </x:c>
      <x:c r="J1996" s="22" t="n">
        <x:v>8</x:v>
      </x:c>
      <x:c r="K1996" s="19" t="n">
        <x:v>1</x:v>
      </x:c>
      <x:c r="L1996" s="24" t="n">
        <x:v>21.849999999999998</x:v>
      </x:c>
      <x:c r="M1996" s="26" t="n">
        <x:v>0.1</x:v>
      </x:c>
      <x:c r="N1996" s="24" t="n">
        <x:v>72</x:v>
      </x:c>
      <x:c r="O1996" s="28" t="n">
        <x:f>MIN(1,L1996/I1996)</x:f>
        <x:v>0.03641666666666666</x:v>
      </x:c>
      <x:c r="P1996" s="30" t="n">
        <x:f>O1996*J1996*(1+M1996)</x:f>
        <x:v>0.3204666666666666</x:v>
      </x:c>
      <x:c r="Q1996" s="30" t="n">
        <x:f>P1996*N1996</x:f>
        <x:v>23.073599999999995</x:v>
      </x:c>
      <x:c r="R1996" s="19" t="str">
        <x:v>独立判定</x:v>
      </x:c>
    </x:row>
    <x:row r="1997" ht="19" customHeight="1">
      <x:c r="A1997" s="19" t="str">
        <x:v>D01993</x:v>
      </x:c>
      <x:c r="B1997" s="19" t="n">
        <x:v>4</x:v>
      </x:c>
      <x:c r="C1997" s="19" t="n">
        <x:v>6</x:v>
      </x:c>
      <x:c r="D1997" s="19" t="str">
        <x:v>C04-M066</x:v>
      </x:c>
      <x:c r="E1997" s="19" t="str">
        <x:v>封门泥塑</x:v>
      </x:c>
      <x:c r="F1997" s="19" t="str">
        <x:v>普通</x:v>
      </x:c>
      <x:c r="G1997" s="19" t="str">
        <x:v>材料独立候选</x:v>
      </x:c>
      <x:c r="H1997" s="19" t="str">
        <x:v>雾潮银鳞</x:v>
      </x:c>
      <x:c r="I1997" s="22" t="n">
        <x:v>800</x:v>
      </x:c>
      <x:c r="J1997" s="22" t="n">
        <x:v>1</x:v>
      </x:c>
      <x:c r="K1997" s="19" t="n">
        <x:v>1</x:v>
      </x:c>
      <x:c r="L1997" s="24" t="n">
        <x:v>21.849999999999998</x:v>
      </x:c>
      <x:c r="M1997" s="26" t="n">
        <x:v>0.1</x:v>
      </x:c>
      <x:c r="N1997" s="24" t="n">
        <x:v>72</x:v>
      </x:c>
      <x:c r="O1997" s="28" t="n">
        <x:f>MIN(1,L1997/I1997)</x:f>
        <x:v>0.027312499999999997</x:v>
      </x:c>
      <x:c r="P1997" s="30" t="n">
        <x:f>O1997*J1997*(1+M1997)</x:f>
        <x:v>0.030043749999999998</x:v>
      </x:c>
      <x:c r="Q1997" s="30" t="n">
        <x:f>P1997*N1997</x:f>
        <x:v>2.16315</x:v>
      </x:c>
      <x:c r="R1997" s="19" t="str">
        <x:v>独立判定</x:v>
      </x:c>
    </x:row>
    <x:row r="1998" ht="19" customHeight="1">
      <x:c r="A1998" s="19" t="str">
        <x:v>D01994</x:v>
      </x:c>
      <x:c r="B1998" s="19" t="n">
        <x:v>4</x:v>
      </x:c>
      <x:c r="C1998" s="19" t="n">
        <x:v>6</x:v>
      </x:c>
      <x:c r="D1998" s="19" t="str">
        <x:v>C04-M066</x:v>
      </x:c>
      <x:c r="E1998" s="19" t="str">
        <x:v>封门泥塑</x:v>
      </x:c>
      <x:c r="F1998" s="19" t="str">
        <x:v>普通</x:v>
      </x:c>
      <x:c r="G1998" s="19" t="str">
        <x:v>材料独立候选</x:v>
      </x:c>
      <x:c r="H1998" s="19" t="str">
        <x:v>月潮忆珀</x:v>
      </x:c>
      <x:c r="I1998" s="22" t="n">
        <x:v>1000000</x:v>
      </x:c>
      <x:c r="J1998" s="22" t="n">
        <x:v>1</x:v>
      </x:c>
      <x:c r="K1998" s="19" t="n">
        <x:v>1</x:v>
      </x:c>
      <x:c r="L1998" s="24" t="n">
        <x:v>21.849999999999998</x:v>
      </x:c>
      <x:c r="M1998" s="26" t="n">
        <x:v>0.1</x:v>
      </x:c>
      <x:c r="N1998" s="24" t="n">
        <x:v>72</x:v>
      </x:c>
      <x:c r="O1998" s="28" t="n">
        <x:f>MIN(1,L1998/I1998)</x:f>
        <x:v>0.00002185</x:v>
      </x:c>
      <x:c r="P1998" s="30" t="n">
        <x:f>O1998*J1998*(1+M1998)</x:f>
        <x:v>0.000024035</x:v>
      </x:c>
      <x:c r="Q1998" s="30" t="n">
        <x:f>P1998*N1998</x:f>
        <x:v>0.00173052</x:v>
      </x:c>
      <x:c r="R1998" s="19" t="str">
        <x:v>独立判定</x:v>
      </x:c>
    </x:row>
    <x:row r="1999" ht="19" customHeight="1">
      <x:c r="A1999" s="19" t="str">
        <x:v>D01995</x:v>
      </x:c>
      <x:c r="B1999" s="19" t="n">
        <x:v>4</x:v>
      </x:c>
      <x:c r="C1999" s="19" t="n">
        <x:v>6</x:v>
      </x:c>
      <x:c r="D1999" s="19" t="str">
        <x:v>C04-M066</x:v>
      </x:c>
      <x:c r="E1999" s="19" t="str">
        <x:v>封门泥塑</x:v>
      </x:c>
      <x:c r="F1999" s="19" t="str">
        <x:v>普通</x:v>
      </x:c>
      <x:c r="G1999" s="19" t="str">
        <x:v>材料独立候选</x:v>
      </x:c>
      <x:c r="H1999" s="19" t="str">
        <x:v>野兽骨片</x:v>
      </x:c>
      <x:c r="I1999" s="22" t="n">
        <x:v>100</x:v>
      </x:c>
      <x:c r="J1999" s="22" t="n">
        <x:v>2</x:v>
      </x:c>
      <x:c r="K1999" s="19" t="n">
        <x:v>1</x:v>
      </x:c>
      <x:c r="L1999" s="24" t="n">
        <x:v>21.849999999999998</x:v>
      </x:c>
      <x:c r="M1999" s="26" t="n">
        <x:v>0.1</x:v>
      </x:c>
      <x:c r="N1999" s="24" t="n">
        <x:v>72</x:v>
      </x:c>
      <x:c r="O1999" s="28" t="n">
        <x:f>MIN(1,L1999/I1999)</x:f>
        <x:v>0.21849999999999997</x:v>
      </x:c>
      <x:c r="P1999" s="30" t="n">
        <x:f>O1999*J1999*(1+M1999)</x:f>
        <x:v>0.48069999999999996</x:v>
      </x:c>
      <x:c r="Q1999" s="30" t="n">
        <x:f>P1999*N1999</x:f>
        <x:v>34.6104</x:v>
      </x:c>
      <x:c r="R1999" s="19" t="str">
        <x:v>独立判定</x:v>
      </x:c>
    </x:row>
    <x:row r="2000" ht="19" customHeight="1">
      <x:c r="A2000" s="19" t="str">
        <x:v>D01996</x:v>
      </x:c>
      <x:c r="B2000" s="19" t="n">
        <x:v>4</x:v>
      </x:c>
      <x:c r="C2000" s="19" t="n">
        <x:v>6</x:v>
      </x:c>
      <x:c r="D2000" s="19" t="str">
        <x:v>C04-M066</x:v>
      </x:c>
      <x:c r="E2000" s="19" t="str">
        <x:v>封门泥塑</x:v>
      </x:c>
      <x:c r="F2000" s="19" t="str">
        <x:v>普通</x:v>
      </x:c>
      <x:c r="G2000" s="19" t="str">
        <x:v>材料独立候选</x:v>
      </x:c>
      <x:c r="H2000" s="19" t="str">
        <x:v>技能残页</x:v>
      </x:c>
      <x:c r="I2000" s="22" t="n">
        <x:v>500</x:v>
      </x:c>
      <x:c r="J2000" s="22" t="n">
        <x:v>1</x:v>
      </x:c>
      <x:c r="K2000" s="19" t="n">
        <x:v>1</x:v>
      </x:c>
      <x:c r="L2000" s="24" t="n">
        <x:v>21.849999999999998</x:v>
      </x:c>
      <x:c r="M2000" s="26" t="n">
        <x:v>0.1</x:v>
      </x:c>
      <x:c r="N2000" s="24" t="n">
        <x:v>72</x:v>
      </x:c>
      <x:c r="O2000" s="28" t="n">
        <x:f>MIN(1,L2000/I2000)</x:f>
        <x:v>0.043699999999999996</x:v>
      </x:c>
      <x:c r="P2000" s="30" t="n">
        <x:f>O2000*J2000*(1+M2000)</x:f>
        <x:v>0.04807</x:v>
      </x:c>
      <x:c r="Q2000" s="30" t="n">
        <x:f>P2000*N2000</x:f>
        <x:v>3.46104</x:v>
      </x:c>
      <x:c r="R2000" s="19" t="str">
        <x:v>独立判定</x:v>
      </x:c>
    </x:row>
    <x:row r="2001" ht="19" customHeight="1">
      <x:c r="A2001" s="19" t="str">
        <x:v>D01997</x:v>
      </x:c>
      <x:c r="B2001" s="19" t="n">
        <x:v>4</x:v>
      </x:c>
      <x:c r="C2001" s="19" t="n">
        <x:v>6</x:v>
      </x:c>
      <x:c r="D2001" s="19" t="str">
        <x:v>C04-M066</x:v>
      </x:c>
      <x:c r="E2001" s="19" t="str">
        <x:v>封门泥塑</x:v>
      </x:c>
      <x:c r="F2001" s="19" t="str">
        <x:v>普通</x:v>
      </x:c>
      <x:c r="G2001" s="19" t="str">
        <x:v>材料独立候选</x:v>
      </x:c>
      <x:c r="H2001" s="19" t="str">
        <x:v>小卢恩</x:v>
      </x:c>
      <x:c r="I2001" s="22" t="n">
        <x:v>1000</x:v>
      </x:c>
      <x:c r="J2001" s="22" t="n">
        <x:v>1</x:v>
      </x:c>
      <x:c r="K2001" s="19" t="n">
        <x:v>1</x:v>
      </x:c>
      <x:c r="L2001" s="24" t="n">
        <x:v>21.849999999999998</x:v>
      </x:c>
      <x:c r="M2001" s="26" t="n">
        <x:v>0.1</x:v>
      </x:c>
      <x:c r="N2001" s="24" t="n">
        <x:v>72</x:v>
      </x:c>
      <x:c r="O2001" s="28" t="n">
        <x:f>MIN(1,L2001/I2001)</x:f>
        <x:v>0.021849999999999998</x:v>
      </x:c>
      <x:c r="P2001" s="30" t="n">
        <x:f>O2001*J2001*(1+M2001)</x:f>
        <x:v>0.024035</x:v>
      </x:c>
      <x:c r="Q2001" s="30" t="n">
        <x:f>P2001*N2001</x:f>
        <x:v>1.73052</x:v>
      </x:c>
      <x:c r="R2001" s="19" t="str">
        <x:v>独立判定</x:v>
      </x:c>
    </x:row>
    <x:row r="2002" ht="19" customHeight="1">
      <x:c r="A2002" s="19" t="str">
        <x:v>D01998</x:v>
      </x:c>
      <x:c r="B2002" s="19" t="n">
        <x:v>4</x:v>
      </x:c>
      <x:c r="C2002" s="19" t="n">
        <x:v>6</x:v>
      </x:c>
      <x:c r="D2002" s="19" t="str">
        <x:v>C04-M066</x:v>
      </x:c>
      <x:c r="E2002" s="19" t="str">
        <x:v>封门泥塑</x:v>
      </x:c>
      <x:c r="F2002" s="19" t="str">
        <x:v>普通</x:v>
      </x:c>
      <x:c r="G2002" s="19" t="str">
        <x:v>六神器公共池</x:v>
      </x:c>
      <x:c r="H2002" s="19" t="str">
        <x:v>POOL006</x:v>
      </x:c>
      <x:c r="I2002" s="22" t="n">
        <x:v>20000000</x:v>
      </x:c>
      <x:c r="J2002" s="22" t="n">
        <x:v>1</x:v>
      </x:c>
      <x:c r="K2002" s="19" t="n">
        <x:v>6</x:v>
      </x:c>
      <x:c r="L2002" s="24" t="n">
        <x:v>21.849999999999998</x:v>
      </x:c>
      <x:c r="M2002" s="26" t="n">
        <x:v>0.1</x:v>
      </x:c>
      <x:c r="N2002" s="24" t="n">
        <x:v>72</x:v>
      </x:c>
      <x:c r="O2002" s="28" t="n">
        <x:f>MIN(1,L2002/I2002)</x:f>
        <x:v>0.0000010925</x:v>
      </x:c>
      <x:c r="P2002" s="30" t="n">
        <x:f>O2002*J2002*(1+M2002)</x:f>
        <x:v>0.00000120175</x:v>
      </x:c>
      <x:c r="Q2002" s="30" t="n">
        <x:f>P2002*N2002</x:f>
        <x:v>0.00008652599999999999</x:v>
      </x:c>
      <x:c r="R2002" s="19" t="str">
        <x:v>六选一；非6个独立爆率</x:v>
      </x:c>
    </x:row>
    <x:row r="2003" ht="19" customHeight="1">
      <x:c r="A2003" s="19" t="str">
        <x:v>D01999</x:v>
      </x:c>
      <x:c r="B2003" s="19" t="n">
        <x:v>4</x:v>
      </x:c>
      <x:c r="C2003" s="19" t="n">
        <x:v>6</x:v>
      </x:c>
      <x:c r="D2003" s="19" t="str">
        <x:v>C04-M067</x:v>
      </x:c>
      <x:c r="E2003" s="19" t="str">
        <x:v>回声盗墓客</x:v>
      </x:c>
      <x:c r="F2003" s="19" t="str">
        <x:v>稀有</x:v>
      </x:c>
      <x:c r="G2003" s="19" t="str">
        <x:v>自身专属</x:v>
      </x:c>
      <x:c r="H2003" s="19" t="str">
        <x:v>回声盗墓笠</x:v>
      </x:c>
      <x:c r="I2003" s="22" t="n">
        <x:v>400</x:v>
      </x:c>
      <x:c r="J2003" s="22" t="n">
        <x:v>1</x:v>
      </x:c>
      <x:c r="K2003" s="19" t="n">
        <x:v>1</x:v>
      </x:c>
      <x:c r="L2003" s="24" t="n">
        <x:v>21.849999999999998</x:v>
      </x:c>
      <x:c r="M2003" s="26" t="n">
        <x:v>0.1</x:v>
      </x:c>
      <x:c r="N2003" s="24" t="n">
        <x:v>12</x:v>
      </x:c>
      <x:c r="O2003" s="28" t="n">
        <x:f>MIN(1,L2003/I2003)</x:f>
        <x:v>0.05462499999999999</x:v>
      </x:c>
      <x:c r="P2003" s="30" t="n">
        <x:f>O2003*J2003*(1+M2003)</x:f>
        <x:v>0.060087499999999995</x:v>
      </x:c>
      <x:c r="Q2003" s="30" t="n">
        <x:f>P2003*N2003</x:f>
        <x:v>0.72105</x:v>
      </x:c>
      <x:c r="R2003" s="19" t="str">
        <x:v>独立判定</x:v>
      </x:c>
    </x:row>
    <x:row r="2004" ht="19" customHeight="1">
      <x:c r="A2004" s="19" t="str">
        <x:v>D02000</x:v>
      </x:c>
      <x:c r="B2004" s="19" t="n">
        <x:v>4</x:v>
      </x:c>
      <x:c r="C2004" s="19" t="n">
        <x:v>6</x:v>
      </x:c>
      <x:c r="D2004" s="19" t="str">
        <x:v>C04-M067</x:v>
      </x:c>
      <x:c r="E2004" s="19" t="str">
        <x:v>回声盗墓客</x:v>
      </x:c>
      <x:c r="F2004" s="19" t="str">
        <x:v>稀有</x:v>
      </x:c>
      <x:c r="G2004" s="19" t="str">
        <x:v>材料独立候选</x:v>
      </x:c>
      <x:c r="H2004" s="19" t="str">
        <x:v>湖盐结晶</x:v>
      </x:c>
      <x:c r="I2004" s="22" t="n">
        <x:v>400</x:v>
      </x:c>
      <x:c r="J2004" s="22" t="n">
        <x:v>15</x:v>
      </x:c>
      <x:c r="K2004" s="19" t="n">
        <x:v>1</x:v>
      </x:c>
      <x:c r="L2004" s="24" t="n">
        <x:v>21.849999999999998</x:v>
      </x:c>
      <x:c r="M2004" s="26" t="n">
        <x:v>0.1</x:v>
      </x:c>
      <x:c r="N2004" s="24" t="n">
        <x:v>12</x:v>
      </x:c>
      <x:c r="O2004" s="28" t="n">
        <x:f>MIN(1,L2004/I2004)</x:f>
        <x:v>0.05462499999999999</x:v>
      </x:c>
      <x:c r="P2004" s="30" t="n">
        <x:f>O2004*J2004*(1+M2004)</x:f>
        <x:v>0.9013125</x:v>
      </x:c>
      <x:c r="Q2004" s="30" t="n">
        <x:f>P2004*N2004</x:f>
        <x:v>10.81575</x:v>
      </x:c>
      <x:c r="R2004" s="19" t="str">
        <x:v>独立判定</x:v>
      </x:c>
    </x:row>
    <x:row r="2005" ht="19" customHeight="1">
      <x:c r="A2005" s="19" t="str">
        <x:v>D02001</x:v>
      </x:c>
      <x:c r="B2005" s="19" t="n">
        <x:v>4</x:v>
      </x:c>
      <x:c r="C2005" s="19" t="n">
        <x:v>6</x:v>
      </x:c>
      <x:c r="D2005" s="19" t="str">
        <x:v>C04-M067</x:v>
      </x:c>
      <x:c r="E2005" s="19" t="str">
        <x:v>回声盗墓客</x:v>
      </x:c>
      <x:c r="F2005" s="19" t="str">
        <x:v>稀有</x:v>
      </x:c>
      <x:c r="G2005" s="19" t="str">
        <x:v>材料独立候选</x:v>
      </x:c>
      <x:c r="H2005" s="19" t="str">
        <x:v>幽船铆钉</x:v>
      </x:c>
      <x:c r="I2005" s="22" t="n">
        <x:v>1200</x:v>
      </x:c>
      <x:c r="J2005" s="22" t="n">
        <x:v>1</x:v>
      </x:c>
      <x:c r="K2005" s="19" t="n">
        <x:v>1</x:v>
      </x:c>
      <x:c r="L2005" s="24" t="n">
        <x:v>21.849999999999998</x:v>
      </x:c>
      <x:c r="M2005" s="26" t="n">
        <x:v>0.1</x:v>
      </x:c>
      <x:c r="N2005" s="24" t="n">
        <x:v>12</x:v>
      </x:c>
      <x:c r="O2005" s="28" t="n">
        <x:f>MIN(1,L2005/I2005)</x:f>
        <x:v>0.01820833333333333</x:v>
      </x:c>
      <x:c r="P2005" s="30" t="n">
        <x:f>O2005*J2005*(1+M2005)</x:f>
        <x:v>0.020029166666666664</x:v>
      </x:c>
      <x:c r="Q2005" s="30" t="n">
        <x:f>P2005*N2005</x:f>
        <x:v>0.24034999999999995</x:v>
      </x:c>
      <x:c r="R2005" s="19" t="str">
        <x:v>独立判定</x:v>
      </x:c>
    </x:row>
    <x:row r="2006" ht="19" customHeight="1">
      <x:c r="A2006" s="19" t="str">
        <x:v>D02002</x:v>
      </x:c>
      <x:c r="B2006" s="19" t="n">
        <x:v>4</x:v>
      </x:c>
      <x:c r="C2006" s="19" t="n">
        <x:v>6</x:v>
      </x:c>
      <x:c r="D2006" s="19" t="str">
        <x:v>C04-M067</x:v>
      </x:c>
      <x:c r="E2006" s="19" t="str">
        <x:v>回声盗墓客</x:v>
      </x:c>
      <x:c r="F2006" s="19" t="str">
        <x:v>稀有</x:v>
      </x:c>
      <x:c r="G2006" s="19" t="str">
        <x:v>材料独立候选</x:v>
      </x:c>
      <x:c r="H2006" s="19" t="str">
        <x:v>沉船缆扣</x:v>
      </x:c>
      <x:c r="I2006" s="22" t="n">
        <x:v>500</x:v>
      </x:c>
      <x:c r="J2006" s="22" t="n">
        <x:v>1</x:v>
      </x:c>
      <x:c r="K2006" s="19" t="n">
        <x:v>1</x:v>
      </x:c>
      <x:c r="L2006" s="24" t="n">
        <x:v>21.849999999999998</x:v>
      </x:c>
      <x:c r="M2006" s="26" t="n">
        <x:v>0.1</x:v>
      </x:c>
      <x:c r="N2006" s="24" t="n">
        <x:v>12</x:v>
      </x:c>
      <x:c r="O2006" s="28" t="n">
        <x:f>MIN(1,L2006/I2006)</x:f>
        <x:v>0.043699999999999996</x:v>
      </x:c>
      <x:c r="P2006" s="30" t="n">
        <x:f>O2006*J2006*(1+M2006)</x:f>
        <x:v>0.04807</x:v>
      </x:c>
      <x:c r="Q2006" s="30" t="n">
        <x:f>P2006*N2006</x:f>
        <x:v>0.57684</x:v>
      </x:c>
      <x:c r="R2006" s="19" t="str">
        <x:v>独立判定</x:v>
      </x:c>
    </x:row>
    <x:row r="2007" ht="19" customHeight="1">
      <x:c r="A2007" s="19" t="str">
        <x:v>D02003</x:v>
      </x:c>
      <x:c r="B2007" s="19" t="n">
        <x:v>4</x:v>
      </x:c>
      <x:c r="C2007" s="19" t="n">
        <x:v>6</x:v>
      </x:c>
      <x:c r="D2007" s="19" t="str">
        <x:v>C04-M067</x:v>
      </x:c>
      <x:c r="E2007" s="19" t="str">
        <x:v>回声盗墓客</x:v>
      </x:c>
      <x:c r="F2007" s="19" t="str">
        <x:v>稀有</x:v>
      </x:c>
      <x:c r="G2007" s="19" t="str">
        <x:v>材料独立候选</x:v>
      </x:c>
      <x:c r="H2007" s="19" t="str">
        <x:v>月潮忆珀</x:v>
      </x:c>
      <x:c r="I2007" s="22" t="n">
        <x:v>600000</x:v>
      </x:c>
      <x:c r="J2007" s="22" t="n">
        <x:v>1</x:v>
      </x:c>
      <x:c r="K2007" s="19" t="n">
        <x:v>1</x:v>
      </x:c>
      <x:c r="L2007" s="24" t="n">
        <x:v>21.849999999999998</x:v>
      </x:c>
      <x:c r="M2007" s="26" t="n">
        <x:v>0.1</x:v>
      </x:c>
      <x:c r="N2007" s="24" t="n">
        <x:v>12</x:v>
      </x:c>
      <x:c r="O2007" s="28" t="n">
        <x:f>MIN(1,L2007/I2007)</x:f>
        <x:v>0.000036416666666666666</x:v>
      </x:c>
      <x:c r="P2007" s="30" t="n">
        <x:f>O2007*J2007*(1+M2007)</x:f>
        <x:v>0.000040058333333333336</x:v>
      </x:c>
      <x:c r="Q2007" s="30" t="n">
        <x:f>P2007*N2007</x:f>
        <x:v>0.00048070000000000003</x:v>
      </x:c>
      <x:c r="R2007" s="19" t="str">
        <x:v>独立判定</x:v>
      </x:c>
    </x:row>
    <x:row r="2008" ht="19" customHeight="1">
      <x:c r="A2008" s="19" t="str">
        <x:v>D02004</x:v>
      </x:c>
      <x:c r="B2008" s="19" t="n">
        <x:v>4</x:v>
      </x:c>
      <x:c r="C2008" s="19" t="n">
        <x:v>6</x:v>
      </x:c>
      <x:c r="D2008" s="19" t="str">
        <x:v>C04-M067</x:v>
      </x:c>
      <x:c r="E2008" s="19" t="str">
        <x:v>回声盗墓客</x:v>
      </x:c>
      <x:c r="F2008" s="19" t="str">
        <x:v>稀有</x:v>
      </x:c>
      <x:c r="G2008" s="19" t="str">
        <x:v>材料独立候选</x:v>
      </x:c>
      <x:c r="H2008" s="19" t="str">
        <x:v>黄金树芽</x:v>
      </x:c>
      <x:c r="I2008" s="22" t="n">
        <x:v>2000</x:v>
      </x:c>
      <x:c r="J2008" s="22" t="n">
        <x:v>1</x:v>
      </x:c>
      <x:c r="K2008" s="19" t="n">
        <x:v>1</x:v>
      </x:c>
      <x:c r="L2008" s="24" t="n">
        <x:v>21.849999999999998</x:v>
      </x:c>
      <x:c r="M2008" s="26" t="n">
        <x:v>0.1</x:v>
      </x:c>
      <x:c r="N2008" s="24" t="n">
        <x:v>12</x:v>
      </x:c>
      <x:c r="O2008" s="28" t="n">
        <x:f>MIN(1,L2008/I2008)</x:f>
        <x:v>0.010924999999999999</x:v>
      </x:c>
      <x:c r="P2008" s="30" t="n">
        <x:f>O2008*J2008*(1+M2008)</x:f>
        <x:v>0.0120175</x:v>
      </x:c>
      <x:c r="Q2008" s="30" t="n">
        <x:f>P2008*N2008</x:f>
        <x:v>0.14421</x:v>
      </x:c>
      <x:c r="R2008" s="19" t="str">
        <x:v>独立判定</x:v>
      </x:c>
    </x:row>
    <x:row r="2009" ht="19" customHeight="1">
      <x:c r="A2009" s="19" t="str">
        <x:v>D02005</x:v>
      </x:c>
      <x:c r="B2009" s="19" t="n">
        <x:v>4</x:v>
      </x:c>
      <x:c r="C2009" s="19" t="n">
        <x:v>6</x:v>
      </x:c>
      <x:c r="D2009" s="19" t="str">
        <x:v>C04-M067</x:v>
      </x:c>
      <x:c r="E2009" s="19" t="str">
        <x:v>回声盗墓客</x:v>
      </x:c>
      <x:c r="F2009" s="19" t="str">
        <x:v>稀有</x:v>
      </x:c>
      <x:c r="G2009" s="19" t="str">
        <x:v>材料独立候选</x:v>
      </x:c>
      <x:c r="H2009" s="19" t="str">
        <x:v>野兽骨片</x:v>
      </x:c>
      <x:c r="I2009" s="22" t="n">
        <x:v>60</x:v>
      </x:c>
      <x:c r="J2009" s="22" t="n">
        <x:v>2</x:v>
      </x:c>
      <x:c r="K2009" s="19" t="n">
        <x:v>1</x:v>
      </x:c>
      <x:c r="L2009" s="24" t="n">
        <x:v>21.849999999999998</x:v>
      </x:c>
      <x:c r="M2009" s="26" t="n">
        <x:v>0.1</x:v>
      </x:c>
      <x:c r="N2009" s="24" t="n">
        <x:v>12</x:v>
      </x:c>
      <x:c r="O2009" s="28" t="n">
        <x:f>MIN(1,L2009/I2009)</x:f>
        <x:v>0.36416666666666664</x:v>
      </x:c>
      <x:c r="P2009" s="30" t="n">
        <x:f>O2009*J2009*(1+M2009)</x:f>
        <x:v>0.8011666666666667</x:v>
      </x:c>
      <x:c r="Q2009" s="30" t="n">
        <x:f>P2009*N2009</x:f>
        <x:v>9.614</x:v>
      </x:c>
      <x:c r="R2009" s="19" t="str">
        <x:v>独立判定</x:v>
      </x:c>
    </x:row>
    <x:row r="2010" ht="19" customHeight="1">
      <x:c r="A2010" s="19" t="str">
        <x:v>D02006</x:v>
      </x:c>
      <x:c r="B2010" s="19" t="n">
        <x:v>4</x:v>
      </x:c>
      <x:c r="C2010" s="19" t="n">
        <x:v>6</x:v>
      </x:c>
      <x:c r="D2010" s="19" t="str">
        <x:v>C04-M067</x:v>
      </x:c>
      <x:c r="E2010" s="19" t="str">
        <x:v>回声盗墓客</x:v>
      </x:c>
      <x:c r="F2010" s="19" t="str">
        <x:v>稀有</x:v>
      </x:c>
      <x:c r="G2010" s="19" t="str">
        <x:v>材料独立候选</x:v>
      </x:c>
      <x:c r="H2010" s="19" t="str">
        <x:v>技能残页</x:v>
      </x:c>
      <x:c r="I2010" s="22" t="n">
        <x:v>300</x:v>
      </x:c>
      <x:c r="J2010" s="22" t="n">
        <x:v>1</x:v>
      </x:c>
      <x:c r="K2010" s="19" t="n">
        <x:v>1</x:v>
      </x:c>
      <x:c r="L2010" s="24" t="n">
        <x:v>21.849999999999998</x:v>
      </x:c>
      <x:c r="M2010" s="26" t="n">
        <x:v>0.1</x:v>
      </x:c>
      <x:c r="N2010" s="24" t="n">
        <x:v>12</x:v>
      </x:c>
      <x:c r="O2010" s="28" t="n">
        <x:f>MIN(1,L2010/I2010)</x:f>
        <x:v>0.07283333333333332</x:v>
      </x:c>
      <x:c r="P2010" s="30" t="n">
        <x:f>O2010*J2010*(1+M2010)</x:f>
        <x:v>0.08011666666666666</x:v>
      </x:c>
      <x:c r="Q2010" s="30" t="n">
        <x:f>P2010*N2010</x:f>
        <x:v>0.9613999999999998</x:v>
      </x:c>
      <x:c r="R2010" s="19" t="str">
        <x:v>独立判定</x:v>
      </x:c>
    </x:row>
    <x:row r="2011" ht="19" customHeight="1">
      <x:c r="A2011" s="19" t="str">
        <x:v>D02007</x:v>
      </x:c>
      <x:c r="B2011" s="19" t="n">
        <x:v>4</x:v>
      </x:c>
      <x:c r="C2011" s="19" t="n">
        <x:v>6</x:v>
      </x:c>
      <x:c r="D2011" s="19" t="str">
        <x:v>C04-M067</x:v>
      </x:c>
      <x:c r="E2011" s="19" t="str">
        <x:v>回声盗墓客</x:v>
      </x:c>
      <x:c r="F2011" s="19" t="str">
        <x:v>稀有</x:v>
      </x:c>
      <x:c r="G2011" s="19" t="str">
        <x:v>材料独立候选</x:v>
      </x:c>
      <x:c r="H2011" s="19" t="str">
        <x:v>小卢恩</x:v>
      </x:c>
      <x:c r="I2011" s="22" t="n">
        <x:v>600</x:v>
      </x:c>
      <x:c r="J2011" s="22" t="n">
        <x:v>1</x:v>
      </x:c>
      <x:c r="K2011" s="19" t="n">
        <x:v>1</x:v>
      </x:c>
      <x:c r="L2011" s="24" t="n">
        <x:v>21.849999999999998</x:v>
      </x:c>
      <x:c r="M2011" s="26" t="n">
        <x:v>0.1</x:v>
      </x:c>
      <x:c r="N2011" s="24" t="n">
        <x:v>12</x:v>
      </x:c>
      <x:c r="O2011" s="28" t="n">
        <x:f>MIN(1,L2011/I2011)</x:f>
        <x:v>0.03641666666666666</x:v>
      </x:c>
      <x:c r="P2011" s="30" t="n">
        <x:f>O2011*J2011*(1+M2011)</x:f>
        <x:v>0.04005833333333333</x:v>
      </x:c>
      <x:c r="Q2011" s="30" t="n">
        <x:f>P2011*N2011</x:f>
        <x:v>0.4806999999999999</x:v>
      </x:c>
      <x:c r="R2011" s="19" t="str">
        <x:v>独立判定</x:v>
      </x:c>
    </x:row>
    <x:row r="2012" ht="19" customHeight="1">
      <x:c r="A2012" s="19" t="str">
        <x:v>D02008</x:v>
      </x:c>
      <x:c r="B2012" s="19" t="n">
        <x:v>4</x:v>
      </x:c>
      <x:c r="C2012" s="19" t="n">
        <x:v>6</x:v>
      </x:c>
      <x:c r="D2012" s="19" t="str">
        <x:v>C04-M067</x:v>
      </x:c>
      <x:c r="E2012" s="19" t="str">
        <x:v>回声盗墓客</x:v>
      </x:c>
      <x:c r="F2012" s="19" t="str">
        <x:v>稀有</x:v>
      </x:c>
      <x:c r="G2012" s="19" t="str">
        <x:v>六神器公共池</x:v>
      </x:c>
      <x:c r="H2012" s="19" t="str">
        <x:v>POOL006</x:v>
      </x:c>
      <x:c r="I2012" s="22" t="n">
        <x:v>5000000</x:v>
      </x:c>
      <x:c r="J2012" s="22" t="n">
        <x:v>1</x:v>
      </x:c>
      <x:c r="K2012" s="19" t="n">
        <x:v>6</x:v>
      </x:c>
      <x:c r="L2012" s="24" t="n">
        <x:v>21.849999999999998</x:v>
      </x:c>
      <x:c r="M2012" s="26" t="n">
        <x:v>0.1</x:v>
      </x:c>
      <x:c r="N2012" s="24" t="n">
        <x:v>12</x:v>
      </x:c>
      <x:c r="O2012" s="28" t="n">
        <x:f>MIN(1,L2012/I2012)</x:f>
        <x:v>0.00000437</x:v>
      </x:c>
      <x:c r="P2012" s="30" t="n">
        <x:f>O2012*J2012*(1+M2012)</x:f>
        <x:v>0.000004807</x:v>
      </x:c>
      <x:c r="Q2012" s="30" t="n">
        <x:f>P2012*N2012</x:f>
        <x:v>0.000057684</x:v>
      </x:c>
      <x:c r="R2012" s="19" t="str">
        <x:v>六选一；非6个独立爆率</x:v>
      </x:c>
    </x:row>
    <x:row r="2013" ht="19" customHeight="1">
      <x:c r="A2013" s="19" t="str">
        <x:v>D02009</x:v>
      </x:c>
      <x:c r="B2013" s="19" t="n">
        <x:v>4</x:v>
      </x:c>
      <x:c r="C2013" s="19" t="n">
        <x:v>6</x:v>
      </x:c>
      <x:c r="D2013" s="19" t="str">
        <x:v>C04-M068</x:v>
      </x:c>
      <x:c r="E2013" s="19" t="str">
        <x:v>暗渠缚链僧</x:v>
      </x:c>
      <x:c r="F2013" s="19" t="str">
        <x:v>稀有</x:v>
      </x:c>
      <x:c r="G2013" s="19" t="str">
        <x:v>自身专属</x:v>
      </x:c>
      <x:c r="H2013" s="19" t="str">
        <x:v>缚链僧镯</x:v>
      </x:c>
      <x:c r="I2013" s="22" t="n">
        <x:v>400</x:v>
      </x:c>
      <x:c r="J2013" s="22" t="n">
        <x:v>1</x:v>
      </x:c>
      <x:c r="K2013" s="19" t="n">
        <x:v>1</x:v>
      </x:c>
      <x:c r="L2013" s="24" t="n">
        <x:v>21.849999999999998</x:v>
      </x:c>
      <x:c r="M2013" s="26" t="n">
        <x:v>0.1</x:v>
      </x:c>
      <x:c r="N2013" s="24" t="n">
        <x:v>12</x:v>
      </x:c>
      <x:c r="O2013" s="28" t="n">
        <x:f>MIN(1,L2013/I2013)</x:f>
        <x:v>0.05462499999999999</x:v>
      </x:c>
      <x:c r="P2013" s="30" t="n">
        <x:f>O2013*J2013*(1+M2013)</x:f>
        <x:v>0.060087499999999995</x:v>
      </x:c>
      <x:c r="Q2013" s="30" t="n">
        <x:f>P2013*N2013</x:f>
        <x:v>0.72105</x:v>
      </x:c>
      <x:c r="R2013" s="19" t="str">
        <x:v>独立判定</x:v>
      </x:c>
    </x:row>
    <x:row r="2014" ht="19" customHeight="1">
      <x:c r="A2014" s="19" t="str">
        <x:v>D02010</x:v>
      </x:c>
      <x:c r="B2014" s="19" t="n">
        <x:v>4</x:v>
      </x:c>
      <x:c r="C2014" s="19" t="n">
        <x:v>6</x:v>
      </x:c>
      <x:c r="D2014" s="19" t="str">
        <x:v>C04-M068</x:v>
      </x:c>
      <x:c r="E2014" s="19" t="str">
        <x:v>暗渠缚链僧</x:v>
      </x:c>
      <x:c r="F2014" s="19" t="str">
        <x:v>稀有</x:v>
      </x:c>
      <x:c r="G2014" s="19" t="str">
        <x:v>材料独立候选</x:v>
      </x:c>
      <x:c r="H2014" s="19" t="str">
        <x:v>湖盐结晶</x:v>
      </x:c>
      <x:c r="I2014" s="22" t="n">
        <x:v>400</x:v>
      </x:c>
      <x:c r="J2014" s="22" t="n">
        <x:v>15</x:v>
      </x:c>
      <x:c r="K2014" s="19" t="n">
        <x:v>1</x:v>
      </x:c>
      <x:c r="L2014" s="24" t="n">
        <x:v>21.849999999999998</x:v>
      </x:c>
      <x:c r="M2014" s="26" t="n">
        <x:v>0.1</x:v>
      </x:c>
      <x:c r="N2014" s="24" t="n">
        <x:v>12</x:v>
      </x:c>
      <x:c r="O2014" s="28" t="n">
        <x:f>MIN(1,L2014/I2014)</x:f>
        <x:v>0.05462499999999999</x:v>
      </x:c>
      <x:c r="P2014" s="30" t="n">
        <x:f>O2014*J2014*(1+M2014)</x:f>
        <x:v>0.9013125</x:v>
      </x:c>
      <x:c r="Q2014" s="30" t="n">
        <x:f>P2014*N2014</x:f>
        <x:v>10.81575</x:v>
      </x:c>
      <x:c r="R2014" s="19" t="str">
        <x:v>独立判定</x:v>
      </x:c>
    </x:row>
    <x:row r="2015" ht="19" customHeight="1">
      <x:c r="A2015" s="19" t="str">
        <x:v>D02011</x:v>
      </x:c>
      <x:c r="B2015" s="19" t="n">
        <x:v>4</x:v>
      </x:c>
      <x:c r="C2015" s="19" t="n">
        <x:v>6</x:v>
      </x:c>
      <x:c r="D2015" s="19" t="str">
        <x:v>C04-M068</x:v>
      </x:c>
      <x:c r="E2015" s="19" t="str">
        <x:v>暗渠缚链僧</x:v>
      </x:c>
      <x:c r="F2015" s="19" t="str">
        <x:v>稀有</x:v>
      </x:c>
      <x:c r="G2015" s="19" t="str">
        <x:v>材料独立候选</x:v>
      </x:c>
      <x:c r="H2015" s="19" t="str">
        <x:v>幽船铆钉</x:v>
      </x:c>
      <x:c r="I2015" s="22" t="n">
        <x:v>1200</x:v>
      </x:c>
      <x:c r="J2015" s="22" t="n">
        <x:v>1</x:v>
      </x:c>
      <x:c r="K2015" s="19" t="n">
        <x:v>1</x:v>
      </x:c>
      <x:c r="L2015" s="24" t="n">
        <x:v>21.849999999999998</x:v>
      </x:c>
      <x:c r="M2015" s="26" t="n">
        <x:v>0.1</x:v>
      </x:c>
      <x:c r="N2015" s="24" t="n">
        <x:v>12</x:v>
      </x:c>
      <x:c r="O2015" s="28" t="n">
        <x:f>MIN(1,L2015/I2015)</x:f>
        <x:v>0.01820833333333333</x:v>
      </x:c>
      <x:c r="P2015" s="30" t="n">
        <x:f>O2015*J2015*(1+M2015)</x:f>
        <x:v>0.020029166666666664</x:v>
      </x:c>
      <x:c r="Q2015" s="30" t="n">
        <x:f>P2015*N2015</x:f>
        <x:v>0.24034999999999995</x:v>
      </x:c>
      <x:c r="R2015" s="19" t="str">
        <x:v>独立判定</x:v>
      </x:c>
    </x:row>
    <x:row r="2016" ht="19" customHeight="1">
      <x:c r="A2016" s="19" t="str">
        <x:v>D02012</x:v>
      </x:c>
      <x:c r="B2016" s="19" t="n">
        <x:v>4</x:v>
      </x:c>
      <x:c r="C2016" s="19" t="n">
        <x:v>6</x:v>
      </x:c>
      <x:c r="D2016" s="19" t="str">
        <x:v>C04-M068</x:v>
      </x:c>
      <x:c r="E2016" s="19" t="str">
        <x:v>暗渠缚链僧</x:v>
      </x:c>
      <x:c r="F2016" s="19" t="str">
        <x:v>稀有</x:v>
      </x:c>
      <x:c r="G2016" s="19" t="str">
        <x:v>材料独立候选</x:v>
      </x:c>
      <x:c r="H2016" s="19" t="str">
        <x:v>沉船缆扣</x:v>
      </x:c>
      <x:c r="I2016" s="22" t="n">
        <x:v>500</x:v>
      </x:c>
      <x:c r="J2016" s="22" t="n">
        <x:v>1</x:v>
      </x:c>
      <x:c r="K2016" s="19" t="n">
        <x:v>1</x:v>
      </x:c>
      <x:c r="L2016" s="24" t="n">
        <x:v>21.849999999999998</x:v>
      </x:c>
      <x:c r="M2016" s="26" t="n">
        <x:v>0.1</x:v>
      </x:c>
      <x:c r="N2016" s="24" t="n">
        <x:v>12</x:v>
      </x:c>
      <x:c r="O2016" s="28" t="n">
        <x:f>MIN(1,L2016/I2016)</x:f>
        <x:v>0.043699999999999996</x:v>
      </x:c>
      <x:c r="P2016" s="30" t="n">
        <x:f>O2016*J2016*(1+M2016)</x:f>
        <x:v>0.04807</x:v>
      </x:c>
      <x:c r="Q2016" s="30" t="n">
        <x:f>P2016*N2016</x:f>
        <x:v>0.57684</x:v>
      </x:c>
      <x:c r="R2016" s="19" t="str">
        <x:v>独立判定</x:v>
      </x:c>
    </x:row>
    <x:row r="2017" ht="19" customHeight="1">
      <x:c r="A2017" s="19" t="str">
        <x:v>D02013</x:v>
      </x:c>
      <x:c r="B2017" s="19" t="n">
        <x:v>4</x:v>
      </x:c>
      <x:c r="C2017" s="19" t="n">
        <x:v>6</x:v>
      </x:c>
      <x:c r="D2017" s="19" t="str">
        <x:v>C04-M068</x:v>
      </x:c>
      <x:c r="E2017" s="19" t="str">
        <x:v>暗渠缚链僧</x:v>
      </x:c>
      <x:c r="F2017" s="19" t="str">
        <x:v>稀有</x:v>
      </x:c>
      <x:c r="G2017" s="19" t="str">
        <x:v>材料独立候选</x:v>
      </x:c>
      <x:c r="H2017" s="19" t="str">
        <x:v>月潮忆珀</x:v>
      </x:c>
      <x:c r="I2017" s="22" t="n">
        <x:v>600000</x:v>
      </x:c>
      <x:c r="J2017" s="22" t="n">
        <x:v>1</x:v>
      </x:c>
      <x:c r="K2017" s="19" t="n">
        <x:v>1</x:v>
      </x:c>
      <x:c r="L2017" s="24" t="n">
        <x:v>21.849999999999998</x:v>
      </x:c>
      <x:c r="M2017" s="26" t="n">
        <x:v>0.1</x:v>
      </x:c>
      <x:c r="N2017" s="24" t="n">
        <x:v>12</x:v>
      </x:c>
      <x:c r="O2017" s="28" t="n">
        <x:f>MIN(1,L2017/I2017)</x:f>
        <x:v>0.000036416666666666666</x:v>
      </x:c>
      <x:c r="P2017" s="30" t="n">
        <x:f>O2017*J2017*(1+M2017)</x:f>
        <x:v>0.000040058333333333336</x:v>
      </x:c>
      <x:c r="Q2017" s="30" t="n">
        <x:f>P2017*N2017</x:f>
        <x:v>0.00048070000000000003</x:v>
      </x:c>
      <x:c r="R2017" s="19" t="str">
        <x:v>独立判定</x:v>
      </x:c>
    </x:row>
    <x:row r="2018" ht="19" customHeight="1">
      <x:c r="A2018" s="19" t="str">
        <x:v>D02014</x:v>
      </x:c>
      <x:c r="B2018" s="19" t="n">
        <x:v>4</x:v>
      </x:c>
      <x:c r="C2018" s="19" t="n">
        <x:v>6</x:v>
      </x:c>
      <x:c r="D2018" s="19" t="str">
        <x:v>C04-M068</x:v>
      </x:c>
      <x:c r="E2018" s="19" t="str">
        <x:v>暗渠缚链僧</x:v>
      </x:c>
      <x:c r="F2018" s="19" t="str">
        <x:v>稀有</x:v>
      </x:c>
      <x:c r="G2018" s="19" t="str">
        <x:v>材料独立候选</x:v>
      </x:c>
      <x:c r="H2018" s="19" t="str">
        <x:v>黄金树芽</x:v>
      </x:c>
      <x:c r="I2018" s="22" t="n">
        <x:v>2000</x:v>
      </x:c>
      <x:c r="J2018" s="22" t="n">
        <x:v>1</x:v>
      </x:c>
      <x:c r="K2018" s="19" t="n">
        <x:v>1</x:v>
      </x:c>
      <x:c r="L2018" s="24" t="n">
        <x:v>21.849999999999998</x:v>
      </x:c>
      <x:c r="M2018" s="26" t="n">
        <x:v>0.1</x:v>
      </x:c>
      <x:c r="N2018" s="24" t="n">
        <x:v>12</x:v>
      </x:c>
      <x:c r="O2018" s="28" t="n">
        <x:f>MIN(1,L2018/I2018)</x:f>
        <x:v>0.010924999999999999</x:v>
      </x:c>
      <x:c r="P2018" s="30" t="n">
        <x:f>O2018*J2018*(1+M2018)</x:f>
        <x:v>0.0120175</x:v>
      </x:c>
      <x:c r="Q2018" s="30" t="n">
        <x:f>P2018*N2018</x:f>
        <x:v>0.14421</x:v>
      </x:c>
      <x:c r="R2018" s="19" t="str">
        <x:v>独立判定</x:v>
      </x:c>
    </x:row>
    <x:row r="2019" ht="19" customHeight="1">
      <x:c r="A2019" s="19" t="str">
        <x:v>D02015</x:v>
      </x:c>
      <x:c r="B2019" s="19" t="n">
        <x:v>4</x:v>
      </x:c>
      <x:c r="C2019" s="19" t="n">
        <x:v>6</x:v>
      </x:c>
      <x:c r="D2019" s="19" t="str">
        <x:v>C04-M068</x:v>
      </x:c>
      <x:c r="E2019" s="19" t="str">
        <x:v>暗渠缚链僧</x:v>
      </x:c>
      <x:c r="F2019" s="19" t="str">
        <x:v>稀有</x:v>
      </x:c>
      <x:c r="G2019" s="19" t="str">
        <x:v>材料独立候选</x:v>
      </x:c>
      <x:c r="H2019" s="19" t="str">
        <x:v>野兽骨片</x:v>
      </x:c>
      <x:c r="I2019" s="22" t="n">
        <x:v>60</x:v>
      </x:c>
      <x:c r="J2019" s="22" t="n">
        <x:v>2</x:v>
      </x:c>
      <x:c r="K2019" s="19" t="n">
        <x:v>1</x:v>
      </x:c>
      <x:c r="L2019" s="24" t="n">
        <x:v>21.849999999999998</x:v>
      </x:c>
      <x:c r="M2019" s="26" t="n">
        <x:v>0.1</x:v>
      </x:c>
      <x:c r="N2019" s="24" t="n">
        <x:v>12</x:v>
      </x:c>
      <x:c r="O2019" s="28" t="n">
        <x:f>MIN(1,L2019/I2019)</x:f>
        <x:v>0.36416666666666664</x:v>
      </x:c>
      <x:c r="P2019" s="30" t="n">
        <x:f>O2019*J2019*(1+M2019)</x:f>
        <x:v>0.8011666666666667</x:v>
      </x:c>
      <x:c r="Q2019" s="30" t="n">
        <x:f>P2019*N2019</x:f>
        <x:v>9.614</x:v>
      </x:c>
      <x:c r="R2019" s="19" t="str">
        <x:v>独立判定</x:v>
      </x:c>
    </x:row>
    <x:row r="2020" ht="19" customHeight="1">
      <x:c r="A2020" s="19" t="str">
        <x:v>D02016</x:v>
      </x:c>
      <x:c r="B2020" s="19" t="n">
        <x:v>4</x:v>
      </x:c>
      <x:c r="C2020" s="19" t="n">
        <x:v>6</x:v>
      </x:c>
      <x:c r="D2020" s="19" t="str">
        <x:v>C04-M068</x:v>
      </x:c>
      <x:c r="E2020" s="19" t="str">
        <x:v>暗渠缚链僧</x:v>
      </x:c>
      <x:c r="F2020" s="19" t="str">
        <x:v>稀有</x:v>
      </x:c>
      <x:c r="G2020" s="19" t="str">
        <x:v>材料独立候选</x:v>
      </x:c>
      <x:c r="H2020" s="19" t="str">
        <x:v>技能残页</x:v>
      </x:c>
      <x:c r="I2020" s="22" t="n">
        <x:v>300</x:v>
      </x:c>
      <x:c r="J2020" s="22" t="n">
        <x:v>1</x:v>
      </x:c>
      <x:c r="K2020" s="19" t="n">
        <x:v>1</x:v>
      </x:c>
      <x:c r="L2020" s="24" t="n">
        <x:v>21.849999999999998</x:v>
      </x:c>
      <x:c r="M2020" s="26" t="n">
        <x:v>0.1</x:v>
      </x:c>
      <x:c r="N2020" s="24" t="n">
        <x:v>12</x:v>
      </x:c>
      <x:c r="O2020" s="28" t="n">
        <x:f>MIN(1,L2020/I2020)</x:f>
        <x:v>0.07283333333333332</x:v>
      </x:c>
      <x:c r="P2020" s="30" t="n">
        <x:f>O2020*J2020*(1+M2020)</x:f>
        <x:v>0.08011666666666666</x:v>
      </x:c>
      <x:c r="Q2020" s="30" t="n">
        <x:f>P2020*N2020</x:f>
        <x:v>0.9613999999999998</x:v>
      </x:c>
      <x:c r="R2020" s="19" t="str">
        <x:v>独立判定</x:v>
      </x:c>
    </x:row>
    <x:row r="2021" ht="19" customHeight="1">
      <x:c r="A2021" s="19" t="str">
        <x:v>D02017</x:v>
      </x:c>
      <x:c r="B2021" s="19" t="n">
        <x:v>4</x:v>
      </x:c>
      <x:c r="C2021" s="19" t="n">
        <x:v>6</x:v>
      </x:c>
      <x:c r="D2021" s="19" t="str">
        <x:v>C04-M068</x:v>
      </x:c>
      <x:c r="E2021" s="19" t="str">
        <x:v>暗渠缚链僧</x:v>
      </x:c>
      <x:c r="F2021" s="19" t="str">
        <x:v>稀有</x:v>
      </x:c>
      <x:c r="G2021" s="19" t="str">
        <x:v>材料独立候选</x:v>
      </x:c>
      <x:c r="H2021" s="19" t="str">
        <x:v>小卢恩</x:v>
      </x:c>
      <x:c r="I2021" s="22" t="n">
        <x:v>600</x:v>
      </x:c>
      <x:c r="J2021" s="22" t="n">
        <x:v>1</x:v>
      </x:c>
      <x:c r="K2021" s="19" t="n">
        <x:v>1</x:v>
      </x:c>
      <x:c r="L2021" s="24" t="n">
        <x:v>21.849999999999998</x:v>
      </x:c>
      <x:c r="M2021" s="26" t="n">
        <x:v>0.1</x:v>
      </x:c>
      <x:c r="N2021" s="24" t="n">
        <x:v>12</x:v>
      </x:c>
      <x:c r="O2021" s="28" t="n">
        <x:f>MIN(1,L2021/I2021)</x:f>
        <x:v>0.03641666666666666</x:v>
      </x:c>
      <x:c r="P2021" s="30" t="n">
        <x:f>O2021*J2021*(1+M2021)</x:f>
        <x:v>0.04005833333333333</x:v>
      </x:c>
      <x:c r="Q2021" s="30" t="n">
        <x:f>P2021*N2021</x:f>
        <x:v>0.4806999999999999</x:v>
      </x:c>
      <x:c r="R2021" s="19" t="str">
        <x:v>独立判定</x:v>
      </x:c>
    </x:row>
    <x:row r="2022" ht="19" customHeight="1">
      <x:c r="A2022" s="19" t="str">
        <x:v>D02018</x:v>
      </x:c>
      <x:c r="B2022" s="19" t="n">
        <x:v>4</x:v>
      </x:c>
      <x:c r="C2022" s="19" t="n">
        <x:v>6</x:v>
      </x:c>
      <x:c r="D2022" s="19" t="str">
        <x:v>C04-M068</x:v>
      </x:c>
      <x:c r="E2022" s="19" t="str">
        <x:v>暗渠缚链僧</x:v>
      </x:c>
      <x:c r="F2022" s="19" t="str">
        <x:v>稀有</x:v>
      </x:c>
      <x:c r="G2022" s="19" t="str">
        <x:v>六神器公共池</x:v>
      </x:c>
      <x:c r="H2022" s="19" t="str">
        <x:v>POOL006</x:v>
      </x:c>
      <x:c r="I2022" s="22" t="n">
        <x:v>5000000</x:v>
      </x:c>
      <x:c r="J2022" s="22" t="n">
        <x:v>1</x:v>
      </x:c>
      <x:c r="K2022" s="19" t="n">
        <x:v>6</x:v>
      </x:c>
      <x:c r="L2022" s="24" t="n">
        <x:v>21.849999999999998</x:v>
      </x:c>
      <x:c r="M2022" s="26" t="n">
        <x:v>0.1</x:v>
      </x:c>
      <x:c r="N2022" s="24" t="n">
        <x:v>12</x:v>
      </x:c>
      <x:c r="O2022" s="28" t="n">
        <x:f>MIN(1,L2022/I2022)</x:f>
        <x:v>0.00000437</x:v>
      </x:c>
      <x:c r="P2022" s="30" t="n">
        <x:f>O2022*J2022*(1+M2022)</x:f>
        <x:v>0.000004807</x:v>
      </x:c>
      <x:c r="Q2022" s="30" t="n">
        <x:f>P2022*N2022</x:f>
        <x:v>0.000057684</x:v>
      </x:c>
      <x:c r="R2022" s="19" t="str">
        <x:v>六选一；非6个独立爆率</x:v>
      </x:c>
    </x:row>
    <x:row r="2023" ht="19" customHeight="1">
      <x:c r="A2023" s="19" t="str">
        <x:v>D02019</x:v>
      </x:c>
      <x:c r="B2023" s="19" t="n">
        <x:v>4</x:v>
      </x:c>
      <x:c r="C2023" s="19" t="n">
        <x:v>6</x:v>
      </x:c>
      <x:c r="D2023" s="19" t="str">
        <x:v>C04-M069</x:v>
      </x:c>
      <x:c r="E2023" s="19" t="str">
        <x:v>抱钥湖尸</x:v>
      </x:c>
      <x:c r="F2023" s="19" t="str">
        <x:v>稀有</x:v>
      </x:c>
      <x:c r="G2023" s="19" t="str">
        <x:v>自身专属</x:v>
      </x:c>
      <x:c r="H2023" s="19" t="str">
        <x:v>湖尸钥戒</x:v>
      </x:c>
      <x:c r="I2023" s="22" t="n">
        <x:v>400</x:v>
      </x:c>
      <x:c r="J2023" s="22" t="n">
        <x:v>1</x:v>
      </x:c>
      <x:c r="K2023" s="19" t="n">
        <x:v>1</x:v>
      </x:c>
      <x:c r="L2023" s="24" t="n">
        <x:v>21.849999999999998</x:v>
      </x:c>
      <x:c r="M2023" s="26" t="n">
        <x:v>0.1</x:v>
      </x:c>
      <x:c r="N2023" s="24" t="n">
        <x:v>8.808076833044435</x:v>
      </x:c>
      <x:c r="O2023" s="28" t="n">
        <x:f>MIN(1,L2023/I2023)</x:f>
        <x:v>0.05462499999999999</x:v>
      </x:c>
      <x:c r="P2023" s="30" t="n">
        <x:f>O2023*J2023*(1+M2023)</x:f>
        <x:v>0.060087499999999995</x:v>
      </x:c>
      <x:c r="Q2023" s="30" t="n">
        <x:f>P2023*N2023</x:f>
        <x:v>0.5292553167055575</x:v>
      </x:c>
      <x:c r="R2023" s="19" t="str">
        <x:v>独立判定</x:v>
      </x:c>
    </x:row>
    <x:row r="2024" ht="19" customHeight="1">
      <x:c r="A2024" s="19" t="str">
        <x:v>D02020</x:v>
      </x:c>
      <x:c r="B2024" s="19" t="n">
        <x:v>4</x:v>
      </x:c>
      <x:c r="C2024" s="19" t="n">
        <x:v>6</x:v>
      </x:c>
      <x:c r="D2024" s="19" t="str">
        <x:v>C04-M069</x:v>
      </x:c>
      <x:c r="E2024" s="19" t="str">
        <x:v>抱钥湖尸</x:v>
      </x:c>
      <x:c r="F2024" s="19" t="str">
        <x:v>稀有</x:v>
      </x:c>
      <x:c r="G2024" s="19" t="str">
        <x:v>材料独立候选</x:v>
      </x:c>
      <x:c r="H2024" s="19" t="str">
        <x:v>湖盐结晶</x:v>
      </x:c>
      <x:c r="I2024" s="22" t="n">
        <x:v>400</x:v>
      </x:c>
      <x:c r="J2024" s="22" t="n">
        <x:v>15</x:v>
      </x:c>
      <x:c r="K2024" s="19" t="n">
        <x:v>1</x:v>
      </x:c>
      <x:c r="L2024" s="24" t="n">
        <x:v>21.849999999999998</x:v>
      </x:c>
      <x:c r="M2024" s="26" t="n">
        <x:v>0.1</x:v>
      </x:c>
      <x:c r="N2024" s="24" t="n">
        <x:v>8.808076833044435</x:v>
      </x:c>
      <x:c r="O2024" s="28" t="n">
        <x:f>MIN(1,L2024/I2024)</x:f>
        <x:v>0.05462499999999999</x:v>
      </x:c>
      <x:c r="P2024" s="30" t="n">
        <x:f>O2024*J2024*(1+M2024)</x:f>
        <x:v>0.9013125</x:v>
      </x:c>
      <x:c r="Q2024" s="30" t="n">
        <x:f>P2024*N2024</x:f>
        <x:v>7.938829750583362</x:v>
      </x:c>
      <x:c r="R2024" s="19" t="str">
        <x:v>独立判定</x:v>
      </x:c>
    </x:row>
    <x:row r="2025" ht="19" customHeight="1">
      <x:c r="A2025" s="19" t="str">
        <x:v>D02021</x:v>
      </x:c>
      <x:c r="B2025" s="19" t="n">
        <x:v>4</x:v>
      </x:c>
      <x:c r="C2025" s="19" t="n">
        <x:v>6</x:v>
      </x:c>
      <x:c r="D2025" s="19" t="str">
        <x:v>C04-M069</x:v>
      </x:c>
      <x:c r="E2025" s="19" t="str">
        <x:v>抱钥湖尸</x:v>
      </x:c>
      <x:c r="F2025" s="19" t="str">
        <x:v>稀有</x:v>
      </x:c>
      <x:c r="G2025" s="19" t="str">
        <x:v>材料独立候选</x:v>
      </x:c>
      <x:c r="H2025" s="19" t="str">
        <x:v>幽船铆钉</x:v>
      </x:c>
      <x:c r="I2025" s="22" t="n">
        <x:v>1200</x:v>
      </x:c>
      <x:c r="J2025" s="22" t="n">
        <x:v>1</x:v>
      </x:c>
      <x:c r="K2025" s="19" t="n">
        <x:v>1</x:v>
      </x:c>
      <x:c r="L2025" s="24" t="n">
        <x:v>21.849999999999998</x:v>
      </x:c>
      <x:c r="M2025" s="26" t="n">
        <x:v>0.1</x:v>
      </x:c>
      <x:c r="N2025" s="24" t="n">
        <x:v>8.808076833044435</x:v>
      </x:c>
      <x:c r="O2025" s="28" t="n">
        <x:f>MIN(1,L2025/I2025)</x:f>
        <x:v>0.01820833333333333</x:v>
      </x:c>
      <x:c r="P2025" s="30" t="n">
        <x:f>O2025*J2025*(1+M2025)</x:f>
        <x:v>0.020029166666666664</x:v>
      </x:c>
      <x:c r="Q2025" s="30" t="n">
        <x:f>P2025*N2025</x:f>
        <x:v>0.17641843890185246</x:v>
      </x:c>
      <x:c r="R2025" s="19" t="str">
        <x:v>独立判定</x:v>
      </x:c>
    </x:row>
    <x:row r="2026" ht="19" customHeight="1">
      <x:c r="A2026" s="19" t="str">
        <x:v>D02022</x:v>
      </x:c>
      <x:c r="B2026" s="19" t="n">
        <x:v>4</x:v>
      </x:c>
      <x:c r="C2026" s="19" t="n">
        <x:v>6</x:v>
      </x:c>
      <x:c r="D2026" s="19" t="str">
        <x:v>C04-M069</x:v>
      </x:c>
      <x:c r="E2026" s="19" t="str">
        <x:v>抱钥湖尸</x:v>
      </x:c>
      <x:c r="F2026" s="19" t="str">
        <x:v>稀有</x:v>
      </x:c>
      <x:c r="G2026" s="19" t="str">
        <x:v>材料独立候选</x:v>
      </x:c>
      <x:c r="H2026" s="19" t="str">
        <x:v>沉船缆扣</x:v>
      </x:c>
      <x:c r="I2026" s="22" t="n">
        <x:v>500</x:v>
      </x:c>
      <x:c r="J2026" s="22" t="n">
        <x:v>1</x:v>
      </x:c>
      <x:c r="K2026" s="19" t="n">
        <x:v>1</x:v>
      </x:c>
      <x:c r="L2026" s="24" t="n">
        <x:v>21.849999999999998</x:v>
      </x:c>
      <x:c r="M2026" s="26" t="n">
        <x:v>0.1</x:v>
      </x:c>
      <x:c r="N2026" s="24" t="n">
        <x:v>8.808076833044435</x:v>
      </x:c>
      <x:c r="O2026" s="28" t="n">
        <x:f>MIN(1,L2026/I2026)</x:f>
        <x:v>0.043699999999999996</x:v>
      </x:c>
      <x:c r="P2026" s="30" t="n">
        <x:f>O2026*J2026*(1+M2026)</x:f>
        <x:v>0.04807</x:v>
      </x:c>
      <x:c r="Q2026" s="30" t="n">
        <x:f>P2026*N2026</x:f>
        <x:v>0.423404253364446</x:v>
      </x:c>
      <x:c r="R2026" s="19" t="str">
        <x:v>独立判定</x:v>
      </x:c>
    </x:row>
    <x:row r="2027" ht="19" customHeight="1">
      <x:c r="A2027" s="19" t="str">
        <x:v>D02023</x:v>
      </x:c>
      <x:c r="B2027" s="19" t="n">
        <x:v>4</x:v>
      </x:c>
      <x:c r="C2027" s="19" t="n">
        <x:v>6</x:v>
      </x:c>
      <x:c r="D2027" s="19" t="str">
        <x:v>C04-M069</x:v>
      </x:c>
      <x:c r="E2027" s="19" t="str">
        <x:v>抱钥湖尸</x:v>
      </x:c>
      <x:c r="F2027" s="19" t="str">
        <x:v>稀有</x:v>
      </x:c>
      <x:c r="G2027" s="19" t="str">
        <x:v>材料独立候选</x:v>
      </x:c>
      <x:c r="H2027" s="19" t="str">
        <x:v>月潮忆珀</x:v>
      </x:c>
      <x:c r="I2027" s="22" t="n">
        <x:v>600000</x:v>
      </x:c>
      <x:c r="J2027" s="22" t="n">
        <x:v>1</x:v>
      </x:c>
      <x:c r="K2027" s="19" t="n">
        <x:v>1</x:v>
      </x:c>
      <x:c r="L2027" s="24" t="n">
        <x:v>21.849999999999998</x:v>
      </x:c>
      <x:c r="M2027" s="26" t="n">
        <x:v>0.1</x:v>
      </x:c>
      <x:c r="N2027" s="24" t="n">
        <x:v>8.808076833044435</x:v>
      </x:c>
      <x:c r="O2027" s="28" t="n">
        <x:f>MIN(1,L2027/I2027)</x:f>
        <x:v>0.000036416666666666666</x:v>
      </x:c>
      <x:c r="P2027" s="30" t="n">
        <x:f>O2027*J2027*(1+M2027)</x:f>
        <x:v>0.000040058333333333336</x:v>
      </x:c>
      <x:c r="Q2027" s="30" t="n">
        <x:f>P2027*N2027</x:f>
        <x:v>0.00035283687780370503</x:v>
      </x:c>
      <x:c r="R2027" s="19" t="str">
        <x:v>独立判定</x:v>
      </x:c>
    </x:row>
    <x:row r="2028" ht="19" customHeight="1">
      <x:c r="A2028" s="19" t="str">
        <x:v>D02024</x:v>
      </x:c>
      <x:c r="B2028" s="19" t="n">
        <x:v>4</x:v>
      </x:c>
      <x:c r="C2028" s="19" t="n">
        <x:v>6</x:v>
      </x:c>
      <x:c r="D2028" s="19" t="str">
        <x:v>C04-M069</x:v>
      </x:c>
      <x:c r="E2028" s="19" t="str">
        <x:v>抱钥湖尸</x:v>
      </x:c>
      <x:c r="F2028" s="19" t="str">
        <x:v>稀有</x:v>
      </x:c>
      <x:c r="G2028" s="19" t="str">
        <x:v>材料独立候选</x:v>
      </x:c>
      <x:c r="H2028" s="19" t="str">
        <x:v>黄金树芽</x:v>
      </x:c>
      <x:c r="I2028" s="22" t="n">
        <x:v>2000</x:v>
      </x:c>
      <x:c r="J2028" s="22" t="n">
        <x:v>1</x:v>
      </x:c>
      <x:c r="K2028" s="19" t="n">
        <x:v>1</x:v>
      </x:c>
      <x:c r="L2028" s="24" t="n">
        <x:v>21.849999999999998</x:v>
      </x:c>
      <x:c r="M2028" s="26" t="n">
        <x:v>0.1</x:v>
      </x:c>
      <x:c r="N2028" s="24" t="n">
        <x:v>8.808076833044435</x:v>
      </x:c>
      <x:c r="O2028" s="28" t="n">
        <x:f>MIN(1,L2028/I2028)</x:f>
        <x:v>0.010924999999999999</x:v>
      </x:c>
      <x:c r="P2028" s="30" t="n">
        <x:f>O2028*J2028*(1+M2028)</x:f>
        <x:v>0.0120175</x:v>
      </x:c>
      <x:c r="Q2028" s="30" t="n">
        <x:f>P2028*N2028</x:f>
        <x:v>0.1058510633411115</x:v>
      </x:c>
      <x:c r="R2028" s="19" t="str">
        <x:v>独立判定</x:v>
      </x:c>
    </x:row>
    <x:row r="2029" ht="19" customHeight="1">
      <x:c r="A2029" s="19" t="str">
        <x:v>D02025</x:v>
      </x:c>
      <x:c r="B2029" s="19" t="n">
        <x:v>4</x:v>
      </x:c>
      <x:c r="C2029" s="19" t="n">
        <x:v>6</x:v>
      </x:c>
      <x:c r="D2029" s="19" t="str">
        <x:v>C04-M069</x:v>
      </x:c>
      <x:c r="E2029" s="19" t="str">
        <x:v>抱钥湖尸</x:v>
      </x:c>
      <x:c r="F2029" s="19" t="str">
        <x:v>稀有</x:v>
      </x:c>
      <x:c r="G2029" s="19" t="str">
        <x:v>材料独立候选</x:v>
      </x:c>
      <x:c r="H2029" s="19" t="str">
        <x:v>野兽骨片</x:v>
      </x:c>
      <x:c r="I2029" s="22" t="n">
        <x:v>60</x:v>
      </x:c>
      <x:c r="J2029" s="22" t="n">
        <x:v>2</x:v>
      </x:c>
      <x:c r="K2029" s="19" t="n">
        <x:v>1</x:v>
      </x:c>
      <x:c r="L2029" s="24" t="n">
        <x:v>21.849999999999998</x:v>
      </x:c>
      <x:c r="M2029" s="26" t="n">
        <x:v>0.1</x:v>
      </x:c>
      <x:c r="N2029" s="24" t="n">
        <x:v>8.808076833044435</x:v>
      </x:c>
      <x:c r="O2029" s="28" t="n">
        <x:f>MIN(1,L2029/I2029)</x:f>
        <x:v>0.36416666666666664</x:v>
      </x:c>
      <x:c r="P2029" s="30" t="n">
        <x:f>O2029*J2029*(1+M2029)</x:f>
        <x:v>0.8011666666666667</x:v>
      </x:c>
      <x:c r="Q2029" s="30" t="n">
        <x:f>P2029*N2029</x:f>
        <x:v>7.0567375560741</x:v>
      </x:c>
      <x:c r="R2029" s="19" t="str">
        <x:v>独立判定</x:v>
      </x:c>
    </x:row>
    <x:row r="2030" ht="19" customHeight="1">
      <x:c r="A2030" s="19" t="str">
        <x:v>D02026</x:v>
      </x:c>
      <x:c r="B2030" s="19" t="n">
        <x:v>4</x:v>
      </x:c>
      <x:c r="C2030" s="19" t="n">
        <x:v>6</x:v>
      </x:c>
      <x:c r="D2030" s="19" t="str">
        <x:v>C04-M069</x:v>
      </x:c>
      <x:c r="E2030" s="19" t="str">
        <x:v>抱钥湖尸</x:v>
      </x:c>
      <x:c r="F2030" s="19" t="str">
        <x:v>稀有</x:v>
      </x:c>
      <x:c r="G2030" s="19" t="str">
        <x:v>材料独立候选</x:v>
      </x:c>
      <x:c r="H2030" s="19" t="str">
        <x:v>技能残页</x:v>
      </x:c>
      <x:c r="I2030" s="22" t="n">
        <x:v>300</x:v>
      </x:c>
      <x:c r="J2030" s="22" t="n">
        <x:v>1</x:v>
      </x:c>
      <x:c r="K2030" s="19" t="n">
        <x:v>1</x:v>
      </x:c>
      <x:c r="L2030" s="24" t="n">
        <x:v>21.849999999999998</x:v>
      </x:c>
      <x:c r="M2030" s="26" t="n">
        <x:v>0.1</x:v>
      </x:c>
      <x:c r="N2030" s="24" t="n">
        <x:v>8.808076833044435</x:v>
      </x:c>
      <x:c r="O2030" s="28" t="n">
        <x:f>MIN(1,L2030/I2030)</x:f>
        <x:v>0.07283333333333332</x:v>
      </x:c>
      <x:c r="P2030" s="30" t="n">
        <x:f>O2030*J2030*(1+M2030)</x:f>
        <x:v>0.08011666666666666</x:v>
      </x:c>
      <x:c r="Q2030" s="30" t="n">
        <x:f>P2030*N2030</x:f>
        <x:v>0.7056737556074099</x:v>
      </x:c>
      <x:c r="R2030" s="19" t="str">
        <x:v>独立判定</x:v>
      </x:c>
    </x:row>
    <x:row r="2031" ht="19" customHeight="1">
      <x:c r="A2031" s="19" t="str">
        <x:v>D02027</x:v>
      </x:c>
      <x:c r="B2031" s="19" t="n">
        <x:v>4</x:v>
      </x:c>
      <x:c r="C2031" s="19" t="n">
        <x:v>6</x:v>
      </x:c>
      <x:c r="D2031" s="19" t="str">
        <x:v>C04-M069</x:v>
      </x:c>
      <x:c r="E2031" s="19" t="str">
        <x:v>抱钥湖尸</x:v>
      </x:c>
      <x:c r="F2031" s="19" t="str">
        <x:v>稀有</x:v>
      </x:c>
      <x:c r="G2031" s="19" t="str">
        <x:v>材料独立候选</x:v>
      </x:c>
      <x:c r="H2031" s="19" t="str">
        <x:v>小卢恩</x:v>
      </x:c>
      <x:c r="I2031" s="22" t="n">
        <x:v>600</x:v>
      </x:c>
      <x:c r="J2031" s="22" t="n">
        <x:v>1</x:v>
      </x:c>
      <x:c r="K2031" s="19" t="n">
        <x:v>1</x:v>
      </x:c>
      <x:c r="L2031" s="24" t="n">
        <x:v>21.849999999999998</x:v>
      </x:c>
      <x:c r="M2031" s="26" t="n">
        <x:v>0.1</x:v>
      </x:c>
      <x:c r="N2031" s="24" t="n">
        <x:v>8.808076833044435</x:v>
      </x:c>
      <x:c r="O2031" s="28" t="n">
        <x:f>MIN(1,L2031/I2031)</x:f>
        <x:v>0.03641666666666666</x:v>
      </x:c>
      <x:c r="P2031" s="30" t="n">
        <x:f>O2031*J2031*(1+M2031)</x:f>
        <x:v>0.04005833333333333</x:v>
      </x:c>
      <x:c r="Q2031" s="30" t="n">
        <x:f>P2031*N2031</x:f>
        <x:v>0.35283687780370493</x:v>
      </x:c>
      <x:c r="R2031" s="19" t="str">
        <x:v>独立判定</x:v>
      </x:c>
    </x:row>
    <x:row r="2032" ht="19" customHeight="1">
      <x:c r="A2032" s="19" t="str">
        <x:v>D02028</x:v>
      </x:c>
      <x:c r="B2032" s="19" t="n">
        <x:v>4</x:v>
      </x:c>
      <x:c r="C2032" s="19" t="n">
        <x:v>6</x:v>
      </x:c>
      <x:c r="D2032" s="19" t="str">
        <x:v>C04-M069</x:v>
      </x:c>
      <x:c r="E2032" s="19" t="str">
        <x:v>抱钥湖尸</x:v>
      </x:c>
      <x:c r="F2032" s="19" t="str">
        <x:v>稀有</x:v>
      </x:c>
      <x:c r="G2032" s="19" t="str">
        <x:v>六神器公共池</x:v>
      </x:c>
      <x:c r="H2032" s="19" t="str">
        <x:v>POOL006</x:v>
      </x:c>
      <x:c r="I2032" s="22" t="n">
        <x:v>5000000</x:v>
      </x:c>
      <x:c r="J2032" s="22" t="n">
        <x:v>1</x:v>
      </x:c>
      <x:c r="K2032" s="19" t="n">
        <x:v>6</x:v>
      </x:c>
      <x:c r="L2032" s="24" t="n">
        <x:v>21.849999999999998</x:v>
      </x:c>
      <x:c r="M2032" s="26" t="n">
        <x:v>0.1</x:v>
      </x:c>
      <x:c r="N2032" s="24" t="n">
        <x:v>8.808076833044435</x:v>
      </x:c>
      <x:c r="O2032" s="28" t="n">
        <x:f>MIN(1,L2032/I2032)</x:f>
        <x:v>0.00000437</x:v>
      </x:c>
      <x:c r="P2032" s="30" t="n">
        <x:f>O2032*J2032*(1+M2032)</x:f>
        <x:v>0.000004807</x:v>
      </x:c>
      <x:c r="Q2032" s="30" t="n">
        <x:f>P2032*N2032</x:f>
        <x:v>0.0000423404253364446</x:v>
      </x:c>
      <x:c r="R2032" s="19" t="str">
        <x:v>六选一；非6个独立爆率</x:v>
      </x:c>
    </x:row>
    <x:row r="2033" ht="19" customHeight="1">
      <x:c r="A2033" s="19" t="str">
        <x:v>D02029</x:v>
      </x:c>
      <x:c r="B2033" s="19" t="n">
        <x:v>4</x:v>
      </x:c>
      <x:c r="C2033" s="19" t="n">
        <x:v>6</x:v>
      </x:c>
      <x:c r="D2033" s="19" t="str">
        <x:v>C04-M070</x:v>
      </x:c>
      <x:c r="E2033" s="19" t="str">
        <x:v>噬门泥怪</x:v>
      </x:c>
      <x:c r="F2033" s="19" t="str">
        <x:v>稀有</x:v>
      </x:c>
      <x:c r="G2033" s="19" t="str">
        <x:v>自身专属</x:v>
      </x:c>
      <x:c r="H2033" s="19" t="str">
        <x:v>泥膜束带</x:v>
      </x:c>
      <x:c r="I2033" s="22" t="n">
        <x:v>400</x:v>
      </x:c>
      <x:c r="J2033" s="22" t="n">
        <x:v>1</x:v>
      </x:c>
      <x:c r="K2033" s="19" t="n">
        <x:v>1</x:v>
      </x:c>
      <x:c r="L2033" s="24" t="n">
        <x:v>21.849999999999998</x:v>
      </x:c>
      <x:c r="M2033" s="26" t="n">
        <x:v>0.1</x:v>
      </x:c>
      <x:c r="N2033" s="24" t="n">
        <x:v>8.808076833044435</x:v>
      </x:c>
      <x:c r="O2033" s="28" t="n">
        <x:f>MIN(1,L2033/I2033)</x:f>
        <x:v>0.05462499999999999</x:v>
      </x:c>
      <x:c r="P2033" s="30" t="n">
        <x:f>O2033*J2033*(1+M2033)</x:f>
        <x:v>0.060087499999999995</x:v>
      </x:c>
      <x:c r="Q2033" s="30" t="n">
        <x:f>P2033*N2033</x:f>
        <x:v>0.5292553167055575</x:v>
      </x:c>
      <x:c r="R2033" s="19" t="str">
        <x:v>独立判定</x:v>
      </x:c>
    </x:row>
    <x:row r="2034" ht="19" customHeight="1">
      <x:c r="A2034" s="19" t="str">
        <x:v>D02030</x:v>
      </x:c>
      <x:c r="B2034" s="19" t="n">
        <x:v>4</x:v>
      </x:c>
      <x:c r="C2034" s="19" t="n">
        <x:v>6</x:v>
      </x:c>
      <x:c r="D2034" s="19" t="str">
        <x:v>C04-M070</x:v>
      </x:c>
      <x:c r="E2034" s="19" t="str">
        <x:v>噬门泥怪</x:v>
      </x:c>
      <x:c r="F2034" s="19" t="str">
        <x:v>稀有</x:v>
      </x:c>
      <x:c r="G2034" s="19" t="str">
        <x:v>材料独立候选</x:v>
      </x:c>
      <x:c r="H2034" s="19" t="str">
        <x:v>湖盐结晶</x:v>
      </x:c>
      <x:c r="I2034" s="22" t="n">
        <x:v>400</x:v>
      </x:c>
      <x:c r="J2034" s="22" t="n">
        <x:v>15</x:v>
      </x:c>
      <x:c r="K2034" s="19" t="n">
        <x:v>1</x:v>
      </x:c>
      <x:c r="L2034" s="24" t="n">
        <x:v>21.849999999999998</x:v>
      </x:c>
      <x:c r="M2034" s="26" t="n">
        <x:v>0.1</x:v>
      </x:c>
      <x:c r="N2034" s="24" t="n">
        <x:v>8.808076833044435</x:v>
      </x:c>
      <x:c r="O2034" s="28" t="n">
        <x:f>MIN(1,L2034/I2034)</x:f>
        <x:v>0.05462499999999999</x:v>
      </x:c>
      <x:c r="P2034" s="30" t="n">
        <x:f>O2034*J2034*(1+M2034)</x:f>
        <x:v>0.9013125</x:v>
      </x:c>
      <x:c r="Q2034" s="30" t="n">
        <x:f>P2034*N2034</x:f>
        <x:v>7.938829750583362</x:v>
      </x:c>
      <x:c r="R2034" s="19" t="str">
        <x:v>独立判定</x:v>
      </x:c>
    </x:row>
    <x:row r="2035" ht="19" customHeight="1">
      <x:c r="A2035" s="19" t="str">
        <x:v>D02031</x:v>
      </x:c>
      <x:c r="B2035" s="19" t="n">
        <x:v>4</x:v>
      </x:c>
      <x:c r="C2035" s="19" t="n">
        <x:v>6</x:v>
      </x:c>
      <x:c r="D2035" s="19" t="str">
        <x:v>C04-M070</x:v>
      </x:c>
      <x:c r="E2035" s="19" t="str">
        <x:v>噬门泥怪</x:v>
      </x:c>
      <x:c r="F2035" s="19" t="str">
        <x:v>稀有</x:v>
      </x:c>
      <x:c r="G2035" s="19" t="str">
        <x:v>材料独立候选</x:v>
      </x:c>
      <x:c r="H2035" s="19" t="str">
        <x:v>幽船铆钉</x:v>
      </x:c>
      <x:c r="I2035" s="22" t="n">
        <x:v>1200</x:v>
      </x:c>
      <x:c r="J2035" s="22" t="n">
        <x:v>1</x:v>
      </x:c>
      <x:c r="K2035" s="19" t="n">
        <x:v>1</x:v>
      </x:c>
      <x:c r="L2035" s="24" t="n">
        <x:v>21.849999999999998</x:v>
      </x:c>
      <x:c r="M2035" s="26" t="n">
        <x:v>0.1</x:v>
      </x:c>
      <x:c r="N2035" s="24" t="n">
        <x:v>8.808076833044435</x:v>
      </x:c>
      <x:c r="O2035" s="28" t="n">
        <x:f>MIN(1,L2035/I2035)</x:f>
        <x:v>0.01820833333333333</x:v>
      </x:c>
      <x:c r="P2035" s="30" t="n">
        <x:f>O2035*J2035*(1+M2035)</x:f>
        <x:v>0.020029166666666664</x:v>
      </x:c>
      <x:c r="Q2035" s="30" t="n">
        <x:f>P2035*N2035</x:f>
        <x:v>0.17641843890185246</x:v>
      </x:c>
      <x:c r="R2035" s="19" t="str">
        <x:v>独立判定</x:v>
      </x:c>
    </x:row>
    <x:row r="2036" ht="19" customHeight="1">
      <x:c r="A2036" s="19" t="str">
        <x:v>D02032</x:v>
      </x:c>
      <x:c r="B2036" s="19" t="n">
        <x:v>4</x:v>
      </x:c>
      <x:c r="C2036" s="19" t="n">
        <x:v>6</x:v>
      </x:c>
      <x:c r="D2036" s="19" t="str">
        <x:v>C04-M070</x:v>
      </x:c>
      <x:c r="E2036" s="19" t="str">
        <x:v>噬门泥怪</x:v>
      </x:c>
      <x:c r="F2036" s="19" t="str">
        <x:v>稀有</x:v>
      </x:c>
      <x:c r="G2036" s="19" t="str">
        <x:v>材料独立候选</x:v>
      </x:c>
      <x:c r="H2036" s="19" t="str">
        <x:v>沉船缆扣</x:v>
      </x:c>
      <x:c r="I2036" s="22" t="n">
        <x:v>500</x:v>
      </x:c>
      <x:c r="J2036" s="22" t="n">
        <x:v>1</x:v>
      </x:c>
      <x:c r="K2036" s="19" t="n">
        <x:v>1</x:v>
      </x:c>
      <x:c r="L2036" s="24" t="n">
        <x:v>21.849999999999998</x:v>
      </x:c>
      <x:c r="M2036" s="26" t="n">
        <x:v>0.1</x:v>
      </x:c>
      <x:c r="N2036" s="24" t="n">
        <x:v>8.808076833044435</x:v>
      </x:c>
      <x:c r="O2036" s="28" t="n">
        <x:f>MIN(1,L2036/I2036)</x:f>
        <x:v>0.043699999999999996</x:v>
      </x:c>
      <x:c r="P2036" s="30" t="n">
        <x:f>O2036*J2036*(1+M2036)</x:f>
        <x:v>0.04807</x:v>
      </x:c>
      <x:c r="Q2036" s="30" t="n">
        <x:f>P2036*N2036</x:f>
        <x:v>0.423404253364446</x:v>
      </x:c>
      <x:c r="R2036" s="19" t="str">
        <x:v>独立判定</x:v>
      </x:c>
    </x:row>
    <x:row r="2037" ht="19" customHeight="1">
      <x:c r="A2037" s="19" t="str">
        <x:v>D02033</x:v>
      </x:c>
      <x:c r="B2037" s="19" t="n">
        <x:v>4</x:v>
      </x:c>
      <x:c r="C2037" s="19" t="n">
        <x:v>6</x:v>
      </x:c>
      <x:c r="D2037" s="19" t="str">
        <x:v>C04-M070</x:v>
      </x:c>
      <x:c r="E2037" s="19" t="str">
        <x:v>噬门泥怪</x:v>
      </x:c>
      <x:c r="F2037" s="19" t="str">
        <x:v>稀有</x:v>
      </x:c>
      <x:c r="G2037" s="19" t="str">
        <x:v>材料独立候选</x:v>
      </x:c>
      <x:c r="H2037" s="19" t="str">
        <x:v>月潮忆珀</x:v>
      </x:c>
      <x:c r="I2037" s="22" t="n">
        <x:v>600000</x:v>
      </x:c>
      <x:c r="J2037" s="22" t="n">
        <x:v>1</x:v>
      </x:c>
      <x:c r="K2037" s="19" t="n">
        <x:v>1</x:v>
      </x:c>
      <x:c r="L2037" s="24" t="n">
        <x:v>21.849999999999998</x:v>
      </x:c>
      <x:c r="M2037" s="26" t="n">
        <x:v>0.1</x:v>
      </x:c>
      <x:c r="N2037" s="24" t="n">
        <x:v>8.808076833044435</x:v>
      </x:c>
      <x:c r="O2037" s="28" t="n">
        <x:f>MIN(1,L2037/I2037)</x:f>
        <x:v>0.000036416666666666666</x:v>
      </x:c>
      <x:c r="P2037" s="30" t="n">
        <x:f>O2037*J2037*(1+M2037)</x:f>
        <x:v>0.000040058333333333336</x:v>
      </x:c>
      <x:c r="Q2037" s="30" t="n">
        <x:f>P2037*N2037</x:f>
        <x:v>0.00035283687780370503</x:v>
      </x:c>
      <x:c r="R2037" s="19" t="str">
        <x:v>独立判定</x:v>
      </x:c>
    </x:row>
    <x:row r="2038" ht="19" customHeight="1">
      <x:c r="A2038" s="19" t="str">
        <x:v>D02034</x:v>
      </x:c>
      <x:c r="B2038" s="19" t="n">
        <x:v>4</x:v>
      </x:c>
      <x:c r="C2038" s="19" t="n">
        <x:v>6</x:v>
      </x:c>
      <x:c r="D2038" s="19" t="str">
        <x:v>C04-M070</x:v>
      </x:c>
      <x:c r="E2038" s="19" t="str">
        <x:v>噬门泥怪</x:v>
      </x:c>
      <x:c r="F2038" s="19" t="str">
        <x:v>稀有</x:v>
      </x:c>
      <x:c r="G2038" s="19" t="str">
        <x:v>材料独立候选</x:v>
      </x:c>
      <x:c r="H2038" s="19" t="str">
        <x:v>黄金树芽</x:v>
      </x:c>
      <x:c r="I2038" s="22" t="n">
        <x:v>2000</x:v>
      </x:c>
      <x:c r="J2038" s="22" t="n">
        <x:v>1</x:v>
      </x:c>
      <x:c r="K2038" s="19" t="n">
        <x:v>1</x:v>
      </x:c>
      <x:c r="L2038" s="24" t="n">
        <x:v>21.849999999999998</x:v>
      </x:c>
      <x:c r="M2038" s="26" t="n">
        <x:v>0.1</x:v>
      </x:c>
      <x:c r="N2038" s="24" t="n">
        <x:v>8.808076833044435</x:v>
      </x:c>
      <x:c r="O2038" s="28" t="n">
        <x:f>MIN(1,L2038/I2038)</x:f>
        <x:v>0.010924999999999999</x:v>
      </x:c>
      <x:c r="P2038" s="30" t="n">
        <x:f>O2038*J2038*(1+M2038)</x:f>
        <x:v>0.0120175</x:v>
      </x:c>
      <x:c r="Q2038" s="30" t="n">
        <x:f>P2038*N2038</x:f>
        <x:v>0.1058510633411115</x:v>
      </x:c>
      <x:c r="R2038" s="19" t="str">
        <x:v>独立判定</x:v>
      </x:c>
    </x:row>
    <x:row r="2039" ht="19" customHeight="1">
      <x:c r="A2039" s="19" t="str">
        <x:v>D02035</x:v>
      </x:c>
      <x:c r="B2039" s="19" t="n">
        <x:v>4</x:v>
      </x:c>
      <x:c r="C2039" s="19" t="n">
        <x:v>6</x:v>
      </x:c>
      <x:c r="D2039" s="19" t="str">
        <x:v>C04-M070</x:v>
      </x:c>
      <x:c r="E2039" s="19" t="str">
        <x:v>噬门泥怪</x:v>
      </x:c>
      <x:c r="F2039" s="19" t="str">
        <x:v>稀有</x:v>
      </x:c>
      <x:c r="G2039" s="19" t="str">
        <x:v>材料独立候选</x:v>
      </x:c>
      <x:c r="H2039" s="19" t="str">
        <x:v>野兽骨片</x:v>
      </x:c>
      <x:c r="I2039" s="22" t="n">
        <x:v>60</x:v>
      </x:c>
      <x:c r="J2039" s="22" t="n">
        <x:v>2</x:v>
      </x:c>
      <x:c r="K2039" s="19" t="n">
        <x:v>1</x:v>
      </x:c>
      <x:c r="L2039" s="24" t="n">
        <x:v>21.849999999999998</x:v>
      </x:c>
      <x:c r="M2039" s="26" t="n">
        <x:v>0.1</x:v>
      </x:c>
      <x:c r="N2039" s="24" t="n">
        <x:v>8.808076833044435</x:v>
      </x:c>
      <x:c r="O2039" s="28" t="n">
        <x:f>MIN(1,L2039/I2039)</x:f>
        <x:v>0.36416666666666664</x:v>
      </x:c>
      <x:c r="P2039" s="30" t="n">
        <x:f>O2039*J2039*(1+M2039)</x:f>
        <x:v>0.8011666666666667</x:v>
      </x:c>
      <x:c r="Q2039" s="30" t="n">
        <x:f>P2039*N2039</x:f>
        <x:v>7.0567375560741</x:v>
      </x:c>
      <x:c r="R2039" s="19" t="str">
        <x:v>独立判定</x:v>
      </x:c>
    </x:row>
    <x:row r="2040" ht="19" customHeight="1">
      <x:c r="A2040" s="19" t="str">
        <x:v>D02036</x:v>
      </x:c>
      <x:c r="B2040" s="19" t="n">
        <x:v>4</x:v>
      </x:c>
      <x:c r="C2040" s="19" t="n">
        <x:v>6</x:v>
      </x:c>
      <x:c r="D2040" s="19" t="str">
        <x:v>C04-M070</x:v>
      </x:c>
      <x:c r="E2040" s="19" t="str">
        <x:v>噬门泥怪</x:v>
      </x:c>
      <x:c r="F2040" s="19" t="str">
        <x:v>稀有</x:v>
      </x:c>
      <x:c r="G2040" s="19" t="str">
        <x:v>材料独立候选</x:v>
      </x:c>
      <x:c r="H2040" s="19" t="str">
        <x:v>技能残页</x:v>
      </x:c>
      <x:c r="I2040" s="22" t="n">
        <x:v>300</x:v>
      </x:c>
      <x:c r="J2040" s="22" t="n">
        <x:v>1</x:v>
      </x:c>
      <x:c r="K2040" s="19" t="n">
        <x:v>1</x:v>
      </x:c>
      <x:c r="L2040" s="24" t="n">
        <x:v>21.849999999999998</x:v>
      </x:c>
      <x:c r="M2040" s="26" t="n">
        <x:v>0.1</x:v>
      </x:c>
      <x:c r="N2040" s="24" t="n">
        <x:v>8.808076833044435</x:v>
      </x:c>
      <x:c r="O2040" s="28" t="n">
        <x:f>MIN(1,L2040/I2040)</x:f>
        <x:v>0.07283333333333332</x:v>
      </x:c>
      <x:c r="P2040" s="30" t="n">
        <x:f>O2040*J2040*(1+M2040)</x:f>
        <x:v>0.08011666666666666</x:v>
      </x:c>
      <x:c r="Q2040" s="30" t="n">
        <x:f>P2040*N2040</x:f>
        <x:v>0.7056737556074099</x:v>
      </x:c>
      <x:c r="R2040" s="19" t="str">
        <x:v>独立判定</x:v>
      </x:c>
    </x:row>
    <x:row r="2041" ht="19" customHeight="1">
      <x:c r="A2041" s="19" t="str">
        <x:v>D02037</x:v>
      </x:c>
      <x:c r="B2041" s="19" t="n">
        <x:v>4</x:v>
      </x:c>
      <x:c r="C2041" s="19" t="n">
        <x:v>6</x:v>
      </x:c>
      <x:c r="D2041" s="19" t="str">
        <x:v>C04-M070</x:v>
      </x:c>
      <x:c r="E2041" s="19" t="str">
        <x:v>噬门泥怪</x:v>
      </x:c>
      <x:c r="F2041" s="19" t="str">
        <x:v>稀有</x:v>
      </x:c>
      <x:c r="G2041" s="19" t="str">
        <x:v>材料独立候选</x:v>
      </x:c>
      <x:c r="H2041" s="19" t="str">
        <x:v>小卢恩</x:v>
      </x:c>
      <x:c r="I2041" s="22" t="n">
        <x:v>600</x:v>
      </x:c>
      <x:c r="J2041" s="22" t="n">
        <x:v>1</x:v>
      </x:c>
      <x:c r="K2041" s="19" t="n">
        <x:v>1</x:v>
      </x:c>
      <x:c r="L2041" s="24" t="n">
        <x:v>21.849999999999998</x:v>
      </x:c>
      <x:c r="M2041" s="26" t="n">
        <x:v>0.1</x:v>
      </x:c>
      <x:c r="N2041" s="24" t="n">
        <x:v>8.808076833044435</x:v>
      </x:c>
      <x:c r="O2041" s="28" t="n">
        <x:f>MIN(1,L2041/I2041)</x:f>
        <x:v>0.03641666666666666</x:v>
      </x:c>
      <x:c r="P2041" s="30" t="n">
        <x:f>O2041*J2041*(1+M2041)</x:f>
        <x:v>0.04005833333333333</x:v>
      </x:c>
      <x:c r="Q2041" s="30" t="n">
        <x:f>P2041*N2041</x:f>
        <x:v>0.35283687780370493</x:v>
      </x:c>
      <x:c r="R2041" s="19" t="str">
        <x:v>独立判定</x:v>
      </x:c>
    </x:row>
    <x:row r="2042" ht="19" customHeight="1">
      <x:c r="A2042" s="19" t="str">
        <x:v>D02038</x:v>
      </x:c>
      <x:c r="B2042" s="19" t="n">
        <x:v>4</x:v>
      </x:c>
      <x:c r="C2042" s="19" t="n">
        <x:v>6</x:v>
      </x:c>
      <x:c r="D2042" s="19" t="str">
        <x:v>C04-M070</x:v>
      </x:c>
      <x:c r="E2042" s="19" t="str">
        <x:v>噬门泥怪</x:v>
      </x:c>
      <x:c r="F2042" s="19" t="str">
        <x:v>稀有</x:v>
      </x:c>
      <x:c r="G2042" s="19" t="str">
        <x:v>六神器公共池</x:v>
      </x:c>
      <x:c r="H2042" s="19" t="str">
        <x:v>POOL006</x:v>
      </x:c>
      <x:c r="I2042" s="22" t="n">
        <x:v>5000000</x:v>
      </x:c>
      <x:c r="J2042" s="22" t="n">
        <x:v>1</x:v>
      </x:c>
      <x:c r="K2042" s="19" t="n">
        <x:v>6</x:v>
      </x:c>
      <x:c r="L2042" s="24" t="n">
        <x:v>21.849999999999998</x:v>
      </x:c>
      <x:c r="M2042" s="26" t="n">
        <x:v>0.1</x:v>
      </x:c>
      <x:c r="N2042" s="24" t="n">
        <x:v>8.808076833044435</x:v>
      </x:c>
      <x:c r="O2042" s="28" t="n">
        <x:f>MIN(1,L2042/I2042)</x:f>
        <x:v>0.00000437</x:v>
      </x:c>
      <x:c r="P2042" s="30" t="n">
        <x:f>O2042*J2042*(1+M2042)</x:f>
        <x:v>0.000004807</x:v>
      </x:c>
      <x:c r="Q2042" s="30" t="n">
        <x:f>P2042*N2042</x:f>
        <x:v>0.0000423404253364446</x:v>
      </x:c>
      <x:c r="R2042" s="19" t="str">
        <x:v>六选一；非6个独立爆率</x:v>
      </x:c>
    </x:row>
    <x:row r="2043" ht="19" customHeight="1">
      <x:c r="A2043" s="19" t="str">
        <x:v>D02039</x:v>
      </x:c>
      <x:c r="B2043" s="19" t="n">
        <x:v>4</x:v>
      </x:c>
      <x:c r="C2043" s="19" t="n">
        <x:v>6</x:v>
      </x:c>
      <x:c r="D2043" s="19" t="str">
        <x:v>C04-M071</x:v>
      </x:c>
      <x:c r="E2043" s="19" t="str">
        <x:v>沉渠守誓者·阿涅</x:v>
      </x:c>
      <x:c r="F2043" s="19" t="str">
        <x:v>地图BOSS</x:v>
      </x:c>
      <x:c r="G2043" s="19" t="str">
        <x:v>自身专属</x:v>
      </x:c>
      <x:c r="H2043" s="19" t="str">
        <x:v>阿涅的誓渠枪</x:v>
      </x:c>
      <x:c r="I2043" s="22" t="n">
        <x:v>100</x:v>
      </x:c>
      <x:c r="J2043" s="22" t="n">
        <x:v>1</x:v>
      </x:c>
      <x:c r="K2043" s="19" t="n">
        <x:v>1</x:v>
      </x:c>
      <x:c r="L2043" s="24" t="n">
        <x:v>21.849999999999998</x:v>
      </x:c>
      <x:c r="M2043" s="26" t="n">
        <x:v>0.1</x:v>
      </x:c>
      <x:c r="N2043" s="24" t="n">
        <x:v>2</x:v>
      </x:c>
      <x:c r="O2043" s="28" t="n">
        <x:f>MIN(1,L2043/I2043)</x:f>
        <x:v>0.21849999999999997</x:v>
      </x:c>
      <x:c r="P2043" s="30" t="n">
        <x:f>O2043*J2043*(1+M2043)</x:f>
        <x:v>0.24034999999999998</x:v>
      </x:c>
      <x:c r="Q2043" s="30" t="n">
        <x:f>P2043*N2043</x:f>
        <x:v>0.48069999999999996</x:v>
      </x:c>
      <x:c r="R2043" s="19" t="str">
        <x:v>独立判定</x:v>
      </x:c>
    </x:row>
    <x:row r="2044" ht="19" customHeight="1">
      <x:c r="A2044" s="19" t="str">
        <x:v>D02040</x:v>
      </x:c>
      <x:c r="B2044" s="19" t="n">
        <x:v>4</x:v>
      </x:c>
      <x:c r="C2044" s="19" t="n">
        <x:v>6</x:v>
      </x:c>
      <x:c r="D2044" s="19" t="str">
        <x:v>C04-M071</x:v>
      </x:c>
      <x:c r="E2044" s="19" t="str">
        <x:v>沉渠守誓者·阿涅</x:v>
      </x:c>
      <x:c r="F2044" s="19" t="str">
        <x:v>地图BOSS</x:v>
      </x:c>
      <x:c r="G2044" s="19" t="str">
        <x:v>自身专属</x:v>
      </x:c>
      <x:c r="H2044" s="19" t="str">
        <x:v>雾镜月戒</x:v>
      </x:c>
      <x:c r="I2044" s="22" t="n">
        <x:v>100</x:v>
      </x:c>
      <x:c r="J2044" s="22" t="n">
        <x:v>1</x:v>
      </x:c>
      <x:c r="K2044" s="19" t="n">
        <x:v>1</x:v>
      </x:c>
      <x:c r="L2044" s="24" t="n">
        <x:v>21.849999999999998</x:v>
      </x:c>
      <x:c r="M2044" s="26" t="n">
        <x:v>0.1</x:v>
      </x:c>
      <x:c r="N2044" s="24" t="n">
        <x:v>2</x:v>
      </x:c>
      <x:c r="O2044" s="28" t="n">
        <x:f>MIN(1,L2044/I2044)</x:f>
        <x:v>0.21849999999999997</x:v>
      </x:c>
      <x:c r="P2044" s="30" t="n">
        <x:f>O2044*J2044*(1+M2044)</x:f>
        <x:v>0.24034999999999998</x:v>
      </x:c>
      <x:c r="Q2044" s="30" t="n">
        <x:f>P2044*N2044</x:f>
        <x:v>0.48069999999999996</x:v>
      </x:c>
      <x:c r="R2044" s="19" t="str">
        <x:v>独立判定</x:v>
      </x:c>
    </x:row>
    <x:row r="2045" ht="19" customHeight="1">
      <x:c r="A2045" s="19" t="str">
        <x:v>D02041</x:v>
      </x:c>
      <x:c r="B2045" s="19" t="n">
        <x:v>4</x:v>
      </x:c>
      <x:c r="C2045" s="19" t="n">
        <x:v>6</x:v>
      </x:c>
      <x:c r="D2045" s="19" t="str">
        <x:v>C04-M071</x:v>
      </x:c>
      <x:c r="E2045" s="19" t="str">
        <x:v>沉渠守誓者·阿涅</x:v>
      </x:c>
      <x:c r="F2045" s="19" t="str">
        <x:v>地图BOSS</x:v>
      </x:c>
      <x:c r="G2045" s="19" t="str">
        <x:v>本图普通兼掉候选</x:v>
      </x:c>
      <x:c r="H2045" s="19" t="str">
        <x:v>POOL034</x:v>
      </x:c>
      <x:c r="I2045" s="22" t="n">
        <x:v>50</x:v>
      </x:c>
      <x:c r="J2045" s="22" t="n">
        <x:v>1</x:v>
      </x:c>
      <x:c r="K2045" s="19" t="n">
        <x:v>2</x:v>
      </x:c>
      <x:c r="L2045" s="24" t="n">
        <x:v>21.849999999999998</x:v>
      </x:c>
      <x:c r="M2045" s="26" t="n">
        <x:v>0.1</x:v>
      </x:c>
      <x:c r="N2045" s="24" t="n">
        <x:v>2</x:v>
      </x:c>
      <x:c r="O2045" s="28" t="n">
        <x:f>MIN(1,L2045/I2045)</x:f>
        <x:v>0.43699999999999994</x:v>
      </x:c>
      <x:c r="P2045" s="30" t="n">
        <x:f>O2045*J2045*(1+M2045)</x:f>
        <x:v>0.48069999999999996</x:v>
      </x:c>
      <x:c r="Q2045" s="30" t="n">
        <x:f>P2045*N2045</x:f>
        <x:v>0.9613999999999999</x:v>
      </x:c>
      <x:c r="R2045" s="19" t="str">
        <x:v>单池选一</x:v>
      </x:c>
    </x:row>
    <x:row r="2046" ht="19" customHeight="1">
      <x:c r="A2046" s="19" t="str">
        <x:v>D02042</x:v>
      </x:c>
      <x:c r="B2046" s="19" t="n">
        <x:v>4</x:v>
      </x:c>
      <x:c r="C2046" s="19" t="n">
        <x:v>6</x:v>
      </x:c>
      <x:c r="D2046" s="19" t="str">
        <x:v>C04-M071</x:v>
      </x:c>
      <x:c r="E2046" s="19" t="str">
        <x:v>沉渠守誓者·阿涅</x:v>
      </x:c>
      <x:c r="F2046" s="19" t="str">
        <x:v>地图BOSS</x:v>
      </x:c>
      <x:c r="G2046" s="19" t="str">
        <x:v>材料独立候选</x:v>
      </x:c>
      <x:c r="H2046" s="19" t="str">
        <x:v>湖盐结晶</x:v>
      </x:c>
      <x:c r="I2046" s="22" t="n">
        <x:v>200</x:v>
      </x:c>
      <x:c r="J2046" s="22" t="n">
        <x:v>30</x:v>
      </x:c>
      <x:c r="K2046" s="19" t="n">
        <x:v>1</x:v>
      </x:c>
      <x:c r="L2046" s="24" t="n">
        <x:v>21.849999999999998</x:v>
      </x:c>
      <x:c r="M2046" s="26" t="n">
        <x:v>0.1</x:v>
      </x:c>
      <x:c r="N2046" s="24" t="n">
        <x:v>2</x:v>
      </x:c>
      <x:c r="O2046" s="28" t="n">
        <x:f>MIN(1,L2046/I2046)</x:f>
        <x:v>0.10924999999999999</x:v>
      </x:c>
      <x:c r="P2046" s="30" t="n">
        <x:f>O2046*J2046*(1+M2046)</x:f>
        <x:v>3.60525</x:v>
      </x:c>
      <x:c r="Q2046" s="30" t="n">
        <x:f>P2046*N2046</x:f>
        <x:v>7.2105</x:v>
      </x:c>
      <x:c r="R2046" s="19" t="str">
        <x:v>独立判定</x:v>
      </x:c>
    </x:row>
    <x:row r="2047" ht="19" customHeight="1">
      <x:c r="A2047" s="19" t="str">
        <x:v>D02043</x:v>
      </x:c>
      <x:c r="B2047" s="19" t="n">
        <x:v>4</x:v>
      </x:c>
      <x:c r="C2047" s="19" t="n">
        <x:v>6</x:v>
      </x:c>
      <x:c r="D2047" s="19" t="str">
        <x:v>C04-M071</x:v>
      </x:c>
      <x:c r="E2047" s="19" t="str">
        <x:v>沉渠守誓者·阿涅</x:v>
      </x:c>
      <x:c r="F2047" s="19" t="str">
        <x:v>地图BOSS</x:v>
      </x:c>
      <x:c r="G2047" s="19" t="str">
        <x:v>材料独立候选</x:v>
      </x:c>
      <x:c r="H2047" s="19" t="str">
        <x:v>幽船铆钉</x:v>
      </x:c>
      <x:c r="I2047" s="22" t="n">
        <x:v>600</x:v>
      </x:c>
      <x:c r="J2047" s="22" t="n">
        <x:v>1</x:v>
      </x:c>
      <x:c r="K2047" s="19" t="n">
        <x:v>1</x:v>
      </x:c>
      <x:c r="L2047" s="24" t="n">
        <x:v>21.849999999999998</x:v>
      </x:c>
      <x:c r="M2047" s="26" t="n">
        <x:v>0.1</x:v>
      </x:c>
      <x:c r="N2047" s="24" t="n">
        <x:v>2</x:v>
      </x:c>
      <x:c r="O2047" s="28" t="n">
        <x:f>MIN(1,L2047/I2047)</x:f>
        <x:v>0.03641666666666666</x:v>
      </x:c>
      <x:c r="P2047" s="30" t="n">
        <x:f>O2047*J2047*(1+M2047)</x:f>
        <x:v>0.04005833333333333</x:v>
      </x:c>
      <x:c r="Q2047" s="30" t="n">
        <x:f>P2047*N2047</x:f>
        <x:v>0.08011666666666666</x:v>
      </x:c>
      <x:c r="R2047" s="19" t="str">
        <x:v>独立判定</x:v>
      </x:c>
    </x:row>
    <x:row r="2048" ht="19" customHeight="1">
      <x:c r="A2048" s="19" t="str">
        <x:v>D02044</x:v>
      </x:c>
      <x:c r="B2048" s="19" t="n">
        <x:v>4</x:v>
      </x:c>
      <x:c r="C2048" s="19" t="n">
        <x:v>6</x:v>
      </x:c>
      <x:c r="D2048" s="19" t="str">
        <x:v>C04-M071</x:v>
      </x:c>
      <x:c r="E2048" s="19" t="str">
        <x:v>沉渠守誓者·阿涅</x:v>
      </x:c>
      <x:c r="F2048" s="19" t="str">
        <x:v>地图BOSS</x:v>
      </x:c>
      <x:c r="G2048" s="19" t="str">
        <x:v>材料独立候选</x:v>
      </x:c>
      <x:c r="H2048" s="19" t="str">
        <x:v>沉湖王印</x:v>
      </x:c>
      <x:c r="I2048" s="22" t="n">
        <x:v>100</x:v>
      </x:c>
      <x:c r="J2048" s="22" t="n">
        <x:v>2</x:v>
      </x:c>
      <x:c r="K2048" s="19" t="n">
        <x:v>1</x:v>
      </x:c>
      <x:c r="L2048" s="24" t="n">
        <x:v>21.849999999999998</x:v>
      </x:c>
      <x:c r="M2048" s="26" t="n">
        <x:v>0.1</x:v>
      </x:c>
      <x:c r="N2048" s="24" t="n">
        <x:v>2</x:v>
      </x:c>
      <x:c r="O2048" s="28" t="n">
        <x:f>MIN(1,L2048/I2048)</x:f>
        <x:v>0.21849999999999997</x:v>
      </x:c>
      <x:c r="P2048" s="30" t="n">
        <x:f>O2048*J2048*(1+M2048)</x:f>
        <x:v>0.48069999999999996</x:v>
      </x:c>
      <x:c r="Q2048" s="30" t="n">
        <x:f>P2048*N2048</x:f>
        <x:v>0.9613999999999999</x:v>
      </x:c>
      <x:c r="R2048" s="19" t="str">
        <x:v>独立判定</x:v>
      </x:c>
    </x:row>
    <x:row r="2049" ht="19" customHeight="1">
      <x:c r="A2049" s="19" t="str">
        <x:v>D02045</x:v>
      </x:c>
      <x:c r="B2049" s="19" t="n">
        <x:v>4</x:v>
      </x:c>
      <x:c r="C2049" s="19" t="n">
        <x:v>6</x:v>
      </x:c>
      <x:c r="D2049" s="19" t="str">
        <x:v>C04-M071</x:v>
      </x:c>
      <x:c r="E2049" s="19" t="str">
        <x:v>沉渠守誓者·阿涅</x:v>
      </x:c>
      <x:c r="F2049" s="19" t="str">
        <x:v>地图BOSS</x:v>
      </x:c>
      <x:c r="G2049" s="19" t="str">
        <x:v>材料独立候选</x:v>
      </x:c>
      <x:c r="H2049" s="19" t="str">
        <x:v>深湖压舱印</x:v>
      </x:c>
      <x:c r="I2049" s="22" t="n">
        <x:v>120</x:v>
      </x:c>
      <x:c r="J2049" s="22" t="n">
        <x:v>2</x:v>
      </x:c>
      <x:c r="K2049" s="19" t="n">
        <x:v>1</x:v>
      </x:c>
      <x:c r="L2049" s="24" t="n">
        <x:v>21.849999999999998</x:v>
      </x:c>
      <x:c r="M2049" s="26" t="n">
        <x:v>0.1</x:v>
      </x:c>
      <x:c r="N2049" s="24" t="n">
        <x:v>2</x:v>
      </x:c>
      <x:c r="O2049" s="28" t="n">
        <x:f>MIN(1,L2049/I2049)</x:f>
        <x:v>0.18208333333333332</x:v>
      </x:c>
      <x:c r="P2049" s="30" t="n">
        <x:f>O2049*J2049*(1+M2049)</x:f>
        <x:v>0.40058333333333335</x:v>
      </x:c>
      <x:c r="Q2049" s="30" t="n">
        <x:f>P2049*N2049</x:f>
        <x:v>0.8011666666666667</x:v>
      </x:c>
      <x:c r="R2049" s="19" t="str">
        <x:v>独立判定</x:v>
      </x:c>
    </x:row>
    <x:row r="2050" ht="19" customHeight="1">
      <x:c r="A2050" s="19" t="str">
        <x:v>D02046</x:v>
      </x:c>
      <x:c r="B2050" s="19" t="n">
        <x:v>4</x:v>
      </x:c>
      <x:c r="C2050" s="19" t="n">
        <x:v>6</x:v>
      </x:c>
      <x:c r="D2050" s="19" t="str">
        <x:v>C04-M071</x:v>
      </x:c>
      <x:c r="E2050" s="19" t="str">
        <x:v>沉渠守誓者·阿涅</x:v>
      </x:c>
      <x:c r="F2050" s="19" t="str">
        <x:v>地图BOSS</x:v>
      </x:c>
      <x:c r="G2050" s="19" t="str">
        <x:v>材料独立候选</x:v>
      </x:c>
      <x:c r="H2050" s="19" t="str">
        <x:v>月潮忆珀</x:v>
      </x:c>
      <x:c r="I2050" s="22" t="n">
        <x:v>300000</x:v>
      </x:c>
      <x:c r="J2050" s="22" t="n">
        <x:v>1</x:v>
      </x:c>
      <x:c r="K2050" s="19" t="n">
        <x:v>1</x:v>
      </x:c>
      <x:c r="L2050" s="24" t="n">
        <x:v>21.849999999999998</x:v>
      </x:c>
      <x:c r="M2050" s="26" t="n">
        <x:v>0.1</x:v>
      </x:c>
      <x:c r="N2050" s="24" t="n">
        <x:v>2</x:v>
      </x:c>
      <x:c r="O2050" s="28" t="n">
        <x:f>MIN(1,L2050/I2050)</x:f>
        <x:v>0.00007283333333333333</x:v>
      </x:c>
      <x:c r="P2050" s="30" t="n">
        <x:f>O2050*J2050*(1+M2050)</x:f>
        <x:v>0.00008011666666666667</x:v>
      </x:c>
      <x:c r="Q2050" s="30" t="n">
        <x:f>P2050*N2050</x:f>
        <x:v>0.00016023333333333334</x:v>
      </x:c>
      <x:c r="R2050" s="19" t="str">
        <x:v>独立判定</x:v>
      </x:c>
    </x:row>
    <x:row r="2051" ht="19" customHeight="1">
      <x:c r="A2051" s="19" t="str">
        <x:v>D02047</x:v>
      </x:c>
      <x:c r="B2051" s="19" t="n">
        <x:v>4</x:v>
      </x:c>
      <x:c r="C2051" s="19" t="n">
        <x:v>6</x:v>
      </x:c>
      <x:c r="D2051" s="19" t="str">
        <x:v>C04-M071</x:v>
      </x:c>
      <x:c r="E2051" s="19" t="str">
        <x:v>沉渠守誓者·阿涅</x:v>
      </x:c>
      <x:c r="F2051" s="19" t="str">
        <x:v>地图BOSS</x:v>
      </x:c>
      <x:c r="G2051" s="19" t="str">
        <x:v>材料独立候选</x:v>
      </x:c>
      <x:c r="H2051" s="19" t="str">
        <x:v>黄金树芽</x:v>
      </x:c>
      <x:c r="I2051" s="22" t="n">
        <x:v>1000</x:v>
      </x:c>
      <x:c r="J2051" s="22" t="n">
        <x:v>1</x:v>
      </x:c>
      <x:c r="K2051" s="19" t="n">
        <x:v>1</x:v>
      </x:c>
      <x:c r="L2051" s="24" t="n">
        <x:v>21.849999999999998</x:v>
      </x:c>
      <x:c r="M2051" s="26" t="n">
        <x:v>0.1</x:v>
      </x:c>
      <x:c r="N2051" s="24" t="n">
        <x:v>2</x:v>
      </x:c>
      <x:c r="O2051" s="28" t="n">
        <x:f>MIN(1,L2051/I2051)</x:f>
        <x:v>0.021849999999999998</x:v>
      </x:c>
      <x:c r="P2051" s="30" t="n">
        <x:f>O2051*J2051*(1+M2051)</x:f>
        <x:v>0.024035</x:v>
      </x:c>
      <x:c r="Q2051" s="30" t="n">
        <x:f>P2051*N2051</x:f>
        <x:v>0.04807</x:v>
      </x:c>
      <x:c r="R2051" s="19" t="str">
        <x:v>独立判定</x:v>
      </x:c>
    </x:row>
    <x:row r="2052" ht="19" customHeight="1">
      <x:c r="A2052" s="19" t="str">
        <x:v>D02048</x:v>
      </x:c>
      <x:c r="B2052" s="19" t="n">
        <x:v>4</x:v>
      </x:c>
      <x:c r="C2052" s="19" t="n">
        <x:v>6</x:v>
      </x:c>
      <x:c r="D2052" s="19" t="str">
        <x:v>C04-M071</x:v>
      </x:c>
      <x:c r="E2052" s="19" t="str">
        <x:v>沉渠守誓者·阿涅</x:v>
      </x:c>
      <x:c r="F2052" s="19" t="str">
        <x:v>地图BOSS</x:v>
      </x:c>
      <x:c r="G2052" s="19" t="str">
        <x:v>材料独立候选</x:v>
      </x:c>
      <x:c r="H2052" s="19" t="str">
        <x:v>野兽骨片</x:v>
      </x:c>
      <x:c r="I2052" s="22" t="n">
        <x:v>40</x:v>
      </x:c>
      <x:c r="J2052" s="22" t="n">
        <x:v>2</x:v>
      </x:c>
      <x:c r="K2052" s="19" t="n">
        <x:v>1</x:v>
      </x:c>
      <x:c r="L2052" s="24" t="n">
        <x:v>21.849999999999998</x:v>
      </x:c>
      <x:c r="M2052" s="26" t="n">
        <x:v>0.1</x:v>
      </x:c>
      <x:c r="N2052" s="24" t="n">
        <x:v>2</x:v>
      </x:c>
      <x:c r="O2052" s="28" t="n">
        <x:f>MIN(1,L2052/I2052)</x:f>
        <x:v>0.5462499999999999</x:v>
      </x:c>
      <x:c r="P2052" s="30" t="n">
        <x:f>O2052*J2052*(1+M2052)</x:f>
        <x:v>1.2017499999999999</x:v>
      </x:c>
      <x:c r="Q2052" s="30" t="n">
        <x:f>P2052*N2052</x:f>
        <x:v>2.4034999999999997</x:v>
      </x:c>
      <x:c r="R2052" s="19" t="str">
        <x:v>独立判定</x:v>
      </x:c>
    </x:row>
    <x:row r="2053" ht="19" customHeight="1">
      <x:c r="A2053" s="19" t="str">
        <x:v>D02049</x:v>
      </x:c>
      <x:c r="B2053" s="19" t="n">
        <x:v>4</x:v>
      </x:c>
      <x:c r="C2053" s="19" t="n">
        <x:v>6</x:v>
      </x:c>
      <x:c r="D2053" s="19" t="str">
        <x:v>C04-M071</x:v>
      </x:c>
      <x:c r="E2053" s="19" t="str">
        <x:v>沉渠守誓者·阿涅</x:v>
      </x:c>
      <x:c r="F2053" s="19" t="str">
        <x:v>地图BOSS</x:v>
      </x:c>
      <x:c r="G2053" s="19" t="str">
        <x:v>材料独立候选</x:v>
      </x:c>
      <x:c r="H2053" s="19" t="str">
        <x:v>技能残页</x:v>
      </x:c>
      <x:c r="I2053" s="22" t="n">
        <x:v>180</x:v>
      </x:c>
      <x:c r="J2053" s="22" t="n">
        <x:v>1</x:v>
      </x:c>
      <x:c r="K2053" s="19" t="n">
        <x:v>1</x:v>
      </x:c>
      <x:c r="L2053" s="24" t="n">
        <x:v>21.849999999999998</x:v>
      </x:c>
      <x:c r="M2053" s="26" t="n">
        <x:v>0.1</x:v>
      </x:c>
      <x:c r="N2053" s="24" t="n">
        <x:v>2</x:v>
      </x:c>
      <x:c r="O2053" s="28" t="n">
        <x:f>MIN(1,L2053/I2053)</x:f>
        <x:v>0.12138888888888888</x:v>
      </x:c>
      <x:c r="P2053" s="30" t="n">
        <x:f>O2053*J2053*(1+M2053)</x:f>
        <x:v>0.13352777777777777</x:v>
      </x:c>
      <x:c r="Q2053" s="30" t="n">
        <x:f>P2053*N2053</x:f>
        <x:v>0.26705555555555555</x:v>
      </x:c>
      <x:c r="R2053" s="19" t="str">
        <x:v>独立判定</x:v>
      </x:c>
    </x:row>
    <x:row r="2054" ht="19" customHeight="1">
      <x:c r="A2054" s="19" t="str">
        <x:v>D02050</x:v>
      </x:c>
      <x:c r="B2054" s="19" t="n">
        <x:v>4</x:v>
      </x:c>
      <x:c r="C2054" s="19" t="n">
        <x:v>6</x:v>
      </x:c>
      <x:c r="D2054" s="19" t="str">
        <x:v>C04-M071</x:v>
      </x:c>
      <x:c r="E2054" s="19" t="str">
        <x:v>沉渠守誓者·阿涅</x:v>
      </x:c>
      <x:c r="F2054" s="19" t="str">
        <x:v>地图BOSS</x:v>
      </x:c>
      <x:c r="G2054" s="19" t="str">
        <x:v>材料独立候选</x:v>
      </x:c>
      <x:c r="H2054" s="19" t="str">
        <x:v>宁姆格福誓页</x:v>
      </x:c>
      <x:c r="I2054" s="22" t="n">
        <x:v>300</x:v>
      </x:c>
      <x:c r="J2054" s="22" t="n">
        <x:v>1</x:v>
      </x:c>
      <x:c r="K2054" s="19" t="n">
        <x:v>1</x:v>
      </x:c>
      <x:c r="L2054" s="24" t="n">
        <x:v>21.849999999999998</x:v>
      </x:c>
      <x:c r="M2054" s="26" t="n">
        <x:v>0.1</x:v>
      </x:c>
      <x:c r="N2054" s="24" t="n">
        <x:v>2</x:v>
      </x:c>
      <x:c r="O2054" s="28" t="n">
        <x:f>MIN(1,L2054/I2054)</x:f>
        <x:v>0.07283333333333332</x:v>
      </x:c>
      <x:c r="P2054" s="30" t="n">
        <x:f>O2054*J2054*(1+M2054)</x:f>
        <x:v>0.08011666666666666</x:v>
      </x:c>
      <x:c r="Q2054" s="30" t="n">
        <x:f>P2054*N2054</x:f>
        <x:v>0.1602333333333333</x:v>
      </x:c>
      <x:c r="R2054" s="19" t="str">
        <x:v>独立判定</x:v>
      </x:c>
    </x:row>
    <x:row r="2055" ht="19" customHeight="1">
      <x:c r="A2055" s="19" t="str">
        <x:v>D02051</x:v>
      </x:c>
      <x:c r="B2055" s="19" t="n">
        <x:v>4</x:v>
      </x:c>
      <x:c r="C2055" s="19" t="n">
        <x:v>6</x:v>
      </x:c>
      <x:c r="D2055" s="19" t="str">
        <x:v>C04-M071</x:v>
      </x:c>
      <x:c r="E2055" s="19" t="str">
        <x:v>沉渠守誓者·阿涅</x:v>
      </x:c>
      <x:c r="F2055" s="19" t="str">
        <x:v>地图BOSS</x:v>
      </x:c>
      <x:c r="G2055" s="19" t="str">
        <x:v>材料独立候选</x:v>
      </x:c>
      <x:c r="H2055" s="19" t="str">
        <x:v>小卢恩</x:v>
      </x:c>
      <x:c r="I2055" s="22" t="n">
        <x:v>300</x:v>
      </x:c>
      <x:c r="J2055" s="22" t="n">
        <x:v>1</x:v>
      </x:c>
      <x:c r="K2055" s="19" t="n">
        <x:v>1</x:v>
      </x:c>
      <x:c r="L2055" s="24" t="n">
        <x:v>21.849999999999998</x:v>
      </x:c>
      <x:c r="M2055" s="26" t="n">
        <x:v>0.1</x:v>
      </x:c>
      <x:c r="N2055" s="24" t="n">
        <x:v>2</x:v>
      </x:c>
      <x:c r="O2055" s="28" t="n">
        <x:f>MIN(1,L2055/I2055)</x:f>
        <x:v>0.07283333333333332</x:v>
      </x:c>
      <x:c r="P2055" s="30" t="n">
        <x:f>O2055*J2055*(1+M2055)</x:f>
        <x:v>0.08011666666666666</x:v>
      </x:c>
      <x:c r="Q2055" s="30" t="n">
        <x:f>P2055*N2055</x:f>
        <x:v>0.1602333333333333</x:v>
      </x:c>
      <x:c r="R2055" s="19" t="str">
        <x:v>独立判定</x:v>
      </x:c>
    </x:row>
    <x:row r="2056" ht="19" customHeight="1">
      <x:c r="A2056" s="19" t="str">
        <x:v>D02052</x:v>
      </x:c>
      <x:c r="B2056" s="19" t="n">
        <x:v>4</x:v>
      </x:c>
      <x:c r="C2056" s="19" t="n">
        <x:v>6</x:v>
      </x:c>
      <x:c r="D2056" s="19" t="str">
        <x:v>C04-M071</x:v>
      </x:c>
      <x:c r="E2056" s="19" t="str">
        <x:v>沉渠守誓者·阿涅</x:v>
      </x:c>
      <x:c r="F2056" s="19" t="str">
        <x:v>地图BOSS</x:v>
      </x:c>
      <x:c r="G2056" s="19" t="str">
        <x:v>材料独立候选</x:v>
      </x:c>
      <x:c r="H2056" s="19" t="str">
        <x:v>大卢恩</x:v>
      </x:c>
      <x:c r="I2056" s="22" t="n">
        <x:v>200</x:v>
      </x:c>
      <x:c r="J2056" s="22" t="n">
        <x:v>1</x:v>
      </x:c>
      <x:c r="K2056" s="19" t="n">
        <x:v>1</x:v>
      </x:c>
      <x:c r="L2056" s="24" t="n">
        <x:v>21.849999999999998</x:v>
      </x:c>
      <x:c r="M2056" s="26" t="n">
        <x:v>0.1</x:v>
      </x:c>
      <x:c r="N2056" s="24" t="n">
        <x:v>2</x:v>
      </x:c>
      <x:c r="O2056" s="28" t="n">
        <x:f>MIN(1,L2056/I2056)</x:f>
        <x:v>0.10924999999999999</x:v>
      </x:c>
      <x:c r="P2056" s="30" t="n">
        <x:f>O2056*J2056*(1+M2056)</x:f>
        <x:v>0.12017499999999999</x:v>
      </x:c>
      <x:c r="Q2056" s="30" t="n">
        <x:f>P2056*N2056</x:f>
        <x:v>0.24034999999999998</x:v>
      </x:c>
      <x:c r="R2056" s="19" t="str">
        <x:v>独立判定</x:v>
      </x:c>
    </x:row>
    <x:row r="2057" ht="19" customHeight="1">
      <x:c r="A2057" s="19" t="str">
        <x:v>D02053</x:v>
      </x:c>
      <x:c r="B2057" s="19" t="n">
        <x:v>4</x:v>
      </x:c>
      <x:c r="C2057" s="19" t="n">
        <x:v>6</x:v>
      </x:c>
      <x:c r="D2057" s="19" t="str">
        <x:v>C04-M071</x:v>
      </x:c>
      <x:c r="E2057" s="19" t="str">
        <x:v>沉渠守誓者·阿涅</x:v>
      </x:c>
      <x:c r="F2057" s="19" t="str">
        <x:v>地图BOSS</x:v>
      </x:c>
      <x:c r="G2057" s="19" t="str">
        <x:v>六神器公共池</x:v>
      </x:c>
      <x:c r="H2057" s="19" t="str">
        <x:v>POOL006</x:v>
      </x:c>
      <x:c r="I2057" s="22" t="n">
        <x:v>200000</x:v>
      </x:c>
      <x:c r="J2057" s="22" t="n">
        <x:v>1</x:v>
      </x:c>
      <x:c r="K2057" s="19" t="n">
        <x:v>6</x:v>
      </x:c>
      <x:c r="L2057" s="24" t="n">
        <x:v>21.849999999999998</x:v>
      </x:c>
      <x:c r="M2057" s="26" t="n">
        <x:v>0.1</x:v>
      </x:c>
      <x:c r="N2057" s="24" t="n">
        <x:v>2</x:v>
      </x:c>
      <x:c r="O2057" s="28" t="n">
        <x:f>MIN(1,L2057/I2057)</x:f>
        <x:v>0.00010924999999999999</x:v>
      </x:c>
      <x:c r="P2057" s="30" t="n">
        <x:f>O2057*J2057*(1+M2057)</x:f>
        <x:v>0.000120175</x:v>
      </x:c>
      <x:c r="Q2057" s="30" t="n">
        <x:f>P2057*N2057</x:f>
        <x:v>0.00024035</x:v>
      </x:c>
      <x:c r="R2057" s="19" t="str">
        <x:v>六选一；非6个独立爆率</x:v>
      </x:c>
    </x:row>
    <x:row r="2058" ht="19" customHeight="1">
      <x:c r="A2058" s="19" t="str">
        <x:v>D02054</x:v>
      </x:c>
      <x:c r="B2058" s="19" t="n">
        <x:v>4</x:v>
      </x:c>
      <x:c r="C2058" s="19" t="n">
        <x:v>6</x:v>
      </x:c>
      <x:c r="D2058" s="19" t="str">
        <x:v>C04-M072</x:v>
      </x:c>
      <x:c r="E2058" s="19" t="str">
        <x:v>封室水镜姬·弥洛</x:v>
      </x:c>
      <x:c r="F2058" s="19" t="str">
        <x:v>地图BOSS</x:v>
      </x:c>
      <x:c r="G2058" s="19" t="str">
        <x:v>自身专属</x:v>
      </x:c>
      <x:c r="H2058" s="19" t="str">
        <x:v>弥洛镜水衣</x:v>
      </x:c>
      <x:c r="I2058" s="22" t="n">
        <x:v>100</x:v>
      </x:c>
      <x:c r="J2058" s="22" t="n">
        <x:v>1</x:v>
      </x:c>
      <x:c r="K2058" s="19" t="n">
        <x:v>1</x:v>
      </x:c>
      <x:c r="L2058" s="24" t="n">
        <x:v>21.849999999999998</x:v>
      </x:c>
      <x:c r="M2058" s="26" t="n">
        <x:v>0.1</x:v>
      </x:c>
      <x:c r="N2058" s="24" t="n">
        <x:v>2</x:v>
      </x:c>
      <x:c r="O2058" s="28" t="n">
        <x:f>MIN(1,L2058/I2058)</x:f>
        <x:v>0.21849999999999997</x:v>
      </x:c>
      <x:c r="P2058" s="30" t="n">
        <x:f>O2058*J2058*(1+M2058)</x:f>
        <x:v>0.24034999999999998</x:v>
      </x:c>
      <x:c r="Q2058" s="30" t="n">
        <x:f>P2058*N2058</x:f>
        <x:v>0.48069999999999996</x:v>
      </x:c>
      <x:c r="R2058" s="19" t="str">
        <x:v>独立判定</x:v>
      </x:c>
    </x:row>
    <x:row r="2059" ht="19" customHeight="1">
      <x:c r="A2059" s="19" t="str">
        <x:v>D02055</x:v>
      </x:c>
      <x:c r="B2059" s="19" t="n">
        <x:v>4</x:v>
      </x:c>
      <x:c r="C2059" s="19" t="n">
        <x:v>6</x:v>
      </x:c>
      <x:c r="D2059" s="19" t="str">
        <x:v>C04-M072</x:v>
      </x:c>
      <x:c r="E2059" s="19" t="str">
        <x:v>封室水镜姬·弥洛</x:v>
      </x:c>
      <x:c r="F2059" s="19" t="str">
        <x:v>地图BOSS</x:v>
      </x:c>
      <x:c r="G2059" s="19" t="str">
        <x:v>自身专属</x:v>
      </x:c>
      <x:c r="H2059" s="19" t="str">
        <x:v>缠月灵蜕</x:v>
      </x:c>
      <x:c r="I2059" s="22" t="n">
        <x:v>100</x:v>
      </x:c>
      <x:c r="J2059" s="22" t="n">
        <x:v>1</x:v>
      </x:c>
      <x:c r="K2059" s="19" t="n">
        <x:v>1</x:v>
      </x:c>
      <x:c r="L2059" s="24" t="n">
        <x:v>21.849999999999998</x:v>
      </x:c>
      <x:c r="M2059" s="26" t="n">
        <x:v>0.1</x:v>
      </x:c>
      <x:c r="N2059" s="24" t="n">
        <x:v>2</x:v>
      </x:c>
      <x:c r="O2059" s="28" t="n">
        <x:f>MIN(1,L2059/I2059)</x:f>
        <x:v>0.21849999999999997</x:v>
      </x:c>
      <x:c r="P2059" s="30" t="n">
        <x:f>O2059*J2059*(1+M2059)</x:f>
        <x:v>0.24034999999999998</x:v>
      </x:c>
      <x:c r="Q2059" s="30" t="n">
        <x:f>P2059*N2059</x:f>
        <x:v>0.48069999999999996</x:v>
      </x:c>
      <x:c r="R2059" s="19" t="str">
        <x:v>独立判定</x:v>
      </x:c>
    </x:row>
    <x:row r="2060" ht="19" customHeight="1">
      <x:c r="A2060" s="19" t="str">
        <x:v>D02056</x:v>
      </x:c>
      <x:c r="B2060" s="19" t="n">
        <x:v>4</x:v>
      </x:c>
      <x:c r="C2060" s="19" t="n">
        <x:v>6</x:v>
      </x:c>
      <x:c r="D2060" s="19" t="str">
        <x:v>C04-M072</x:v>
      </x:c>
      <x:c r="E2060" s="19" t="str">
        <x:v>封室水镜姬·弥洛</x:v>
      </x:c>
      <x:c r="F2060" s="19" t="str">
        <x:v>地图BOSS</x:v>
      </x:c>
      <x:c r="G2060" s="19" t="str">
        <x:v>本图普通兼掉候选</x:v>
      </x:c>
      <x:c r="H2060" s="19" t="str">
        <x:v>POOL035</x:v>
      </x:c>
      <x:c r="I2060" s="22" t="n">
        <x:v>50</x:v>
      </x:c>
      <x:c r="J2060" s="22" t="n">
        <x:v>1</x:v>
      </x:c>
      <x:c r="K2060" s="19" t="n">
        <x:v>2</x:v>
      </x:c>
      <x:c r="L2060" s="24" t="n">
        <x:v>21.849999999999998</x:v>
      </x:c>
      <x:c r="M2060" s="26" t="n">
        <x:v>0.1</x:v>
      </x:c>
      <x:c r="N2060" s="24" t="n">
        <x:v>2</x:v>
      </x:c>
      <x:c r="O2060" s="28" t="n">
        <x:f>MIN(1,L2060/I2060)</x:f>
        <x:v>0.43699999999999994</x:v>
      </x:c>
      <x:c r="P2060" s="30" t="n">
        <x:f>O2060*J2060*(1+M2060)</x:f>
        <x:v>0.48069999999999996</x:v>
      </x:c>
      <x:c r="Q2060" s="30" t="n">
        <x:f>P2060*N2060</x:f>
        <x:v>0.9613999999999999</x:v>
      </x:c>
      <x:c r="R2060" s="19" t="str">
        <x:v>单池选一</x:v>
      </x:c>
    </x:row>
    <x:row r="2061" ht="19" customHeight="1">
      <x:c r="A2061" s="19" t="str">
        <x:v>D02057</x:v>
      </x:c>
      <x:c r="B2061" s="19" t="n">
        <x:v>4</x:v>
      </x:c>
      <x:c r="C2061" s="19" t="n">
        <x:v>6</x:v>
      </x:c>
      <x:c r="D2061" s="19" t="str">
        <x:v>C04-M072</x:v>
      </x:c>
      <x:c r="E2061" s="19" t="str">
        <x:v>封室水镜姬·弥洛</x:v>
      </x:c>
      <x:c r="F2061" s="19" t="str">
        <x:v>地图BOSS</x:v>
      </x:c>
      <x:c r="G2061" s="19" t="str">
        <x:v>材料独立候选</x:v>
      </x:c>
      <x:c r="H2061" s="19" t="str">
        <x:v>湖盐结晶</x:v>
      </x:c>
      <x:c r="I2061" s="22" t="n">
        <x:v>200</x:v>
      </x:c>
      <x:c r="J2061" s="22" t="n">
        <x:v>30</x:v>
      </x:c>
      <x:c r="K2061" s="19" t="n">
        <x:v>1</x:v>
      </x:c>
      <x:c r="L2061" s="24" t="n">
        <x:v>21.849999999999998</x:v>
      </x:c>
      <x:c r="M2061" s="26" t="n">
        <x:v>0.1</x:v>
      </x:c>
      <x:c r="N2061" s="24" t="n">
        <x:v>2</x:v>
      </x:c>
      <x:c r="O2061" s="28" t="n">
        <x:f>MIN(1,L2061/I2061)</x:f>
        <x:v>0.10924999999999999</x:v>
      </x:c>
      <x:c r="P2061" s="30" t="n">
        <x:f>O2061*J2061*(1+M2061)</x:f>
        <x:v>3.60525</x:v>
      </x:c>
      <x:c r="Q2061" s="30" t="n">
        <x:f>P2061*N2061</x:f>
        <x:v>7.2105</x:v>
      </x:c>
      <x:c r="R2061" s="19" t="str">
        <x:v>独立判定</x:v>
      </x:c>
    </x:row>
    <x:row r="2062" ht="19" customHeight="1">
      <x:c r="A2062" s="19" t="str">
        <x:v>D02058</x:v>
      </x:c>
      <x:c r="B2062" s="19" t="n">
        <x:v>4</x:v>
      </x:c>
      <x:c r="C2062" s="19" t="n">
        <x:v>6</x:v>
      </x:c>
      <x:c r="D2062" s="19" t="str">
        <x:v>C04-M072</x:v>
      </x:c>
      <x:c r="E2062" s="19" t="str">
        <x:v>封室水镜姬·弥洛</x:v>
      </x:c>
      <x:c r="F2062" s="19" t="str">
        <x:v>地图BOSS</x:v>
      </x:c>
      <x:c r="G2062" s="19" t="str">
        <x:v>材料独立候选</x:v>
      </x:c>
      <x:c r="H2062" s="19" t="str">
        <x:v>幽船铆钉</x:v>
      </x:c>
      <x:c r="I2062" s="22" t="n">
        <x:v>600</x:v>
      </x:c>
      <x:c r="J2062" s="22" t="n">
        <x:v>1</x:v>
      </x:c>
      <x:c r="K2062" s="19" t="n">
        <x:v>1</x:v>
      </x:c>
      <x:c r="L2062" s="24" t="n">
        <x:v>21.849999999999998</x:v>
      </x:c>
      <x:c r="M2062" s="26" t="n">
        <x:v>0.1</x:v>
      </x:c>
      <x:c r="N2062" s="24" t="n">
        <x:v>2</x:v>
      </x:c>
      <x:c r="O2062" s="28" t="n">
        <x:f>MIN(1,L2062/I2062)</x:f>
        <x:v>0.03641666666666666</x:v>
      </x:c>
      <x:c r="P2062" s="30" t="n">
        <x:f>O2062*J2062*(1+M2062)</x:f>
        <x:v>0.04005833333333333</x:v>
      </x:c>
      <x:c r="Q2062" s="30" t="n">
        <x:f>P2062*N2062</x:f>
        <x:v>0.08011666666666666</x:v>
      </x:c>
      <x:c r="R2062" s="19" t="str">
        <x:v>独立判定</x:v>
      </x:c>
    </x:row>
    <x:row r="2063" ht="19" customHeight="1">
      <x:c r="A2063" s="19" t="str">
        <x:v>D02059</x:v>
      </x:c>
      <x:c r="B2063" s="19" t="n">
        <x:v>4</x:v>
      </x:c>
      <x:c r="C2063" s="19" t="n">
        <x:v>6</x:v>
      </x:c>
      <x:c r="D2063" s="19" t="str">
        <x:v>C04-M072</x:v>
      </x:c>
      <x:c r="E2063" s="19" t="str">
        <x:v>封室水镜姬·弥洛</x:v>
      </x:c>
      <x:c r="F2063" s="19" t="str">
        <x:v>地图BOSS</x:v>
      </x:c>
      <x:c r="G2063" s="19" t="str">
        <x:v>材料独立候选</x:v>
      </x:c>
      <x:c r="H2063" s="19" t="str">
        <x:v>沉湖王印</x:v>
      </x:c>
      <x:c r="I2063" s="22" t="n">
        <x:v>100</x:v>
      </x:c>
      <x:c r="J2063" s="22" t="n">
        <x:v>2</x:v>
      </x:c>
      <x:c r="K2063" s="19" t="n">
        <x:v>1</x:v>
      </x:c>
      <x:c r="L2063" s="24" t="n">
        <x:v>21.849999999999998</x:v>
      </x:c>
      <x:c r="M2063" s="26" t="n">
        <x:v>0.1</x:v>
      </x:c>
      <x:c r="N2063" s="24" t="n">
        <x:v>2</x:v>
      </x:c>
      <x:c r="O2063" s="28" t="n">
        <x:f>MIN(1,L2063/I2063)</x:f>
        <x:v>0.21849999999999997</x:v>
      </x:c>
      <x:c r="P2063" s="30" t="n">
        <x:f>O2063*J2063*(1+M2063)</x:f>
        <x:v>0.48069999999999996</x:v>
      </x:c>
      <x:c r="Q2063" s="30" t="n">
        <x:f>P2063*N2063</x:f>
        <x:v>0.9613999999999999</x:v>
      </x:c>
      <x:c r="R2063" s="19" t="str">
        <x:v>独立判定</x:v>
      </x:c>
    </x:row>
    <x:row r="2064" ht="19" customHeight="1">
      <x:c r="A2064" s="19" t="str">
        <x:v>D02060</x:v>
      </x:c>
      <x:c r="B2064" s="19" t="n">
        <x:v>4</x:v>
      </x:c>
      <x:c r="C2064" s="19" t="n">
        <x:v>6</x:v>
      </x:c>
      <x:c r="D2064" s="19" t="str">
        <x:v>C04-M072</x:v>
      </x:c>
      <x:c r="E2064" s="19" t="str">
        <x:v>封室水镜姬·弥洛</x:v>
      </x:c>
      <x:c r="F2064" s="19" t="str">
        <x:v>地图BOSS</x:v>
      </x:c>
      <x:c r="G2064" s="19" t="str">
        <x:v>材料独立候选</x:v>
      </x:c>
      <x:c r="H2064" s="19" t="str">
        <x:v>深湖压舱印</x:v>
      </x:c>
      <x:c r="I2064" s="22" t="n">
        <x:v>120</x:v>
      </x:c>
      <x:c r="J2064" s="22" t="n">
        <x:v>2</x:v>
      </x:c>
      <x:c r="K2064" s="19" t="n">
        <x:v>1</x:v>
      </x:c>
      <x:c r="L2064" s="24" t="n">
        <x:v>21.849999999999998</x:v>
      </x:c>
      <x:c r="M2064" s="26" t="n">
        <x:v>0.1</x:v>
      </x:c>
      <x:c r="N2064" s="24" t="n">
        <x:v>2</x:v>
      </x:c>
      <x:c r="O2064" s="28" t="n">
        <x:f>MIN(1,L2064/I2064)</x:f>
        <x:v>0.18208333333333332</x:v>
      </x:c>
      <x:c r="P2064" s="30" t="n">
        <x:f>O2064*J2064*(1+M2064)</x:f>
        <x:v>0.40058333333333335</x:v>
      </x:c>
      <x:c r="Q2064" s="30" t="n">
        <x:f>P2064*N2064</x:f>
        <x:v>0.8011666666666667</x:v>
      </x:c>
      <x:c r="R2064" s="19" t="str">
        <x:v>独立判定</x:v>
      </x:c>
    </x:row>
    <x:row r="2065" ht="19" customHeight="1">
      <x:c r="A2065" s="19" t="str">
        <x:v>D02061</x:v>
      </x:c>
      <x:c r="B2065" s="19" t="n">
        <x:v>4</x:v>
      </x:c>
      <x:c r="C2065" s="19" t="n">
        <x:v>6</x:v>
      </x:c>
      <x:c r="D2065" s="19" t="str">
        <x:v>C04-M072</x:v>
      </x:c>
      <x:c r="E2065" s="19" t="str">
        <x:v>封室水镜姬·弥洛</x:v>
      </x:c>
      <x:c r="F2065" s="19" t="str">
        <x:v>地图BOSS</x:v>
      </x:c>
      <x:c r="G2065" s="19" t="str">
        <x:v>材料独立候选</x:v>
      </x:c>
      <x:c r="H2065" s="19" t="str">
        <x:v>月潮忆珀</x:v>
      </x:c>
      <x:c r="I2065" s="22" t="n">
        <x:v>300000</x:v>
      </x:c>
      <x:c r="J2065" s="22" t="n">
        <x:v>1</x:v>
      </x:c>
      <x:c r="K2065" s="19" t="n">
        <x:v>1</x:v>
      </x:c>
      <x:c r="L2065" s="24" t="n">
        <x:v>21.849999999999998</x:v>
      </x:c>
      <x:c r="M2065" s="26" t="n">
        <x:v>0.1</x:v>
      </x:c>
      <x:c r="N2065" s="24" t="n">
        <x:v>2</x:v>
      </x:c>
      <x:c r="O2065" s="28" t="n">
        <x:f>MIN(1,L2065/I2065)</x:f>
        <x:v>0.00007283333333333333</x:v>
      </x:c>
      <x:c r="P2065" s="30" t="n">
        <x:f>O2065*J2065*(1+M2065)</x:f>
        <x:v>0.00008011666666666667</x:v>
      </x:c>
      <x:c r="Q2065" s="30" t="n">
        <x:f>P2065*N2065</x:f>
        <x:v>0.00016023333333333334</x:v>
      </x:c>
      <x:c r="R2065" s="19" t="str">
        <x:v>独立判定</x:v>
      </x:c>
    </x:row>
    <x:row r="2066" ht="19" customHeight="1">
      <x:c r="A2066" s="19" t="str">
        <x:v>D02062</x:v>
      </x:c>
      <x:c r="B2066" s="19" t="n">
        <x:v>4</x:v>
      </x:c>
      <x:c r="C2066" s="19" t="n">
        <x:v>6</x:v>
      </x:c>
      <x:c r="D2066" s="19" t="str">
        <x:v>C04-M072</x:v>
      </x:c>
      <x:c r="E2066" s="19" t="str">
        <x:v>封室水镜姬·弥洛</x:v>
      </x:c>
      <x:c r="F2066" s="19" t="str">
        <x:v>地图BOSS</x:v>
      </x:c>
      <x:c r="G2066" s="19" t="str">
        <x:v>材料独立候选</x:v>
      </x:c>
      <x:c r="H2066" s="19" t="str">
        <x:v>黄金树芽</x:v>
      </x:c>
      <x:c r="I2066" s="22" t="n">
        <x:v>1000</x:v>
      </x:c>
      <x:c r="J2066" s="22" t="n">
        <x:v>1</x:v>
      </x:c>
      <x:c r="K2066" s="19" t="n">
        <x:v>1</x:v>
      </x:c>
      <x:c r="L2066" s="24" t="n">
        <x:v>21.849999999999998</x:v>
      </x:c>
      <x:c r="M2066" s="26" t="n">
        <x:v>0.1</x:v>
      </x:c>
      <x:c r="N2066" s="24" t="n">
        <x:v>2</x:v>
      </x:c>
      <x:c r="O2066" s="28" t="n">
        <x:f>MIN(1,L2066/I2066)</x:f>
        <x:v>0.021849999999999998</x:v>
      </x:c>
      <x:c r="P2066" s="30" t="n">
        <x:f>O2066*J2066*(1+M2066)</x:f>
        <x:v>0.024035</x:v>
      </x:c>
      <x:c r="Q2066" s="30" t="n">
        <x:f>P2066*N2066</x:f>
        <x:v>0.04807</x:v>
      </x:c>
      <x:c r="R2066" s="19" t="str">
        <x:v>独立判定</x:v>
      </x:c>
    </x:row>
    <x:row r="2067" ht="19" customHeight="1">
      <x:c r="A2067" s="19" t="str">
        <x:v>D02063</x:v>
      </x:c>
      <x:c r="B2067" s="19" t="n">
        <x:v>4</x:v>
      </x:c>
      <x:c r="C2067" s="19" t="n">
        <x:v>6</x:v>
      </x:c>
      <x:c r="D2067" s="19" t="str">
        <x:v>C04-M072</x:v>
      </x:c>
      <x:c r="E2067" s="19" t="str">
        <x:v>封室水镜姬·弥洛</x:v>
      </x:c>
      <x:c r="F2067" s="19" t="str">
        <x:v>地图BOSS</x:v>
      </x:c>
      <x:c r="G2067" s="19" t="str">
        <x:v>材料独立候选</x:v>
      </x:c>
      <x:c r="H2067" s="19" t="str">
        <x:v>野兽骨片</x:v>
      </x:c>
      <x:c r="I2067" s="22" t="n">
        <x:v>40</x:v>
      </x:c>
      <x:c r="J2067" s="22" t="n">
        <x:v>2</x:v>
      </x:c>
      <x:c r="K2067" s="19" t="n">
        <x:v>1</x:v>
      </x:c>
      <x:c r="L2067" s="24" t="n">
        <x:v>21.849999999999998</x:v>
      </x:c>
      <x:c r="M2067" s="26" t="n">
        <x:v>0.1</x:v>
      </x:c>
      <x:c r="N2067" s="24" t="n">
        <x:v>2</x:v>
      </x:c>
      <x:c r="O2067" s="28" t="n">
        <x:f>MIN(1,L2067/I2067)</x:f>
        <x:v>0.5462499999999999</x:v>
      </x:c>
      <x:c r="P2067" s="30" t="n">
        <x:f>O2067*J2067*(1+M2067)</x:f>
        <x:v>1.2017499999999999</x:v>
      </x:c>
      <x:c r="Q2067" s="30" t="n">
        <x:f>P2067*N2067</x:f>
        <x:v>2.4034999999999997</x:v>
      </x:c>
      <x:c r="R2067" s="19" t="str">
        <x:v>独立判定</x:v>
      </x:c>
    </x:row>
    <x:row r="2068" ht="19" customHeight="1">
      <x:c r="A2068" s="19" t="str">
        <x:v>D02064</x:v>
      </x:c>
      <x:c r="B2068" s="19" t="n">
        <x:v>4</x:v>
      </x:c>
      <x:c r="C2068" s="19" t="n">
        <x:v>6</x:v>
      </x:c>
      <x:c r="D2068" s="19" t="str">
        <x:v>C04-M072</x:v>
      </x:c>
      <x:c r="E2068" s="19" t="str">
        <x:v>封室水镜姬·弥洛</x:v>
      </x:c>
      <x:c r="F2068" s="19" t="str">
        <x:v>地图BOSS</x:v>
      </x:c>
      <x:c r="G2068" s="19" t="str">
        <x:v>材料独立候选</x:v>
      </x:c>
      <x:c r="H2068" s="19" t="str">
        <x:v>技能残页</x:v>
      </x:c>
      <x:c r="I2068" s="22" t="n">
        <x:v>180</x:v>
      </x:c>
      <x:c r="J2068" s="22" t="n">
        <x:v>1</x:v>
      </x:c>
      <x:c r="K2068" s="19" t="n">
        <x:v>1</x:v>
      </x:c>
      <x:c r="L2068" s="24" t="n">
        <x:v>21.849999999999998</x:v>
      </x:c>
      <x:c r="M2068" s="26" t="n">
        <x:v>0.1</x:v>
      </x:c>
      <x:c r="N2068" s="24" t="n">
        <x:v>2</x:v>
      </x:c>
      <x:c r="O2068" s="28" t="n">
        <x:f>MIN(1,L2068/I2068)</x:f>
        <x:v>0.12138888888888888</x:v>
      </x:c>
      <x:c r="P2068" s="30" t="n">
        <x:f>O2068*J2068*(1+M2068)</x:f>
        <x:v>0.13352777777777777</x:v>
      </x:c>
      <x:c r="Q2068" s="30" t="n">
        <x:f>P2068*N2068</x:f>
        <x:v>0.26705555555555555</x:v>
      </x:c>
      <x:c r="R2068" s="19" t="str">
        <x:v>独立判定</x:v>
      </x:c>
    </x:row>
    <x:row r="2069" ht="19" customHeight="1">
      <x:c r="A2069" s="19" t="str">
        <x:v>D02065</x:v>
      </x:c>
      <x:c r="B2069" s="19" t="n">
        <x:v>4</x:v>
      </x:c>
      <x:c r="C2069" s="19" t="n">
        <x:v>6</x:v>
      </x:c>
      <x:c r="D2069" s="19" t="str">
        <x:v>C04-M072</x:v>
      </x:c>
      <x:c r="E2069" s="19" t="str">
        <x:v>封室水镜姬·弥洛</x:v>
      </x:c>
      <x:c r="F2069" s="19" t="str">
        <x:v>地图BOSS</x:v>
      </x:c>
      <x:c r="G2069" s="19" t="str">
        <x:v>材料独立候选</x:v>
      </x:c>
      <x:c r="H2069" s="19" t="str">
        <x:v>宁姆格福誓页</x:v>
      </x:c>
      <x:c r="I2069" s="22" t="n">
        <x:v>300</x:v>
      </x:c>
      <x:c r="J2069" s="22" t="n">
        <x:v>1</x:v>
      </x:c>
      <x:c r="K2069" s="19" t="n">
        <x:v>1</x:v>
      </x:c>
      <x:c r="L2069" s="24" t="n">
        <x:v>21.849999999999998</x:v>
      </x:c>
      <x:c r="M2069" s="26" t="n">
        <x:v>0.1</x:v>
      </x:c>
      <x:c r="N2069" s="24" t="n">
        <x:v>2</x:v>
      </x:c>
      <x:c r="O2069" s="28" t="n">
        <x:f>MIN(1,L2069/I2069)</x:f>
        <x:v>0.07283333333333332</x:v>
      </x:c>
      <x:c r="P2069" s="30" t="n">
        <x:f>O2069*J2069*(1+M2069)</x:f>
        <x:v>0.08011666666666666</x:v>
      </x:c>
      <x:c r="Q2069" s="30" t="n">
        <x:f>P2069*N2069</x:f>
        <x:v>0.1602333333333333</x:v>
      </x:c>
      <x:c r="R2069" s="19" t="str">
        <x:v>独立判定</x:v>
      </x:c>
    </x:row>
    <x:row r="2070" ht="19" customHeight="1">
      <x:c r="A2070" s="19" t="str">
        <x:v>D02066</x:v>
      </x:c>
      <x:c r="B2070" s="19" t="n">
        <x:v>4</x:v>
      </x:c>
      <x:c r="C2070" s="19" t="n">
        <x:v>6</x:v>
      </x:c>
      <x:c r="D2070" s="19" t="str">
        <x:v>C04-M072</x:v>
      </x:c>
      <x:c r="E2070" s="19" t="str">
        <x:v>封室水镜姬·弥洛</x:v>
      </x:c>
      <x:c r="F2070" s="19" t="str">
        <x:v>地图BOSS</x:v>
      </x:c>
      <x:c r="G2070" s="19" t="str">
        <x:v>材料独立候选</x:v>
      </x:c>
      <x:c r="H2070" s="19" t="str">
        <x:v>小卢恩</x:v>
      </x:c>
      <x:c r="I2070" s="22" t="n">
        <x:v>300</x:v>
      </x:c>
      <x:c r="J2070" s="22" t="n">
        <x:v>1</x:v>
      </x:c>
      <x:c r="K2070" s="19" t="n">
        <x:v>1</x:v>
      </x:c>
      <x:c r="L2070" s="24" t="n">
        <x:v>21.849999999999998</x:v>
      </x:c>
      <x:c r="M2070" s="26" t="n">
        <x:v>0.1</x:v>
      </x:c>
      <x:c r="N2070" s="24" t="n">
        <x:v>2</x:v>
      </x:c>
      <x:c r="O2070" s="28" t="n">
        <x:f>MIN(1,L2070/I2070)</x:f>
        <x:v>0.07283333333333332</x:v>
      </x:c>
      <x:c r="P2070" s="30" t="n">
        <x:f>O2070*J2070*(1+M2070)</x:f>
        <x:v>0.08011666666666666</x:v>
      </x:c>
      <x:c r="Q2070" s="30" t="n">
        <x:f>P2070*N2070</x:f>
        <x:v>0.1602333333333333</x:v>
      </x:c>
      <x:c r="R2070" s="19" t="str">
        <x:v>独立判定</x:v>
      </x:c>
    </x:row>
    <x:row r="2071" ht="19" customHeight="1">
      <x:c r="A2071" s="19" t="str">
        <x:v>D02067</x:v>
      </x:c>
      <x:c r="B2071" s="19" t="n">
        <x:v>4</x:v>
      </x:c>
      <x:c r="C2071" s="19" t="n">
        <x:v>6</x:v>
      </x:c>
      <x:c r="D2071" s="19" t="str">
        <x:v>C04-M072</x:v>
      </x:c>
      <x:c r="E2071" s="19" t="str">
        <x:v>封室水镜姬·弥洛</x:v>
      </x:c>
      <x:c r="F2071" s="19" t="str">
        <x:v>地图BOSS</x:v>
      </x:c>
      <x:c r="G2071" s="19" t="str">
        <x:v>材料独立候选</x:v>
      </x:c>
      <x:c r="H2071" s="19" t="str">
        <x:v>大卢恩</x:v>
      </x:c>
      <x:c r="I2071" s="22" t="n">
        <x:v>200</x:v>
      </x:c>
      <x:c r="J2071" s="22" t="n">
        <x:v>1</x:v>
      </x:c>
      <x:c r="K2071" s="19" t="n">
        <x:v>1</x:v>
      </x:c>
      <x:c r="L2071" s="24" t="n">
        <x:v>21.849999999999998</x:v>
      </x:c>
      <x:c r="M2071" s="26" t="n">
        <x:v>0.1</x:v>
      </x:c>
      <x:c r="N2071" s="24" t="n">
        <x:v>2</x:v>
      </x:c>
      <x:c r="O2071" s="28" t="n">
        <x:f>MIN(1,L2071/I2071)</x:f>
        <x:v>0.10924999999999999</x:v>
      </x:c>
      <x:c r="P2071" s="30" t="n">
        <x:f>O2071*J2071*(1+M2071)</x:f>
        <x:v>0.12017499999999999</x:v>
      </x:c>
      <x:c r="Q2071" s="30" t="n">
        <x:f>P2071*N2071</x:f>
        <x:v>0.24034999999999998</x:v>
      </x:c>
      <x:c r="R2071" s="19" t="str">
        <x:v>独立判定</x:v>
      </x:c>
    </x:row>
    <x:row r="2072" ht="19" customHeight="1">
      <x:c r="A2072" s="19" t="str">
        <x:v>D02068</x:v>
      </x:c>
      <x:c r="B2072" s="19" t="n">
        <x:v>4</x:v>
      </x:c>
      <x:c r="C2072" s="19" t="n">
        <x:v>6</x:v>
      </x:c>
      <x:c r="D2072" s="19" t="str">
        <x:v>C04-M072</x:v>
      </x:c>
      <x:c r="E2072" s="19" t="str">
        <x:v>封室水镜姬·弥洛</x:v>
      </x:c>
      <x:c r="F2072" s="19" t="str">
        <x:v>地图BOSS</x:v>
      </x:c>
      <x:c r="G2072" s="19" t="str">
        <x:v>六神器公共池</x:v>
      </x:c>
      <x:c r="H2072" s="19" t="str">
        <x:v>POOL006</x:v>
      </x:c>
      <x:c r="I2072" s="22" t="n">
        <x:v>200000</x:v>
      </x:c>
      <x:c r="J2072" s="22" t="n">
        <x:v>1</x:v>
      </x:c>
      <x:c r="K2072" s="19" t="n">
        <x:v>6</x:v>
      </x:c>
      <x:c r="L2072" s="24" t="n">
        <x:v>21.849999999999998</x:v>
      </x:c>
      <x:c r="M2072" s="26" t="n">
        <x:v>0.1</x:v>
      </x:c>
      <x:c r="N2072" s="24" t="n">
        <x:v>2</x:v>
      </x:c>
      <x:c r="O2072" s="28" t="n">
        <x:f>MIN(1,L2072/I2072)</x:f>
        <x:v>0.00010924999999999999</x:v>
      </x:c>
      <x:c r="P2072" s="30" t="n">
        <x:f>O2072*J2072*(1+M2072)</x:f>
        <x:v>0.000120175</x:v>
      </x:c>
      <x:c r="Q2072" s="30" t="n">
        <x:f>P2072*N2072</x:f>
        <x:v>0.00024035</x:v>
      </x:c>
      <x:c r="R2072" s="19" t="str">
        <x:v>六选一；非6个独立爆率</x:v>
      </x:c>
    </x:row>
    <x:row r="2073" ht="19" customHeight="1">
      <x:c r="A2073" s="19" t="str">
        <x:v>D02069</x:v>
      </x:c>
      <x:c r="B2073" s="19" t="n">
        <x:v>4</x:v>
      </x:c>
      <x:c r="C2073" s="19" t="n">
        <x:v>6</x:v>
      </x:c>
      <x:c r="D2073" s="19" t="str">
        <x:v>C04-M073</x:v>
      </x:c>
      <x:c r="E2073" s="19" t="str">
        <x:v>闭潮王·莱弥恩</x:v>
      </x:c>
      <x:c r="F2073" s="19" t="str">
        <x:v>守关BOSS</x:v>
      </x:c>
      <x:c r="G2073" s="19" t="str">
        <x:v>自身专属</x:v>
      </x:c>
      <x:c r="H2073" s="19" t="str">
        <x:v>莱弥恩的封湖巨剑</x:v>
      </x:c>
      <x:c r="I2073" s="22" t="n">
        <x:v>80</x:v>
      </x:c>
      <x:c r="J2073" s="22" t="n">
        <x:v>1</x:v>
      </x:c>
      <x:c r="K2073" s="19" t="n">
        <x:v>1</x:v>
      </x:c>
      <x:c r="L2073" s="24" t="n">
        <x:v>21.849999999999998</x:v>
      </x:c>
      <x:c r="M2073" s="26" t="n">
        <x:v>0.1</x:v>
      </x:c>
      <x:c r="N2073" s="24" t="n">
        <x:v>0</x:v>
      </x:c>
      <x:c r="O2073" s="28" t="n">
        <x:f>MIN(1,L2073/I2073)</x:f>
        <x:v>0.27312499999999995</x:v>
      </x:c>
      <x:c r="P2073" s="30" t="n">
        <x:f>O2073*J2073*(1+M2073)</x:f>
        <x:v>0.30043749999999997</x:v>
      </x:c>
      <x:c r="Q2073" s="30" t="n">
        <x:f>P2073*N2073</x:f>
        <x:v>0</x:v>
      </x:c>
      <x:c r="R2073" s="19" t="str">
        <x:v>独立判定</x:v>
      </x:c>
    </x:row>
    <x:row r="2074" ht="19" customHeight="1">
      <x:c r="A2074" s="19" t="str">
        <x:v>D02070</x:v>
      </x:c>
      <x:c r="B2074" s="19" t="n">
        <x:v>4</x:v>
      </x:c>
      <x:c r="C2074" s="19" t="n">
        <x:v>6</x:v>
      </x:c>
      <x:c r="D2074" s="19" t="str">
        <x:v>C04-M073</x:v>
      </x:c>
      <x:c r="E2074" s="19" t="str">
        <x:v>闭潮王·莱弥恩</x:v>
      </x:c>
      <x:c r="F2074" s="19" t="str">
        <x:v>守关BOSS</x:v>
      </x:c>
      <x:c r="G2074" s="19" t="str">
        <x:v>自身专属</x:v>
      </x:c>
      <x:c r="H2074" s="19" t="str">
        <x:v>封潮祭刃</x:v>
      </x:c>
      <x:c r="I2074" s="22" t="n">
        <x:v>80</x:v>
      </x:c>
      <x:c r="J2074" s="22" t="n">
        <x:v>1</x:v>
      </x:c>
      <x:c r="K2074" s="19" t="n">
        <x:v>1</x:v>
      </x:c>
      <x:c r="L2074" s="24" t="n">
        <x:v>21.849999999999998</x:v>
      </x:c>
      <x:c r="M2074" s="26" t="n">
        <x:v>0.1</x:v>
      </x:c>
      <x:c r="N2074" s="24" t="n">
        <x:v>0</x:v>
      </x:c>
      <x:c r="O2074" s="28" t="n">
        <x:f>MIN(1,L2074/I2074)</x:f>
        <x:v>0.27312499999999995</x:v>
      </x:c>
      <x:c r="P2074" s="30" t="n">
        <x:f>O2074*J2074*(1+M2074)</x:f>
        <x:v>0.30043749999999997</x:v>
      </x:c>
      <x:c r="Q2074" s="30" t="n">
        <x:f>P2074*N2074</x:f>
        <x:v>0</x:v>
      </x:c>
      <x:c r="R2074" s="19" t="str">
        <x:v>独立判定</x:v>
      </x:c>
    </x:row>
    <x:row r="2075" ht="19" customHeight="1">
      <x:c r="A2075" s="19" t="str">
        <x:v>D02071</x:v>
      </x:c>
      <x:c r="B2075" s="19" t="n">
        <x:v>4</x:v>
      </x:c>
      <x:c r="C2075" s="19" t="n">
        <x:v>6</x:v>
      </x:c>
      <x:c r="D2075" s="19" t="str">
        <x:v>C04-M073</x:v>
      </x:c>
      <x:c r="E2075" s="19" t="str">
        <x:v>闭潮王·莱弥恩</x:v>
      </x:c>
      <x:c r="F2075" s="19" t="str">
        <x:v>守关BOSS</x:v>
      </x:c>
      <x:c r="G2075" s="19" t="str">
        <x:v>自身专属</x:v>
      </x:c>
      <x:c r="H2075" s="19" t="str">
        <x:v>沉月纱衣</x:v>
      </x:c>
      <x:c r="I2075" s="22" t="n">
        <x:v>80</x:v>
      </x:c>
      <x:c r="J2075" s="22" t="n">
        <x:v>1</x:v>
      </x:c>
      <x:c r="K2075" s="19" t="n">
        <x:v>1</x:v>
      </x:c>
      <x:c r="L2075" s="24" t="n">
        <x:v>21.849999999999998</x:v>
      </x:c>
      <x:c r="M2075" s="26" t="n">
        <x:v>0.1</x:v>
      </x:c>
      <x:c r="N2075" s="24" t="n">
        <x:v>0</x:v>
      </x:c>
      <x:c r="O2075" s="28" t="n">
        <x:f>MIN(1,L2075/I2075)</x:f>
        <x:v>0.27312499999999995</x:v>
      </x:c>
      <x:c r="P2075" s="30" t="n">
        <x:f>O2075*J2075*(1+M2075)</x:f>
        <x:v>0.30043749999999997</x:v>
      </x:c>
      <x:c r="Q2075" s="30" t="n">
        <x:f>P2075*N2075</x:f>
        <x:v>0</x:v>
      </x:c>
      <x:c r="R2075" s="19" t="str">
        <x:v>独立判定</x:v>
      </x:c>
    </x:row>
    <x:row r="2076" ht="19" customHeight="1">
      <x:c r="A2076" s="19" t="str">
        <x:v>D02072</x:v>
      </x:c>
      <x:c r="B2076" s="19" t="n">
        <x:v>4</x:v>
      </x:c>
      <x:c r="C2076" s="19" t="n">
        <x:v>6</x:v>
      </x:c>
      <x:c r="D2076" s="19" t="str">
        <x:v>C04-M073</x:v>
      </x:c>
      <x:c r="E2076" s="19" t="str">
        <x:v>闭潮王·莱弥恩</x:v>
      </x:c>
      <x:c r="F2076" s="19" t="str">
        <x:v>守关BOSS</x:v>
      </x:c>
      <x:c r="G2076" s="19" t="str">
        <x:v>本图普通兼掉候选</x:v>
      </x:c>
      <x:c r="H2076" s="19" t="str">
        <x:v>POOL035</x:v>
      </x:c>
      <x:c r="I2076" s="22" t="n">
        <x:v>50</x:v>
      </x:c>
      <x:c r="J2076" s="22" t="n">
        <x:v>1</x:v>
      </x:c>
      <x:c r="K2076" s="19" t="n">
        <x:v>2</x:v>
      </x:c>
      <x:c r="L2076" s="24" t="n">
        <x:v>21.849999999999998</x:v>
      </x:c>
      <x:c r="M2076" s="26" t="n">
        <x:v>0.1</x:v>
      </x:c>
      <x:c r="N2076" s="24" t="n">
        <x:v>0</x:v>
      </x:c>
      <x:c r="O2076" s="28" t="n">
        <x:f>MIN(1,L2076/I2076)</x:f>
        <x:v>0.43699999999999994</x:v>
      </x:c>
      <x:c r="P2076" s="30" t="n">
        <x:f>O2076*J2076*(1+M2076)</x:f>
        <x:v>0.48069999999999996</x:v>
      </x:c>
      <x:c r="Q2076" s="30" t="n">
        <x:f>P2076*N2076</x:f>
        <x:v>0</x:v>
      </x:c>
      <x:c r="R2076" s="19" t="str">
        <x:v>单池选一</x:v>
      </x:c>
    </x:row>
    <x:row r="2077" ht="19" customHeight="1">
      <x:c r="A2077" s="19" t="str">
        <x:v>D02073</x:v>
      </x:c>
      <x:c r="B2077" s="19" t="n">
        <x:v>4</x:v>
      </x:c>
      <x:c r="C2077" s="19" t="n">
        <x:v>6</x:v>
      </x:c>
      <x:c r="D2077" s="19" t="str">
        <x:v>C04-M073</x:v>
      </x:c>
      <x:c r="E2077" s="19" t="str">
        <x:v>闭潮王·莱弥恩</x:v>
      </x:c>
      <x:c r="F2077" s="19" t="str">
        <x:v>守关BOSS</x:v>
      </x:c>
      <x:c r="G2077" s="19" t="str">
        <x:v>材料独立候选</x:v>
      </x:c>
      <x:c r="H2077" s="19" t="str">
        <x:v>湖盐结晶</x:v>
      </x:c>
      <x:c r="I2077" s="22" t="n">
        <x:v>1</x:v>
      </x:c>
      <x:c r="J2077" s="22" t="n">
        <x:v>40</x:v>
      </x:c>
      <x:c r="K2077" s="19" t="n">
        <x:v>1</x:v>
      </x:c>
      <x:c r="L2077" s="24" t="n">
        <x:v>21.849999999999998</x:v>
      </x:c>
      <x:c r="M2077" s="26" t="n">
        <x:v>0.1</x:v>
      </x:c>
      <x:c r="N2077" s="24" t="n">
        <x:v>0</x:v>
      </x:c>
      <x:c r="O2077" s="28" t="n">
        <x:f>MIN(1,L2077/I2077)</x:f>
        <x:v>1</x:v>
      </x:c>
      <x:c r="P2077" s="30" t="n">
        <x:f>O2077*J2077*(1+M2077)</x:f>
        <x:v>44</x:v>
      </x:c>
      <x:c r="Q2077" s="30" t="n">
        <x:f>P2077*N2077</x:f>
        <x:v>0</x:v>
      </x:c>
      <x:c r="R2077" s="19" t="str">
        <x:v>独立判定</x:v>
      </x:c>
    </x:row>
    <x:row r="2078" ht="19" customHeight="1">
      <x:c r="A2078" s="19" t="str">
        <x:v>D02074</x:v>
      </x:c>
      <x:c r="B2078" s="19" t="n">
        <x:v>4</x:v>
      </x:c>
      <x:c r="C2078" s="19" t="n">
        <x:v>6</x:v>
      </x:c>
      <x:c r="D2078" s="19" t="str">
        <x:v>C04-M073</x:v>
      </x:c>
      <x:c r="E2078" s="19" t="str">
        <x:v>闭潮王·莱弥恩</x:v>
      </x:c>
      <x:c r="F2078" s="19" t="str">
        <x:v>守关BOSS</x:v>
      </x:c>
      <x:c r="G2078" s="19" t="str">
        <x:v>材料独立候选</x:v>
      </x:c>
      <x:c r="H2078" s="19" t="str">
        <x:v>幽船铆钉</x:v>
      </x:c>
      <x:c r="I2078" s="22" t="n">
        <x:v>1</x:v>
      </x:c>
      <x:c r="J2078" s="22" t="n">
        <x:v>1</x:v>
      </x:c>
      <x:c r="K2078" s="19" t="n">
        <x:v>1</x:v>
      </x:c>
      <x:c r="L2078" s="24" t="n">
        <x:v>21.849999999999998</x:v>
      </x:c>
      <x:c r="M2078" s="26" t="n">
        <x:v>0.1</x:v>
      </x:c>
      <x:c r="N2078" s="24" t="n">
        <x:v>0</x:v>
      </x:c>
      <x:c r="O2078" s="28" t="n">
        <x:f>MIN(1,L2078/I2078)</x:f>
        <x:v>1</x:v>
      </x:c>
      <x:c r="P2078" s="30" t="n">
        <x:f>O2078*J2078*(1+M2078)</x:f>
        <x:v>1.1</x:v>
      </x:c>
      <x:c r="Q2078" s="30" t="n">
        <x:f>P2078*N2078</x:f>
        <x:v>0</x:v>
      </x:c>
      <x:c r="R2078" s="19" t="str">
        <x:v>独立判定</x:v>
      </x:c>
    </x:row>
    <x:row r="2079" ht="19" customHeight="1">
      <x:c r="A2079" s="19" t="str">
        <x:v>D02075</x:v>
      </x:c>
      <x:c r="B2079" s="19" t="n">
        <x:v>4</x:v>
      </x:c>
      <x:c r="C2079" s="19" t="n">
        <x:v>6</x:v>
      </x:c>
      <x:c r="D2079" s="19" t="str">
        <x:v>C04-M073</x:v>
      </x:c>
      <x:c r="E2079" s="19" t="str">
        <x:v>闭潮王·莱弥恩</x:v>
      </x:c>
      <x:c r="F2079" s="19" t="str">
        <x:v>守关BOSS</x:v>
      </x:c>
      <x:c r="G2079" s="19" t="str">
        <x:v>材料独立候选</x:v>
      </x:c>
      <x:c r="H2079" s="19" t="str">
        <x:v>沉湖王印</x:v>
      </x:c>
      <x:c r="I2079" s="22" t="n">
        <x:v>1</x:v>
      </x:c>
      <x:c r="J2079" s="22" t="n">
        <x:v>1</x:v>
      </x:c>
      <x:c r="K2079" s="19" t="n">
        <x:v>1</x:v>
      </x:c>
      <x:c r="L2079" s="24" t="n">
        <x:v>21.849999999999998</x:v>
      </x:c>
      <x:c r="M2079" s="26" t="n">
        <x:v>0.1</x:v>
      </x:c>
      <x:c r="N2079" s="24" t="n">
        <x:v>0</x:v>
      </x:c>
      <x:c r="O2079" s="28" t="n">
        <x:f>MIN(1,L2079/I2079)</x:f>
        <x:v>1</x:v>
      </x:c>
      <x:c r="P2079" s="30" t="n">
        <x:f>O2079*J2079*(1+M2079)</x:f>
        <x:v>1.1</x:v>
      </x:c>
      <x:c r="Q2079" s="30" t="n">
        <x:f>P2079*N2079</x:f>
        <x:v>0</x:v>
      </x:c>
      <x:c r="R2079" s="19" t="str">
        <x:v>独立判定</x:v>
      </x:c>
    </x:row>
    <x:row r="2080" ht="19" customHeight="1">
      <x:c r="A2080" s="19" t="str">
        <x:v>D02076</x:v>
      </x:c>
      <x:c r="B2080" s="19" t="n">
        <x:v>4</x:v>
      </x:c>
      <x:c r="C2080" s="19" t="n">
        <x:v>6</x:v>
      </x:c>
      <x:c r="D2080" s="19" t="str">
        <x:v>C04-M073</x:v>
      </x:c>
      <x:c r="E2080" s="19" t="str">
        <x:v>闭潮王·莱弥恩</x:v>
      </x:c>
      <x:c r="F2080" s="19" t="str">
        <x:v>守关BOSS</x:v>
      </x:c>
      <x:c r="G2080" s="19" t="str">
        <x:v>材料独立候选</x:v>
      </x:c>
      <x:c r="H2080" s="19" t="str">
        <x:v>湖底封门珠</x:v>
      </x:c>
      <x:c r="I2080" s="22" t="n">
        <x:v>1</x:v>
      </x:c>
      <x:c r="J2080" s="22" t="n">
        <x:v>1</x:v>
      </x:c>
      <x:c r="K2080" s="19" t="n">
        <x:v>1</x:v>
      </x:c>
      <x:c r="L2080" s="24" t="n">
        <x:v>21.849999999999998</x:v>
      </x:c>
      <x:c r="M2080" s="26" t="n">
        <x:v>0.1</x:v>
      </x:c>
      <x:c r="N2080" s="24" t="n">
        <x:v>0</x:v>
      </x:c>
      <x:c r="O2080" s="28" t="n">
        <x:f>MIN(1,L2080/I2080)</x:f>
        <x:v>1</x:v>
      </x:c>
      <x:c r="P2080" s="30" t="n">
        <x:f>O2080*J2080*(1+M2080)</x:f>
        <x:v>1.1</x:v>
      </x:c>
      <x:c r="Q2080" s="30" t="n">
        <x:f>P2080*N2080</x:f>
        <x:v>0</x:v>
      </x:c>
      <x:c r="R2080" s="19" t="str">
        <x:v>独立判定</x:v>
      </x:c>
    </x:row>
    <x:row r="2081" ht="19" customHeight="1">
      <x:c r="A2081" s="19" t="str">
        <x:v>D02077</x:v>
      </x:c>
      <x:c r="B2081" s="19" t="n">
        <x:v>4</x:v>
      </x:c>
      <x:c r="C2081" s="19" t="n">
        <x:v>6</x:v>
      </x:c>
      <x:c r="D2081" s="19" t="str">
        <x:v>C04-M073</x:v>
      </x:c>
      <x:c r="E2081" s="19" t="str">
        <x:v>闭潮王·莱弥恩</x:v>
      </x:c>
      <x:c r="F2081" s="19" t="str">
        <x:v>守关BOSS</x:v>
      </x:c>
      <x:c r="G2081" s="19" t="str">
        <x:v>材料独立候选</x:v>
      </x:c>
      <x:c r="H2081" s="19" t="str">
        <x:v>月潮忆珀</x:v>
      </x:c>
      <x:c r="I2081" s="22" t="n">
        <x:v>5000</x:v>
      </x:c>
      <x:c r="J2081" s="22" t="n">
        <x:v>1</x:v>
      </x:c>
      <x:c r="K2081" s="19" t="n">
        <x:v>1</x:v>
      </x:c>
      <x:c r="L2081" s="24" t="n">
        <x:v>21.849999999999998</x:v>
      </x:c>
      <x:c r="M2081" s="26" t="n">
        <x:v>0.1</x:v>
      </x:c>
      <x:c r="N2081" s="24" t="n">
        <x:v>0</x:v>
      </x:c>
      <x:c r="O2081" s="28" t="n">
        <x:f>MIN(1,L2081/I2081)</x:f>
        <x:v>0.00437</x:v>
      </x:c>
      <x:c r="P2081" s="30" t="n">
        <x:f>O2081*J2081*(1+M2081)</x:f>
        <x:v>0.0048070000000000005</x:v>
      </x:c>
      <x:c r="Q2081" s="30" t="n">
        <x:f>P2081*N2081</x:f>
        <x:v>0</x:v>
      </x:c>
      <x:c r="R2081" s="19" t="str">
        <x:v>独立判定</x:v>
      </x:c>
    </x:row>
    <x:row r="2082" ht="19" customHeight="1">
      <x:c r="A2082" s="19" t="str">
        <x:v>D02078</x:v>
      </x:c>
      <x:c r="B2082" s="19" t="n">
        <x:v>4</x:v>
      </x:c>
      <x:c r="C2082" s="19" t="n">
        <x:v>6</x:v>
      </x:c>
      <x:c r="D2082" s="19" t="str">
        <x:v>C04-M073</x:v>
      </x:c>
      <x:c r="E2082" s="19" t="str">
        <x:v>闭潮王·莱弥恩</x:v>
      </x:c>
      <x:c r="F2082" s="19" t="str">
        <x:v>守关BOSS</x:v>
      </x:c>
      <x:c r="G2082" s="19" t="str">
        <x:v>材料独立候选</x:v>
      </x:c>
      <x:c r="H2082" s="19" t="str">
        <x:v>黄金树芽</x:v>
      </x:c>
      <x:c r="I2082" s="22" t="n">
        <x:v>1</x:v>
      </x:c>
      <x:c r="J2082" s="22" t="n">
        <x:v>1</x:v>
      </x:c>
      <x:c r="K2082" s="19" t="n">
        <x:v>1</x:v>
      </x:c>
      <x:c r="L2082" s="24" t="n">
        <x:v>21.849999999999998</x:v>
      </x:c>
      <x:c r="M2082" s="26" t="n">
        <x:v>0.1</x:v>
      </x:c>
      <x:c r="N2082" s="24" t="n">
        <x:v>0</x:v>
      </x:c>
      <x:c r="O2082" s="28" t="n">
        <x:f>MIN(1,L2082/I2082)</x:f>
        <x:v>1</x:v>
      </x:c>
      <x:c r="P2082" s="30" t="n">
        <x:f>O2082*J2082*(1+M2082)</x:f>
        <x:v>1.1</x:v>
      </x:c>
      <x:c r="Q2082" s="30" t="n">
        <x:f>P2082*N2082</x:f>
        <x:v>0</x:v>
      </x:c>
      <x:c r="R2082" s="19" t="str">
        <x:v>独立判定</x:v>
      </x:c>
    </x:row>
    <x:row r="2083" ht="19" customHeight="1">
      <x:c r="A2083" s="19" t="str">
        <x:v>D02079</x:v>
      </x:c>
      <x:c r="B2083" s="19" t="n">
        <x:v>4</x:v>
      </x:c>
      <x:c r="C2083" s="19" t="n">
        <x:v>6</x:v>
      </x:c>
      <x:c r="D2083" s="19" t="str">
        <x:v>C04-M073</x:v>
      </x:c>
      <x:c r="E2083" s="19" t="str">
        <x:v>闭潮王·莱弥恩</x:v>
      </x:c>
      <x:c r="F2083" s="19" t="str">
        <x:v>守关BOSS</x:v>
      </x:c>
      <x:c r="G2083" s="19" t="str">
        <x:v>六神器公共池</x:v>
      </x:c>
      <x:c r="H2083" s="19" t="str">
        <x:v>POOL006</x:v>
      </x:c>
      <x:c r="I2083" s="22" t="n">
        <x:v>40000</x:v>
      </x:c>
      <x:c r="J2083" s="22" t="n">
        <x:v>1</x:v>
      </x:c>
      <x:c r="K2083" s="19" t="n">
        <x:v>6</x:v>
      </x:c>
      <x:c r="L2083" s="24" t="n">
        <x:v>21.849999999999998</x:v>
      </x:c>
      <x:c r="M2083" s="26" t="n">
        <x:v>0.1</x:v>
      </x:c>
      <x:c r="N2083" s="24" t="n">
        <x:v>0</x:v>
      </x:c>
      <x:c r="O2083" s="28" t="n">
        <x:f>MIN(1,L2083/I2083)</x:f>
        <x:v>0.00054625</x:v>
      </x:c>
      <x:c r="P2083" s="30" t="n">
        <x:f>O2083*J2083*(1+M2083)</x:f>
        <x:v>0.0006008750000000001</x:v>
      </x:c>
      <x:c r="Q2083" s="30" t="n">
        <x:f>P2083*N2083</x:f>
        <x:v>0</x:v>
      </x:c>
      <x:c r="R2083" s="19" t="str">
        <x:v>六选一；非6个独立爆率</x:v>
      </x:c>
    </x:row>
    <x:row r="2084" ht="19" customHeight="1">
      <x:c r="A2084" s="19" t="str">
        <x:v>D02080</x:v>
      </x:c>
      <x:c r="B2084" s="19" t="n">
        <x:v>5</x:v>
      </x:c>
      <x:c r="C2084" s="19" t="n">
        <x:v>1</x:v>
      </x:c>
      <x:c r="D2084" s="19" t="str">
        <x:v>C05-M001</x:v>
      </x:c>
      <x:c r="E2084" s="19" t="str">
        <x:v>雾汐游魂</x:v>
      </x:c>
      <x:c r="F2084" s="19" t="str">
        <x:v>普通</x:v>
      </x:c>
      <x:c r="G2084" s="19" t="str">
        <x:v>自身专属</x:v>
      </x:c>
      <x:c r="H2084" s="19" t="str">
        <x:v>雾汐踏波履</x:v>
      </x:c>
      <x:c r="I2084" s="22" t="n">
        <x:v>1800</x:v>
      </x:c>
      <x:c r="J2084" s="22" t="n">
        <x:v>1</x:v>
      </x:c>
      <x:c r="K2084" s="19" t="n">
        <x:v>1</x:v>
      </x:c>
      <x:c r="L2084" s="24" t="n">
        <x:v>22.04</x:v>
      </x:c>
      <x:c r="M2084" s="26" t="n">
        <x:v>0.1</x:v>
      </x:c>
      <x:c r="N2084" s="24" t="n">
        <x:v>72</x:v>
      </x:c>
      <x:c r="O2084" s="28" t="n">
        <x:f>MIN(1,L2084/I2084)</x:f>
        <x:v>0.012244444444444443</x:v>
      </x:c>
      <x:c r="P2084" s="30" t="n">
        <x:f>O2084*J2084*(1+M2084)</x:f>
        <x:v>0.013468888888888888</x:v>
      </x:c>
      <x:c r="Q2084" s="30" t="n">
        <x:f>P2084*N2084</x:f>
        <x:v>0.96976</x:v>
      </x:c>
      <x:c r="R2084" s="19" t="str">
        <x:v>独立判定</x:v>
      </x:c>
    </x:row>
    <x:row r="2085" ht="19" customHeight="1">
      <x:c r="A2085" s="19" t="str">
        <x:v>D02081</x:v>
      </x:c>
      <x:c r="B2085" s="19" t="n">
        <x:v>5</x:v>
      </x:c>
      <x:c r="C2085" s="19" t="n">
        <x:v>1</x:v>
      </x:c>
      <x:c r="D2085" s="19" t="str">
        <x:v>C05-M001</x:v>
      </x:c>
      <x:c r="E2085" s="19" t="str">
        <x:v>雾汐游魂</x:v>
      </x:c>
      <x:c r="F2085" s="19" t="str">
        <x:v>普通</x:v>
      </x:c>
      <x:c r="G2085" s="19" t="str">
        <x:v>材料独立候选</x:v>
      </x:c>
      <x:c r="H2085" s="19" t="str">
        <x:v>辉石碎晶</x:v>
      </x:c>
      <x:c r="I2085" s="22" t="n">
        <x:v>600</x:v>
      </x:c>
      <x:c r="J2085" s="22" t="n">
        <x:v>8</x:v>
      </x:c>
      <x:c r="K2085" s="19" t="n">
        <x:v>1</x:v>
      </x:c>
      <x:c r="L2085" s="24" t="n">
        <x:v>22.04</x:v>
      </x:c>
      <x:c r="M2085" s="26" t="n">
        <x:v>0.1</x:v>
      </x:c>
      <x:c r="N2085" s="24" t="n">
        <x:v>72</x:v>
      </x:c>
      <x:c r="O2085" s="28" t="n">
        <x:f>MIN(1,L2085/I2085)</x:f>
        <x:v>0.03673333333333333</x:v>
      </x:c>
      <x:c r="P2085" s="30" t="n">
        <x:f>O2085*J2085*(1+M2085)</x:f>
        <x:v>0.32325333333333334</x:v>
      </x:c>
      <x:c r="Q2085" s="30" t="n">
        <x:f>P2085*N2085</x:f>
        <x:v>23.27424</x:v>
      </x:c>
      <x:c r="R2085" s="19" t="str">
        <x:v>独立判定</x:v>
      </x:c>
    </x:row>
    <x:row r="2086" ht="19" customHeight="1">
      <x:c r="A2086" s="19" t="str">
        <x:v>D02082</x:v>
      </x:c>
      <x:c r="B2086" s="19" t="n">
        <x:v>5</x:v>
      </x:c>
      <x:c r="C2086" s="19" t="n">
        <x:v>1</x:v>
      </x:c>
      <x:c r="D2086" s="19" t="str">
        <x:v>C05-M001</x:v>
      </x:c>
      <x:c r="E2086" s="19" t="str">
        <x:v>雾汐游魂</x:v>
      </x:c>
      <x:c r="F2086" s="19" t="str">
        <x:v>普通</x:v>
      </x:c>
      <x:c r="G2086" s="19" t="str">
        <x:v>材料独立候选</x:v>
      </x:c>
      <x:c r="H2086" s="19" t="str">
        <x:v>雾月星砂</x:v>
      </x:c>
      <x:c r="I2086" s="22" t="n">
        <x:v>1000</x:v>
      </x:c>
      <x:c r="J2086" s="22" t="n">
        <x:v>1</x:v>
      </x:c>
      <x:c r="K2086" s="19" t="n">
        <x:v>1</x:v>
      </x:c>
      <x:c r="L2086" s="24" t="n">
        <x:v>22.04</x:v>
      </x:c>
      <x:c r="M2086" s="26" t="n">
        <x:v>0.1</x:v>
      </x:c>
      <x:c r="N2086" s="24" t="n">
        <x:v>72</x:v>
      </x:c>
      <x:c r="O2086" s="28" t="n">
        <x:f>MIN(1,L2086/I2086)</x:f>
        <x:v>0.02204</x:v>
      </x:c>
      <x:c r="P2086" s="30" t="n">
        <x:f>O2086*J2086*(1+M2086)</x:f>
        <x:v>0.024244</x:v>
      </x:c>
      <x:c r="Q2086" s="30" t="n">
        <x:f>P2086*N2086</x:f>
        <x:v>1.745568</x:v>
      </x:c>
      <x:c r="R2086" s="19" t="str">
        <x:v>独立判定</x:v>
      </x:c>
    </x:row>
    <x:row r="2087" ht="19" customHeight="1">
      <x:c r="A2087" s="19" t="str">
        <x:v>D02083</x:v>
      </x:c>
      <x:c r="B2087" s="19" t="n">
        <x:v>5</x:v>
      </x:c>
      <x:c r="C2087" s="19" t="n">
        <x:v>1</x:v>
      </x:c>
      <x:c r="D2087" s="19" t="str">
        <x:v>C05-M001</x:v>
      </x:c>
      <x:c r="E2087" s="19" t="str">
        <x:v>雾汐游魂</x:v>
      </x:c>
      <x:c r="F2087" s="19" t="str">
        <x:v>普通</x:v>
      </x:c>
      <x:c r="G2087" s="19" t="str">
        <x:v>材料独立候选</x:v>
      </x:c>
      <x:c r="H2087" s="19" t="str">
        <x:v>湖心月谱残章</x:v>
      </x:c>
      <x:c r="I2087" s="22" t="n">
        <x:v>1000000</x:v>
      </x:c>
      <x:c r="J2087" s="22" t="n">
        <x:v>1</x:v>
      </x:c>
      <x:c r="K2087" s="19" t="n">
        <x:v>1</x:v>
      </x:c>
      <x:c r="L2087" s="24" t="n">
        <x:v>22.04</x:v>
      </x:c>
      <x:c r="M2087" s="26" t="n">
        <x:v>0.1</x:v>
      </x:c>
      <x:c r="N2087" s="24" t="n">
        <x:v>72</x:v>
      </x:c>
      <x:c r="O2087" s="28" t="n">
        <x:f>MIN(1,L2087/I2087)</x:f>
        <x:v>0.00002204</x:v>
      </x:c>
      <x:c r="P2087" s="30" t="n">
        <x:f>O2087*J2087*(1+M2087)</x:f>
        <x:v>0.000024244</x:v>
      </x:c>
      <x:c r="Q2087" s="30" t="n">
        <x:f>P2087*N2087</x:f>
        <x:v>0.001745568</x:v>
      </x:c>
      <x:c r="R2087" s="19" t="str">
        <x:v>独立判定</x:v>
      </x:c>
    </x:row>
    <x:row r="2088" ht="19" customHeight="1">
      <x:c r="A2088" s="19" t="str">
        <x:v>D02084</x:v>
      </x:c>
      <x:c r="B2088" s="19" t="n">
        <x:v>5</x:v>
      </x:c>
      <x:c r="C2088" s="19" t="n">
        <x:v>1</x:v>
      </x:c>
      <x:c r="D2088" s="19" t="str">
        <x:v>C05-M001</x:v>
      </x:c>
      <x:c r="E2088" s="19" t="str">
        <x:v>雾汐游魂</x:v>
      </x:c>
      <x:c r="F2088" s="19" t="str">
        <x:v>普通</x:v>
      </x:c>
      <x:c r="G2088" s="19" t="str">
        <x:v>材料独立候选</x:v>
      </x:c>
      <x:c r="H2088" s="19" t="str">
        <x:v>野兽骨片</x:v>
      </x:c>
      <x:c r="I2088" s="22" t="n">
        <x:v>120</x:v>
      </x:c>
      <x:c r="J2088" s="22" t="n">
        <x:v>3</x:v>
      </x:c>
      <x:c r="K2088" s="19" t="n">
        <x:v>1</x:v>
      </x:c>
      <x:c r="L2088" s="24" t="n">
        <x:v>22.04</x:v>
      </x:c>
      <x:c r="M2088" s="26" t="n">
        <x:v>0.1</x:v>
      </x:c>
      <x:c r="N2088" s="24" t="n">
        <x:v>72</x:v>
      </x:c>
      <x:c r="O2088" s="28" t="n">
        <x:f>MIN(1,L2088/I2088)</x:f>
        <x:v>0.18366666666666667</x:v>
      </x:c>
      <x:c r="P2088" s="30" t="n">
        <x:f>O2088*J2088*(1+M2088)</x:f>
        <x:v>0.6061000000000001</x:v>
      </x:c>
      <x:c r="Q2088" s="30" t="n">
        <x:f>P2088*N2088</x:f>
        <x:v>43.6392</x:v>
      </x:c>
      <x:c r="R2088" s="19" t="str">
        <x:v>独立判定</x:v>
      </x:c>
    </x:row>
    <x:row r="2089" ht="19" customHeight="1">
      <x:c r="A2089" s="19" t="str">
        <x:v>D02085</x:v>
      </x:c>
      <x:c r="B2089" s="19" t="n">
        <x:v>5</x:v>
      </x:c>
      <x:c r="C2089" s="19" t="n">
        <x:v>1</x:v>
      </x:c>
      <x:c r="D2089" s="19" t="str">
        <x:v>C05-M001</x:v>
      </x:c>
      <x:c r="E2089" s="19" t="str">
        <x:v>雾汐游魂</x:v>
      </x:c>
      <x:c r="F2089" s="19" t="str">
        <x:v>普通</x:v>
      </x:c>
      <x:c r="G2089" s="19" t="str">
        <x:v>材料独立候选</x:v>
      </x:c>
      <x:c r="H2089" s="19" t="str">
        <x:v>技能残页</x:v>
      </x:c>
      <x:c r="I2089" s="22" t="n">
        <x:v>3000</x:v>
      </x:c>
      <x:c r="J2089" s="22" t="n">
        <x:v>1</x:v>
      </x:c>
      <x:c r="K2089" s="19" t="n">
        <x:v>1</x:v>
      </x:c>
      <x:c r="L2089" s="24" t="n">
        <x:v>22.04</x:v>
      </x:c>
      <x:c r="M2089" s="26" t="n">
        <x:v>0.1</x:v>
      </x:c>
      <x:c r="N2089" s="24" t="n">
        <x:v>72</x:v>
      </x:c>
      <x:c r="O2089" s="28" t="n">
        <x:f>MIN(1,L2089/I2089)</x:f>
        <x:v>0.007346666666666666</x:v>
      </x:c>
      <x:c r="P2089" s="30" t="n">
        <x:f>O2089*J2089*(1+M2089)</x:f>
        <x:v>0.008081333333333333</x:v>
      </x:c>
      <x:c r="Q2089" s="30" t="n">
        <x:f>P2089*N2089</x:f>
        <x:v>0.5818559999999999</x:v>
      </x:c>
      <x:c r="R2089" s="19" t="str">
        <x:v>独立判定</x:v>
      </x:c>
    </x:row>
    <x:row r="2090" ht="19" customHeight="1">
      <x:c r="A2090" s="19" t="str">
        <x:v>D02086</x:v>
      </x:c>
      <x:c r="B2090" s="19" t="n">
        <x:v>5</x:v>
      </x:c>
      <x:c r="C2090" s="19" t="n">
        <x:v>1</x:v>
      </x:c>
      <x:c r="D2090" s="19" t="str">
        <x:v>C05-M001</x:v>
      </x:c>
      <x:c r="E2090" s="19" t="str">
        <x:v>雾汐游魂</x:v>
      </x:c>
      <x:c r="F2090" s="19" t="str">
        <x:v>普通</x:v>
      </x:c>
      <x:c r="G2090" s="19" t="str">
        <x:v>材料独立候选</x:v>
      </x:c>
      <x:c r="H2090" s="19" t="str">
        <x:v>小卢恩</x:v>
      </x:c>
      <x:c r="I2090" s="22" t="n">
        <x:v>6000</x:v>
      </x:c>
      <x:c r="J2090" s="22" t="n">
        <x:v>1</x:v>
      </x:c>
      <x:c r="K2090" s="19" t="n">
        <x:v>1</x:v>
      </x:c>
      <x:c r="L2090" s="24" t="n">
        <x:v>22.04</x:v>
      </x:c>
      <x:c r="M2090" s="26" t="n">
        <x:v>0.1</x:v>
      </x:c>
      <x:c r="N2090" s="24" t="n">
        <x:v>72</x:v>
      </x:c>
      <x:c r="O2090" s="28" t="n">
        <x:f>MIN(1,L2090/I2090)</x:f>
        <x:v>0.003673333333333333</x:v>
      </x:c>
      <x:c r="P2090" s="30" t="n">
        <x:f>O2090*J2090*(1+M2090)</x:f>
        <x:v>0.004040666666666666</x:v>
      </x:c>
      <x:c r="Q2090" s="30" t="n">
        <x:f>P2090*N2090</x:f>
        <x:v>0.29092799999999996</x:v>
      </x:c>
      <x:c r="R2090" s="19" t="str">
        <x:v>独立判定</x:v>
      </x:c>
    </x:row>
    <x:row r="2091" ht="19" customHeight="1">
      <x:c r="A2091" s="19" t="str">
        <x:v>D02087</x:v>
      </x:c>
      <x:c r="B2091" s="19" t="n">
        <x:v>5</x:v>
      </x:c>
      <x:c r="C2091" s="19" t="n">
        <x:v>1</x:v>
      </x:c>
      <x:c r="D2091" s="19" t="str">
        <x:v>C05-M001</x:v>
      </x:c>
      <x:c r="E2091" s="19" t="str">
        <x:v>雾汐游魂</x:v>
      </x:c>
      <x:c r="F2091" s="19" t="str">
        <x:v>普通</x:v>
      </x:c>
      <x:c r="G2091" s="19" t="str">
        <x:v>六神器公共池</x:v>
      </x:c>
      <x:c r="H2091" s="19" t="str">
        <x:v>POOL006</x:v>
      </x:c>
      <x:c r="I2091" s="22" t="n">
        <x:v>20000000</x:v>
      </x:c>
      <x:c r="J2091" s="22" t="n">
        <x:v>1</x:v>
      </x:c>
      <x:c r="K2091" s="19" t="n">
        <x:v>6</x:v>
      </x:c>
      <x:c r="L2091" s="24" t="n">
        <x:v>22.04</x:v>
      </x:c>
      <x:c r="M2091" s="26" t="n">
        <x:v>0.1</x:v>
      </x:c>
      <x:c r="N2091" s="24" t="n">
        <x:v>72</x:v>
      </x:c>
      <x:c r="O2091" s="28" t="n">
        <x:f>MIN(1,L2091/I2091)</x:f>
        <x:v>0.000001102</x:v>
      </x:c>
      <x:c r="P2091" s="30" t="n">
        <x:f>O2091*J2091*(1+M2091)</x:f>
        <x:v>0.0000012122</x:v>
      </x:c>
      <x:c r="Q2091" s="30" t="n">
        <x:f>P2091*N2091</x:f>
        <x:v>0.0000872784</x:v>
      </x:c>
      <x:c r="R2091" s="19" t="str">
        <x:v>六选一；非6个独立爆率</x:v>
      </x:c>
    </x:row>
    <x:row r="2092" ht="19" customHeight="1">
      <x:c r="A2092" s="19" t="str">
        <x:v>D02088</x:v>
      </x:c>
      <x:c r="B2092" s="19" t="n">
        <x:v>5</x:v>
      </x:c>
      <x:c r="C2092" s="19" t="n">
        <x:v>1</x:v>
      </x:c>
      <x:c r="D2092" s="19" t="str">
        <x:v>C05-M002</x:v>
      </x:c>
      <x:c r="E2092" s="19" t="str">
        <x:v>水庭苔甲蟹</x:v>
      </x:c>
      <x:c r="F2092" s="19" t="str">
        <x:v>普通</x:v>
      </x:c>
      <x:c r="G2092" s="19" t="str">
        <x:v>自身专属</x:v>
      </x:c>
      <x:c r="H2092" s="19" t="str">
        <x:v>苔纹潮壳盾</x:v>
      </x:c>
      <x:c r="I2092" s="22" t="n">
        <x:v>1800</x:v>
      </x:c>
      <x:c r="J2092" s="22" t="n">
        <x:v>1</x:v>
      </x:c>
      <x:c r="K2092" s="19" t="n">
        <x:v>1</x:v>
      </x:c>
      <x:c r="L2092" s="24" t="n">
        <x:v>22.04</x:v>
      </x:c>
      <x:c r="M2092" s="26" t="n">
        <x:v>0.1</x:v>
      </x:c>
      <x:c r="N2092" s="24" t="n">
        <x:v>72</x:v>
      </x:c>
      <x:c r="O2092" s="28" t="n">
        <x:f>MIN(1,L2092/I2092)</x:f>
        <x:v>0.012244444444444443</x:v>
      </x:c>
      <x:c r="P2092" s="30" t="n">
        <x:f>O2092*J2092*(1+M2092)</x:f>
        <x:v>0.013468888888888888</x:v>
      </x:c>
      <x:c r="Q2092" s="30" t="n">
        <x:f>P2092*N2092</x:f>
        <x:v>0.96976</x:v>
      </x:c>
      <x:c r="R2092" s="19" t="str">
        <x:v>独立判定</x:v>
      </x:c>
    </x:row>
    <x:row r="2093" ht="19" customHeight="1">
      <x:c r="A2093" s="19" t="str">
        <x:v>D02089</x:v>
      </x:c>
      <x:c r="B2093" s="19" t="n">
        <x:v>5</x:v>
      </x:c>
      <x:c r="C2093" s="19" t="n">
        <x:v>1</x:v>
      </x:c>
      <x:c r="D2093" s="19" t="str">
        <x:v>C05-M002</x:v>
      </x:c>
      <x:c r="E2093" s="19" t="str">
        <x:v>水庭苔甲蟹</x:v>
      </x:c>
      <x:c r="F2093" s="19" t="str">
        <x:v>普通</x:v>
      </x:c>
      <x:c r="G2093" s="19" t="str">
        <x:v>材料独立候选</x:v>
      </x:c>
      <x:c r="H2093" s="19" t="str">
        <x:v>辉石碎晶</x:v>
      </x:c>
      <x:c r="I2093" s="22" t="n">
        <x:v>600</x:v>
      </x:c>
      <x:c r="J2093" s="22" t="n">
        <x:v>8</x:v>
      </x:c>
      <x:c r="K2093" s="19" t="n">
        <x:v>1</x:v>
      </x:c>
      <x:c r="L2093" s="24" t="n">
        <x:v>22.04</x:v>
      </x:c>
      <x:c r="M2093" s="26" t="n">
        <x:v>0.1</x:v>
      </x:c>
      <x:c r="N2093" s="24" t="n">
        <x:v>72</x:v>
      </x:c>
      <x:c r="O2093" s="28" t="n">
        <x:f>MIN(1,L2093/I2093)</x:f>
        <x:v>0.03673333333333333</x:v>
      </x:c>
      <x:c r="P2093" s="30" t="n">
        <x:f>O2093*J2093*(1+M2093)</x:f>
        <x:v>0.32325333333333334</x:v>
      </x:c>
      <x:c r="Q2093" s="30" t="n">
        <x:f>P2093*N2093</x:f>
        <x:v>23.27424</x:v>
      </x:c>
      <x:c r="R2093" s="19" t="str">
        <x:v>独立判定</x:v>
      </x:c>
    </x:row>
    <x:row r="2094" ht="19" customHeight="1">
      <x:c r="A2094" s="19" t="str">
        <x:v>D02090</x:v>
      </x:c>
      <x:c r="B2094" s="19" t="n">
        <x:v>5</x:v>
      </x:c>
      <x:c r="C2094" s="19" t="n">
        <x:v>1</x:v>
      </x:c>
      <x:c r="D2094" s="19" t="str">
        <x:v>C05-M002</x:v>
      </x:c>
      <x:c r="E2094" s="19" t="str">
        <x:v>水庭苔甲蟹</x:v>
      </x:c>
      <x:c r="F2094" s="19" t="str">
        <x:v>普通</x:v>
      </x:c>
      <x:c r="G2094" s="19" t="str">
        <x:v>材料独立候选</x:v>
      </x:c>
      <x:c r="H2094" s="19" t="str">
        <x:v>雾月星砂</x:v>
      </x:c>
      <x:c r="I2094" s="22" t="n">
        <x:v>1000</x:v>
      </x:c>
      <x:c r="J2094" s="22" t="n">
        <x:v>1</x:v>
      </x:c>
      <x:c r="K2094" s="19" t="n">
        <x:v>1</x:v>
      </x:c>
      <x:c r="L2094" s="24" t="n">
        <x:v>22.04</x:v>
      </x:c>
      <x:c r="M2094" s="26" t="n">
        <x:v>0.1</x:v>
      </x:c>
      <x:c r="N2094" s="24" t="n">
        <x:v>72</x:v>
      </x:c>
      <x:c r="O2094" s="28" t="n">
        <x:f>MIN(1,L2094/I2094)</x:f>
        <x:v>0.02204</x:v>
      </x:c>
      <x:c r="P2094" s="30" t="n">
        <x:f>O2094*J2094*(1+M2094)</x:f>
        <x:v>0.024244</x:v>
      </x:c>
      <x:c r="Q2094" s="30" t="n">
        <x:f>P2094*N2094</x:f>
        <x:v>1.745568</x:v>
      </x:c>
      <x:c r="R2094" s="19" t="str">
        <x:v>独立判定</x:v>
      </x:c>
    </x:row>
    <x:row r="2095" ht="19" customHeight="1">
      <x:c r="A2095" s="19" t="str">
        <x:v>D02091</x:v>
      </x:c>
      <x:c r="B2095" s="19" t="n">
        <x:v>5</x:v>
      </x:c>
      <x:c r="C2095" s="19" t="n">
        <x:v>1</x:v>
      </x:c>
      <x:c r="D2095" s="19" t="str">
        <x:v>C05-M002</x:v>
      </x:c>
      <x:c r="E2095" s="19" t="str">
        <x:v>水庭苔甲蟹</x:v>
      </x:c>
      <x:c r="F2095" s="19" t="str">
        <x:v>普通</x:v>
      </x:c>
      <x:c r="G2095" s="19" t="str">
        <x:v>材料独立候选</x:v>
      </x:c>
      <x:c r="H2095" s="19" t="str">
        <x:v>湖心月谱残章</x:v>
      </x:c>
      <x:c r="I2095" s="22" t="n">
        <x:v>1000000</x:v>
      </x:c>
      <x:c r="J2095" s="22" t="n">
        <x:v>1</x:v>
      </x:c>
      <x:c r="K2095" s="19" t="n">
        <x:v>1</x:v>
      </x:c>
      <x:c r="L2095" s="24" t="n">
        <x:v>22.04</x:v>
      </x:c>
      <x:c r="M2095" s="26" t="n">
        <x:v>0.1</x:v>
      </x:c>
      <x:c r="N2095" s="24" t="n">
        <x:v>72</x:v>
      </x:c>
      <x:c r="O2095" s="28" t="n">
        <x:f>MIN(1,L2095/I2095)</x:f>
        <x:v>0.00002204</x:v>
      </x:c>
      <x:c r="P2095" s="30" t="n">
        <x:f>O2095*J2095*(1+M2095)</x:f>
        <x:v>0.000024244</x:v>
      </x:c>
      <x:c r="Q2095" s="30" t="n">
        <x:f>P2095*N2095</x:f>
        <x:v>0.001745568</x:v>
      </x:c>
      <x:c r="R2095" s="19" t="str">
        <x:v>独立判定</x:v>
      </x:c>
    </x:row>
    <x:row r="2096" ht="19" customHeight="1">
      <x:c r="A2096" s="19" t="str">
        <x:v>D02092</x:v>
      </x:c>
      <x:c r="B2096" s="19" t="n">
        <x:v>5</x:v>
      </x:c>
      <x:c r="C2096" s="19" t="n">
        <x:v>1</x:v>
      </x:c>
      <x:c r="D2096" s="19" t="str">
        <x:v>C05-M002</x:v>
      </x:c>
      <x:c r="E2096" s="19" t="str">
        <x:v>水庭苔甲蟹</x:v>
      </x:c>
      <x:c r="F2096" s="19" t="str">
        <x:v>普通</x:v>
      </x:c>
      <x:c r="G2096" s="19" t="str">
        <x:v>材料独立候选</x:v>
      </x:c>
      <x:c r="H2096" s="19" t="str">
        <x:v>野兽骨片</x:v>
      </x:c>
      <x:c r="I2096" s="22" t="n">
        <x:v>120</x:v>
      </x:c>
      <x:c r="J2096" s="22" t="n">
        <x:v>3</x:v>
      </x:c>
      <x:c r="K2096" s="19" t="n">
        <x:v>1</x:v>
      </x:c>
      <x:c r="L2096" s="24" t="n">
        <x:v>22.04</x:v>
      </x:c>
      <x:c r="M2096" s="26" t="n">
        <x:v>0.1</x:v>
      </x:c>
      <x:c r="N2096" s="24" t="n">
        <x:v>72</x:v>
      </x:c>
      <x:c r="O2096" s="28" t="n">
        <x:f>MIN(1,L2096/I2096)</x:f>
        <x:v>0.18366666666666667</x:v>
      </x:c>
      <x:c r="P2096" s="30" t="n">
        <x:f>O2096*J2096*(1+M2096)</x:f>
        <x:v>0.6061000000000001</x:v>
      </x:c>
      <x:c r="Q2096" s="30" t="n">
        <x:f>P2096*N2096</x:f>
        <x:v>43.6392</x:v>
      </x:c>
      <x:c r="R2096" s="19" t="str">
        <x:v>独立判定</x:v>
      </x:c>
    </x:row>
    <x:row r="2097" ht="19" customHeight="1">
      <x:c r="A2097" s="19" t="str">
        <x:v>D02093</x:v>
      </x:c>
      <x:c r="B2097" s="19" t="n">
        <x:v>5</x:v>
      </x:c>
      <x:c r="C2097" s="19" t="n">
        <x:v>1</x:v>
      </x:c>
      <x:c r="D2097" s="19" t="str">
        <x:v>C05-M002</x:v>
      </x:c>
      <x:c r="E2097" s="19" t="str">
        <x:v>水庭苔甲蟹</x:v>
      </x:c>
      <x:c r="F2097" s="19" t="str">
        <x:v>普通</x:v>
      </x:c>
      <x:c r="G2097" s="19" t="str">
        <x:v>材料独立候选</x:v>
      </x:c>
      <x:c r="H2097" s="19" t="str">
        <x:v>技能残页</x:v>
      </x:c>
      <x:c r="I2097" s="22" t="n">
        <x:v>3000</x:v>
      </x:c>
      <x:c r="J2097" s="22" t="n">
        <x:v>1</x:v>
      </x:c>
      <x:c r="K2097" s="19" t="n">
        <x:v>1</x:v>
      </x:c>
      <x:c r="L2097" s="24" t="n">
        <x:v>22.04</x:v>
      </x:c>
      <x:c r="M2097" s="26" t="n">
        <x:v>0.1</x:v>
      </x:c>
      <x:c r="N2097" s="24" t="n">
        <x:v>72</x:v>
      </x:c>
      <x:c r="O2097" s="28" t="n">
        <x:f>MIN(1,L2097/I2097)</x:f>
        <x:v>0.007346666666666666</x:v>
      </x:c>
      <x:c r="P2097" s="30" t="n">
        <x:f>O2097*J2097*(1+M2097)</x:f>
        <x:v>0.008081333333333333</x:v>
      </x:c>
      <x:c r="Q2097" s="30" t="n">
        <x:f>P2097*N2097</x:f>
        <x:v>0.5818559999999999</x:v>
      </x:c>
      <x:c r="R2097" s="19" t="str">
        <x:v>独立判定</x:v>
      </x:c>
    </x:row>
    <x:row r="2098" ht="19" customHeight="1">
      <x:c r="A2098" s="19" t="str">
        <x:v>D02094</x:v>
      </x:c>
      <x:c r="B2098" s="19" t="n">
        <x:v>5</x:v>
      </x:c>
      <x:c r="C2098" s="19" t="n">
        <x:v>1</x:v>
      </x:c>
      <x:c r="D2098" s="19" t="str">
        <x:v>C05-M002</x:v>
      </x:c>
      <x:c r="E2098" s="19" t="str">
        <x:v>水庭苔甲蟹</x:v>
      </x:c>
      <x:c r="F2098" s="19" t="str">
        <x:v>普通</x:v>
      </x:c>
      <x:c r="G2098" s="19" t="str">
        <x:v>材料独立候选</x:v>
      </x:c>
      <x:c r="H2098" s="19" t="str">
        <x:v>小卢恩</x:v>
      </x:c>
      <x:c r="I2098" s="22" t="n">
        <x:v>6000</x:v>
      </x:c>
      <x:c r="J2098" s="22" t="n">
        <x:v>1</x:v>
      </x:c>
      <x:c r="K2098" s="19" t="n">
        <x:v>1</x:v>
      </x:c>
      <x:c r="L2098" s="24" t="n">
        <x:v>22.04</x:v>
      </x:c>
      <x:c r="M2098" s="26" t="n">
        <x:v>0.1</x:v>
      </x:c>
      <x:c r="N2098" s="24" t="n">
        <x:v>72</x:v>
      </x:c>
      <x:c r="O2098" s="28" t="n">
        <x:f>MIN(1,L2098/I2098)</x:f>
        <x:v>0.003673333333333333</x:v>
      </x:c>
      <x:c r="P2098" s="30" t="n">
        <x:f>O2098*J2098*(1+M2098)</x:f>
        <x:v>0.004040666666666666</x:v>
      </x:c>
      <x:c r="Q2098" s="30" t="n">
        <x:f>P2098*N2098</x:f>
        <x:v>0.29092799999999996</x:v>
      </x:c>
      <x:c r="R2098" s="19" t="str">
        <x:v>独立判定</x:v>
      </x:c>
    </x:row>
    <x:row r="2099" ht="19" customHeight="1">
      <x:c r="A2099" s="19" t="str">
        <x:v>D02095</x:v>
      </x:c>
      <x:c r="B2099" s="19" t="n">
        <x:v>5</x:v>
      </x:c>
      <x:c r="C2099" s="19" t="n">
        <x:v>1</x:v>
      </x:c>
      <x:c r="D2099" s="19" t="str">
        <x:v>C05-M002</x:v>
      </x:c>
      <x:c r="E2099" s="19" t="str">
        <x:v>水庭苔甲蟹</x:v>
      </x:c>
      <x:c r="F2099" s="19" t="str">
        <x:v>普通</x:v>
      </x:c>
      <x:c r="G2099" s="19" t="str">
        <x:v>六神器公共池</x:v>
      </x:c>
      <x:c r="H2099" s="19" t="str">
        <x:v>POOL006</x:v>
      </x:c>
      <x:c r="I2099" s="22" t="n">
        <x:v>20000000</x:v>
      </x:c>
      <x:c r="J2099" s="22" t="n">
        <x:v>1</x:v>
      </x:c>
      <x:c r="K2099" s="19" t="n">
        <x:v>6</x:v>
      </x:c>
      <x:c r="L2099" s="24" t="n">
        <x:v>22.04</x:v>
      </x:c>
      <x:c r="M2099" s="26" t="n">
        <x:v>0.1</x:v>
      </x:c>
      <x:c r="N2099" s="24" t="n">
        <x:v>72</x:v>
      </x:c>
      <x:c r="O2099" s="28" t="n">
        <x:f>MIN(1,L2099/I2099)</x:f>
        <x:v>0.000001102</x:v>
      </x:c>
      <x:c r="P2099" s="30" t="n">
        <x:f>O2099*J2099*(1+M2099)</x:f>
        <x:v>0.0000012122</x:v>
      </x:c>
      <x:c r="Q2099" s="30" t="n">
        <x:f>P2099*N2099</x:f>
        <x:v>0.0000872784</x:v>
      </x:c>
      <x:c r="R2099" s="19" t="str">
        <x:v>六选一；非6个独立爆率</x:v>
      </x:c>
    </x:row>
    <x:row r="2100" ht="19" customHeight="1">
      <x:c r="A2100" s="19" t="str">
        <x:v>D02096</x:v>
      </x:c>
      <x:c r="B2100" s="19" t="n">
        <x:v>5</x:v>
      </x:c>
      <x:c r="C2100" s="19" t="n">
        <x:v>1</x:v>
      </x:c>
      <x:c r="D2100" s="19" t="str">
        <x:v>C05-M003</x:v>
      </x:c>
      <x:c r="E2100" s="19" t="str">
        <x:v>月雾提灯侍</x:v>
      </x:c>
      <x:c r="F2100" s="19" t="str">
        <x:v>普通</x:v>
      </x:c>
      <x:c r="G2100" s="19" t="str">
        <x:v>自身专属</x:v>
      </x:c>
      <x:c r="H2100" s="19" t="str">
        <x:v>月翳提灯笠</x:v>
      </x:c>
      <x:c r="I2100" s="22" t="n">
        <x:v>1800</x:v>
      </x:c>
      <x:c r="J2100" s="22" t="n">
        <x:v>1</x:v>
      </x:c>
      <x:c r="K2100" s="19" t="n">
        <x:v>1</x:v>
      </x:c>
      <x:c r="L2100" s="24" t="n">
        <x:v>22.04</x:v>
      </x:c>
      <x:c r="M2100" s="26" t="n">
        <x:v>0.1</x:v>
      </x:c>
      <x:c r="N2100" s="24" t="n">
        <x:v>72</x:v>
      </x:c>
      <x:c r="O2100" s="28" t="n">
        <x:f>MIN(1,L2100/I2100)</x:f>
        <x:v>0.012244444444444443</x:v>
      </x:c>
      <x:c r="P2100" s="30" t="n">
        <x:f>O2100*J2100*(1+M2100)</x:f>
        <x:v>0.013468888888888888</x:v>
      </x:c>
      <x:c r="Q2100" s="30" t="n">
        <x:f>P2100*N2100</x:f>
        <x:v>0.96976</x:v>
      </x:c>
      <x:c r="R2100" s="19" t="str">
        <x:v>独立判定</x:v>
      </x:c>
    </x:row>
    <x:row r="2101" ht="19" customHeight="1">
      <x:c r="A2101" s="19" t="str">
        <x:v>D02097</x:v>
      </x:c>
      <x:c r="B2101" s="19" t="n">
        <x:v>5</x:v>
      </x:c>
      <x:c r="C2101" s="19" t="n">
        <x:v>1</x:v>
      </x:c>
      <x:c r="D2101" s="19" t="str">
        <x:v>C05-M003</x:v>
      </x:c>
      <x:c r="E2101" s="19" t="str">
        <x:v>月雾提灯侍</x:v>
      </x:c>
      <x:c r="F2101" s="19" t="str">
        <x:v>普通</x:v>
      </x:c>
      <x:c r="G2101" s="19" t="str">
        <x:v>材料独立候选</x:v>
      </x:c>
      <x:c r="H2101" s="19" t="str">
        <x:v>辉石碎晶</x:v>
      </x:c>
      <x:c r="I2101" s="22" t="n">
        <x:v>600</x:v>
      </x:c>
      <x:c r="J2101" s="22" t="n">
        <x:v>8</x:v>
      </x:c>
      <x:c r="K2101" s="19" t="n">
        <x:v>1</x:v>
      </x:c>
      <x:c r="L2101" s="24" t="n">
        <x:v>22.04</x:v>
      </x:c>
      <x:c r="M2101" s="26" t="n">
        <x:v>0.1</x:v>
      </x:c>
      <x:c r="N2101" s="24" t="n">
        <x:v>72</x:v>
      </x:c>
      <x:c r="O2101" s="28" t="n">
        <x:f>MIN(1,L2101/I2101)</x:f>
        <x:v>0.03673333333333333</x:v>
      </x:c>
      <x:c r="P2101" s="30" t="n">
        <x:f>O2101*J2101*(1+M2101)</x:f>
        <x:v>0.32325333333333334</x:v>
      </x:c>
      <x:c r="Q2101" s="30" t="n">
        <x:f>P2101*N2101</x:f>
        <x:v>23.27424</x:v>
      </x:c>
      <x:c r="R2101" s="19" t="str">
        <x:v>独立判定</x:v>
      </x:c>
    </x:row>
    <x:row r="2102" ht="19" customHeight="1">
      <x:c r="A2102" s="19" t="str">
        <x:v>D02098</x:v>
      </x:c>
      <x:c r="B2102" s="19" t="n">
        <x:v>5</x:v>
      </x:c>
      <x:c r="C2102" s="19" t="n">
        <x:v>1</x:v>
      </x:c>
      <x:c r="D2102" s="19" t="str">
        <x:v>C05-M003</x:v>
      </x:c>
      <x:c r="E2102" s="19" t="str">
        <x:v>月雾提灯侍</x:v>
      </x:c>
      <x:c r="F2102" s="19" t="str">
        <x:v>普通</x:v>
      </x:c>
      <x:c r="G2102" s="19" t="str">
        <x:v>材料独立候选</x:v>
      </x:c>
      <x:c r="H2102" s="19" t="str">
        <x:v>雾月星砂</x:v>
      </x:c>
      <x:c r="I2102" s="22" t="n">
        <x:v>1000</x:v>
      </x:c>
      <x:c r="J2102" s="22" t="n">
        <x:v>1</x:v>
      </x:c>
      <x:c r="K2102" s="19" t="n">
        <x:v>1</x:v>
      </x:c>
      <x:c r="L2102" s="24" t="n">
        <x:v>22.04</x:v>
      </x:c>
      <x:c r="M2102" s="26" t="n">
        <x:v>0.1</x:v>
      </x:c>
      <x:c r="N2102" s="24" t="n">
        <x:v>72</x:v>
      </x:c>
      <x:c r="O2102" s="28" t="n">
        <x:f>MIN(1,L2102/I2102)</x:f>
        <x:v>0.02204</x:v>
      </x:c>
      <x:c r="P2102" s="30" t="n">
        <x:f>O2102*J2102*(1+M2102)</x:f>
        <x:v>0.024244</x:v>
      </x:c>
      <x:c r="Q2102" s="30" t="n">
        <x:f>P2102*N2102</x:f>
        <x:v>1.745568</x:v>
      </x:c>
      <x:c r="R2102" s="19" t="str">
        <x:v>独立判定</x:v>
      </x:c>
    </x:row>
    <x:row r="2103" ht="19" customHeight="1">
      <x:c r="A2103" s="19" t="str">
        <x:v>D02099</x:v>
      </x:c>
      <x:c r="B2103" s="19" t="n">
        <x:v>5</x:v>
      </x:c>
      <x:c r="C2103" s="19" t="n">
        <x:v>1</x:v>
      </x:c>
      <x:c r="D2103" s="19" t="str">
        <x:v>C05-M003</x:v>
      </x:c>
      <x:c r="E2103" s="19" t="str">
        <x:v>月雾提灯侍</x:v>
      </x:c>
      <x:c r="F2103" s="19" t="str">
        <x:v>普通</x:v>
      </x:c>
      <x:c r="G2103" s="19" t="str">
        <x:v>材料独立候选</x:v>
      </x:c>
      <x:c r="H2103" s="19" t="str">
        <x:v>湖心月谱残章</x:v>
      </x:c>
      <x:c r="I2103" s="22" t="n">
        <x:v>1000000</x:v>
      </x:c>
      <x:c r="J2103" s="22" t="n">
        <x:v>1</x:v>
      </x:c>
      <x:c r="K2103" s="19" t="n">
        <x:v>1</x:v>
      </x:c>
      <x:c r="L2103" s="24" t="n">
        <x:v>22.04</x:v>
      </x:c>
      <x:c r="M2103" s="26" t="n">
        <x:v>0.1</x:v>
      </x:c>
      <x:c r="N2103" s="24" t="n">
        <x:v>72</x:v>
      </x:c>
      <x:c r="O2103" s="28" t="n">
        <x:f>MIN(1,L2103/I2103)</x:f>
        <x:v>0.00002204</x:v>
      </x:c>
      <x:c r="P2103" s="30" t="n">
        <x:f>O2103*J2103*(1+M2103)</x:f>
        <x:v>0.000024244</x:v>
      </x:c>
      <x:c r="Q2103" s="30" t="n">
        <x:f>P2103*N2103</x:f>
        <x:v>0.001745568</x:v>
      </x:c>
      <x:c r="R2103" s="19" t="str">
        <x:v>独立判定</x:v>
      </x:c>
    </x:row>
    <x:row r="2104" ht="19" customHeight="1">
      <x:c r="A2104" s="19" t="str">
        <x:v>D02100</x:v>
      </x:c>
      <x:c r="B2104" s="19" t="n">
        <x:v>5</x:v>
      </x:c>
      <x:c r="C2104" s="19" t="n">
        <x:v>1</x:v>
      </x:c>
      <x:c r="D2104" s="19" t="str">
        <x:v>C05-M003</x:v>
      </x:c>
      <x:c r="E2104" s="19" t="str">
        <x:v>月雾提灯侍</x:v>
      </x:c>
      <x:c r="F2104" s="19" t="str">
        <x:v>普通</x:v>
      </x:c>
      <x:c r="G2104" s="19" t="str">
        <x:v>材料独立候选</x:v>
      </x:c>
      <x:c r="H2104" s="19" t="str">
        <x:v>野兽骨片</x:v>
      </x:c>
      <x:c r="I2104" s="22" t="n">
        <x:v>120</x:v>
      </x:c>
      <x:c r="J2104" s="22" t="n">
        <x:v>3</x:v>
      </x:c>
      <x:c r="K2104" s="19" t="n">
        <x:v>1</x:v>
      </x:c>
      <x:c r="L2104" s="24" t="n">
        <x:v>22.04</x:v>
      </x:c>
      <x:c r="M2104" s="26" t="n">
        <x:v>0.1</x:v>
      </x:c>
      <x:c r="N2104" s="24" t="n">
        <x:v>72</x:v>
      </x:c>
      <x:c r="O2104" s="28" t="n">
        <x:f>MIN(1,L2104/I2104)</x:f>
        <x:v>0.18366666666666667</x:v>
      </x:c>
      <x:c r="P2104" s="30" t="n">
        <x:f>O2104*J2104*(1+M2104)</x:f>
        <x:v>0.6061000000000001</x:v>
      </x:c>
      <x:c r="Q2104" s="30" t="n">
        <x:f>P2104*N2104</x:f>
        <x:v>43.6392</x:v>
      </x:c>
      <x:c r="R2104" s="19" t="str">
        <x:v>独立判定</x:v>
      </x:c>
    </x:row>
    <x:row r="2105" ht="19" customHeight="1">
      <x:c r="A2105" s="19" t="str">
        <x:v>D02101</x:v>
      </x:c>
      <x:c r="B2105" s="19" t="n">
        <x:v>5</x:v>
      </x:c>
      <x:c r="C2105" s="19" t="n">
        <x:v>1</x:v>
      </x:c>
      <x:c r="D2105" s="19" t="str">
        <x:v>C05-M003</x:v>
      </x:c>
      <x:c r="E2105" s="19" t="str">
        <x:v>月雾提灯侍</x:v>
      </x:c>
      <x:c r="F2105" s="19" t="str">
        <x:v>普通</x:v>
      </x:c>
      <x:c r="G2105" s="19" t="str">
        <x:v>材料独立候选</x:v>
      </x:c>
      <x:c r="H2105" s="19" t="str">
        <x:v>技能残页</x:v>
      </x:c>
      <x:c r="I2105" s="22" t="n">
        <x:v>3000</x:v>
      </x:c>
      <x:c r="J2105" s="22" t="n">
        <x:v>1</x:v>
      </x:c>
      <x:c r="K2105" s="19" t="n">
        <x:v>1</x:v>
      </x:c>
      <x:c r="L2105" s="24" t="n">
        <x:v>22.04</x:v>
      </x:c>
      <x:c r="M2105" s="26" t="n">
        <x:v>0.1</x:v>
      </x:c>
      <x:c r="N2105" s="24" t="n">
        <x:v>72</x:v>
      </x:c>
      <x:c r="O2105" s="28" t="n">
        <x:f>MIN(1,L2105/I2105)</x:f>
        <x:v>0.007346666666666666</x:v>
      </x:c>
      <x:c r="P2105" s="30" t="n">
        <x:f>O2105*J2105*(1+M2105)</x:f>
        <x:v>0.008081333333333333</x:v>
      </x:c>
      <x:c r="Q2105" s="30" t="n">
        <x:f>P2105*N2105</x:f>
        <x:v>0.5818559999999999</x:v>
      </x:c>
      <x:c r="R2105" s="19" t="str">
        <x:v>独立判定</x:v>
      </x:c>
    </x:row>
    <x:row r="2106" ht="19" customHeight="1">
      <x:c r="A2106" s="19" t="str">
        <x:v>D02102</x:v>
      </x:c>
      <x:c r="B2106" s="19" t="n">
        <x:v>5</x:v>
      </x:c>
      <x:c r="C2106" s="19" t="n">
        <x:v>1</x:v>
      </x:c>
      <x:c r="D2106" s="19" t="str">
        <x:v>C05-M003</x:v>
      </x:c>
      <x:c r="E2106" s="19" t="str">
        <x:v>月雾提灯侍</x:v>
      </x:c>
      <x:c r="F2106" s="19" t="str">
        <x:v>普通</x:v>
      </x:c>
      <x:c r="G2106" s="19" t="str">
        <x:v>材料独立候选</x:v>
      </x:c>
      <x:c r="H2106" s="19" t="str">
        <x:v>小卢恩</x:v>
      </x:c>
      <x:c r="I2106" s="22" t="n">
        <x:v>6000</x:v>
      </x:c>
      <x:c r="J2106" s="22" t="n">
        <x:v>1</x:v>
      </x:c>
      <x:c r="K2106" s="19" t="n">
        <x:v>1</x:v>
      </x:c>
      <x:c r="L2106" s="24" t="n">
        <x:v>22.04</x:v>
      </x:c>
      <x:c r="M2106" s="26" t="n">
        <x:v>0.1</x:v>
      </x:c>
      <x:c r="N2106" s="24" t="n">
        <x:v>72</x:v>
      </x:c>
      <x:c r="O2106" s="28" t="n">
        <x:f>MIN(1,L2106/I2106)</x:f>
        <x:v>0.003673333333333333</x:v>
      </x:c>
      <x:c r="P2106" s="30" t="n">
        <x:f>O2106*J2106*(1+M2106)</x:f>
        <x:v>0.004040666666666666</x:v>
      </x:c>
      <x:c r="Q2106" s="30" t="n">
        <x:f>P2106*N2106</x:f>
        <x:v>0.29092799999999996</x:v>
      </x:c>
      <x:c r="R2106" s="19" t="str">
        <x:v>独立判定</x:v>
      </x:c>
    </x:row>
    <x:row r="2107" ht="19" customHeight="1">
      <x:c r="A2107" s="19" t="str">
        <x:v>D02103</x:v>
      </x:c>
      <x:c r="B2107" s="19" t="n">
        <x:v>5</x:v>
      </x:c>
      <x:c r="C2107" s="19" t="n">
        <x:v>1</x:v>
      </x:c>
      <x:c r="D2107" s="19" t="str">
        <x:v>C05-M003</x:v>
      </x:c>
      <x:c r="E2107" s="19" t="str">
        <x:v>月雾提灯侍</x:v>
      </x:c>
      <x:c r="F2107" s="19" t="str">
        <x:v>普通</x:v>
      </x:c>
      <x:c r="G2107" s="19" t="str">
        <x:v>六神器公共池</x:v>
      </x:c>
      <x:c r="H2107" s="19" t="str">
        <x:v>POOL006</x:v>
      </x:c>
      <x:c r="I2107" s="22" t="n">
        <x:v>20000000</x:v>
      </x:c>
      <x:c r="J2107" s="22" t="n">
        <x:v>1</x:v>
      </x:c>
      <x:c r="K2107" s="19" t="n">
        <x:v>6</x:v>
      </x:c>
      <x:c r="L2107" s="24" t="n">
        <x:v>22.04</x:v>
      </x:c>
      <x:c r="M2107" s="26" t="n">
        <x:v>0.1</x:v>
      </x:c>
      <x:c r="N2107" s="24" t="n">
        <x:v>72</x:v>
      </x:c>
      <x:c r="O2107" s="28" t="n">
        <x:f>MIN(1,L2107/I2107)</x:f>
        <x:v>0.000001102</x:v>
      </x:c>
      <x:c r="P2107" s="30" t="n">
        <x:f>O2107*J2107*(1+M2107)</x:f>
        <x:v>0.0000012122</x:v>
      </x:c>
      <x:c r="Q2107" s="30" t="n">
        <x:f>P2107*N2107</x:f>
        <x:v>0.0000872784</x:v>
      </x:c>
      <x:c r="R2107" s="19" t="str">
        <x:v>六选一；非6个独立爆率</x:v>
      </x:c>
    </x:row>
    <x:row r="2108" ht="19" customHeight="1">
      <x:c r="A2108" s="19" t="str">
        <x:v>D02104</x:v>
      </x:c>
      <x:c r="B2108" s="19" t="n">
        <x:v>5</x:v>
      </x:c>
      <x:c r="C2108" s="19" t="n">
        <x:v>1</x:v>
      </x:c>
      <x:c r="D2108" s="19" t="str">
        <x:v>C05-M004</x:v>
      </x:c>
      <x:c r="E2108" s="19" t="str">
        <x:v>回廊凝露蛾</x:v>
      </x:c>
      <x:c r="F2108" s="19" t="str">
        <x:v>普通</x:v>
      </x:c>
      <x:c r="G2108" s="19" t="str">
        <x:v>自身专属</x:v>
      </x:c>
      <x:c r="H2108" s="19" t="str">
        <x:v>凝露蛾月坠</x:v>
      </x:c>
      <x:c r="I2108" s="22" t="n">
        <x:v>1800</x:v>
      </x:c>
      <x:c r="J2108" s="22" t="n">
        <x:v>1</x:v>
      </x:c>
      <x:c r="K2108" s="19" t="n">
        <x:v>1</x:v>
      </x:c>
      <x:c r="L2108" s="24" t="n">
        <x:v>22.04</x:v>
      </x:c>
      <x:c r="M2108" s="26" t="n">
        <x:v>0.1</x:v>
      </x:c>
      <x:c r="N2108" s="24" t="n">
        <x:v>72</x:v>
      </x:c>
      <x:c r="O2108" s="28" t="n">
        <x:f>MIN(1,L2108/I2108)</x:f>
        <x:v>0.012244444444444443</x:v>
      </x:c>
      <x:c r="P2108" s="30" t="n">
        <x:f>O2108*J2108*(1+M2108)</x:f>
        <x:v>0.013468888888888888</x:v>
      </x:c>
      <x:c r="Q2108" s="30" t="n">
        <x:f>P2108*N2108</x:f>
        <x:v>0.96976</x:v>
      </x:c>
      <x:c r="R2108" s="19" t="str">
        <x:v>独立判定</x:v>
      </x:c>
    </x:row>
    <x:row r="2109" ht="19" customHeight="1">
      <x:c r="A2109" s="19" t="str">
        <x:v>D02105</x:v>
      </x:c>
      <x:c r="B2109" s="19" t="n">
        <x:v>5</x:v>
      </x:c>
      <x:c r="C2109" s="19" t="n">
        <x:v>1</x:v>
      </x:c>
      <x:c r="D2109" s="19" t="str">
        <x:v>C05-M004</x:v>
      </x:c>
      <x:c r="E2109" s="19" t="str">
        <x:v>回廊凝露蛾</x:v>
      </x:c>
      <x:c r="F2109" s="19" t="str">
        <x:v>普通</x:v>
      </x:c>
      <x:c r="G2109" s="19" t="str">
        <x:v>材料独立候选</x:v>
      </x:c>
      <x:c r="H2109" s="19" t="str">
        <x:v>辉石碎晶</x:v>
      </x:c>
      <x:c r="I2109" s="22" t="n">
        <x:v>600</x:v>
      </x:c>
      <x:c r="J2109" s="22" t="n">
        <x:v>8</x:v>
      </x:c>
      <x:c r="K2109" s="19" t="n">
        <x:v>1</x:v>
      </x:c>
      <x:c r="L2109" s="24" t="n">
        <x:v>22.04</x:v>
      </x:c>
      <x:c r="M2109" s="26" t="n">
        <x:v>0.1</x:v>
      </x:c>
      <x:c r="N2109" s="24" t="n">
        <x:v>72</x:v>
      </x:c>
      <x:c r="O2109" s="28" t="n">
        <x:f>MIN(1,L2109/I2109)</x:f>
        <x:v>0.03673333333333333</x:v>
      </x:c>
      <x:c r="P2109" s="30" t="n">
        <x:f>O2109*J2109*(1+M2109)</x:f>
        <x:v>0.32325333333333334</x:v>
      </x:c>
      <x:c r="Q2109" s="30" t="n">
        <x:f>P2109*N2109</x:f>
        <x:v>23.27424</x:v>
      </x:c>
      <x:c r="R2109" s="19" t="str">
        <x:v>独立判定</x:v>
      </x:c>
    </x:row>
    <x:row r="2110" ht="19" customHeight="1">
      <x:c r="A2110" s="19" t="str">
        <x:v>D02106</x:v>
      </x:c>
      <x:c r="B2110" s="19" t="n">
        <x:v>5</x:v>
      </x:c>
      <x:c r="C2110" s="19" t="n">
        <x:v>1</x:v>
      </x:c>
      <x:c r="D2110" s="19" t="str">
        <x:v>C05-M004</x:v>
      </x:c>
      <x:c r="E2110" s="19" t="str">
        <x:v>回廊凝露蛾</x:v>
      </x:c>
      <x:c r="F2110" s="19" t="str">
        <x:v>普通</x:v>
      </x:c>
      <x:c r="G2110" s="19" t="str">
        <x:v>材料独立候选</x:v>
      </x:c>
      <x:c r="H2110" s="19" t="str">
        <x:v>雾月星砂</x:v>
      </x:c>
      <x:c r="I2110" s="22" t="n">
        <x:v>1000</x:v>
      </x:c>
      <x:c r="J2110" s="22" t="n">
        <x:v>1</x:v>
      </x:c>
      <x:c r="K2110" s="19" t="n">
        <x:v>1</x:v>
      </x:c>
      <x:c r="L2110" s="24" t="n">
        <x:v>22.04</x:v>
      </x:c>
      <x:c r="M2110" s="26" t="n">
        <x:v>0.1</x:v>
      </x:c>
      <x:c r="N2110" s="24" t="n">
        <x:v>72</x:v>
      </x:c>
      <x:c r="O2110" s="28" t="n">
        <x:f>MIN(1,L2110/I2110)</x:f>
        <x:v>0.02204</x:v>
      </x:c>
      <x:c r="P2110" s="30" t="n">
        <x:f>O2110*J2110*(1+M2110)</x:f>
        <x:v>0.024244</x:v>
      </x:c>
      <x:c r="Q2110" s="30" t="n">
        <x:f>P2110*N2110</x:f>
        <x:v>1.745568</x:v>
      </x:c>
      <x:c r="R2110" s="19" t="str">
        <x:v>独立判定</x:v>
      </x:c>
    </x:row>
    <x:row r="2111" ht="19" customHeight="1">
      <x:c r="A2111" s="19" t="str">
        <x:v>D02107</x:v>
      </x:c>
      <x:c r="B2111" s="19" t="n">
        <x:v>5</x:v>
      </x:c>
      <x:c r="C2111" s="19" t="n">
        <x:v>1</x:v>
      </x:c>
      <x:c r="D2111" s="19" t="str">
        <x:v>C05-M004</x:v>
      </x:c>
      <x:c r="E2111" s="19" t="str">
        <x:v>回廊凝露蛾</x:v>
      </x:c>
      <x:c r="F2111" s="19" t="str">
        <x:v>普通</x:v>
      </x:c>
      <x:c r="G2111" s="19" t="str">
        <x:v>材料独立候选</x:v>
      </x:c>
      <x:c r="H2111" s="19" t="str">
        <x:v>湖心月谱残章</x:v>
      </x:c>
      <x:c r="I2111" s="22" t="n">
        <x:v>1000000</x:v>
      </x:c>
      <x:c r="J2111" s="22" t="n">
        <x:v>1</x:v>
      </x:c>
      <x:c r="K2111" s="19" t="n">
        <x:v>1</x:v>
      </x:c>
      <x:c r="L2111" s="24" t="n">
        <x:v>22.04</x:v>
      </x:c>
      <x:c r="M2111" s="26" t="n">
        <x:v>0.1</x:v>
      </x:c>
      <x:c r="N2111" s="24" t="n">
        <x:v>72</x:v>
      </x:c>
      <x:c r="O2111" s="28" t="n">
        <x:f>MIN(1,L2111/I2111)</x:f>
        <x:v>0.00002204</x:v>
      </x:c>
      <x:c r="P2111" s="30" t="n">
        <x:f>O2111*J2111*(1+M2111)</x:f>
        <x:v>0.000024244</x:v>
      </x:c>
      <x:c r="Q2111" s="30" t="n">
        <x:f>P2111*N2111</x:f>
        <x:v>0.001745568</x:v>
      </x:c>
      <x:c r="R2111" s="19" t="str">
        <x:v>独立判定</x:v>
      </x:c>
    </x:row>
    <x:row r="2112" ht="19" customHeight="1">
      <x:c r="A2112" s="19" t="str">
        <x:v>D02108</x:v>
      </x:c>
      <x:c r="B2112" s="19" t="n">
        <x:v>5</x:v>
      </x:c>
      <x:c r="C2112" s="19" t="n">
        <x:v>1</x:v>
      </x:c>
      <x:c r="D2112" s="19" t="str">
        <x:v>C05-M004</x:v>
      </x:c>
      <x:c r="E2112" s="19" t="str">
        <x:v>回廊凝露蛾</x:v>
      </x:c>
      <x:c r="F2112" s="19" t="str">
        <x:v>普通</x:v>
      </x:c>
      <x:c r="G2112" s="19" t="str">
        <x:v>材料独立候选</x:v>
      </x:c>
      <x:c r="H2112" s="19" t="str">
        <x:v>野兽骨片</x:v>
      </x:c>
      <x:c r="I2112" s="22" t="n">
        <x:v>120</x:v>
      </x:c>
      <x:c r="J2112" s="22" t="n">
        <x:v>3</x:v>
      </x:c>
      <x:c r="K2112" s="19" t="n">
        <x:v>1</x:v>
      </x:c>
      <x:c r="L2112" s="24" t="n">
        <x:v>22.04</x:v>
      </x:c>
      <x:c r="M2112" s="26" t="n">
        <x:v>0.1</x:v>
      </x:c>
      <x:c r="N2112" s="24" t="n">
        <x:v>72</x:v>
      </x:c>
      <x:c r="O2112" s="28" t="n">
        <x:f>MIN(1,L2112/I2112)</x:f>
        <x:v>0.18366666666666667</x:v>
      </x:c>
      <x:c r="P2112" s="30" t="n">
        <x:f>O2112*J2112*(1+M2112)</x:f>
        <x:v>0.6061000000000001</x:v>
      </x:c>
      <x:c r="Q2112" s="30" t="n">
        <x:f>P2112*N2112</x:f>
        <x:v>43.6392</x:v>
      </x:c>
      <x:c r="R2112" s="19" t="str">
        <x:v>独立判定</x:v>
      </x:c>
    </x:row>
    <x:row r="2113" ht="19" customHeight="1">
      <x:c r="A2113" s="19" t="str">
        <x:v>D02109</x:v>
      </x:c>
      <x:c r="B2113" s="19" t="n">
        <x:v>5</x:v>
      </x:c>
      <x:c r="C2113" s="19" t="n">
        <x:v>1</x:v>
      </x:c>
      <x:c r="D2113" s="19" t="str">
        <x:v>C05-M004</x:v>
      </x:c>
      <x:c r="E2113" s="19" t="str">
        <x:v>回廊凝露蛾</x:v>
      </x:c>
      <x:c r="F2113" s="19" t="str">
        <x:v>普通</x:v>
      </x:c>
      <x:c r="G2113" s="19" t="str">
        <x:v>材料独立候选</x:v>
      </x:c>
      <x:c r="H2113" s="19" t="str">
        <x:v>技能残页</x:v>
      </x:c>
      <x:c r="I2113" s="22" t="n">
        <x:v>3000</x:v>
      </x:c>
      <x:c r="J2113" s="22" t="n">
        <x:v>1</x:v>
      </x:c>
      <x:c r="K2113" s="19" t="n">
        <x:v>1</x:v>
      </x:c>
      <x:c r="L2113" s="24" t="n">
        <x:v>22.04</x:v>
      </x:c>
      <x:c r="M2113" s="26" t="n">
        <x:v>0.1</x:v>
      </x:c>
      <x:c r="N2113" s="24" t="n">
        <x:v>72</x:v>
      </x:c>
      <x:c r="O2113" s="28" t="n">
        <x:f>MIN(1,L2113/I2113)</x:f>
        <x:v>0.007346666666666666</x:v>
      </x:c>
      <x:c r="P2113" s="30" t="n">
        <x:f>O2113*J2113*(1+M2113)</x:f>
        <x:v>0.008081333333333333</x:v>
      </x:c>
      <x:c r="Q2113" s="30" t="n">
        <x:f>P2113*N2113</x:f>
        <x:v>0.5818559999999999</x:v>
      </x:c>
      <x:c r="R2113" s="19" t="str">
        <x:v>独立判定</x:v>
      </x:c>
    </x:row>
    <x:row r="2114" ht="19" customHeight="1">
      <x:c r="A2114" s="19" t="str">
        <x:v>D02110</x:v>
      </x:c>
      <x:c r="B2114" s="19" t="n">
        <x:v>5</x:v>
      </x:c>
      <x:c r="C2114" s="19" t="n">
        <x:v>1</x:v>
      </x:c>
      <x:c r="D2114" s="19" t="str">
        <x:v>C05-M004</x:v>
      </x:c>
      <x:c r="E2114" s="19" t="str">
        <x:v>回廊凝露蛾</x:v>
      </x:c>
      <x:c r="F2114" s="19" t="str">
        <x:v>普通</x:v>
      </x:c>
      <x:c r="G2114" s="19" t="str">
        <x:v>材料独立候选</x:v>
      </x:c>
      <x:c r="H2114" s="19" t="str">
        <x:v>小卢恩</x:v>
      </x:c>
      <x:c r="I2114" s="22" t="n">
        <x:v>6000</x:v>
      </x:c>
      <x:c r="J2114" s="22" t="n">
        <x:v>1</x:v>
      </x:c>
      <x:c r="K2114" s="19" t="n">
        <x:v>1</x:v>
      </x:c>
      <x:c r="L2114" s="24" t="n">
        <x:v>22.04</x:v>
      </x:c>
      <x:c r="M2114" s="26" t="n">
        <x:v>0.1</x:v>
      </x:c>
      <x:c r="N2114" s="24" t="n">
        <x:v>72</x:v>
      </x:c>
      <x:c r="O2114" s="28" t="n">
        <x:f>MIN(1,L2114/I2114)</x:f>
        <x:v>0.003673333333333333</x:v>
      </x:c>
      <x:c r="P2114" s="30" t="n">
        <x:f>O2114*J2114*(1+M2114)</x:f>
        <x:v>0.004040666666666666</x:v>
      </x:c>
      <x:c r="Q2114" s="30" t="n">
        <x:f>P2114*N2114</x:f>
        <x:v>0.29092799999999996</x:v>
      </x:c>
      <x:c r="R2114" s="19" t="str">
        <x:v>独立判定</x:v>
      </x:c>
    </x:row>
    <x:row r="2115" ht="19" customHeight="1">
      <x:c r="A2115" s="19" t="str">
        <x:v>D02111</x:v>
      </x:c>
      <x:c r="B2115" s="19" t="n">
        <x:v>5</x:v>
      </x:c>
      <x:c r="C2115" s="19" t="n">
        <x:v>1</x:v>
      </x:c>
      <x:c r="D2115" s="19" t="str">
        <x:v>C05-M004</x:v>
      </x:c>
      <x:c r="E2115" s="19" t="str">
        <x:v>回廊凝露蛾</x:v>
      </x:c>
      <x:c r="F2115" s="19" t="str">
        <x:v>普通</x:v>
      </x:c>
      <x:c r="G2115" s="19" t="str">
        <x:v>六神器公共池</x:v>
      </x:c>
      <x:c r="H2115" s="19" t="str">
        <x:v>POOL006</x:v>
      </x:c>
      <x:c r="I2115" s="22" t="n">
        <x:v>20000000</x:v>
      </x:c>
      <x:c r="J2115" s="22" t="n">
        <x:v>1</x:v>
      </x:c>
      <x:c r="K2115" s="19" t="n">
        <x:v>6</x:v>
      </x:c>
      <x:c r="L2115" s="24" t="n">
        <x:v>22.04</x:v>
      </x:c>
      <x:c r="M2115" s="26" t="n">
        <x:v>0.1</x:v>
      </x:c>
      <x:c r="N2115" s="24" t="n">
        <x:v>72</x:v>
      </x:c>
      <x:c r="O2115" s="28" t="n">
        <x:f>MIN(1,L2115/I2115)</x:f>
        <x:v>0.000001102</x:v>
      </x:c>
      <x:c r="P2115" s="30" t="n">
        <x:f>O2115*J2115*(1+M2115)</x:f>
        <x:v>0.0000012122</x:v>
      </x:c>
      <x:c r="Q2115" s="30" t="n">
        <x:f>P2115*N2115</x:f>
        <x:v>0.0000872784</x:v>
      </x:c>
      <x:c r="R2115" s="19" t="str">
        <x:v>六选一；非6个独立爆率</x:v>
      </x:c>
    </x:row>
    <x:row r="2116" ht="19" customHeight="1">
      <x:c r="A2116" s="19" t="str">
        <x:v>D02112</x:v>
      </x:c>
      <x:c r="B2116" s="19" t="n">
        <x:v>5</x:v>
      </x:c>
      <x:c r="C2116" s="19" t="n">
        <x:v>1</x:v>
      </x:c>
      <x:c r="D2116" s="19" t="str">
        <x:v>C05-M005</x:v>
      </x:c>
      <x:c r="E2116" s="19" t="str">
        <x:v>静月执盏者</x:v>
      </x:c>
      <x:c r="F2116" s="19" t="str">
        <x:v>普通</x:v>
      </x:c>
      <x:c r="G2116" s="19" t="str">
        <x:v>自身专属</x:v>
      </x:c>
      <x:c r="H2116" s="19" t="str">
        <x:v>静盏银纹镯</x:v>
      </x:c>
      <x:c r="I2116" s="22" t="n">
        <x:v>1800</x:v>
      </x:c>
      <x:c r="J2116" s="22" t="n">
        <x:v>1</x:v>
      </x:c>
      <x:c r="K2116" s="19" t="n">
        <x:v>1</x:v>
      </x:c>
      <x:c r="L2116" s="24" t="n">
        <x:v>22.04</x:v>
      </x:c>
      <x:c r="M2116" s="26" t="n">
        <x:v>0.1</x:v>
      </x:c>
      <x:c r="N2116" s="24" t="n">
        <x:v>72</x:v>
      </x:c>
      <x:c r="O2116" s="28" t="n">
        <x:f>MIN(1,L2116/I2116)</x:f>
        <x:v>0.012244444444444443</x:v>
      </x:c>
      <x:c r="P2116" s="30" t="n">
        <x:f>O2116*J2116*(1+M2116)</x:f>
        <x:v>0.013468888888888888</x:v>
      </x:c>
      <x:c r="Q2116" s="30" t="n">
        <x:f>P2116*N2116</x:f>
        <x:v>0.96976</x:v>
      </x:c>
      <x:c r="R2116" s="19" t="str">
        <x:v>独立判定</x:v>
      </x:c>
    </x:row>
    <x:row r="2117" ht="19" customHeight="1">
      <x:c r="A2117" s="19" t="str">
        <x:v>D02113</x:v>
      </x:c>
      <x:c r="B2117" s="19" t="n">
        <x:v>5</x:v>
      </x:c>
      <x:c r="C2117" s="19" t="n">
        <x:v>1</x:v>
      </x:c>
      <x:c r="D2117" s="19" t="str">
        <x:v>C05-M005</x:v>
      </x:c>
      <x:c r="E2117" s="19" t="str">
        <x:v>静月执盏者</x:v>
      </x:c>
      <x:c r="F2117" s="19" t="str">
        <x:v>普通</x:v>
      </x:c>
      <x:c r="G2117" s="19" t="str">
        <x:v>材料独立候选</x:v>
      </x:c>
      <x:c r="H2117" s="19" t="str">
        <x:v>辉石碎晶</x:v>
      </x:c>
      <x:c r="I2117" s="22" t="n">
        <x:v>600</x:v>
      </x:c>
      <x:c r="J2117" s="22" t="n">
        <x:v>8</x:v>
      </x:c>
      <x:c r="K2117" s="19" t="n">
        <x:v>1</x:v>
      </x:c>
      <x:c r="L2117" s="24" t="n">
        <x:v>22.04</x:v>
      </x:c>
      <x:c r="M2117" s="26" t="n">
        <x:v>0.1</x:v>
      </x:c>
      <x:c r="N2117" s="24" t="n">
        <x:v>72</x:v>
      </x:c>
      <x:c r="O2117" s="28" t="n">
        <x:f>MIN(1,L2117/I2117)</x:f>
        <x:v>0.03673333333333333</x:v>
      </x:c>
      <x:c r="P2117" s="30" t="n">
        <x:f>O2117*J2117*(1+M2117)</x:f>
        <x:v>0.32325333333333334</x:v>
      </x:c>
      <x:c r="Q2117" s="30" t="n">
        <x:f>P2117*N2117</x:f>
        <x:v>23.27424</x:v>
      </x:c>
      <x:c r="R2117" s="19" t="str">
        <x:v>独立判定</x:v>
      </x:c>
    </x:row>
    <x:row r="2118" ht="19" customHeight="1">
      <x:c r="A2118" s="19" t="str">
        <x:v>D02114</x:v>
      </x:c>
      <x:c r="B2118" s="19" t="n">
        <x:v>5</x:v>
      </x:c>
      <x:c r="C2118" s="19" t="n">
        <x:v>1</x:v>
      </x:c>
      <x:c r="D2118" s="19" t="str">
        <x:v>C05-M005</x:v>
      </x:c>
      <x:c r="E2118" s="19" t="str">
        <x:v>静月执盏者</x:v>
      </x:c>
      <x:c r="F2118" s="19" t="str">
        <x:v>普通</x:v>
      </x:c>
      <x:c r="G2118" s="19" t="str">
        <x:v>材料独立候选</x:v>
      </x:c>
      <x:c r="H2118" s="19" t="str">
        <x:v>雾月星砂</x:v>
      </x:c>
      <x:c r="I2118" s="22" t="n">
        <x:v>1000</x:v>
      </x:c>
      <x:c r="J2118" s="22" t="n">
        <x:v>1</x:v>
      </x:c>
      <x:c r="K2118" s="19" t="n">
        <x:v>1</x:v>
      </x:c>
      <x:c r="L2118" s="24" t="n">
        <x:v>22.04</x:v>
      </x:c>
      <x:c r="M2118" s="26" t="n">
        <x:v>0.1</x:v>
      </x:c>
      <x:c r="N2118" s="24" t="n">
        <x:v>72</x:v>
      </x:c>
      <x:c r="O2118" s="28" t="n">
        <x:f>MIN(1,L2118/I2118)</x:f>
        <x:v>0.02204</x:v>
      </x:c>
      <x:c r="P2118" s="30" t="n">
        <x:f>O2118*J2118*(1+M2118)</x:f>
        <x:v>0.024244</x:v>
      </x:c>
      <x:c r="Q2118" s="30" t="n">
        <x:f>P2118*N2118</x:f>
        <x:v>1.745568</x:v>
      </x:c>
      <x:c r="R2118" s="19" t="str">
        <x:v>独立判定</x:v>
      </x:c>
    </x:row>
    <x:row r="2119" ht="19" customHeight="1">
      <x:c r="A2119" s="19" t="str">
        <x:v>D02115</x:v>
      </x:c>
      <x:c r="B2119" s="19" t="n">
        <x:v>5</x:v>
      </x:c>
      <x:c r="C2119" s="19" t="n">
        <x:v>1</x:v>
      </x:c>
      <x:c r="D2119" s="19" t="str">
        <x:v>C05-M005</x:v>
      </x:c>
      <x:c r="E2119" s="19" t="str">
        <x:v>静月执盏者</x:v>
      </x:c>
      <x:c r="F2119" s="19" t="str">
        <x:v>普通</x:v>
      </x:c>
      <x:c r="G2119" s="19" t="str">
        <x:v>材料独立候选</x:v>
      </x:c>
      <x:c r="H2119" s="19" t="str">
        <x:v>湖心月谱残章</x:v>
      </x:c>
      <x:c r="I2119" s="22" t="n">
        <x:v>1000000</x:v>
      </x:c>
      <x:c r="J2119" s="22" t="n">
        <x:v>1</x:v>
      </x:c>
      <x:c r="K2119" s="19" t="n">
        <x:v>1</x:v>
      </x:c>
      <x:c r="L2119" s="24" t="n">
        <x:v>22.04</x:v>
      </x:c>
      <x:c r="M2119" s="26" t="n">
        <x:v>0.1</x:v>
      </x:c>
      <x:c r="N2119" s="24" t="n">
        <x:v>72</x:v>
      </x:c>
      <x:c r="O2119" s="28" t="n">
        <x:f>MIN(1,L2119/I2119)</x:f>
        <x:v>0.00002204</x:v>
      </x:c>
      <x:c r="P2119" s="30" t="n">
        <x:f>O2119*J2119*(1+M2119)</x:f>
        <x:v>0.000024244</x:v>
      </x:c>
      <x:c r="Q2119" s="30" t="n">
        <x:f>P2119*N2119</x:f>
        <x:v>0.001745568</x:v>
      </x:c>
      <x:c r="R2119" s="19" t="str">
        <x:v>独立判定</x:v>
      </x:c>
    </x:row>
    <x:row r="2120" ht="19" customHeight="1">
      <x:c r="A2120" s="19" t="str">
        <x:v>D02116</x:v>
      </x:c>
      <x:c r="B2120" s="19" t="n">
        <x:v>5</x:v>
      </x:c>
      <x:c r="C2120" s="19" t="n">
        <x:v>1</x:v>
      </x:c>
      <x:c r="D2120" s="19" t="str">
        <x:v>C05-M005</x:v>
      </x:c>
      <x:c r="E2120" s="19" t="str">
        <x:v>静月执盏者</x:v>
      </x:c>
      <x:c r="F2120" s="19" t="str">
        <x:v>普通</x:v>
      </x:c>
      <x:c r="G2120" s="19" t="str">
        <x:v>材料独立候选</x:v>
      </x:c>
      <x:c r="H2120" s="19" t="str">
        <x:v>野兽骨片</x:v>
      </x:c>
      <x:c r="I2120" s="22" t="n">
        <x:v>120</x:v>
      </x:c>
      <x:c r="J2120" s="22" t="n">
        <x:v>3</x:v>
      </x:c>
      <x:c r="K2120" s="19" t="n">
        <x:v>1</x:v>
      </x:c>
      <x:c r="L2120" s="24" t="n">
        <x:v>22.04</x:v>
      </x:c>
      <x:c r="M2120" s="26" t="n">
        <x:v>0.1</x:v>
      </x:c>
      <x:c r="N2120" s="24" t="n">
        <x:v>72</x:v>
      </x:c>
      <x:c r="O2120" s="28" t="n">
        <x:f>MIN(1,L2120/I2120)</x:f>
        <x:v>0.18366666666666667</x:v>
      </x:c>
      <x:c r="P2120" s="30" t="n">
        <x:f>O2120*J2120*(1+M2120)</x:f>
        <x:v>0.6061000000000001</x:v>
      </x:c>
      <x:c r="Q2120" s="30" t="n">
        <x:f>P2120*N2120</x:f>
        <x:v>43.6392</x:v>
      </x:c>
      <x:c r="R2120" s="19" t="str">
        <x:v>独立判定</x:v>
      </x:c>
    </x:row>
    <x:row r="2121" ht="19" customHeight="1">
      <x:c r="A2121" s="19" t="str">
        <x:v>D02117</x:v>
      </x:c>
      <x:c r="B2121" s="19" t="n">
        <x:v>5</x:v>
      </x:c>
      <x:c r="C2121" s="19" t="n">
        <x:v>1</x:v>
      </x:c>
      <x:c r="D2121" s="19" t="str">
        <x:v>C05-M005</x:v>
      </x:c>
      <x:c r="E2121" s="19" t="str">
        <x:v>静月执盏者</x:v>
      </x:c>
      <x:c r="F2121" s="19" t="str">
        <x:v>普通</x:v>
      </x:c>
      <x:c r="G2121" s="19" t="str">
        <x:v>材料独立候选</x:v>
      </x:c>
      <x:c r="H2121" s="19" t="str">
        <x:v>技能残页</x:v>
      </x:c>
      <x:c r="I2121" s="22" t="n">
        <x:v>3000</x:v>
      </x:c>
      <x:c r="J2121" s="22" t="n">
        <x:v>1</x:v>
      </x:c>
      <x:c r="K2121" s="19" t="n">
        <x:v>1</x:v>
      </x:c>
      <x:c r="L2121" s="24" t="n">
        <x:v>22.04</x:v>
      </x:c>
      <x:c r="M2121" s="26" t="n">
        <x:v>0.1</x:v>
      </x:c>
      <x:c r="N2121" s="24" t="n">
        <x:v>72</x:v>
      </x:c>
      <x:c r="O2121" s="28" t="n">
        <x:f>MIN(1,L2121/I2121)</x:f>
        <x:v>0.007346666666666666</x:v>
      </x:c>
      <x:c r="P2121" s="30" t="n">
        <x:f>O2121*J2121*(1+M2121)</x:f>
        <x:v>0.008081333333333333</x:v>
      </x:c>
      <x:c r="Q2121" s="30" t="n">
        <x:f>P2121*N2121</x:f>
        <x:v>0.5818559999999999</x:v>
      </x:c>
      <x:c r="R2121" s="19" t="str">
        <x:v>独立判定</x:v>
      </x:c>
    </x:row>
    <x:row r="2122" ht="19" customHeight="1">
      <x:c r="A2122" s="19" t="str">
        <x:v>D02118</x:v>
      </x:c>
      <x:c r="B2122" s="19" t="n">
        <x:v>5</x:v>
      </x:c>
      <x:c r="C2122" s="19" t="n">
        <x:v>1</x:v>
      </x:c>
      <x:c r="D2122" s="19" t="str">
        <x:v>C05-M005</x:v>
      </x:c>
      <x:c r="E2122" s="19" t="str">
        <x:v>静月执盏者</x:v>
      </x:c>
      <x:c r="F2122" s="19" t="str">
        <x:v>普通</x:v>
      </x:c>
      <x:c r="G2122" s="19" t="str">
        <x:v>材料独立候选</x:v>
      </x:c>
      <x:c r="H2122" s="19" t="str">
        <x:v>小卢恩</x:v>
      </x:c>
      <x:c r="I2122" s="22" t="n">
        <x:v>6000</x:v>
      </x:c>
      <x:c r="J2122" s="22" t="n">
        <x:v>1</x:v>
      </x:c>
      <x:c r="K2122" s="19" t="n">
        <x:v>1</x:v>
      </x:c>
      <x:c r="L2122" s="24" t="n">
        <x:v>22.04</x:v>
      </x:c>
      <x:c r="M2122" s="26" t="n">
        <x:v>0.1</x:v>
      </x:c>
      <x:c r="N2122" s="24" t="n">
        <x:v>72</x:v>
      </x:c>
      <x:c r="O2122" s="28" t="n">
        <x:f>MIN(1,L2122/I2122)</x:f>
        <x:v>0.003673333333333333</x:v>
      </x:c>
      <x:c r="P2122" s="30" t="n">
        <x:f>O2122*J2122*(1+M2122)</x:f>
        <x:v>0.004040666666666666</x:v>
      </x:c>
      <x:c r="Q2122" s="30" t="n">
        <x:f>P2122*N2122</x:f>
        <x:v>0.29092799999999996</x:v>
      </x:c>
      <x:c r="R2122" s="19" t="str">
        <x:v>独立判定</x:v>
      </x:c>
    </x:row>
    <x:row r="2123" ht="19" customHeight="1">
      <x:c r="A2123" s="19" t="str">
        <x:v>D02119</x:v>
      </x:c>
      <x:c r="B2123" s="19" t="n">
        <x:v>5</x:v>
      </x:c>
      <x:c r="C2123" s="19" t="n">
        <x:v>1</x:v>
      </x:c>
      <x:c r="D2123" s="19" t="str">
        <x:v>C05-M005</x:v>
      </x:c>
      <x:c r="E2123" s="19" t="str">
        <x:v>静月执盏者</x:v>
      </x:c>
      <x:c r="F2123" s="19" t="str">
        <x:v>普通</x:v>
      </x:c>
      <x:c r="G2123" s="19" t="str">
        <x:v>六神器公共池</x:v>
      </x:c>
      <x:c r="H2123" s="19" t="str">
        <x:v>POOL006</x:v>
      </x:c>
      <x:c r="I2123" s="22" t="n">
        <x:v>20000000</x:v>
      </x:c>
      <x:c r="J2123" s="22" t="n">
        <x:v>1</x:v>
      </x:c>
      <x:c r="K2123" s="19" t="n">
        <x:v>6</x:v>
      </x:c>
      <x:c r="L2123" s="24" t="n">
        <x:v>22.04</x:v>
      </x:c>
      <x:c r="M2123" s="26" t="n">
        <x:v>0.1</x:v>
      </x:c>
      <x:c r="N2123" s="24" t="n">
        <x:v>72</x:v>
      </x:c>
      <x:c r="O2123" s="28" t="n">
        <x:f>MIN(1,L2123/I2123)</x:f>
        <x:v>0.000001102</x:v>
      </x:c>
      <x:c r="P2123" s="30" t="n">
        <x:f>O2123*J2123*(1+M2123)</x:f>
        <x:v>0.0000012122</x:v>
      </x:c>
      <x:c r="Q2123" s="30" t="n">
        <x:f>P2123*N2123</x:f>
        <x:v>0.0000872784</x:v>
      </x:c>
      <x:c r="R2123" s="19" t="str">
        <x:v>六选一；非6个独立爆率</x:v>
      </x:c>
    </x:row>
    <x:row r="2124" ht="19" customHeight="1">
      <x:c r="A2124" s="19" t="str">
        <x:v>D02120</x:v>
      </x:c>
      <x:c r="B2124" s="19" t="n">
        <x:v>5</x:v>
      </x:c>
      <x:c r="C2124" s="19" t="n">
        <x:v>1</x:v>
      </x:c>
      <x:c r="D2124" s="19" t="str">
        <x:v>C05-M006</x:v>
      </x:c>
      <x:c r="E2124" s="19" t="str">
        <x:v>祭庭涟影</x:v>
      </x:c>
      <x:c r="F2124" s="19" t="str">
        <x:v>普通</x:v>
      </x:c>
      <x:c r="G2124" s="19" t="str">
        <x:v>自身专属</x:v>
      </x:c>
      <x:c r="H2124" s="19" t="str">
        <x:v>涟影回波戒</x:v>
      </x:c>
      <x:c r="I2124" s="22" t="n">
        <x:v>1800</x:v>
      </x:c>
      <x:c r="J2124" s="22" t="n">
        <x:v>1</x:v>
      </x:c>
      <x:c r="K2124" s="19" t="n">
        <x:v>1</x:v>
      </x:c>
      <x:c r="L2124" s="24" t="n">
        <x:v>22.04</x:v>
      </x:c>
      <x:c r="M2124" s="26" t="n">
        <x:v>0.1</x:v>
      </x:c>
      <x:c r="N2124" s="24" t="n">
        <x:v>72</x:v>
      </x:c>
      <x:c r="O2124" s="28" t="n">
        <x:f>MIN(1,L2124/I2124)</x:f>
        <x:v>0.012244444444444443</x:v>
      </x:c>
      <x:c r="P2124" s="30" t="n">
        <x:f>O2124*J2124*(1+M2124)</x:f>
        <x:v>0.013468888888888888</x:v>
      </x:c>
      <x:c r="Q2124" s="30" t="n">
        <x:f>P2124*N2124</x:f>
        <x:v>0.96976</x:v>
      </x:c>
      <x:c r="R2124" s="19" t="str">
        <x:v>独立判定</x:v>
      </x:c>
    </x:row>
    <x:row r="2125" ht="19" customHeight="1">
      <x:c r="A2125" s="19" t="str">
        <x:v>D02121</x:v>
      </x:c>
      <x:c r="B2125" s="19" t="n">
        <x:v>5</x:v>
      </x:c>
      <x:c r="C2125" s="19" t="n">
        <x:v>1</x:v>
      </x:c>
      <x:c r="D2125" s="19" t="str">
        <x:v>C05-M006</x:v>
      </x:c>
      <x:c r="E2125" s="19" t="str">
        <x:v>祭庭涟影</x:v>
      </x:c>
      <x:c r="F2125" s="19" t="str">
        <x:v>普通</x:v>
      </x:c>
      <x:c r="G2125" s="19" t="str">
        <x:v>材料独立候选</x:v>
      </x:c>
      <x:c r="H2125" s="19" t="str">
        <x:v>辉石碎晶</x:v>
      </x:c>
      <x:c r="I2125" s="22" t="n">
        <x:v>600</x:v>
      </x:c>
      <x:c r="J2125" s="22" t="n">
        <x:v>8</x:v>
      </x:c>
      <x:c r="K2125" s="19" t="n">
        <x:v>1</x:v>
      </x:c>
      <x:c r="L2125" s="24" t="n">
        <x:v>22.04</x:v>
      </x:c>
      <x:c r="M2125" s="26" t="n">
        <x:v>0.1</x:v>
      </x:c>
      <x:c r="N2125" s="24" t="n">
        <x:v>72</x:v>
      </x:c>
      <x:c r="O2125" s="28" t="n">
        <x:f>MIN(1,L2125/I2125)</x:f>
        <x:v>0.03673333333333333</x:v>
      </x:c>
      <x:c r="P2125" s="30" t="n">
        <x:f>O2125*J2125*(1+M2125)</x:f>
        <x:v>0.32325333333333334</x:v>
      </x:c>
      <x:c r="Q2125" s="30" t="n">
        <x:f>P2125*N2125</x:f>
        <x:v>23.27424</x:v>
      </x:c>
      <x:c r="R2125" s="19" t="str">
        <x:v>独立判定</x:v>
      </x:c>
    </x:row>
    <x:row r="2126" ht="19" customHeight="1">
      <x:c r="A2126" s="19" t="str">
        <x:v>D02122</x:v>
      </x:c>
      <x:c r="B2126" s="19" t="n">
        <x:v>5</x:v>
      </x:c>
      <x:c r="C2126" s="19" t="n">
        <x:v>1</x:v>
      </x:c>
      <x:c r="D2126" s="19" t="str">
        <x:v>C05-M006</x:v>
      </x:c>
      <x:c r="E2126" s="19" t="str">
        <x:v>祭庭涟影</x:v>
      </x:c>
      <x:c r="F2126" s="19" t="str">
        <x:v>普通</x:v>
      </x:c>
      <x:c r="G2126" s="19" t="str">
        <x:v>材料独立候选</x:v>
      </x:c>
      <x:c r="H2126" s="19" t="str">
        <x:v>雾月星砂</x:v>
      </x:c>
      <x:c r="I2126" s="22" t="n">
        <x:v>1000</x:v>
      </x:c>
      <x:c r="J2126" s="22" t="n">
        <x:v>1</x:v>
      </x:c>
      <x:c r="K2126" s="19" t="n">
        <x:v>1</x:v>
      </x:c>
      <x:c r="L2126" s="24" t="n">
        <x:v>22.04</x:v>
      </x:c>
      <x:c r="M2126" s="26" t="n">
        <x:v>0.1</x:v>
      </x:c>
      <x:c r="N2126" s="24" t="n">
        <x:v>72</x:v>
      </x:c>
      <x:c r="O2126" s="28" t="n">
        <x:f>MIN(1,L2126/I2126)</x:f>
        <x:v>0.02204</x:v>
      </x:c>
      <x:c r="P2126" s="30" t="n">
        <x:f>O2126*J2126*(1+M2126)</x:f>
        <x:v>0.024244</x:v>
      </x:c>
      <x:c r="Q2126" s="30" t="n">
        <x:f>P2126*N2126</x:f>
        <x:v>1.745568</x:v>
      </x:c>
      <x:c r="R2126" s="19" t="str">
        <x:v>独立判定</x:v>
      </x:c>
    </x:row>
    <x:row r="2127" ht="19" customHeight="1">
      <x:c r="A2127" s="19" t="str">
        <x:v>D02123</x:v>
      </x:c>
      <x:c r="B2127" s="19" t="n">
        <x:v>5</x:v>
      </x:c>
      <x:c r="C2127" s="19" t="n">
        <x:v>1</x:v>
      </x:c>
      <x:c r="D2127" s="19" t="str">
        <x:v>C05-M006</x:v>
      </x:c>
      <x:c r="E2127" s="19" t="str">
        <x:v>祭庭涟影</x:v>
      </x:c>
      <x:c r="F2127" s="19" t="str">
        <x:v>普通</x:v>
      </x:c>
      <x:c r="G2127" s="19" t="str">
        <x:v>材料独立候选</x:v>
      </x:c>
      <x:c r="H2127" s="19" t="str">
        <x:v>湖心月谱残章</x:v>
      </x:c>
      <x:c r="I2127" s="22" t="n">
        <x:v>1000000</x:v>
      </x:c>
      <x:c r="J2127" s="22" t="n">
        <x:v>1</x:v>
      </x:c>
      <x:c r="K2127" s="19" t="n">
        <x:v>1</x:v>
      </x:c>
      <x:c r="L2127" s="24" t="n">
        <x:v>22.04</x:v>
      </x:c>
      <x:c r="M2127" s="26" t="n">
        <x:v>0.1</x:v>
      </x:c>
      <x:c r="N2127" s="24" t="n">
        <x:v>72</x:v>
      </x:c>
      <x:c r="O2127" s="28" t="n">
        <x:f>MIN(1,L2127/I2127)</x:f>
        <x:v>0.00002204</x:v>
      </x:c>
      <x:c r="P2127" s="30" t="n">
        <x:f>O2127*J2127*(1+M2127)</x:f>
        <x:v>0.000024244</x:v>
      </x:c>
      <x:c r="Q2127" s="30" t="n">
        <x:f>P2127*N2127</x:f>
        <x:v>0.001745568</x:v>
      </x:c>
      <x:c r="R2127" s="19" t="str">
        <x:v>独立判定</x:v>
      </x:c>
    </x:row>
    <x:row r="2128" ht="19" customHeight="1">
      <x:c r="A2128" s="19" t="str">
        <x:v>D02124</x:v>
      </x:c>
      <x:c r="B2128" s="19" t="n">
        <x:v>5</x:v>
      </x:c>
      <x:c r="C2128" s="19" t="n">
        <x:v>1</x:v>
      </x:c>
      <x:c r="D2128" s="19" t="str">
        <x:v>C05-M006</x:v>
      </x:c>
      <x:c r="E2128" s="19" t="str">
        <x:v>祭庭涟影</x:v>
      </x:c>
      <x:c r="F2128" s="19" t="str">
        <x:v>普通</x:v>
      </x:c>
      <x:c r="G2128" s="19" t="str">
        <x:v>材料独立候选</x:v>
      </x:c>
      <x:c r="H2128" s="19" t="str">
        <x:v>野兽骨片</x:v>
      </x:c>
      <x:c r="I2128" s="22" t="n">
        <x:v>120</x:v>
      </x:c>
      <x:c r="J2128" s="22" t="n">
        <x:v>3</x:v>
      </x:c>
      <x:c r="K2128" s="19" t="n">
        <x:v>1</x:v>
      </x:c>
      <x:c r="L2128" s="24" t="n">
        <x:v>22.04</x:v>
      </x:c>
      <x:c r="M2128" s="26" t="n">
        <x:v>0.1</x:v>
      </x:c>
      <x:c r="N2128" s="24" t="n">
        <x:v>72</x:v>
      </x:c>
      <x:c r="O2128" s="28" t="n">
        <x:f>MIN(1,L2128/I2128)</x:f>
        <x:v>0.18366666666666667</x:v>
      </x:c>
      <x:c r="P2128" s="30" t="n">
        <x:f>O2128*J2128*(1+M2128)</x:f>
        <x:v>0.6061000000000001</x:v>
      </x:c>
      <x:c r="Q2128" s="30" t="n">
        <x:f>P2128*N2128</x:f>
        <x:v>43.6392</x:v>
      </x:c>
      <x:c r="R2128" s="19" t="str">
        <x:v>独立判定</x:v>
      </x:c>
    </x:row>
    <x:row r="2129" ht="19" customHeight="1">
      <x:c r="A2129" s="19" t="str">
        <x:v>D02125</x:v>
      </x:c>
      <x:c r="B2129" s="19" t="n">
        <x:v>5</x:v>
      </x:c>
      <x:c r="C2129" s="19" t="n">
        <x:v>1</x:v>
      </x:c>
      <x:c r="D2129" s="19" t="str">
        <x:v>C05-M006</x:v>
      </x:c>
      <x:c r="E2129" s="19" t="str">
        <x:v>祭庭涟影</x:v>
      </x:c>
      <x:c r="F2129" s="19" t="str">
        <x:v>普通</x:v>
      </x:c>
      <x:c r="G2129" s="19" t="str">
        <x:v>材料独立候选</x:v>
      </x:c>
      <x:c r="H2129" s="19" t="str">
        <x:v>技能残页</x:v>
      </x:c>
      <x:c r="I2129" s="22" t="n">
        <x:v>3000</x:v>
      </x:c>
      <x:c r="J2129" s="22" t="n">
        <x:v>1</x:v>
      </x:c>
      <x:c r="K2129" s="19" t="n">
        <x:v>1</x:v>
      </x:c>
      <x:c r="L2129" s="24" t="n">
        <x:v>22.04</x:v>
      </x:c>
      <x:c r="M2129" s="26" t="n">
        <x:v>0.1</x:v>
      </x:c>
      <x:c r="N2129" s="24" t="n">
        <x:v>72</x:v>
      </x:c>
      <x:c r="O2129" s="28" t="n">
        <x:f>MIN(1,L2129/I2129)</x:f>
        <x:v>0.007346666666666666</x:v>
      </x:c>
      <x:c r="P2129" s="30" t="n">
        <x:f>O2129*J2129*(1+M2129)</x:f>
        <x:v>0.008081333333333333</x:v>
      </x:c>
      <x:c r="Q2129" s="30" t="n">
        <x:f>P2129*N2129</x:f>
        <x:v>0.5818559999999999</x:v>
      </x:c>
      <x:c r="R2129" s="19" t="str">
        <x:v>独立判定</x:v>
      </x:c>
    </x:row>
    <x:row r="2130" ht="19" customHeight="1">
      <x:c r="A2130" s="19" t="str">
        <x:v>D02126</x:v>
      </x:c>
      <x:c r="B2130" s="19" t="n">
        <x:v>5</x:v>
      </x:c>
      <x:c r="C2130" s="19" t="n">
        <x:v>1</x:v>
      </x:c>
      <x:c r="D2130" s="19" t="str">
        <x:v>C05-M006</x:v>
      </x:c>
      <x:c r="E2130" s="19" t="str">
        <x:v>祭庭涟影</x:v>
      </x:c>
      <x:c r="F2130" s="19" t="str">
        <x:v>普通</x:v>
      </x:c>
      <x:c r="G2130" s="19" t="str">
        <x:v>材料独立候选</x:v>
      </x:c>
      <x:c r="H2130" s="19" t="str">
        <x:v>小卢恩</x:v>
      </x:c>
      <x:c r="I2130" s="22" t="n">
        <x:v>6000</x:v>
      </x:c>
      <x:c r="J2130" s="22" t="n">
        <x:v>1</x:v>
      </x:c>
      <x:c r="K2130" s="19" t="n">
        <x:v>1</x:v>
      </x:c>
      <x:c r="L2130" s="24" t="n">
        <x:v>22.04</x:v>
      </x:c>
      <x:c r="M2130" s="26" t="n">
        <x:v>0.1</x:v>
      </x:c>
      <x:c r="N2130" s="24" t="n">
        <x:v>72</x:v>
      </x:c>
      <x:c r="O2130" s="28" t="n">
        <x:f>MIN(1,L2130/I2130)</x:f>
        <x:v>0.003673333333333333</x:v>
      </x:c>
      <x:c r="P2130" s="30" t="n">
        <x:f>O2130*J2130*(1+M2130)</x:f>
        <x:v>0.004040666666666666</x:v>
      </x:c>
      <x:c r="Q2130" s="30" t="n">
        <x:f>P2130*N2130</x:f>
        <x:v>0.29092799999999996</x:v>
      </x:c>
      <x:c r="R2130" s="19" t="str">
        <x:v>独立判定</x:v>
      </x:c>
    </x:row>
    <x:row r="2131" ht="19" customHeight="1">
      <x:c r="A2131" s="19" t="str">
        <x:v>D02127</x:v>
      </x:c>
      <x:c r="B2131" s="19" t="n">
        <x:v>5</x:v>
      </x:c>
      <x:c r="C2131" s="19" t="n">
        <x:v>1</x:v>
      </x:c>
      <x:c r="D2131" s="19" t="str">
        <x:v>C05-M006</x:v>
      </x:c>
      <x:c r="E2131" s="19" t="str">
        <x:v>祭庭涟影</x:v>
      </x:c>
      <x:c r="F2131" s="19" t="str">
        <x:v>普通</x:v>
      </x:c>
      <x:c r="G2131" s="19" t="str">
        <x:v>六神器公共池</x:v>
      </x:c>
      <x:c r="H2131" s="19" t="str">
        <x:v>POOL006</x:v>
      </x:c>
      <x:c r="I2131" s="22" t="n">
        <x:v>20000000</x:v>
      </x:c>
      <x:c r="J2131" s="22" t="n">
        <x:v>1</x:v>
      </x:c>
      <x:c r="K2131" s="19" t="n">
        <x:v>6</x:v>
      </x:c>
      <x:c r="L2131" s="24" t="n">
        <x:v>22.04</x:v>
      </x:c>
      <x:c r="M2131" s="26" t="n">
        <x:v>0.1</x:v>
      </x:c>
      <x:c r="N2131" s="24" t="n">
        <x:v>72</x:v>
      </x:c>
      <x:c r="O2131" s="28" t="n">
        <x:f>MIN(1,L2131/I2131)</x:f>
        <x:v>0.000001102</x:v>
      </x:c>
      <x:c r="P2131" s="30" t="n">
        <x:f>O2131*J2131*(1+M2131)</x:f>
        <x:v>0.0000012122</x:v>
      </x:c>
      <x:c r="Q2131" s="30" t="n">
        <x:f>P2131*N2131</x:f>
        <x:v>0.0000872784</x:v>
      </x:c>
      <x:c r="R2131" s="19" t="str">
        <x:v>六选一；非6个独立爆率</x:v>
      </x:c>
    </x:row>
    <x:row r="2132" ht="19" customHeight="1">
      <x:c r="A2132" s="19" t="str">
        <x:v>D02128</x:v>
      </x:c>
      <x:c r="B2132" s="19" t="n">
        <x:v>5</x:v>
      </x:c>
      <x:c r="C2132" s="19" t="n">
        <x:v>1</x:v>
      </x:c>
      <x:c r="D2132" s="19" t="str">
        <x:v>C05-M007</x:v>
      </x:c>
      <x:c r="E2132" s="19" t="str">
        <x:v>银雾汲月兽</x:v>
      </x:c>
      <x:c r="F2132" s="19" t="str">
        <x:v>稀有</x:v>
      </x:c>
      <x:c r="G2132" s="19" t="str">
        <x:v>自身专属</x:v>
      </x:c>
      <x:c r="H2132" s="19" t="str">
        <x:v>汲月雾绦</x:v>
      </x:c>
      <x:c r="I2132" s="22" t="n">
        <x:v>400</x:v>
      </x:c>
      <x:c r="J2132" s="22" t="n">
        <x:v>1</x:v>
      </x:c>
      <x:c r="K2132" s="19" t="n">
        <x:v>1</x:v>
      </x:c>
      <x:c r="L2132" s="24" t="n">
        <x:v>22.04</x:v>
      </x:c>
      <x:c r="M2132" s="26" t="n">
        <x:v>0.1</x:v>
      </x:c>
      <x:c r="N2132" s="24" t="n">
        <x:v>12</x:v>
      </x:c>
      <x:c r="O2132" s="28" t="n">
        <x:f>MIN(1,L2132/I2132)</x:f>
        <x:v>0.055099999999999996</x:v>
      </x:c>
      <x:c r="P2132" s="30" t="n">
        <x:f>O2132*J2132*(1+M2132)</x:f>
        <x:v>0.060610000000000004</x:v>
      </x:c>
      <x:c r="Q2132" s="30" t="n">
        <x:f>P2132*N2132</x:f>
        <x:v>0.7273200000000001</x:v>
      </x:c>
      <x:c r="R2132" s="19" t="str">
        <x:v>独立判定</x:v>
      </x:c>
    </x:row>
    <x:row r="2133" ht="19" customHeight="1">
      <x:c r="A2133" s="19" t="str">
        <x:v>D02129</x:v>
      </x:c>
      <x:c r="B2133" s="19" t="n">
        <x:v>5</x:v>
      </x:c>
      <x:c r="C2133" s="19" t="n">
        <x:v>1</x:v>
      </x:c>
      <x:c r="D2133" s="19" t="str">
        <x:v>C05-M007</x:v>
      </x:c>
      <x:c r="E2133" s="19" t="str">
        <x:v>银雾汲月兽</x:v>
      </x:c>
      <x:c r="F2133" s="19" t="str">
        <x:v>稀有</x:v>
      </x:c>
      <x:c r="G2133" s="19" t="str">
        <x:v>材料独立候选</x:v>
      </x:c>
      <x:c r="H2133" s="19" t="str">
        <x:v>辉石碎晶</x:v>
      </x:c>
      <x:c r="I2133" s="22" t="n">
        <x:v>400</x:v>
      </x:c>
      <x:c r="J2133" s="22" t="n">
        <x:v>15</x:v>
      </x:c>
      <x:c r="K2133" s="19" t="n">
        <x:v>1</x:v>
      </x:c>
      <x:c r="L2133" s="24" t="n">
        <x:v>22.04</x:v>
      </x:c>
      <x:c r="M2133" s="26" t="n">
        <x:v>0.1</x:v>
      </x:c>
      <x:c r="N2133" s="24" t="n">
        <x:v>12</x:v>
      </x:c>
      <x:c r="O2133" s="28" t="n">
        <x:f>MIN(1,L2133/I2133)</x:f>
        <x:v>0.055099999999999996</x:v>
      </x:c>
      <x:c r="P2133" s="30" t="n">
        <x:f>O2133*J2133*(1+M2133)</x:f>
        <x:v>0.90915</x:v>
      </x:c>
      <x:c r="Q2133" s="30" t="n">
        <x:f>P2133*N2133</x:f>
        <x:v>10.9098</x:v>
      </x:c>
      <x:c r="R2133" s="19" t="str">
        <x:v>独立判定</x:v>
      </x:c>
    </x:row>
    <x:row r="2134" ht="19" customHeight="1">
      <x:c r="A2134" s="19" t="str">
        <x:v>D02130</x:v>
      </x:c>
      <x:c r="B2134" s="19" t="n">
        <x:v>5</x:v>
      </x:c>
      <x:c r="C2134" s="19" t="n">
        <x:v>1</x:v>
      </x:c>
      <x:c r="D2134" s="19" t="str">
        <x:v>C05-M007</x:v>
      </x:c>
      <x:c r="E2134" s="19" t="str">
        <x:v>银雾汲月兽</x:v>
      </x:c>
      <x:c r="F2134" s="19" t="str">
        <x:v>稀有</x:v>
      </x:c>
      <x:c r="G2134" s="19" t="str">
        <x:v>材料独立候选</x:v>
      </x:c>
      <x:c r="H2134" s="19" t="str">
        <x:v>卡利亚月露</x:v>
      </x:c>
      <x:c r="I2134" s="22" t="n">
        <x:v>800</x:v>
      </x:c>
      <x:c r="J2134" s="22" t="n">
        <x:v>1</x:v>
      </x:c>
      <x:c r="K2134" s="19" t="n">
        <x:v>1</x:v>
      </x:c>
      <x:c r="L2134" s="24" t="n">
        <x:v>22.04</x:v>
      </x:c>
      <x:c r="M2134" s="26" t="n">
        <x:v>0.1</x:v>
      </x:c>
      <x:c r="N2134" s="24" t="n">
        <x:v>12</x:v>
      </x:c>
      <x:c r="O2134" s="28" t="n">
        <x:f>MIN(1,L2134/I2134)</x:f>
        <x:v>0.027549999999999998</x:v>
      </x:c>
      <x:c r="P2134" s="30" t="n">
        <x:f>O2134*J2134*(1+M2134)</x:f>
        <x:v>0.030305000000000002</x:v>
      </x:c>
      <x:c r="Q2134" s="30" t="n">
        <x:f>P2134*N2134</x:f>
        <x:v>0.36366000000000004</x:v>
      </x:c>
      <x:c r="R2134" s="19" t="str">
        <x:v>独立判定</x:v>
      </x:c>
    </x:row>
    <x:row r="2135" ht="19" customHeight="1">
      <x:c r="A2135" s="19" t="str">
        <x:v>D02131</x:v>
      </x:c>
      <x:c r="B2135" s="19" t="n">
        <x:v>5</x:v>
      </x:c>
      <x:c r="C2135" s="19" t="n">
        <x:v>1</x:v>
      </x:c>
      <x:c r="D2135" s="19" t="str">
        <x:v>C05-M007</x:v>
      </x:c>
      <x:c r="E2135" s="19" t="str">
        <x:v>银雾汲月兽</x:v>
      </x:c>
      <x:c r="F2135" s="19" t="str">
        <x:v>稀有</x:v>
      </x:c>
      <x:c r="G2135" s="19" t="str">
        <x:v>材料独立候选</x:v>
      </x:c>
      <x:c r="H2135" s="19" t="str">
        <x:v>学院封蜡</x:v>
      </x:c>
      <x:c r="I2135" s="22" t="n">
        <x:v>1000</x:v>
      </x:c>
      <x:c r="J2135" s="22" t="n">
        <x:v>1</x:v>
      </x:c>
      <x:c r="K2135" s="19" t="n">
        <x:v>1</x:v>
      </x:c>
      <x:c r="L2135" s="24" t="n">
        <x:v>22.04</x:v>
      </x:c>
      <x:c r="M2135" s="26" t="n">
        <x:v>0.1</x:v>
      </x:c>
      <x:c r="N2135" s="24" t="n">
        <x:v>12</x:v>
      </x:c>
      <x:c r="O2135" s="28" t="n">
        <x:f>MIN(1,L2135/I2135)</x:f>
        <x:v>0.02204</x:v>
      </x:c>
      <x:c r="P2135" s="30" t="n">
        <x:f>O2135*J2135*(1+M2135)</x:f>
        <x:v>0.024244</x:v>
      </x:c>
      <x:c r="Q2135" s="30" t="n">
        <x:f>P2135*N2135</x:f>
        <x:v>0.290928</x:v>
      </x:c>
      <x:c r="R2135" s="19" t="str">
        <x:v>独立判定</x:v>
      </x:c>
    </x:row>
    <x:row r="2136" ht="19" customHeight="1">
      <x:c r="A2136" s="19" t="str">
        <x:v>D02132</x:v>
      </x:c>
      <x:c r="B2136" s="19" t="n">
        <x:v>5</x:v>
      </x:c>
      <x:c r="C2136" s="19" t="n">
        <x:v>1</x:v>
      </x:c>
      <x:c r="D2136" s="19" t="str">
        <x:v>C05-M007</x:v>
      </x:c>
      <x:c r="E2136" s="19" t="str">
        <x:v>银雾汲月兽</x:v>
      </x:c>
      <x:c r="F2136" s="19" t="str">
        <x:v>稀有</x:v>
      </x:c>
      <x:c r="G2136" s="19" t="str">
        <x:v>材料独立候选</x:v>
      </x:c>
      <x:c r="H2136" s="19" t="str">
        <x:v>湖心月谱残章</x:v>
      </x:c>
      <x:c r="I2136" s="22" t="n">
        <x:v>600000</x:v>
      </x:c>
      <x:c r="J2136" s="22" t="n">
        <x:v>1</x:v>
      </x:c>
      <x:c r="K2136" s="19" t="n">
        <x:v>1</x:v>
      </x:c>
      <x:c r="L2136" s="24" t="n">
        <x:v>22.04</x:v>
      </x:c>
      <x:c r="M2136" s="26" t="n">
        <x:v>0.1</x:v>
      </x:c>
      <x:c r="N2136" s="24" t="n">
        <x:v>12</x:v>
      </x:c>
      <x:c r="O2136" s="28" t="n">
        <x:f>MIN(1,L2136/I2136)</x:f>
        <x:v>0.00003673333333333333</x:v>
      </x:c>
      <x:c r="P2136" s="30" t="n">
        <x:f>O2136*J2136*(1+M2136)</x:f>
        <x:v>0.00004040666666666667</x:v>
      </x:c>
      <x:c r="Q2136" s="30" t="n">
        <x:f>P2136*N2136</x:f>
        <x:v>0.00048488000000000003</x:v>
      </x:c>
      <x:c r="R2136" s="19" t="str">
        <x:v>独立判定</x:v>
      </x:c>
    </x:row>
    <x:row r="2137" ht="19" customHeight="1">
      <x:c r="A2137" s="19" t="str">
        <x:v>D02133</x:v>
      </x:c>
      <x:c r="B2137" s="19" t="n">
        <x:v>5</x:v>
      </x:c>
      <x:c r="C2137" s="19" t="n">
        <x:v>1</x:v>
      </x:c>
      <x:c r="D2137" s="19" t="str">
        <x:v>C05-M007</x:v>
      </x:c>
      <x:c r="E2137" s="19" t="str">
        <x:v>银雾汲月兽</x:v>
      </x:c>
      <x:c r="F2137" s="19" t="str">
        <x:v>稀有</x:v>
      </x:c>
      <x:c r="G2137" s="19" t="str">
        <x:v>材料独立候选</x:v>
      </x:c>
      <x:c r="H2137" s="19" t="str">
        <x:v>黄金树芽</x:v>
      </x:c>
      <x:c r="I2137" s="22" t="n">
        <x:v>3000</x:v>
      </x:c>
      <x:c r="J2137" s="22" t="n">
        <x:v>1</x:v>
      </x:c>
      <x:c r="K2137" s="19" t="n">
        <x:v>1</x:v>
      </x:c>
      <x:c r="L2137" s="24" t="n">
        <x:v>22.04</x:v>
      </x:c>
      <x:c r="M2137" s="26" t="n">
        <x:v>0.1</x:v>
      </x:c>
      <x:c r="N2137" s="24" t="n">
        <x:v>12</x:v>
      </x:c>
      <x:c r="O2137" s="28" t="n">
        <x:f>MIN(1,L2137/I2137)</x:f>
        <x:v>0.007346666666666666</x:v>
      </x:c>
      <x:c r="P2137" s="30" t="n">
        <x:f>O2137*J2137*(1+M2137)</x:f>
        <x:v>0.008081333333333333</x:v>
      </x:c>
      <x:c r="Q2137" s="30" t="n">
        <x:f>P2137*N2137</x:f>
        <x:v>0.09697599999999999</x:v>
      </x:c>
      <x:c r="R2137" s="19" t="str">
        <x:v>独立判定</x:v>
      </x:c>
    </x:row>
    <x:row r="2138" ht="19" customHeight="1">
      <x:c r="A2138" s="19" t="str">
        <x:v>D02134</x:v>
      </x:c>
      <x:c r="B2138" s="19" t="n">
        <x:v>5</x:v>
      </x:c>
      <x:c r="C2138" s="19" t="n">
        <x:v>1</x:v>
      </x:c>
      <x:c r="D2138" s="19" t="str">
        <x:v>C05-M007</x:v>
      </x:c>
      <x:c r="E2138" s="19" t="str">
        <x:v>银雾汲月兽</x:v>
      </x:c>
      <x:c r="F2138" s="19" t="str">
        <x:v>稀有</x:v>
      </x:c>
      <x:c r="G2138" s="19" t="str">
        <x:v>材料独立候选</x:v>
      </x:c>
      <x:c r="H2138" s="19" t="str">
        <x:v>野兽骨片</x:v>
      </x:c>
      <x:c r="I2138" s="22" t="n">
        <x:v>60</x:v>
      </x:c>
      <x:c r="J2138" s="22" t="n">
        <x:v>3</x:v>
      </x:c>
      <x:c r="K2138" s="19" t="n">
        <x:v>1</x:v>
      </x:c>
      <x:c r="L2138" s="24" t="n">
        <x:v>22.04</x:v>
      </x:c>
      <x:c r="M2138" s="26" t="n">
        <x:v>0.1</x:v>
      </x:c>
      <x:c r="N2138" s="24" t="n">
        <x:v>12</x:v>
      </x:c>
      <x:c r="O2138" s="28" t="n">
        <x:f>MIN(1,L2138/I2138)</x:f>
        <x:v>0.36733333333333335</x:v>
      </x:c>
      <x:c r="P2138" s="30" t="n">
        <x:f>O2138*J2138*(1+M2138)</x:f>
        <x:v>1.2122000000000002</x:v>
      </x:c>
      <x:c r="Q2138" s="30" t="n">
        <x:f>P2138*N2138</x:f>
        <x:v>14.546400000000002</x:v>
      </x:c>
      <x:c r="R2138" s="19" t="str">
        <x:v>独立判定</x:v>
      </x:c>
    </x:row>
    <x:row r="2139" ht="19" customHeight="1">
      <x:c r="A2139" s="19" t="str">
        <x:v>D02135</x:v>
      </x:c>
      <x:c r="B2139" s="19" t="n">
        <x:v>5</x:v>
      </x:c>
      <x:c r="C2139" s="19" t="n">
        <x:v>1</x:v>
      </x:c>
      <x:c r="D2139" s="19" t="str">
        <x:v>C05-M007</x:v>
      </x:c>
      <x:c r="E2139" s="19" t="str">
        <x:v>银雾汲月兽</x:v>
      </x:c>
      <x:c r="F2139" s="19" t="str">
        <x:v>稀有</x:v>
      </x:c>
      <x:c r="G2139" s="19" t="str">
        <x:v>材料独立候选</x:v>
      </x:c>
      <x:c r="H2139" s="19" t="str">
        <x:v>技能残页</x:v>
      </x:c>
      <x:c r="I2139" s="22" t="n">
        <x:v>1800</x:v>
      </x:c>
      <x:c r="J2139" s="22" t="n">
        <x:v>1</x:v>
      </x:c>
      <x:c r="K2139" s="19" t="n">
        <x:v>1</x:v>
      </x:c>
      <x:c r="L2139" s="24" t="n">
        <x:v>22.04</x:v>
      </x:c>
      <x:c r="M2139" s="26" t="n">
        <x:v>0.1</x:v>
      </x:c>
      <x:c r="N2139" s="24" t="n">
        <x:v>12</x:v>
      </x:c>
      <x:c r="O2139" s="28" t="n">
        <x:f>MIN(1,L2139/I2139)</x:f>
        <x:v>0.012244444444444443</x:v>
      </x:c>
      <x:c r="P2139" s="30" t="n">
        <x:f>O2139*J2139*(1+M2139)</x:f>
        <x:v>0.013468888888888888</x:v>
      </x:c>
      <x:c r="Q2139" s="30" t="n">
        <x:f>P2139*N2139</x:f>
        <x:v>0.16162666666666664</x:v>
      </x:c>
      <x:c r="R2139" s="19" t="str">
        <x:v>独立判定</x:v>
      </x:c>
    </x:row>
    <x:row r="2140" ht="19" customHeight="1">
      <x:c r="A2140" s="19" t="str">
        <x:v>D02136</x:v>
      </x:c>
      <x:c r="B2140" s="19" t="n">
        <x:v>5</x:v>
      </x:c>
      <x:c r="C2140" s="19" t="n">
        <x:v>1</x:v>
      </x:c>
      <x:c r="D2140" s="19" t="str">
        <x:v>C05-M007</x:v>
      </x:c>
      <x:c r="E2140" s="19" t="str">
        <x:v>银雾汲月兽</x:v>
      </x:c>
      <x:c r="F2140" s="19" t="str">
        <x:v>稀有</x:v>
      </x:c>
      <x:c r="G2140" s="19" t="str">
        <x:v>材料独立候选</x:v>
      </x:c>
      <x:c r="H2140" s="19" t="str">
        <x:v>小卢恩</x:v>
      </x:c>
      <x:c r="I2140" s="22" t="n">
        <x:v>4000</x:v>
      </x:c>
      <x:c r="J2140" s="22" t="n">
        <x:v>1</x:v>
      </x:c>
      <x:c r="K2140" s="19" t="n">
        <x:v>1</x:v>
      </x:c>
      <x:c r="L2140" s="24" t="n">
        <x:v>22.04</x:v>
      </x:c>
      <x:c r="M2140" s="26" t="n">
        <x:v>0.1</x:v>
      </x:c>
      <x:c r="N2140" s="24" t="n">
        <x:v>12</x:v>
      </x:c>
      <x:c r="O2140" s="28" t="n">
        <x:f>MIN(1,L2140/I2140)</x:f>
        <x:v>0.00551</x:v>
      </x:c>
      <x:c r="P2140" s="30" t="n">
        <x:f>O2140*J2140*(1+M2140)</x:f>
        <x:v>0.006061</x:v>
      </x:c>
      <x:c r="Q2140" s="30" t="n">
        <x:f>P2140*N2140</x:f>
        <x:v>0.072732</x:v>
      </x:c>
      <x:c r="R2140" s="19" t="str">
        <x:v>独立判定</x:v>
      </x:c>
    </x:row>
    <x:row r="2141" ht="19" customHeight="1">
      <x:c r="A2141" s="19" t="str">
        <x:v>D02137</x:v>
      </x:c>
      <x:c r="B2141" s="19" t="n">
        <x:v>5</x:v>
      </x:c>
      <x:c r="C2141" s="19" t="n">
        <x:v>1</x:v>
      </x:c>
      <x:c r="D2141" s="19" t="str">
        <x:v>C05-M007</x:v>
      </x:c>
      <x:c r="E2141" s="19" t="str">
        <x:v>银雾汲月兽</x:v>
      </x:c>
      <x:c r="F2141" s="19" t="str">
        <x:v>稀有</x:v>
      </x:c>
      <x:c r="G2141" s="19" t="str">
        <x:v>六神器公共池</x:v>
      </x:c>
      <x:c r="H2141" s="19" t="str">
        <x:v>POOL006</x:v>
      </x:c>
      <x:c r="I2141" s="22" t="n">
        <x:v>5000000</x:v>
      </x:c>
      <x:c r="J2141" s="22" t="n">
        <x:v>1</x:v>
      </x:c>
      <x:c r="K2141" s="19" t="n">
        <x:v>6</x:v>
      </x:c>
      <x:c r="L2141" s="24" t="n">
        <x:v>22.04</x:v>
      </x:c>
      <x:c r="M2141" s="26" t="n">
        <x:v>0.1</x:v>
      </x:c>
      <x:c r="N2141" s="24" t="n">
        <x:v>12</x:v>
      </x:c>
      <x:c r="O2141" s="28" t="n">
        <x:f>MIN(1,L2141/I2141)</x:f>
        <x:v>0.000004408</x:v>
      </x:c>
      <x:c r="P2141" s="30" t="n">
        <x:f>O2141*J2141*(1+M2141)</x:f>
        <x:v>0.0000048488</x:v>
      </x:c>
      <x:c r="Q2141" s="30" t="n">
        <x:f>P2141*N2141</x:f>
        <x:v>0.0000581856</x:v>
      </x:c>
      <x:c r="R2141" s="19" t="str">
        <x:v>六选一；非6个独立爆率</x:v>
      </x:c>
    </x:row>
    <x:row r="2142" ht="19" customHeight="1">
      <x:c r="A2142" s="19" t="str">
        <x:v>D02138</x:v>
      </x:c>
      <x:c r="B2142" s="19" t="n">
        <x:v>5</x:v>
      </x:c>
      <x:c r="C2142" s="19" t="n">
        <x:v>1</x:v>
      </x:c>
      <x:c r="D2142" s="19" t="str">
        <x:v>C05-M008</x:v>
      </x:c>
      <x:c r="E2142" s="19" t="str">
        <x:v>镜荷守梦灵</x:v>
      </x:c>
      <x:c r="F2142" s="19" t="str">
        <x:v>稀有</x:v>
      </x:c>
      <x:c r="G2142" s="19" t="str">
        <x:v>自身专属</x:v>
      </x:c>
      <x:c r="H2142" s="19" t="str">
        <x:v>镜荷眠梦冠</x:v>
      </x:c>
      <x:c r="I2142" s="22" t="n">
        <x:v>400</x:v>
      </x:c>
      <x:c r="J2142" s="22" t="n">
        <x:v>1</x:v>
      </x:c>
      <x:c r="K2142" s="19" t="n">
        <x:v>1</x:v>
      </x:c>
      <x:c r="L2142" s="24" t="n">
        <x:v>22.04</x:v>
      </x:c>
      <x:c r="M2142" s="26" t="n">
        <x:v>0.1</x:v>
      </x:c>
      <x:c r="N2142" s="24" t="n">
        <x:v>10.937500981983964</x:v>
      </x:c>
      <x:c r="O2142" s="28" t="n">
        <x:f>MIN(1,L2142/I2142)</x:f>
        <x:v>0.055099999999999996</x:v>
      </x:c>
      <x:c r="P2142" s="30" t="n">
        <x:f>O2142*J2142*(1+M2142)</x:f>
        <x:v>0.060610000000000004</x:v>
      </x:c>
      <x:c r="Q2142" s="30" t="n">
        <x:f>P2142*N2142</x:f>
        <x:v>0.6629219345180482</x:v>
      </x:c>
      <x:c r="R2142" s="19" t="str">
        <x:v>独立判定</x:v>
      </x:c>
    </x:row>
    <x:row r="2143" ht="19" customHeight="1">
      <x:c r="A2143" s="19" t="str">
        <x:v>D02139</x:v>
      </x:c>
      <x:c r="B2143" s="19" t="n">
        <x:v>5</x:v>
      </x:c>
      <x:c r="C2143" s="19" t="n">
        <x:v>1</x:v>
      </x:c>
      <x:c r="D2143" s="19" t="str">
        <x:v>C05-M008</x:v>
      </x:c>
      <x:c r="E2143" s="19" t="str">
        <x:v>镜荷守梦灵</x:v>
      </x:c>
      <x:c r="F2143" s="19" t="str">
        <x:v>稀有</x:v>
      </x:c>
      <x:c r="G2143" s="19" t="str">
        <x:v>材料独立候选</x:v>
      </x:c>
      <x:c r="H2143" s="19" t="str">
        <x:v>辉石碎晶</x:v>
      </x:c>
      <x:c r="I2143" s="22" t="n">
        <x:v>400</x:v>
      </x:c>
      <x:c r="J2143" s="22" t="n">
        <x:v>15</x:v>
      </x:c>
      <x:c r="K2143" s="19" t="n">
        <x:v>1</x:v>
      </x:c>
      <x:c r="L2143" s="24" t="n">
        <x:v>22.04</x:v>
      </x:c>
      <x:c r="M2143" s="26" t="n">
        <x:v>0.1</x:v>
      </x:c>
      <x:c r="N2143" s="24" t="n">
        <x:v>10.937500981983964</x:v>
      </x:c>
      <x:c r="O2143" s="28" t="n">
        <x:f>MIN(1,L2143/I2143)</x:f>
        <x:v>0.055099999999999996</x:v>
      </x:c>
      <x:c r="P2143" s="30" t="n">
        <x:f>O2143*J2143*(1+M2143)</x:f>
        <x:v>0.90915</x:v>
      </x:c>
      <x:c r="Q2143" s="30" t="n">
        <x:f>P2143*N2143</x:f>
        <x:v>9.943829017770721</x:v>
      </x:c>
      <x:c r="R2143" s="19" t="str">
        <x:v>独立判定</x:v>
      </x:c>
    </x:row>
    <x:row r="2144" ht="19" customHeight="1">
      <x:c r="A2144" s="19" t="str">
        <x:v>D02140</x:v>
      </x:c>
      <x:c r="B2144" s="19" t="n">
        <x:v>5</x:v>
      </x:c>
      <x:c r="C2144" s="19" t="n">
        <x:v>1</x:v>
      </x:c>
      <x:c r="D2144" s="19" t="str">
        <x:v>C05-M008</x:v>
      </x:c>
      <x:c r="E2144" s="19" t="str">
        <x:v>镜荷守梦灵</x:v>
      </x:c>
      <x:c r="F2144" s="19" t="str">
        <x:v>稀有</x:v>
      </x:c>
      <x:c r="G2144" s="19" t="str">
        <x:v>材料独立候选</x:v>
      </x:c>
      <x:c r="H2144" s="19" t="str">
        <x:v>卡利亚月露</x:v>
      </x:c>
      <x:c r="I2144" s="22" t="n">
        <x:v>800</x:v>
      </x:c>
      <x:c r="J2144" s="22" t="n">
        <x:v>1</x:v>
      </x:c>
      <x:c r="K2144" s="19" t="n">
        <x:v>1</x:v>
      </x:c>
      <x:c r="L2144" s="24" t="n">
        <x:v>22.04</x:v>
      </x:c>
      <x:c r="M2144" s="26" t="n">
        <x:v>0.1</x:v>
      </x:c>
      <x:c r="N2144" s="24" t="n">
        <x:v>10.937500981983964</x:v>
      </x:c>
      <x:c r="O2144" s="28" t="n">
        <x:f>MIN(1,L2144/I2144)</x:f>
        <x:v>0.027549999999999998</x:v>
      </x:c>
      <x:c r="P2144" s="30" t="n">
        <x:f>O2144*J2144*(1+M2144)</x:f>
        <x:v>0.030305000000000002</x:v>
      </x:c>
      <x:c r="Q2144" s="30" t="n">
        <x:f>P2144*N2144</x:f>
        <x:v>0.3314609672590241</x:v>
      </x:c>
      <x:c r="R2144" s="19" t="str">
        <x:v>独立判定</x:v>
      </x:c>
    </x:row>
    <x:row r="2145" ht="19" customHeight="1">
      <x:c r="A2145" s="19" t="str">
        <x:v>D02141</x:v>
      </x:c>
      <x:c r="B2145" s="19" t="n">
        <x:v>5</x:v>
      </x:c>
      <x:c r="C2145" s="19" t="n">
        <x:v>1</x:v>
      </x:c>
      <x:c r="D2145" s="19" t="str">
        <x:v>C05-M008</x:v>
      </x:c>
      <x:c r="E2145" s="19" t="str">
        <x:v>镜荷守梦灵</x:v>
      </x:c>
      <x:c r="F2145" s="19" t="str">
        <x:v>稀有</x:v>
      </x:c>
      <x:c r="G2145" s="19" t="str">
        <x:v>材料独立候选</x:v>
      </x:c>
      <x:c r="H2145" s="19" t="str">
        <x:v>学院封蜡</x:v>
      </x:c>
      <x:c r="I2145" s="22" t="n">
        <x:v>1000</x:v>
      </x:c>
      <x:c r="J2145" s="22" t="n">
        <x:v>1</x:v>
      </x:c>
      <x:c r="K2145" s="19" t="n">
        <x:v>1</x:v>
      </x:c>
      <x:c r="L2145" s="24" t="n">
        <x:v>22.04</x:v>
      </x:c>
      <x:c r="M2145" s="26" t="n">
        <x:v>0.1</x:v>
      </x:c>
      <x:c r="N2145" s="24" t="n">
        <x:v>10.937500981983964</x:v>
      </x:c>
      <x:c r="O2145" s="28" t="n">
        <x:f>MIN(1,L2145/I2145)</x:f>
        <x:v>0.02204</x:v>
      </x:c>
      <x:c r="P2145" s="30" t="n">
        <x:f>O2145*J2145*(1+M2145)</x:f>
        <x:v>0.024244</x:v>
      </x:c>
      <x:c r="Q2145" s="30" t="n">
        <x:f>P2145*N2145</x:f>
        <x:v>0.26516877380721926</x:v>
      </x:c>
      <x:c r="R2145" s="19" t="str">
        <x:v>独立判定</x:v>
      </x:c>
    </x:row>
    <x:row r="2146" ht="19" customHeight="1">
      <x:c r="A2146" s="19" t="str">
        <x:v>D02142</x:v>
      </x:c>
      <x:c r="B2146" s="19" t="n">
        <x:v>5</x:v>
      </x:c>
      <x:c r="C2146" s="19" t="n">
        <x:v>1</x:v>
      </x:c>
      <x:c r="D2146" s="19" t="str">
        <x:v>C05-M008</x:v>
      </x:c>
      <x:c r="E2146" s="19" t="str">
        <x:v>镜荷守梦灵</x:v>
      </x:c>
      <x:c r="F2146" s="19" t="str">
        <x:v>稀有</x:v>
      </x:c>
      <x:c r="G2146" s="19" t="str">
        <x:v>材料独立候选</x:v>
      </x:c>
      <x:c r="H2146" s="19" t="str">
        <x:v>湖心月谱残章</x:v>
      </x:c>
      <x:c r="I2146" s="22" t="n">
        <x:v>600000</x:v>
      </x:c>
      <x:c r="J2146" s="22" t="n">
        <x:v>1</x:v>
      </x:c>
      <x:c r="K2146" s="19" t="n">
        <x:v>1</x:v>
      </x:c>
      <x:c r="L2146" s="24" t="n">
        <x:v>22.04</x:v>
      </x:c>
      <x:c r="M2146" s="26" t="n">
        <x:v>0.1</x:v>
      </x:c>
      <x:c r="N2146" s="24" t="n">
        <x:v>10.937500981983964</x:v>
      </x:c>
      <x:c r="O2146" s="28" t="n">
        <x:f>MIN(1,L2146/I2146)</x:f>
        <x:v>0.00003673333333333333</x:v>
      </x:c>
      <x:c r="P2146" s="30" t="n">
        <x:f>O2146*J2146*(1+M2146)</x:f>
        <x:v>0.00004040666666666667</x:v>
      </x:c>
      <x:c r="Q2146" s="30" t="n">
        <x:f>P2146*N2146</x:f>
        <x:v>0.0004419479563453654</x:v>
      </x:c>
      <x:c r="R2146" s="19" t="str">
        <x:v>独立判定</x:v>
      </x:c>
    </x:row>
    <x:row r="2147" ht="19" customHeight="1">
      <x:c r="A2147" s="19" t="str">
        <x:v>D02143</x:v>
      </x:c>
      <x:c r="B2147" s="19" t="n">
        <x:v>5</x:v>
      </x:c>
      <x:c r="C2147" s="19" t="n">
        <x:v>1</x:v>
      </x:c>
      <x:c r="D2147" s="19" t="str">
        <x:v>C05-M008</x:v>
      </x:c>
      <x:c r="E2147" s="19" t="str">
        <x:v>镜荷守梦灵</x:v>
      </x:c>
      <x:c r="F2147" s="19" t="str">
        <x:v>稀有</x:v>
      </x:c>
      <x:c r="G2147" s="19" t="str">
        <x:v>材料独立候选</x:v>
      </x:c>
      <x:c r="H2147" s="19" t="str">
        <x:v>黄金树芽</x:v>
      </x:c>
      <x:c r="I2147" s="22" t="n">
        <x:v>3000</x:v>
      </x:c>
      <x:c r="J2147" s="22" t="n">
        <x:v>1</x:v>
      </x:c>
      <x:c r="K2147" s="19" t="n">
        <x:v>1</x:v>
      </x:c>
      <x:c r="L2147" s="24" t="n">
        <x:v>22.04</x:v>
      </x:c>
      <x:c r="M2147" s="26" t="n">
        <x:v>0.1</x:v>
      </x:c>
      <x:c r="N2147" s="24" t="n">
        <x:v>10.937500981983964</x:v>
      </x:c>
      <x:c r="O2147" s="28" t="n">
        <x:f>MIN(1,L2147/I2147)</x:f>
        <x:v>0.007346666666666666</x:v>
      </x:c>
      <x:c r="P2147" s="30" t="n">
        <x:f>O2147*J2147*(1+M2147)</x:f>
        <x:v>0.008081333333333333</x:v>
      </x:c>
      <x:c r="Q2147" s="30" t="n">
        <x:f>P2147*N2147</x:f>
        <x:v>0.08838959126907307</x:v>
      </x:c>
      <x:c r="R2147" s="19" t="str">
        <x:v>独立判定</x:v>
      </x:c>
    </x:row>
    <x:row r="2148" ht="19" customHeight="1">
      <x:c r="A2148" s="19" t="str">
        <x:v>D02144</x:v>
      </x:c>
      <x:c r="B2148" s="19" t="n">
        <x:v>5</x:v>
      </x:c>
      <x:c r="C2148" s="19" t="n">
        <x:v>1</x:v>
      </x:c>
      <x:c r="D2148" s="19" t="str">
        <x:v>C05-M008</x:v>
      </x:c>
      <x:c r="E2148" s="19" t="str">
        <x:v>镜荷守梦灵</x:v>
      </x:c>
      <x:c r="F2148" s="19" t="str">
        <x:v>稀有</x:v>
      </x:c>
      <x:c r="G2148" s="19" t="str">
        <x:v>材料独立候选</x:v>
      </x:c>
      <x:c r="H2148" s="19" t="str">
        <x:v>野兽骨片</x:v>
      </x:c>
      <x:c r="I2148" s="22" t="n">
        <x:v>60</x:v>
      </x:c>
      <x:c r="J2148" s="22" t="n">
        <x:v>3</x:v>
      </x:c>
      <x:c r="K2148" s="19" t="n">
        <x:v>1</x:v>
      </x:c>
      <x:c r="L2148" s="24" t="n">
        <x:v>22.04</x:v>
      </x:c>
      <x:c r="M2148" s="26" t="n">
        <x:v>0.1</x:v>
      </x:c>
      <x:c r="N2148" s="24" t="n">
        <x:v>10.937500981983964</x:v>
      </x:c>
      <x:c r="O2148" s="28" t="n">
        <x:f>MIN(1,L2148/I2148)</x:f>
        <x:v>0.36733333333333335</x:v>
      </x:c>
      <x:c r="P2148" s="30" t="n">
        <x:f>O2148*J2148*(1+M2148)</x:f>
        <x:v>1.2122000000000002</x:v>
      </x:c>
      <x:c r="Q2148" s="30" t="n">
        <x:f>P2148*N2148</x:f>
        <x:v>13.258438690360963</x:v>
      </x:c>
      <x:c r="R2148" s="19" t="str">
        <x:v>独立判定</x:v>
      </x:c>
    </x:row>
    <x:row r="2149" ht="19" customHeight="1">
      <x:c r="A2149" s="19" t="str">
        <x:v>D02145</x:v>
      </x:c>
      <x:c r="B2149" s="19" t="n">
        <x:v>5</x:v>
      </x:c>
      <x:c r="C2149" s="19" t="n">
        <x:v>1</x:v>
      </x:c>
      <x:c r="D2149" s="19" t="str">
        <x:v>C05-M008</x:v>
      </x:c>
      <x:c r="E2149" s="19" t="str">
        <x:v>镜荷守梦灵</x:v>
      </x:c>
      <x:c r="F2149" s="19" t="str">
        <x:v>稀有</x:v>
      </x:c>
      <x:c r="G2149" s="19" t="str">
        <x:v>材料独立候选</x:v>
      </x:c>
      <x:c r="H2149" s="19" t="str">
        <x:v>技能残页</x:v>
      </x:c>
      <x:c r="I2149" s="22" t="n">
        <x:v>1800</x:v>
      </x:c>
      <x:c r="J2149" s="22" t="n">
        <x:v>1</x:v>
      </x:c>
      <x:c r="K2149" s="19" t="n">
        <x:v>1</x:v>
      </x:c>
      <x:c r="L2149" s="24" t="n">
        <x:v>22.04</x:v>
      </x:c>
      <x:c r="M2149" s="26" t="n">
        <x:v>0.1</x:v>
      </x:c>
      <x:c r="N2149" s="24" t="n">
        <x:v>10.937500981983964</x:v>
      </x:c>
      <x:c r="O2149" s="28" t="n">
        <x:f>MIN(1,L2149/I2149)</x:f>
        <x:v>0.012244444444444443</x:v>
      </x:c>
      <x:c r="P2149" s="30" t="n">
        <x:f>O2149*J2149*(1+M2149)</x:f>
        <x:v>0.013468888888888888</x:v>
      </x:c>
      <x:c r="Q2149" s="30" t="n">
        <x:f>P2149*N2149</x:f>
        <x:v>0.14731598544845512</x:v>
      </x:c>
      <x:c r="R2149" s="19" t="str">
        <x:v>独立判定</x:v>
      </x:c>
    </x:row>
    <x:row r="2150" ht="19" customHeight="1">
      <x:c r="A2150" s="19" t="str">
        <x:v>D02146</x:v>
      </x:c>
      <x:c r="B2150" s="19" t="n">
        <x:v>5</x:v>
      </x:c>
      <x:c r="C2150" s="19" t="n">
        <x:v>1</x:v>
      </x:c>
      <x:c r="D2150" s="19" t="str">
        <x:v>C05-M008</x:v>
      </x:c>
      <x:c r="E2150" s="19" t="str">
        <x:v>镜荷守梦灵</x:v>
      </x:c>
      <x:c r="F2150" s="19" t="str">
        <x:v>稀有</x:v>
      </x:c>
      <x:c r="G2150" s="19" t="str">
        <x:v>材料独立候选</x:v>
      </x:c>
      <x:c r="H2150" s="19" t="str">
        <x:v>小卢恩</x:v>
      </x:c>
      <x:c r="I2150" s="22" t="n">
        <x:v>4000</x:v>
      </x:c>
      <x:c r="J2150" s="22" t="n">
        <x:v>1</x:v>
      </x:c>
      <x:c r="K2150" s="19" t="n">
        <x:v>1</x:v>
      </x:c>
      <x:c r="L2150" s="24" t="n">
        <x:v>22.04</x:v>
      </x:c>
      <x:c r="M2150" s="26" t="n">
        <x:v>0.1</x:v>
      </x:c>
      <x:c r="N2150" s="24" t="n">
        <x:v>10.937500981983964</x:v>
      </x:c>
      <x:c r="O2150" s="28" t="n">
        <x:f>MIN(1,L2150/I2150)</x:f>
        <x:v>0.00551</x:v>
      </x:c>
      <x:c r="P2150" s="30" t="n">
        <x:f>O2150*J2150*(1+M2150)</x:f>
        <x:v>0.006061</x:v>
      </x:c>
      <x:c r="Q2150" s="30" t="n">
        <x:f>P2150*N2150</x:f>
        <x:v>0.06629219345180482</x:v>
      </x:c>
      <x:c r="R2150" s="19" t="str">
        <x:v>独立判定</x:v>
      </x:c>
    </x:row>
    <x:row r="2151" ht="19" customHeight="1">
      <x:c r="A2151" s="19" t="str">
        <x:v>D02147</x:v>
      </x:c>
      <x:c r="B2151" s="19" t="n">
        <x:v>5</x:v>
      </x:c>
      <x:c r="C2151" s="19" t="n">
        <x:v>1</x:v>
      </x:c>
      <x:c r="D2151" s="19" t="str">
        <x:v>C05-M008</x:v>
      </x:c>
      <x:c r="E2151" s="19" t="str">
        <x:v>镜荷守梦灵</x:v>
      </x:c>
      <x:c r="F2151" s="19" t="str">
        <x:v>稀有</x:v>
      </x:c>
      <x:c r="G2151" s="19" t="str">
        <x:v>六神器公共池</x:v>
      </x:c>
      <x:c r="H2151" s="19" t="str">
        <x:v>POOL006</x:v>
      </x:c>
      <x:c r="I2151" s="22" t="n">
        <x:v>5000000</x:v>
      </x:c>
      <x:c r="J2151" s="22" t="n">
        <x:v>1</x:v>
      </x:c>
      <x:c r="K2151" s="19" t="n">
        <x:v>6</x:v>
      </x:c>
      <x:c r="L2151" s="24" t="n">
        <x:v>22.04</x:v>
      </x:c>
      <x:c r="M2151" s="26" t="n">
        <x:v>0.1</x:v>
      </x:c>
      <x:c r="N2151" s="24" t="n">
        <x:v>10.937500981983964</x:v>
      </x:c>
      <x:c r="O2151" s="28" t="n">
        <x:f>MIN(1,L2151/I2151)</x:f>
        <x:v>0.000004408</x:v>
      </x:c>
      <x:c r="P2151" s="30" t="n">
        <x:f>O2151*J2151*(1+M2151)</x:f>
        <x:v>0.0000048488</x:v>
      </x:c>
      <x:c r="Q2151" s="30" t="n">
        <x:f>P2151*N2151</x:f>
        <x:v>0.00005303375476144385</x:v>
      </x:c>
      <x:c r="R2151" s="19" t="str">
        <x:v>六选一；非6个独立爆率</x:v>
      </x:c>
    </x:row>
    <x:row r="2152" ht="19" customHeight="1">
      <x:c r="A2152" s="19" t="str">
        <x:v>D02148</x:v>
      </x:c>
      <x:c r="B2152" s="19" t="n">
        <x:v>5</x:v>
      </x:c>
      <x:c r="C2152" s="19" t="n">
        <x:v>1</x:v>
      </x:c>
      <x:c r="D2152" s="19" t="str">
        <x:v>C05-M009</x:v>
      </x:c>
      <x:c r="E2152" s="19" t="str">
        <x:v>月纱回声女官</x:v>
      </x:c>
      <x:c r="F2152" s="19" t="str">
        <x:v>稀有</x:v>
      </x:c>
      <x:c r="G2152" s="19" t="str">
        <x:v>自身专属</x:v>
      </x:c>
      <x:c r="H2152" s="19" t="str">
        <x:v>月纱回音章</x:v>
      </x:c>
      <x:c r="I2152" s="22" t="n">
        <x:v>400</x:v>
      </x:c>
      <x:c r="J2152" s="22" t="n">
        <x:v>1</x:v>
      </x:c>
      <x:c r="K2152" s="19" t="n">
        <x:v>1</x:v>
      </x:c>
      <x:c r="L2152" s="24" t="n">
        <x:v>22.04</x:v>
      </x:c>
      <x:c r="M2152" s="26" t="n">
        <x:v>0.1</x:v>
      </x:c>
      <x:c r="N2152" s="24" t="n">
        <x:v>10.46195746102814</x:v>
      </x:c>
      <x:c r="O2152" s="28" t="n">
        <x:f>MIN(1,L2152/I2152)</x:f>
        <x:v>0.055099999999999996</x:v>
      </x:c>
      <x:c r="P2152" s="30" t="n">
        <x:f>O2152*J2152*(1+M2152)</x:f>
        <x:v>0.060610000000000004</x:v>
      </x:c>
      <x:c r="Q2152" s="30" t="n">
        <x:f>P2152*N2152</x:f>
        <x:v>0.6340992417129157</x:v>
      </x:c>
      <x:c r="R2152" s="19" t="str">
        <x:v>独立判定</x:v>
      </x:c>
    </x:row>
    <x:row r="2153" ht="19" customHeight="1">
      <x:c r="A2153" s="19" t="str">
        <x:v>D02149</x:v>
      </x:c>
      <x:c r="B2153" s="19" t="n">
        <x:v>5</x:v>
      </x:c>
      <x:c r="C2153" s="19" t="n">
        <x:v>1</x:v>
      </x:c>
      <x:c r="D2153" s="19" t="str">
        <x:v>C05-M009</x:v>
      </x:c>
      <x:c r="E2153" s="19" t="str">
        <x:v>月纱回声女官</x:v>
      </x:c>
      <x:c r="F2153" s="19" t="str">
        <x:v>稀有</x:v>
      </x:c>
      <x:c r="G2153" s="19" t="str">
        <x:v>材料独立候选</x:v>
      </x:c>
      <x:c r="H2153" s="19" t="str">
        <x:v>辉石碎晶</x:v>
      </x:c>
      <x:c r="I2153" s="22" t="n">
        <x:v>400</x:v>
      </x:c>
      <x:c r="J2153" s="22" t="n">
        <x:v>15</x:v>
      </x:c>
      <x:c r="K2153" s="19" t="n">
        <x:v>1</x:v>
      </x:c>
      <x:c r="L2153" s="24" t="n">
        <x:v>22.04</x:v>
      </x:c>
      <x:c r="M2153" s="26" t="n">
        <x:v>0.1</x:v>
      </x:c>
      <x:c r="N2153" s="24" t="n">
        <x:v>10.46195746102814</x:v>
      </x:c>
      <x:c r="O2153" s="28" t="n">
        <x:f>MIN(1,L2153/I2153)</x:f>
        <x:v>0.055099999999999996</x:v>
      </x:c>
      <x:c r="P2153" s="30" t="n">
        <x:f>O2153*J2153*(1+M2153)</x:f>
        <x:v>0.90915</x:v>
      </x:c>
      <x:c r="Q2153" s="30" t="n">
        <x:f>P2153*N2153</x:f>
        <x:v>9.511488625693733</x:v>
      </x:c>
      <x:c r="R2153" s="19" t="str">
        <x:v>独立判定</x:v>
      </x:c>
    </x:row>
    <x:row r="2154" ht="19" customHeight="1">
      <x:c r="A2154" s="19" t="str">
        <x:v>D02150</x:v>
      </x:c>
      <x:c r="B2154" s="19" t="n">
        <x:v>5</x:v>
      </x:c>
      <x:c r="C2154" s="19" t="n">
        <x:v>1</x:v>
      </x:c>
      <x:c r="D2154" s="19" t="str">
        <x:v>C05-M009</x:v>
      </x:c>
      <x:c r="E2154" s="19" t="str">
        <x:v>月纱回声女官</x:v>
      </x:c>
      <x:c r="F2154" s="19" t="str">
        <x:v>稀有</x:v>
      </x:c>
      <x:c r="G2154" s="19" t="str">
        <x:v>材料独立候选</x:v>
      </x:c>
      <x:c r="H2154" s="19" t="str">
        <x:v>卡利亚月露</x:v>
      </x:c>
      <x:c r="I2154" s="22" t="n">
        <x:v>800</x:v>
      </x:c>
      <x:c r="J2154" s="22" t="n">
        <x:v>1</x:v>
      </x:c>
      <x:c r="K2154" s="19" t="n">
        <x:v>1</x:v>
      </x:c>
      <x:c r="L2154" s="24" t="n">
        <x:v>22.04</x:v>
      </x:c>
      <x:c r="M2154" s="26" t="n">
        <x:v>0.1</x:v>
      </x:c>
      <x:c r="N2154" s="24" t="n">
        <x:v>10.46195746102814</x:v>
      </x:c>
      <x:c r="O2154" s="28" t="n">
        <x:f>MIN(1,L2154/I2154)</x:f>
        <x:v>0.027549999999999998</x:v>
      </x:c>
      <x:c r="P2154" s="30" t="n">
        <x:f>O2154*J2154*(1+M2154)</x:f>
        <x:v>0.030305000000000002</x:v>
      </x:c>
      <x:c r="Q2154" s="30" t="n">
        <x:f>P2154*N2154</x:f>
        <x:v>0.3170496208564578</x:v>
      </x:c>
      <x:c r="R2154" s="19" t="str">
        <x:v>独立判定</x:v>
      </x:c>
    </x:row>
    <x:row r="2155" ht="19" customHeight="1">
      <x:c r="A2155" s="19" t="str">
        <x:v>D02151</x:v>
      </x:c>
      <x:c r="B2155" s="19" t="n">
        <x:v>5</x:v>
      </x:c>
      <x:c r="C2155" s="19" t="n">
        <x:v>1</x:v>
      </x:c>
      <x:c r="D2155" s="19" t="str">
        <x:v>C05-M009</x:v>
      </x:c>
      <x:c r="E2155" s="19" t="str">
        <x:v>月纱回声女官</x:v>
      </x:c>
      <x:c r="F2155" s="19" t="str">
        <x:v>稀有</x:v>
      </x:c>
      <x:c r="G2155" s="19" t="str">
        <x:v>材料独立候选</x:v>
      </x:c>
      <x:c r="H2155" s="19" t="str">
        <x:v>学院封蜡</x:v>
      </x:c>
      <x:c r="I2155" s="22" t="n">
        <x:v>1000</x:v>
      </x:c>
      <x:c r="J2155" s="22" t="n">
        <x:v>1</x:v>
      </x:c>
      <x:c r="K2155" s="19" t="n">
        <x:v>1</x:v>
      </x:c>
      <x:c r="L2155" s="24" t="n">
        <x:v>22.04</x:v>
      </x:c>
      <x:c r="M2155" s="26" t="n">
        <x:v>0.1</x:v>
      </x:c>
      <x:c r="N2155" s="24" t="n">
        <x:v>10.46195746102814</x:v>
      </x:c>
      <x:c r="O2155" s="28" t="n">
        <x:f>MIN(1,L2155/I2155)</x:f>
        <x:v>0.02204</x:v>
      </x:c>
      <x:c r="P2155" s="30" t="n">
        <x:f>O2155*J2155*(1+M2155)</x:f>
        <x:v>0.024244</x:v>
      </x:c>
      <x:c r="Q2155" s="30" t="n">
        <x:f>P2155*N2155</x:f>
        <x:v>0.2536396966851662</x:v>
      </x:c>
      <x:c r="R2155" s="19" t="str">
        <x:v>独立判定</x:v>
      </x:c>
    </x:row>
    <x:row r="2156" ht="19" customHeight="1">
      <x:c r="A2156" s="19" t="str">
        <x:v>D02152</x:v>
      </x:c>
      <x:c r="B2156" s="19" t="n">
        <x:v>5</x:v>
      </x:c>
      <x:c r="C2156" s="19" t="n">
        <x:v>1</x:v>
      </x:c>
      <x:c r="D2156" s="19" t="str">
        <x:v>C05-M009</x:v>
      </x:c>
      <x:c r="E2156" s="19" t="str">
        <x:v>月纱回声女官</x:v>
      </x:c>
      <x:c r="F2156" s="19" t="str">
        <x:v>稀有</x:v>
      </x:c>
      <x:c r="G2156" s="19" t="str">
        <x:v>材料独立候选</x:v>
      </x:c>
      <x:c r="H2156" s="19" t="str">
        <x:v>湖心月谱残章</x:v>
      </x:c>
      <x:c r="I2156" s="22" t="n">
        <x:v>600000</x:v>
      </x:c>
      <x:c r="J2156" s="22" t="n">
        <x:v>1</x:v>
      </x:c>
      <x:c r="K2156" s="19" t="n">
        <x:v>1</x:v>
      </x:c>
      <x:c r="L2156" s="24" t="n">
        <x:v>22.04</x:v>
      </x:c>
      <x:c r="M2156" s="26" t="n">
        <x:v>0.1</x:v>
      </x:c>
      <x:c r="N2156" s="24" t="n">
        <x:v>10.46195746102814</x:v>
      </x:c>
      <x:c r="O2156" s="28" t="n">
        <x:f>MIN(1,L2156/I2156)</x:f>
        <x:v>0.00003673333333333333</x:v>
      </x:c>
      <x:c r="P2156" s="30" t="n">
        <x:f>O2156*J2156*(1+M2156)</x:f>
        <x:v>0.00004040666666666667</x:v>
      </x:c>
      <x:c r="Q2156" s="30" t="n">
        <x:f>P2156*N2156</x:f>
        <x:v>0.0004227328278086104</x:v>
      </x:c>
      <x:c r="R2156" s="19" t="str">
        <x:v>独立判定</x:v>
      </x:c>
    </x:row>
    <x:row r="2157" ht="19" customHeight="1">
      <x:c r="A2157" s="19" t="str">
        <x:v>D02153</x:v>
      </x:c>
      <x:c r="B2157" s="19" t="n">
        <x:v>5</x:v>
      </x:c>
      <x:c r="C2157" s="19" t="n">
        <x:v>1</x:v>
      </x:c>
      <x:c r="D2157" s="19" t="str">
        <x:v>C05-M009</x:v>
      </x:c>
      <x:c r="E2157" s="19" t="str">
        <x:v>月纱回声女官</x:v>
      </x:c>
      <x:c r="F2157" s="19" t="str">
        <x:v>稀有</x:v>
      </x:c>
      <x:c r="G2157" s="19" t="str">
        <x:v>材料独立候选</x:v>
      </x:c>
      <x:c r="H2157" s="19" t="str">
        <x:v>黄金树芽</x:v>
      </x:c>
      <x:c r="I2157" s="22" t="n">
        <x:v>3000</x:v>
      </x:c>
      <x:c r="J2157" s="22" t="n">
        <x:v>1</x:v>
      </x:c>
      <x:c r="K2157" s="19" t="n">
        <x:v>1</x:v>
      </x:c>
      <x:c r="L2157" s="24" t="n">
        <x:v>22.04</x:v>
      </x:c>
      <x:c r="M2157" s="26" t="n">
        <x:v>0.1</x:v>
      </x:c>
      <x:c r="N2157" s="24" t="n">
        <x:v>10.46195746102814</x:v>
      </x:c>
      <x:c r="O2157" s="28" t="n">
        <x:f>MIN(1,L2157/I2157)</x:f>
        <x:v>0.007346666666666666</x:v>
      </x:c>
      <x:c r="P2157" s="30" t="n">
        <x:f>O2157*J2157*(1+M2157)</x:f>
        <x:v>0.008081333333333333</x:v>
      </x:c>
      <x:c r="Q2157" s="30" t="n">
        <x:f>P2157*N2157</x:f>
        <x:v>0.08454656556172208</x:v>
      </x:c>
      <x:c r="R2157" s="19" t="str">
        <x:v>独立判定</x:v>
      </x:c>
    </x:row>
    <x:row r="2158" ht="19" customHeight="1">
      <x:c r="A2158" s="19" t="str">
        <x:v>D02154</x:v>
      </x:c>
      <x:c r="B2158" s="19" t="n">
        <x:v>5</x:v>
      </x:c>
      <x:c r="C2158" s="19" t="n">
        <x:v>1</x:v>
      </x:c>
      <x:c r="D2158" s="19" t="str">
        <x:v>C05-M009</x:v>
      </x:c>
      <x:c r="E2158" s="19" t="str">
        <x:v>月纱回声女官</x:v>
      </x:c>
      <x:c r="F2158" s="19" t="str">
        <x:v>稀有</x:v>
      </x:c>
      <x:c r="G2158" s="19" t="str">
        <x:v>材料独立候选</x:v>
      </x:c>
      <x:c r="H2158" s="19" t="str">
        <x:v>野兽骨片</x:v>
      </x:c>
      <x:c r="I2158" s="22" t="n">
        <x:v>60</x:v>
      </x:c>
      <x:c r="J2158" s="22" t="n">
        <x:v>3</x:v>
      </x:c>
      <x:c r="K2158" s="19" t="n">
        <x:v>1</x:v>
      </x:c>
      <x:c r="L2158" s="24" t="n">
        <x:v>22.04</x:v>
      </x:c>
      <x:c r="M2158" s="26" t="n">
        <x:v>0.1</x:v>
      </x:c>
      <x:c r="N2158" s="24" t="n">
        <x:v>10.46195746102814</x:v>
      </x:c>
      <x:c r="O2158" s="28" t="n">
        <x:f>MIN(1,L2158/I2158)</x:f>
        <x:v>0.36733333333333335</x:v>
      </x:c>
      <x:c r="P2158" s="30" t="n">
        <x:f>O2158*J2158*(1+M2158)</x:f>
        <x:v>1.2122000000000002</x:v>
      </x:c>
      <x:c r="Q2158" s="30" t="n">
        <x:f>P2158*N2158</x:f>
        <x:v>12.681984834258314</x:v>
      </x:c>
      <x:c r="R2158" s="19" t="str">
        <x:v>独立判定</x:v>
      </x:c>
    </x:row>
    <x:row r="2159" ht="19" customHeight="1">
      <x:c r="A2159" s="19" t="str">
        <x:v>D02155</x:v>
      </x:c>
      <x:c r="B2159" s="19" t="n">
        <x:v>5</x:v>
      </x:c>
      <x:c r="C2159" s="19" t="n">
        <x:v>1</x:v>
      </x:c>
      <x:c r="D2159" s="19" t="str">
        <x:v>C05-M009</x:v>
      </x:c>
      <x:c r="E2159" s="19" t="str">
        <x:v>月纱回声女官</x:v>
      </x:c>
      <x:c r="F2159" s="19" t="str">
        <x:v>稀有</x:v>
      </x:c>
      <x:c r="G2159" s="19" t="str">
        <x:v>材料独立候选</x:v>
      </x:c>
      <x:c r="H2159" s="19" t="str">
        <x:v>技能残页</x:v>
      </x:c>
      <x:c r="I2159" s="22" t="n">
        <x:v>1800</x:v>
      </x:c>
      <x:c r="J2159" s="22" t="n">
        <x:v>1</x:v>
      </x:c>
      <x:c r="K2159" s="19" t="n">
        <x:v>1</x:v>
      </x:c>
      <x:c r="L2159" s="24" t="n">
        <x:v>22.04</x:v>
      </x:c>
      <x:c r="M2159" s="26" t="n">
        <x:v>0.1</x:v>
      </x:c>
      <x:c r="N2159" s="24" t="n">
        <x:v>10.46195746102814</x:v>
      </x:c>
      <x:c r="O2159" s="28" t="n">
        <x:f>MIN(1,L2159/I2159)</x:f>
        <x:v>0.012244444444444443</x:v>
      </x:c>
      <x:c r="P2159" s="30" t="n">
        <x:f>O2159*J2159*(1+M2159)</x:f>
        <x:v>0.013468888888888888</x:v>
      </x:c>
      <x:c r="Q2159" s="30" t="n">
        <x:f>P2159*N2159</x:f>
        <x:v>0.14091094260287013</x:v>
      </x:c>
      <x:c r="R2159" s="19" t="str">
        <x:v>独立判定</x:v>
      </x:c>
    </x:row>
    <x:row r="2160" ht="19" customHeight="1">
      <x:c r="A2160" s="19" t="str">
        <x:v>D02156</x:v>
      </x:c>
      <x:c r="B2160" s="19" t="n">
        <x:v>5</x:v>
      </x:c>
      <x:c r="C2160" s="19" t="n">
        <x:v>1</x:v>
      </x:c>
      <x:c r="D2160" s="19" t="str">
        <x:v>C05-M009</x:v>
      </x:c>
      <x:c r="E2160" s="19" t="str">
        <x:v>月纱回声女官</x:v>
      </x:c>
      <x:c r="F2160" s="19" t="str">
        <x:v>稀有</x:v>
      </x:c>
      <x:c r="G2160" s="19" t="str">
        <x:v>材料独立候选</x:v>
      </x:c>
      <x:c r="H2160" s="19" t="str">
        <x:v>小卢恩</x:v>
      </x:c>
      <x:c r="I2160" s="22" t="n">
        <x:v>4000</x:v>
      </x:c>
      <x:c r="J2160" s="22" t="n">
        <x:v>1</x:v>
      </x:c>
      <x:c r="K2160" s="19" t="n">
        <x:v>1</x:v>
      </x:c>
      <x:c r="L2160" s="24" t="n">
        <x:v>22.04</x:v>
      </x:c>
      <x:c r="M2160" s="26" t="n">
        <x:v>0.1</x:v>
      </x:c>
      <x:c r="N2160" s="24" t="n">
        <x:v>10.46195746102814</x:v>
      </x:c>
      <x:c r="O2160" s="28" t="n">
        <x:f>MIN(1,L2160/I2160)</x:f>
        <x:v>0.00551</x:v>
      </x:c>
      <x:c r="P2160" s="30" t="n">
        <x:f>O2160*J2160*(1+M2160)</x:f>
        <x:v>0.006061</x:v>
      </x:c>
      <x:c r="Q2160" s="30" t="n">
        <x:f>P2160*N2160</x:f>
        <x:v>0.06340992417129156</x:v>
      </x:c>
      <x:c r="R2160" s="19" t="str">
        <x:v>独立判定</x:v>
      </x:c>
    </x:row>
    <x:row r="2161" ht="19" customHeight="1">
      <x:c r="A2161" s="19" t="str">
        <x:v>D02157</x:v>
      </x:c>
      <x:c r="B2161" s="19" t="n">
        <x:v>5</x:v>
      </x:c>
      <x:c r="C2161" s="19" t="n">
        <x:v>1</x:v>
      </x:c>
      <x:c r="D2161" s="19" t="str">
        <x:v>C05-M009</x:v>
      </x:c>
      <x:c r="E2161" s="19" t="str">
        <x:v>月纱回声女官</x:v>
      </x:c>
      <x:c r="F2161" s="19" t="str">
        <x:v>稀有</x:v>
      </x:c>
      <x:c r="G2161" s="19" t="str">
        <x:v>六神器公共池</x:v>
      </x:c>
      <x:c r="H2161" s="19" t="str">
        <x:v>POOL006</x:v>
      </x:c>
      <x:c r="I2161" s="22" t="n">
        <x:v>5000000</x:v>
      </x:c>
      <x:c r="J2161" s="22" t="n">
        <x:v>1</x:v>
      </x:c>
      <x:c r="K2161" s="19" t="n">
        <x:v>6</x:v>
      </x:c>
      <x:c r="L2161" s="24" t="n">
        <x:v>22.04</x:v>
      </x:c>
      <x:c r="M2161" s="26" t="n">
        <x:v>0.1</x:v>
      </x:c>
      <x:c r="N2161" s="24" t="n">
        <x:v>10.46195746102814</x:v>
      </x:c>
      <x:c r="O2161" s="28" t="n">
        <x:f>MIN(1,L2161/I2161)</x:f>
        <x:v>0.000004408</x:v>
      </x:c>
      <x:c r="P2161" s="30" t="n">
        <x:f>O2161*J2161*(1+M2161)</x:f>
        <x:v>0.0000048488</x:v>
      </x:c>
      <x:c r="Q2161" s="30" t="n">
        <x:f>P2161*N2161</x:f>
        <x:v>0.000050727939337033243</x:v>
      </x:c>
      <x:c r="R2161" s="19" t="str">
        <x:v>六选一；非6个独立爆率</x:v>
      </x:c>
    </x:row>
    <x:row r="2162" ht="19" customHeight="1">
      <x:c r="A2162" s="19" t="str">
        <x:v>D02158</x:v>
      </x:c>
      <x:c r="B2162" s="19" t="n">
        <x:v>5</x:v>
      </x:c>
      <x:c r="C2162" s="19" t="n">
        <x:v>1</x:v>
      </x:c>
      <x:c r="D2162" s="19" t="str">
        <x:v>C05-M010</x:v>
      </x:c>
      <x:c r="E2162" s="19" t="str">
        <x:v>静潮祷月祭司</x:v>
      </x:c>
      <x:c r="F2162" s="19" t="str">
        <x:v>稀有</x:v>
      </x:c>
      <x:c r="G2162" s="19" t="str">
        <x:v>自身专属</x:v>
      </x:c>
      <x:c r="H2162" s="19" t="str">
        <x:v>静潮祷仪袍</x:v>
      </x:c>
      <x:c r="I2162" s="22" t="n">
        <x:v>400</x:v>
      </x:c>
      <x:c r="J2162" s="22" t="n">
        <x:v>1</x:v>
      </x:c>
      <x:c r="K2162" s="19" t="n">
        <x:v>1</x:v>
      </x:c>
      <x:c r="L2162" s="24" t="n">
        <x:v>22.04</x:v>
      </x:c>
      <x:c r="M2162" s="26" t="n">
        <x:v>0.1</x:v>
      </x:c>
      <x:c r="N2162" s="24" t="n">
        <x:v>10.46195746102814</x:v>
      </x:c>
      <x:c r="O2162" s="28" t="n">
        <x:f>MIN(1,L2162/I2162)</x:f>
        <x:v>0.055099999999999996</x:v>
      </x:c>
      <x:c r="P2162" s="30" t="n">
        <x:f>O2162*J2162*(1+M2162)</x:f>
        <x:v>0.060610000000000004</x:v>
      </x:c>
      <x:c r="Q2162" s="30" t="n">
        <x:f>P2162*N2162</x:f>
        <x:v>0.6340992417129157</x:v>
      </x:c>
      <x:c r="R2162" s="19" t="str">
        <x:v>独立判定</x:v>
      </x:c>
    </x:row>
    <x:row r="2163" ht="19" customHeight="1">
      <x:c r="A2163" s="19" t="str">
        <x:v>D02159</x:v>
      </x:c>
      <x:c r="B2163" s="19" t="n">
        <x:v>5</x:v>
      </x:c>
      <x:c r="C2163" s="19" t="n">
        <x:v>1</x:v>
      </x:c>
      <x:c r="D2163" s="19" t="str">
        <x:v>C05-M010</x:v>
      </x:c>
      <x:c r="E2163" s="19" t="str">
        <x:v>静潮祷月祭司</x:v>
      </x:c>
      <x:c r="F2163" s="19" t="str">
        <x:v>稀有</x:v>
      </x:c>
      <x:c r="G2163" s="19" t="str">
        <x:v>材料独立候选</x:v>
      </x:c>
      <x:c r="H2163" s="19" t="str">
        <x:v>辉石碎晶</x:v>
      </x:c>
      <x:c r="I2163" s="22" t="n">
        <x:v>400</x:v>
      </x:c>
      <x:c r="J2163" s="22" t="n">
        <x:v>15</x:v>
      </x:c>
      <x:c r="K2163" s="19" t="n">
        <x:v>1</x:v>
      </x:c>
      <x:c r="L2163" s="24" t="n">
        <x:v>22.04</x:v>
      </x:c>
      <x:c r="M2163" s="26" t="n">
        <x:v>0.1</x:v>
      </x:c>
      <x:c r="N2163" s="24" t="n">
        <x:v>10.46195746102814</x:v>
      </x:c>
      <x:c r="O2163" s="28" t="n">
        <x:f>MIN(1,L2163/I2163)</x:f>
        <x:v>0.055099999999999996</x:v>
      </x:c>
      <x:c r="P2163" s="30" t="n">
        <x:f>O2163*J2163*(1+M2163)</x:f>
        <x:v>0.90915</x:v>
      </x:c>
      <x:c r="Q2163" s="30" t="n">
        <x:f>P2163*N2163</x:f>
        <x:v>9.511488625693733</x:v>
      </x:c>
      <x:c r="R2163" s="19" t="str">
        <x:v>独立判定</x:v>
      </x:c>
    </x:row>
    <x:row r="2164" ht="19" customHeight="1">
      <x:c r="A2164" s="19" t="str">
        <x:v>D02160</x:v>
      </x:c>
      <x:c r="B2164" s="19" t="n">
        <x:v>5</x:v>
      </x:c>
      <x:c r="C2164" s="19" t="n">
        <x:v>1</x:v>
      </x:c>
      <x:c r="D2164" s="19" t="str">
        <x:v>C05-M010</x:v>
      </x:c>
      <x:c r="E2164" s="19" t="str">
        <x:v>静潮祷月祭司</x:v>
      </x:c>
      <x:c r="F2164" s="19" t="str">
        <x:v>稀有</x:v>
      </x:c>
      <x:c r="G2164" s="19" t="str">
        <x:v>材料独立候选</x:v>
      </x:c>
      <x:c r="H2164" s="19" t="str">
        <x:v>卡利亚月露</x:v>
      </x:c>
      <x:c r="I2164" s="22" t="n">
        <x:v>800</x:v>
      </x:c>
      <x:c r="J2164" s="22" t="n">
        <x:v>1</x:v>
      </x:c>
      <x:c r="K2164" s="19" t="n">
        <x:v>1</x:v>
      </x:c>
      <x:c r="L2164" s="24" t="n">
        <x:v>22.04</x:v>
      </x:c>
      <x:c r="M2164" s="26" t="n">
        <x:v>0.1</x:v>
      </x:c>
      <x:c r="N2164" s="24" t="n">
        <x:v>10.46195746102814</x:v>
      </x:c>
      <x:c r="O2164" s="28" t="n">
        <x:f>MIN(1,L2164/I2164)</x:f>
        <x:v>0.027549999999999998</x:v>
      </x:c>
      <x:c r="P2164" s="30" t="n">
        <x:f>O2164*J2164*(1+M2164)</x:f>
        <x:v>0.030305000000000002</x:v>
      </x:c>
      <x:c r="Q2164" s="30" t="n">
        <x:f>P2164*N2164</x:f>
        <x:v>0.3170496208564578</x:v>
      </x:c>
      <x:c r="R2164" s="19" t="str">
        <x:v>独立判定</x:v>
      </x:c>
    </x:row>
    <x:row r="2165" ht="19" customHeight="1">
      <x:c r="A2165" s="19" t="str">
        <x:v>D02161</x:v>
      </x:c>
      <x:c r="B2165" s="19" t="n">
        <x:v>5</x:v>
      </x:c>
      <x:c r="C2165" s="19" t="n">
        <x:v>1</x:v>
      </x:c>
      <x:c r="D2165" s="19" t="str">
        <x:v>C05-M010</x:v>
      </x:c>
      <x:c r="E2165" s="19" t="str">
        <x:v>静潮祷月祭司</x:v>
      </x:c>
      <x:c r="F2165" s="19" t="str">
        <x:v>稀有</x:v>
      </x:c>
      <x:c r="G2165" s="19" t="str">
        <x:v>材料独立候选</x:v>
      </x:c>
      <x:c r="H2165" s="19" t="str">
        <x:v>学院封蜡</x:v>
      </x:c>
      <x:c r="I2165" s="22" t="n">
        <x:v>1000</x:v>
      </x:c>
      <x:c r="J2165" s="22" t="n">
        <x:v>1</x:v>
      </x:c>
      <x:c r="K2165" s="19" t="n">
        <x:v>1</x:v>
      </x:c>
      <x:c r="L2165" s="24" t="n">
        <x:v>22.04</x:v>
      </x:c>
      <x:c r="M2165" s="26" t="n">
        <x:v>0.1</x:v>
      </x:c>
      <x:c r="N2165" s="24" t="n">
        <x:v>10.46195746102814</x:v>
      </x:c>
      <x:c r="O2165" s="28" t="n">
        <x:f>MIN(1,L2165/I2165)</x:f>
        <x:v>0.02204</x:v>
      </x:c>
      <x:c r="P2165" s="30" t="n">
        <x:f>O2165*J2165*(1+M2165)</x:f>
        <x:v>0.024244</x:v>
      </x:c>
      <x:c r="Q2165" s="30" t="n">
        <x:f>P2165*N2165</x:f>
        <x:v>0.2536396966851662</x:v>
      </x:c>
      <x:c r="R2165" s="19" t="str">
        <x:v>独立判定</x:v>
      </x:c>
    </x:row>
    <x:row r="2166" ht="19" customHeight="1">
      <x:c r="A2166" s="19" t="str">
        <x:v>D02162</x:v>
      </x:c>
      <x:c r="B2166" s="19" t="n">
        <x:v>5</x:v>
      </x:c>
      <x:c r="C2166" s="19" t="n">
        <x:v>1</x:v>
      </x:c>
      <x:c r="D2166" s="19" t="str">
        <x:v>C05-M010</x:v>
      </x:c>
      <x:c r="E2166" s="19" t="str">
        <x:v>静潮祷月祭司</x:v>
      </x:c>
      <x:c r="F2166" s="19" t="str">
        <x:v>稀有</x:v>
      </x:c>
      <x:c r="G2166" s="19" t="str">
        <x:v>材料独立候选</x:v>
      </x:c>
      <x:c r="H2166" s="19" t="str">
        <x:v>湖心月谱残章</x:v>
      </x:c>
      <x:c r="I2166" s="22" t="n">
        <x:v>600000</x:v>
      </x:c>
      <x:c r="J2166" s="22" t="n">
        <x:v>1</x:v>
      </x:c>
      <x:c r="K2166" s="19" t="n">
        <x:v>1</x:v>
      </x:c>
      <x:c r="L2166" s="24" t="n">
        <x:v>22.04</x:v>
      </x:c>
      <x:c r="M2166" s="26" t="n">
        <x:v>0.1</x:v>
      </x:c>
      <x:c r="N2166" s="24" t="n">
        <x:v>10.46195746102814</x:v>
      </x:c>
      <x:c r="O2166" s="28" t="n">
        <x:f>MIN(1,L2166/I2166)</x:f>
        <x:v>0.00003673333333333333</x:v>
      </x:c>
      <x:c r="P2166" s="30" t="n">
        <x:f>O2166*J2166*(1+M2166)</x:f>
        <x:v>0.00004040666666666667</x:v>
      </x:c>
      <x:c r="Q2166" s="30" t="n">
        <x:f>P2166*N2166</x:f>
        <x:v>0.0004227328278086104</x:v>
      </x:c>
      <x:c r="R2166" s="19" t="str">
        <x:v>独立判定</x:v>
      </x:c>
    </x:row>
    <x:row r="2167" ht="19" customHeight="1">
      <x:c r="A2167" s="19" t="str">
        <x:v>D02163</x:v>
      </x:c>
      <x:c r="B2167" s="19" t="n">
        <x:v>5</x:v>
      </x:c>
      <x:c r="C2167" s="19" t="n">
        <x:v>1</x:v>
      </x:c>
      <x:c r="D2167" s="19" t="str">
        <x:v>C05-M010</x:v>
      </x:c>
      <x:c r="E2167" s="19" t="str">
        <x:v>静潮祷月祭司</x:v>
      </x:c>
      <x:c r="F2167" s="19" t="str">
        <x:v>稀有</x:v>
      </x:c>
      <x:c r="G2167" s="19" t="str">
        <x:v>材料独立候选</x:v>
      </x:c>
      <x:c r="H2167" s="19" t="str">
        <x:v>黄金树芽</x:v>
      </x:c>
      <x:c r="I2167" s="22" t="n">
        <x:v>3000</x:v>
      </x:c>
      <x:c r="J2167" s="22" t="n">
        <x:v>1</x:v>
      </x:c>
      <x:c r="K2167" s="19" t="n">
        <x:v>1</x:v>
      </x:c>
      <x:c r="L2167" s="24" t="n">
        <x:v>22.04</x:v>
      </x:c>
      <x:c r="M2167" s="26" t="n">
        <x:v>0.1</x:v>
      </x:c>
      <x:c r="N2167" s="24" t="n">
        <x:v>10.46195746102814</x:v>
      </x:c>
      <x:c r="O2167" s="28" t="n">
        <x:f>MIN(1,L2167/I2167)</x:f>
        <x:v>0.007346666666666666</x:v>
      </x:c>
      <x:c r="P2167" s="30" t="n">
        <x:f>O2167*J2167*(1+M2167)</x:f>
        <x:v>0.008081333333333333</x:v>
      </x:c>
      <x:c r="Q2167" s="30" t="n">
        <x:f>P2167*N2167</x:f>
        <x:v>0.08454656556172208</x:v>
      </x:c>
      <x:c r="R2167" s="19" t="str">
        <x:v>独立判定</x:v>
      </x:c>
    </x:row>
    <x:row r="2168" ht="19" customHeight="1">
      <x:c r="A2168" s="19" t="str">
        <x:v>D02164</x:v>
      </x:c>
      <x:c r="B2168" s="19" t="n">
        <x:v>5</x:v>
      </x:c>
      <x:c r="C2168" s="19" t="n">
        <x:v>1</x:v>
      </x:c>
      <x:c r="D2168" s="19" t="str">
        <x:v>C05-M010</x:v>
      </x:c>
      <x:c r="E2168" s="19" t="str">
        <x:v>静潮祷月祭司</x:v>
      </x:c>
      <x:c r="F2168" s="19" t="str">
        <x:v>稀有</x:v>
      </x:c>
      <x:c r="G2168" s="19" t="str">
        <x:v>材料独立候选</x:v>
      </x:c>
      <x:c r="H2168" s="19" t="str">
        <x:v>野兽骨片</x:v>
      </x:c>
      <x:c r="I2168" s="22" t="n">
        <x:v>60</x:v>
      </x:c>
      <x:c r="J2168" s="22" t="n">
        <x:v>3</x:v>
      </x:c>
      <x:c r="K2168" s="19" t="n">
        <x:v>1</x:v>
      </x:c>
      <x:c r="L2168" s="24" t="n">
        <x:v>22.04</x:v>
      </x:c>
      <x:c r="M2168" s="26" t="n">
        <x:v>0.1</x:v>
      </x:c>
      <x:c r="N2168" s="24" t="n">
        <x:v>10.46195746102814</x:v>
      </x:c>
      <x:c r="O2168" s="28" t="n">
        <x:f>MIN(1,L2168/I2168)</x:f>
        <x:v>0.36733333333333335</x:v>
      </x:c>
      <x:c r="P2168" s="30" t="n">
        <x:f>O2168*J2168*(1+M2168)</x:f>
        <x:v>1.2122000000000002</x:v>
      </x:c>
      <x:c r="Q2168" s="30" t="n">
        <x:f>P2168*N2168</x:f>
        <x:v>12.681984834258314</x:v>
      </x:c>
      <x:c r="R2168" s="19" t="str">
        <x:v>独立判定</x:v>
      </x:c>
    </x:row>
    <x:row r="2169" ht="19" customHeight="1">
      <x:c r="A2169" s="19" t="str">
        <x:v>D02165</x:v>
      </x:c>
      <x:c r="B2169" s="19" t="n">
        <x:v>5</x:v>
      </x:c>
      <x:c r="C2169" s="19" t="n">
        <x:v>1</x:v>
      </x:c>
      <x:c r="D2169" s="19" t="str">
        <x:v>C05-M010</x:v>
      </x:c>
      <x:c r="E2169" s="19" t="str">
        <x:v>静潮祷月祭司</x:v>
      </x:c>
      <x:c r="F2169" s="19" t="str">
        <x:v>稀有</x:v>
      </x:c>
      <x:c r="G2169" s="19" t="str">
        <x:v>材料独立候选</x:v>
      </x:c>
      <x:c r="H2169" s="19" t="str">
        <x:v>技能残页</x:v>
      </x:c>
      <x:c r="I2169" s="22" t="n">
        <x:v>1800</x:v>
      </x:c>
      <x:c r="J2169" s="22" t="n">
        <x:v>1</x:v>
      </x:c>
      <x:c r="K2169" s="19" t="n">
        <x:v>1</x:v>
      </x:c>
      <x:c r="L2169" s="24" t="n">
        <x:v>22.04</x:v>
      </x:c>
      <x:c r="M2169" s="26" t="n">
        <x:v>0.1</x:v>
      </x:c>
      <x:c r="N2169" s="24" t="n">
        <x:v>10.46195746102814</x:v>
      </x:c>
      <x:c r="O2169" s="28" t="n">
        <x:f>MIN(1,L2169/I2169)</x:f>
        <x:v>0.012244444444444443</x:v>
      </x:c>
      <x:c r="P2169" s="30" t="n">
        <x:f>O2169*J2169*(1+M2169)</x:f>
        <x:v>0.013468888888888888</x:v>
      </x:c>
      <x:c r="Q2169" s="30" t="n">
        <x:f>P2169*N2169</x:f>
        <x:v>0.14091094260287013</x:v>
      </x:c>
      <x:c r="R2169" s="19" t="str">
        <x:v>独立判定</x:v>
      </x:c>
    </x:row>
    <x:row r="2170" ht="19" customHeight="1">
      <x:c r="A2170" s="19" t="str">
        <x:v>D02166</x:v>
      </x:c>
      <x:c r="B2170" s="19" t="n">
        <x:v>5</x:v>
      </x:c>
      <x:c r="C2170" s="19" t="n">
        <x:v>1</x:v>
      </x:c>
      <x:c r="D2170" s="19" t="str">
        <x:v>C05-M010</x:v>
      </x:c>
      <x:c r="E2170" s="19" t="str">
        <x:v>静潮祷月祭司</x:v>
      </x:c>
      <x:c r="F2170" s="19" t="str">
        <x:v>稀有</x:v>
      </x:c>
      <x:c r="G2170" s="19" t="str">
        <x:v>材料独立候选</x:v>
      </x:c>
      <x:c r="H2170" s="19" t="str">
        <x:v>小卢恩</x:v>
      </x:c>
      <x:c r="I2170" s="22" t="n">
        <x:v>4000</x:v>
      </x:c>
      <x:c r="J2170" s="22" t="n">
        <x:v>1</x:v>
      </x:c>
      <x:c r="K2170" s="19" t="n">
        <x:v>1</x:v>
      </x:c>
      <x:c r="L2170" s="24" t="n">
        <x:v>22.04</x:v>
      </x:c>
      <x:c r="M2170" s="26" t="n">
        <x:v>0.1</x:v>
      </x:c>
      <x:c r="N2170" s="24" t="n">
        <x:v>10.46195746102814</x:v>
      </x:c>
      <x:c r="O2170" s="28" t="n">
        <x:f>MIN(1,L2170/I2170)</x:f>
        <x:v>0.00551</x:v>
      </x:c>
      <x:c r="P2170" s="30" t="n">
        <x:f>O2170*J2170*(1+M2170)</x:f>
        <x:v>0.006061</x:v>
      </x:c>
      <x:c r="Q2170" s="30" t="n">
        <x:f>P2170*N2170</x:f>
        <x:v>0.06340992417129156</x:v>
      </x:c>
      <x:c r="R2170" s="19" t="str">
        <x:v>独立判定</x:v>
      </x:c>
    </x:row>
    <x:row r="2171" ht="19" customHeight="1">
      <x:c r="A2171" s="19" t="str">
        <x:v>D02167</x:v>
      </x:c>
      <x:c r="B2171" s="19" t="n">
        <x:v>5</x:v>
      </x:c>
      <x:c r="C2171" s="19" t="n">
        <x:v>1</x:v>
      </x:c>
      <x:c r="D2171" s="19" t="str">
        <x:v>C05-M010</x:v>
      </x:c>
      <x:c r="E2171" s="19" t="str">
        <x:v>静潮祷月祭司</x:v>
      </x:c>
      <x:c r="F2171" s="19" t="str">
        <x:v>稀有</x:v>
      </x:c>
      <x:c r="G2171" s="19" t="str">
        <x:v>六神器公共池</x:v>
      </x:c>
      <x:c r="H2171" s="19" t="str">
        <x:v>POOL006</x:v>
      </x:c>
      <x:c r="I2171" s="22" t="n">
        <x:v>5000000</x:v>
      </x:c>
      <x:c r="J2171" s="22" t="n">
        <x:v>1</x:v>
      </x:c>
      <x:c r="K2171" s="19" t="n">
        <x:v>6</x:v>
      </x:c>
      <x:c r="L2171" s="24" t="n">
        <x:v>22.04</x:v>
      </x:c>
      <x:c r="M2171" s="26" t="n">
        <x:v>0.1</x:v>
      </x:c>
      <x:c r="N2171" s="24" t="n">
        <x:v>10.46195746102814</x:v>
      </x:c>
      <x:c r="O2171" s="28" t="n">
        <x:f>MIN(1,L2171/I2171)</x:f>
        <x:v>0.000004408</x:v>
      </x:c>
      <x:c r="P2171" s="30" t="n">
        <x:f>O2171*J2171*(1+M2171)</x:f>
        <x:v>0.0000048488</x:v>
      </x:c>
      <x:c r="Q2171" s="30" t="n">
        <x:f>P2171*N2171</x:f>
        <x:v>0.000050727939337033243</x:v>
      </x:c>
      <x:c r="R2171" s="19" t="str">
        <x:v>六选一；非6个独立爆率</x:v>
      </x:c>
    </x:row>
    <x:row r="2172" ht="19" customHeight="1">
      <x:c r="A2172" s="19" t="str">
        <x:v>D02168</x:v>
      </x:c>
      <x:c r="B2172" s="19" t="n">
        <x:v>5</x:v>
      </x:c>
      <x:c r="C2172" s="19" t="n">
        <x:v>1</x:v>
      </x:c>
      <x:c r="D2172" s="19" t="str">
        <x:v>C05-M011</x:v>
      </x:c>
      <x:c r="E2172" s="19" t="str">
        <x:v>雾冠巡庭侯</x:v>
      </x:c>
      <x:c r="F2172" s="19" t="str">
        <x:v>地图BOSS</x:v>
      </x:c>
      <x:c r="G2172" s="19" t="str">
        <x:v>自身专属</x:v>
      </x:c>
      <x:c r="H2172" s="19" t="str">
        <x:v>雾冠巡庭刃</x:v>
      </x:c>
      <x:c r="I2172" s="22" t="n">
        <x:v>60</x:v>
      </x:c>
      <x:c r="J2172" s="22" t="n">
        <x:v>1</x:v>
      </x:c>
      <x:c r="K2172" s="19" t="n">
        <x:v>1</x:v>
      </x:c>
      <x:c r="L2172" s="24" t="n">
        <x:v>22.04</x:v>
      </x:c>
      <x:c r="M2172" s="26" t="n">
        <x:v>0.1</x:v>
      </x:c>
      <x:c r="N2172" s="24" t="n">
        <x:v>2</x:v>
      </x:c>
      <x:c r="O2172" s="28" t="n">
        <x:f>MIN(1,L2172/I2172)</x:f>
        <x:v>0.36733333333333335</x:v>
      </x:c>
      <x:c r="P2172" s="30" t="n">
        <x:f>O2172*J2172*(1+M2172)</x:f>
        <x:v>0.4040666666666667</x:v>
      </x:c>
      <x:c r="Q2172" s="30" t="n">
        <x:f>P2172*N2172</x:f>
        <x:v>0.8081333333333334</x:v>
      </x:c>
      <x:c r="R2172" s="19" t="str">
        <x:v>独立判定</x:v>
      </x:c>
    </x:row>
    <x:row r="2173" ht="19" customHeight="1">
      <x:c r="A2173" s="19" t="str">
        <x:v>D02169</x:v>
      </x:c>
      <x:c r="B2173" s="19" t="n">
        <x:v>5</x:v>
      </x:c>
      <x:c r="C2173" s="19" t="n">
        <x:v>1</x:v>
      </x:c>
      <x:c r="D2173" s="19" t="str">
        <x:v>C05-M011</x:v>
      </x:c>
      <x:c r="E2173" s="19" t="str">
        <x:v>雾冠巡庭侯</x:v>
      </x:c>
      <x:c r="F2173" s="19" t="str">
        <x:v>地图BOSS</x:v>
      </x:c>
      <x:c r="G2173" s="19" t="str">
        <x:v>本图普通兼掉候选</x:v>
      </x:c>
      <x:c r="H2173" s="19" t="str">
        <x:v>POOL036</x:v>
      </x:c>
      <x:c r="I2173" s="22" t="n">
        <x:v>60</x:v>
      </x:c>
      <x:c r="J2173" s="22" t="n">
        <x:v>1</x:v>
      </x:c>
      <x:c r="K2173" s="19" t="n">
        <x:v>2</x:v>
      </x:c>
      <x:c r="L2173" s="24" t="n">
        <x:v>22.04</x:v>
      </x:c>
      <x:c r="M2173" s="26" t="n">
        <x:v>0.1</x:v>
      </x:c>
      <x:c r="N2173" s="24" t="n">
        <x:v>2</x:v>
      </x:c>
      <x:c r="O2173" s="28" t="n">
        <x:f>MIN(1,L2173/I2173)</x:f>
        <x:v>0.36733333333333335</x:v>
      </x:c>
      <x:c r="P2173" s="30" t="n">
        <x:f>O2173*J2173*(1+M2173)</x:f>
        <x:v>0.4040666666666667</x:v>
      </x:c>
      <x:c r="Q2173" s="30" t="n">
        <x:f>P2173*N2173</x:f>
        <x:v>0.8081333333333334</x:v>
      </x:c>
      <x:c r="R2173" s="19" t="str">
        <x:v>单池选一</x:v>
      </x:c>
    </x:row>
    <x:row r="2174" ht="19" customHeight="1">
      <x:c r="A2174" s="19" t="str">
        <x:v>D02170</x:v>
      </x:c>
      <x:c r="B2174" s="19" t="n">
        <x:v>5</x:v>
      </x:c>
      <x:c r="C2174" s="19" t="n">
        <x:v>1</x:v>
      </x:c>
      <x:c r="D2174" s="19" t="str">
        <x:v>C05-M011</x:v>
      </x:c>
      <x:c r="E2174" s="19" t="str">
        <x:v>雾冠巡庭侯</x:v>
      </x:c>
      <x:c r="F2174" s="19" t="str">
        <x:v>地图BOSS</x:v>
      </x:c>
      <x:c r="G2174" s="19" t="str">
        <x:v>材料独立候选</x:v>
      </x:c>
      <x:c r="H2174" s="19" t="str">
        <x:v>辉石碎晶</x:v>
      </x:c>
      <x:c r="I2174" s="22" t="n">
        <x:v>250</x:v>
      </x:c>
      <x:c r="J2174" s="22" t="n">
        <x:v>30</x:v>
      </x:c>
      <x:c r="K2174" s="19" t="n">
        <x:v>1</x:v>
      </x:c>
      <x:c r="L2174" s="24" t="n">
        <x:v>22.04</x:v>
      </x:c>
      <x:c r="M2174" s="26" t="n">
        <x:v>0.1</x:v>
      </x:c>
      <x:c r="N2174" s="24" t="n">
        <x:v>2</x:v>
      </x:c>
      <x:c r="O2174" s="28" t="n">
        <x:f>MIN(1,L2174/I2174)</x:f>
        <x:v>0.08816</x:v>
      </x:c>
      <x:c r="P2174" s="30" t="n">
        <x:f>O2174*J2174*(1+M2174)</x:f>
        <x:v>2.9092800000000003</x:v>
      </x:c>
      <x:c r="Q2174" s="30" t="n">
        <x:f>P2174*N2174</x:f>
        <x:v>5.818560000000001</x:v>
      </x:c>
      <x:c r="R2174" s="19" t="str">
        <x:v>独立判定</x:v>
      </x:c>
    </x:row>
    <x:row r="2175" ht="19" customHeight="1">
      <x:c r="A2175" s="19" t="str">
        <x:v>D02171</x:v>
      </x:c>
      <x:c r="B2175" s="19" t="n">
        <x:v>5</x:v>
      </x:c>
      <x:c r="C2175" s="19" t="n">
        <x:v>1</x:v>
      </x:c>
      <x:c r="D2175" s="19" t="str">
        <x:v>C05-M011</x:v>
      </x:c>
      <x:c r="E2175" s="19" t="str">
        <x:v>雾冠巡庭侯</x:v>
      </x:c>
      <x:c r="F2175" s="19" t="str">
        <x:v>地图BOSS</x:v>
      </x:c>
      <x:c r="G2175" s="19" t="str">
        <x:v>材料独立候选</x:v>
      </x:c>
      <x:c r="H2175" s="19" t="str">
        <x:v>卡利亚月露</x:v>
      </x:c>
      <x:c r="I2175" s="22" t="n">
        <x:v>400</x:v>
      </x:c>
      <x:c r="J2175" s="22" t="n">
        <x:v>1</x:v>
      </x:c>
      <x:c r="K2175" s="19" t="n">
        <x:v>1</x:v>
      </x:c>
      <x:c r="L2175" s="24" t="n">
        <x:v>22.04</x:v>
      </x:c>
      <x:c r="M2175" s="26" t="n">
        <x:v>0.1</x:v>
      </x:c>
      <x:c r="N2175" s="24" t="n">
        <x:v>2</x:v>
      </x:c>
      <x:c r="O2175" s="28" t="n">
        <x:f>MIN(1,L2175/I2175)</x:f>
        <x:v>0.055099999999999996</x:v>
      </x:c>
      <x:c r="P2175" s="30" t="n">
        <x:f>O2175*J2175*(1+M2175)</x:f>
        <x:v>0.060610000000000004</x:v>
      </x:c>
      <x:c r="Q2175" s="30" t="n">
        <x:f>P2175*N2175</x:f>
        <x:v>0.12122000000000001</x:v>
      </x:c>
      <x:c r="R2175" s="19" t="str">
        <x:v>独立判定</x:v>
      </x:c>
    </x:row>
    <x:row r="2176" ht="19" customHeight="1">
      <x:c r="A2176" s="19" t="str">
        <x:v>D02172</x:v>
      </x:c>
      <x:c r="B2176" s="19" t="n">
        <x:v>5</x:v>
      </x:c>
      <x:c r="C2176" s="19" t="n">
        <x:v>1</x:v>
      </x:c>
      <x:c r="D2176" s="19" t="str">
        <x:v>C05-M011</x:v>
      </x:c>
      <x:c r="E2176" s="19" t="str">
        <x:v>雾冠巡庭侯</x:v>
      </x:c>
      <x:c r="F2176" s="19" t="str">
        <x:v>地图BOSS</x:v>
      </x:c>
      <x:c r="G2176" s="19" t="str">
        <x:v>材料独立候选</x:v>
      </x:c>
      <x:c r="H2176" s="19" t="str">
        <x:v>满月王室印</x:v>
      </x:c>
      <x:c r="I2176" s="22" t="n">
        <x:v>120</x:v>
      </x:c>
      <x:c r="J2176" s="22" t="n">
        <x:v>3</x:v>
      </x:c>
      <x:c r="K2176" s="19" t="n">
        <x:v>1</x:v>
      </x:c>
      <x:c r="L2176" s="24" t="n">
        <x:v>22.04</x:v>
      </x:c>
      <x:c r="M2176" s="26" t="n">
        <x:v>0.1</x:v>
      </x:c>
      <x:c r="N2176" s="24" t="n">
        <x:v>2</x:v>
      </x:c>
      <x:c r="O2176" s="28" t="n">
        <x:f>MIN(1,L2176/I2176)</x:f>
        <x:v>0.18366666666666667</x:v>
      </x:c>
      <x:c r="P2176" s="30" t="n">
        <x:f>O2176*J2176*(1+M2176)</x:f>
        <x:v>0.6061000000000001</x:v>
      </x:c>
      <x:c r="Q2176" s="30" t="n">
        <x:f>P2176*N2176</x:f>
        <x:v>1.2122000000000002</x:v>
      </x:c>
      <x:c r="R2176" s="19" t="str">
        <x:v>独立判定</x:v>
      </x:c>
    </x:row>
    <x:row r="2177" ht="19" customHeight="1">
      <x:c r="A2177" s="19" t="str">
        <x:v>D02173</x:v>
      </x:c>
      <x:c r="B2177" s="19" t="n">
        <x:v>5</x:v>
      </x:c>
      <x:c r="C2177" s="19" t="n">
        <x:v>1</x:v>
      </x:c>
      <x:c r="D2177" s="19" t="str">
        <x:v>C05-M011</x:v>
      </x:c>
      <x:c r="E2177" s="19" t="str">
        <x:v>雾冠巡庭侯</x:v>
      </x:c>
      <x:c r="F2177" s="19" t="str">
        <x:v>地图BOSS</x:v>
      </x:c>
      <x:c r="G2177" s="19" t="str">
        <x:v>材料独立候选</x:v>
      </x:c>
      <x:c r="H2177" s="19" t="str">
        <x:v>月蚀镜片</x:v>
      </x:c>
      <x:c r="I2177" s="22" t="n">
        <x:v>120</x:v>
      </x:c>
      <x:c r="J2177" s="22" t="n">
        <x:v>2</x:v>
      </x:c>
      <x:c r="K2177" s="19" t="n">
        <x:v>1</x:v>
      </x:c>
      <x:c r="L2177" s="24" t="n">
        <x:v>22.04</x:v>
      </x:c>
      <x:c r="M2177" s="26" t="n">
        <x:v>0.1</x:v>
      </x:c>
      <x:c r="N2177" s="24" t="n">
        <x:v>2</x:v>
      </x:c>
      <x:c r="O2177" s="28" t="n">
        <x:f>MIN(1,L2177/I2177)</x:f>
        <x:v>0.18366666666666667</x:v>
      </x:c>
      <x:c r="P2177" s="30" t="n">
        <x:f>O2177*J2177*(1+M2177)</x:f>
        <x:v>0.4040666666666667</x:v>
      </x:c>
      <x:c r="Q2177" s="30" t="n">
        <x:f>P2177*N2177</x:f>
        <x:v>0.8081333333333334</x:v>
      </x:c>
      <x:c r="R2177" s="19" t="str">
        <x:v>独立判定</x:v>
      </x:c>
    </x:row>
    <x:row r="2178" ht="19" customHeight="1">
      <x:c r="A2178" s="19" t="str">
        <x:v>D02174</x:v>
      </x:c>
      <x:c r="B2178" s="19" t="n">
        <x:v>5</x:v>
      </x:c>
      <x:c r="C2178" s="19" t="n">
        <x:v>1</x:v>
      </x:c>
      <x:c r="D2178" s="19" t="str">
        <x:v>C05-M011</x:v>
      </x:c>
      <x:c r="E2178" s="19" t="str">
        <x:v>雾冠巡庭侯</x:v>
      </x:c>
      <x:c r="F2178" s="19" t="str">
        <x:v>地图BOSS</x:v>
      </x:c>
      <x:c r="G2178" s="19" t="str">
        <x:v>材料独立候选</x:v>
      </x:c>
      <x:c r="H2178" s="19" t="str">
        <x:v>湖心月谱残章</x:v>
      </x:c>
      <x:c r="I2178" s="22" t="n">
        <x:v>300000</x:v>
      </x:c>
      <x:c r="J2178" s="22" t="n">
        <x:v>1</x:v>
      </x:c>
      <x:c r="K2178" s="19" t="n">
        <x:v>1</x:v>
      </x:c>
      <x:c r="L2178" s="24" t="n">
        <x:v>22.04</x:v>
      </x:c>
      <x:c r="M2178" s="26" t="n">
        <x:v>0.1</x:v>
      </x:c>
      <x:c r="N2178" s="24" t="n">
        <x:v>2</x:v>
      </x:c>
      <x:c r="O2178" s="28" t="n">
        <x:f>MIN(1,L2178/I2178)</x:f>
        <x:v>0.00007346666666666666</x:v>
      </x:c>
      <x:c r="P2178" s="30" t="n">
        <x:f>O2178*J2178*(1+M2178)</x:f>
        <x:v>0.00008081333333333333</x:v>
      </x:c>
      <x:c r="Q2178" s="30" t="n">
        <x:f>P2178*N2178</x:f>
        <x:v>0.00016162666666666667</x:v>
      </x:c>
      <x:c r="R2178" s="19" t="str">
        <x:v>独立判定</x:v>
      </x:c>
    </x:row>
    <x:row r="2179" ht="19" customHeight="1">
      <x:c r="A2179" s="19" t="str">
        <x:v>D02175</x:v>
      </x:c>
      <x:c r="B2179" s="19" t="n">
        <x:v>5</x:v>
      </x:c>
      <x:c r="C2179" s="19" t="n">
        <x:v>1</x:v>
      </x:c>
      <x:c r="D2179" s="19" t="str">
        <x:v>C05-M011</x:v>
      </x:c>
      <x:c r="E2179" s="19" t="str">
        <x:v>雾冠巡庭侯</x:v>
      </x:c>
      <x:c r="F2179" s="19" t="str">
        <x:v>地图BOSS</x:v>
      </x:c>
      <x:c r="G2179" s="19" t="str">
        <x:v>材料独立候选</x:v>
      </x:c>
      <x:c r="H2179" s="19" t="str">
        <x:v>黄金树芽</x:v>
      </x:c>
      <x:c r="I2179" s="22" t="n">
        <x:v>1800</x:v>
      </x:c>
      <x:c r="J2179" s="22" t="n">
        <x:v>1</x:v>
      </x:c>
      <x:c r="K2179" s="19" t="n">
        <x:v>1</x:v>
      </x:c>
      <x:c r="L2179" s="24" t="n">
        <x:v>22.04</x:v>
      </x:c>
      <x:c r="M2179" s="26" t="n">
        <x:v>0.1</x:v>
      </x:c>
      <x:c r="N2179" s="24" t="n">
        <x:v>2</x:v>
      </x:c>
      <x:c r="O2179" s="28" t="n">
        <x:f>MIN(1,L2179/I2179)</x:f>
        <x:v>0.012244444444444443</x:v>
      </x:c>
      <x:c r="P2179" s="30" t="n">
        <x:f>O2179*J2179*(1+M2179)</x:f>
        <x:v>0.013468888888888888</x:v>
      </x:c>
      <x:c r="Q2179" s="30" t="n">
        <x:f>P2179*N2179</x:f>
        <x:v>0.026937777777777776</x:v>
      </x:c>
      <x:c r="R2179" s="19" t="str">
        <x:v>独立判定</x:v>
      </x:c>
    </x:row>
    <x:row r="2180" ht="19" customHeight="1">
      <x:c r="A2180" s="19" t="str">
        <x:v>D02176</x:v>
      </x:c>
      <x:c r="B2180" s="19" t="n">
        <x:v>5</x:v>
      </x:c>
      <x:c r="C2180" s="19" t="n">
        <x:v>1</x:v>
      </x:c>
      <x:c r="D2180" s="19" t="str">
        <x:v>C05-M011</x:v>
      </x:c>
      <x:c r="E2180" s="19" t="str">
        <x:v>雾冠巡庭侯</x:v>
      </x:c>
      <x:c r="F2180" s="19" t="str">
        <x:v>地图BOSS</x:v>
      </x:c>
      <x:c r="G2180" s="19" t="str">
        <x:v>材料独立候选</x:v>
      </x:c>
      <x:c r="H2180" s="19" t="str">
        <x:v>野兽骨片</x:v>
      </x:c>
      <x:c r="I2180" s="22" t="n">
        <x:v>40</x:v>
      </x:c>
      <x:c r="J2180" s="22" t="n">
        <x:v>3</x:v>
      </x:c>
      <x:c r="K2180" s="19" t="n">
        <x:v>1</x:v>
      </x:c>
      <x:c r="L2180" s="24" t="n">
        <x:v>22.04</x:v>
      </x:c>
      <x:c r="M2180" s="26" t="n">
        <x:v>0.1</x:v>
      </x:c>
      <x:c r="N2180" s="24" t="n">
        <x:v>2</x:v>
      </x:c>
      <x:c r="O2180" s="28" t="n">
        <x:f>MIN(1,L2180/I2180)</x:f>
        <x:v>0.5509999999999999</x:v>
      </x:c>
      <x:c r="P2180" s="30" t="n">
        <x:f>O2180*J2180*(1+M2180)</x:f>
        <x:v>1.8183</x:v>
      </x:c>
      <x:c r="Q2180" s="30" t="n">
        <x:f>P2180*N2180</x:f>
        <x:v>3.6366</x:v>
      </x:c>
      <x:c r="R2180" s="19" t="str">
        <x:v>独立判定</x:v>
      </x:c>
    </x:row>
    <x:row r="2181" ht="19" customHeight="1">
      <x:c r="A2181" s="19" t="str">
        <x:v>D02177</x:v>
      </x:c>
      <x:c r="B2181" s="19" t="n">
        <x:v>5</x:v>
      </x:c>
      <x:c r="C2181" s="19" t="n">
        <x:v>1</x:v>
      </x:c>
      <x:c r="D2181" s="19" t="str">
        <x:v>C05-M011</x:v>
      </x:c>
      <x:c r="E2181" s="19" t="str">
        <x:v>雾冠巡庭侯</x:v>
      </x:c>
      <x:c r="F2181" s="19" t="str">
        <x:v>地图BOSS</x:v>
      </x:c>
      <x:c r="G2181" s="19" t="str">
        <x:v>材料独立候选</x:v>
      </x:c>
      <x:c r="H2181" s="19" t="str">
        <x:v>技能残页</x:v>
      </x:c>
      <x:c r="I2181" s="22" t="n">
        <x:v>1000</x:v>
      </x:c>
      <x:c r="J2181" s="22" t="n">
        <x:v>1</x:v>
      </x:c>
      <x:c r="K2181" s="19" t="n">
        <x:v>1</x:v>
      </x:c>
      <x:c r="L2181" s="24" t="n">
        <x:v>22.04</x:v>
      </x:c>
      <x:c r="M2181" s="26" t="n">
        <x:v>0.1</x:v>
      </x:c>
      <x:c r="N2181" s="24" t="n">
        <x:v>2</x:v>
      </x:c>
      <x:c r="O2181" s="28" t="n">
        <x:f>MIN(1,L2181/I2181)</x:f>
        <x:v>0.02204</x:v>
      </x:c>
      <x:c r="P2181" s="30" t="n">
        <x:f>O2181*J2181*(1+M2181)</x:f>
        <x:v>0.024244</x:v>
      </x:c>
      <x:c r="Q2181" s="30" t="n">
        <x:f>P2181*N2181</x:f>
        <x:v>0.048488</x:v>
      </x:c>
      <x:c r="R2181" s="19" t="str">
        <x:v>独立判定</x:v>
      </x:c>
    </x:row>
    <x:row r="2182" ht="19" customHeight="1">
      <x:c r="A2182" s="19" t="str">
        <x:v>D02178</x:v>
      </x:c>
      <x:c r="B2182" s="19" t="n">
        <x:v>5</x:v>
      </x:c>
      <x:c r="C2182" s="19" t="n">
        <x:v>1</x:v>
      </x:c>
      <x:c r="D2182" s="19" t="str">
        <x:v>C05-M011</x:v>
      </x:c>
      <x:c r="E2182" s="19" t="str">
        <x:v>雾冠巡庭侯</x:v>
      </x:c>
      <x:c r="F2182" s="19" t="str">
        <x:v>地图BOSS</x:v>
      </x:c>
      <x:c r="G2182" s="19" t="str">
        <x:v>材料独立候选</x:v>
      </x:c>
      <x:c r="H2182" s="19" t="str">
        <x:v>宁姆格福誓页</x:v>
      </x:c>
      <x:c r="I2182" s="22" t="n">
        <x:v>300</x:v>
      </x:c>
      <x:c r="J2182" s="22" t="n">
        <x:v>1</x:v>
      </x:c>
      <x:c r="K2182" s="19" t="n">
        <x:v>1</x:v>
      </x:c>
      <x:c r="L2182" s="24" t="n">
        <x:v>22.04</x:v>
      </x:c>
      <x:c r="M2182" s="26" t="n">
        <x:v>0.1</x:v>
      </x:c>
      <x:c r="N2182" s="24" t="n">
        <x:v>2</x:v>
      </x:c>
      <x:c r="O2182" s="28" t="n">
        <x:f>MIN(1,L2182/I2182)</x:f>
        <x:v>0.07346666666666667</x:v>
      </x:c>
      <x:c r="P2182" s="30" t="n">
        <x:f>O2182*J2182*(1+M2182)</x:f>
        <x:v>0.08081333333333333</x:v>
      </x:c>
      <x:c r="Q2182" s="30" t="n">
        <x:f>P2182*N2182</x:f>
        <x:v>0.16162666666666667</x:v>
      </x:c>
      <x:c r="R2182" s="19" t="str">
        <x:v>独立判定</x:v>
      </x:c>
    </x:row>
    <x:row r="2183" ht="19" customHeight="1">
      <x:c r="A2183" s="19" t="str">
        <x:v>D02179</x:v>
      </x:c>
      <x:c r="B2183" s="19" t="n">
        <x:v>5</x:v>
      </x:c>
      <x:c r="C2183" s="19" t="n">
        <x:v>1</x:v>
      </x:c>
      <x:c r="D2183" s="19" t="str">
        <x:v>C05-M011</x:v>
      </x:c>
      <x:c r="E2183" s="19" t="str">
        <x:v>雾冠巡庭侯</x:v>
      </x:c>
      <x:c r="F2183" s="19" t="str">
        <x:v>地图BOSS</x:v>
      </x:c>
      <x:c r="G2183" s="19" t="str">
        <x:v>材料独立候选</x:v>
      </x:c>
      <x:c r="H2183" s="19" t="str">
        <x:v>小卢恩</x:v>
      </x:c>
      <x:c r="I2183" s="22" t="n">
        <x:v>2000</x:v>
      </x:c>
      <x:c r="J2183" s="22" t="n">
        <x:v>1</x:v>
      </x:c>
      <x:c r="K2183" s="19" t="n">
        <x:v>1</x:v>
      </x:c>
      <x:c r="L2183" s="24" t="n">
        <x:v>22.04</x:v>
      </x:c>
      <x:c r="M2183" s="26" t="n">
        <x:v>0.1</x:v>
      </x:c>
      <x:c r="N2183" s="24" t="n">
        <x:v>2</x:v>
      </x:c>
      <x:c r="O2183" s="28" t="n">
        <x:f>MIN(1,L2183/I2183)</x:f>
        <x:v>0.01102</x:v>
      </x:c>
      <x:c r="P2183" s="30" t="n">
        <x:f>O2183*J2183*(1+M2183)</x:f>
        <x:v>0.012122</x:v>
      </x:c>
      <x:c r="Q2183" s="30" t="n">
        <x:f>P2183*N2183</x:f>
        <x:v>0.024244</x:v>
      </x:c>
      <x:c r="R2183" s="19" t="str">
        <x:v>独立判定</x:v>
      </x:c>
    </x:row>
    <x:row r="2184" ht="19" customHeight="1">
      <x:c r="A2184" s="19" t="str">
        <x:v>D02180</x:v>
      </x:c>
      <x:c r="B2184" s="19" t="n">
        <x:v>5</x:v>
      </x:c>
      <x:c r="C2184" s="19" t="n">
        <x:v>1</x:v>
      </x:c>
      <x:c r="D2184" s="19" t="str">
        <x:v>C05-M011</x:v>
      </x:c>
      <x:c r="E2184" s="19" t="str">
        <x:v>雾冠巡庭侯</x:v>
      </x:c>
      <x:c r="F2184" s="19" t="str">
        <x:v>地图BOSS</x:v>
      </x:c>
      <x:c r="G2184" s="19" t="str">
        <x:v>材料独立候选</x:v>
      </x:c>
      <x:c r="H2184" s="19" t="str">
        <x:v>大卢恩</x:v>
      </x:c>
      <x:c r="I2184" s="22" t="n">
        <x:v>200</x:v>
      </x:c>
      <x:c r="J2184" s="22" t="n">
        <x:v>1</x:v>
      </x:c>
      <x:c r="K2184" s="19" t="n">
        <x:v>1</x:v>
      </x:c>
      <x:c r="L2184" s="24" t="n">
        <x:v>22.04</x:v>
      </x:c>
      <x:c r="M2184" s="26" t="n">
        <x:v>0.1</x:v>
      </x:c>
      <x:c r="N2184" s="24" t="n">
        <x:v>2</x:v>
      </x:c>
      <x:c r="O2184" s="28" t="n">
        <x:f>MIN(1,L2184/I2184)</x:f>
        <x:v>0.11019999999999999</x:v>
      </x:c>
      <x:c r="P2184" s="30" t="n">
        <x:f>O2184*J2184*(1+M2184)</x:f>
        <x:v>0.12122000000000001</x:v>
      </x:c>
      <x:c r="Q2184" s="30" t="n">
        <x:f>P2184*N2184</x:f>
        <x:v>0.24244000000000002</x:v>
      </x:c>
      <x:c r="R2184" s="19" t="str">
        <x:v>独立判定</x:v>
      </x:c>
    </x:row>
    <x:row r="2185" ht="19" customHeight="1">
      <x:c r="A2185" s="19" t="str">
        <x:v>D02181</x:v>
      </x:c>
      <x:c r="B2185" s="19" t="n">
        <x:v>5</x:v>
      </x:c>
      <x:c r="C2185" s="19" t="n">
        <x:v>1</x:v>
      </x:c>
      <x:c r="D2185" s="19" t="str">
        <x:v>C05-M011</x:v>
      </x:c>
      <x:c r="E2185" s="19" t="str">
        <x:v>雾冠巡庭侯</x:v>
      </x:c>
      <x:c r="F2185" s="19" t="str">
        <x:v>地图BOSS</x:v>
      </x:c>
      <x:c r="G2185" s="19" t="str">
        <x:v>六神器公共池</x:v>
      </x:c>
      <x:c r="H2185" s="19" t="str">
        <x:v>POOL006</x:v>
      </x:c>
      <x:c r="I2185" s="22" t="n">
        <x:v>200000</x:v>
      </x:c>
      <x:c r="J2185" s="22" t="n">
        <x:v>1</x:v>
      </x:c>
      <x:c r="K2185" s="19" t="n">
        <x:v>6</x:v>
      </x:c>
      <x:c r="L2185" s="24" t="n">
        <x:v>22.04</x:v>
      </x:c>
      <x:c r="M2185" s="26" t="n">
        <x:v>0.1</x:v>
      </x:c>
      <x:c r="N2185" s="24" t="n">
        <x:v>2</x:v>
      </x:c>
      <x:c r="O2185" s="28" t="n">
        <x:f>MIN(1,L2185/I2185)</x:f>
        <x:v>0.0001102</x:v>
      </x:c>
      <x:c r="P2185" s="30" t="n">
        <x:f>O2185*J2185*(1+M2185)</x:f>
        <x:v>0.00012122000000000001</x:v>
      </x:c>
      <x:c r="Q2185" s="30" t="n">
        <x:f>P2185*N2185</x:f>
        <x:v>0.00024244000000000002</x:v>
      </x:c>
      <x:c r="R2185" s="19" t="str">
        <x:v>六选一；非6个独立爆率</x:v>
      </x:c>
    </x:row>
    <x:row r="2186" ht="19" customHeight="1">
      <x:c r="A2186" s="19" t="str">
        <x:v>D02182</x:v>
      </x:c>
      <x:c r="B2186" s="19" t="n">
        <x:v>5</x:v>
      </x:c>
      <x:c r="C2186" s="19" t="n">
        <x:v>1</x:v>
      </x:c>
      <x:c r="D2186" s="19" t="str">
        <x:v>C05-M012</x:v>
      </x:c>
      <x:c r="E2186" s="19" t="str">
        <x:v>沉月镜池圣母</x:v>
      </x:c>
      <x:c r="F2186" s="19" t="str">
        <x:v>地图BOSS</x:v>
      </x:c>
      <x:c r="G2186" s="19" t="str">
        <x:v>自身专属</x:v>
      </x:c>
      <x:c r="H2186" s="19" t="str">
        <x:v>沉月镜池华服</x:v>
      </x:c>
      <x:c r="I2186" s="22" t="n">
        <x:v>120</x:v>
      </x:c>
      <x:c r="J2186" s="22" t="n">
        <x:v>1</x:v>
      </x:c>
      <x:c r="K2186" s="19" t="n">
        <x:v>1</x:v>
      </x:c>
      <x:c r="L2186" s="24" t="n">
        <x:v>22.04</x:v>
      </x:c>
      <x:c r="M2186" s="26" t="n">
        <x:v>0.1</x:v>
      </x:c>
      <x:c r="N2186" s="24" t="n">
        <x:v>2</x:v>
      </x:c>
      <x:c r="O2186" s="28" t="n">
        <x:f>MIN(1,L2186/I2186)</x:f>
        <x:v>0.18366666666666667</x:v>
      </x:c>
      <x:c r="P2186" s="30" t="n">
        <x:f>O2186*J2186*(1+M2186)</x:f>
        <x:v>0.20203333333333334</x:v>
      </x:c>
      <x:c r="Q2186" s="30" t="n">
        <x:f>P2186*N2186</x:f>
        <x:v>0.4040666666666667</x:v>
      </x:c>
      <x:c r="R2186" s="19" t="str">
        <x:v>独立判定</x:v>
      </x:c>
    </x:row>
    <x:row r="2187" ht="19" customHeight="1">
      <x:c r="A2187" s="19" t="str">
        <x:v>D02183</x:v>
      </x:c>
      <x:c r="B2187" s="19" t="n">
        <x:v>5</x:v>
      </x:c>
      <x:c r="C2187" s="19" t="n">
        <x:v>1</x:v>
      </x:c>
      <x:c r="D2187" s="19" t="str">
        <x:v>C05-M012</x:v>
      </x:c>
      <x:c r="E2187" s="19" t="str">
        <x:v>沉月镜池圣母</x:v>
      </x:c>
      <x:c r="F2187" s="19" t="str">
        <x:v>地图BOSS</x:v>
      </x:c>
      <x:c r="G2187" s="19" t="str">
        <x:v>自身专属</x:v>
      </x:c>
      <x:c r="H2187" s="19" t="str">
        <x:v>辉石司仪冠</x:v>
      </x:c>
      <x:c r="I2187" s="22" t="n">
        <x:v>120</x:v>
      </x:c>
      <x:c r="J2187" s="22" t="n">
        <x:v>1</x:v>
      </x:c>
      <x:c r="K2187" s="19" t="n">
        <x:v>1</x:v>
      </x:c>
      <x:c r="L2187" s="24" t="n">
        <x:v>22.04</x:v>
      </x:c>
      <x:c r="M2187" s="26" t="n">
        <x:v>0.1</x:v>
      </x:c>
      <x:c r="N2187" s="24" t="n">
        <x:v>2</x:v>
      </x:c>
      <x:c r="O2187" s="28" t="n">
        <x:f>MIN(1,L2187/I2187)</x:f>
        <x:v>0.18366666666666667</x:v>
      </x:c>
      <x:c r="P2187" s="30" t="n">
        <x:f>O2187*J2187*(1+M2187)</x:f>
        <x:v>0.20203333333333334</x:v>
      </x:c>
      <x:c r="Q2187" s="30" t="n">
        <x:f>P2187*N2187</x:f>
        <x:v>0.4040666666666667</x:v>
      </x:c>
      <x:c r="R2187" s="19" t="str">
        <x:v>独立判定</x:v>
      </x:c>
    </x:row>
    <x:row r="2188" ht="19" customHeight="1">
      <x:c r="A2188" s="19" t="str">
        <x:v>D02184</x:v>
      </x:c>
      <x:c r="B2188" s="19" t="n">
        <x:v>5</x:v>
      </x:c>
      <x:c r="C2188" s="19" t="n">
        <x:v>1</x:v>
      </x:c>
      <x:c r="D2188" s="19" t="str">
        <x:v>C05-M012</x:v>
      </x:c>
      <x:c r="E2188" s="19" t="str">
        <x:v>沉月镜池圣母</x:v>
      </x:c>
      <x:c r="F2188" s="19" t="str">
        <x:v>地图BOSS</x:v>
      </x:c>
      <x:c r="G2188" s="19" t="str">
        <x:v>本图普通兼掉候选</x:v>
      </x:c>
      <x:c r="H2188" s="19" t="str">
        <x:v>POOL037</x:v>
      </x:c>
      <x:c r="I2188" s="22" t="n">
        <x:v>60</x:v>
      </x:c>
      <x:c r="J2188" s="22" t="n">
        <x:v>1</x:v>
      </x:c>
      <x:c r="K2188" s="19" t="n">
        <x:v>2</x:v>
      </x:c>
      <x:c r="L2188" s="24" t="n">
        <x:v>22.04</x:v>
      </x:c>
      <x:c r="M2188" s="26" t="n">
        <x:v>0.1</x:v>
      </x:c>
      <x:c r="N2188" s="24" t="n">
        <x:v>2</x:v>
      </x:c>
      <x:c r="O2188" s="28" t="n">
        <x:f>MIN(1,L2188/I2188)</x:f>
        <x:v>0.36733333333333335</x:v>
      </x:c>
      <x:c r="P2188" s="30" t="n">
        <x:f>O2188*J2188*(1+M2188)</x:f>
        <x:v>0.4040666666666667</x:v>
      </x:c>
      <x:c r="Q2188" s="30" t="n">
        <x:f>P2188*N2188</x:f>
        <x:v>0.8081333333333334</x:v>
      </x:c>
      <x:c r="R2188" s="19" t="str">
        <x:v>单池选一</x:v>
      </x:c>
    </x:row>
    <x:row r="2189" ht="19" customHeight="1">
      <x:c r="A2189" s="19" t="str">
        <x:v>D02185</x:v>
      </x:c>
      <x:c r="B2189" s="19" t="n">
        <x:v>5</x:v>
      </x:c>
      <x:c r="C2189" s="19" t="n">
        <x:v>1</x:v>
      </x:c>
      <x:c r="D2189" s="19" t="str">
        <x:v>C05-M012</x:v>
      </x:c>
      <x:c r="E2189" s="19" t="str">
        <x:v>沉月镜池圣母</x:v>
      </x:c>
      <x:c r="F2189" s="19" t="str">
        <x:v>地图BOSS</x:v>
      </x:c>
      <x:c r="G2189" s="19" t="str">
        <x:v>材料独立候选</x:v>
      </x:c>
      <x:c r="H2189" s="19" t="str">
        <x:v>辉石碎晶</x:v>
      </x:c>
      <x:c r="I2189" s="22" t="n">
        <x:v>250</x:v>
      </x:c>
      <x:c r="J2189" s="22" t="n">
        <x:v>30</x:v>
      </x:c>
      <x:c r="K2189" s="19" t="n">
        <x:v>1</x:v>
      </x:c>
      <x:c r="L2189" s="24" t="n">
        <x:v>22.04</x:v>
      </x:c>
      <x:c r="M2189" s="26" t="n">
        <x:v>0.1</x:v>
      </x:c>
      <x:c r="N2189" s="24" t="n">
        <x:v>2</x:v>
      </x:c>
      <x:c r="O2189" s="28" t="n">
        <x:f>MIN(1,L2189/I2189)</x:f>
        <x:v>0.08816</x:v>
      </x:c>
      <x:c r="P2189" s="30" t="n">
        <x:f>O2189*J2189*(1+M2189)</x:f>
        <x:v>2.9092800000000003</x:v>
      </x:c>
      <x:c r="Q2189" s="30" t="n">
        <x:f>P2189*N2189</x:f>
        <x:v>5.818560000000001</x:v>
      </x:c>
      <x:c r="R2189" s="19" t="str">
        <x:v>独立判定</x:v>
      </x:c>
    </x:row>
    <x:row r="2190" ht="19" customHeight="1">
      <x:c r="A2190" s="19" t="str">
        <x:v>D02186</x:v>
      </x:c>
      <x:c r="B2190" s="19" t="n">
        <x:v>5</x:v>
      </x:c>
      <x:c r="C2190" s="19" t="n">
        <x:v>1</x:v>
      </x:c>
      <x:c r="D2190" s="19" t="str">
        <x:v>C05-M012</x:v>
      </x:c>
      <x:c r="E2190" s="19" t="str">
        <x:v>沉月镜池圣母</x:v>
      </x:c>
      <x:c r="F2190" s="19" t="str">
        <x:v>地图BOSS</x:v>
      </x:c>
      <x:c r="G2190" s="19" t="str">
        <x:v>材料独立候选</x:v>
      </x:c>
      <x:c r="H2190" s="19" t="str">
        <x:v>卡利亚月露</x:v>
      </x:c>
      <x:c r="I2190" s="22" t="n">
        <x:v>400</x:v>
      </x:c>
      <x:c r="J2190" s="22" t="n">
        <x:v>1</x:v>
      </x:c>
      <x:c r="K2190" s="19" t="n">
        <x:v>1</x:v>
      </x:c>
      <x:c r="L2190" s="24" t="n">
        <x:v>22.04</x:v>
      </x:c>
      <x:c r="M2190" s="26" t="n">
        <x:v>0.1</x:v>
      </x:c>
      <x:c r="N2190" s="24" t="n">
        <x:v>2</x:v>
      </x:c>
      <x:c r="O2190" s="28" t="n">
        <x:f>MIN(1,L2190/I2190)</x:f>
        <x:v>0.055099999999999996</x:v>
      </x:c>
      <x:c r="P2190" s="30" t="n">
        <x:f>O2190*J2190*(1+M2190)</x:f>
        <x:v>0.060610000000000004</x:v>
      </x:c>
      <x:c r="Q2190" s="30" t="n">
        <x:f>P2190*N2190</x:f>
        <x:v>0.12122000000000001</x:v>
      </x:c>
      <x:c r="R2190" s="19" t="str">
        <x:v>独立判定</x:v>
      </x:c>
    </x:row>
    <x:row r="2191" ht="19" customHeight="1">
      <x:c r="A2191" s="19" t="str">
        <x:v>D02187</x:v>
      </x:c>
      <x:c r="B2191" s="19" t="n">
        <x:v>5</x:v>
      </x:c>
      <x:c r="C2191" s="19" t="n">
        <x:v>1</x:v>
      </x:c>
      <x:c r="D2191" s="19" t="str">
        <x:v>C05-M012</x:v>
      </x:c>
      <x:c r="E2191" s="19" t="str">
        <x:v>沉月镜池圣母</x:v>
      </x:c>
      <x:c r="F2191" s="19" t="str">
        <x:v>地图BOSS</x:v>
      </x:c>
      <x:c r="G2191" s="19" t="str">
        <x:v>材料独立候选</x:v>
      </x:c>
      <x:c r="H2191" s="19" t="str">
        <x:v>满月王室印</x:v>
      </x:c>
      <x:c r="I2191" s="22" t="n">
        <x:v>120</x:v>
      </x:c>
      <x:c r="J2191" s="22" t="n">
        <x:v>3</x:v>
      </x:c>
      <x:c r="K2191" s="19" t="n">
        <x:v>1</x:v>
      </x:c>
      <x:c r="L2191" s="24" t="n">
        <x:v>22.04</x:v>
      </x:c>
      <x:c r="M2191" s="26" t="n">
        <x:v>0.1</x:v>
      </x:c>
      <x:c r="N2191" s="24" t="n">
        <x:v>2</x:v>
      </x:c>
      <x:c r="O2191" s="28" t="n">
        <x:f>MIN(1,L2191/I2191)</x:f>
        <x:v>0.18366666666666667</x:v>
      </x:c>
      <x:c r="P2191" s="30" t="n">
        <x:f>O2191*J2191*(1+M2191)</x:f>
        <x:v>0.6061000000000001</x:v>
      </x:c>
      <x:c r="Q2191" s="30" t="n">
        <x:f>P2191*N2191</x:f>
        <x:v>1.2122000000000002</x:v>
      </x:c>
      <x:c r="R2191" s="19" t="str">
        <x:v>独立判定</x:v>
      </x:c>
    </x:row>
    <x:row r="2192" ht="19" customHeight="1">
      <x:c r="A2192" s="19" t="str">
        <x:v>D02188</x:v>
      </x:c>
      <x:c r="B2192" s="19" t="n">
        <x:v>5</x:v>
      </x:c>
      <x:c r="C2192" s="19" t="n">
        <x:v>1</x:v>
      </x:c>
      <x:c r="D2192" s="19" t="str">
        <x:v>C05-M012</x:v>
      </x:c>
      <x:c r="E2192" s="19" t="str">
        <x:v>沉月镜池圣母</x:v>
      </x:c>
      <x:c r="F2192" s="19" t="str">
        <x:v>地图BOSS</x:v>
      </x:c>
      <x:c r="G2192" s="19" t="str">
        <x:v>材料独立候选</x:v>
      </x:c>
      <x:c r="H2192" s="19" t="str">
        <x:v>月蚀镜片</x:v>
      </x:c>
      <x:c r="I2192" s="22" t="n">
        <x:v>120</x:v>
      </x:c>
      <x:c r="J2192" s="22" t="n">
        <x:v>2</x:v>
      </x:c>
      <x:c r="K2192" s="19" t="n">
        <x:v>1</x:v>
      </x:c>
      <x:c r="L2192" s="24" t="n">
        <x:v>22.04</x:v>
      </x:c>
      <x:c r="M2192" s="26" t="n">
        <x:v>0.1</x:v>
      </x:c>
      <x:c r="N2192" s="24" t="n">
        <x:v>2</x:v>
      </x:c>
      <x:c r="O2192" s="28" t="n">
        <x:f>MIN(1,L2192/I2192)</x:f>
        <x:v>0.18366666666666667</x:v>
      </x:c>
      <x:c r="P2192" s="30" t="n">
        <x:f>O2192*J2192*(1+M2192)</x:f>
        <x:v>0.4040666666666667</x:v>
      </x:c>
      <x:c r="Q2192" s="30" t="n">
        <x:f>P2192*N2192</x:f>
        <x:v>0.8081333333333334</x:v>
      </x:c>
      <x:c r="R2192" s="19" t="str">
        <x:v>独立判定</x:v>
      </x:c>
    </x:row>
    <x:row r="2193" ht="19" customHeight="1">
      <x:c r="A2193" s="19" t="str">
        <x:v>D02189</x:v>
      </x:c>
      <x:c r="B2193" s="19" t="n">
        <x:v>5</x:v>
      </x:c>
      <x:c r="C2193" s="19" t="n">
        <x:v>1</x:v>
      </x:c>
      <x:c r="D2193" s="19" t="str">
        <x:v>C05-M012</x:v>
      </x:c>
      <x:c r="E2193" s="19" t="str">
        <x:v>沉月镜池圣母</x:v>
      </x:c>
      <x:c r="F2193" s="19" t="str">
        <x:v>地图BOSS</x:v>
      </x:c>
      <x:c r="G2193" s="19" t="str">
        <x:v>材料独立候选</x:v>
      </x:c>
      <x:c r="H2193" s="19" t="str">
        <x:v>湖心月谱残章</x:v>
      </x:c>
      <x:c r="I2193" s="22" t="n">
        <x:v>300000</x:v>
      </x:c>
      <x:c r="J2193" s="22" t="n">
        <x:v>1</x:v>
      </x:c>
      <x:c r="K2193" s="19" t="n">
        <x:v>1</x:v>
      </x:c>
      <x:c r="L2193" s="24" t="n">
        <x:v>22.04</x:v>
      </x:c>
      <x:c r="M2193" s="26" t="n">
        <x:v>0.1</x:v>
      </x:c>
      <x:c r="N2193" s="24" t="n">
        <x:v>2</x:v>
      </x:c>
      <x:c r="O2193" s="28" t="n">
        <x:f>MIN(1,L2193/I2193)</x:f>
        <x:v>0.00007346666666666666</x:v>
      </x:c>
      <x:c r="P2193" s="30" t="n">
        <x:f>O2193*J2193*(1+M2193)</x:f>
        <x:v>0.00008081333333333333</x:v>
      </x:c>
      <x:c r="Q2193" s="30" t="n">
        <x:f>P2193*N2193</x:f>
        <x:v>0.00016162666666666667</x:v>
      </x:c>
      <x:c r="R2193" s="19" t="str">
        <x:v>独立判定</x:v>
      </x:c>
    </x:row>
    <x:row r="2194" ht="19" customHeight="1">
      <x:c r="A2194" s="19" t="str">
        <x:v>D02190</x:v>
      </x:c>
      <x:c r="B2194" s="19" t="n">
        <x:v>5</x:v>
      </x:c>
      <x:c r="C2194" s="19" t="n">
        <x:v>1</x:v>
      </x:c>
      <x:c r="D2194" s="19" t="str">
        <x:v>C05-M012</x:v>
      </x:c>
      <x:c r="E2194" s="19" t="str">
        <x:v>沉月镜池圣母</x:v>
      </x:c>
      <x:c r="F2194" s="19" t="str">
        <x:v>地图BOSS</x:v>
      </x:c>
      <x:c r="G2194" s="19" t="str">
        <x:v>材料独立候选</x:v>
      </x:c>
      <x:c r="H2194" s="19" t="str">
        <x:v>黄金树芽</x:v>
      </x:c>
      <x:c r="I2194" s="22" t="n">
        <x:v>1800</x:v>
      </x:c>
      <x:c r="J2194" s="22" t="n">
        <x:v>1</x:v>
      </x:c>
      <x:c r="K2194" s="19" t="n">
        <x:v>1</x:v>
      </x:c>
      <x:c r="L2194" s="24" t="n">
        <x:v>22.04</x:v>
      </x:c>
      <x:c r="M2194" s="26" t="n">
        <x:v>0.1</x:v>
      </x:c>
      <x:c r="N2194" s="24" t="n">
        <x:v>2</x:v>
      </x:c>
      <x:c r="O2194" s="28" t="n">
        <x:f>MIN(1,L2194/I2194)</x:f>
        <x:v>0.012244444444444443</x:v>
      </x:c>
      <x:c r="P2194" s="30" t="n">
        <x:f>O2194*J2194*(1+M2194)</x:f>
        <x:v>0.013468888888888888</x:v>
      </x:c>
      <x:c r="Q2194" s="30" t="n">
        <x:f>P2194*N2194</x:f>
        <x:v>0.026937777777777776</x:v>
      </x:c>
      <x:c r="R2194" s="19" t="str">
        <x:v>独立判定</x:v>
      </x:c>
    </x:row>
    <x:row r="2195" ht="19" customHeight="1">
      <x:c r="A2195" s="19" t="str">
        <x:v>D02191</x:v>
      </x:c>
      <x:c r="B2195" s="19" t="n">
        <x:v>5</x:v>
      </x:c>
      <x:c r="C2195" s="19" t="n">
        <x:v>1</x:v>
      </x:c>
      <x:c r="D2195" s="19" t="str">
        <x:v>C05-M012</x:v>
      </x:c>
      <x:c r="E2195" s="19" t="str">
        <x:v>沉月镜池圣母</x:v>
      </x:c>
      <x:c r="F2195" s="19" t="str">
        <x:v>地图BOSS</x:v>
      </x:c>
      <x:c r="G2195" s="19" t="str">
        <x:v>材料独立候选</x:v>
      </x:c>
      <x:c r="H2195" s="19" t="str">
        <x:v>野兽骨片</x:v>
      </x:c>
      <x:c r="I2195" s="22" t="n">
        <x:v>40</x:v>
      </x:c>
      <x:c r="J2195" s="22" t="n">
        <x:v>3</x:v>
      </x:c>
      <x:c r="K2195" s="19" t="n">
        <x:v>1</x:v>
      </x:c>
      <x:c r="L2195" s="24" t="n">
        <x:v>22.04</x:v>
      </x:c>
      <x:c r="M2195" s="26" t="n">
        <x:v>0.1</x:v>
      </x:c>
      <x:c r="N2195" s="24" t="n">
        <x:v>2</x:v>
      </x:c>
      <x:c r="O2195" s="28" t="n">
        <x:f>MIN(1,L2195/I2195)</x:f>
        <x:v>0.5509999999999999</x:v>
      </x:c>
      <x:c r="P2195" s="30" t="n">
        <x:f>O2195*J2195*(1+M2195)</x:f>
        <x:v>1.8183</x:v>
      </x:c>
      <x:c r="Q2195" s="30" t="n">
        <x:f>P2195*N2195</x:f>
        <x:v>3.6366</x:v>
      </x:c>
      <x:c r="R2195" s="19" t="str">
        <x:v>独立判定</x:v>
      </x:c>
    </x:row>
    <x:row r="2196" ht="19" customHeight="1">
      <x:c r="A2196" s="19" t="str">
        <x:v>D02192</x:v>
      </x:c>
      <x:c r="B2196" s="19" t="n">
        <x:v>5</x:v>
      </x:c>
      <x:c r="C2196" s="19" t="n">
        <x:v>1</x:v>
      </x:c>
      <x:c r="D2196" s="19" t="str">
        <x:v>C05-M012</x:v>
      </x:c>
      <x:c r="E2196" s="19" t="str">
        <x:v>沉月镜池圣母</x:v>
      </x:c>
      <x:c r="F2196" s="19" t="str">
        <x:v>地图BOSS</x:v>
      </x:c>
      <x:c r="G2196" s="19" t="str">
        <x:v>材料独立候选</x:v>
      </x:c>
      <x:c r="H2196" s="19" t="str">
        <x:v>技能残页</x:v>
      </x:c>
      <x:c r="I2196" s="22" t="n">
        <x:v>1000</x:v>
      </x:c>
      <x:c r="J2196" s="22" t="n">
        <x:v>1</x:v>
      </x:c>
      <x:c r="K2196" s="19" t="n">
        <x:v>1</x:v>
      </x:c>
      <x:c r="L2196" s="24" t="n">
        <x:v>22.04</x:v>
      </x:c>
      <x:c r="M2196" s="26" t="n">
        <x:v>0.1</x:v>
      </x:c>
      <x:c r="N2196" s="24" t="n">
        <x:v>2</x:v>
      </x:c>
      <x:c r="O2196" s="28" t="n">
        <x:f>MIN(1,L2196/I2196)</x:f>
        <x:v>0.02204</x:v>
      </x:c>
      <x:c r="P2196" s="30" t="n">
        <x:f>O2196*J2196*(1+M2196)</x:f>
        <x:v>0.024244</x:v>
      </x:c>
      <x:c r="Q2196" s="30" t="n">
        <x:f>P2196*N2196</x:f>
        <x:v>0.048488</x:v>
      </x:c>
      <x:c r="R2196" s="19" t="str">
        <x:v>独立判定</x:v>
      </x:c>
    </x:row>
    <x:row r="2197" ht="19" customHeight="1">
      <x:c r="A2197" s="19" t="str">
        <x:v>D02193</x:v>
      </x:c>
      <x:c r="B2197" s="19" t="n">
        <x:v>5</x:v>
      </x:c>
      <x:c r="C2197" s="19" t="n">
        <x:v>1</x:v>
      </x:c>
      <x:c r="D2197" s="19" t="str">
        <x:v>C05-M012</x:v>
      </x:c>
      <x:c r="E2197" s="19" t="str">
        <x:v>沉月镜池圣母</x:v>
      </x:c>
      <x:c r="F2197" s="19" t="str">
        <x:v>地图BOSS</x:v>
      </x:c>
      <x:c r="G2197" s="19" t="str">
        <x:v>材料独立候选</x:v>
      </x:c>
      <x:c r="H2197" s="19" t="str">
        <x:v>宁姆格福誓页</x:v>
      </x:c>
      <x:c r="I2197" s="22" t="n">
        <x:v>300</x:v>
      </x:c>
      <x:c r="J2197" s="22" t="n">
        <x:v>1</x:v>
      </x:c>
      <x:c r="K2197" s="19" t="n">
        <x:v>1</x:v>
      </x:c>
      <x:c r="L2197" s="24" t="n">
        <x:v>22.04</x:v>
      </x:c>
      <x:c r="M2197" s="26" t="n">
        <x:v>0.1</x:v>
      </x:c>
      <x:c r="N2197" s="24" t="n">
        <x:v>2</x:v>
      </x:c>
      <x:c r="O2197" s="28" t="n">
        <x:f>MIN(1,L2197/I2197)</x:f>
        <x:v>0.07346666666666667</x:v>
      </x:c>
      <x:c r="P2197" s="30" t="n">
        <x:f>O2197*J2197*(1+M2197)</x:f>
        <x:v>0.08081333333333333</x:v>
      </x:c>
      <x:c r="Q2197" s="30" t="n">
        <x:f>P2197*N2197</x:f>
        <x:v>0.16162666666666667</x:v>
      </x:c>
      <x:c r="R2197" s="19" t="str">
        <x:v>独立判定</x:v>
      </x:c>
    </x:row>
    <x:row r="2198" ht="19" customHeight="1">
      <x:c r="A2198" s="19" t="str">
        <x:v>D02194</x:v>
      </x:c>
      <x:c r="B2198" s="19" t="n">
        <x:v>5</x:v>
      </x:c>
      <x:c r="C2198" s="19" t="n">
        <x:v>1</x:v>
      </x:c>
      <x:c r="D2198" s="19" t="str">
        <x:v>C05-M012</x:v>
      </x:c>
      <x:c r="E2198" s="19" t="str">
        <x:v>沉月镜池圣母</x:v>
      </x:c>
      <x:c r="F2198" s="19" t="str">
        <x:v>地图BOSS</x:v>
      </x:c>
      <x:c r="G2198" s="19" t="str">
        <x:v>材料独立候选</x:v>
      </x:c>
      <x:c r="H2198" s="19" t="str">
        <x:v>小卢恩</x:v>
      </x:c>
      <x:c r="I2198" s="22" t="n">
        <x:v>2000</x:v>
      </x:c>
      <x:c r="J2198" s="22" t="n">
        <x:v>1</x:v>
      </x:c>
      <x:c r="K2198" s="19" t="n">
        <x:v>1</x:v>
      </x:c>
      <x:c r="L2198" s="24" t="n">
        <x:v>22.04</x:v>
      </x:c>
      <x:c r="M2198" s="26" t="n">
        <x:v>0.1</x:v>
      </x:c>
      <x:c r="N2198" s="24" t="n">
        <x:v>2</x:v>
      </x:c>
      <x:c r="O2198" s="28" t="n">
        <x:f>MIN(1,L2198/I2198)</x:f>
        <x:v>0.01102</x:v>
      </x:c>
      <x:c r="P2198" s="30" t="n">
        <x:f>O2198*J2198*(1+M2198)</x:f>
        <x:v>0.012122</x:v>
      </x:c>
      <x:c r="Q2198" s="30" t="n">
        <x:f>P2198*N2198</x:f>
        <x:v>0.024244</x:v>
      </x:c>
      <x:c r="R2198" s="19" t="str">
        <x:v>独立判定</x:v>
      </x:c>
    </x:row>
    <x:row r="2199" ht="19" customHeight="1">
      <x:c r="A2199" s="19" t="str">
        <x:v>D02195</x:v>
      </x:c>
      <x:c r="B2199" s="19" t="n">
        <x:v>5</x:v>
      </x:c>
      <x:c r="C2199" s="19" t="n">
        <x:v>1</x:v>
      </x:c>
      <x:c r="D2199" s="19" t="str">
        <x:v>C05-M012</x:v>
      </x:c>
      <x:c r="E2199" s="19" t="str">
        <x:v>沉月镜池圣母</x:v>
      </x:c>
      <x:c r="F2199" s="19" t="str">
        <x:v>地图BOSS</x:v>
      </x:c>
      <x:c r="G2199" s="19" t="str">
        <x:v>材料独立候选</x:v>
      </x:c>
      <x:c r="H2199" s="19" t="str">
        <x:v>大卢恩</x:v>
      </x:c>
      <x:c r="I2199" s="22" t="n">
        <x:v>200</x:v>
      </x:c>
      <x:c r="J2199" s="22" t="n">
        <x:v>1</x:v>
      </x:c>
      <x:c r="K2199" s="19" t="n">
        <x:v>1</x:v>
      </x:c>
      <x:c r="L2199" s="24" t="n">
        <x:v>22.04</x:v>
      </x:c>
      <x:c r="M2199" s="26" t="n">
        <x:v>0.1</x:v>
      </x:c>
      <x:c r="N2199" s="24" t="n">
        <x:v>2</x:v>
      </x:c>
      <x:c r="O2199" s="28" t="n">
        <x:f>MIN(1,L2199/I2199)</x:f>
        <x:v>0.11019999999999999</x:v>
      </x:c>
      <x:c r="P2199" s="30" t="n">
        <x:f>O2199*J2199*(1+M2199)</x:f>
        <x:v>0.12122000000000001</x:v>
      </x:c>
      <x:c r="Q2199" s="30" t="n">
        <x:f>P2199*N2199</x:f>
        <x:v>0.24244000000000002</x:v>
      </x:c>
      <x:c r="R2199" s="19" t="str">
        <x:v>独立判定</x:v>
      </x:c>
    </x:row>
    <x:row r="2200" ht="19" customHeight="1">
      <x:c r="A2200" s="19" t="str">
        <x:v>D02196</x:v>
      </x:c>
      <x:c r="B2200" s="19" t="n">
        <x:v>5</x:v>
      </x:c>
      <x:c r="C2200" s="19" t="n">
        <x:v>1</x:v>
      </x:c>
      <x:c r="D2200" s="19" t="str">
        <x:v>C05-M012</x:v>
      </x:c>
      <x:c r="E2200" s="19" t="str">
        <x:v>沉月镜池圣母</x:v>
      </x:c>
      <x:c r="F2200" s="19" t="str">
        <x:v>地图BOSS</x:v>
      </x:c>
      <x:c r="G2200" s="19" t="str">
        <x:v>六神器公共池</x:v>
      </x:c>
      <x:c r="H2200" s="19" t="str">
        <x:v>POOL006</x:v>
      </x:c>
      <x:c r="I2200" s="22" t="n">
        <x:v>200000</x:v>
      </x:c>
      <x:c r="J2200" s="22" t="n">
        <x:v>1</x:v>
      </x:c>
      <x:c r="K2200" s="19" t="n">
        <x:v>6</x:v>
      </x:c>
      <x:c r="L2200" s="24" t="n">
        <x:v>22.04</x:v>
      </x:c>
      <x:c r="M2200" s="26" t="n">
        <x:v>0.1</x:v>
      </x:c>
      <x:c r="N2200" s="24" t="n">
        <x:v>2</x:v>
      </x:c>
      <x:c r="O2200" s="28" t="n">
        <x:f>MIN(1,L2200/I2200)</x:f>
        <x:v>0.0001102</x:v>
      </x:c>
      <x:c r="P2200" s="30" t="n">
        <x:f>O2200*J2200*(1+M2200)</x:f>
        <x:v>0.00012122000000000001</x:v>
      </x:c>
      <x:c r="Q2200" s="30" t="n">
        <x:f>P2200*N2200</x:f>
        <x:v>0.00024244000000000002</x:v>
      </x:c>
      <x:c r="R2200" s="19" t="str">
        <x:v>六选一；非6个独立爆率</x:v>
      </x:c>
    </x:row>
    <x:row r="2201" ht="19" customHeight="1">
      <x:c r="A2201" s="19" t="str">
        <x:v>D02197</x:v>
      </x:c>
      <x:c r="B2201" s="19" t="n">
        <x:v>5</x:v>
      </x:c>
      <x:c r="C2201" s="19" t="n">
        <x:v>2</x:v>
      </x:c>
      <x:c r="D2201" s="19" t="str">
        <x:v>C05-M013</x:v>
      </x:c>
      <x:c r="E2201" s="19" t="str">
        <x:v>碎辉穴蜥</x:v>
      </x:c>
      <x:c r="F2201" s="19" t="str">
        <x:v>普通</x:v>
      </x:c>
      <x:c r="G2201" s="19" t="str">
        <x:v>自身专属</x:v>
      </x:c>
      <x:c r="H2201" s="19" t="str">
        <x:v>碎辉鳞踏靴</x:v>
      </x:c>
      <x:c r="I2201" s="22" t="n">
        <x:v>1800</x:v>
      </x:c>
      <x:c r="J2201" s="22" t="n">
        <x:v>1</x:v>
      </x:c>
      <x:c r="K2201" s="19" t="n">
        <x:v>1</x:v>
      </x:c>
      <x:c r="L2201" s="24" t="n">
        <x:v>22.04</x:v>
      </x:c>
      <x:c r="M2201" s="26" t="n">
        <x:v>0.1</x:v>
      </x:c>
      <x:c r="N2201" s="24" t="n">
        <x:v>72</x:v>
      </x:c>
      <x:c r="O2201" s="28" t="n">
        <x:f>MIN(1,L2201/I2201)</x:f>
        <x:v>0.012244444444444443</x:v>
      </x:c>
      <x:c r="P2201" s="30" t="n">
        <x:f>O2201*J2201*(1+M2201)</x:f>
        <x:v>0.013468888888888888</x:v>
      </x:c>
      <x:c r="Q2201" s="30" t="n">
        <x:f>P2201*N2201</x:f>
        <x:v>0.96976</x:v>
      </x:c>
      <x:c r="R2201" s="19" t="str">
        <x:v>独立判定</x:v>
      </x:c>
    </x:row>
    <x:row r="2202" ht="19" customHeight="1">
      <x:c r="A2202" s="19" t="str">
        <x:v>D02198</x:v>
      </x:c>
      <x:c r="B2202" s="19" t="n">
        <x:v>5</x:v>
      </x:c>
      <x:c r="C2202" s="19" t="n">
        <x:v>2</x:v>
      </x:c>
      <x:c r="D2202" s="19" t="str">
        <x:v>C05-M013</x:v>
      </x:c>
      <x:c r="E2202" s="19" t="str">
        <x:v>碎辉穴蜥</x:v>
      </x:c>
      <x:c r="F2202" s="19" t="str">
        <x:v>普通</x:v>
      </x:c>
      <x:c r="G2202" s="19" t="str">
        <x:v>材料独立候选</x:v>
      </x:c>
      <x:c r="H2202" s="19" t="str">
        <x:v>辉石碎晶</x:v>
      </x:c>
      <x:c r="I2202" s="22" t="n">
        <x:v>600</x:v>
      </x:c>
      <x:c r="J2202" s="22" t="n">
        <x:v>8</x:v>
      </x:c>
      <x:c r="K2202" s="19" t="n">
        <x:v>1</x:v>
      </x:c>
      <x:c r="L2202" s="24" t="n">
        <x:v>22.04</x:v>
      </x:c>
      <x:c r="M2202" s="26" t="n">
        <x:v>0.1</x:v>
      </x:c>
      <x:c r="N2202" s="24" t="n">
        <x:v>72</x:v>
      </x:c>
      <x:c r="O2202" s="28" t="n">
        <x:f>MIN(1,L2202/I2202)</x:f>
        <x:v>0.03673333333333333</x:v>
      </x:c>
      <x:c r="P2202" s="30" t="n">
        <x:f>O2202*J2202*(1+M2202)</x:f>
        <x:v>0.32325333333333334</x:v>
      </x:c>
      <x:c r="Q2202" s="30" t="n">
        <x:f>P2202*N2202</x:f>
        <x:v>23.27424</x:v>
      </x:c>
      <x:c r="R2202" s="19" t="str">
        <x:v>独立判定</x:v>
      </x:c>
    </x:row>
    <x:row r="2203" ht="19" customHeight="1">
      <x:c r="A2203" s="19" t="str">
        <x:v>D02199</x:v>
      </x:c>
      <x:c r="B2203" s="19" t="n">
        <x:v>5</x:v>
      </x:c>
      <x:c r="C2203" s="19" t="n">
        <x:v>2</x:v>
      </x:c>
      <x:c r="D2203" s="19" t="str">
        <x:v>C05-M013</x:v>
      </x:c>
      <x:c r="E2203" s="19" t="str">
        <x:v>碎辉穴蜥</x:v>
      </x:c>
      <x:c r="F2203" s="19" t="str">
        <x:v>普通</x:v>
      </x:c>
      <x:c r="G2203" s="19" t="str">
        <x:v>材料独立候选</x:v>
      </x:c>
      <x:c r="H2203" s="19" t="str">
        <x:v>雾月星砂</x:v>
      </x:c>
      <x:c r="I2203" s="22" t="n">
        <x:v>1000</x:v>
      </x:c>
      <x:c r="J2203" s="22" t="n">
        <x:v>1</x:v>
      </x:c>
      <x:c r="K2203" s="19" t="n">
        <x:v>1</x:v>
      </x:c>
      <x:c r="L2203" s="24" t="n">
        <x:v>22.04</x:v>
      </x:c>
      <x:c r="M2203" s="26" t="n">
        <x:v>0.1</x:v>
      </x:c>
      <x:c r="N2203" s="24" t="n">
        <x:v>72</x:v>
      </x:c>
      <x:c r="O2203" s="28" t="n">
        <x:f>MIN(1,L2203/I2203)</x:f>
        <x:v>0.02204</x:v>
      </x:c>
      <x:c r="P2203" s="30" t="n">
        <x:f>O2203*J2203*(1+M2203)</x:f>
        <x:v>0.024244</x:v>
      </x:c>
      <x:c r="Q2203" s="30" t="n">
        <x:f>P2203*N2203</x:f>
        <x:v>1.745568</x:v>
      </x:c>
      <x:c r="R2203" s="19" t="str">
        <x:v>独立判定</x:v>
      </x:c>
    </x:row>
    <x:row r="2204" ht="19" customHeight="1">
      <x:c r="A2204" s="19" t="str">
        <x:v>D02200</x:v>
      </x:c>
      <x:c r="B2204" s="19" t="n">
        <x:v>5</x:v>
      </x:c>
      <x:c r="C2204" s="19" t="n">
        <x:v>2</x:v>
      </x:c>
      <x:c r="D2204" s="19" t="str">
        <x:v>C05-M013</x:v>
      </x:c>
      <x:c r="E2204" s="19" t="str">
        <x:v>碎辉穴蜥</x:v>
      </x:c>
      <x:c r="F2204" s="19" t="str">
        <x:v>普通</x:v>
      </x:c>
      <x:c r="G2204" s="19" t="str">
        <x:v>材料独立候选</x:v>
      </x:c>
      <x:c r="H2204" s="19" t="str">
        <x:v>湖心月谱残章</x:v>
      </x:c>
      <x:c r="I2204" s="22" t="n">
        <x:v>1000000</x:v>
      </x:c>
      <x:c r="J2204" s="22" t="n">
        <x:v>1</x:v>
      </x:c>
      <x:c r="K2204" s="19" t="n">
        <x:v>1</x:v>
      </x:c>
      <x:c r="L2204" s="24" t="n">
        <x:v>22.04</x:v>
      </x:c>
      <x:c r="M2204" s="26" t="n">
        <x:v>0.1</x:v>
      </x:c>
      <x:c r="N2204" s="24" t="n">
        <x:v>72</x:v>
      </x:c>
      <x:c r="O2204" s="28" t="n">
        <x:f>MIN(1,L2204/I2204)</x:f>
        <x:v>0.00002204</x:v>
      </x:c>
      <x:c r="P2204" s="30" t="n">
        <x:f>O2204*J2204*(1+M2204)</x:f>
        <x:v>0.000024244</x:v>
      </x:c>
      <x:c r="Q2204" s="30" t="n">
        <x:f>P2204*N2204</x:f>
        <x:v>0.001745568</x:v>
      </x:c>
      <x:c r="R2204" s="19" t="str">
        <x:v>独立判定</x:v>
      </x:c>
    </x:row>
    <x:row r="2205" ht="19" customHeight="1">
      <x:c r="A2205" s="19" t="str">
        <x:v>D02201</x:v>
      </x:c>
      <x:c r="B2205" s="19" t="n">
        <x:v>5</x:v>
      </x:c>
      <x:c r="C2205" s="19" t="n">
        <x:v>2</x:v>
      </x:c>
      <x:c r="D2205" s="19" t="str">
        <x:v>C05-M013</x:v>
      </x:c>
      <x:c r="E2205" s="19" t="str">
        <x:v>碎辉穴蜥</x:v>
      </x:c>
      <x:c r="F2205" s="19" t="str">
        <x:v>普通</x:v>
      </x:c>
      <x:c r="G2205" s="19" t="str">
        <x:v>材料独立候选</x:v>
      </x:c>
      <x:c r="H2205" s="19" t="str">
        <x:v>野兽骨片</x:v>
      </x:c>
      <x:c r="I2205" s="22" t="n">
        <x:v>120</x:v>
      </x:c>
      <x:c r="J2205" s="22" t="n">
        <x:v>3</x:v>
      </x:c>
      <x:c r="K2205" s="19" t="n">
        <x:v>1</x:v>
      </x:c>
      <x:c r="L2205" s="24" t="n">
        <x:v>22.04</x:v>
      </x:c>
      <x:c r="M2205" s="26" t="n">
        <x:v>0.1</x:v>
      </x:c>
      <x:c r="N2205" s="24" t="n">
        <x:v>72</x:v>
      </x:c>
      <x:c r="O2205" s="28" t="n">
        <x:f>MIN(1,L2205/I2205)</x:f>
        <x:v>0.18366666666666667</x:v>
      </x:c>
      <x:c r="P2205" s="30" t="n">
        <x:f>O2205*J2205*(1+M2205)</x:f>
        <x:v>0.6061000000000001</x:v>
      </x:c>
      <x:c r="Q2205" s="30" t="n">
        <x:f>P2205*N2205</x:f>
        <x:v>43.6392</x:v>
      </x:c>
      <x:c r="R2205" s="19" t="str">
        <x:v>独立判定</x:v>
      </x:c>
    </x:row>
    <x:row r="2206" ht="19" customHeight="1">
      <x:c r="A2206" s="19" t="str">
        <x:v>D02202</x:v>
      </x:c>
      <x:c r="B2206" s="19" t="n">
        <x:v>5</x:v>
      </x:c>
      <x:c r="C2206" s="19" t="n">
        <x:v>2</x:v>
      </x:c>
      <x:c r="D2206" s="19" t="str">
        <x:v>C05-M013</x:v>
      </x:c>
      <x:c r="E2206" s="19" t="str">
        <x:v>碎辉穴蜥</x:v>
      </x:c>
      <x:c r="F2206" s="19" t="str">
        <x:v>普通</x:v>
      </x:c>
      <x:c r="G2206" s="19" t="str">
        <x:v>材料独立候选</x:v>
      </x:c>
      <x:c r="H2206" s="19" t="str">
        <x:v>技能残页</x:v>
      </x:c>
      <x:c r="I2206" s="22" t="n">
        <x:v>3000</x:v>
      </x:c>
      <x:c r="J2206" s="22" t="n">
        <x:v>1</x:v>
      </x:c>
      <x:c r="K2206" s="19" t="n">
        <x:v>1</x:v>
      </x:c>
      <x:c r="L2206" s="24" t="n">
        <x:v>22.04</x:v>
      </x:c>
      <x:c r="M2206" s="26" t="n">
        <x:v>0.1</x:v>
      </x:c>
      <x:c r="N2206" s="24" t="n">
        <x:v>72</x:v>
      </x:c>
      <x:c r="O2206" s="28" t="n">
        <x:f>MIN(1,L2206/I2206)</x:f>
        <x:v>0.007346666666666666</x:v>
      </x:c>
      <x:c r="P2206" s="30" t="n">
        <x:f>O2206*J2206*(1+M2206)</x:f>
        <x:v>0.008081333333333333</x:v>
      </x:c>
      <x:c r="Q2206" s="30" t="n">
        <x:f>P2206*N2206</x:f>
        <x:v>0.5818559999999999</x:v>
      </x:c>
      <x:c r="R2206" s="19" t="str">
        <x:v>独立判定</x:v>
      </x:c>
    </x:row>
    <x:row r="2207" ht="19" customHeight="1">
      <x:c r="A2207" s="19" t="str">
        <x:v>D02203</x:v>
      </x:c>
      <x:c r="B2207" s="19" t="n">
        <x:v>5</x:v>
      </x:c>
      <x:c r="C2207" s="19" t="n">
        <x:v>2</x:v>
      </x:c>
      <x:c r="D2207" s="19" t="str">
        <x:v>C05-M013</x:v>
      </x:c>
      <x:c r="E2207" s="19" t="str">
        <x:v>碎辉穴蜥</x:v>
      </x:c>
      <x:c r="F2207" s="19" t="str">
        <x:v>普通</x:v>
      </x:c>
      <x:c r="G2207" s="19" t="str">
        <x:v>材料独立候选</x:v>
      </x:c>
      <x:c r="H2207" s="19" t="str">
        <x:v>小卢恩</x:v>
      </x:c>
      <x:c r="I2207" s="22" t="n">
        <x:v>6000</x:v>
      </x:c>
      <x:c r="J2207" s="22" t="n">
        <x:v>1</x:v>
      </x:c>
      <x:c r="K2207" s="19" t="n">
        <x:v>1</x:v>
      </x:c>
      <x:c r="L2207" s="24" t="n">
        <x:v>22.04</x:v>
      </x:c>
      <x:c r="M2207" s="26" t="n">
        <x:v>0.1</x:v>
      </x:c>
      <x:c r="N2207" s="24" t="n">
        <x:v>72</x:v>
      </x:c>
      <x:c r="O2207" s="28" t="n">
        <x:f>MIN(1,L2207/I2207)</x:f>
        <x:v>0.003673333333333333</x:v>
      </x:c>
      <x:c r="P2207" s="30" t="n">
        <x:f>O2207*J2207*(1+M2207)</x:f>
        <x:v>0.004040666666666666</x:v>
      </x:c>
      <x:c r="Q2207" s="30" t="n">
        <x:f>P2207*N2207</x:f>
        <x:v>0.29092799999999996</x:v>
      </x:c>
      <x:c r="R2207" s="19" t="str">
        <x:v>独立判定</x:v>
      </x:c>
    </x:row>
    <x:row r="2208" ht="19" customHeight="1">
      <x:c r="A2208" s="19" t="str">
        <x:v>D02204</x:v>
      </x:c>
      <x:c r="B2208" s="19" t="n">
        <x:v>5</x:v>
      </x:c>
      <x:c r="C2208" s="19" t="n">
        <x:v>2</x:v>
      </x:c>
      <x:c r="D2208" s="19" t="str">
        <x:v>C05-M013</x:v>
      </x:c>
      <x:c r="E2208" s="19" t="str">
        <x:v>碎辉穴蜥</x:v>
      </x:c>
      <x:c r="F2208" s="19" t="str">
        <x:v>普通</x:v>
      </x:c>
      <x:c r="G2208" s="19" t="str">
        <x:v>六神器公共池</x:v>
      </x:c>
      <x:c r="H2208" s="19" t="str">
        <x:v>POOL006</x:v>
      </x:c>
      <x:c r="I2208" s="22" t="n">
        <x:v>20000000</x:v>
      </x:c>
      <x:c r="J2208" s="22" t="n">
        <x:v>1</x:v>
      </x:c>
      <x:c r="K2208" s="19" t="n">
        <x:v>6</x:v>
      </x:c>
      <x:c r="L2208" s="24" t="n">
        <x:v>22.04</x:v>
      </x:c>
      <x:c r="M2208" s="26" t="n">
        <x:v>0.1</x:v>
      </x:c>
      <x:c r="N2208" s="24" t="n">
        <x:v>72</x:v>
      </x:c>
      <x:c r="O2208" s="28" t="n">
        <x:f>MIN(1,L2208/I2208)</x:f>
        <x:v>0.000001102</x:v>
      </x:c>
      <x:c r="P2208" s="30" t="n">
        <x:f>O2208*J2208*(1+M2208)</x:f>
        <x:v>0.0000012122</x:v>
      </x:c>
      <x:c r="Q2208" s="30" t="n">
        <x:f>P2208*N2208</x:f>
        <x:v>0.0000872784</x:v>
      </x:c>
      <x:c r="R2208" s="19" t="str">
        <x:v>六选一；非6个独立爆率</x:v>
      </x:c>
    </x:row>
    <x:row r="2209" ht="19" customHeight="1">
      <x:c r="A2209" s="19" t="str">
        <x:v>D02205</x:v>
      </x:c>
      <x:c r="B2209" s="19" t="n">
        <x:v>5</x:v>
      </x:c>
      <x:c r="C2209" s="19" t="n">
        <x:v>2</x:v>
      </x:c>
      <x:c r="D2209" s="19" t="str">
        <x:v>C05-M014</x:v>
      </x:c>
      <x:c r="E2209" s="19" t="str">
        <x:v>遗迹刻晶奴</x:v>
      </x:c>
      <x:c r="F2209" s="19" t="str">
        <x:v>普通</x:v>
      </x:c>
      <x:c r="G2209" s="19" t="str">
        <x:v>自身专属</x:v>
      </x:c>
      <x:c r="H2209" s="19" t="str">
        <x:v>遗刻晶纹镯</x:v>
      </x:c>
      <x:c r="I2209" s="22" t="n">
        <x:v>1800</x:v>
      </x:c>
      <x:c r="J2209" s="22" t="n">
        <x:v>1</x:v>
      </x:c>
      <x:c r="K2209" s="19" t="n">
        <x:v>1</x:v>
      </x:c>
      <x:c r="L2209" s="24" t="n">
        <x:v>22.04</x:v>
      </x:c>
      <x:c r="M2209" s="26" t="n">
        <x:v>0.1</x:v>
      </x:c>
      <x:c r="N2209" s="24" t="n">
        <x:v>72</x:v>
      </x:c>
      <x:c r="O2209" s="28" t="n">
        <x:f>MIN(1,L2209/I2209)</x:f>
        <x:v>0.012244444444444443</x:v>
      </x:c>
      <x:c r="P2209" s="30" t="n">
        <x:f>O2209*J2209*(1+M2209)</x:f>
        <x:v>0.013468888888888888</x:v>
      </x:c>
      <x:c r="Q2209" s="30" t="n">
        <x:f>P2209*N2209</x:f>
        <x:v>0.96976</x:v>
      </x:c>
      <x:c r="R2209" s="19" t="str">
        <x:v>独立判定</x:v>
      </x:c>
    </x:row>
    <x:row r="2210" ht="19" customHeight="1">
      <x:c r="A2210" s="19" t="str">
        <x:v>D02206</x:v>
      </x:c>
      <x:c r="B2210" s="19" t="n">
        <x:v>5</x:v>
      </x:c>
      <x:c r="C2210" s="19" t="n">
        <x:v>2</x:v>
      </x:c>
      <x:c r="D2210" s="19" t="str">
        <x:v>C05-M014</x:v>
      </x:c>
      <x:c r="E2210" s="19" t="str">
        <x:v>遗迹刻晶奴</x:v>
      </x:c>
      <x:c r="F2210" s="19" t="str">
        <x:v>普通</x:v>
      </x:c>
      <x:c r="G2210" s="19" t="str">
        <x:v>材料独立候选</x:v>
      </x:c>
      <x:c r="H2210" s="19" t="str">
        <x:v>辉石碎晶</x:v>
      </x:c>
      <x:c r="I2210" s="22" t="n">
        <x:v>600</x:v>
      </x:c>
      <x:c r="J2210" s="22" t="n">
        <x:v>8</x:v>
      </x:c>
      <x:c r="K2210" s="19" t="n">
        <x:v>1</x:v>
      </x:c>
      <x:c r="L2210" s="24" t="n">
        <x:v>22.04</x:v>
      </x:c>
      <x:c r="M2210" s="26" t="n">
        <x:v>0.1</x:v>
      </x:c>
      <x:c r="N2210" s="24" t="n">
        <x:v>72</x:v>
      </x:c>
      <x:c r="O2210" s="28" t="n">
        <x:f>MIN(1,L2210/I2210)</x:f>
        <x:v>0.03673333333333333</x:v>
      </x:c>
      <x:c r="P2210" s="30" t="n">
        <x:f>O2210*J2210*(1+M2210)</x:f>
        <x:v>0.32325333333333334</x:v>
      </x:c>
      <x:c r="Q2210" s="30" t="n">
        <x:f>P2210*N2210</x:f>
        <x:v>23.27424</x:v>
      </x:c>
      <x:c r="R2210" s="19" t="str">
        <x:v>独立判定</x:v>
      </x:c>
    </x:row>
    <x:row r="2211" ht="19" customHeight="1">
      <x:c r="A2211" s="19" t="str">
        <x:v>D02207</x:v>
      </x:c>
      <x:c r="B2211" s="19" t="n">
        <x:v>5</x:v>
      </x:c>
      <x:c r="C2211" s="19" t="n">
        <x:v>2</x:v>
      </x:c>
      <x:c r="D2211" s="19" t="str">
        <x:v>C05-M014</x:v>
      </x:c>
      <x:c r="E2211" s="19" t="str">
        <x:v>遗迹刻晶奴</x:v>
      </x:c>
      <x:c r="F2211" s="19" t="str">
        <x:v>普通</x:v>
      </x:c>
      <x:c r="G2211" s="19" t="str">
        <x:v>材料独立候选</x:v>
      </x:c>
      <x:c r="H2211" s="19" t="str">
        <x:v>雾月星砂</x:v>
      </x:c>
      <x:c r="I2211" s="22" t="n">
        <x:v>1000</x:v>
      </x:c>
      <x:c r="J2211" s="22" t="n">
        <x:v>1</x:v>
      </x:c>
      <x:c r="K2211" s="19" t="n">
        <x:v>1</x:v>
      </x:c>
      <x:c r="L2211" s="24" t="n">
        <x:v>22.04</x:v>
      </x:c>
      <x:c r="M2211" s="26" t="n">
        <x:v>0.1</x:v>
      </x:c>
      <x:c r="N2211" s="24" t="n">
        <x:v>72</x:v>
      </x:c>
      <x:c r="O2211" s="28" t="n">
        <x:f>MIN(1,L2211/I2211)</x:f>
        <x:v>0.02204</x:v>
      </x:c>
      <x:c r="P2211" s="30" t="n">
        <x:f>O2211*J2211*(1+M2211)</x:f>
        <x:v>0.024244</x:v>
      </x:c>
      <x:c r="Q2211" s="30" t="n">
        <x:f>P2211*N2211</x:f>
        <x:v>1.745568</x:v>
      </x:c>
      <x:c r="R2211" s="19" t="str">
        <x:v>独立判定</x:v>
      </x:c>
    </x:row>
    <x:row r="2212" ht="19" customHeight="1">
      <x:c r="A2212" s="19" t="str">
        <x:v>D02208</x:v>
      </x:c>
      <x:c r="B2212" s="19" t="n">
        <x:v>5</x:v>
      </x:c>
      <x:c r="C2212" s="19" t="n">
        <x:v>2</x:v>
      </x:c>
      <x:c r="D2212" s="19" t="str">
        <x:v>C05-M014</x:v>
      </x:c>
      <x:c r="E2212" s="19" t="str">
        <x:v>遗迹刻晶奴</x:v>
      </x:c>
      <x:c r="F2212" s="19" t="str">
        <x:v>普通</x:v>
      </x:c>
      <x:c r="G2212" s="19" t="str">
        <x:v>材料独立候选</x:v>
      </x:c>
      <x:c r="H2212" s="19" t="str">
        <x:v>湖心月谱残章</x:v>
      </x:c>
      <x:c r="I2212" s="22" t="n">
        <x:v>1000000</x:v>
      </x:c>
      <x:c r="J2212" s="22" t="n">
        <x:v>1</x:v>
      </x:c>
      <x:c r="K2212" s="19" t="n">
        <x:v>1</x:v>
      </x:c>
      <x:c r="L2212" s="24" t="n">
        <x:v>22.04</x:v>
      </x:c>
      <x:c r="M2212" s="26" t="n">
        <x:v>0.1</x:v>
      </x:c>
      <x:c r="N2212" s="24" t="n">
        <x:v>72</x:v>
      </x:c>
      <x:c r="O2212" s="28" t="n">
        <x:f>MIN(1,L2212/I2212)</x:f>
        <x:v>0.00002204</x:v>
      </x:c>
      <x:c r="P2212" s="30" t="n">
        <x:f>O2212*J2212*(1+M2212)</x:f>
        <x:v>0.000024244</x:v>
      </x:c>
      <x:c r="Q2212" s="30" t="n">
        <x:f>P2212*N2212</x:f>
        <x:v>0.001745568</x:v>
      </x:c>
      <x:c r="R2212" s="19" t="str">
        <x:v>独立判定</x:v>
      </x:c>
    </x:row>
    <x:row r="2213" ht="19" customHeight="1">
      <x:c r="A2213" s="19" t="str">
        <x:v>D02209</x:v>
      </x:c>
      <x:c r="B2213" s="19" t="n">
        <x:v>5</x:v>
      </x:c>
      <x:c r="C2213" s="19" t="n">
        <x:v>2</x:v>
      </x:c>
      <x:c r="D2213" s="19" t="str">
        <x:v>C05-M014</x:v>
      </x:c>
      <x:c r="E2213" s="19" t="str">
        <x:v>遗迹刻晶奴</x:v>
      </x:c>
      <x:c r="F2213" s="19" t="str">
        <x:v>普通</x:v>
      </x:c>
      <x:c r="G2213" s="19" t="str">
        <x:v>材料独立候选</x:v>
      </x:c>
      <x:c r="H2213" s="19" t="str">
        <x:v>野兽骨片</x:v>
      </x:c>
      <x:c r="I2213" s="22" t="n">
        <x:v>120</x:v>
      </x:c>
      <x:c r="J2213" s="22" t="n">
        <x:v>3</x:v>
      </x:c>
      <x:c r="K2213" s="19" t="n">
        <x:v>1</x:v>
      </x:c>
      <x:c r="L2213" s="24" t="n">
        <x:v>22.04</x:v>
      </x:c>
      <x:c r="M2213" s="26" t="n">
        <x:v>0.1</x:v>
      </x:c>
      <x:c r="N2213" s="24" t="n">
        <x:v>72</x:v>
      </x:c>
      <x:c r="O2213" s="28" t="n">
        <x:f>MIN(1,L2213/I2213)</x:f>
        <x:v>0.18366666666666667</x:v>
      </x:c>
      <x:c r="P2213" s="30" t="n">
        <x:f>O2213*J2213*(1+M2213)</x:f>
        <x:v>0.6061000000000001</x:v>
      </x:c>
      <x:c r="Q2213" s="30" t="n">
        <x:f>P2213*N2213</x:f>
        <x:v>43.6392</x:v>
      </x:c>
      <x:c r="R2213" s="19" t="str">
        <x:v>独立判定</x:v>
      </x:c>
    </x:row>
    <x:row r="2214" ht="19" customHeight="1">
      <x:c r="A2214" s="19" t="str">
        <x:v>D02210</x:v>
      </x:c>
      <x:c r="B2214" s="19" t="n">
        <x:v>5</x:v>
      </x:c>
      <x:c r="C2214" s="19" t="n">
        <x:v>2</x:v>
      </x:c>
      <x:c r="D2214" s="19" t="str">
        <x:v>C05-M014</x:v>
      </x:c>
      <x:c r="E2214" s="19" t="str">
        <x:v>遗迹刻晶奴</x:v>
      </x:c>
      <x:c r="F2214" s="19" t="str">
        <x:v>普通</x:v>
      </x:c>
      <x:c r="G2214" s="19" t="str">
        <x:v>材料独立候选</x:v>
      </x:c>
      <x:c r="H2214" s="19" t="str">
        <x:v>技能残页</x:v>
      </x:c>
      <x:c r="I2214" s="22" t="n">
        <x:v>3000</x:v>
      </x:c>
      <x:c r="J2214" s="22" t="n">
        <x:v>1</x:v>
      </x:c>
      <x:c r="K2214" s="19" t="n">
        <x:v>1</x:v>
      </x:c>
      <x:c r="L2214" s="24" t="n">
        <x:v>22.04</x:v>
      </x:c>
      <x:c r="M2214" s="26" t="n">
        <x:v>0.1</x:v>
      </x:c>
      <x:c r="N2214" s="24" t="n">
        <x:v>72</x:v>
      </x:c>
      <x:c r="O2214" s="28" t="n">
        <x:f>MIN(1,L2214/I2214)</x:f>
        <x:v>0.007346666666666666</x:v>
      </x:c>
      <x:c r="P2214" s="30" t="n">
        <x:f>O2214*J2214*(1+M2214)</x:f>
        <x:v>0.008081333333333333</x:v>
      </x:c>
      <x:c r="Q2214" s="30" t="n">
        <x:f>P2214*N2214</x:f>
        <x:v>0.5818559999999999</x:v>
      </x:c>
      <x:c r="R2214" s="19" t="str">
        <x:v>独立判定</x:v>
      </x:c>
    </x:row>
    <x:row r="2215" ht="19" customHeight="1">
      <x:c r="A2215" s="19" t="str">
        <x:v>D02211</x:v>
      </x:c>
      <x:c r="B2215" s="19" t="n">
        <x:v>5</x:v>
      </x:c>
      <x:c r="C2215" s="19" t="n">
        <x:v>2</x:v>
      </x:c>
      <x:c r="D2215" s="19" t="str">
        <x:v>C05-M014</x:v>
      </x:c>
      <x:c r="E2215" s="19" t="str">
        <x:v>遗迹刻晶奴</x:v>
      </x:c>
      <x:c r="F2215" s="19" t="str">
        <x:v>普通</x:v>
      </x:c>
      <x:c r="G2215" s="19" t="str">
        <x:v>材料独立候选</x:v>
      </x:c>
      <x:c r="H2215" s="19" t="str">
        <x:v>小卢恩</x:v>
      </x:c>
      <x:c r="I2215" s="22" t="n">
        <x:v>6000</x:v>
      </x:c>
      <x:c r="J2215" s="22" t="n">
        <x:v>1</x:v>
      </x:c>
      <x:c r="K2215" s="19" t="n">
        <x:v>1</x:v>
      </x:c>
      <x:c r="L2215" s="24" t="n">
        <x:v>22.04</x:v>
      </x:c>
      <x:c r="M2215" s="26" t="n">
        <x:v>0.1</x:v>
      </x:c>
      <x:c r="N2215" s="24" t="n">
        <x:v>72</x:v>
      </x:c>
      <x:c r="O2215" s="28" t="n">
        <x:f>MIN(1,L2215/I2215)</x:f>
        <x:v>0.003673333333333333</x:v>
      </x:c>
      <x:c r="P2215" s="30" t="n">
        <x:f>O2215*J2215*(1+M2215)</x:f>
        <x:v>0.004040666666666666</x:v>
      </x:c>
      <x:c r="Q2215" s="30" t="n">
        <x:f>P2215*N2215</x:f>
        <x:v>0.29092799999999996</x:v>
      </x:c>
      <x:c r="R2215" s="19" t="str">
        <x:v>独立判定</x:v>
      </x:c>
    </x:row>
    <x:row r="2216" ht="19" customHeight="1">
      <x:c r="A2216" s="19" t="str">
        <x:v>D02212</x:v>
      </x:c>
      <x:c r="B2216" s="19" t="n">
        <x:v>5</x:v>
      </x:c>
      <x:c r="C2216" s="19" t="n">
        <x:v>2</x:v>
      </x:c>
      <x:c r="D2216" s="19" t="str">
        <x:v>C05-M014</x:v>
      </x:c>
      <x:c r="E2216" s="19" t="str">
        <x:v>遗迹刻晶奴</x:v>
      </x:c>
      <x:c r="F2216" s="19" t="str">
        <x:v>普通</x:v>
      </x:c>
      <x:c r="G2216" s="19" t="str">
        <x:v>六神器公共池</x:v>
      </x:c>
      <x:c r="H2216" s="19" t="str">
        <x:v>POOL006</x:v>
      </x:c>
      <x:c r="I2216" s="22" t="n">
        <x:v>20000000</x:v>
      </x:c>
      <x:c r="J2216" s="22" t="n">
        <x:v>1</x:v>
      </x:c>
      <x:c r="K2216" s="19" t="n">
        <x:v>6</x:v>
      </x:c>
      <x:c r="L2216" s="24" t="n">
        <x:v>22.04</x:v>
      </x:c>
      <x:c r="M2216" s="26" t="n">
        <x:v>0.1</x:v>
      </x:c>
      <x:c r="N2216" s="24" t="n">
        <x:v>72</x:v>
      </x:c>
      <x:c r="O2216" s="28" t="n">
        <x:f>MIN(1,L2216/I2216)</x:f>
        <x:v>0.000001102</x:v>
      </x:c>
      <x:c r="P2216" s="30" t="n">
        <x:f>O2216*J2216*(1+M2216)</x:f>
        <x:v>0.0000012122</x:v>
      </x:c>
      <x:c r="Q2216" s="30" t="n">
        <x:f>P2216*N2216</x:f>
        <x:v>0.0000872784</x:v>
      </x:c>
      <x:c r="R2216" s="19" t="str">
        <x:v>六选一；非6个独立爆率</x:v>
      </x:c>
    </x:row>
    <x:row r="2217" ht="19" customHeight="1">
      <x:c r="A2217" s="19" t="str">
        <x:v>D02213</x:v>
      </x:c>
      <x:c r="B2217" s="19" t="n">
        <x:v>5</x:v>
      </x:c>
      <x:c r="C2217" s="19" t="n">
        <x:v>2</x:v>
      </x:c>
      <x:c r="D2217" s="19" t="str">
        <x:v>C05-M015</x:v>
      </x:c>
      <x:c r="E2217" s="19" t="str">
        <x:v>晶廊折光蝶</x:v>
      </x:c>
      <x:c r="F2217" s="19" t="str">
        <x:v>普通</x:v>
      </x:c>
      <x:c r="G2217" s="19" t="str">
        <x:v>自身专属</x:v>
      </x:c>
      <x:c r="H2217" s="19" t="str">
        <x:v>折光翅晶链</x:v>
      </x:c>
      <x:c r="I2217" s="22" t="n">
        <x:v>1800</x:v>
      </x:c>
      <x:c r="J2217" s="22" t="n">
        <x:v>1</x:v>
      </x:c>
      <x:c r="K2217" s="19" t="n">
        <x:v>1</x:v>
      </x:c>
      <x:c r="L2217" s="24" t="n">
        <x:v>22.04</x:v>
      </x:c>
      <x:c r="M2217" s="26" t="n">
        <x:v>0.1</x:v>
      </x:c>
      <x:c r="N2217" s="24" t="n">
        <x:v>72</x:v>
      </x:c>
      <x:c r="O2217" s="28" t="n">
        <x:f>MIN(1,L2217/I2217)</x:f>
        <x:v>0.012244444444444443</x:v>
      </x:c>
      <x:c r="P2217" s="30" t="n">
        <x:f>O2217*J2217*(1+M2217)</x:f>
        <x:v>0.013468888888888888</x:v>
      </x:c>
      <x:c r="Q2217" s="30" t="n">
        <x:f>P2217*N2217</x:f>
        <x:v>0.96976</x:v>
      </x:c>
      <x:c r="R2217" s="19" t="str">
        <x:v>独立判定</x:v>
      </x:c>
    </x:row>
    <x:row r="2218" ht="19" customHeight="1">
      <x:c r="A2218" s="19" t="str">
        <x:v>D02214</x:v>
      </x:c>
      <x:c r="B2218" s="19" t="n">
        <x:v>5</x:v>
      </x:c>
      <x:c r="C2218" s="19" t="n">
        <x:v>2</x:v>
      </x:c>
      <x:c r="D2218" s="19" t="str">
        <x:v>C05-M015</x:v>
      </x:c>
      <x:c r="E2218" s="19" t="str">
        <x:v>晶廊折光蝶</x:v>
      </x:c>
      <x:c r="F2218" s="19" t="str">
        <x:v>普通</x:v>
      </x:c>
      <x:c r="G2218" s="19" t="str">
        <x:v>材料独立候选</x:v>
      </x:c>
      <x:c r="H2218" s="19" t="str">
        <x:v>辉石碎晶</x:v>
      </x:c>
      <x:c r="I2218" s="22" t="n">
        <x:v>600</x:v>
      </x:c>
      <x:c r="J2218" s="22" t="n">
        <x:v>8</x:v>
      </x:c>
      <x:c r="K2218" s="19" t="n">
        <x:v>1</x:v>
      </x:c>
      <x:c r="L2218" s="24" t="n">
        <x:v>22.04</x:v>
      </x:c>
      <x:c r="M2218" s="26" t="n">
        <x:v>0.1</x:v>
      </x:c>
      <x:c r="N2218" s="24" t="n">
        <x:v>72</x:v>
      </x:c>
      <x:c r="O2218" s="28" t="n">
        <x:f>MIN(1,L2218/I2218)</x:f>
        <x:v>0.03673333333333333</x:v>
      </x:c>
      <x:c r="P2218" s="30" t="n">
        <x:f>O2218*J2218*(1+M2218)</x:f>
        <x:v>0.32325333333333334</x:v>
      </x:c>
      <x:c r="Q2218" s="30" t="n">
        <x:f>P2218*N2218</x:f>
        <x:v>23.27424</x:v>
      </x:c>
      <x:c r="R2218" s="19" t="str">
        <x:v>独立判定</x:v>
      </x:c>
    </x:row>
    <x:row r="2219" ht="19" customHeight="1">
      <x:c r="A2219" s="19" t="str">
        <x:v>D02215</x:v>
      </x:c>
      <x:c r="B2219" s="19" t="n">
        <x:v>5</x:v>
      </x:c>
      <x:c r="C2219" s="19" t="n">
        <x:v>2</x:v>
      </x:c>
      <x:c r="D2219" s="19" t="str">
        <x:v>C05-M015</x:v>
      </x:c>
      <x:c r="E2219" s="19" t="str">
        <x:v>晶廊折光蝶</x:v>
      </x:c>
      <x:c r="F2219" s="19" t="str">
        <x:v>普通</x:v>
      </x:c>
      <x:c r="G2219" s="19" t="str">
        <x:v>材料独立候选</x:v>
      </x:c>
      <x:c r="H2219" s="19" t="str">
        <x:v>雾月星砂</x:v>
      </x:c>
      <x:c r="I2219" s="22" t="n">
        <x:v>1000</x:v>
      </x:c>
      <x:c r="J2219" s="22" t="n">
        <x:v>1</x:v>
      </x:c>
      <x:c r="K2219" s="19" t="n">
        <x:v>1</x:v>
      </x:c>
      <x:c r="L2219" s="24" t="n">
        <x:v>22.04</x:v>
      </x:c>
      <x:c r="M2219" s="26" t="n">
        <x:v>0.1</x:v>
      </x:c>
      <x:c r="N2219" s="24" t="n">
        <x:v>72</x:v>
      </x:c>
      <x:c r="O2219" s="28" t="n">
        <x:f>MIN(1,L2219/I2219)</x:f>
        <x:v>0.02204</x:v>
      </x:c>
      <x:c r="P2219" s="30" t="n">
        <x:f>O2219*J2219*(1+M2219)</x:f>
        <x:v>0.024244</x:v>
      </x:c>
      <x:c r="Q2219" s="30" t="n">
        <x:f>P2219*N2219</x:f>
        <x:v>1.745568</x:v>
      </x:c>
      <x:c r="R2219" s="19" t="str">
        <x:v>独立判定</x:v>
      </x:c>
    </x:row>
    <x:row r="2220" ht="19" customHeight="1">
      <x:c r="A2220" s="19" t="str">
        <x:v>D02216</x:v>
      </x:c>
      <x:c r="B2220" s="19" t="n">
        <x:v>5</x:v>
      </x:c>
      <x:c r="C2220" s="19" t="n">
        <x:v>2</x:v>
      </x:c>
      <x:c r="D2220" s="19" t="str">
        <x:v>C05-M015</x:v>
      </x:c>
      <x:c r="E2220" s="19" t="str">
        <x:v>晶廊折光蝶</x:v>
      </x:c>
      <x:c r="F2220" s="19" t="str">
        <x:v>普通</x:v>
      </x:c>
      <x:c r="G2220" s="19" t="str">
        <x:v>材料独立候选</x:v>
      </x:c>
      <x:c r="H2220" s="19" t="str">
        <x:v>湖心月谱残章</x:v>
      </x:c>
      <x:c r="I2220" s="22" t="n">
        <x:v>1000000</x:v>
      </x:c>
      <x:c r="J2220" s="22" t="n">
        <x:v>1</x:v>
      </x:c>
      <x:c r="K2220" s="19" t="n">
        <x:v>1</x:v>
      </x:c>
      <x:c r="L2220" s="24" t="n">
        <x:v>22.04</x:v>
      </x:c>
      <x:c r="M2220" s="26" t="n">
        <x:v>0.1</x:v>
      </x:c>
      <x:c r="N2220" s="24" t="n">
        <x:v>72</x:v>
      </x:c>
      <x:c r="O2220" s="28" t="n">
        <x:f>MIN(1,L2220/I2220)</x:f>
        <x:v>0.00002204</x:v>
      </x:c>
      <x:c r="P2220" s="30" t="n">
        <x:f>O2220*J2220*(1+M2220)</x:f>
        <x:v>0.000024244</x:v>
      </x:c>
      <x:c r="Q2220" s="30" t="n">
        <x:f>P2220*N2220</x:f>
        <x:v>0.001745568</x:v>
      </x:c>
      <x:c r="R2220" s="19" t="str">
        <x:v>独立判定</x:v>
      </x:c>
    </x:row>
    <x:row r="2221" ht="19" customHeight="1">
      <x:c r="A2221" s="19" t="str">
        <x:v>D02217</x:v>
      </x:c>
      <x:c r="B2221" s="19" t="n">
        <x:v>5</x:v>
      </x:c>
      <x:c r="C2221" s="19" t="n">
        <x:v>2</x:v>
      </x:c>
      <x:c r="D2221" s="19" t="str">
        <x:v>C05-M015</x:v>
      </x:c>
      <x:c r="E2221" s="19" t="str">
        <x:v>晶廊折光蝶</x:v>
      </x:c>
      <x:c r="F2221" s="19" t="str">
        <x:v>普通</x:v>
      </x:c>
      <x:c r="G2221" s="19" t="str">
        <x:v>材料独立候选</x:v>
      </x:c>
      <x:c r="H2221" s="19" t="str">
        <x:v>野兽骨片</x:v>
      </x:c>
      <x:c r="I2221" s="22" t="n">
        <x:v>120</x:v>
      </x:c>
      <x:c r="J2221" s="22" t="n">
        <x:v>3</x:v>
      </x:c>
      <x:c r="K2221" s="19" t="n">
        <x:v>1</x:v>
      </x:c>
      <x:c r="L2221" s="24" t="n">
        <x:v>22.04</x:v>
      </x:c>
      <x:c r="M2221" s="26" t="n">
        <x:v>0.1</x:v>
      </x:c>
      <x:c r="N2221" s="24" t="n">
        <x:v>72</x:v>
      </x:c>
      <x:c r="O2221" s="28" t="n">
        <x:f>MIN(1,L2221/I2221)</x:f>
        <x:v>0.18366666666666667</x:v>
      </x:c>
      <x:c r="P2221" s="30" t="n">
        <x:f>O2221*J2221*(1+M2221)</x:f>
        <x:v>0.6061000000000001</x:v>
      </x:c>
      <x:c r="Q2221" s="30" t="n">
        <x:f>P2221*N2221</x:f>
        <x:v>43.6392</x:v>
      </x:c>
      <x:c r="R2221" s="19" t="str">
        <x:v>独立判定</x:v>
      </x:c>
    </x:row>
    <x:row r="2222" ht="19" customHeight="1">
      <x:c r="A2222" s="19" t="str">
        <x:v>D02218</x:v>
      </x:c>
      <x:c r="B2222" s="19" t="n">
        <x:v>5</x:v>
      </x:c>
      <x:c r="C2222" s="19" t="n">
        <x:v>2</x:v>
      </x:c>
      <x:c r="D2222" s="19" t="str">
        <x:v>C05-M015</x:v>
      </x:c>
      <x:c r="E2222" s="19" t="str">
        <x:v>晶廊折光蝶</x:v>
      </x:c>
      <x:c r="F2222" s="19" t="str">
        <x:v>普通</x:v>
      </x:c>
      <x:c r="G2222" s="19" t="str">
        <x:v>材料独立候选</x:v>
      </x:c>
      <x:c r="H2222" s="19" t="str">
        <x:v>技能残页</x:v>
      </x:c>
      <x:c r="I2222" s="22" t="n">
        <x:v>3000</x:v>
      </x:c>
      <x:c r="J2222" s="22" t="n">
        <x:v>1</x:v>
      </x:c>
      <x:c r="K2222" s="19" t="n">
        <x:v>1</x:v>
      </x:c>
      <x:c r="L2222" s="24" t="n">
        <x:v>22.04</x:v>
      </x:c>
      <x:c r="M2222" s="26" t="n">
        <x:v>0.1</x:v>
      </x:c>
      <x:c r="N2222" s="24" t="n">
        <x:v>72</x:v>
      </x:c>
      <x:c r="O2222" s="28" t="n">
        <x:f>MIN(1,L2222/I2222)</x:f>
        <x:v>0.007346666666666666</x:v>
      </x:c>
      <x:c r="P2222" s="30" t="n">
        <x:f>O2222*J2222*(1+M2222)</x:f>
        <x:v>0.008081333333333333</x:v>
      </x:c>
      <x:c r="Q2222" s="30" t="n">
        <x:f>P2222*N2222</x:f>
        <x:v>0.5818559999999999</x:v>
      </x:c>
      <x:c r="R2222" s="19" t="str">
        <x:v>独立判定</x:v>
      </x:c>
    </x:row>
    <x:row r="2223" ht="19" customHeight="1">
      <x:c r="A2223" s="19" t="str">
        <x:v>D02219</x:v>
      </x:c>
      <x:c r="B2223" s="19" t="n">
        <x:v>5</x:v>
      </x:c>
      <x:c r="C2223" s="19" t="n">
        <x:v>2</x:v>
      </x:c>
      <x:c r="D2223" s="19" t="str">
        <x:v>C05-M015</x:v>
      </x:c>
      <x:c r="E2223" s="19" t="str">
        <x:v>晶廊折光蝶</x:v>
      </x:c>
      <x:c r="F2223" s="19" t="str">
        <x:v>普通</x:v>
      </x:c>
      <x:c r="G2223" s="19" t="str">
        <x:v>材料独立候选</x:v>
      </x:c>
      <x:c r="H2223" s="19" t="str">
        <x:v>小卢恩</x:v>
      </x:c>
      <x:c r="I2223" s="22" t="n">
        <x:v>6000</x:v>
      </x:c>
      <x:c r="J2223" s="22" t="n">
        <x:v>1</x:v>
      </x:c>
      <x:c r="K2223" s="19" t="n">
        <x:v>1</x:v>
      </x:c>
      <x:c r="L2223" s="24" t="n">
        <x:v>22.04</x:v>
      </x:c>
      <x:c r="M2223" s="26" t="n">
        <x:v>0.1</x:v>
      </x:c>
      <x:c r="N2223" s="24" t="n">
        <x:v>72</x:v>
      </x:c>
      <x:c r="O2223" s="28" t="n">
        <x:f>MIN(1,L2223/I2223)</x:f>
        <x:v>0.003673333333333333</x:v>
      </x:c>
      <x:c r="P2223" s="30" t="n">
        <x:f>O2223*J2223*(1+M2223)</x:f>
        <x:v>0.004040666666666666</x:v>
      </x:c>
      <x:c r="Q2223" s="30" t="n">
        <x:f>P2223*N2223</x:f>
        <x:v>0.29092799999999996</x:v>
      </x:c>
      <x:c r="R2223" s="19" t="str">
        <x:v>独立判定</x:v>
      </x:c>
    </x:row>
    <x:row r="2224" ht="19" customHeight="1">
      <x:c r="A2224" s="19" t="str">
        <x:v>D02220</x:v>
      </x:c>
      <x:c r="B2224" s="19" t="n">
        <x:v>5</x:v>
      </x:c>
      <x:c r="C2224" s="19" t="n">
        <x:v>2</x:v>
      </x:c>
      <x:c r="D2224" s="19" t="str">
        <x:v>C05-M015</x:v>
      </x:c>
      <x:c r="E2224" s="19" t="str">
        <x:v>晶廊折光蝶</x:v>
      </x:c>
      <x:c r="F2224" s="19" t="str">
        <x:v>普通</x:v>
      </x:c>
      <x:c r="G2224" s="19" t="str">
        <x:v>六神器公共池</x:v>
      </x:c>
      <x:c r="H2224" s="19" t="str">
        <x:v>POOL006</x:v>
      </x:c>
      <x:c r="I2224" s="22" t="n">
        <x:v>20000000</x:v>
      </x:c>
      <x:c r="J2224" s="22" t="n">
        <x:v>1</x:v>
      </x:c>
      <x:c r="K2224" s="19" t="n">
        <x:v>6</x:v>
      </x:c>
      <x:c r="L2224" s="24" t="n">
        <x:v>22.04</x:v>
      </x:c>
      <x:c r="M2224" s="26" t="n">
        <x:v>0.1</x:v>
      </x:c>
      <x:c r="N2224" s="24" t="n">
        <x:v>72</x:v>
      </x:c>
      <x:c r="O2224" s="28" t="n">
        <x:f>MIN(1,L2224/I2224)</x:f>
        <x:v>0.000001102</x:v>
      </x:c>
      <x:c r="P2224" s="30" t="n">
        <x:f>O2224*J2224*(1+M2224)</x:f>
        <x:v>0.0000012122</x:v>
      </x:c>
      <x:c r="Q2224" s="30" t="n">
        <x:f>P2224*N2224</x:f>
        <x:v>0.0000872784</x:v>
      </x:c>
      <x:c r="R2224" s="19" t="str">
        <x:v>六选一；非6个独立爆率</x:v>
      </x:c>
    </x:row>
    <x:row r="2225" ht="19" customHeight="1">
      <x:c r="A2225" s="19" t="str">
        <x:v>D02221</x:v>
      </x:c>
      <x:c r="B2225" s="19" t="n">
        <x:v>5</x:v>
      </x:c>
      <x:c r="C2225" s="19" t="n">
        <x:v>2</x:v>
      </x:c>
      <x:c r="D2225" s="19" t="str">
        <x:v>C05-M016</x:v>
      </x:c>
      <x:c r="E2225" s="19" t="str">
        <x:v>前庭砾晶守卒</x:v>
      </x:c>
      <x:c r="F2225" s="19" t="str">
        <x:v>普通</x:v>
      </x:c>
      <x:c r="G2225" s="19" t="str">
        <x:v>自身专属</x:v>
      </x:c>
      <x:c r="H2225" s="19" t="str">
        <x:v>砾晶护庭盾</x:v>
      </x:c>
      <x:c r="I2225" s="22" t="n">
        <x:v>1800</x:v>
      </x:c>
      <x:c r="J2225" s="22" t="n">
        <x:v>1</x:v>
      </x:c>
      <x:c r="K2225" s="19" t="n">
        <x:v>1</x:v>
      </x:c>
      <x:c r="L2225" s="24" t="n">
        <x:v>22.04</x:v>
      </x:c>
      <x:c r="M2225" s="26" t="n">
        <x:v>0.1</x:v>
      </x:c>
      <x:c r="N2225" s="24" t="n">
        <x:v>72</x:v>
      </x:c>
      <x:c r="O2225" s="28" t="n">
        <x:f>MIN(1,L2225/I2225)</x:f>
        <x:v>0.012244444444444443</x:v>
      </x:c>
      <x:c r="P2225" s="30" t="n">
        <x:f>O2225*J2225*(1+M2225)</x:f>
        <x:v>0.013468888888888888</x:v>
      </x:c>
      <x:c r="Q2225" s="30" t="n">
        <x:f>P2225*N2225</x:f>
        <x:v>0.96976</x:v>
      </x:c>
      <x:c r="R2225" s="19" t="str">
        <x:v>独立判定</x:v>
      </x:c>
    </x:row>
    <x:row r="2226" ht="19" customHeight="1">
      <x:c r="A2226" s="19" t="str">
        <x:v>D02222</x:v>
      </x:c>
      <x:c r="B2226" s="19" t="n">
        <x:v>5</x:v>
      </x:c>
      <x:c r="C2226" s="19" t="n">
        <x:v>2</x:v>
      </x:c>
      <x:c r="D2226" s="19" t="str">
        <x:v>C05-M016</x:v>
      </x:c>
      <x:c r="E2226" s="19" t="str">
        <x:v>前庭砾晶守卒</x:v>
      </x:c>
      <x:c r="F2226" s="19" t="str">
        <x:v>普通</x:v>
      </x:c>
      <x:c r="G2226" s="19" t="str">
        <x:v>材料独立候选</x:v>
      </x:c>
      <x:c r="H2226" s="19" t="str">
        <x:v>辉石碎晶</x:v>
      </x:c>
      <x:c r="I2226" s="22" t="n">
        <x:v>600</x:v>
      </x:c>
      <x:c r="J2226" s="22" t="n">
        <x:v>8</x:v>
      </x:c>
      <x:c r="K2226" s="19" t="n">
        <x:v>1</x:v>
      </x:c>
      <x:c r="L2226" s="24" t="n">
        <x:v>22.04</x:v>
      </x:c>
      <x:c r="M2226" s="26" t="n">
        <x:v>0.1</x:v>
      </x:c>
      <x:c r="N2226" s="24" t="n">
        <x:v>72</x:v>
      </x:c>
      <x:c r="O2226" s="28" t="n">
        <x:f>MIN(1,L2226/I2226)</x:f>
        <x:v>0.03673333333333333</x:v>
      </x:c>
      <x:c r="P2226" s="30" t="n">
        <x:f>O2226*J2226*(1+M2226)</x:f>
        <x:v>0.32325333333333334</x:v>
      </x:c>
      <x:c r="Q2226" s="30" t="n">
        <x:f>P2226*N2226</x:f>
        <x:v>23.27424</x:v>
      </x:c>
      <x:c r="R2226" s="19" t="str">
        <x:v>独立判定</x:v>
      </x:c>
    </x:row>
    <x:row r="2227" ht="19" customHeight="1">
      <x:c r="A2227" s="19" t="str">
        <x:v>D02223</x:v>
      </x:c>
      <x:c r="B2227" s="19" t="n">
        <x:v>5</x:v>
      </x:c>
      <x:c r="C2227" s="19" t="n">
        <x:v>2</x:v>
      </x:c>
      <x:c r="D2227" s="19" t="str">
        <x:v>C05-M016</x:v>
      </x:c>
      <x:c r="E2227" s="19" t="str">
        <x:v>前庭砾晶守卒</x:v>
      </x:c>
      <x:c r="F2227" s="19" t="str">
        <x:v>普通</x:v>
      </x:c>
      <x:c r="G2227" s="19" t="str">
        <x:v>材料独立候选</x:v>
      </x:c>
      <x:c r="H2227" s="19" t="str">
        <x:v>雾月星砂</x:v>
      </x:c>
      <x:c r="I2227" s="22" t="n">
        <x:v>1000</x:v>
      </x:c>
      <x:c r="J2227" s="22" t="n">
        <x:v>1</x:v>
      </x:c>
      <x:c r="K2227" s="19" t="n">
        <x:v>1</x:v>
      </x:c>
      <x:c r="L2227" s="24" t="n">
        <x:v>22.04</x:v>
      </x:c>
      <x:c r="M2227" s="26" t="n">
        <x:v>0.1</x:v>
      </x:c>
      <x:c r="N2227" s="24" t="n">
        <x:v>72</x:v>
      </x:c>
      <x:c r="O2227" s="28" t="n">
        <x:f>MIN(1,L2227/I2227)</x:f>
        <x:v>0.02204</x:v>
      </x:c>
      <x:c r="P2227" s="30" t="n">
        <x:f>O2227*J2227*(1+M2227)</x:f>
        <x:v>0.024244</x:v>
      </x:c>
      <x:c r="Q2227" s="30" t="n">
        <x:f>P2227*N2227</x:f>
        <x:v>1.745568</x:v>
      </x:c>
      <x:c r="R2227" s="19" t="str">
        <x:v>独立判定</x:v>
      </x:c>
    </x:row>
    <x:row r="2228" ht="19" customHeight="1">
      <x:c r="A2228" s="19" t="str">
        <x:v>D02224</x:v>
      </x:c>
      <x:c r="B2228" s="19" t="n">
        <x:v>5</x:v>
      </x:c>
      <x:c r="C2228" s="19" t="n">
        <x:v>2</x:v>
      </x:c>
      <x:c r="D2228" s="19" t="str">
        <x:v>C05-M016</x:v>
      </x:c>
      <x:c r="E2228" s="19" t="str">
        <x:v>前庭砾晶守卒</x:v>
      </x:c>
      <x:c r="F2228" s="19" t="str">
        <x:v>普通</x:v>
      </x:c>
      <x:c r="G2228" s="19" t="str">
        <x:v>材料独立候选</x:v>
      </x:c>
      <x:c r="H2228" s="19" t="str">
        <x:v>湖心月谱残章</x:v>
      </x:c>
      <x:c r="I2228" s="22" t="n">
        <x:v>1000000</x:v>
      </x:c>
      <x:c r="J2228" s="22" t="n">
        <x:v>1</x:v>
      </x:c>
      <x:c r="K2228" s="19" t="n">
        <x:v>1</x:v>
      </x:c>
      <x:c r="L2228" s="24" t="n">
        <x:v>22.04</x:v>
      </x:c>
      <x:c r="M2228" s="26" t="n">
        <x:v>0.1</x:v>
      </x:c>
      <x:c r="N2228" s="24" t="n">
        <x:v>72</x:v>
      </x:c>
      <x:c r="O2228" s="28" t="n">
        <x:f>MIN(1,L2228/I2228)</x:f>
        <x:v>0.00002204</x:v>
      </x:c>
      <x:c r="P2228" s="30" t="n">
        <x:f>O2228*J2228*(1+M2228)</x:f>
        <x:v>0.000024244</x:v>
      </x:c>
      <x:c r="Q2228" s="30" t="n">
        <x:f>P2228*N2228</x:f>
        <x:v>0.001745568</x:v>
      </x:c>
      <x:c r="R2228" s="19" t="str">
        <x:v>独立判定</x:v>
      </x:c>
    </x:row>
    <x:row r="2229" ht="19" customHeight="1">
      <x:c r="A2229" s="19" t="str">
        <x:v>D02225</x:v>
      </x:c>
      <x:c r="B2229" s="19" t="n">
        <x:v>5</x:v>
      </x:c>
      <x:c r="C2229" s="19" t="n">
        <x:v>2</x:v>
      </x:c>
      <x:c r="D2229" s="19" t="str">
        <x:v>C05-M016</x:v>
      </x:c>
      <x:c r="E2229" s="19" t="str">
        <x:v>前庭砾晶守卒</x:v>
      </x:c>
      <x:c r="F2229" s="19" t="str">
        <x:v>普通</x:v>
      </x:c>
      <x:c r="G2229" s="19" t="str">
        <x:v>材料独立候选</x:v>
      </x:c>
      <x:c r="H2229" s="19" t="str">
        <x:v>野兽骨片</x:v>
      </x:c>
      <x:c r="I2229" s="22" t="n">
        <x:v>120</x:v>
      </x:c>
      <x:c r="J2229" s="22" t="n">
        <x:v>3</x:v>
      </x:c>
      <x:c r="K2229" s="19" t="n">
        <x:v>1</x:v>
      </x:c>
      <x:c r="L2229" s="24" t="n">
        <x:v>22.04</x:v>
      </x:c>
      <x:c r="M2229" s="26" t="n">
        <x:v>0.1</x:v>
      </x:c>
      <x:c r="N2229" s="24" t="n">
        <x:v>72</x:v>
      </x:c>
      <x:c r="O2229" s="28" t="n">
        <x:f>MIN(1,L2229/I2229)</x:f>
        <x:v>0.18366666666666667</x:v>
      </x:c>
      <x:c r="P2229" s="30" t="n">
        <x:f>O2229*J2229*(1+M2229)</x:f>
        <x:v>0.6061000000000001</x:v>
      </x:c>
      <x:c r="Q2229" s="30" t="n">
        <x:f>P2229*N2229</x:f>
        <x:v>43.6392</x:v>
      </x:c>
      <x:c r="R2229" s="19" t="str">
        <x:v>独立判定</x:v>
      </x:c>
    </x:row>
    <x:row r="2230" ht="19" customHeight="1">
      <x:c r="A2230" s="19" t="str">
        <x:v>D02226</x:v>
      </x:c>
      <x:c r="B2230" s="19" t="n">
        <x:v>5</x:v>
      </x:c>
      <x:c r="C2230" s="19" t="n">
        <x:v>2</x:v>
      </x:c>
      <x:c r="D2230" s="19" t="str">
        <x:v>C05-M016</x:v>
      </x:c>
      <x:c r="E2230" s="19" t="str">
        <x:v>前庭砾晶守卒</x:v>
      </x:c>
      <x:c r="F2230" s="19" t="str">
        <x:v>普通</x:v>
      </x:c>
      <x:c r="G2230" s="19" t="str">
        <x:v>材料独立候选</x:v>
      </x:c>
      <x:c r="H2230" s="19" t="str">
        <x:v>技能残页</x:v>
      </x:c>
      <x:c r="I2230" s="22" t="n">
        <x:v>3000</x:v>
      </x:c>
      <x:c r="J2230" s="22" t="n">
        <x:v>1</x:v>
      </x:c>
      <x:c r="K2230" s="19" t="n">
        <x:v>1</x:v>
      </x:c>
      <x:c r="L2230" s="24" t="n">
        <x:v>22.04</x:v>
      </x:c>
      <x:c r="M2230" s="26" t="n">
        <x:v>0.1</x:v>
      </x:c>
      <x:c r="N2230" s="24" t="n">
        <x:v>72</x:v>
      </x:c>
      <x:c r="O2230" s="28" t="n">
        <x:f>MIN(1,L2230/I2230)</x:f>
        <x:v>0.007346666666666666</x:v>
      </x:c>
      <x:c r="P2230" s="30" t="n">
        <x:f>O2230*J2230*(1+M2230)</x:f>
        <x:v>0.008081333333333333</x:v>
      </x:c>
      <x:c r="Q2230" s="30" t="n">
        <x:f>P2230*N2230</x:f>
        <x:v>0.5818559999999999</x:v>
      </x:c>
      <x:c r="R2230" s="19" t="str">
        <x:v>独立判定</x:v>
      </x:c>
    </x:row>
    <x:row r="2231" ht="19" customHeight="1">
      <x:c r="A2231" s="19" t="str">
        <x:v>D02227</x:v>
      </x:c>
      <x:c r="B2231" s="19" t="n">
        <x:v>5</x:v>
      </x:c>
      <x:c r="C2231" s="19" t="n">
        <x:v>2</x:v>
      </x:c>
      <x:c r="D2231" s="19" t="str">
        <x:v>C05-M016</x:v>
      </x:c>
      <x:c r="E2231" s="19" t="str">
        <x:v>前庭砾晶守卒</x:v>
      </x:c>
      <x:c r="F2231" s="19" t="str">
        <x:v>普通</x:v>
      </x:c>
      <x:c r="G2231" s="19" t="str">
        <x:v>材料独立候选</x:v>
      </x:c>
      <x:c r="H2231" s="19" t="str">
        <x:v>小卢恩</x:v>
      </x:c>
      <x:c r="I2231" s="22" t="n">
        <x:v>6000</x:v>
      </x:c>
      <x:c r="J2231" s="22" t="n">
        <x:v>1</x:v>
      </x:c>
      <x:c r="K2231" s="19" t="n">
        <x:v>1</x:v>
      </x:c>
      <x:c r="L2231" s="24" t="n">
        <x:v>22.04</x:v>
      </x:c>
      <x:c r="M2231" s="26" t="n">
        <x:v>0.1</x:v>
      </x:c>
      <x:c r="N2231" s="24" t="n">
        <x:v>72</x:v>
      </x:c>
      <x:c r="O2231" s="28" t="n">
        <x:f>MIN(1,L2231/I2231)</x:f>
        <x:v>0.003673333333333333</x:v>
      </x:c>
      <x:c r="P2231" s="30" t="n">
        <x:f>O2231*J2231*(1+M2231)</x:f>
        <x:v>0.004040666666666666</x:v>
      </x:c>
      <x:c r="Q2231" s="30" t="n">
        <x:f>P2231*N2231</x:f>
        <x:v>0.29092799999999996</x:v>
      </x:c>
      <x:c r="R2231" s="19" t="str">
        <x:v>独立判定</x:v>
      </x:c>
    </x:row>
    <x:row r="2232" ht="19" customHeight="1">
      <x:c r="A2232" s="19" t="str">
        <x:v>D02228</x:v>
      </x:c>
      <x:c r="B2232" s="19" t="n">
        <x:v>5</x:v>
      </x:c>
      <x:c r="C2232" s="19" t="n">
        <x:v>2</x:v>
      </x:c>
      <x:c r="D2232" s="19" t="str">
        <x:v>C05-M016</x:v>
      </x:c>
      <x:c r="E2232" s="19" t="str">
        <x:v>前庭砾晶守卒</x:v>
      </x:c>
      <x:c r="F2232" s="19" t="str">
        <x:v>普通</x:v>
      </x:c>
      <x:c r="G2232" s="19" t="str">
        <x:v>六神器公共池</x:v>
      </x:c>
      <x:c r="H2232" s="19" t="str">
        <x:v>POOL006</x:v>
      </x:c>
      <x:c r="I2232" s="22" t="n">
        <x:v>20000000</x:v>
      </x:c>
      <x:c r="J2232" s="22" t="n">
        <x:v>1</x:v>
      </x:c>
      <x:c r="K2232" s="19" t="n">
        <x:v>6</x:v>
      </x:c>
      <x:c r="L2232" s="24" t="n">
        <x:v>22.04</x:v>
      </x:c>
      <x:c r="M2232" s="26" t="n">
        <x:v>0.1</x:v>
      </x:c>
      <x:c r="N2232" s="24" t="n">
        <x:v>72</x:v>
      </x:c>
      <x:c r="O2232" s="28" t="n">
        <x:f>MIN(1,L2232/I2232)</x:f>
        <x:v>0.000001102</x:v>
      </x:c>
      <x:c r="P2232" s="30" t="n">
        <x:f>O2232*J2232*(1+M2232)</x:f>
        <x:v>0.0000012122</x:v>
      </x:c>
      <x:c r="Q2232" s="30" t="n">
        <x:f>P2232*N2232</x:f>
        <x:v>0.0000872784</x:v>
      </x:c>
      <x:c r="R2232" s="19" t="str">
        <x:v>六选一；非6个独立爆率</x:v>
      </x:c>
    </x:row>
    <x:row r="2233" ht="19" customHeight="1">
      <x:c r="A2233" s="19" t="str">
        <x:v>D02229</x:v>
      </x:c>
      <x:c r="B2233" s="19" t="n">
        <x:v>5</x:v>
      </x:c>
      <x:c r="C2233" s="19" t="n">
        <x:v>2</x:v>
      </x:c>
      <x:c r="D2233" s="19" t="str">
        <x:v>C05-M017</x:v>
      </x:c>
      <x:c r="E2233" s="19" t="str">
        <x:v>内院辉壳犬</x:v>
      </x:c>
      <x:c r="F2233" s="19" t="str">
        <x:v>普通</x:v>
      </x:c>
      <x:c r="G2233" s="19" t="str">
        <x:v>自身专属</x:v>
      </x:c>
      <x:c r="H2233" s="19" t="str">
        <x:v>辉壳束腰</x:v>
      </x:c>
      <x:c r="I2233" s="22" t="n">
        <x:v>1800</x:v>
      </x:c>
      <x:c r="J2233" s="22" t="n">
        <x:v>1</x:v>
      </x:c>
      <x:c r="K2233" s="19" t="n">
        <x:v>1</x:v>
      </x:c>
      <x:c r="L2233" s="24" t="n">
        <x:v>22.04</x:v>
      </x:c>
      <x:c r="M2233" s="26" t="n">
        <x:v>0.1</x:v>
      </x:c>
      <x:c r="N2233" s="24" t="n">
        <x:v>72</x:v>
      </x:c>
      <x:c r="O2233" s="28" t="n">
        <x:f>MIN(1,L2233/I2233)</x:f>
        <x:v>0.012244444444444443</x:v>
      </x:c>
      <x:c r="P2233" s="30" t="n">
        <x:f>O2233*J2233*(1+M2233)</x:f>
        <x:v>0.013468888888888888</x:v>
      </x:c>
      <x:c r="Q2233" s="30" t="n">
        <x:f>P2233*N2233</x:f>
        <x:v>0.96976</x:v>
      </x:c>
      <x:c r="R2233" s="19" t="str">
        <x:v>独立判定</x:v>
      </x:c>
    </x:row>
    <x:row r="2234" ht="19" customHeight="1">
      <x:c r="A2234" s="19" t="str">
        <x:v>D02230</x:v>
      </x:c>
      <x:c r="B2234" s="19" t="n">
        <x:v>5</x:v>
      </x:c>
      <x:c r="C2234" s="19" t="n">
        <x:v>2</x:v>
      </x:c>
      <x:c r="D2234" s="19" t="str">
        <x:v>C05-M017</x:v>
      </x:c>
      <x:c r="E2234" s="19" t="str">
        <x:v>内院辉壳犬</x:v>
      </x:c>
      <x:c r="F2234" s="19" t="str">
        <x:v>普通</x:v>
      </x:c>
      <x:c r="G2234" s="19" t="str">
        <x:v>材料独立候选</x:v>
      </x:c>
      <x:c r="H2234" s="19" t="str">
        <x:v>辉石碎晶</x:v>
      </x:c>
      <x:c r="I2234" s="22" t="n">
        <x:v>600</x:v>
      </x:c>
      <x:c r="J2234" s="22" t="n">
        <x:v>8</x:v>
      </x:c>
      <x:c r="K2234" s="19" t="n">
        <x:v>1</x:v>
      </x:c>
      <x:c r="L2234" s="24" t="n">
        <x:v>22.04</x:v>
      </x:c>
      <x:c r="M2234" s="26" t="n">
        <x:v>0.1</x:v>
      </x:c>
      <x:c r="N2234" s="24" t="n">
        <x:v>72</x:v>
      </x:c>
      <x:c r="O2234" s="28" t="n">
        <x:f>MIN(1,L2234/I2234)</x:f>
        <x:v>0.03673333333333333</x:v>
      </x:c>
      <x:c r="P2234" s="30" t="n">
        <x:f>O2234*J2234*(1+M2234)</x:f>
        <x:v>0.32325333333333334</x:v>
      </x:c>
      <x:c r="Q2234" s="30" t="n">
        <x:f>P2234*N2234</x:f>
        <x:v>23.27424</x:v>
      </x:c>
      <x:c r="R2234" s="19" t="str">
        <x:v>独立判定</x:v>
      </x:c>
    </x:row>
    <x:row r="2235" ht="19" customHeight="1">
      <x:c r="A2235" s="19" t="str">
        <x:v>D02231</x:v>
      </x:c>
      <x:c r="B2235" s="19" t="n">
        <x:v>5</x:v>
      </x:c>
      <x:c r="C2235" s="19" t="n">
        <x:v>2</x:v>
      </x:c>
      <x:c r="D2235" s="19" t="str">
        <x:v>C05-M017</x:v>
      </x:c>
      <x:c r="E2235" s="19" t="str">
        <x:v>内院辉壳犬</x:v>
      </x:c>
      <x:c r="F2235" s="19" t="str">
        <x:v>普通</x:v>
      </x:c>
      <x:c r="G2235" s="19" t="str">
        <x:v>材料独立候选</x:v>
      </x:c>
      <x:c r="H2235" s="19" t="str">
        <x:v>雾月星砂</x:v>
      </x:c>
      <x:c r="I2235" s="22" t="n">
        <x:v>1000</x:v>
      </x:c>
      <x:c r="J2235" s="22" t="n">
        <x:v>1</x:v>
      </x:c>
      <x:c r="K2235" s="19" t="n">
        <x:v>1</x:v>
      </x:c>
      <x:c r="L2235" s="24" t="n">
        <x:v>22.04</x:v>
      </x:c>
      <x:c r="M2235" s="26" t="n">
        <x:v>0.1</x:v>
      </x:c>
      <x:c r="N2235" s="24" t="n">
        <x:v>72</x:v>
      </x:c>
      <x:c r="O2235" s="28" t="n">
        <x:f>MIN(1,L2235/I2235)</x:f>
        <x:v>0.02204</x:v>
      </x:c>
      <x:c r="P2235" s="30" t="n">
        <x:f>O2235*J2235*(1+M2235)</x:f>
        <x:v>0.024244</x:v>
      </x:c>
      <x:c r="Q2235" s="30" t="n">
        <x:f>P2235*N2235</x:f>
        <x:v>1.745568</x:v>
      </x:c>
      <x:c r="R2235" s="19" t="str">
        <x:v>独立判定</x:v>
      </x:c>
    </x:row>
    <x:row r="2236" ht="19" customHeight="1">
      <x:c r="A2236" s="19" t="str">
        <x:v>D02232</x:v>
      </x:c>
      <x:c r="B2236" s="19" t="n">
        <x:v>5</x:v>
      </x:c>
      <x:c r="C2236" s="19" t="n">
        <x:v>2</x:v>
      </x:c>
      <x:c r="D2236" s="19" t="str">
        <x:v>C05-M017</x:v>
      </x:c>
      <x:c r="E2236" s="19" t="str">
        <x:v>内院辉壳犬</x:v>
      </x:c>
      <x:c r="F2236" s="19" t="str">
        <x:v>普通</x:v>
      </x:c>
      <x:c r="G2236" s="19" t="str">
        <x:v>材料独立候选</x:v>
      </x:c>
      <x:c r="H2236" s="19" t="str">
        <x:v>湖心月谱残章</x:v>
      </x:c>
      <x:c r="I2236" s="22" t="n">
        <x:v>1000000</x:v>
      </x:c>
      <x:c r="J2236" s="22" t="n">
        <x:v>1</x:v>
      </x:c>
      <x:c r="K2236" s="19" t="n">
        <x:v>1</x:v>
      </x:c>
      <x:c r="L2236" s="24" t="n">
        <x:v>22.04</x:v>
      </x:c>
      <x:c r="M2236" s="26" t="n">
        <x:v>0.1</x:v>
      </x:c>
      <x:c r="N2236" s="24" t="n">
        <x:v>72</x:v>
      </x:c>
      <x:c r="O2236" s="28" t="n">
        <x:f>MIN(1,L2236/I2236)</x:f>
        <x:v>0.00002204</x:v>
      </x:c>
      <x:c r="P2236" s="30" t="n">
        <x:f>O2236*J2236*(1+M2236)</x:f>
        <x:v>0.000024244</x:v>
      </x:c>
      <x:c r="Q2236" s="30" t="n">
        <x:f>P2236*N2236</x:f>
        <x:v>0.001745568</x:v>
      </x:c>
      <x:c r="R2236" s="19" t="str">
        <x:v>独立判定</x:v>
      </x:c>
    </x:row>
    <x:row r="2237" ht="19" customHeight="1">
      <x:c r="A2237" s="19" t="str">
        <x:v>D02233</x:v>
      </x:c>
      <x:c r="B2237" s="19" t="n">
        <x:v>5</x:v>
      </x:c>
      <x:c r="C2237" s="19" t="n">
        <x:v>2</x:v>
      </x:c>
      <x:c r="D2237" s="19" t="str">
        <x:v>C05-M017</x:v>
      </x:c>
      <x:c r="E2237" s="19" t="str">
        <x:v>内院辉壳犬</x:v>
      </x:c>
      <x:c r="F2237" s="19" t="str">
        <x:v>普通</x:v>
      </x:c>
      <x:c r="G2237" s="19" t="str">
        <x:v>材料独立候选</x:v>
      </x:c>
      <x:c r="H2237" s="19" t="str">
        <x:v>野兽骨片</x:v>
      </x:c>
      <x:c r="I2237" s="22" t="n">
        <x:v>120</x:v>
      </x:c>
      <x:c r="J2237" s="22" t="n">
        <x:v>3</x:v>
      </x:c>
      <x:c r="K2237" s="19" t="n">
        <x:v>1</x:v>
      </x:c>
      <x:c r="L2237" s="24" t="n">
        <x:v>22.04</x:v>
      </x:c>
      <x:c r="M2237" s="26" t="n">
        <x:v>0.1</x:v>
      </x:c>
      <x:c r="N2237" s="24" t="n">
        <x:v>72</x:v>
      </x:c>
      <x:c r="O2237" s="28" t="n">
        <x:f>MIN(1,L2237/I2237)</x:f>
        <x:v>0.18366666666666667</x:v>
      </x:c>
      <x:c r="P2237" s="30" t="n">
        <x:f>O2237*J2237*(1+M2237)</x:f>
        <x:v>0.6061000000000001</x:v>
      </x:c>
      <x:c r="Q2237" s="30" t="n">
        <x:f>P2237*N2237</x:f>
        <x:v>43.6392</x:v>
      </x:c>
      <x:c r="R2237" s="19" t="str">
        <x:v>独立判定</x:v>
      </x:c>
    </x:row>
    <x:row r="2238" ht="19" customHeight="1">
      <x:c r="A2238" s="19" t="str">
        <x:v>D02234</x:v>
      </x:c>
      <x:c r="B2238" s="19" t="n">
        <x:v>5</x:v>
      </x:c>
      <x:c r="C2238" s="19" t="n">
        <x:v>2</x:v>
      </x:c>
      <x:c r="D2238" s="19" t="str">
        <x:v>C05-M017</x:v>
      </x:c>
      <x:c r="E2238" s="19" t="str">
        <x:v>内院辉壳犬</x:v>
      </x:c>
      <x:c r="F2238" s="19" t="str">
        <x:v>普通</x:v>
      </x:c>
      <x:c r="G2238" s="19" t="str">
        <x:v>材料独立候选</x:v>
      </x:c>
      <x:c r="H2238" s="19" t="str">
        <x:v>技能残页</x:v>
      </x:c>
      <x:c r="I2238" s="22" t="n">
        <x:v>3000</x:v>
      </x:c>
      <x:c r="J2238" s="22" t="n">
        <x:v>1</x:v>
      </x:c>
      <x:c r="K2238" s="19" t="n">
        <x:v>1</x:v>
      </x:c>
      <x:c r="L2238" s="24" t="n">
        <x:v>22.04</x:v>
      </x:c>
      <x:c r="M2238" s="26" t="n">
        <x:v>0.1</x:v>
      </x:c>
      <x:c r="N2238" s="24" t="n">
        <x:v>72</x:v>
      </x:c>
      <x:c r="O2238" s="28" t="n">
        <x:f>MIN(1,L2238/I2238)</x:f>
        <x:v>0.007346666666666666</x:v>
      </x:c>
      <x:c r="P2238" s="30" t="n">
        <x:f>O2238*J2238*(1+M2238)</x:f>
        <x:v>0.008081333333333333</x:v>
      </x:c>
      <x:c r="Q2238" s="30" t="n">
        <x:f>P2238*N2238</x:f>
        <x:v>0.5818559999999999</x:v>
      </x:c>
      <x:c r="R2238" s="19" t="str">
        <x:v>独立判定</x:v>
      </x:c>
    </x:row>
    <x:row r="2239" ht="19" customHeight="1">
      <x:c r="A2239" s="19" t="str">
        <x:v>D02235</x:v>
      </x:c>
      <x:c r="B2239" s="19" t="n">
        <x:v>5</x:v>
      </x:c>
      <x:c r="C2239" s="19" t="n">
        <x:v>2</x:v>
      </x:c>
      <x:c r="D2239" s="19" t="str">
        <x:v>C05-M017</x:v>
      </x:c>
      <x:c r="E2239" s="19" t="str">
        <x:v>内院辉壳犬</x:v>
      </x:c>
      <x:c r="F2239" s="19" t="str">
        <x:v>普通</x:v>
      </x:c>
      <x:c r="G2239" s="19" t="str">
        <x:v>材料独立候选</x:v>
      </x:c>
      <x:c r="H2239" s="19" t="str">
        <x:v>小卢恩</x:v>
      </x:c>
      <x:c r="I2239" s="22" t="n">
        <x:v>6000</x:v>
      </x:c>
      <x:c r="J2239" s="22" t="n">
        <x:v>1</x:v>
      </x:c>
      <x:c r="K2239" s="19" t="n">
        <x:v>1</x:v>
      </x:c>
      <x:c r="L2239" s="24" t="n">
        <x:v>22.04</x:v>
      </x:c>
      <x:c r="M2239" s="26" t="n">
        <x:v>0.1</x:v>
      </x:c>
      <x:c r="N2239" s="24" t="n">
        <x:v>72</x:v>
      </x:c>
      <x:c r="O2239" s="28" t="n">
        <x:f>MIN(1,L2239/I2239)</x:f>
        <x:v>0.003673333333333333</x:v>
      </x:c>
      <x:c r="P2239" s="30" t="n">
        <x:f>O2239*J2239*(1+M2239)</x:f>
        <x:v>0.004040666666666666</x:v>
      </x:c>
      <x:c r="Q2239" s="30" t="n">
        <x:f>P2239*N2239</x:f>
        <x:v>0.29092799999999996</x:v>
      </x:c>
      <x:c r="R2239" s="19" t="str">
        <x:v>独立判定</x:v>
      </x:c>
    </x:row>
    <x:row r="2240" ht="19" customHeight="1">
      <x:c r="A2240" s="19" t="str">
        <x:v>D02236</x:v>
      </x:c>
      <x:c r="B2240" s="19" t="n">
        <x:v>5</x:v>
      </x:c>
      <x:c r="C2240" s="19" t="n">
        <x:v>2</x:v>
      </x:c>
      <x:c r="D2240" s="19" t="str">
        <x:v>C05-M017</x:v>
      </x:c>
      <x:c r="E2240" s="19" t="str">
        <x:v>内院辉壳犬</x:v>
      </x:c>
      <x:c r="F2240" s="19" t="str">
        <x:v>普通</x:v>
      </x:c>
      <x:c r="G2240" s="19" t="str">
        <x:v>六神器公共池</x:v>
      </x:c>
      <x:c r="H2240" s="19" t="str">
        <x:v>POOL006</x:v>
      </x:c>
      <x:c r="I2240" s="22" t="n">
        <x:v>20000000</x:v>
      </x:c>
      <x:c r="J2240" s="22" t="n">
        <x:v>1</x:v>
      </x:c>
      <x:c r="K2240" s="19" t="n">
        <x:v>6</x:v>
      </x:c>
      <x:c r="L2240" s="24" t="n">
        <x:v>22.04</x:v>
      </x:c>
      <x:c r="M2240" s="26" t="n">
        <x:v>0.1</x:v>
      </x:c>
      <x:c r="N2240" s="24" t="n">
        <x:v>72</x:v>
      </x:c>
      <x:c r="O2240" s="28" t="n">
        <x:f>MIN(1,L2240/I2240)</x:f>
        <x:v>0.000001102</x:v>
      </x:c>
      <x:c r="P2240" s="30" t="n">
        <x:f>O2240*J2240*(1+M2240)</x:f>
        <x:v>0.0000012122</x:v>
      </x:c>
      <x:c r="Q2240" s="30" t="n">
        <x:f>P2240*N2240</x:f>
        <x:v>0.0000872784</x:v>
      </x:c>
      <x:c r="R2240" s="19" t="str">
        <x:v>六选一；非6个独立爆率</x:v>
      </x:c>
    </x:row>
    <x:row r="2241" ht="19" customHeight="1">
      <x:c r="A2241" s="19" t="str">
        <x:v>D02237</x:v>
      </x:c>
      <x:c r="B2241" s="19" t="n">
        <x:v>5</x:v>
      </x:c>
      <x:c r="C2241" s="19" t="n">
        <x:v>2</x:v>
      </x:c>
      <x:c r="D2241" s="19" t="str">
        <x:v>C05-M018</x:v>
      </x:c>
      <x:c r="E2241" s="19" t="str">
        <x:v>圣坛悬晶灵</x:v>
      </x:c>
      <x:c r="F2241" s="19" t="str">
        <x:v>普通</x:v>
      </x:c>
      <x:c r="G2241" s="19" t="str">
        <x:v>自身专属</x:v>
      </x:c>
      <x:c r="H2241" s="19" t="str">
        <x:v>悬晶祭辉笠</x:v>
      </x:c>
      <x:c r="I2241" s="22" t="n">
        <x:v>1800</x:v>
      </x:c>
      <x:c r="J2241" s="22" t="n">
        <x:v>1</x:v>
      </x:c>
      <x:c r="K2241" s="19" t="n">
        <x:v>1</x:v>
      </x:c>
      <x:c r="L2241" s="24" t="n">
        <x:v>22.04</x:v>
      </x:c>
      <x:c r="M2241" s="26" t="n">
        <x:v>0.1</x:v>
      </x:c>
      <x:c r="N2241" s="24" t="n">
        <x:v>72</x:v>
      </x:c>
      <x:c r="O2241" s="28" t="n">
        <x:f>MIN(1,L2241/I2241)</x:f>
        <x:v>0.012244444444444443</x:v>
      </x:c>
      <x:c r="P2241" s="30" t="n">
        <x:f>O2241*J2241*(1+M2241)</x:f>
        <x:v>0.013468888888888888</x:v>
      </x:c>
      <x:c r="Q2241" s="30" t="n">
        <x:f>P2241*N2241</x:f>
        <x:v>0.96976</x:v>
      </x:c>
      <x:c r="R2241" s="19" t="str">
        <x:v>独立判定</x:v>
      </x:c>
    </x:row>
    <x:row r="2242" ht="19" customHeight="1">
      <x:c r="A2242" s="19" t="str">
        <x:v>D02238</x:v>
      </x:c>
      <x:c r="B2242" s="19" t="n">
        <x:v>5</x:v>
      </x:c>
      <x:c r="C2242" s="19" t="n">
        <x:v>2</x:v>
      </x:c>
      <x:c r="D2242" s="19" t="str">
        <x:v>C05-M018</x:v>
      </x:c>
      <x:c r="E2242" s="19" t="str">
        <x:v>圣坛悬晶灵</x:v>
      </x:c>
      <x:c r="F2242" s="19" t="str">
        <x:v>普通</x:v>
      </x:c>
      <x:c r="G2242" s="19" t="str">
        <x:v>材料独立候选</x:v>
      </x:c>
      <x:c r="H2242" s="19" t="str">
        <x:v>辉石碎晶</x:v>
      </x:c>
      <x:c r="I2242" s="22" t="n">
        <x:v>600</x:v>
      </x:c>
      <x:c r="J2242" s="22" t="n">
        <x:v>8</x:v>
      </x:c>
      <x:c r="K2242" s="19" t="n">
        <x:v>1</x:v>
      </x:c>
      <x:c r="L2242" s="24" t="n">
        <x:v>22.04</x:v>
      </x:c>
      <x:c r="M2242" s="26" t="n">
        <x:v>0.1</x:v>
      </x:c>
      <x:c r="N2242" s="24" t="n">
        <x:v>72</x:v>
      </x:c>
      <x:c r="O2242" s="28" t="n">
        <x:f>MIN(1,L2242/I2242)</x:f>
        <x:v>0.03673333333333333</x:v>
      </x:c>
      <x:c r="P2242" s="30" t="n">
        <x:f>O2242*J2242*(1+M2242)</x:f>
        <x:v>0.32325333333333334</x:v>
      </x:c>
      <x:c r="Q2242" s="30" t="n">
        <x:f>P2242*N2242</x:f>
        <x:v>23.27424</x:v>
      </x:c>
      <x:c r="R2242" s="19" t="str">
        <x:v>独立判定</x:v>
      </x:c>
    </x:row>
    <x:row r="2243" ht="19" customHeight="1">
      <x:c r="A2243" s="19" t="str">
        <x:v>D02239</x:v>
      </x:c>
      <x:c r="B2243" s="19" t="n">
        <x:v>5</x:v>
      </x:c>
      <x:c r="C2243" s="19" t="n">
        <x:v>2</x:v>
      </x:c>
      <x:c r="D2243" s="19" t="str">
        <x:v>C05-M018</x:v>
      </x:c>
      <x:c r="E2243" s="19" t="str">
        <x:v>圣坛悬晶灵</x:v>
      </x:c>
      <x:c r="F2243" s="19" t="str">
        <x:v>普通</x:v>
      </x:c>
      <x:c r="G2243" s="19" t="str">
        <x:v>材料独立候选</x:v>
      </x:c>
      <x:c r="H2243" s="19" t="str">
        <x:v>雾月星砂</x:v>
      </x:c>
      <x:c r="I2243" s="22" t="n">
        <x:v>1000</x:v>
      </x:c>
      <x:c r="J2243" s="22" t="n">
        <x:v>1</x:v>
      </x:c>
      <x:c r="K2243" s="19" t="n">
        <x:v>1</x:v>
      </x:c>
      <x:c r="L2243" s="24" t="n">
        <x:v>22.04</x:v>
      </x:c>
      <x:c r="M2243" s="26" t="n">
        <x:v>0.1</x:v>
      </x:c>
      <x:c r="N2243" s="24" t="n">
        <x:v>72</x:v>
      </x:c>
      <x:c r="O2243" s="28" t="n">
        <x:f>MIN(1,L2243/I2243)</x:f>
        <x:v>0.02204</x:v>
      </x:c>
      <x:c r="P2243" s="30" t="n">
        <x:f>O2243*J2243*(1+M2243)</x:f>
        <x:v>0.024244</x:v>
      </x:c>
      <x:c r="Q2243" s="30" t="n">
        <x:f>P2243*N2243</x:f>
        <x:v>1.745568</x:v>
      </x:c>
      <x:c r="R2243" s="19" t="str">
        <x:v>独立判定</x:v>
      </x:c>
    </x:row>
    <x:row r="2244" ht="19" customHeight="1">
      <x:c r="A2244" s="19" t="str">
        <x:v>D02240</x:v>
      </x:c>
      <x:c r="B2244" s="19" t="n">
        <x:v>5</x:v>
      </x:c>
      <x:c r="C2244" s="19" t="n">
        <x:v>2</x:v>
      </x:c>
      <x:c r="D2244" s="19" t="str">
        <x:v>C05-M018</x:v>
      </x:c>
      <x:c r="E2244" s="19" t="str">
        <x:v>圣坛悬晶灵</x:v>
      </x:c>
      <x:c r="F2244" s="19" t="str">
        <x:v>普通</x:v>
      </x:c>
      <x:c r="G2244" s="19" t="str">
        <x:v>材料独立候选</x:v>
      </x:c>
      <x:c r="H2244" s="19" t="str">
        <x:v>湖心月谱残章</x:v>
      </x:c>
      <x:c r="I2244" s="22" t="n">
        <x:v>1000000</x:v>
      </x:c>
      <x:c r="J2244" s="22" t="n">
        <x:v>1</x:v>
      </x:c>
      <x:c r="K2244" s="19" t="n">
        <x:v>1</x:v>
      </x:c>
      <x:c r="L2244" s="24" t="n">
        <x:v>22.04</x:v>
      </x:c>
      <x:c r="M2244" s="26" t="n">
        <x:v>0.1</x:v>
      </x:c>
      <x:c r="N2244" s="24" t="n">
        <x:v>72</x:v>
      </x:c>
      <x:c r="O2244" s="28" t="n">
        <x:f>MIN(1,L2244/I2244)</x:f>
        <x:v>0.00002204</x:v>
      </x:c>
      <x:c r="P2244" s="30" t="n">
        <x:f>O2244*J2244*(1+M2244)</x:f>
        <x:v>0.000024244</x:v>
      </x:c>
      <x:c r="Q2244" s="30" t="n">
        <x:f>P2244*N2244</x:f>
        <x:v>0.001745568</x:v>
      </x:c>
      <x:c r="R2244" s="19" t="str">
        <x:v>独立判定</x:v>
      </x:c>
    </x:row>
    <x:row r="2245" ht="19" customHeight="1">
      <x:c r="A2245" s="19" t="str">
        <x:v>D02241</x:v>
      </x:c>
      <x:c r="B2245" s="19" t="n">
        <x:v>5</x:v>
      </x:c>
      <x:c r="C2245" s="19" t="n">
        <x:v>2</x:v>
      </x:c>
      <x:c r="D2245" s="19" t="str">
        <x:v>C05-M018</x:v>
      </x:c>
      <x:c r="E2245" s="19" t="str">
        <x:v>圣坛悬晶灵</x:v>
      </x:c>
      <x:c r="F2245" s="19" t="str">
        <x:v>普通</x:v>
      </x:c>
      <x:c r="G2245" s="19" t="str">
        <x:v>材料独立候选</x:v>
      </x:c>
      <x:c r="H2245" s="19" t="str">
        <x:v>野兽骨片</x:v>
      </x:c>
      <x:c r="I2245" s="22" t="n">
        <x:v>120</x:v>
      </x:c>
      <x:c r="J2245" s="22" t="n">
        <x:v>3</x:v>
      </x:c>
      <x:c r="K2245" s="19" t="n">
        <x:v>1</x:v>
      </x:c>
      <x:c r="L2245" s="24" t="n">
        <x:v>22.04</x:v>
      </x:c>
      <x:c r="M2245" s="26" t="n">
        <x:v>0.1</x:v>
      </x:c>
      <x:c r="N2245" s="24" t="n">
        <x:v>72</x:v>
      </x:c>
      <x:c r="O2245" s="28" t="n">
        <x:f>MIN(1,L2245/I2245)</x:f>
        <x:v>0.18366666666666667</x:v>
      </x:c>
      <x:c r="P2245" s="30" t="n">
        <x:f>O2245*J2245*(1+M2245)</x:f>
        <x:v>0.6061000000000001</x:v>
      </x:c>
      <x:c r="Q2245" s="30" t="n">
        <x:f>P2245*N2245</x:f>
        <x:v>43.6392</x:v>
      </x:c>
      <x:c r="R2245" s="19" t="str">
        <x:v>独立判定</x:v>
      </x:c>
    </x:row>
    <x:row r="2246" ht="19" customHeight="1">
      <x:c r="A2246" s="19" t="str">
        <x:v>D02242</x:v>
      </x:c>
      <x:c r="B2246" s="19" t="n">
        <x:v>5</x:v>
      </x:c>
      <x:c r="C2246" s="19" t="n">
        <x:v>2</x:v>
      </x:c>
      <x:c r="D2246" s="19" t="str">
        <x:v>C05-M018</x:v>
      </x:c>
      <x:c r="E2246" s="19" t="str">
        <x:v>圣坛悬晶灵</x:v>
      </x:c>
      <x:c r="F2246" s="19" t="str">
        <x:v>普通</x:v>
      </x:c>
      <x:c r="G2246" s="19" t="str">
        <x:v>材料独立候选</x:v>
      </x:c>
      <x:c r="H2246" s="19" t="str">
        <x:v>技能残页</x:v>
      </x:c>
      <x:c r="I2246" s="22" t="n">
        <x:v>3000</x:v>
      </x:c>
      <x:c r="J2246" s="22" t="n">
        <x:v>1</x:v>
      </x:c>
      <x:c r="K2246" s="19" t="n">
        <x:v>1</x:v>
      </x:c>
      <x:c r="L2246" s="24" t="n">
        <x:v>22.04</x:v>
      </x:c>
      <x:c r="M2246" s="26" t="n">
        <x:v>0.1</x:v>
      </x:c>
      <x:c r="N2246" s="24" t="n">
        <x:v>72</x:v>
      </x:c>
      <x:c r="O2246" s="28" t="n">
        <x:f>MIN(1,L2246/I2246)</x:f>
        <x:v>0.007346666666666666</x:v>
      </x:c>
      <x:c r="P2246" s="30" t="n">
        <x:f>O2246*J2246*(1+M2246)</x:f>
        <x:v>0.008081333333333333</x:v>
      </x:c>
      <x:c r="Q2246" s="30" t="n">
        <x:f>P2246*N2246</x:f>
        <x:v>0.5818559999999999</x:v>
      </x:c>
      <x:c r="R2246" s="19" t="str">
        <x:v>独立判定</x:v>
      </x:c>
    </x:row>
    <x:row r="2247" ht="19" customHeight="1">
      <x:c r="A2247" s="19" t="str">
        <x:v>D02243</x:v>
      </x:c>
      <x:c r="B2247" s="19" t="n">
        <x:v>5</x:v>
      </x:c>
      <x:c r="C2247" s="19" t="n">
        <x:v>2</x:v>
      </x:c>
      <x:c r="D2247" s="19" t="str">
        <x:v>C05-M018</x:v>
      </x:c>
      <x:c r="E2247" s="19" t="str">
        <x:v>圣坛悬晶灵</x:v>
      </x:c>
      <x:c r="F2247" s="19" t="str">
        <x:v>普通</x:v>
      </x:c>
      <x:c r="G2247" s="19" t="str">
        <x:v>材料独立候选</x:v>
      </x:c>
      <x:c r="H2247" s="19" t="str">
        <x:v>小卢恩</x:v>
      </x:c>
      <x:c r="I2247" s="22" t="n">
        <x:v>6000</x:v>
      </x:c>
      <x:c r="J2247" s="22" t="n">
        <x:v>1</x:v>
      </x:c>
      <x:c r="K2247" s="19" t="n">
        <x:v>1</x:v>
      </x:c>
      <x:c r="L2247" s="24" t="n">
        <x:v>22.04</x:v>
      </x:c>
      <x:c r="M2247" s="26" t="n">
        <x:v>0.1</x:v>
      </x:c>
      <x:c r="N2247" s="24" t="n">
        <x:v>72</x:v>
      </x:c>
      <x:c r="O2247" s="28" t="n">
        <x:f>MIN(1,L2247/I2247)</x:f>
        <x:v>0.003673333333333333</x:v>
      </x:c>
      <x:c r="P2247" s="30" t="n">
        <x:f>O2247*J2247*(1+M2247)</x:f>
        <x:v>0.004040666666666666</x:v>
      </x:c>
      <x:c r="Q2247" s="30" t="n">
        <x:f>P2247*N2247</x:f>
        <x:v>0.29092799999999996</x:v>
      </x:c>
      <x:c r="R2247" s="19" t="str">
        <x:v>独立判定</x:v>
      </x:c>
    </x:row>
    <x:row r="2248" ht="19" customHeight="1">
      <x:c r="A2248" s="19" t="str">
        <x:v>D02244</x:v>
      </x:c>
      <x:c r="B2248" s="19" t="n">
        <x:v>5</x:v>
      </x:c>
      <x:c r="C2248" s="19" t="n">
        <x:v>2</x:v>
      </x:c>
      <x:c r="D2248" s="19" t="str">
        <x:v>C05-M018</x:v>
      </x:c>
      <x:c r="E2248" s="19" t="str">
        <x:v>圣坛悬晶灵</x:v>
      </x:c>
      <x:c r="F2248" s="19" t="str">
        <x:v>普通</x:v>
      </x:c>
      <x:c r="G2248" s="19" t="str">
        <x:v>六神器公共池</x:v>
      </x:c>
      <x:c r="H2248" s="19" t="str">
        <x:v>POOL006</x:v>
      </x:c>
      <x:c r="I2248" s="22" t="n">
        <x:v>20000000</x:v>
      </x:c>
      <x:c r="J2248" s="22" t="n">
        <x:v>1</x:v>
      </x:c>
      <x:c r="K2248" s="19" t="n">
        <x:v>6</x:v>
      </x:c>
      <x:c r="L2248" s="24" t="n">
        <x:v>22.04</x:v>
      </x:c>
      <x:c r="M2248" s="26" t="n">
        <x:v>0.1</x:v>
      </x:c>
      <x:c r="N2248" s="24" t="n">
        <x:v>72</x:v>
      </x:c>
      <x:c r="O2248" s="28" t="n">
        <x:f>MIN(1,L2248/I2248)</x:f>
        <x:v>0.000001102</x:v>
      </x:c>
      <x:c r="P2248" s="30" t="n">
        <x:f>O2248*J2248*(1+M2248)</x:f>
        <x:v>0.0000012122</x:v>
      </x:c>
      <x:c r="Q2248" s="30" t="n">
        <x:f>P2248*N2248</x:f>
        <x:v>0.0000872784</x:v>
      </x:c>
      <x:c r="R2248" s="19" t="str">
        <x:v>六选一；非6个独立爆率</x:v>
      </x:c>
    </x:row>
    <x:row r="2249" ht="19" customHeight="1">
      <x:c r="A2249" s="19" t="str">
        <x:v>D02245</x:v>
      </x:c>
      <x:c r="B2249" s="19" t="n">
        <x:v>5</x:v>
      </x:c>
      <x:c r="C2249" s="19" t="n">
        <x:v>2</x:v>
      </x:c>
      <x:c r="D2249" s="19" t="str">
        <x:v>C05-M019</x:v>
      </x:c>
      <x:c r="E2249" s="19" t="str">
        <x:v>青曜啮辉兽</x:v>
      </x:c>
      <x:c r="F2249" s="19" t="str">
        <x:v>稀有</x:v>
      </x:c>
      <x:c r="G2249" s="19" t="str">
        <x:v>自身专属</x:v>
      </x:c>
      <x:c r="H2249" s="19" t="str">
        <x:v>青曜噬光戒</x:v>
      </x:c>
      <x:c r="I2249" s="22" t="n">
        <x:v>400</x:v>
      </x:c>
      <x:c r="J2249" s="22" t="n">
        <x:v>1</x:v>
      </x:c>
      <x:c r="K2249" s="19" t="n">
        <x:v>1</x:v>
      </x:c>
      <x:c r="L2249" s="24" t="n">
        <x:v>22.04</x:v>
      </x:c>
      <x:c r="M2249" s="26" t="n">
        <x:v>0.1</x:v>
      </x:c>
      <x:c r="N2249" s="24" t="n">
        <x:v>10.937500981983964</x:v>
      </x:c>
      <x:c r="O2249" s="28" t="n">
        <x:f>MIN(1,L2249/I2249)</x:f>
        <x:v>0.055099999999999996</x:v>
      </x:c>
      <x:c r="P2249" s="30" t="n">
        <x:f>O2249*J2249*(1+M2249)</x:f>
        <x:v>0.060610000000000004</x:v>
      </x:c>
      <x:c r="Q2249" s="30" t="n">
        <x:f>P2249*N2249</x:f>
        <x:v>0.6629219345180482</x:v>
      </x:c>
      <x:c r="R2249" s="19" t="str">
        <x:v>独立判定</x:v>
      </x:c>
    </x:row>
    <x:row r="2250" ht="19" customHeight="1">
      <x:c r="A2250" s="19" t="str">
        <x:v>D02246</x:v>
      </x:c>
      <x:c r="B2250" s="19" t="n">
        <x:v>5</x:v>
      </x:c>
      <x:c r="C2250" s="19" t="n">
        <x:v>2</x:v>
      </x:c>
      <x:c r="D2250" s="19" t="str">
        <x:v>C05-M019</x:v>
      </x:c>
      <x:c r="E2250" s="19" t="str">
        <x:v>青曜啮辉兽</x:v>
      </x:c>
      <x:c r="F2250" s="19" t="str">
        <x:v>稀有</x:v>
      </x:c>
      <x:c r="G2250" s="19" t="str">
        <x:v>材料独立候选</x:v>
      </x:c>
      <x:c r="H2250" s="19" t="str">
        <x:v>辉石碎晶</x:v>
      </x:c>
      <x:c r="I2250" s="22" t="n">
        <x:v>400</x:v>
      </x:c>
      <x:c r="J2250" s="22" t="n">
        <x:v>15</x:v>
      </x:c>
      <x:c r="K2250" s="19" t="n">
        <x:v>1</x:v>
      </x:c>
      <x:c r="L2250" s="24" t="n">
        <x:v>22.04</x:v>
      </x:c>
      <x:c r="M2250" s="26" t="n">
        <x:v>0.1</x:v>
      </x:c>
      <x:c r="N2250" s="24" t="n">
        <x:v>10.937500981983964</x:v>
      </x:c>
      <x:c r="O2250" s="28" t="n">
        <x:f>MIN(1,L2250/I2250)</x:f>
        <x:v>0.055099999999999996</x:v>
      </x:c>
      <x:c r="P2250" s="30" t="n">
        <x:f>O2250*J2250*(1+M2250)</x:f>
        <x:v>0.90915</x:v>
      </x:c>
      <x:c r="Q2250" s="30" t="n">
        <x:f>P2250*N2250</x:f>
        <x:v>9.943829017770721</x:v>
      </x:c>
      <x:c r="R2250" s="19" t="str">
        <x:v>独立判定</x:v>
      </x:c>
    </x:row>
    <x:row r="2251" ht="19" customHeight="1">
      <x:c r="A2251" s="19" t="str">
        <x:v>D02247</x:v>
      </x:c>
      <x:c r="B2251" s="19" t="n">
        <x:v>5</x:v>
      </x:c>
      <x:c r="C2251" s="19" t="n">
        <x:v>2</x:v>
      </x:c>
      <x:c r="D2251" s="19" t="str">
        <x:v>C05-M019</x:v>
      </x:c>
      <x:c r="E2251" s="19" t="str">
        <x:v>青曜啮辉兽</x:v>
      </x:c>
      <x:c r="F2251" s="19" t="str">
        <x:v>稀有</x:v>
      </x:c>
      <x:c r="G2251" s="19" t="str">
        <x:v>材料独立候选</x:v>
      </x:c>
      <x:c r="H2251" s="19" t="str">
        <x:v>卡利亚月露</x:v>
      </x:c>
      <x:c r="I2251" s="22" t="n">
        <x:v>800</x:v>
      </x:c>
      <x:c r="J2251" s="22" t="n">
        <x:v>1</x:v>
      </x:c>
      <x:c r="K2251" s="19" t="n">
        <x:v>1</x:v>
      </x:c>
      <x:c r="L2251" s="24" t="n">
        <x:v>22.04</x:v>
      </x:c>
      <x:c r="M2251" s="26" t="n">
        <x:v>0.1</x:v>
      </x:c>
      <x:c r="N2251" s="24" t="n">
        <x:v>10.937500981983964</x:v>
      </x:c>
      <x:c r="O2251" s="28" t="n">
        <x:f>MIN(1,L2251/I2251)</x:f>
        <x:v>0.027549999999999998</x:v>
      </x:c>
      <x:c r="P2251" s="30" t="n">
        <x:f>O2251*J2251*(1+M2251)</x:f>
        <x:v>0.030305000000000002</x:v>
      </x:c>
      <x:c r="Q2251" s="30" t="n">
        <x:f>P2251*N2251</x:f>
        <x:v>0.3314609672590241</x:v>
      </x:c>
      <x:c r="R2251" s="19" t="str">
        <x:v>独立判定</x:v>
      </x:c>
    </x:row>
    <x:row r="2252" ht="19" customHeight="1">
      <x:c r="A2252" s="19" t="str">
        <x:v>D02248</x:v>
      </x:c>
      <x:c r="B2252" s="19" t="n">
        <x:v>5</x:v>
      </x:c>
      <x:c r="C2252" s="19" t="n">
        <x:v>2</x:v>
      </x:c>
      <x:c r="D2252" s="19" t="str">
        <x:v>C05-M019</x:v>
      </x:c>
      <x:c r="E2252" s="19" t="str">
        <x:v>青曜啮辉兽</x:v>
      </x:c>
      <x:c r="F2252" s="19" t="str">
        <x:v>稀有</x:v>
      </x:c>
      <x:c r="G2252" s="19" t="str">
        <x:v>材料独立候选</x:v>
      </x:c>
      <x:c r="H2252" s="19" t="str">
        <x:v>学院封蜡</x:v>
      </x:c>
      <x:c r="I2252" s="22" t="n">
        <x:v>1000</x:v>
      </x:c>
      <x:c r="J2252" s="22" t="n">
        <x:v>1</x:v>
      </x:c>
      <x:c r="K2252" s="19" t="n">
        <x:v>1</x:v>
      </x:c>
      <x:c r="L2252" s="24" t="n">
        <x:v>22.04</x:v>
      </x:c>
      <x:c r="M2252" s="26" t="n">
        <x:v>0.1</x:v>
      </x:c>
      <x:c r="N2252" s="24" t="n">
        <x:v>10.937500981983964</x:v>
      </x:c>
      <x:c r="O2252" s="28" t="n">
        <x:f>MIN(1,L2252/I2252)</x:f>
        <x:v>0.02204</x:v>
      </x:c>
      <x:c r="P2252" s="30" t="n">
        <x:f>O2252*J2252*(1+M2252)</x:f>
        <x:v>0.024244</x:v>
      </x:c>
      <x:c r="Q2252" s="30" t="n">
        <x:f>P2252*N2252</x:f>
        <x:v>0.26516877380721926</x:v>
      </x:c>
      <x:c r="R2252" s="19" t="str">
        <x:v>独立判定</x:v>
      </x:c>
    </x:row>
    <x:row r="2253" ht="19" customHeight="1">
      <x:c r="A2253" s="19" t="str">
        <x:v>D02249</x:v>
      </x:c>
      <x:c r="B2253" s="19" t="n">
        <x:v>5</x:v>
      </x:c>
      <x:c r="C2253" s="19" t="n">
        <x:v>2</x:v>
      </x:c>
      <x:c r="D2253" s="19" t="str">
        <x:v>C05-M019</x:v>
      </x:c>
      <x:c r="E2253" s="19" t="str">
        <x:v>青曜啮辉兽</x:v>
      </x:c>
      <x:c r="F2253" s="19" t="str">
        <x:v>稀有</x:v>
      </x:c>
      <x:c r="G2253" s="19" t="str">
        <x:v>材料独立候选</x:v>
      </x:c>
      <x:c r="H2253" s="19" t="str">
        <x:v>湖心月谱残章</x:v>
      </x:c>
      <x:c r="I2253" s="22" t="n">
        <x:v>600000</x:v>
      </x:c>
      <x:c r="J2253" s="22" t="n">
        <x:v>1</x:v>
      </x:c>
      <x:c r="K2253" s="19" t="n">
        <x:v>1</x:v>
      </x:c>
      <x:c r="L2253" s="24" t="n">
        <x:v>22.04</x:v>
      </x:c>
      <x:c r="M2253" s="26" t="n">
        <x:v>0.1</x:v>
      </x:c>
      <x:c r="N2253" s="24" t="n">
        <x:v>10.937500981983964</x:v>
      </x:c>
      <x:c r="O2253" s="28" t="n">
        <x:f>MIN(1,L2253/I2253)</x:f>
        <x:v>0.00003673333333333333</x:v>
      </x:c>
      <x:c r="P2253" s="30" t="n">
        <x:f>O2253*J2253*(1+M2253)</x:f>
        <x:v>0.00004040666666666667</x:v>
      </x:c>
      <x:c r="Q2253" s="30" t="n">
        <x:f>P2253*N2253</x:f>
        <x:v>0.0004419479563453654</x:v>
      </x:c>
      <x:c r="R2253" s="19" t="str">
        <x:v>独立判定</x:v>
      </x:c>
    </x:row>
    <x:row r="2254" ht="19" customHeight="1">
      <x:c r="A2254" s="19" t="str">
        <x:v>D02250</x:v>
      </x:c>
      <x:c r="B2254" s="19" t="n">
        <x:v>5</x:v>
      </x:c>
      <x:c r="C2254" s="19" t="n">
        <x:v>2</x:v>
      </x:c>
      <x:c r="D2254" s="19" t="str">
        <x:v>C05-M019</x:v>
      </x:c>
      <x:c r="E2254" s="19" t="str">
        <x:v>青曜啮辉兽</x:v>
      </x:c>
      <x:c r="F2254" s="19" t="str">
        <x:v>稀有</x:v>
      </x:c>
      <x:c r="G2254" s="19" t="str">
        <x:v>材料独立候选</x:v>
      </x:c>
      <x:c r="H2254" s="19" t="str">
        <x:v>黄金树芽</x:v>
      </x:c>
      <x:c r="I2254" s="22" t="n">
        <x:v>3000</x:v>
      </x:c>
      <x:c r="J2254" s="22" t="n">
        <x:v>1</x:v>
      </x:c>
      <x:c r="K2254" s="19" t="n">
        <x:v>1</x:v>
      </x:c>
      <x:c r="L2254" s="24" t="n">
        <x:v>22.04</x:v>
      </x:c>
      <x:c r="M2254" s="26" t="n">
        <x:v>0.1</x:v>
      </x:c>
      <x:c r="N2254" s="24" t="n">
        <x:v>10.937500981983964</x:v>
      </x:c>
      <x:c r="O2254" s="28" t="n">
        <x:f>MIN(1,L2254/I2254)</x:f>
        <x:v>0.007346666666666666</x:v>
      </x:c>
      <x:c r="P2254" s="30" t="n">
        <x:f>O2254*J2254*(1+M2254)</x:f>
        <x:v>0.008081333333333333</x:v>
      </x:c>
      <x:c r="Q2254" s="30" t="n">
        <x:f>P2254*N2254</x:f>
        <x:v>0.08838959126907307</x:v>
      </x:c>
      <x:c r="R2254" s="19" t="str">
        <x:v>独立判定</x:v>
      </x:c>
    </x:row>
    <x:row r="2255" ht="19" customHeight="1">
      <x:c r="A2255" s="19" t="str">
        <x:v>D02251</x:v>
      </x:c>
      <x:c r="B2255" s="19" t="n">
        <x:v>5</x:v>
      </x:c>
      <x:c r="C2255" s="19" t="n">
        <x:v>2</x:v>
      </x:c>
      <x:c r="D2255" s="19" t="str">
        <x:v>C05-M019</x:v>
      </x:c>
      <x:c r="E2255" s="19" t="str">
        <x:v>青曜啮辉兽</x:v>
      </x:c>
      <x:c r="F2255" s="19" t="str">
        <x:v>稀有</x:v>
      </x:c>
      <x:c r="G2255" s="19" t="str">
        <x:v>材料独立候选</x:v>
      </x:c>
      <x:c r="H2255" s="19" t="str">
        <x:v>野兽骨片</x:v>
      </x:c>
      <x:c r="I2255" s="22" t="n">
        <x:v>60</x:v>
      </x:c>
      <x:c r="J2255" s="22" t="n">
        <x:v>3</x:v>
      </x:c>
      <x:c r="K2255" s="19" t="n">
        <x:v>1</x:v>
      </x:c>
      <x:c r="L2255" s="24" t="n">
        <x:v>22.04</x:v>
      </x:c>
      <x:c r="M2255" s="26" t="n">
        <x:v>0.1</x:v>
      </x:c>
      <x:c r="N2255" s="24" t="n">
        <x:v>10.937500981983964</x:v>
      </x:c>
      <x:c r="O2255" s="28" t="n">
        <x:f>MIN(1,L2255/I2255)</x:f>
        <x:v>0.36733333333333335</x:v>
      </x:c>
      <x:c r="P2255" s="30" t="n">
        <x:f>O2255*J2255*(1+M2255)</x:f>
        <x:v>1.2122000000000002</x:v>
      </x:c>
      <x:c r="Q2255" s="30" t="n">
        <x:f>P2255*N2255</x:f>
        <x:v>13.258438690360963</x:v>
      </x:c>
      <x:c r="R2255" s="19" t="str">
        <x:v>独立判定</x:v>
      </x:c>
    </x:row>
    <x:row r="2256" ht="19" customHeight="1">
      <x:c r="A2256" s="19" t="str">
        <x:v>D02252</x:v>
      </x:c>
      <x:c r="B2256" s="19" t="n">
        <x:v>5</x:v>
      </x:c>
      <x:c r="C2256" s="19" t="n">
        <x:v>2</x:v>
      </x:c>
      <x:c r="D2256" s="19" t="str">
        <x:v>C05-M019</x:v>
      </x:c>
      <x:c r="E2256" s="19" t="str">
        <x:v>青曜啮辉兽</x:v>
      </x:c>
      <x:c r="F2256" s="19" t="str">
        <x:v>稀有</x:v>
      </x:c>
      <x:c r="G2256" s="19" t="str">
        <x:v>材料独立候选</x:v>
      </x:c>
      <x:c r="H2256" s="19" t="str">
        <x:v>技能残页</x:v>
      </x:c>
      <x:c r="I2256" s="22" t="n">
        <x:v>1800</x:v>
      </x:c>
      <x:c r="J2256" s="22" t="n">
        <x:v>1</x:v>
      </x:c>
      <x:c r="K2256" s="19" t="n">
        <x:v>1</x:v>
      </x:c>
      <x:c r="L2256" s="24" t="n">
        <x:v>22.04</x:v>
      </x:c>
      <x:c r="M2256" s="26" t="n">
        <x:v>0.1</x:v>
      </x:c>
      <x:c r="N2256" s="24" t="n">
        <x:v>10.937500981983964</x:v>
      </x:c>
      <x:c r="O2256" s="28" t="n">
        <x:f>MIN(1,L2256/I2256)</x:f>
        <x:v>0.012244444444444443</x:v>
      </x:c>
      <x:c r="P2256" s="30" t="n">
        <x:f>O2256*J2256*(1+M2256)</x:f>
        <x:v>0.013468888888888888</x:v>
      </x:c>
      <x:c r="Q2256" s="30" t="n">
        <x:f>P2256*N2256</x:f>
        <x:v>0.14731598544845512</x:v>
      </x:c>
      <x:c r="R2256" s="19" t="str">
        <x:v>独立判定</x:v>
      </x:c>
    </x:row>
    <x:row r="2257" ht="19" customHeight="1">
      <x:c r="A2257" s="19" t="str">
        <x:v>D02253</x:v>
      </x:c>
      <x:c r="B2257" s="19" t="n">
        <x:v>5</x:v>
      </x:c>
      <x:c r="C2257" s="19" t="n">
        <x:v>2</x:v>
      </x:c>
      <x:c r="D2257" s="19" t="str">
        <x:v>C05-M019</x:v>
      </x:c>
      <x:c r="E2257" s="19" t="str">
        <x:v>青曜啮辉兽</x:v>
      </x:c>
      <x:c r="F2257" s="19" t="str">
        <x:v>稀有</x:v>
      </x:c>
      <x:c r="G2257" s="19" t="str">
        <x:v>材料独立候选</x:v>
      </x:c>
      <x:c r="H2257" s="19" t="str">
        <x:v>小卢恩</x:v>
      </x:c>
      <x:c r="I2257" s="22" t="n">
        <x:v>4000</x:v>
      </x:c>
      <x:c r="J2257" s="22" t="n">
        <x:v>1</x:v>
      </x:c>
      <x:c r="K2257" s="19" t="n">
        <x:v>1</x:v>
      </x:c>
      <x:c r="L2257" s="24" t="n">
        <x:v>22.04</x:v>
      </x:c>
      <x:c r="M2257" s="26" t="n">
        <x:v>0.1</x:v>
      </x:c>
      <x:c r="N2257" s="24" t="n">
        <x:v>10.937500981983964</x:v>
      </x:c>
      <x:c r="O2257" s="28" t="n">
        <x:f>MIN(1,L2257/I2257)</x:f>
        <x:v>0.00551</x:v>
      </x:c>
      <x:c r="P2257" s="30" t="n">
        <x:f>O2257*J2257*(1+M2257)</x:f>
        <x:v>0.006061</x:v>
      </x:c>
      <x:c r="Q2257" s="30" t="n">
        <x:f>P2257*N2257</x:f>
        <x:v>0.06629219345180482</x:v>
      </x:c>
      <x:c r="R2257" s="19" t="str">
        <x:v>独立判定</x:v>
      </x:c>
    </x:row>
    <x:row r="2258" ht="19" customHeight="1">
      <x:c r="A2258" s="19" t="str">
        <x:v>D02254</x:v>
      </x:c>
      <x:c r="B2258" s="19" t="n">
        <x:v>5</x:v>
      </x:c>
      <x:c r="C2258" s="19" t="n">
        <x:v>2</x:v>
      </x:c>
      <x:c r="D2258" s="19" t="str">
        <x:v>C05-M019</x:v>
      </x:c>
      <x:c r="E2258" s="19" t="str">
        <x:v>青曜啮辉兽</x:v>
      </x:c>
      <x:c r="F2258" s="19" t="str">
        <x:v>稀有</x:v>
      </x:c>
      <x:c r="G2258" s="19" t="str">
        <x:v>六神器公共池</x:v>
      </x:c>
      <x:c r="H2258" s="19" t="str">
        <x:v>POOL006</x:v>
      </x:c>
      <x:c r="I2258" s="22" t="n">
        <x:v>5000000</x:v>
      </x:c>
      <x:c r="J2258" s="22" t="n">
        <x:v>1</x:v>
      </x:c>
      <x:c r="K2258" s="19" t="n">
        <x:v>6</x:v>
      </x:c>
      <x:c r="L2258" s="24" t="n">
        <x:v>22.04</x:v>
      </x:c>
      <x:c r="M2258" s="26" t="n">
        <x:v>0.1</x:v>
      </x:c>
      <x:c r="N2258" s="24" t="n">
        <x:v>10.937500981983964</x:v>
      </x:c>
      <x:c r="O2258" s="28" t="n">
        <x:f>MIN(1,L2258/I2258)</x:f>
        <x:v>0.000004408</x:v>
      </x:c>
      <x:c r="P2258" s="30" t="n">
        <x:f>O2258*J2258*(1+M2258)</x:f>
        <x:v>0.0000048488</x:v>
      </x:c>
      <x:c r="Q2258" s="30" t="n">
        <x:f>P2258*N2258</x:f>
        <x:v>0.00005303375476144385</x:v>
      </x:c>
      <x:c r="R2258" s="19" t="str">
        <x:v>六选一；非6个独立爆率</x:v>
      </x:c>
    </x:row>
    <x:row r="2259" ht="19" customHeight="1">
      <x:c r="A2259" s="19" t="str">
        <x:v>D02255</x:v>
      </x:c>
      <x:c r="B2259" s="19" t="n">
        <x:v>5</x:v>
      </x:c>
      <x:c r="C2259" s="19" t="n">
        <x:v>2</x:v>
      </x:c>
      <x:c r="D2259" s="19" t="str">
        <x:v>C05-M020</x:v>
      </x:c>
      <x:c r="E2259" s="19" t="str">
        <x:v>棱光长廊术士</x:v>
      </x:c>
      <x:c r="F2259" s="19" t="str">
        <x:v>稀有</x:v>
      </x:c>
      <x:c r="G2259" s="19" t="str">
        <x:v>自身专属</x:v>
      </x:c>
      <x:c r="H2259" s="19" t="str">
        <x:v>棱光术冠</x:v>
      </x:c>
      <x:c r="I2259" s="22" t="n">
        <x:v>400</x:v>
      </x:c>
      <x:c r="J2259" s="22" t="n">
        <x:v>1</x:v>
      </x:c>
      <x:c r="K2259" s="19" t="n">
        <x:v>1</x:v>
      </x:c>
      <x:c r="L2259" s="24" t="n">
        <x:v>22.04</x:v>
      </x:c>
      <x:c r="M2259" s="26" t="n">
        <x:v>0.1</x:v>
      </x:c>
      <x:c r="N2259" s="24" t="n">
        <x:v>10.46195746102814</x:v>
      </x:c>
      <x:c r="O2259" s="28" t="n">
        <x:f>MIN(1,L2259/I2259)</x:f>
        <x:v>0.055099999999999996</x:v>
      </x:c>
      <x:c r="P2259" s="30" t="n">
        <x:f>O2259*J2259*(1+M2259)</x:f>
        <x:v>0.060610000000000004</x:v>
      </x:c>
      <x:c r="Q2259" s="30" t="n">
        <x:f>P2259*N2259</x:f>
        <x:v>0.6340992417129157</x:v>
      </x:c>
      <x:c r="R2259" s="19" t="str">
        <x:v>独立判定</x:v>
      </x:c>
    </x:row>
    <x:row r="2260" ht="19" customHeight="1">
      <x:c r="A2260" s="19" t="str">
        <x:v>D02256</x:v>
      </x:c>
      <x:c r="B2260" s="19" t="n">
        <x:v>5</x:v>
      </x:c>
      <x:c r="C2260" s="19" t="n">
        <x:v>2</x:v>
      </x:c>
      <x:c r="D2260" s="19" t="str">
        <x:v>C05-M020</x:v>
      </x:c>
      <x:c r="E2260" s="19" t="str">
        <x:v>棱光长廊术士</x:v>
      </x:c>
      <x:c r="F2260" s="19" t="str">
        <x:v>稀有</x:v>
      </x:c>
      <x:c r="G2260" s="19" t="str">
        <x:v>材料独立候选</x:v>
      </x:c>
      <x:c r="H2260" s="19" t="str">
        <x:v>辉石碎晶</x:v>
      </x:c>
      <x:c r="I2260" s="22" t="n">
        <x:v>400</x:v>
      </x:c>
      <x:c r="J2260" s="22" t="n">
        <x:v>15</x:v>
      </x:c>
      <x:c r="K2260" s="19" t="n">
        <x:v>1</x:v>
      </x:c>
      <x:c r="L2260" s="24" t="n">
        <x:v>22.04</x:v>
      </x:c>
      <x:c r="M2260" s="26" t="n">
        <x:v>0.1</x:v>
      </x:c>
      <x:c r="N2260" s="24" t="n">
        <x:v>10.46195746102814</x:v>
      </x:c>
      <x:c r="O2260" s="28" t="n">
        <x:f>MIN(1,L2260/I2260)</x:f>
        <x:v>0.055099999999999996</x:v>
      </x:c>
      <x:c r="P2260" s="30" t="n">
        <x:f>O2260*J2260*(1+M2260)</x:f>
        <x:v>0.90915</x:v>
      </x:c>
      <x:c r="Q2260" s="30" t="n">
        <x:f>P2260*N2260</x:f>
        <x:v>9.511488625693733</x:v>
      </x:c>
      <x:c r="R2260" s="19" t="str">
        <x:v>独立判定</x:v>
      </x:c>
    </x:row>
    <x:row r="2261" ht="19" customHeight="1">
      <x:c r="A2261" s="19" t="str">
        <x:v>D02257</x:v>
      </x:c>
      <x:c r="B2261" s="19" t="n">
        <x:v>5</x:v>
      </x:c>
      <x:c r="C2261" s="19" t="n">
        <x:v>2</x:v>
      </x:c>
      <x:c r="D2261" s="19" t="str">
        <x:v>C05-M020</x:v>
      </x:c>
      <x:c r="E2261" s="19" t="str">
        <x:v>棱光长廊术士</x:v>
      </x:c>
      <x:c r="F2261" s="19" t="str">
        <x:v>稀有</x:v>
      </x:c>
      <x:c r="G2261" s="19" t="str">
        <x:v>材料独立候选</x:v>
      </x:c>
      <x:c r="H2261" s="19" t="str">
        <x:v>卡利亚月露</x:v>
      </x:c>
      <x:c r="I2261" s="22" t="n">
        <x:v>800</x:v>
      </x:c>
      <x:c r="J2261" s="22" t="n">
        <x:v>1</x:v>
      </x:c>
      <x:c r="K2261" s="19" t="n">
        <x:v>1</x:v>
      </x:c>
      <x:c r="L2261" s="24" t="n">
        <x:v>22.04</x:v>
      </x:c>
      <x:c r="M2261" s="26" t="n">
        <x:v>0.1</x:v>
      </x:c>
      <x:c r="N2261" s="24" t="n">
        <x:v>10.46195746102814</x:v>
      </x:c>
      <x:c r="O2261" s="28" t="n">
        <x:f>MIN(1,L2261/I2261)</x:f>
        <x:v>0.027549999999999998</x:v>
      </x:c>
      <x:c r="P2261" s="30" t="n">
        <x:f>O2261*J2261*(1+M2261)</x:f>
        <x:v>0.030305000000000002</x:v>
      </x:c>
      <x:c r="Q2261" s="30" t="n">
        <x:f>P2261*N2261</x:f>
        <x:v>0.3170496208564578</x:v>
      </x:c>
      <x:c r="R2261" s="19" t="str">
        <x:v>独立判定</x:v>
      </x:c>
    </x:row>
    <x:row r="2262" ht="19" customHeight="1">
      <x:c r="A2262" s="19" t="str">
        <x:v>D02258</x:v>
      </x:c>
      <x:c r="B2262" s="19" t="n">
        <x:v>5</x:v>
      </x:c>
      <x:c r="C2262" s="19" t="n">
        <x:v>2</x:v>
      </x:c>
      <x:c r="D2262" s="19" t="str">
        <x:v>C05-M020</x:v>
      </x:c>
      <x:c r="E2262" s="19" t="str">
        <x:v>棱光长廊术士</x:v>
      </x:c>
      <x:c r="F2262" s="19" t="str">
        <x:v>稀有</x:v>
      </x:c>
      <x:c r="G2262" s="19" t="str">
        <x:v>材料独立候选</x:v>
      </x:c>
      <x:c r="H2262" s="19" t="str">
        <x:v>学院封蜡</x:v>
      </x:c>
      <x:c r="I2262" s="22" t="n">
        <x:v>1000</x:v>
      </x:c>
      <x:c r="J2262" s="22" t="n">
        <x:v>1</x:v>
      </x:c>
      <x:c r="K2262" s="19" t="n">
        <x:v>1</x:v>
      </x:c>
      <x:c r="L2262" s="24" t="n">
        <x:v>22.04</x:v>
      </x:c>
      <x:c r="M2262" s="26" t="n">
        <x:v>0.1</x:v>
      </x:c>
      <x:c r="N2262" s="24" t="n">
        <x:v>10.46195746102814</x:v>
      </x:c>
      <x:c r="O2262" s="28" t="n">
        <x:f>MIN(1,L2262/I2262)</x:f>
        <x:v>0.02204</x:v>
      </x:c>
      <x:c r="P2262" s="30" t="n">
        <x:f>O2262*J2262*(1+M2262)</x:f>
        <x:v>0.024244</x:v>
      </x:c>
      <x:c r="Q2262" s="30" t="n">
        <x:f>P2262*N2262</x:f>
        <x:v>0.2536396966851662</x:v>
      </x:c>
      <x:c r="R2262" s="19" t="str">
        <x:v>独立判定</x:v>
      </x:c>
    </x:row>
    <x:row r="2263" ht="19" customHeight="1">
      <x:c r="A2263" s="19" t="str">
        <x:v>D02259</x:v>
      </x:c>
      <x:c r="B2263" s="19" t="n">
        <x:v>5</x:v>
      </x:c>
      <x:c r="C2263" s="19" t="n">
        <x:v>2</x:v>
      </x:c>
      <x:c r="D2263" s="19" t="str">
        <x:v>C05-M020</x:v>
      </x:c>
      <x:c r="E2263" s="19" t="str">
        <x:v>棱光长廊术士</x:v>
      </x:c>
      <x:c r="F2263" s="19" t="str">
        <x:v>稀有</x:v>
      </x:c>
      <x:c r="G2263" s="19" t="str">
        <x:v>材料独立候选</x:v>
      </x:c>
      <x:c r="H2263" s="19" t="str">
        <x:v>湖心月谱残章</x:v>
      </x:c>
      <x:c r="I2263" s="22" t="n">
        <x:v>600000</x:v>
      </x:c>
      <x:c r="J2263" s="22" t="n">
        <x:v>1</x:v>
      </x:c>
      <x:c r="K2263" s="19" t="n">
        <x:v>1</x:v>
      </x:c>
      <x:c r="L2263" s="24" t="n">
        <x:v>22.04</x:v>
      </x:c>
      <x:c r="M2263" s="26" t="n">
        <x:v>0.1</x:v>
      </x:c>
      <x:c r="N2263" s="24" t="n">
        <x:v>10.46195746102814</x:v>
      </x:c>
      <x:c r="O2263" s="28" t="n">
        <x:f>MIN(1,L2263/I2263)</x:f>
        <x:v>0.00003673333333333333</x:v>
      </x:c>
      <x:c r="P2263" s="30" t="n">
        <x:f>O2263*J2263*(1+M2263)</x:f>
        <x:v>0.00004040666666666667</x:v>
      </x:c>
      <x:c r="Q2263" s="30" t="n">
        <x:f>P2263*N2263</x:f>
        <x:v>0.0004227328278086104</x:v>
      </x:c>
      <x:c r="R2263" s="19" t="str">
        <x:v>独立判定</x:v>
      </x:c>
    </x:row>
    <x:row r="2264" ht="19" customHeight="1">
      <x:c r="A2264" s="19" t="str">
        <x:v>D02260</x:v>
      </x:c>
      <x:c r="B2264" s="19" t="n">
        <x:v>5</x:v>
      </x:c>
      <x:c r="C2264" s="19" t="n">
        <x:v>2</x:v>
      </x:c>
      <x:c r="D2264" s="19" t="str">
        <x:v>C05-M020</x:v>
      </x:c>
      <x:c r="E2264" s="19" t="str">
        <x:v>棱光长廊术士</x:v>
      </x:c>
      <x:c r="F2264" s="19" t="str">
        <x:v>稀有</x:v>
      </x:c>
      <x:c r="G2264" s="19" t="str">
        <x:v>材料独立候选</x:v>
      </x:c>
      <x:c r="H2264" s="19" t="str">
        <x:v>黄金树芽</x:v>
      </x:c>
      <x:c r="I2264" s="22" t="n">
        <x:v>3000</x:v>
      </x:c>
      <x:c r="J2264" s="22" t="n">
        <x:v>1</x:v>
      </x:c>
      <x:c r="K2264" s="19" t="n">
        <x:v>1</x:v>
      </x:c>
      <x:c r="L2264" s="24" t="n">
        <x:v>22.04</x:v>
      </x:c>
      <x:c r="M2264" s="26" t="n">
        <x:v>0.1</x:v>
      </x:c>
      <x:c r="N2264" s="24" t="n">
        <x:v>10.46195746102814</x:v>
      </x:c>
      <x:c r="O2264" s="28" t="n">
        <x:f>MIN(1,L2264/I2264)</x:f>
        <x:v>0.007346666666666666</x:v>
      </x:c>
      <x:c r="P2264" s="30" t="n">
        <x:f>O2264*J2264*(1+M2264)</x:f>
        <x:v>0.008081333333333333</x:v>
      </x:c>
      <x:c r="Q2264" s="30" t="n">
        <x:f>P2264*N2264</x:f>
        <x:v>0.08454656556172208</x:v>
      </x:c>
      <x:c r="R2264" s="19" t="str">
        <x:v>独立判定</x:v>
      </x:c>
    </x:row>
    <x:row r="2265" ht="19" customHeight="1">
      <x:c r="A2265" s="19" t="str">
        <x:v>D02261</x:v>
      </x:c>
      <x:c r="B2265" s="19" t="n">
        <x:v>5</x:v>
      </x:c>
      <x:c r="C2265" s="19" t="n">
        <x:v>2</x:v>
      </x:c>
      <x:c r="D2265" s="19" t="str">
        <x:v>C05-M020</x:v>
      </x:c>
      <x:c r="E2265" s="19" t="str">
        <x:v>棱光长廊术士</x:v>
      </x:c>
      <x:c r="F2265" s="19" t="str">
        <x:v>稀有</x:v>
      </x:c>
      <x:c r="G2265" s="19" t="str">
        <x:v>材料独立候选</x:v>
      </x:c>
      <x:c r="H2265" s="19" t="str">
        <x:v>野兽骨片</x:v>
      </x:c>
      <x:c r="I2265" s="22" t="n">
        <x:v>60</x:v>
      </x:c>
      <x:c r="J2265" s="22" t="n">
        <x:v>3</x:v>
      </x:c>
      <x:c r="K2265" s="19" t="n">
        <x:v>1</x:v>
      </x:c>
      <x:c r="L2265" s="24" t="n">
        <x:v>22.04</x:v>
      </x:c>
      <x:c r="M2265" s="26" t="n">
        <x:v>0.1</x:v>
      </x:c>
      <x:c r="N2265" s="24" t="n">
        <x:v>10.46195746102814</x:v>
      </x:c>
      <x:c r="O2265" s="28" t="n">
        <x:f>MIN(1,L2265/I2265)</x:f>
        <x:v>0.36733333333333335</x:v>
      </x:c>
      <x:c r="P2265" s="30" t="n">
        <x:f>O2265*J2265*(1+M2265)</x:f>
        <x:v>1.2122000000000002</x:v>
      </x:c>
      <x:c r="Q2265" s="30" t="n">
        <x:f>P2265*N2265</x:f>
        <x:v>12.681984834258314</x:v>
      </x:c>
      <x:c r="R2265" s="19" t="str">
        <x:v>独立判定</x:v>
      </x:c>
    </x:row>
    <x:row r="2266" ht="19" customHeight="1">
      <x:c r="A2266" s="19" t="str">
        <x:v>D02262</x:v>
      </x:c>
      <x:c r="B2266" s="19" t="n">
        <x:v>5</x:v>
      </x:c>
      <x:c r="C2266" s="19" t="n">
        <x:v>2</x:v>
      </x:c>
      <x:c r="D2266" s="19" t="str">
        <x:v>C05-M020</x:v>
      </x:c>
      <x:c r="E2266" s="19" t="str">
        <x:v>棱光长廊术士</x:v>
      </x:c>
      <x:c r="F2266" s="19" t="str">
        <x:v>稀有</x:v>
      </x:c>
      <x:c r="G2266" s="19" t="str">
        <x:v>材料独立候选</x:v>
      </x:c>
      <x:c r="H2266" s="19" t="str">
        <x:v>技能残页</x:v>
      </x:c>
      <x:c r="I2266" s="22" t="n">
        <x:v>1800</x:v>
      </x:c>
      <x:c r="J2266" s="22" t="n">
        <x:v>1</x:v>
      </x:c>
      <x:c r="K2266" s="19" t="n">
        <x:v>1</x:v>
      </x:c>
      <x:c r="L2266" s="24" t="n">
        <x:v>22.04</x:v>
      </x:c>
      <x:c r="M2266" s="26" t="n">
        <x:v>0.1</x:v>
      </x:c>
      <x:c r="N2266" s="24" t="n">
        <x:v>10.46195746102814</x:v>
      </x:c>
      <x:c r="O2266" s="28" t="n">
        <x:f>MIN(1,L2266/I2266)</x:f>
        <x:v>0.012244444444444443</x:v>
      </x:c>
      <x:c r="P2266" s="30" t="n">
        <x:f>O2266*J2266*(1+M2266)</x:f>
        <x:v>0.013468888888888888</x:v>
      </x:c>
      <x:c r="Q2266" s="30" t="n">
        <x:f>P2266*N2266</x:f>
        <x:v>0.14091094260287013</x:v>
      </x:c>
      <x:c r="R2266" s="19" t="str">
        <x:v>独立判定</x:v>
      </x:c>
    </x:row>
    <x:row r="2267" ht="19" customHeight="1">
      <x:c r="A2267" s="19" t="str">
        <x:v>D02263</x:v>
      </x:c>
      <x:c r="B2267" s="19" t="n">
        <x:v>5</x:v>
      </x:c>
      <x:c r="C2267" s="19" t="n">
        <x:v>2</x:v>
      </x:c>
      <x:c r="D2267" s="19" t="str">
        <x:v>C05-M020</x:v>
      </x:c>
      <x:c r="E2267" s="19" t="str">
        <x:v>棱光长廊术士</x:v>
      </x:c>
      <x:c r="F2267" s="19" t="str">
        <x:v>稀有</x:v>
      </x:c>
      <x:c r="G2267" s="19" t="str">
        <x:v>材料独立候选</x:v>
      </x:c>
      <x:c r="H2267" s="19" t="str">
        <x:v>小卢恩</x:v>
      </x:c>
      <x:c r="I2267" s="22" t="n">
        <x:v>4000</x:v>
      </x:c>
      <x:c r="J2267" s="22" t="n">
        <x:v>1</x:v>
      </x:c>
      <x:c r="K2267" s="19" t="n">
        <x:v>1</x:v>
      </x:c>
      <x:c r="L2267" s="24" t="n">
        <x:v>22.04</x:v>
      </x:c>
      <x:c r="M2267" s="26" t="n">
        <x:v>0.1</x:v>
      </x:c>
      <x:c r="N2267" s="24" t="n">
        <x:v>10.46195746102814</x:v>
      </x:c>
      <x:c r="O2267" s="28" t="n">
        <x:f>MIN(1,L2267/I2267)</x:f>
        <x:v>0.00551</x:v>
      </x:c>
      <x:c r="P2267" s="30" t="n">
        <x:f>O2267*J2267*(1+M2267)</x:f>
        <x:v>0.006061</x:v>
      </x:c>
      <x:c r="Q2267" s="30" t="n">
        <x:f>P2267*N2267</x:f>
        <x:v>0.06340992417129156</x:v>
      </x:c>
      <x:c r="R2267" s="19" t="str">
        <x:v>独立判定</x:v>
      </x:c>
    </x:row>
    <x:row r="2268" ht="19" customHeight="1">
      <x:c r="A2268" s="19" t="str">
        <x:v>D02264</x:v>
      </x:c>
      <x:c r="B2268" s="19" t="n">
        <x:v>5</x:v>
      </x:c>
      <x:c r="C2268" s="19" t="n">
        <x:v>2</x:v>
      </x:c>
      <x:c r="D2268" s="19" t="str">
        <x:v>C05-M020</x:v>
      </x:c>
      <x:c r="E2268" s="19" t="str">
        <x:v>棱光长廊术士</x:v>
      </x:c>
      <x:c r="F2268" s="19" t="str">
        <x:v>稀有</x:v>
      </x:c>
      <x:c r="G2268" s="19" t="str">
        <x:v>六神器公共池</x:v>
      </x:c>
      <x:c r="H2268" s="19" t="str">
        <x:v>POOL006</x:v>
      </x:c>
      <x:c r="I2268" s="22" t="n">
        <x:v>5000000</x:v>
      </x:c>
      <x:c r="J2268" s="22" t="n">
        <x:v>1</x:v>
      </x:c>
      <x:c r="K2268" s="19" t="n">
        <x:v>6</x:v>
      </x:c>
      <x:c r="L2268" s="24" t="n">
        <x:v>22.04</x:v>
      </x:c>
      <x:c r="M2268" s="26" t="n">
        <x:v>0.1</x:v>
      </x:c>
      <x:c r="N2268" s="24" t="n">
        <x:v>10.46195746102814</x:v>
      </x:c>
      <x:c r="O2268" s="28" t="n">
        <x:f>MIN(1,L2268/I2268)</x:f>
        <x:v>0.000004408</x:v>
      </x:c>
      <x:c r="P2268" s="30" t="n">
        <x:f>O2268*J2268*(1+M2268)</x:f>
        <x:v>0.0000048488</x:v>
      </x:c>
      <x:c r="Q2268" s="30" t="n">
        <x:f>P2268*N2268</x:f>
        <x:v>0.000050727939337033243</x:v>
      </x:c>
      <x:c r="R2268" s="19" t="str">
        <x:v>六选一；非6个独立爆率</x:v>
      </x:c>
    </x:row>
    <x:row r="2269" ht="19" customHeight="1">
      <x:c r="A2269" s="19" t="str">
        <x:v>D02265</x:v>
      </x:c>
      <x:c r="B2269" s="19" t="n">
        <x:v>5</x:v>
      </x:c>
      <x:c r="C2269" s="19" t="n">
        <x:v>2</x:v>
      </x:c>
      <x:c r="D2269" s="19" t="str">
        <x:v>C05-M021</x:v>
      </x:c>
      <x:c r="E2269" s="19" t="str">
        <x:v>学院前庭晶戟卫</x:v>
      </x:c>
      <x:c r="F2269" s="19" t="str">
        <x:v>稀有</x:v>
      </x:c>
      <x:c r="G2269" s="19" t="str">
        <x:v>自身专属</x:v>
      </x:c>
      <x:c r="H2269" s="19" t="str">
        <x:v>前庭晶戟勋</x:v>
      </x:c>
      <x:c r="I2269" s="22" t="n">
        <x:v>400</x:v>
      </x:c>
      <x:c r="J2269" s="22" t="n">
        <x:v>1</x:v>
      </x:c>
      <x:c r="K2269" s="19" t="n">
        <x:v>1</x:v>
      </x:c>
      <x:c r="L2269" s="24" t="n">
        <x:v>22.04</x:v>
      </x:c>
      <x:c r="M2269" s="26" t="n">
        <x:v>0.1</x:v>
      </x:c>
      <x:c r="N2269" s="24" t="n">
        <x:v>12</x:v>
      </x:c>
      <x:c r="O2269" s="28" t="n">
        <x:f>MIN(1,L2269/I2269)</x:f>
        <x:v>0.055099999999999996</x:v>
      </x:c>
      <x:c r="P2269" s="30" t="n">
        <x:f>O2269*J2269*(1+M2269)</x:f>
        <x:v>0.060610000000000004</x:v>
      </x:c>
      <x:c r="Q2269" s="30" t="n">
        <x:f>P2269*N2269</x:f>
        <x:v>0.7273200000000001</x:v>
      </x:c>
      <x:c r="R2269" s="19" t="str">
        <x:v>独立判定</x:v>
      </x:c>
    </x:row>
    <x:row r="2270" ht="19" customHeight="1">
      <x:c r="A2270" s="19" t="str">
        <x:v>D02266</x:v>
      </x:c>
      <x:c r="B2270" s="19" t="n">
        <x:v>5</x:v>
      </x:c>
      <x:c r="C2270" s="19" t="n">
        <x:v>2</x:v>
      </x:c>
      <x:c r="D2270" s="19" t="str">
        <x:v>C05-M021</x:v>
      </x:c>
      <x:c r="E2270" s="19" t="str">
        <x:v>学院前庭晶戟卫</x:v>
      </x:c>
      <x:c r="F2270" s="19" t="str">
        <x:v>稀有</x:v>
      </x:c>
      <x:c r="G2270" s="19" t="str">
        <x:v>材料独立候选</x:v>
      </x:c>
      <x:c r="H2270" s="19" t="str">
        <x:v>辉石碎晶</x:v>
      </x:c>
      <x:c r="I2270" s="22" t="n">
        <x:v>400</x:v>
      </x:c>
      <x:c r="J2270" s="22" t="n">
        <x:v>15</x:v>
      </x:c>
      <x:c r="K2270" s="19" t="n">
        <x:v>1</x:v>
      </x:c>
      <x:c r="L2270" s="24" t="n">
        <x:v>22.04</x:v>
      </x:c>
      <x:c r="M2270" s="26" t="n">
        <x:v>0.1</x:v>
      </x:c>
      <x:c r="N2270" s="24" t="n">
        <x:v>12</x:v>
      </x:c>
      <x:c r="O2270" s="28" t="n">
        <x:f>MIN(1,L2270/I2270)</x:f>
        <x:v>0.055099999999999996</x:v>
      </x:c>
      <x:c r="P2270" s="30" t="n">
        <x:f>O2270*J2270*(1+M2270)</x:f>
        <x:v>0.90915</x:v>
      </x:c>
      <x:c r="Q2270" s="30" t="n">
        <x:f>P2270*N2270</x:f>
        <x:v>10.9098</x:v>
      </x:c>
      <x:c r="R2270" s="19" t="str">
        <x:v>独立判定</x:v>
      </x:c>
    </x:row>
    <x:row r="2271" ht="19" customHeight="1">
      <x:c r="A2271" s="19" t="str">
        <x:v>D02267</x:v>
      </x:c>
      <x:c r="B2271" s="19" t="n">
        <x:v>5</x:v>
      </x:c>
      <x:c r="C2271" s="19" t="n">
        <x:v>2</x:v>
      </x:c>
      <x:c r="D2271" s="19" t="str">
        <x:v>C05-M021</x:v>
      </x:c>
      <x:c r="E2271" s="19" t="str">
        <x:v>学院前庭晶戟卫</x:v>
      </x:c>
      <x:c r="F2271" s="19" t="str">
        <x:v>稀有</x:v>
      </x:c>
      <x:c r="G2271" s="19" t="str">
        <x:v>材料独立候选</x:v>
      </x:c>
      <x:c r="H2271" s="19" t="str">
        <x:v>卡利亚月露</x:v>
      </x:c>
      <x:c r="I2271" s="22" t="n">
        <x:v>800</x:v>
      </x:c>
      <x:c r="J2271" s="22" t="n">
        <x:v>1</x:v>
      </x:c>
      <x:c r="K2271" s="19" t="n">
        <x:v>1</x:v>
      </x:c>
      <x:c r="L2271" s="24" t="n">
        <x:v>22.04</x:v>
      </x:c>
      <x:c r="M2271" s="26" t="n">
        <x:v>0.1</x:v>
      </x:c>
      <x:c r="N2271" s="24" t="n">
        <x:v>12</x:v>
      </x:c>
      <x:c r="O2271" s="28" t="n">
        <x:f>MIN(1,L2271/I2271)</x:f>
        <x:v>0.027549999999999998</x:v>
      </x:c>
      <x:c r="P2271" s="30" t="n">
        <x:f>O2271*J2271*(1+M2271)</x:f>
        <x:v>0.030305000000000002</x:v>
      </x:c>
      <x:c r="Q2271" s="30" t="n">
        <x:f>P2271*N2271</x:f>
        <x:v>0.36366000000000004</x:v>
      </x:c>
      <x:c r="R2271" s="19" t="str">
        <x:v>独立判定</x:v>
      </x:c>
    </x:row>
    <x:row r="2272" ht="19" customHeight="1">
      <x:c r="A2272" s="19" t="str">
        <x:v>D02268</x:v>
      </x:c>
      <x:c r="B2272" s="19" t="n">
        <x:v>5</x:v>
      </x:c>
      <x:c r="C2272" s="19" t="n">
        <x:v>2</x:v>
      </x:c>
      <x:c r="D2272" s="19" t="str">
        <x:v>C05-M021</x:v>
      </x:c>
      <x:c r="E2272" s="19" t="str">
        <x:v>学院前庭晶戟卫</x:v>
      </x:c>
      <x:c r="F2272" s="19" t="str">
        <x:v>稀有</x:v>
      </x:c>
      <x:c r="G2272" s="19" t="str">
        <x:v>材料独立候选</x:v>
      </x:c>
      <x:c r="H2272" s="19" t="str">
        <x:v>学院封蜡</x:v>
      </x:c>
      <x:c r="I2272" s="22" t="n">
        <x:v>1000</x:v>
      </x:c>
      <x:c r="J2272" s="22" t="n">
        <x:v>1</x:v>
      </x:c>
      <x:c r="K2272" s="19" t="n">
        <x:v>1</x:v>
      </x:c>
      <x:c r="L2272" s="24" t="n">
        <x:v>22.04</x:v>
      </x:c>
      <x:c r="M2272" s="26" t="n">
        <x:v>0.1</x:v>
      </x:c>
      <x:c r="N2272" s="24" t="n">
        <x:v>12</x:v>
      </x:c>
      <x:c r="O2272" s="28" t="n">
        <x:f>MIN(1,L2272/I2272)</x:f>
        <x:v>0.02204</x:v>
      </x:c>
      <x:c r="P2272" s="30" t="n">
        <x:f>O2272*J2272*(1+M2272)</x:f>
        <x:v>0.024244</x:v>
      </x:c>
      <x:c r="Q2272" s="30" t="n">
        <x:f>P2272*N2272</x:f>
        <x:v>0.290928</x:v>
      </x:c>
      <x:c r="R2272" s="19" t="str">
        <x:v>独立判定</x:v>
      </x:c>
    </x:row>
    <x:row r="2273" ht="19" customHeight="1">
      <x:c r="A2273" s="19" t="str">
        <x:v>D02269</x:v>
      </x:c>
      <x:c r="B2273" s="19" t="n">
        <x:v>5</x:v>
      </x:c>
      <x:c r="C2273" s="19" t="n">
        <x:v>2</x:v>
      </x:c>
      <x:c r="D2273" s="19" t="str">
        <x:v>C05-M021</x:v>
      </x:c>
      <x:c r="E2273" s="19" t="str">
        <x:v>学院前庭晶戟卫</x:v>
      </x:c>
      <x:c r="F2273" s="19" t="str">
        <x:v>稀有</x:v>
      </x:c>
      <x:c r="G2273" s="19" t="str">
        <x:v>材料独立候选</x:v>
      </x:c>
      <x:c r="H2273" s="19" t="str">
        <x:v>湖心月谱残章</x:v>
      </x:c>
      <x:c r="I2273" s="22" t="n">
        <x:v>600000</x:v>
      </x:c>
      <x:c r="J2273" s="22" t="n">
        <x:v>1</x:v>
      </x:c>
      <x:c r="K2273" s="19" t="n">
        <x:v>1</x:v>
      </x:c>
      <x:c r="L2273" s="24" t="n">
        <x:v>22.04</x:v>
      </x:c>
      <x:c r="M2273" s="26" t="n">
        <x:v>0.1</x:v>
      </x:c>
      <x:c r="N2273" s="24" t="n">
        <x:v>12</x:v>
      </x:c>
      <x:c r="O2273" s="28" t="n">
        <x:f>MIN(1,L2273/I2273)</x:f>
        <x:v>0.00003673333333333333</x:v>
      </x:c>
      <x:c r="P2273" s="30" t="n">
        <x:f>O2273*J2273*(1+M2273)</x:f>
        <x:v>0.00004040666666666667</x:v>
      </x:c>
      <x:c r="Q2273" s="30" t="n">
        <x:f>P2273*N2273</x:f>
        <x:v>0.00048488000000000003</x:v>
      </x:c>
      <x:c r="R2273" s="19" t="str">
        <x:v>独立判定</x:v>
      </x:c>
    </x:row>
    <x:row r="2274" ht="19" customHeight="1">
      <x:c r="A2274" s="19" t="str">
        <x:v>D02270</x:v>
      </x:c>
      <x:c r="B2274" s="19" t="n">
        <x:v>5</x:v>
      </x:c>
      <x:c r="C2274" s="19" t="n">
        <x:v>2</x:v>
      </x:c>
      <x:c r="D2274" s="19" t="str">
        <x:v>C05-M021</x:v>
      </x:c>
      <x:c r="E2274" s="19" t="str">
        <x:v>学院前庭晶戟卫</x:v>
      </x:c>
      <x:c r="F2274" s="19" t="str">
        <x:v>稀有</x:v>
      </x:c>
      <x:c r="G2274" s="19" t="str">
        <x:v>材料独立候选</x:v>
      </x:c>
      <x:c r="H2274" s="19" t="str">
        <x:v>黄金树芽</x:v>
      </x:c>
      <x:c r="I2274" s="22" t="n">
        <x:v>3000</x:v>
      </x:c>
      <x:c r="J2274" s="22" t="n">
        <x:v>1</x:v>
      </x:c>
      <x:c r="K2274" s="19" t="n">
        <x:v>1</x:v>
      </x:c>
      <x:c r="L2274" s="24" t="n">
        <x:v>22.04</x:v>
      </x:c>
      <x:c r="M2274" s="26" t="n">
        <x:v>0.1</x:v>
      </x:c>
      <x:c r="N2274" s="24" t="n">
        <x:v>12</x:v>
      </x:c>
      <x:c r="O2274" s="28" t="n">
        <x:f>MIN(1,L2274/I2274)</x:f>
        <x:v>0.007346666666666666</x:v>
      </x:c>
      <x:c r="P2274" s="30" t="n">
        <x:f>O2274*J2274*(1+M2274)</x:f>
        <x:v>0.008081333333333333</x:v>
      </x:c>
      <x:c r="Q2274" s="30" t="n">
        <x:f>P2274*N2274</x:f>
        <x:v>0.09697599999999999</x:v>
      </x:c>
      <x:c r="R2274" s="19" t="str">
        <x:v>独立判定</x:v>
      </x:c>
    </x:row>
    <x:row r="2275" ht="19" customHeight="1">
      <x:c r="A2275" s="19" t="str">
        <x:v>D02271</x:v>
      </x:c>
      <x:c r="B2275" s="19" t="n">
        <x:v>5</x:v>
      </x:c>
      <x:c r="C2275" s="19" t="n">
        <x:v>2</x:v>
      </x:c>
      <x:c r="D2275" s="19" t="str">
        <x:v>C05-M021</x:v>
      </x:c>
      <x:c r="E2275" s="19" t="str">
        <x:v>学院前庭晶戟卫</x:v>
      </x:c>
      <x:c r="F2275" s="19" t="str">
        <x:v>稀有</x:v>
      </x:c>
      <x:c r="G2275" s="19" t="str">
        <x:v>材料独立候选</x:v>
      </x:c>
      <x:c r="H2275" s="19" t="str">
        <x:v>野兽骨片</x:v>
      </x:c>
      <x:c r="I2275" s="22" t="n">
        <x:v>60</x:v>
      </x:c>
      <x:c r="J2275" s="22" t="n">
        <x:v>3</x:v>
      </x:c>
      <x:c r="K2275" s="19" t="n">
        <x:v>1</x:v>
      </x:c>
      <x:c r="L2275" s="24" t="n">
        <x:v>22.04</x:v>
      </x:c>
      <x:c r="M2275" s="26" t="n">
        <x:v>0.1</x:v>
      </x:c>
      <x:c r="N2275" s="24" t="n">
        <x:v>12</x:v>
      </x:c>
      <x:c r="O2275" s="28" t="n">
        <x:f>MIN(1,L2275/I2275)</x:f>
        <x:v>0.36733333333333335</x:v>
      </x:c>
      <x:c r="P2275" s="30" t="n">
        <x:f>O2275*J2275*(1+M2275)</x:f>
        <x:v>1.2122000000000002</x:v>
      </x:c>
      <x:c r="Q2275" s="30" t="n">
        <x:f>P2275*N2275</x:f>
        <x:v>14.546400000000002</x:v>
      </x:c>
      <x:c r="R2275" s="19" t="str">
        <x:v>独立判定</x:v>
      </x:c>
    </x:row>
    <x:row r="2276" ht="19" customHeight="1">
      <x:c r="A2276" s="19" t="str">
        <x:v>D02272</x:v>
      </x:c>
      <x:c r="B2276" s="19" t="n">
        <x:v>5</x:v>
      </x:c>
      <x:c r="C2276" s="19" t="n">
        <x:v>2</x:v>
      </x:c>
      <x:c r="D2276" s="19" t="str">
        <x:v>C05-M021</x:v>
      </x:c>
      <x:c r="E2276" s="19" t="str">
        <x:v>学院前庭晶戟卫</x:v>
      </x:c>
      <x:c r="F2276" s="19" t="str">
        <x:v>稀有</x:v>
      </x:c>
      <x:c r="G2276" s="19" t="str">
        <x:v>材料独立候选</x:v>
      </x:c>
      <x:c r="H2276" s="19" t="str">
        <x:v>技能残页</x:v>
      </x:c>
      <x:c r="I2276" s="22" t="n">
        <x:v>1800</x:v>
      </x:c>
      <x:c r="J2276" s="22" t="n">
        <x:v>1</x:v>
      </x:c>
      <x:c r="K2276" s="19" t="n">
        <x:v>1</x:v>
      </x:c>
      <x:c r="L2276" s="24" t="n">
        <x:v>22.04</x:v>
      </x:c>
      <x:c r="M2276" s="26" t="n">
        <x:v>0.1</x:v>
      </x:c>
      <x:c r="N2276" s="24" t="n">
        <x:v>12</x:v>
      </x:c>
      <x:c r="O2276" s="28" t="n">
        <x:f>MIN(1,L2276/I2276)</x:f>
        <x:v>0.012244444444444443</x:v>
      </x:c>
      <x:c r="P2276" s="30" t="n">
        <x:f>O2276*J2276*(1+M2276)</x:f>
        <x:v>0.013468888888888888</x:v>
      </x:c>
      <x:c r="Q2276" s="30" t="n">
        <x:f>P2276*N2276</x:f>
        <x:v>0.16162666666666664</x:v>
      </x:c>
      <x:c r="R2276" s="19" t="str">
        <x:v>独立判定</x:v>
      </x:c>
    </x:row>
    <x:row r="2277" ht="19" customHeight="1">
      <x:c r="A2277" s="19" t="str">
        <x:v>D02273</x:v>
      </x:c>
      <x:c r="B2277" s="19" t="n">
        <x:v>5</x:v>
      </x:c>
      <x:c r="C2277" s="19" t="n">
        <x:v>2</x:v>
      </x:c>
      <x:c r="D2277" s="19" t="str">
        <x:v>C05-M021</x:v>
      </x:c>
      <x:c r="E2277" s="19" t="str">
        <x:v>学院前庭晶戟卫</x:v>
      </x:c>
      <x:c r="F2277" s="19" t="str">
        <x:v>稀有</x:v>
      </x:c>
      <x:c r="G2277" s="19" t="str">
        <x:v>材料独立候选</x:v>
      </x:c>
      <x:c r="H2277" s="19" t="str">
        <x:v>小卢恩</x:v>
      </x:c>
      <x:c r="I2277" s="22" t="n">
        <x:v>4000</x:v>
      </x:c>
      <x:c r="J2277" s="22" t="n">
        <x:v>1</x:v>
      </x:c>
      <x:c r="K2277" s="19" t="n">
        <x:v>1</x:v>
      </x:c>
      <x:c r="L2277" s="24" t="n">
        <x:v>22.04</x:v>
      </x:c>
      <x:c r="M2277" s="26" t="n">
        <x:v>0.1</x:v>
      </x:c>
      <x:c r="N2277" s="24" t="n">
        <x:v>12</x:v>
      </x:c>
      <x:c r="O2277" s="28" t="n">
        <x:f>MIN(1,L2277/I2277)</x:f>
        <x:v>0.00551</x:v>
      </x:c>
      <x:c r="P2277" s="30" t="n">
        <x:f>O2277*J2277*(1+M2277)</x:f>
        <x:v>0.006061</x:v>
      </x:c>
      <x:c r="Q2277" s="30" t="n">
        <x:f>P2277*N2277</x:f>
        <x:v>0.072732</x:v>
      </x:c>
      <x:c r="R2277" s="19" t="str">
        <x:v>独立判定</x:v>
      </x:c>
    </x:row>
    <x:row r="2278" ht="19" customHeight="1">
      <x:c r="A2278" s="19" t="str">
        <x:v>D02274</x:v>
      </x:c>
      <x:c r="B2278" s="19" t="n">
        <x:v>5</x:v>
      </x:c>
      <x:c r="C2278" s="19" t="n">
        <x:v>2</x:v>
      </x:c>
      <x:c r="D2278" s="19" t="str">
        <x:v>C05-M021</x:v>
      </x:c>
      <x:c r="E2278" s="19" t="str">
        <x:v>学院前庭晶戟卫</x:v>
      </x:c>
      <x:c r="F2278" s="19" t="str">
        <x:v>稀有</x:v>
      </x:c>
      <x:c r="G2278" s="19" t="str">
        <x:v>六神器公共池</x:v>
      </x:c>
      <x:c r="H2278" s="19" t="str">
        <x:v>POOL006</x:v>
      </x:c>
      <x:c r="I2278" s="22" t="n">
        <x:v>5000000</x:v>
      </x:c>
      <x:c r="J2278" s="22" t="n">
        <x:v>1</x:v>
      </x:c>
      <x:c r="K2278" s="19" t="n">
        <x:v>6</x:v>
      </x:c>
      <x:c r="L2278" s="24" t="n">
        <x:v>22.04</x:v>
      </x:c>
      <x:c r="M2278" s="26" t="n">
        <x:v>0.1</x:v>
      </x:c>
      <x:c r="N2278" s="24" t="n">
        <x:v>12</x:v>
      </x:c>
      <x:c r="O2278" s="28" t="n">
        <x:f>MIN(1,L2278/I2278)</x:f>
        <x:v>0.000004408</x:v>
      </x:c>
      <x:c r="P2278" s="30" t="n">
        <x:f>O2278*J2278*(1+M2278)</x:f>
        <x:v>0.0000048488</x:v>
      </x:c>
      <x:c r="Q2278" s="30" t="n">
        <x:f>P2278*N2278</x:f>
        <x:v>0.0000581856</x:v>
      </x:c>
      <x:c r="R2278" s="19" t="str">
        <x:v>六选一；非6个独立爆率</x:v>
      </x:c>
    </x:row>
    <x:row r="2279" ht="19" customHeight="1">
      <x:c r="A2279" s="19" t="str">
        <x:v>D02275</x:v>
      </x:c>
      <x:c r="B2279" s="19" t="n">
        <x:v>5</x:v>
      </x:c>
      <x:c r="C2279" s="19" t="n">
        <x:v>2</x:v>
      </x:c>
      <x:c r="D2279" s="19" t="str">
        <x:v>C05-M022</x:v>
      </x:c>
      <x:c r="E2279" s="19" t="str">
        <x:v>内院辉核铸像</x:v>
      </x:c>
      <x:c r="F2279" s="19" t="str">
        <x:v>稀有</x:v>
      </x:c>
      <x:c r="G2279" s="19" t="str">
        <x:v>自身专属</x:v>
      </x:c>
      <x:c r="H2279" s="19" t="str">
        <x:v>辉核铸像衣</x:v>
      </x:c>
      <x:c r="I2279" s="22" t="n">
        <x:v>400</x:v>
      </x:c>
      <x:c r="J2279" s="22" t="n">
        <x:v>1</x:v>
      </x:c>
      <x:c r="K2279" s="19" t="n">
        <x:v>1</x:v>
      </x:c>
      <x:c r="L2279" s="24" t="n">
        <x:v>22.04</x:v>
      </x:c>
      <x:c r="M2279" s="26" t="n">
        <x:v>0.1</x:v>
      </x:c>
      <x:c r="N2279" s="24" t="n">
        <x:v>10.46195746102814</x:v>
      </x:c>
      <x:c r="O2279" s="28" t="n">
        <x:f>MIN(1,L2279/I2279)</x:f>
        <x:v>0.055099999999999996</x:v>
      </x:c>
      <x:c r="P2279" s="30" t="n">
        <x:f>O2279*J2279*(1+M2279)</x:f>
        <x:v>0.060610000000000004</x:v>
      </x:c>
      <x:c r="Q2279" s="30" t="n">
        <x:f>P2279*N2279</x:f>
        <x:v>0.6340992417129157</x:v>
      </x:c>
      <x:c r="R2279" s="19" t="str">
        <x:v>独立判定</x:v>
      </x:c>
    </x:row>
    <x:row r="2280" ht="19" customHeight="1">
      <x:c r="A2280" s="19" t="str">
        <x:v>D02276</x:v>
      </x:c>
      <x:c r="B2280" s="19" t="n">
        <x:v>5</x:v>
      </x:c>
      <x:c r="C2280" s="19" t="n">
        <x:v>2</x:v>
      </x:c>
      <x:c r="D2280" s="19" t="str">
        <x:v>C05-M022</x:v>
      </x:c>
      <x:c r="E2280" s="19" t="str">
        <x:v>内院辉核铸像</x:v>
      </x:c>
      <x:c r="F2280" s="19" t="str">
        <x:v>稀有</x:v>
      </x:c>
      <x:c r="G2280" s="19" t="str">
        <x:v>材料独立候选</x:v>
      </x:c>
      <x:c r="H2280" s="19" t="str">
        <x:v>辉石碎晶</x:v>
      </x:c>
      <x:c r="I2280" s="22" t="n">
        <x:v>400</x:v>
      </x:c>
      <x:c r="J2280" s="22" t="n">
        <x:v>15</x:v>
      </x:c>
      <x:c r="K2280" s="19" t="n">
        <x:v>1</x:v>
      </x:c>
      <x:c r="L2280" s="24" t="n">
        <x:v>22.04</x:v>
      </x:c>
      <x:c r="M2280" s="26" t="n">
        <x:v>0.1</x:v>
      </x:c>
      <x:c r="N2280" s="24" t="n">
        <x:v>10.46195746102814</x:v>
      </x:c>
      <x:c r="O2280" s="28" t="n">
        <x:f>MIN(1,L2280/I2280)</x:f>
        <x:v>0.055099999999999996</x:v>
      </x:c>
      <x:c r="P2280" s="30" t="n">
        <x:f>O2280*J2280*(1+M2280)</x:f>
        <x:v>0.90915</x:v>
      </x:c>
      <x:c r="Q2280" s="30" t="n">
        <x:f>P2280*N2280</x:f>
        <x:v>9.511488625693733</x:v>
      </x:c>
      <x:c r="R2280" s="19" t="str">
        <x:v>独立判定</x:v>
      </x:c>
    </x:row>
    <x:row r="2281" ht="19" customHeight="1">
      <x:c r="A2281" s="19" t="str">
        <x:v>D02277</x:v>
      </x:c>
      <x:c r="B2281" s="19" t="n">
        <x:v>5</x:v>
      </x:c>
      <x:c r="C2281" s="19" t="n">
        <x:v>2</x:v>
      </x:c>
      <x:c r="D2281" s="19" t="str">
        <x:v>C05-M022</x:v>
      </x:c>
      <x:c r="E2281" s="19" t="str">
        <x:v>内院辉核铸像</x:v>
      </x:c>
      <x:c r="F2281" s="19" t="str">
        <x:v>稀有</x:v>
      </x:c>
      <x:c r="G2281" s="19" t="str">
        <x:v>材料独立候选</x:v>
      </x:c>
      <x:c r="H2281" s="19" t="str">
        <x:v>卡利亚月露</x:v>
      </x:c>
      <x:c r="I2281" s="22" t="n">
        <x:v>800</x:v>
      </x:c>
      <x:c r="J2281" s="22" t="n">
        <x:v>1</x:v>
      </x:c>
      <x:c r="K2281" s="19" t="n">
        <x:v>1</x:v>
      </x:c>
      <x:c r="L2281" s="24" t="n">
        <x:v>22.04</x:v>
      </x:c>
      <x:c r="M2281" s="26" t="n">
        <x:v>0.1</x:v>
      </x:c>
      <x:c r="N2281" s="24" t="n">
        <x:v>10.46195746102814</x:v>
      </x:c>
      <x:c r="O2281" s="28" t="n">
        <x:f>MIN(1,L2281/I2281)</x:f>
        <x:v>0.027549999999999998</x:v>
      </x:c>
      <x:c r="P2281" s="30" t="n">
        <x:f>O2281*J2281*(1+M2281)</x:f>
        <x:v>0.030305000000000002</x:v>
      </x:c>
      <x:c r="Q2281" s="30" t="n">
        <x:f>P2281*N2281</x:f>
        <x:v>0.3170496208564578</x:v>
      </x:c>
      <x:c r="R2281" s="19" t="str">
        <x:v>独立判定</x:v>
      </x:c>
    </x:row>
    <x:row r="2282" ht="19" customHeight="1">
      <x:c r="A2282" s="19" t="str">
        <x:v>D02278</x:v>
      </x:c>
      <x:c r="B2282" s="19" t="n">
        <x:v>5</x:v>
      </x:c>
      <x:c r="C2282" s="19" t="n">
        <x:v>2</x:v>
      </x:c>
      <x:c r="D2282" s="19" t="str">
        <x:v>C05-M022</x:v>
      </x:c>
      <x:c r="E2282" s="19" t="str">
        <x:v>内院辉核铸像</x:v>
      </x:c>
      <x:c r="F2282" s="19" t="str">
        <x:v>稀有</x:v>
      </x:c>
      <x:c r="G2282" s="19" t="str">
        <x:v>材料独立候选</x:v>
      </x:c>
      <x:c r="H2282" s="19" t="str">
        <x:v>学院封蜡</x:v>
      </x:c>
      <x:c r="I2282" s="22" t="n">
        <x:v>1000</x:v>
      </x:c>
      <x:c r="J2282" s="22" t="n">
        <x:v>1</x:v>
      </x:c>
      <x:c r="K2282" s="19" t="n">
        <x:v>1</x:v>
      </x:c>
      <x:c r="L2282" s="24" t="n">
        <x:v>22.04</x:v>
      </x:c>
      <x:c r="M2282" s="26" t="n">
        <x:v>0.1</x:v>
      </x:c>
      <x:c r="N2282" s="24" t="n">
        <x:v>10.46195746102814</x:v>
      </x:c>
      <x:c r="O2282" s="28" t="n">
        <x:f>MIN(1,L2282/I2282)</x:f>
        <x:v>0.02204</x:v>
      </x:c>
      <x:c r="P2282" s="30" t="n">
        <x:f>O2282*J2282*(1+M2282)</x:f>
        <x:v>0.024244</x:v>
      </x:c>
      <x:c r="Q2282" s="30" t="n">
        <x:f>P2282*N2282</x:f>
        <x:v>0.2536396966851662</x:v>
      </x:c>
      <x:c r="R2282" s="19" t="str">
        <x:v>独立判定</x:v>
      </x:c>
    </x:row>
    <x:row r="2283" ht="19" customHeight="1">
      <x:c r="A2283" s="19" t="str">
        <x:v>D02279</x:v>
      </x:c>
      <x:c r="B2283" s="19" t="n">
        <x:v>5</x:v>
      </x:c>
      <x:c r="C2283" s="19" t="n">
        <x:v>2</x:v>
      </x:c>
      <x:c r="D2283" s="19" t="str">
        <x:v>C05-M022</x:v>
      </x:c>
      <x:c r="E2283" s="19" t="str">
        <x:v>内院辉核铸像</x:v>
      </x:c>
      <x:c r="F2283" s="19" t="str">
        <x:v>稀有</x:v>
      </x:c>
      <x:c r="G2283" s="19" t="str">
        <x:v>材料独立候选</x:v>
      </x:c>
      <x:c r="H2283" s="19" t="str">
        <x:v>湖心月谱残章</x:v>
      </x:c>
      <x:c r="I2283" s="22" t="n">
        <x:v>600000</x:v>
      </x:c>
      <x:c r="J2283" s="22" t="n">
        <x:v>1</x:v>
      </x:c>
      <x:c r="K2283" s="19" t="n">
        <x:v>1</x:v>
      </x:c>
      <x:c r="L2283" s="24" t="n">
        <x:v>22.04</x:v>
      </x:c>
      <x:c r="M2283" s="26" t="n">
        <x:v>0.1</x:v>
      </x:c>
      <x:c r="N2283" s="24" t="n">
        <x:v>10.46195746102814</x:v>
      </x:c>
      <x:c r="O2283" s="28" t="n">
        <x:f>MIN(1,L2283/I2283)</x:f>
        <x:v>0.00003673333333333333</x:v>
      </x:c>
      <x:c r="P2283" s="30" t="n">
        <x:f>O2283*J2283*(1+M2283)</x:f>
        <x:v>0.00004040666666666667</x:v>
      </x:c>
      <x:c r="Q2283" s="30" t="n">
        <x:f>P2283*N2283</x:f>
        <x:v>0.0004227328278086104</x:v>
      </x:c>
      <x:c r="R2283" s="19" t="str">
        <x:v>独立判定</x:v>
      </x:c>
    </x:row>
    <x:row r="2284" ht="19" customHeight="1">
      <x:c r="A2284" s="19" t="str">
        <x:v>D02280</x:v>
      </x:c>
      <x:c r="B2284" s="19" t="n">
        <x:v>5</x:v>
      </x:c>
      <x:c r="C2284" s="19" t="n">
        <x:v>2</x:v>
      </x:c>
      <x:c r="D2284" s="19" t="str">
        <x:v>C05-M022</x:v>
      </x:c>
      <x:c r="E2284" s="19" t="str">
        <x:v>内院辉核铸像</x:v>
      </x:c>
      <x:c r="F2284" s="19" t="str">
        <x:v>稀有</x:v>
      </x:c>
      <x:c r="G2284" s="19" t="str">
        <x:v>材料独立候选</x:v>
      </x:c>
      <x:c r="H2284" s="19" t="str">
        <x:v>黄金树芽</x:v>
      </x:c>
      <x:c r="I2284" s="22" t="n">
        <x:v>3000</x:v>
      </x:c>
      <x:c r="J2284" s="22" t="n">
        <x:v>1</x:v>
      </x:c>
      <x:c r="K2284" s="19" t="n">
        <x:v>1</x:v>
      </x:c>
      <x:c r="L2284" s="24" t="n">
        <x:v>22.04</x:v>
      </x:c>
      <x:c r="M2284" s="26" t="n">
        <x:v>0.1</x:v>
      </x:c>
      <x:c r="N2284" s="24" t="n">
        <x:v>10.46195746102814</x:v>
      </x:c>
      <x:c r="O2284" s="28" t="n">
        <x:f>MIN(1,L2284/I2284)</x:f>
        <x:v>0.007346666666666666</x:v>
      </x:c>
      <x:c r="P2284" s="30" t="n">
        <x:f>O2284*J2284*(1+M2284)</x:f>
        <x:v>0.008081333333333333</x:v>
      </x:c>
      <x:c r="Q2284" s="30" t="n">
        <x:f>P2284*N2284</x:f>
        <x:v>0.08454656556172208</x:v>
      </x:c>
      <x:c r="R2284" s="19" t="str">
        <x:v>独立判定</x:v>
      </x:c>
    </x:row>
    <x:row r="2285" ht="19" customHeight="1">
      <x:c r="A2285" s="19" t="str">
        <x:v>D02281</x:v>
      </x:c>
      <x:c r="B2285" s="19" t="n">
        <x:v>5</x:v>
      </x:c>
      <x:c r="C2285" s="19" t="n">
        <x:v>2</x:v>
      </x:c>
      <x:c r="D2285" s="19" t="str">
        <x:v>C05-M022</x:v>
      </x:c>
      <x:c r="E2285" s="19" t="str">
        <x:v>内院辉核铸像</x:v>
      </x:c>
      <x:c r="F2285" s="19" t="str">
        <x:v>稀有</x:v>
      </x:c>
      <x:c r="G2285" s="19" t="str">
        <x:v>材料独立候选</x:v>
      </x:c>
      <x:c r="H2285" s="19" t="str">
        <x:v>野兽骨片</x:v>
      </x:c>
      <x:c r="I2285" s="22" t="n">
        <x:v>60</x:v>
      </x:c>
      <x:c r="J2285" s="22" t="n">
        <x:v>3</x:v>
      </x:c>
      <x:c r="K2285" s="19" t="n">
        <x:v>1</x:v>
      </x:c>
      <x:c r="L2285" s="24" t="n">
        <x:v>22.04</x:v>
      </x:c>
      <x:c r="M2285" s="26" t="n">
        <x:v>0.1</x:v>
      </x:c>
      <x:c r="N2285" s="24" t="n">
        <x:v>10.46195746102814</x:v>
      </x:c>
      <x:c r="O2285" s="28" t="n">
        <x:f>MIN(1,L2285/I2285)</x:f>
        <x:v>0.36733333333333335</x:v>
      </x:c>
      <x:c r="P2285" s="30" t="n">
        <x:f>O2285*J2285*(1+M2285)</x:f>
        <x:v>1.2122000000000002</x:v>
      </x:c>
      <x:c r="Q2285" s="30" t="n">
        <x:f>P2285*N2285</x:f>
        <x:v>12.681984834258314</x:v>
      </x:c>
      <x:c r="R2285" s="19" t="str">
        <x:v>独立判定</x:v>
      </x:c>
    </x:row>
    <x:row r="2286" ht="19" customHeight="1">
      <x:c r="A2286" s="19" t="str">
        <x:v>D02282</x:v>
      </x:c>
      <x:c r="B2286" s="19" t="n">
        <x:v>5</x:v>
      </x:c>
      <x:c r="C2286" s="19" t="n">
        <x:v>2</x:v>
      </x:c>
      <x:c r="D2286" s="19" t="str">
        <x:v>C05-M022</x:v>
      </x:c>
      <x:c r="E2286" s="19" t="str">
        <x:v>内院辉核铸像</x:v>
      </x:c>
      <x:c r="F2286" s="19" t="str">
        <x:v>稀有</x:v>
      </x:c>
      <x:c r="G2286" s="19" t="str">
        <x:v>材料独立候选</x:v>
      </x:c>
      <x:c r="H2286" s="19" t="str">
        <x:v>技能残页</x:v>
      </x:c>
      <x:c r="I2286" s="22" t="n">
        <x:v>1800</x:v>
      </x:c>
      <x:c r="J2286" s="22" t="n">
        <x:v>1</x:v>
      </x:c>
      <x:c r="K2286" s="19" t="n">
        <x:v>1</x:v>
      </x:c>
      <x:c r="L2286" s="24" t="n">
        <x:v>22.04</x:v>
      </x:c>
      <x:c r="M2286" s="26" t="n">
        <x:v>0.1</x:v>
      </x:c>
      <x:c r="N2286" s="24" t="n">
        <x:v>10.46195746102814</x:v>
      </x:c>
      <x:c r="O2286" s="28" t="n">
        <x:f>MIN(1,L2286/I2286)</x:f>
        <x:v>0.012244444444444443</x:v>
      </x:c>
      <x:c r="P2286" s="30" t="n">
        <x:f>O2286*J2286*(1+M2286)</x:f>
        <x:v>0.013468888888888888</x:v>
      </x:c>
      <x:c r="Q2286" s="30" t="n">
        <x:f>P2286*N2286</x:f>
        <x:v>0.14091094260287013</x:v>
      </x:c>
      <x:c r="R2286" s="19" t="str">
        <x:v>独立判定</x:v>
      </x:c>
    </x:row>
    <x:row r="2287" ht="19" customHeight="1">
      <x:c r="A2287" s="19" t="str">
        <x:v>D02283</x:v>
      </x:c>
      <x:c r="B2287" s="19" t="n">
        <x:v>5</x:v>
      </x:c>
      <x:c r="C2287" s="19" t="n">
        <x:v>2</x:v>
      </x:c>
      <x:c r="D2287" s="19" t="str">
        <x:v>C05-M022</x:v>
      </x:c>
      <x:c r="E2287" s="19" t="str">
        <x:v>内院辉核铸像</x:v>
      </x:c>
      <x:c r="F2287" s="19" t="str">
        <x:v>稀有</x:v>
      </x:c>
      <x:c r="G2287" s="19" t="str">
        <x:v>材料独立候选</x:v>
      </x:c>
      <x:c r="H2287" s="19" t="str">
        <x:v>小卢恩</x:v>
      </x:c>
      <x:c r="I2287" s="22" t="n">
        <x:v>4000</x:v>
      </x:c>
      <x:c r="J2287" s="22" t="n">
        <x:v>1</x:v>
      </x:c>
      <x:c r="K2287" s="19" t="n">
        <x:v>1</x:v>
      </x:c>
      <x:c r="L2287" s="24" t="n">
        <x:v>22.04</x:v>
      </x:c>
      <x:c r="M2287" s="26" t="n">
        <x:v>0.1</x:v>
      </x:c>
      <x:c r="N2287" s="24" t="n">
        <x:v>10.46195746102814</x:v>
      </x:c>
      <x:c r="O2287" s="28" t="n">
        <x:f>MIN(1,L2287/I2287)</x:f>
        <x:v>0.00551</x:v>
      </x:c>
      <x:c r="P2287" s="30" t="n">
        <x:f>O2287*J2287*(1+M2287)</x:f>
        <x:v>0.006061</x:v>
      </x:c>
      <x:c r="Q2287" s="30" t="n">
        <x:f>P2287*N2287</x:f>
        <x:v>0.06340992417129156</x:v>
      </x:c>
      <x:c r="R2287" s="19" t="str">
        <x:v>独立判定</x:v>
      </x:c>
    </x:row>
    <x:row r="2288" ht="19" customHeight="1">
      <x:c r="A2288" s="19" t="str">
        <x:v>D02284</x:v>
      </x:c>
      <x:c r="B2288" s="19" t="n">
        <x:v>5</x:v>
      </x:c>
      <x:c r="C2288" s="19" t="n">
        <x:v>2</x:v>
      </x:c>
      <x:c r="D2288" s="19" t="str">
        <x:v>C05-M022</x:v>
      </x:c>
      <x:c r="E2288" s="19" t="str">
        <x:v>内院辉核铸像</x:v>
      </x:c>
      <x:c r="F2288" s="19" t="str">
        <x:v>稀有</x:v>
      </x:c>
      <x:c r="G2288" s="19" t="str">
        <x:v>六神器公共池</x:v>
      </x:c>
      <x:c r="H2288" s="19" t="str">
        <x:v>POOL006</x:v>
      </x:c>
      <x:c r="I2288" s="22" t="n">
        <x:v>5000000</x:v>
      </x:c>
      <x:c r="J2288" s="22" t="n">
        <x:v>1</x:v>
      </x:c>
      <x:c r="K2288" s="19" t="n">
        <x:v>6</x:v>
      </x:c>
      <x:c r="L2288" s="24" t="n">
        <x:v>22.04</x:v>
      </x:c>
      <x:c r="M2288" s="26" t="n">
        <x:v>0.1</x:v>
      </x:c>
      <x:c r="N2288" s="24" t="n">
        <x:v>10.46195746102814</x:v>
      </x:c>
      <x:c r="O2288" s="28" t="n">
        <x:f>MIN(1,L2288/I2288)</x:f>
        <x:v>0.000004408</x:v>
      </x:c>
      <x:c r="P2288" s="30" t="n">
        <x:f>O2288*J2288*(1+M2288)</x:f>
        <x:v>0.0000048488</x:v>
      </x:c>
      <x:c r="Q2288" s="30" t="n">
        <x:f>P2288*N2288</x:f>
        <x:v>0.000050727939337033243</x:v>
      </x:c>
      <x:c r="R2288" s="19" t="str">
        <x:v>六选一；非6个独立爆率</x:v>
      </x:c>
    </x:row>
    <x:row r="2289" ht="19" customHeight="1">
      <x:c r="A2289" s="19" t="str">
        <x:v>D02285</x:v>
      </x:c>
      <x:c r="B2289" s="19" t="n">
        <x:v>5</x:v>
      </x:c>
      <x:c r="C2289" s="19" t="n">
        <x:v>2</x:v>
      </x:c>
      <x:c r="D2289" s="19" t="str">
        <x:v>C05-M023</x:v>
      </x:c>
      <x:c r="E2289" s="19" t="str">
        <x:v>裂辉古院监</x:v>
      </x:c>
      <x:c r="F2289" s="19" t="str">
        <x:v>地图BOSS</x:v>
      </x:c>
      <x:c r="G2289" s="19" t="str">
        <x:v>自身专属</x:v>
      </x:c>
      <x:c r="H2289" s="19" t="str">
        <x:v>裂辉监院长戟</x:v>
      </x:c>
      <x:c r="I2289" s="22" t="n">
        <x:v>60</x:v>
      </x:c>
      <x:c r="J2289" s="22" t="n">
        <x:v>1</x:v>
      </x:c>
      <x:c r="K2289" s="19" t="n">
        <x:v>1</x:v>
      </x:c>
      <x:c r="L2289" s="24" t="n">
        <x:v>22.04</x:v>
      </x:c>
      <x:c r="M2289" s="26" t="n">
        <x:v>0.1</x:v>
      </x:c>
      <x:c r="N2289" s="24" t="n">
        <x:v>2</x:v>
      </x:c>
      <x:c r="O2289" s="28" t="n">
        <x:f>MIN(1,L2289/I2289)</x:f>
        <x:v>0.36733333333333335</x:v>
      </x:c>
      <x:c r="P2289" s="30" t="n">
        <x:f>O2289*J2289*(1+M2289)</x:f>
        <x:v>0.4040666666666667</x:v>
      </x:c>
      <x:c r="Q2289" s="30" t="n">
        <x:f>P2289*N2289</x:f>
        <x:v>0.8081333333333334</x:v>
      </x:c>
      <x:c r="R2289" s="19" t="str">
        <x:v>独立判定</x:v>
      </x:c>
    </x:row>
    <x:row r="2290" ht="19" customHeight="1">
      <x:c r="A2290" s="19" t="str">
        <x:v>D02286</x:v>
      </x:c>
      <x:c r="B2290" s="19" t="n">
        <x:v>5</x:v>
      </x:c>
      <x:c r="C2290" s="19" t="n">
        <x:v>2</x:v>
      </x:c>
      <x:c r="D2290" s="19" t="str">
        <x:v>C05-M023</x:v>
      </x:c>
      <x:c r="E2290" s="19" t="str">
        <x:v>裂辉古院监</x:v>
      </x:c>
      <x:c r="F2290" s="19" t="str">
        <x:v>地图BOSS</x:v>
      </x:c>
      <x:c r="G2290" s="19" t="str">
        <x:v>本图普通兼掉候选</x:v>
      </x:c>
      <x:c r="H2290" s="19" t="str">
        <x:v>POOL038</x:v>
      </x:c>
      <x:c r="I2290" s="22" t="n">
        <x:v>60</x:v>
      </x:c>
      <x:c r="J2290" s="22" t="n">
        <x:v>1</x:v>
      </x:c>
      <x:c r="K2290" s="19" t="n">
        <x:v>1</x:v>
      </x:c>
      <x:c r="L2290" s="24" t="n">
        <x:v>22.04</x:v>
      </x:c>
      <x:c r="M2290" s="26" t="n">
        <x:v>0.1</x:v>
      </x:c>
      <x:c r="N2290" s="24" t="n">
        <x:v>2</x:v>
      </x:c>
      <x:c r="O2290" s="28" t="n">
        <x:f>MIN(1,L2290/I2290)</x:f>
        <x:v>0.36733333333333335</x:v>
      </x:c>
      <x:c r="P2290" s="30" t="n">
        <x:f>O2290*J2290*(1+M2290)</x:f>
        <x:v>0.4040666666666667</x:v>
      </x:c>
      <x:c r="Q2290" s="30" t="n">
        <x:f>P2290*N2290</x:f>
        <x:v>0.8081333333333334</x:v>
      </x:c>
      <x:c r="R2290" s="19" t="str">
        <x:v>单池选一</x:v>
      </x:c>
    </x:row>
    <x:row r="2291" ht="19" customHeight="1">
      <x:c r="A2291" s="19" t="str">
        <x:v>D02287</x:v>
      </x:c>
      <x:c r="B2291" s="19" t="n">
        <x:v>5</x:v>
      </x:c>
      <x:c r="C2291" s="19" t="n">
        <x:v>2</x:v>
      </x:c>
      <x:c r="D2291" s="19" t="str">
        <x:v>C05-M023</x:v>
      </x:c>
      <x:c r="E2291" s="19" t="str">
        <x:v>裂辉古院监</x:v>
      </x:c>
      <x:c r="F2291" s="19" t="str">
        <x:v>地图BOSS</x:v>
      </x:c>
      <x:c r="G2291" s="19" t="str">
        <x:v>材料独立候选</x:v>
      </x:c>
      <x:c r="H2291" s="19" t="str">
        <x:v>辉石碎晶</x:v>
      </x:c>
      <x:c r="I2291" s="22" t="n">
        <x:v>250</x:v>
      </x:c>
      <x:c r="J2291" s="22" t="n">
        <x:v>30</x:v>
      </x:c>
      <x:c r="K2291" s="19" t="n">
        <x:v>1</x:v>
      </x:c>
      <x:c r="L2291" s="24" t="n">
        <x:v>22.04</x:v>
      </x:c>
      <x:c r="M2291" s="26" t="n">
        <x:v>0.1</x:v>
      </x:c>
      <x:c r="N2291" s="24" t="n">
        <x:v>2</x:v>
      </x:c>
      <x:c r="O2291" s="28" t="n">
        <x:f>MIN(1,L2291/I2291)</x:f>
        <x:v>0.08816</x:v>
      </x:c>
      <x:c r="P2291" s="30" t="n">
        <x:f>O2291*J2291*(1+M2291)</x:f>
        <x:v>2.9092800000000003</x:v>
      </x:c>
      <x:c r="Q2291" s="30" t="n">
        <x:f>P2291*N2291</x:f>
        <x:v>5.818560000000001</x:v>
      </x:c>
      <x:c r="R2291" s="19" t="str">
        <x:v>独立判定</x:v>
      </x:c>
    </x:row>
    <x:row r="2292" ht="19" customHeight="1">
      <x:c r="A2292" s="19" t="str">
        <x:v>D02288</x:v>
      </x:c>
      <x:c r="B2292" s="19" t="n">
        <x:v>5</x:v>
      </x:c>
      <x:c r="C2292" s="19" t="n">
        <x:v>2</x:v>
      </x:c>
      <x:c r="D2292" s="19" t="str">
        <x:v>C05-M023</x:v>
      </x:c>
      <x:c r="E2292" s="19" t="str">
        <x:v>裂辉古院监</x:v>
      </x:c>
      <x:c r="F2292" s="19" t="str">
        <x:v>地图BOSS</x:v>
      </x:c>
      <x:c r="G2292" s="19" t="str">
        <x:v>材料独立候选</x:v>
      </x:c>
      <x:c r="H2292" s="19" t="str">
        <x:v>卡利亚月露</x:v>
      </x:c>
      <x:c r="I2292" s="22" t="n">
        <x:v>400</x:v>
      </x:c>
      <x:c r="J2292" s="22" t="n">
        <x:v>1</x:v>
      </x:c>
      <x:c r="K2292" s="19" t="n">
        <x:v>1</x:v>
      </x:c>
      <x:c r="L2292" s="24" t="n">
        <x:v>22.04</x:v>
      </x:c>
      <x:c r="M2292" s="26" t="n">
        <x:v>0.1</x:v>
      </x:c>
      <x:c r="N2292" s="24" t="n">
        <x:v>2</x:v>
      </x:c>
      <x:c r="O2292" s="28" t="n">
        <x:f>MIN(1,L2292/I2292)</x:f>
        <x:v>0.055099999999999996</x:v>
      </x:c>
      <x:c r="P2292" s="30" t="n">
        <x:f>O2292*J2292*(1+M2292)</x:f>
        <x:v>0.060610000000000004</x:v>
      </x:c>
      <x:c r="Q2292" s="30" t="n">
        <x:f>P2292*N2292</x:f>
        <x:v>0.12122000000000001</x:v>
      </x:c>
      <x:c r="R2292" s="19" t="str">
        <x:v>独立判定</x:v>
      </x:c>
    </x:row>
    <x:row r="2293" ht="19" customHeight="1">
      <x:c r="A2293" s="19" t="str">
        <x:v>D02289</x:v>
      </x:c>
      <x:c r="B2293" s="19" t="n">
        <x:v>5</x:v>
      </x:c>
      <x:c r="C2293" s="19" t="n">
        <x:v>2</x:v>
      </x:c>
      <x:c r="D2293" s="19" t="str">
        <x:v>C05-M023</x:v>
      </x:c>
      <x:c r="E2293" s="19" t="str">
        <x:v>裂辉古院监</x:v>
      </x:c>
      <x:c r="F2293" s="19" t="str">
        <x:v>地图BOSS</x:v>
      </x:c>
      <x:c r="G2293" s="19" t="str">
        <x:v>材料独立候选</x:v>
      </x:c>
      <x:c r="H2293" s="19" t="str">
        <x:v>满月王室印</x:v>
      </x:c>
      <x:c r="I2293" s="22" t="n">
        <x:v>120</x:v>
      </x:c>
      <x:c r="J2293" s="22" t="n">
        <x:v>3</x:v>
      </x:c>
      <x:c r="K2293" s="19" t="n">
        <x:v>1</x:v>
      </x:c>
      <x:c r="L2293" s="24" t="n">
        <x:v>22.04</x:v>
      </x:c>
      <x:c r="M2293" s="26" t="n">
        <x:v>0.1</x:v>
      </x:c>
      <x:c r="N2293" s="24" t="n">
        <x:v>2</x:v>
      </x:c>
      <x:c r="O2293" s="28" t="n">
        <x:f>MIN(1,L2293/I2293)</x:f>
        <x:v>0.18366666666666667</x:v>
      </x:c>
      <x:c r="P2293" s="30" t="n">
        <x:f>O2293*J2293*(1+M2293)</x:f>
        <x:v>0.6061000000000001</x:v>
      </x:c>
      <x:c r="Q2293" s="30" t="n">
        <x:f>P2293*N2293</x:f>
        <x:v>1.2122000000000002</x:v>
      </x:c>
      <x:c r="R2293" s="19" t="str">
        <x:v>独立判定</x:v>
      </x:c>
    </x:row>
    <x:row r="2294" ht="19" customHeight="1">
      <x:c r="A2294" s="19" t="str">
        <x:v>D02290</x:v>
      </x:c>
      <x:c r="B2294" s="19" t="n">
        <x:v>5</x:v>
      </x:c>
      <x:c r="C2294" s="19" t="n">
        <x:v>2</x:v>
      </x:c>
      <x:c r="D2294" s="19" t="str">
        <x:v>C05-M023</x:v>
      </x:c>
      <x:c r="E2294" s="19" t="str">
        <x:v>裂辉古院监</x:v>
      </x:c>
      <x:c r="F2294" s="19" t="str">
        <x:v>地图BOSS</x:v>
      </x:c>
      <x:c r="G2294" s="19" t="str">
        <x:v>材料独立候选</x:v>
      </x:c>
      <x:c r="H2294" s="19" t="str">
        <x:v>月蚀镜片</x:v>
      </x:c>
      <x:c r="I2294" s="22" t="n">
        <x:v>120</x:v>
      </x:c>
      <x:c r="J2294" s="22" t="n">
        <x:v>2</x:v>
      </x:c>
      <x:c r="K2294" s="19" t="n">
        <x:v>1</x:v>
      </x:c>
      <x:c r="L2294" s="24" t="n">
        <x:v>22.04</x:v>
      </x:c>
      <x:c r="M2294" s="26" t="n">
        <x:v>0.1</x:v>
      </x:c>
      <x:c r="N2294" s="24" t="n">
        <x:v>2</x:v>
      </x:c>
      <x:c r="O2294" s="28" t="n">
        <x:f>MIN(1,L2294/I2294)</x:f>
        <x:v>0.18366666666666667</x:v>
      </x:c>
      <x:c r="P2294" s="30" t="n">
        <x:f>O2294*J2294*(1+M2294)</x:f>
        <x:v>0.4040666666666667</x:v>
      </x:c>
      <x:c r="Q2294" s="30" t="n">
        <x:f>P2294*N2294</x:f>
        <x:v>0.8081333333333334</x:v>
      </x:c>
      <x:c r="R2294" s="19" t="str">
        <x:v>独立判定</x:v>
      </x:c>
    </x:row>
    <x:row r="2295" ht="19" customHeight="1">
      <x:c r="A2295" s="19" t="str">
        <x:v>D02291</x:v>
      </x:c>
      <x:c r="B2295" s="19" t="n">
        <x:v>5</x:v>
      </x:c>
      <x:c r="C2295" s="19" t="n">
        <x:v>2</x:v>
      </x:c>
      <x:c r="D2295" s="19" t="str">
        <x:v>C05-M023</x:v>
      </x:c>
      <x:c r="E2295" s="19" t="str">
        <x:v>裂辉古院监</x:v>
      </x:c>
      <x:c r="F2295" s="19" t="str">
        <x:v>地图BOSS</x:v>
      </x:c>
      <x:c r="G2295" s="19" t="str">
        <x:v>材料独立候选</x:v>
      </x:c>
      <x:c r="H2295" s="19" t="str">
        <x:v>湖心月谱残章</x:v>
      </x:c>
      <x:c r="I2295" s="22" t="n">
        <x:v>300000</x:v>
      </x:c>
      <x:c r="J2295" s="22" t="n">
        <x:v>1</x:v>
      </x:c>
      <x:c r="K2295" s="19" t="n">
        <x:v>1</x:v>
      </x:c>
      <x:c r="L2295" s="24" t="n">
        <x:v>22.04</x:v>
      </x:c>
      <x:c r="M2295" s="26" t="n">
        <x:v>0.1</x:v>
      </x:c>
      <x:c r="N2295" s="24" t="n">
        <x:v>2</x:v>
      </x:c>
      <x:c r="O2295" s="28" t="n">
        <x:f>MIN(1,L2295/I2295)</x:f>
        <x:v>0.00007346666666666666</x:v>
      </x:c>
      <x:c r="P2295" s="30" t="n">
        <x:f>O2295*J2295*(1+M2295)</x:f>
        <x:v>0.00008081333333333333</x:v>
      </x:c>
      <x:c r="Q2295" s="30" t="n">
        <x:f>P2295*N2295</x:f>
        <x:v>0.00016162666666666667</x:v>
      </x:c>
      <x:c r="R2295" s="19" t="str">
        <x:v>独立判定</x:v>
      </x:c>
    </x:row>
    <x:row r="2296" ht="19" customHeight="1">
      <x:c r="A2296" s="19" t="str">
        <x:v>D02292</x:v>
      </x:c>
      <x:c r="B2296" s="19" t="n">
        <x:v>5</x:v>
      </x:c>
      <x:c r="C2296" s="19" t="n">
        <x:v>2</x:v>
      </x:c>
      <x:c r="D2296" s="19" t="str">
        <x:v>C05-M023</x:v>
      </x:c>
      <x:c r="E2296" s="19" t="str">
        <x:v>裂辉古院监</x:v>
      </x:c>
      <x:c r="F2296" s="19" t="str">
        <x:v>地图BOSS</x:v>
      </x:c>
      <x:c r="G2296" s="19" t="str">
        <x:v>材料独立候选</x:v>
      </x:c>
      <x:c r="H2296" s="19" t="str">
        <x:v>黄金树芽</x:v>
      </x:c>
      <x:c r="I2296" s="22" t="n">
        <x:v>1800</x:v>
      </x:c>
      <x:c r="J2296" s="22" t="n">
        <x:v>1</x:v>
      </x:c>
      <x:c r="K2296" s="19" t="n">
        <x:v>1</x:v>
      </x:c>
      <x:c r="L2296" s="24" t="n">
        <x:v>22.04</x:v>
      </x:c>
      <x:c r="M2296" s="26" t="n">
        <x:v>0.1</x:v>
      </x:c>
      <x:c r="N2296" s="24" t="n">
        <x:v>2</x:v>
      </x:c>
      <x:c r="O2296" s="28" t="n">
        <x:f>MIN(1,L2296/I2296)</x:f>
        <x:v>0.012244444444444443</x:v>
      </x:c>
      <x:c r="P2296" s="30" t="n">
        <x:f>O2296*J2296*(1+M2296)</x:f>
        <x:v>0.013468888888888888</x:v>
      </x:c>
      <x:c r="Q2296" s="30" t="n">
        <x:f>P2296*N2296</x:f>
        <x:v>0.026937777777777776</x:v>
      </x:c>
      <x:c r="R2296" s="19" t="str">
        <x:v>独立判定</x:v>
      </x:c>
    </x:row>
    <x:row r="2297" ht="19" customHeight="1">
      <x:c r="A2297" s="19" t="str">
        <x:v>D02293</x:v>
      </x:c>
      <x:c r="B2297" s="19" t="n">
        <x:v>5</x:v>
      </x:c>
      <x:c r="C2297" s="19" t="n">
        <x:v>2</x:v>
      </x:c>
      <x:c r="D2297" s="19" t="str">
        <x:v>C05-M023</x:v>
      </x:c>
      <x:c r="E2297" s="19" t="str">
        <x:v>裂辉古院监</x:v>
      </x:c>
      <x:c r="F2297" s="19" t="str">
        <x:v>地图BOSS</x:v>
      </x:c>
      <x:c r="G2297" s="19" t="str">
        <x:v>材料独立候选</x:v>
      </x:c>
      <x:c r="H2297" s="19" t="str">
        <x:v>野兽骨片</x:v>
      </x:c>
      <x:c r="I2297" s="22" t="n">
        <x:v>40</x:v>
      </x:c>
      <x:c r="J2297" s="22" t="n">
        <x:v>3</x:v>
      </x:c>
      <x:c r="K2297" s="19" t="n">
        <x:v>1</x:v>
      </x:c>
      <x:c r="L2297" s="24" t="n">
        <x:v>22.04</x:v>
      </x:c>
      <x:c r="M2297" s="26" t="n">
        <x:v>0.1</x:v>
      </x:c>
      <x:c r="N2297" s="24" t="n">
        <x:v>2</x:v>
      </x:c>
      <x:c r="O2297" s="28" t="n">
        <x:f>MIN(1,L2297/I2297)</x:f>
        <x:v>0.5509999999999999</x:v>
      </x:c>
      <x:c r="P2297" s="30" t="n">
        <x:f>O2297*J2297*(1+M2297)</x:f>
        <x:v>1.8183</x:v>
      </x:c>
      <x:c r="Q2297" s="30" t="n">
        <x:f>P2297*N2297</x:f>
        <x:v>3.6366</x:v>
      </x:c>
      <x:c r="R2297" s="19" t="str">
        <x:v>独立判定</x:v>
      </x:c>
    </x:row>
    <x:row r="2298" ht="19" customHeight="1">
      <x:c r="A2298" s="19" t="str">
        <x:v>D02294</x:v>
      </x:c>
      <x:c r="B2298" s="19" t="n">
        <x:v>5</x:v>
      </x:c>
      <x:c r="C2298" s="19" t="n">
        <x:v>2</x:v>
      </x:c>
      <x:c r="D2298" s="19" t="str">
        <x:v>C05-M023</x:v>
      </x:c>
      <x:c r="E2298" s="19" t="str">
        <x:v>裂辉古院监</x:v>
      </x:c>
      <x:c r="F2298" s="19" t="str">
        <x:v>地图BOSS</x:v>
      </x:c>
      <x:c r="G2298" s="19" t="str">
        <x:v>材料独立候选</x:v>
      </x:c>
      <x:c r="H2298" s="19" t="str">
        <x:v>技能残页</x:v>
      </x:c>
      <x:c r="I2298" s="22" t="n">
        <x:v>1000</x:v>
      </x:c>
      <x:c r="J2298" s="22" t="n">
        <x:v>1</x:v>
      </x:c>
      <x:c r="K2298" s="19" t="n">
        <x:v>1</x:v>
      </x:c>
      <x:c r="L2298" s="24" t="n">
        <x:v>22.04</x:v>
      </x:c>
      <x:c r="M2298" s="26" t="n">
        <x:v>0.1</x:v>
      </x:c>
      <x:c r="N2298" s="24" t="n">
        <x:v>2</x:v>
      </x:c>
      <x:c r="O2298" s="28" t="n">
        <x:f>MIN(1,L2298/I2298)</x:f>
        <x:v>0.02204</x:v>
      </x:c>
      <x:c r="P2298" s="30" t="n">
        <x:f>O2298*J2298*(1+M2298)</x:f>
        <x:v>0.024244</x:v>
      </x:c>
      <x:c r="Q2298" s="30" t="n">
        <x:f>P2298*N2298</x:f>
        <x:v>0.048488</x:v>
      </x:c>
      <x:c r="R2298" s="19" t="str">
        <x:v>独立判定</x:v>
      </x:c>
    </x:row>
    <x:row r="2299" ht="19" customHeight="1">
      <x:c r="A2299" s="19" t="str">
        <x:v>D02295</x:v>
      </x:c>
      <x:c r="B2299" s="19" t="n">
        <x:v>5</x:v>
      </x:c>
      <x:c r="C2299" s="19" t="n">
        <x:v>2</x:v>
      </x:c>
      <x:c r="D2299" s="19" t="str">
        <x:v>C05-M023</x:v>
      </x:c>
      <x:c r="E2299" s="19" t="str">
        <x:v>裂辉古院监</x:v>
      </x:c>
      <x:c r="F2299" s="19" t="str">
        <x:v>地图BOSS</x:v>
      </x:c>
      <x:c r="G2299" s="19" t="str">
        <x:v>材料独立候选</x:v>
      </x:c>
      <x:c r="H2299" s="19" t="str">
        <x:v>宁姆格福誓页</x:v>
      </x:c>
      <x:c r="I2299" s="22" t="n">
        <x:v>300</x:v>
      </x:c>
      <x:c r="J2299" s="22" t="n">
        <x:v>1</x:v>
      </x:c>
      <x:c r="K2299" s="19" t="n">
        <x:v>1</x:v>
      </x:c>
      <x:c r="L2299" s="24" t="n">
        <x:v>22.04</x:v>
      </x:c>
      <x:c r="M2299" s="26" t="n">
        <x:v>0.1</x:v>
      </x:c>
      <x:c r="N2299" s="24" t="n">
        <x:v>2</x:v>
      </x:c>
      <x:c r="O2299" s="28" t="n">
        <x:f>MIN(1,L2299/I2299)</x:f>
        <x:v>0.07346666666666667</x:v>
      </x:c>
      <x:c r="P2299" s="30" t="n">
        <x:f>O2299*J2299*(1+M2299)</x:f>
        <x:v>0.08081333333333333</x:v>
      </x:c>
      <x:c r="Q2299" s="30" t="n">
        <x:f>P2299*N2299</x:f>
        <x:v>0.16162666666666667</x:v>
      </x:c>
      <x:c r="R2299" s="19" t="str">
        <x:v>独立判定</x:v>
      </x:c>
    </x:row>
    <x:row r="2300" ht="19" customHeight="1">
      <x:c r="A2300" s="19" t="str">
        <x:v>D02296</x:v>
      </x:c>
      <x:c r="B2300" s="19" t="n">
        <x:v>5</x:v>
      </x:c>
      <x:c r="C2300" s="19" t="n">
        <x:v>2</x:v>
      </x:c>
      <x:c r="D2300" s="19" t="str">
        <x:v>C05-M023</x:v>
      </x:c>
      <x:c r="E2300" s="19" t="str">
        <x:v>裂辉古院监</x:v>
      </x:c>
      <x:c r="F2300" s="19" t="str">
        <x:v>地图BOSS</x:v>
      </x:c>
      <x:c r="G2300" s="19" t="str">
        <x:v>材料独立候选</x:v>
      </x:c>
      <x:c r="H2300" s="19" t="str">
        <x:v>小卢恩</x:v>
      </x:c>
      <x:c r="I2300" s="22" t="n">
        <x:v>2000</x:v>
      </x:c>
      <x:c r="J2300" s="22" t="n">
        <x:v>1</x:v>
      </x:c>
      <x:c r="K2300" s="19" t="n">
        <x:v>1</x:v>
      </x:c>
      <x:c r="L2300" s="24" t="n">
        <x:v>22.04</x:v>
      </x:c>
      <x:c r="M2300" s="26" t="n">
        <x:v>0.1</x:v>
      </x:c>
      <x:c r="N2300" s="24" t="n">
        <x:v>2</x:v>
      </x:c>
      <x:c r="O2300" s="28" t="n">
        <x:f>MIN(1,L2300/I2300)</x:f>
        <x:v>0.01102</x:v>
      </x:c>
      <x:c r="P2300" s="30" t="n">
        <x:f>O2300*J2300*(1+M2300)</x:f>
        <x:v>0.012122</x:v>
      </x:c>
      <x:c r="Q2300" s="30" t="n">
        <x:f>P2300*N2300</x:f>
        <x:v>0.024244</x:v>
      </x:c>
      <x:c r="R2300" s="19" t="str">
        <x:v>独立判定</x:v>
      </x:c>
    </x:row>
    <x:row r="2301" ht="19" customHeight="1">
      <x:c r="A2301" s="19" t="str">
        <x:v>D02297</x:v>
      </x:c>
      <x:c r="B2301" s="19" t="n">
        <x:v>5</x:v>
      </x:c>
      <x:c r="C2301" s="19" t="n">
        <x:v>2</x:v>
      </x:c>
      <x:c r="D2301" s="19" t="str">
        <x:v>C05-M023</x:v>
      </x:c>
      <x:c r="E2301" s="19" t="str">
        <x:v>裂辉古院监</x:v>
      </x:c>
      <x:c r="F2301" s="19" t="str">
        <x:v>地图BOSS</x:v>
      </x:c>
      <x:c r="G2301" s="19" t="str">
        <x:v>材料独立候选</x:v>
      </x:c>
      <x:c r="H2301" s="19" t="str">
        <x:v>大卢恩</x:v>
      </x:c>
      <x:c r="I2301" s="22" t="n">
        <x:v>200</x:v>
      </x:c>
      <x:c r="J2301" s="22" t="n">
        <x:v>1</x:v>
      </x:c>
      <x:c r="K2301" s="19" t="n">
        <x:v>1</x:v>
      </x:c>
      <x:c r="L2301" s="24" t="n">
        <x:v>22.04</x:v>
      </x:c>
      <x:c r="M2301" s="26" t="n">
        <x:v>0.1</x:v>
      </x:c>
      <x:c r="N2301" s="24" t="n">
        <x:v>2</x:v>
      </x:c>
      <x:c r="O2301" s="28" t="n">
        <x:f>MIN(1,L2301/I2301)</x:f>
        <x:v>0.11019999999999999</x:v>
      </x:c>
      <x:c r="P2301" s="30" t="n">
        <x:f>O2301*J2301*(1+M2301)</x:f>
        <x:v>0.12122000000000001</x:v>
      </x:c>
      <x:c r="Q2301" s="30" t="n">
        <x:f>P2301*N2301</x:f>
        <x:v>0.24244000000000002</x:v>
      </x:c>
      <x:c r="R2301" s="19" t="str">
        <x:v>独立判定</x:v>
      </x:c>
    </x:row>
    <x:row r="2302" ht="19" customHeight="1">
      <x:c r="A2302" s="19" t="str">
        <x:v>D02298</x:v>
      </x:c>
      <x:c r="B2302" s="19" t="n">
        <x:v>5</x:v>
      </x:c>
      <x:c r="C2302" s="19" t="n">
        <x:v>2</x:v>
      </x:c>
      <x:c r="D2302" s="19" t="str">
        <x:v>C05-M023</x:v>
      </x:c>
      <x:c r="E2302" s="19" t="str">
        <x:v>裂辉古院监</x:v>
      </x:c>
      <x:c r="F2302" s="19" t="str">
        <x:v>地图BOSS</x:v>
      </x:c>
      <x:c r="G2302" s="19" t="str">
        <x:v>六神器公共池</x:v>
      </x:c>
      <x:c r="H2302" s="19" t="str">
        <x:v>POOL006</x:v>
      </x:c>
      <x:c r="I2302" s="22" t="n">
        <x:v>200000</x:v>
      </x:c>
      <x:c r="J2302" s="22" t="n">
        <x:v>1</x:v>
      </x:c>
      <x:c r="K2302" s="19" t="n">
        <x:v>6</x:v>
      </x:c>
      <x:c r="L2302" s="24" t="n">
        <x:v>22.04</x:v>
      </x:c>
      <x:c r="M2302" s="26" t="n">
        <x:v>0.1</x:v>
      </x:c>
      <x:c r="N2302" s="24" t="n">
        <x:v>2</x:v>
      </x:c>
      <x:c r="O2302" s="28" t="n">
        <x:f>MIN(1,L2302/I2302)</x:f>
        <x:v>0.0001102</x:v>
      </x:c>
      <x:c r="P2302" s="30" t="n">
        <x:f>O2302*J2302*(1+M2302)</x:f>
        <x:v>0.00012122000000000001</x:v>
      </x:c>
      <x:c r="Q2302" s="30" t="n">
        <x:f>P2302*N2302</x:f>
        <x:v>0.00024244000000000002</x:v>
      </x:c>
      <x:c r="R2302" s="19" t="str">
        <x:v>六选一；非6个独立爆率</x:v>
      </x:c>
    </x:row>
    <x:row r="2303" ht="19" customHeight="1">
      <x:c r="A2303" s="19" t="str">
        <x:v>D02299</x:v>
      </x:c>
      <x:c r="B2303" s="19" t="n">
        <x:v>5</x:v>
      </x:c>
      <x:c r="C2303" s="19" t="n">
        <x:v>2</x:v>
      </x:c>
      <x:c r="D2303" s="19" t="str">
        <x:v>C05-M024</x:v>
      </x:c>
      <x:c r="E2303" s="19" t="str">
        <x:v>万棱圣坛龙蜥</x:v>
      </x:c>
      <x:c r="F2303" s="19" t="str">
        <x:v>地图BOSS</x:v>
      </x:c>
      <x:c r="G2303" s="19" t="str">
        <x:v>自身专属</x:v>
      </x:c>
      <x:c r="H2303" s="19" t="str">
        <x:v>万棱圣坛鳞衣</x:v>
      </x:c>
      <x:c r="I2303" s="22" t="n">
        <x:v>120</x:v>
      </x:c>
      <x:c r="J2303" s="22" t="n">
        <x:v>1</x:v>
      </x:c>
      <x:c r="K2303" s="19" t="n">
        <x:v>1</x:v>
      </x:c>
      <x:c r="L2303" s="24" t="n">
        <x:v>22.04</x:v>
      </x:c>
      <x:c r="M2303" s="26" t="n">
        <x:v>0.1</x:v>
      </x:c>
      <x:c r="N2303" s="24" t="n">
        <x:v>2</x:v>
      </x:c>
      <x:c r="O2303" s="28" t="n">
        <x:f>MIN(1,L2303/I2303)</x:f>
        <x:v>0.18366666666666667</x:v>
      </x:c>
      <x:c r="P2303" s="30" t="n">
        <x:f>O2303*J2303*(1+M2303)</x:f>
        <x:v>0.20203333333333334</x:v>
      </x:c>
      <x:c r="Q2303" s="30" t="n">
        <x:f>P2303*N2303</x:f>
        <x:v>0.4040666666666667</x:v>
      </x:c>
      <x:c r="R2303" s="19" t="str">
        <x:v>独立判定</x:v>
      </x:c>
    </x:row>
    <x:row r="2304" ht="19" customHeight="1">
      <x:c r="A2304" s="19" t="str">
        <x:v>D02300</x:v>
      </x:c>
      <x:c r="B2304" s="19" t="n">
        <x:v>5</x:v>
      </x:c>
      <x:c r="C2304" s="19" t="n">
        <x:v>2</x:v>
      </x:c>
      <x:c r="D2304" s="19" t="str">
        <x:v>C05-M024</x:v>
      </x:c>
      <x:c r="E2304" s="19" t="str">
        <x:v>万棱圣坛龙蜥</x:v>
      </x:c>
      <x:c r="F2304" s="19" t="str">
        <x:v>地图BOSS</x:v>
      </x:c>
      <x:c r="G2304" s="19" t="str">
        <x:v>自身专属</x:v>
      </x:c>
      <x:c r="H2304" s="19" t="str">
        <x:v>星泪誓链</x:v>
      </x:c>
      <x:c r="I2304" s="22" t="n">
        <x:v>120</x:v>
      </x:c>
      <x:c r="J2304" s="22" t="n">
        <x:v>1</x:v>
      </x:c>
      <x:c r="K2304" s="19" t="n">
        <x:v>1</x:v>
      </x:c>
      <x:c r="L2304" s="24" t="n">
        <x:v>22.04</x:v>
      </x:c>
      <x:c r="M2304" s="26" t="n">
        <x:v>0.1</x:v>
      </x:c>
      <x:c r="N2304" s="24" t="n">
        <x:v>2</x:v>
      </x:c>
      <x:c r="O2304" s="28" t="n">
        <x:f>MIN(1,L2304/I2304)</x:f>
        <x:v>0.18366666666666667</x:v>
      </x:c>
      <x:c r="P2304" s="30" t="n">
        <x:f>O2304*J2304*(1+M2304)</x:f>
        <x:v>0.20203333333333334</x:v>
      </x:c>
      <x:c r="Q2304" s="30" t="n">
        <x:f>P2304*N2304</x:f>
        <x:v>0.4040666666666667</x:v>
      </x:c>
      <x:c r="R2304" s="19" t="str">
        <x:v>独立判定</x:v>
      </x:c>
    </x:row>
    <x:row r="2305" ht="19" customHeight="1">
      <x:c r="A2305" s="19" t="str">
        <x:v>D02301</x:v>
      </x:c>
      <x:c r="B2305" s="19" t="n">
        <x:v>5</x:v>
      </x:c>
      <x:c r="C2305" s="19" t="n">
        <x:v>2</x:v>
      </x:c>
      <x:c r="D2305" s="19" t="str">
        <x:v>C05-M024</x:v>
      </x:c>
      <x:c r="E2305" s="19" t="str">
        <x:v>万棱圣坛龙蜥</x:v>
      </x:c>
      <x:c r="F2305" s="19" t="str">
        <x:v>地图BOSS</x:v>
      </x:c>
      <x:c r="G2305" s="19" t="str">
        <x:v>本图普通兼掉候选</x:v>
      </x:c>
      <x:c r="H2305" s="19" t="str">
        <x:v>POOL039</x:v>
      </x:c>
      <x:c r="I2305" s="22" t="n">
        <x:v>60</x:v>
      </x:c>
      <x:c r="J2305" s="22" t="n">
        <x:v>1</x:v>
      </x:c>
      <x:c r="K2305" s="19" t="n">
        <x:v>1</x:v>
      </x:c>
      <x:c r="L2305" s="24" t="n">
        <x:v>22.04</x:v>
      </x:c>
      <x:c r="M2305" s="26" t="n">
        <x:v>0.1</x:v>
      </x:c>
      <x:c r="N2305" s="24" t="n">
        <x:v>2</x:v>
      </x:c>
      <x:c r="O2305" s="28" t="n">
        <x:f>MIN(1,L2305/I2305)</x:f>
        <x:v>0.36733333333333335</x:v>
      </x:c>
      <x:c r="P2305" s="30" t="n">
        <x:f>O2305*J2305*(1+M2305)</x:f>
        <x:v>0.4040666666666667</x:v>
      </x:c>
      <x:c r="Q2305" s="30" t="n">
        <x:f>P2305*N2305</x:f>
        <x:v>0.8081333333333334</x:v>
      </x:c>
      <x:c r="R2305" s="19" t="str">
        <x:v>单池选一</x:v>
      </x:c>
    </x:row>
    <x:row r="2306" ht="19" customHeight="1">
      <x:c r="A2306" s="19" t="str">
        <x:v>D02302</x:v>
      </x:c>
      <x:c r="B2306" s="19" t="n">
        <x:v>5</x:v>
      </x:c>
      <x:c r="C2306" s="19" t="n">
        <x:v>2</x:v>
      </x:c>
      <x:c r="D2306" s="19" t="str">
        <x:v>C05-M024</x:v>
      </x:c>
      <x:c r="E2306" s="19" t="str">
        <x:v>万棱圣坛龙蜥</x:v>
      </x:c>
      <x:c r="F2306" s="19" t="str">
        <x:v>地图BOSS</x:v>
      </x:c>
      <x:c r="G2306" s="19" t="str">
        <x:v>材料独立候选</x:v>
      </x:c>
      <x:c r="H2306" s="19" t="str">
        <x:v>辉石碎晶</x:v>
      </x:c>
      <x:c r="I2306" s="22" t="n">
        <x:v>250</x:v>
      </x:c>
      <x:c r="J2306" s="22" t="n">
        <x:v>30</x:v>
      </x:c>
      <x:c r="K2306" s="19" t="n">
        <x:v>1</x:v>
      </x:c>
      <x:c r="L2306" s="24" t="n">
        <x:v>22.04</x:v>
      </x:c>
      <x:c r="M2306" s="26" t="n">
        <x:v>0.1</x:v>
      </x:c>
      <x:c r="N2306" s="24" t="n">
        <x:v>2</x:v>
      </x:c>
      <x:c r="O2306" s="28" t="n">
        <x:f>MIN(1,L2306/I2306)</x:f>
        <x:v>0.08816</x:v>
      </x:c>
      <x:c r="P2306" s="30" t="n">
        <x:f>O2306*J2306*(1+M2306)</x:f>
        <x:v>2.9092800000000003</x:v>
      </x:c>
      <x:c r="Q2306" s="30" t="n">
        <x:f>P2306*N2306</x:f>
        <x:v>5.818560000000001</x:v>
      </x:c>
      <x:c r="R2306" s="19" t="str">
        <x:v>独立判定</x:v>
      </x:c>
    </x:row>
    <x:row r="2307" ht="19" customHeight="1">
      <x:c r="A2307" s="19" t="str">
        <x:v>D02303</x:v>
      </x:c>
      <x:c r="B2307" s="19" t="n">
        <x:v>5</x:v>
      </x:c>
      <x:c r="C2307" s="19" t="n">
        <x:v>2</x:v>
      </x:c>
      <x:c r="D2307" s="19" t="str">
        <x:v>C05-M024</x:v>
      </x:c>
      <x:c r="E2307" s="19" t="str">
        <x:v>万棱圣坛龙蜥</x:v>
      </x:c>
      <x:c r="F2307" s="19" t="str">
        <x:v>地图BOSS</x:v>
      </x:c>
      <x:c r="G2307" s="19" t="str">
        <x:v>材料独立候选</x:v>
      </x:c>
      <x:c r="H2307" s="19" t="str">
        <x:v>卡利亚月露</x:v>
      </x:c>
      <x:c r="I2307" s="22" t="n">
        <x:v>400</x:v>
      </x:c>
      <x:c r="J2307" s="22" t="n">
        <x:v>1</x:v>
      </x:c>
      <x:c r="K2307" s="19" t="n">
        <x:v>1</x:v>
      </x:c>
      <x:c r="L2307" s="24" t="n">
        <x:v>22.04</x:v>
      </x:c>
      <x:c r="M2307" s="26" t="n">
        <x:v>0.1</x:v>
      </x:c>
      <x:c r="N2307" s="24" t="n">
        <x:v>2</x:v>
      </x:c>
      <x:c r="O2307" s="28" t="n">
        <x:f>MIN(1,L2307/I2307)</x:f>
        <x:v>0.055099999999999996</x:v>
      </x:c>
      <x:c r="P2307" s="30" t="n">
        <x:f>O2307*J2307*(1+M2307)</x:f>
        <x:v>0.060610000000000004</x:v>
      </x:c>
      <x:c r="Q2307" s="30" t="n">
        <x:f>P2307*N2307</x:f>
        <x:v>0.12122000000000001</x:v>
      </x:c>
      <x:c r="R2307" s="19" t="str">
        <x:v>独立判定</x:v>
      </x:c>
    </x:row>
    <x:row r="2308" ht="19" customHeight="1">
      <x:c r="A2308" s="19" t="str">
        <x:v>D02304</x:v>
      </x:c>
      <x:c r="B2308" s="19" t="n">
        <x:v>5</x:v>
      </x:c>
      <x:c r="C2308" s="19" t="n">
        <x:v>2</x:v>
      </x:c>
      <x:c r="D2308" s="19" t="str">
        <x:v>C05-M024</x:v>
      </x:c>
      <x:c r="E2308" s="19" t="str">
        <x:v>万棱圣坛龙蜥</x:v>
      </x:c>
      <x:c r="F2308" s="19" t="str">
        <x:v>地图BOSS</x:v>
      </x:c>
      <x:c r="G2308" s="19" t="str">
        <x:v>材料独立候选</x:v>
      </x:c>
      <x:c r="H2308" s="19" t="str">
        <x:v>满月王室印</x:v>
      </x:c>
      <x:c r="I2308" s="22" t="n">
        <x:v>120</x:v>
      </x:c>
      <x:c r="J2308" s="22" t="n">
        <x:v>3</x:v>
      </x:c>
      <x:c r="K2308" s="19" t="n">
        <x:v>1</x:v>
      </x:c>
      <x:c r="L2308" s="24" t="n">
        <x:v>22.04</x:v>
      </x:c>
      <x:c r="M2308" s="26" t="n">
        <x:v>0.1</x:v>
      </x:c>
      <x:c r="N2308" s="24" t="n">
        <x:v>2</x:v>
      </x:c>
      <x:c r="O2308" s="28" t="n">
        <x:f>MIN(1,L2308/I2308)</x:f>
        <x:v>0.18366666666666667</x:v>
      </x:c>
      <x:c r="P2308" s="30" t="n">
        <x:f>O2308*J2308*(1+M2308)</x:f>
        <x:v>0.6061000000000001</x:v>
      </x:c>
      <x:c r="Q2308" s="30" t="n">
        <x:f>P2308*N2308</x:f>
        <x:v>1.2122000000000002</x:v>
      </x:c>
      <x:c r="R2308" s="19" t="str">
        <x:v>独立判定</x:v>
      </x:c>
    </x:row>
    <x:row r="2309" ht="19" customHeight="1">
      <x:c r="A2309" s="19" t="str">
        <x:v>D02305</x:v>
      </x:c>
      <x:c r="B2309" s="19" t="n">
        <x:v>5</x:v>
      </x:c>
      <x:c r="C2309" s="19" t="n">
        <x:v>2</x:v>
      </x:c>
      <x:c r="D2309" s="19" t="str">
        <x:v>C05-M024</x:v>
      </x:c>
      <x:c r="E2309" s="19" t="str">
        <x:v>万棱圣坛龙蜥</x:v>
      </x:c>
      <x:c r="F2309" s="19" t="str">
        <x:v>地图BOSS</x:v>
      </x:c>
      <x:c r="G2309" s="19" t="str">
        <x:v>材料独立候选</x:v>
      </x:c>
      <x:c r="H2309" s="19" t="str">
        <x:v>月蚀镜片</x:v>
      </x:c>
      <x:c r="I2309" s="22" t="n">
        <x:v>120</x:v>
      </x:c>
      <x:c r="J2309" s="22" t="n">
        <x:v>2</x:v>
      </x:c>
      <x:c r="K2309" s="19" t="n">
        <x:v>1</x:v>
      </x:c>
      <x:c r="L2309" s="24" t="n">
        <x:v>22.04</x:v>
      </x:c>
      <x:c r="M2309" s="26" t="n">
        <x:v>0.1</x:v>
      </x:c>
      <x:c r="N2309" s="24" t="n">
        <x:v>2</x:v>
      </x:c>
      <x:c r="O2309" s="28" t="n">
        <x:f>MIN(1,L2309/I2309)</x:f>
        <x:v>0.18366666666666667</x:v>
      </x:c>
      <x:c r="P2309" s="30" t="n">
        <x:f>O2309*J2309*(1+M2309)</x:f>
        <x:v>0.4040666666666667</x:v>
      </x:c>
      <x:c r="Q2309" s="30" t="n">
        <x:f>P2309*N2309</x:f>
        <x:v>0.8081333333333334</x:v>
      </x:c>
      <x:c r="R2309" s="19" t="str">
        <x:v>独立判定</x:v>
      </x:c>
    </x:row>
    <x:row r="2310" ht="19" customHeight="1">
      <x:c r="A2310" s="19" t="str">
        <x:v>D02306</x:v>
      </x:c>
      <x:c r="B2310" s="19" t="n">
        <x:v>5</x:v>
      </x:c>
      <x:c r="C2310" s="19" t="n">
        <x:v>2</x:v>
      </x:c>
      <x:c r="D2310" s="19" t="str">
        <x:v>C05-M024</x:v>
      </x:c>
      <x:c r="E2310" s="19" t="str">
        <x:v>万棱圣坛龙蜥</x:v>
      </x:c>
      <x:c r="F2310" s="19" t="str">
        <x:v>地图BOSS</x:v>
      </x:c>
      <x:c r="G2310" s="19" t="str">
        <x:v>材料独立候选</x:v>
      </x:c>
      <x:c r="H2310" s="19" t="str">
        <x:v>湖心月谱残章</x:v>
      </x:c>
      <x:c r="I2310" s="22" t="n">
        <x:v>300000</x:v>
      </x:c>
      <x:c r="J2310" s="22" t="n">
        <x:v>1</x:v>
      </x:c>
      <x:c r="K2310" s="19" t="n">
        <x:v>1</x:v>
      </x:c>
      <x:c r="L2310" s="24" t="n">
        <x:v>22.04</x:v>
      </x:c>
      <x:c r="M2310" s="26" t="n">
        <x:v>0.1</x:v>
      </x:c>
      <x:c r="N2310" s="24" t="n">
        <x:v>2</x:v>
      </x:c>
      <x:c r="O2310" s="28" t="n">
        <x:f>MIN(1,L2310/I2310)</x:f>
        <x:v>0.00007346666666666666</x:v>
      </x:c>
      <x:c r="P2310" s="30" t="n">
        <x:f>O2310*J2310*(1+M2310)</x:f>
        <x:v>0.00008081333333333333</x:v>
      </x:c>
      <x:c r="Q2310" s="30" t="n">
        <x:f>P2310*N2310</x:f>
        <x:v>0.00016162666666666667</x:v>
      </x:c>
      <x:c r="R2310" s="19" t="str">
        <x:v>独立判定</x:v>
      </x:c>
    </x:row>
    <x:row r="2311" ht="19" customHeight="1">
      <x:c r="A2311" s="19" t="str">
        <x:v>D02307</x:v>
      </x:c>
      <x:c r="B2311" s="19" t="n">
        <x:v>5</x:v>
      </x:c>
      <x:c r="C2311" s="19" t="n">
        <x:v>2</x:v>
      </x:c>
      <x:c r="D2311" s="19" t="str">
        <x:v>C05-M024</x:v>
      </x:c>
      <x:c r="E2311" s="19" t="str">
        <x:v>万棱圣坛龙蜥</x:v>
      </x:c>
      <x:c r="F2311" s="19" t="str">
        <x:v>地图BOSS</x:v>
      </x:c>
      <x:c r="G2311" s="19" t="str">
        <x:v>材料独立候选</x:v>
      </x:c>
      <x:c r="H2311" s="19" t="str">
        <x:v>黄金树芽</x:v>
      </x:c>
      <x:c r="I2311" s="22" t="n">
        <x:v>1800</x:v>
      </x:c>
      <x:c r="J2311" s="22" t="n">
        <x:v>1</x:v>
      </x:c>
      <x:c r="K2311" s="19" t="n">
        <x:v>1</x:v>
      </x:c>
      <x:c r="L2311" s="24" t="n">
        <x:v>22.04</x:v>
      </x:c>
      <x:c r="M2311" s="26" t="n">
        <x:v>0.1</x:v>
      </x:c>
      <x:c r="N2311" s="24" t="n">
        <x:v>2</x:v>
      </x:c>
      <x:c r="O2311" s="28" t="n">
        <x:f>MIN(1,L2311/I2311)</x:f>
        <x:v>0.012244444444444443</x:v>
      </x:c>
      <x:c r="P2311" s="30" t="n">
        <x:f>O2311*J2311*(1+M2311)</x:f>
        <x:v>0.013468888888888888</x:v>
      </x:c>
      <x:c r="Q2311" s="30" t="n">
        <x:f>P2311*N2311</x:f>
        <x:v>0.026937777777777776</x:v>
      </x:c>
      <x:c r="R2311" s="19" t="str">
        <x:v>独立判定</x:v>
      </x:c>
    </x:row>
    <x:row r="2312" ht="19" customHeight="1">
      <x:c r="A2312" s="19" t="str">
        <x:v>D02308</x:v>
      </x:c>
      <x:c r="B2312" s="19" t="n">
        <x:v>5</x:v>
      </x:c>
      <x:c r="C2312" s="19" t="n">
        <x:v>2</x:v>
      </x:c>
      <x:c r="D2312" s="19" t="str">
        <x:v>C05-M024</x:v>
      </x:c>
      <x:c r="E2312" s="19" t="str">
        <x:v>万棱圣坛龙蜥</x:v>
      </x:c>
      <x:c r="F2312" s="19" t="str">
        <x:v>地图BOSS</x:v>
      </x:c>
      <x:c r="G2312" s="19" t="str">
        <x:v>材料独立候选</x:v>
      </x:c>
      <x:c r="H2312" s="19" t="str">
        <x:v>野兽骨片</x:v>
      </x:c>
      <x:c r="I2312" s="22" t="n">
        <x:v>40</x:v>
      </x:c>
      <x:c r="J2312" s="22" t="n">
        <x:v>3</x:v>
      </x:c>
      <x:c r="K2312" s="19" t="n">
        <x:v>1</x:v>
      </x:c>
      <x:c r="L2312" s="24" t="n">
        <x:v>22.04</x:v>
      </x:c>
      <x:c r="M2312" s="26" t="n">
        <x:v>0.1</x:v>
      </x:c>
      <x:c r="N2312" s="24" t="n">
        <x:v>2</x:v>
      </x:c>
      <x:c r="O2312" s="28" t="n">
        <x:f>MIN(1,L2312/I2312)</x:f>
        <x:v>0.5509999999999999</x:v>
      </x:c>
      <x:c r="P2312" s="30" t="n">
        <x:f>O2312*J2312*(1+M2312)</x:f>
        <x:v>1.8183</x:v>
      </x:c>
      <x:c r="Q2312" s="30" t="n">
        <x:f>P2312*N2312</x:f>
        <x:v>3.6366</x:v>
      </x:c>
      <x:c r="R2312" s="19" t="str">
        <x:v>独立判定</x:v>
      </x:c>
    </x:row>
    <x:row r="2313" ht="19" customHeight="1">
      <x:c r="A2313" s="19" t="str">
        <x:v>D02309</x:v>
      </x:c>
      <x:c r="B2313" s="19" t="n">
        <x:v>5</x:v>
      </x:c>
      <x:c r="C2313" s="19" t="n">
        <x:v>2</x:v>
      </x:c>
      <x:c r="D2313" s="19" t="str">
        <x:v>C05-M024</x:v>
      </x:c>
      <x:c r="E2313" s="19" t="str">
        <x:v>万棱圣坛龙蜥</x:v>
      </x:c>
      <x:c r="F2313" s="19" t="str">
        <x:v>地图BOSS</x:v>
      </x:c>
      <x:c r="G2313" s="19" t="str">
        <x:v>材料独立候选</x:v>
      </x:c>
      <x:c r="H2313" s="19" t="str">
        <x:v>技能残页</x:v>
      </x:c>
      <x:c r="I2313" s="22" t="n">
        <x:v>1000</x:v>
      </x:c>
      <x:c r="J2313" s="22" t="n">
        <x:v>1</x:v>
      </x:c>
      <x:c r="K2313" s="19" t="n">
        <x:v>1</x:v>
      </x:c>
      <x:c r="L2313" s="24" t="n">
        <x:v>22.04</x:v>
      </x:c>
      <x:c r="M2313" s="26" t="n">
        <x:v>0.1</x:v>
      </x:c>
      <x:c r="N2313" s="24" t="n">
        <x:v>2</x:v>
      </x:c>
      <x:c r="O2313" s="28" t="n">
        <x:f>MIN(1,L2313/I2313)</x:f>
        <x:v>0.02204</x:v>
      </x:c>
      <x:c r="P2313" s="30" t="n">
        <x:f>O2313*J2313*(1+M2313)</x:f>
        <x:v>0.024244</x:v>
      </x:c>
      <x:c r="Q2313" s="30" t="n">
        <x:f>P2313*N2313</x:f>
        <x:v>0.048488</x:v>
      </x:c>
      <x:c r="R2313" s="19" t="str">
        <x:v>独立判定</x:v>
      </x:c>
    </x:row>
    <x:row r="2314" ht="19" customHeight="1">
      <x:c r="A2314" s="19" t="str">
        <x:v>D02310</x:v>
      </x:c>
      <x:c r="B2314" s="19" t="n">
        <x:v>5</x:v>
      </x:c>
      <x:c r="C2314" s="19" t="n">
        <x:v>2</x:v>
      </x:c>
      <x:c r="D2314" s="19" t="str">
        <x:v>C05-M024</x:v>
      </x:c>
      <x:c r="E2314" s="19" t="str">
        <x:v>万棱圣坛龙蜥</x:v>
      </x:c>
      <x:c r="F2314" s="19" t="str">
        <x:v>地图BOSS</x:v>
      </x:c>
      <x:c r="G2314" s="19" t="str">
        <x:v>材料独立候选</x:v>
      </x:c>
      <x:c r="H2314" s="19" t="str">
        <x:v>宁姆格福誓页</x:v>
      </x:c>
      <x:c r="I2314" s="22" t="n">
        <x:v>300</x:v>
      </x:c>
      <x:c r="J2314" s="22" t="n">
        <x:v>1</x:v>
      </x:c>
      <x:c r="K2314" s="19" t="n">
        <x:v>1</x:v>
      </x:c>
      <x:c r="L2314" s="24" t="n">
        <x:v>22.04</x:v>
      </x:c>
      <x:c r="M2314" s="26" t="n">
        <x:v>0.1</x:v>
      </x:c>
      <x:c r="N2314" s="24" t="n">
        <x:v>2</x:v>
      </x:c>
      <x:c r="O2314" s="28" t="n">
        <x:f>MIN(1,L2314/I2314)</x:f>
        <x:v>0.07346666666666667</x:v>
      </x:c>
      <x:c r="P2314" s="30" t="n">
        <x:f>O2314*J2314*(1+M2314)</x:f>
        <x:v>0.08081333333333333</x:v>
      </x:c>
      <x:c r="Q2314" s="30" t="n">
        <x:f>P2314*N2314</x:f>
        <x:v>0.16162666666666667</x:v>
      </x:c>
      <x:c r="R2314" s="19" t="str">
        <x:v>独立判定</x:v>
      </x:c>
    </x:row>
    <x:row r="2315" ht="19" customHeight="1">
      <x:c r="A2315" s="19" t="str">
        <x:v>D02311</x:v>
      </x:c>
      <x:c r="B2315" s="19" t="n">
        <x:v>5</x:v>
      </x:c>
      <x:c r="C2315" s="19" t="n">
        <x:v>2</x:v>
      </x:c>
      <x:c r="D2315" s="19" t="str">
        <x:v>C05-M024</x:v>
      </x:c>
      <x:c r="E2315" s="19" t="str">
        <x:v>万棱圣坛龙蜥</x:v>
      </x:c>
      <x:c r="F2315" s="19" t="str">
        <x:v>地图BOSS</x:v>
      </x:c>
      <x:c r="G2315" s="19" t="str">
        <x:v>材料独立候选</x:v>
      </x:c>
      <x:c r="H2315" s="19" t="str">
        <x:v>小卢恩</x:v>
      </x:c>
      <x:c r="I2315" s="22" t="n">
        <x:v>2000</x:v>
      </x:c>
      <x:c r="J2315" s="22" t="n">
        <x:v>1</x:v>
      </x:c>
      <x:c r="K2315" s="19" t="n">
        <x:v>1</x:v>
      </x:c>
      <x:c r="L2315" s="24" t="n">
        <x:v>22.04</x:v>
      </x:c>
      <x:c r="M2315" s="26" t="n">
        <x:v>0.1</x:v>
      </x:c>
      <x:c r="N2315" s="24" t="n">
        <x:v>2</x:v>
      </x:c>
      <x:c r="O2315" s="28" t="n">
        <x:f>MIN(1,L2315/I2315)</x:f>
        <x:v>0.01102</x:v>
      </x:c>
      <x:c r="P2315" s="30" t="n">
        <x:f>O2315*J2315*(1+M2315)</x:f>
        <x:v>0.012122</x:v>
      </x:c>
      <x:c r="Q2315" s="30" t="n">
        <x:f>P2315*N2315</x:f>
        <x:v>0.024244</x:v>
      </x:c>
      <x:c r="R2315" s="19" t="str">
        <x:v>独立判定</x:v>
      </x:c>
    </x:row>
    <x:row r="2316" ht="19" customHeight="1">
      <x:c r="A2316" s="19" t="str">
        <x:v>D02312</x:v>
      </x:c>
      <x:c r="B2316" s="19" t="n">
        <x:v>5</x:v>
      </x:c>
      <x:c r="C2316" s="19" t="n">
        <x:v>2</x:v>
      </x:c>
      <x:c r="D2316" s="19" t="str">
        <x:v>C05-M024</x:v>
      </x:c>
      <x:c r="E2316" s="19" t="str">
        <x:v>万棱圣坛龙蜥</x:v>
      </x:c>
      <x:c r="F2316" s="19" t="str">
        <x:v>地图BOSS</x:v>
      </x:c>
      <x:c r="G2316" s="19" t="str">
        <x:v>材料独立候选</x:v>
      </x:c>
      <x:c r="H2316" s="19" t="str">
        <x:v>大卢恩</x:v>
      </x:c>
      <x:c r="I2316" s="22" t="n">
        <x:v>200</x:v>
      </x:c>
      <x:c r="J2316" s="22" t="n">
        <x:v>1</x:v>
      </x:c>
      <x:c r="K2316" s="19" t="n">
        <x:v>1</x:v>
      </x:c>
      <x:c r="L2316" s="24" t="n">
        <x:v>22.04</x:v>
      </x:c>
      <x:c r="M2316" s="26" t="n">
        <x:v>0.1</x:v>
      </x:c>
      <x:c r="N2316" s="24" t="n">
        <x:v>2</x:v>
      </x:c>
      <x:c r="O2316" s="28" t="n">
        <x:f>MIN(1,L2316/I2316)</x:f>
        <x:v>0.11019999999999999</x:v>
      </x:c>
      <x:c r="P2316" s="30" t="n">
        <x:f>O2316*J2316*(1+M2316)</x:f>
        <x:v>0.12122000000000001</x:v>
      </x:c>
      <x:c r="Q2316" s="30" t="n">
        <x:f>P2316*N2316</x:f>
        <x:v>0.24244000000000002</x:v>
      </x:c>
      <x:c r="R2316" s="19" t="str">
        <x:v>独立判定</x:v>
      </x:c>
    </x:row>
    <x:row r="2317" ht="19" customHeight="1">
      <x:c r="A2317" s="19" t="str">
        <x:v>D02313</x:v>
      </x:c>
      <x:c r="B2317" s="19" t="n">
        <x:v>5</x:v>
      </x:c>
      <x:c r="C2317" s="19" t="n">
        <x:v>2</x:v>
      </x:c>
      <x:c r="D2317" s="19" t="str">
        <x:v>C05-M024</x:v>
      </x:c>
      <x:c r="E2317" s="19" t="str">
        <x:v>万棱圣坛龙蜥</x:v>
      </x:c>
      <x:c r="F2317" s="19" t="str">
        <x:v>地图BOSS</x:v>
      </x:c>
      <x:c r="G2317" s="19" t="str">
        <x:v>六神器公共池</x:v>
      </x:c>
      <x:c r="H2317" s="19" t="str">
        <x:v>POOL006</x:v>
      </x:c>
      <x:c r="I2317" s="22" t="n">
        <x:v>200000</x:v>
      </x:c>
      <x:c r="J2317" s="22" t="n">
        <x:v>1</x:v>
      </x:c>
      <x:c r="K2317" s="19" t="n">
        <x:v>6</x:v>
      </x:c>
      <x:c r="L2317" s="24" t="n">
        <x:v>22.04</x:v>
      </x:c>
      <x:c r="M2317" s="26" t="n">
        <x:v>0.1</x:v>
      </x:c>
      <x:c r="N2317" s="24" t="n">
        <x:v>2</x:v>
      </x:c>
      <x:c r="O2317" s="28" t="n">
        <x:f>MIN(1,L2317/I2317)</x:f>
        <x:v>0.0001102</x:v>
      </x:c>
      <x:c r="P2317" s="30" t="n">
        <x:f>O2317*J2317*(1+M2317)</x:f>
        <x:v>0.00012122000000000001</x:v>
      </x:c>
      <x:c r="Q2317" s="30" t="n">
        <x:f>P2317*N2317</x:f>
        <x:v>0.00024244000000000002</x:v>
      </x:c>
      <x:c r="R2317" s="19" t="str">
        <x:v>六选一；非6个独立爆率</x:v>
      </x:c>
    </x:row>
    <x:row r="2318" ht="19" customHeight="1">
      <x:c r="A2318" s="19" t="str">
        <x:v>D02314</x:v>
      </x:c>
      <x:c r="B2318" s="19" t="n">
        <x:v>5</x:v>
      </x:c>
      <x:c r="C2318" s="19" t="n">
        <x:v>3</x:v>
      </x:c>
      <x:c r="D2318" s="19" t="str">
        <x:v>C05-M025</x:v>
      </x:c>
      <x:c r="E2318" s="19" t="str">
        <x:v>墨羽抄录仆</x:v>
      </x:c>
      <x:c r="F2318" s="19" t="str">
        <x:v>普通</x:v>
      </x:c>
      <x:c r="G2318" s="19" t="str">
        <x:v>自身专属</x:v>
      </x:c>
      <x:c r="H2318" s="19" t="str">
        <x:v>墨羽校录笠</x:v>
      </x:c>
      <x:c r="I2318" s="22" t="n">
        <x:v>1800</x:v>
      </x:c>
      <x:c r="J2318" s="22" t="n">
        <x:v>1</x:v>
      </x:c>
      <x:c r="K2318" s="19" t="n">
        <x:v>1</x:v>
      </x:c>
      <x:c r="L2318" s="24" t="n">
        <x:v>23.973333333333333</x:v>
      </x:c>
      <x:c r="M2318" s="26" t="n">
        <x:v>0.1</x:v>
      </x:c>
      <x:c r="N2318" s="24" t="n">
        <x:v>72</x:v>
      </x:c>
      <x:c r="O2318" s="28" t="n">
        <x:f>MIN(1,L2318/I2318)</x:f>
        <x:v>0.013318518518518518</x:v>
      </x:c>
      <x:c r="P2318" s="30" t="n">
        <x:f>O2318*J2318*(1+M2318)</x:f>
        <x:v>0.014650370370370371</x:v>
      </x:c>
      <x:c r="Q2318" s="30" t="n">
        <x:f>P2318*N2318</x:f>
        <x:v>1.0548266666666668</x:v>
      </x:c>
      <x:c r="R2318" s="19" t="str">
        <x:v>独立判定</x:v>
      </x:c>
    </x:row>
    <x:row r="2319" ht="19" customHeight="1">
      <x:c r="A2319" s="19" t="str">
        <x:v>D02315</x:v>
      </x:c>
      <x:c r="B2319" s="19" t="n">
        <x:v>5</x:v>
      </x:c>
      <x:c r="C2319" s="19" t="n">
        <x:v>3</x:v>
      </x:c>
      <x:c r="D2319" s="19" t="str">
        <x:v>C05-M025</x:v>
      </x:c>
      <x:c r="E2319" s="19" t="str">
        <x:v>墨羽抄录仆</x:v>
      </x:c>
      <x:c r="F2319" s="19" t="str">
        <x:v>普通</x:v>
      </x:c>
      <x:c r="G2319" s="19" t="str">
        <x:v>材料独立候选</x:v>
      </x:c>
      <x:c r="H2319" s="19" t="str">
        <x:v>辉石碎晶</x:v>
      </x:c>
      <x:c r="I2319" s="22" t="n">
        <x:v>800</x:v>
      </x:c>
      <x:c r="J2319" s="22" t="n">
        <x:v>8</x:v>
      </x:c>
      <x:c r="K2319" s="19" t="n">
        <x:v>1</x:v>
      </x:c>
      <x:c r="L2319" s="24" t="n">
        <x:v>23.973333333333333</x:v>
      </x:c>
      <x:c r="M2319" s="26" t="n">
        <x:v>0.1</x:v>
      </x:c>
      <x:c r="N2319" s="24" t="n">
        <x:v>72</x:v>
      </x:c>
      <x:c r="O2319" s="28" t="n">
        <x:f>MIN(1,L2319/I2319)</x:f>
        <x:v>0.029966666666666666</x:v>
      </x:c>
      <x:c r="P2319" s="30" t="n">
        <x:f>O2319*J2319*(1+M2319)</x:f>
        <x:v>0.2637066666666667</x:v>
      </x:c>
      <x:c r="Q2319" s="30" t="n">
        <x:f>P2319*N2319</x:f>
        <x:v>18.986880000000003</x:v>
      </x:c>
      <x:c r="R2319" s="19" t="str">
        <x:v>独立判定</x:v>
      </x:c>
    </x:row>
    <x:row r="2320" ht="19" customHeight="1">
      <x:c r="A2320" s="19" t="str">
        <x:v>D02316</x:v>
      </x:c>
      <x:c r="B2320" s="19" t="n">
        <x:v>5</x:v>
      </x:c>
      <x:c r="C2320" s="19" t="n">
        <x:v>3</x:v>
      </x:c>
      <x:c r="D2320" s="19" t="str">
        <x:v>C05-M025</x:v>
      </x:c>
      <x:c r="E2320" s="19" t="str">
        <x:v>墨羽抄录仆</x:v>
      </x:c>
      <x:c r="F2320" s="19" t="str">
        <x:v>普通</x:v>
      </x:c>
      <x:c r="G2320" s="19" t="str">
        <x:v>材料独立候选</x:v>
      </x:c>
      <x:c r="H2320" s="19" t="str">
        <x:v>雾月星砂</x:v>
      </x:c>
      <x:c r="I2320" s="22" t="n">
        <x:v>1000</x:v>
      </x:c>
      <x:c r="J2320" s="22" t="n">
        <x:v>1</x:v>
      </x:c>
      <x:c r="K2320" s="19" t="n">
        <x:v>1</x:v>
      </x:c>
      <x:c r="L2320" s="24" t="n">
        <x:v>23.973333333333333</x:v>
      </x:c>
      <x:c r="M2320" s="26" t="n">
        <x:v>0.1</x:v>
      </x:c>
      <x:c r="N2320" s="24" t="n">
        <x:v>72</x:v>
      </x:c>
      <x:c r="O2320" s="28" t="n">
        <x:f>MIN(1,L2320/I2320)</x:f>
        <x:v>0.023973333333333333</x:v>
      </x:c>
      <x:c r="P2320" s="30" t="n">
        <x:f>O2320*J2320*(1+M2320)</x:f>
        <x:v>0.026370666666666667</x:v>
      </x:c>
      <x:c r="Q2320" s="30" t="n">
        <x:f>P2320*N2320</x:f>
        <x:v>1.898688</x:v>
      </x:c>
      <x:c r="R2320" s="19" t="str">
        <x:v>独立判定</x:v>
      </x:c>
    </x:row>
    <x:row r="2321" ht="19" customHeight="1">
      <x:c r="A2321" s="19" t="str">
        <x:v>D02317</x:v>
      </x:c>
      <x:c r="B2321" s="19" t="n">
        <x:v>5</x:v>
      </x:c>
      <x:c r="C2321" s="19" t="n">
        <x:v>3</x:v>
      </x:c>
      <x:c r="D2321" s="19" t="str">
        <x:v>C05-M025</x:v>
      </x:c>
      <x:c r="E2321" s="19" t="str">
        <x:v>墨羽抄录仆</x:v>
      </x:c>
      <x:c r="F2321" s="19" t="str">
        <x:v>普通</x:v>
      </x:c>
      <x:c r="G2321" s="19" t="str">
        <x:v>材料独立候选</x:v>
      </x:c>
      <x:c r="H2321" s="19" t="str">
        <x:v>湖心月谱残章</x:v>
      </x:c>
      <x:c r="I2321" s="22" t="n">
        <x:v>1000000</x:v>
      </x:c>
      <x:c r="J2321" s="22" t="n">
        <x:v>1</x:v>
      </x:c>
      <x:c r="K2321" s="19" t="n">
        <x:v>1</x:v>
      </x:c>
      <x:c r="L2321" s="24" t="n">
        <x:v>23.973333333333333</x:v>
      </x:c>
      <x:c r="M2321" s="26" t="n">
        <x:v>0.1</x:v>
      </x:c>
      <x:c r="N2321" s="24" t="n">
        <x:v>72</x:v>
      </x:c>
      <x:c r="O2321" s="28" t="n">
        <x:f>MIN(1,L2321/I2321)</x:f>
        <x:v>0.000023973333333333333</x:v>
      </x:c>
      <x:c r="P2321" s="30" t="n">
        <x:f>O2321*J2321*(1+M2321)</x:f>
        <x:v>0.000026370666666666668</x:v>
      </x:c>
      <x:c r="Q2321" s="30" t="n">
        <x:f>P2321*N2321</x:f>
        <x:v>0.0018986880000000002</x:v>
      </x:c>
      <x:c r="R2321" s="19" t="str">
        <x:v>独立判定</x:v>
      </x:c>
    </x:row>
    <x:row r="2322" ht="19" customHeight="1">
      <x:c r="A2322" s="19" t="str">
        <x:v>D02318</x:v>
      </x:c>
      <x:c r="B2322" s="19" t="n">
        <x:v>5</x:v>
      </x:c>
      <x:c r="C2322" s="19" t="n">
        <x:v>3</x:v>
      </x:c>
      <x:c r="D2322" s="19" t="str">
        <x:v>C05-M025</x:v>
      </x:c>
      <x:c r="E2322" s="19" t="str">
        <x:v>墨羽抄录仆</x:v>
      </x:c>
      <x:c r="F2322" s="19" t="str">
        <x:v>普通</x:v>
      </x:c>
      <x:c r="G2322" s="19" t="str">
        <x:v>材料独立候选</x:v>
      </x:c>
      <x:c r="H2322" s="19" t="str">
        <x:v>野兽骨片</x:v>
      </x:c>
      <x:c r="I2322" s="22" t="n">
        <x:v>120</x:v>
      </x:c>
      <x:c r="J2322" s="22" t="n">
        <x:v>3</x:v>
      </x:c>
      <x:c r="K2322" s="19" t="n">
        <x:v>1</x:v>
      </x:c>
      <x:c r="L2322" s="24" t="n">
        <x:v>23.973333333333333</x:v>
      </x:c>
      <x:c r="M2322" s="26" t="n">
        <x:v>0.1</x:v>
      </x:c>
      <x:c r="N2322" s="24" t="n">
        <x:v>72</x:v>
      </x:c>
      <x:c r="O2322" s="28" t="n">
        <x:f>MIN(1,L2322/I2322)</x:f>
        <x:v>0.19977777777777778</x:v>
      </x:c>
      <x:c r="P2322" s="30" t="n">
        <x:f>O2322*J2322*(1+M2322)</x:f>
        <x:v>0.6592666666666667</x:v>
      </x:c>
      <x:c r="Q2322" s="30" t="n">
        <x:f>P2322*N2322</x:f>
        <x:v>47.4672</x:v>
      </x:c>
      <x:c r="R2322" s="19" t="str">
        <x:v>独立判定</x:v>
      </x:c>
    </x:row>
    <x:row r="2323" ht="19" customHeight="1">
      <x:c r="A2323" s="19" t="str">
        <x:v>D02319</x:v>
      </x:c>
      <x:c r="B2323" s="19" t="n">
        <x:v>5</x:v>
      </x:c>
      <x:c r="C2323" s="19" t="n">
        <x:v>3</x:v>
      </x:c>
      <x:c r="D2323" s="19" t="str">
        <x:v>C05-M025</x:v>
      </x:c>
      <x:c r="E2323" s="19" t="str">
        <x:v>墨羽抄录仆</x:v>
      </x:c>
      <x:c r="F2323" s="19" t="str">
        <x:v>普通</x:v>
      </x:c>
      <x:c r="G2323" s="19" t="str">
        <x:v>材料独立候选</x:v>
      </x:c>
      <x:c r="H2323" s="19" t="str">
        <x:v>技能残页</x:v>
      </x:c>
      <x:c r="I2323" s="22" t="n">
        <x:v>3000</x:v>
      </x:c>
      <x:c r="J2323" s="22" t="n">
        <x:v>1</x:v>
      </x:c>
      <x:c r="K2323" s="19" t="n">
        <x:v>1</x:v>
      </x:c>
      <x:c r="L2323" s="24" t="n">
        <x:v>23.973333333333333</x:v>
      </x:c>
      <x:c r="M2323" s="26" t="n">
        <x:v>0.1</x:v>
      </x:c>
      <x:c r="N2323" s="24" t="n">
        <x:v>72</x:v>
      </x:c>
      <x:c r="O2323" s="28" t="n">
        <x:f>MIN(1,L2323/I2323)</x:f>
        <x:v>0.00799111111111111</x:v>
      </x:c>
      <x:c r="P2323" s="30" t="n">
        <x:f>O2323*J2323*(1+M2323)</x:f>
        <x:v>0.008790222222222222</x:v>
      </x:c>
      <x:c r="Q2323" s="30" t="n">
        <x:f>P2323*N2323</x:f>
        <x:v>0.632896</x:v>
      </x:c>
      <x:c r="R2323" s="19" t="str">
        <x:v>独立判定</x:v>
      </x:c>
    </x:row>
    <x:row r="2324" ht="19" customHeight="1">
      <x:c r="A2324" s="19" t="str">
        <x:v>D02320</x:v>
      </x:c>
      <x:c r="B2324" s="19" t="n">
        <x:v>5</x:v>
      </x:c>
      <x:c r="C2324" s="19" t="n">
        <x:v>3</x:v>
      </x:c>
      <x:c r="D2324" s="19" t="str">
        <x:v>C05-M025</x:v>
      </x:c>
      <x:c r="E2324" s="19" t="str">
        <x:v>墨羽抄录仆</x:v>
      </x:c>
      <x:c r="F2324" s="19" t="str">
        <x:v>普通</x:v>
      </x:c>
      <x:c r="G2324" s="19" t="str">
        <x:v>材料独立候选</x:v>
      </x:c>
      <x:c r="H2324" s="19" t="str">
        <x:v>小卢恩</x:v>
      </x:c>
      <x:c r="I2324" s="22" t="n">
        <x:v>6000</x:v>
      </x:c>
      <x:c r="J2324" s="22" t="n">
        <x:v>1</x:v>
      </x:c>
      <x:c r="K2324" s="19" t="n">
        <x:v>1</x:v>
      </x:c>
      <x:c r="L2324" s="24" t="n">
        <x:v>23.973333333333333</x:v>
      </x:c>
      <x:c r="M2324" s="26" t="n">
        <x:v>0.1</x:v>
      </x:c>
      <x:c r="N2324" s="24" t="n">
        <x:v>72</x:v>
      </x:c>
      <x:c r="O2324" s="28" t="n">
        <x:f>MIN(1,L2324/I2324)</x:f>
        <x:v>0.003995555555555555</x:v>
      </x:c>
      <x:c r="P2324" s="30" t="n">
        <x:f>O2324*J2324*(1+M2324)</x:f>
        <x:v>0.004395111111111111</x:v>
      </x:c>
      <x:c r="Q2324" s="30" t="n">
        <x:f>P2324*N2324</x:f>
        <x:v>0.316448</x:v>
      </x:c>
      <x:c r="R2324" s="19" t="str">
        <x:v>独立判定</x:v>
      </x:c>
    </x:row>
    <x:row r="2325" ht="19" customHeight="1">
      <x:c r="A2325" s="19" t="str">
        <x:v>D02321</x:v>
      </x:c>
      <x:c r="B2325" s="19" t="n">
        <x:v>5</x:v>
      </x:c>
      <x:c r="C2325" s="19" t="n">
        <x:v>3</x:v>
      </x:c>
      <x:c r="D2325" s="19" t="str">
        <x:v>C05-M025</x:v>
      </x:c>
      <x:c r="E2325" s="19" t="str">
        <x:v>墨羽抄录仆</x:v>
      </x:c>
      <x:c r="F2325" s="19" t="str">
        <x:v>普通</x:v>
      </x:c>
      <x:c r="G2325" s="19" t="str">
        <x:v>六神器公共池</x:v>
      </x:c>
      <x:c r="H2325" s="19" t="str">
        <x:v>POOL006</x:v>
      </x:c>
      <x:c r="I2325" s="22" t="n">
        <x:v>20000000</x:v>
      </x:c>
      <x:c r="J2325" s="22" t="n">
        <x:v>1</x:v>
      </x:c>
      <x:c r="K2325" s="19" t="n">
        <x:v>6</x:v>
      </x:c>
      <x:c r="L2325" s="24" t="n">
        <x:v>23.973333333333333</x:v>
      </x:c>
      <x:c r="M2325" s="26" t="n">
        <x:v>0.1</x:v>
      </x:c>
      <x:c r="N2325" s="24" t="n">
        <x:v>72</x:v>
      </x:c>
      <x:c r="O2325" s="28" t="n">
        <x:f>MIN(1,L2325/I2325)</x:f>
        <x:v>0.0000011986666666666667</x:v>
      </x:c>
      <x:c r="P2325" s="30" t="n">
        <x:f>O2325*J2325*(1+M2325)</x:f>
        <x:v>0.0000013185333333333334</x:v>
      </x:c>
      <x:c r="Q2325" s="30" t="n">
        <x:f>P2325*N2325</x:f>
        <x:v>0.0000949344</x:v>
      </x:c>
      <x:c r="R2325" s="19" t="str">
        <x:v>六选一；非6个独立爆率</x:v>
      </x:c>
    </x:row>
    <x:row r="2326" ht="19" customHeight="1">
      <x:c r="A2326" s="19" t="str">
        <x:v>D02322</x:v>
      </x:c>
      <x:c r="B2326" s="19" t="n">
        <x:v>5</x:v>
      </x:c>
      <x:c r="C2326" s="19" t="n">
        <x:v>3</x:v>
      </x:c>
      <x:c r="D2326" s="19" t="str">
        <x:v>C05-M026</x:v>
      </x:c>
      <x:c r="E2326" s="19" t="str">
        <x:v>回廊试术生</x:v>
      </x:c>
      <x:c r="F2326" s="19" t="str">
        <x:v>普通</x:v>
      </x:c>
      <x:c r="G2326" s="19" t="str">
        <x:v>自身专属</x:v>
      </x:c>
      <x:c r="H2326" s="19" t="str">
        <x:v>试术银规镯</x:v>
      </x:c>
      <x:c r="I2326" s="22" t="n">
        <x:v>1800</x:v>
      </x:c>
      <x:c r="J2326" s="22" t="n">
        <x:v>1</x:v>
      </x:c>
      <x:c r="K2326" s="19" t="n">
        <x:v>1</x:v>
      </x:c>
      <x:c r="L2326" s="24" t="n">
        <x:v>23.973333333333333</x:v>
      </x:c>
      <x:c r="M2326" s="26" t="n">
        <x:v>0.1</x:v>
      </x:c>
      <x:c r="N2326" s="24" t="n">
        <x:v>72</x:v>
      </x:c>
      <x:c r="O2326" s="28" t="n">
        <x:f>MIN(1,L2326/I2326)</x:f>
        <x:v>0.013318518518518518</x:v>
      </x:c>
      <x:c r="P2326" s="30" t="n">
        <x:f>O2326*J2326*(1+M2326)</x:f>
        <x:v>0.014650370370370371</x:v>
      </x:c>
      <x:c r="Q2326" s="30" t="n">
        <x:f>P2326*N2326</x:f>
        <x:v>1.0548266666666668</x:v>
      </x:c>
      <x:c r="R2326" s="19" t="str">
        <x:v>独立判定</x:v>
      </x:c>
    </x:row>
    <x:row r="2327" ht="19" customHeight="1">
      <x:c r="A2327" s="19" t="str">
        <x:v>D02323</x:v>
      </x:c>
      <x:c r="B2327" s="19" t="n">
        <x:v>5</x:v>
      </x:c>
      <x:c r="C2327" s="19" t="n">
        <x:v>3</x:v>
      </x:c>
      <x:c r="D2327" s="19" t="str">
        <x:v>C05-M026</x:v>
      </x:c>
      <x:c r="E2327" s="19" t="str">
        <x:v>回廊试术生</x:v>
      </x:c>
      <x:c r="F2327" s="19" t="str">
        <x:v>普通</x:v>
      </x:c>
      <x:c r="G2327" s="19" t="str">
        <x:v>材料独立候选</x:v>
      </x:c>
      <x:c r="H2327" s="19" t="str">
        <x:v>辉石碎晶</x:v>
      </x:c>
      <x:c r="I2327" s="22" t="n">
        <x:v>800</x:v>
      </x:c>
      <x:c r="J2327" s="22" t="n">
        <x:v>8</x:v>
      </x:c>
      <x:c r="K2327" s="19" t="n">
        <x:v>1</x:v>
      </x:c>
      <x:c r="L2327" s="24" t="n">
        <x:v>23.973333333333333</x:v>
      </x:c>
      <x:c r="M2327" s="26" t="n">
        <x:v>0.1</x:v>
      </x:c>
      <x:c r="N2327" s="24" t="n">
        <x:v>72</x:v>
      </x:c>
      <x:c r="O2327" s="28" t="n">
        <x:f>MIN(1,L2327/I2327)</x:f>
        <x:v>0.029966666666666666</x:v>
      </x:c>
      <x:c r="P2327" s="30" t="n">
        <x:f>O2327*J2327*(1+M2327)</x:f>
        <x:v>0.2637066666666667</x:v>
      </x:c>
      <x:c r="Q2327" s="30" t="n">
        <x:f>P2327*N2327</x:f>
        <x:v>18.986880000000003</x:v>
      </x:c>
      <x:c r="R2327" s="19" t="str">
        <x:v>独立判定</x:v>
      </x:c>
    </x:row>
    <x:row r="2328" ht="19" customHeight="1">
      <x:c r="A2328" s="19" t="str">
        <x:v>D02324</x:v>
      </x:c>
      <x:c r="B2328" s="19" t="n">
        <x:v>5</x:v>
      </x:c>
      <x:c r="C2328" s="19" t="n">
        <x:v>3</x:v>
      </x:c>
      <x:c r="D2328" s="19" t="str">
        <x:v>C05-M026</x:v>
      </x:c>
      <x:c r="E2328" s="19" t="str">
        <x:v>回廊试术生</x:v>
      </x:c>
      <x:c r="F2328" s="19" t="str">
        <x:v>普通</x:v>
      </x:c>
      <x:c r="G2328" s="19" t="str">
        <x:v>材料独立候选</x:v>
      </x:c>
      <x:c r="H2328" s="19" t="str">
        <x:v>雾月星砂</x:v>
      </x:c>
      <x:c r="I2328" s="22" t="n">
        <x:v>1000</x:v>
      </x:c>
      <x:c r="J2328" s="22" t="n">
        <x:v>1</x:v>
      </x:c>
      <x:c r="K2328" s="19" t="n">
        <x:v>1</x:v>
      </x:c>
      <x:c r="L2328" s="24" t="n">
        <x:v>23.973333333333333</x:v>
      </x:c>
      <x:c r="M2328" s="26" t="n">
        <x:v>0.1</x:v>
      </x:c>
      <x:c r="N2328" s="24" t="n">
        <x:v>72</x:v>
      </x:c>
      <x:c r="O2328" s="28" t="n">
        <x:f>MIN(1,L2328/I2328)</x:f>
        <x:v>0.023973333333333333</x:v>
      </x:c>
      <x:c r="P2328" s="30" t="n">
        <x:f>O2328*J2328*(1+M2328)</x:f>
        <x:v>0.026370666666666667</x:v>
      </x:c>
      <x:c r="Q2328" s="30" t="n">
        <x:f>P2328*N2328</x:f>
        <x:v>1.898688</x:v>
      </x:c>
      <x:c r="R2328" s="19" t="str">
        <x:v>独立判定</x:v>
      </x:c>
    </x:row>
    <x:row r="2329" ht="19" customHeight="1">
      <x:c r="A2329" s="19" t="str">
        <x:v>D02325</x:v>
      </x:c>
      <x:c r="B2329" s="19" t="n">
        <x:v>5</x:v>
      </x:c>
      <x:c r="C2329" s="19" t="n">
        <x:v>3</x:v>
      </x:c>
      <x:c r="D2329" s="19" t="str">
        <x:v>C05-M026</x:v>
      </x:c>
      <x:c r="E2329" s="19" t="str">
        <x:v>回廊试术生</x:v>
      </x:c>
      <x:c r="F2329" s="19" t="str">
        <x:v>普通</x:v>
      </x:c>
      <x:c r="G2329" s="19" t="str">
        <x:v>材料独立候选</x:v>
      </x:c>
      <x:c r="H2329" s="19" t="str">
        <x:v>湖心月谱残章</x:v>
      </x:c>
      <x:c r="I2329" s="22" t="n">
        <x:v>1000000</x:v>
      </x:c>
      <x:c r="J2329" s="22" t="n">
        <x:v>1</x:v>
      </x:c>
      <x:c r="K2329" s="19" t="n">
        <x:v>1</x:v>
      </x:c>
      <x:c r="L2329" s="24" t="n">
        <x:v>23.973333333333333</x:v>
      </x:c>
      <x:c r="M2329" s="26" t="n">
        <x:v>0.1</x:v>
      </x:c>
      <x:c r="N2329" s="24" t="n">
        <x:v>72</x:v>
      </x:c>
      <x:c r="O2329" s="28" t="n">
        <x:f>MIN(1,L2329/I2329)</x:f>
        <x:v>0.000023973333333333333</x:v>
      </x:c>
      <x:c r="P2329" s="30" t="n">
        <x:f>O2329*J2329*(1+M2329)</x:f>
        <x:v>0.000026370666666666668</x:v>
      </x:c>
      <x:c r="Q2329" s="30" t="n">
        <x:f>P2329*N2329</x:f>
        <x:v>0.0018986880000000002</x:v>
      </x:c>
      <x:c r="R2329" s="19" t="str">
        <x:v>独立判定</x:v>
      </x:c>
    </x:row>
    <x:row r="2330" ht="19" customHeight="1">
      <x:c r="A2330" s="19" t="str">
        <x:v>D02326</x:v>
      </x:c>
      <x:c r="B2330" s="19" t="n">
        <x:v>5</x:v>
      </x:c>
      <x:c r="C2330" s="19" t="n">
        <x:v>3</x:v>
      </x:c>
      <x:c r="D2330" s="19" t="str">
        <x:v>C05-M026</x:v>
      </x:c>
      <x:c r="E2330" s="19" t="str">
        <x:v>回廊试术生</x:v>
      </x:c>
      <x:c r="F2330" s="19" t="str">
        <x:v>普通</x:v>
      </x:c>
      <x:c r="G2330" s="19" t="str">
        <x:v>材料独立候选</x:v>
      </x:c>
      <x:c r="H2330" s="19" t="str">
        <x:v>野兽骨片</x:v>
      </x:c>
      <x:c r="I2330" s="22" t="n">
        <x:v>120</x:v>
      </x:c>
      <x:c r="J2330" s="22" t="n">
        <x:v>3</x:v>
      </x:c>
      <x:c r="K2330" s="19" t="n">
        <x:v>1</x:v>
      </x:c>
      <x:c r="L2330" s="24" t="n">
        <x:v>23.973333333333333</x:v>
      </x:c>
      <x:c r="M2330" s="26" t="n">
        <x:v>0.1</x:v>
      </x:c>
      <x:c r="N2330" s="24" t="n">
        <x:v>72</x:v>
      </x:c>
      <x:c r="O2330" s="28" t="n">
        <x:f>MIN(1,L2330/I2330)</x:f>
        <x:v>0.19977777777777778</x:v>
      </x:c>
      <x:c r="P2330" s="30" t="n">
        <x:f>O2330*J2330*(1+M2330)</x:f>
        <x:v>0.6592666666666667</x:v>
      </x:c>
      <x:c r="Q2330" s="30" t="n">
        <x:f>P2330*N2330</x:f>
        <x:v>47.4672</x:v>
      </x:c>
      <x:c r="R2330" s="19" t="str">
        <x:v>独立判定</x:v>
      </x:c>
    </x:row>
    <x:row r="2331" ht="19" customHeight="1">
      <x:c r="A2331" s="19" t="str">
        <x:v>D02327</x:v>
      </x:c>
      <x:c r="B2331" s="19" t="n">
        <x:v>5</x:v>
      </x:c>
      <x:c r="C2331" s="19" t="n">
        <x:v>3</x:v>
      </x:c>
      <x:c r="D2331" s="19" t="str">
        <x:v>C05-M026</x:v>
      </x:c>
      <x:c r="E2331" s="19" t="str">
        <x:v>回廊试术生</x:v>
      </x:c>
      <x:c r="F2331" s="19" t="str">
        <x:v>普通</x:v>
      </x:c>
      <x:c r="G2331" s="19" t="str">
        <x:v>材料独立候选</x:v>
      </x:c>
      <x:c r="H2331" s="19" t="str">
        <x:v>技能残页</x:v>
      </x:c>
      <x:c r="I2331" s="22" t="n">
        <x:v>3000</x:v>
      </x:c>
      <x:c r="J2331" s="22" t="n">
        <x:v>1</x:v>
      </x:c>
      <x:c r="K2331" s="19" t="n">
        <x:v>1</x:v>
      </x:c>
      <x:c r="L2331" s="24" t="n">
        <x:v>23.973333333333333</x:v>
      </x:c>
      <x:c r="M2331" s="26" t="n">
        <x:v>0.1</x:v>
      </x:c>
      <x:c r="N2331" s="24" t="n">
        <x:v>72</x:v>
      </x:c>
      <x:c r="O2331" s="28" t="n">
        <x:f>MIN(1,L2331/I2331)</x:f>
        <x:v>0.00799111111111111</x:v>
      </x:c>
      <x:c r="P2331" s="30" t="n">
        <x:f>O2331*J2331*(1+M2331)</x:f>
        <x:v>0.008790222222222222</x:v>
      </x:c>
      <x:c r="Q2331" s="30" t="n">
        <x:f>P2331*N2331</x:f>
        <x:v>0.632896</x:v>
      </x:c>
      <x:c r="R2331" s="19" t="str">
        <x:v>独立判定</x:v>
      </x:c>
    </x:row>
    <x:row r="2332" ht="19" customHeight="1">
      <x:c r="A2332" s="19" t="str">
        <x:v>D02328</x:v>
      </x:c>
      <x:c r="B2332" s="19" t="n">
        <x:v>5</x:v>
      </x:c>
      <x:c r="C2332" s="19" t="n">
        <x:v>3</x:v>
      </x:c>
      <x:c r="D2332" s="19" t="str">
        <x:v>C05-M026</x:v>
      </x:c>
      <x:c r="E2332" s="19" t="str">
        <x:v>回廊试术生</x:v>
      </x:c>
      <x:c r="F2332" s="19" t="str">
        <x:v>普通</x:v>
      </x:c>
      <x:c r="G2332" s="19" t="str">
        <x:v>材料独立候选</x:v>
      </x:c>
      <x:c r="H2332" s="19" t="str">
        <x:v>小卢恩</x:v>
      </x:c>
      <x:c r="I2332" s="22" t="n">
        <x:v>6000</x:v>
      </x:c>
      <x:c r="J2332" s="22" t="n">
        <x:v>1</x:v>
      </x:c>
      <x:c r="K2332" s="19" t="n">
        <x:v>1</x:v>
      </x:c>
      <x:c r="L2332" s="24" t="n">
        <x:v>23.973333333333333</x:v>
      </x:c>
      <x:c r="M2332" s="26" t="n">
        <x:v>0.1</x:v>
      </x:c>
      <x:c r="N2332" s="24" t="n">
        <x:v>72</x:v>
      </x:c>
      <x:c r="O2332" s="28" t="n">
        <x:f>MIN(1,L2332/I2332)</x:f>
        <x:v>0.003995555555555555</x:v>
      </x:c>
      <x:c r="P2332" s="30" t="n">
        <x:f>O2332*J2332*(1+M2332)</x:f>
        <x:v>0.004395111111111111</x:v>
      </x:c>
      <x:c r="Q2332" s="30" t="n">
        <x:f>P2332*N2332</x:f>
        <x:v>0.316448</x:v>
      </x:c>
      <x:c r="R2332" s="19" t="str">
        <x:v>独立判定</x:v>
      </x:c>
    </x:row>
    <x:row r="2333" ht="19" customHeight="1">
      <x:c r="A2333" s="19" t="str">
        <x:v>D02329</x:v>
      </x:c>
      <x:c r="B2333" s="19" t="n">
        <x:v>5</x:v>
      </x:c>
      <x:c r="C2333" s="19" t="n">
        <x:v>3</x:v>
      </x:c>
      <x:c r="D2333" s="19" t="str">
        <x:v>C05-M026</x:v>
      </x:c>
      <x:c r="E2333" s="19" t="str">
        <x:v>回廊试术生</x:v>
      </x:c>
      <x:c r="F2333" s="19" t="str">
        <x:v>普通</x:v>
      </x:c>
      <x:c r="G2333" s="19" t="str">
        <x:v>六神器公共池</x:v>
      </x:c>
      <x:c r="H2333" s="19" t="str">
        <x:v>POOL006</x:v>
      </x:c>
      <x:c r="I2333" s="22" t="n">
        <x:v>20000000</x:v>
      </x:c>
      <x:c r="J2333" s="22" t="n">
        <x:v>1</x:v>
      </x:c>
      <x:c r="K2333" s="19" t="n">
        <x:v>6</x:v>
      </x:c>
      <x:c r="L2333" s="24" t="n">
        <x:v>23.973333333333333</x:v>
      </x:c>
      <x:c r="M2333" s="26" t="n">
        <x:v>0.1</x:v>
      </x:c>
      <x:c r="N2333" s="24" t="n">
        <x:v>72</x:v>
      </x:c>
      <x:c r="O2333" s="28" t="n">
        <x:f>MIN(1,L2333/I2333)</x:f>
        <x:v>0.0000011986666666666667</x:v>
      </x:c>
      <x:c r="P2333" s="30" t="n">
        <x:f>O2333*J2333*(1+M2333)</x:f>
        <x:v>0.0000013185333333333334</x:v>
      </x:c>
      <x:c r="Q2333" s="30" t="n">
        <x:f>P2333*N2333</x:f>
        <x:v>0.0000949344</x:v>
      </x:c>
      <x:c r="R2333" s="19" t="str">
        <x:v>六选一；非6个独立爆率</x:v>
      </x:c>
    </x:row>
    <x:row r="2334" ht="19" customHeight="1">
      <x:c r="A2334" s="19" t="str">
        <x:v>D02330</x:v>
      </x:c>
      <x:c r="B2334" s="19" t="n">
        <x:v>5</x:v>
      </x:c>
      <x:c r="C2334" s="19" t="n">
        <x:v>3</x:v>
      </x:c>
      <x:c r="D2334" s="19" t="str">
        <x:v>C05-M027</x:v>
      </x:c>
      <x:c r="E2334" s="19" t="str">
        <x:v>封印粉笔灵</x:v>
      </x:c>
      <x:c r="F2334" s="19" t="str">
        <x:v>普通</x:v>
      </x:c>
      <x:c r="G2334" s="19" t="str">
        <x:v>自身专属</x:v>
      </x:c>
      <x:c r="H2334" s="19" t="str">
        <x:v>缄印粉屑戒</x:v>
      </x:c>
      <x:c r="I2334" s="22" t="n">
        <x:v>1800</x:v>
      </x:c>
      <x:c r="J2334" s="22" t="n">
        <x:v>1</x:v>
      </x:c>
      <x:c r="K2334" s="19" t="n">
        <x:v>1</x:v>
      </x:c>
      <x:c r="L2334" s="24" t="n">
        <x:v>23.973333333333333</x:v>
      </x:c>
      <x:c r="M2334" s="26" t="n">
        <x:v>0.1</x:v>
      </x:c>
      <x:c r="N2334" s="24" t="n">
        <x:v>72</x:v>
      </x:c>
      <x:c r="O2334" s="28" t="n">
        <x:f>MIN(1,L2334/I2334)</x:f>
        <x:v>0.013318518518518518</x:v>
      </x:c>
      <x:c r="P2334" s="30" t="n">
        <x:f>O2334*J2334*(1+M2334)</x:f>
        <x:v>0.014650370370370371</x:v>
      </x:c>
      <x:c r="Q2334" s="30" t="n">
        <x:f>P2334*N2334</x:f>
        <x:v>1.0548266666666668</x:v>
      </x:c>
      <x:c r="R2334" s="19" t="str">
        <x:v>独立判定</x:v>
      </x:c>
    </x:row>
    <x:row r="2335" ht="19" customHeight="1">
      <x:c r="A2335" s="19" t="str">
        <x:v>D02331</x:v>
      </x:c>
      <x:c r="B2335" s="19" t="n">
        <x:v>5</x:v>
      </x:c>
      <x:c r="C2335" s="19" t="n">
        <x:v>3</x:v>
      </x:c>
      <x:c r="D2335" s="19" t="str">
        <x:v>C05-M027</x:v>
      </x:c>
      <x:c r="E2335" s="19" t="str">
        <x:v>封印粉笔灵</x:v>
      </x:c>
      <x:c r="F2335" s="19" t="str">
        <x:v>普通</x:v>
      </x:c>
      <x:c r="G2335" s="19" t="str">
        <x:v>材料独立候选</x:v>
      </x:c>
      <x:c r="H2335" s="19" t="str">
        <x:v>辉石碎晶</x:v>
      </x:c>
      <x:c r="I2335" s="22" t="n">
        <x:v>800</x:v>
      </x:c>
      <x:c r="J2335" s="22" t="n">
        <x:v>8</x:v>
      </x:c>
      <x:c r="K2335" s="19" t="n">
        <x:v>1</x:v>
      </x:c>
      <x:c r="L2335" s="24" t="n">
        <x:v>23.973333333333333</x:v>
      </x:c>
      <x:c r="M2335" s="26" t="n">
        <x:v>0.1</x:v>
      </x:c>
      <x:c r="N2335" s="24" t="n">
        <x:v>72</x:v>
      </x:c>
      <x:c r="O2335" s="28" t="n">
        <x:f>MIN(1,L2335/I2335)</x:f>
        <x:v>0.029966666666666666</x:v>
      </x:c>
      <x:c r="P2335" s="30" t="n">
        <x:f>O2335*J2335*(1+M2335)</x:f>
        <x:v>0.2637066666666667</x:v>
      </x:c>
      <x:c r="Q2335" s="30" t="n">
        <x:f>P2335*N2335</x:f>
        <x:v>18.986880000000003</x:v>
      </x:c>
      <x:c r="R2335" s="19" t="str">
        <x:v>独立判定</x:v>
      </x:c>
    </x:row>
    <x:row r="2336" ht="19" customHeight="1">
      <x:c r="A2336" s="19" t="str">
        <x:v>D02332</x:v>
      </x:c>
      <x:c r="B2336" s="19" t="n">
        <x:v>5</x:v>
      </x:c>
      <x:c r="C2336" s="19" t="n">
        <x:v>3</x:v>
      </x:c>
      <x:c r="D2336" s="19" t="str">
        <x:v>C05-M027</x:v>
      </x:c>
      <x:c r="E2336" s="19" t="str">
        <x:v>封印粉笔灵</x:v>
      </x:c>
      <x:c r="F2336" s="19" t="str">
        <x:v>普通</x:v>
      </x:c>
      <x:c r="G2336" s="19" t="str">
        <x:v>材料独立候选</x:v>
      </x:c>
      <x:c r="H2336" s="19" t="str">
        <x:v>雾月星砂</x:v>
      </x:c>
      <x:c r="I2336" s="22" t="n">
        <x:v>1000</x:v>
      </x:c>
      <x:c r="J2336" s="22" t="n">
        <x:v>1</x:v>
      </x:c>
      <x:c r="K2336" s="19" t="n">
        <x:v>1</x:v>
      </x:c>
      <x:c r="L2336" s="24" t="n">
        <x:v>23.973333333333333</x:v>
      </x:c>
      <x:c r="M2336" s="26" t="n">
        <x:v>0.1</x:v>
      </x:c>
      <x:c r="N2336" s="24" t="n">
        <x:v>72</x:v>
      </x:c>
      <x:c r="O2336" s="28" t="n">
        <x:f>MIN(1,L2336/I2336)</x:f>
        <x:v>0.023973333333333333</x:v>
      </x:c>
      <x:c r="P2336" s="30" t="n">
        <x:f>O2336*J2336*(1+M2336)</x:f>
        <x:v>0.026370666666666667</x:v>
      </x:c>
      <x:c r="Q2336" s="30" t="n">
        <x:f>P2336*N2336</x:f>
        <x:v>1.898688</x:v>
      </x:c>
      <x:c r="R2336" s="19" t="str">
        <x:v>独立判定</x:v>
      </x:c>
    </x:row>
    <x:row r="2337" ht="19" customHeight="1">
      <x:c r="A2337" s="19" t="str">
        <x:v>D02333</x:v>
      </x:c>
      <x:c r="B2337" s="19" t="n">
        <x:v>5</x:v>
      </x:c>
      <x:c r="C2337" s="19" t="n">
        <x:v>3</x:v>
      </x:c>
      <x:c r="D2337" s="19" t="str">
        <x:v>C05-M027</x:v>
      </x:c>
      <x:c r="E2337" s="19" t="str">
        <x:v>封印粉笔灵</x:v>
      </x:c>
      <x:c r="F2337" s="19" t="str">
        <x:v>普通</x:v>
      </x:c>
      <x:c r="G2337" s="19" t="str">
        <x:v>材料独立候选</x:v>
      </x:c>
      <x:c r="H2337" s="19" t="str">
        <x:v>湖心月谱残章</x:v>
      </x:c>
      <x:c r="I2337" s="22" t="n">
        <x:v>1000000</x:v>
      </x:c>
      <x:c r="J2337" s="22" t="n">
        <x:v>1</x:v>
      </x:c>
      <x:c r="K2337" s="19" t="n">
        <x:v>1</x:v>
      </x:c>
      <x:c r="L2337" s="24" t="n">
        <x:v>23.973333333333333</x:v>
      </x:c>
      <x:c r="M2337" s="26" t="n">
        <x:v>0.1</x:v>
      </x:c>
      <x:c r="N2337" s="24" t="n">
        <x:v>72</x:v>
      </x:c>
      <x:c r="O2337" s="28" t="n">
        <x:f>MIN(1,L2337/I2337)</x:f>
        <x:v>0.000023973333333333333</x:v>
      </x:c>
      <x:c r="P2337" s="30" t="n">
        <x:f>O2337*J2337*(1+M2337)</x:f>
        <x:v>0.000026370666666666668</x:v>
      </x:c>
      <x:c r="Q2337" s="30" t="n">
        <x:f>P2337*N2337</x:f>
        <x:v>0.0018986880000000002</x:v>
      </x:c>
      <x:c r="R2337" s="19" t="str">
        <x:v>独立判定</x:v>
      </x:c>
    </x:row>
    <x:row r="2338" ht="19" customHeight="1">
      <x:c r="A2338" s="19" t="str">
        <x:v>D02334</x:v>
      </x:c>
      <x:c r="B2338" s="19" t="n">
        <x:v>5</x:v>
      </x:c>
      <x:c r="C2338" s="19" t="n">
        <x:v>3</x:v>
      </x:c>
      <x:c r="D2338" s="19" t="str">
        <x:v>C05-M027</x:v>
      </x:c>
      <x:c r="E2338" s="19" t="str">
        <x:v>封印粉笔灵</x:v>
      </x:c>
      <x:c r="F2338" s="19" t="str">
        <x:v>普通</x:v>
      </x:c>
      <x:c r="G2338" s="19" t="str">
        <x:v>材料独立候选</x:v>
      </x:c>
      <x:c r="H2338" s="19" t="str">
        <x:v>野兽骨片</x:v>
      </x:c>
      <x:c r="I2338" s="22" t="n">
        <x:v>120</x:v>
      </x:c>
      <x:c r="J2338" s="22" t="n">
        <x:v>3</x:v>
      </x:c>
      <x:c r="K2338" s="19" t="n">
        <x:v>1</x:v>
      </x:c>
      <x:c r="L2338" s="24" t="n">
        <x:v>23.973333333333333</x:v>
      </x:c>
      <x:c r="M2338" s="26" t="n">
        <x:v>0.1</x:v>
      </x:c>
      <x:c r="N2338" s="24" t="n">
        <x:v>72</x:v>
      </x:c>
      <x:c r="O2338" s="28" t="n">
        <x:f>MIN(1,L2338/I2338)</x:f>
        <x:v>0.19977777777777778</x:v>
      </x:c>
      <x:c r="P2338" s="30" t="n">
        <x:f>O2338*J2338*(1+M2338)</x:f>
        <x:v>0.6592666666666667</x:v>
      </x:c>
      <x:c r="Q2338" s="30" t="n">
        <x:f>P2338*N2338</x:f>
        <x:v>47.4672</x:v>
      </x:c>
      <x:c r="R2338" s="19" t="str">
        <x:v>独立判定</x:v>
      </x:c>
    </x:row>
    <x:row r="2339" ht="19" customHeight="1">
      <x:c r="A2339" s="19" t="str">
        <x:v>D02335</x:v>
      </x:c>
      <x:c r="B2339" s="19" t="n">
        <x:v>5</x:v>
      </x:c>
      <x:c r="C2339" s="19" t="n">
        <x:v>3</x:v>
      </x:c>
      <x:c r="D2339" s="19" t="str">
        <x:v>C05-M027</x:v>
      </x:c>
      <x:c r="E2339" s="19" t="str">
        <x:v>封印粉笔灵</x:v>
      </x:c>
      <x:c r="F2339" s="19" t="str">
        <x:v>普通</x:v>
      </x:c>
      <x:c r="G2339" s="19" t="str">
        <x:v>材料独立候选</x:v>
      </x:c>
      <x:c r="H2339" s="19" t="str">
        <x:v>技能残页</x:v>
      </x:c>
      <x:c r="I2339" s="22" t="n">
        <x:v>3000</x:v>
      </x:c>
      <x:c r="J2339" s="22" t="n">
        <x:v>1</x:v>
      </x:c>
      <x:c r="K2339" s="19" t="n">
        <x:v>1</x:v>
      </x:c>
      <x:c r="L2339" s="24" t="n">
        <x:v>23.973333333333333</x:v>
      </x:c>
      <x:c r="M2339" s="26" t="n">
        <x:v>0.1</x:v>
      </x:c>
      <x:c r="N2339" s="24" t="n">
        <x:v>72</x:v>
      </x:c>
      <x:c r="O2339" s="28" t="n">
        <x:f>MIN(1,L2339/I2339)</x:f>
        <x:v>0.00799111111111111</x:v>
      </x:c>
      <x:c r="P2339" s="30" t="n">
        <x:f>O2339*J2339*(1+M2339)</x:f>
        <x:v>0.008790222222222222</x:v>
      </x:c>
      <x:c r="Q2339" s="30" t="n">
        <x:f>P2339*N2339</x:f>
        <x:v>0.632896</x:v>
      </x:c>
      <x:c r="R2339" s="19" t="str">
        <x:v>独立判定</x:v>
      </x:c>
    </x:row>
    <x:row r="2340" ht="19" customHeight="1">
      <x:c r="A2340" s="19" t="str">
        <x:v>D02336</x:v>
      </x:c>
      <x:c r="B2340" s="19" t="n">
        <x:v>5</x:v>
      </x:c>
      <x:c r="C2340" s="19" t="n">
        <x:v>3</x:v>
      </x:c>
      <x:c r="D2340" s="19" t="str">
        <x:v>C05-M027</x:v>
      </x:c>
      <x:c r="E2340" s="19" t="str">
        <x:v>封印粉笔灵</x:v>
      </x:c>
      <x:c r="F2340" s="19" t="str">
        <x:v>普通</x:v>
      </x:c>
      <x:c r="G2340" s="19" t="str">
        <x:v>材料独立候选</x:v>
      </x:c>
      <x:c r="H2340" s="19" t="str">
        <x:v>小卢恩</x:v>
      </x:c>
      <x:c r="I2340" s="22" t="n">
        <x:v>6000</x:v>
      </x:c>
      <x:c r="J2340" s="22" t="n">
        <x:v>1</x:v>
      </x:c>
      <x:c r="K2340" s="19" t="n">
        <x:v>1</x:v>
      </x:c>
      <x:c r="L2340" s="24" t="n">
        <x:v>23.973333333333333</x:v>
      </x:c>
      <x:c r="M2340" s="26" t="n">
        <x:v>0.1</x:v>
      </x:c>
      <x:c r="N2340" s="24" t="n">
        <x:v>72</x:v>
      </x:c>
      <x:c r="O2340" s="28" t="n">
        <x:f>MIN(1,L2340/I2340)</x:f>
        <x:v>0.003995555555555555</x:v>
      </x:c>
      <x:c r="P2340" s="30" t="n">
        <x:f>O2340*J2340*(1+M2340)</x:f>
        <x:v>0.004395111111111111</x:v>
      </x:c>
      <x:c r="Q2340" s="30" t="n">
        <x:f>P2340*N2340</x:f>
        <x:v>0.316448</x:v>
      </x:c>
      <x:c r="R2340" s="19" t="str">
        <x:v>独立判定</x:v>
      </x:c>
    </x:row>
    <x:row r="2341" ht="19" customHeight="1">
      <x:c r="A2341" s="19" t="str">
        <x:v>D02337</x:v>
      </x:c>
      <x:c r="B2341" s="19" t="n">
        <x:v>5</x:v>
      </x:c>
      <x:c r="C2341" s="19" t="n">
        <x:v>3</x:v>
      </x:c>
      <x:c r="D2341" s="19" t="str">
        <x:v>C05-M027</x:v>
      </x:c>
      <x:c r="E2341" s="19" t="str">
        <x:v>封印粉笔灵</x:v>
      </x:c>
      <x:c r="F2341" s="19" t="str">
        <x:v>普通</x:v>
      </x:c>
      <x:c r="G2341" s="19" t="str">
        <x:v>六神器公共池</x:v>
      </x:c>
      <x:c r="H2341" s="19" t="str">
        <x:v>POOL006</x:v>
      </x:c>
      <x:c r="I2341" s="22" t="n">
        <x:v>20000000</x:v>
      </x:c>
      <x:c r="J2341" s="22" t="n">
        <x:v>1</x:v>
      </x:c>
      <x:c r="K2341" s="19" t="n">
        <x:v>6</x:v>
      </x:c>
      <x:c r="L2341" s="24" t="n">
        <x:v>23.973333333333333</x:v>
      </x:c>
      <x:c r="M2341" s="26" t="n">
        <x:v>0.1</x:v>
      </x:c>
      <x:c r="N2341" s="24" t="n">
        <x:v>72</x:v>
      </x:c>
      <x:c r="O2341" s="28" t="n">
        <x:f>MIN(1,L2341/I2341)</x:f>
        <x:v>0.0000011986666666666667</x:v>
      </x:c>
      <x:c r="P2341" s="30" t="n">
        <x:f>O2341*J2341*(1+M2341)</x:f>
        <x:v>0.0000013185333333333334</x:v>
      </x:c>
      <x:c r="Q2341" s="30" t="n">
        <x:f>P2341*N2341</x:f>
        <x:v>0.0000949344</x:v>
      </x:c>
      <x:c r="R2341" s="19" t="str">
        <x:v>六选一；非6个独立爆率</x:v>
      </x:c>
    </x:row>
    <x:row r="2342" ht="19" customHeight="1">
      <x:c r="A2342" s="19" t="str">
        <x:v>D02338</x:v>
      </x:c>
      <x:c r="B2342" s="19" t="n">
        <x:v>5</x:v>
      </x:c>
      <x:c r="C2342" s="19" t="n">
        <x:v>3</x:v>
      </x:c>
      <x:c r="D2342" s="19" t="str">
        <x:v>C05-M028</x:v>
      </x:c>
      <x:c r="E2342" s="19" t="str">
        <x:v>讲堂缄咒像</x:v>
      </x:c>
      <x:c r="F2342" s="19" t="str">
        <x:v>普通</x:v>
      </x:c>
      <x:c r="G2342" s="19" t="str">
        <x:v>自身专属</x:v>
      </x:c>
      <x:c r="H2342" s="19" t="str">
        <x:v>缄咒讲台盾</x:v>
      </x:c>
      <x:c r="I2342" s="22" t="n">
        <x:v>1800</x:v>
      </x:c>
      <x:c r="J2342" s="22" t="n">
        <x:v>1</x:v>
      </x:c>
      <x:c r="K2342" s="19" t="n">
        <x:v>1</x:v>
      </x:c>
      <x:c r="L2342" s="24" t="n">
        <x:v>23.973333333333333</x:v>
      </x:c>
      <x:c r="M2342" s="26" t="n">
        <x:v>0.1</x:v>
      </x:c>
      <x:c r="N2342" s="24" t="n">
        <x:v>72</x:v>
      </x:c>
      <x:c r="O2342" s="28" t="n">
        <x:f>MIN(1,L2342/I2342)</x:f>
        <x:v>0.013318518518518518</x:v>
      </x:c>
      <x:c r="P2342" s="30" t="n">
        <x:f>O2342*J2342*(1+M2342)</x:f>
        <x:v>0.014650370370370371</x:v>
      </x:c>
      <x:c r="Q2342" s="30" t="n">
        <x:f>P2342*N2342</x:f>
        <x:v>1.0548266666666668</x:v>
      </x:c>
      <x:c r="R2342" s="19" t="str">
        <x:v>独立判定</x:v>
      </x:c>
    </x:row>
    <x:row r="2343" ht="19" customHeight="1">
      <x:c r="A2343" s="19" t="str">
        <x:v>D02339</x:v>
      </x:c>
      <x:c r="B2343" s="19" t="n">
        <x:v>5</x:v>
      </x:c>
      <x:c r="C2343" s="19" t="n">
        <x:v>3</x:v>
      </x:c>
      <x:c r="D2343" s="19" t="str">
        <x:v>C05-M028</x:v>
      </x:c>
      <x:c r="E2343" s="19" t="str">
        <x:v>讲堂缄咒像</x:v>
      </x:c>
      <x:c r="F2343" s="19" t="str">
        <x:v>普通</x:v>
      </x:c>
      <x:c r="G2343" s="19" t="str">
        <x:v>材料独立候选</x:v>
      </x:c>
      <x:c r="H2343" s="19" t="str">
        <x:v>辉石碎晶</x:v>
      </x:c>
      <x:c r="I2343" s="22" t="n">
        <x:v>800</x:v>
      </x:c>
      <x:c r="J2343" s="22" t="n">
        <x:v>8</x:v>
      </x:c>
      <x:c r="K2343" s="19" t="n">
        <x:v>1</x:v>
      </x:c>
      <x:c r="L2343" s="24" t="n">
        <x:v>23.973333333333333</x:v>
      </x:c>
      <x:c r="M2343" s="26" t="n">
        <x:v>0.1</x:v>
      </x:c>
      <x:c r="N2343" s="24" t="n">
        <x:v>72</x:v>
      </x:c>
      <x:c r="O2343" s="28" t="n">
        <x:f>MIN(1,L2343/I2343)</x:f>
        <x:v>0.029966666666666666</x:v>
      </x:c>
      <x:c r="P2343" s="30" t="n">
        <x:f>O2343*J2343*(1+M2343)</x:f>
        <x:v>0.2637066666666667</x:v>
      </x:c>
      <x:c r="Q2343" s="30" t="n">
        <x:f>P2343*N2343</x:f>
        <x:v>18.986880000000003</x:v>
      </x:c>
      <x:c r="R2343" s="19" t="str">
        <x:v>独立判定</x:v>
      </x:c>
    </x:row>
    <x:row r="2344" ht="19" customHeight="1">
      <x:c r="A2344" s="19" t="str">
        <x:v>D02340</x:v>
      </x:c>
      <x:c r="B2344" s="19" t="n">
        <x:v>5</x:v>
      </x:c>
      <x:c r="C2344" s="19" t="n">
        <x:v>3</x:v>
      </x:c>
      <x:c r="D2344" s="19" t="str">
        <x:v>C05-M028</x:v>
      </x:c>
      <x:c r="E2344" s="19" t="str">
        <x:v>讲堂缄咒像</x:v>
      </x:c>
      <x:c r="F2344" s="19" t="str">
        <x:v>普通</x:v>
      </x:c>
      <x:c r="G2344" s="19" t="str">
        <x:v>材料独立候选</x:v>
      </x:c>
      <x:c r="H2344" s="19" t="str">
        <x:v>雾月星砂</x:v>
      </x:c>
      <x:c r="I2344" s="22" t="n">
        <x:v>1000</x:v>
      </x:c>
      <x:c r="J2344" s="22" t="n">
        <x:v>1</x:v>
      </x:c>
      <x:c r="K2344" s="19" t="n">
        <x:v>1</x:v>
      </x:c>
      <x:c r="L2344" s="24" t="n">
        <x:v>23.973333333333333</x:v>
      </x:c>
      <x:c r="M2344" s="26" t="n">
        <x:v>0.1</x:v>
      </x:c>
      <x:c r="N2344" s="24" t="n">
        <x:v>72</x:v>
      </x:c>
      <x:c r="O2344" s="28" t="n">
        <x:f>MIN(1,L2344/I2344)</x:f>
        <x:v>0.023973333333333333</x:v>
      </x:c>
      <x:c r="P2344" s="30" t="n">
        <x:f>O2344*J2344*(1+M2344)</x:f>
        <x:v>0.026370666666666667</x:v>
      </x:c>
      <x:c r="Q2344" s="30" t="n">
        <x:f>P2344*N2344</x:f>
        <x:v>1.898688</x:v>
      </x:c>
      <x:c r="R2344" s="19" t="str">
        <x:v>独立判定</x:v>
      </x:c>
    </x:row>
    <x:row r="2345" ht="19" customHeight="1">
      <x:c r="A2345" s="19" t="str">
        <x:v>D02341</x:v>
      </x:c>
      <x:c r="B2345" s="19" t="n">
        <x:v>5</x:v>
      </x:c>
      <x:c r="C2345" s="19" t="n">
        <x:v>3</x:v>
      </x:c>
      <x:c r="D2345" s="19" t="str">
        <x:v>C05-M028</x:v>
      </x:c>
      <x:c r="E2345" s="19" t="str">
        <x:v>讲堂缄咒像</x:v>
      </x:c>
      <x:c r="F2345" s="19" t="str">
        <x:v>普通</x:v>
      </x:c>
      <x:c r="G2345" s="19" t="str">
        <x:v>材料独立候选</x:v>
      </x:c>
      <x:c r="H2345" s="19" t="str">
        <x:v>湖心月谱残章</x:v>
      </x:c>
      <x:c r="I2345" s="22" t="n">
        <x:v>1000000</x:v>
      </x:c>
      <x:c r="J2345" s="22" t="n">
        <x:v>1</x:v>
      </x:c>
      <x:c r="K2345" s="19" t="n">
        <x:v>1</x:v>
      </x:c>
      <x:c r="L2345" s="24" t="n">
        <x:v>23.973333333333333</x:v>
      </x:c>
      <x:c r="M2345" s="26" t="n">
        <x:v>0.1</x:v>
      </x:c>
      <x:c r="N2345" s="24" t="n">
        <x:v>72</x:v>
      </x:c>
      <x:c r="O2345" s="28" t="n">
        <x:f>MIN(1,L2345/I2345)</x:f>
        <x:v>0.000023973333333333333</x:v>
      </x:c>
      <x:c r="P2345" s="30" t="n">
        <x:f>O2345*J2345*(1+M2345)</x:f>
        <x:v>0.000026370666666666668</x:v>
      </x:c>
      <x:c r="Q2345" s="30" t="n">
        <x:f>P2345*N2345</x:f>
        <x:v>0.0018986880000000002</x:v>
      </x:c>
      <x:c r="R2345" s="19" t="str">
        <x:v>独立判定</x:v>
      </x:c>
    </x:row>
    <x:row r="2346" ht="19" customHeight="1">
      <x:c r="A2346" s="19" t="str">
        <x:v>D02342</x:v>
      </x:c>
      <x:c r="B2346" s="19" t="n">
        <x:v>5</x:v>
      </x:c>
      <x:c r="C2346" s="19" t="n">
        <x:v>3</x:v>
      </x:c>
      <x:c r="D2346" s="19" t="str">
        <x:v>C05-M028</x:v>
      </x:c>
      <x:c r="E2346" s="19" t="str">
        <x:v>讲堂缄咒像</x:v>
      </x:c>
      <x:c r="F2346" s="19" t="str">
        <x:v>普通</x:v>
      </x:c>
      <x:c r="G2346" s="19" t="str">
        <x:v>材料独立候选</x:v>
      </x:c>
      <x:c r="H2346" s="19" t="str">
        <x:v>野兽骨片</x:v>
      </x:c>
      <x:c r="I2346" s="22" t="n">
        <x:v>120</x:v>
      </x:c>
      <x:c r="J2346" s="22" t="n">
        <x:v>3</x:v>
      </x:c>
      <x:c r="K2346" s="19" t="n">
        <x:v>1</x:v>
      </x:c>
      <x:c r="L2346" s="24" t="n">
        <x:v>23.973333333333333</x:v>
      </x:c>
      <x:c r="M2346" s="26" t="n">
        <x:v>0.1</x:v>
      </x:c>
      <x:c r="N2346" s="24" t="n">
        <x:v>72</x:v>
      </x:c>
      <x:c r="O2346" s="28" t="n">
        <x:f>MIN(1,L2346/I2346)</x:f>
        <x:v>0.19977777777777778</x:v>
      </x:c>
      <x:c r="P2346" s="30" t="n">
        <x:f>O2346*J2346*(1+M2346)</x:f>
        <x:v>0.6592666666666667</x:v>
      </x:c>
      <x:c r="Q2346" s="30" t="n">
        <x:f>P2346*N2346</x:f>
        <x:v>47.4672</x:v>
      </x:c>
      <x:c r="R2346" s="19" t="str">
        <x:v>独立判定</x:v>
      </x:c>
    </x:row>
    <x:row r="2347" ht="19" customHeight="1">
      <x:c r="A2347" s="19" t="str">
        <x:v>D02343</x:v>
      </x:c>
      <x:c r="B2347" s="19" t="n">
        <x:v>5</x:v>
      </x:c>
      <x:c r="C2347" s="19" t="n">
        <x:v>3</x:v>
      </x:c>
      <x:c r="D2347" s="19" t="str">
        <x:v>C05-M028</x:v>
      </x:c>
      <x:c r="E2347" s="19" t="str">
        <x:v>讲堂缄咒像</x:v>
      </x:c>
      <x:c r="F2347" s="19" t="str">
        <x:v>普通</x:v>
      </x:c>
      <x:c r="G2347" s="19" t="str">
        <x:v>材料独立候选</x:v>
      </x:c>
      <x:c r="H2347" s="19" t="str">
        <x:v>技能残页</x:v>
      </x:c>
      <x:c r="I2347" s="22" t="n">
        <x:v>3000</x:v>
      </x:c>
      <x:c r="J2347" s="22" t="n">
        <x:v>1</x:v>
      </x:c>
      <x:c r="K2347" s="19" t="n">
        <x:v>1</x:v>
      </x:c>
      <x:c r="L2347" s="24" t="n">
        <x:v>23.973333333333333</x:v>
      </x:c>
      <x:c r="M2347" s="26" t="n">
        <x:v>0.1</x:v>
      </x:c>
      <x:c r="N2347" s="24" t="n">
        <x:v>72</x:v>
      </x:c>
      <x:c r="O2347" s="28" t="n">
        <x:f>MIN(1,L2347/I2347)</x:f>
        <x:v>0.00799111111111111</x:v>
      </x:c>
      <x:c r="P2347" s="30" t="n">
        <x:f>O2347*J2347*(1+M2347)</x:f>
        <x:v>0.008790222222222222</x:v>
      </x:c>
      <x:c r="Q2347" s="30" t="n">
        <x:f>P2347*N2347</x:f>
        <x:v>0.632896</x:v>
      </x:c>
      <x:c r="R2347" s="19" t="str">
        <x:v>独立判定</x:v>
      </x:c>
    </x:row>
    <x:row r="2348" ht="19" customHeight="1">
      <x:c r="A2348" s="19" t="str">
        <x:v>D02344</x:v>
      </x:c>
      <x:c r="B2348" s="19" t="n">
        <x:v>5</x:v>
      </x:c>
      <x:c r="C2348" s="19" t="n">
        <x:v>3</x:v>
      </x:c>
      <x:c r="D2348" s="19" t="str">
        <x:v>C05-M028</x:v>
      </x:c>
      <x:c r="E2348" s="19" t="str">
        <x:v>讲堂缄咒像</x:v>
      </x:c>
      <x:c r="F2348" s="19" t="str">
        <x:v>普通</x:v>
      </x:c>
      <x:c r="G2348" s="19" t="str">
        <x:v>材料独立候选</x:v>
      </x:c>
      <x:c r="H2348" s="19" t="str">
        <x:v>小卢恩</x:v>
      </x:c>
      <x:c r="I2348" s="22" t="n">
        <x:v>6000</x:v>
      </x:c>
      <x:c r="J2348" s="22" t="n">
        <x:v>1</x:v>
      </x:c>
      <x:c r="K2348" s="19" t="n">
        <x:v>1</x:v>
      </x:c>
      <x:c r="L2348" s="24" t="n">
        <x:v>23.973333333333333</x:v>
      </x:c>
      <x:c r="M2348" s="26" t="n">
        <x:v>0.1</x:v>
      </x:c>
      <x:c r="N2348" s="24" t="n">
        <x:v>72</x:v>
      </x:c>
      <x:c r="O2348" s="28" t="n">
        <x:f>MIN(1,L2348/I2348)</x:f>
        <x:v>0.003995555555555555</x:v>
      </x:c>
      <x:c r="P2348" s="30" t="n">
        <x:f>O2348*J2348*(1+M2348)</x:f>
        <x:v>0.004395111111111111</x:v>
      </x:c>
      <x:c r="Q2348" s="30" t="n">
        <x:f>P2348*N2348</x:f>
        <x:v>0.316448</x:v>
      </x:c>
      <x:c r="R2348" s="19" t="str">
        <x:v>独立判定</x:v>
      </x:c>
    </x:row>
    <x:row r="2349" ht="19" customHeight="1">
      <x:c r="A2349" s="19" t="str">
        <x:v>D02345</x:v>
      </x:c>
      <x:c r="B2349" s="19" t="n">
        <x:v>5</x:v>
      </x:c>
      <x:c r="C2349" s="19" t="n">
        <x:v>3</x:v>
      </x:c>
      <x:c r="D2349" s="19" t="str">
        <x:v>C05-M028</x:v>
      </x:c>
      <x:c r="E2349" s="19" t="str">
        <x:v>讲堂缄咒像</x:v>
      </x:c>
      <x:c r="F2349" s="19" t="str">
        <x:v>普通</x:v>
      </x:c>
      <x:c r="G2349" s="19" t="str">
        <x:v>六神器公共池</x:v>
      </x:c>
      <x:c r="H2349" s="19" t="str">
        <x:v>POOL006</x:v>
      </x:c>
      <x:c r="I2349" s="22" t="n">
        <x:v>20000000</x:v>
      </x:c>
      <x:c r="J2349" s="22" t="n">
        <x:v>1</x:v>
      </x:c>
      <x:c r="K2349" s="19" t="n">
        <x:v>6</x:v>
      </x:c>
      <x:c r="L2349" s="24" t="n">
        <x:v>23.973333333333333</x:v>
      </x:c>
      <x:c r="M2349" s="26" t="n">
        <x:v>0.1</x:v>
      </x:c>
      <x:c r="N2349" s="24" t="n">
        <x:v>72</x:v>
      </x:c>
      <x:c r="O2349" s="28" t="n">
        <x:f>MIN(1,L2349/I2349)</x:f>
        <x:v>0.0000011986666666666667</x:v>
      </x:c>
      <x:c r="P2349" s="30" t="n">
        <x:f>O2349*J2349*(1+M2349)</x:f>
        <x:v>0.0000013185333333333334</x:v>
      </x:c>
      <x:c r="Q2349" s="30" t="n">
        <x:f>P2349*N2349</x:f>
        <x:v>0.0000949344</x:v>
      </x:c>
      <x:c r="R2349" s="19" t="str">
        <x:v>六选一；非6个独立爆率</x:v>
      </x:c>
    </x:row>
    <x:row r="2350" ht="19" customHeight="1">
      <x:c r="A2350" s="19" t="str">
        <x:v>D02346</x:v>
      </x:c>
      <x:c r="B2350" s="19" t="n">
        <x:v>5</x:v>
      </x:c>
      <x:c r="C2350" s="19" t="n">
        <x:v>3</x:v>
      </x:c>
      <x:c r="D2350" s="19" t="str">
        <x:v>C05-M029</x:v>
      </x:c>
      <x:c r="E2350" s="19" t="str">
        <x:v>密室卷轴蠹</x:v>
      </x:c>
      <x:c r="F2350" s="19" t="str">
        <x:v>普通</x:v>
      </x:c>
      <x:c r="G2350" s="19" t="str">
        <x:v>自身专属</x:v>
      </x:c>
      <x:c r="H2350" s="19" t="str">
        <x:v>卷蠹轻步履</x:v>
      </x:c>
      <x:c r="I2350" s="22" t="n">
        <x:v>1800</x:v>
      </x:c>
      <x:c r="J2350" s="22" t="n">
        <x:v>1</x:v>
      </x:c>
      <x:c r="K2350" s="19" t="n">
        <x:v>1</x:v>
      </x:c>
      <x:c r="L2350" s="24" t="n">
        <x:v>23.973333333333333</x:v>
      </x:c>
      <x:c r="M2350" s="26" t="n">
        <x:v>0.1</x:v>
      </x:c>
      <x:c r="N2350" s="24" t="n">
        <x:v>72</x:v>
      </x:c>
      <x:c r="O2350" s="28" t="n">
        <x:f>MIN(1,L2350/I2350)</x:f>
        <x:v>0.013318518518518518</x:v>
      </x:c>
      <x:c r="P2350" s="30" t="n">
        <x:f>O2350*J2350*(1+M2350)</x:f>
        <x:v>0.014650370370370371</x:v>
      </x:c>
      <x:c r="Q2350" s="30" t="n">
        <x:f>P2350*N2350</x:f>
        <x:v>1.0548266666666668</x:v>
      </x:c>
      <x:c r="R2350" s="19" t="str">
        <x:v>独立判定</x:v>
      </x:c>
    </x:row>
    <x:row r="2351" ht="19" customHeight="1">
      <x:c r="A2351" s="19" t="str">
        <x:v>D02347</x:v>
      </x:c>
      <x:c r="B2351" s="19" t="n">
        <x:v>5</x:v>
      </x:c>
      <x:c r="C2351" s="19" t="n">
        <x:v>3</x:v>
      </x:c>
      <x:c r="D2351" s="19" t="str">
        <x:v>C05-M029</x:v>
      </x:c>
      <x:c r="E2351" s="19" t="str">
        <x:v>密室卷轴蠹</x:v>
      </x:c>
      <x:c r="F2351" s="19" t="str">
        <x:v>普通</x:v>
      </x:c>
      <x:c r="G2351" s="19" t="str">
        <x:v>材料独立候选</x:v>
      </x:c>
      <x:c r="H2351" s="19" t="str">
        <x:v>辉石碎晶</x:v>
      </x:c>
      <x:c r="I2351" s="22" t="n">
        <x:v>800</x:v>
      </x:c>
      <x:c r="J2351" s="22" t="n">
        <x:v>8</x:v>
      </x:c>
      <x:c r="K2351" s="19" t="n">
        <x:v>1</x:v>
      </x:c>
      <x:c r="L2351" s="24" t="n">
        <x:v>23.973333333333333</x:v>
      </x:c>
      <x:c r="M2351" s="26" t="n">
        <x:v>0.1</x:v>
      </x:c>
      <x:c r="N2351" s="24" t="n">
        <x:v>72</x:v>
      </x:c>
      <x:c r="O2351" s="28" t="n">
        <x:f>MIN(1,L2351/I2351)</x:f>
        <x:v>0.029966666666666666</x:v>
      </x:c>
      <x:c r="P2351" s="30" t="n">
        <x:f>O2351*J2351*(1+M2351)</x:f>
        <x:v>0.2637066666666667</x:v>
      </x:c>
      <x:c r="Q2351" s="30" t="n">
        <x:f>P2351*N2351</x:f>
        <x:v>18.986880000000003</x:v>
      </x:c>
      <x:c r="R2351" s="19" t="str">
        <x:v>独立判定</x:v>
      </x:c>
    </x:row>
    <x:row r="2352" ht="19" customHeight="1">
      <x:c r="A2352" s="19" t="str">
        <x:v>D02348</x:v>
      </x:c>
      <x:c r="B2352" s="19" t="n">
        <x:v>5</x:v>
      </x:c>
      <x:c r="C2352" s="19" t="n">
        <x:v>3</x:v>
      </x:c>
      <x:c r="D2352" s="19" t="str">
        <x:v>C05-M029</x:v>
      </x:c>
      <x:c r="E2352" s="19" t="str">
        <x:v>密室卷轴蠹</x:v>
      </x:c>
      <x:c r="F2352" s="19" t="str">
        <x:v>普通</x:v>
      </x:c>
      <x:c r="G2352" s="19" t="str">
        <x:v>材料独立候选</x:v>
      </x:c>
      <x:c r="H2352" s="19" t="str">
        <x:v>雾月星砂</x:v>
      </x:c>
      <x:c r="I2352" s="22" t="n">
        <x:v>1000</x:v>
      </x:c>
      <x:c r="J2352" s="22" t="n">
        <x:v>1</x:v>
      </x:c>
      <x:c r="K2352" s="19" t="n">
        <x:v>1</x:v>
      </x:c>
      <x:c r="L2352" s="24" t="n">
        <x:v>23.973333333333333</x:v>
      </x:c>
      <x:c r="M2352" s="26" t="n">
        <x:v>0.1</x:v>
      </x:c>
      <x:c r="N2352" s="24" t="n">
        <x:v>72</x:v>
      </x:c>
      <x:c r="O2352" s="28" t="n">
        <x:f>MIN(1,L2352/I2352)</x:f>
        <x:v>0.023973333333333333</x:v>
      </x:c>
      <x:c r="P2352" s="30" t="n">
        <x:f>O2352*J2352*(1+M2352)</x:f>
        <x:v>0.026370666666666667</x:v>
      </x:c>
      <x:c r="Q2352" s="30" t="n">
        <x:f>P2352*N2352</x:f>
        <x:v>1.898688</x:v>
      </x:c>
      <x:c r="R2352" s="19" t="str">
        <x:v>独立判定</x:v>
      </x:c>
    </x:row>
    <x:row r="2353" ht="19" customHeight="1">
      <x:c r="A2353" s="19" t="str">
        <x:v>D02349</x:v>
      </x:c>
      <x:c r="B2353" s="19" t="n">
        <x:v>5</x:v>
      </x:c>
      <x:c r="C2353" s="19" t="n">
        <x:v>3</x:v>
      </x:c>
      <x:c r="D2353" s="19" t="str">
        <x:v>C05-M029</x:v>
      </x:c>
      <x:c r="E2353" s="19" t="str">
        <x:v>密室卷轴蠹</x:v>
      </x:c>
      <x:c r="F2353" s="19" t="str">
        <x:v>普通</x:v>
      </x:c>
      <x:c r="G2353" s="19" t="str">
        <x:v>材料独立候选</x:v>
      </x:c>
      <x:c r="H2353" s="19" t="str">
        <x:v>湖心月谱残章</x:v>
      </x:c>
      <x:c r="I2353" s="22" t="n">
        <x:v>1000000</x:v>
      </x:c>
      <x:c r="J2353" s="22" t="n">
        <x:v>1</x:v>
      </x:c>
      <x:c r="K2353" s="19" t="n">
        <x:v>1</x:v>
      </x:c>
      <x:c r="L2353" s="24" t="n">
        <x:v>23.973333333333333</x:v>
      </x:c>
      <x:c r="M2353" s="26" t="n">
        <x:v>0.1</x:v>
      </x:c>
      <x:c r="N2353" s="24" t="n">
        <x:v>72</x:v>
      </x:c>
      <x:c r="O2353" s="28" t="n">
        <x:f>MIN(1,L2353/I2353)</x:f>
        <x:v>0.000023973333333333333</x:v>
      </x:c>
      <x:c r="P2353" s="30" t="n">
        <x:f>O2353*J2353*(1+M2353)</x:f>
        <x:v>0.000026370666666666668</x:v>
      </x:c>
      <x:c r="Q2353" s="30" t="n">
        <x:f>P2353*N2353</x:f>
        <x:v>0.0018986880000000002</x:v>
      </x:c>
      <x:c r="R2353" s="19" t="str">
        <x:v>独立判定</x:v>
      </x:c>
    </x:row>
    <x:row r="2354" ht="19" customHeight="1">
      <x:c r="A2354" s="19" t="str">
        <x:v>D02350</x:v>
      </x:c>
      <x:c r="B2354" s="19" t="n">
        <x:v>5</x:v>
      </x:c>
      <x:c r="C2354" s="19" t="n">
        <x:v>3</x:v>
      </x:c>
      <x:c r="D2354" s="19" t="str">
        <x:v>C05-M029</x:v>
      </x:c>
      <x:c r="E2354" s="19" t="str">
        <x:v>密室卷轴蠹</x:v>
      </x:c>
      <x:c r="F2354" s="19" t="str">
        <x:v>普通</x:v>
      </x:c>
      <x:c r="G2354" s="19" t="str">
        <x:v>材料独立候选</x:v>
      </x:c>
      <x:c r="H2354" s="19" t="str">
        <x:v>野兽骨片</x:v>
      </x:c>
      <x:c r="I2354" s="22" t="n">
        <x:v>120</x:v>
      </x:c>
      <x:c r="J2354" s="22" t="n">
        <x:v>3</x:v>
      </x:c>
      <x:c r="K2354" s="19" t="n">
        <x:v>1</x:v>
      </x:c>
      <x:c r="L2354" s="24" t="n">
        <x:v>23.973333333333333</x:v>
      </x:c>
      <x:c r="M2354" s="26" t="n">
        <x:v>0.1</x:v>
      </x:c>
      <x:c r="N2354" s="24" t="n">
        <x:v>72</x:v>
      </x:c>
      <x:c r="O2354" s="28" t="n">
        <x:f>MIN(1,L2354/I2354)</x:f>
        <x:v>0.19977777777777778</x:v>
      </x:c>
      <x:c r="P2354" s="30" t="n">
        <x:f>O2354*J2354*(1+M2354)</x:f>
        <x:v>0.6592666666666667</x:v>
      </x:c>
      <x:c r="Q2354" s="30" t="n">
        <x:f>P2354*N2354</x:f>
        <x:v>47.4672</x:v>
      </x:c>
      <x:c r="R2354" s="19" t="str">
        <x:v>独立判定</x:v>
      </x:c>
    </x:row>
    <x:row r="2355" ht="19" customHeight="1">
      <x:c r="A2355" s="19" t="str">
        <x:v>D02351</x:v>
      </x:c>
      <x:c r="B2355" s="19" t="n">
        <x:v>5</x:v>
      </x:c>
      <x:c r="C2355" s="19" t="n">
        <x:v>3</x:v>
      </x:c>
      <x:c r="D2355" s="19" t="str">
        <x:v>C05-M029</x:v>
      </x:c>
      <x:c r="E2355" s="19" t="str">
        <x:v>密室卷轴蠹</x:v>
      </x:c>
      <x:c r="F2355" s="19" t="str">
        <x:v>普通</x:v>
      </x:c>
      <x:c r="G2355" s="19" t="str">
        <x:v>材料独立候选</x:v>
      </x:c>
      <x:c r="H2355" s="19" t="str">
        <x:v>技能残页</x:v>
      </x:c>
      <x:c r="I2355" s="22" t="n">
        <x:v>3000</x:v>
      </x:c>
      <x:c r="J2355" s="22" t="n">
        <x:v>1</x:v>
      </x:c>
      <x:c r="K2355" s="19" t="n">
        <x:v>1</x:v>
      </x:c>
      <x:c r="L2355" s="24" t="n">
        <x:v>23.973333333333333</x:v>
      </x:c>
      <x:c r="M2355" s="26" t="n">
        <x:v>0.1</x:v>
      </x:c>
      <x:c r="N2355" s="24" t="n">
        <x:v>72</x:v>
      </x:c>
      <x:c r="O2355" s="28" t="n">
        <x:f>MIN(1,L2355/I2355)</x:f>
        <x:v>0.00799111111111111</x:v>
      </x:c>
      <x:c r="P2355" s="30" t="n">
        <x:f>O2355*J2355*(1+M2355)</x:f>
        <x:v>0.008790222222222222</x:v>
      </x:c>
      <x:c r="Q2355" s="30" t="n">
        <x:f>P2355*N2355</x:f>
        <x:v>0.632896</x:v>
      </x:c>
      <x:c r="R2355" s="19" t="str">
        <x:v>独立判定</x:v>
      </x:c>
    </x:row>
    <x:row r="2356" ht="19" customHeight="1">
      <x:c r="A2356" s="19" t="str">
        <x:v>D02352</x:v>
      </x:c>
      <x:c r="B2356" s="19" t="n">
        <x:v>5</x:v>
      </x:c>
      <x:c r="C2356" s="19" t="n">
        <x:v>3</x:v>
      </x:c>
      <x:c r="D2356" s="19" t="str">
        <x:v>C05-M029</x:v>
      </x:c>
      <x:c r="E2356" s="19" t="str">
        <x:v>密室卷轴蠹</x:v>
      </x:c>
      <x:c r="F2356" s="19" t="str">
        <x:v>普通</x:v>
      </x:c>
      <x:c r="G2356" s="19" t="str">
        <x:v>材料独立候选</x:v>
      </x:c>
      <x:c r="H2356" s="19" t="str">
        <x:v>小卢恩</x:v>
      </x:c>
      <x:c r="I2356" s="22" t="n">
        <x:v>6000</x:v>
      </x:c>
      <x:c r="J2356" s="22" t="n">
        <x:v>1</x:v>
      </x:c>
      <x:c r="K2356" s="19" t="n">
        <x:v>1</x:v>
      </x:c>
      <x:c r="L2356" s="24" t="n">
        <x:v>23.973333333333333</x:v>
      </x:c>
      <x:c r="M2356" s="26" t="n">
        <x:v>0.1</x:v>
      </x:c>
      <x:c r="N2356" s="24" t="n">
        <x:v>72</x:v>
      </x:c>
      <x:c r="O2356" s="28" t="n">
        <x:f>MIN(1,L2356/I2356)</x:f>
        <x:v>0.003995555555555555</x:v>
      </x:c>
      <x:c r="P2356" s="30" t="n">
        <x:f>O2356*J2356*(1+M2356)</x:f>
        <x:v>0.004395111111111111</x:v>
      </x:c>
      <x:c r="Q2356" s="30" t="n">
        <x:f>P2356*N2356</x:f>
        <x:v>0.316448</x:v>
      </x:c>
      <x:c r="R2356" s="19" t="str">
        <x:v>独立判定</x:v>
      </x:c>
    </x:row>
    <x:row r="2357" ht="19" customHeight="1">
      <x:c r="A2357" s="19" t="str">
        <x:v>D02353</x:v>
      </x:c>
      <x:c r="B2357" s="19" t="n">
        <x:v>5</x:v>
      </x:c>
      <x:c r="C2357" s="19" t="n">
        <x:v>3</x:v>
      </x:c>
      <x:c r="D2357" s="19" t="str">
        <x:v>C05-M029</x:v>
      </x:c>
      <x:c r="E2357" s="19" t="str">
        <x:v>密室卷轴蠹</x:v>
      </x:c>
      <x:c r="F2357" s="19" t="str">
        <x:v>普通</x:v>
      </x:c>
      <x:c r="G2357" s="19" t="str">
        <x:v>六神器公共池</x:v>
      </x:c>
      <x:c r="H2357" s="19" t="str">
        <x:v>POOL006</x:v>
      </x:c>
      <x:c r="I2357" s="22" t="n">
        <x:v>20000000</x:v>
      </x:c>
      <x:c r="J2357" s="22" t="n">
        <x:v>1</x:v>
      </x:c>
      <x:c r="K2357" s="19" t="n">
        <x:v>6</x:v>
      </x:c>
      <x:c r="L2357" s="24" t="n">
        <x:v>23.973333333333333</x:v>
      </x:c>
      <x:c r="M2357" s="26" t="n">
        <x:v>0.1</x:v>
      </x:c>
      <x:c r="N2357" s="24" t="n">
        <x:v>72</x:v>
      </x:c>
      <x:c r="O2357" s="28" t="n">
        <x:f>MIN(1,L2357/I2357)</x:f>
        <x:v>0.0000011986666666666667</x:v>
      </x:c>
      <x:c r="P2357" s="30" t="n">
        <x:f>O2357*J2357*(1+M2357)</x:f>
        <x:v>0.0000013185333333333334</x:v>
      </x:c>
      <x:c r="Q2357" s="30" t="n">
        <x:f>P2357*N2357</x:f>
        <x:v>0.0000949344</x:v>
      </x:c>
      <x:c r="R2357" s="19" t="str">
        <x:v>六选一；非6个独立爆率</x:v>
      </x:c>
    </x:row>
    <x:row r="2358" ht="19" customHeight="1">
      <x:c r="A2358" s="19" t="str">
        <x:v>D02354</x:v>
      </x:c>
      <x:c r="B2358" s="19" t="n">
        <x:v>5</x:v>
      </x:c>
      <x:c r="C2358" s="19" t="n">
        <x:v>3</x:v>
      </x:c>
      <x:c r="D2358" s="19" t="str">
        <x:v>C05-M030</x:v>
      </x:c>
      <x:c r="E2358" s="19" t="str">
        <x:v>学院锁页卫</x:v>
      </x:c>
      <x:c r="F2358" s="19" t="str">
        <x:v>普通</x:v>
      </x:c>
      <x:c r="G2358" s="19" t="str">
        <x:v>自身专属</x:v>
      </x:c>
      <x:c r="H2358" s="19" t="str">
        <x:v>锁页秘文链</x:v>
      </x:c>
      <x:c r="I2358" s="22" t="n">
        <x:v>1800</x:v>
      </x:c>
      <x:c r="J2358" s="22" t="n">
        <x:v>1</x:v>
      </x:c>
      <x:c r="K2358" s="19" t="n">
        <x:v>1</x:v>
      </x:c>
      <x:c r="L2358" s="24" t="n">
        <x:v>23.973333333333333</x:v>
      </x:c>
      <x:c r="M2358" s="26" t="n">
        <x:v>0.1</x:v>
      </x:c>
      <x:c r="N2358" s="24" t="n">
        <x:v>72</x:v>
      </x:c>
      <x:c r="O2358" s="28" t="n">
        <x:f>MIN(1,L2358/I2358)</x:f>
        <x:v>0.013318518518518518</x:v>
      </x:c>
      <x:c r="P2358" s="30" t="n">
        <x:f>O2358*J2358*(1+M2358)</x:f>
        <x:v>0.014650370370370371</x:v>
      </x:c>
      <x:c r="Q2358" s="30" t="n">
        <x:f>P2358*N2358</x:f>
        <x:v>1.0548266666666668</x:v>
      </x:c>
      <x:c r="R2358" s="19" t="str">
        <x:v>独立判定</x:v>
      </x:c>
    </x:row>
    <x:row r="2359" ht="19" customHeight="1">
      <x:c r="A2359" s="19" t="str">
        <x:v>D02355</x:v>
      </x:c>
      <x:c r="B2359" s="19" t="n">
        <x:v>5</x:v>
      </x:c>
      <x:c r="C2359" s="19" t="n">
        <x:v>3</x:v>
      </x:c>
      <x:c r="D2359" s="19" t="str">
        <x:v>C05-M030</x:v>
      </x:c>
      <x:c r="E2359" s="19" t="str">
        <x:v>学院锁页卫</x:v>
      </x:c>
      <x:c r="F2359" s="19" t="str">
        <x:v>普通</x:v>
      </x:c>
      <x:c r="G2359" s="19" t="str">
        <x:v>材料独立候选</x:v>
      </x:c>
      <x:c r="H2359" s="19" t="str">
        <x:v>辉石碎晶</x:v>
      </x:c>
      <x:c r="I2359" s="22" t="n">
        <x:v>800</x:v>
      </x:c>
      <x:c r="J2359" s="22" t="n">
        <x:v>8</x:v>
      </x:c>
      <x:c r="K2359" s="19" t="n">
        <x:v>1</x:v>
      </x:c>
      <x:c r="L2359" s="24" t="n">
        <x:v>23.973333333333333</x:v>
      </x:c>
      <x:c r="M2359" s="26" t="n">
        <x:v>0.1</x:v>
      </x:c>
      <x:c r="N2359" s="24" t="n">
        <x:v>72</x:v>
      </x:c>
      <x:c r="O2359" s="28" t="n">
        <x:f>MIN(1,L2359/I2359)</x:f>
        <x:v>0.029966666666666666</x:v>
      </x:c>
      <x:c r="P2359" s="30" t="n">
        <x:f>O2359*J2359*(1+M2359)</x:f>
        <x:v>0.2637066666666667</x:v>
      </x:c>
      <x:c r="Q2359" s="30" t="n">
        <x:f>P2359*N2359</x:f>
        <x:v>18.986880000000003</x:v>
      </x:c>
      <x:c r="R2359" s="19" t="str">
        <x:v>独立判定</x:v>
      </x:c>
    </x:row>
    <x:row r="2360" ht="19" customHeight="1">
      <x:c r="A2360" s="19" t="str">
        <x:v>D02356</x:v>
      </x:c>
      <x:c r="B2360" s="19" t="n">
        <x:v>5</x:v>
      </x:c>
      <x:c r="C2360" s="19" t="n">
        <x:v>3</x:v>
      </x:c>
      <x:c r="D2360" s="19" t="str">
        <x:v>C05-M030</x:v>
      </x:c>
      <x:c r="E2360" s="19" t="str">
        <x:v>学院锁页卫</x:v>
      </x:c>
      <x:c r="F2360" s="19" t="str">
        <x:v>普通</x:v>
      </x:c>
      <x:c r="G2360" s="19" t="str">
        <x:v>材料独立候选</x:v>
      </x:c>
      <x:c r="H2360" s="19" t="str">
        <x:v>雾月星砂</x:v>
      </x:c>
      <x:c r="I2360" s="22" t="n">
        <x:v>1000</x:v>
      </x:c>
      <x:c r="J2360" s="22" t="n">
        <x:v>1</x:v>
      </x:c>
      <x:c r="K2360" s="19" t="n">
        <x:v>1</x:v>
      </x:c>
      <x:c r="L2360" s="24" t="n">
        <x:v>23.973333333333333</x:v>
      </x:c>
      <x:c r="M2360" s="26" t="n">
        <x:v>0.1</x:v>
      </x:c>
      <x:c r="N2360" s="24" t="n">
        <x:v>72</x:v>
      </x:c>
      <x:c r="O2360" s="28" t="n">
        <x:f>MIN(1,L2360/I2360)</x:f>
        <x:v>0.023973333333333333</x:v>
      </x:c>
      <x:c r="P2360" s="30" t="n">
        <x:f>O2360*J2360*(1+M2360)</x:f>
        <x:v>0.026370666666666667</x:v>
      </x:c>
      <x:c r="Q2360" s="30" t="n">
        <x:f>P2360*N2360</x:f>
        <x:v>1.898688</x:v>
      </x:c>
      <x:c r="R2360" s="19" t="str">
        <x:v>独立判定</x:v>
      </x:c>
    </x:row>
    <x:row r="2361" ht="19" customHeight="1">
      <x:c r="A2361" s="19" t="str">
        <x:v>D02357</x:v>
      </x:c>
      <x:c r="B2361" s="19" t="n">
        <x:v>5</x:v>
      </x:c>
      <x:c r="C2361" s="19" t="n">
        <x:v>3</x:v>
      </x:c>
      <x:c r="D2361" s="19" t="str">
        <x:v>C05-M030</x:v>
      </x:c>
      <x:c r="E2361" s="19" t="str">
        <x:v>学院锁页卫</x:v>
      </x:c>
      <x:c r="F2361" s="19" t="str">
        <x:v>普通</x:v>
      </x:c>
      <x:c r="G2361" s="19" t="str">
        <x:v>材料独立候选</x:v>
      </x:c>
      <x:c r="H2361" s="19" t="str">
        <x:v>湖心月谱残章</x:v>
      </x:c>
      <x:c r="I2361" s="22" t="n">
        <x:v>1000000</x:v>
      </x:c>
      <x:c r="J2361" s="22" t="n">
        <x:v>1</x:v>
      </x:c>
      <x:c r="K2361" s="19" t="n">
        <x:v>1</x:v>
      </x:c>
      <x:c r="L2361" s="24" t="n">
        <x:v>23.973333333333333</x:v>
      </x:c>
      <x:c r="M2361" s="26" t="n">
        <x:v>0.1</x:v>
      </x:c>
      <x:c r="N2361" s="24" t="n">
        <x:v>72</x:v>
      </x:c>
      <x:c r="O2361" s="28" t="n">
        <x:f>MIN(1,L2361/I2361)</x:f>
        <x:v>0.000023973333333333333</x:v>
      </x:c>
      <x:c r="P2361" s="30" t="n">
        <x:f>O2361*J2361*(1+M2361)</x:f>
        <x:v>0.000026370666666666668</x:v>
      </x:c>
      <x:c r="Q2361" s="30" t="n">
        <x:f>P2361*N2361</x:f>
        <x:v>0.0018986880000000002</x:v>
      </x:c>
      <x:c r="R2361" s="19" t="str">
        <x:v>独立判定</x:v>
      </x:c>
    </x:row>
    <x:row r="2362" ht="19" customHeight="1">
      <x:c r="A2362" s="19" t="str">
        <x:v>D02358</x:v>
      </x:c>
      <x:c r="B2362" s="19" t="n">
        <x:v>5</x:v>
      </x:c>
      <x:c r="C2362" s="19" t="n">
        <x:v>3</x:v>
      </x:c>
      <x:c r="D2362" s="19" t="str">
        <x:v>C05-M030</x:v>
      </x:c>
      <x:c r="E2362" s="19" t="str">
        <x:v>学院锁页卫</x:v>
      </x:c>
      <x:c r="F2362" s="19" t="str">
        <x:v>普通</x:v>
      </x:c>
      <x:c r="G2362" s="19" t="str">
        <x:v>材料独立候选</x:v>
      </x:c>
      <x:c r="H2362" s="19" t="str">
        <x:v>野兽骨片</x:v>
      </x:c>
      <x:c r="I2362" s="22" t="n">
        <x:v>120</x:v>
      </x:c>
      <x:c r="J2362" s="22" t="n">
        <x:v>3</x:v>
      </x:c>
      <x:c r="K2362" s="19" t="n">
        <x:v>1</x:v>
      </x:c>
      <x:c r="L2362" s="24" t="n">
        <x:v>23.973333333333333</x:v>
      </x:c>
      <x:c r="M2362" s="26" t="n">
        <x:v>0.1</x:v>
      </x:c>
      <x:c r="N2362" s="24" t="n">
        <x:v>72</x:v>
      </x:c>
      <x:c r="O2362" s="28" t="n">
        <x:f>MIN(1,L2362/I2362)</x:f>
        <x:v>0.19977777777777778</x:v>
      </x:c>
      <x:c r="P2362" s="30" t="n">
        <x:f>O2362*J2362*(1+M2362)</x:f>
        <x:v>0.6592666666666667</x:v>
      </x:c>
      <x:c r="Q2362" s="30" t="n">
        <x:f>P2362*N2362</x:f>
        <x:v>47.4672</x:v>
      </x:c>
      <x:c r="R2362" s="19" t="str">
        <x:v>独立判定</x:v>
      </x:c>
    </x:row>
    <x:row r="2363" ht="19" customHeight="1">
      <x:c r="A2363" s="19" t="str">
        <x:v>D02359</x:v>
      </x:c>
      <x:c r="B2363" s="19" t="n">
        <x:v>5</x:v>
      </x:c>
      <x:c r="C2363" s="19" t="n">
        <x:v>3</x:v>
      </x:c>
      <x:c r="D2363" s="19" t="str">
        <x:v>C05-M030</x:v>
      </x:c>
      <x:c r="E2363" s="19" t="str">
        <x:v>学院锁页卫</x:v>
      </x:c>
      <x:c r="F2363" s="19" t="str">
        <x:v>普通</x:v>
      </x:c>
      <x:c r="G2363" s="19" t="str">
        <x:v>材料独立候选</x:v>
      </x:c>
      <x:c r="H2363" s="19" t="str">
        <x:v>技能残页</x:v>
      </x:c>
      <x:c r="I2363" s="22" t="n">
        <x:v>3000</x:v>
      </x:c>
      <x:c r="J2363" s="22" t="n">
        <x:v>1</x:v>
      </x:c>
      <x:c r="K2363" s="19" t="n">
        <x:v>1</x:v>
      </x:c>
      <x:c r="L2363" s="24" t="n">
        <x:v>23.973333333333333</x:v>
      </x:c>
      <x:c r="M2363" s="26" t="n">
        <x:v>0.1</x:v>
      </x:c>
      <x:c r="N2363" s="24" t="n">
        <x:v>72</x:v>
      </x:c>
      <x:c r="O2363" s="28" t="n">
        <x:f>MIN(1,L2363/I2363)</x:f>
        <x:v>0.00799111111111111</x:v>
      </x:c>
      <x:c r="P2363" s="30" t="n">
        <x:f>O2363*J2363*(1+M2363)</x:f>
        <x:v>0.008790222222222222</x:v>
      </x:c>
      <x:c r="Q2363" s="30" t="n">
        <x:f>P2363*N2363</x:f>
        <x:v>0.632896</x:v>
      </x:c>
      <x:c r="R2363" s="19" t="str">
        <x:v>独立判定</x:v>
      </x:c>
    </x:row>
    <x:row r="2364" ht="19" customHeight="1">
      <x:c r="A2364" s="19" t="str">
        <x:v>D02360</x:v>
      </x:c>
      <x:c r="B2364" s="19" t="n">
        <x:v>5</x:v>
      </x:c>
      <x:c r="C2364" s="19" t="n">
        <x:v>3</x:v>
      </x:c>
      <x:c r="D2364" s="19" t="str">
        <x:v>C05-M030</x:v>
      </x:c>
      <x:c r="E2364" s="19" t="str">
        <x:v>学院锁页卫</x:v>
      </x:c>
      <x:c r="F2364" s="19" t="str">
        <x:v>普通</x:v>
      </x:c>
      <x:c r="G2364" s="19" t="str">
        <x:v>材料独立候选</x:v>
      </x:c>
      <x:c r="H2364" s="19" t="str">
        <x:v>小卢恩</x:v>
      </x:c>
      <x:c r="I2364" s="22" t="n">
        <x:v>6000</x:v>
      </x:c>
      <x:c r="J2364" s="22" t="n">
        <x:v>1</x:v>
      </x:c>
      <x:c r="K2364" s="19" t="n">
        <x:v>1</x:v>
      </x:c>
      <x:c r="L2364" s="24" t="n">
        <x:v>23.973333333333333</x:v>
      </x:c>
      <x:c r="M2364" s="26" t="n">
        <x:v>0.1</x:v>
      </x:c>
      <x:c r="N2364" s="24" t="n">
        <x:v>72</x:v>
      </x:c>
      <x:c r="O2364" s="28" t="n">
        <x:f>MIN(1,L2364/I2364)</x:f>
        <x:v>0.003995555555555555</x:v>
      </x:c>
      <x:c r="P2364" s="30" t="n">
        <x:f>O2364*J2364*(1+M2364)</x:f>
        <x:v>0.004395111111111111</x:v>
      </x:c>
      <x:c r="Q2364" s="30" t="n">
        <x:f>P2364*N2364</x:f>
        <x:v>0.316448</x:v>
      </x:c>
      <x:c r="R2364" s="19" t="str">
        <x:v>独立判定</x:v>
      </x:c>
    </x:row>
    <x:row r="2365" ht="19" customHeight="1">
      <x:c r="A2365" s="19" t="str">
        <x:v>D02361</x:v>
      </x:c>
      <x:c r="B2365" s="19" t="n">
        <x:v>5</x:v>
      </x:c>
      <x:c r="C2365" s="19" t="n">
        <x:v>3</x:v>
      </x:c>
      <x:c r="D2365" s="19" t="str">
        <x:v>C05-M030</x:v>
      </x:c>
      <x:c r="E2365" s="19" t="str">
        <x:v>学院锁页卫</x:v>
      </x:c>
      <x:c r="F2365" s="19" t="str">
        <x:v>普通</x:v>
      </x:c>
      <x:c r="G2365" s="19" t="str">
        <x:v>六神器公共池</x:v>
      </x:c>
      <x:c r="H2365" s="19" t="str">
        <x:v>POOL006</x:v>
      </x:c>
      <x:c r="I2365" s="22" t="n">
        <x:v>20000000</x:v>
      </x:c>
      <x:c r="J2365" s="22" t="n">
        <x:v>1</x:v>
      </x:c>
      <x:c r="K2365" s="19" t="n">
        <x:v>6</x:v>
      </x:c>
      <x:c r="L2365" s="24" t="n">
        <x:v>23.973333333333333</x:v>
      </x:c>
      <x:c r="M2365" s="26" t="n">
        <x:v>0.1</x:v>
      </x:c>
      <x:c r="N2365" s="24" t="n">
        <x:v>72</x:v>
      </x:c>
      <x:c r="O2365" s="28" t="n">
        <x:f>MIN(1,L2365/I2365)</x:f>
        <x:v>0.0000011986666666666667</x:v>
      </x:c>
      <x:c r="P2365" s="30" t="n">
        <x:f>O2365*J2365*(1+M2365)</x:f>
        <x:v>0.0000013185333333333334</x:v>
      </x:c>
      <x:c r="Q2365" s="30" t="n">
        <x:f>P2365*N2365</x:f>
        <x:v>0.0000949344</x:v>
      </x:c>
      <x:c r="R2365" s="19" t="str">
        <x:v>六选一；非6个独立爆率</x:v>
      </x:c>
    </x:row>
    <x:row r="2366" ht="19" customHeight="1">
      <x:c r="A2366" s="19" t="str">
        <x:v>D02362</x:v>
      </x:c>
      <x:c r="B2366" s="19" t="n">
        <x:v>5</x:v>
      </x:c>
      <x:c r="C2366" s="19" t="n">
        <x:v>3</x:v>
      </x:c>
      <x:c r="D2366" s="19" t="str">
        <x:v>C05-M031</x:v>
      </x:c>
      <x:c r="E2366" s="19" t="str">
        <x:v>银规巡课官</x:v>
      </x:c>
      <x:c r="F2366" s="19" t="str">
        <x:v>稀有</x:v>
      </x:c>
      <x:c r="G2366" s="19" t="str">
        <x:v>自身专属</x:v>
      </x:c>
      <x:c r="H2366" s="19" t="str">
        <x:v>银规巡课束带</x:v>
      </x:c>
      <x:c r="I2366" s="22" t="n">
        <x:v>400</x:v>
      </x:c>
      <x:c r="J2366" s="22" t="n">
        <x:v>1</x:v>
      </x:c>
      <x:c r="K2366" s="19" t="n">
        <x:v>1</x:v>
      </x:c>
      <x:c r="L2366" s="24" t="n">
        <x:v>23.973333333333333</x:v>
      </x:c>
      <x:c r="M2366" s="26" t="n">
        <x:v>0.1</x:v>
      </x:c>
      <x:c r="N2366" s="24" t="n">
        <x:v>12</x:v>
      </x:c>
      <x:c r="O2366" s="28" t="n">
        <x:f>MIN(1,L2366/I2366)</x:f>
        <x:v>0.05993333333333333</x:v>
      </x:c>
      <x:c r="P2366" s="30" t="n">
        <x:f>O2366*J2366*(1+M2366)</x:f>
        <x:v>0.06592666666666668</x:v>
      </x:c>
      <x:c r="Q2366" s="30" t="n">
        <x:f>P2366*N2366</x:f>
        <x:v>0.79112</x:v>
      </x:c>
      <x:c r="R2366" s="19" t="str">
        <x:v>独立判定</x:v>
      </x:c>
    </x:row>
    <x:row r="2367" ht="19" customHeight="1">
      <x:c r="A2367" s="19" t="str">
        <x:v>D02363</x:v>
      </x:c>
      <x:c r="B2367" s="19" t="n">
        <x:v>5</x:v>
      </x:c>
      <x:c r="C2367" s="19" t="n">
        <x:v>3</x:v>
      </x:c>
      <x:c r="D2367" s="19" t="str">
        <x:v>C05-M031</x:v>
      </x:c>
      <x:c r="E2367" s="19" t="str">
        <x:v>银规巡课官</x:v>
      </x:c>
      <x:c r="F2367" s="19" t="str">
        <x:v>稀有</x:v>
      </x:c>
      <x:c r="G2367" s="19" t="str">
        <x:v>材料独立候选</x:v>
      </x:c>
      <x:c r="H2367" s="19" t="str">
        <x:v>辉石碎晶</x:v>
      </x:c>
      <x:c r="I2367" s="22" t="n">
        <x:v>500</x:v>
      </x:c>
      <x:c r="J2367" s="22" t="n">
        <x:v>15</x:v>
      </x:c>
      <x:c r="K2367" s="19" t="n">
        <x:v>1</x:v>
      </x:c>
      <x:c r="L2367" s="24" t="n">
        <x:v>23.973333333333333</x:v>
      </x:c>
      <x:c r="M2367" s="26" t="n">
        <x:v>0.1</x:v>
      </x:c>
      <x:c r="N2367" s="24" t="n">
        <x:v>12</x:v>
      </x:c>
      <x:c r="O2367" s="28" t="n">
        <x:f>MIN(1,L2367/I2367)</x:f>
        <x:v>0.047946666666666665</x:v>
      </x:c>
      <x:c r="P2367" s="30" t="n">
        <x:f>O2367*J2367*(1+M2367)</x:f>
        <x:v>0.79112</x:v>
      </x:c>
      <x:c r="Q2367" s="30" t="n">
        <x:f>P2367*N2367</x:f>
        <x:v>9.49344</x:v>
      </x:c>
      <x:c r="R2367" s="19" t="str">
        <x:v>独立判定</x:v>
      </x:c>
    </x:row>
    <x:row r="2368" ht="19" customHeight="1">
      <x:c r="A2368" s="19" t="str">
        <x:v>D02364</x:v>
      </x:c>
      <x:c r="B2368" s="19" t="n">
        <x:v>5</x:v>
      </x:c>
      <x:c r="C2368" s="19" t="n">
        <x:v>3</x:v>
      </x:c>
      <x:c r="D2368" s="19" t="str">
        <x:v>C05-M031</x:v>
      </x:c>
      <x:c r="E2368" s="19" t="str">
        <x:v>银规巡课官</x:v>
      </x:c>
      <x:c r="F2368" s="19" t="str">
        <x:v>稀有</x:v>
      </x:c>
      <x:c r="G2368" s="19" t="str">
        <x:v>材料独立候选</x:v>
      </x:c>
      <x:c r="H2368" s="19" t="str">
        <x:v>卡利亚月露</x:v>
      </x:c>
      <x:c r="I2368" s="22" t="n">
        <x:v>800</x:v>
      </x:c>
      <x:c r="J2368" s="22" t="n">
        <x:v>1</x:v>
      </x:c>
      <x:c r="K2368" s="19" t="n">
        <x:v>1</x:v>
      </x:c>
      <x:c r="L2368" s="24" t="n">
        <x:v>23.973333333333333</x:v>
      </x:c>
      <x:c r="M2368" s="26" t="n">
        <x:v>0.1</x:v>
      </x:c>
      <x:c r="N2368" s="24" t="n">
        <x:v>12</x:v>
      </x:c>
      <x:c r="O2368" s="28" t="n">
        <x:f>MIN(1,L2368/I2368)</x:f>
        <x:v>0.029966666666666666</x:v>
      </x:c>
      <x:c r="P2368" s="30" t="n">
        <x:f>O2368*J2368*(1+M2368)</x:f>
        <x:v>0.03296333333333334</x:v>
      </x:c>
      <x:c r="Q2368" s="30" t="n">
        <x:f>P2368*N2368</x:f>
        <x:v>0.39556</x:v>
      </x:c>
      <x:c r="R2368" s="19" t="str">
        <x:v>独立判定</x:v>
      </x:c>
    </x:row>
    <x:row r="2369" ht="19" customHeight="1">
      <x:c r="A2369" s="19" t="str">
        <x:v>D02365</x:v>
      </x:c>
      <x:c r="B2369" s="19" t="n">
        <x:v>5</x:v>
      </x:c>
      <x:c r="C2369" s="19" t="n">
        <x:v>3</x:v>
      </x:c>
      <x:c r="D2369" s="19" t="str">
        <x:v>C05-M031</x:v>
      </x:c>
      <x:c r="E2369" s="19" t="str">
        <x:v>银规巡课官</x:v>
      </x:c>
      <x:c r="F2369" s="19" t="str">
        <x:v>稀有</x:v>
      </x:c>
      <x:c r="G2369" s="19" t="str">
        <x:v>材料独立候选</x:v>
      </x:c>
      <x:c r="H2369" s="19" t="str">
        <x:v>学院封蜡</x:v>
      </x:c>
      <x:c r="I2369" s="22" t="n">
        <x:v>1000</x:v>
      </x:c>
      <x:c r="J2369" s="22" t="n">
        <x:v>1</x:v>
      </x:c>
      <x:c r="K2369" s="19" t="n">
        <x:v>1</x:v>
      </x:c>
      <x:c r="L2369" s="24" t="n">
        <x:v>23.973333333333333</x:v>
      </x:c>
      <x:c r="M2369" s="26" t="n">
        <x:v>0.1</x:v>
      </x:c>
      <x:c r="N2369" s="24" t="n">
        <x:v>12</x:v>
      </x:c>
      <x:c r="O2369" s="28" t="n">
        <x:f>MIN(1,L2369/I2369)</x:f>
        <x:v>0.023973333333333333</x:v>
      </x:c>
      <x:c r="P2369" s="30" t="n">
        <x:f>O2369*J2369*(1+M2369)</x:f>
        <x:v>0.026370666666666667</x:v>
      </x:c>
      <x:c r="Q2369" s="30" t="n">
        <x:f>P2369*N2369</x:f>
        <x:v>0.316448</x:v>
      </x:c>
      <x:c r="R2369" s="19" t="str">
        <x:v>独立判定</x:v>
      </x:c>
    </x:row>
    <x:row r="2370" ht="19" customHeight="1">
      <x:c r="A2370" s="19" t="str">
        <x:v>D02366</x:v>
      </x:c>
      <x:c r="B2370" s="19" t="n">
        <x:v>5</x:v>
      </x:c>
      <x:c r="C2370" s="19" t="n">
        <x:v>3</x:v>
      </x:c>
      <x:c r="D2370" s="19" t="str">
        <x:v>C05-M031</x:v>
      </x:c>
      <x:c r="E2370" s="19" t="str">
        <x:v>银规巡课官</x:v>
      </x:c>
      <x:c r="F2370" s="19" t="str">
        <x:v>稀有</x:v>
      </x:c>
      <x:c r="G2370" s="19" t="str">
        <x:v>材料独立候选</x:v>
      </x:c>
      <x:c r="H2370" s="19" t="str">
        <x:v>湖心月谱残章</x:v>
      </x:c>
      <x:c r="I2370" s="22" t="n">
        <x:v>600000</x:v>
      </x:c>
      <x:c r="J2370" s="22" t="n">
        <x:v>1</x:v>
      </x:c>
      <x:c r="K2370" s="19" t="n">
        <x:v>1</x:v>
      </x:c>
      <x:c r="L2370" s="24" t="n">
        <x:v>23.973333333333333</x:v>
      </x:c>
      <x:c r="M2370" s="26" t="n">
        <x:v>0.1</x:v>
      </x:c>
      <x:c r="N2370" s="24" t="n">
        <x:v>12</x:v>
      </x:c>
      <x:c r="O2370" s="28" t="n">
        <x:f>MIN(1,L2370/I2370)</x:f>
        <x:v>0.00003995555555555555</x:v>
      </x:c>
      <x:c r="P2370" s="30" t="n">
        <x:f>O2370*J2370*(1+M2370)</x:f>
        <x:v>0.00004395111111111111</x:v>
      </x:c>
      <x:c r="Q2370" s="30" t="n">
        <x:f>P2370*N2370</x:f>
        <x:v>0.0005274133333333333</x:v>
      </x:c>
      <x:c r="R2370" s="19" t="str">
        <x:v>独立判定</x:v>
      </x:c>
    </x:row>
    <x:row r="2371" ht="19" customHeight="1">
      <x:c r="A2371" s="19" t="str">
        <x:v>D02367</x:v>
      </x:c>
      <x:c r="B2371" s="19" t="n">
        <x:v>5</x:v>
      </x:c>
      <x:c r="C2371" s="19" t="n">
        <x:v>3</x:v>
      </x:c>
      <x:c r="D2371" s="19" t="str">
        <x:v>C05-M031</x:v>
      </x:c>
      <x:c r="E2371" s="19" t="str">
        <x:v>银规巡课官</x:v>
      </x:c>
      <x:c r="F2371" s="19" t="str">
        <x:v>稀有</x:v>
      </x:c>
      <x:c r="G2371" s="19" t="str">
        <x:v>材料独立候选</x:v>
      </x:c>
      <x:c r="H2371" s="19" t="str">
        <x:v>黄金树芽</x:v>
      </x:c>
      <x:c r="I2371" s="22" t="n">
        <x:v>3000</x:v>
      </x:c>
      <x:c r="J2371" s="22" t="n">
        <x:v>1</x:v>
      </x:c>
      <x:c r="K2371" s="19" t="n">
        <x:v>1</x:v>
      </x:c>
      <x:c r="L2371" s="24" t="n">
        <x:v>23.973333333333333</x:v>
      </x:c>
      <x:c r="M2371" s="26" t="n">
        <x:v>0.1</x:v>
      </x:c>
      <x:c r="N2371" s="24" t="n">
        <x:v>12</x:v>
      </x:c>
      <x:c r="O2371" s="28" t="n">
        <x:f>MIN(1,L2371/I2371)</x:f>
        <x:v>0.00799111111111111</x:v>
      </x:c>
      <x:c r="P2371" s="30" t="n">
        <x:f>O2371*J2371*(1+M2371)</x:f>
        <x:v>0.008790222222222222</x:v>
      </x:c>
      <x:c r="Q2371" s="30" t="n">
        <x:f>P2371*N2371</x:f>
        <x:v>0.10548266666666667</x:v>
      </x:c>
      <x:c r="R2371" s="19" t="str">
        <x:v>独立判定</x:v>
      </x:c>
    </x:row>
    <x:row r="2372" ht="19" customHeight="1">
      <x:c r="A2372" s="19" t="str">
        <x:v>D02368</x:v>
      </x:c>
      <x:c r="B2372" s="19" t="n">
        <x:v>5</x:v>
      </x:c>
      <x:c r="C2372" s="19" t="n">
        <x:v>3</x:v>
      </x:c>
      <x:c r="D2372" s="19" t="str">
        <x:v>C05-M031</x:v>
      </x:c>
      <x:c r="E2372" s="19" t="str">
        <x:v>银规巡课官</x:v>
      </x:c>
      <x:c r="F2372" s="19" t="str">
        <x:v>稀有</x:v>
      </x:c>
      <x:c r="G2372" s="19" t="str">
        <x:v>材料独立候选</x:v>
      </x:c>
      <x:c r="H2372" s="19" t="str">
        <x:v>野兽骨片</x:v>
      </x:c>
      <x:c r="I2372" s="22" t="n">
        <x:v>80</x:v>
      </x:c>
      <x:c r="J2372" s="22" t="n">
        <x:v>3</x:v>
      </x:c>
      <x:c r="K2372" s="19" t="n">
        <x:v>1</x:v>
      </x:c>
      <x:c r="L2372" s="24" t="n">
        <x:v>23.973333333333333</x:v>
      </x:c>
      <x:c r="M2372" s="26" t="n">
        <x:v>0.1</x:v>
      </x:c>
      <x:c r="N2372" s="24" t="n">
        <x:v>12</x:v>
      </x:c>
      <x:c r="O2372" s="28" t="n">
        <x:f>MIN(1,L2372/I2372)</x:f>
        <x:v>0.29966666666666664</x:v>
      </x:c>
      <x:c r="P2372" s="30" t="n">
        <x:f>O2372*J2372*(1+M2372)</x:f>
        <x:v>0.9889</x:v>
      </x:c>
      <x:c r="Q2372" s="30" t="n">
        <x:f>P2372*N2372</x:f>
        <x:v>11.8668</x:v>
      </x:c>
      <x:c r="R2372" s="19" t="str">
        <x:v>独立判定</x:v>
      </x:c>
    </x:row>
    <x:row r="2373" ht="19" customHeight="1">
      <x:c r="A2373" s="19" t="str">
        <x:v>D02369</x:v>
      </x:c>
      <x:c r="B2373" s="19" t="n">
        <x:v>5</x:v>
      </x:c>
      <x:c r="C2373" s="19" t="n">
        <x:v>3</x:v>
      </x:c>
      <x:c r="D2373" s="19" t="str">
        <x:v>C05-M031</x:v>
      </x:c>
      <x:c r="E2373" s="19" t="str">
        <x:v>银规巡课官</x:v>
      </x:c>
      <x:c r="F2373" s="19" t="str">
        <x:v>稀有</x:v>
      </x:c>
      <x:c r="G2373" s="19" t="str">
        <x:v>材料独立候选</x:v>
      </x:c>
      <x:c r="H2373" s="19" t="str">
        <x:v>技能残页</x:v>
      </x:c>
      <x:c r="I2373" s="22" t="n">
        <x:v>1800</x:v>
      </x:c>
      <x:c r="J2373" s="22" t="n">
        <x:v>1</x:v>
      </x:c>
      <x:c r="K2373" s="19" t="n">
        <x:v>1</x:v>
      </x:c>
      <x:c r="L2373" s="24" t="n">
        <x:v>23.973333333333333</x:v>
      </x:c>
      <x:c r="M2373" s="26" t="n">
        <x:v>0.1</x:v>
      </x:c>
      <x:c r="N2373" s="24" t="n">
        <x:v>12</x:v>
      </x:c>
      <x:c r="O2373" s="28" t="n">
        <x:f>MIN(1,L2373/I2373)</x:f>
        <x:v>0.013318518518518518</x:v>
      </x:c>
      <x:c r="P2373" s="30" t="n">
        <x:f>O2373*J2373*(1+M2373)</x:f>
        <x:v>0.014650370370370371</x:v>
      </x:c>
      <x:c r="Q2373" s="30" t="n">
        <x:f>P2373*N2373</x:f>
        <x:v>0.17580444444444446</x:v>
      </x:c>
      <x:c r="R2373" s="19" t="str">
        <x:v>独立判定</x:v>
      </x:c>
    </x:row>
    <x:row r="2374" ht="19" customHeight="1">
      <x:c r="A2374" s="19" t="str">
        <x:v>D02370</x:v>
      </x:c>
      <x:c r="B2374" s="19" t="n">
        <x:v>5</x:v>
      </x:c>
      <x:c r="C2374" s="19" t="n">
        <x:v>3</x:v>
      </x:c>
      <x:c r="D2374" s="19" t="str">
        <x:v>C05-M031</x:v>
      </x:c>
      <x:c r="E2374" s="19" t="str">
        <x:v>银规巡课官</x:v>
      </x:c>
      <x:c r="F2374" s="19" t="str">
        <x:v>稀有</x:v>
      </x:c>
      <x:c r="G2374" s="19" t="str">
        <x:v>材料独立候选</x:v>
      </x:c>
      <x:c r="H2374" s="19" t="str">
        <x:v>小卢恩</x:v>
      </x:c>
      <x:c r="I2374" s="22" t="n">
        <x:v>4000</x:v>
      </x:c>
      <x:c r="J2374" s="22" t="n">
        <x:v>1</x:v>
      </x:c>
      <x:c r="K2374" s="19" t="n">
        <x:v>1</x:v>
      </x:c>
      <x:c r="L2374" s="24" t="n">
        <x:v>23.973333333333333</x:v>
      </x:c>
      <x:c r="M2374" s="26" t="n">
        <x:v>0.1</x:v>
      </x:c>
      <x:c r="N2374" s="24" t="n">
        <x:v>12</x:v>
      </x:c>
      <x:c r="O2374" s="28" t="n">
        <x:f>MIN(1,L2374/I2374)</x:f>
        <x:v>0.005993333333333333</x:v>
      </x:c>
      <x:c r="P2374" s="30" t="n">
        <x:f>O2374*J2374*(1+M2374)</x:f>
        <x:v>0.006592666666666667</x:v>
      </x:c>
      <x:c r="Q2374" s="30" t="n">
        <x:f>P2374*N2374</x:f>
        <x:v>0.079112</x:v>
      </x:c>
      <x:c r="R2374" s="19" t="str">
        <x:v>独立判定</x:v>
      </x:c>
    </x:row>
    <x:row r="2375" ht="19" customHeight="1">
      <x:c r="A2375" s="19" t="str">
        <x:v>D02371</x:v>
      </x:c>
      <x:c r="B2375" s="19" t="n">
        <x:v>5</x:v>
      </x:c>
      <x:c r="C2375" s="19" t="n">
        <x:v>3</x:v>
      </x:c>
      <x:c r="D2375" s="19" t="str">
        <x:v>C05-M031</x:v>
      </x:c>
      <x:c r="E2375" s="19" t="str">
        <x:v>银规巡课官</x:v>
      </x:c>
      <x:c r="F2375" s="19" t="str">
        <x:v>稀有</x:v>
      </x:c>
      <x:c r="G2375" s="19" t="str">
        <x:v>六神器公共池</x:v>
      </x:c>
      <x:c r="H2375" s="19" t="str">
        <x:v>POOL006</x:v>
      </x:c>
      <x:c r="I2375" s="22" t="n">
        <x:v>5000000</x:v>
      </x:c>
      <x:c r="J2375" s="22" t="n">
        <x:v>1</x:v>
      </x:c>
      <x:c r="K2375" s="19" t="n">
        <x:v>6</x:v>
      </x:c>
      <x:c r="L2375" s="24" t="n">
        <x:v>23.973333333333333</x:v>
      </x:c>
      <x:c r="M2375" s="26" t="n">
        <x:v>0.1</x:v>
      </x:c>
      <x:c r="N2375" s="24" t="n">
        <x:v>12</x:v>
      </x:c>
      <x:c r="O2375" s="28" t="n">
        <x:f>MIN(1,L2375/I2375)</x:f>
        <x:v>0.000004794666666666667</x:v>
      </x:c>
      <x:c r="P2375" s="30" t="n">
        <x:f>O2375*J2375*(1+M2375)</x:f>
        <x:v>0.0000052741333333333334</x:v>
      </x:c>
      <x:c r="Q2375" s="30" t="n">
        <x:f>P2375*N2375</x:f>
        <x:v>0.0000632896</x:v>
      </x:c>
      <x:c r="R2375" s="19" t="str">
        <x:v>六选一；非6个独立爆率</x:v>
      </x:c>
    </x:row>
    <x:row r="2376" ht="19" customHeight="1">
      <x:c r="A2376" s="19" t="str">
        <x:v>D02372</x:v>
      </x:c>
      <x:c r="B2376" s="19" t="n">
        <x:v>5</x:v>
      </x:c>
      <x:c r="C2376" s="19" t="n">
        <x:v>3</x:v>
      </x:c>
      <x:c r="D2376" s="19" t="str">
        <x:v>C05-M032</x:v>
      </x:c>
      <x:c r="E2376" s="19" t="str">
        <x:v>封讲禁声师</x:v>
      </x:c>
      <x:c r="F2376" s="19" t="str">
        <x:v>稀有</x:v>
      </x:c>
      <x:c r="G2376" s="19" t="str">
        <x:v>自身专属</x:v>
      </x:c>
      <x:c r="H2376" s="19" t="str">
        <x:v>禁声讲师冠</x:v>
      </x:c>
      <x:c r="I2376" s="22" t="n">
        <x:v>400</x:v>
      </x:c>
      <x:c r="J2376" s="22" t="n">
        <x:v>1</x:v>
      </x:c>
      <x:c r="K2376" s="19" t="n">
        <x:v>1</x:v>
      </x:c>
      <x:c r="L2376" s="24" t="n">
        <x:v>23.973333333333333</x:v>
      </x:c>
      <x:c r="M2376" s="26" t="n">
        <x:v>0.1</x:v>
      </x:c>
      <x:c r="N2376" s="24" t="n">
        <x:v>12</x:v>
      </x:c>
      <x:c r="O2376" s="28" t="n">
        <x:f>MIN(1,L2376/I2376)</x:f>
        <x:v>0.05993333333333333</x:v>
      </x:c>
      <x:c r="P2376" s="30" t="n">
        <x:f>O2376*J2376*(1+M2376)</x:f>
        <x:v>0.06592666666666668</x:v>
      </x:c>
      <x:c r="Q2376" s="30" t="n">
        <x:f>P2376*N2376</x:f>
        <x:v>0.79112</x:v>
      </x:c>
      <x:c r="R2376" s="19" t="str">
        <x:v>独立判定</x:v>
      </x:c>
    </x:row>
    <x:row r="2377" ht="19" customHeight="1">
      <x:c r="A2377" s="19" t="str">
        <x:v>D02373</x:v>
      </x:c>
      <x:c r="B2377" s="19" t="n">
        <x:v>5</x:v>
      </x:c>
      <x:c r="C2377" s="19" t="n">
        <x:v>3</x:v>
      </x:c>
      <x:c r="D2377" s="19" t="str">
        <x:v>C05-M032</x:v>
      </x:c>
      <x:c r="E2377" s="19" t="str">
        <x:v>封讲禁声师</x:v>
      </x:c>
      <x:c r="F2377" s="19" t="str">
        <x:v>稀有</x:v>
      </x:c>
      <x:c r="G2377" s="19" t="str">
        <x:v>材料独立候选</x:v>
      </x:c>
      <x:c r="H2377" s="19" t="str">
        <x:v>辉石碎晶</x:v>
      </x:c>
      <x:c r="I2377" s="22" t="n">
        <x:v>500</x:v>
      </x:c>
      <x:c r="J2377" s="22" t="n">
        <x:v>15</x:v>
      </x:c>
      <x:c r="K2377" s="19" t="n">
        <x:v>1</x:v>
      </x:c>
      <x:c r="L2377" s="24" t="n">
        <x:v>23.973333333333333</x:v>
      </x:c>
      <x:c r="M2377" s="26" t="n">
        <x:v>0.1</x:v>
      </x:c>
      <x:c r="N2377" s="24" t="n">
        <x:v>12</x:v>
      </x:c>
      <x:c r="O2377" s="28" t="n">
        <x:f>MIN(1,L2377/I2377)</x:f>
        <x:v>0.047946666666666665</x:v>
      </x:c>
      <x:c r="P2377" s="30" t="n">
        <x:f>O2377*J2377*(1+M2377)</x:f>
        <x:v>0.79112</x:v>
      </x:c>
      <x:c r="Q2377" s="30" t="n">
        <x:f>P2377*N2377</x:f>
        <x:v>9.49344</x:v>
      </x:c>
      <x:c r="R2377" s="19" t="str">
        <x:v>独立判定</x:v>
      </x:c>
    </x:row>
    <x:row r="2378" ht="19" customHeight="1">
      <x:c r="A2378" s="19" t="str">
        <x:v>D02374</x:v>
      </x:c>
      <x:c r="B2378" s="19" t="n">
        <x:v>5</x:v>
      </x:c>
      <x:c r="C2378" s="19" t="n">
        <x:v>3</x:v>
      </x:c>
      <x:c r="D2378" s="19" t="str">
        <x:v>C05-M032</x:v>
      </x:c>
      <x:c r="E2378" s="19" t="str">
        <x:v>封讲禁声师</x:v>
      </x:c>
      <x:c r="F2378" s="19" t="str">
        <x:v>稀有</x:v>
      </x:c>
      <x:c r="G2378" s="19" t="str">
        <x:v>材料独立候选</x:v>
      </x:c>
      <x:c r="H2378" s="19" t="str">
        <x:v>卡利亚月露</x:v>
      </x:c>
      <x:c r="I2378" s="22" t="n">
        <x:v>800</x:v>
      </x:c>
      <x:c r="J2378" s="22" t="n">
        <x:v>1</x:v>
      </x:c>
      <x:c r="K2378" s="19" t="n">
        <x:v>1</x:v>
      </x:c>
      <x:c r="L2378" s="24" t="n">
        <x:v>23.973333333333333</x:v>
      </x:c>
      <x:c r="M2378" s="26" t="n">
        <x:v>0.1</x:v>
      </x:c>
      <x:c r="N2378" s="24" t="n">
        <x:v>12</x:v>
      </x:c>
      <x:c r="O2378" s="28" t="n">
        <x:f>MIN(1,L2378/I2378)</x:f>
        <x:v>0.029966666666666666</x:v>
      </x:c>
      <x:c r="P2378" s="30" t="n">
        <x:f>O2378*J2378*(1+M2378)</x:f>
        <x:v>0.03296333333333334</x:v>
      </x:c>
      <x:c r="Q2378" s="30" t="n">
        <x:f>P2378*N2378</x:f>
        <x:v>0.39556</x:v>
      </x:c>
      <x:c r="R2378" s="19" t="str">
        <x:v>独立判定</x:v>
      </x:c>
    </x:row>
    <x:row r="2379" ht="19" customHeight="1">
      <x:c r="A2379" s="19" t="str">
        <x:v>D02375</x:v>
      </x:c>
      <x:c r="B2379" s="19" t="n">
        <x:v>5</x:v>
      </x:c>
      <x:c r="C2379" s="19" t="n">
        <x:v>3</x:v>
      </x:c>
      <x:c r="D2379" s="19" t="str">
        <x:v>C05-M032</x:v>
      </x:c>
      <x:c r="E2379" s="19" t="str">
        <x:v>封讲禁声师</x:v>
      </x:c>
      <x:c r="F2379" s="19" t="str">
        <x:v>稀有</x:v>
      </x:c>
      <x:c r="G2379" s="19" t="str">
        <x:v>材料独立候选</x:v>
      </x:c>
      <x:c r="H2379" s="19" t="str">
        <x:v>学院封蜡</x:v>
      </x:c>
      <x:c r="I2379" s="22" t="n">
        <x:v>1000</x:v>
      </x:c>
      <x:c r="J2379" s="22" t="n">
        <x:v>1</x:v>
      </x:c>
      <x:c r="K2379" s="19" t="n">
        <x:v>1</x:v>
      </x:c>
      <x:c r="L2379" s="24" t="n">
        <x:v>23.973333333333333</x:v>
      </x:c>
      <x:c r="M2379" s="26" t="n">
        <x:v>0.1</x:v>
      </x:c>
      <x:c r="N2379" s="24" t="n">
        <x:v>12</x:v>
      </x:c>
      <x:c r="O2379" s="28" t="n">
        <x:f>MIN(1,L2379/I2379)</x:f>
        <x:v>0.023973333333333333</x:v>
      </x:c>
      <x:c r="P2379" s="30" t="n">
        <x:f>O2379*J2379*(1+M2379)</x:f>
        <x:v>0.026370666666666667</x:v>
      </x:c>
      <x:c r="Q2379" s="30" t="n">
        <x:f>P2379*N2379</x:f>
        <x:v>0.316448</x:v>
      </x:c>
      <x:c r="R2379" s="19" t="str">
        <x:v>独立判定</x:v>
      </x:c>
    </x:row>
    <x:row r="2380" ht="19" customHeight="1">
      <x:c r="A2380" s="19" t="str">
        <x:v>D02376</x:v>
      </x:c>
      <x:c r="B2380" s="19" t="n">
        <x:v>5</x:v>
      </x:c>
      <x:c r="C2380" s="19" t="n">
        <x:v>3</x:v>
      </x:c>
      <x:c r="D2380" s="19" t="str">
        <x:v>C05-M032</x:v>
      </x:c>
      <x:c r="E2380" s="19" t="str">
        <x:v>封讲禁声师</x:v>
      </x:c>
      <x:c r="F2380" s="19" t="str">
        <x:v>稀有</x:v>
      </x:c>
      <x:c r="G2380" s="19" t="str">
        <x:v>材料独立候选</x:v>
      </x:c>
      <x:c r="H2380" s="19" t="str">
        <x:v>湖心月谱残章</x:v>
      </x:c>
      <x:c r="I2380" s="22" t="n">
        <x:v>600000</x:v>
      </x:c>
      <x:c r="J2380" s="22" t="n">
        <x:v>1</x:v>
      </x:c>
      <x:c r="K2380" s="19" t="n">
        <x:v>1</x:v>
      </x:c>
      <x:c r="L2380" s="24" t="n">
        <x:v>23.973333333333333</x:v>
      </x:c>
      <x:c r="M2380" s="26" t="n">
        <x:v>0.1</x:v>
      </x:c>
      <x:c r="N2380" s="24" t="n">
        <x:v>12</x:v>
      </x:c>
      <x:c r="O2380" s="28" t="n">
        <x:f>MIN(1,L2380/I2380)</x:f>
        <x:v>0.00003995555555555555</x:v>
      </x:c>
      <x:c r="P2380" s="30" t="n">
        <x:f>O2380*J2380*(1+M2380)</x:f>
        <x:v>0.00004395111111111111</x:v>
      </x:c>
      <x:c r="Q2380" s="30" t="n">
        <x:f>P2380*N2380</x:f>
        <x:v>0.0005274133333333333</x:v>
      </x:c>
      <x:c r="R2380" s="19" t="str">
        <x:v>独立判定</x:v>
      </x:c>
    </x:row>
    <x:row r="2381" ht="19" customHeight="1">
      <x:c r="A2381" s="19" t="str">
        <x:v>D02377</x:v>
      </x:c>
      <x:c r="B2381" s="19" t="n">
        <x:v>5</x:v>
      </x:c>
      <x:c r="C2381" s="19" t="n">
        <x:v>3</x:v>
      </x:c>
      <x:c r="D2381" s="19" t="str">
        <x:v>C05-M032</x:v>
      </x:c>
      <x:c r="E2381" s="19" t="str">
        <x:v>封讲禁声师</x:v>
      </x:c>
      <x:c r="F2381" s="19" t="str">
        <x:v>稀有</x:v>
      </x:c>
      <x:c r="G2381" s="19" t="str">
        <x:v>材料独立候选</x:v>
      </x:c>
      <x:c r="H2381" s="19" t="str">
        <x:v>黄金树芽</x:v>
      </x:c>
      <x:c r="I2381" s="22" t="n">
        <x:v>3000</x:v>
      </x:c>
      <x:c r="J2381" s="22" t="n">
        <x:v>1</x:v>
      </x:c>
      <x:c r="K2381" s="19" t="n">
        <x:v>1</x:v>
      </x:c>
      <x:c r="L2381" s="24" t="n">
        <x:v>23.973333333333333</x:v>
      </x:c>
      <x:c r="M2381" s="26" t="n">
        <x:v>0.1</x:v>
      </x:c>
      <x:c r="N2381" s="24" t="n">
        <x:v>12</x:v>
      </x:c>
      <x:c r="O2381" s="28" t="n">
        <x:f>MIN(1,L2381/I2381)</x:f>
        <x:v>0.00799111111111111</x:v>
      </x:c>
      <x:c r="P2381" s="30" t="n">
        <x:f>O2381*J2381*(1+M2381)</x:f>
        <x:v>0.008790222222222222</x:v>
      </x:c>
      <x:c r="Q2381" s="30" t="n">
        <x:f>P2381*N2381</x:f>
        <x:v>0.10548266666666667</x:v>
      </x:c>
      <x:c r="R2381" s="19" t="str">
        <x:v>独立判定</x:v>
      </x:c>
    </x:row>
    <x:row r="2382" ht="19" customHeight="1">
      <x:c r="A2382" s="19" t="str">
        <x:v>D02378</x:v>
      </x:c>
      <x:c r="B2382" s="19" t="n">
        <x:v>5</x:v>
      </x:c>
      <x:c r="C2382" s="19" t="n">
        <x:v>3</x:v>
      </x:c>
      <x:c r="D2382" s="19" t="str">
        <x:v>C05-M032</x:v>
      </x:c>
      <x:c r="E2382" s="19" t="str">
        <x:v>封讲禁声师</x:v>
      </x:c>
      <x:c r="F2382" s="19" t="str">
        <x:v>稀有</x:v>
      </x:c>
      <x:c r="G2382" s="19" t="str">
        <x:v>材料独立候选</x:v>
      </x:c>
      <x:c r="H2382" s="19" t="str">
        <x:v>野兽骨片</x:v>
      </x:c>
      <x:c r="I2382" s="22" t="n">
        <x:v>80</x:v>
      </x:c>
      <x:c r="J2382" s="22" t="n">
        <x:v>3</x:v>
      </x:c>
      <x:c r="K2382" s="19" t="n">
        <x:v>1</x:v>
      </x:c>
      <x:c r="L2382" s="24" t="n">
        <x:v>23.973333333333333</x:v>
      </x:c>
      <x:c r="M2382" s="26" t="n">
        <x:v>0.1</x:v>
      </x:c>
      <x:c r="N2382" s="24" t="n">
        <x:v>12</x:v>
      </x:c>
      <x:c r="O2382" s="28" t="n">
        <x:f>MIN(1,L2382/I2382)</x:f>
        <x:v>0.29966666666666664</x:v>
      </x:c>
      <x:c r="P2382" s="30" t="n">
        <x:f>O2382*J2382*(1+M2382)</x:f>
        <x:v>0.9889</x:v>
      </x:c>
      <x:c r="Q2382" s="30" t="n">
        <x:f>P2382*N2382</x:f>
        <x:v>11.8668</x:v>
      </x:c>
      <x:c r="R2382" s="19" t="str">
        <x:v>独立判定</x:v>
      </x:c>
    </x:row>
    <x:row r="2383" ht="19" customHeight="1">
      <x:c r="A2383" s="19" t="str">
        <x:v>D02379</x:v>
      </x:c>
      <x:c r="B2383" s="19" t="n">
        <x:v>5</x:v>
      </x:c>
      <x:c r="C2383" s="19" t="n">
        <x:v>3</x:v>
      </x:c>
      <x:c r="D2383" s="19" t="str">
        <x:v>C05-M032</x:v>
      </x:c>
      <x:c r="E2383" s="19" t="str">
        <x:v>封讲禁声师</x:v>
      </x:c>
      <x:c r="F2383" s="19" t="str">
        <x:v>稀有</x:v>
      </x:c>
      <x:c r="G2383" s="19" t="str">
        <x:v>材料独立候选</x:v>
      </x:c>
      <x:c r="H2383" s="19" t="str">
        <x:v>技能残页</x:v>
      </x:c>
      <x:c r="I2383" s="22" t="n">
        <x:v>1800</x:v>
      </x:c>
      <x:c r="J2383" s="22" t="n">
        <x:v>1</x:v>
      </x:c>
      <x:c r="K2383" s="19" t="n">
        <x:v>1</x:v>
      </x:c>
      <x:c r="L2383" s="24" t="n">
        <x:v>23.973333333333333</x:v>
      </x:c>
      <x:c r="M2383" s="26" t="n">
        <x:v>0.1</x:v>
      </x:c>
      <x:c r="N2383" s="24" t="n">
        <x:v>12</x:v>
      </x:c>
      <x:c r="O2383" s="28" t="n">
        <x:f>MIN(1,L2383/I2383)</x:f>
        <x:v>0.013318518518518518</x:v>
      </x:c>
      <x:c r="P2383" s="30" t="n">
        <x:f>O2383*J2383*(1+M2383)</x:f>
        <x:v>0.014650370370370371</x:v>
      </x:c>
      <x:c r="Q2383" s="30" t="n">
        <x:f>P2383*N2383</x:f>
        <x:v>0.17580444444444446</x:v>
      </x:c>
      <x:c r="R2383" s="19" t="str">
        <x:v>独立判定</x:v>
      </x:c>
    </x:row>
    <x:row r="2384" ht="19" customHeight="1">
      <x:c r="A2384" s="19" t="str">
        <x:v>D02380</x:v>
      </x:c>
      <x:c r="B2384" s="19" t="n">
        <x:v>5</x:v>
      </x:c>
      <x:c r="C2384" s="19" t="n">
        <x:v>3</x:v>
      </x:c>
      <x:c r="D2384" s="19" t="str">
        <x:v>C05-M032</x:v>
      </x:c>
      <x:c r="E2384" s="19" t="str">
        <x:v>封讲禁声师</x:v>
      </x:c>
      <x:c r="F2384" s="19" t="str">
        <x:v>稀有</x:v>
      </x:c>
      <x:c r="G2384" s="19" t="str">
        <x:v>材料独立候选</x:v>
      </x:c>
      <x:c r="H2384" s="19" t="str">
        <x:v>小卢恩</x:v>
      </x:c>
      <x:c r="I2384" s="22" t="n">
        <x:v>4000</x:v>
      </x:c>
      <x:c r="J2384" s="22" t="n">
        <x:v>1</x:v>
      </x:c>
      <x:c r="K2384" s="19" t="n">
        <x:v>1</x:v>
      </x:c>
      <x:c r="L2384" s="24" t="n">
        <x:v>23.973333333333333</x:v>
      </x:c>
      <x:c r="M2384" s="26" t="n">
        <x:v>0.1</x:v>
      </x:c>
      <x:c r="N2384" s="24" t="n">
        <x:v>12</x:v>
      </x:c>
      <x:c r="O2384" s="28" t="n">
        <x:f>MIN(1,L2384/I2384)</x:f>
        <x:v>0.005993333333333333</x:v>
      </x:c>
      <x:c r="P2384" s="30" t="n">
        <x:f>O2384*J2384*(1+M2384)</x:f>
        <x:v>0.006592666666666667</x:v>
      </x:c>
      <x:c r="Q2384" s="30" t="n">
        <x:f>P2384*N2384</x:f>
        <x:v>0.079112</x:v>
      </x:c>
      <x:c r="R2384" s="19" t="str">
        <x:v>独立判定</x:v>
      </x:c>
    </x:row>
    <x:row r="2385" ht="19" customHeight="1">
      <x:c r="A2385" s="19" t="str">
        <x:v>D02381</x:v>
      </x:c>
      <x:c r="B2385" s="19" t="n">
        <x:v>5</x:v>
      </x:c>
      <x:c r="C2385" s="19" t="n">
        <x:v>3</x:v>
      </x:c>
      <x:c r="D2385" s="19" t="str">
        <x:v>C05-M032</x:v>
      </x:c>
      <x:c r="E2385" s="19" t="str">
        <x:v>封讲禁声师</x:v>
      </x:c>
      <x:c r="F2385" s="19" t="str">
        <x:v>稀有</x:v>
      </x:c>
      <x:c r="G2385" s="19" t="str">
        <x:v>六神器公共池</x:v>
      </x:c>
      <x:c r="H2385" s="19" t="str">
        <x:v>POOL006</x:v>
      </x:c>
      <x:c r="I2385" s="22" t="n">
        <x:v>5000000</x:v>
      </x:c>
      <x:c r="J2385" s="22" t="n">
        <x:v>1</x:v>
      </x:c>
      <x:c r="K2385" s="19" t="n">
        <x:v>6</x:v>
      </x:c>
      <x:c r="L2385" s="24" t="n">
        <x:v>23.973333333333333</x:v>
      </x:c>
      <x:c r="M2385" s="26" t="n">
        <x:v>0.1</x:v>
      </x:c>
      <x:c r="N2385" s="24" t="n">
        <x:v>12</x:v>
      </x:c>
      <x:c r="O2385" s="28" t="n">
        <x:f>MIN(1,L2385/I2385)</x:f>
        <x:v>0.000004794666666666667</x:v>
      </x:c>
      <x:c r="P2385" s="30" t="n">
        <x:f>O2385*J2385*(1+M2385)</x:f>
        <x:v>0.0000052741333333333334</x:v>
      </x:c>
      <x:c r="Q2385" s="30" t="n">
        <x:f>P2385*N2385</x:f>
        <x:v>0.0000632896</x:v>
      </x:c>
      <x:c r="R2385" s="19" t="str">
        <x:v>六选一；非6个独立爆率</x:v>
      </x:c>
    </x:row>
    <x:row r="2386" ht="19" customHeight="1">
      <x:c r="A2386" s="19" t="str">
        <x:v>D02382</x:v>
      </x:c>
      <x:c r="B2386" s="19" t="n">
        <x:v>5</x:v>
      </x:c>
      <x:c r="C2386" s="19" t="n">
        <x:v>3</x:v>
      </x:c>
      <x:c r="D2386" s="19" t="str">
        <x:v>C05-M033</x:v>
      </x:c>
      <x:c r="E2386" s="19" t="str">
        <x:v>密室倒书客</x:v>
      </x:c>
      <x:c r="F2386" s="19" t="str">
        <x:v>稀有</x:v>
      </x:c>
      <x:c r="G2386" s="19" t="str">
        <x:v>自身专属</x:v>
      </x:c>
      <x:c r="H2386" s="19" t="str">
        <x:v>倒书客勋章</x:v>
      </x:c>
      <x:c r="I2386" s="22" t="n">
        <x:v>400</x:v>
      </x:c>
      <x:c r="J2386" s="22" t="n">
        <x:v>1</x:v>
      </x:c>
      <x:c r="K2386" s="19" t="n">
        <x:v>1</x:v>
      </x:c>
      <x:c r="L2386" s="24" t="n">
        <x:v>23.973333333333333</x:v>
      </x:c>
      <x:c r="M2386" s="26" t="n">
        <x:v>0.1</x:v>
      </x:c>
      <x:c r="N2386" s="24" t="n">
        <x:v>11.418337376257872</x:v>
      </x:c>
      <x:c r="O2386" s="28" t="n">
        <x:f>MIN(1,L2386/I2386)</x:f>
        <x:v>0.05993333333333333</x:v>
      </x:c>
      <x:c r="P2386" s="30" t="n">
        <x:f>O2386*J2386*(1+M2386)</x:f>
        <x:v>0.06592666666666668</x:v>
      </x:c>
      <x:c r="Q2386" s="30" t="n">
        <x:f>P2386*N2386</x:f>
        <x:v>0.7527729220920941</x:v>
      </x:c>
      <x:c r="R2386" s="19" t="str">
        <x:v>独立判定</x:v>
      </x:c>
    </x:row>
    <x:row r="2387" ht="19" customHeight="1">
      <x:c r="A2387" s="19" t="str">
        <x:v>D02383</x:v>
      </x:c>
      <x:c r="B2387" s="19" t="n">
        <x:v>5</x:v>
      </x:c>
      <x:c r="C2387" s="19" t="n">
        <x:v>3</x:v>
      </x:c>
      <x:c r="D2387" s="19" t="str">
        <x:v>C05-M033</x:v>
      </x:c>
      <x:c r="E2387" s="19" t="str">
        <x:v>密室倒书客</x:v>
      </x:c>
      <x:c r="F2387" s="19" t="str">
        <x:v>稀有</x:v>
      </x:c>
      <x:c r="G2387" s="19" t="str">
        <x:v>材料独立候选</x:v>
      </x:c>
      <x:c r="H2387" s="19" t="str">
        <x:v>辉石碎晶</x:v>
      </x:c>
      <x:c r="I2387" s="22" t="n">
        <x:v>500</x:v>
      </x:c>
      <x:c r="J2387" s="22" t="n">
        <x:v>15</x:v>
      </x:c>
      <x:c r="K2387" s="19" t="n">
        <x:v>1</x:v>
      </x:c>
      <x:c r="L2387" s="24" t="n">
        <x:v>23.973333333333333</x:v>
      </x:c>
      <x:c r="M2387" s="26" t="n">
        <x:v>0.1</x:v>
      </x:c>
      <x:c r="N2387" s="24" t="n">
        <x:v>11.418337376257872</x:v>
      </x:c>
      <x:c r="O2387" s="28" t="n">
        <x:f>MIN(1,L2387/I2387)</x:f>
        <x:v>0.047946666666666665</x:v>
      </x:c>
      <x:c r="P2387" s="30" t="n">
        <x:f>O2387*J2387*(1+M2387)</x:f>
        <x:v>0.79112</x:v>
      </x:c>
      <x:c r="Q2387" s="30" t="n">
        <x:f>P2387*N2387</x:f>
        <x:v>9.033275065105128</x:v>
      </x:c>
      <x:c r="R2387" s="19" t="str">
        <x:v>独立判定</x:v>
      </x:c>
    </x:row>
    <x:row r="2388" ht="19" customHeight="1">
      <x:c r="A2388" s="19" t="str">
        <x:v>D02384</x:v>
      </x:c>
      <x:c r="B2388" s="19" t="n">
        <x:v>5</x:v>
      </x:c>
      <x:c r="C2388" s="19" t="n">
        <x:v>3</x:v>
      </x:c>
      <x:c r="D2388" s="19" t="str">
        <x:v>C05-M033</x:v>
      </x:c>
      <x:c r="E2388" s="19" t="str">
        <x:v>密室倒书客</x:v>
      </x:c>
      <x:c r="F2388" s="19" t="str">
        <x:v>稀有</x:v>
      </x:c>
      <x:c r="G2388" s="19" t="str">
        <x:v>材料独立候选</x:v>
      </x:c>
      <x:c r="H2388" s="19" t="str">
        <x:v>卡利亚月露</x:v>
      </x:c>
      <x:c r="I2388" s="22" t="n">
        <x:v>800</x:v>
      </x:c>
      <x:c r="J2388" s="22" t="n">
        <x:v>1</x:v>
      </x:c>
      <x:c r="K2388" s="19" t="n">
        <x:v>1</x:v>
      </x:c>
      <x:c r="L2388" s="24" t="n">
        <x:v>23.973333333333333</x:v>
      </x:c>
      <x:c r="M2388" s="26" t="n">
        <x:v>0.1</x:v>
      </x:c>
      <x:c r="N2388" s="24" t="n">
        <x:v>11.418337376257872</x:v>
      </x:c>
      <x:c r="O2388" s="28" t="n">
        <x:f>MIN(1,L2388/I2388)</x:f>
        <x:v>0.029966666666666666</x:v>
      </x:c>
      <x:c r="P2388" s="30" t="n">
        <x:f>O2388*J2388*(1+M2388)</x:f>
        <x:v>0.03296333333333334</x:v>
      </x:c>
      <x:c r="Q2388" s="30" t="n">
        <x:f>P2388*N2388</x:f>
        <x:v>0.37638646104604706</x:v>
      </x:c>
      <x:c r="R2388" s="19" t="str">
        <x:v>独立判定</x:v>
      </x:c>
    </x:row>
    <x:row r="2389" ht="19" customHeight="1">
      <x:c r="A2389" s="19" t="str">
        <x:v>D02385</x:v>
      </x:c>
      <x:c r="B2389" s="19" t="n">
        <x:v>5</x:v>
      </x:c>
      <x:c r="C2389" s="19" t="n">
        <x:v>3</x:v>
      </x:c>
      <x:c r="D2389" s="19" t="str">
        <x:v>C05-M033</x:v>
      </x:c>
      <x:c r="E2389" s="19" t="str">
        <x:v>密室倒书客</x:v>
      </x:c>
      <x:c r="F2389" s="19" t="str">
        <x:v>稀有</x:v>
      </x:c>
      <x:c r="G2389" s="19" t="str">
        <x:v>材料独立候选</x:v>
      </x:c>
      <x:c r="H2389" s="19" t="str">
        <x:v>学院封蜡</x:v>
      </x:c>
      <x:c r="I2389" s="22" t="n">
        <x:v>1000</x:v>
      </x:c>
      <x:c r="J2389" s="22" t="n">
        <x:v>1</x:v>
      </x:c>
      <x:c r="K2389" s="19" t="n">
        <x:v>1</x:v>
      </x:c>
      <x:c r="L2389" s="24" t="n">
        <x:v>23.973333333333333</x:v>
      </x:c>
      <x:c r="M2389" s="26" t="n">
        <x:v>0.1</x:v>
      </x:c>
      <x:c r="N2389" s="24" t="n">
        <x:v>11.418337376257872</x:v>
      </x:c>
      <x:c r="O2389" s="28" t="n">
        <x:f>MIN(1,L2389/I2389)</x:f>
        <x:v>0.023973333333333333</x:v>
      </x:c>
      <x:c r="P2389" s="30" t="n">
        <x:f>O2389*J2389*(1+M2389)</x:f>
        <x:v>0.026370666666666667</x:v>
      </x:c>
      <x:c r="Q2389" s="30" t="n">
        <x:f>P2389*N2389</x:f>
        <x:v>0.3011091688368376</x:v>
      </x:c>
      <x:c r="R2389" s="19" t="str">
        <x:v>独立判定</x:v>
      </x:c>
    </x:row>
    <x:row r="2390" ht="19" customHeight="1">
      <x:c r="A2390" s="19" t="str">
        <x:v>D02386</x:v>
      </x:c>
      <x:c r="B2390" s="19" t="n">
        <x:v>5</x:v>
      </x:c>
      <x:c r="C2390" s="19" t="n">
        <x:v>3</x:v>
      </x:c>
      <x:c r="D2390" s="19" t="str">
        <x:v>C05-M033</x:v>
      </x:c>
      <x:c r="E2390" s="19" t="str">
        <x:v>密室倒书客</x:v>
      </x:c>
      <x:c r="F2390" s="19" t="str">
        <x:v>稀有</x:v>
      </x:c>
      <x:c r="G2390" s="19" t="str">
        <x:v>材料独立候选</x:v>
      </x:c>
      <x:c r="H2390" s="19" t="str">
        <x:v>湖心月谱残章</x:v>
      </x:c>
      <x:c r="I2390" s="22" t="n">
        <x:v>600000</x:v>
      </x:c>
      <x:c r="J2390" s="22" t="n">
        <x:v>1</x:v>
      </x:c>
      <x:c r="K2390" s="19" t="n">
        <x:v>1</x:v>
      </x:c>
      <x:c r="L2390" s="24" t="n">
        <x:v>23.973333333333333</x:v>
      </x:c>
      <x:c r="M2390" s="26" t="n">
        <x:v>0.1</x:v>
      </x:c>
      <x:c r="N2390" s="24" t="n">
        <x:v>11.418337376257872</x:v>
      </x:c>
      <x:c r="O2390" s="28" t="n">
        <x:f>MIN(1,L2390/I2390)</x:f>
        <x:v>0.00003995555555555555</x:v>
      </x:c>
      <x:c r="P2390" s="30" t="n">
        <x:f>O2390*J2390*(1+M2390)</x:f>
        <x:v>0.00004395111111111111</x:v>
      </x:c>
      <x:c r="Q2390" s="30" t="n">
        <x:f>P2390*N2390</x:f>
        <x:v>0.0005018486147280627</x:v>
      </x:c>
      <x:c r="R2390" s="19" t="str">
        <x:v>独立判定</x:v>
      </x:c>
    </x:row>
    <x:row r="2391" ht="19" customHeight="1">
      <x:c r="A2391" s="19" t="str">
        <x:v>D02387</x:v>
      </x:c>
      <x:c r="B2391" s="19" t="n">
        <x:v>5</x:v>
      </x:c>
      <x:c r="C2391" s="19" t="n">
        <x:v>3</x:v>
      </x:c>
      <x:c r="D2391" s="19" t="str">
        <x:v>C05-M033</x:v>
      </x:c>
      <x:c r="E2391" s="19" t="str">
        <x:v>密室倒书客</x:v>
      </x:c>
      <x:c r="F2391" s="19" t="str">
        <x:v>稀有</x:v>
      </x:c>
      <x:c r="G2391" s="19" t="str">
        <x:v>材料独立候选</x:v>
      </x:c>
      <x:c r="H2391" s="19" t="str">
        <x:v>黄金树芽</x:v>
      </x:c>
      <x:c r="I2391" s="22" t="n">
        <x:v>3000</x:v>
      </x:c>
      <x:c r="J2391" s="22" t="n">
        <x:v>1</x:v>
      </x:c>
      <x:c r="K2391" s="19" t="n">
        <x:v>1</x:v>
      </x:c>
      <x:c r="L2391" s="24" t="n">
        <x:v>23.973333333333333</x:v>
      </x:c>
      <x:c r="M2391" s="26" t="n">
        <x:v>0.1</x:v>
      </x:c>
      <x:c r="N2391" s="24" t="n">
        <x:v>11.418337376257872</x:v>
      </x:c>
      <x:c r="O2391" s="28" t="n">
        <x:f>MIN(1,L2391/I2391)</x:f>
        <x:v>0.00799111111111111</x:v>
      </x:c>
      <x:c r="P2391" s="30" t="n">
        <x:f>O2391*J2391*(1+M2391)</x:f>
        <x:v>0.008790222222222222</x:v>
      </x:c>
      <x:c r="Q2391" s="30" t="n">
        <x:f>P2391*N2391</x:f>
        <x:v>0.10036972294561253</x:v>
      </x:c>
      <x:c r="R2391" s="19" t="str">
        <x:v>独立判定</x:v>
      </x:c>
    </x:row>
    <x:row r="2392" ht="19" customHeight="1">
      <x:c r="A2392" s="19" t="str">
        <x:v>D02388</x:v>
      </x:c>
      <x:c r="B2392" s="19" t="n">
        <x:v>5</x:v>
      </x:c>
      <x:c r="C2392" s="19" t="n">
        <x:v>3</x:v>
      </x:c>
      <x:c r="D2392" s="19" t="str">
        <x:v>C05-M033</x:v>
      </x:c>
      <x:c r="E2392" s="19" t="str">
        <x:v>密室倒书客</x:v>
      </x:c>
      <x:c r="F2392" s="19" t="str">
        <x:v>稀有</x:v>
      </x:c>
      <x:c r="G2392" s="19" t="str">
        <x:v>材料独立候选</x:v>
      </x:c>
      <x:c r="H2392" s="19" t="str">
        <x:v>野兽骨片</x:v>
      </x:c>
      <x:c r="I2392" s="22" t="n">
        <x:v>80</x:v>
      </x:c>
      <x:c r="J2392" s="22" t="n">
        <x:v>3</x:v>
      </x:c>
      <x:c r="K2392" s="19" t="n">
        <x:v>1</x:v>
      </x:c>
      <x:c r="L2392" s="24" t="n">
        <x:v>23.973333333333333</x:v>
      </x:c>
      <x:c r="M2392" s="26" t="n">
        <x:v>0.1</x:v>
      </x:c>
      <x:c r="N2392" s="24" t="n">
        <x:v>11.418337376257872</x:v>
      </x:c>
      <x:c r="O2392" s="28" t="n">
        <x:f>MIN(1,L2392/I2392)</x:f>
        <x:v>0.29966666666666664</x:v>
      </x:c>
      <x:c r="P2392" s="30" t="n">
        <x:f>O2392*J2392*(1+M2392)</x:f>
        <x:v>0.9889</x:v>
      </x:c>
      <x:c r="Q2392" s="30" t="n">
        <x:f>P2392*N2392</x:f>
        <x:v>11.29159383138141</x:v>
      </x:c>
      <x:c r="R2392" s="19" t="str">
        <x:v>独立判定</x:v>
      </x:c>
    </x:row>
    <x:row r="2393" ht="19" customHeight="1">
      <x:c r="A2393" s="19" t="str">
        <x:v>D02389</x:v>
      </x:c>
      <x:c r="B2393" s="19" t="n">
        <x:v>5</x:v>
      </x:c>
      <x:c r="C2393" s="19" t="n">
        <x:v>3</x:v>
      </x:c>
      <x:c r="D2393" s="19" t="str">
        <x:v>C05-M033</x:v>
      </x:c>
      <x:c r="E2393" s="19" t="str">
        <x:v>密室倒书客</x:v>
      </x:c>
      <x:c r="F2393" s="19" t="str">
        <x:v>稀有</x:v>
      </x:c>
      <x:c r="G2393" s="19" t="str">
        <x:v>材料独立候选</x:v>
      </x:c>
      <x:c r="H2393" s="19" t="str">
        <x:v>技能残页</x:v>
      </x:c>
      <x:c r="I2393" s="22" t="n">
        <x:v>1800</x:v>
      </x:c>
      <x:c r="J2393" s="22" t="n">
        <x:v>1</x:v>
      </x:c>
      <x:c r="K2393" s="19" t="n">
        <x:v>1</x:v>
      </x:c>
      <x:c r="L2393" s="24" t="n">
        <x:v>23.973333333333333</x:v>
      </x:c>
      <x:c r="M2393" s="26" t="n">
        <x:v>0.1</x:v>
      </x:c>
      <x:c r="N2393" s="24" t="n">
        <x:v>11.418337376257872</x:v>
      </x:c>
      <x:c r="O2393" s="28" t="n">
        <x:f>MIN(1,L2393/I2393)</x:f>
        <x:v>0.013318518518518518</x:v>
      </x:c>
      <x:c r="P2393" s="30" t="n">
        <x:f>O2393*J2393*(1+M2393)</x:f>
        <x:v>0.014650370370370371</x:v>
      </x:c>
      <x:c r="Q2393" s="30" t="n">
        <x:f>P2393*N2393</x:f>
        <x:v>0.1672828715760209</x:v>
      </x:c>
      <x:c r="R2393" s="19" t="str">
        <x:v>独立判定</x:v>
      </x:c>
    </x:row>
    <x:row r="2394" ht="19" customHeight="1">
      <x:c r="A2394" s="19" t="str">
        <x:v>D02390</x:v>
      </x:c>
      <x:c r="B2394" s="19" t="n">
        <x:v>5</x:v>
      </x:c>
      <x:c r="C2394" s="19" t="n">
        <x:v>3</x:v>
      </x:c>
      <x:c r="D2394" s="19" t="str">
        <x:v>C05-M033</x:v>
      </x:c>
      <x:c r="E2394" s="19" t="str">
        <x:v>密室倒书客</x:v>
      </x:c>
      <x:c r="F2394" s="19" t="str">
        <x:v>稀有</x:v>
      </x:c>
      <x:c r="G2394" s="19" t="str">
        <x:v>材料独立候选</x:v>
      </x:c>
      <x:c r="H2394" s="19" t="str">
        <x:v>小卢恩</x:v>
      </x:c>
      <x:c r="I2394" s="22" t="n">
        <x:v>4000</x:v>
      </x:c>
      <x:c r="J2394" s="22" t="n">
        <x:v>1</x:v>
      </x:c>
      <x:c r="K2394" s="19" t="n">
        <x:v>1</x:v>
      </x:c>
      <x:c r="L2394" s="24" t="n">
        <x:v>23.973333333333333</x:v>
      </x:c>
      <x:c r="M2394" s="26" t="n">
        <x:v>0.1</x:v>
      </x:c>
      <x:c r="N2394" s="24" t="n">
        <x:v>11.418337376257872</x:v>
      </x:c>
      <x:c r="O2394" s="28" t="n">
        <x:f>MIN(1,L2394/I2394)</x:f>
        <x:v>0.005993333333333333</x:v>
      </x:c>
      <x:c r="P2394" s="30" t="n">
        <x:f>O2394*J2394*(1+M2394)</x:f>
        <x:v>0.006592666666666667</x:v>
      </x:c>
      <x:c r="Q2394" s="30" t="n">
        <x:f>P2394*N2394</x:f>
        <x:v>0.0752772922092094</x:v>
      </x:c>
      <x:c r="R2394" s="19" t="str">
        <x:v>独立判定</x:v>
      </x:c>
    </x:row>
    <x:row r="2395" ht="19" customHeight="1">
      <x:c r="A2395" s="19" t="str">
        <x:v>D02391</x:v>
      </x:c>
      <x:c r="B2395" s="19" t="n">
        <x:v>5</x:v>
      </x:c>
      <x:c r="C2395" s="19" t="n">
        <x:v>3</x:v>
      </x:c>
      <x:c r="D2395" s="19" t="str">
        <x:v>C05-M033</x:v>
      </x:c>
      <x:c r="E2395" s="19" t="str">
        <x:v>密室倒书客</x:v>
      </x:c>
      <x:c r="F2395" s="19" t="str">
        <x:v>稀有</x:v>
      </x:c>
      <x:c r="G2395" s="19" t="str">
        <x:v>六神器公共池</x:v>
      </x:c>
      <x:c r="H2395" s="19" t="str">
        <x:v>POOL006</x:v>
      </x:c>
      <x:c r="I2395" s="22" t="n">
        <x:v>5000000</x:v>
      </x:c>
      <x:c r="J2395" s="22" t="n">
        <x:v>1</x:v>
      </x:c>
      <x:c r="K2395" s="19" t="n">
        <x:v>6</x:v>
      </x:c>
      <x:c r="L2395" s="24" t="n">
        <x:v>23.973333333333333</x:v>
      </x:c>
      <x:c r="M2395" s="26" t="n">
        <x:v>0.1</x:v>
      </x:c>
      <x:c r="N2395" s="24" t="n">
        <x:v>11.418337376257872</x:v>
      </x:c>
      <x:c r="O2395" s="28" t="n">
        <x:f>MIN(1,L2395/I2395)</x:f>
        <x:v>0.000004794666666666667</x:v>
      </x:c>
      <x:c r="P2395" s="30" t="n">
        <x:f>O2395*J2395*(1+M2395)</x:f>
        <x:v>0.0000052741333333333334</x:v>
      </x:c>
      <x:c r="Q2395" s="30" t="n">
        <x:f>P2395*N2395</x:f>
        <x:v>0.00006022183376736752</x:v>
      </x:c>
      <x:c r="R2395" s="19" t="str">
        <x:v>六选一；非6个独立爆率</x:v>
      </x:c>
    </x:row>
    <x:row r="2396" ht="19" customHeight="1">
      <x:c r="A2396" s="19" t="str">
        <x:v>D02392</x:v>
      </x:c>
      <x:c r="B2396" s="19" t="n">
        <x:v>5</x:v>
      </x:c>
      <x:c r="C2396" s="19" t="n">
        <x:v>3</x:v>
      </x:c>
      <x:c r="D2396" s="19" t="str">
        <x:v>C05-M034</x:v>
      </x:c>
      <x:c r="E2396" s="19" t="str">
        <x:v>星墨活页兽</x:v>
      </x:c>
      <x:c r="F2396" s="19" t="str">
        <x:v>稀有</x:v>
      </x:c>
      <x:c r="G2396" s="19" t="str">
        <x:v>自身专属</x:v>
      </x:c>
      <x:c r="H2396" s="19" t="str">
        <x:v>星墨活页袍</x:v>
      </x:c>
      <x:c r="I2396" s="22" t="n">
        <x:v>400</x:v>
      </x:c>
      <x:c r="J2396" s="22" t="n">
        <x:v>1</x:v>
      </x:c>
      <x:c r="K2396" s="19" t="n">
        <x:v>1</x:v>
      </x:c>
      <x:c r="L2396" s="24" t="n">
        <x:v>23.973333333333333</x:v>
      </x:c>
      <x:c r="M2396" s="26" t="n">
        <x:v>0.1</x:v>
      </x:c>
      <x:c r="N2396" s="24" t="n">
        <x:v>12</x:v>
      </x:c>
      <x:c r="O2396" s="28" t="n">
        <x:f>MIN(1,L2396/I2396)</x:f>
        <x:v>0.05993333333333333</x:v>
      </x:c>
      <x:c r="P2396" s="30" t="n">
        <x:f>O2396*J2396*(1+M2396)</x:f>
        <x:v>0.06592666666666668</x:v>
      </x:c>
      <x:c r="Q2396" s="30" t="n">
        <x:f>P2396*N2396</x:f>
        <x:v>0.79112</x:v>
      </x:c>
      <x:c r="R2396" s="19" t="str">
        <x:v>独立判定</x:v>
      </x:c>
    </x:row>
    <x:row r="2397" ht="19" customHeight="1">
      <x:c r="A2397" s="19" t="str">
        <x:v>D02393</x:v>
      </x:c>
      <x:c r="B2397" s="19" t="n">
        <x:v>5</x:v>
      </x:c>
      <x:c r="C2397" s="19" t="n">
        <x:v>3</x:v>
      </x:c>
      <x:c r="D2397" s="19" t="str">
        <x:v>C05-M034</x:v>
      </x:c>
      <x:c r="E2397" s="19" t="str">
        <x:v>星墨活页兽</x:v>
      </x:c>
      <x:c r="F2397" s="19" t="str">
        <x:v>稀有</x:v>
      </x:c>
      <x:c r="G2397" s="19" t="str">
        <x:v>材料独立候选</x:v>
      </x:c>
      <x:c r="H2397" s="19" t="str">
        <x:v>辉石碎晶</x:v>
      </x:c>
      <x:c r="I2397" s="22" t="n">
        <x:v>500</x:v>
      </x:c>
      <x:c r="J2397" s="22" t="n">
        <x:v>15</x:v>
      </x:c>
      <x:c r="K2397" s="19" t="n">
        <x:v>1</x:v>
      </x:c>
      <x:c r="L2397" s="24" t="n">
        <x:v>23.973333333333333</x:v>
      </x:c>
      <x:c r="M2397" s="26" t="n">
        <x:v>0.1</x:v>
      </x:c>
      <x:c r="N2397" s="24" t="n">
        <x:v>12</x:v>
      </x:c>
      <x:c r="O2397" s="28" t="n">
        <x:f>MIN(1,L2397/I2397)</x:f>
        <x:v>0.047946666666666665</x:v>
      </x:c>
      <x:c r="P2397" s="30" t="n">
        <x:f>O2397*J2397*(1+M2397)</x:f>
        <x:v>0.79112</x:v>
      </x:c>
      <x:c r="Q2397" s="30" t="n">
        <x:f>P2397*N2397</x:f>
        <x:v>9.49344</x:v>
      </x:c>
      <x:c r="R2397" s="19" t="str">
        <x:v>独立判定</x:v>
      </x:c>
    </x:row>
    <x:row r="2398" ht="19" customHeight="1">
      <x:c r="A2398" s="19" t="str">
        <x:v>D02394</x:v>
      </x:c>
      <x:c r="B2398" s="19" t="n">
        <x:v>5</x:v>
      </x:c>
      <x:c r="C2398" s="19" t="n">
        <x:v>3</x:v>
      </x:c>
      <x:c r="D2398" s="19" t="str">
        <x:v>C05-M034</x:v>
      </x:c>
      <x:c r="E2398" s="19" t="str">
        <x:v>星墨活页兽</x:v>
      </x:c>
      <x:c r="F2398" s="19" t="str">
        <x:v>稀有</x:v>
      </x:c>
      <x:c r="G2398" s="19" t="str">
        <x:v>材料独立候选</x:v>
      </x:c>
      <x:c r="H2398" s="19" t="str">
        <x:v>卡利亚月露</x:v>
      </x:c>
      <x:c r="I2398" s="22" t="n">
        <x:v>800</x:v>
      </x:c>
      <x:c r="J2398" s="22" t="n">
        <x:v>1</x:v>
      </x:c>
      <x:c r="K2398" s="19" t="n">
        <x:v>1</x:v>
      </x:c>
      <x:c r="L2398" s="24" t="n">
        <x:v>23.973333333333333</x:v>
      </x:c>
      <x:c r="M2398" s="26" t="n">
        <x:v>0.1</x:v>
      </x:c>
      <x:c r="N2398" s="24" t="n">
        <x:v>12</x:v>
      </x:c>
      <x:c r="O2398" s="28" t="n">
        <x:f>MIN(1,L2398/I2398)</x:f>
        <x:v>0.029966666666666666</x:v>
      </x:c>
      <x:c r="P2398" s="30" t="n">
        <x:f>O2398*J2398*(1+M2398)</x:f>
        <x:v>0.03296333333333334</x:v>
      </x:c>
      <x:c r="Q2398" s="30" t="n">
        <x:f>P2398*N2398</x:f>
        <x:v>0.39556</x:v>
      </x:c>
      <x:c r="R2398" s="19" t="str">
        <x:v>独立判定</x:v>
      </x:c>
    </x:row>
    <x:row r="2399" ht="19" customHeight="1">
      <x:c r="A2399" s="19" t="str">
        <x:v>D02395</x:v>
      </x:c>
      <x:c r="B2399" s="19" t="n">
        <x:v>5</x:v>
      </x:c>
      <x:c r="C2399" s="19" t="n">
        <x:v>3</x:v>
      </x:c>
      <x:c r="D2399" s="19" t="str">
        <x:v>C05-M034</x:v>
      </x:c>
      <x:c r="E2399" s="19" t="str">
        <x:v>星墨活页兽</x:v>
      </x:c>
      <x:c r="F2399" s="19" t="str">
        <x:v>稀有</x:v>
      </x:c>
      <x:c r="G2399" s="19" t="str">
        <x:v>材料独立候选</x:v>
      </x:c>
      <x:c r="H2399" s="19" t="str">
        <x:v>学院封蜡</x:v>
      </x:c>
      <x:c r="I2399" s="22" t="n">
        <x:v>1000</x:v>
      </x:c>
      <x:c r="J2399" s="22" t="n">
        <x:v>1</x:v>
      </x:c>
      <x:c r="K2399" s="19" t="n">
        <x:v>1</x:v>
      </x:c>
      <x:c r="L2399" s="24" t="n">
        <x:v>23.973333333333333</x:v>
      </x:c>
      <x:c r="M2399" s="26" t="n">
        <x:v>0.1</x:v>
      </x:c>
      <x:c r="N2399" s="24" t="n">
        <x:v>12</x:v>
      </x:c>
      <x:c r="O2399" s="28" t="n">
        <x:f>MIN(1,L2399/I2399)</x:f>
        <x:v>0.023973333333333333</x:v>
      </x:c>
      <x:c r="P2399" s="30" t="n">
        <x:f>O2399*J2399*(1+M2399)</x:f>
        <x:v>0.026370666666666667</x:v>
      </x:c>
      <x:c r="Q2399" s="30" t="n">
        <x:f>P2399*N2399</x:f>
        <x:v>0.316448</x:v>
      </x:c>
      <x:c r="R2399" s="19" t="str">
        <x:v>独立判定</x:v>
      </x:c>
    </x:row>
    <x:row r="2400" ht="19" customHeight="1">
      <x:c r="A2400" s="19" t="str">
        <x:v>D02396</x:v>
      </x:c>
      <x:c r="B2400" s="19" t="n">
        <x:v>5</x:v>
      </x:c>
      <x:c r="C2400" s="19" t="n">
        <x:v>3</x:v>
      </x:c>
      <x:c r="D2400" s="19" t="str">
        <x:v>C05-M034</x:v>
      </x:c>
      <x:c r="E2400" s="19" t="str">
        <x:v>星墨活页兽</x:v>
      </x:c>
      <x:c r="F2400" s="19" t="str">
        <x:v>稀有</x:v>
      </x:c>
      <x:c r="G2400" s="19" t="str">
        <x:v>材料独立候选</x:v>
      </x:c>
      <x:c r="H2400" s="19" t="str">
        <x:v>湖心月谱残章</x:v>
      </x:c>
      <x:c r="I2400" s="22" t="n">
        <x:v>600000</x:v>
      </x:c>
      <x:c r="J2400" s="22" t="n">
        <x:v>1</x:v>
      </x:c>
      <x:c r="K2400" s="19" t="n">
        <x:v>1</x:v>
      </x:c>
      <x:c r="L2400" s="24" t="n">
        <x:v>23.973333333333333</x:v>
      </x:c>
      <x:c r="M2400" s="26" t="n">
        <x:v>0.1</x:v>
      </x:c>
      <x:c r="N2400" s="24" t="n">
        <x:v>12</x:v>
      </x:c>
      <x:c r="O2400" s="28" t="n">
        <x:f>MIN(1,L2400/I2400)</x:f>
        <x:v>0.00003995555555555555</x:v>
      </x:c>
      <x:c r="P2400" s="30" t="n">
        <x:f>O2400*J2400*(1+M2400)</x:f>
        <x:v>0.00004395111111111111</x:v>
      </x:c>
      <x:c r="Q2400" s="30" t="n">
        <x:f>P2400*N2400</x:f>
        <x:v>0.0005274133333333333</x:v>
      </x:c>
      <x:c r="R2400" s="19" t="str">
        <x:v>独立判定</x:v>
      </x:c>
    </x:row>
    <x:row r="2401" ht="19" customHeight="1">
      <x:c r="A2401" s="19" t="str">
        <x:v>D02397</x:v>
      </x:c>
      <x:c r="B2401" s="19" t="n">
        <x:v>5</x:v>
      </x:c>
      <x:c r="C2401" s="19" t="n">
        <x:v>3</x:v>
      </x:c>
      <x:c r="D2401" s="19" t="str">
        <x:v>C05-M034</x:v>
      </x:c>
      <x:c r="E2401" s="19" t="str">
        <x:v>星墨活页兽</x:v>
      </x:c>
      <x:c r="F2401" s="19" t="str">
        <x:v>稀有</x:v>
      </x:c>
      <x:c r="G2401" s="19" t="str">
        <x:v>材料独立候选</x:v>
      </x:c>
      <x:c r="H2401" s="19" t="str">
        <x:v>黄金树芽</x:v>
      </x:c>
      <x:c r="I2401" s="22" t="n">
        <x:v>3000</x:v>
      </x:c>
      <x:c r="J2401" s="22" t="n">
        <x:v>1</x:v>
      </x:c>
      <x:c r="K2401" s="19" t="n">
        <x:v>1</x:v>
      </x:c>
      <x:c r="L2401" s="24" t="n">
        <x:v>23.973333333333333</x:v>
      </x:c>
      <x:c r="M2401" s="26" t="n">
        <x:v>0.1</x:v>
      </x:c>
      <x:c r="N2401" s="24" t="n">
        <x:v>12</x:v>
      </x:c>
      <x:c r="O2401" s="28" t="n">
        <x:f>MIN(1,L2401/I2401)</x:f>
        <x:v>0.00799111111111111</x:v>
      </x:c>
      <x:c r="P2401" s="30" t="n">
        <x:f>O2401*J2401*(1+M2401)</x:f>
        <x:v>0.008790222222222222</x:v>
      </x:c>
      <x:c r="Q2401" s="30" t="n">
        <x:f>P2401*N2401</x:f>
        <x:v>0.10548266666666667</x:v>
      </x:c>
      <x:c r="R2401" s="19" t="str">
        <x:v>独立判定</x:v>
      </x:c>
    </x:row>
    <x:row r="2402" ht="19" customHeight="1">
      <x:c r="A2402" s="19" t="str">
        <x:v>D02398</x:v>
      </x:c>
      <x:c r="B2402" s="19" t="n">
        <x:v>5</x:v>
      </x:c>
      <x:c r="C2402" s="19" t="n">
        <x:v>3</x:v>
      </x:c>
      <x:c r="D2402" s="19" t="str">
        <x:v>C05-M034</x:v>
      </x:c>
      <x:c r="E2402" s="19" t="str">
        <x:v>星墨活页兽</x:v>
      </x:c>
      <x:c r="F2402" s="19" t="str">
        <x:v>稀有</x:v>
      </x:c>
      <x:c r="G2402" s="19" t="str">
        <x:v>材料独立候选</x:v>
      </x:c>
      <x:c r="H2402" s="19" t="str">
        <x:v>野兽骨片</x:v>
      </x:c>
      <x:c r="I2402" s="22" t="n">
        <x:v>80</x:v>
      </x:c>
      <x:c r="J2402" s="22" t="n">
        <x:v>3</x:v>
      </x:c>
      <x:c r="K2402" s="19" t="n">
        <x:v>1</x:v>
      </x:c>
      <x:c r="L2402" s="24" t="n">
        <x:v>23.973333333333333</x:v>
      </x:c>
      <x:c r="M2402" s="26" t="n">
        <x:v>0.1</x:v>
      </x:c>
      <x:c r="N2402" s="24" t="n">
        <x:v>12</x:v>
      </x:c>
      <x:c r="O2402" s="28" t="n">
        <x:f>MIN(1,L2402/I2402)</x:f>
        <x:v>0.29966666666666664</x:v>
      </x:c>
      <x:c r="P2402" s="30" t="n">
        <x:f>O2402*J2402*(1+M2402)</x:f>
        <x:v>0.9889</x:v>
      </x:c>
      <x:c r="Q2402" s="30" t="n">
        <x:f>P2402*N2402</x:f>
        <x:v>11.8668</x:v>
      </x:c>
      <x:c r="R2402" s="19" t="str">
        <x:v>独立判定</x:v>
      </x:c>
    </x:row>
    <x:row r="2403" ht="19" customHeight="1">
      <x:c r="A2403" s="19" t="str">
        <x:v>D02399</x:v>
      </x:c>
      <x:c r="B2403" s="19" t="n">
        <x:v>5</x:v>
      </x:c>
      <x:c r="C2403" s="19" t="n">
        <x:v>3</x:v>
      </x:c>
      <x:c r="D2403" s="19" t="str">
        <x:v>C05-M034</x:v>
      </x:c>
      <x:c r="E2403" s="19" t="str">
        <x:v>星墨活页兽</x:v>
      </x:c>
      <x:c r="F2403" s="19" t="str">
        <x:v>稀有</x:v>
      </x:c>
      <x:c r="G2403" s="19" t="str">
        <x:v>材料独立候选</x:v>
      </x:c>
      <x:c r="H2403" s="19" t="str">
        <x:v>技能残页</x:v>
      </x:c>
      <x:c r="I2403" s="22" t="n">
        <x:v>1800</x:v>
      </x:c>
      <x:c r="J2403" s="22" t="n">
        <x:v>1</x:v>
      </x:c>
      <x:c r="K2403" s="19" t="n">
        <x:v>1</x:v>
      </x:c>
      <x:c r="L2403" s="24" t="n">
        <x:v>23.973333333333333</x:v>
      </x:c>
      <x:c r="M2403" s="26" t="n">
        <x:v>0.1</x:v>
      </x:c>
      <x:c r="N2403" s="24" t="n">
        <x:v>12</x:v>
      </x:c>
      <x:c r="O2403" s="28" t="n">
        <x:f>MIN(1,L2403/I2403)</x:f>
        <x:v>0.013318518518518518</x:v>
      </x:c>
      <x:c r="P2403" s="30" t="n">
        <x:f>O2403*J2403*(1+M2403)</x:f>
        <x:v>0.014650370370370371</x:v>
      </x:c>
      <x:c r="Q2403" s="30" t="n">
        <x:f>P2403*N2403</x:f>
        <x:v>0.17580444444444446</x:v>
      </x:c>
      <x:c r="R2403" s="19" t="str">
        <x:v>独立判定</x:v>
      </x:c>
    </x:row>
    <x:row r="2404" ht="19" customHeight="1">
      <x:c r="A2404" s="19" t="str">
        <x:v>D02400</x:v>
      </x:c>
      <x:c r="B2404" s="19" t="n">
        <x:v>5</x:v>
      </x:c>
      <x:c r="C2404" s="19" t="n">
        <x:v>3</x:v>
      </x:c>
      <x:c r="D2404" s="19" t="str">
        <x:v>C05-M034</x:v>
      </x:c>
      <x:c r="E2404" s="19" t="str">
        <x:v>星墨活页兽</x:v>
      </x:c>
      <x:c r="F2404" s="19" t="str">
        <x:v>稀有</x:v>
      </x:c>
      <x:c r="G2404" s="19" t="str">
        <x:v>材料独立候选</x:v>
      </x:c>
      <x:c r="H2404" s="19" t="str">
        <x:v>小卢恩</x:v>
      </x:c>
      <x:c r="I2404" s="22" t="n">
        <x:v>4000</x:v>
      </x:c>
      <x:c r="J2404" s="22" t="n">
        <x:v>1</x:v>
      </x:c>
      <x:c r="K2404" s="19" t="n">
        <x:v>1</x:v>
      </x:c>
      <x:c r="L2404" s="24" t="n">
        <x:v>23.973333333333333</x:v>
      </x:c>
      <x:c r="M2404" s="26" t="n">
        <x:v>0.1</x:v>
      </x:c>
      <x:c r="N2404" s="24" t="n">
        <x:v>12</x:v>
      </x:c>
      <x:c r="O2404" s="28" t="n">
        <x:f>MIN(1,L2404/I2404)</x:f>
        <x:v>0.005993333333333333</x:v>
      </x:c>
      <x:c r="P2404" s="30" t="n">
        <x:f>O2404*J2404*(1+M2404)</x:f>
        <x:v>0.006592666666666667</x:v>
      </x:c>
      <x:c r="Q2404" s="30" t="n">
        <x:f>P2404*N2404</x:f>
        <x:v>0.079112</x:v>
      </x:c>
      <x:c r="R2404" s="19" t="str">
        <x:v>独立判定</x:v>
      </x:c>
    </x:row>
    <x:row r="2405" ht="19" customHeight="1">
      <x:c r="A2405" s="19" t="str">
        <x:v>D02401</x:v>
      </x:c>
      <x:c r="B2405" s="19" t="n">
        <x:v>5</x:v>
      </x:c>
      <x:c r="C2405" s="19" t="n">
        <x:v>3</x:v>
      </x:c>
      <x:c r="D2405" s="19" t="str">
        <x:v>C05-M034</x:v>
      </x:c>
      <x:c r="E2405" s="19" t="str">
        <x:v>星墨活页兽</x:v>
      </x:c>
      <x:c r="F2405" s="19" t="str">
        <x:v>稀有</x:v>
      </x:c>
      <x:c r="G2405" s="19" t="str">
        <x:v>六神器公共池</x:v>
      </x:c>
      <x:c r="H2405" s="19" t="str">
        <x:v>POOL006</x:v>
      </x:c>
      <x:c r="I2405" s="22" t="n">
        <x:v>5000000</x:v>
      </x:c>
      <x:c r="J2405" s="22" t="n">
        <x:v>1</x:v>
      </x:c>
      <x:c r="K2405" s="19" t="n">
        <x:v>6</x:v>
      </x:c>
      <x:c r="L2405" s="24" t="n">
        <x:v>23.973333333333333</x:v>
      </x:c>
      <x:c r="M2405" s="26" t="n">
        <x:v>0.1</x:v>
      </x:c>
      <x:c r="N2405" s="24" t="n">
        <x:v>12</x:v>
      </x:c>
      <x:c r="O2405" s="28" t="n">
        <x:f>MIN(1,L2405/I2405)</x:f>
        <x:v>0.000004794666666666667</x:v>
      </x:c>
      <x:c r="P2405" s="30" t="n">
        <x:f>O2405*J2405*(1+M2405)</x:f>
        <x:v>0.0000052741333333333334</x:v>
      </x:c>
      <x:c r="Q2405" s="30" t="n">
        <x:f>P2405*N2405</x:f>
        <x:v>0.0000632896</x:v>
      </x:c>
      <x:c r="R2405" s="19" t="str">
        <x:v>六选一；非6个独立爆率</x:v>
      </x:c>
    </x:row>
    <x:row r="2406" ht="19" customHeight="1">
      <x:c r="A2406" s="19" t="str">
        <x:v>D02402</x:v>
      </x:c>
      <x:c r="B2406" s="19" t="n">
        <x:v>5</x:v>
      </x:c>
      <x:c r="C2406" s="19" t="n">
        <x:v>3</x:v>
      </x:c>
      <x:c r="D2406" s="19" t="str">
        <x:v>C05-M035</x:v>
      </x:c>
      <x:c r="E2406" s="19" t="str">
        <x:v>七印讲堂监</x:v>
      </x:c>
      <x:c r="F2406" s="19" t="str">
        <x:v>地图BOSS</x:v>
      </x:c>
      <x:c r="G2406" s="19" t="str">
        <x:v>自身专属</x:v>
      </x:c>
      <x:c r="H2406" s="19" t="str">
        <x:v>七印讲堂法杖</x:v>
      </x:c>
      <x:c r="I2406" s="22" t="n">
        <x:v>60</x:v>
      </x:c>
      <x:c r="J2406" s="22" t="n">
        <x:v>1</x:v>
      </x:c>
      <x:c r="K2406" s="19" t="n">
        <x:v>1</x:v>
      </x:c>
      <x:c r="L2406" s="24" t="n">
        <x:v>23.973333333333333</x:v>
      </x:c>
      <x:c r="M2406" s="26" t="n">
        <x:v>0.1</x:v>
      </x:c>
      <x:c r="N2406" s="24" t="n">
        <x:v>2</x:v>
      </x:c>
      <x:c r="O2406" s="28" t="n">
        <x:f>MIN(1,L2406/I2406)</x:f>
        <x:v>0.39955555555555555</x:v>
      </x:c>
      <x:c r="P2406" s="30" t="n">
        <x:f>O2406*J2406*(1+M2406)</x:f>
        <x:v>0.43951111111111113</x:v>
      </x:c>
      <x:c r="Q2406" s="30" t="n">
        <x:f>P2406*N2406</x:f>
        <x:v>0.8790222222222223</x:v>
      </x:c>
      <x:c r="R2406" s="19" t="str">
        <x:v>独立判定</x:v>
      </x:c>
    </x:row>
    <x:row r="2407" ht="19" customHeight="1">
      <x:c r="A2407" s="19" t="str">
        <x:v>D02403</x:v>
      </x:c>
      <x:c r="B2407" s="19" t="n">
        <x:v>5</x:v>
      </x:c>
      <x:c r="C2407" s="19" t="n">
        <x:v>3</x:v>
      </x:c>
      <x:c r="D2407" s="19" t="str">
        <x:v>C05-M035</x:v>
      </x:c>
      <x:c r="E2407" s="19" t="str">
        <x:v>七印讲堂监</x:v>
      </x:c>
      <x:c r="F2407" s="19" t="str">
        <x:v>地图BOSS</x:v>
      </x:c>
      <x:c r="G2407" s="19" t="str">
        <x:v>本图普通兼掉候选</x:v>
      </x:c>
      <x:c r="H2407" s="19" t="str">
        <x:v>POOL040</x:v>
      </x:c>
      <x:c r="I2407" s="22" t="n">
        <x:v>60</x:v>
      </x:c>
      <x:c r="J2407" s="22" t="n">
        <x:v>1</x:v>
      </x:c>
      <x:c r="K2407" s="19" t="n">
        <x:v>2</x:v>
      </x:c>
      <x:c r="L2407" s="24" t="n">
        <x:v>23.973333333333333</x:v>
      </x:c>
      <x:c r="M2407" s="26" t="n">
        <x:v>0.1</x:v>
      </x:c>
      <x:c r="N2407" s="24" t="n">
        <x:v>2</x:v>
      </x:c>
      <x:c r="O2407" s="28" t="n">
        <x:f>MIN(1,L2407/I2407)</x:f>
        <x:v>0.39955555555555555</x:v>
      </x:c>
      <x:c r="P2407" s="30" t="n">
        <x:f>O2407*J2407*(1+M2407)</x:f>
        <x:v>0.43951111111111113</x:v>
      </x:c>
      <x:c r="Q2407" s="30" t="n">
        <x:f>P2407*N2407</x:f>
        <x:v>0.8790222222222223</x:v>
      </x:c>
      <x:c r="R2407" s="19" t="str">
        <x:v>单池选一</x:v>
      </x:c>
    </x:row>
    <x:row r="2408" ht="19" customHeight="1">
      <x:c r="A2408" s="19" t="str">
        <x:v>D02404</x:v>
      </x:c>
      <x:c r="B2408" s="19" t="n">
        <x:v>5</x:v>
      </x:c>
      <x:c r="C2408" s="19" t="n">
        <x:v>3</x:v>
      </x:c>
      <x:c r="D2408" s="19" t="str">
        <x:v>C05-M035</x:v>
      </x:c>
      <x:c r="E2408" s="19" t="str">
        <x:v>七印讲堂监</x:v>
      </x:c>
      <x:c r="F2408" s="19" t="str">
        <x:v>地图BOSS</x:v>
      </x:c>
      <x:c r="G2408" s="19" t="str">
        <x:v>材料独立候选</x:v>
      </x:c>
      <x:c r="H2408" s="19" t="str">
        <x:v>辉石碎晶</x:v>
      </x:c>
      <x:c r="I2408" s="22" t="n">
        <x:v>250</x:v>
      </x:c>
      <x:c r="J2408" s="22" t="n">
        <x:v>30</x:v>
      </x:c>
      <x:c r="K2408" s="19" t="n">
        <x:v>1</x:v>
      </x:c>
      <x:c r="L2408" s="24" t="n">
        <x:v>23.973333333333333</x:v>
      </x:c>
      <x:c r="M2408" s="26" t="n">
        <x:v>0.1</x:v>
      </x:c>
      <x:c r="N2408" s="24" t="n">
        <x:v>2</x:v>
      </x:c>
      <x:c r="O2408" s="28" t="n">
        <x:f>MIN(1,L2408/I2408)</x:f>
        <x:v>0.09589333333333333</x:v>
      </x:c>
      <x:c r="P2408" s="30" t="n">
        <x:f>O2408*J2408*(1+M2408)</x:f>
        <x:v>3.16448</x:v>
      </x:c>
      <x:c r="Q2408" s="30" t="n">
        <x:f>P2408*N2408</x:f>
        <x:v>6.32896</x:v>
      </x:c>
      <x:c r="R2408" s="19" t="str">
        <x:v>独立判定</x:v>
      </x:c>
    </x:row>
    <x:row r="2409" ht="19" customHeight="1">
      <x:c r="A2409" s="19" t="str">
        <x:v>D02405</x:v>
      </x:c>
      <x:c r="B2409" s="19" t="n">
        <x:v>5</x:v>
      </x:c>
      <x:c r="C2409" s="19" t="n">
        <x:v>3</x:v>
      </x:c>
      <x:c r="D2409" s="19" t="str">
        <x:v>C05-M035</x:v>
      </x:c>
      <x:c r="E2409" s="19" t="str">
        <x:v>七印讲堂监</x:v>
      </x:c>
      <x:c r="F2409" s="19" t="str">
        <x:v>地图BOSS</x:v>
      </x:c>
      <x:c r="G2409" s="19" t="str">
        <x:v>材料独立候选</x:v>
      </x:c>
      <x:c r="H2409" s="19" t="str">
        <x:v>卡利亚月露</x:v>
      </x:c>
      <x:c r="I2409" s="22" t="n">
        <x:v>400</x:v>
      </x:c>
      <x:c r="J2409" s="22" t="n">
        <x:v>1</x:v>
      </x:c>
      <x:c r="K2409" s="19" t="n">
        <x:v>1</x:v>
      </x:c>
      <x:c r="L2409" s="24" t="n">
        <x:v>23.973333333333333</x:v>
      </x:c>
      <x:c r="M2409" s="26" t="n">
        <x:v>0.1</x:v>
      </x:c>
      <x:c r="N2409" s="24" t="n">
        <x:v>2</x:v>
      </x:c>
      <x:c r="O2409" s="28" t="n">
        <x:f>MIN(1,L2409/I2409)</x:f>
        <x:v>0.05993333333333333</x:v>
      </x:c>
      <x:c r="P2409" s="30" t="n">
        <x:f>O2409*J2409*(1+M2409)</x:f>
        <x:v>0.06592666666666668</x:v>
      </x:c>
      <x:c r="Q2409" s="30" t="n">
        <x:f>P2409*N2409</x:f>
        <x:v>0.13185333333333335</x:v>
      </x:c>
      <x:c r="R2409" s="19" t="str">
        <x:v>独立判定</x:v>
      </x:c>
    </x:row>
    <x:row r="2410" ht="19" customHeight="1">
      <x:c r="A2410" s="19" t="str">
        <x:v>D02406</x:v>
      </x:c>
      <x:c r="B2410" s="19" t="n">
        <x:v>5</x:v>
      </x:c>
      <x:c r="C2410" s="19" t="n">
        <x:v>3</x:v>
      </x:c>
      <x:c r="D2410" s="19" t="str">
        <x:v>C05-M035</x:v>
      </x:c>
      <x:c r="E2410" s="19" t="str">
        <x:v>七印讲堂监</x:v>
      </x:c>
      <x:c r="F2410" s="19" t="str">
        <x:v>地图BOSS</x:v>
      </x:c>
      <x:c r="G2410" s="19" t="str">
        <x:v>材料独立候选</x:v>
      </x:c>
      <x:c r="H2410" s="19" t="str">
        <x:v>满月王室印</x:v>
      </x:c>
      <x:c r="I2410" s="22" t="n">
        <x:v>150</x:v>
      </x:c>
      <x:c r="J2410" s="22" t="n">
        <x:v>3</x:v>
      </x:c>
      <x:c r="K2410" s="19" t="n">
        <x:v>1</x:v>
      </x:c>
      <x:c r="L2410" s="24" t="n">
        <x:v>23.973333333333333</x:v>
      </x:c>
      <x:c r="M2410" s="26" t="n">
        <x:v>0.1</x:v>
      </x:c>
      <x:c r="N2410" s="24" t="n">
        <x:v>2</x:v>
      </x:c>
      <x:c r="O2410" s="28" t="n">
        <x:f>MIN(1,L2410/I2410)</x:f>
        <x:v>0.15982222222222223</x:v>
      </x:c>
      <x:c r="P2410" s="30" t="n">
        <x:f>O2410*J2410*(1+M2410)</x:f>
        <x:v>0.5274133333333334</x:v>
      </x:c>
      <x:c r="Q2410" s="30" t="n">
        <x:f>P2410*N2410</x:f>
        <x:v>1.0548266666666668</x:v>
      </x:c>
      <x:c r="R2410" s="19" t="str">
        <x:v>独立判定</x:v>
      </x:c>
    </x:row>
    <x:row r="2411" ht="19" customHeight="1">
      <x:c r="A2411" s="19" t="str">
        <x:v>D02407</x:v>
      </x:c>
      <x:c r="B2411" s="19" t="n">
        <x:v>5</x:v>
      </x:c>
      <x:c r="C2411" s="19" t="n">
        <x:v>3</x:v>
      </x:c>
      <x:c r="D2411" s="19" t="str">
        <x:v>C05-M035</x:v>
      </x:c>
      <x:c r="E2411" s="19" t="str">
        <x:v>七印讲堂监</x:v>
      </x:c>
      <x:c r="F2411" s="19" t="str">
        <x:v>地图BOSS</x:v>
      </x:c>
      <x:c r="G2411" s="19" t="str">
        <x:v>材料独立候选</x:v>
      </x:c>
      <x:c r="H2411" s="19" t="str">
        <x:v>月蚀镜片</x:v>
      </x:c>
      <x:c r="I2411" s="22" t="n">
        <x:v>120</x:v>
      </x:c>
      <x:c r="J2411" s="22" t="n">
        <x:v>2</x:v>
      </x:c>
      <x:c r="K2411" s="19" t="n">
        <x:v>1</x:v>
      </x:c>
      <x:c r="L2411" s="24" t="n">
        <x:v>23.973333333333333</x:v>
      </x:c>
      <x:c r="M2411" s="26" t="n">
        <x:v>0.1</x:v>
      </x:c>
      <x:c r="N2411" s="24" t="n">
        <x:v>2</x:v>
      </x:c>
      <x:c r="O2411" s="28" t="n">
        <x:f>MIN(1,L2411/I2411)</x:f>
        <x:v>0.19977777777777778</x:v>
      </x:c>
      <x:c r="P2411" s="30" t="n">
        <x:f>O2411*J2411*(1+M2411)</x:f>
        <x:v>0.43951111111111113</x:v>
      </x:c>
      <x:c r="Q2411" s="30" t="n">
        <x:f>P2411*N2411</x:f>
        <x:v>0.8790222222222223</x:v>
      </x:c>
      <x:c r="R2411" s="19" t="str">
        <x:v>独立判定</x:v>
      </x:c>
    </x:row>
    <x:row r="2412" ht="19" customHeight="1">
      <x:c r="A2412" s="19" t="str">
        <x:v>D02408</x:v>
      </x:c>
      <x:c r="B2412" s="19" t="n">
        <x:v>5</x:v>
      </x:c>
      <x:c r="C2412" s="19" t="n">
        <x:v>3</x:v>
      </x:c>
      <x:c r="D2412" s="19" t="str">
        <x:v>C05-M035</x:v>
      </x:c>
      <x:c r="E2412" s="19" t="str">
        <x:v>七印讲堂监</x:v>
      </x:c>
      <x:c r="F2412" s="19" t="str">
        <x:v>地图BOSS</x:v>
      </x:c>
      <x:c r="G2412" s="19" t="str">
        <x:v>材料独立候选</x:v>
      </x:c>
      <x:c r="H2412" s="19" t="str">
        <x:v>湖心月谱残章</x:v>
      </x:c>
      <x:c r="I2412" s="22" t="n">
        <x:v>400000</x:v>
      </x:c>
      <x:c r="J2412" s="22" t="n">
        <x:v>1</x:v>
      </x:c>
      <x:c r="K2412" s="19" t="n">
        <x:v>1</x:v>
      </x:c>
      <x:c r="L2412" s="24" t="n">
        <x:v>23.973333333333333</x:v>
      </x:c>
      <x:c r="M2412" s="26" t="n">
        <x:v>0.1</x:v>
      </x:c>
      <x:c r="N2412" s="24" t="n">
        <x:v>2</x:v>
      </x:c>
      <x:c r="O2412" s="28" t="n">
        <x:f>MIN(1,L2412/I2412)</x:f>
        <x:v>0.00005993333333333333</x:v>
      </x:c>
      <x:c r="P2412" s="30" t="n">
        <x:f>O2412*J2412*(1+M2412)</x:f>
        <x:v>0.00006592666666666667</x:v>
      </x:c>
      <x:c r="Q2412" s="30" t="n">
        <x:f>P2412*N2412</x:f>
        <x:v>0.00013185333333333335</x:v>
      </x:c>
      <x:c r="R2412" s="19" t="str">
        <x:v>独立判定</x:v>
      </x:c>
    </x:row>
    <x:row r="2413" ht="19" customHeight="1">
      <x:c r="A2413" s="19" t="str">
        <x:v>D02409</x:v>
      </x:c>
      <x:c r="B2413" s="19" t="n">
        <x:v>5</x:v>
      </x:c>
      <x:c r="C2413" s="19" t="n">
        <x:v>3</x:v>
      </x:c>
      <x:c r="D2413" s="19" t="str">
        <x:v>C05-M035</x:v>
      </x:c>
      <x:c r="E2413" s="19" t="str">
        <x:v>七印讲堂监</x:v>
      </x:c>
      <x:c r="F2413" s="19" t="str">
        <x:v>地图BOSS</x:v>
      </x:c>
      <x:c r="G2413" s="19" t="str">
        <x:v>材料独立候选</x:v>
      </x:c>
      <x:c r="H2413" s="19" t="str">
        <x:v>黄金树芽</x:v>
      </x:c>
      <x:c r="I2413" s="22" t="n">
        <x:v>1800</x:v>
      </x:c>
      <x:c r="J2413" s="22" t="n">
        <x:v>1</x:v>
      </x:c>
      <x:c r="K2413" s="19" t="n">
        <x:v>1</x:v>
      </x:c>
      <x:c r="L2413" s="24" t="n">
        <x:v>23.973333333333333</x:v>
      </x:c>
      <x:c r="M2413" s="26" t="n">
        <x:v>0.1</x:v>
      </x:c>
      <x:c r="N2413" s="24" t="n">
        <x:v>2</x:v>
      </x:c>
      <x:c r="O2413" s="28" t="n">
        <x:f>MIN(1,L2413/I2413)</x:f>
        <x:v>0.013318518518518518</x:v>
      </x:c>
      <x:c r="P2413" s="30" t="n">
        <x:f>O2413*J2413*(1+M2413)</x:f>
        <x:v>0.014650370370370371</x:v>
      </x:c>
      <x:c r="Q2413" s="30" t="n">
        <x:f>P2413*N2413</x:f>
        <x:v>0.029300740740740742</x:v>
      </x:c>
      <x:c r="R2413" s="19" t="str">
        <x:v>独立判定</x:v>
      </x:c>
    </x:row>
    <x:row r="2414" ht="19" customHeight="1">
      <x:c r="A2414" s="19" t="str">
        <x:v>D02410</x:v>
      </x:c>
      <x:c r="B2414" s="19" t="n">
        <x:v>5</x:v>
      </x:c>
      <x:c r="C2414" s="19" t="n">
        <x:v>3</x:v>
      </x:c>
      <x:c r="D2414" s="19" t="str">
        <x:v>C05-M035</x:v>
      </x:c>
      <x:c r="E2414" s="19" t="str">
        <x:v>七印讲堂监</x:v>
      </x:c>
      <x:c r="F2414" s="19" t="str">
        <x:v>地图BOSS</x:v>
      </x:c>
      <x:c r="G2414" s="19" t="str">
        <x:v>材料独立候选</x:v>
      </x:c>
      <x:c r="H2414" s="19" t="str">
        <x:v>野兽骨片</x:v>
      </x:c>
      <x:c r="I2414" s="22" t="n">
        <x:v>40</x:v>
      </x:c>
      <x:c r="J2414" s="22" t="n">
        <x:v>3</x:v>
      </x:c>
      <x:c r="K2414" s="19" t="n">
        <x:v>1</x:v>
      </x:c>
      <x:c r="L2414" s="24" t="n">
        <x:v>23.973333333333333</x:v>
      </x:c>
      <x:c r="M2414" s="26" t="n">
        <x:v>0.1</x:v>
      </x:c>
      <x:c r="N2414" s="24" t="n">
        <x:v>2</x:v>
      </x:c>
      <x:c r="O2414" s="28" t="n">
        <x:f>MIN(1,L2414/I2414)</x:f>
        <x:v>0.5993333333333333</x:v>
      </x:c>
      <x:c r="P2414" s="30" t="n">
        <x:f>O2414*J2414*(1+M2414)</x:f>
        <x:v>1.9778</x:v>
      </x:c>
      <x:c r="Q2414" s="30" t="n">
        <x:f>P2414*N2414</x:f>
        <x:v>3.9556</x:v>
      </x:c>
      <x:c r="R2414" s="19" t="str">
        <x:v>独立判定</x:v>
      </x:c>
    </x:row>
    <x:row r="2415" ht="19" customHeight="1">
      <x:c r="A2415" s="19" t="str">
        <x:v>D02411</x:v>
      </x:c>
      <x:c r="B2415" s="19" t="n">
        <x:v>5</x:v>
      </x:c>
      <x:c r="C2415" s="19" t="n">
        <x:v>3</x:v>
      </x:c>
      <x:c r="D2415" s="19" t="str">
        <x:v>C05-M035</x:v>
      </x:c>
      <x:c r="E2415" s="19" t="str">
        <x:v>七印讲堂监</x:v>
      </x:c>
      <x:c r="F2415" s="19" t="str">
        <x:v>地图BOSS</x:v>
      </x:c>
      <x:c r="G2415" s="19" t="str">
        <x:v>材料独立候选</x:v>
      </x:c>
      <x:c r="H2415" s="19" t="str">
        <x:v>技能残页</x:v>
      </x:c>
      <x:c r="I2415" s="22" t="n">
        <x:v>1000</x:v>
      </x:c>
      <x:c r="J2415" s="22" t="n">
        <x:v>1</x:v>
      </x:c>
      <x:c r="K2415" s="19" t="n">
        <x:v>1</x:v>
      </x:c>
      <x:c r="L2415" s="24" t="n">
        <x:v>23.973333333333333</x:v>
      </x:c>
      <x:c r="M2415" s="26" t="n">
        <x:v>0.1</x:v>
      </x:c>
      <x:c r="N2415" s="24" t="n">
        <x:v>2</x:v>
      </x:c>
      <x:c r="O2415" s="28" t="n">
        <x:f>MIN(1,L2415/I2415)</x:f>
        <x:v>0.023973333333333333</x:v>
      </x:c>
      <x:c r="P2415" s="30" t="n">
        <x:f>O2415*J2415*(1+M2415)</x:f>
        <x:v>0.026370666666666667</x:v>
      </x:c>
      <x:c r="Q2415" s="30" t="n">
        <x:f>P2415*N2415</x:f>
        <x:v>0.052741333333333335</x:v>
      </x:c>
      <x:c r="R2415" s="19" t="str">
        <x:v>独立判定</x:v>
      </x:c>
    </x:row>
    <x:row r="2416" ht="19" customHeight="1">
      <x:c r="A2416" s="19" t="str">
        <x:v>D02412</x:v>
      </x:c>
      <x:c r="B2416" s="19" t="n">
        <x:v>5</x:v>
      </x:c>
      <x:c r="C2416" s="19" t="n">
        <x:v>3</x:v>
      </x:c>
      <x:c r="D2416" s="19" t="str">
        <x:v>C05-M035</x:v>
      </x:c>
      <x:c r="E2416" s="19" t="str">
        <x:v>七印讲堂监</x:v>
      </x:c>
      <x:c r="F2416" s="19" t="str">
        <x:v>地图BOSS</x:v>
      </x:c>
      <x:c r="G2416" s="19" t="str">
        <x:v>材料独立候选</x:v>
      </x:c>
      <x:c r="H2416" s="19" t="str">
        <x:v>宁姆格福誓页</x:v>
      </x:c>
      <x:c r="I2416" s="22" t="n">
        <x:v>300</x:v>
      </x:c>
      <x:c r="J2416" s="22" t="n">
        <x:v>1</x:v>
      </x:c>
      <x:c r="K2416" s="19" t="n">
        <x:v>1</x:v>
      </x:c>
      <x:c r="L2416" s="24" t="n">
        <x:v>23.973333333333333</x:v>
      </x:c>
      <x:c r="M2416" s="26" t="n">
        <x:v>0.1</x:v>
      </x:c>
      <x:c r="N2416" s="24" t="n">
        <x:v>2</x:v>
      </x:c>
      <x:c r="O2416" s="28" t="n">
        <x:f>MIN(1,L2416/I2416)</x:f>
        <x:v>0.07991111111111111</x:v>
      </x:c>
      <x:c r="P2416" s="30" t="n">
        <x:f>O2416*J2416*(1+M2416)</x:f>
        <x:v>0.08790222222222223</x:v>
      </x:c>
      <x:c r="Q2416" s="30" t="n">
        <x:f>P2416*N2416</x:f>
        <x:v>0.17580444444444446</x:v>
      </x:c>
      <x:c r="R2416" s="19" t="str">
        <x:v>独立判定</x:v>
      </x:c>
    </x:row>
    <x:row r="2417" ht="19" customHeight="1">
      <x:c r="A2417" s="19" t="str">
        <x:v>D02413</x:v>
      </x:c>
      <x:c r="B2417" s="19" t="n">
        <x:v>5</x:v>
      </x:c>
      <x:c r="C2417" s="19" t="n">
        <x:v>3</x:v>
      </x:c>
      <x:c r="D2417" s="19" t="str">
        <x:v>C05-M035</x:v>
      </x:c>
      <x:c r="E2417" s="19" t="str">
        <x:v>七印讲堂监</x:v>
      </x:c>
      <x:c r="F2417" s="19" t="str">
        <x:v>地图BOSS</x:v>
      </x:c>
      <x:c r="G2417" s="19" t="str">
        <x:v>材料独立候选</x:v>
      </x:c>
      <x:c r="H2417" s="19" t="str">
        <x:v>小卢恩</x:v>
      </x:c>
      <x:c r="I2417" s="22" t="n">
        <x:v>2500</x:v>
      </x:c>
      <x:c r="J2417" s="22" t="n">
        <x:v>1</x:v>
      </x:c>
      <x:c r="K2417" s="19" t="n">
        <x:v>1</x:v>
      </x:c>
      <x:c r="L2417" s="24" t="n">
        <x:v>23.973333333333333</x:v>
      </x:c>
      <x:c r="M2417" s="26" t="n">
        <x:v>0.1</x:v>
      </x:c>
      <x:c r="N2417" s="24" t="n">
        <x:v>2</x:v>
      </x:c>
      <x:c r="O2417" s="28" t="n">
        <x:f>MIN(1,L2417/I2417)</x:f>
        <x:v>0.009589333333333333</x:v>
      </x:c>
      <x:c r="P2417" s="30" t="n">
        <x:f>O2417*J2417*(1+M2417)</x:f>
        <x:v>0.010548266666666667</x:v>
      </x:c>
      <x:c r="Q2417" s="30" t="n">
        <x:f>P2417*N2417</x:f>
        <x:v>0.021096533333333334</x:v>
      </x:c>
      <x:c r="R2417" s="19" t="str">
        <x:v>独立判定</x:v>
      </x:c>
    </x:row>
    <x:row r="2418" ht="19" customHeight="1">
      <x:c r="A2418" s="19" t="str">
        <x:v>D02414</x:v>
      </x:c>
      <x:c r="B2418" s="19" t="n">
        <x:v>5</x:v>
      </x:c>
      <x:c r="C2418" s="19" t="n">
        <x:v>3</x:v>
      </x:c>
      <x:c r="D2418" s="19" t="str">
        <x:v>C05-M035</x:v>
      </x:c>
      <x:c r="E2418" s="19" t="str">
        <x:v>七印讲堂监</x:v>
      </x:c>
      <x:c r="F2418" s="19" t="str">
        <x:v>地图BOSS</x:v>
      </x:c>
      <x:c r="G2418" s="19" t="str">
        <x:v>材料独立候选</x:v>
      </x:c>
      <x:c r="H2418" s="19" t="str">
        <x:v>大卢恩</x:v>
      </x:c>
      <x:c r="I2418" s="22" t="n">
        <x:v>200</x:v>
      </x:c>
      <x:c r="J2418" s="22" t="n">
        <x:v>1</x:v>
      </x:c>
      <x:c r="K2418" s="19" t="n">
        <x:v>1</x:v>
      </x:c>
      <x:c r="L2418" s="24" t="n">
        <x:v>23.973333333333333</x:v>
      </x:c>
      <x:c r="M2418" s="26" t="n">
        <x:v>0.1</x:v>
      </x:c>
      <x:c r="N2418" s="24" t="n">
        <x:v>2</x:v>
      </x:c>
      <x:c r="O2418" s="28" t="n">
        <x:f>MIN(1,L2418/I2418)</x:f>
        <x:v>0.11986666666666666</x:v>
      </x:c>
      <x:c r="P2418" s="30" t="n">
        <x:f>O2418*J2418*(1+M2418)</x:f>
        <x:v>0.13185333333333335</x:v>
      </x:c>
      <x:c r="Q2418" s="30" t="n">
        <x:f>P2418*N2418</x:f>
        <x:v>0.2637066666666667</x:v>
      </x:c>
      <x:c r="R2418" s="19" t="str">
        <x:v>独立判定</x:v>
      </x:c>
    </x:row>
    <x:row r="2419" ht="19" customHeight="1">
      <x:c r="A2419" s="19" t="str">
        <x:v>D02415</x:v>
      </x:c>
      <x:c r="B2419" s="19" t="n">
        <x:v>5</x:v>
      </x:c>
      <x:c r="C2419" s="19" t="n">
        <x:v>3</x:v>
      </x:c>
      <x:c r="D2419" s="19" t="str">
        <x:v>C05-M035</x:v>
      </x:c>
      <x:c r="E2419" s="19" t="str">
        <x:v>七印讲堂监</x:v>
      </x:c>
      <x:c r="F2419" s="19" t="str">
        <x:v>地图BOSS</x:v>
      </x:c>
      <x:c r="G2419" s="19" t="str">
        <x:v>六神器公共池</x:v>
      </x:c>
      <x:c r="H2419" s="19" t="str">
        <x:v>POOL006</x:v>
      </x:c>
      <x:c r="I2419" s="22" t="n">
        <x:v>200000</x:v>
      </x:c>
      <x:c r="J2419" s="22" t="n">
        <x:v>1</x:v>
      </x:c>
      <x:c r="K2419" s="19" t="n">
        <x:v>6</x:v>
      </x:c>
      <x:c r="L2419" s="24" t="n">
        <x:v>23.973333333333333</x:v>
      </x:c>
      <x:c r="M2419" s="26" t="n">
        <x:v>0.1</x:v>
      </x:c>
      <x:c r="N2419" s="24" t="n">
        <x:v>2</x:v>
      </x:c>
      <x:c r="O2419" s="28" t="n">
        <x:f>MIN(1,L2419/I2419)</x:f>
        <x:v>0.00011986666666666666</x:v>
      </x:c>
      <x:c r="P2419" s="30" t="n">
        <x:f>O2419*J2419*(1+M2419)</x:f>
        <x:v>0.00013185333333333335</x:v>
      </x:c>
      <x:c r="Q2419" s="30" t="n">
        <x:f>P2419*N2419</x:f>
        <x:v>0.0002637066666666667</x:v>
      </x:c>
      <x:c r="R2419" s="19" t="str">
        <x:v>六选一；非6个独立爆率</x:v>
      </x:c>
    </x:row>
    <x:row r="2420" ht="19" customHeight="1">
      <x:c r="A2420" s="19" t="str">
        <x:v>D02416</x:v>
      </x:c>
      <x:c r="B2420" s="19" t="n">
        <x:v>5</x:v>
      </x:c>
      <x:c r="C2420" s="19" t="n">
        <x:v>3</x:v>
      </x:c>
      <x:c r="D2420" s="19" t="str">
        <x:v>C05-M036</x:v>
      </x:c>
      <x:c r="E2420" s="19" t="str">
        <x:v>逆页密室导师</x:v>
      </x:c>
      <x:c r="F2420" s="19" t="str">
        <x:v>地图BOSS</x:v>
      </x:c>
      <x:c r="G2420" s="19" t="str">
        <x:v>自身专属</x:v>
      </x:c>
      <x:c r="H2420" s="19" t="str">
        <x:v>逆页导师长衣</x:v>
      </x:c>
      <x:c r="I2420" s="22" t="n">
        <x:v>120</x:v>
      </x:c>
      <x:c r="J2420" s="22" t="n">
        <x:v>1</x:v>
      </x:c>
      <x:c r="K2420" s="19" t="n">
        <x:v>1</x:v>
      </x:c>
      <x:c r="L2420" s="24" t="n">
        <x:v>23.973333333333333</x:v>
      </x:c>
      <x:c r="M2420" s="26" t="n">
        <x:v>0.1</x:v>
      </x:c>
      <x:c r="N2420" s="24" t="n">
        <x:v>2</x:v>
      </x:c>
      <x:c r="O2420" s="28" t="n">
        <x:f>MIN(1,L2420/I2420)</x:f>
        <x:v>0.19977777777777778</x:v>
      </x:c>
      <x:c r="P2420" s="30" t="n">
        <x:f>O2420*J2420*(1+M2420)</x:f>
        <x:v>0.21975555555555557</x:v>
      </x:c>
      <x:c r="Q2420" s="30" t="n">
        <x:f>P2420*N2420</x:f>
        <x:v>0.43951111111111113</x:v>
      </x:c>
      <x:c r="R2420" s="19" t="str">
        <x:v>独立判定</x:v>
      </x:c>
    </x:row>
    <x:row r="2421" ht="19" customHeight="1">
      <x:c r="A2421" s="19" t="str">
        <x:v>D02417</x:v>
      </x:c>
      <x:c r="B2421" s="19" t="n">
        <x:v>5</x:v>
      </x:c>
      <x:c r="C2421" s="19" t="n">
        <x:v>3</x:v>
      </x:c>
      <x:c r="D2421" s="19" t="str">
        <x:v>C05-M036</x:v>
      </x:c>
      <x:c r="E2421" s="19" t="str">
        <x:v>逆页密室导师</x:v>
      </x:c>
      <x:c r="F2421" s="19" t="str">
        <x:v>地图BOSS</x:v>
      </x:c>
      <x:c r="G2421" s="19" t="str">
        <x:v>自身专属</x:v>
      </x:c>
      <x:c r="H2421" s="19" t="str">
        <x:v>月蚀镜镯</x:v>
      </x:c>
      <x:c r="I2421" s="22" t="n">
        <x:v>120</x:v>
      </x:c>
      <x:c r="J2421" s="22" t="n">
        <x:v>1</x:v>
      </x:c>
      <x:c r="K2421" s="19" t="n">
        <x:v>1</x:v>
      </x:c>
      <x:c r="L2421" s="24" t="n">
        <x:v>23.973333333333333</x:v>
      </x:c>
      <x:c r="M2421" s="26" t="n">
        <x:v>0.1</x:v>
      </x:c>
      <x:c r="N2421" s="24" t="n">
        <x:v>2</x:v>
      </x:c>
      <x:c r="O2421" s="28" t="n">
        <x:f>MIN(1,L2421/I2421)</x:f>
        <x:v>0.19977777777777778</x:v>
      </x:c>
      <x:c r="P2421" s="30" t="n">
        <x:f>O2421*J2421*(1+M2421)</x:f>
        <x:v>0.21975555555555557</x:v>
      </x:c>
      <x:c r="Q2421" s="30" t="n">
        <x:f>P2421*N2421</x:f>
        <x:v>0.43951111111111113</x:v>
      </x:c>
      <x:c r="R2421" s="19" t="str">
        <x:v>独立判定</x:v>
      </x:c>
    </x:row>
    <x:row r="2422" ht="19" customHeight="1">
      <x:c r="A2422" s="19" t="str">
        <x:v>D02418</x:v>
      </x:c>
      <x:c r="B2422" s="19" t="n">
        <x:v>5</x:v>
      </x:c>
      <x:c r="C2422" s="19" t="n">
        <x:v>3</x:v>
      </x:c>
      <x:c r="D2422" s="19" t="str">
        <x:v>C05-M036</x:v>
      </x:c>
      <x:c r="E2422" s="19" t="str">
        <x:v>逆页密室导师</x:v>
      </x:c>
      <x:c r="F2422" s="19" t="str">
        <x:v>地图BOSS</x:v>
      </x:c>
      <x:c r="G2422" s="19" t="str">
        <x:v>本图普通兼掉候选</x:v>
      </x:c>
      <x:c r="H2422" s="19" t="str">
        <x:v>POOL041</x:v>
      </x:c>
      <x:c r="I2422" s="22" t="n">
        <x:v>60</x:v>
      </x:c>
      <x:c r="J2422" s="22" t="n">
        <x:v>1</x:v>
      </x:c>
      <x:c r="K2422" s="19" t="n">
        <x:v>2</x:v>
      </x:c>
      <x:c r="L2422" s="24" t="n">
        <x:v>23.973333333333333</x:v>
      </x:c>
      <x:c r="M2422" s="26" t="n">
        <x:v>0.1</x:v>
      </x:c>
      <x:c r="N2422" s="24" t="n">
        <x:v>2</x:v>
      </x:c>
      <x:c r="O2422" s="28" t="n">
        <x:f>MIN(1,L2422/I2422)</x:f>
        <x:v>0.39955555555555555</x:v>
      </x:c>
      <x:c r="P2422" s="30" t="n">
        <x:f>O2422*J2422*(1+M2422)</x:f>
        <x:v>0.43951111111111113</x:v>
      </x:c>
      <x:c r="Q2422" s="30" t="n">
        <x:f>P2422*N2422</x:f>
        <x:v>0.8790222222222223</x:v>
      </x:c>
      <x:c r="R2422" s="19" t="str">
        <x:v>单池选一</x:v>
      </x:c>
    </x:row>
    <x:row r="2423" ht="19" customHeight="1">
      <x:c r="A2423" s="19" t="str">
        <x:v>D02419</x:v>
      </x:c>
      <x:c r="B2423" s="19" t="n">
        <x:v>5</x:v>
      </x:c>
      <x:c r="C2423" s="19" t="n">
        <x:v>3</x:v>
      </x:c>
      <x:c r="D2423" s="19" t="str">
        <x:v>C05-M036</x:v>
      </x:c>
      <x:c r="E2423" s="19" t="str">
        <x:v>逆页密室导师</x:v>
      </x:c>
      <x:c r="F2423" s="19" t="str">
        <x:v>地图BOSS</x:v>
      </x:c>
      <x:c r="G2423" s="19" t="str">
        <x:v>材料独立候选</x:v>
      </x:c>
      <x:c r="H2423" s="19" t="str">
        <x:v>辉石碎晶</x:v>
      </x:c>
      <x:c r="I2423" s="22" t="n">
        <x:v>250</x:v>
      </x:c>
      <x:c r="J2423" s="22" t="n">
        <x:v>30</x:v>
      </x:c>
      <x:c r="K2423" s="19" t="n">
        <x:v>1</x:v>
      </x:c>
      <x:c r="L2423" s="24" t="n">
        <x:v>23.973333333333333</x:v>
      </x:c>
      <x:c r="M2423" s="26" t="n">
        <x:v>0.1</x:v>
      </x:c>
      <x:c r="N2423" s="24" t="n">
        <x:v>2</x:v>
      </x:c>
      <x:c r="O2423" s="28" t="n">
        <x:f>MIN(1,L2423/I2423)</x:f>
        <x:v>0.09589333333333333</x:v>
      </x:c>
      <x:c r="P2423" s="30" t="n">
        <x:f>O2423*J2423*(1+M2423)</x:f>
        <x:v>3.16448</x:v>
      </x:c>
      <x:c r="Q2423" s="30" t="n">
        <x:f>P2423*N2423</x:f>
        <x:v>6.32896</x:v>
      </x:c>
      <x:c r="R2423" s="19" t="str">
        <x:v>独立判定</x:v>
      </x:c>
    </x:row>
    <x:row r="2424" ht="19" customHeight="1">
      <x:c r="A2424" s="19" t="str">
        <x:v>D02420</x:v>
      </x:c>
      <x:c r="B2424" s="19" t="n">
        <x:v>5</x:v>
      </x:c>
      <x:c r="C2424" s="19" t="n">
        <x:v>3</x:v>
      </x:c>
      <x:c r="D2424" s="19" t="str">
        <x:v>C05-M036</x:v>
      </x:c>
      <x:c r="E2424" s="19" t="str">
        <x:v>逆页密室导师</x:v>
      </x:c>
      <x:c r="F2424" s="19" t="str">
        <x:v>地图BOSS</x:v>
      </x:c>
      <x:c r="G2424" s="19" t="str">
        <x:v>材料独立候选</x:v>
      </x:c>
      <x:c r="H2424" s="19" t="str">
        <x:v>卡利亚月露</x:v>
      </x:c>
      <x:c r="I2424" s="22" t="n">
        <x:v>400</x:v>
      </x:c>
      <x:c r="J2424" s="22" t="n">
        <x:v>1</x:v>
      </x:c>
      <x:c r="K2424" s="19" t="n">
        <x:v>1</x:v>
      </x:c>
      <x:c r="L2424" s="24" t="n">
        <x:v>23.973333333333333</x:v>
      </x:c>
      <x:c r="M2424" s="26" t="n">
        <x:v>0.1</x:v>
      </x:c>
      <x:c r="N2424" s="24" t="n">
        <x:v>2</x:v>
      </x:c>
      <x:c r="O2424" s="28" t="n">
        <x:f>MIN(1,L2424/I2424)</x:f>
        <x:v>0.05993333333333333</x:v>
      </x:c>
      <x:c r="P2424" s="30" t="n">
        <x:f>O2424*J2424*(1+M2424)</x:f>
        <x:v>0.06592666666666668</x:v>
      </x:c>
      <x:c r="Q2424" s="30" t="n">
        <x:f>P2424*N2424</x:f>
        <x:v>0.13185333333333335</x:v>
      </x:c>
      <x:c r="R2424" s="19" t="str">
        <x:v>独立判定</x:v>
      </x:c>
    </x:row>
    <x:row r="2425" ht="19" customHeight="1">
      <x:c r="A2425" s="19" t="str">
        <x:v>D02421</x:v>
      </x:c>
      <x:c r="B2425" s="19" t="n">
        <x:v>5</x:v>
      </x:c>
      <x:c r="C2425" s="19" t="n">
        <x:v>3</x:v>
      </x:c>
      <x:c r="D2425" s="19" t="str">
        <x:v>C05-M036</x:v>
      </x:c>
      <x:c r="E2425" s="19" t="str">
        <x:v>逆页密室导师</x:v>
      </x:c>
      <x:c r="F2425" s="19" t="str">
        <x:v>地图BOSS</x:v>
      </x:c>
      <x:c r="G2425" s="19" t="str">
        <x:v>材料独立候选</x:v>
      </x:c>
      <x:c r="H2425" s="19" t="str">
        <x:v>满月王室印</x:v>
      </x:c>
      <x:c r="I2425" s="22" t="n">
        <x:v>150</x:v>
      </x:c>
      <x:c r="J2425" s="22" t="n">
        <x:v>3</x:v>
      </x:c>
      <x:c r="K2425" s="19" t="n">
        <x:v>1</x:v>
      </x:c>
      <x:c r="L2425" s="24" t="n">
        <x:v>23.973333333333333</x:v>
      </x:c>
      <x:c r="M2425" s="26" t="n">
        <x:v>0.1</x:v>
      </x:c>
      <x:c r="N2425" s="24" t="n">
        <x:v>2</x:v>
      </x:c>
      <x:c r="O2425" s="28" t="n">
        <x:f>MIN(1,L2425/I2425)</x:f>
        <x:v>0.15982222222222223</x:v>
      </x:c>
      <x:c r="P2425" s="30" t="n">
        <x:f>O2425*J2425*(1+M2425)</x:f>
        <x:v>0.5274133333333334</x:v>
      </x:c>
      <x:c r="Q2425" s="30" t="n">
        <x:f>P2425*N2425</x:f>
        <x:v>1.0548266666666668</x:v>
      </x:c>
      <x:c r="R2425" s="19" t="str">
        <x:v>独立判定</x:v>
      </x:c>
    </x:row>
    <x:row r="2426" ht="19" customHeight="1">
      <x:c r="A2426" s="19" t="str">
        <x:v>D02422</x:v>
      </x:c>
      <x:c r="B2426" s="19" t="n">
        <x:v>5</x:v>
      </x:c>
      <x:c r="C2426" s="19" t="n">
        <x:v>3</x:v>
      </x:c>
      <x:c r="D2426" s="19" t="str">
        <x:v>C05-M036</x:v>
      </x:c>
      <x:c r="E2426" s="19" t="str">
        <x:v>逆页密室导师</x:v>
      </x:c>
      <x:c r="F2426" s="19" t="str">
        <x:v>地图BOSS</x:v>
      </x:c>
      <x:c r="G2426" s="19" t="str">
        <x:v>材料独立候选</x:v>
      </x:c>
      <x:c r="H2426" s="19" t="str">
        <x:v>月蚀镜片</x:v>
      </x:c>
      <x:c r="I2426" s="22" t="n">
        <x:v>120</x:v>
      </x:c>
      <x:c r="J2426" s="22" t="n">
        <x:v>2</x:v>
      </x:c>
      <x:c r="K2426" s="19" t="n">
        <x:v>1</x:v>
      </x:c>
      <x:c r="L2426" s="24" t="n">
        <x:v>23.973333333333333</x:v>
      </x:c>
      <x:c r="M2426" s="26" t="n">
        <x:v>0.1</x:v>
      </x:c>
      <x:c r="N2426" s="24" t="n">
        <x:v>2</x:v>
      </x:c>
      <x:c r="O2426" s="28" t="n">
        <x:f>MIN(1,L2426/I2426)</x:f>
        <x:v>0.19977777777777778</x:v>
      </x:c>
      <x:c r="P2426" s="30" t="n">
        <x:f>O2426*J2426*(1+M2426)</x:f>
        <x:v>0.43951111111111113</x:v>
      </x:c>
      <x:c r="Q2426" s="30" t="n">
        <x:f>P2426*N2426</x:f>
        <x:v>0.8790222222222223</x:v>
      </x:c>
      <x:c r="R2426" s="19" t="str">
        <x:v>独立判定</x:v>
      </x:c>
    </x:row>
    <x:row r="2427" ht="19" customHeight="1">
      <x:c r="A2427" s="19" t="str">
        <x:v>D02423</x:v>
      </x:c>
      <x:c r="B2427" s="19" t="n">
        <x:v>5</x:v>
      </x:c>
      <x:c r="C2427" s="19" t="n">
        <x:v>3</x:v>
      </x:c>
      <x:c r="D2427" s="19" t="str">
        <x:v>C05-M036</x:v>
      </x:c>
      <x:c r="E2427" s="19" t="str">
        <x:v>逆页密室导师</x:v>
      </x:c>
      <x:c r="F2427" s="19" t="str">
        <x:v>地图BOSS</x:v>
      </x:c>
      <x:c r="G2427" s="19" t="str">
        <x:v>材料独立候选</x:v>
      </x:c>
      <x:c r="H2427" s="19" t="str">
        <x:v>湖心月谱残章</x:v>
      </x:c>
      <x:c r="I2427" s="22" t="n">
        <x:v>400000</x:v>
      </x:c>
      <x:c r="J2427" s="22" t="n">
        <x:v>1</x:v>
      </x:c>
      <x:c r="K2427" s="19" t="n">
        <x:v>1</x:v>
      </x:c>
      <x:c r="L2427" s="24" t="n">
        <x:v>23.973333333333333</x:v>
      </x:c>
      <x:c r="M2427" s="26" t="n">
        <x:v>0.1</x:v>
      </x:c>
      <x:c r="N2427" s="24" t="n">
        <x:v>2</x:v>
      </x:c>
      <x:c r="O2427" s="28" t="n">
        <x:f>MIN(1,L2427/I2427)</x:f>
        <x:v>0.00005993333333333333</x:v>
      </x:c>
      <x:c r="P2427" s="30" t="n">
        <x:f>O2427*J2427*(1+M2427)</x:f>
        <x:v>0.00006592666666666667</x:v>
      </x:c>
      <x:c r="Q2427" s="30" t="n">
        <x:f>P2427*N2427</x:f>
        <x:v>0.00013185333333333335</x:v>
      </x:c>
      <x:c r="R2427" s="19" t="str">
        <x:v>独立判定</x:v>
      </x:c>
    </x:row>
    <x:row r="2428" ht="19" customHeight="1">
      <x:c r="A2428" s="19" t="str">
        <x:v>D02424</x:v>
      </x:c>
      <x:c r="B2428" s="19" t="n">
        <x:v>5</x:v>
      </x:c>
      <x:c r="C2428" s="19" t="n">
        <x:v>3</x:v>
      </x:c>
      <x:c r="D2428" s="19" t="str">
        <x:v>C05-M036</x:v>
      </x:c>
      <x:c r="E2428" s="19" t="str">
        <x:v>逆页密室导师</x:v>
      </x:c>
      <x:c r="F2428" s="19" t="str">
        <x:v>地图BOSS</x:v>
      </x:c>
      <x:c r="G2428" s="19" t="str">
        <x:v>材料独立候选</x:v>
      </x:c>
      <x:c r="H2428" s="19" t="str">
        <x:v>黄金树芽</x:v>
      </x:c>
      <x:c r="I2428" s="22" t="n">
        <x:v>1800</x:v>
      </x:c>
      <x:c r="J2428" s="22" t="n">
        <x:v>1</x:v>
      </x:c>
      <x:c r="K2428" s="19" t="n">
        <x:v>1</x:v>
      </x:c>
      <x:c r="L2428" s="24" t="n">
        <x:v>23.973333333333333</x:v>
      </x:c>
      <x:c r="M2428" s="26" t="n">
        <x:v>0.1</x:v>
      </x:c>
      <x:c r="N2428" s="24" t="n">
        <x:v>2</x:v>
      </x:c>
      <x:c r="O2428" s="28" t="n">
        <x:f>MIN(1,L2428/I2428)</x:f>
        <x:v>0.013318518518518518</x:v>
      </x:c>
      <x:c r="P2428" s="30" t="n">
        <x:f>O2428*J2428*(1+M2428)</x:f>
        <x:v>0.014650370370370371</x:v>
      </x:c>
      <x:c r="Q2428" s="30" t="n">
        <x:f>P2428*N2428</x:f>
        <x:v>0.029300740740740742</x:v>
      </x:c>
      <x:c r="R2428" s="19" t="str">
        <x:v>独立判定</x:v>
      </x:c>
    </x:row>
    <x:row r="2429" ht="19" customHeight="1">
      <x:c r="A2429" s="19" t="str">
        <x:v>D02425</x:v>
      </x:c>
      <x:c r="B2429" s="19" t="n">
        <x:v>5</x:v>
      </x:c>
      <x:c r="C2429" s="19" t="n">
        <x:v>3</x:v>
      </x:c>
      <x:c r="D2429" s="19" t="str">
        <x:v>C05-M036</x:v>
      </x:c>
      <x:c r="E2429" s="19" t="str">
        <x:v>逆页密室导师</x:v>
      </x:c>
      <x:c r="F2429" s="19" t="str">
        <x:v>地图BOSS</x:v>
      </x:c>
      <x:c r="G2429" s="19" t="str">
        <x:v>材料独立候选</x:v>
      </x:c>
      <x:c r="H2429" s="19" t="str">
        <x:v>野兽骨片</x:v>
      </x:c>
      <x:c r="I2429" s="22" t="n">
        <x:v>40</x:v>
      </x:c>
      <x:c r="J2429" s="22" t="n">
        <x:v>3</x:v>
      </x:c>
      <x:c r="K2429" s="19" t="n">
        <x:v>1</x:v>
      </x:c>
      <x:c r="L2429" s="24" t="n">
        <x:v>23.973333333333333</x:v>
      </x:c>
      <x:c r="M2429" s="26" t="n">
        <x:v>0.1</x:v>
      </x:c>
      <x:c r="N2429" s="24" t="n">
        <x:v>2</x:v>
      </x:c>
      <x:c r="O2429" s="28" t="n">
        <x:f>MIN(1,L2429/I2429)</x:f>
        <x:v>0.5993333333333333</x:v>
      </x:c>
      <x:c r="P2429" s="30" t="n">
        <x:f>O2429*J2429*(1+M2429)</x:f>
        <x:v>1.9778</x:v>
      </x:c>
      <x:c r="Q2429" s="30" t="n">
        <x:f>P2429*N2429</x:f>
        <x:v>3.9556</x:v>
      </x:c>
      <x:c r="R2429" s="19" t="str">
        <x:v>独立判定</x:v>
      </x:c>
    </x:row>
    <x:row r="2430" ht="19" customHeight="1">
      <x:c r="A2430" s="19" t="str">
        <x:v>D02426</x:v>
      </x:c>
      <x:c r="B2430" s="19" t="n">
        <x:v>5</x:v>
      </x:c>
      <x:c r="C2430" s="19" t="n">
        <x:v>3</x:v>
      </x:c>
      <x:c r="D2430" s="19" t="str">
        <x:v>C05-M036</x:v>
      </x:c>
      <x:c r="E2430" s="19" t="str">
        <x:v>逆页密室导师</x:v>
      </x:c>
      <x:c r="F2430" s="19" t="str">
        <x:v>地图BOSS</x:v>
      </x:c>
      <x:c r="G2430" s="19" t="str">
        <x:v>材料独立候选</x:v>
      </x:c>
      <x:c r="H2430" s="19" t="str">
        <x:v>技能残页</x:v>
      </x:c>
      <x:c r="I2430" s="22" t="n">
        <x:v>1000</x:v>
      </x:c>
      <x:c r="J2430" s="22" t="n">
        <x:v>1</x:v>
      </x:c>
      <x:c r="K2430" s="19" t="n">
        <x:v>1</x:v>
      </x:c>
      <x:c r="L2430" s="24" t="n">
        <x:v>23.973333333333333</x:v>
      </x:c>
      <x:c r="M2430" s="26" t="n">
        <x:v>0.1</x:v>
      </x:c>
      <x:c r="N2430" s="24" t="n">
        <x:v>2</x:v>
      </x:c>
      <x:c r="O2430" s="28" t="n">
        <x:f>MIN(1,L2430/I2430)</x:f>
        <x:v>0.023973333333333333</x:v>
      </x:c>
      <x:c r="P2430" s="30" t="n">
        <x:f>O2430*J2430*(1+M2430)</x:f>
        <x:v>0.026370666666666667</x:v>
      </x:c>
      <x:c r="Q2430" s="30" t="n">
        <x:f>P2430*N2430</x:f>
        <x:v>0.052741333333333335</x:v>
      </x:c>
      <x:c r="R2430" s="19" t="str">
        <x:v>独立判定</x:v>
      </x:c>
    </x:row>
    <x:row r="2431" ht="19" customHeight="1">
      <x:c r="A2431" s="19" t="str">
        <x:v>D02427</x:v>
      </x:c>
      <x:c r="B2431" s="19" t="n">
        <x:v>5</x:v>
      </x:c>
      <x:c r="C2431" s="19" t="n">
        <x:v>3</x:v>
      </x:c>
      <x:c r="D2431" s="19" t="str">
        <x:v>C05-M036</x:v>
      </x:c>
      <x:c r="E2431" s="19" t="str">
        <x:v>逆页密室导师</x:v>
      </x:c>
      <x:c r="F2431" s="19" t="str">
        <x:v>地图BOSS</x:v>
      </x:c>
      <x:c r="G2431" s="19" t="str">
        <x:v>材料独立候选</x:v>
      </x:c>
      <x:c r="H2431" s="19" t="str">
        <x:v>宁姆格福誓页</x:v>
      </x:c>
      <x:c r="I2431" s="22" t="n">
        <x:v>300</x:v>
      </x:c>
      <x:c r="J2431" s="22" t="n">
        <x:v>1</x:v>
      </x:c>
      <x:c r="K2431" s="19" t="n">
        <x:v>1</x:v>
      </x:c>
      <x:c r="L2431" s="24" t="n">
        <x:v>23.973333333333333</x:v>
      </x:c>
      <x:c r="M2431" s="26" t="n">
        <x:v>0.1</x:v>
      </x:c>
      <x:c r="N2431" s="24" t="n">
        <x:v>2</x:v>
      </x:c>
      <x:c r="O2431" s="28" t="n">
        <x:f>MIN(1,L2431/I2431)</x:f>
        <x:v>0.07991111111111111</x:v>
      </x:c>
      <x:c r="P2431" s="30" t="n">
        <x:f>O2431*J2431*(1+M2431)</x:f>
        <x:v>0.08790222222222223</x:v>
      </x:c>
      <x:c r="Q2431" s="30" t="n">
        <x:f>P2431*N2431</x:f>
        <x:v>0.17580444444444446</x:v>
      </x:c>
      <x:c r="R2431" s="19" t="str">
        <x:v>独立判定</x:v>
      </x:c>
    </x:row>
    <x:row r="2432" ht="19" customHeight="1">
      <x:c r="A2432" s="19" t="str">
        <x:v>D02428</x:v>
      </x:c>
      <x:c r="B2432" s="19" t="n">
        <x:v>5</x:v>
      </x:c>
      <x:c r="C2432" s="19" t="n">
        <x:v>3</x:v>
      </x:c>
      <x:c r="D2432" s="19" t="str">
        <x:v>C05-M036</x:v>
      </x:c>
      <x:c r="E2432" s="19" t="str">
        <x:v>逆页密室导师</x:v>
      </x:c>
      <x:c r="F2432" s="19" t="str">
        <x:v>地图BOSS</x:v>
      </x:c>
      <x:c r="G2432" s="19" t="str">
        <x:v>材料独立候选</x:v>
      </x:c>
      <x:c r="H2432" s="19" t="str">
        <x:v>小卢恩</x:v>
      </x:c>
      <x:c r="I2432" s="22" t="n">
        <x:v>2500</x:v>
      </x:c>
      <x:c r="J2432" s="22" t="n">
        <x:v>1</x:v>
      </x:c>
      <x:c r="K2432" s="19" t="n">
        <x:v>1</x:v>
      </x:c>
      <x:c r="L2432" s="24" t="n">
        <x:v>23.973333333333333</x:v>
      </x:c>
      <x:c r="M2432" s="26" t="n">
        <x:v>0.1</x:v>
      </x:c>
      <x:c r="N2432" s="24" t="n">
        <x:v>2</x:v>
      </x:c>
      <x:c r="O2432" s="28" t="n">
        <x:f>MIN(1,L2432/I2432)</x:f>
        <x:v>0.009589333333333333</x:v>
      </x:c>
      <x:c r="P2432" s="30" t="n">
        <x:f>O2432*J2432*(1+M2432)</x:f>
        <x:v>0.010548266666666667</x:v>
      </x:c>
      <x:c r="Q2432" s="30" t="n">
        <x:f>P2432*N2432</x:f>
        <x:v>0.021096533333333334</x:v>
      </x:c>
      <x:c r="R2432" s="19" t="str">
        <x:v>独立判定</x:v>
      </x:c>
    </x:row>
    <x:row r="2433" ht="19" customHeight="1">
      <x:c r="A2433" s="19" t="str">
        <x:v>D02429</x:v>
      </x:c>
      <x:c r="B2433" s="19" t="n">
        <x:v>5</x:v>
      </x:c>
      <x:c r="C2433" s="19" t="n">
        <x:v>3</x:v>
      </x:c>
      <x:c r="D2433" s="19" t="str">
        <x:v>C05-M036</x:v>
      </x:c>
      <x:c r="E2433" s="19" t="str">
        <x:v>逆页密室导师</x:v>
      </x:c>
      <x:c r="F2433" s="19" t="str">
        <x:v>地图BOSS</x:v>
      </x:c>
      <x:c r="G2433" s="19" t="str">
        <x:v>材料独立候选</x:v>
      </x:c>
      <x:c r="H2433" s="19" t="str">
        <x:v>大卢恩</x:v>
      </x:c>
      <x:c r="I2433" s="22" t="n">
        <x:v>200</x:v>
      </x:c>
      <x:c r="J2433" s="22" t="n">
        <x:v>1</x:v>
      </x:c>
      <x:c r="K2433" s="19" t="n">
        <x:v>1</x:v>
      </x:c>
      <x:c r="L2433" s="24" t="n">
        <x:v>23.973333333333333</x:v>
      </x:c>
      <x:c r="M2433" s="26" t="n">
        <x:v>0.1</x:v>
      </x:c>
      <x:c r="N2433" s="24" t="n">
        <x:v>2</x:v>
      </x:c>
      <x:c r="O2433" s="28" t="n">
        <x:f>MIN(1,L2433/I2433)</x:f>
        <x:v>0.11986666666666666</x:v>
      </x:c>
      <x:c r="P2433" s="30" t="n">
        <x:f>O2433*J2433*(1+M2433)</x:f>
        <x:v>0.13185333333333335</x:v>
      </x:c>
      <x:c r="Q2433" s="30" t="n">
        <x:f>P2433*N2433</x:f>
        <x:v>0.2637066666666667</x:v>
      </x:c>
      <x:c r="R2433" s="19" t="str">
        <x:v>独立判定</x:v>
      </x:c>
    </x:row>
    <x:row r="2434" ht="19" customHeight="1">
      <x:c r="A2434" s="19" t="str">
        <x:v>D02430</x:v>
      </x:c>
      <x:c r="B2434" s="19" t="n">
        <x:v>5</x:v>
      </x:c>
      <x:c r="C2434" s="19" t="n">
        <x:v>3</x:v>
      </x:c>
      <x:c r="D2434" s="19" t="str">
        <x:v>C05-M036</x:v>
      </x:c>
      <x:c r="E2434" s="19" t="str">
        <x:v>逆页密室导师</x:v>
      </x:c>
      <x:c r="F2434" s="19" t="str">
        <x:v>地图BOSS</x:v>
      </x:c>
      <x:c r="G2434" s="19" t="str">
        <x:v>六神器公共池</x:v>
      </x:c>
      <x:c r="H2434" s="19" t="str">
        <x:v>POOL006</x:v>
      </x:c>
      <x:c r="I2434" s="22" t="n">
        <x:v>200000</x:v>
      </x:c>
      <x:c r="J2434" s="22" t="n">
        <x:v>1</x:v>
      </x:c>
      <x:c r="K2434" s="19" t="n">
        <x:v>6</x:v>
      </x:c>
      <x:c r="L2434" s="24" t="n">
        <x:v>23.973333333333333</x:v>
      </x:c>
      <x:c r="M2434" s="26" t="n">
        <x:v>0.1</x:v>
      </x:c>
      <x:c r="N2434" s="24" t="n">
        <x:v>2</x:v>
      </x:c>
      <x:c r="O2434" s="28" t="n">
        <x:f>MIN(1,L2434/I2434)</x:f>
        <x:v>0.00011986666666666666</x:v>
      </x:c>
      <x:c r="P2434" s="30" t="n">
        <x:f>O2434*J2434*(1+M2434)</x:f>
        <x:v>0.00013185333333333335</x:v>
      </x:c>
      <x:c r="Q2434" s="30" t="n">
        <x:f>P2434*N2434</x:f>
        <x:v>0.0002637066666666667</x:v>
      </x:c>
      <x:c r="R2434" s="19" t="str">
        <x:v>六选一；非6个独立爆率</x:v>
      </x:c>
    </x:row>
    <x:row r="2435" ht="19" customHeight="1">
      <x:c r="A2435" s="19" t="str">
        <x:v>D02431</x:v>
      </x:c>
      <x:c r="B2435" s="19" t="n">
        <x:v>5</x:v>
      </x:c>
      <x:c r="C2435" s="19" t="n">
        <x:v>4</x:v>
      </x:c>
      <x:c r="D2435" s="19" t="str">
        <x:v>C05-M037</x:v>
      </x:c>
      <x:c r="E2435" s="19" t="str">
        <x:v>月尘理卷童</x:v>
      </x:c>
      <x:c r="F2435" s="19" t="str">
        <x:v>普通</x:v>
      </x:c>
      <x:c r="G2435" s="19" t="str">
        <x:v>自身专属</x:v>
      </x:c>
      <x:c r="H2435" s="19" t="str">
        <x:v>月尘理卷履</x:v>
      </x:c>
      <x:c r="I2435" s="22" t="n">
        <x:v>2000</x:v>
      </x:c>
      <x:c r="J2435" s="22" t="n">
        <x:v>1</x:v>
      </x:c>
      <x:c r="K2435" s="19" t="n">
        <x:v>1</x:v>
      </x:c>
      <x:c r="L2435" s="24" t="n">
        <x:v>27.839999999999996</x:v>
      </x:c>
      <x:c r="M2435" s="26" t="n">
        <x:v>0.1</x:v>
      </x:c>
      <x:c r="N2435" s="24" t="n">
        <x:v>72</x:v>
      </x:c>
      <x:c r="O2435" s="28" t="n">
        <x:f>MIN(1,L2435/I2435)</x:f>
        <x:v>0.013919999999999998</x:v>
      </x:c>
      <x:c r="P2435" s="30" t="n">
        <x:f>O2435*J2435*(1+M2435)</x:f>
        <x:v>0.015312</x:v>
      </x:c>
      <x:c r="Q2435" s="30" t="n">
        <x:f>P2435*N2435</x:f>
        <x:v>1.1024639999999999</x:v>
      </x:c>
      <x:c r="R2435" s="19" t="str">
        <x:v>独立判定</x:v>
      </x:c>
    </x:row>
    <x:row r="2436" ht="19" customHeight="1">
      <x:c r="A2436" s="19" t="str">
        <x:v>D02432</x:v>
      </x:c>
      <x:c r="B2436" s="19" t="n">
        <x:v>5</x:v>
      </x:c>
      <x:c r="C2436" s="19" t="n">
        <x:v>4</x:v>
      </x:c>
      <x:c r="D2436" s="19" t="str">
        <x:v>C05-M037</x:v>
      </x:c>
      <x:c r="E2436" s="19" t="str">
        <x:v>月尘理卷童</x:v>
      </x:c>
      <x:c r="F2436" s="19" t="str">
        <x:v>普通</x:v>
      </x:c>
      <x:c r="G2436" s="19" t="str">
        <x:v>材料独立候选</x:v>
      </x:c>
      <x:c r="H2436" s="19" t="str">
        <x:v>辉石碎晶</x:v>
      </x:c>
      <x:c r="I2436" s="22" t="n">
        <x:v>800</x:v>
      </x:c>
      <x:c r="J2436" s="22" t="n">
        <x:v>8</x:v>
      </x:c>
      <x:c r="K2436" s="19" t="n">
        <x:v>1</x:v>
      </x:c>
      <x:c r="L2436" s="24" t="n">
        <x:v>27.839999999999996</x:v>
      </x:c>
      <x:c r="M2436" s="26" t="n">
        <x:v>0.1</x:v>
      </x:c>
      <x:c r="N2436" s="24" t="n">
        <x:v>72</x:v>
      </x:c>
      <x:c r="O2436" s="28" t="n">
        <x:f>MIN(1,L2436/I2436)</x:f>
        <x:v>0.0348</x:v>
      </x:c>
      <x:c r="P2436" s="30" t="n">
        <x:f>O2436*J2436*(1+M2436)</x:f>
        <x:v>0.30624</x:v>
      </x:c>
      <x:c r="Q2436" s="30" t="n">
        <x:f>P2436*N2436</x:f>
        <x:v>22.04928</x:v>
      </x:c>
      <x:c r="R2436" s="19" t="str">
        <x:v>独立判定</x:v>
      </x:c>
    </x:row>
    <x:row r="2437" ht="19" customHeight="1">
      <x:c r="A2437" s="19" t="str">
        <x:v>D02433</x:v>
      </x:c>
      <x:c r="B2437" s="19" t="n">
        <x:v>5</x:v>
      </x:c>
      <x:c r="C2437" s="19" t="n">
        <x:v>4</x:v>
      </x:c>
      <x:c r="D2437" s="19" t="str">
        <x:v>C05-M037</x:v>
      </x:c>
      <x:c r="E2437" s="19" t="str">
        <x:v>月尘理卷童</x:v>
      </x:c>
      <x:c r="F2437" s="19" t="str">
        <x:v>普通</x:v>
      </x:c>
      <x:c r="G2437" s="19" t="str">
        <x:v>材料独立候选</x:v>
      </x:c>
      <x:c r="H2437" s="19" t="str">
        <x:v>雾月星砂</x:v>
      </x:c>
      <x:c r="I2437" s="22" t="n">
        <x:v>1200</x:v>
      </x:c>
      <x:c r="J2437" s="22" t="n">
        <x:v>1</x:v>
      </x:c>
      <x:c r="K2437" s="19" t="n">
        <x:v>1</x:v>
      </x:c>
      <x:c r="L2437" s="24" t="n">
        <x:v>27.839999999999996</x:v>
      </x:c>
      <x:c r="M2437" s="26" t="n">
        <x:v>0.1</x:v>
      </x:c>
      <x:c r="N2437" s="24" t="n">
        <x:v>72</x:v>
      </x:c>
      <x:c r="O2437" s="28" t="n">
        <x:f>MIN(1,L2437/I2437)</x:f>
        <x:v>0.0232</x:v>
      </x:c>
      <x:c r="P2437" s="30" t="n">
        <x:f>O2437*J2437*(1+M2437)</x:f>
        <x:v>0.02552</x:v>
      </x:c>
      <x:c r="Q2437" s="30" t="n">
        <x:f>P2437*N2437</x:f>
        <x:v>1.83744</x:v>
      </x:c>
      <x:c r="R2437" s="19" t="str">
        <x:v>独立判定</x:v>
      </x:c>
    </x:row>
    <x:row r="2438" ht="19" customHeight="1">
      <x:c r="A2438" s="19" t="str">
        <x:v>D02434</x:v>
      </x:c>
      <x:c r="B2438" s="19" t="n">
        <x:v>5</x:v>
      </x:c>
      <x:c r="C2438" s="19" t="n">
        <x:v>4</x:v>
      </x:c>
      <x:c r="D2438" s="19" t="str">
        <x:v>C05-M037</x:v>
      </x:c>
      <x:c r="E2438" s="19" t="str">
        <x:v>月尘理卷童</x:v>
      </x:c>
      <x:c r="F2438" s="19" t="str">
        <x:v>普通</x:v>
      </x:c>
      <x:c r="G2438" s="19" t="str">
        <x:v>材料独立候选</x:v>
      </x:c>
      <x:c r="H2438" s="19" t="str">
        <x:v>湖心月谱残章</x:v>
      </x:c>
      <x:c r="I2438" s="22" t="n">
        <x:v>1200000</x:v>
      </x:c>
      <x:c r="J2438" s="22" t="n">
        <x:v>1</x:v>
      </x:c>
      <x:c r="K2438" s="19" t="n">
        <x:v>1</x:v>
      </x:c>
      <x:c r="L2438" s="24" t="n">
        <x:v>27.839999999999996</x:v>
      </x:c>
      <x:c r="M2438" s="26" t="n">
        <x:v>0.1</x:v>
      </x:c>
      <x:c r="N2438" s="24" t="n">
        <x:v>72</x:v>
      </x:c>
      <x:c r="O2438" s="28" t="n">
        <x:f>MIN(1,L2438/I2438)</x:f>
        <x:v>0.000023199999999999998</x:v>
      </x:c>
      <x:c r="P2438" s="30" t="n">
        <x:f>O2438*J2438*(1+M2438)</x:f>
        <x:v>0.00002552</x:v>
      </x:c>
      <x:c r="Q2438" s="30" t="n">
        <x:f>P2438*N2438</x:f>
        <x:v>0.00183744</x:v>
      </x:c>
      <x:c r="R2438" s="19" t="str">
        <x:v>独立判定</x:v>
      </x:c>
    </x:row>
    <x:row r="2439" ht="19" customHeight="1">
      <x:c r="A2439" s="19" t="str">
        <x:v>D02435</x:v>
      </x:c>
      <x:c r="B2439" s="19" t="n">
        <x:v>5</x:v>
      </x:c>
      <x:c r="C2439" s="19" t="n">
        <x:v>4</x:v>
      </x:c>
      <x:c r="D2439" s="19" t="str">
        <x:v>C05-M037</x:v>
      </x:c>
      <x:c r="E2439" s="19" t="str">
        <x:v>月尘理卷童</x:v>
      </x:c>
      <x:c r="F2439" s="19" t="str">
        <x:v>普通</x:v>
      </x:c>
      <x:c r="G2439" s="19" t="str">
        <x:v>材料独立候选</x:v>
      </x:c>
      <x:c r="H2439" s="19" t="str">
        <x:v>野兽骨片</x:v>
      </x:c>
      <x:c r="I2439" s="22" t="n">
        <x:v>150</x:v>
      </x:c>
      <x:c r="J2439" s="22" t="n">
        <x:v>3</x:v>
      </x:c>
      <x:c r="K2439" s="19" t="n">
        <x:v>1</x:v>
      </x:c>
      <x:c r="L2439" s="24" t="n">
        <x:v>27.839999999999996</x:v>
      </x:c>
      <x:c r="M2439" s="26" t="n">
        <x:v>0.1</x:v>
      </x:c>
      <x:c r="N2439" s="24" t="n">
        <x:v>72</x:v>
      </x:c>
      <x:c r="O2439" s="28" t="n">
        <x:f>MIN(1,L2439/I2439)</x:f>
        <x:v>0.1856</x:v>
      </x:c>
      <x:c r="P2439" s="30" t="n">
        <x:f>O2439*J2439*(1+M2439)</x:f>
        <x:v>0.61248</x:v>
      </x:c>
      <x:c r="Q2439" s="30" t="n">
        <x:f>P2439*N2439</x:f>
        <x:v>44.09856</x:v>
      </x:c>
      <x:c r="R2439" s="19" t="str">
        <x:v>独立判定</x:v>
      </x:c>
    </x:row>
    <x:row r="2440" ht="19" customHeight="1">
      <x:c r="A2440" s="19" t="str">
        <x:v>D02436</x:v>
      </x:c>
      <x:c r="B2440" s="19" t="n">
        <x:v>5</x:v>
      </x:c>
      <x:c r="C2440" s="19" t="n">
        <x:v>4</x:v>
      </x:c>
      <x:c r="D2440" s="19" t="str">
        <x:v>C05-M037</x:v>
      </x:c>
      <x:c r="E2440" s="19" t="str">
        <x:v>月尘理卷童</x:v>
      </x:c>
      <x:c r="F2440" s="19" t="str">
        <x:v>普通</x:v>
      </x:c>
      <x:c r="G2440" s="19" t="str">
        <x:v>材料独立候选</x:v>
      </x:c>
      <x:c r="H2440" s="19" t="str">
        <x:v>技能残页</x:v>
      </x:c>
      <x:c r="I2440" s="22" t="n">
        <x:v>4000</x:v>
      </x:c>
      <x:c r="J2440" s="22" t="n">
        <x:v>1</x:v>
      </x:c>
      <x:c r="K2440" s="19" t="n">
        <x:v>1</x:v>
      </x:c>
      <x:c r="L2440" s="24" t="n">
        <x:v>27.839999999999996</x:v>
      </x:c>
      <x:c r="M2440" s="26" t="n">
        <x:v>0.1</x:v>
      </x:c>
      <x:c r="N2440" s="24" t="n">
        <x:v>72</x:v>
      </x:c>
      <x:c r="O2440" s="28" t="n">
        <x:f>MIN(1,L2440/I2440)</x:f>
        <x:v>0.006959999999999999</x:v>
      </x:c>
      <x:c r="P2440" s="30" t="n">
        <x:f>O2440*J2440*(1+M2440)</x:f>
        <x:v>0.007656</x:v>
      </x:c>
      <x:c r="Q2440" s="30" t="n">
        <x:f>P2440*N2440</x:f>
        <x:v>0.5512319999999999</x:v>
      </x:c>
      <x:c r="R2440" s="19" t="str">
        <x:v>独立判定</x:v>
      </x:c>
    </x:row>
    <x:row r="2441" ht="19" customHeight="1">
      <x:c r="A2441" s="19" t="str">
        <x:v>D02437</x:v>
      </x:c>
      <x:c r="B2441" s="19" t="n">
        <x:v>5</x:v>
      </x:c>
      <x:c r="C2441" s="19" t="n">
        <x:v>4</x:v>
      </x:c>
      <x:c r="D2441" s="19" t="str">
        <x:v>C05-M037</x:v>
      </x:c>
      <x:c r="E2441" s="19" t="str">
        <x:v>月尘理卷童</x:v>
      </x:c>
      <x:c r="F2441" s="19" t="str">
        <x:v>普通</x:v>
      </x:c>
      <x:c r="G2441" s="19" t="str">
        <x:v>材料独立候选</x:v>
      </x:c>
      <x:c r="H2441" s="19" t="str">
        <x:v>小卢恩</x:v>
      </x:c>
      <x:c r="I2441" s="22" t="n">
        <x:v>8000</x:v>
      </x:c>
      <x:c r="J2441" s="22" t="n">
        <x:v>1</x:v>
      </x:c>
      <x:c r="K2441" s="19" t="n">
        <x:v>1</x:v>
      </x:c>
      <x:c r="L2441" s="24" t="n">
        <x:v>27.839999999999996</x:v>
      </x:c>
      <x:c r="M2441" s="26" t="n">
        <x:v>0.1</x:v>
      </x:c>
      <x:c r="N2441" s="24" t="n">
        <x:v>72</x:v>
      </x:c>
      <x:c r="O2441" s="28" t="n">
        <x:f>MIN(1,L2441/I2441)</x:f>
        <x:v>0.0034799999999999996</x:v>
      </x:c>
      <x:c r="P2441" s="30" t="n">
        <x:f>O2441*J2441*(1+M2441)</x:f>
        <x:v>0.003828</x:v>
      </x:c>
      <x:c r="Q2441" s="30" t="n">
        <x:f>P2441*N2441</x:f>
        <x:v>0.27561599999999997</x:v>
      </x:c>
      <x:c r="R2441" s="19" t="str">
        <x:v>独立判定</x:v>
      </x:c>
    </x:row>
    <x:row r="2442" ht="19" customHeight="1">
      <x:c r="A2442" s="19" t="str">
        <x:v>D02438</x:v>
      </x:c>
      <x:c r="B2442" s="19" t="n">
        <x:v>5</x:v>
      </x:c>
      <x:c r="C2442" s="19" t="n">
        <x:v>4</x:v>
      </x:c>
      <x:c r="D2442" s="19" t="str">
        <x:v>C05-M037</x:v>
      </x:c>
      <x:c r="E2442" s="19" t="str">
        <x:v>月尘理卷童</x:v>
      </x:c>
      <x:c r="F2442" s="19" t="str">
        <x:v>普通</x:v>
      </x:c>
      <x:c r="G2442" s="19" t="str">
        <x:v>六神器公共池</x:v>
      </x:c>
      <x:c r="H2442" s="19" t="str">
        <x:v>POOL006</x:v>
      </x:c>
      <x:c r="I2442" s="22" t="n">
        <x:v>20000000</x:v>
      </x:c>
      <x:c r="J2442" s="22" t="n">
        <x:v>1</x:v>
      </x:c>
      <x:c r="K2442" s="19" t="n">
        <x:v>6</x:v>
      </x:c>
      <x:c r="L2442" s="24" t="n">
        <x:v>27.839999999999996</x:v>
      </x:c>
      <x:c r="M2442" s="26" t="n">
        <x:v>0.1</x:v>
      </x:c>
      <x:c r="N2442" s="24" t="n">
        <x:v>72</x:v>
      </x:c>
      <x:c r="O2442" s="28" t="n">
        <x:f>MIN(1,L2442/I2442)</x:f>
        <x:v>0.0000013919999999999998</x:v>
      </x:c>
      <x:c r="P2442" s="30" t="n">
        <x:f>O2442*J2442*(1+M2442)</x:f>
        <x:v>0.0000015311999999999998</x:v>
      </x:c>
      <x:c r="Q2442" s="30" t="n">
        <x:f>P2442*N2442</x:f>
        <x:v>0.00011024639999999999</x:v>
      </x:c>
      <x:c r="R2442" s="19" t="str">
        <x:v>六选一；非6个独立爆率</x:v>
      </x:c>
    </x:row>
    <x:row r="2443" ht="19" customHeight="1">
      <x:c r="A2443" s="19" t="str">
        <x:v>D02439</x:v>
      </x:c>
      <x:c r="B2443" s="19" t="n">
        <x:v>5</x:v>
      </x:c>
      <x:c r="C2443" s="19" t="n">
        <x:v>4</x:v>
      </x:c>
      <x:c r="D2443" s="19" t="str">
        <x:v>C05-M038</x:v>
      </x:c>
      <x:c r="E2443" s="19" t="str">
        <x:v>银页栖书鸦</x:v>
      </x:c>
      <x:c r="F2443" s="19" t="str">
        <x:v>普通</x:v>
      </x:c>
      <x:c r="G2443" s="19" t="str">
        <x:v>自身专属</x:v>
      </x:c>
      <x:c r="H2443" s="19" t="str">
        <x:v>银页书鸦笠</x:v>
      </x:c>
      <x:c r="I2443" s="22" t="n">
        <x:v>2000</x:v>
      </x:c>
      <x:c r="J2443" s="22" t="n">
        <x:v>1</x:v>
      </x:c>
      <x:c r="K2443" s="19" t="n">
        <x:v>1</x:v>
      </x:c>
      <x:c r="L2443" s="24" t="n">
        <x:v>27.839999999999996</x:v>
      </x:c>
      <x:c r="M2443" s="26" t="n">
        <x:v>0.1</x:v>
      </x:c>
      <x:c r="N2443" s="24" t="n">
        <x:v>72</x:v>
      </x:c>
      <x:c r="O2443" s="28" t="n">
        <x:f>MIN(1,L2443/I2443)</x:f>
        <x:v>0.013919999999999998</x:v>
      </x:c>
      <x:c r="P2443" s="30" t="n">
        <x:f>O2443*J2443*(1+M2443)</x:f>
        <x:v>0.015312</x:v>
      </x:c>
      <x:c r="Q2443" s="30" t="n">
        <x:f>P2443*N2443</x:f>
        <x:v>1.1024639999999999</x:v>
      </x:c>
      <x:c r="R2443" s="19" t="str">
        <x:v>独立判定</x:v>
      </x:c>
    </x:row>
    <x:row r="2444" ht="19" customHeight="1">
      <x:c r="A2444" s="19" t="str">
        <x:v>D02440</x:v>
      </x:c>
      <x:c r="B2444" s="19" t="n">
        <x:v>5</x:v>
      </x:c>
      <x:c r="C2444" s="19" t="n">
        <x:v>4</x:v>
      </x:c>
      <x:c r="D2444" s="19" t="str">
        <x:v>C05-M038</x:v>
      </x:c>
      <x:c r="E2444" s="19" t="str">
        <x:v>银页栖书鸦</x:v>
      </x:c>
      <x:c r="F2444" s="19" t="str">
        <x:v>普通</x:v>
      </x:c>
      <x:c r="G2444" s="19" t="str">
        <x:v>材料独立候选</x:v>
      </x:c>
      <x:c r="H2444" s="19" t="str">
        <x:v>辉石碎晶</x:v>
      </x:c>
      <x:c r="I2444" s="22" t="n">
        <x:v>800</x:v>
      </x:c>
      <x:c r="J2444" s="22" t="n">
        <x:v>8</x:v>
      </x:c>
      <x:c r="K2444" s="19" t="n">
        <x:v>1</x:v>
      </x:c>
      <x:c r="L2444" s="24" t="n">
        <x:v>27.839999999999996</x:v>
      </x:c>
      <x:c r="M2444" s="26" t="n">
        <x:v>0.1</x:v>
      </x:c>
      <x:c r="N2444" s="24" t="n">
        <x:v>72</x:v>
      </x:c>
      <x:c r="O2444" s="28" t="n">
        <x:f>MIN(1,L2444/I2444)</x:f>
        <x:v>0.0348</x:v>
      </x:c>
      <x:c r="P2444" s="30" t="n">
        <x:f>O2444*J2444*(1+M2444)</x:f>
        <x:v>0.30624</x:v>
      </x:c>
      <x:c r="Q2444" s="30" t="n">
        <x:f>P2444*N2444</x:f>
        <x:v>22.04928</x:v>
      </x:c>
      <x:c r="R2444" s="19" t="str">
        <x:v>独立判定</x:v>
      </x:c>
    </x:row>
    <x:row r="2445" ht="19" customHeight="1">
      <x:c r="A2445" s="19" t="str">
        <x:v>D02441</x:v>
      </x:c>
      <x:c r="B2445" s="19" t="n">
        <x:v>5</x:v>
      </x:c>
      <x:c r="C2445" s="19" t="n">
        <x:v>4</x:v>
      </x:c>
      <x:c r="D2445" s="19" t="str">
        <x:v>C05-M038</x:v>
      </x:c>
      <x:c r="E2445" s="19" t="str">
        <x:v>银页栖书鸦</x:v>
      </x:c>
      <x:c r="F2445" s="19" t="str">
        <x:v>普通</x:v>
      </x:c>
      <x:c r="G2445" s="19" t="str">
        <x:v>材料独立候选</x:v>
      </x:c>
      <x:c r="H2445" s="19" t="str">
        <x:v>雾月星砂</x:v>
      </x:c>
      <x:c r="I2445" s="22" t="n">
        <x:v>1200</x:v>
      </x:c>
      <x:c r="J2445" s="22" t="n">
        <x:v>1</x:v>
      </x:c>
      <x:c r="K2445" s="19" t="n">
        <x:v>1</x:v>
      </x:c>
      <x:c r="L2445" s="24" t="n">
        <x:v>27.839999999999996</x:v>
      </x:c>
      <x:c r="M2445" s="26" t="n">
        <x:v>0.1</x:v>
      </x:c>
      <x:c r="N2445" s="24" t="n">
        <x:v>72</x:v>
      </x:c>
      <x:c r="O2445" s="28" t="n">
        <x:f>MIN(1,L2445/I2445)</x:f>
        <x:v>0.0232</x:v>
      </x:c>
      <x:c r="P2445" s="30" t="n">
        <x:f>O2445*J2445*(1+M2445)</x:f>
        <x:v>0.02552</x:v>
      </x:c>
      <x:c r="Q2445" s="30" t="n">
        <x:f>P2445*N2445</x:f>
        <x:v>1.83744</x:v>
      </x:c>
      <x:c r="R2445" s="19" t="str">
        <x:v>独立判定</x:v>
      </x:c>
    </x:row>
    <x:row r="2446" ht="19" customHeight="1">
      <x:c r="A2446" s="19" t="str">
        <x:v>D02442</x:v>
      </x:c>
      <x:c r="B2446" s="19" t="n">
        <x:v>5</x:v>
      </x:c>
      <x:c r="C2446" s="19" t="n">
        <x:v>4</x:v>
      </x:c>
      <x:c r="D2446" s="19" t="str">
        <x:v>C05-M038</x:v>
      </x:c>
      <x:c r="E2446" s="19" t="str">
        <x:v>银页栖书鸦</x:v>
      </x:c>
      <x:c r="F2446" s="19" t="str">
        <x:v>普通</x:v>
      </x:c>
      <x:c r="G2446" s="19" t="str">
        <x:v>材料独立候选</x:v>
      </x:c>
      <x:c r="H2446" s="19" t="str">
        <x:v>湖心月谱残章</x:v>
      </x:c>
      <x:c r="I2446" s="22" t="n">
        <x:v>1200000</x:v>
      </x:c>
      <x:c r="J2446" s="22" t="n">
        <x:v>1</x:v>
      </x:c>
      <x:c r="K2446" s="19" t="n">
        <x:v>1</x:v>
      </x:c>
      <x:c r="L2446" s="24" t="n">
        <x:v>27.839999999999996</x:v>
      </x:c>
      <x:c r="M2446" s="26" t="n">
        <x:v>0.1</x:v>
      </x:c>
      <x:c r="N2446" s="24" t="n">
        <x:v>72</x:v>
      </x:c>
      <x:c r="O2446" s="28" t="n">
        <x:f>MIN(1,L2446/I2446)</x:f>
        <x:v>0.000023199999999999998</x:v>
      </x:c>
      <x:c r="P2446" s="30" t="n">
        <x:f>O2446*J2446*(1+M2446)</x:f>
        <x:v>0.00002552</x:v>
      </x:c>
      <x:c r="Q2446" s="30" t="n">
        <x:f>P2446*N2446</x:f>
        <x:v>0.00183744</x:v>
      </x:c>
      <x:c r="R2446" s="19" t="str">
        <x:v>独立判定</x:v>
      </x:c>
    </x:row>
    <x:row r="2447" ht="19" customHeight="1">
      <x:c r="A2447" s="19" t="str">
        <x:v>D02443</x:v>
      </x:c>
      <x:c r="B2447" s="19" t="n">
        <x:v>5</x:v>
      </x:c>
      <x:c r="C2447" s="19" t="n">
        <x:v>4</x:v>
      </x:c>
      <x:c r="D2447" s="19" t="str">
        <x:v>C05-M038</x:v>
      </x:c>
      <x:c r="E2447" s="19" t="str">
        <x:v>银页栖书鸦</x:v>
      </x:c>
      <x:c r="F2447" s="19" t="str">
        <x:v>普通</x:v>
      </x:c>
      <x:c r="G2447" s="19" t="str">
        <x:v>材料独立候选</x:v>
      </x:c>
      <x:c r="H2447" s="19" t="str">
        <x:v>野兽骨片</x:v>
      </x:c>
      <x:c r="I2447" s="22" t="n">
        <x:v>150</x:v>
      </x:c>
      <x:c r="J2447" s="22" t="n">
        <x:v>3</x:v>
      </x:c>
      <x:c r="K2447" s="19" t="n">
        <x:v>1</x:v>
      </x:c>
      <x:c r="L2447" s="24" t="n">
        <x:v>27.839999999999996</x:v>
      </x:c>
      <x:c r="M2447" s="26" t="n">
        <x:v>0.1</x:v>
      </x:c>
      <x:c r="N2447" s="24" t="n">
        <x:v>72</x:v>
      </x:c>
      <x:c r="O2447" s="28" t="n">
        <x:f>MIN(1,L2447/I2447)</x:f>
        <x:v>0.1856</x:v>
      </x:c>
      <x:c r="P2447" s="30" t="n">
        <x:f>O2447*J2447*(1+M2447)</x:f>
        <x:v>0.61248</x:v>
      </x:c>
      <x:c r="Q2447" s="30" t="n">
        <x:f>P2447*N2447</x:f>
        <x:v>44.09856</x:v>
      </x:c>
      <x:c r="R2447" s="19" t="str">
        <x:v>独立判定</x:v>
      </x:c>
    </x:row>
    <x:row r="2448" ht="19" customHeight="1">
      <x:c r="A2448" s="19" t="str">
        <x:v>D02444</x:v>
      </x:c>
      <x:c r="B2448" s="19" t="n">
        <x:v>5</x:v>
      </x:c>
      <x:c r="C2448" s="19" t="n">
        <x:v>4</x:v>
      </x:c>
      <x:c r="D2448" s="19" t="str">
        <x:v>C05-M038</x:v>
      </x:c>
      <x:c r="E2448" s="19" t="str">
        <x:v>银页栖书鸦</x:v>
      </x:c>
      <x:c r="F2448" s="19" t="str">
        <x:v>普通</x:v>
      </x:c>
      <x:c r="G2448" s="19" t="str">
        <x:v>材料独立候选</x:v>
      </x:c>
      <x:c r="H2448" s="19" t="str">
        <x:v>技能残页</x:v>
      </x:c>
      <x:c r="I2448" s="22" t="n">
        <x:v>4000</x:v>
      </x:c>
      <x:c r="J2448" s="22" t="n">
        <x:v>1</x:v>
      </x:c>
      <x:c r="K2448" s="19" t="n">
        <x:v>1</x:v>
      </x:c>
      <x:c r="L2448" s="24" t="n">
        <x:v>27.839999999999996</x:v>
      </x:c>
      <x:c r="M2448" s="26" t="n">
        <x:v>0.1</x:v>
      </x:c>
      <x:c r="N2448" s="24" t="n">
        <x:v>72</x:v>
      </x:c>
      <x:c r="O2448" s="28" t="n">
        <x:f>MIN(1,L2448/I2448)</x:f>
        <x:v>0.006959999999999999</x:v>
      </x:c>
      <x:c r="P2448" s="30" t="n">
        <x:f>O2448*J2448*(1+M2448)</x:f>
        <x:v>0.007656</x:v>
      </x:c>
      <x:c r="Q2448" s="30" t="n">
        <x:f>P2448*N2448</x:f>
        <x:v>0.5512319999999999</x:v>
      </x:c>
      <x:c r="R2448" s="19" t="str">
        <x:v>独立判定</x:v>
      </x:c>
    </x:row>
    <x:row r="2449" ht="19" customHeight="1">
      <x:c r="A2449" s="19" t="str">
        <x:v>D02445</x:v>
      </x:c>
      <x:c r="B2449" s="19" t="n">
        <x:v>5</x:v>
      </x:c>
      <x:c r="C2449" s="19" t="n">
        <x:v>4</x:v>
      </x:c>
      <x:c r="D2449" s="19" t="str">
        <x:v>C05-M038</x:v>
      </x:c>
      <x:c r="E2449" s="19" t="str">
        <x:v>银页栖书鸦</x:v>
      </x:c>
      <x:c r="F2449" s="19" t="str">
        <x:v>普通</x:v>
      </x:c>
      <x:c r="G2449" s="19" t="str">
        <x:v>材料独立候选</x:v>
      </x:c>
      <x:c r="H2449" s="19" t="str">
        <x:v>小卢恩</x:v>
      </x:c>
      <x:c r="I2449" s="22" t="n">
        <x:v>8000</x:v>
      </x:c>
      <x:c r="J2449" s="22" t="n">
        <x:v>1</x:v>
      </x:c>
      <x:c r="K2449" s="19" t="n">
        <x:v>1</x:v>
      </x:c>
      <x:c r="L2449" s="24" t="n">
        <x:v>27.839999999999996</x:v>
      </x:c>
      <x:c r="M2449" s="26" t="n">
        <x:v>0.1</x:v>
      </x:c>
      <x:c r="N2449" s="24" t="n">
        <x:v>72</x:v>
      </x:c>
      <x:c r="O2449" s="28" t="n">
        <x:f>MIN(1,L2449/I2449)</x:f>
        <x:v>0.0034799999999999996</x:v>
      </x:c>
      <x:c r="P2449" s="30" t="n">
        <x:f>O2449*J2449*(1+M2449)</x:f>
        <x:v>0.003828</x:v>
      </x:c>
      <x:c r="Q2449" s="30" t="n">
        <x:f>P2449*N2449</x:f>
        <x:v>0.27561599999999997</x:v>
      </x:c>
      <x:c r="R2449" s="19" t="str">
        <x:v>独立判定</x:v>
      </x:c>
    </x:row>
    <x:row r="2450" ht="19" customHeight="1">
      <x:c r="A2450" s="19" t="str">
        <x:v>D02446</x:v>
      </x:c>
      <x:c r="B2450" s="19" t="n">
        <x:v>5</x:v>
      </x:c>
      <x:c r="C2450" s="19" t="n">
        <x:v>4</x:v>
      </x:c>
      <x:c r="D2450" s="19" t="str">
        <x:v>C05-M038</x:v>
      </x:c>
      <x:c r="E2450" s="19" t="str">
        <x:v>银页栖书鸦</x:v>
      </x:c>
      <x:c r="F2450" s="19" t="str">
        <x:v>普通</x:v>
      </x:c>
      <x:c r="G2450" s="19" t="str">
        <x:v>六神器公共池</x:v>
      </x:c>
      <x:c r="H2450" s="19" t="str">
        <x:v>POOL006</x:v>
      </x:c>
      <x:c r="I2450" s="22" t="n">
        <x:v>20000000</x:v>
      </x:c>
      <x:c r="J2450" s="22" t="n">
        <x:v>1</x:v>
      </x:c>
      <x:c r="K2450" s="19" t="n">
        <x:v>6</x:v>
      </x:c>
      <x:c r="L2450" s="24" t="n">
        <x:v>27.839999999999996</x:v>
      </x:c>
      <x:c r="M2450" s="26" t="n">
        <x:v>0.1</x:v>
      </x:c>
      <x:c r="N2450" s="24" t="n">
        <x:v>72</x:v>
      </x:c>
      <x:c r="O2450" s="28" t="n">
        <x:f>MIN(1,L2450/I2450)</x:f>
        <x:v>0.0000013919999999999998</x:v>
      </x:c>
      <x:c r="P2450" s="30" t="n">
        <x:f>O2450*J2450*(1+M2450)</x:f>
        <x:v>0.0000015311999999999998</x:v>
      </x:c>
      <x:c r="Q2450" s="30" t="n">
        <x:f>P2450*N2450</x:f>
        <x:v>0.00011024639999999999</x:v>
      </x:c>
      <x:c r="R2450" s="19" t="str">
        <x:v>六选一；非6个独立爆率</x:v>
      </x:c>
    </x:row>
    <x:row r="2451" ht="19" customHeight="1">
      <x:c r="A2451" s="19" t="str">
        <x:v>D02447</x:v>
      </x:c>
      <x:c r="B2451" s="19" t="n">
        <x:v>5</x:v>
      </x:c>
      <x:c r="C2451" s="19" t="n">
        <x:v>4</x:v>
      </x:c>
      <x:c r="D2451" s="19" t="str">
        <x:v>C05-M039</x:v>
      </x:c>
      <x:c r="E2451" s="19" t="str">
        <x:v>禁书噤语灯</x:v>
      </x:c>
      <x:c r="F2451" s="19" t="str">
        <x:v>普通</x:v>
      </x:c>
      <x:c r="G2451" s="19" t="str">
        <x:v>自身专属</x:v>
      </x:c>
      <x:c r="H2451" s="19" t="str">
        <x:v>噤语灯芯坠</x:v>
      </x:c>
      <x:c r="I2451" s="22" t="n">
        <x:v>2000</x:v>
      </x:c>
      <x:c r="J2451" s="22" t="n">
        <x:v>1</x:v>
      </x:c>
      <x:c r="K2451" s="19" t="n">
        <x:v>1</x:v>
      </x:c>
      <x:c r="L2451" s="24" t="n">
        <x:v>27.839999999999996</x:v>
      </x:c>
      <x:c r="M2451" s="26" t="n">
        <x:v>0.1</x:v>
      </x:c>
      <x:c r="N2451" s="24" t="n">
        <x:v>72</x:v>
      </x:c>
      <x:c r="O2451" s="28" t="n">
        <x:f>MIN(1,L2451/I2451)</x:f>
        <x:v>0.013919999999999998</x:v>
      </x:c>
      <x:c r="P2451" s="30" t="n">
        <x:f>O2451*J2451*(1+M2451)</x:f>
        <x:v>0.015312</x:v>
      </x:c>
      <x:c r="Q2451" s="30" t="n">
        <x:f>P2451*N2451</x:f>
        <x:v>1.1024639999999999</x:v>
      </x:c>
      <x:c r="R2451" s="19" t="str">
        <x:v>独立判定</x:v>
      </x:c>
    </x:row>
    <x:row r="2452" ht="19" customHeight="1">
      <x:c r="A2452" s="19" t="str">
        <x:v>D02448</x:v>
      </x:c>
      <x:c r="B2452" s="19" t="n">
        <x:v>5</x:v>
      </x:c>
      <x:c r="C2452" s="19" t="n">
        <x:v>4</x:v>
      </x:c>
      <x:c r="D2452" s="19" t="str">
        <x:v>C05-M039</x:v>
      </x:c>
      <x:c r="E2452" s="19" t="str">
        <x:v>禁书噤语灯</x:v>
      </x:c>
      <x:c r="F2452" s="19" t="str">
        <x:v>普通</x:v>
      </x:c>
      <x:c r="G2452" s="19" t="str">
        <x:v>材料独立候选</x:v>
      </x:c>
      <x:c r="H2452" s="19" t="str">
        <x:v>辉石碎晶</x:v>
      </x:c>
      <x:c r="I2452" s="22" t="n">
        <x:v>800</x:v>
      </x:c>
      <x:c r="J2452" s="22" t="n">
        <x:v>8</x:v>
      </x:c>
      <x:c r="K2452" s="19" t="n">
        <x:v>1</x:v>
      </x:c>
      <x:c r="L2452" s="24" t="n">
        <x:v>27.839999999999996</x:v>
      </x:c>
      <x:c r="M2452" s="26" t="n">
        <x:v>0.1</x:v>
      </x:c>
      <x:c r="N2452" s="24" t="n">
        <x:v>72</x:v>
      </x:c>
      <x:c r="O2452" s="28" t="n">
        <x:f>MIN(1,L2452/I2452)</x:f>
        <x:v>0.0348</x:v>
      </x:c>
      <x:c r="P2452" s="30" t="n">
        <x:f>O2452*J2452*(1+M2452)</x:f>
        <x:v>0.30624</x:v>
      </x:c>
      <x:c r="Q2452" s="30" t="n">
        <x:f>P2452*N2452</x:f>
        <x:v>22.04928</x:v>
      </x:c>
      <x:c r="R2452" s="19" t="str">
        <x:v>独立判定</x:v>
      </x:c>
    </x:row>
    <x:row r="2453" ht="19" customHeight="1">
      <x:c r="A2453" s="19" t="str">
        <x:v>D02449</x:v>
      </x:c>
      <x:c r="B2453" s="19" t="n">
        <x:v>5</x:v>
      </x:c>
      <x:c r="C2453" s="19" t="n">
        <x:v>4</x:v>
      </x:c>
      <x:c r="D2453" s="19" t="str">
        <x:v>C05-M039</x:v>
      </x:c>
      <x:c r="E2453" s="19" t="str">
        <x:v>禁书噤语灯</x:v>
      </x:c>
      <x:c r="F2453" s="19" t="str">
        <x:v>普通</x:v>
      </x:c>
      <x:c r="G2453" s="19" t="str">
        <x:v>材料独立候选</x:v>
      </x:c>
      <x:c r="H2453" s="19" t="str">
        <x:v>雾月星砂</x:v>
      </x:c>
      <x:c r="I2453" s="22" t="n">
        <x:v>1200</x:v>
      </x:c>
      <x:c r="J2453" s="22" t="n">
        <x:v>1</x:v>
      </x:c>
      <x:c r="K2453" s="19" t="n">
        <x:v>1</x:v>
      </x:c>
      <x:c r="L2453" s="24" t="n">
        <x:v>27.839999999999996</x:v>
      </x:c>
      <x:c r="M2453" s="26" t="n">
        <x:v>0.1</x:v>
      </x:c>
      <x:c r="N2453" s="24" t="n">
        <x:v>72</x:v>
      </x:c>
      <x:c r="O2453" s="28" t="n">
        <x:f>MIN(1,L2453/I2453)</x:f>
        <x:v>0.0232</x:v>
      </x:c>
      <x:c r="P2453" s="30" t="n">
        <x:f>O2453*J2453*(1+M2453)</x:f>
        <x:v>0.02552</x:v>
      </x:c>
      <x:c r="Q2453" s="30" t="n">
        <x:f>P2453*N2453</x:f>
        <x:v>1.83744</x:v>
      </x:c>
      <x:c r="R2453" s="19" t="str">
        <x:v>独立判定</x:v>
      </x:c>
    </x:row>
    <x:row r="2454" ht="19" customHeight="1">
      <x:c r="A2454" s="19" t="str">
        <x:v>D02450</x:v>
      </x:c>
      <x:c r="B2454" s="19" t="n">
        <x:v>5</x:v>
      </x:c>
      <x:c r="C2454" s="19" t="n">
        <x:v>4</x:v>
      </x:c>
      <x:c r="D2454" s="19" t="str">
        <x:v>C05-M039</x:v>
      </x:c>
      <x:c r="E2454" s="19" t="str">
        <x:v>禁书噤语灯</x:v>
      </x:c>
      <x:c r="F2454" s="19" t="str">
        <x:v>普通</x:v>
      </x:c>
      <x:c r="G2454" s="19" t="str">
        <x:v>材料独立候选</x:v>
      </x:c>
      <x:c r="H2454" s="19" t="str">
        <x:v>湖心月谱残章</x:v>
      </x:c>
      <x:c r="I2454" s="22" t="n">
        <x:v>1200000</x:v>
      </x:c>
      <x:c r="J2454" s="22" t="n">
        <x:v>1</x:v>
      </x:c>
      <x:c r="K2454" s="19" t="n">
        <x:v>1</x:v>
      </x:c>
      <x:c r="L2454" s="24" t="n">
        <x:v>27.839999999999996</x:v>
      </x:c>
      <x:c r="M2454" s="26" t="n">
        <x:v>0.1</x:v>
      </x:c>
      <x:c r="N2454" s="24" t="n">
        <x:v>72</x:v>
      </x:c>
      <x:c r="O2454" s="28" t="n">
        <x:f>MIN(1,L2454/I2454)</x:f>
        <x:v>0.000023199999999999998</x:v>
      </x:c>
      <x:c r="P2454" s="30" t="n">
        <x:f>O2454*J2454*(1+M2454)</x:f>
        <x:v>0.00002552</x:v>
      </x:c>
      <x:c r="Q2454" s="30" t="n">
        <x:f>P2454*N2454</x:f>
        <x:v>0.00183744</x:v>
      </x:c>
      <x:c r="R2454" s="19" t="str">
        <x:v>独立判定</x:v>
      </x:c>
    </x:row>
    <x:row r="2455" ht="19" customHeight="1">
      <x:c r="A2455" s="19" t="str">
        <x:v>D02451</x:v>
      </x:c>
      <x:c r="B2455" s="19" t="n">
        <x:v>5</x:v>
      </x:c>
      <x:c r="C2455" s="19" t="n">
        <x:v>4</x:v>
      </x:c>
      <x:c r="D2455" s="19" t="str">
        <x:v>C05-M039</x:v>
      </x:c>
      <x:c r="E2455" s="19" t="str">
        <x:v>禁书噤语灯</x:v>
      </x:c>
      <x:c r="F2455" s="19" t="str">
        <x:v>普通</x:v>
      </x:c>
      <x:c r="G2455" s="19" t="str">
        <x:v>材料独立候选</x:v>
      </x:c>
      <x:c r="H2455" s="19" t="str">
        <x:v>野兽骨片</x:v>
      </x:c>
      <x:c r="I2455" s="22" t="n">
        <x:v>150</x:v>
      </x:c>
      <x:c r="J2455" s="22" t="n">
        <x:v>3</x:v>
      </x:c>
      <x:c r="K2455" s="19" t="n">
        <x:v>1</x:v>
      </x:c>
      <x:c r="L2455" s="24" t="n">
        <x:v>27.839999999999996</x:v>
      </x:c>
      <x:c r="M2455" s="26" t="n">
        <x:v>0.1</x:v>
      </x:c>
      <x:c r="N2455" s="24" t="n">
        <x:v>72</x:v>
      </x:c>
      <x:c r="O2455" s="28" t="n">
        <x:f>MIN(1,L2455/I2455)</x:f>
        <x:v>0.1856</x:v>
      </x:c>
      <x:c r="P2455" s="30" t="n">
        <x:f>O2455*J2455*(1+M2455)</x:f>
        <x:v>0.61248</x:v>
      </x:c>
      <x:c r="Q2455" s="30" t="n">
        <x:f>P2455*N2455</x:f>
        <x:v>44.09856</x:v>
      </x:c>
      <x:c r="R2455" s="19" t="str">
        <x:v>独立判定</x:v>
      </x:c>
    </x:row>
    <x:row r="2456" ht="19" customHeight="1">
      <x:c r="A2456" s="19" t="str">
        <x:v>D02452</x:v>
      </x:c>
      <x:c r="B2456" s="19" t="n">
        <x:v>5</x:v>
      </x:c>
      <x:c r="C2456" s="19" t="n">
        <x:v>4</x:v>
      </x:c>
      <x:c r="D2456" s="19" t="str">
        <x:v>C05-M039</x:v>
      </x:c>
      <x:c r="E2456" s="19" t="str">
        <x:v>禁书噤语灯</x:v>
      </x:c>
      <x:c r="F2456" s="19" t="str">
        <x:v>普通</x:v>
      </x:c>
      <x:c r="G2456" s="19" t="str">
        <x:v>材料独立候选</x:v>
      </x:c>
      <x:c r="H2456" s="19" t="str">
        <x:v>技能残页</x:v>
      </x:c>
      <x:c r="I2456" s="22" t="n">
        <x:v>4000</x:v>
      </x:c>
      <x:c r="J2456" s="22" t="n">
        <x:v>1</x:v>
      </x:c>
      <x:c r="K2456" s="19" t="n">
        <x:v>1</x:v>
      </x:c>
      <x:c r="L2456" s="24" t="n">
        <x:v>27.839999999999996</x:v>
      </x:c>
      <x:c r="M2456" s="26" t="n">
        <x:v>0.1</x:v>
      </x:c>
      <x:c r="N2456" s="24" t="n">
        <x:v>72</x:v>
      </x:c>
      <x:c r="O2456" s="28" t="n">
        <x:f>MIN(1,L2456/I2456)</x:f>
        <x:v>0.006959999999999999</x:v>
      </x:c>
      <x:c r="P2456" s="30" t="n">
        <x:f>O2456*J2456*(1+M2456)</x:f>
        <x:v>0.007656</x:v>
      </x:c>
      <x:c r="Q2456" s="30" t="n">
        <x:f>P2456*N2456</x:f>
        <x:v>0.5512319999999999</x:v>
      </x:c>
      <x:c r="R2456" s="19" t="str">
        <x:v>独立判定</x:v>
      </x:c>
    </x:row>
    <x:row r="2457" ht="19" customHeight="1">
      <x:c r="A2457" s="19" t="str">
        <x:v>D02453</x:v>
      </x:c>
      <x:c r="B2457" s="19" t="n">
        <x:v>5</x:v>
      </x:c>
      <x:c r="C2457" s="19" t="n">
        <x:v>4</x:v>
      </x:c>
      <x:c r="D2457" s="19" t="str">
        <x:v>C05-M039</x:v>
      </x:c>
      <x:c r="E2457" s="19" t="str">
        <x:v>禁书噤语灯</x:v>
      </x:c>
      <x:c r="F2457" s="19" t="str">
        <x:v>普通</x:v>
      </x:c>
      <x:c r="G2457" s="19" t="str">
        <x:v>材料独立候选</x:v>
      </x:c>
      <x:c r="H2457" s="19" t="str">
        <x:v>小卢恩</x:v>
      </x:c>
      <x:c r="I2457" s="22" t="n">
        <x:v>8000</x:v>
      </x:c>
      <x:c r="J2457" s="22" t="n">
        <x:v>1</x:v>
      </x:c>
      <x:c r="K2457" s="19" t="n">
        <x:v>1</x:v>
      </x:c>
      <x:c r="L2457" s="24" t="n">
        <x:v>27.839999999999996</x:v>
      </x:c>
      <x:c r="M2457" s="26" t="n">
        <x:v>0.1</x:v>
      </x:c>
      <x:c r="N2457" s="24" t="n">
        <x:v>72</x:v>
      </x:c>
      <x:c r="O2457" s="28" t="n">
        <x:f>MIN(1,L2457/I2457)</x:f>
        <x:v>0.0034799999999999996</x:v>
      </x:c>
      <x:c r="P2457" s="30" t="n">
        <x:f>O2457*J2457*(1+M2457)</x:f>
        <x:v>0.003828</x:v>
      </x:c>
      <x:c r="Q2457" s="30" t="n">
        <x:f>P2457*N2457</x:f>
        <x:v>0.27561599999999997</x:v>
      </x:c>
      <x:c r="R2457" s="19" t="str">
        <x:v>独立判定</x:v>
      </x:c>
    </x:row>
    <x:row r="2458" ht="19" customHeight="1">
      <x:c r="A2458" s="19" t="str">
        <x:v>D02454</x:v>
      </x:c>
      <x:c r="B2458" s="19" t="n">
        <x:v>5</x:v>
      </x:c>
      <x:c r="C2458" s="19" t="n">
        <x:v>4</x:v>
      </x:c>
      <x:c r="D2458" s="19" t="str">
        <x:v>C05-M039</x:v>
      </x:c>
      <x:c r="E2458" s="19" t="str">
        <x:v>禁书噤语灯</x:v>
      </x:c>
      <x:c r="F2458" s="19" t="str">
        <x:v>普通</x:v>
      </x:c>
      <x:c r="G2458" s="19" t="str">
        <x:v>六神器公共池</x:v>
      </x:c>
      <x:c r="H2458" s="19" t="str">
        <x:v>POOL006</x:v>
      </x:c>
      <x:c r="I2458" s="22" t="n">
        <x:v>20000000</x:v>
      </x:c>
      <x:c r="J2458" s="22" t="n">
        <x:v>1</x:v>
      </x:c>
      <x:c r="K2458" s="19" t="n">
        <x:v>6</x:v>
      </x:c>
      <x:c r="L2458" s="24" t="n">
        <x:v>27.839999999999996</x:v>
      </x:c>
      <x:c r="M2458" s="26" t="n">
        <x:v>0.1</x:v>
      </x:c>
      <x:c r="N2458" s="24" t="n">
        <x:v>72</x:v>
      </x:c>
      <x:c r="O2458" s="28" t="n">
        <x:f>MIN(1,L2458/I2458)</x:f>
        <x:v>0.0000013919999999999998</x:v>
      </x:c>
      <x:c r="P2458" s="30" t="n">
        <x:f>O2458*J2458*(1+M2458)</x:f>
        <x:v>0.0000015311999999999998</x:v>
      </x:c>
      <x:c r="Q2458" s="30" t="n">
        <x:f>P2458*N2458</x:f>
        <x:v>0.00011024639999999999</x:v>
      </x:c>
      <x:c r="R2458" s="19" t="str">
        <x:v>六选一；非6个独立爆率</x:v>
      </x:c>
    </x:row>
    <x:row r="2459" ht="19" customHeight="1">
      <x:c r="A2459" s="19" t="str">
        <x:v>D02455</x:v>
      </x:c>
      <x:c r="B2459" s="19" t="n">
        <x:v>5</x:v>
      </x:c>
      <x:c r="C2459" s="19" t="n">
        <x:v>4</x:v>
      </x:c>
      <x:c r="D2459" s="19" t="str">
        <x:v>C05-M040</x:v>
      </x:c>
      <x:c r="E2459" s="19" t="str">
        <x:v>回廊巡卷傀</x:v>
      </x:c>
      <x:c r="F2459" s="19" t="str">
        <x:v>普通</x:v>
      </x:c>
      <x:c r="G2459" s="19" t="str">
        <x:v>自身专属</x:v>
      </x:c>
      <x:c r="H2459" s="19" t="str">
        <x:v>巡卷傀书盾</x:v>
      </x:c>
      <x:c r="I2459" s="22" t="n">
        <x:v>2000</x:v>
      </x:c>
      <x:c r="J2459" s="22" t="n">
        <x:v>1</x:v>
      </x:c>
      <x:c r="K2459" s="19" t="n">
        <x:v>1</x:v>
      </x:c>
      <x:c r="L2459" s="24" t="n">
        <x:v>27.839999999999996</x:v>
      </x:c>
      <x:c r="M2459" s="26" t="n">
        <x:v>0.1</x:v>
      </x:c>
      <x:c r="N2459" s="24" t="n">
        <x:v>72</x:v>
      </x:c>
      <x:c r="O2459" s="28" t="n">
        <x:f>MIN(1,L2459/I2459)</x:f>
        <x:v>0.013919999999999998</x:v>
      </x:c>
      <x:c r="P2459" s="30" t="n">
        <x:f>O2459*J2459*(1+M2459)</x:f>
        <x:v>0.015312</x:v>
      </x:c>
      <x:c r="Q2459" s="30" t="n">
        <x:f>P2459*N2459</x:f>
        <x:v>1.1024639999999999</x:v>
      </x:c>
      <x:c r="R2459" s="19" t="str">
        <x:v>独立判定</x:v>
      </x:c>
    </x:row>
    <x:row r="2460" ht="19" customHeight="1">
      <x:c r="A2460" s="19" t="str">
        <x:v>D02456</x:v>
      </x:c>
      <x:c r="B2460" s="19" t="n">
        <x:v>5</x:v>
      </x:c>
      <x:c r="C2460" s="19" t="n">
        <x:v>4</x:v>
      </x:c>
      <x:c r="D2460" s="19" t="str">
        <x:v>C05-M040</x:v>
      </x:c>
      <x:c r="E2460" s="19" t="str">
        <x:v>回廊巡卷傀</x:v>
      </x:c>
      <x:c r="F2460" s="19" t="str">
        <x:v>普通</x:v>
      </x:c>
      <x:c r="G2460" s="19" t="str">
        <x:v>材料独立候选</x:v>
      </x:c>
      <x:c r="H2460" s="19" t="str">
        <x:v>辉石碎晶</x:v>
      </x:c>
      <x:c r="I2460" s="22" t="n">
        <x:v>800</x:v>
      </x:c>
      <x:c r="J2460" s="22" t="n">
        <x:v>8</x:v>
      </x:c>
      <x:c r="K2460" s="19" t="n">
        <x:v>1</x:v>
      </x:c>
      <x:c r="L2460" s="24" t="n">
        <x:v>27.839999999999996</x:v>
      </x:c>
      <x:c r="M2460" s="26" t="n">
        <x:v>0.1</x:v>
      </x:c>
      <x:c r="N2460" s="24" t="n">
        <x:v>72</x:v>
      </x:c>
      <x:c r="O2460" s="28" t="n">
        <x:f>MIN(1,L2460/I2460)</x:f>
        <x:v>0.0348</x:v>
      </x:c>
      <x:c r="P2460" s="30" t="n">
        <x:f>O2460*J2460*(1+M2460)</x:f>
        <x:v>0.30624</x:v>
      </x:c>
      <x:c r="Q2460" s="30" t="n">
        <x:f>P2460*N2460</x:f>
        <x:v>22.04928</x:v>
      </x:c>
      <x:c r="R2460" s="19" t="str">
        <x:v>独立判定</x:v>
      </x:c>
    </x:row>
    <x:row r="2461" ht="19" customHeight="1">
      <x:c r="A2461" s="19" t="str">
        <x:v>D02457</x:v>
      </x:c>
      <x:c r="B2461" s="19" t="n">
        <x:v>5</x:v>
      </x:c>
      <x:c r="C2461" s="19" t="n">
        <x:v>4</x:v>
      </x:c>
      <x:c r="D2461" s="19" t="str">
        <x:v>C05-M040</x:v>
      </x:c>
      <x:c r="E2461" s="19" t="str">
        <x:v>回廊巡卷傀</x:v>
      </x:c>
      <x:c r="F2461" s="19" t="str">
        <x:v>普通</x:v>
      </x:c>
      <x:c r="G2461" s="19" t="str">
        <x:v>材料独立候选</x:v>
      </x:c>
      <x:c r="H2461" s="19" t="str">
        <x:v>雾月星砂</x:v>
      </x:c>
      <x:c r="I2461" s="22" t="n">
        <x:v>1200</x:v>
      </x:c>
      <x:c r="J2461" s="22" t="n">
        <x:v>1</x:v>
      </x:c>
      <x:c r="K2461" s="19" t="n">
        <x:v>1</x:v>
      </x:c>
      <x:c r="L2461" s="24" t="n">
        <x:v>27.839999999999996</x:v>
      </x:c>
      <x:c r="M2461" s="26" t="n">
        <x:v>0.1</x:v>
      </x:c>
      <x:c r="N2461" s="24" t="n">
        <x:v>72</x:v>
      </x:c>
      <x:c r="O2461" s="28" t="n">
        <x:f>MIN(1,L2461/I2461)</x:f>
        <x:v>0.0232</x:v>
      </x:c>
      <x:c r="P2461" s="30" t="n">
        <x:f>O2461*J2461*(1+M2461)</x:f>
        <x:v>0.02552</x:v>
      </x:c>
      <x:c r="Q2461" s="30" t="n">
        <x:f>P2461*N2461</x:f>
        <x:v>1.83744</x:v>
      </x:c>
      <x:c r="R2461" s="19" t="str">
        <x:v>独立判定</x:v>
      </x:c>
    </x:row>
    <x:row r="2462" ht="19" customHeight="1">
      <x:c r="A2462" s="19" t="str">
        <x:v>D02458</x:v>
      </x:c>
      <x:c r="B2462" s="19" t="n">
        <x:v>5</x:v>
      </x:c>
      <x:c r="C2462" s="19" t="n">
        <x:v>4</x:v>
      </x:c>
      <x:c r="D2462" s="19" t="str">
        <x:v>C05-M040</x:v>
      </x:c>
      <x:c r="E2462" s="19" t="str">
        <x:v>回廊巡卷傀</x:v>
      </x:c>
      <x:c r="F2462" s="19" t="str">
        <x:v>普通</x:v>
      </x:c>
      <x:c r="G2462" s="19" t="str">
        <x:v>材料独立候选</x:v>
      </x:c>
      <x:c r="H2462" s="19" t="str">
        <x:v>湖心月谱残章</x:v>
      </x:c>
      <x:c r="I2462" s="22" t="n">
        <x:v>1200000</x:v>
      </x:c>
      <x:c r="J2462" s="22" t="n">
        <x:v>1</x:v>
      </x:c>
      <x:c r="K2462" s="19" t="n">
        <x:v>1</x:v>
      </x:c>
      <x:c r="L2462" s="24" t="n">
        <x:v>27.839999999999996</x:v>
      </x:c>
      <x:c r="M2462" s="26" t="n">
        <x:v>0.1</x:v>
      </x:c>
      <x:c r="N2462" s="24" t="n">
        <x:v>72</x:v>
      </x:c>
      <x:c r="O2462" s="28" t="n">
        <x:f>MIN(1,L2462/I2462)</x:f>
        <x:v>0.000023199999999999998</x:v>
      </x:c>
      <x:c r="P2462" s="30" t="n">
        <x:f>O2462*J2462*(1+M2462)</x:f>
        <x:v>0.00002552</x:v>
      </x:c>
      <x:c r="Q2462" s="30" t="n">
        <x:f>P2462*N2462</x:f>
        <x:v>0.00183744</x:v>
      </x:c>
      <x:c r="R2462" s="19" t="str">
        <x:v>独立判定</x:v>
      </x:c>
    </x:row>
    <x:row r="2463" ht="19" customHeight="1">
      <x:c r="A2463" s="19" t="str">
        <x:v>D02459</x:v>
      </x:c>
      <x:c r="B2463" s="19" t="n">
        <x:v>5</x:v>
      </x:c>
      <x:c r="C2463" s="19" t="n">
        <x:v>4</x:v>
      </x:c>
      <x:c r="D2463" s="19" t="str">
        <x:v>C05-M040</x:v>
      </x:c>
      <x:c r="E2463" s="19" t="str">
        <x:v>回廊巡卷傀</x:v>
      </x:c>
      <x:c r="F2463" s="19" t="str">
        <x:v>普通</x:v>
      </x:c>
      <x:c r="G2463" s="19" t="str">
        <x:v>材料独立候选</x:v>
      </x:c>
      <x:c r="H2463" s="19" t="str">
        <x:v>野兽骨片</x:v>
      </x:c>
      <x:c r="I2463" s="22" t="n">
        <x:v>150</x:v>
      </x:c>
      <x:c r="J2463" s="22" t="n">
        <x:v>3</x:v>
      </x:c>
      <x:c r="K2463" s="19" t="n">
        <x:v>1</x:v>
      </x:c>
      <x:c r="L2463" s="24" t="n">
        <x:v>27.839999999999996</x:v>
      </x:c>
      <x:c r="M2463" s="26" t="n">
        <x:v>0.1</x:v>
      </x:c>
      <x:c r="N2463" s="24" t="n">
        <x:v>72</x:v>
      </x:c>
      <x:c r="O2463" s="28" t="n">
        <x:f>MIN(1,L2463/I2463)</x:f>
        <x:v>0.1856</x:v>
      </x:c>
      <x:c r="P2463" s="30" t="n">
        <x:f>O2463*J2463*(1+M2463)</x:f>
        <x:v>0.61248</x:v>
      </x:c>
      <x:c r="Q2463" s="30" t="n">
        <x:f>P2463*N2463</x:f>
        <x:v>44.09856</x:v>
      </x:c>
      <x:c r="R2463" s="19" t="str">
        <x:v>独立判定</x:v>
      </x:c>
    </x:row>
    <x:row r="2464" ht="19" customHeight="1">
      <x:c r="A2464" s="19" t="str">
        <x:v>D02460</x:v>
      </x:c>
      <x:c r="B2464" s="19" t="n">
        <x:v>5</x:v>
      </x:c>
      <x:c r="C2464" s="19" t="n">
        <x:v>4</x:v>
      </x:c>
      <x:c r="D2464" s="19" t="str">
        <x:v>C05-M040</x:v>
      </x:c>
      <x:c r="E2464" s="19" t="str">
        <x:v>回廊巡卷傀</x:v>
      </x:c>
      <x:c r="F2464" s="19" t="str">
        <x:v>普通</x:v>
      </x:c>
      <x:c r="G2464" s="19" t="str">
        <x:v>材料独立候选</x:v>
      </x:c>
      <x:c r="H2464" s="19" t="str">
        <x:v>技能残页</x:v>
      </x:c>
      <x:c r="I2464" s="22" t="n">
        <x:v>4000</x:v>
      </x:c>
      <x:c r="J2464" s="22" t="n">
        <x:v>1</x:v>
      </x:c>
      <x:c r="K2464" s="19" t="n">
        <x:v>1</x:v>
      </x:c>
      <x:c r="L2464" s="24" t="n">
        <x:v>27.839999999999996</x:v>
      </x:c>
      <x:c r="M2464" s="26" t="n">
        <x:v>0.1</x:v>
      </x:c>
      <x:c r="N2464" s="24" t="n">
        <x:v>72</x:v>
      </x:c>
      <x:c r="O2464" s="28" t="n">
        <x:f>MIN(1,L2464/I2464)</x:f>
        <x:v>0.006959999999999999</x:v>
      </x:c>
      <x:c r="P2464" s="30" t="n">
        <x:f>O2464*J2464*(1+M2464)</x:f>
        <x:v>0.007656</x:v>
      </x:c>
      <x:c r="Q2464" s="30" t="n">
        <x:f>P2464*N2464</x:f>
        <x:v>0.5512319999999999</x:v>
      </x:c>
      <x:c r="R2464" s="19" t="str">
        <x:v>独立判定</x:v>
      </x:c>
    </x:row>
    <x:row r="2465" ht="19" customHeight="1">
      <x:c r="A2465" s="19" t="str">
        <x:v>D02461</x:v>
      </x:c>
      <x:c r="B2465" s="19" t="n">
        <x:v>5</x:v>
      </x:c>
      <x:c r="C2465" s="19" t="n">
        <x:v>4</x:v>
      </x:c>
      <x:c r="D2465" s="19" t="str">
        <x:v>C05-M040</x:v>
      </x:c>
      <x:c r="E2465" s="19" t="str">
        <x:v>回廊巡卷傀</x:v>
      </x:c>
      <x:c r="F2465" s="19" t="str">
        <x:v>普通</x:v>
      </x:c>
      <x:c r="G2465" s="19" t="str">
        <x:v>材料独立候选</x:v>
      </x:c>
      <x:c r="H2465" s="19" t="str">
        <x:v>小卢恩</x:v>
      </x:c>
      <x:c r="I2465" s="22" t="n">
        <x:v>8000</x:v>
      </x:c>
      <x:c r="J2465" s="22" t="n">
        <x:v>1</x:v>
      </x:c>
      <x:c r="K2465" s="19" t="n">
        <x:v>1</x:v>
      </x:c>
      <x:c r="L2465" s="24" t="n">
        <x:v>27.839999999999996</x:v>
      </x:c>
      <x:c r="M2465" s="26" t="n">
        <x:v>0.1</x:v>
      </x:c>
      <x:c r="N2465" s="24" t="n">
        <x:v>72</x:v>
      </x:c>
      <x:c r="O2465" s="28" t="n">
        <x:f>MIN(1,L2465/I2465)</x:f>
        <x:v>0.0034799999999999996</x:v>
      </x:c>
      <x:c r="P2465" s="30" t="n">
        <x:f>O2465*J2465*(1+M2465)</x:f>
        <x:v>0.003828</x:v>
      </x:c>
      <x:c r="Q2465" s="30" t="n">
        <x:f>P2465*N2465</x:f>
        <x:v>0.27561599999999997</x:v>
      </x:c>
      <x:c r="R2465" s="19" t="str">
        <x:v>独立判定</x:v>
      </x:c>
    </x:row>
    <x:row r="2466" ht="19" customHeight="1">
      <x:c r="A2466" s="19" t="str">
        <x:v>D02462</x:v>
      </x:c>
      <x:c r="B2466" s="19" t="n">
        <x:v>5</x:v>
      </x:c>
      <x:c r="C2466" s="19" t="n">
        <x:v>4</x:v>
      </x:c>
      <x:c r="D2466" s="19" t="str">
        <x:v>C05-M040</x:v>
      </x:c>
      <x:c r="E2466" s="19" t="str">
        <x:v>回廊巡卷傀</x:v>
      </x:c>
      <x:c r="F2466" s="19" t="str">
        <x:v>普通</x:v>
      </x:c>
      <x:c r="G2466" s="19" t="str">
        <x:v>六神器公共池</x:v>
      </x:c>
      <x:c r="H2466" s="19" t="str">
        <x:v>POOL006</x:v>
      </x:c>
      <x:c r="I2466" s="22" t="n">
        <x:v>20000000</x:v>
      </x:c>
      <x:c r="J2466" s="22" t="n">
        <x:v>1</x:v>
      </x:c>
      <x:c r="K2466" s="19" t="n">
        <x:v>6</x:v>
      </x:c>
      <x:c r="L2466" s="24" t="n">
        <x:v>27.839999999999996</x:v>
      </x:c>
      <x:c r="M2466" s="26" t="n">
        <x:v>0.1</x:v>
      </x:c>
      <x:c r="N2466" s="24" t="n">
        <x:v>72</x:v>
      </x:c>
      <x:c r="O2466" s="28" t="n">
        <x:f>MIN(1,L2466/I2466)</x:f>
        <x:v>0.0000013919999999999998</x:v>
      </x:c>
      <x:c r="P2466" s="30" t="n">
        <x:f>O2466*J2466*(1+M2466)</x:f>
        <x:v>0.0000015311999999999998</x:v>
      </x:c>
      <x:c r="Q2466" s="30" t="n">
        <x:f>P2466*N2466</x:f>
        <x:v>0.00011024639999999999</x:v>
      </x:c>
      <x:c r="R2466" s="19" t="str">
        <x:v>六选一；非6个独立爆率</x:v>
      </x:c>
    </x:row>
    <x:row r="2467" ht="19" customHeight="1">
      <x:c r="A2467" s="19" t="str">
        <x:v>D02463</x:v>
      </x:c>
      <x:c r="B2467" s="19" t="n">
        <x:v>5</x:v>
      </x:c>
      <x:c r="C2467" s="19" t="n">
        <x:v>4</x:v>
      </x:c>
      <x:c r="D2467" s="19" t="str">
        <x:v>C05-M041</x:v>
      </x:c>
      <x:c r="E2467" s="19" t="str">
        <x:v>藏书室墨潮蛭</x:v>
      </x:c>
      <x:c r="F2467" s="19" t="str">
        <x:v>普通</x:v>
      </x:c>
      <x:c r="G2467" s="19" t="str">
        <x:v>自身专属</x:v>
      </x:c>
      <x:c r="H2467" s="19" t="str">
        <x:v>墨潮藏页镯</x:v>
      </x:c>
      <x:c r="I2467" s="22" t="n">
        <x:v>2000</x:v>
      </x:c>
      <x:c r="J2467" s="22" t="n">
        <x:v>1</x:v>
      </x:c>
      <x:c r="K2467" s="19" t="n">
        <x:v>1</x:v>
      </x:c>
      <x:c r="L2467" s="24" t="n">
        <x:v>27.839999999999996</x:v>
      </x:c>
      <x:c r="M2467" s="26" t="n">
        <x:v>0.1</x:v>
      </x:c>
      <x:c r="N2467" s="24" t="n">
        <x:v>72</x:v>
      </x:c>
      <x:c r="O2467" s="28" t="n">
        <x:f>MIN(1,L2467/I2467)</x:f>
        <x:v>0.013919999999999998</x:v>
      </x:c>
      <x:c r="P2467" s="30" t="n">
        <x:f>O2467*J2467*(1+M2467)</x:f>
        <x:v>0.015312</x:v>
      </x:c>
      <x:c r="Q2467" s="30" t="n">
        <x:f>P2467*N2467</x:f>
        <x:v>1.1024639999999999</x:v>
      </x:c>
      <x:c r="R2467" s="19" t="str">
        <x:v>独立判定</x:v>
      </x:c>
    </x:row>
    <x:row r="2468" ht="19" customHeight="1">
      <x:c r="A2468" s="19" t="str">
        <x:v>D02464</x:v>
      </x:c>
      <x:c r="B2468" s="19" t="n">
        <x:v>5</x:v>
      </x:c>
      <x:c r="C2468" s="19" t="n">
        <x:v>4</x:v>
      </x:c>
      <x:c r="D2468" s="19" t="str">
        <x:v>C05-M041</x:v>
      </x:c>
      <x:c r="E2468" s="19" t="str">
        <x:v>藏书室墨潮蛭</x:v>
      </x:c>
      <x:c r="F2468" s="19" t="str">
        <x:v>普通</x:v>
      </x:c>
      <x:c r="G2468" s="19" t="str">
        <x:v>材料独立候选</x:v>
      </x:c>
      <x:c r="H2468" s="19" t="str">
        <x:v>辉石碎晶</x:v>
      </x:c>
      <x:c r="I2468" s="22" t="n">
        <x:v>800</x:v>
      </x:c>
      <x:c r="J2468" s="22" t="n">
        <x:v>8</x:v>
      </x:c>
      <x:c r="K2468" s="19" t="n">
        <x:v>1</x:v>
      </x:c>
      <x:c r="L2468" s="24" t="n">
        <x:v>27.839999999999996</x:v>
      </x:c>
      <x:c r="M2468" s="26" t="n">
        <x:v>0.1</x:v>
      </x:c>
      <x:c r="N2468" s="24" t="n">
        <x:v>72</x:v>
      </x:c>
      <x:c r="O2468" s="28" t="n">
        <x:f>MIN(1,L2468/I2468)</x:f>
        <x:v>0.0348</x:v>
      </x:c>
      <x:c r="P2468" s="30" t="n">
        <x:f>O2468*J2468*(1+M2468)</x:f>
        <x:v>0.30624</x:v>
      </x:c>
      <x:c r="Q2468" s="30" t="n">
        <x:f>P2468*N2468</x:f>
        <x:v>22.04928</x:v>
      </x:c>
      <x:c r="R2468" s="19" t="str">
        <x:v>独立判定</x:v>
      </x:c>
    </x:row>
    <x:row r="2469" ht="19" customHeight="1">
      <x:c r="A2469" s="19" t="str">
        <x:v>D02465</x:v>
      </x:c>
      <x:c r="B2469" s="19" t="n">
        <x:v>5</x:v>
      </x:c>
      <x:c r="C2469" s="19" t="n">
        <x:v>4</x:v>
      </x:c>
      <x:c r="D2469" s="19" t="str">
        <x:v>C05-M041</x:v>
      </x:c>
      <x:c r="E2469" s="19" t="str">
        <x:v>藏书室墨潮蛭</x:v>
      </x:c>
      <x:c r="F2469" s="19" t="str">
        <x:v>普通</x:v>
      </x:c>
      <x:c r="G2469" s="19" t="str">
        <x:v>材料独立候选</x:v>
      </x:c>
      <x:c r="H2469" s="19" t="str">
        <x:v>雾月星砂</x:v>
      </x:c>
      <x:c r="I2469" s="22" t="n">
        <x:v>1200</x:v>
      </x:c>
      <x:c r="J2469" s="22" t="n">
        <x:v>1</x:v>
      </x:c>
      <x:c r="K2469" s="19" t="n">
        <x:v>1</x:v>
      </x:c>
      <x:c r="L2469" s="24" t="n">
        <x:v>27.839999999999996</x:v>
      </x:c>
      <x:c r="M2469" s="26" t="n">
        <x:v>0.1</x:v>
      </x:c>
      <x:c r="N2469" s="24" t="n">
        <x:v>72</x:v>
      </x:c>
      <x:c r="O2469" s="28" t="n">
        <x:f>MIN(1,L2469/I2469)</x:f>
        <x:v>0.0232</x:v>
      </x:c>
      <x:c r="P2469" s="30" t="n">
        <x:f>O2469*J2469*(1+M2469)</x:f>
        <x:v>0.02552</x:v>
      </x:c>
      <x:c r="Q2469" s="30" t="n">
        <x:f>P2469*N2469</x:f>
        <x:v>1.83744</x:v>
      </x:c>
      <x:c r="R2469" s="19" t="str">
        <x:v>独立判定</x:v>
      </x:c>
    </x:row>
    <x:row r="2470" ht="19" customHeight="1">
      <x:c r="A2470" s="19" t="str">
        <x:v>D02466</x:v>
      </x:c>
      <x:c r="B2470" s="19" t="n">
        <x:v>5</x:v>
      </x:c>
      <x:c r="C2470" s="19" t="n">
        <x:v>4</x:v>
      </x:c>
      <x:c r="D2470" s="19" t="str">
        <x:v>C05-M041</x:v>
      </x:c>
      <x:c r="E2470" s="19" t="str">
        <x:v>藏书室墨潮蛭</x:v>
      </x:c>
      <x:c r="F2470" s="19" t="str">
        <x:v>普通</x:v>
      </x:c>
      <x:c r="G2470" s="19" t="str">
        <x:v>材料独立候选</x:v>
      </x:c>
      <x:c r="H2470" s="19" t="str">
        <x:v>湖心月谱残章</x:v>
      </x:c>
      <x:c r="I2470" s="22" t="n">
        <x:v>1200000</x:v>
      </x:c>
      <x:c r="J2470" s="22" t="n">
        <x:v>1</x:v>
      </x:c>
      <x:c r="K2470" s="19" t="n">
        <x:v>1</x:v>
      </x:c>
      <x:c r="L2470" s="24" t="n">
        <x:v>27.839999999999996</x:v>
      </x:c>
      <x:c r="M2470" s="26" t="n">
        <x:v>0.1</x:v>
      </x:c>
      <x:c r="N2470" s="24" t="n">
        <x:v>72</x:v>
      </x:c>
      <x:c r="O2470" s="28" t="n">
        <x:f>MIN(1,L2470/I2470)</x:f>
        <x:v>0.000023199999999999998</x:v>
      </x:c>
      <x:c r="P2470" s="30" t="n">
        <x:f>O2470*J2470*(1+M2470)</x:f>
        <x:v>0.00002552</x:v>
      </x:c>
      <x:c r="Q2470" s="30" t="n">
        <x:f>P2470*N2470</x:f>
        <x:v>0.00183744</x:v>
      </x:c>
      <x:c r="R2470" s="19" t="str">
        <x:v>独立判定</x:v>
      </x:c>
    </x:row>
    <x:row r="2471" ht="19" customHeight="1">
      <x:c r="A2471" s="19" t="str">
        <x:v>D02467</x:v>
      </x:c>
      <x:c r="B2471" s="19" t="n">
        <x:v>5</x:v>
      </x:c>
      <x:c r="C2471" s="19" t="n">
        <x:v>4</x:v>
      </x:c>
      <x:c r="D2471" s="19" t="str">
        <x:v>C05-M041</x:v>
      </x:c>
      <x:c r="E2471" s="19" t="str">
        <x:v>藏书室墨潮蛭</x:v>
      </x:c>
      <x:c r="F2471" s="19" t="str">
        <x:v>普通</x:v>
      </x:c>
      <x:c r="G2471" s="19" t="str">
        <x:v>材料独立候选</x:v>
      </x:c>
      <x:c r="H2471" s="19" t="str">
        <x:v>野兽骨片</x:v>
      </x:c>
      <x:c r="I2471" s="22" t="n">
        <x:v>150</x:v>
      </x:c>
      <x:c r="J2471" s="22" t="n">
        <x:v>3</x:v>
      </x:c>
      <x:c r="K2471" s="19" t="n">
        <x:v>1</x:v>
      </x:c>
      <x:c r="L2471" s="24" t="n">
        <x:v>27.839999999999996</x:v>
      </x:c>
      <x:c r="M2471" s="26" t="n">
        <x:v>0.1</x:v>
      </x:c>
      <x:c r="N2471" s="24" t="n">
        <x:v>72</x:v>
      </x:c>
      <x:c r="O2471" s="28" t="n">
        <x:f>MIN(1,L2471/I2471)</x:f>
        <x:v>0.1856</x:v>
      </x:c>
      <x:c r="P2471" s="30" t="n">
        <x:f>O2471*J2471*(1+M2471)</x:f>
        <x:v>0.61248</x:v>
      </x:c>
      <x:c r="Q2471" s="30" t="n">
        <x:f>P2471*N2471</x:f>
        <x:v>44.09856</x:v>
      </x:c>
      <x:c r="R2471" s="19" t="str">
        <x:v>独立判定</x:v>
      </x:c>
    </x:row>
    <x:row r="2472" ht="19" customHeight="1">
      <x:c r="A2472" s="19" t="str">
        <x:v>D02468</x:v>
      </x:c>
      <x:c r="B2472" s="19" t="n">
        <x:v>5</x:v>
      </x:c>
      <x:c r="C2472" s="19" t="n">
        <x:v>4</x:v>
      </x:c>
      <x:c r="D2472" s="19" t="str">
        <x:v>C05-M041</x:v>
      </x:c>
      <x:c r="E2472" s="19" t="str">
        <x:v>藏书室墨潮蛭</x:v>
      </x:c>
      <x:c r="F2472" s="19" t="str">
        <x:v>普通</x:v>
      </x:c>
      <x:c r="G2472" s="19" t="str">
        <x:v>材料独立候选</x:v>
      </x:c>
      <x:c r="H2472" s="19" t="str">
        <x:v>技能残页</x:v>
      </x:c>
      <x:c r="I2472" s="22" t="n">
        <x:v>4000</x:v>
      </x:c>
      <x:c r="J2472" s="22" t="n">
        <x:v>1</x:v>
      </x:c>
      <x:c r="K2472" s="19" t="n">
        <x:v>1</x:v>
      </x:c>
      <x:c r="L2472" s="24" t="n">
        <x:v>27.839999999999996</x:v>
      </x:c>
      <x:c r="M2472" s="26" t="n">
        <x:v>0.1</x:v>
      </x:c>
      <x:c r="N2472" s="24" t="n">
        <x:v>72</x:v>
      </x:c>
      <x:c r="O2472" s="28" t="n">
        <x:f>MIN(1,L2472/I2472)</x:f>
        <x:v>0.006959999999999999</x:v>
      </x:c>
      <x:c r="P2472" s="30" t="n">
        <x:f>O2472*J2472*(1+M2472)</x:f>
        <x:v>0.007656</x:v>
      </x:c>
      <x:c r="Q2472" s="30" t="n">
        <x:f>P2472*N2472</x:f>
        <x:v>0.5512319999999999</x:v>
      </x:c>
      <x:c r="R2472" s="19" t="str">
        <x:v>独立判定</x:v>
      </x:c>
    </x:row>
    <x:row r="2473" ht="19" customHeight="1">
      <x:c r="A2473" s="19" t="str">
        <x:v>D02469</x:v>
      </x:c>
      <x:c r="B2473" s="19" t="n">
        <x:v>5</x:v>
      </x:c>
      <x:c r="C2473" s="19" t="n">
        <x:v>4</x:v>
      </x:c>
      <x:c r="D2473" s="19" t="str">
        <x:v>C05-M041</x:v>
      </x:c>
      <x:c r="E2473" s="19" t="str">
        <x:v>藏书室墨潮蛭</x:v>
      </x:c>
      <x:c r="F2473" s="19" t="str">
        <x:v>普通</x:v>
      </x:c>
      <x:c r="G2473" s="19" t="str">
        <x:v>材料独立候选</x:v>
      </x:c>
      <x:c r="H2473" s="19" t="str">
        <x:v>小卢恩</x:v>
      </x:c>
      <x:c r="I2473" s="22" t="n">
        <x:v>8000</x:v>
      </x:c>
      <x:c r="J2473" s="22" t="n">
        <x:v>1</x:v>
      </x:c>
      <x:c r="K2473" s="19" t="n">
        <x:v>1</x:v>
      </x:c>
      <x:c r="L2473" s="24" t="n">
        <x:v>27.839999999999996</x:v>
      </x:c>
      <x:c r="M2473" s="26" t="n">
        <x:v>0.1</x:v>
      </x:c>
      <x:c r="N2473" s="24" t="n">
        <x:v>72</x:v>
      </x:c>
      <x:c r="O2473" s="28" t="n">
        <x:f>MIN(1,L2473/I2473)</x:f>
        <x:v>0.0034799999999999996</x:v>
      </x:c>
      <x:c r="P2473" s="30" t="n">
        <x:f>O2473*J2473*(1+M2473)</x:f>
        <x:v>0.003828</x:v>
      </x:c>
      <x:c r="Q2473" s="30" t="n">
        <x:f>P2473*N2473</x:f>
        <x:v>0.27561599999999997</x:v>
      </x:c>
      <x:c r="R2473" s="19" t="str">
        <x:v>独立判定</x:v>
      </x:c>
    </x:row>
    <x:row r="2474" ht="19" customHeight="1">
      <x:c r="A2474" s="19" t="str">
        <x:v>D02470</x:v>
      </x:c>
      <x:c r="B2474" s="19" t="n">
        <x:v>5</x:v>
      </x:c>
      <x:c r="C2474" s="19" t="n">
        <x:v>4</x:v>
      </x:c>
      <x:c r="D2474" s="19" t="str">
        <x:v>C05-M041</x:v>
      </x:c>
      <x:c r="E2474" s="19" t="str">
        <x:v>藏书室墨潮蛭</x:v>
      </x:c>
      <x:c r="F2474" s="19" t="str">
        <x:v>普通</x:v>
      </x:c>
      <x:c r="G2474" s="19" t="str">
        <x:v>六神器公共池</x:v>
      </x:c>
      <x:c r="H2474" s="19" t="str">
        <x:v>POOL006</x:v>
      </x:c>
      <x:c r="I2474" s="22" t="n">
        <x:v>20000000</x:v>
      </x:c>
      <x:c r="J2474" s="22" t="n">
        <x:v>1</x:v>
      </x:c>
      <x:c r="K2474" s="19" t="n">
        <x:v>6</x:v>
      </x:c>
      <x:c r="L2474" s="24" t="n">
        <x:v>27.839999999999996</x:v>
      </x:c>
      <x:c r="M2474" s="26" t="n">
        <x:v>0.1</x:v>
      </x:c>
      <x:c r="N2474" s="24" t="n">
        <x:v>72</x:v>
      </x:c>
      <x:c r="O2474" s="28" t="n">
        <x:f>MIN(1,L2474/I2474)</x:f>
        <x:v>0.0000013919999999999998</x:v>
      </x:c>
      <x:c r="P2474" s="30" t="n">
        <x:f>O2474*J2474*(1+M2474)</x:f>
        <x:v>0.0000015311999999999998</x:v>
      </x:c>
      <x:c r="Q2474" s="30" t="n">
        <x:f>P2474*N2474</x:f>
        <x:v>0.00011024639999999999</x:v>
      </x:c>
      <x:c r="R2474" s="19" t="str">
        <x:v>六选一；非6个独立爆率</x:v>
      </x:c>
    </x:row>
    <x:row r="2475" ht="19" customHeight="1">
      <x:c r="A2475" s="19" t="str">
        <x:v>D02471</x:v>
      </x:c>
      <x:c r="B2475" s="19" t="n">
        <x:v>5</x:v>
      </x:c>
      <x:c r="C2475" s="19" t="n">
        <x:v>4</x:v>
      </x:c>
      <x:c r="D2475" s="19" t="str">
        <x:v>C05-M042</x:v>
      </x:c>
      <x:c r="E2475" s="19" t="str">
        <x:v>满月夹页灵</x:v>
      </x:c>
      <x:c r="F2475" s="19" t="str">
        <x:v>普通</x:v>
      </x:c>
      <x:c r="G2475" s="19" t="str">
        <x:v>自身专属</x:v>
      </x:c>
      <x:c r="H2475" s="19" t="str">
        <x:v>夹页月痕戒</x:v>
      </x:c>
      <x:c r="I2475" s="22" t="n">
        <x:v>2000</x:v>
      </x:c>
      <x:c r="J2475" s="22" t="n">
        <x:v>1</x:v>
      </x:c>
      <x:c r="K2475" s="19" t="n">
        <x:v>1</x:v>
      </x:c>
      <x:c r="L2475" s="24" t="n">
        <x:v>27.839999999999996</x:v>
      </x:c>
      <x:c r="M2475" s="26" t="n">
        <x:v>0.1</x:v>
      </x:c>
      <x:c r="N2475" s="24" t="n">
        <x:v>72</x:v>
      </x:c>
      <x:c r="O2475" s="28" t="n">
        <x:f>MIN(1,L2475/I2475)</x:f>
        <x:v>0.013919999999999998</x:v>
      </x:c>
      <x:c r="P2475" s="30" t="n">
        <x:f>O2475*J2475*(1+M2475)</x:f>
        <x:v>0.015312</x:v>
      </x:c>
      <x:c r="Q2475" s="30" t="n">
        <x:f>P2475*N2475</x:f>
        <x:v>1.1024639999999999</x:v>
      </x:c>
      <x:c r="R2475" s="19" t="str">
        <x:v>独立判定</x:v>
      </x:c>
    </x:row>
    <x:row r="2476" ht="19" customHeight="1">
      <x:c r="A2476" s="19" t="str">
        <x:v>D02472</x:v>
      </x:c>
      <x:c r="B2476" s="19" t="n">
        <x:v>5</x:v>
      </x:c>
      <x:c r="C2476" s="19" t="n">
        <x:v>4</x:v>
      </x:c>
      <x:c r="D2476" s="19" t="str">
        <x:v>C05-M042</x:v>
      </x:c>
      <x:c r="E2476" s="19" t="str">
        <x:v>满月夹页灵</x:v>
      </x:c>
      <x:c r="F2476" s="19" t="str">
        <x:v>普通</x:v>
      </x:c>
      <x:c r="G2476" s="19" t="str">
        <x:v>材料独立候选</x:v>
      </x:c>
      <x:c r="H2476" s="19" t="str">
        <x:v>辉石碎晶</x:v>
      </x:c>
      <x:c r="I2476" s="22" t="n">
        <x:v>800</x:v>
      </x:c>
      <x:c r="J2476" s="22" t="n">
        <x:v>8</x:v>
      </x:c>
      <x:c r="K2476" s="19" t="n">
        <x:v>1</x:v>
      </x:c>
      <x:c r="L2476" s="24" t="n">
        <x:v>27.839999999999996</x:v>
      </x:c>
      <x:c r="M2476" s="26" t="n">
        <x:v>0.1</x:v>
      </x:c>
      <x:c r="N2476" s="24" t="n">
        <x:v>72</x:v>
      </x:c>
      <x:c r="O2476" s="28" t="n">
        <x:f>MIN(1,L2476/I2476)</x:f>
        <x:v>0.0348</x:v>
      </x:c>
      <x:c r="P2476" s="30" t="n">
        <x:f>O2476*J2476*(1+M2476)</x:f>
        <x:v>0.30624</x:v>
      </x:c>
      <x:c r="Q2476" s="30" t="n">
        <x:f>P2476*N2476</x:f>
        <x:v>22.04928</x:v>
      </x:c>
      <x:c r="R2476" s="19" t="str">
        <x:v>独立判定</x:v>
      </x:c>
    </x:row>
    <x:row r="2477" ht="19" customHeight="1">
      <x:c r="A2477" s="19" t="str">
        <x:v>D02473</x:v>
      </x:c>
      <x:c r="B2477" s="19" t="n">
        <x:v>5</x:v>
      </x:c>
      <x:c r="C2477" s="19" t="n">
        <x:v>4</x:v>
      </x:c>
      <x:c r="D2477" s="19" t="str">
        <x:v>C05-M042</x:v>
      </x:c>
      <x:c r="E2477" s="19" t="str">
        <x:v>满月夹页灵</x:v>
      </x:c>
      <x:c r="F2477" s="19" t="str">
        <x:v>普通</x:v>
      </x:c>
      <x:c r="G2477" s="19" t="str">
        <x:v>材料独立候选</x:v>
      </x:c>
      <x:c r="H2477" s="19" t="str">
        <x:v>雾月星砂</x:v>
      </x:c>
      <x:c r="I2477" s="22" t="n">
        <x:v>1200</x:v>
      </x:c>
      <x:c r="J2477" s="22" t="n">
        <x:v>1</x:v>
      </x:c>
      <x:c r="K2477" s="19" t="n">
        <x:v>1</x:v>
      </x:c>
      <x:c r="L2477" s="24" t="n">
        <x:v>27.839999999999996</x:v>
      </x:c>
      <x:c r="M2477" s="26" t="n">
        <x:v>0.1</x:v>
      </x:c>
      <x:c r="N2477" s="24" t="n">
        <x:v>72</x:v>
      </x:c>
      <x:c r="O2477" s="28" t="n">
        <x:f>MIN(1,L2477/I2477)</x:f>
        <x:v>0.0232</x:v>
      </x:c>
      <x:c r="P2477" s="30" t="n">
        <x:f>O2477*J2477*(1+M2477)</x:f>
        <x:v>0.02552</x:v>
      </x:c>
      <x:c r="Q2477" s="30" t="n">
        <x:f>P2477*N2477</x:f>
        <x:v>1.83744</x:v>
      </x:c>
      <x:c r="R2477" s="19" t="str">
        <x:v>独立判定</x:v>
      </x:c>
    </x:row>
    <x:row r="2478" ht="19" customHeight="1">
      <x:c r="A2478" s="19" t="str">
        <x:v>D02474</x:v>
      </x:c>
      <x:c r="B2478" s="19" t="n">
        <x:v>5</x:v>
      </x:c>
      <x:c r="C2478" s="19" t="n">
        <x:v>4</x:v>
      </x:c>
      <x:c r="D2478" s="19" t="str">
        <x:v>C05-M042</x:v>
      </x:c>
      <x:c r="E2478" s="19" t="str">
        <x:v>满月夹页灵</x:v>
      </x:c>
      <x:c r="F2478" s="19" t="str">
        <x:v>普通</x:v>
      </x:c>
      <x:c r="G2478" s="19" t="str">
        <x:v>材料独立候选</x:v>
      </x:c>
      <x:c r="H2478" s="19" t="str">
        <x:v>湖心月谱残章</x:v>
      </x:c>
      <x:c r="I2478" s="22" t="n">
        <x:v>1200000</x:v>
      </x:c>
      <x:c r="J2478" s="22" t="n">
        <x:v>1</x:v>
      </x:c>
      <x:c r="K2478" s="19" t="n">
        <x:v>1</x:v>
      </x:c>
      <x:c r="L2478" s="24" t="n">
        <x:v>27.839999999999996</x:v>
      </x:c>
      <x:c r="M2478" s="26" t="n">
        <x:v>0.1</x:v>
      </x:c>
      <x:c r="N2478" s="24" t="n">
        <x:v>72</x:v>
      </x:c>
      <x:c r="O2478" s="28" t="n">
        <x:f>MIN(1,L2478/I2478)</x:f>
        <x:v>0.000023199999999999998</x:v>
      </x:c>
      <x:c r="P2478" s="30" t="n">
        <x:f>O2478*J2478*(1+M2478)</x:f>
        <x:v>0.00002552</x:v>
      </x:c>
      <x:c r="Q2478" s="30" t="n">
        <x:f>P2478*N2478</x:f>
        <x:v>0.00183744</x:v>
      </x:c>
      <x:c r="R2478" s="19" t="str">
        <x:v>独立判定</x:v>
      </x:c>
    </x:row>
    <x:row r="2479" ht="19" customHeight="1">
      <x:c r="A2479" s="19" t="str">
        <x:v>D02475</x:v>
      </x:c>
      <x:c r="B2479" s="19" t="n">
        <x:v>5</x:v>
      </x:c>
      <x:c r="C2479" s="19" t="n">
        <x:v>4</x:v>
      </x:c>
      <x:c r="D2479" s="19" t="str">
        <x:v>C05-M042</x:v>
      </x:c>
      <x:c r="E2479" s="19" t="str">
        <x:v>满月夹页灵</x:v>
      </x:c>
      <x:c r="F2479" s="19" t="str">
        <x:v>普通</x:v>
      </x:c>
      <x:c r="G2479" s="19" t="str">
        <x:v>材料独立候选</x:v>
      </x:c>
      <x:c r="H2479" s="19" t="str">
        <x:v>野兽骨片</x:v>
      </x:c>
      <x:c r="I2479" s="22" t="n">
        <x:v>150</x:v>
      </x:c>
      <x:c r="J2479" s="22" t="n">
        <x:v>3</x:v>
      </x:c>
      <x:c r="K2479" s="19" t="n">
        <x:v>1</x:v>
      </x:c>
      <x:c r="L2479" s="24" t="n">
        <x:v>27.839999999999996</x:v>
      </x:c>
      <x:c r="M2479" s="26" t="n">
        <x:v>0.1</x:v>
      </x:c>
      <x:c r="N2479" s="24" t="n">
        <x:v>72</x:v>
      </x:c>
      <x:c r="O2479" s="28" t="n">
        <x:f>MIN(1,L2479/I2479)</x:f>
        <x:v>0.1856</x:v>
      </x:c>
      <x:c r="P2479" s="30" t="n">
        <x:f>O2479*J2479*(1+M2479)</x:f>
        <x:v>0.61248</x:v>
      </x:c>
      <x:c r="Q2479" s="30" t="n">
        <x:f>P2479*N2479</x:f>
        <x:v>44.09856</x:v>
      </x:c>
      <x:c r="R2479" s="19" t="str">
        <x:v>独立判定</x:v>
      </x:c>
    </x:row>
    <x:row r="2480" ht="19" customHeight="1">
      <x:c r="A2480" s="19" t="str">
        <x:v>D02476</x:v>
      </x:c>
      <x:c r="B2480" s="19" t="n">
        <x:v>5</x:v>
      </x:c>
      <x:c r="C2480" s="19" t="n">
        <x:v>4</x:v>
      </x:c>
      <x:c r="D2480" s="19" t="str">
        <x:v>C05-M042</x:v>
      </x:c>
      <x:c r="E2480" s="19" t="str">
        <x:v>满月夹页灵</x:v>
      </x:c>
      <x:c r="F2480" s="19" t="str">
        <x:v>普通</x:v>
      </x:c>
      <x:c r="G2480" s="19" t="str">
        <x:v>材料独立候选</x:v>
      </x:c>
      <x:c r="H2480" s="19" t="str">
        <x:v>技能残页</x:v>
      </x:c>
      <x:c r="I2480" s="22" t="n">
        <x:v>4000</x:v>
      </x:c>
      <x:c r="J2480" s="22" t="n">
        <x:v>1</x:v>
      </x:c>
      <x:c r="K2480" s="19" t="n">
        <x:v>1</x:v>
      </x:c>
      <x:c r="L2480" s="24" t="n">
        <x:v>27.839999999999996</x:v>
      </x:c>
      <x:c r="M2480" s="26" t="n">
        <x:v>0.1</x:v>
      </x:c>
      <x:c r="N2480" s="24" t="n">
        <x:v>72</x:v>
      </x:c>
      <x:c r="O2480" s="28" t="n">
        <x:f>MIN(1,L2480/I2480)</x:f>
        <x:v>0.006959999999999999</x:v>
      </x:c>
      <x:c r="P2480" s="30" t="n">
        <x:f>O2480*J2480*(1+M2480)</x:f>
        <x:v>0.007656</x:v>
      </x:c>
      <x:c r="Q2480" s="30" t="n">
        <x:f>P2480*N2480</x:f>
        <x:v>0.5512319999999999</x:v>
      </x:c>
      <x:c r="R2480" s="19" t="str">
        <x:v>独立判定</x:v>
      </x:c>
    </x:row>
    <x:row r="2481" ht="19" customHeight="1">
      <x:c r="A2481" s="19" t="str">
        <x:v>D02477</x:v>
      </x:c>
      <x:c r="B2481" s="19" t="n">
        <x:v>5</x:v>
      </x:c>
      <x:c r="C2481" s="19" t="n">
        <x:v>4</x:v>
      </x:c>
      <x:c r="D2481" s="19" t="str">
        <x:v>C05-M042</x:v>
      </x:c>
      <x:c r="E2481" s="19" t="str">
        <x:v>满月夹页灵</x:v>
      </x:c>
      <x:c r="F2481" s="19" t="str">
        <x:v>普通</x:v>
      </x:c>
      <x:c r="G2481" s="19" t="str">
        <x:v>材料独立候选</x:v>
      </x:c>
      <x:c r="H2481" s="19" t="str">
        <x:v>小卢恩</x:v>
      </x:c>
      <x:c r="I2481" s="22" t="n">
        <x:v>8000</x:v>
      </x:c>
      <x:c r="J2481" s="22" t="n">
        <x:v>1</x:v>
      </x:c>
      <x:c r="K2481" s="19" t="n">
        <x:v>1</x:v>
      </x:c>
      <x:c r="L2481" s="24" t="n">
        <x:v>27.839999999999996</x:v>
      </x:c>
      <x:c r="M2481" s="26" t="n">
        <x:v>0.1</x:v>
      </x:c>
      <x:c r="N2481" s="24" t="n">
        <x:v>72</x:v>
      </x:c>
      <x:c r="O2481" s="28" t="n">
        <x:f>MIN(1,L2481/I2481)</x:f>
        <x:v>0.0034799999999999996</x:v>
      </x:c>
      <x:c r="P2481" s="30" t="n">
        <x:f>O2481*J2481*(1+M2481)</x:f>
        <x:v>0.003828</x:v>
      </x:c>
      <x:c r="Q2481" s="30" t="n">
        <x:f>P2481*N2481</x:f>
        <x:v>0.27561599999999997</x:v>
      </x:c>
      <x:c r="R2481" s="19" t="str">
        <x:v>独立判定</x:v>
      </x:c>
    </x:row>
    <x:row r="2482" ht="19" customHeight="1">
      <x:c r="A2482" s="19" t="str">
        <x:v>D02478</x:v>
      </x:c>
      <x:c r="B2482" s="19" t="n">
        <x:v>5</x:v>
      </x:c>
      <x:c r="C2482" s="19" t="n">
        <x:v>4</x:v>
      </x:c>
      <x:c r="D2482" s="19" t="str">
        <x:v>C05-M042</x:v>
      </x:c>
      <x:c r="E2482" s="19" t="str">
        <x:v>满月夹页灵</x:v>
      </x:c>
      <x:c r="F2482" s="19" t="str">
        <x:v>普通</x:v>
      </x:c>
      <x:c r="G2482" s="19" t="str">
        <x:v>六神器公共池</x:v>
      </x:c>
      <x:c r="H2482" s="19" t="str">
        <x:v>POOL006</x:v>
      </x:c>
      <x:c r="I2482" s="22" t="n">
        <x:v>20000000</x:v>
      </x:c>
      <x:c r="J2482" s="22" t="n">
        <x:v>1</x:v>
      </x:c>
      <x:c r="K2482" s="19" t="n">
        <x:v>6</x:v>
      </x:c>
      <x:c r="L2482" s="24" t="n">
        <x:v>27.839999999999996</x:v>
      </x:c>
      <x:c r="M2482" s="26" t="n">
        <x:v>0.1</x:v>
      </x:c>
      <x:c r="N2482" s="24" t="n">
        <x:v>72</x:v>
      </x:c>
      <x:c r="O2482" s="28" t="n">
        <x:f>MIN(1,L2482/I2482)</x:f>
        <x:v>0.0000013919999999999998</x:v>
      </x:c>
      <x:c r="P2482" s="30" t="n">
        <x:f>O2482*J2482*(1+M2482)</x:f>
        <x:v>0.0000015311999999999998</x:v>
      </x:c>
      <x:c r="Q2482" s="30" t="n">
        <x:f>P2482*N2482</x:f>
        <x:v>0.00011024639999999999</x:v>
      </x:c>
      <x:c r="R2482" s="19" t="str">
        <x:v>六选一；非6个独立爆率</x:v>
      </x:c>
    </x:row>
    <x:row r="2483" ht="19" customHeight="1">
      <x:c r="A2483" s="19" t="str">
        <x:v>D02479</x:v>
      </x:c>
      <x:c r="B2483" s="19" t="n">
        <x:v>5</x:v>
      </x:c>
      <x:c r="C2483" s="19" t="n">
        <x:v>4</x:v>
      </x:c>
      <x:c r="D2483" s="19" t="str">
        <x:v>C05-M043</x:v>
      </x:c>
      <x:c r="E2483" s="19" t="str">
        <x:v>月相编目师</x:v>
      </x:c>
      <x:c r="F2483" s="19" t="str">
        <x:v>稀有</x:v>
      </x:c>
      <x:c r="G2483" s="19" t="str">
        <x:v>自身专属</x:v>
      </x:c>
      <x:c r="H2483" s="19" t="str">
        <x:v>月相编目束带</x:v>
      </x:c>
      <x:c r="I2483" s="22" t="n">
        <x:v>500</x:v>
      </x:c>
      <x:c r="J2483" s="22" t="n">
        <x:v>1</x:v>
      </x:c>
      <x:c r="K2483" s="19" t="n">
        <x:v>1</x:v>
      </x:c>
      <x:c r="L2483" s="24" t="n">
        <x:v>27.839999999999996</x:v>
      </x:c>
      <x:c r="M2483" s="26" t="n">
        <x:v>0.1</x:v>
      </x:c>
      <x:c r="N2483" s="24" t="n">
        <x:v>10.757128494041028</x:v>
      </x:c>
      <x:c r="O2483" s="28" t="n">
        <x:f>MIN(1,L2483/I2483)</x:f>
        <x:v>0.05567999999999999</x:v>
      </x:c>
      <x:c r="P2483" s="30" t="n">
        <x:f>O2483*J2483*(1+M2483)</x:f>
        <x:v>0.061248</x:v>
      </x:c>
      <x:c r="Q2483" s="30" t="n">
        <x:f>P2483*N2483</x:f>
        <x:v>0.6588526060030249</x:v>
      </x:c>
      <x:c r="R2483" s="19" t="str">
        <x:v>独立判定</x:v>
      </x:c>
    </x:row>
    <x:row r="2484" ht="19" customHeight="1">
      <x:c r="A2484" s="19" t="str">
        <x:v>D02480</x:v>
      </x:c>
      <x:c r="B2484" s="19" t="n">
        <x:v>5</x:v>
      </x:c>
      <x:c r="C2484" s="19" t="n">
        <x:v>4</x:v>
      </x:c>
      <x:c r="D2484" s="19" t="str">
        <x:v>C05-M043</x:v>
      </x:c>
      <x:c r="E2484" s="19" t="str">
        <x:v>月相编目师</x:v>
      </x:c>
      <x:c r="F2484" s="19" t="str">
        <x:v>稀有</x:v>
      </x:c>
      <x:c r="G2484" s="19" t="str">
        <x:v>材料独立候选</x:v>
      </x:c>
      <x:c r="H2484" s="19" t="str">
        <x:v>辉石碎晶</x:v>
      </x:c>
      <x:c r="I2484" s="22" t="n">
        <x:v>500</x:v>
      </x:c>
      <x:c r="J2484" s="22" t="n">
        <x:v>15</x:v>
      </x:c>
      <x:c r="K2484" s="19" t="n">
        <x:v>1</x:v>
      </x:c>
      <x:c r="L2484" s="24" t="n">
        <x:v>27.839999999999996</x:v>
      </x:c>
      <x:c r="M2484" s="26" t="n">
        <x:v>0.1</x:v>
      </x:c>
      <x:c r="N2484" s="24" t="n">
        <x:v>10.757128494041028</x:v>
      </x:c>
      <x:c r="O2484" s="28" t="n">
        <x:f>MIN(1,L2484/I2484)</x:f>
        <x:v>0.05567999999999999</x:v>
      </x:c>
      <x:c r="P2484" s="30" t="n">
        <x:f>O2484*J2484*(1+M2484)</x:f>
        <x:v>0.91872</x:v>
      </x:c>
      <x:c r="Q2484" s="30" t="n">
        <x:f>P2484*N2484</x:f>
        <x:v>9.882789090045373</x:v>
      </x:c>
      <x:c r="R2484" s="19" t="str">
        <x:v>独立判定</x:v>
      </x:c>
    </x:row>
    <x:row r="2485" ht="19" customHeight="1">
      <x:c r="A2485" s="19" t="str">
        <x:v>D02481</x:v>
      </x:c>
      <x:c r="B2485" s="19" t="n">
        <x:v>5</x:v>
      </x:c>
      <x:c r="C2485" s="19" t="n">
        <x:v>4</x:v>
      </x:c>
      <x:c r="D2485" s="19" t="str">
        <x:v>C05-M043</x:v>
      </x:c>
      <x:c r="E2485" s="19" t="str">
        <x:v>月相编目师</x:v>
      </x:c>
      <x:c r="F2485" s="19" t="str">
        <x:v>稀有</x:v>
      </x:c>
      <x:c r="G2485" s="19" t="str">
        <x:v>材料独立候选</x:v>
      </x:c>
      <x:c r="H2485" s="19" t="str">
        <x:v>卡利亚月露</x:v>
      </x:c>
      <x:c r="I2485" s="22" t="n">
        <x:v>800</x:v>
      </x:c>
      <x:c r="J2485" s="22" t="n">
        <x:v>1</x:v>
      </x:c>
      <x:c r="K2485" s="19" t="n">
        <x:v>1</x:v>
      </x:c>
      <x:c r="L2485" s="24" t="n">
        <x:v>27.839999999999996</x:v>
      </x:c>
      <x:c r="M2485" s="26" t="n">
        <x:v>0.1</x:v>
      </x:c>
      <x:c r="N2485" s="24" t="n">
        <x:v>10.757128494041028</x:v>
      </x:c>
      <x:c r="O2485" s="28" t="n">
        <x:f>MIN(1,L2485/I2485)</x:f>
        <x:v>0.0348</x:v>
      </x:c>
      <x:c r="P2485" s="30" t="n">
        <x:f>O2485*J2485*(1+M2485)</x:f>
        <x:v>0.03828</x:v>
      </x:c>
      <x:c r="Q2485" s="30" t="n">
        <x:f>P2485*N2485</x:f>
        <x:v>0.41178287875189057</x:v>
      </x:c>
      <x:c r="R2485" s="19" t="str">
        <x:v>独立判定</x:v>
      </x:c>
    </x:row>
    <x:row r="2486" ht="19" customHeight="1">
      <x:c r="A2486" s="19" t="str">
        <x:v>D02482</x:v>
      </x:c>
      <x:c r="B2486" s="19" t="n">
        <x:v>5</x:v>
      </x:c>
      <x:c r="C2486" s="19" t="n">
        <x:v>4</x:v>
      </x:c>
      <x:c r="D2486" s="19" t="str">
        <x:v>C05-M043</x:v>
      </x:c>
      <x:c r="E2486" s="19" t="str">
        <x:v>月相编目师</x:v>
      </x:c>
      <x:c r="F2486" s="19" t="str">
        <x:v>稀有</x:v>
      </x:c>
      <x:c r="G2486" s="19" t="str">
        <x:v>材料独立候选</x:v>
      </x:c>
      <x:c r="H2486" s="19" t="str">
        <x:v>学院封蜡</x:v>
      </x:c>
      <x:c r="I2486" s="22" t="n">
        <x:v>1200</x:v>
      </x:c>
      <x:c r="J2486" s="22" t="n">
        <x:v>1</x:v>
      </x:c>
      <x:c r="K2486" s="19" t="n">
        <x:v>1</x:v>
      </x:c>
      <x:c r="L2486" s="24" t="n">
        <x:v>27.839999999999996</x:v>
      </x:c>
      <x:c r="M2486" s="26" t="n">
        <x:v>0.1</x:v>
      </x:c>
      <x:c r="N2486" s="24" t="n">
        <x:v>10.757128494041028</x:v>
      </x:c>
      <x:c r="O2486" s="28" t="n">
        <x:f>MIN(1,L2486/I2486)</x:f>
        <x:v>0.0232</x:v>
      </x:c>
      <x:c r="P2486" s="30" t="n">
        <x:f>O2486*J2486*(1+M2486)</x:f>
        <x:v>0.02552</x:v>
      </x:c>
      <x:c r="Q2486" s="30" t="n">
        <x:f>P2486*N2486</x:f>
        <x:v>0.27452191916792706</x:v>
      </x:c>
      <x:c r="R2486" s="19" t="str">
        <x:v>独立判定</x:v>
      </x:c>
    </x:row>
    <x:row r="2487" ht="19" customHeight="1">
      <x:c r="A2487" s="19" t="str">
        <x:v>D02483</x:v>
      </x:c>
      <x:c r="B2487" s="19" t="n">
        <x:v>5</x:v>
      </x:c>
      <x:c r="C2487" s="19" t="n">
        <x:v>4</x:v>
      </x:c>
      <x:c r="D2487" s="19" t="str">
        <x:v>C05-M043</x:v>
      </x:c>
      <x:c r="E2487" s="19" t="str">
        <x:v>月相编目师</x:v>
      </x:c>
      <x:c r="F2487" s="19" t="str">
        <x:v>稀有</x:v>
      </x:c>
      <x:c r="G2487" s="19" t="str">
        <x:v>材料独立候选</x:v>
      </x:c>
      <x:c r="H2487" s="19" t="str">
        <x:v>湖心月谱残章</x:v>
      </x:c>
      <x:c r="I2487" s="22" t="n">
        <x:v>800000</x:v>
      </x:c>
      <x:c r="J2487" s="22" t="n">
        <x:v>1</x:v>
      </x:c>
      <x:c r="K2487" s="19" t="n">
        <x:v>1</x:v>
      </x:c>
      <x:c r="L2487" s="24" t="n">
        <x:v>27.839999999999996</x:v>
      </x:c>
      <x:c r="M2487" s="26" t="n">
        <x:v>0.1</x:v>
      </x:c>
      <x:c r="N2487" s="24" t="n">
        <x:v>10.757128494041028</x:v>
      </x:c>
      <x:c r="O2487" s="28" t="n">
        <x:f>MIN(1,L2487/I2487)</x:f>
        <x:v>0.00003479999999999999</x:v>
      </x:c>
      <x:c r="P2487" s="30" t="n">
        <x:f>O2487*J2487*(1+M2487)</x:f>
        <x:v>0.00003827999999999999</x:v>
      </x:c>
      <x:c r="Q2487" s="30" t="n">
        <x:f>P2487*N2487</x:f>
        <x:v>0.0004117828787518905</x:v>
      </x:c>
      <x:c r="R2487" s="19" t="str">
        <x:v>独立判定</x:v>
      </x:c>
    </x:row>
    <x:row r="2488" ht="19" customHeight="1">
      <x:c r="A2488" s="19" t="str">
        <x:v>D02484</x:v>
      </x:c>
      <x:c r="B2488" s="19" t="n">
        <x:v>5</x:v>
      </x:c>
      <x:c r="C2488" s="19" t="n">
        <x:v>4</x:v>
      </x:c>
      <x:c r="D2488" s="19" t="str">
        <x:v>C05-M043</x:v>
      </x:c>
      <x:c r="E2488" s="19" t="str">
        <x:v>月相编目师</x:v>
      </x:c>
      <x:c r="F2488" s="19" t="str">
        <x:v>稀有</x:v>
      </x:c>
      <x:c r="G2488" s="19" t="str">
        <x:v>材料独立候选</x:v>
      </x:c>
      <x:c r="H2488" s="19" t="str">
        <x:v>黄金树芽</x:v>
      </x:c>
      <x:c r="I2488" s="22" t="n">
        <x:v>4000</x:v>
      </x:c>
      <x:c r="J2488" s="22" t="n">
        <x:v>1</x:v>
      </x:c>
      <x:c r="K2488" s="19" t="n">
        <x:v>1</x:v>
      </x:c>
      <x:c r="L2488" s="24" t="n">
        <x:v>27.839999999999996</x:v>
      </x:c>
      <x:c r="M2488" s="26" t="n">
        <x:v>0.1</x:v>
      </x:c>
      <x:c r="N2488" s="24" t="n">
        <x:v>10.757128494041028</x:v>
      </x:c>
      <x:c r="O2488" s="28" t="n">
        <x:f>MIN(1,L2488/I2488)</x:f>
        <x:v>0.006959999999999999</x:v>
      </x:c>
      <x:c r="P2488" s="30" t="n">
        <x:f>O2488*J2488*(1+M2488)</x:f>
        <x:v>0.007656</x:v>
      </x:c>
      <x:c r="Q2488" s="30" t="n">
        <x:f>P2488*N2488</x:f>
        <x:v>0.08235657575037811</x:v>
      </x:c>
      <x:c r="R2488" s="19" t="str">
        <x:v>独立判定</x:v>
      </x:c>
    </x:row>
    <x:row r="2489" ht="19" customHeight="1">
      <x:c r="A2489" s="19" t="str">
        <x:v>D02485</x:v>
      </x:c>
      <x:c r="B2489" s="19" t="n">
        <x:v>5</x:v>
      </x:c>
      <x:c r="C2489" s="19" t="n">
        <x:v>4</x:v>
      </x:c>
      <x:c r="D2489" s="19" t="str">
        <x:v>C05-M043</x:v>
      </x:c>
      <x:c r="E2489" s="19" t="str">
        <x:v>月相编目师</x:v>
      </x:c>
      <x:c r="F2489" s="19" t="str">
        <x:v>稀有</x:v>
      </x:c>
      <x:c r="G2489" s="19" t="str">
        <x:v>材料独立候选</x:v>
      </x:c>
      <x:c r="H2489" s="19" t="str">
        <x:v>野兽骨片</x:v>
      </x:c>
      <x:c r="I2489" s="22" t="n">
        <x:v>80</x:v>
      </x:c>
      <x:c r="J2489" s="22" t="n">
        <x:v>3</x:v>
      </x:c>
      <x:c r="K2489" s="19" t="n">
        <x:v>1</x:v>
      </x:c>
      <x:c r="L2489" s="24" t="n">
        <x:v>27.839999999999996</x:v>
      </x:c>
      <x:c r="M2489" s="26" t="n">
        <x:v>0.1</x:v>
      </x:c>
      <x:c r="N2489" s="24" t="n">
        <x:v>10.757128494041028</x:v>
      </x:c>
      <x:c r="O2489" s="28" t="n">
        <x:f>MIN(1,L2489/I2489)</x:f>
        <x:v>0.348</x:v>
      </x:c>
      <x:c r="P2489" s="30" t="n">
        <x:f>O2489*J2489*(1+M2489)</x:f>
        <x:v>1.1484</x:v>
      </x:c>
      <x:c r="Q2489" s="30" t="n">
        <x:f>P2489*N2489</x:f>
        <x:v>12.353486362556717</x:v>
      </x:c>
      <x:c r="R2489" s="19" t="str">
        <x:v>独立判定</x:v>
      </x:c>
    </x:row>
    <x:row r="2490" ht="19" customHeight="1">
      <x:c r="A2490" s="19" t="str">
        <x:v>D02486</x:v>
      </x:c>
      <x:c r="B2490" s="19" t="n">
        <x:v>5</x:v>
      </x:c>
      <x:c r="C2490" s="19" t="n">
        <x:v>4</x:v>
      </x:c>
      <x:c r="D2490" s="19" t="str">
        <x:v>C05-M043</x:v>
      </x:c>
      <x:c r="E2490" s="19" t="str">
        <x:v>月相编目师</x:v>
      </x:c>
      <x:c r="F2490" s="19" t="str">
        <x:v>稀有</x:v>
      </x:c>
      <x:c r="G2490" s="19" t="str">
        <x:v>材料独立候选</x:v>
      </x:c>
      <x:c r="H2490" s="19" t="str">
        <x:v>技能残页</x:v>
      </x:c>
      <x:c r="I2490" s="22" t="n">
        <x:v>2000</x:v>
      </x:c>
      <x:c r="J2490" s="22" t="n">
        <x:v>1</x:v>
      </x:c>
      <x:c r="K2490" s="19" t="n">
        <x:v>1</x:v>
      </x:c>
      <x:c r="L2490" s="24" t="n">
        <x:v>27.839999999999996</x:v>
      </x:c>
      <x:c r="M2490" s="26" t="n">
        <x:v>0.1</x:v>
      </x:c>
      <x:c r="N2490" s="24" t="n">
        <x:v>10.757128494041028</x:v>
      </x:c>
      <x:c r="O2490" s="28" t="n">
        <x:f>MIN(1,L2490/I2490)</x:f>
        <x:v>0.013919999999999998</x:v>
      </x:c>
      <x:c r="P2490" s="30" t="n">
        <x:f>O2490*J2490*(1+M2490)</x:f>
        <x:v>0.015312</x:v>
      </x:c>
      <x:c r="Q2490" s="30" t="n">
        <x:f>P2490*N2490</x:f>
        <x:v>0.16471315150075622</x:v>
      </x:c>
      <x:c r="R2490" s="19" t="str">
        <x:v>独立判定</x:v>
      </x:c>
    </x:row>
    <x:row r="2491" ht="19" customHeight="1">
      <x:c r="A2491" s="19" t="str">
        <x:v>D02487</x:v>
      </x:c>
      <x:c r="B2491" s="19" t="n">
        <x:v>5</x:v>
      </x:c>
      <x:c r="C2491" s="19" t="n">
        <x:v>4</x:v>
      </x:c>
      <x:c r="D2491" s="19" t="str">
        <x:v>C05-M043</x:v>
      </x:c>
      <x:c r="E2491" s="19" t="str">
        <x:v>月相编目师</x:v>
      </x:c>
      <x:c r="F2491" s="19" t="str">
        <x:v>稀有</x:v>
      </x:c>
      <x:c r="G2491" s="19" t="str">
        <x:v>材料独立候选</x:v>
      </x:c>
      <x:c r="H2491" s="19" t="str">
        <x:v>小卢恩</x:v>
      </x:c>
      <x:c r="I2491" s="22" t="n">
        <x:v>5000</x:v>
      </x:c>
      <x:c r="J2491" s="22" t="n">
        <x:v>1</x:v>
      </x:c>
      <x:c r="K2491" s="19" t="n">
        <x:v>1</x:v>
      </x:c>
      <x:c r="L2491" s="24" t="n">
        <x:v>27.839999999999996</x:v>
      </x:c>
      <x:c r="M2491" s="26" t="n">
        <x:v>0.1</x:v>
      </x:c>
      <x:c r="N2491" s="24" t="n">
        <x:v>10.757128494041028</x:v>
      </x:c>
      <x:c r="O2491" s="28" t="n">
        <x:f>MIN(1,L2491/I2491)</x:f>
        <x:v>0.005567999999999999</x:v>
      </x:c>
      <x:c r="P2491" s="30" t="n">
        <x:f>O2491*J2491*(1+M2491)</x:f>
        <x:v>0.0061248</x:v>
      </x:c>
      <x:c r="Q2491" s="30" t="n">
        <x:f>P2491*N2491</x:f>
        <x:v>0.06588526060030249</x:v>
      </x:c>
      <x:c r="R2491" s="19" t="str">
        <x:v>独立判定</x:v>
      </x:c>
    </x:row>
    <x:row r="2492" ht="19" customHeight="1">
      <x:c r="A2492" s="19" t="str">
        <x:v>D02488</x:v>
      </x:c>
      <x:c r="B2492" s="19" t="n">
        <x:v>5</x:v>
      </x:c>
      <x:c r="C2492" s="19" t="n">
        <x:v>4</x:v>
      </x:c>
      <x:c r="D2492" s="19" t="str">
        <x:v>C05-M043</x:v>
      </x:c>
      <x:c r="E2492" s="19" t="str">
        <x:v>月相编目师</x:v>
      </x:c>
      <x:c r="F2492" s="19" t="str">
        <x:v>稀有</x:v>
      </x:c>
      <x:c r="G2492" s="19" t="str">
        <x:v>六神器公共池</x:v>
      </x:c>
      <x:c r="H2492" s="19" t="str">
        <x:v>POOL006</x:v>
      </x:c>
      <x:c r="I2492" s="22" t="n">
        <x:v>5000000</x:v>
      </x:c>
      <x:c r="J2492" s="22" t="n">
        <x:v>1</x:v>
      </x:c>
      <x:c r="K2492" s="19" t="n">
        <x:v>6</x:v>
      </x:c>
      <x:c r="L2492" s="24" t="n">
        <x:v>27.839999999999996</x:v>
      </x:c>
      <x:c r="M2492" s="26" t="n">
        <x:v>0.1</x:v>
      </x:c>
      <x:c r="N2492" s="24" t="n">
        <x:v>10.757128494041028</x:v>
      </x:c>
      <x:c r="O2492" s="28" t="n">
        <x:f>MIN(1,L2492/I2492)</x:f>
        <x:v>0.000005567999999999999</x:v>
      </x:c>
      <x:c r="P2492" s="30" t="n">
        <x:f>O2492*J2492*(1+M2492)</x:f>
        <x:v>0.000006124799999999999</x:v>
      </x:c>
      <x:c r="Q2492" s="30" t="n">
        <x:f>P2492*N2492</x:f>
        <x:v>0.00006588526060030248</x:v>
      </x:c>
      <x:c r="R2492" s="19" t="str">
        <x:v>六选一；非6个独立爆率</x:v>
      </x:c>
    </x:row>
    <x:row r="2493" ht="19" customHeight="1">
      <x:c r="A2493" s="19" t="str">
        <x:v>D02489</x:v>
      </x:c>
      <x:c r="B2493" s="19" t="n">
        <x:v>5</x:v>
      </x:c>
      <x:c r="C2493" s="19" t="n">
        <x:v>4</x:v>
      </x:c>
      <x:c r="D2493" s="19" t="str">
        <x:v>C05-M044</x:v>
      </x:c>
      <x:c r="E2493" s="19" t="str">
        <x:v>禁页蚀字兽</x:v>
      </x:c>
      <x:c r="F2493" s="19" t="str">
        <x:v>稀有</x:v>
      </x:c>
      <x:c r="G2493" s="19" t="str">
        <x:v>自身专属</x:v>
      </x:c>
      <x:c r="H2493" s="19" t="str">
        <x:v>禁页蚀字冠</x:v>
      </x:c>
      <x:c r="I2493" s="22" t="n">
        <x:v>500</x:v>
      </x:c>
      <x:c r="J2493" s="22" t="n">
        <x:v>1</x:v>
      </x:c>
      <x:c r="K2493" s="19" t="n">
        <x:v>1</x:v>
      </x:c>
      <x:c r="L2493" s="24" t="n">
        <x:v>27.839999999999996</x:v>
      </x:c>
      <x:c r="M2493" s="26" t="n">
        <x:v>0.1</x:v>
      </x:c>
      <x:c r="N2493" s="24" t="n">
        <x:v>10.757128494041028</x:v>
      </x:c>
      <x:c r="O2493" s="28" t="n">
        <x:f>MIN(1,L2493/I2493)</x:f>
        <x:v>0.05567999999999999</x:v>
      </x:c>
      <x:c r="P2493" s="30" t="n">
        <x:f>O2493*J2493*(1+M2493)</x:f>
        <x:v>0.061248</x:v>
      </x:c>
      <x:c r="Q2493" s="30" t="n">
        <x:f>P2493*N2493</x:f>
        <x:v>0.6588526060030249</x:v>
      </x:c>
      <x:c r="R2493" s="19" t="str">
        <x:v>独立判定</x:v>
      </x:c>
    </x:row>
    <x:row r="2494" ht="19" customHeight="1">
      <x:c r="A2494" s="19" t="str">
        <x:v>D02490</x:v>
      </x:c>
      <x:c r="B2494" s="19" t="n">
        <x:v>5</x:v>
      </x:c>
      <x:c r="C2494" s="19" t="n">
        <x:v>4</x:v>
      </x:c>
      <x:c r="D2494" s="19" t="str">
        <x:v>C05-M044</x:v>
      </x:c>
      <x:c r="E2494" s="19" t="str">
        <x:v>禁页蚀字兽</x:v>
      </x:c>
      <x:c r="F2494" s="19" t="str">
        <x:v>稀有</x:v>
      </x:c>
      <x:c r="G2494" s="19" t="str">
        <x:v>材料独立候选</x:v>
      </x:c>
      <x:c r="H2494" s="19" t="str">
        <x:v>辉石碎晶</x:v>
      </x:c>
      <x:c r="I2494" s="22" t="n">
        <x:v>500</x:v>
      </x:c>
      <x:c r="J2494" s="22" t="n">
        <x:v>15</x:v>
      </x:c>
      <x:c r="K2494" s="19" t="n">
        <x:v>1</x:v>
      </x:c>
      <x:c r="L2494" s="24" t="n">
        <x:v>27.839999999999996</x:v>
      </x:c>
      <x:c r="M2494" s="26" t="n">
        <x:v>0.1</x:v>
      </x:c>
      <x:c r="N2494" s="24" t="n">
        <x:v>10.757128494041028</x:v>
      </x:c>
      <x:c r="O2494" s="28" t="n">
        <x:f>MIN(1,L2494/I2494)</x:f>
        <x:v>0.05567999999999999</x:v>
      </x:c>
      <x:c r="P2494" s="30" t="n">
        <x:f>O2494*J2494*(1+M2494)</x:f>
        <x:v>0.91872</x:v>
      </x:c>
      <x:c r="Q2494" s="30" t="n">
        <x:f>P2494*N2494</x:f>
        <x:v>9.882789090045373</x:v>
      </x:c>
      <x:c r="R2494" s="19" t="str">
        <x:v>独立判定</x:v>
      </x:c>
    </x:row>
    <x:row r="2495" ht="19" customHeight="1">
      <x:c r="A2495" s="19" t="str">
        <x:v>D02491</x:v>
      </x:c>
      <x:c r="B2495" s="19" t="n">
        <x:v>5</x:v>
      </x:c>
      <x:c r="C2495" s="19" t="n">
        <x:v>4</x:v>
      </x:c>
      <x:c r="D2495" s="19" t="str">
        <x:v>C05-M044</x:v>
      </x:c>
      <x:c r="E2495" s="19" t="str">
        <x:v>禁页蚀字兽</x:v>
      </x:c>
      <x:c r="F2495" s="19" t="str">
        <x:v>稀有</x:v>
      </x:c>
      <x:c r="G2495" s="19" t="str">
        <x:v>材料独立候选</x:v>
      </x:c>
      <x:c r="H2495" s="19" t="str">
        <x:v>卡利亚月露</x:v>
      </x:c>
      <x:c r="I2495" s="22" t="n">
        <x:v>800</x:v>
      </x:c>
      <x:c r="J2495" s="22" t="n">
        <x:v>1</x:v>
      </x:c>
      <x:c r="K2495" s="19" t="n">
        <x:v>1</x:v>
      </x:c>
      <x:c r="L2495" s="24" t="n">
        <x:v>27.839999999999996</x:v>
      </x:c>
      <x:c r="M2495" s="26" t="n">
        <x:v>0.1</x:v>
      </x:c>
      <x:c r="N2495" s="24" t="n">
        <x:v>10.757128494041028</x:v>
      </x:c>
      <x:c r="O2495" s="28" t="n">
        <x:f>MIN(1,L2495/I2495)</x:f>
        <x:v>0.0348</x:v>
      </x:c>
      <x:c r="P2495" s="30" t="n">
        <x:f>O2495*J2495*(1+M2495)</x:f>
        <x:v>0.03828</x:v>
      </x:c>
      <x:c r="Q2495" s="30" t="n">
        <x:f>P2495*N2495</x:f>
        <x:v>0.41178287875189057</x:v>
      </x:c>
      <x:c r="R2495" s="19" t="str">
        <x:v>独立判定</x:v>
      </x:c>
    </x:row>
    <x:row r="2496" ht="19" customHeight="1">
      <x:c r="A2496" s="19" t="str">
        <x:v>D02492</x:v>
      </x:c>
      <x:c r="B2496" s="19" t="n">
        <x:v>5</x:v>
      </x:c>
      <x:c r="C2496" s="19" t="n">
        <x:v>4</x:v>
      </x:c>
      <x:c r="D2496" s="19" t="str">
        <x:v>C05-M044</x:v>
      </x:c>
      <x:c r="E2496" s="19" t="str">
        <x:v>禁页蚀字兽</x:v>
      </x:c>
      <x:c r="F2496" s="19" t="str">
        <x:v>稀有</x:v>
      </x:c>
      <x:c r="G2496" s="19" t="str">
        <x:v>材料独立候选</x:v>
      </x:c>
      <x:c r="H2496" s="19" t="str">
        <x:v>学院封蜡</x:v>
      </x:c>
      <x:c r="I2496" s="22" t="n">
        <x:v>1200</x:v>
      </x:c>
      <x:c r="J2496" s="22" t="n">
        <x:v>1</x:v>
      </x:c>
      <x:c r="K2496" s="19" t="n">
        <x:v>1</x:v>
      </x:c>
      <x:c r="L2496" s="24" t="n">
        <x:v>27.839999999999996</x:v>
      </x:c>
      <x:c r="M2496" s="26" t="n">
        <x:v>0.1</x:v>
      </x:c>
      <x:c r="N2496" s="24" t="n">
        <x:v>10.757128494041028</x:v>
      </x:c>
      <x:c r="O2496" s="28" t="n">
        <x:f>MIN(1,L2496/I2496)</x:f>
        <x:v>0.0232</x:v>
      </x:c>
      <x:c r="P2496" s="30" t="n">
        <x:f>O2496*J2496*(1+M2496)</x:f>
        <x:v>0.02552</x:v>
      </x:c>
      <x:c r="Q2496" s="30" t="n">
        <x:f>P2496*N2496</x:f>
        <x:v>0.27452191916792706</x:v>
      </x:c>
      <x:c r="R2496" s="19" t="str">
        <x:v>独立判定</x:v>
      </x:c>
    </x:row>
    <x:row r="2497" ht="19" customHeight="1">
      <x:c r="A2497" s="19" t="str">
        <x:v>D02493</x:v>
      </x:c>
      <x:c r="B2497" s="19" t="n">
        <x:v>5</x:v>
      </x:c>
      <x:c r="C2497" s="19" t="n">
        <x:v>4</x:v>
      </x:c>
      <x:c r="D2497" s="19" t="str">
        <x:v>C05-M044</x:v>
      </x:c>
      <x:c r="E2497" s="19" t="str">
        <x:v>禁页蚀字兽</x:v>
      </x:c>
      <x:c r="F2497" s="19" t="str">
        <x:v>稀有</x:v>
      </x:c>
      <x:c r="G2497" s="19" t="str">
        <x:v>材料独立候选</x:v>
      </x:c>
      <x:c r="H2497" s="19" t="str">
        <x:v>湖心月谱残章</x:v>
      </x:c>
      <x:c r="I2497" s="22" t="n">
        <x:v>800000</x:v>
      </x:c>
      <x:c r="J2497" s="22" t="n">
        <x:v>1</x:v>
      </x:c>
      <x:c r="K2497" s="19" t="n">
        <x:v>1</x:v>
      </x:c>
      <x:c r="L2497" s="24" t="n">
        <x:v>27.839999999999996</x:v>
      </x:c>
      <x:c r="M2497" s="26" t="n">
        <x:v>0.1</x:v>
      </x:c>
      <x:c r="N2497" s="24" t="n">
        <x:v>10.757128494041028</x:v>
      </x:c>
      <x:c r="O2497" s="28" t="n">
        <x:f>MIN(1,L2497/I2497)</x:f>
        <x:v>0.00003479999999999999</x:v>
      </x:c>
      <x:c r="P2497" s="30" t="n">
        <x:f>O2497*J2497*(1+M2497)</x:f>
        <x:v>0.00003827999999999999</x:v>
      </x:c>
      <x:c r="Q2497" s="30" t="n">
        <x:f>P2497*N2497</x:f>
        <x:v>0.0004117828787518905</x:v>
      </x:c>
      <x:c r="R2497" s="19" t="str">
        <x:v>独立判定</x:v>
      </x:c>
    </x:row>
    <x:row r="2498" ht="19" customHeight="1">
      <x:c r="A2498" s="19" t="str">
        <x:v>D02494</x:v>
      </x:c>
      <x:c r="B2498" s="19" t="n">
        <x:v>5</x:v>
      </x:c>
      <x:c r="C2498" s="19" t="n">
        <x:v>4</x:v>
      </x:c>
      <x:c r="D2498" s="19" t="str">
        <x:v>C05-M044</x:v>
      </x:c>
      <x:c r="E2498" s="19" t="str">
        <x:v>禁页蚀字兽</x:v>
      </x:c>
      <x:c r="F2498" s="19" t="str">
        <x:v>稀有</x:v>
      </x:c>
      <x:c r="G2498" s="19" t="str">
        <x:v>材料独立候选</x:v>
      </x:c>
      <x:c r="H2498" s="19" t="str">
        <x:v>黄金树芽</x:v>
      </x:c>
      <x:c r="I2498" s="22" t="n">
        <x:v>4000</x:v>
      </x:c>
      <x:c r="J2498" s="22" t="n">
        <x:v>1</x:v>
      </x:c>
      <x:c r="K2498" s="19" t="n">
        <x:v>1</x:v>
      </x:c>
      <x:c r="L2498" s="24" t="n">
        <x:v>27.839999999999996</x:v>
      </x:c>
      <x:c r="M2498" s="26" t="n">
        <x:v>0.1</x:v>
      </x:c>
      <x:c r="N2498" s="24" t="n">
        <x:v>10.757128494041028</x:v>
      </x:c>
      <x:c r="O2498" s="28" t="n">
        <x:f>MIN(1,L2498/I2498)</x:f>
        <x:v>0.006959999999999999</x:v>
      </x:c>
      <x:c r="P2498" s="30" t="n">
        <x:f>O2498*J2498*(1+M2498)</x:f>
        <x:v>0.007656</x:v>
      </x:c>
      <x:c r="Q2498" s="30" t="n">
        <x:f>P2498*N2498</x:f>
        <x:v>0.08235657575037811</x:v>
      </x:c>
      <x:c r="R2498" s="19" t="str">
        <x:v>独立判定</x:v>
      </x:c>
    </x:row>
    <x:row r="2499" ht="19" customHeight="1">
      <x:c r="A2499" s="19" t="str">
        <x:v>D02495</x:v>
      </x:c>
      <x:c r="B2499" s="19" t="n">
        <x:v>5</x:v>
      </x:c>
      <x:c r="C2499" s="19" t="n">
        <x:v>4</x:v>
      </x:c>
      <x:c r="D2499" s="19" t="str">
        <x:v>C05-M044</x:v>
      </x:c>
      <x:c r="E2499" s="19" t="str">
        <x:v>禁页蚀字兽</x:v>
      </x:c>
      <x:c r="F2499" s="19" t="str">
        <x:v>稀有</x:v>
      </x:c>
      <x:c r="G2499" s="19" t="str">
        <x:v>材料独立候选</x:v>
      </x:c>
      <x:c r="H2499" s="19" t="str">
        <x:v>野兽骨片</x:v>
      </x:c>
      <x:c r="I2499" s="22" t="n">
        <x:v>80</x:v>
      </x:c>
      <x:c r="J2499" s="22" t="n">
        <x:v>3</x:v>
      </x:c>
      <x:c r="K2499" s="19" t="n">
        <x:v>1</x:v>
      </x:c>
      <x:c r="L2499" s="24" t="n">
        <x:v>27.839999999999996</x:v>
      </x:c>
      <x:c r="M2499" s="26" t="n">
        <x:v>0.1</x:v>
      </x:c>
      <x:c r="N2499" s="24" t="n">
        <x:v>10.757128494041028</x:v>
      </x:c>
      <x:c r="O2499" s="28" t="n">
        <x:f>MIN(1,L2499/I2499)</x:f>
        <x:v>0.348</x:v>
      </x:c>
      <x:c r="P2499" s="30" t="n">
        <x:f>O2499*J2499*(1+M2499)</x:f>
        <x:v>1.1484</x:v>
      </x:c>
      <x:c r="Q2499" s="30" t="n">
        <x:f>P2499*N2499</x:f>
        <x:v>12.353486362556717</x:v>
      </x:c>
      <x:c r="R2499" s="19" t="str">
        <x:v>独立判定</x:v>
      </x:c>
    </x:row>
    <x:row r="2500" ht="19" customHeight="1">
      <x:c r="A2500" s="19" t="str">
        <x:v>D02496</x:v>
      </x:c>
      <x:c r="B2500" s="19" t="n">
        <x:v>5</x:v>
      </x:c>
      <x:c r="C2500" s="19" t="n">
        <x:v>4</x:v>
      </x:c>
      <x:c r="D2500" s="19" t="str">
        <x:v>C05-M044</x:v>
      </x:c>
      <x:c r="E2500" s="19" t="str">
        <x:v>禁页蚀字兽</x:v>
      </x:c>
      <x:c r="F2500" s="19" t="str">
        <x:v>稀有</x:v>
      </x:c>
      <x:c r="G2500" s="19" t="str">
        <x:v>材料独立候选</x:v>
      </x:c>
      <x:c r="H2500" s="19" t="str">
        <x:v>技能残页</x:v>
      </x:c>
      <x:c r="I2500" s="22" t="n">
        <x:v>2000</x:v>
      </x:c>
      <x:c r="J2500" s="22" t="n">
        <x:v>1</x:v>
      </x:c>
      <x:c r="K2500" s="19" t="n">
        <x:v>1</x:v>
      </x:c>
      <x:c r="L2500" s="24" t="n">
        <x:v>27.839999999999996</x:v>
      </x:c>
      <x:c r="M2500" s="26" t="n">
        <x:v>0.1</x:v>
      </x:c>
      <x:c r="N2500" s="24" t="n">
        <x:v>10.757128494041028</x:v>
      </x:c>
      <x:c r="O2500" s="28" t="n">
        <x:f>MIN(1,L2500/I2500)</x:f>
        <x:v>0.013919999999999998</x:v>
      </x:c>
      <x:c r="P2500" s="30" t="n">
        <x:f>O2500*J2500*(1+M2500)</x:f>
        <x:v>0.015312</x:v>
      </x:c>
      <x:c r="Q2500" s="30" t="n">
        <x:f>P2500*N2500</x:f>
        <x:v>0.16471315150075622</x:v>
      </x:c>
      <x:c r="R2500" s="19" t="str">
        <x:v>独立判定</x:v>
      </x:c>
    </x:row>
    <x:row r="2501" ht="19" customHeight="1">
      <x:c r="A2501" s="19" t="str">
        <x:v>D02497</x:v>
      </x:c>
      <x:c r="B2501" s="19" t="n">
        <x:v>5</x:v>
      </x:c>
      <x:c r="C2501" s="19" t="n">
        <x:v>4</x:v>
      </x:c>
      <x:c r="D2501" s="19" t="str">
        <x:v>C05-M044</x:v>
      </x:c>
      <x:c r="E2501" s="19" t="str">
        <x:v>禁页蚀字兽</x:v>
      </x:c>
      <x:c r="F2501" s="19" t="str">
        <x:v>稀有</x:v>
      </x:c>
      <x:c r="G2501" s="19" t="str">
        <x:v>材料独立候选</x:v>
      </x:c>
      <x:c r="H2501" s="19" t="str">
        <x:v>小卢恩</x:v>
      </x:c>
      <x:c r="I2501" s="22" t="n">
        <x:v>5000</x:v>
      </x:c>
      <x:c r="J2501" s="22" t="n">
        <x:v>1</x:v>
      </x:c>
      <x:c r="K2501" s="19" t="n">
        <x:v>1</x:v>
      </x:c>
      <x:c r="L2501" s="24" t="n">
        <x:v>27.839999999999996</x:v>
      </x:c>
      <x:c r="M2501" s="26" t="n">
        <x:v>0.1</x:v>
      </x:c>
      <x:c r="N2501" s="24" t="n">
        <x:v>10.757128494041028</x:v>
      </x:c>
      <x:c r="O2501" s="28" t="n">
        <x:f>MIN(1,L2501/I2501)</x:f>
        <x:v>0.005567999999999999</x:v>
      </x:c>
      <x:c r="P2501" s="30" t="n">
        <x:f>O2501*J2501*(1+M2501)</x:f>
        <x:v>0.0061248</x:v>
      </x:c>
      <x:c r="Q2501" s="30" t="n">
        <x:f>P2501*N2501</x:f>
        <x:v>0.06588526060030249</x:v>
      </x:c>
      <x:c r="R2501" s="19" t="str">
        <x:v>独立判定</x:v>
      </x:c>
    </x:row>
    <x:row r="2502" ht="19" customHeight="1">
      <x:c r="A2502" s="19" t="str">
        <x:v>D02498</x:v>
      </x:c>
      <x:c r="B2502" s="19" t="n">
        <x:v>5</x:v>
      </x:c>
      <x:c r="C2502" s="19" t="n">
        <x:v>4</x:v>
      </x:c>
      <x:c r="D2502" s="19" t="str">
        <x:v>C05-M044</x:v>
      </x:c>
      <x:c r="E2502" s="19" t="str">
        <x:v>禁页蚀字兽</x:v>
      </x:c>
      <x:c r="F2502" s="19" t="str">
        <x:v>稀有</x:v>
      </x:c>
      <x:c r="G2502" s="19" t="str">
        <x:v>六神器公共池</x:v>
      </x:c>
      <x:c r="H2502" s="19" t="str">
        <x:v>POOL006</x:v>
      </x:c>
      <x:c r="I2502" s="22" t="n">
        <x:v>5000000</x:v>
      </x:c>
      <x:c r="J2502" s="22" t="n">
        <x:v>1</x:v>
      </x:c>
      <x:c r="K2502" s="19" t="n">
        <x:v>6</x:v>
      </x:c>
      <x:c r="L2502" s="24" t="n">
        <x:v>27.839999999999996</x:v>
      </x:c>
      <x:c r="M2502" s="26" t="n">
        <x:v>0.1</x:v>
      </x:c>
      <x:c r="N2502" s="24" t="n">
        <x:v>10.757128494041028</x:v>
      </x:c>
      <x:c r="O2502" s="28" t="n">
        <x:f>MIN(1,L2502/I2502)</x:f>
        <x:v>0.000005567999999999999</x:v>
      </x:c>
      <x:c r="P2502" s="30" t="n">
        <x:f>O2502*J2502*(1+M2502)</x:f>
        <x:v>0.000006124799999999999</x:v>
      </x:c>
      <x:c r="Q2502" s="30" t="n">
        <x:f>P2502*N2502</x:f>
        <x:v>0.00006588526060030248</x:v>
      </x:c>
      <x:c r="R2502" s="19" t="str">
        <x:v>六选一；非6个独立爆率</x:v>
      </x:c>
    </x:row>
    <x:row r="2503" ht="19" customHeight="1">
      <x:c r="A2503" s="19" t="str">
        <x:v>D02499</x:v>
      </x:c>
      <x:c r="B2503" s="19" t="n">
        <x:v>5</x:v>
      </x:c>
      <x:c r="C2503" s="19" t="n">
        <x:v>4</x:v>
      </x:c>
      <x:c r="D2503" s="19" t="str">
        <x:v>C05-M045</x:v>
      </x:c>
      <x:c r="E2503" s="19" t="str">
        <x:v>藏卷沉思者</x:v>
      </x:c>
      <x:c r="F2503" s="19" t="str">
        <x:v>稀有</x:v>
      </x:c>
      <x:c r="G2503" s="19" t="str">
        <x:v>自身专属</x:v>
      </x:c>
      <x:c r="H2503" s="19" t="str">
        <x:v>藏卷沉思章</x:v>
      </x:c>
      <x:c r="I2503" s="22" t="n">
        <x:v>500</x:v>
      </x:c>
      <x:c r="J2503" s="22" t="n">
        <x:v>1</x:v>
      </x:c>
      <x:c r="K2503" s="19" t="n">
        <x:v>1</x:v>
      </x:c>
      <x:c r="L2503" s="24" t="n">
        <x:v>27.839999999999996</x:v>
      </x:c>
      <x:c r="M2503" s="26" t="n">
        <x:v>0.1</x:v>
      </x:c>
      <x:c r="N2503" s="24" t="n">
        <x:v>10.757128494041028</x:v>
      </x:c>
      <x:c r="O2503" s="28" t="n">
        <x:f>MIN(1,L2503/I2503)</x:f>
        <x:v>0.05567999999999999</x:v>
      </x:c>
      <x:c r="P2503" s="30" t="n">
        <x:f>O2503*J2503*(1+M2503)</x:f>
        <x:v>0.061248</x:v>
      </x:c>
      <x:c r="Q2503" s="30" t="n">
        <x:f>P2503*N2503</x:f>
        <x:v>0.6588526060030249</x:v>
      </x:c>
      <x:c r="R2503" s="19" t="str">
        <x:v>独立判定</x:v>
      </x:c>
    </x:row>
    <x:row r="2504" ht="19" customHeight="1">
      <x:c r="A2504" s="19" t="str">
        <x:v>D02500</x:v>
      </x:c>
      <x:c r="B2504" s="19" t="n">
        <x:v>5</x:v>
      </x:c>
      <x:c r="C2504" s="19" t="n">
        <x:v>4</x:v>
      </x:c>
      <x:c r="D2504" s="19" t="str">
        <x:v>C05-M045</x:v>
      </x:c>
      <x:c r="E2504" s="19" t="str">
        <x:v>藏卷沉思者</x:v>
      </x:c>
      <x:c r="F2504" s="19" t="str">
        <x:v>稀有</x:v>
      </x:c>
      <x:c r="G2504" s="19" t="str">
        <x:v>材料独立候选</x:v>
      </x:c>
      <x:c r="H2504" s="19" t="str">
        <x:v>辉石碎晶</x:v>
      </x:c>
      <x:c r="I2504" s="22" t="n">
        <x:v>500</x:v>
      </x:c>
      <x:c r="J2504" s="22" t="n">
        <x:v>15</x:v>
      </x:c>
      <x:c r="K2504" s="19" t="n">
        <x:v>1</x:v>
      </x:c>
      <x:c r="L2504" s="24" t="n">
        <x:v>27.839999999999996</x:v>
      </x:c>
      <x:c r="M2504" s="26" t="n">
        <x:v>0.1</x:v>
      </x:c>
      <x:c r="N2504" s="24" t="n">
        <x:v>10.757128494041028</x:v>
      </x:c>
      <x:c r="O2504" s="28" t="n">
        <x:f>MIN(1,L2504/I2504)</x:f>
        <x:v>0.05567999999999999</x:v>
      </x:c>
      <x:c r="P2504" s="30" t="n">
        <x:f>O2504*J2504*(1+M2504)</x:f>
        <x:v>0.91872</x:v>
      </x:c>
      <x:c r="Q2504" s="30" t="n">
        <x:f>P2504*N2504</x:f>
        <x:v>9.882789090045373</x:v>
      </x:c>
      <x:c r="R2504" s="19" t="str">
        <x:v>独立判定</x:v>
      </x:c>
    </x:row>
    <x:row r="2505" ht="19" customHeight="1">
      <x:c r="A2505" s="19" t="str">
        <x:v>D02501</x:v>
      </x:c>
      <x:c r="B2505" s="19" t="n">
        <x:v>5</x:v>
      </x:c>
      <x:c r="C2505" s="19" t="n">
        <x:v>4</x:v>
      </x:c>
      <x:c r="D2505" s="19" t="str">
        <x:v>C05-M045</x:v>
      </x:c>
      <x:c r="E2505" s="19" t="str">
        <x:v>藏卷沉思者</x:v>
      </x:c>
      <x:c r="F2505" s="19" t="str">
        <x:v>稀有</x:v>
      </x:c>
      <x:c r="G2505" s="19" t="str">
        <x:v>材料独立候选</x:v>
      </x:c>
      <x:c r="H2505" s="19" t="str">
        <x:v>卡利亚月露</x:v>
      </x:c>
      <x:c r="I2505" s="22" t="n">
        <x:v>800</x:v>
      </x:c>
      <x:c r="J2505" s="22" t="n">
        <x:v>1</x:v>
      </x:c>
      <x:c r="K2505" s="19" t="n">
        <x:v>1</x:v>
      </x:c>
      <x:c r="L2505" s="24" t="n">
        <x:v>27.839999999999996</x:v>
      </x:c>
      <x:c r="M2505" s="26" t="n">
        <x:v>0.1</x:v>
      </x:c>
      <x:c r="N2505" s="24" t="n">
        <x:v>10.757128494041028</x:v>
      </x:c>
      <x:c r="O2505" s="28" t="n">
        <x:f>MIN(1,L2505/I2505)</x:f>
        <x:v>0.0348</x:v>
      </x:c>
      <x:c r="P2505" s="30" t="n">
        <x:f>O2505*J2505*(1+M2505)</x:f>
        <x:v>0.03828</x:v>
      </x:c>
      <x:c r="Q2505" s="30" t="n">
        <x:f>P2505*N2505</x:f>
        <x:v>0.41178287875189057</x:v>
      </x:c>
      <x:c r="R2505" s="19" t="str">
        <x:v>独立判定</x:v>
      </x:c>
    </x:row>
    <x:row r="2506" ht="19" customHeight="1">
      <x:c r="A2506" s="19" t="str">
        <x:v>D02502</x:v>
      </x:c>
      <x:c r="B2506" s="19" t="n">
        <x:v>5</x:v>
      </x:c>
      <x:c r="C2506" s="19" t="n">
        <x:v>4</x:v>
      </x:c>
      <x:c r="D2506" s="19" t="str">
        <x:v>C05-M045</x:v>
      </x:c>
      <x:c r="E2506" s="19" t="str">
        <x:v>藏卷沉思者</x:v>
      </x:c>
      <x:c r="F2506" s="19" t="str">
        <x:v>稀有</x:v>
      </x:c>
      <x:c r="G2506" s="19" t="str">
        <x:v>材料独立候选</x:v>
      </x:c>
      <x:c r="H2506" s="19" t="str">
        <x:v>学院封蜡</x:v>
      </x:c>
      <x:c r="I2506" s="22" t="n">
        <x:v>1200</x:v>
      </x:c>
      <x:c r="J2506" s="22" t="n">
        <x:v>1</x:v>
      </x:c>
      <x:c r="K2506" s="19" t="n">
        <x:v>1</x:v>
      </x:c>
      <x:c r="L2506" s="24" t="n">
        <x:v>27.839999999999996</x:v>
      </x:c>
      <x:c r="M2506" s="26" t="n">
        <x:v>0.1</x:v>
      </x:c>
      <x:c r="N2506" s="24" t="n">
        <x:v>10.757128494041028</x:v>
      </x:c>
      <x:c r="O2506" s="28" t="n">
        <x:f>MIN(1,L2506/I2506)</x:f>
        <x:v>0.0232</x:v>
      </x:c>
      <x:c r="P2506" s="30" t="n">
        <x:f>O2506*J2506*(1+M2506)</x:f>
        <x:v>0.02552</x:v>
      </x:c>
      <x:c r="Q2506" s="30" t="n">
        <x:f>P2506*N2506</x:f>
        <x:v>0.27452191916792706</x:v>
      </x:c>
      <x:c r="R2506" s="19" t="str">
        <x:v>独立判定</x:v>
      </x:c>
    </x:row>
    <x:row r="2507" ht="19" customHeight="1">
      <x:c r="A2507" s="19" t="str">
        <x:v>D02503</x:v>
      </x:c>
      <x:c r="B2507" s="19" t="n">
        <x:v>5</x:v>
      </x:c>
      <x:c r="C2507" s="19" t="n">
        <x:v>4</x:v>
      </x:c>
      <x:c r="D2507" s="19" t="str">
        <x:v>C05-M045</x:v>
      </x:c>
      <x:c r="E2507" s="19" t="str">
        <x:v>藏卷沉思者</x:v>
      </x:c>
      <x:c r="F2507" s="19" t="str">
        <x:v>稀有</x:v>
      </x:c>
      <x:c r="G2507" s="19" t="str">
        <x:v>材料独立候选</x:v>
      </x:c>
      <x:c r="H2507" s="19" t="str">
        <x:v>湖心月谱残章</x:v>
      </x:c>
      <x:c r="I2507" s="22" t="n">
        <x:v>800000</x:v>
      </x:c>
      <x:c r="J2507" s="22" t="n">
        <x:v>1</x:v>
      </x:c>
      <x:c r="K2507" s="19" t="n">
        <x:v>1</x:v>
      </x:c>
      <x:c r="L2507" s="24" t="n">
        <x:v>27.839999999999996</x:v>
      </x:c>
      <x:c r="M2507" s="26" t="n">
        <x:v>0.1</x:v>
      </x:c>
      <x:c r="N2507" s="24" t="n">
        <x:v>10.757128494041028</x:v>
      </x:c>
      <x:c r="O2507" s="28" t="n">
        <x:f>MIN(1,L2507/I2507)</x:f>
        <x:v>0.00003479999999999999</x:v>
      </x:c>
      <x:c r="P2507" s="30" t="n">
        <x:f>O2507*J2507*(1+M2507)</x:f>
        <x:v>0.00003827999999999999</x:v>
      </x:c>
      <x:c r="Q2507" s="30" t="n">
        <x:f>P2507*N2507</x:f>
        <x:v>0.0004117828787518905</x:v>
      </x:c>
      <x:c r="R2507" s="19" t="str">
        <x:v>独立判定</x:v>
      </x:c>
    </x:row>
    <x:row r="2508" ht="19" customHeight="1">
      <x:c r="A2508" s="19" t="str">
        <x:v>D02504</x:v>
      </x:c>
      <x:c r="B2508" s="19" t="n">
        <x:v>5</x:v>
      </x:c>
      <x:c r="C2508" s="19" t="n">
        <x:v>4</x:v>
      </x:c>
      <x:c r="D2508" s="19" t="str">
        <x:v>C05-M045</x:v>
      </x:c>
      <x:c r="E2508" s="19" t="str">
        <x:v>藏卷沉思者</x:v>
      </x:c>
      <x:c r="F2508" s="19" t="str">
        <x:v>稀有</x:v>
      </x:c>
      <x:c r="G2508" s="19" t="str">
        <x:v>材料独立候选</x:v>
      </x:c>
      <x:c r="H2508" s="19" t="str">
        <x:v>黄金树芽</x:v>
      </x:c>
      <x:c r="I2508" s="22" t="n">
        <x:v>4000</x:v>
      </x:c>
      <x:c r="J2508" s="22" t="n">
        <x:v>1</x:v>
      </x:c>
      <x:c r="K2508" s="19" t="n">
        <x:v>1</x:v>
      </x:c>
      <x:c r="L2508" s="24" t="n">
        <x:v>27.839999999999996</x:v>
      </x:c>
      <x:c r="M2508" s="26" t="n">
        <x:v>0.1</x:v>
      </x:c>
      <x:c r="N2508" s="24" t="n">
        <x:v>10.757128494041028</x:v>
      </x:c>
      <x:c r="O2508" s="28" t="n">
        <x:f>MIN(1,L2508/I2508)</x:f>
        <x:v>0.006959999999999999</x:v>
      </x:c>
      <x:c r="P2508" s="30" t="n">
        <x:f>O2508*J2508*(1+M2508)</x:f>
        <x:v>0.007656</x:v>
      </x:c>
      <x:c r="Q2508" s="30" t="n">
        <x:f>P2508*N2508</x:f>
        <x:v>0.08235657575037811</x:v>
      </x:c>
      <x:c r="R2508" s="19" t="str">
        <x:v>独立判定</x:v>
      </x:c>
    </x:row>
    <x:row r="2509" ht="19" customHeight="1">
      <x:c r="A2509" s="19" t="str">
        <x:v>D02505</x:v>
      </x:c>
      <x:c r="B2509" s="19" t="n">
        <x:v>5</x:v>
      </x:c>
      <x:c r="C2509" s="19" t="n">
        <x:v>4</x:v>
      </x:c>
      <x:c r="D2509" s="19" t="str">
        <x:v>C05-M045</x:v>
      </x:c>
      <x:c r="E2509" s="19" t="str">
        <x:v>藏卷沉思者</x:v>
      </x:c>
      <x:c r="F2509" s="19" t="str">
        <x:v>稀有</x:v>
      </x:c>
      <x:c r="G2509" s="19" t="str">
        <x:v>材料独立候选</x:v>
      </x:c>
      <x:c r="H2509" s="19" t="str">
        <x:v>野兽骨片</x:v>
      </x:c>
      <x:c r="I2509" s="22" t="n">
        <x:v>80</x:v>
      </x:c>
      <x:c r="J2509" s="22" t="n">
        <x:v>3</x:v>
      </x:c>
      <x:c r="K2509" s="19" t="n">
        <x:v>1</x:v>
      </x:c>
      <x:c r="L2509" s="24" t="n">
        <x:v>27.839999999999996</x:v>
      </x:c>
      <x:c r="M2509" s="26" t="n">
        <x:v>0.1</x:v>
      </x:c>
      <x:c r="N2509" s="24" t="n">
        <x:v>10.757128494041028</x:v>
      </x:c>
      <x:c r="O2509" s="28" t="n">
        <x:f>MIN(1,L2509/I2509)</x:f>
        <x:v>0.348</x:v>
      </x:c>
      <x:c r="P2509" s="30" t="n">
        <x:f>O2509*J2509*(1+M2509)</x:f>
        <x:v>1.1484</x:v>
      </x:c>
      <x:c r="Q2509" s="30" t="n">
        <x:f>P2509*N2509</x:f>
        <x:v>12.353486362556717</x:v>
      </x:c>
      <x:c r="R2509" s="19" t="str">
        <x:v>独立判定</x:v>
      </x:c>
    </x:row>
    <x:row r="2510" ht="19" customHeight="1">
      <x:c r="A2510" s="19" t="str">
        <x:v>D02506</x:v>
      </x:c>
      <x:c r="B2510" s="19" t="n">
        <x:v>5</x:v>
      </x:c>
      <x:c r="C2510" s="19" t="n">
        <x:v>4</x:v>
      </x:c>
      <x:c r="D2510" s="19" t="str">
        <x:v>C05-M045</x:v>
      </x:c>
      <x:c r="E2510" s="19" t="str">
        <x:v>藏卷沉思者</x:v>
      </x:c>
      <x:c r="F2510" s="19" t="str">
        <x:v>稀有</x:v>
      </x:c>
      <x:c r="G2510" s="19" t="str">
        <x:v>材料独立候选</x:v>
      </x:c>
      <x:c r="H2510" s="19" t="str">
        <x:v>技能残页</x:v>
      </x:c>
      <x:c r="I2510" s="22" t="n">
        <x:v>2000</x:v>
      </x:c>
      <x:c r="J2510" s="22" t="n">
        <x:v>1</x:v>
      </x:c>
      <x:c r="K2510" s="19" t="n">
        <x:v>1</x:v>
      </x:c>
      <x:c r="L2510" s="24" t="n">
        <x:v>27.839999999999996</x:v>
      </x:c>
      <x:c r="M2510" s="26" t="n">
        <x:v>0.1</x:v>
      </x:c>
      <x:c r="N2510" s="24" t="n">
        <x:v>10.757128494041028</x:v>
      </x:c>
      <x:c r="O2510" s="28" t="n">
        <x:f>MIN(1,L2510/I2510)</x:f>
        <x:v>0.013919999999999998</x:v>
      </x:c>
      <x:c r="P2510" s="30" t="n">
        <x:f>O2510*J2510*(1+M2510)</x:f>
        <x:v>0.015312</x:v>
      </x:c>
      <x:c r="Q2510" s="30" t="n">
        <x:f>P2510*N2510</x:f>
        <x:v>0.16471315150075622</x:v>
      </x:c>
      <x:c r="R2510" s="19" t="str">
        <x:v>独立判定</x:v>
      </x:c>
    </x:row>
    <x:row r="2511" ht="19" customHeight="1">
      <x:c r="A2511" s="19" t="str">
        <x:v>D02507</x:v>
      </x:c>
      <x:c r="B2511" s="19" t="n">
        <x:v>5</x:v>
      </x:c>
      <x:c r="C2511" s="19" t="n">
        <x:v>4</x:v>
      </x:c>
      <x:c r="D2511" s="19" t="str">
        <x:v>C05-M045</x:v>
      </x:c>
      <x:c r="E2511" s="19" t="str">
        <x:v>藏卷沉思者</x:v>
      </x:c>
      <x:c r="F2511" s="19" t="str">
        <x:v>稀有</x:v>
      </x:c>
      <x:c r="G2511" s="19" t="str">
        <x:v>材料独立候选</x:v>
      </x:c>
      <x:c r="H2511" s="19" t="str">
        <x:v>小卢恩</x:v>
      </x:c>
      <x:c r="I2511" s="22" t="n">
        <x:v>5000</x:v>
      </x:c>
      <x:c r="J2511" s="22" t="n">
        <x:v>1</x:v>
      </x:c>
      <x:c r="K2511" s="19" t="n">
        <x:v>1</x:v>
      </x:c>
      <x:c r="L2511" s="24" t="n">
        <x:v>27.839999999999996</x:v>
      </x:c>
      <x:c r="M2511" s="26" t="n">
        <x:v>0.1</x:v>
      </x:c>
      <x:c r="N2511" s="24" t="n">
        <x:v>10.757128494041028</x:v>
      </x:c>
      <x:c r="O2511" s="28" t="n">
        <x:f>MIN(1,L2511/I2511)</x:f>
        <x:v>0.005567999999999999</x:v>
      </x:c>
      <x:c r="P2511" s="30" t="n">
        <x:f>O2511*J2511*(1+M2511)</x:f>
        <x:v>0.0061248</x:v>
      </x:c>
      <x:c r="Q2511" s="30" t="n">
        <x:f>P2511*N2511</x:f>
        <x:v>0.06588526060030249</x:v>
      </x:c>
      <x:c r="R2511" s="19" t="str">
        <x:v>独立判定</x:v>
      </x:c>
    </x:row>
    <x:row r="2512" ht="19" customHeight="1">
      <x:c r="A2512" s="19" t="str">
        <x:v>D02508</x:v>
      </x:c>
      <x:c r="B2512" s="19" t="n">
        <x:v>5</x:v>
      </x:c>
      <x:c r="C2512" s="19" t="n">
        <x:v>4</x:v>
      </x:c>
      <x:c r="D2512" s="19" t="str">
        <x:v>C05-M045</x:v>
      </x:c>
      <x:c r="E2512" s="19" t="str">
        <x:v>藏卷沉思者</x:v>
      </x:c>
      <x:c r="F2512" s="19" t="str">
        <x:v>稀有</x:v>
      </x:c>
      <x:c r="G2512" s="19" t="str">
        <x:v>六神器公共池</x:v>
      </x:c>
      <x:c r="H2512" s="19" t="str">
        <x:v>POOL006</x:v>
      </x:c>
      <x:c r="I2512" s="22" t="n">
        <x:v>5000000</x:v>
      </x:c>
      <x:c r="J2512" s="22" t="n">
        <x:v>1</x:v>
      </x:c>
      <x:c r="K2512" s="19" t="n">
        <x:v>6</x:v>
      </x:c>
      <x:c r="L2512" s="24" t="n">
        <x:v>27.839999999999996</x:v>
      </x:c>
      <x:c r="M2512" s="26" t="n">
        <x:v>0.1</x:v>
      </x:c>
      <x:c r="N2512" s="24" t="n">
        <x:v>10.757128494041028</x:v>
      </x:c>
      <x:c r="O2512" s="28" t="n">
        <x:f>MIN(1,L2512/I2512)</x:f>
        <x:v>0.000005567999999999999</x:v>
      </x:c>
      <x:c r="P2512" s="30" t="n">
        <x:f>O2512*J2512*(1+M2512)</x:f>
        <x:v>0.000006124799999999999</x:v>
      </x:c>
      <x:c r="Q2512" s="30" t="n">
        <x:f>P2512*N2512</x:f>
        <x:v>0.00006588526060030248</x:v>
      </x:c>
      <x:c r="R2512" s="19" t="str">
        <x:v>六选一；非6个独立爆率</x:v>
      </x:c>
    </x:row>
    <x:row r="2513" ht="19" customHeight="1">
      <x:c r="A2513" s="19" t="str">
        <x:v>D02509</x:v>
      </x:c>
      <x:c r="B2513" s="19" t="n">
        <x:v>5</x:v>
      </x:c>
      <x:c r="C2513" s="19" t="n">
        <x:v>4</x:v>
      </x:c>
      <x:c r="D2513" s="19" t="str">
        <x:v>C05-M046</x:v>
      </x:c>
      <x:c r="E2513" s="19" t="str">
        <x:v>银书长尾猫</x:v>
      </x:c>
      <x:c r="F2513" s="19" t="str">
        <x:v>稀有</x:v>
      </x:c>
      <x:c r="G2513" s="19" t="str">
        <x:v>自身专属</x:v>
      </x:c>
      <x:c r="H2513" s="19" t="str">
        <x:v>银书尾翎袍</x:v>
      </x:c>
      <x:c r="I2513" s="22" t="n">
        <x:v>500</x:v>
      </x:c>
      <x:c r="J2513" s="22" t="n">
        <x:v>1</x:v>
      </x:c>
      <x:c r="K2513" s="19" t="n">
        <x:v>1</x:v>
      </x:c>
      <x:c r="L2513" s="24" t="n">
        <x:v>27.839999999999996</x:v>
      </x:c>
      <x:c r="M2513" s="26" t="n">
        <x:v>0.1</x:v>
      </x:c>
      <x:c r="N2513" s="24" t="n">
        <x:v>10.757128494041028</x:v>
      </x:c>
      <x:c r="O2513" s="28" t="n">
        <x:f>MIN(1,L2513/I2513)</x:f>
        <x:v>0.05567999999999999</x:v>
      </x:c>
      <x:c r="P2513" s="30" t="n">
        <x:f>O2513*J2513*(1+M2513)</x:f>
        <x:v>0.061248</x:v>
      </x:c>
      <x:c r="Q2513" s="30" t="n">
        <x:f>P2513*N2513</x:f>
        <x:v>0.6588526060030249</x:v>
      </x:c>
      <x:c r="R2513" s="19" t="str">
        <x:v>独立判定</x:v>
      </x:c>
    </x:row>
    <x:row r="2514" ht="19" customHeight="1">
      <x:c r="A2514" s="19" t="str">
        <x:v>D02510</x:v>
      </x:c>
      <x:c r="B2514" s="19" t="n">
        <x:v>5</x:v>
      </x:c>
      <x:c r="C2514" s="19" t="n">
        <x:v>4</x:v>
      </x:c>
      <x:c r="D2514" s="19" t="str">
        <x:v>C05-M046</x:v>
      </x:c>
      <x:c r="E2514" s="19" t="str">
        <x:v>银书长尾猫</x:v>
      </x:c>
      <x:c r="F2514" s="19" t="str">
        <x:v>稀有</x:v>
      </x:c>
      <x:c r="G2514" s="19" t="str">
        <x:v>材料独立候选</x:v>
      </x:c>
      <x:c r="H2514" s="19" t="str">
        <x:v>辉石碎晶</x:v>
      </x:c>
      <x:c r="I2514" s="22" t="n">
        <x:v>500</x:v>
      </x:c>
      <x:c r="J2514" s="22" t="n">
        <x:v>15</x:v>
      </x:c>
      <x:c r="K2514" s="19" t="n">
        <x:v>1</x:v>
      </x:c>
      <x:c r="L2514" s="24" t="n">
        <x:v>27.839999999999996</x:v>
      </x:c>
      <x:c r="M2514" s="26" t="n">
        <x:v>0.1</x:v>
      </x:c>
      <x:c r="N2514" s="24" t="n">
        <x:v>10.757128494041028</x:v>
      </x:c>
      <x:c r="O2514" s="28" t="n">
        <x:f>MIN(1,L2514/I2514)</x:f>
        <x:v>0.05567999999999999</x:v>
      </x:c>
      <x:c r="P2514" s="30" t="n">
        <x:f>O2514*J2514*(1+M2514)</x:f>
        <x:v>0.91872</x:v>
      </x:c>
      <x:c r="Q2514" s="30" t="n">
        <x:f>P2514*N2514</x:f>
        <x:v>9.882789090045373</x:v>
      </x:c>
      <x:c r="R2514" s="19" t="str">
        <x:v>独立判定</x:v>
      </x:c>
    </x:row>
    <x:row r="2515" ht="19" customHeight="1">
      <x:c r="A2515" s="19" t="str">
        <x:v>D02511</x:v>
      </x:c>
      <x:c r="B2515" s="19" t="n">
        <x:v>5</x:v>
      </x:c>
      <x:c r="C2515" s="19" t="n">
        <x:v>4</x:v>
      </x:c>
      <x:c r="D2515" s="19" t="str">
        <x:v>C05-M046</x:v>
      </x:c>
      <x:c r="E2515" s="19" t="str">
        <x:v>银书长尾猫</x:v>
      </x:c>
      <x:c r="F2515" s="19" t="str">
        <x:v>稀有</x:v>
      </x:c>
      <x:c r="G2515" s="19" t="str">
        <x:v>材料独立候选</x:v>
      </x:c>
      <x:c r="H2515" s="19" t="str">
        <x:v>卡利亚月露</x:v>
      </x:c>
      <x:c r="I2515" s="22" t="n">
        <x:v>800</x:v>
      </x:c>
      <x:c r="J2515" s="22" t="n">
        <x:v>1</x:v>
      </x:c>
      <x:c r="K2515" s="19" t="n">
        <x:v>1</x:v>
      </x:c>
      <x:c r="L2515" s="24" t="n">
        <x:v>27.839999999999996</x:v>
      </x:c>
      <x:c r="M2515" s="26" t="n">
        <x:v>0.1</x:v>
      </x:c>
      <x:c r="N2515" s="24" t="n">
        <x:v>10.757128494041028</x:v>
      </x:c>
      <x:c r="O2515" s="28" t="n">
        <x:f>MIN(1,L2515/I2515)</x:f>
        <x:v>0.0348</x:v>
      </x:c>
      <x:c r="P2515" s="30" t="n">
        <x:f>O2515*J2515*(1+M2515)</x:f>
        <x:v>0.03828</x:v>
      </x:c>
      <x:c r="Q2515" s="30" t="n">
        <x:f>P2515*N2515</x:f>
        <x:v>0.41178287875189057</x:v>
      </x:c>
      <x:c r="R2515" s="19" t="str">
        <x:v>独立判定</x:v>
      </x:c>
    </x:row>
    <x:row r="2516" ht="19" customHeight="1">
      <x:c r="A2516" s="19" t="str">
        <x:v>D02512</x:v>
      </x:c>
      <x:c r="B2516" s="19" t="n">
        <x:v>5</x:v>
      </x:c>
      <x:c r="C2516" s="19" t="n">
        <x:v>4</x:v>
      </x:c>
      <x:c r="D2516" s="19" t="str">
        <x:v>C05-M046</x:v>
      </x:c>
      <x:c r="E2516" s="19" t="str">
        <x:v>银书长尾猫</x:v>
      </x:c>
      <x:c r="F2516" s="19" t="str">
        <x:v>稀有</x:v>
      </x:c>
      <x:c r="G2516" s="19" t="str">
        <x:v>材料独立候选</x:v>
      </x:c>
      <x:c r="H2516" s="19" t="str">
        <x:v>学院封蜡</x:v>
      </x:c>
      <x:c r="I2516" s="22" t="n">
        <x:v>1200</x:v>
      </x:c>
      <x:c r="J2516" s="22" t="n">
        <x:v>1</x:v>
      </x:c>
      <x:c r="K2516" s="19" t="n">
        <x:v>1</x:v>
      </x:c>
      <x:c r="L2516" s="24" t="n">
        <x:v>27.839999999999996</x:v>
      </x:c>
      <x:c r="M2516" s="26" t="n">
        <x:v>0.1</x:v>
      </x:c>
      <x:c r="N2516" s="24" t="n">
        <x:v>10.757128494041028</x:v>
      </x:c>
      <x:c r="O2516" s="28" t="n">
        <x:f>MIN(1,L2516/I2516)</x:f>
        <x:v>0.0232</x:v>
      </x:c>
      <x:c r="P2516" s="30" t="n">
        <x:f>O2516*J2516*(1+M2516)</x:f>
        <x:v>0.02552</x:v>
      </x:c>
      <x:c r="Q2516" s="30" t="n">
        <x:f>P2516*N2516</x:f>
        <x:v>0.27452191916792706</x:v>
      </x:c>
      <x:c r="R2516" s="19" t="str">
        <x:v>独立判定</x:v>
      </x:c>
    </x:row>
    <x:row r="2517" ht="19" customHeight="1">
      <x:c r="A2517" s="19" t="str">
        <x:v>D02513</x:v>
      </x:c>
      <x:c r="B2517" s="19" t="n">
        <x:v>5</x:v>
      </x:c>
      <x:c r="C2517" s="19" t="n">
        <x:v>4</x:v>
      </x:c>
      <x:c r="D2517" s="19" t="str">
        <x:v>C05-M046</x:v>
      </x:c>
      <x:c r="E2517" s="19" t="str">
        <x:v>银书长尾猫</x:v>
      </x:c>
      <x:c r="F2517" s="19" t="str">
        <x:v>稀有</x:v>
      </x:c>
      <x:c r="G2517" s="19" t="str">
        <x:v>材料独立候选</x:v>
      </x:c>
      <x:c r="H2517" s="19" t="str">
        <x:v>湖心月谱残章</x:v>
      </x:c>
      <x:c r="I2517" s="22" t="n">
        <x:v>800000</x:v>
      </x:c>
      <x:c r="J2517" s="22" t="n">
        <x:v>1</x:v>
      </x:c>
      <x:c r="K2517" s="19" t="n">
        <x:v>1</x:v>
      </x:c>
      <x:c r="L2517" s="24" t="n">
        <x:v>27.839999999999996</x:v>
      </x:c>
      <x:c r="M2517" s="26" t="n">
        <x:v>0.1</x:v>
      </x:c>
      <x:c r="N2517" s="24" t="n">
        <x:v>10.757128494041028</x:v>
      </x:c>
      <x:c r="O2517" s="28" t="n">
        <x:f>MIN(1,L2517/I2517)</x:f>
        <x:v>0.00003479999999999999</x:v>
      </x:c>
      <x:c r="P2517" s="30" t="n">
        <x:f>O2517*J2517*(1+M2517)</x:f>
        <x:v>0.00003827999999999999</x:v>
      </x:c>
      <x:c r="Q2517" s="30" t="n">
        <x:f>P2517*N2517</x:f>
        <x:v>0.0004117828787518905</x:v>
      </x:c>
      <x:c r="R2517" s="19" t="str">
        <x:v>独立判定</x:v>
      </x:c>
    </x:row>
    <x:row r="2518" ht="19" customHeight="1">
      <x:c r="A2518" s="19" t="str">
        <x:v>D02514</x:v>
      </x:c>
      <x:c r="B2518" s="19" t="n">
        <x:v>5</x:v>
      </x:c>
      <x:c r="C2518" s="19" t="n">
        <x:v>4</x:v>
      </x:c>
      <x:c r="D2518" s="19" t="str">
        <x:v>C05-M046</x:v>
      </x:c>
      <x:c r="E2518" s="19" t="str">
        <x:v>银书长尾猫</x:v>
      </x:c>
      <x:c r="F2518" s="19" t="str">
        <x:v>稀有</x:v>
      </x:c>
      <x:c r="G2518" s="19" t="str">
        <x:v>材料独立候选</x:v>
      </x:c>
      <x:c r="H2518" s="19" t="str">
        <x:v>黄金树芽</x:v>
      </x:c>
      <x:c r="I2518" s="22" t="n">
        <x:v>4000</x:v>
      </x:c>
      <x:c r="J2518" s="22" t="n">
        <x:v>1</x:v>
      </x:c>
      <x:c r="K2518" s="19" t="n">
        <x:v>1</x:v>
      </x:c>
      <x:c r="L2518" s="24" t="n">
        <x:v>27.839999999999996</x:v>
      </x:c>
      <x:c r="M2518" s="26" t="n">
        <x:v>0.1</x:v>
      </x:c>
      <x:c r="N2518" s="24" t="n">
        <x:v>10.757128494041028</x:v>
      </x:c>
      <x:c r="O2518" s="28" t="n">
        <x:f>MIN(1,L2518/I2518)</x:f>
        <x:v>0.006959999999999999</x:v>
      </x:c>
      <x:c r="P2518" s="30" t="n">
        <x:f>O2518*J2518*(1+M2518)</x:f>
        <x:v>0.007656</x:v>
      </x:c>
      <x:c r="Q2518" s="30" t="n">
        <x:f>P2518*N2518</x:f>
        <x:v>0.08235657575037811</x:v>
      </x:c>
      <x:c r="R2518" s="19" t="str">
        <x:v>独立判定</x:v>
      </x:c>
    </x:row>
    <x:row r="2519" ht="19" customHeight="1">
      <x:c r="A2519" s="19" t="str">
        <x:v>D02515</x:v>
      </x:c>
      <x:c r="B2519" s="19" t="n">
        <x:v>5</x:v>
      </x:c>
      <x:c r="C2519" s="19" t="n">
        <x:v>4</x:v>
      </x:c>
      <x:c r="D2519" s="19" t="str">
        <x:v>C05-M046</x:v>
      </x:c>
      <x:c r="E2519" s="19" t="str">
        <x:v>银书长尾猫</x:v>
      </x:c>
      <x:c r="F2519" s="19" t="str">
        <x:v>稀有</x:v>
      </x:c>
      <x:c r="G2519" s="19" t="str">
        <x:v>材料独立候选</x:v>
      </x:c>
      <x:c r="H2519" s="19" t="str">
        <x:v>野兽骨片</x:v>
      </x:c>
      <x:c r="I2519" s="22" t="n">
        <x:v>80</x:v>
      </x:c>
      <x:c r="J2519" s="22" t="n">
        <x:v>3</x:v>
      </x:c>
      <x:c r="K2519" s="19" t="n">
        <x:v>1</x:v>
      </x:c>
      <x:c r="L2519" s="24" t="n">
        <x:v>27.839999999999996</x:v>
      </x:c>
      <x:c r="M2519" s="26" t="n">
        <x:v>0.1</x:v>
      </x:c>
      <x:c r="N2519" s="24" t="n">
        <x:v>10.757128494041028</x:v>
      </x:c>
      <x:c r="O2519" s="28" t="n">
        <x:f>MIN(1,L2519/I2519)</x:f>
        <x:v>0.348</x:v>
      </x:c>
      <x:c r="P2519" s="30" t="n">
        <x:f>O2519*J2519*(1+M2519)</x:f>
        <x:v>1.1484</x:v>
      </x:c>
      <x:c r="Q2519" s="30" t="n">
        <x:f>P2519*N2519</x:f>
        <x:v>12.353486362556717</x:v>
      </x:c>
      <x:c r="R2519" s="19" t="str">
        <x:v>独立判定</x:v>
      </x:c>
    </x:row>
    <x:row r="2520" ht="19" customHeight="1">
      <x:c r="A2520" s="19" t="str">
        <x:v>D02516</x:v>
      </x:c>
      <x:c r="B2520" s="19" t="n">
        <x:v>5</x:v>
      </x:c>
      <x:c r="C2520" s="19" t="n">
        <x:v>4</x:v>
      </x:c>
      <x:c r="D2520" s="19" t="str">
        <x:v>C05-M046</x:v>
      </x:c>
      <x:c r="E2520" s="19" t="str">
        <x:v>银书长尾猫</x:v>
      </x:c>
      <x:c r="F2520" s="19" t="str">
        <x:v>稀有</x:v>
      </x:c>
      <x:c r="G2520" s="19" t="str">
        <x:v>材料独立候选</x:v>
      </x:c>
      <x:c r="H2520" s="19" t="str">
        <x:v>技能残页</x:v>
      </x:c>
      <x:c r="I2520" s="22" t="n">
        <x:v>2000</x:v>
      </x:c>
      <x:c r="J2520" s="22" t="n">
        <x:v>1</x:v>
      </x:c>
      <x:c r="K2520" s="19" t="n">
        <x:v>1</x:v>
      </x:c>
      <x:c r="L2520" s="24" t="n">
        <x:v>27.839999999999996</x:v>
      </x:c>
      <x:c r="M2520" s="26" t="n">
        <x:v>0.1</x:v>
      </x:c>
      <x:c r="N2520" s="24" t="n">
        <x:v>10.757128494041028</x:v>
      </x:c>
      <x:c r="O2520" s="28" t="n">
        <x:f>MIN(1,L2520/I2520)</x:f>
        <x:v>0.013919999999999998</x:v>
      </x:c>
      <x:c r="P2520" s="30" t="n">
        <x:f>O2520*J2520*(1+M2520)</x:f>
        <x:v>0.015312</x:v>
      </x:c>
      <x:c r="Q2520" s="30" t="n">
        <x:f>P2520*N2520</x:f>
        <x:v>0.16471315150075622</x:v>
      </x:c>
      <x:c r="R2520" s="19" t="str">
        <x:v>独立判定</x:v>
      </x:c>
    </x:row>
    <x:row r="2521" ht="19" customHeight="1">
      <x:c r="A2521" s="19" t="str">
        <x:v>D02517</x:v>
      </x:c>
      <x:c r="B2521" s="19" t="n">
        <x:v>5</x:v>
      </x:c>
      <x:c r="C2521" s="19" t="n">
        <x:v>4</x:v>
      </x:c>
      <x:c r="D2521" s="19" t="str">
        <x:v>C05-M046</x:v>
      </x:c>
      <x:c r="E2521" s="19" t="str">
        <x:v>银书长尾猫</x:v>
      </x:c>
      <x:c r="F2521" s="19" t="str">
        <x:v>稀有</x:v>
      </x:c>
      <x:c r="G2521" s="19" t="str">
        <x:v>材料独立候选</x:v>
      </x:c>
      <x:c r="H2521" s="19" t="str">
        <x:v>小卢恩</x:v>
      </x:c>
      <x:c r="I2521" s="22" t="n">
        <x:v>5000</x:v>
      </x:c>
      <x:c r="J2521" s="22" t="n">
        <x:v>1</x:v>
      </x:c>
      <x:c r="K2521" s="19" t="n">
        <x:v>1</x:v>
      </x:c>
      <x:c r="L2521" s="24" t="n">
        <x:v>27.839999999999996</x:v>
      </x:c>
      <x:c r="M2521" s="26" t="n">
        <x:v>0.1</x:v>
      </x:c>
      <x:c r="N2521" s="24" t="n">
        <x:v>10.757128494041028</x:v>
      </x:c>
      <x:c r="O2521" s="28" t="n">
        <x:f>MIN(1,L2521/I2521)</x:f>
        <x:v>0.005567999999999999</x:v>
      </x:c>
      <x:c r="P2521" s="30" t="n">
        <x:f>O2521*J2521*(1+M2521)</x:f>
        <x:v>0.0061248</x:v>
      </x:c>
      <x:c r="Q2521" s="30" t="n">
        <x:f>P2521*N2521</x:f>
        <x:v>0.06588526060030249</x:v>
      </x:c>
      <x:c r="R2521" s="19" t="str">
        <x:v>独立判定</x:v>
      </x:c>
    </x:row>
    <x:row r="2522" ht="19" customHeight="1">
      <x:c r="A2522" s="19" t="str">
        <x:v>D02518</x:v>
      </x:c>
      <x:c r="B2522" s="19" t="n">
        <x:v>5</x:v>
      </x:c>
      <x:c r="C2522" s="19" t="n">
        <x:v>4</x:v>
      </x:c>
      <x:c r="D2522" s="19" t="str">
        <x:v>C05-M046</x:v>
      </x:c>
      <x:c r="E2522" s="19" t="str">
        <x:v>银书长尾猫</x:v>
      </x:c>
      <x:c r="F2522" s="19" t="str">
        <x:v>稀有</x:v>
      </x:c>
      <x:c r="G2522" s="19" t="str">
        <x:v>六神器公共池</x:v>
      </x:c>
      <x:c r="H2522" s="19" t="str">
        <x:v>POOL006</x:v>
      </x:c>
      <x:c r="I2522" s="22" t="n">
        <x:v>5000000</x:v>
      </x:c>
      <x:c r="J2522" s="22" t="n">
        <x:v>1</x:v>
      </x:c>
      <x:c r="K2522" s="19" t="n">
        <x:v>6</x:v>
      </x:c>
      <x:c r="L2522" s="24" t="n">
        <x:v>27.839999999999996</x:v>
      </x:c>
      <x:c r="M2522" s="26" t="n">
        <x:v>0.1</x:v>
      </x:c>
      <x:c r="N2522" s="24" t="n">
        <x:v>10.757128494041028</x:v>
      </x:c>
      <x:c r="O2522" s="28" t="n">
        <x:f>MIN(1,L2522/I2522)</x:f>
        <x:v>0.000005567999999999999</x:v>
      </x:c>
      <x:c r="P2522" s="30" t="n">
        <x:f>O2522*J2522*(1+M2522)</x:f>
        <x:v>0.000006124799999999999</x:v>
      </x:c>
      <x:c r="Q2522" s="30" t="n">
        <x:f>P2522*N2522</x:f>
        <x:v>0.00006588526060030248</x:v>
      </x:c>
      <x:c r="R2522" s="19" t="str">
        <x:v>六选一；非6个独立爆率</x:v>
      </x:c>
    </x:row>
    <x:row r="2523" ht="19" customHeight="1">
      <x:c r="A2523" s="19" t="str">
        <x:v>D02519</x:v>
      </x:c>
      <x:c r="B2523" s="19" t="n">
        <x:v>5</x:v>
      </x:c>
      <x:c r="C2523" s="19" t="n">
        <x:v>4</x:v>
      </x:c>
      <x:c r="D2523" s="19" t="str">
        <x:v>C05-M047</x:v>
      </x:c>
      <x:c r="E2523" s="19" t="str">
        <x:v>无声禁典司</x:v>
      </x:c>
      <x:c r="F2523" s="19" t="str">
        <x:v>地图BOSS</x:v>
      </x:c>
      <x:c r="G2523" s="19" t="str">
        <x:v>自身专属</x:v>
      </x:c>
      <x:c r="H2523" s="19" t="str">
        <x:v>无声禁典刃</x:v>
      </x:c>
      <x:c r="I2523" s="22" t="n">
        <x:v>80</x:v>
      </x:c>
      <x:c r="J2523" s="22" t="n">
        <x:v>1</x:v>
      </x:c>
      <x:c r="K2523" s="19" t="n">
        <x:v>1</x:v>
      </x:c>
      <x:c r="L2523" s="24" t="n">
        <x:v>27.839999999999996</x:v>
      </x:c>
      <x:c r="M2523" s="26" t="n">
        <x:v>0.1</x:v>
      </x:c>
      <x:c r="N2523" s="24" t="n">
        <x:v>2</x:v>
      </x:c>
      <x:c r="O2523" s="28" t="n">
        <x:f>MIN(1,L2523/I2523)</x:f>
        <x:v>0.348</x:v>
      </x:c>
      <x:c r="P2523" s="30" t="n">
        <x:f>O2523*J2523*(1+M2523)</x:f>
        <x:v>0.38280000000000003</x:v>
      </x:c>
      <x:c r="Q2523" s="30" t="n">
        <x:f>P2523*N2523</x:f>
        <x:v>0.7656000000000001</x:v>
      </x:c>
      <x:c r="R2523" s="19" t="str">
        <x:v>独立判定</x:v>
      </x:c>
    </x:row>
    <x:row r="2524" ht="19" customHeight="1">
      <x:c r="A2524" s="19" t="str">
        <x:v>D02520</x:v>
      </x:c>
      <x:c r="B2524" s="19" t="n">
        <x:v>5</x:v>
      </x:c>
      <x:c r="C2524" s="19" t="n">
        <x:v>4</x:v>
      </x:c>
      <x:c r="D2524" s="19" t="str">
        <x:v>C05-M047</x:v>
      </x:c>
      <x:c r="E2524" s="19" t="str">
        <x:v>无声禁典司</x:v>
      </x:c>
      <x:c r="F2524" s="19" t="str">
        <x:v>地图BOSS</x:v>
      </x:c>
      <x:c r="G2524" s="19" t="str">
        <x:v>本图普通兼掉候选</x:v>
      </x:c>
      <x:c r="H2524" s="19" t="str">
        <x:v>POOL042</x:v>
      </x:c>
      <x:c r="I2524" s="22" t="n">
        <x:v>80</x:v>
      </x:c>
      <x:c r="J2524" s="22" t="n">
        <x:v>1</x:v>
      </x:c>
      <x:c r="K2524" s="19" t="n">
        <x:v>2</x:v>
      </x:c>
      <x:c r="L2524" s="24" t="n">
        <x:v>27.839999999999996</x:v>
      </x:c>
      <x:c r="M2524" s="26" t="n">
        <x:v>0.1</x:v>
      </x:c>
      <x:c r="N2524" s="24" t="n">
        <x:v>2</x:v>
      </x:c>
      <x:c r="O2524" s="28" t="n">
        <x:f>MIN(1,L2524/I2524)</x:f>
        <x:v>0.348</x:v>
      </x:c>
      <x:c r="P2524" s="30" t="n">
        <x:f>O2524*J2524*(1+M2524)</x:f>
        <x:v>0.38280000000000003</x:v>
      </x:c>
      <x:c r="Q2524" s="30" t="n">
        <x:f>P2524*N2524</x:f>
        <x:v>0.7656000000000001</x:v>
      </x:c>
      <x:c r="R2524" s="19" t="str">
        <x:v>单池选一</x:v>
      </x:c>
    </x:row>
    <x:row r="2525" ht="19" customHeight="1">
      <x:c r="A2525" s="19" t="str">
        <x:v>D02521</x:v>
      </x:c>
      <x:c r="B2525" s="19" t="n">
        <x:v>5</x:v>
      </x:c>
      <x:c r="C2525" s="19" t="n">
        <x:v>4</x:v>
      </x:c>
      <x:c r="D2525" s="19" t="str">
        <x:v>C05-M047</x:v>
      </x:c>
      <x:c r="E2525" s="19" t="str">
        <x:v>无声禁典司</x:v>
      </x:c>
      <x:c r="F2525" s="19" t="str">
        <x:v>地图BOSS</x:v>
      </x:c>
      <x:c r="G2525" s="19" t="str">
        <x:v>材料独立候选</x:v>
      </x:c>
      <x:c r="H2525" s="19" t="str">
        <x:v>辉石碎晶</x:v>
      </x:c>
      <x:c r="I2525" s="22" t="n">
        <x:v>300</x:v>
      </x:c>
      <x:c r="J2525" s="22" t="n">
        <x:v>30</x:v>
      </x:c>
      <x:c r="K2525" s="19" t="n">
        <x:v>1</x:v>
      </x:c>
      <x:c r="L2525" s="24" t="n">
        <x:v>27.839999999999996</x:v>
      </x:c>
      <x:c r="M2525" s="26" t="n">
        <x:v>0.1</x:v>
      </x:c>
      <x:c r="N2525" s="24" t="n">
        <x:v>2</x:v>
      </x:c>
      <x:c r="O2525" s="28" t="n">
        <x:f>MIN(1,L2525/I2525)</x:f>
        <x:v>0.0928</x:v>
      </x:c>
      <x:c r="P2525" s="30" t="n">
        <x:f>O2525*J2525*(1+M2525)</x:f>
        <x:v>3.0624000000000002</x:v>
      </x:c>
      <x:c r="Q2525" s="30" t="n">
        <x:f>P2525*N2525</x:f>
        <x:v>6.1248000000000005</x:v>
      </x:c>
      <x:c r="R2525" s="19" t="str">
        <x:v>独立判定</x:v>
      </x:c>
    </x:row>
    <x:row r="2526" ht="19" customHeight="1">
      <x:c r="A2526" s="19" t="str">
        <x:v>D02522</x:v>
      </x:c>
      <x:c r="B2526" s="19" t="n">
        <x:v>5</x:v>
      </x:c>
      <x:c r="C2526" s="19" t="n">
        <x:v>4</x:v>
      </x:c>
      <x:c r="D2526" s="19" t="str">
        <x:v>C05-M047</x:v>
      </x:c>
      <x:c r="E2526" s="19" t="str">
        <x:v>无声禁典司</x:v>
      </x:c>
      <x:c r="F2526" s="19" t="str">
        <x:v>地图BOSS</x:v>
      </x:c>
      <x:c r="G2526" s="19" t="str">
        <x:v>材料独立候选</x:v>
      </x:c>
      <x:c r="H2526" s="19" t="str">
        <x:v>卡利亚月露</x:v>
      </x:c>
      <x:c r="I2526" s="22" t="n">
        <x:v>500</x:v>
      </x:c>
      <x:c r="J2526" s="22" t="n">
        <x:v>1</x:v>
      </x:c>
      <x:c r="K2526" s="19" t="n">
        <x:v>1</x:v>
      </x:c>
      <x:c r="L2526" s="24" t="n">
        <x:v>27.839999999999996</x:v>
      </x:c>
      <x:c r="M2526" s="26" t="n">
        <x:v>0.1</x:v>
      </x:c>
      <x:c r="N2526" s="24" t="n">
        <x:v>2</x:v>
      </x:c>
      <x:c r="O2526" s="28" t="n">
        <x:f>MIN(1,L2526/I2526)</x:f>
        <x:v>0.05567999999999999</x:v>
      </x:c>
      <x:c r="P2526" s="30" t="n">
        <x:f>O2526*J2526*(1+M2526)</x:f>
        <x:v>0.061248</x:v>
      </x:c>
      <x:c r="Q2526" s="30" t="n">
        <x:f>P2526*N2526</x:f>
        <x:v>0.122496</x:v>
      </x:c>
      <x:c r="R2526" s="19" t="str">
        <x:v>独立判定</x:v>
      </x:c>
    </x:row>
    <x:row r="2527" ht="19" customHeight="1">
      <x:c r="A2527" s="19" t="str">
        <x:v>D02523</x:v>
      </x:c>
      <x:c r="B2527" s="19" t="n">
        <x:v>5</x:v>
      </x:c>
      <x:c r="C2527" s="19" t="n">
        <x:v>4</x:v>
      </x:c>
      <x:c r="D2527" s="19" t="str">
        <x:v>C05-M047</x:v>
      </x:c>
      <x:c r="E2527" s="19" t="str">
        <x:v>无声禁典司</x:v>
      </x:c>
      <x:c r="F2527" s="19" t="str">
        <x:v>地图BOSS</x:v>
      </x:c>
      <x:c r="G2527" s="19" t="str">
        <x:v>材料独立候选</x:v>
      </x:c>
      <x:c r="H2527" s="19" t="str">
        <x:v>满月王室印</x:v>
      </x:c>
      <x:c r="I2527" s="22" t="n">
        <x:v>150</x:v>
      </x:c>
      <x:c r="J2527" s="22" t="n">
        <x:v>3</x:v>
      </x:c>
      <x:c r="K2527" s="19" t="n">
        <x:v>1</x:v>
      </x:c>
      <x:c r="L2527" s="24" t="n">
        <x:v>27.839999999999996</x:v>
      </x:c>
      <x:c r="M2527" s="26" t="n">
        <x:v>0.1</x:v>
      </x:c>
      <x:c r="N2527" s="24" t="n">
        <x:v>2</x:v>
      </x:c>
      <x:c r="O2527" s="28" t="n">
        <x:f>MIN(1,L2527/I2527)</x:f>
        <x:v>0.1856</x:v>
      </x:c>
      <x:c r="P2527" s="30" t="n">
        <x:f>O2527*J2527*(1+M2527)</x:f>
        <x:v>0.61248</x:v>
      </x:c>
      <x:c r="Q2527" s="30" t="n">
        <x:f>P2527*N2527</x:f>
        <x:v>1.22496</x:v>
      </x:c>
      <x:c r="R2527" s="19" t="str">
        <x:v>独立判定</x:v>
      </x:c>
    </x:row>
    <x:row r="2528" ht="19" customHeight="1">
      <x:c r="A2528" s="19" t="str">
        <x:v>D02524</x:v>
      </x:c>
      <x:c r="B2528" s="19" t="n">
        <x:v>5</x:v>
      </x:c>
      <x:c r="C2528" s="19" t="n">
        <x:v>4</x:v>
      </x:c>
      <x:c r="D2528" s="19" t="str">
        <x:v>C05-M047</x:v>
      </x:c>
      <x:c r="E2528" s="19" t="str">
        <x:v>无声禁典司</x:v>
      </x:c>
      <x:c r="F2528" s="19" t="str">
        <x:v>地图BOSS</x:v>
      </x:c>
      <x:c r="G2528" s="19" t="str">
        <x:v>材料独立候选</x:v>
      </x:c>
      <x:c r="H2528" s="19" t="str">
        <x:v>月蚀镜片</x:v>
      </x:c>
      <x:c r="I2528" s="22" t="n">
        <x:v>150</x:v>
      </x:c>
      <x:c r="J2528" s="22" t="n">
        <x:v>2</x:v>
      </x:c>
      <x:c r="K2528" s="19" t="n">
        <x:v>1</x:v>
      </x:c>
      <x:c r="L2528" s="24" t="n">
        <x:v>27.839999999999996</x:v>
      </x:c>
      <x:c r="M2528" s="26" t="n">
        <x:v>0.1</x:v>
      </x:c>
      <x:c r="N2528" s="24" t="n">
        <x:v>2</x:v>
      </x:c>
      <x:c r="O2528" s="28" t="n">
        <x:f>MIN(1,L2528/I2528)</x:f>
        <x:v>0.1856</x:v>
      </x:c>
      <x:c r="P2528" s="30" t="n">
        <x:f>O2528*J2528*(1+M2528)</x:f>
        <x:v>0.40832</x:v>
      </x:c>
      <x:c r="Q2528" s="30" t="n">
        <x:f>P2528*N2528</x:f>
        <x:v>0.81664</x:v>
      </x:c>
      <x:c r="R2528" s="19" t="str">
        <x:v>独立判定</x:v>
      </x:c>
    </x:row>
    <x:row r="2529" ht="19" customHeight="1">
      <x:c r="A2529" s="19" t="str">
        <x:v>D02525</x:v>
      </x:c>
      <x:c r="B2529" s="19" t="n">
        <x:v>5</x:v>
      </x:c>
      <x:c r="C2529" s="19" t="n">
        <x:v>4</x:v>
      </x:c>
      <x:c r="D2529" s="19" t="str">
        <x:v>C05-M047</x:v>
      </x:c>
      <x:c r="E2529" s="19" t="str">
        <x:v>无声禁典司</x:v>
      </x:c>
      <x:c r="F2529" s="19" t="str">
        <x:v>地图BOSS</x:v>
      </x:c>
      <x:c r="G2529" s="19" t="str">
        <x:v>材料独立候选</x:v>
      </x:c>
      <x:c r="H2529" s="19" t="str">
        <x:v>湖心月谱残章</x:v>
      </x:c>
      <x:c r="I2529" s="22" t="n">
        <x:v>400000</x:v>
      </x:c>
      <x:c r="J2529" s="22" t="n">
        <x:v>1</x:v>
      </x:c>
      <x:c r="K2529" s="19" t="n">
        <x:v>1</x:v>
      </x:c>
      <x:c r="L2529" s="24" t="n">
        <x:v>27.839999999999996</x:v>
      </x:c>
      <x:c r="M2529" s="26" t="n">
        <x:v>0.1</x:v>
      </x:c>
      <x:c r="N2529" s="24" t="n">
        <x:v>2</x:v>
      </x:c>
      <x:c r="O2529" s="28" t="n">
        <x:f>MIN(1,L2529/I2529)</x:f>
        <x:v>0.00006959999999999998</x:v>
      </x:c>
      <x:c r="P2529" s="30" t="n">
        <x:f>O2529*J2529*(1+M2529)</x:f>
        <x:v>0.00007655999999999999</x:v>
      </x:c>
      <x:c r="Q2529" s="30" t="n">
        <x:f>P2529*N2529</x:f>
        <x:v>0.00015311999999999997</x:v>
      </x:c>
      <x:c r="R2529" s="19" t="str">
        <x:v>独立判定</x:v>
      </x:c>
    </x:row>
    <x:row r="2530" ht="19" customHeight="1">
      <x:c r="A2530" s="19" t="str">
        <x:v>D02526</x:v>
      </x:c>
      <x:c r="B2530" s="19" t="n">
        <x:v>5</x:v>
      </x:c>
      <x:c r="C2530" s="19" t="n">
        <x:v>4</x:v>
      </x:c>
      <x:c r="D2530" s="19" t="str">
        <x:v>C05-M047</x:v>
      </x:c>
      <x:c r="E2530" s="19" t="str">
        <x:v>无声禁典司</x:v>
      </x:c>
      <x:c r="F2530" s="19" t="str">
        <x:v>地图BOSS</x:v>
      </x:c>
      <x:c r="G2530" s="19" t="str">
        <x:v>材料独立候选</x:v>
      </x:c>
      <x:c r="H2530" s="19" t="str">
        <x:v>黄金树芽</x:v>
      </x:c>
      <x:c r="I2530" s="22" t="n">
        <x:v>2000</x:v>
      </x:c>
      <x:c r="J2530" s="22" t="n">
        <x:v>1</x:v>
      </x:c>
      <x:c r="K2530" s="19" t="n">
        <x:v>1</x:v>
      </x:c>
      <x:c r="L2530" s="24" t="n">
        <x:v>27.839999999999996</x:v>
      </x:c>
      <x:c r="M2530" s="26" t="n">
        <x:v>0.1</x:v>
      </x:c>
      <x:c r="N2530" s="24" t="n">
        <x:v>2</x:v>
      </x:c>
      <x:c r="O2530" s="28" t="n">
        <x:f>MIN(1,L2530/I2530)</x:f>
        <x:v>0.013919999999999998</x:v>
      </x:c>
      <x:c r="P2530" s="30" t="n">
        <x:f>O2530*J2530*(1+M2530)</x:f>
        <x:v>0.015312</x:v>
      </x:c>
      <x:c r="Q2530" s="30" t="n">
        <x:f>P2530*N2530</x:f>
        <x:v>0.030624</x:v>
      </x:c>
      <x:c r="R2530" s="19" t="str">
        <x:v>独立判定</x:v>
      </x:c>
    </x:row>
    <x:row r="2531" ht="19" customHeight="1">
      <x:c r="A2531" s="19" t="str">
        <x:v>D02527</x:v>
      </x:c>
      <x:c r="B2531" s="19" t="n">
        <x:v>5</x:v>
      </x:c>
      <x:c r="C2531" s="19" t="n">
        <x:v>4</x:v>
      </x:c>
      <x:c r="D2531" s="19" t="str">
        <x:v>C05-M047</x:v>
      </x:c>
      <x:c r="E2531" s="19" t="str">
        <x:v>无声禁典司</x:v>
      </x:c>
      <x:c r="F2531" s="19" t="str">
        <x:v>地图BOSS</x:v>
      </x:c>
      <x:c r="G2531" s="19" t="str">
        <x:v>材料独立候选</x:v>
      </x:c>
      <x:c r="H2531" s="19" t="str">
        <x:v>野兽骨片</x:v>
      </x:c>
      <x:c r="I2531" s="22" t="n">
        <x:v>50</x:v>
      </x:c>
      <x:c r="J2531" s="22" t="n">
        <x:v>3</x:v>
      </x:c>
      <x:c r="K2531" s="19" t="n">
        <x:v>1</x:v>
      </x:c>
      <x:c r="L2531" s="24" t="n">
        <x:v>27.839999999999996</x:v>
      </x:c>
      <x:c r="M2531" s="26" t="n">
        <x:v>0.1</x:v>
      </x:c>
      <x:c r="N2531" s="24" t="n">
        <x:v>2</x:v>
      </x:c>
      <x:c r="O2531" s="28" t="n">
        <x:f>MIN(1,L2531/I2531)</x:f>
        <x:v>0.5568</x:v>
      </x:c>
      <x:c r="P2531" s="30" t="n">
        <x:f>O2531*J2531*(1+M2531)</x:f>
        <x:v>1.83744</x:v>
      </x:c>
      <x:c r="Q2531" s="30" t="n">
        <x:f>P2531*N2531</x:f>
        <x:v>3.67488</x:v>
      </x:c>
      <x:c r="R2531" s="19" t="str">
        <x:v>独立判定</x:v>
      </x:c>
    </x:row>
    <x:row r="2532" ht="19" customHeight="1">
      <x:c r="A2532" s="19" t="str">
        <x:v>D02528</x:v>
      </x:c>
      <x:c r="B2532" s="19" t="n">
        <x:v>5</x:v>
      </x:c>
      <x:c r="C2532" s="19" t="n">
        <x:v>4</x:v>
      </x:c>
      <x:c r="D2532" s="19" t="str">
        <x:v>C05-M047</x:v>
      </x:c>
      <x:c r="E2532" s="19" t="str">
        <x:v>无声禁典司</x:v>
      </x:c>
      <x:c r="F2532" s="19" t="str">
        <x:v>地图BOSS</x:v>
      </x:c>
      <x:c r="G2532" s="19" t="str">
        <x:v>材料独立候选</x:v>
      </x:c>
      <x:c r="H2532" s="19" t="str">
        <x:v>技能残页</x:v>
      </x:c>
      <x:c r="I2532" s="22" t="n">
        <x:v>1200</x:v>
      </x:c>
      <x:c r="J2532" s="22" t="n">
        <x:v>1</x:v>
      </x:c>
      <x:c r="K2532" s="19" t="n">
        <x:v>1</x:v>
      </x:c>
      <x:c r="L2532" s="24" t="n">
        <x:v>27.839999999999996</x:v>
      </x:c>
      <x:c r="M2532" s="26" t="n">
        <x:v>0.1</x:v>
      </x:c>
      <x:c r="N2532" s="24" t="n">
        <x:v>2</x:v>
      </x:c>
      <x:c r="O2532" s="28" t="n">
        <x:f>MIN(1,L2532/I2532)</x:f>
        <x:v>0.0232</x:v>
      </x:c>
      <x:c r="P2532" s="30" t="n">
        <x:f>O2532*J2532*(1+M2532)</x:f>
        <x:v>0.02552</x:v>
      </x:c>
      <x:c r="Q2532" s="30" t="n">
        <x:f>P2532*N2532</x:f>
        <x:v>0.05104</x:v>
      </x:c>
      <x:c r="R2532" s="19" t="str">
        <x:v>独立判定</x:v>
      </x:c>
    </x:row>
    <x:row r="2533" ht="19" customHeight="1">
      <x:c r="A2533" s="19" t="str">
        <x:v>D02529</x:v>
      </x:c>
      <x:c r="B2533" s="19" t="n">
        <x:v>5</x:v>
      </x:c>
      <x:c r="C2533" s="19" t="n">
        <x:v>4</x:v>
      </x:c>
      <x:c r="D2533" s="19" t="str">
        <x:v>C05-M047</x:v>
      </x:c>
      <x:c r="E2533" s="19" t="str">
        <x:v>无声禁典司</x:v>
      </x:c>
      <x:c r="F2533" s="19" t="str">
        <x:v>地图BOSS</x:v>
      </x:c>
      <x:c r="G2533" s="19" t="str">
        <x:v>材料独立候选</x:v>
      </x:c>
      <x:c r="H2533" s="19" t="str">
        <x:v>宁姆格福誓页</x:v>
      </x:c>
      <x:c r="I2533" s="22" t="n">
        <x:v>400</x:v>
      </x:c>
      <x:c r="J2533" s="22" t="n">
        <x:v>1</x:v>
      </x:c>
      <x:c r="K2533" s="19" t="n">
        <x:v>1</x:v>
      </x:c>
      <x:c r="L2533" s="24" t="n">
        <x:v>27.839999999999996</x:v>
      </x:c>
      <x:c r="M2533" s="26" t="n">
        <x:v>0.1</x:v>
      </x:c>
      <x:c r="N2533" s="24" t="n">
        <x:v>2</x:v>
      </x:c>
      <x:c r="O2533" s="28" t="n">
        <x:f>MIN(1,L2533/I2533)</x:f>
        <x:v>0.0696</x:v>
      </x:c>
      <x:c r="P2533" s="30" t="n">
        <x:f>O2533*J2533*(1+M2533)</x:f>
        <x:v>0.07656</x:v>
      </x:c>
      <x:c r="Q2533" s="30" t="n">
        <x:f>P2533*N2533</x:f>
        <x:v>0.15312</x:v>
      </x:c>
      <x:c r="R2533" s="19" t="str">
        <x:v>独立判定</x:v>
      </x:c>
    </x:row>
    <x:row r="2534" ht="19" customHeight="1">
      <x:c r="A2534" s="19" t="str">
        <x:v>D02530</x:v>
      </x:c>
      <x:c r="B2534" s="19" t="n">
        <x:v>5</x:v>
      </x:c>
      <x:c r="C2534" s="19" t="n">
        <x:v>4</x:v>
      </x:c>
      <x:c r="D2534" s="19" t="str">
        <x:v>C05-M047</x:v>
      </x:c>
      <x:c r="E2534" s="19" t="str">
        <x:v>无声禁典司</x:v>
      </x:c>
      <x:c r="F2534" s="19" t="str">
        <x:v>地图BOSS</x:v>
      </x:c>
      <x:c r="G2534" s="19" t="str">
        <x:v>材料独立候选</x:v>
      </x:c>
      <x:c r="H2534" s="19" t="str">
        <x:v>小卢恩</x:v>
      </x:c>
      <x:c r="I2534" s="22" t="n">
        <x:v>2500</x:v>
      </x:c>
      <x:c r="J2534" s="22" t="n">
        <x:v>1</x:v>
      </x:c>
      <x:c r="K2534" s="19" t="n">
        <x:v>1</x:v>
      </x:c>
      <x:c r="L2534" s="24" t="n">
        <x:v>27.839999999999996</x:v>
      </x:c>
      <x:c r="M2534" s="26" t="n">
        <x:v>0.1</x:v>
      </x:c>
      <x:c r="N2534" s="24" t="n">
        <x:v>2</x:v>
      </x:c>
      <x:c r="O2534" s="28" t="n">
        <x:f>MIN(1,L2534/I2534)</x:f>
        <x:v>0.011135999999999998</x:v>
      </x:c>
      <x:c r="P2534" s="30" t="n">
        <x:f>O2534*J2534*(1+M2534)</x:f>
        <x:v>0.0122496</x:v>
      </x:c>
      <x:c r="Q2534" s="30" t="n">
        <x:f>P2534*N2534</x:f>
        <x:v>0.0244992</x:v>
      </x:c>
      <x:c r="R2534" s="19" t="str">
        <x:v>独立判定</x:v>
      </x:c>
    </x:row>
    <x:row r="2535" ht="19" customHeight="1">
      <x:c r="A2535" s="19" t="str">
        <x:v>D02531</x:v>
      </x:c>
      <x:c r="B2535" s="19" t="n">
        <x:v>5</x:v>
      </x:c>
      <x:c r="C2535" s="19" t="n">
        <x:v>4</x:v>
      </x:c>
      <x:c r="D2535" s="19" t="str">
        <x:v>C05-M047</x:v>
      </x:c>
      <x:c r="E2535" s="19" t="str">
        <x:v>无声禁典司</x:v>
      </x:c>
      <x:c r="F2535" s="19" t="str">
        <x:v>地图BOSS</x:v>
      </x:c>
      <x:c r="G2535" s="19" t="str">
        <x:v>材料独立候选</x:v>
      </x:c>
      <x:c r="H2535" s="19" t="str">
        <x:v>大卢恩</x:v>
      </x:c>
      <x:c r="I2535" s="22" t="n">
        <x:v>250</x:v>
      </x:c>
      <x:c r="J2535" s="22" t="n">
        <x:v>1</x:v>
      </x:c>
      <x:c r="K2535" s="19" t="n">
        <x:v>1</x:v>
      </x:c>
      <x:c r="L2535" s="24" t="n">
        <x:v>27.839999999999996</x:v>
      </x:c>
      <x:c r="M2535" s="26" t="n">
        <x:v>0.1</x:v>
      </x:c>
      <x:c r="N2535" s="24" t="n">
        <x:v>2</x:v>
      </x:c>
      <x:c r="O2535" s="28" t="n">
        <x:f>MIN(1,L2535/I2535)</x:f>
        <x:v>0.11135999999999999</x:v>
      </x:c>
      <x:c r="P2535" s="30" t="n">
        <x:f>O2535*J2535*(1+M2535)</x:f>
        <x:v>0.122496</x:v>
      </x:c>
      <x:c r="Q2535" s="30" t="n">
        <x:f>P2535*N2535</x:f>
        <x:v>0.244992</x:v>
      </x:c>
      <x:c r="R2535" s="19" t="str">
        <x:v>独立判定</x:v>
      </x:c>
    </x:row>
    <x:row r="2536" ht="19" customHeight="1">
      <x:c r="A2536" s="19" t="str">
        <x:v>D02532</x:v>
      </x:c>
      <x:c r="B2536" s="19" t="n">
        <x:v>5</x:v>
      </x:c>
      <x:c r="C2536" s="19" t="n">
        <x:v>4</x:v>
      </x:c>
      <x:c r="D2536" s="19" t="str">
        <x:v>C05-M047</x:v>
      </x:c>
      <x:c r="E2536" s="19" t="str">
        <x:v>无声禁典司</x:v>
      </x:c>
      <x:c r="F2536" s="19" t="str">
        <x:v>地图BOSS</x:v>
      </x:c>
      <x:c r="G2536" s="19" t="str">
        <x:v>六神器公共池</x:v>
      </x:c>
      <x:c r="H2536" s="19" t="str">
        <x:v>POOL006</x:v>
      </x:c>
      <x:c r="I2536" s="22" t="n">
        <x:v>200000</x:v>
      </x:c>
      <x:c r="J2536" s="22" t="n">
        <x:v>1</x:v>
      </x:c>
      <x:c r="K2536" s="19" t="n">
        <x:v>6</x:v>
      </x:c>
      <x:c r="L2536" s="24" t="n">
        <x:v>27.839999999999996</x:v>
      </x:c>
      <x:c r="M2536" s="26" t="n">
        <x:v>0.1</x:v>
      </x:c>
      <x:c r="N2536" s="24" t="n">
        <x:v>2</x:v>
      </x:c>
      <x:c r="O2536" s="28" t="n">
        <x:f>MIN(1,L2536/I2536)</x:f>
        <x:v>0.00013919999999999997</x:v>
      </x:c>
      <x:c r="P2536" s="30" t="n">
        <x:f>O2536*J2536*(1+M2536)</x:f>
        <x:v>0.00015311999999999997</x:v>
      </x:c>
      <x:c r="Q2536" s="30" t="n">
        <x:f>P2536*N2536</x:f>
        <x:v>0.00030623999999999994</x:v>
      </x:c>
      <x:c r="R2536" s="19" t="str">
        <x:v>六选一；非6个独立爆率</x:v>
      </x:c>
    </x:row>
    <x:row r="2537" ht="19" customHeight="1">
      <x:c r="A2537" s="19" t="str">
        <x:v>D02533</x:v>
      </x:c>
      <x:c r="B2537" s="19" t="n">
        <x:v>5</x:v>
      </x:c>
      <x:c r="C2537" s="19" t="n">
        <x:v>4</x:v>
      </x:c>
      <x:c r="D2537" s="19" t="str">
        <x:v>C05-M048</x:v>
      </x:c>
      <x:c r="E2537" s="19" t="str">
        <x:v>满月万卷君</x:v>
      </x:c>
      <x:c r="F2537" s="19" t="str">
        <x:v>地图BOSS</x:v>
      </x:c>
      <x:c r="G2537" s="19" t="str">
        <x:v>自身专属</x:v>
      </x:c>
      <x:c r="H2537" s="19" t="str">
        <x:v>满月万卷法衣</x:v>
      </x:c>
      <x:c r="I2537" s="22" t="n">
        <x:v>80</x:v>
      </x:c>
      <x:c r="J2537" s="22" t="n">
        <x:v>1</x:v>
      </x:c>
      <x:c r="K2537" s="19" t="n">
        <x:v>1</x:v>
      </x:c>
      <x:c r="L2537" s="24" t="n">
        <x:v>27.839999999999996</x:v>
      </x:c>
      <x:c r="M2537" s="26" t="n">
        <x:v>0.1</x:v>
      </x:c>
      <x:c r="N2537" s="24" t="n">
        <x:v>2</x:v>
      </x:c>
      <x:c r="O2537" s="28" t="n">
        <x:f>MIN(1,L2537/I2537)</x:f>
        <x:v>0.348</x:v>
      </x:c>
      <x:c r="P2537" s="30" t="n">
        <x:f>O2537*J2537*(1+M2537)</x:f>
        <x:v>0.38280000000000003</x:v>
      </x:c>
      <x:c r="Q2537" s="30" t="n">
        <x:f>P2537*N2537</x:f>
        <x:v>0.7656000000000001</x:v>
      </x:c>
      <x:c r="R2537" s="19" t="str">
        <x:v>独立判定</x:v>
      </x:c>
    </x:row>
    <x:row r="2538" ht="19" customHeight="1">
      <x:c r="A2538" s="19" t="str">
        <x:v>D02534</x:v>
      </x:c>
      <x:c r="B2538" s="19" t="n">
        <x:v>5</x:v>
      </x:c>
      <x:c r="C2538" s="19" t="n">
        <x:v>4</x:v>
      </x:c>
      <x:c r="D2538" s="19" t="str">
        <x:v>C05-M048</x:v>
      </x:c>
      <x:c r="E2538" s="19" t="str">
        <x:v>满月万卷君</x:v>
      </x:c>
      <x:c r="F2538" s="19" t="str">
        <x:v>地图BOSS</x:v>
      </x:c>
      <x:c r="G2538" s="19" t="str">
        <x:v>本图普通兼掉候选</x:v>
      </x:c>
      <x:c r="H2538" s="19" t="str">
        <x:v>POOL043</x:v>
      </x:c>
      <x:c r="I2538" s="22" t="n">
        <x:v>80</x:v>
      </x:c>
      <x:c r="J2538" s="22" t="n">
        <x:v>1</x:v>
      </x:c>
      <x:c r="K2538" s="19" t="n">
        <x:v>2</x:v>
      </x:c>
      <x:c r="L2538" s="24" t="n">
        <x:v>27.839999999999996</x:v>
      </x:c>
      <x:c r="M2538" s="26" t="n">
        <x:v>0.1</x:v>
      </x:c>
      <x:c r="N2538" s="24" t="n">
        <x:v>2</x:v>
      </x:c>
      <x:c r="O2538" s="28" t="n">
        <x:f>MIN(1,L2538/I2538)</x:f>
        <x:v>0.348</x:v>
      </x:c>
      <x:c r="P2538" s="30" t="n">
        <x:f>O2538*J2538*(1+M2538)</x:f>
        <x:v>0.38280000000000003</x:v>
      </x:c>
      <x:c r="Q2538" s="30" t="n">
        <x:f>P2538*N2538</x:f>
        <x:v>0.7656000000000001</x:v>
      </x:c>
      <x:c r="R2538" s="19" t="str">
        <x:v>单池选一</x:v>
      </x:c>
    </x:row>
    <x:row r="2539" ht="19" customHeight="1">
      <x:c r="A2539" s="19" t="str">
        <x:v>D02535</x:v>
      </x:c>
      <x:c r="B2539" s="19" t="n">
        <x:v>5</x:v>
      </x:c>
      <x:c r="C2539" s="19" t="n">
        <x:v>4</x:v>
      </x:c>
      <x:c r="D2539" s="19" t="str">
        <x:v>C05-M048</x:v>
      </x:c>
      <x:c r="E2539" s="19" t="str">
        <x:v>满月万卷君</x:v>
      </x:c>
      <x:c r="F2539" s="19" t="str">
        <x:v>地图BOSS</x:v>
      </x:c>
      <x:c r="G2539" s="19" t="str">
        <x:v>材料独立候选</x:v>
      </x:c>
      <x:c r="H2539" s="19" t="str">
        <x:v>辉石碎晶</x:v>
      </x:c>
      <x:c r="I2539" s="22" t="n">
        <x:v>300</x:v>
      </x:c>
      <x:c r="J2539" s="22" t="n">
        <x:v>30</x:v>
      </x:c>
      <x:c r="K2539" s="19" t="n">
        <x:v>1</x:v>
      </x:c>
      <x:c r="L2539" s="24" t="n">
        <x:v>27.839999999999996</x:v>
      </x:c>
      <x:c r="M2539" s="26" t="n">
        <x:v>0.1</x:v>
      </x:c>
      <x:c r="N2539" s="24" t="n">
        <x:v>2</x:v>
      </x:c>
      <x:c r="O2539" s="28" t="n">
        <x:f>MIN(1,L2539/I2539)</x:f>
        <x:v>0.0928</x:v>
      </x:c>
      <x:c r="P2539" s="30" t="n">
        <x:f>O2539*J2539*(1+M2539)</x:f>
        <x:v>3.0624000000000002</x:v>
      </x:c>
      <x:c r="Q2539" s="30" t="n">
        <x:f>P2539*N2539</x:f>
        <x:v>6.1248000000000005</x:v>
      </x:c>
      <x:c r="R2539" s="19" t="str">
        <x:v>独立判定</x:v>
      </x:c>
    </x:row>
    <x:row r="2540" ht="19" customHeight="1">
      <x:c r="A2540" s="19" t="str">
        <x:v>D02536</x:v>
      </x:c>
      <x:c r="B2540" s="19" t="n">
        <x:v>5</x:v>
      </x:c>
      <x:c r="C2540" s="19" t="n">
        <x:v>4</x:v>
      </x:c>
      <x:c r="D2540" s="19" t="str">
        <x:v>C05-M048</x:v>
      </x:c>
      <x:c r="E2540" s="19" t="str">
        <x:v>满月万卷君</x:v>
      </x:c>
      <x:c r="F2540" s="19" t="str">
        <x:v>地图BOSS</x:v>
      </x:c>
      <x:c r="G2540" s="19" t="str">
        <x:v>材料独立候选</x:v>
      </x:c>
      <x:c r="H2540" s="19" t="str">
        <x:v>卡利亚月露</x:v>
      </x:c>
      <x:c r="I2540" s="22" t="n">
        <x:v>500</x:v>
      </x:c>
      <x:c r="J2540" s="22" t="n">
        <x:v>1</x:v>
      </x:c>
      <x:c r="K2540" s="19" t="n">
        <x:v>1</x:v>
      </x:c>
      <x:c r="L2540" s="24" t="n">
        <x:v>27.839999999999996</x:v>
      </x:c>
      <x:c r="M2540" s="26" t="n">
        <x:v>0.1</x:v>
      </x:c>
      <x:c r="N2540" s="24" t="n">
        <x:v>2</x:v>
      </x:c>
      <x:c r="O2540" s="28" t="n">
        <x:f>MIN(1,L2540/I2540)</x:f>
        <x:v>0.05567999999999999</x:v>
      </x:c>
      <x:c r="P2540" s="30" t="n">
        <x:f>O2540*J2540*(1+M2540)</x:f>
        <x:v>0.061248</x:v>
      </x:c>
      <x:c r="Q2540" s="30" t="n">
        <x:f>P2540*N2540</x:f>
        <x:v>0.122496</x:v>
      </x:c>
      <x:c r="R2540" s="19" t="str">
        <x:v>独立判定</x:v>
      </x:c>
    </x:row>
    <x:row r="2541" ht="19" customHeight="1">
      <x:c r="A2541" s="19" t="str">
        <x:v>D02537</x:v>
      </x:c>
      <x:c r="B2541" s="19" t="n">
        <x:v>5</x:v>
      </x:c>
      <x:c r="C2541" s="19" t="n">
        <x:v>4</x:v>
      </x:c>
      <x:c r="D2541" s="19" t="str">
        <x:v>C05-M048</x:v>
      </x:c>
      <x:c r="E2541" s="19" t="str">
        <x:v>满月万卷君</x:v>
      </x:c>
      <x:c r="F2541" s="19" t="str">
        <x:v>地图BOSS</x:v>
      </x:c>
      <x:c r="G2541" s="19" t="str">
        <x:v>材料独立候选</x:v>
      </x:c>
      <x:c r="H2541" s="19" t="str">
        <x:v>满月王室印</x:v>
      </x:c>
      <x:c r="I2541" s="22" t="n">
        <x:v>150</x:v>
      </x:c>
      <x:c r="J2541" s="22" t="n">
        <x:v>3</x:v>
      </x:c>
      <x:c r="K2541" s="19" t="n">
        <x:v>1</x:v>
      </x:c>
      <x:c r="L2541" s="24" t="n">
        <x:v>27.839999999999996</x:v>
      </x:c>
      <x:c r="M2541" s="26" t="n">
        <x:v>0.1</x:v>
      </x:c>
      <x:c r="N2541" s="24" t="n">
        <x:v>2</x:v>
      </x:c>
      <x:c r="O2541" s="28" t="n">
        <x:f>MIN(1,L2541/I2541)</x:f>
        <x:v>0.1856</x:v>
      </x:c>
      <x:c r="P2541" s="30" t="n">
        <x:f>O2541*J2541*(1+M2541)</x:f>
        <x:v>0.61248</x:v>
      </x:c>
      <x:c r="Q2541" s="30" t="n">
        <x:f>P2541*N2541</x:f>
        <x:v>1.22496</x:v>
      </x:c>
      <x:c r="R2541" s="19" t="str">
        <x:v>独立判定</x:v>
      </x:c>
    </x:row>
    <x:row r="2542" ht="19" customHeight="1">
      <x:c r="A2542" s="19" t="str">
        <x:v>D02538</x:v>
      </x:c>
      <x:c r="B2542" s="19" t="n">
        <x:v>5</x:v>
      </x:c>
      <x:c r="C2542" s="19" t="n">
        <x:v>4</x:v>
      </x:c>
      <x:c r="D2542" s="19" t="str">
        <x:v>C05-M048</x:v>
      </x:c>
      <x:c r="E2542" s="19" t="str">
        <x:v>满月万卷君</x:v>
      </x:c>
      <x:c r="F2542" s="19" t="str">
        <x:v>地图BOSS</x:v>
      </x:c>
      <x:c r="G2542" s="19" t="str">
        <x:v>材料独立候选</x:v>
      </x:c>
      <x:c r="H2542" s="19" t="str">
        <x:v>月蚀镜片</x:v>
      </x:c>
      <x:c r="I2542" s="22" t="n">
        <x:v>150</x:v>
      </x:c>
      <x:c r="J2542" s="22" t="n">
        <x:v>2</x:v>
      </x:c>
      <x:c r="K2542" s="19" t="n">
        <x:v>1</x:v>
      </x:c>
      <x:c r="L2542" s="24" t="n">
        <x:v>27.839999999999996</x:v>
      </x:c>
      <x:c r="M2542" s="26" t="n">
        <x:v>0.1</x:v>
      </x:c>
      <x:c r="N2542" s="24" t="n">
        <x:v>2</x:v>
      </x:c>
      <x:c r="O2542" s="28" t="n">
        <x:f>MIN(1,L2542/I2542)</x:f>
        <x:v>0.1856</x:v>
      </x:c>
      <x:c r="P2542" s="30" t="n">
        <x:f>O2542*J2542*(1+M2542)</x:f>
        <x:v>0.40832</x:v>
      </x:c>
      <x:c r="Q2542" s="30" t="n">
        <x:f>P2542*N2542</x:f>
        <x:v>0.81664</x:v>
      </x:c>
      <x:c r="R2542" s="19" t="str">
        <x:v>独立判定</x:v>
      </x:c>
    </x:row>
    <x:row r="2543" ht="19" customHeight="1">
      <x:c r="A2543" s="19" t="str">
        <x:v>D02539</x:v>
      </x:c>
      <x:c r="B2543" s="19" t="n">
        <x:v>5</x:v>
      </x:c>
      <x:c r="C2543" s="19" t="n">
        <x:v>4</x:v>
      </x:c>
      <x:c r="D2543" s="19" t="str">
        <x:v>C05-M048</x:v>
      </x:c>
      <x:c r="E2543" s="19" t="str">
        <x:v>满月万卷君</x:v>
      </x:c>
      <x:c r="F2543" s="19" t="str">
        <x:v>地图BOSS</x:v>
      </x:c>
      <x:c r="G2543" s="19" t="str">
        <x:v>材料独立候选</x:v>
      </x:c>
      <x:c r="H2543" s="19" t="str">
        <x:v>湖心月谱残章</x:v>
      </x:c>
      <x:c r="I2543" s="22" t="n">
        <x:v>400000</x:v>
      </x:c>
      <x:c r="J2543" s="22" t="n">
        <x:v>1</x:v>
      </x:c>
      <x:c r="K2543" s="19" t="n">
        <x:v>1</x:v>
      </x:c>
      <x:c r="L2543" s="24" t="n">
        <x:v>27.839999999999996</x:v>
      </x:c>
      <x:c r="M2543" s="26" t="n">
        <x:v>0.1</x:v>
      </x:c>
      <x:c r="N2543" s="24" t="n">
        <x:v>2</x:v>
      </x:c>
      <x:c r="O2543" s="28" t="n">
        <x:f>MIN(1,L2543/I2543)</x:f>
        <x:v>0.00006959999999999998</x:v>
      </x:c>
      <x:c r="P2543" s="30" t="n">
        <x:f>O2543*J2543*(1+M2543)</x:f>
        <x:v>0.00007655999999999999</x:v>
      </x:c>
      <x:c r="Q2543" s="30" t="n">
        <x:f>P2543*N2543</x:f>
        <x:v>0.00015311999999999997</x:v>
      </x:c>
      <x:c r="R2543" s="19" t="str">
        <x:v>独立判定</x:v>
      </x:c>
    </x:row>
    <x:row r="2544" ht="19" customHeight="1">
      <x:c r="A2544" s="19" t="str">
        <x:v>D02540</x:v>
      </x:c>
      <x:c r="B2544" s="19" t="n">
        <x:v>5</x:v>
      </x:c>
      <x:c r="C2544" s="19" t="n">
        <x:v>4</x:v>
      </x:c>
      <x:c r="D2544" s="19" t="str">
        <x:v>C05-M048</x:v>
      </x:c>
      <x:c r="E2544" s="19" t="str">
        <x:v>满月万卷君</x:v>
      </x:c>
      <x:c r="F2544" s="19" t="str">
        <x:v>地图BOSS</x:v>
      </x:c>
      <x:c r="G2544" s="19" t="str">
        <x:v>材料独立候选</x:v>
      </x:c>
      <x:c r="H2544" s="19" t="str">
        <x:v>黄金树芽</x:v>
      </x:c>
      <x:c r="I2544" s="22" t="n">
        <x:v>2000</x:v>
      </x:c>
      <x:c r="J2544" s="22" t="n">
        <x:v>1</x:v>
      </x:c>
      <x:c r="K2544" s="19" t="n">
        <x:v>1</x:v>
      </x:c>
      <x:c r="L2544" s="24" t="n">
        <x:v>27.839999999999996</x:v>
      </x:c>
      <x:c r="M2544" s="26" t="n">
        <x:v>0.1</x:v>
      </x:c>
      <x:c r="N2544" s="24" t="n">
        <x:v>2</x:v>
      </x:c>
      <x:c r="O2544" s="28" t="n">
        <x:f>MIN(1,L2544/I2544)</x:f>
        <x:v>0.013919999999999998</x:v>
      </x:c>
      <x:c r="P2544" s="30" t="n">
        <x:f>O2544*J2544*(1+M2544)</x:f>
        <x:v>0.015312</x:v>
      </x:c>
      <x:c r="Q2544" s="30" t="n">
        <x:f>P2544*N2544</x:f>
        <x:v>0.030624</x:v>
      </x:c>
      <x:c r="R2544" s="19" t="str">
        <x:v>独立判定</x:v>
      </x:c>
    </x:row>
    <x:row r="2545" ht="19" customHeight="1">
      <x:c r="A2545" s="19" t="str">
        <x:v>D02541</x:v>
      </x:c>
      <x:c r="B2545" s="19" t="n">
        <x:v>5</x:v>
      </x:c>
      <x:c r="C2545" s="19" t="n">
        <x:v>4</x:v>
      </x:c>
      <x:c r="D2545" s="19" t="str">
        <x:v>C05-M048</x:v>
      </x:c>
      <x:c r="E2545" s="19" t="str">
        <x:v>满月万卷君</x:v>
      </x:c>
      <x:c r="F2545" s="19" t="str">
        <x:v>地图BOSS</x:v>
      </x:c>
      <x:c r="G2545" s="19" t="str">
        <x:v>材料独立候选</x:v>
      </x:c>
      <x:c r="H2545" s="19" t="str">
        <x:v>野兽骨片</x:v>
      </x:c>
      <x:c r="I2545" s="22" t="n">
        <x:v>50</x:v>
      </x:c>
      <x:c r="J2545" s="22" t="n">
        <x:v>3</x:v>
      </x:c>
      <x:c r="K2545" s="19" t="n">
        <x:v>1</x:v>
      </x:c>
      <x:c r="L2545" s="24" t="n">
        <x:v>27.839999999999996</x:v>
      </x:c>
      <x:c r="M2545" s="26" t="n">
        <x:v>0.1</x:v>
      </x:c>
      <x:c r="N2545" s="24" t="n">
        <x:v>2</x:v>
      </x:c>
      <x:c r="O2545" s="28" t="n">
        <x:f>MIN(1,L2545/I2545)</x:f>
        <x:v>0.5568</x:v>
      </x:c>
      <x:c r="P2545" s="30" t="n">
        <x:f>O2545*J2545*(1+M2545)</x:f>
        <x:v>1.83744</x:v>
      </x:c>
      <x:c r="Q2545" s="30" t="n">
        <x:f>P2545*N2545</x:f>
        <x:v>3.67488</x:v>
      </x:c>
      <x:c r="R2545" s="19" t="str">
        <x:v>独立判定</x:v>
      </x:c>
    </x:row>
    <x:row r="2546" ht="19" customHeight="1">
      <x:c r="A2546" s="19" t="str">
        <x:v>D02542</x:v>
      </x:c>
      <x:c r="B2546" s="19" t="n">
        <x:v>5</x:v>
      </x:c>
      <x:c r="C2546" s="19" t="n">
        <x:v>4</x:v>
      </x:c>
      <x:c r="D2546" s="19" t="str">
        <x:v>C05-M048</x:v>
      </x:c>
      <x:c r="E2546" s="19" t="str">
        <x:v>满月万卷君</x:v>
      </x:c>
      <x:c r="F2546" s="19" t="str">
        <x:v>地图BOSS</x:v>
      </x:c>
      <x:c r="G2546" s="19" t="str">
        <x:v>材料独立候选</x:v>
      </x:c>
      <x:c r="H2546" s="19" t="str">
        <x:v>技能残页</x:v>
      </x:c>
      <x:c r="I2546" s="22" t="n">
        <x:v>1200</x:v>
      </x:c>
      <x:c r="J2546" s="22" t="n">
        <x:v>1</x:v>
      </x:c>
      <x:c r="K2546" s="19" t="n">
        <x:v>1</x:v>
      </x:c>
      <x:c r="L2546" s="24" t="n">
        <x:v>27.839999999999996</x:v>
      </x:c>
      <x:c r="M2546" s="26" t="n">
        <x:v>0.1</x:v>
      </x:c>
      <x:c r="N2546" s="24" t="n">
        <x:v>2</x:v>
      </x:c>
      <x:c r="O2546" s="28" t="n">
        <x:f>MIN(1,L2546/I2546)</x:f>
        <x:v>0.0232</x:v>
      </x:c>
      <x:c r="P2546" s="30" t="n">
        <x:f>O2546*J2546*(1+M2546)</x:f>
        <x:v>0.02552</x:v>
      </x:c>
      <x:c r="Q2546" s="30" t="n">
        <x:f>P2546*N2546</x:f>
        <x:v>0.05104</x:v>
      </x:c>
      <x:c r="R2546" s="19" t="str">
        <x:v>独立判定</x:v>
      </x:c>
    </x:row>
    <x:row r="2547" ht="19" customHeight="1">
      <x:c r="A2547" s="19" t="str">
        <x:v>D02543</x:v>
      </x:c>
      <x:c r="B2547" s="19" t="n">
        <x:v>5</x:v>
      </x:c>
      <x:c r="C2547" s="19" t="n">
        <x:v>4</x:v>
      </x:c>
      <x:c r="D2547" s="19" t="str">
        <x:v>C05-M048</x:v>
      </x:c>
      <x:c r="E2547" s="19" t="str">
        <x:v>满月万卷君</x:v>
      </x:c>
      <x:c r="F2547" s="19" t="str">
        <x:v>地图BOSS</x:v>
      </x:c>
      <x:c r="G2547" s="19" t="str">
        <x:v>材料独立候选</x:v>
      </x:c>
      <x:c r="H2547" s="19" t="str">
        <x:v>宁姆格福誓页</x:v>
      </x:c>
      <x:c r="I2547" s="22" t="n">
        <x:v>400</x:v>
      </x:c>
      <x:c r="J2547" s="22" t="n">
        <x:v>1</x:v>
      </x:c>
      <x:c r="K2547" s="19" t="n">
        <x:v>1</x:v>
      </x:c>
      <x:c r="L2547" s="24" t="n">
        <x:v>27.839999999999996</x:v>
      </x:c>
      <x:c r="M2547" s="26" t="n">
        <x:v>0.1</x:v>
      </x:c>
      <x:c r="N2547" s="24" t="n">
        <x:v>2</x:v>
      </x:c>
      <x:c r="O2547" s="28" t="n">
        <x:f>MIN(1,L2547/I2547)</x:f>
        <x:v>0.0696</x:v>
      </x:c>
      <x:c r="P2547" s="30" t="n">
        <x:f>O2547*J2547*(1+M2547)</x:f>
        <x:v>0.07656</x:v>
      </x:c>
      <x:c r="Q2547" s="30" t="n">
        <x:f>P2547*N2547</x:f>
        <x:v>0.15312</x:v>
      </x:c>
      <x:c r="R2547" s="19" t="str">
        <x:v>独立判定</x:v>
      </x:c>
    </x:row>
    <x:row r="2548" ht="19" customHeight="1">
      <x:c r="A2548" s="19" t="str">
        <x:v>D02544</x:v>
      </x:c>
      <x:c r="B2548" s="19" t="n">
        <x:v>5</x:v>
      </x:c>
      <x:c r="C2548" s="19" t="n">
        <x:v>4</x:v>
      </x:c>
      <x:c r="D2548" s="19" t="str">
        <x:v>C05-M048</x:v>
      </x:c>
      <x:c r="E2548" s="19" t="str">
        <x:v>满月万卷君</x:v>
      </x:c>
      <x:c r="F2548" s="19" t="str">
        <x:v>地图BOSS</x:v>
      </x:c>
      <x:c r="G2548" s="19" t="str">
        <x:v>材料独立候选</x:v>
      </x:c>
      <x:c r="H2548" s="19" t="str">
        <x:v>小卢恩</x:v>
      </x:c>
      <x:c r="I2548" s="22" t="n">
        <x:v>2500</x:v>
      </x:c>
      <x:c r="J2548" s="22" t="n">
        <x:v>1</x:v>
      </x:c>
      <x:c r="K2548" s="19" t="n">
        <x:v>1</x:v>
      </x:c>
      <x:c r="L2548" s="24" t="n">
        <x:v>27.839999999999996</x:v>
      </x:c>
      <x:c r="M2548" s="26" t="n">
        <x:v>0.1</x:v>
      </x:c>
      <x:c r="N2548" s="24" t="n">
        <x:v>2</x:v>
      </x:c>
      <x:c r="O2548" s="28" t="n">
        <x:f>MIN(1,L2548/I2548)</x:f>
        <x:v>0.011135999999999998</x:v>
      </x:c>
      <x:c r="P2548" s="30" t="n">
        <x:f>O2548*J2548*(1+M2548)</x:f>
        <x:v>0.0122496</x:v>
      </x:c>
      <x:c r="Q2548" s="30" t="n">
        <x:f>P2548*N2548</x:f>
        <x:v>0.0244992</x:v>
      </x:c>
      <x:c r="R2548" s="19" t="str">
        <x:v>独立判定</x:v>
      </x:c>
    </x:row>
    <x:row r="2549" ht="19" customHeight="1">
      <x:c r="A2549" s="19" t="str">
        <x:v>D02545</x:v>
      </x:c>
      <x:c r="B2549" s="19" t="n">
        <x:v>5</x:v>
      </x:c>
      <x:c r="C2549" s="19" t="n">
        <x:v>4</x:v>
      </x:c>
      <x:c r="D2549" s="19" t="str">
        <x:v>C05-M048</x:v>
      </x:c>
      <x:c r="E2549" s="19" t="str">
        <x:v>满月万卷君</x:v>
      </x:c>
      <x:c r="F2549" s="19" t="str">
        <x:v>地图BOSS</x:v>
      </x:c>
      <x:c r="G2549" s="19" t="str">
        <x:v>材料独立候选</x:v>
      </x:c>
      <x:c r="H2549" s="19" t="str">
        <x:v>大卢恩</x:v>
      </x:c>
      <x:c r="I2549" s="22" t="n">
        <x:v>250</x:v>
      </x:c>
      <x:c r="J2549" s="22" t="n">
        <x:v>1</x:v>
      </x:c>
      <x:c r="K2549" s="19" t="n">
        <x:v>1</x:v>
      </x:c>
      <x:c r="L2549" s="24" t="n">
        <x:v>27.839999999999996</x:v>
      </x:c>
      <x:c r="M2549" s="26" t="n">
        <x:v>0.1</x:v>
      </x:c>
      <x:c r="N2549" s="24" t="n">
        <x:v>2</x:v>
      </x:c>
      <x:c r="O2549" s="28" t="n">
        <x:f>MIN(1,L2549/I2549)</x:f>
        <x:v>0.11135999999999999</x:v>
      </x:c>
      <x:c r="P2549" s="30" t="n">
        <x:f>O2549*J2549*(1+M2549)</x:f>
        <x:v>0.122496</x:v>
      </x:c>
      <x:c r="Q2549" s="30" t="n">
        <x:f>P2549*N2549</x:f>
        <x:v>0.244992</x:v>
      </x:c>
      <x:c r="R2549" s="19" t="str">
        <x:v>独立判定</x:v>
      </x:c>
    </x:row>
    <x:row r="2550" ht="19" customHeight="1">
      <x:c r="A2550" s="19" t="str">
        <x:v>D02546</x:v>
      </x:c>
      <x:c r="B2550" s="19" t="n">
        <x:v>5</x:v>
      </x:c>
      <x:c r="C2550" s="19" t="n">
        <x:v>4</x:v>
      </x:c>
      <x:c r="D2550" s="19" t="str">
        <x:v>C05-M048</x:v>
      </x:c>
      <x:c r="E2550" s="19" t="str">
        <x:v>满月万卷君</x:v>
      </x:c>
      <x:c r="F2550" s="19" t="str">
        <x:v>地图BOSS</x:v>
      </x:c>
      <x:c r="G2550" s="19" t="str">
        <x:v>六神器公共池</x:v>
      </x:c>
      <x:c r="H2550" s="19" t="str">
        <x:v>POOL006</x:v>
      </x:c>
      <x:c r="I2550" s="22" t="n">
        <x:v>200000</x:v>
      </x:c>
      <x:c r="J2550" s="22" t="n">
        <x:v>1</x:v>
      </x:c>
      <x:c r="K2550" s="19" t="n">
        <x:v>6</x:v>
      </x:c>
      <x:c r="L2550" s="24" t="n">
        <x:v>27.839999999999996</x:v>
      </x:c>
      <x:c r="M2550" s="26" t="n">
        <x:v>0.1</x:v>
      </x:c>
      <x:c r="N2550" s="24" t="n">
        <x:v>2</x:v>
      </x:c>
      <x:c r="O2550" s="28" t="n">
        <x:f>MIN(1,L2550/I2550)</x:f>
        <x:v>0.00013919999999999997</x:v>
      </x:c>
      <x:c r="P2550" s="30" t="n">
        <x:f>O2550*J2550*(1+M2550)</x:f>
        <x:v>0.00015311999999999997</x:v>
      </x:c>
      <x:c r="Q2550" s="30" t="n">
        <x:f>P2550*N2550</x:f>
        <x:v>0.00030623999999999994</x:v>
      </x:c>
      <x:c r="R2550" s="19" t="str">
        <x:v>六选一；非6个独立爆率</x:v>
      </x:c>
    </x:row>
    <x:row r="2551" ht="19" customHeight="1">
      <x:c r="A2551" s="19" t="str">
        <x:v>D02547</x:v>
      </x:c>
      <x:c r="B2551" s="19" t="n">
        <x:v>5</x:v>
      </x:c>
      <x:c r="C2551" s="19" t="n">
        <x:v>5</x:v>
      </x:c>
      <x:c r="D2551" s="19" t="str">
        <x:v>C05-M049</x:v>
      </x:c>
      <x:c r="E2551" s="19" t="str">
        <x:v>月影鳞侍</x:v>
      </x:c>
      <x:c r="F2551" s="19" t="str">
        <x:v>普通</x:v>
      </x:c>
      <x:c r="G2551" s="19" t="str">
        <x:v>自身专属</x:v>
      </x:c>
      <x:c r="H2551" s="19" t="str">
        <x:v>月影鳞侍叉</x:v>
      </x:c>
      <x:c r="I2551" s="22" t="n">
        <x:v>2000</x:v>
      </x:c>
      <x:c r="J2551" s="22" t="n">
        <x:v>1</x:v>
      </x:c>
      <x:c r="K2551" s="19" t="n">
        <x:v>1</x:v>
      </x:c>
      <x:c r="L2551" s="24" t="n">
        <x:v>27.839999999999996</x:v>
      </x:c>
      <x:c r="M2551" s="26" t="n">
        <x:v>0.1</x:v>
      </x:c>
      <x:c r="N2551" s="24" t="n">
        <x:v>72</x:v>
      </x:c>
      <x:c r="O2551" s="28" t="n">
        <x:f>MIN(1,L2551/I2551)</x:f>
        <x:v>0.013919999999999998</x:v>
      </x:c>
      <x:c r="P2551" s="30" t="n">
        <x:f>O2551*J2551*(1+M2551)</x:f>
        <x:v>0.015312</x:v>
      </x:c>
      <x:c r="Q2551" s="30" t="n">
        <x:f>P2551*N2551</x:f>
        <x:v>1.1024639999999999</x:v>
      </x:c>
      <x:c r="R2551" s="19" t="str">
        <x:v>独立判定</x:v>
      </x:c>
    </x:row>
    <x:row r="2552" ht="19" customHeight="1">
      <x:c r="A2552" s="19" t="str">
        <x:v>D02548</x:v>
      </x:c>
      <x:c r="B2552" s="19" t="n">
        <x:v>5</x:v>
      </x:c>
      <x:c r="C2552" s="19" t="n">
        <x:v>5</x:v>
      </x:c>
      <x:c r="D2552" s="19" t="str">
        <x:v>C05-M049</x:v>
      </x:c>
      <x:c r="E2552" s="19" t="str">
        <x:v>月影鳞侍</x:v>
      </x:c>
      <x:c r="F2552" s="19" t="str">
        <x:v>普通</x:v>
      </x:c>
      <x:c r="G2552" s="19" t="str">
        <x:v>材料独立候选</x:v>
      </x:c>
      <x:c r="H2552" s="19" t="str">
        <x:v>辉石碎晶</x:v>
      </x:c>
      <x:c r="I2552" s="22" t="n">
        <x:v>800</x:v>
      </x:c>
      <x:c r="J2552" s="22" t="n">
        <x:v>8</x:v>
      </x:c>
      <x:c r="K2552" s="19" t="n">
        <x:v>1</x:v>
      </x:c>
      <x:c r="L2552" s="24" t="n">
        <x:v>27.839999999999996</x:v>
      </x:c>
      <x:c r="M2552" s="26" t="n">
        <x:v>0.1</x:v>
      </x:c>
      <x:c r="N2552" s="24" t="n">
        <x:v>72</x:v>
      </x:c>
      <x:c r="O2552" s="28" t="n">
        <x:f>MIN(1,L2552/I2552)</x:f>
        <x:v>0.0348</x:v>
      </x:c>
      <x:c r="P2552" s="30" t="n">
        <x:f>O2552*J2552*(1+M2552)</x:f>
        <x:v>0.30624</x:v>
      </x:c>
      <x:c r="Q2552" s="30" t="n">
        <x:f>P2552*N2552</x:f>
        <x:v>22.04928</x:v>
      </x:c>
      <x:c r="R2552" s="19" t="str">
        <x:v>独立判定</x:v>
      </x:c>
    </x:row>
    <x:row r="2553" ht="19" customHeight="1">
      <x:c r="A2553" s="19" t="str">
        <x:v>D02549</x:v>
      </x:c>
      <x:c r="B2553" s="19" t="n">
        <x:v>5</x:v>
      </x:c>
      <x:c r="C2553" s="19" t="n">
        <x:v>5</x:v>
      </x:c>
      <x:c r="D2553" s="19" t="str">
        <x:v>C05-M049</x:v>
      </x:c>
      <x:c r="E2553" s="19" t="str">
        <x:v>月影鳞侍</x:v>
      </x:c>
      <x:c r="F2553" s="19" t="str">
        <x:v>普通</x:v>
      </x:c>
      <x:c r="G2553" s="19" t="str">
        <x:v>材料独立候选</x:v>
      </x:c>
      <x:c r="H2553" s="19" t="str">
        <x:v>雾月星砂</x:v>
      </x:c>
      <x:c r="I2553" s="22" t="n">
        <x:v>1200</x:v>
      </x:c>
      <x:c r="J2553" s="22" t="n">
        <x:v>1</x:v>
      </x:c>
      <x:c r="K2553" s="19" t="n">
        <x:v>1</x:v>
      </x:c>
      <x:c r="L2553" s="24" t="n">
        <x:v>27.839999999999996</x:v>
      </x:c>
      <x:c r="M2553" s="26" t="n">
        <x:v>0.1</x:v>
      </x:c>
      <x:c r="N2553" s="24" t="n">
        <x:v>72</x:v>
      </x:c>
      <x:c r="O2553" s="28" t="n">
        <x:f>MIN(1,L2553/I2553)</x:f>
        <x:v>0.0232</x:v>
      </x:c>
      <x:c r="P2553" s="30" t="n">
        <x:f>O2553*J2553*(1+M2553)</x:f>
        <x:v>0.02552</x:v>
      </x:c>
      <x:c r="Q2553" s="30" t="n">
        <x:f>P2553*N2553</x:f>
        <x:v>1.83744</x:v>
      </x:c>
      <x:c r="R2553" s="19" t="str">
        <x:v>独立判定</x:v>
      </x:c>
    </x:row>
    <x:row r="2554" ht="19" customHeight="1">
      <x:c r="A2554" s="19" t="str">
        <x:v>D02550</x:v>
      </x:c>
      <x:c r="B2554" s="19" t="n">
        <x:v>5</x:v>
      </x:c>
      <x:c r="C2554" s="19" t="n">
        <x:v>5</x:v>
      </x:c>
      <x:c r="D2554" s="19" t="str">
        <x:v>C05-M049</x:v>
      </x:c>
      <x:c r="E2554" s="19" t="str">
        <x:v>月影鳞侍</x:v>
      </x:c>
      <x:c r="F2554" s="19" t="str">
        <x:v>普通</x:v>
      </x:c>
      <x:c r="G2554" s="19" t="str">
        <x:v>材料独立候选</x:v>
      </x:c>
      <x:c r="H2554" s="19" t="str">
        <x:v>湖心月谱残章</x:v>
      </x:c>
      <x:c r="I2554" s="22" t="n">
        <x:v>1200000</x:v>
      </x:c>
      <x:c r="J2554" s="22" t="n">
        <x:v>1</x:v>
      </x:c>
      <x:c r="K2554" s="19" t="n">
        <x:v>1</x:v>
      </x:c>
      <x:c r="L2554" s="24" t="n">
        <x:v>27.839999999999996</x:v>
      </x:c>
      <x:c r="M2554" s="26" t="n">
        <x:v>0.1</x:v>
      </x:c>
      <x:c r="N2554" s="24" t="n">
        <x:v>72</x:v>
      </x:c>
      <x:c r="O2554" s="28" t="n">
        <x:f>MIN(1,L2554/I2554)</x:f>
        <x:v>0.000023199999999999998</x:v>
      </x:c>
      <x:c r="P2554" s="30" t="n">
        <x:f>O2554*J2554*(1+M2554)</x:f>
        <x:v>0.00002552</x:v>
      </x:c>
      <x:c r="Q2554" s="30" t="n">
        <x:f>P2554*N2554</x:f>
        <x:v>0.00183744</x:v>
      </x:c>
      <x:c r="R2554" s="19" t="str">
        <x:v>独立判定</x:v>
      </x:c>
    </x:row>
    <x:row r="2555" ht="19" customHeight="1">
      <x:c r="A2555" s="19" t="str">
        <x:v>D02551</x:v>
      </x:c>
      <x:c r="B2555" s="19" t="n">
        <x:v>5</x:v>
      </x:c>
      <x:c r="C2555" s="19" t="n">
        <x:v>5</x:v>
      </x:c>
      <x:c r="D2555" s="19" t="str">
        <x:v>C05-M049</x:v>
      </x:c>
      <x:c r="E2555" s="19" t="str">
        <x:v>月影鳞侍</x:v>
      </x:c>
      <x:c r="F2555" s="19" t="str">
        <x:v>普通</x:v>
      </x:c>
      <x:c r="G2555" s="19" t="str">
        <x:v>材料独立候选</x:v>
      </x:c>
      <x:c r="H2555" s="19" t="str">
        <x:v>野兽骨片</x:v>
      </x:c>
      <x:c r="I2555" s="22" t="n">
        <x:v>150</x:v>
      </x:c>
      <x:c r="J2555" s="22" t="n">
        <x:v>3</x:v>
      </x:c>
      <x:c r="K2555" s="19" t="n">
        <x:v>1</x:v>
      </x:c>
      <x:c r="L2555" s="24" t="n">
        <x:v>27.839999999999996</x:v>
      </x:c>
      <x:c r="M2555" s="26" t="n">
        <x:v>0.1</x:v>
      </x:c>
      <x:c r="N2555" s="24" t="n">
        <x:v>72</x:v>
      </x:c>
      <x:c r="O2555" s="28" t="n">
        <x:f>MIN(1,L2555/I2555)</x:f>
        <x:v>0.1856</x:v>
      </x:c>
      <x:c r="P2555" s="30" t="n">
        <x:f>O2555*J2555*(1+M2555)</x:f>
        <x:v>0.61248</x:v>
      </x:c>
      <x:c r="Q2555" s="30" t="n">
        <x:f>P2555*N2555</x:f>
        <x:v>44.09856</x:v>
      </x:c>
      <x:c r="R2555" s="19" t="str">
        <x:v>独立判定</x:v>
      </x:c>
    </x:row>
    <x:row r="2556" ht="19" customHeight="1">
      <x:c r="A2556" s="19" t="str">
        <x:v>D02552</x:v>
      </x:c>
      <x:c r="B2556" s="19" t="n">
        <x:v>5</x:v>
      </x:c>
      <x:c r="C2556" s="19" t="n">
        <x:v>5</x:v>
      </x:c>
      <x:c r="D2556" s="19" t="str">
        <x:v>C05-M049</x:v>
      </x:c>
      <x:c r="E2556" s="19" t="str">
        <x:v>月影鳞侍</x:v>
      </x:c>
      <x:c r="F2556" s="19" t="str">
        <x:v>普通</x:v>
      </x:c>
      <x:c r="G2556" s="19" t="str">
        <x:v>材料独立候选</x:v>
      </x:c>
      <x:c r="H2556" s="19" t="str">
        <x:v>技能残页</x:v>
      </x:c>
      <x:c r="I2556" s="22" t="n">
        <x:v>4000</x:v>
      </x:c>
      <x:c r="J2556" s="22" t="n">
        <x:v>1</x:v>
      </x:c>
      <x:c r="K2556" s="19" t="n">
        <x:v>1</x:v>
      </x:c>
      <x:c r="L2556" s="24" t="n">
        <x:v>27.839999999999996</x:v>
      </x:c>
      <x:c r="M2556" s="26" t="n">
        <x:v>0.1</x:v>
      </x:c>
      <x:c r="N2556" s="24" t="n">
        <x:v>72</x:v>
      </x:c>
      <x:c r="O2556" s="28" t="n">
        <x:f>MIN(1,L2556/I2556)</x:f>
        <x:v>0.006959999999999999</x:v>
      </x:c>
      <x:c r="P2556" s="30" t="n">
        <x:f>O2556*J2556*(1+M2556)</x:f>
        <x:v>0.007656</x:v>
      </x:c>
      <x:c r="Q2556" s="30" t="n">
        <x:f>P2556*N2556</x:f>
        <x:v>0.5512319999999999</x:v>
      </x:c>
      <x:c r="R2556" s="19" t="str">
        <x:v>独立判定</x:v>
      </x:c>
    </x:row>
    <x:row r="2557" ht="19" customHeight="1">
      <x:c r="A2557" s="19" t="str">
        <x:v>D02553</x:v>
      </x:c>
      <x:c r="B2557" s="19" t="n">
        <x:v>5</x:v>
      </x:c>
      <x:c r="C2557" s="19" t="n">
        <x:v>5</x:v>
      </x:c>
      <x:c r="D2557" s="19" t="str">
        <x:v>C05-M049</x:v>
      </x:c>
      <x:c r="E2557" s="19" t="str">
        <x:v>月影鳞侍</x:v>
      </x:c>
      <x:c r="F2557" s="19" t="str">
        <x:v>普通</x:v>
      </x:c>
      <x:c r="G2557" s="19" t="str">
        <x:v>材料独立候选</x:v>
      </x:c>
      <x:c r="H2557" s="19" t="str">
        <x:v>小卢恩</x:v>
      </x:c>
      <x:c r="I2557" s="22" t="n">
        <x:v>8000</x:v>
      </x:c>
      <x:c r="J2557" s="22" t="n">
        <x:v>1</x:v>
      </x:c>
      <x:c r="K2557" s="19" t="n">
        <x:v>1</x:v>
      </x:c>
      <x:c r="L2557" s="24" t="n">
        <x:v>27.839999999999996</x:v>
      </x:c>
      <x:c r="M2557" s="26" t="n">
        <x:v>0.1</x:v>
      </x:c>
      <x:c r="N2557" s="24" t="n">
        <x:v>72</x:v>
      </x:c>
      <x:c r="O2557" s="28" t="n">
        <x:f>MIN(1,L2557/I2557)</x:f>
        <x:v>0.0034799999999999996</x:v>
      </x:c>
      <x:c r="P2557" s="30" t="n">
        <x:f>O2557*J2557*(1+M2557)</x:f>
        <x:v>0.003828</x:v>
      </x:c>
      <x:c r="Q2557" s="30" t="n">
        <x:f>P2557*N2557</x:f>
        <x:v>0.27561599999999997</x:v>
      </x:c>
      <x:c r="R2557" s="19" t="str">
        <x:v>独立判定</x:v>
      </x:c>
    </x:row>
    <x:row r="2558" ht="19" customHeight="1">
      <x:c r="A2558" s="19" t="str">
        <x:v>D02554</x:v>
      </x:c>
      <x:c r="B2558" s="19" t="n">
        <x:v>5</x:v>
      </x:c>
      <x:c r="C2558" s="19" t="n">
        <x:v>5</x:v>
      </x:c>
      <x:c r="D2558" s="19" t="str">
        <x:v>C05-M049</x:v>
      </x:c>
      <x:c r="E2558" s="19" t="str">
        <x:v>月影鳞侍</x:v>
      </x:c>
      <x:c r="F2558" s="19" t="str">
        <x:v>普通</x:v>
      </x:c>
      <x:c r="G2558" s="19" t="str">
        <x:v>六神器公共池</x:v>
      </x:c>
      <x:c r="H2558" s="19" t="str">
        <x:v>POOL006</x:v>
      </x:c>
      <x:c r="I2558" s="22" t="n">
        <x:v>20000000</x:v>
      </x:c>
      <x:c r="J2558" s="22" t="n">
        <x:v>1</x:v>
      </x:c>
      <x:c r="K2558" s="19" t="n">
        <x:v>6</x:v>
      </x:c>
      <x:c r="L2558" s="24" t="n">
        <x:v>27.839999999999996</x:v>
      </x:c>
      <x:c r="M2558" s="26" t="n">
        <x:v>0.1</x:v>
      </x:c>
      <x:c r="N2558" s="24" t="n">
        <x:v>72</x:v>
      </x:c>
      <x:c r="O2558" s="28" t="n">
        <x:f>MIN(1,L2558/I2558)</x:f>
        <x:v>0.0000013919999999999998</x:v>
      </x:c>
      <x:c r="P2558" s="30" t="n">
        <x:f>O2558*J2558*(1+M2558)</x:f>
        <x:v>0.0000015311999999999998</x:v>
      </x:c>
      <x:c r="Q2558" s="30" t="n">
        <x:f>P2558*N2558</x:f>
        <x:v>0.00011024639999999999</x:v>
      </x:c>
      <x:c r="R2558" s="19" t="str">
        <x:v>六选一；非6个独立爆率</x:v>
      </x:c>
    </x:row>
    <x:row r="2559" ht="19" customHeight="1">
      <x:c r="A2559" s="19" t="str">
        <x:v>D02555</x:v>
      </x:c>
      <x:c r="B2559" s="19" t="n">
        <x:v>5</x:v>
      </x:c>
      <x:c r="C2559" s="19" t="n">
        <x:v>5</x:v>
      </x:c>
      <x:c r="D2559" s="19" t="str">
        <x:v>C05-M050</x:v>
      </x:c>
      <x:c r="E2559" s="19" t="str">
        <x:v>水宫涡纹螺</x:v>
      </x:c>
      <x:c r="F2559" s="19" t="str">
        <x:v>普通</x:v>
      </x:c>
      <x:c r="G2559" s="19" t="str">
        <x:v>自身专属</x:v>
      </x:c>
      <x:c r="H2559" s="19" t="str">
        <x:v>涡纹螺壳盾</x:v>
      </x:c>
      <x:c r="I2559" s="22" t="n">
        <x:v>2000</x:v>
      </x:c>
      <x:c r="J2559" s="22" t="n">
        <x:v>1</x:v>
      </x:c>
      <x:c r="K2559" s="19" t="n">
        <x:v>1</x:v>
      </x:c>
      <x:c r="L2559" s="24" t="n">
        <x:v>27.839999999999996</x:v>
      </x:c>
      <x:c r="M2559" s="26" t="n">
        <x:v>0.1</x:v>
      </x:c>
      <x:c r="N2559" s="24" t="n">
        <x:v>72</x:v>
      </x:c>
      <x:c r="O2559" s="28" t="n">
        <x:f>MIN(1,L2559/I2559)</x:f>
        <x:v>0.013919999999999998</x:v>
      </x:c>
      <x:c r="P2559" s="30" t="n">
        <x:f>O2559*J2559*(1+M2559)</x:f>
        <x:v>0.015312</x:v>
      </x:c>
      <x:c r="Q2559" s="30" t="n">
        <x:f>P2559*N2559</x:f>
        <x:v>1.1024639999999999</x:v>
      </x:c>
      <x:c r="R2559" s="19" t="str">
        <x:v>独立判定</x:v>
      </x:c>
    </x:row>
    <x:row r="2560" ht="19" customHeight="1">
      <x:c r="A2560" s="19" t="str">
        <x:v>D02556</x:v>
      </x:c>
      <x:c r="B2560" s="19" t="n">
        <x:v>5</x:v>
      </x:c>
      <x:c r="C2560" s="19" t="n">
        <x:v>5</x:v>
      </x:c>
      <x:c r="D2560" s="19" t="str">
        <x:v>C05-M050</x:v>
      </x:c>
      <x:c r="E2560" s="19" t="str">
        <x:v>水宫涡纹螺</x:v>
      </x:c>
      <x:c r="F2560" s="19" t="str">
        <x:v>普通</x:v>
      </x:c>
      <x:c r="G2560" s="19" t="str">
        <x:v>材料独立候选</x:v>
      </x:c>
      <x:c r="H2560" s="19" t="str">
        <x:v>辉石碎晶</x:v>
      </x:c>
      <x:c r="I2560" s="22" t="n">
        <x:v>800</x:v>
      </x:c>
      <x:c r="J2560" s="22" t="n">
        <x:v>8</x:v>
      </x:c>
      <x:c r="K2560" s="19" t="n">
        <x:v>1</x:v>
      </x:c>
      <x:c r="L2560" s="24" t="n">
        <x:v>27.839999999999996</x:v>
      </x:c>
      <x:c r="M2560" s="26" t="n">
        <x:v>0.1</x:v>
      </x:c>
      <x:c r="N2560" s="24" t="n">
        <x:v>72</x:v>
      </x:c>
      <x:c r="O2560" s="28" t="n">
        <x:f>MIN(1,L2560/I2560)</x:f>
        <x:v>0.0348</x:v>
      </x:c>
      <x:c r="P2560" s="30" t="n">
        <x:f>O2560*J2560*(1+M2560)</x:f>
        <x:v>0.30624</x:v>
      </x:c>
      <x:c r="Q2560" s="30" t="n">
        <x:f>P2560*N2560</x:f>
        <x:v>22.04928</x:v>
      </x:c>
      <x:c r="R2560" s="19" t="str">
        <x:v>独立判定</x:v>
      </x:c>
    </x:row>
    <x:row r="2561" ht="19" customHeight="1">
      <x:c r="A2561" s="19" t="str">
        <x:v>D02557</x:v>
      </x:c>
      <x:c r="B2561" s="19" t="n">
        <x:v>5</x:v>
      </x:c>
      <x:c r="C2561" s="19" t="n">
        <x:v>5</x:v>
      </x:c>
      <x:c r="D2561" s="19" t="str">
        <x:v>C05-M050</x:v>
      </x:c>
      <x:c r="E2561" s="19" t="str">
        <x:v>水宫涡纹螺</x:v>
      </x:c>
      <x:c r="F2561" s="19" t="str">
        <x:v>普通</x:v>
      </x:c>
      <x:c r="G2561" s="19" t="str">
        <x:v>材料独立候选</x:v>
      </x:c>
      <x:c r="H2561" s="19" t="str">
        <x:v>雾月星砂</x:v>
      </x:c>
      <x:c r="I2561" s="22" t="n">
        <x:v>1200</x:v>
      </x:c>
      <x:c r="J2561" s="22" t="n">
        <x:v>1</x:v>
      </x:c>
      <x:c r="K2561" s="19" t="n">
        <x:v>1</x:v>
      </x:c>
      <x:c r="L2561" s="24" t="n">
        <x:v>27.839999999999996</x:v>
      </x:c>
      <x:c r="M2561" s="26" t="n">
        <x:v>0.1</x:v>
      </x:c>
      <x:c r="N2561" s="24" t="n">
        <x:v>72</x:v>
      </x:c>
      <x:c r="O2561" s="28" t="n">
        <x:f>MIN(1,L2561/I2561)</x:f>
        <x:v>0.0232</x:v>
      </x:c>
      <x:c r="P2561" s="30" t="n">
        <x:f>O2561*J2561*(1+M2561)</x:f>
        <x:v>0.02552</x:v>
      </x:c>
      <x:c r="Q2561" s="30" t="n">
        <x:f>P2561*N2561</x:f>
        <x:v>1.83744</x:v>
      </x:c>
      <x:c r="R2561" s="19" t="str">
        <x:v>独立判定</x:v>
      </x:c>
    </x:row>
    <x:row r="2562" ht="19" customHeight="1">
      <x:c r="A2562" s="19" t="str">
        <x:v>D02558</x:v>
      </x:c>
      <x:c r="B2562" s="19" t="n">
        <x:v>5</x:v>
      </x:c>
      <x:c r="C2562" s="19" t="n">
        <x:v>5</x:v>
      </x:c>
      <x:c r="D2562" s="19" t="str">
        <x:v>C05-M050</x:v>
      </x:c>
      <x:c r="E2562" s="19" t="str">
        <x:v>水宫涡纹螺</x:v>
      </x:c>
      <x:c r="F2562" s="19" t="str">
        <x:v>普通</x:v>
      </x:c>
      <x:c r="G2562" s="19" t="str">
        <x:v>材料独立候选</x:v>
      </x:c>
      <x:c r="H2562" s="19" t="str">
        <x:v>湖心月谱残章</x:v>
      </x:c>
      <x:c r="I2562" s="22" t="n">
        <x:v>1200000</x:v>
      </x:c>
      <x:c r="J2562" s="22" t="n">
        <x:v>1</x:v>
      </x:c>
      <x:c r="K2562" s="19" t="n">
        <x:v>1</x:v>
      </x:c>
      <x:c r="L2562" s="24" t="n">
        <x:v>27.839999999999996</x:v>
      </x:c>
      <x:c r="M2562" s="26" t="n">
        <x:v>0.1</x:v>
      </x:c>
      <x:c r="N2562" s="24" t="n">
        <x:v>72</x:v>
      </x:c>
      <x:c r="O2562" s="28" t="n">
        <x:f>MIN(1,L2562/I2562)</x:f>
        <x:v>0.000023199999999999998</x:v>
      </x:c>
      <x:c r="P2562" s="30" t="n">
        <x:f>O2562*J2562*(1+M2562)</x:f>
        <x:v>0.00002552</x:v>
      </x:c>
      <x:c r="Q2562" s="30" t="n">
        <x:f>P2562*N2562</x:f>
        <x:v>0.00183744</x:v>
      </x:c>
      <x:c r="R2562" s="19" t="str">
        <x:v>独立判定</x:v>
      </x:c>
    </x:row>
    <x:row r="2563" ht="19" customHeight="1">
      <x:c r="A2563" s="19" t="str">
        <x:v>D02559</x:v>
      </x:c>
      <x:c r="B2563" s="19" t="n">
        <x:v>5</x:v>
      </x:c>
      <x:c r="C2563" s="19" t="n">
        <x:v>5</x:v>
      </x:c>
      <x:c r="D2563" s="19" t="str">
        <x:v>C05-M050</x:v>
      </x:c>
      <x:c r="E2563" s="19" t="str">
        <x:v>水宫涡纹螺</x:v>
      </x:c>
      <x:c r="F2563" s="19" t="str">
        <x:v>普通</x:v>
      </x:c>
      <x:c r="G2563" s="19" t="str">
        <x:v>材料独立候选</x:v>
      </x:c>
      <x:c r="H2563" s="19" t="str">
        <x:v>野兽骨片</x:v>
      </x:c>
      <x:c r="I2563" s="22" t="n">
        <x:v>150</x:v>
      </x:c>
      <x:c r="J2563" s="22" t="n">
        <x:v>3</x:v>
      </x:c>
      <x:c r="K2563" s="19" t="n">
        <x:v>1</x:v>
      </x:c>
      <x:c r="L2563" s="24" t="n">
        <x:v>27.839999999999996</x:v>
      </x:c>
      <x:c r="M2563" s="26" t="n">
        <x:v>0.1</x:v>
      </x:c>
      <x:c r="N2563" s="24" t="n">
        <x:v>72</x:v>
      </x:c>
      <x:c r="O2563" s="28" t="n">
        <x:f>MIN(1,L2563/I2563)</x:f>
        <x:v>0.1856</x:v>
      </x:c>
      <x:c r="P2563" s="30" t="n">
        <x:f>O2563*J2563*(1+M2563)</x:f>
        <x:v>0.61248</x:v>
      </x:c>
      <x:c r="Q2563" s="30" t="n">
        <x:f>P2563*N2563</x:f>
        <x:v>44.09856</x:v>
      </x:c>
      <x:c r="R2563" s="19" t="str">
        <x:v>独立判定</x:v>
      </x:c>
    </x:row>
    <x:row r="2564" ht="19" customHeight="1">
      <x:c r="A2564" s="19" t="str">
        <x:v>D02560</x:v>
      </x:c>
      <x:c r="B2564" s="19" t="n">
        <x:v>5</x:v>
      </x:c>
      <x:c r="C2564" s="19" t="n">
        <x:v>5</x:v>
      </x:c>
      <x:c r="D2564" s="19" t="str">
        <x:v>C05-M050</x:v>
      </x:c>
      <x:c r="E2564" s="19" t="str">
        <x:v>水宫涡纹螺</x:v>
      </x:c>
      <x:c r="F2564" s="19" t="str">
        <x:v>普通</x:v>
      </x:c>
      <x:c r="G2564" s="19" t="str">
        <x:v>材料独立候选</x:v>
      </x:c>
      <x:c r="H2564" s="19" t="str">
        <x:v>技能残页</x:v>
      </x:c>
      <x:c r="I2564" s="22" t="n">
        <x:v>4000</x:v>
      </x:c>
      <x:c r="J2564" s="22" t="n">
        <x:v>1</x:v>
      </x:c>
      <x:c r="K2564" s="19" t="n">
        <x:v>1</x:v>
      </x:c>
      <x:c r="L2564" s="24" t="n">
        <x:v>27.839999999999996</x:v>
      </x:c>
      <x:c r="M2564" s="26" t="n">
        <x:v>0.1</x:v>
      </x:c>
      <x:c r="N2564" s="24" t="n">
        <x:v>72</x:v>
      </x:c>
      <x:c r="O2564" s="28" t="n">
        <x:f>MIN(1,L2564/I2564)</x:f>
        <x:v>0.006959999999999999</x:v>
      </x:c>
      <x:c r="P2564" s="30" t="n">
        <x:f>O2564*J2564*(1+M2564)</x:f>
        <x:v>0.007656</x:v>
      </x:c>
      <x:c r="Q2564" s="30" t="n">
        <x:f>P2564*N2564</x:f>
        <x:v>0.5512319999999999</x:v>
      </x:c>
      <x:c r="R2564" s="19" t="str">
        <x:v>独立判定</x:v>
      </x:c>
    </x:row>
    <x:row r="2565" ht="19" customHeight="1">
      <x:c r="A2565" s="19" t="str">
        <x:v>D02561</x:v>
      </x:c>
      <x:c r="B2565" s="19" t="n">
        <x:v>5</x:v>
      </x:c>
      <x:c r="C2565" s="19" t="n">
        <x:v>5</x:v>
      </x:c>
      <x:c r="D2565" s="19" t="str">
        <x:v>C05-M050</x:v>
      </x:c>
      <x:c r="E2565" s="19" t="str">
        <x:v>水宫涡纹螺</x:v>
      </x:c>
      <x:c r="F2565" s="19" t="str">
        <x:v>普通</x:v>
      </x:c>
      <x:c r="G2565" s="19" t="str">
        <x:v>材料独立候选</x:v>
      </x:c>
      <x:c r="H2565" s="19" t="str">
        <x:v>小卢恩</x:v>
      </x:c>
      <x:c r="I2565" s="22" t="n">
        <x:v>8000</x:v>
      </x:c>
      <x:c r="J2565" s="22" t="n">
        <x:v>1</x:v>
      </x:c>
      <x:c r="K2565" s="19" t="n">
        <x:v>1</x:v>
      </x:c>
      <x:c r="L2565" s="24" t="n">
        <x:v>27.839999999999996</x:v>
      </x:c>
      <x:c r="M2565" s="26" t="n">
        <x:v>0.1</x:v>
      </x:c>
      <x:c r="N2565" s="24" t="n">
        <x:v>72</x:v>
      </x:c>
      <x:c r="O2565" s="28" t="n">
        <x:f>MIN(1,L2565/I2565)</x:f>
        <x:v>0.0034799999999999996</x:v>
      </x:c>
      <x:c r="P2565" s="30" t="n">
        <x:f>O2565*J2565*(1+M2565)</x:f>
        <x:v>0.003828</x:v>
      </x:c>
      <x:c r="Q2565" s="30" t="n">
        <x:f>P2565*N2565</x:f>
        <x:v>0.27561599999999997</x:v>
      </x:c>
      <x:c r="R2565" s="19" t="str">
        <x:v>独立判定</x:v>
      </x:c>
    </x:row>
    <x:row r="2566" ht="19" customHeight="1">
      <x:c r="A2566" s="19" t="str">
        <x:v>D02562</x:v>
      </x:c>
      <x:c r="B2566" s="19" t="n">
        <x:v>5</x:v>
      </x:c>
      <x:c r="C2566" s="19" t="n">
        <x:v>5</x:v>
      </x:c>
      <x:c r="D2566" s="19" t="str">
        <x:v>C05-M050</x:v>
      </x:c>
      <x:c r="E2566" s="19" t="str">
        <x:v>水宫涡纹螺</x:v>
      </x:c>
      <x:c r="F2566" s="19" t="str">
        <x:v>普通</x:v>
      </x:c>
      <x:c r="G2566" s="19" t="str">
        <x:v>六神器公共池</x:v>
      </x:c>
      <x:c r="H2566" s="19" t="str">
        <x:v>POOL006</x:v>
      </x:c>
      <x:c r="I2566" s="22" t="n">
        <x:v>20000000</x:v>
      </x:c>
      <x:c r="J2566" s="22" t="n">
        <x:v>1</x:v>
      </x:c>
      <x:c r="K2566" s="19" t="n">
        <x:v>6</x:v>
      </x:c>
      <x:c r="L2566" s="24" t="n">
        <x:v>27.839999999999996</x:v>
      </x:c>
      <x:c r="M2566" s="26" t="n">
        <x:v>0.1</x:v>
      </x:c>
      <x:c r="N2566" s="24" t="n">
        <x:v>72</x:v>
      </x:c>
      <x:c r="O2566" s="28" t="n">
        <x:f>MIN(1,L2566/I2566)</x:f>
        <x:v>0.0000013919999999999998</x:v>
      </x:c>
      <x:c r="P2566" s="30" t="n">
        <x:f>O2566*J2566*(1+M2566)</x:f>
        <x:v>0.0000015311999999999998</x:v>
      </x:c>
      <x:c r="Q2566" s="30" t="n">
        <x:f>P2566*N2566</x:f>
        <x:v>0.00011024639999999999</x:v>
      </x:c>
      <x:c r="R2566" s="19" t="str">
        <x:v>六选一；非6个独立爆率</x:v>
      </x:c>
    </x:row>
    <x:row r="2567" ht="19" customHeight="1">
      <x:c r="A2567" s="19" t="str">
        <x:v>D02563</x:v>
      </x:c>
      <x:c r="B2567" s="19" t="n">
        <x:v>5</x:v>
      </x:c>
      <x:c r="C2567" s="19" t="n">
        <x:v>5</x:v>
      </x:c>
      <x:c r="D2567" s="19" t="str">
        <x:v>C05-M051</x:v>
      </x:c>
      <x:c r="E2567" s="19" t="str">
        <x:v>月华执扇女使</x:v>
      </x:c>
      <x:c r="F2567" s="19" t="str">
        <x:v>普通</x:v>
      </x:c>
      <x:c r="G2567" s="19" t="str">
        <x:v>自身专属</x:v>
      </x:c>
      <x:c r="H2567" s="19" t="str">
        <x:v>月华流扇笠</x:v>
      </x:c>
      <x:c r="I2567" s="22" t="n">
        <x:v>2000</x:v>
      </x:c>
      <x:c r="J2567" s="22" t="n">
        <x:v>1</x:v>
      </x:c>
      <x:c r="K2567" s="19" t="n">
        <x:v>1</x:v>
      </x:c>
      <x:c r="L2567" s="24" t="n">
        <x:v>27.839999999999996</x:v>
      </x:c>
      <x:c r="M2567" s="26" t="n">
        <x:v>0.1</x:v>
      </x:c>
      <x:c r="N2567" s="24" t="n">
        <x:v>72</x:v>
      </x:c>
      <x:c r="O2567" s="28" t="n">
        <x:f>MIN(1,L2567/I2567)</x:f>
        <x:v>0.013919999999999998</x:v>
      </x:c>
      <x:c r="P2567" s="30" t="n">
        <x:f>O2567*J2567*(1+M2567)</x:f>
        <x:v>0.015312</x:v>
      </x:c>
      <x:c r="Q2567" s="30" t="n">
        <x:f>P2567*N2567</x:f>
        <x:v>1.1024639999999999</x:v>
      </x:c>
      <x:c r="R2567" s="19" t="str">
        <x:v>独立判定</x:v>
      </x:c>
    </x:row>
    <x:row r="2568" ht="19" customHeight="1">
      <x:c r="A2568" s="19" t="str">
        <x:v>D02564</x:v>
      </x:c>
      <x:c r="B2568" s="19" t="n">
        <x:v>5</x:v>
      </x:c>
      <x:c r="C2568" s="19" t="n">
        <x:v>5</x:v>
      </x:c>
      <x:c r="D2568" s="19" t="str">
        <x:v>C05-M051</x:v>
      </x:c>
      <x:c r="E2568" s="19" t="str">
        <x:v>月华执扇女使</x:v>
      </x:c>
      <x:c r="F2568" s="19" t="str">
        <x:v>普通</x:v>
      </x:c>
      <x:c r="G2568" s="19" t="str">
        <x:v>材料独立候选</x:v>
      </x:c>
      <x:c r="H2568" s="19" t="str">
        <x:v>辉石碎晶</x:v>
      </x:c>
      <x:c r="I2568" s="22" t="n">
        <x:v>800</x:v>
      </x:c>
      <x:c r="J2568" s="22" t="n">
        <x:v>8</x:v>
      </x:c>
      <x:c r="K2568" s="19" t="n">
        <x:v>1</x:v>
      </x:c>
      <x:c r="L2568" s="24" t="n">
        <x:v>27.839999999999996</x:v>
      </x:c>
      <x:c r="M2568" s="26" t="n">
        <x:v>0.1</x:v>
      </x:c>
      <x:c r="N2568" s="24" t="n">
        <x:v>72</x:v>
      </x:c>
      <x:c r="O2568" s="28" t="n">
        <x:f>MIN(1,L2568/I2568)</x:f>
        <x:v>0.0348</x:v>
      </x:c>
      <x:c r="P2568" s="30" t="n">
        <x:f>O2568*J2568*(1+M2568)</x:f>
        <x:v>0.30624</x:v>
      </x:c>
      <x:c r="Q2568" s="30" t="n">
        <x:f>P2568*N2568</x:f>
        <x:v>22.04928</x:v>
      </x:c>
      <x:c r="R2568" s="19" t="str">
        <x:v>独立判定</x:v>
      </x:c>
    </x:row>
    <x:row r="2569" ht="19" customHeight="1">
      <x:c r="A2569" s="19" t="str">
        <x:v>D02565</x:v>
      </x:c>
      <x:c r="B2569" s="19" t="n">
        <x:v>5</x:v>
      </x:c>
      <x:c r="C2569" s="19" t="n">
        <x:v>5</x:v>
      </x:c>
      <x:c r="D2569" s="19" t="str">
        <x:v>C05-M051</x:v>
      </x:c>
      <x:c r="E2569" s="19" t="str">
        <x:v>月华执扇女使</x:v>
      </x:c>
      <x:c r="F2569" s="19" t="str">
        <x:v>普通</x:v>
      </x:c>
      <x:c r="G2569" s="19" t="str">
        <x:v>材料独立候选</x:v>
      </x:c>
      <x:c r="H2569" s="19" t="str">
        <x:v>雾月星砂</x:v>
      </x:c>
      <x:c r="I2569" s="22" t="n">
        <x:v>1200</x:v>
      </x:c>
      <x:c r="J2569" s="22" t="n">
        <x:v>1</x:v>
      </x:c>
      <x:c r="K2569" s="19" t="n">
        <x:v>1</x:v>
      </x:c>
      <x:c r="L2569" s="24" t="n">
        <x:v>27.839999999999996</x:v>
      </x:c>
      <x:c r="M2569" s="26" t="n">
        <x:v>0.1</x:v>
      </x:c>
      <x:c r="N2569" s="24" t="n">
        <x:v>72</x:v>
      </x:c>
      <x:c r="O2569" s="28" t="n">
        <x:f>MIN(1,L2569/I2569)</x:f>
        <x:v>0.0232</x:v>
      </x:c>
      <x:c r="P2569" s="30" t="n">
        <x:f>O2569*J2569*(1+M2569)</x:f>
        <x:v>0.02552</x:v>
      </x:c>
      <x:c r="Q2569" s="30" t="n">
        <x:f>P2569*N2569</x:f>
        <x:v>1.83744</x:v>
      </x:c>
      <x:c r="R2569" s="19" t="str">
        <x:v>独立判定</x:v>
      </x:c>
    </x:row>
    <x:row r="2570" ht="19" customHeight="1">
      <x:c r="A2570" s="19" t="str">
        <x:v>D02566</x:v>
      </x:c>
      <x:c r="B2570" s="19" t="n">
        <x:v>5</x:v>
      </x:c>
      <x:c r="C2570" s="19" t="n">
        <x:v>5</x:v>
      </x:c>
      <x:c r="D2570" s="19" t="str">
        <x:v>C05-M051</x:v>
      </x:c>
      <x:c r="E2570" s="19" t="str">
        <x:v>月华执扇女使</x:v>
      </x:c>
      <x:c r="F2570" s="19" t="str">
        <x:v>普通</x:v>
      </x:c>
      <x:c r="G2570" s="19" t="str">
        <x:v>材料独立候选</x:v>
      </x:c>
      <x:c r="H2570" s="19" t="str">
        <x:v>湖心月谱残章</x:v>
      </x:c>
      <x:c r="I2570" s="22" t="n">
        <x:v>1200000</x:v>
      </x:c>
      <x:c r="J2570" s="22" t="n">
        <x:v>1</x:v>
      </x:c>
      <x:c r="K2570" s="19" t="n">
        <x:v>1</x:v>
      </x:c>
      <x:c r="L2570" s="24" t="n">
        <x:v>27.839999999999996</x:v>
      </x:c>
      <x:c r="M2570" s="26" t="n">
        <x:v>0.1</x:v>
      </x:c>
      <x:c r="N2570" s="24" t="n">
        <x:v>72</x:v>
      </x:c>
      <x:c r="O2570" s="28" t="n">
        <x:f>MIN(1,L2570/I2570)</x:f>
        <x:v>0.000023199999999999998</x:v>
      </x:c>
      <x:c r="P2570" s="30" t="n">
        <x:f>O2570*J2570*(1+M2570)</x:f>
        <x:v>0.00002552</x:v>
      </x:c>
      <x:c r="Q2570" s="30" t="n">
        <x:f>P2570*N2570</x:f>
        <x:v>0.00183744</x:v>
      </x:c>
      <x:c r="R2570" s="19" t="str">
        <x:v>独立判定</x:v>
      </x:c>
    </x:row>
    <x:row r="2571" ht="19" customHeight="1">
      <x:c r="A2571" s="19" t="str">
        <x:v>D02567</x:v>
      </x:c>
      <x:c r="B2571" s="19" t="n">
        <x:v>5</x:v>
      </x:c>
      <x:c r="C2571" s="19" t="n">
        <x:v>5</x:v>
      </x:c>
      <x:c r="D2571" s="19" t="str">
        <x:v>C05-M051</x:v>
      </x:c>
      <x:c r="E2571" s="19" t="str">
        <x:v>月华执扇女使</x:v>
      </x:c>
      <x:c r="F2571" s="19" t="str">
        <x:v>普通</x:v>
      </x:c>
      <x:c r="G2571" s="19" t="str">
        <x:v>材料独立候选</x:v>
      </x:c>
      <x:c r="H2571" s="19" t="str">
        <x:v>野兽骨片</x:v>
      </x:c>
      <x:c r="I2571" s="22" t="n">
        <x:v>150</x:v>
      </x:c>
      <x:c r="J2571" s="22" t="n">
        <x:v>3</x:v>
      </x:c>
      <x:c r="K2571" s="19" t="n">
        <x:v>1</x:v>
      </x:c>
      <x:c r="L2571" s="24" t="n">
        <x:v>27.839999999999996</x:v>
      </x:c>
      <x:c r="M2571" s="26" t="n">
        <x:v>0.1</x:v>
      </x:c>
      <x:c r="N2571" s="24" t="n">
        <x:v>72</x:v>
      </x:c>
      <x:c r="O2571" s="28" t="n">
        <x:f>MIN(1,L2571/I2571)</x:f>
        <x:v>0.1856</x:v>
      </x:c>
      <x:c r="P2571" s="30" t="n">
        <x:f>O2571*J2571*(1+M2571)</x:f>
        <x:v>0.61248</x:v>
      </x:c>
      <x:c r="Q2571" s="30" t="n">
        <x:f>P2571*N2571</x:f>
        <x:v>44.09856</x:v>
      </x:c>
      <x:c r="R2571" s="19" t="str">
        <x:v>独立判定</x:v>
      </x:c>
    </x:row>
    <x:row r="2572" ht="19" customHeight="1">
      <x:c r="A2572" s="19" t="str">
        <x:v>D02568</x:v>
      </x:c>
      <x:c r="B2572" s="19" t="n">
        <x:v>5</x:v>
      </x:c>
      <x:c r="C2572" s="19" t="n">
        <x:v>5</x:v>
      </x:c>
      <x:c r="D2572" s="19" t="str">
        <x:v>C05-M051</x:v>
      </x:c>
      <x:c r="E2572" s="19" t="str">
        <x:v>月华执扇女使</x:v>
      </x:c>
      <x:c r="F2572" s="19" t="str">
        <x:v>普通</x:v>
      </x:c>
      <x:c r="G2572" s="19" t="str">
        <x:v>材料独立候选</x:v>
      </x:c>
      <x:c r="H2572" s="19" t="str">
        <x:v>技能残页</x:v>
      </x:c>
      <x:c r="I2572" s="22" t="n">
        <x:v>4000</x:v>
      </x:c>
      <x:c r="J2572" s="22" t="n">
        <x:v>1</x:v>
      </x:c>
      <x:c r="K2572" s="19" t="n">
        <x:v>1</x:v>
      </x:c>
      <x:c r="L2572" s="24" t="n">
        <x:v>27.839999999999996</x:v>
      </x:c>
      <x:c r="M2572" s="26" t="n">
        <x:v>0.1</x:v>
      </x:c>
      <x:c r="N2572" s="24" t="n">
        <x:v>72</x:v>
      </x:c>
      <x:c r="O2572" s="28" t="n">
        <x:f>MIN(1,L2572/I2572)</x:f>
        <x:v>0.006959999999999999</x:v>
      </x:c>
      <x:c r="P2572" s="30" t="n">
        <x:f>O2572*J2572*(1+M2572)</x:f>
        <x:v>0.007656</x:v>
      </x:c>
      <x:c r="Q2572" s="30" t="n">
        <x:f>P2572*N2572</x:f>
        <x:v>0.5512319999999999</x:v>
      </x:c>
      <x:c r="R2572" s="19" t="str">
        <x:v>独立判定</x:v>
      </x:c>
    </x:row>
    <x:row r="2573" ht="19" customHeight="1">
      <x:c r="A2573" s="19" t="str">
        <x:v>D02569</x:v>
      </x:c>
      <x:c r="B2573" s="19" t="n">
        <x:v>5</x:v>
      </x:c>
      <x:c r="C2573" s="19" t="n">
        <x:v>5</x:v>
      </x:c>
      <x:c r="D2573" s="19" t="str">
        <x:v>C05-M051</x:v>
      </x:c>
      <x:c r="E2573" s="19" t="str">
        <x:v>月华执扇女使</x:v>
      </x:c>
      <x:c r="F2573" s="19" t="str">
        <x:v>普通</x:v>
      </x:c>
      <x:c r="G2573" s="19" t="str">
        <x:v>材料独立候选</x:v>
      </x:c>
      <x:c r="H2573" s="19" t="str">
        <x:v>小卢恩</x:v>
      </x:c>
      <x:c r="I2573" s="22" t="n">
        <x:v>8000</x:v>
      </x:c>
      <x:c r="J2573" s="22" t="n">
        <x:v>1</x:v>
      </x:c>
      <x:c r="K2573" s="19" t="n">
        <x:v>1</x:v>
      </x:c>
      <x:c r="L2573" s="24" t="n">
        <x:v>27.839999999999996</x:v>
      </x:c>
      <x:c r="M2573" s="26" t="n">
        <x:v>0.1</x:v>
      </x:c>
      <x:c r="N2573" s="24" t="n">
        <x:v>72</x:v>
      </x:c>
      <x:c r="O2573" s="28" t="n">
        <x:f>MIN(1,L2573/I2573)</x:f>
        <x:v>0.0034799999999999996</x:v>
      </x:c>
      <x:c r="P2573" s="30" t="n">
        <x:f>O2573*J2573*(1+M2573)</x:f>
        <x:v>0.003828</x:v>
      </x:c>
      <x:c r="Q2573" s="30" t="n">
        <x:f>P2573*N2573</x:f>
        <x:v>0.27561599999999997</x:v>
      </x:c>
      <x:c r="R2573" s="19" t="str">
        <x:v>独立判定</x:v>
      </x:c>
    </x:row>
    <x:row r="2574" ht="19" customHeight="1">
      <x:c r="A2574" s="19" t="str">
        <x:v>D02570</x:v>
      </x:c>
      <x:c r="B2574" s="19" t="n">
        <x:v>5</x:v>
      </x:c>
      <x:c r="C2574" s="19" t="n">
        <x:v>5</x:v>
      </x:c>
      <x:c r="D2574" s="19" t="str">
        <x:v>C05-M051</x:v>
      </x:c>
      <x:c r="E2574" s="19" t="str">
        <x:v>月华执扇女使</x:v>
      </x:c>
      <x:c r="F2574" s="19" t="str">
        <x:v>普通</x:v>
      </x:c>
      <x:c r="G2574" s="19" t="str">
        <x:v>六神器公共池</x:v>
      </x:c>
      <x:c r="H2574" s="19" t="str">
        <x:v>POOL006</x:v>
      </x:c>
      <x:c r="I2574" s="22" t="n">
        <x:v>20000000</x:v>
      </x:c>
      <x:c r="J2574" s="22" t="n">
        <x:v>1</x:v>
      </x:c>
      <x:c r="K2574" s="19" t="n">
        <x:v>6</x:v>
      </x:c>
      <x:c r="L2574" s="24" t="n">
        <x:v>27.839999999999996</x:v>
      </x:c>
      <x:c r="M2574" s="26" t="n">
        <x:v>0.1</x:v>
      </x:c>
      <x:c r="N2574" s="24" t="n">
        <x:v>72</x:v>
      </x:c>
      <x:c r="O2574" s="28" t="n">
        <x:f>MIN(1,L2574/I2574)</x:f>
        <x:v>0.0000013919999999999998</x:v>
      </x:c>
      <x:c r="P2574" s="30" t="n">
        <x:f>O2574*J2574*(1+M2574)</x:f>
        <x:v>0.0000015311999999999998</x:v>
      </x:c>
      <x:c r="Q2574" s="30" t="n">
        <x:f>P2574*N2574</x:f>
        <x:v>0.00011024639999999999</x:v>
      </x:c>
      <x:c r="R2574" s="19" t="str">
        <x:v>六选一；非6个独立爆率</x:v>
      </x:c>
    </x:row>
    <x:row r="2575" ht="19" customHeight="1">
      <x:c r="A2575" s="19" t="str">
        <x:v>D02571</x:v>
      </x:c>
      <x:c r="B2575" s="19" t="n">
        <x:v>5</x:v>
      </x:c>
      <x:c r="C2575" s="19" t="n">
        <x:v>5</x:v>
      </x:c>
      <x:c r="D2575" s="19" t="str">
        <x:v>C05-M052</x:v>
      </x:c>
      <x:c r="E2575" s="19" t="str">
        <x:v>内殿浮光鲛兵</x:v>
      </x:c>
      <x:c r="F2575" s="19" t="str">
        <x:v>普通</x:v>
      </x:c>
      <x:c r="G2575" s="19" t="str">
        <x:v>自身专属</x:v>
      </x:c>
      <x:c r="H2575" s="19" t="str">
        <x:v>浮光鲛纹镯</x:v>
      </x:c>
      <x:c r="I2575" s="22" t="n">
        <x:v>2000</x:v>
      </x:c>
      <x:c r="J2575" s="22" t="n">
        <x:v>1</x:v>
      </x:c>
      <x:c r="K2575" s="19" t="n">
        <x:v>1</x:v>
      </x:c>
      <x:c r="L2575" s="24" t="n">
        <x:v>27.839999999999996</x:v>
      </x:c>
      <x:c r="M2575" s="26" t="n">
        <x:v>0.1</x:v>
      </x:c>
      <x:c r="N2575" s="24" t="n">
        <x:v>72</x:v>
      </x:c>
      <x:c r="O2575" s="28" t="n">
        <x:f>MIN(1,L2575/I2575)</x:f>
        <x:v>0.013919999999999998</x:v>
      </x:c>
      <x:c r="P2575" s="30" t="n">
        <x:f>O2575*J2575*(1+M2575)</x:f>
        <x:v>0.015312</x:v>
      </x:c>
      <x:c r="Q2575" s="30" t="n">
        <x:f>P2575*N2575</x:f>
        <x:v>1.1024639999999999</x:v>
      </x:c>
      <x:c r="R2575" s="19" t="str">
        <x:v>独立判定</x:v>
      </x:c>
    </x:row>
    <x:row r="2576" ht="19" customHeight="1">
      <x:c r="A2576" s="19" t="str">
        <x:v>D02572</x:v>
      </x:c>
      <x:c r="B2576" s="19" t="n">
        <x:v>5</x:v>
      </x:c>
      <x:c r="C2576" s="19" t="n">
        <x:v>5</x:v>
      </x:c>
      <x:c r="D2576" s="19" t="str">
        <x:v>C05-M052</x:v>
      </x:c>
      <x:c r="E2576" s="19" t="str">
        <x:v>内殿浮光鲛兵</x:v>
      </x:c>
      <x:c r="F2576" s="19" t="str">
        <x:v>普通</x:v>
      </x:c>
      <x:c r="G2576" s="19" t="str">
        <x:v>材料独立候选</x:v>
      </x:c>
      <x:c r="H2576" s="19" t="str">
        <x:v>辉石碎晶</x:v>
      </x:c>
      <x:c r="I2576" s="22" t="n">
        <x:v>800</x:v>
      </x:c>
      <x:c r="J2576" s="22" t="n">
        <x:v>8</x:v>
      </x:c>
      <x:c r="K2576" s="19" t="n">
        <x:v>1</x:v>
      </x:c>
      <x:c r="L2576" s="24" t="n">
        <x:v>27.839999999999996</x:v>
      </x:c>
      <x:c r="M2576" s="26" t="n">
        <x:v>0.1</x:v>
      </x:c>
      <x:c r="N2576" s="24" t="n">
        <x:v>72</x:v>
      </x:c>
      <x:c r="O2576" s="28" t="n">
        <x:f>MIN(1,L2576/I2576)</x:f>
        <x:v>0.0348</x:v>
      </x:c>
      <x:c r="P2576" s="30" t="n">
        <x:f>O2576*J2576*(1+M2576)</x:f>
        <x:v>0.30624</x:v>
      </x:c>
      <x:c r="Q2576" s="30" t="n">
        <x:f>P2576*N2576</x:f>
        <x:v>22.04928</x:v>
      </x:c>
      <x:c r="R2576" s="19" t="str">
        <x:v>独立判定</x:v>
      </x:c>
    </x:row>
    <x:row r="2577" ht="19" customHeight="1">
      <x:c r="A2577" s="19" t="str">
        <x:v>D02573</x:v>
      </x:c>
      <x:c r="B2577" s="19" t="n">
        <x:v>5</x:v>
      </x:c>
      <x:c r="C2577" s="19" t="n">
        <x:v>5</x:v>
      </x:c>
      <x:c r="D2577" s="19" t="str">
        <x:v>C05-M052</x:v>
      </x:c>
      <x:c r="E2577" s="19" t="str">
        <x:v>内殿浮光鲛兵</x:v>
      </x:c>
      <x:c r="F2577" s="19" t="str">
        <x:v>普通</x:v>
      </x:c>
      <x:c r="G2577" s="19" t="str">
        <x:v>材料独立候选</x:v>
      </x:c>
      <x:c r="H2577" s="19" t="str">
        <x:v>雾月星砂</x:v>
      </x:c>
      <x:c r="I2577" s="22" t="n">
        <x:v>1200</x:v>
      </x:c>
      <x:c r="J2577" s="22" t="n">
        <x:v>1</x:v>
      </x:c>
      <x:c r="K2577" s="19" t="n">
        <x:v>1</x:v>
      </x:c>
      <x:c r="L2577" s="24" t="n">
        <x:v>27.839999999999996</x:v>
      </x:c>
      <x:c r="M2577" s="26" t="n">
        <x:v>0.1</x:v>
      </x:c>
      <x:c r="N2577" s="24" t="n">
        <x:v>72</x:v>
      </x:c>
      <x:c r="O2577" s="28" t="n">
        <x:f>MIN(1,L2577/I2577)</x:f>
        <x:v>0.0232</x:v>
      </x:c>
      <x:c r="P2577" s="30" t="n">
        <x:f>O2577*J2577*(1+M2577)</x:f>
        <x:v>0.02552</x:v>
      </x:c>
      <x:c r="Q2577" s="30" t="n">
        <x:f>P2577*N2577</x:f>
        <x:v>1.83744</x:v>
      </x:c>
      <x:c r="R2577" s="19" t="str">
        <x:v>独立判定</x:v>
      </x:c>
    </x:row>
    <x:row r="2578" ht="19" customHeight="1">
      <x:c r="A2578" s="19" t="str">
        <x:v>D02574</x:v>
      </x:c>
      <x:c r="B2578" s="19" t="n">
        <x:v>5</x:v>
      </x:c>
      <x:c r="C2578" s="19" t="n">
        <x:v>5</x:v>
      </x:c>
      <x:c r="D2578" s="19" t="str">
        <x:v>C05-M052</x:v>
      </x:c>
      <x:c r="E2578" s="19" t="str">
        <x:v>内殿浮光鲛兵</x:v>
      </x:c>
      <x:c r="F2578" s="19" t="str">
        <x:v>普通</x:v>
      </x:c>
      <x:c r="G2578" s="19" t="str">
        <x:v>材料独立候选</x:v>
      </x:c>
      <x:c r="H2578" s="19" t="str">
        <x:v>湖心月谱残章</x:v>
      </x:c>
      <x:c r="I2578" s="22" t="n">
        <x:v>1200000</x:v>
      </x:c>
      <x:c r="J2578" s="22" t="n">
        <x:v>1</x:v>
      </x:c>
      <x:c r="K2578" s="19" t="n">
        <x:v>1</x:v>
      </x:c>
      <x:c r="L2578" s="24" t="n">
        <x:v>27.839999999999996</x:v>
      </x:c>
      <x:c r="M2578" s="26" t="n">
        <x:v>0.1</x:v>
      </x:c>
      <x:c r="N2578" s="24" t="n">
        <x:v>72</x:v>
      </x:c>
      <x:c r="O2578" s="28" t="n">
        <x:f>MIN(1,L2578/I2578)</x:f>
        <x:v>0.000023199999999999998</x:v>
      </x:c>
      <x:c r="P2578" s="30" t="n">
        <x:f>O2578*J2578*(1+M2578)</x:f>
        <x:v>0.00002552</x:v>
      </x:c>
      <x:c r="Q2578" s="30" t="n">
        <x:f>P2578*N2578</x:f>
        <x:v>0.00183744</x:v>
      </x:c>
      <x:c r="R2578" s="19" t="str">
        <x:v>独立判定</x:v>
      </x:c>
    </x:row>
    <x:row r="2579" ht="19" customHeight="1">
      <x:c r="A2579" s="19" t="str">
        <x:v>D02575</x:v>
      </x:c>
      <x:c r="B2579" s="19" t="n">
        <x:v>5</x:v>
      </x:c>
      <x:c r="C2579" s="19" t="n">
        <x:v>5</x:v>
      </x:c>
      <x:c r="D2579" s="19" t="str">
        <x:v>C05-M052</x:v>
      </x:c>
      <x:c r="E2579" s="19" t="str">
        <x:v>内殿浮光鲛兵</x:v>
      </x:c>
      <x:c r="F2579" s="19" t="str">
        <x:v>普通</x:v>
      </x:c>
      <x:c r="G2579" s="19" t="str">
        <x:v>材料独立候选</x:v>
      </x:c>
      <x:c r="H2579" s="19" t="str">
        <x:v>野兽骨片</x:v>
      </x:c>
      <x:c r="I2579" s="22" t="n">
        <x:v>150</x:v>
      </x:c>
      <x:c r="J2579" s="22" t="n">
        <x:v>3</x:v>
      </x:c>
      <x:c r="K2579" s="19" t="n">
        <x:v>1</x:v>
      </x:c>
      <x:c r="L2579" s="24" t="n">
        <x:v>27.839999999999996</x:v>
      </x:c>
      <x:c r="M2579" s="26" t="n">
        <x:v>0.1</x:v>
      </x:c>
      <x:c r="N2579" s="24" t="n">
        <x:v>72</x:v>
      </x:c>
      <x:c r="O2579" s="28" t="n">
        <x:f>MIN(1,L2579/I2579)</x:f>
        <x:v>0.1856</x:v>
      </x:c>
      <x:c r="P2579" s="30" t="n">
        <x:f>O2579*J2579*(1+M2579)</x:f>
        <x:v>0.61248</x:v>
      </x:c>
      <x:c r="Q2579" s="30" t="n">
        <x:f>P2579*N2579</x:f>
        <x:v>44.09856</x:v>
      </x:c>
      <x:c r="R2579" s="19" t="str">
        <x:v>独立判定</x:v>
      </x:c>
    </x:row>
    <x:row r="2580" ht="19" customHeight="1">
      <x:c r="A2580" s="19" t="str">
        <x:v>D02576</x:v>
      </x:c>
      <x:c r="B2580" s="19" t="n">
        <x:v>5</x:v>
      </x:c>
      <x:c r="C2580" s="19" t="n">
        <x:v>5</x:v>
      </x:c>
      <x:c r="D2580" s="19" t="str">
        <x:v>C05-M052</x:v>
      </x:c>
      <x:c r="E2580" s="19" t="str">
        <x:v>内殿浮光鲛兵</x:v>
      </x:c>
      <x:c r="F2580" s="19" t="str">
        <x:v>普通</x:v>
      </x:c>
      <x:c r="G2580" s="19" t="str">
        <x:v>材料独立候选</x:v>
      </x:c>
      <x:c r="H2580" s="19" t="str">
        <x:v>技能残页</x:v>
      </x:c>
      <x:c r="I2580" s="22" t="n">
        <x:v>4000</x:v>
      </x:c>
      <x:c r="J2580" s="22" t="n">
        <x:v>1</x:v>
      </x:c>
      <x:c r="K2580" s="19" t="n">
        <x:v>1</x:v>
      </x:c>
      <x:c r="L2580" s="24" t="n">
        <x:v>27.839999999999996</x:v>
      </x:c>
      <x:c r="M2580" s="26" t="n">
        <x:v>0.1</x:v>
      </x:c>
      <x:c r="N2580" s="24" t="n">
        <x:v>72</x:v>
      </x:c>
      <x:c r="O2580" s="28" t="n">
        <x:f>MIN(1,L2580/I2580)</x:f>
        <x:v>0.006959999999999999</x:v>
      </x:c>
      <x:c r="P2580" s="30" t="n">
        <x:f>O2580*J2580*(1+M2580)</x:f>
        <x:v>0.007656</x:v>
      </x:c>
      <x:c r="Q2580" s="30" t="n">
        <x:f>P2580*N2580</x:f>
        <x:v>0.5512319999999999</x:v>
      </x:c>
      <x:c r="R2580" s="19" t="str">
        <x:v>独立判定</x:v>
      </x:c>
    </x:row>
    <x:row r="2581" ht="19" customHeight="1">
      <x:c r="A2581" s="19" t="str">
        <x:v>D02577</x:v>
      </x:c>
      <x:c r="B2581" s="19" t="n">
        <x:v>5</x:v>
      </x:c>
      <x:c r="C2581" s="19" t="n">
        <x:v>5</x:v>
      </x:c>
      <x:c r="D2581" s="19" t="str">
        <x:v>C05-M052</x:v>
      </x:c>
      <x:c r="E2581" s="19" t="str">
        <x:v>内殿浮光鲛兵</x:v>
      </x:c>
      <x:c r="F2581" s="19" t="str">
        <x:v>普通</x:v>
      </x:c>
      <x:c r="G2581" s="19" t="str">
        <x:v>材料独立候选</x:v>
      </x:c>
      <x:c r="H2581" s="19" t="str">
        <x:v>小卢恩</x:v>
      </x:c>
      <x:c r="I2581" s="22" t="n">
        <x:v>8000</x:v>
      </x:c>
      <x:c r="J2581" s="22" t="n">
        <x:v>1</x:v>
      </x:c>
      <x:c r="K2581" s="19" t="n">
        <x:v>1</x:v>
      </x:c>
      <x:c r="L2581" s="24" t="n">
        <x:v>27.839999999999996</x:v>
      </x:c>
      <x:c r="M2581" s="26" t="n">
        <x:v>0.1</x:v>
      </x:c>
      <x:c r="N2581" s="24" t="n">
        <x:v>72</x:v>
      </x:c>
      <x:c r="O2581" s="28" t="n">
        <x:f>MIN(1,L2581/I2581)</x:f>
        <x:v>0.0034799999999999996</x:v>
      </x:c>
      <x:c r="P2581" s="30" t="n">
        <x:f>O2581*J2581*(1+M2581)</x:f>
        <x:v>0.003828</x:v>
      </x:c>
      <x:c r="Q2581" s="30" t="n">
        <x:f>P2581*N2581</x:f>
        <x:v>0.27561599999999997</x:v>
      </x:c>
      <x:c r="R2581" s="19" t="str">
        <x:v>独立判定</x:v>
      </x:c>
    </x:row>
    <x:row r="2582" ht="19" customHeight="1">
      <x:c r="A2582" s="19" t="str">
        <x:v>D02578</x:v>
      </x:c>
      <x:c r="B2582" s="19" t="n">
        <x:v>5</x:v>
      </x:c>
      <x:c r="C2582" s="19" t="n">
        <x:v>5</x:v>
      </x:c>
      <x:c r="D2582" s="19" t="str">
        <x:v>C05-M052</x:v>
      </x:c>
      <x:c r="E2582" s="19" t="str">
        <x:v>内殿浮光鲛兵</x:v>
      </x:c>
      <x:c r="F2582" s="19" t="str">
        <x:v>普通</x:v>
      </x:c>
      <x:c r="G2582" s="19" t="str">
        <x:v>六神器公共池</x:v>
      </x:c>
      <x:c r="H2582" s="19" t="str">
        <x:v>POOL006</x:v>
      </x:c>
      <x:c r="I2582" s="22" t="n">
        <x:v>20000000</x:v>
      </x:c>
      <x:c r="J2582" s="22" t="n">
        <x:v>1</x:v>
      </x:c>
      <x:c r="K2582" s="19" t="n">
        <x:v>6</x:v>
      </x:c>
      <x:c r="L2582" s="24" t="n">
        <x:v>27.839999999999996</x:v>
      </x:c>
      <x:c r="M2582" s="26" t="n">
        <x:v>0.1</x:v>
      </x:c>
      <x:c r="N2582" s="24" t="n">
        <x:v>72</x:v>
      </x:c>
      <x:c r="O2582" s="28" t="n">
        <x:f>MIN(1,L2582/I2582)</x:f>
        <x:v>0.0000013919999999999998</x:v>
      </x:c>
      <x:c r="P2582" s="30" t="n">
        <x:f>O2582*J2582*(1+M2582)</x:f>
        <x:v>0.0000015311999999999998</x:v>
      </x:c>
      <x:c r="Q2582" s="30" t="n">
        <x:f>P2582*N2582</x:f>
        <x:v>0.00011024639999999999</x:v>
      </x:c>
      <x:c r="R2582" s="19" t="str">
        <x:v>六选一；非6个独立爆率</x:v>
      </x:c>
    </x:row>
    <x:row r="2583" ht="19" customHeight="1">
      <x:c r="A2583" s="19" t="str">
        <x:v>D02579</x:v>
      </x:c>
      <x:c r="B2583" s="19" t="n">
        <x:v>5</x:v>
      </x:c>
      <x:c r="C2583" s="19" t="n">
        <x:v>5</x:v>
      </x:c>
      <x:c r="D2583" s="19" t="str">
        <x:v>C05-M053</x:v>
      </x:c>
      <x:c r="E2583" s="19" t="str">
        <x:v>圣殿澄潮祭从</x:v>
      </x:c>
      <x:c r="F2583" s="19" t="str">
        <x:v>普通</x:v>
      </x:c>
      <x:c r="G2583" s="19" t="str">
        <x:v>自身专属</x:v>
      </x:c>
      <x:c r="H2583" s="19" t="str">
        <x:v>澄潮祭步履</x:v>
      </x:c>
      <x:c r="I2583" s="22" t="n">
        <x:v>2000</x:v>
      </x:c>
      <x:c r="J2583" s="22" t="n">
        <x:v>1</x:v>
      </x:c>
      <x:c r="K2583" s="19" t="n">
        <x:v>1</x:v>
      </x:c>
      <x:c r="L2583" s="24" t="n">
        <x:v>27.839999999999996</x:v>
      </x:c>
      <x:c r="M2583" s="26" t="n">
        <x:v>0.1</x:v>
      </x:c>
      <x:c r="N2583" s="24" t="n">
        <x:v>72</x:v>
      </x:c>
      <x:c r="O2583" s="28" t="n">
        <x:f>MIN(1,L2583/I2583)</x:f>
        <x:v>0.013919999999999998</x:v>
      </x:c>
      <x:c r="P2583" s="30" t="n">
        <x:f>O2583*J2583*(1+M2583)</x:f>
        <x:v>0.015312</x:v>
      </x:c>
      <x:c r="Q2583" s="30" t="n">
        <x:f>P2583*N2583</x:f>
        <x:v>1.1024639999999999</x:v>
      </x:c>
      <x:c r="R2583" s="19" t="str">
        <x:v>独立判定</x:v>
      </x:c>
    </x:row>
    <x:row r="2584" ht="19" customHeight="1">
      <x:c r="A2584" s="19" t="str">
        <x:v>D02580</x:v>
      </x:c>
      <x:c r="B2584" s="19" t="n">
        <x:v>5</x:v>
      </x:c>
      <x:c r="C2584" s="19" t="n">
        <x:v>5</x:v>
      </x:c>
      <x:c r="D2584" s="19" t="str">
        <x:v>C05-M053</x:v>
      </x:c>
      <x:c r="E2584" s="19" t="str">
        <x:v>圣殿澄潮祭从</x:v>
      </x:c>
      <x:c r="F2584" s="19" t="str">
        <x:v>普通</x:v>
      </x:c>
      <x:c r="G2584" s="19" t="str">
        <x:v>材料独立候选</x:v>
      </x:c>
      <x:c r="H2584" s="19" t="str">
        <x:v>辉石碎晶</x:v>
      </x:c>
      <x:c r="I2584" s="22" t="n">
        <x:v>800</x:v>
      </x:c>
      <x:c r="J2584" s="22" t="n">
        <x:v>8</x:v>
      </x:c>
      <x:c r="K2584" s="19" t="n">
        <x:v>1</x:v>
      </x:c>
      <x:c r="L2584" s="24" t="n">
        <x:v>27.839999999999996</x:v>
      </x:c>
      <x:c r="M2584" s="26" t="n">
        <x:v>0.1</x:v>
      </x:c>
      <x:c r="N2584" s="24" t="n">
        <x:v>72</x:v>
      </x:c>
      <x:c r="O2584" s="28" t="n">
        <x:f>MIN(1,L2584/I2584)</x:f>
        <x:v>0.0348</x:v>
      </x:c>
      <x:c r="P2584" s="30" t="n">
        <x:f>O2584*J2584*(1+M2584)</x:f>
        <x:v>0.30624</x:v>
      </x:c>
      <x:c r="Q2584" s="30" t="n">
        <x:f>P2584*N2584</x:f>
        <x:v>22.04928</x:v>
      </x:c>
      <x:c r="R2584" s="19" t="str">
        <x:v>独立判定</x:v>
      </x:c>
    </x:row>
    <x:row r="2585" ht="19" customHeight="1">
      <x:c r="A2585" s="19" t="str">
        <x:v>D02581</x:v>
      </x:c>
      <x:c r="B2585" s="19" t="n">
        <x:v>5</x:v>
      </x:c>
      <x:c r="C2585" s="19" t="n">
        <x:v>5</x:v>
      </x:c>
      <x:c r="D2585" s="19" t="str">
        <x:v>C05-M053</x:v>
      </x:c>
      <x:c r="E2585" s="19" t="str">
        <x:v>圣殿澄潮祭从</x:v>
      </x:c>
      <x:c r="F2585" s="19" t="str">
        <x:v>普通</x:v>
      </x:c>
      <x:c r="G2585" s="19" t="str">
        <x:v>材料独立候选</x:v>
      </x:c>
      <x:c r="H2585" s="19" t="str">
        <x:v>雾月星砂</x:v>
      </x:c>
      <x:c r="I2585" s="22" t="n">
        <x:v>1200</x:v>
      </x:c>
      <x:c r="J2585" s="22" t="n">
        <x:v>1</x:v>
      </x:c>
      <x:c r="K2585" s="19" t="n">
        <x:v>1</x:v>
      </x:c>
      <x:c r="L2585" s="24" t="n">
        <x:v>27.839999999999996</x:v>
      </x:c>
      <x:c r="M2585" s="26" t="n">
        <x:v>0.1</x:v>
      </x:c>
      <x:c r="N2585" s="24" t="n">
        <x:v>72</x:v>
      </x:c>
      <x:c r="O2585" s="28" t="n">
        <x:f>MIN(1,L2585/I2585)</x:f>
        <x:v>0.0232</x:v>
      </x:c>
      <x:c r="P2585" s="30" t="n">
        <x:f>O2585*J2585*(1+M2585)</x:f>
        <x:v>0.02552</x:v>
      </x:c>
      <x:c r="Q2585" s="30" t="n">
        <x:f>P2585*N2585</x:f>
        <x:v>1.83744</x:v>
      </x:c>
      <x:c r="R2585" s="19" t="str">
        <x:v>独立判定</x:v>
      </x:c>
    </x:row>
    <x:row r="2586" ht="19" customHeight="1">
      <x:c r="A2586" s="19" t="str">
        <x:v>D02582</x:v>
      </x:c>
      <x:c r="B2586" s="19" t="n">
        <x:v>5</x:v>
      </x:c>
      <x:c r="C2586" s="19" t="n">
        <x:v>5</x:v>
      </x:c>
      <x:c r="D2586" s="19" t="str">
        <x:v>C05-M053</x:v>
      </x:c>
      <x:c r="E2586" s="19" t="str">
        <x:v>圣殿澄潮祭从</x:v>
      </x:c>
      <x:c r="F2586" s="19" t="str">
        <x:v>普通</x:v>
      </x:c>
      <x:c r="G2586" s="19" t="str">
        <x:v>材料独立候选</x:v>
      </x:c>
      <x:c r="H2586" s="19" t="str">
        <x:v>湖心月谱残章</x:v>
      </x:c>
      <x:c r="I2586" s="22" t="n">
        <x:v>1200000</x:v>
      </x:c>
      <x:c r="J2586" s="22" t="n">
        <x:v>1</x:v>
      </x:c>
      <x:c r="K2586" s="19" t="n">
        <x:v>1</x:v>
      </x:c>
      <x:c r="L2586" s="24" t="n">
        <x:v>27.839999999999996</x:v>
      </x:c>
      <x:c r="M2586" s="26" t="n">
        <x:v>0.1</x:v>
      </x:c>
      <x:c r="N2586" s="24" t="n">
        <x:v>72</x:v>
      </x:c>
      <x:c r="O2586" s="28" t="n">
        <x:f>MIN(1,L2586/I2586)</x:f>
        <x:v>0.000023199999999999998</x:v>
      </x:c>
      <x:c r="P2586" s="30" t="n">
        <x:f>O2586*J2586*(1+M2586)</x:f>
        <x:v>0.00002552</x:v>
      </x:c>
      <x:c r="Q2586" s="30" t="n">
        <x:f>P2586*N2586</x:f>
        <x:v>0.00183744</x:v>
      </x:c>
      <x:c r="R2586" s="19" t="str">
        <x:v>独立判定</x:v>
      </x:c>
    </x:row>
    <x:row r="2587" ht="19" customHeight="1">
      <x:c r="A2587" s="19" t="str">
        <x:v>D02583</x:v>
      </x:c>
      <x:c r="B2587" s="19" t="n">
        <x:v>5</x:v>
      </x:c>
      <x:c r="C2587" s="19" t="n">
        <x:v>5</x:v>
      </x:c>
      <x:c r="D2587" s="19" t="str">
        <x:v>C05-M053</x:v>
      </x:c>
      <x:c r="E2587" s="19" t="str">
        <x:v>圣殿澄潮祭从</x:v>
      </x:c>
      <x:c r="F2587" s="19" t="str">
        <x:v>普通</x:v>
      </x:c>
      <x:c r="G2587" s="19" t="str">
        <x:v>材料独立候选</x:v>
      </x:c>
      <x:c r="H2587" s="19" t="str">
        <x:v>野兽骨片</x:v>
      </x:c>
      <x:c r="I2587" s="22" t="n">
        <x:v>150</x:v>
      </x:c>
      <x:c r="J2587" s="22" t="n">
        <x:v>3</x:v>
      </x:c>
      <x:c r="K2587" s="19" t="n">
        <x:v>1</x:v>
      </x:c>
      <x:c r="L2587" s="24" t="n">
        <x:v>27.839999999999996</x:v>
      </x:c>
      <x:c r="M2587" s="26" t="n">
        <x:v>0.1</x:v>
      </x:c>
      <x:c r="N2587" s="24" t="n">
        <x:v>72</x:v>
      </x:c>
      <x:c r="O2587" s="28" t="n">
        <x:f>MIN(1,L2587/I2587)</x:f>
        <x:v>0.1856</x:v>
      </x:c>
      <x:c r="P2587" s="30" t="n">
        <x:f>O2587*J2587*(1+M2587)</x:f>
        <x:v>0.61248</x:v>
      </x:c>
      <x:c r="Q2587" s="30" t="n">
        <x:f>P2587*N2587</x:f>
        <x:v>44.09856</x:v>
      </x:c>
      <x:c r="R2587" s="19" t="str">
        <x:v>独立判定</x:v>
      </x:c>
    </x:row>
    <x:row r="2588" ht="19" customHeight="1">
      <x:c r="A2588" s="19" t="str">
        <x:v>D02584</x:v>
      </x:c>
      <x:c r="B2588" s="19" t="n">
        <x:v>5</x:v>
      </x:c>
      <x:c r="C2588" s="19" t="n">
        <x:v>5</x:v>
      </x:c>
      <x:c r="D2588" s="19" t="str">
        <x:v>C05-M053</x:v>
      </x:c>
      <x:c r="E2588" s="19" t="str">
        <x:v>圣殿澄潮祭从</x:v>
      </x:c>
      <x:c r="F2588" s="19" t="str">
        <x:v>普通</x:v>
      </x:c>
      <x:c r="G2588" s="19" t="str">
        <x:v>材料独立候选</x:v>
      </x:c>
      <x:c r="H2588" s="19" t="str">
        <x:v>技能残页</x:v>
      </x:c>
      <x:c r="I2588" s="22" t="n">
        <x:v>4000</x:v>
      </x:c>
      <x:c r="J2588" s="22" t="n">
        <x:v>1</x:v>
      </x:c>
      <x:c r="K2588" s="19" t="n">
        <x:v>1</x:v>
      </x:c>
      <x:c r="L2588" s="24" t="n">
        <x:v>27.839999999999996</x:v>
      </x:c>
      <x:c r="M2588" s="26" t="n">
        <x:v>0.1</x:v>
      </x:c>
      <x:c r="N2588" s="24" t="n">
        <x:v>72</x:v>
      </x:c>
      <x:c r="O2588" s="28" t="n">
        <x:f>MIN(1,L2588/I2588)</x:f>
        <x:v>0.006959999999999999</x:v>
      </x:c>
      <x:c r="P2588" s="30" t="n">
        <x:f>O2588*J2588*(1+M2588)</x:f>
        <x:v>0.007656</x:v>
      </x:c>
      <x:c r="Q2588" s="30" t="n">
        <x:f>P2588*N2588</x:f>
        <x:v>0.5512319999999999</x:v>
      </x:c>
      <x:c r="R2588" s="19" t="str">
        <x:v>独立判定</x:v>
      </x:c>
    </x:row>
    <x:row r="2589" ht="19" customHeight="1">
      <x:c r="A2589" s="19" t="str">
        <x:v>D02585</x:v>
      </x:c>
      <x:c r="B2589" s="19" t="n">
        <x:v>5</x:v>
      </x:c>
      <x:c r="C2589" s="19" t="n">
        <x:v>5</x:v>
      </x:c>
      <x:c r="D2589" s="19" t="str">
        <x:v>C05-M053</x:v>
      </x:c>
      <x:c r="E2589" s="19" t="str">
        <x:v>圣殿澄潮祭从</x:v>
      </x:c>
      <x:c r="F2589" s="19" t="str">
        <x:v>普通</x:v>
      </x:c>
      <x:c r="G2589" s="19" t="str">
        <x:v>材料独立候选</x:v>
      </x:c>
      <x:c r="H2589" s="19" t="str">
        <x:v>小卢恩</x:v>
      </x:c>
      <x:c r="I2589" s="22" t="n">
        <x:v>8000</x:v>
      </x:c>
      <x:c r="J2589" s="22" t="n">
        <x:v>1</x:v>
      </x:c>
      <x:c r="K2589" s="19" t="n">
        <x:v>1</x:v>
      </x:c>
      <x:c r="L2589" s="24" t="n">
        <x:v>27.839999999999996</x:v>
      </x:c>
      <x:c r="M2589" s="26" t="n">
        <x:v>0.1</x:v>
      </x:c>
      <x:c r="N2589" s="24" t="n">
        <x:v>72</x:v>
      </x:c>
      <x:c r="O2589" s="28" t="n">
        <x:f>MIN(1,L2589/I2589)</x:f>
        <x:v>0.0034799999999999996</x:v>
      </x:c>
      <x:c r="P2589" s="30" t="n">
        <x:f>O2589*J2589*(1+M2589)</x:f>
        <x:v>0.003828</x:v>
      </x:c>
      <x:c r="Q2589" s="30" t="n">
        <x:f>P2589*N2589</x:f>
        <x:v>0.27561599999999997</x:v>
      </x:c>
      <x:c r="R2589" s="19" t="str">
        <x:v>独立判定</x:v>
      </x:c>
    </x:row>
    <x:row r="2590" ht="19" customHeight="1">
      <x:c r="A2590" s="19" t="str">
        <x:v>D02586</x:v>
      </x:c>
      <x:c r="B2590" s="19" t="n">
        <x:v>5</x:v>
      </x:c>
      <x:c r="C2590" s="19" t="n">
        <x:v>5</x:v>
      </x:c>
      <x:c r="D2590" s="19" t="str">
        <x:v>C05-M053</x:v>
      </x:c>
      <x:c r="E2590" s="19" t="str">
        <x:v>圣殿澄潮祭从</x:v>
      </x:c>
      <x:c r="F2590" s="19" t="str">
        <x:v>普通</x:v>
      </x:c>
      <x:c r="G2590" s="19" t="str">
        <x:v>六神器公共池</x:v>
      </x:c>
      <x:c r="H2590" s="19" t="str">
        <x:v>POOL006</x:v>
      </x:c>
      <x:c r="I2590" s="22" t="n">
        <x:v>20000000</x:v>
      </x:c>
      <x:c r="J2590" s="22" t="n">
        <x:v>1</x:v>
      </x:c>
      <x:c r="K2590" s="19" t="n">
        <x:v>6</x:v>
      </x:c>
      <x:c r="L2590" s="24" t="n">
        <x:v>27.839999999999996</x:v>
      </x:c>
      <x:c r="M2590" s="26" t="n">
        <x:v>0.1</x:v>
      </x:c>
      <x:c r="N2590" s="24" t="n">
        <x:v>72</x:v>
      </x:c>
      <x:c r="O2590" s="28" t="n">
        <x:f>MIN(1,L2590/I2590)</x:f>
        <x:v>0.0000013919999999999998</x:v>
      </x:c>
      <x:c r="P2590" s="30" t="n">
        <x:f>O2590*J2590*(1+M2590)</x:f>
        <x:v>0.0000015311999999999998</x:v>
      </x:c>
      <x:c r="Q2590" s="30" t="n">
        <x:f>P2590*N2590</x:f>
        <x:v>0.00011024639999999999</x:v>
      </x:c>
      <x:c r="R2590" s="19" t="str">
        <x:v>六选一；非6个独立爆率</x:v>
      </x:c>
    </x:row>
    <x:row r="2591" ht="19" customHeight="1">
      <x:c r="A2591" s="19" t="str">
        <x:v>D02587</x:v>
      </x:c>
      <x:c r="B2591" s="19" t="n">
        <x:v>5</x:v>
      </x:c>
      <x:c r="C2591" s="19" t="n">
        <x:v>5</x:v>
      </x:c>
      <x:c r="D2591" s="19" t="str">
        <x:v>C05-M054</x:v>
      </x:c>
      <x:c r="E2591" s="19" t="str">
        <x:v>月镜游鱼灵</x:v>
      </x:c>
      <x:c r="F2591" s="19" t="str">
        <x:v>普通</x:v>
      </x:c>
      <x:c r="G2591" s="19" t="str">
        <x:v>自身专属</x:v>
      </x:c>
      <x:c r="H2591" s="19" t="str">
        <x:v>月镜游鱼戒</x:v>
      </x:c>
      <x:c r="I2591" s="22" t="n">
        <x:v>2000</x:v>
      </x:c>
      <x:c r="J2591" s="22" t="n">
        <x:v>1</x:v>
      </x:c>
      <x:c r="K2591" s="19" t="n">
        <x:v>1</x:v>
      </x:c>
      <x:c r="L2591" s="24" t="n">
        <x:v>27.839999999999996</x:v>
      </x:c>
      <x:c r="M2591" s="26" t="n">
        <x:v>0.1</x:v>
      </x:c>
      <x:c r="N2591" s="24" t="n">
        <x:v>72</x:v>
      </x:c>
      <x:c r="O2591" s="28" t="n">
        <x:f>MIN(1,L2591/I2591)</x:f>
        <x:v>0.013919999999999998</x:v>
      </x:c>
      <x:c r="P2591" s="30" t="n">
        <x:f>O2591*J2591*(1+M2591)</x:f>
        <x:v>0.015312</x:v>
      </x:c>
      <x:c r="Q2591" s="30" t="n">
        <x:f>P2591*N2591</x:f>
        <x:v>1.1024639999999999</x:v>
      </x:c>
      <x:c r="R2591" s="19" t="str">
        <x:v>独立判定</x:v>
      </x:c>
    </x:row>
    <x:row r="2592" ht="19" customHeight="1">
      <x:c r="A2592" s="19" t="str">
        <x:v>D02588</x:v>
      </x:c>
      <x:c r="B2592" s="19" t="n">
        <x:v>5</x:v>
      </x:c>
      <x:c r="C2592" s="19" t="n">
        <x:v>5</x:v>
      </x:c>
      <x:c r="D2592" s="19" t="str">
        <x:v>C05-M054</x:v>
      </x:c>
      <x:c r="E2592" s="19" t="str">
        <x:v>月镜游鱼灵</x:v>
      </x:c>
      <x:c r="F2592" s="19" t="str">
        <x:v>普通</x:v>
      </x:c>
      <x:c r="G2592" s="19" t="str">
        <x:v>材料独立候选</x:v>
      </x:c>
      <x:c r="H2592" s="19" t="str">
        <x:v>辉石碎晶</x:v>
      </x:c>
      <x:c r="I2592" s="22" t="n">
        <x:v>800</x:v>
      </x:c>
      <x:c r="J2592" s="22" t="n">
        <x:v>8</x:v>
      </x:c>
      <x:c r="K2592" s="19" t="n">
        <x:v>1</x:v>
      </x:c>
      <x:c r="L2592" s="24" t="n">
        <x:v>27.839999999999996</x:v>
      </x:c>
      <x:c r="M2592" s="26" t="n">
        <x:v>0.1</x:v>
      </x:c>
      <x:c r="N2592" s="24" t="n">
        <x:v>72</x:v>
      </x:c>
      <x:c r="O2592" s="28" t="n">
        <x:f>MIN(1,L2592/I2592)</x:f>
        <x:v>0.0348</x:v>
      </x:c>
      <x:c r="P2592" s="30" t="n">
        <x:f>O2592*J2592*(1+M2592)</x:f>
        <x:v>0.30624</x:v>
      </x:c>
      <x:c r="Q2592" s="30" t="n">
        <x:f>P2592*N2592</x:f>
        <x:v>22.04928</x:v>
      </x:c>
      <x:c r="R2592" s="19" t="str">
        <x:v>独立判定</x:v>
      </x:c>
    </x:row>
    <x:row r="2593" ht="19" customHeight="1">
      <x:c r="A2593" s="19" t="str">
        <x:v>D02589</x:v>
      </x:c>
      <x:c r="B2593" s="19" t="n">
        <x:v>5</x:v>
      </x:c>
      <x:c r="C2593" s="19" t="n">
        <x:v>5</x:v>
      </x:c>
      <x:c r="D2593" s="19" t="str">
        <x:v>C05-M054</x:v>
      </x:c>
      <x:c r="E2593" s="19" t="str">
        <x:v>月镜游鱼灵</x:v>
      </x:c>
      <x:c r="F2593" s="19" t="str">
        <x:v>普通</x:v>
      </x:c>
      <x:c r="G2593" s="19" t="str">
        <x:v>材料独立候选</x:v>
      </x:c>
      <x:c r="H2593" s="19" t="str">
        <x:v>雾月星砂</x:v>
      </x:c>
      <x:c r="I2593" s="22" t="n">
        <x:v>1200</x:v>
      </x:c>
      <x:c r="J2593" s="22" t="n">
        <x:v>1</x:v>
      </x:c>
      <x:c r="K2593" s="19" t="n">
        <x:v>1</x:v>
      </x:c>
      <x:c r="L2593" s="24" t="n">
        <x:v>27.839999999999996</x:v>
      </x:c>
      <x:c r="M2593" s="26" t="n">
        <x:v>0.1</x:v>
      </x:c>
      <x:c r="N2593" s="24" t="n">
        <x:v>72</x:v>
      </x:c>
      <x:c r="O2593" s="28" t="n">
        <x:f>MIN(1,L2593/I2593)</x:f>
        <x:v>0.0232</x:v>
      </x:c>
      <x:c r="P2593" s="30" t="n">
        <x:f>O2593*J2593*(1+M2593)</x:f>
        <x:v>0.02552</x:v>
      </x:c>
      <x:c r="Q2593" s="30" t="n">
        <x:f>P2593*N2593</x:f>
        <x:v>1.83744</x:v>
      </x:c>
      <x:c r="R2593" s="19" t="str">
        <x:v>独立判定</x:v>
      </x:c>
    </x:row>
    <x:row r="2594" ht="19" customHeight="1">
      <x:c r="A2594" s="19" t="str">
        <x:v>D02590</x:v>
      </x:c>
      <x:c r="B2594" s="19" t="n">
        <x:v>5</x:v>
      </x:c>
      <x:c r="C2594" s="19" t="n">
        <x:v>5</x:v>
      </x:c>
      <x:c r="D2594" s="19" t="str">
        <x:v>C05-M054</x:v>
      </x:c>
      <x:c r="E2594" s="19" t="str">
        <x:v>月镜游鱼灵</x:v>
      </x:c>
      <x:c r="F2594" s="19" t="str">
        <x:v>普通</x:v>
      </x:c>
      <x:c r="G2594" s="19" t="str">
        <x:v>材料独立候选</x:v>
      </x:c>
      <x:c r="H2594" s="19" t="str">
        <x:v>湖心月谱残章</x:v>
      </x:c>
      <x:c r="I2594" s="22" t="n">
        <x:v>1200000</x:v>
      </x:c>
      <x:c r="J2594" s="22" t="n">
        <x:v>1</x:v>
      </x:c>
      <x:c r="K2594" s="19" t="n">
        <x:v>1</x:v>
      </x:c>
      <x:c r="L2594" s="24" t="n">
        <x:v>27.839999999999996</x:v>
      </x:c>
      <x:c r="M2594" s="26" t="n">
        <x:v>0.1</x:v>
      </x:c>
      <x:c r="N2594" s="24" t="n">
        <x:v>72</x:v>
      </x:c>
      <x:c r="O2594" s="28" t="n">
        <x:f>MIN(1,L2594/I2594)</x:f>
        <x:v>0.000023199999999999998</x:v>
      </x:c>
      <x:c r="P2594" s="30" t="n">
        <x:f>O2594*J2594*(1+M2594)</x:f>
        <x:v>0.00002552</x:v>
      </x:c>
      <x:c r="Q2594" s="30" t="n">
        <x:f>P2594*N2594</x:f>
        <x:v>0.00183744</x:v>
      </x:c>
      <x:c r="R2594" s="19" t="str">
        <x:v>独立判定</x:v>
      </x:c>
    </x:row>
    <x:row r="2595" ht="19" customHeight="1">
      <x:c r="A2595" s="19" t="str">
        <x:v>D02591</x:v>
      </x:c>
      <x:c r="B2595" s="19" t="n">
        <x:v>5</x:v>
      </x:c>
      <x:c r="C2595" s="19" t="n">
        <x:v>5</x:v>
      </x:c>
      <x:c r="D2595" s="19" t="str">
        <x:v>C05-M054</x:v>
      </x:c>
      <x:c r="E2595" s="19" t="str">
        <x:v>月镜游鱼灵</x:v>
      </x:c>
      <x:c r="F2595" s="19" t="str">
        <x:v>普通</x:v>
      </x:c>
      <x:c r="G2595" s="19" t="str">
        <x:v>材料独立候选</x:v>
      </x:c>
      <x:c r="H2595" s="19" t="str">
        <x:v>野兽骨片</x:v>
      </x:c>
      <x:c r="I2595" s="22" t="n">
        <x:v>150</x:v>
      </x:c>
      <x:c r="J2595" s="22" t="n">
        <x:v>3</x:v>
      </x:c>
      <x:c r="K2595" s="19" t="n">
        <x:v>1</x:v>
      </x:c>
      <x:c r="L2595" s="24" t="n">
        <x:v>27.839999999999996</x:v>
      </x:c>
      <x:c r="M2595" s="26" t="n">
        <x:v>0.1</x:v>
      </x:c>
      <x:c r="N2595" s="24" t="n">
        <x:v>72</x:v>
      </x:c>
      <x:c r="O2595" s="28" t="n">
        <x:f>MIN(1,L2595/I2595)</x:f>
        <x:v>0.1856</x:v>
      </x:c>
      <x:c r="P2595" s="30" t="n">
        <x:f>O2595*J2595*(1+M2595)</x:f>
        <x:v>0.61248</x:v>
      </x:c>
      <x:c r="Q2595" s="30" t="n">
        <x:f>P2595*N2595</x:f>
        <x:v>44.09856</x:v>
      </x:c>
      <x:c r="R2595" s="19" t="str">
        <x:v>独立判定</x:v>
      </x:c>
    </x:row>
    <x:row r="2596" ht="19" customHeight="1">
      <x:c r="A2596" s="19" t="str">
        <x:v>D02592</x:v>
      </x:c>
      <x:c r="B2596" s="19" t="n">
        <x:v>5</x:v>
      </x:c>
      <x:c r="C2596" s="19" t="n">
        <x:v>5</x:v>
      </x:c>
      <x:c r="D2596" s="19" t="str">
        <x:v>C05-M054</x:v>
      </x:c>
      <x:c r="E2596" s="19" t="str">
        <x:v>月镜游鱼灵</x:v>
      </x:c>
      <x:c r="F2596" s="19" t="str">
        <x:v>普通</x:v>
      </x:c>
      <x:c r="G2596" s="19" t="str">
        <x:v>材料独立候选</x:v>
      </x:c>
      <x:c r="H2596" s="19" t="str">
        <x:v>技能残页</x:v>
      </x:c>
      <x:c r="I2596" s="22" t="n">
        <x:v>4000</x:v>
      </x:c>
      <x:c r="J2596" s="22" t="n">
        <x:v>1</x:v>
      </x:c>
      <x:c r="K2596" s="19" t="n">
        <x:v>1</x:v>
      </x:c>
      <x:c r="L2596" s="24" t="n">
        <x:v>27.839999999999996</x:v>
      </x:c>
      <x:c r="M2596" s="26" t="n">
        <x:v>0.1</x:v>
      </x:c>
      <x:c r="N2596" s="24" t="n">
        <x:v>72</x:v>
      </x:c>
      <x:c r="O2596" s="28" t="n">
        <x:f>MIN(1,L2596/I2596)</x:f>
        <x:v>0.006959999999999999</x:v>
      </x:c>
      <x:c r="P2596" s="30" t="n">
        <x:f>O2596*J2596*(1+M2596)</x:f>
        <x:v>0.007656</x:v>
      </x:c>
      <x:c r="Q2596" s="30" t="n">
        <x:f>P2596*N2596</x:f>
        <x:v>0.5512319999999999</x:v>
      </x:c>
      <x:c r="R2596" s="19" t="str">
        <x:v>独立判定</x:v>
      </x:c>
    </x:row>
    <x:row r="2597" ht="19" customHeight="1">
      <x:c r="A2597" s="19" t="str">
        <x:v>D02593</x:v>
      </x:c>
      <x:c r="B2597" s="19" t="n">
        <x:v>5</x:v>
      </x:c>
      <x:c r="C2597" s="19" t="n">
        <x:v>5</x:v>
      </x:c>
      <x:c r="D2597" s="19" t="str">
        <x:v>C05-M054</x:v>
      </x:c>
      <x:c r="E2597" s="19" t="str">
        <x:v>月镜游鱼灵</x:v>
      </x:c>
      <x:c r="F2597" s="19" t="str">
        <x:v>普通</x:v>
      </x:c>
      <x:c r="G2597" s="19" t="str">
        <x:v>材料独立候选</x:v>
      </x:c>
      <x:c r="H2597" s="19" t="str">
        <x:v>小卢恩</x:v>
      </x:c>
      <x:c r="I2597" s="22" t="n">
        <x:v>8000</x:v>
      </x:c>
      <x:c r="J2597" s="22" t="n">
        <x:v>1</x:v>
      </x:c>
      <x:c r="K2597" s="19" t="n">
        <x:v>1</x:v>
      </x:c>
      <x:c r="L2597" s="24" t="n">
        <x:v>27.839999999999996</x:v>
      </x:c>
      <x:c r="M2597" s="26" t="n">
        <x:v>0.1</x:v>
      </x:c>
      <x:c r="N2597" s="24" t="n">
        <x:v>72</x:v>
      </x:c>
      <x:c r="O2597" s="28" t="n">
        <x:f>MIN(1,L2597/I2597)</x:f>
        <x:v>0.0034799999999999996</x:v>
      </x:c>
      <x:c r="P2597" s="30" t="n">
        <x:f>O2597*J2597*(1+M2597)</x:f>
        <x:v>0.003828</x:v>
      </x:c>
      <x:c r="Q2597" s="30" t="n">
        <x:f>P2597*N2597</x:f>
        <x:v>0.27561599999999997</x:v>
      </x:c>
      <x:c r="R2597" s="19" t="str">
        <x:v>独立判定</x:v>
      </x:c>
    </x:row>
    <x:row r="2598" ht="19" customHeight="1">
      <x:c r="A2598" s="19" t="str">
        <x:v>D02594</x:v>
      </x:c>
      <x:c r="B2598" s="19" t="n">
        <x:v>5</x:v>
      </x:c>
      <x:c r="C2598" s="19" t="n">
        <x:v>5</x:v>
      </x:c>
      <x:c r="D2598" s="19" t="str">
        <x:v>C05-M054</x:v>
      </x:c>
      <x:c r="E2598" s="19" t="str">
        <x:v>月镜游鱼灵</x:v>
      </x:c>
      <x:c r="F2598" s="19" t="str">
        <x:v>普通</x:v>
      </x:c>
      <x:c r="G2598" s="19" t="str">
        <x:v>六神器公共池</x:v>
      </x:c>
      <x:c r="H2598" s="19" t="str">
        <x:v>POOL006</x:v>
      </x:c>
      <x:c r="I2598" s="22" t="n">
        <x:v>20000000</x:v>
      </x:c>
      <x:c r="J2598" s="22" t="n">
        <x:v>1</x:v>
      </x:c>
      <x:c r="K2598" s="19" t="n">
        <x:v>6</x:v>
      </x:c>
      <x:c r="L2598" s="24" t="n">
        <x:v>27.839999999999996</x:v>
      </x:c>
      <x:c r="M2598" s="26" t="n">
        <x:v>0.1</x:v>
      </x:c>
      <x:c r="N2598" s="24" t="n">
        <x:v>72</x:v>
      </x:c>
      <x:c r="O2598" s="28" t="n">
        <x:f>MIN(1,L2598/I2598)</x:f>
        <x:v>0.0000013919999999999998</x:v>
      </x:c>
      <x:c r="P2598" s="30" t="n">
        <x:f>O2598*J2598*(1+M2598)</x:f>
        <x:v>0.0000015311999999999998</x:v>
      </x:c>
      <x:c r="Q2598" s="30" t="n">
        <x:f>P2598*N2598</x:f>
        <x:v>0.00011024639999999999</x:v>
      </x:c>
      <x:c r="R2598" s="19" t="str">
        <x:v>六选一；非6个独立爆率</x:v>
      </x:c>
    </x:row>
    <x:row r="2599" ht="19" customHeight="1">
      <x:c r="A2599" s="19" t="str">
        <x:v>D02595</x:v>
      </x:c>
      <x:c r="B2599" s="19" t="n">
        <x:v>5</x:v>
      </x:c>
      <x:c r="C2599" s="19" t="n">
        <x:v>5</x:v>
      </x:c>
      <x:c r="D2599" s="19" t="str">
        <x:v>C05-M055</x:v>
      </x:c>
      <x:c r="E2599" s="19" t="str">
        <x:v>影潮伏宫兽</x:v>
      </x:c>
      <x:c r="F2599" s="19" t="str">
        <x:v>稀有</x:v>
      </x:c>
      <x:c r="G2599" s="19" t="str">
        <x:v>自身专属</x:v>
      </x:c>
      <x:c r="H2599" s="19" t="str">
        <x:v>影潮潜宫带</x:v>
      </x:c>
      <x:c r="I2599" s="22" t="n">
        <x:v>500</x:v>
      </x:c>
      <x:c r="J2599" s="22" t="n">
        <x:v>1</x:v>
      </x:c>
      <x:c r="K2599" s="19" t="n">
        <x:v>1</x:v>
      </x:c>
      <x:c r="L2599" s="24" t="n">
        <x:v>27.839999999999996</x:v>
      </x:c>
      <x:c r="M2599" s="26" t="n">
        <x:v>0.1</x:v>
      </x:c>
      <x:c r="N2599" s="24" t="n">
        <x:v>12</x:v>
      </x:c>
      <x:c r="O2599" s="28" t="n">
        <x:f>MIN(1,L2599/I2599)</x:f>
        <x:v>0.05567999999999999</x:v>
      </x:c>
      <x:c r="P2599" s="30" t="n">
        <x:f>O2599*J2599*(1+M2599)</x:f>
        <x:v>0.061248</x:v>
      </x:c>
      <x:c r="Q2599" s="30" t="n">
        <x:f>P2599*N2599</x:f>
        <x:v>0.734976</x:v>
      </x:c>
      <x:c r="R2599" s="19" t="str">
        <x:v>独立判定</x:v>
      </x:c>
    </x:row>
    <x:row r="2600" ht="19" customHeight="1">
      <x:c r="A2600" s="19" t="str">
        <x:v>D02596</x:v>
      </x:c>
      <x:c r="B2600" s="19" t="n">
        <x:v>5</x:v>
      </x:c>
      <x:c r="C2600" s="19" t="n">
        <x:v>5</x:v>
      </x:c>
      <x:c r="D2600" s="19" t="str">
        <x:v>C05-M055</x:v>
      </x:c>
      <x:c r="E2600" s="19" t="str">
        <x:v>影潮伏宫兽</x:v>
      </x:c>
      <x:c r="F2600" s="19" t="str">
        <x:v>稀有</x:v>
      </x:c>
      <x:c r="G2600" s="19" t="str">
        <x:v>材料独立候选</x:v>
      </x:c>
      <x:c r="H2600" s="19" t="str">
        <x:v>辉石碎晶</x:v>
      </x:c>
      <x:c r="I2600" s="22" t="n">
        <x:v>500</x:v>
      </x:c>
      <x:c r="J2600" s="22" t="n">
        <x:v>15</x:v>
      </x:c>
      <x:c r="K2600" s="19" t="n">
        <x:v>1</x:v>
      </x:c>
      <x:c r="L2600" s="24" t="n">
        <x:v>27.839999999999996</x:v>
      </x:c>
      <x:c r="M2600" s="26" t="n">
        <x:v>0.1</x:v>
      </x:c>
      <x:c r="N2600" s="24" t="n">
        <x:v>12</x:v>
      </x:c>
      <x:c r="O2600" s="28" t="n">
        <x:f>MIN(1,L2600/I2600)</x:f>
        <x:v>0.05567999999999999</x:v>
      </x:c>
      <x:c r="P2600" s="30" t="n">
        <x:f>O2600*J2600*(1+M2600)</x:f>
        <x:v>0.91872</x:v>
      </x:c>
      <x:c r="Q2600" s="30" t="n">
        <x:f>P2600*N2600</x:f>
        <x:v>11.02464</x:v>
      </x:c>
      <x:c r="R2600" s="19" t="str">
        <x:v>独立判定</x:v>
      </x:c>
    </x:row>
    <x:row r="2601" ht="19" customHeight="1">
      <x:c r="A2601" s="19" t="str">
        <x:v>D02597</x:v>
      </x:c>
      <x:c r="B2601" s="19" t="n">
        <x:v>5</x:v>
      </x:c>
      <x:c r="C2601" s="19" t="n">
        <x:v>5</x:v>
      </x:c>
      <x:c r="D2601" s="19" t="str">
        <x:v>C05-M055</x:v>
      </x:c>
      <x:c r="E2601" s="19" t="str">
        <x:v>影潮伏宫兽</x:v>
      </x:c>
      <x:c r="F2601" s="19" t="str">
        <x:v>稀有</x:v>
      </x:c>
      <x:c r="G2601" s="19" t="str">
        <x:v>材料独立候选</x:v>
      </x:c>
      <x:c r="H2601" s="19" t="str">
        <x:v>卡利亚月露</x:v>
      </x:c>
      <x:c r="I2601" s="22" t="n">
        <x:v>800</x:v>
      </x:c>
      <x:c r="J2601" s="22" t="n">
        <x:v>1</x:v>
      </x:c>
      <x:c r="K2601" s="19" t="n">
        <x:v>1</x:v>
      </x:c>
      <x:c r="L2601" s="24" t="n">
        <x:v>27.839999999999996</x:v>
      </x:c>
      <x:c r="M2601" s="26" t="n">
        <x:v>0.1</x:v>
      </x:c>
      <x:c r="N2601" s="24" t="n">
        <x:v>12</x:v>
      </x:c>
      <x:c r="O2601" s="28" t="n">
        <x:f>MIN(1,L2601/I2601)</x:f>
        <x:v>0.0348</x:v>
      </x:c>
      <x:c r="P2601" s="30" t="n">
        <x:f>O2601*J2601*(1+M2601)</x:f>
        <x:v>0.03828</x:v>
      </x:c>
      <x:c r="Q2601" s="30" t="n">
        <x:f>P2601*N2601</x:f>
        <x:v>0.45936</x:v>
      </x:c>
      <x:c r="R2601" s="19" t="str">
        <x:v>独立判定</x:v>
      </x:c>
    </x:row>
    <x:row r="2602" ht="19" customHeight="1">
      <x:c r="A2602" s="19" t="str">
        <x:v>D02598</x:v>
      </x:c>
      <x:c r="B2602" s="19" t="n">
        <x:v>5</x:v>
      </x:c>
      <x:c r="C2602" s="19" t="n">
        <x:v>5</x:v>
      </x:c>
      <x:c r="D2602" s="19" t="str">
        <x:v>C05-M055</x:v>
      </x:c>
      <x:c r="E2602" s="19" t="str">
        <x:v>影潮伏宫兽</x:v>
      </x:c>
      <x:c r="F2602" s="19" t="str">
        <x:v>稀有</x:v>
      </x:c>
      <x:c r="G2602" s="19" t="str">
        <x:v>材料独立候选</x:v>
      </x:c>
      <x:c r="H2602" s="19" t="str">
        <x:v>学院封蜡</x:v>
      </x:c>
      <x:c r="I2602" s="22" t="n">
        <x:v>1200</x:v>
      </x:c>
      <x:c r="J2602" s="22" t="n">
        <x:v>1</x:v>
      </x:c>
      <x:c r="K2602" s="19" t="n">
        <x:v>1</x:v>
      </x:c>
      <x:c r="L2602" s="24" t="n">
        <x:v>27.839999999999996</x:v>
      </x:c>
      <x:c r="M2602" s="26" t="n">
        <x:v>0.1</x:v>
      </x:c>
      <x:c r="N2602" s="24" t="n">
        <x:v>12</x:v>
      </x:c>
      <x:c r="O2602" s="28" t="n">
        <x:f>MIN(1,L2602/I2602)</x:f>
        <x:v>0.0232</x:v>
      </x:c>
      <x:c r="P2602" s="30" t="n">
        <x:f>O2602*J2602*(1+M2602)</x:f>
        <x:v>0.02552</x:v>
      </x:c>
      <x:c r="Q2602" s="30" t="n">
        <x:f>P2602*N2602</x:f>
        <x:v>0.30624</x:v>
      </x:c>
      <x:c r="R2602" s="19" t="str">
        <x:v>独立判定</x:v>
      </x:c>
    </x:row>
    <x:row r="2603" ht="19" customHeight="1">
      <x:c r="A2603" s="19" t="str">
        <x:v>D02599</x:v>
      </x:c>
      <x:c r="B2603" s="19" t="n">
        <x:v>5</x:v>
      </x:c>
      <x:c r="C2603" s="19" t="n">
        <x:v>5</x:v>
      </x:c>
      <x:c r="D2603" s="19" t="str">
        <x:v>C05-M055</x:v>
      </x:c>
      <x:c r="E2603" s="19" t="str">
        <x:v>影潮伏宫兽</x:v>
      </x:c>
      <x:c r="F2603" s="19" t="str">
        <x:v>稀有</x:v>
      </x:c>
      <x:c r="G2603" s="19" t="str">
        <x:v>材料独立候选</x:v>
      </x:c>
      <x:c r="H2603" s="19" t="str">
        <x:v>湖心月谱残章</x:v>
      </x:c>
      <x:c r="I2603" s="22" t="n">
        <x:v>800000</x:v>
      </x:c>
      <x:c r="J2603" s="22" t="n">
        <x:v>1</x:v>
      </x:c>
      <x:c r="K2603" s="19" t="n">
        <x:v>1</x:v>
      </x:c>
      <x:c r="L2603" s="24" t="n">
        <x:v>27.839999999999996</x:v>
      </x:c>
      <x:c r="M2603" s="26" t="n">
        <x:v>0.1</x:v>
      </x:c>
      <x:c r="N2603" s="24" t="n">
        <x:v>12</x:v>
      </x:c>
      <x:c r="O2603" s="28" t="n">
        <x:f>MIN(1,L2603/I2603)</x:f>
        <x:v>0.00003479999999999999</x:v>
      </x:c>
      <x:c r="P2603" s="30" t="n">
        <x:f>O2603*J2603*(1+M2603)</x:f>
        <x:v>0.00003827999999999999</x:v>
      </x:c>
      <x:c r="Q2603" s="30" t="n">
        <x:f>P2603*N2603</x:f>
        <x:v>0.0004593599999999999</x:v>
      </x:c>
      <x:c r="R2603" s="19" t="str">
        <x:v>独立判定</x:v>
      </x:c>
    </x:row>
    <x:row r="2604" ht="19" customHeight="1">
      <x:c r="A2604" s="19" t="str">
        <x:v>D02600</x:v>
      </x:c>
      <x:c r="B2604" s="19" t="n">
        <x:v>5</x:v>
      </x:c>
      <x:c r="C2604" s="19" t="n">
        <x:v>5</x:v>
      </x:c>
      <x:c r="D2604" s="19" t="str">
        <x:v>C05-M055</x:v>
      </x:c>
      <x:c r="E2604" s="19" t="str">
        <x:v>影潮伏宫兽</x:v>
      </x:c>
      <x:c r="F2604" s="19" t="str">
        <x:v>稀有</x:v>
      </x:c>
      <x:c r="G2604" s="19" t="str">
        <x:v>材料独立候选</x:v>
      </x:c>
      <x:c r="H2604" s="19" t="str">
        <x:v>黄金树芽</x:v>
      </x:c>
      <x:c r="I2604" s="22" t="n">
        <x:v>4000</x:v>
      </x:c>
      <x:c r="J2604" s="22" t="n">
        <x:v>1</x:v>
      </x:c>
      <x:c r="K2604" s="19" t="n">
        <x:v>1</x:v>
      </x:c>
      <x:c r="L2604" s="24" t="n">
        <x:v>27.839999999999996</x:v>
      </x:c>
      <x:c r="M2604" s="26" t="n">
        <x:v>0.1</x:v>
      </x:c>
      <x:c r="N2604" s="24" t="n">
        <x:v>12</x:v>
      </x:c>
      <x:c r="O2604" s="28" t="n">
        <x:f>MIN(1,L2604/I2604)</x:f>
        <x:v>0.006959999999999999</x:v>
      </x:c>
      <x:c r="P2604" s="30" t="n">
        <x:f>O2604*J2604*(1+M2604)</x:f>
        <x:v>0.007656</x:v>
      </x:c>
      <x:c r="Q2604" s="30" t="n">
        <x:f>P2604*N2604</x:f>
        <x:v>0.091872</x:v>
      </x:c>
      <x:c r="R2604" s="19" t="str">
        <x:v>独立判定</x:v>
      </x:c>
    </x:row>
    <x:row r="2605" ht="19" customHeight="1">
      <x:c r="A2605" s="19" t="str">
        <x:v>D02601</x:v>
      </x:c>
      <x:c r="B2605" s="19" t="n">
        <x:v>5</x:v>
      </x:c>
      <x:c r="C2605" s="19" t="n">
        <x:v>5</x:v>
      </x:c>
      <x:c r="D2605" s="19" t="str">
        <x:v>C05-M055</x:v>
      </x:c>
      <x:c r="E2605" s="19" t="str">
        <x:v>影潮伏宫兽</x:v>
      </x:c>
      <x:c r="F2605" s="19" t="str">
        <x:v>稀有</x:v>
      </x:c>
      <x:c r="G2605" s="19" t="str">
        <x:v>材料独立候选</x:v>
      </x:c>
      <x:c r="H2605" s="19" t="str">
        <x:v>野兽骨片</x:v>
      </x:c>
      <x:c r="I2605" s="22" t="n">
        <x:v>80</x:v>
      </x:c>
      <x:c r="J2605" s="22" t="n">
        <x:v>3</x:v>
      </x:c>
      <x:c r="K2605" s="19" t="n">
        <x:v>1</x:v>
      </x:c>
      <x:c r="L2605" s="24" t="n">
        <x:v>27.839999999999996</x:v>
      </x:c>
      <x:c r="M2605" s="26" t="n">
        <x:v>0.1</x:v>
      </x:c>
      <x:c r="N2605" s="24" t="n">
        <x:v>12</x:v>
      </x:c>
      <x:c r="O2605" s="28" t="n">
        <x:f>MIN(1,L2605/I2605)</x:f>
        <x:v>0.348</x:v>
      </x:c>
      <x:c r="P2605" s="30" t="n">
        <x:f>O2605*J2605*(1+M2605)</x:f>
        <x:v>1.1484</x:v>
      </x:c>
      <x:c r="Q2605" s="30" t="n">
        <x:f>P2605*N2605</x:f>
        <x:v>13.780800000000001</x:v>
      </x:c>
      <x:c r="R2605" s="19" t="str">
        <x:v>独立判定</x:v>
      </x:c>
    </x:row>
    <x:row r="2606" ht="19" customHeight="1">
      <x:c r="A2606" s="19" t="str">
        <x:v>D02602</x:v>
      </x:c>
      <x:c r="B2606" s="19" t="n">
        <x:v>5</x:v>
      </x:c>
      <x:c r="C2606" s="19" t="n">
        <x:v>5</x:v>
      </x:c>
      <x:c r="D2606" s="19" t="str">
        <x:v>C05-M055</x:v>
      </x:c>
      <x:c r="E2606" s="19" t="str">
        <x:v>影潮伏宫兽</x:v>
      </x:c>
      <x:c r="F2606" s="19" t="str">
        <x:v>稀有</x:v>
      </x:c>
      <x:c r="G2606" s="19" t="str">
        <x:v>材料独立候选</x:v>
      </x:c>
      <x:c r="H2606" s="19" t="str">
        <x:v>技能残页</x:v>
      </x:c>
      <x:c r="I2606" s="22" t="n">
        <x:v>2000</x:v>
      </x:c>
      <x:c r="J2606" s="22" t="n">
        <x:v>1</x:v>
      </x:c>
      <x:c r="K2606" s="19" t="n">
        <x:v>1</x:v>
      </x:c>
      <x:c r="L2606" s="24" t="n">
        <x:v>27.839999999999996</x:v>
      </x:c>
      <x:c r="M2606" s="26" t="n">
        <x:v>0.1</x:v>
      </x:c>
      <x:c r="N2606" s="24" t="n">
        <x:v>12</x:v>
      </x:c>
      <x:c r="O2606" s="28" t="n">
        <x:f>MIN(1,L2606/I2606)</x:f>
        <x:v>0.013919999999999998</x:v>
      </x:c>
      <x:c r="P2606" s="30" t="n">
        <x:f>O2606*J2606*(1+M2606)</x:f>
        <x:v>0.015312</x:v>
      </x:c>
      <x:c r="Q2606" s="30" t="n">
        <x:f>P2606*N2606</x:f>
        <x:v>0.183744</x:v>
      </x:c>
      <x:c r="R2606" s="19" t="str">
        <x:v>独立判定</x:v>
      </x:c>
    </x:row>
    <x:row r="2607" ht="19" customHeight="1">
      <x:c r="A2607" s="19" t="str">
        <x:v>D02603</x:v>
      </x:c>
      <x:c r="B2607" s="19" t="n">
        <x:v>5</x:v>
      </x:c>
      <x:c r="C2607" s="19" t="n">
        <x:v>5</x:v>
      </x:c>
      <x:c r="D2607" s="19" t="str">
        <x:v>C05-M055</x:v>
      </x:c>
      <x:c r="E2607" s="19" t="str">
        <x:v>影潮伏宫兽</x:v>
      </x:c>
      <x:c r="F2607" s="19" t="str">
        <x:v>稀有</x:v>
      </x:c>
      <x:c r="G2607" s="19" t="str">
        <x:v>材料独立候选</x:v>
      </x:c>
      <x:c r="H2607" s="19" t="str">
        <x:v>小卢恩</x:v>
      </x:c>
      <x:c r="I2607" s="22" t="n">
        <x:v>5000</x:v>
      </x:c>
      <x:c r="J2607" s="22" t="n">
        <x:v>1</x:v>
      </x:c>
      <x:c r="K2607" s="19" t="n">
        <x:v>1</x:v>
      </x:c>
      <x:c r="L2607" s="24" t="n">
        <x:v>27.839999999999996</x:v>
      </x:c>
      <x:c r="M2607" s="26" t="n">
        <x:v>0.1</x:v>
      </x:c>
      <x:c r="N2607" s="24" t="n">
        <x:v>12</x:v>
      </x:c>
      <x:c r="O2607" s="28" t="n">
        <x:f>MIN(1,L2607/I2607)</x:f>
        <x:v>0.005567999999999999</x:v>
      </x:c>
      <x:c r="P2607" s="30" t="n">
        <x:f>O2607*J2607*(1+M2607)</x:f>
        <x:v>0.0061248</x:v>
      </x:c>
      <x:c r="Q2607" s="30" t="n">
        <x:f>P2607*N2607</x:f>
        <x:v>0.0734976</x:v>
      </x:c>
      <x:c r="R2607" s="19" t="str">
        <x:v>独立判定</x:v>
      </x:c>
    </x:row>
    <x:row r="2608" ht="19" customHeight="1">
      <x:c r="A2608" s="19" t="str">
        <x:v>D02604</x:v>
      </x:c>
      <x:c r="B2608" s="19" t="n">
        <x:v>5</x:v>
      </x:c>
      <x:c r="C2608" s="19" t="n">
        <x:v>5</x:v>
      </x:c>
      <x:c r="D2608" s="19" t="str">
        <x:v>C05-M055</x:v>
      </x:c>
      <x:c r="E2608" s="19" t="str">
        <x:v>影潮伏宫兽</x:v>
      </x:c>
      <x:c r="F2608" s="19" t="str">
        <x:v>稀有</x:v>
      </x:c>
      <x:c r="G2608" s="19" t="str">
        <x:v>六神器公共池</x:v>
      </x:c>
      <x:c r="H2608" s="19" t="str">
        <x:v>POOL006</x:v>
      </x:c>
      <x:c r="I2608" s="22" t="n">
        <x:v>5000000</x:v>
      </x:c>
      <x:c r="J2608" s="22" t="n">
        <x:v>1</x:v>
      </x:c>
      <x:c r="K2608" s="19" t="n">
        <x:v>6</x:v>
      </x:c>
      <x:c r="L2608" s="24" t="n">
        <x:v>27.839999999999996</x:v>
      </x:c>
      <x:c r="M2608" s="26" t="n">
        <x:v>0.1</x:v>
      </x:c>
      <x:c r="N2608" s="24" t="n">
        <x:v>12</x:v>
      </x:c>
      <x:c r="O2608" s="28" t="n">
        <x:f>MIN(1,L2608/I2608)</x:f>
        <x:v>0.000005567999999999999</x:v>
      </x:c>
      <x:c r="P2608" s="30" t="n">
        <x:f>O2608*J2608*(1+M2608)</x:f>
        <x:v>0.000006124799999999999</x:v>
      </x:c>
      <x:c r="Q2608" s="30" t="n">
        <x:f>P2608*N2608</x:f>
        <x:v>0.00007349759999999999</x:v>
      </x:c>
      <x:c r="R2608" s="19" t="str">
        <x:v>六选一；非6个独立爆率</x:v>
      </x:c>
    </x:row>
    <x:row r="2609" ht="19" customHeight="1">
      <x:c r="A2609" s="19" t="str">
        <x:v>D02605</x:v>
      </x:c>
      <x:c r="B2609" s="19" t="n">
        <x:v>5</x:v>
      </x:c>
      <x:c r="C2609" s="19" t="n">
        <x:v>5</x:v>
      </x:c>
      <x:c r="D2609" s="19" t="str">
        <x:v>C05-M056</x:v>
      </x:c>
      <x:c r="E2609" s="19" t="str">
        <x:v>月华凝霜乐师</x:v>
      </x:c>
      <x:c r="F2609" s="19" t="str">
        <x:v>稀有</x:v>
      </x:c>
      <x:c r="G2609" s="19" t="str">
        <x:v>自身专属</x:v>
      </x:c>
      <x:c r="H2609" s="19" t="str">
        <x:v>凝霜乐师冠</x:v>
      </x:c>
      <x:c r="I2609" s="22" t="n">
        <x:v>500</x:v>
      </x:c>
      <x:c r="J2609" s="22" t="n">
        <x:v>1</x:v>
      </x:c>
      <x:c r="K2609" s="19" t="n">
        <x:v>1</x:v>
      </x:c>
      <x:c r="L2609" s="24" t="n">
        <x:v>27.839999999999996</x:v>
      </x:c>
      <x:c r="M2609" s="26" t="n">
        <x:v>0.1</x:v>
      </x:c>
      <x:c r="N2609" s="24" t="n">
        <x:v>12</x:v>
      </x:c>
      <x:c r="O2609" s="28" t="n">
        <x:f>MIN(1,L2609/I2609)</x:f>
        <x:v>0.05567999999999999</x:v>
      </x:c>
      <x:c r="P2609" s="30" t="n">
        <x:f>O2609*J2609*(1+M2609)</x:f>
        <x:v>0.061248</x:v>
      </x:c>
      <x:c r="Q2609" s="30" t="n">
        <x:f>P2609*N2609</x:f>
        <x:v>0.734976</x:v>
      </x:c>
      <x:c r="R2609" s="19" t="str">
        <x:v>独立判定</x:v>
      </x:c>
    </x:row>
    <x:row r="2610" ht="19" customHeight="1">
      <x:c r="A2610" s="19" t="str">
        <x:v>D02606</x:v>
      </x:c>
      <x:c r="B2610" s="19" t="n">
        <x:v>5</x:v>
      </x:c>
      <x:c r="C2610" s="19" t="n">
        <x:v>5</x:v>
      </x:c>
      <x:c r="D2610" s="19" t="str">
        <x:v>C05-M056</x:v>
      </x:c>
      <x:c r="E2610" s="19" t="str">
        <x:v>月华凝霜乐师</x:v>
      </x:c>
      <x:c r="F2610" s="19" t="str">
        <x:v>稀有</x:v>
      </x:c>
      <x:c r="G2610" s="19" t="str">
        <x:v>材料独立候选</x:v>
      </x:c>
      <x:c r="H2610" s="19" t="str">
        <x:v>辉石碎晶</x:v>
      </x:c>
      <x:c r="I2610" s="22" t="n">
        <x:v>500</x:v>
      </x:c>
      <x:c r="J2610" s="22" t="n">
        <x:v>15</x:v>
      </x:c>
      <x:c r="K2610" s="19" t="n">
        <x:v>1</x:v>
      </x:c>
      <x:c r="L2610" s="24" t="n">
        <x:v>27.839999999999996</x:v>
      </x:c>
      <x:c r="M2610" s="26" t="n">
        <x:v>0.1</x:v>
      </x:c>
      <x:c r="N2610" s="24" t="n">
        <x:v>12</x:v>
      </x:c>
      <x:c r="O2610" s="28" t="n">
        <x:f>MIN(1,L2610/I2610)</x:f>
        <x:v>0.05567999999999999</x:v>
      </x:c>
      <x:c r="P2610" s="30" t="n">
        <x:f>O2610*J2610*(1+M2610)</x:f>
        <x:v>0.91872</x:v>
      </x:c>
      <x:c r="Q2610" s="30" t="n">
        <x:f>P2610*N2610</x:f>
        <x:v>11.02464</x:v>
      </x:c>
      <x:c r="R2610" s="19" t="str">
        <x:v>独立判定</x:v>
      </x:c>
    </x:row>
    <x:row r="2611" ht="19" customHeight="1">
      <x:c r="A2611" s="19" t="str">
        <x:v>D02607</x:v>
      </x:c>
      <x:c r="B2611" s="19" t="n">
        <x:v>5</x:v>
      </x:c>
      <x:c r="C2611" s="19" t="n">
        <x:v>5</x:v>
      </x:c>
      <x:c r="D2611" s="19" t="str">
        <x:v>C05-M056</x:v>
      </x:c>
      <x:c r="E2611" s="19" t="str">
        <x:v>月华凝霜乐师</x:v>
      </x:c>
      <x:c r="F2611" s="19" t="str">
        <x:v>稀有</x:v>
      </x:c>
      <x:c r="G2611" s="19" t="str">
        <x:v>材料独立候选</x:v>
      </x:c>
      <x:c r="H2611" s="19" t="str">
        <x:v>卡利亚月露</x:v>
      </x:c>
      <x:c r="I2611" s="22" t="n">
        <x:v>800</x:v>
      </x:c>
      <x:c r="J2611" s="22" t="n">
        <x:v>1</x:v>
      </x:c>
      <x:c r="K2611" s="19" t="n">
        <x:v>1</x:v>
      </x:c>
      <x:c r="L2611" s="24" t="n">
        <x:v>27.839999999999996</x:v>
      </x:c>
      <x:c r="M2611" s="26" t="n">
        <x:v>0.1</x:v>
      </x:c>
      <x:c r="N2611" s="24" t="n">
        <x:v>12</x:v>
      </x:c>
      <x:c r="O2611" s="28" t="n">
        <x:f>MIN(1,L2611/I2611)</x:f>
        <x:v>0.0348</x:v>
      </x:c>
      <x:c r="P2611" s="30" t="n">
        <x:f>O2611*J2611*(1+M2611)</x:f>
        <x:v>0.03828</x:v>
      </x:c>
      <x:c r="Q2611" s="30" t="n">
        <x:f>P2611*N2611</x:f>
        <x:v>0.45936</x:v>
      </x:c>
      <x:c r="R2611" s="19" t="str">
        <x:v>独立判定</x:v>
      </x:c>
    </x:row>
    <x:row r="2612" ht="19" customHeight="1">
      <x:c r="A2612" s="19" t="str">
        <x:v>D02608</x:v>
      </x:c>
      <x:c r="B2612" s="19" t="n">
        <x:v>5</x:v>
      </x:c>
      <x:c r="C2612" s="19" t="n">
        <x:v>5</x:v>
      </x:c>
      <x:c r="D2612" s="19" t="str">
        <x:v>C05-M056</x:v>
      </x:c>
      <x:c r="E2612" s="19" t="str">
        <x:v>月华凝霜乐师</x:v>
      </x:c>
      <x:c r="F2612" s="19" t="str">
        <x:v>稀有</x:v>
      </x:c>
      <x:c r="G2612" s="19" t="str">
        <x:v>材料独立候选</x:v>
      </x:c>
      <x:c r="H2612" s="19" t="str">
        <x:v>学院封蜡</x:v>
      </x:c>
      <x:c r="I2612" s="22" t="n">
        <x:v>1200</x:v>
      </x:c>
      <x:c r="J2612" s="22" t="n">
        <x:v>1</x:v>
      </x:c>
      <x:c r="K2612" s="19" t="n">
        <x:v>1</x:v>
      </x:c>
      <x:c r="L2612" s="24" t="n">
        <x:v>27.839999999999996</x:v>
      </x:c>
      <x:c r="M2612" s="26" t="n">
        <x:v>0.1</x:v>
      </x:c>
      <x:c r="N2612" s="24" t="n">
        <x:v>12</x:v>
      </x:c>
      <x:c r="O2612" s="28" t="n">
        <x:f>MIN(1,L2612/I2612)</x:f>
        <x:v>0.0232</x:v>
      </x:c>
      <x:c r="P2612" s="30" t="n">
        <x:f>O2612*J2612*(1+M2612)</x:f>
        <x:v>0.02552</x:v>
      </x:c>
      <x:c r="Q2612" s="30" t="n">
        <x:f>P2612*N2612</x:f>
        <x:v>0.30624</x:v>
      </x:c>
      <x:c r="R2612" s="19" t="str">
        <x:v>独立判定</x:v>
      </x:c>
    </x:row>
    <x:row r="2613" ht="19" customHeight="1">
      <x:c r="A2613" s="19" t="str">
        <x:v>D02609</x:v>
      </x:c>
      <x:c r="B2613" s="19" t="n">
        <x:v>5</x:v>
      </x:c>
      <x:c r="C2613" s="19" t="n">
        <x:v>5</x:v>
      </x:c>
      <x:c r="D2613" s="19" t="str">
        <x:v>C05-M056</x:v>
      </x:c>
      <x:c r="E2613" s="19" t="str">
        <x:v>月华凝霜乐师</x:v>
      </x:c>
      <x:c r="F2613" s="19" t="str">
        <x:v>稀有</x:v>
      </x:c>
      <x:c r="G2613" s="19" t="str">
        <x:v>材料独立候选</x:v>
      </x:c>
      <x:c r="H2613" s="19" t="str">
        <x:v>湖心月谱残章</x:v>
      </x:c>
      <x:c r="I2613" s="22" t="n">
        <x:v>800000</x:v>
      </x:c>
      <x:c r="J2613" s="22" t="n">
        <x:v>1</x:v>
      </x:c>
      <x:c r="K2613" s="19" t="n">
        <x:v>1</x:v>
      </x:c>
      <x:c r="L2613" s="24" t="n">
        <x:v>27.839999999999996</x:v>
      </x:c>
      <x:c r="M2613" s="26" t="n">
        <x:v>0.1</x:v>
      </x:c>
      <x:c r="N2613" s="24" t="n">
        <x:v>12</x:v>
      </x:c>
      <x:c r="O2613" s="28" t="n">
        <x:f>MIN(1,L2613/I2613)</x:f>
        <x:v>0.00003479999999999999</x:v>
      </x:c>
      <x:c r="P2613" s="30" t="n">
        <x:f>O2613*J2613*(1+M2613)</x:f>
        <x:v>0.00003827999999999999</x:v>
      </x:c>
      <x:c r="Q2613" s="30" t="n">
        <x:f>P2613*N2613</x:f>
        <x:v>0.0004593599999999999</x:v>
      </x:c>
      <x:c r="R2613" s="19" t="str">
        <x:v>独立判定</x:v>
      </x:c>
    </x:row>
    <x:row r="2614" ht="19" customHeight="1">
      <x:c r="A2614" s="19" t="str">
        <x:v>D02610</x:v>
      </x:c>
      <x:c r="B2614" s="19" t="n">
        <x:v>5</x:v>
      </x:c>
      <x:c r="C2614" s="19" t="n">
        <x:v>5</x:v>
      </x:c>
      <x:c r="D2614" s="19" t="str">
        <x:v>C05-M056</x:v>
      </x:c>
      <x:c r="E2614" s="19" t="str">
        <x:v>月华凝霜乐师</x:v>
      </x:c>
      <x:c r="F2614" s="19" t="str">
        <x:v>稀有</x:v>
      </x:c>
      <x:c r="G2614" s="19" t="str">
        <x:v>材料独立候选</x:v>
      </x:c>
      <x:c r="H2614" s="19" t="str">
        <x:v>黄金树芽</x:v>
      </x:c>
      <x:c r="I2614" s="22" t="n">
        <x:v>4000</x:v>
      </x:c>
      <x:c r="J2614" s="22" t="n">
        <x:v>1</x:v>
      </x:c>
      <x:c r="K2614" s="19" t="n">
        <x:v>1</x:v>
      </x:c>
      <x:c r="L2614" s="24" t="n">
        <x:v>27.839999999999996</x:v>
      </x:c>
      <x:c r="M2614" s="26" t="n">
        <x:v>0.1</x:v>
      </x:c>
      <x:c r="N2614" s="24" t="n">
        <x:v>12</x:v>
      </x:c>
      <x:c r="O2614" s="28" t="n">
        <x:f>MIN(1,L2614/I2614)</x:f>
        <x:v>0.006959999999999999</x:v>
      </x:c>
      <x:c r="P2614" s="30" t="n">
        <x:f>O2614*J2614*(1+M2614)</x:f>
        <x:v>0.007656</x:v>
      </x:c>
      <x:c r="Q2614" s="30" t="n">
        <x:f>P2614*N2614</x:f>
        <x:v>0.091872</x:v>
      </x:c>
      <x:c r="R2614" s="19" t="str">
        <x:v>独立判定</x:v>
      </x:c>
    </x:row>
    <x:row r="2615" ht="19" customHeight="1">
      <x:c r="A2615" s="19" t="str">
        <x:v>D02611</x:v>
      </x:c>
      <x:c r="B2615" s="19" t="n">
        <x:v>5</x:v>
      </x:c>
      <x:c r="C2615" s="19" t="n">
        <x:v>5</x:v>
      </x:c>
      <x:c r="D2615" s="19" t="str">
        <x:v>C05-M056</x:v>
      </x:c>
      <x:c r="E2615" s="19" t="str">
        <x:v>月华凝霜乐师</x:v>
      </x:c>
      <x:c r="F2615" s="19" t="str">
        <x:v>稀有</x:v>
      </x:c>
      <x:c r="G2615" s="19" t="str">
        <x:v>材料独立候选</x:v>
      </x:c>
      <x:c r="H2615" s="19" t="str">
        <x:v>野兽骨片</x:v>
      </x:c>
      <x:c r="I2615" s="22" t="n">
        <x:v>80</x:v>
      </x:c>
      <x:c r="J2615" s="22" t="n">
        <x:v>3</x:v>
      </x:c>
      <x:c r="K2615" s="19" t="n">
        <x:v>1</x:v>
      </x:c>
      <x:c r="L2615" s="24" t="n">
        <x:v>27.839999999999996</x:v>
      </x:c>
      <x:c r="M2615" s="26" t="n">
        <x:v>0.1</x:v>
      </x:c>
      <x:c r="N2615" s="24" t="n">
        <x:v>12</x:v>
      </x:c>
      <x:c r="O2615" s="28" t="n">
        <x:f>MIN(1,L2615/I2615)</x:f>
        <x:v>0.348</x:v>
      </x:c>
      <x:c r="P2615" s="30" t="n">
        <x:f>O2615*J2615*(1+M2615)</x:f>
        <x:v>1.1484</x:v>
      </x:c>
      <x:c r="Q2615" s="30" t="n">
        <x:f>P2615*N2615</x:f>
        <x:v>13.780800000000001</x:v>
      </x:c>
      <x:c r="R2615" s="19" t="str">
        <x:v>独立判定</x:v>
      </x:c>
    </x:row>
    <x:row r="2616" ht="19" customHeight="1">
      <x:c r="A2616" s="19" t="str">
        <x:v>D02612</x:v>
      </x:c>
      <x:c r="B2616" s="19" t="n">
        <x:v>5</x:v>
      </x:c>
      <x:c r="C2616" s="19" t="n">
        <x:v>5</x:v>
      </x:c>
      <x:c r="D2616" s="19" t="str">
        <x:v>C05-M056</x:v>
      </x:c>
      <x:c r="E2616" s="19" t="str">
        <x:v>月华凝霜乐师</x:v>
      </x:c>
      <x:c r="F2616" s="19" t="str">
        <x:v>稀有</x:v>
      </x:c>
      <x:c r="G2616" s="19" t="str">
        <x:v>材料独立候选</x:v>
      </x:c>
      <x:c r="H2616" s="19" t="str">
        <x:v>技能残页</x:v>
      </x:c>
      <x:c r="I2616" s="22" t="n">
        <x:v>2000</x:v>
      </x:c>
      <x:c r="J2616" s="22" t="n">
        <x:v>1</x:v>
      </x:c>
      <x:c r="K2616" s="19" t="n">
        <x:v>1</x:v>
      </x:c>
      <x:c r="L2616" s="24" t="n">
        <x:v>27.839999999999996</x:v>
      </x:c>
      <x:c r="M2616" s="26" t="n">
        <x:v>0.1</x:v>
      </x:c>
      <x:c r="N2616" s="24" t="n">
        <x:v>12</x:v>
      </x:c>
      <x:c r="O2616" s="28" t="n">
        <x:f>MIN(1,L2616/I2616)</x:f>
        <x:v>0.013919999999999998</x:v>
      </x:c>
      <x:c r="P2616" s="30" t="n">
        <x:f>O2616*J2616*(1+M2616)</x:f>
        <x:v>0.015312</x:v>
      </x:c>
      <x:c r="Q2616" s="30" t="n">
        <x:f>P2616*N2616</x:f>
        <x:v>0.183744</x:v>
      </x:c>
      <x:c r="R2616" s="19" t="str">
        <x:v>独立判定</x:v>
      </x:c>
    </x:row>
    <x:row r="2617" ht="19" customHeight="1">
      <x:c r="A2617" s="19" t="str">
        <x:v>D02613</x:v>
      </x:c>
      <x:c r="B2617" s="19" t="n">
        <x:v>5</x:v>
      </x:c>
      <x:c r="C2617" s="19" t="n">
        <x:v>5</x:v>
      </x:c>
      <x:c r="D2617" s="19" t="str">
        <x:v>C05-M056</x:v>
      </x:c>
      <x:c r="E2617" s="19" t="str">
        <x:v>月华凝霜乐师</x:v>
      </x:c>
      <x:c r="F2617" s="19" t="str">
        <x:v>稀有</x:v>
      </x:c>
      <x:c r="G2617" s="19" t="str">
        <x:v>材料独立候选</x:v>
      </x:c>
      <x:c r="H2617" s="19" t="str">
        <x:v>小卢恩</x:v>
      </x:c>
      <x:c r="I2617" s="22" t="n">
        <x:v>5000</x:v>
      </x:c>
      <x:c r="J2617" s="22" t="n">
        <x:v>1</x:v>
      </x:c>
      <x:c r="K2617" s="19" t="n">
        <x:v>1</x:v>
      </x:c>
      <x:c r="L2617" s="24" t="n">
        <x:v>27.839999999999996</x:v>
      </x:c>
      <x:c r="M2617" s="26" t="n">
        <x:v>0.1</x:v>
      </x:c>
      <x:c r="N2617" s="24" t="n">
        <x:v>12</x:v>
      </x:c>
      <x:c r="O2617" s="28" t="n">
        <x:f>MIN(1,L2617/I2617)</x:f>
        <x:v>0.005567999999999999</x:v>
      </x:c>
      <x:c r="P2617" s="30" t="n">
        <x:f>O2617*J2617*(1+M2617)</x:f>
        <x:v>0.0061248</x:v>
      </x:c>
      <x:c r="Q2617" s="30" t="n">
        <x:f>P2617*N2617</x:f>
        <x:v>0.0734976</x:v>
      </x:c>
      <x:c r="R2617" s="19" t="str">
        <x:v>独立判定</x:v>
      </x:c>
    </x:row>
    <x:row r="2618" ht="19" customHeight="1">
      <x:c r="A2618" s="19" t="str">
        <x:v>D02614</x:v>
      </x:c>
      <x:c r="B2618" s="19" t="n">
        <x:v>5</x:v>
      </x:c>
      <x:c r="C2618" s="19" t="n">
        <x:v>5</x:v>
      </x:c>
      <x:c r="D2618" s="19" t="str">
        <x:v>C05-M056</x:v>
      </x:c>
      <x:c r="E2618" s="19" t="str">
        <x:v>月华凝霜乐师</x:v>
      </x:c>
      <x:c r="F2618" s="19" t="str">
        <x:v>稀有</x:v>
      </x:c>
      <x:c r="G2618" s="19" t="str">
        <x:v>六神器公共池</x:v>
      </x:c>
      <x:c r="H2618" s="19" t="str">
        <x:v>POOL006</x:v>
      </x:c>
      <x:c r="I2618" s="22" t="n">
        <x:v>5000000</x:v>
      </x:c>
      <x:c r="J2618" s="22" t="n">
        <x:v>1</x:v>
      </x:c>
      <x:c r="K2618" s="19" t="n">
        <x:v>6</x:v>
      </x:c>
      <x:c r="L2618" s="24" t="n">
        <x:v>27.839999999999996</x:v>
      </x:c>
      <x:c r="M2618" s="26" t="n">
        <x:v>0.1</x:v>
      </x:c>
      <x:c r="N2618" s="24" t="n">
        <x:v>12</x:v>
      </x:c>
      <x:c r="O2618" s="28" t="n">
        <x:f>MIN(1,L2618/I2618)</x:f>
        <x:v>0.000005567999999999999</x:v>
      </x:c>
      <x:c r="P2618" s="30" t="n">
        <x:f>O2618*J2618*(1+M2618)</x:f>
        <x:v>0.000006124799999999999</x:v>
      </x:c>
      <x:c r="Q2618" s="30" t="n">
        <x:f>P2618*N2618</x:f>
        <x:v>0.00007349759999999999</x:v>
      </x:c>
      <x:c r="R2618" s="19" t="str">
        <x:v>六选一；非6个独立爆率</x:v>
      </x:c>
    </x:row>
    <x:row r="2619" ht="19" customHeight="1">
      <x:c r="A2619" s="19" t="str">
        <x:v>D02615</x:v>
      </x:c>
      <x:c r="B2619" s="19" t="n">
        <x:v>5</x:v>
      </x:c>
      <x:c r="C2619" s="19" t="n">
        <x:v>5</x:v>
      </x:c>
      <x:c r="D2619" s="19" t="str">
        <x:v>C05-M057</x:v>
      </x:c>
      <x:c r="E2619" s="19" t="str">
        <x:v>圣殿悬月卫</x:v>
      </x:c>
      <x:c r="F2619" s="19" t="str">
        <x:v>稀有</x:v>
      </x:c>
      <x:c r="G2619" s="19" t="str">
        <x:v>自身专属</x:v>
      </x:c>
      <x:c r="H2619" s="19" t="str">
        <x:v>悬月卫潮链</x:v>
      </x:c>
      <x:c r="I2619" s="22" t="n">
        <x:v>500</x:v>
      </x:c>
      <x:c r="J2619" s="22" t="n">
        <x:v>1</x:v>
      </x:c>
      <x:c r="K2619" s="19" t="n">
        <x:v>1</x:v>
      </x:c>
      <x:c r="L2619" s="24" t="n">
        <x:v>27.839999999999996</x:v>
      </x:c>
      <x:c r="M2619" s="26" t="n">
        <x:v>0.1</x:v>
      </x:c>
      <x:c r="N2619" s="24" t="n">
        <x:v>10.688042367058742</x:v>
      </x:c>
      <x:c r="O2619" s="28" t="n">
        <x:f>MIN(1,L2619/I2619)</x:f>
        <x:v>0.05567999999999999</x:v>
      </x:c>
      <x:c r="P2619" s="30" t="n">
        <x:f>O2619*J2619*(1+M2619)</x:f>
        <x:v>0.061248</x:v>
      </x:c>
      <x:c r="Q2619" s="30" t="n">
        <x:f>P2619*N2619</x:f>
        <x:v>0.6546212188976138</x:v>
      </x:c>
      <x:c r="R2619" s="19" t="str">
        <x:v>独立判定</x:v>
      </x:c>
    </x:row>
    <x:row r="2620" ht="19" customHeight="1">
      <x:c r="A2620" s="19" t="str">
        <x:v>D02616</x:v>
      </x:c>
      <x:c r="B2620" s="19" t="n">
        <x:v>5</x:v>
      </x:c>
      <x:c r="C2620" s="19" t="n">
        <x:v>5</x:v>
      </x:c>
      <x:c r="D2620" s="19" t="str">
        <x:v>C05-M057</x:v>
      </x:c>
      <x:c r="E2620" s="19" t="str">
        <x:v>圣殿悬月卫</x:v>
      </x:c>
      <x:c r="F2620" s="19" t="str">
        <x:v>稀有</x:v>
      </x:c>
      <x:c r="G2620" s="19" t="str">
        <x:v>材料独立候选</x:v>
      </x:c>
      <x:c r="H2620" s="19" t="str">
        <x:v>辉石碎晶</x:v>
      </x:c>
      <x:c r="I2620" s="22" t="n">
        <x:v>500</x:v>
      </x:c>
      <x:c r="J2620" s="22" t="n">
        <x:v>15</x:v>
      </x:c>
      <x:c r="K2620" s="19" t="n">
        <x:v>1</x:v>
      </x:c>
      <x:c r="L2620" s="24" t="n">
        <x:v>27.839999999999996</x:v>
      </x:c>
      <x:c r="M2620" s="26" t="n">
        <x:v>0.1</x:v>
      </x:c>
      <x:c r="N2620" s="24" t="n">
        <x:v>10.688042367058742</x:v>
      </x:c>
      <x:c r="O2620" s="28" t="n">
        <x:f>MIN(1,L2620/I2620)</x:f>
        <x:v>0.05567999999999999</x:v>
      </x:c>
      <x:c r="P2620" s="30" t="n">
        <x:f>O2620*J2620*(1+M2620)</x:f>
        <x:v>0.91872</x:v>
      </x:c>
      <x:c r="Q2620" s="30" t="n">
        <x:f>P2620*N2620</x:f>
        <x:v>9.819318283464208</x:v>
      </x:c>
      <x:c r="R2620" s="19" t="str">
        <x:v>独立判定</x:v>
      </x:c>
    </x:row>
    <x:row r="2621" ht="19" customHeight="1">
      <x:c r="A2621" s="19" t="str">
        <x:v>D02617</x:v>
      </x:c>
      <x:c r="B2621" s="19" t="n">
        <x:v>5</x:v>
      </x:c>
      <x:c r="C2621" s="19" t="n">
        <x:v>5</x:v>
      </x:c>
      <x:c r="D2621" s="19" t="str">
        <x:v>C05-M057</x:v>
      </x:c>
      <x:c r="E2621" s="19" t="str">
        <x:v>圣殿悬月卫</x:v>
      </x:c>
      <x:c r="F2621" s="19" t="str">
        <x:v>稀有</x:v>
      </x:c>
      <x:c r="G2621" s="19" t="str">
        <x:v>材料独立候选</x:v>
      </x:c>
      <x:c r="H2621" s="19" t="str">
        <x:v>卡利亚月露</x:v>
      </x:c>
      <x:c r="I2621" s="22" t="n">
        <x:v>800</x:v>
      </x:c>
      <x:c r="J2621" s="22" t="n">
        <x:v>1</x:v>
      </x:c>
      <x:c r="K2621" s="19" t="n">
        <x:v>1</x:v>
      </x:c>
      <x:c r="L2621" s="24" t="n">
        <x:v>27.839999999999996</x:v>
      </x:c>
      <x:c r="M2621" s="26" t="n">
        <x:v>0.1</x:v>
      </x:c>
      <x:c r="N2621" s="24" t="n">
        <x:v>10.688042367058742</x:v>
      </x:c>
      <x:c r="O2621" s="28" t="n">
        <x:f>MIN(1,L2621/I2621)</x:f>
        <x:v>0.0348</x:v>
      </x:c>
      <x:c r="P2621" s="30" t="n">
        <x:f>O2621*J2621*(1+M2621)</x:f>
        <x:v>0.03828</x:v>
      </x:c>
      <x:c r="Q2621" s="30" t="n">
        <x:f>P2621*N2621</x:f>
        <x:v>0.40913826181100865</x:v>
      </x:c>
      <x:c r="R2621" s="19" t="str">
        <x:v>独立判定</x:v>
      </x:c>
    </x:row>
    <x:row r="2622" ht="19" customHeight="1">
      <x:c r="A2622" s="19" t="str">
        <x:v>D02618</x:v>
      </x:c>
      <x:c r="B2622" s="19" t="n">
        <x:v>5</x:v>
      </x:c>
      <x:c r="C2622" s="19" t="n">
        <x:v>5</x:v>
      </x:c>
      <x:c r="D2622" s="19" t="str">
        <x:v>C05-M057</x:v>
      </x:c>
      <x:c r="E2622" s="19" t="str">
        <x:v>圣殿悬月卫</x:v>
      </x:c>
      <x:c r="F2622" s="19" t="str">
        <x:v>稀有</x:v>
      </x:c>
      <x:c r="G2622" s="19" t="str">
        <x:v>材料独立候选</x:v>
      </x:c>
      <x:c r="H2622" s="19" t="str">
        <x:v>学院封蜡</x:v>
      </x:c>
      <x:c r="I2622" s="22" t="n">
        <x:v>1200</x:v>
      </x:c>
      <x:c r="J2622" s="22" t="n">
        <x:v>1</x:v>
      </x:c>
      <x:c r="K2622" s="19" t="n">
        <x:v>1</x:v>
      </x:c>
      <x:c r="L2622" s="24" t="n">
        <x:v>27.839999999999996</x:v>
      </x:c>
      <x:c r="M2622" s="26" t="n">
        <x:v>0.1</x:v>
      </x:c>
      <x:c r="N2622" s="24" t="n">
        <x:v>10.688042367058742</x:v>
      </x:c>
      <x:c r="O2622" s="28" t="n">
        <x:f>MIN(1,L2622/I2622)</x:f>
        <x:v>0.0232</x:v>
      </x:c>
      <x:c r="P2622" s="30" t="n">
        <x:f>O2622*J2622*(1+M2622)</x:f>
        <x:v>0.02552</x:v>
      </x:c>
      <x:c r="Q2622" s="30" t="n">
        <x:f>P2622*N2622</x:f>
        <x:v>0.2727588412073391</x:v>
      </x:c>
      <x:c r="R2622" s="19" t="str">
        <x:v>独立判定</x:v>
      </x:c>
    </x:row>
    <x:row r="2623" ht="19" customHeight="1">
      <x:c r="A2623" s="19" t="str">
        <x:v>D02619</x:v>
      </x:c>
      <x:c r="B2623" s="19" t="n">
        <x:v>5</x:v>
      </x:c>
      <x:c r="C2623" s="19" t="n">
        <x:v>5</x:v>
      </x:c>
      <x:c r="D2623" s="19" t="str">
        <x:v>C05-M057</x:v>
      </x:c>
      <x:c r="E2623" s="19" t="str">
        <x:v>圣殿悬月卫</x:v>
      </x:c>
      <x:c r="F2623" s="19" t="str">
        <x:v>稀有</x:v>
      </x:c>
      <x:c r="G2623" s="19" t="str">
        <x:v>材料独立候选</x:v>
      </x:c>
      <x:c r="H2623" s="19" t="str">
        <x:v>湖心月谱残章</x:v>
      </x:c>
      <x:c r="I2623" s="22" t="n">
        <x:v>800000</x:v>
      </x:c>
      <x:c r="J2623" s="22" t="n">
        <x:v>1</x:v>
      </x:c>
      <x:c r="K2623" s="19" t="n">
        <x:v>1</x:v>
      </x:c>
      <x:c r="L2623" s="24" t="n">
        <x:v>27.839999999999996</x:v>
      </x:c>
      <x:c r="M2623" s="26" t="n">
        <x:v>0.1</x:v>
      </x:c>
      <x:c r="N2623" s="24" t="n">
        <x:v>10.688042367058742</x:v>
      </x:c>
      <x:c r="O2623" s="28" t="n">
        <x:f>MIN(1,L2623/I2623)</x:f>
        <x:v>0.00003479999999999999</x:v>
      </x:c>
      <x:c r="P2623" s="30" t="n">
        <x:f>O2623*J2623*(1+M2623)</x:f>
        <x:v>0.00003827999999999999</x:v>
      </x:c>
      <x:c r="Q2623" s="30" t="n">
        <x:f>P2623*N2623</x:f>
        <x:v>0.00040913826181100855</x:v>
      </x:c>
      <x:c r="R2623" s="19" t="str">
        <x:v>独立判定</x:v>
      </x:c>
    </x:row>
    <x:row r="2624" ht="19" customHeight="1">
      <x:c r="A2624" s="19" t="str">
        <x:v>D02620</x:v>
      </x:c>
      <x:c r="B2624" s="19" t="n">
        <x:v>5</x:v>
      </x:c>
      <x:c r="C2624" s="19" t="n">
        <x:v>5</x:v>
      </x:c>
      <x:c r="D2624" s="19" t="str">
        <x:v>C05-M057</x:v>
      </x:c>
      <x:c r="E2624" s="19" t="str">
        <x:v>圣殿悬月卫</x:v>
      </x:c>
      <x:c r="F2624" s="19" t="str">
        <x:v>稀有</x:v>
      </x:c>
      <x:c r="G2624" s="19" t="str">
        <x:v>材料独立候选</x:v>
      </x:c>
      <x:c r="H2624" s="19" t="str">
        <x:v>黄金树芽</x:v>
      </x:c>
      <x:c r="I2624" s="22" t="n">
        <x:v>4000</x:v>
      </x:c>
      <x:c r="J2624" s="22" t="n">
        <x:v>1</x:v>
      </x:c>
      <x:c r="K2624" s="19" t="n">
        <x:v>1</x:v>
      </x:c>
      <x:c r="L2624" s="24" t="n">
        <x:v>27.839999999999996</x:v>
      </x:c>
      <x:c r="M2624" s="26" t="n">
        <x:v>0.1</x:v>
      </x:c>
      <x:c r="N2624" s="24" t="n">
        <x:v>10.688042367058742</x:v>
      </x:c>
      <x:c r="O2624" s="28" t="n">
        <x:f>MIN(1,L2624/I2624)</x:f>
        <x:v>0.006959999999999999</x:v>
      </x:c>
      <x:c r="P2624" s="30" t="n">
        <x:f>O2624*J2624*(1+M2624)</x:f>
        <x:v>0.007656</x:v>
      </x:c>
      <x:c r="Q2624" s="30" t="n">
        <x:f>P2624*N2624</x:f>
        <x:v>0.08182765236220173</x:v>
      </x:c>
      <x:c r="R2624" s="19" t="str">
        <x:v>独立判定</x:v>
      </x:c>
    </x:row>
    <x:row r="2625" ht="19" customHeight="1">
      <x:c r="A2625" s="19" t="str">
        <x:v>D02621</x:v>
      </x:c>
      <x:c r="B2625" s="19" t="n">
        <x:v>5</x:v>
      </x:c>
      <x:c r="C2625" s="19" t="n">
        <x:v>5</x:v>
      </x:c>
      <x:c r="D2625" s="19" t="str">
        <x:v>C05-M057</x:v>
      </x:c>
      <x:c r="E2625" s="19" t="str">
        <x:v>圣殿悬月卫</x:v>
      </x:c>
      <x:c r="F2625" s="19" t="str">
        <x:v>稀有</x:v>
      </x:c>
      <x:c r="G2625" s="19" t="str">
        <x:v>材料独立候选</x:v>
      </x:c>
      <x:c r="H2625" s="19" t="str">
        <x:v>野兽骨片</x:v>
      </x:c>
      <x:c r="I2625" s="22" t="n">
        <x:v>80</x:v>
      </x:c>
      <x:c r="J2625" s="22" t="n">
        <x:v>3</x:v>
      </x:c>
      <x:c r="K2625" s="19" t="n">
        <x:v>1</x:v>
      </x:c>
      <x:c r="L2625" s="24" t="n">
        <x:v>27.839999999999996</x:v>
      </x:c>
      <x:c r="M2625" s="26" t="n">
        <x:v>0.1</x:v>
      </x:c>
      <x:c r="N2625" s="24" t="n">
        <x:v>10.688042367058742</x:v>
      </x:c>
      <x:c r="O2625" s="28" t="n">
        <x:f>MIN(1,L2625/I2625)</x:f>
        <x:v>0.348</x:v>
      </x:c>
      <x:c r="P2625" s="30" t="n">
        <x:f>O2625*J2625*(1+M2625)</x:f>
        <x:v>1.1484</x:v>
      </x:c>
      <x:c r="Q2625" s="30" t="n">
        <x:f>P2625*N2625</x:f>
        <x:v>12.274147854330261</x:v>
      </x:c>
      <x:c r="R2625" s="19" t="str">
        <x:v>独立判定</x:v>
      </x:c>
    </x:row>
    <x:row r="2626" ht="19" customHeight="1">
      <x:c r="A2626" s="19" t="str">
        <x:v>D02622</x:v>
      </x:c>
      <x:c r="B2626" s="19" t="n">
        <x:v>5</x:v>
      </x:c>
      <x:c r="C2626" s="19" t="n">
        <x:v>5</x:v>
      </x:c>
      <x:c r="D2626" s="19" t="str">
        <x:v>C05-M057</x:v>
      </x:c>
      <x:c r="E2626" s="19" t="str">
        <x:v>圣殿悬月卫</x:v>
      </x:c>
      <x:c r="F2626" s="19" t="str">
        <x:v>稀有</x:v>
      </x:c>
      <x:c r="G2626" s="19" t="str">
        <x:v>材料独立候选</x:v>
      </x:c>
      <x:c r="H2626" s="19" t="str">
        <x:v>技能残页</x:v>
      </x:c>
      <x:c r="I2626" s="22" t="n">
        <x:v>2000</x:v>
      </x:c>
      <x:c r="J2626" s="22" t="n">
        <x:v>1</x:v>
      </x:c>
      <x:c r="K2626" s="19" t="n">
        <x:v>1</x:v>
      </x:c>
      <x:c r="L2626" s="24" t="n">
        <x:v>27.839999999999996</x:v>
      </x:c>
      <x:c r="M2626" s="26" t="n">
        <x:v>0.1</x:v>
      </x:c>
      <x:c r="N2626" s="24" t="n">
        <x:v>10.688042367058742</x:v>
      </x:c>
      <x:c r="O2626" s="28" t="n">
        <x:f>MIN(1,L2626/I2626)</x:f>
        <x:v>0.013919999999999998</x:v>
      </x:c>
      <x:c r="P2626" s="30" t="n">
        <x:f>O2626*J2626*(1+M2626)</x:f>
        <x:v>0.015312</x:v>
      </x:c>
      <x:c r="Q2626" s="30" t="n">
        <x:f>P2626*N2626</x:f>
        <x:v>0.16365530472440346</x:v>
      </x:c>
      <x:c r="R2626" s="19" t="str">
        <x:v>独立判定</x:v>
      </x:c>
    </x:row>
    <x:row r="2627" ht="19" customHeight="1">
      <x:c r="A2627" s="19" t="str">
        <x:v>D02623</x:v>
      </x:c>
      <x:c r="B2627" s="19" t="n">
        <x:v>5</x:v>
      </x:c>
      <x:c r="C2627" s="19" t="n">
        <x:v>5</x:v>
      </x:c>
      <x:c r="D2627" s="19" t="str">
        <x:v>C05-M057</x:v>
      </x:c>
      <x:c r="E2627" s="19" t="str">
        <x:v>圣殿悬月卫</x:v>
      </x:c>
      <x:c r="F2627" s="19" t="str">
        <x:v>稀有</x:v>
      </x:c>
      <x:c r="G2627" s="19" t="str">
        <x:v>材料独立候选</x:v>
      </x:c>
      <x:c r="H2627" s="19" t="str">
        <x:v>小卢恩</x:v>
      </x:c>
      <x:c r="I2627" s="22" t="n">
        <x:v>5000</x:v>
      </x:c>
      <x:c r="J2627" s="22" t="n">
        <x:v>1</x:v>
      </x:c>
      <x:c r="K2627" s="19" t="n">
        <x:v>1</x:v>
      </x:c>
      <x:c r="L2627" s="24" t="n">
        <x:v>27.839999999999996</x:v>
      </x:c>
      <x:c r="M2627" s="26" t="n">
        <x:v>0.1</x:v>
      </x:c>
      <x:c r="N2627" s="24" t="n">
        <x:v>10.688042367058742</x:v>
      </x:c>
      <x:c r="O2627" s="28" t="n">
        <x:f>MIN(1,L2627/I2627)</x:f>
        <x:v>0.005567999999999999</x:v>
      </x:c>
      <x:c r="P2627" s="30" t="n">
        <x:f>O2627*J2627*(1+M2627)</x:f>
        <x:v>0.0061248</x:v>
      </x:c>
      <x:c r="Q2627" s="30" t="n">
        <x:f>P2627*N2627</x:f>
        <x:v>0.06546212188976137</x:v>
      </x:c>
      <x:c r="R2627" s="19" t="str">
        <x:v>独立判定</x:v>
      </x:c>
    </x:row>
    <x:row r="2628" ht="19" customHeight="1">
      <x:c r="A2628" s="19" t="str">
        <x:v>D02624</x:v>
      </x:c>
      <x:c r="B2628" s="19" t="n">
        <x:v>5</x:v>
      </x:c>
      <x:c r="C2628" s="19" t="n">
        <x:v>5</x:v>
      </x:c>
      <x:c r="D2628" s="19" t="str">
        <x:v>C05-M057</x:v>
      </x:c>
      <x:c r="E2628" s="19" t="str">
        <x:v>圣殿悬月卫</x:v>
      </x:c>
      <x:c r="F2628" s="19" t="str">
        <x:v>稀有</x:v>
      </x:c>
      <x:c r="G2628" s="19" t="str">
        <x:v>六神器公共池</x:v>
      </x:c>
      <x:c r="H2628" s="19" t="str">
        <x:v>POOL006</x:v>
      </x:c>
      <x:c r="I2628" s="22" t="n">
        <x:v>5000000</x:v>
      </x:c>
      <x:c r="J2628" s="22" t="n">
        <x:v>1</x:v>
      </x:c>
      <x:c r="K2628" s="19" t="n">
        <x:v>6</x:v>
      </x:c>
      <x:c r="L2628" s="24" t="n">
        <x:v>27.839999999999996</x:v>
      </x:c>
      <x:c r="M2628" s="26" t="n">
        <x:v>0.1</x:v>
      </x:c>
      <x:c r="N2628" s="24" t="n">
        <x:v>10.688042367058742</x:v>
      </x:c>
      <x:c r="O2628" s="28" t="n">
        <x:f>MIN(1,L2628/I2628)</x:f>
        <x:v>0.000005567999999999999</x:v>
      </x:c>
      <x:c r="P2628" s="30" t="n">
        <x:f>O2628*J2628*(1+M2628)</x:f>
        <x:v>0.000006124799999999999</x:v>
      </x:c>
      <x:c r="Q2628" s="30" t="n">
        <x:f>P2628*N2628</x:f>
        <x:v>0.00006546212188976138</x:v>
      </x:c>
      <x:c r="R2628" s="19" t="str">
        <x:v>六选一；非6个独立爆率</x:v>
      </x:c>
    </x:row>
    <x:row r="2629" ht="19" customHeight="1">
      <x:c r="A2629" s="19" t="str">
        <x:v>D02625</x:v>
      </x:c>
      <x:c r="B2629" s="19" t="n">
        <x:v>5</x:v>
      </x:c>
      <x:c r="C2629" s="19" t="n">
        <x:v>5</x:v>
      </x:c>
      <x:c r="D2629" s="19" t="str">
        <x:v>C05-M058</x:v>
      </x:c>
      <x:c r="E2629" s="19" t="str">
        <x:v>琉潮白鳍巫</x:v>
      </x:c>
      <x:c r="F2629" s="19" t="str">
        <x:v>稀有</x:v>
      </x:c>
      <x:c r="G2629" s="19" t="str">
        <x:v>自身专属</x:v>
      </x:c>
      <x:c r="H2629" s="19" t="str">
        <x:v>琉潮白鳍章</x:v>
      </x:c>
      <x:c r="I2629" s="22" t="n">
        <x:v>500</x:v>
      </x:c>
      <x:c r="J2629" s="22" t="n">
        <x:v>1</x:v>
      </x:c>
      <x:c r="K2629" s="19" t="n">
        <x:v>1</x:v>
      </x:c>
      <x:c r="L2629" s="24" t="n">
        <x:v>27.839999999999996</x:v>
      </x:c>
      <x:c r="M2629" s="26" t="n">
        <x:v>0.1</x:v>
      </x:c>
      <x:c r="N2629" s="24" t="n">
        <x:v>10.688042367058742</x:v>
      </x:c>
      <x:c r="O2629" s="28" t="n">
        <x:f>MIN(1,L2629/I2629)</x:f>
        <x:v>0.05567999999999999</x:v>
      </x:c>
      <x:c r="P2629" s="30" t="n">
        <x:f>O2629*J2629*(1+M2629)</x:f>
        <x:v>0.061248</x:v>
      </x:c>
      <x:c r="Q2629" s="30" t="n">
        <x:f>P2629*N2629</x:f>
        <x:v>0.6546212188976138</x:v>
      </x:c>
      <x:c r="R2629" s="19" t="str">
        <x:v>独立判定</x:v>
      </x:c>
    </x:row>
    <x:row r="2630" ht="19" customHeight="1">
      <x:c r="A2630" s="19" t="str">
        <x:v>D02626</x:v>
      </x:c>
      <x:c r="B2630" s="19" t="n">
        <x:v>5</x:v>
      </x:c>
      <x:c r="C2630" s="19" t="n">
        <x:v>5</x:v>
      </x:c>
      <x:c r="D2630" s="19" t="str">
        <x:v>C05-M058</x:v>
      </x:c>
      <x:c r="E2630" s="19" t="str">
        <x:v>琉潮白鳍巫</x:v>
      </x:c>
      <x:c r="F2630" s="19" t="str">
        <x:v>稀有</x:v>
      </x:c>
      <x:c r="G2630" s="19" t="str">
        <x:v>材料独立候选</x:v>
      </x:c>
      <x:c r="H2630" s="19" t="str">
        <x:v>辉石碎晶</x:v>
      </x:c>
      <x:c r="I2630" s="22" t="n">
        <x:v>500</x:v>
      </x:c>
      <x:c r="J2630" s="22" t="n">
        <x:v>15</x:v>
      </x:c>
      <x:c r="K2630" s="19" t="n">
        <x:v>1</x:v>
      </x:c>
      <x:c r="L2630" s="24" t="n">
        <x:v>27.839999999999996</x:v>
      </x:c>
      <x:c r="M2630" s="26" t="n">
        <x:v>0.1</x:v>
      </x:c>
      <x:c r="N2630" s="24" t="n">
        <x:v>10.688042367058742</x:v>
      </x:c>
      <x:c r="O2630" s="28" t="n">
        <x:f>MIN(1,L2630/I2630)</x:f>
        <x:v>0.05567999999999999</x:v>
      </x:c>
      <x:c r="P2630" s="30" t="n">
        <x:f>O2630*J2630*(1+M2630)</x:f>
        <x:v>0.91872</x:v>
      </x:c>
      <x:c r="Q2630" s="30" t="n">
        <x:f>P2630*N2630</x:f>
        <x:v>9.819318283464208</x:v>
      </x:c>
      <x:c r="R2630" s="19" t="str">
        <x:v>独立判定</x:v>
      </x:c>
    </x:row>
    <x:row r="2631" ht="19" customHeight="1">
      <x:c r="A2631" s="19" t="str">
        <x:v>D02627</x:v>
      </x:c>
      <x:c r="B2631" s="19" t="n">
        <x:v>5</x:v>
      </x:c>
      <x:c r="C2631" s="19" t="n">
        <x:v>5</x:v>
      </x:c>
      <x:c r="D2631" s="19" t="str">
        <x:v>C05-M058</x:v>
      </x:c>
      <x:c r="E2631" s="19" t="str">
        <x:v>琉潮白鳍巫</x:v>
      </x:c>
      <x:c r="F2631" s="19" t="str">
        <x:v>稀有</x:v>
      </x:c>
      <x:c r="G2631" s="19" t="str">
        <x:v>材料独立候选</x:v>
      </x:c>
      <x:c r="H2631" s="19" t="str">
        <x:v>卡利亚月露</x:v>
      </x:c>
      <x:c r="I2631" s="22" t="n">
        <x:v>800</x:v>
      </x:c>
      <x:c r="J2631" s="22" t="n">
        <x:v>1</x:v>
      </x:c>
      <x:c r="K2631" s="19" t="n">
        <x:v>1</x:v>
      </x:c>
      <x:c r="L2631" s="24" t="n">
        <x:v>27.839999999999996</x:v>
      </x:c>
      <x:c r="M2631" s="26" t="n">
        <x:v>0.1</x:v>
      </x:c>
      <x:c r="N2631" s="24" t="n">
        <x:v>10.688042367058742</x:v>
      </x:c>
      <x:c r="O2631" s="28" t="n">
        <x:f>MIN(1,L2631/I2631)</x:f>
        <x:v>0.0348</x:v>
      </x:c>
      <x:c r="P2631" s="30" t="n">
        <x:f>O2631*J2631*(1+M2631)</x:f>
        <x:v>0.03828</x:v>
      </x:c>
      <x:c r="Q2631" s="30" t="n">
        <x:f>P2631*N2631</x:f>
        <x:v>0.40913826181100865</x:v>
      </x:c>
      <x:c r="R2631" s="19" t="str">
        <x:v>独立判定</x:v>
      </x:c>
    </x:row>
    <x:row r="2632" ht="19" customHeight="1">
      <x:c r="A2632" s="19" t="str">
        <x:v>D02628</x:v>
      </x:c>
      <x:c r="B2632" s="19" t="n">
        <x:v>5</x:v>
      </x:c>
      <x:c r="C2632" s="19" t="n">
        <x:v>5</x:v>
      </x:c>
      <x:c r="D2632" s="19" t="str">
        <x:v>C05-M058</x:v>
      </x:c>
      <x:c r="E2632" s="19" t="str">
        <x:v>琉潮白鳍巫</x:v>
      </x:c>
      <x:c r="F2632" s="19" t="str">
        <x:v>稀有</x:v>
      </x:c>
      <x:c r="G2632" s="19" t="str">
        <x:v>材料独立候选</x:v>
      </x:c>
      <x:c r="H2632" s="19" t="str">
        <x:v>学院封蜡</x:v>
      </x:c>
      <x:c r="I2632" s="22" t="n">
        <x:v>1200</x:v>
      </x:c>
      <x:c r="J2632" s="22" t="n">
        <x:v>1</x:v>
      </x:c>
      <x:c r="K2632" s="19" t="n">
        <x:v>1</x:v>
      </x:c>
      <x:c r="L2632" s="24" t="n">
        <x:v>27.839999999999996</x:v>
      </x:c>
      <x:c r="M2632" s="26" t="n">
        <x:v>0.1</x:v>
      </x:c>
      <x:c r="N2632" s="24" t="n">
        <x:v>10.688042367058742</x:v>
      </x:c>
      <x:c r="O2632" s="28" t="n">
        <x:f>MIN(1,L2632/I2632)</x:f>
        <x:v>0.0232</x:v>
      </x:c>
      <x:c r="P2632" s="30" t="n">
        <x:f>O2632*J2632*(1+M2632)</x:f>
        <x:v>0.02552</x:v>
      </x:c>
      <x:c r="Q2632" s="30" t="n">
        <x:f>P2632*N2632</x:f>
        <x:v>0.2727588412073391</x:v>
      </x:c>
      <x:c r="R2632" s="19" t="str">
        <x:v>独立判定</x:v>
      </x:c>
    </x:row>
    <x:row r="2633" ht="19" customHeight="1">
      <x:c r="A2633" s="19" t="str">
        <x:v>D02629</x:v>
      </x:c>
      <x:c r="B2633" s="19" t="n">
        <x:v>5</x:v>
      </x:c>
      <x:c r="C2633" s="19" t="n">
        <x:v>5</x:v>
      </x:c>
      <x:c r="D2633" s="19" t="str">
        <x:v>C05-M058</x:v>
      </x:c>
      <x:c r="E2633" s="19" t="str">
        <x:v>琉潮白鳍巫</x:v>
      </x:c>
      <x:c r="F2633" s="19" t="str">
        <x:v>稀有</x:v>
      </x:c>
      <x:c r="G2633" s="19" t="str">
        <x:v>材料独立候选</x:v>
      </x:c>
      <x:c r="H2633" s="19" t="str">
        <x:v>湖心月谱残章</x:v>
      </x:c>
      <x:c r="I2633" s="22" t="n">
        <x:v>800000</x:v>
      </x:c>
      <x:c r="J2633" s="22" t="n">
        <x:v>1</x:v>
      </x:c>
      <x:c r="K2633" s="19" t="n">
        <x:v>1</x:v>
      </x:c>
      <x:c r="L2633" s="24" t="n">
        <x:v>27.839999999999996</x:v>
      </x:c>
      <x:c r="M2633" s="26" t="n">
        <x:v>0.1</x:v>
      </x:c>
      <x:c r="N2633" s="24" t="n">
        <x:v>10.688042367058742</x:v>
      </x:c>
      <x:c r="O2633" s="28" t="n">
        <x:f>MIN(1,L2633/I2633)</x:f>
        <x:v>0.00003479999999999999</x:v>
      </x:c>
      <x:c r="P2633" s="30" t="n">
        <x:f>O2633*J2633*(1+M2633)</x:f>
        <x:v>0.00003827999999999999</x:v>
      </x:c>
      <x:c r="Q2633" s="30" t="n">
        <x:f>P2633*N2633</x:f>
        <x:v>0.00040913826181100855</x:v>
      </x:c>
      <x:c r="R2633" s="19" t="str">
        <x:v>独立判定</x:v>
      </x:c>
    </x:row>
    <x:row r="2634" ht="19" customHeight="1">
      <x:c r="A2634" s="19" t="str">
        <x:v>D02630</x:v>
      </x:c>
      <x:c r="B2634" s="19" t="n">
        <x:v>5</x:v>
      </x:c>
      <x:c r="C2634" s="19" t="n">
        <x:v>5</x:v>
      </x:c>
      <x:c r="D2634" s="19" t="str">
        <x:v>C05-M058</x:v>
      </x:c>
      <x:c r="E2634" s="19" t="str">
        <x:v>琉潮白鳍巫</x:v>
      </x:c>
      <x:c r="F2634" s="19" t="str">
        <x:v>稀有</x:v>
      </x:c>
      <x:c r="G2634" s="19" t="str">
        <x:v>材料独立候选</x:v>
      </x:c>
      <x:c r="H2634" s="19" t="str">
        <x:v>黄金树芽</x:v>
      </x:c>
      <x:c r="I2634" s="22" t="n">
        <x:v>4000</x:v>
      </x:c>
      <x:c r="J2634" s="22" t="n">
        <x:v>1</x:v>
      </x:c>
      <x:c r="K2634" s="19" t="n">
        <x:v>1</x:v>
      </x:c>
      <x:c r="L2634" s="24" t="n">
        <x:v>27.839999999999996</x:v>
      </x:c>
      <x:c r="M2634" s="26" t="n">
        <x:v>0.1</x:v>
      </x:c>
      <x:c r="N2634" s="24" t="n">
        <x:v>10.688042367058742</x:v>
      </x:c>
      <x:c r="O2634" s="28" t="n">
        <x:f>MIN(1,L2634/I2634)</x:f>
        <x:v>0.006959999999999999</x:v>
      </x:c>
      <x:c r="P2634" s="30" t="n">
        <x:f>O2634*J2634*(1+M2634)</x:f>
        <x:v>0.007656</x:v>
      </x:c>
      <x:c r="Q2634" s="30" t="n">
        <x:f>P2634*N2634</x:f>
        <x:v>0.08182765236220173</x:v>
      </x:c>
      <x:c r="R2634" s="19" t="str">
        <x:v>独立判定</x:v>
      </x:c>
    </x:row>
    <x:row r="2635" ht="19" customHeight="1">
      <x:c r="A2635" s="19" t="str">
        <x:v>D02631</x:v>
      </x:c>
      <x:c r="B2635" s="19" t="n">
        <x:v>5</x:v>
      </x:c>
      <x:c r="C2635" s="19" t="n">
        <x:v>5</x:v>
      </x:c>
      <x:c r="D2635" s="19" t="str">
        <x:v>C05-M058</x:v>
      </x:c>
      <x:c r="E2635" s="19" t="str">
        <x:v>琉潮白鳍巫</x:v>
      </x:c>
      <x:c r="F2635" s="19" t="str">
        <x:v>稀有</x:v>
      </x:c>
      <x:c r="G2635" s="19" t="str">
        <x:v>材料独立候选</x:v>
      </x:c>
      <x:c r="H2635" s="19" t="str">
        <x:v>野兽骨片</x:v>
      </x:c>
      <x:c r="I2635" s="22" t="n">
        <x:v>80</x:v>
      </x:c>
      <x:c r="J2635" s="22" t="n">
        <x:v>3</x:v>
      </x:c>
      <x:c r="K2635" s="19" t="n">
        <x:v>1</x:v>
      </x:c>
      <x:c r="L2635" s="24" t="n">
        <x:v>27.839999999999996</x:v>
      </x:c>
      <x:c r="M2635" s="26" t="n">
        <x:v>0.1</x:v>
      </x:c>
      <x:c r="N2635" s="24" t="n">
        <x:v>10.688042367058742</x:v>
      </x:c>
      <x:c r="O2635" s="28" t="n">
        <x:f>MIN(1,L2635/I2635)</x:f>
        <x:v>0.348</x:v>
      </x:c>
      <x:c r="P2635" s="30" t="n">
        <x:f>O2635*J2635*(1+M2635)</x:f>
        <x:v>1.1484</x:v>
      </x:c>
      <x:c r="Q2635" s="30" t="n">
        <x:f>P2635*N2635</x:f>
        <x:v>12.274147854330261</x:v>
      </x:c>
      <x:c r="R2635" s="19" t="str">
        <x:v>独立判定</x:v>
      </x:c>
    </x:row>
    <x:row r="2636" ht="19" customHeight="1">
      <x:c r="A2636" s="19" t="str">
        <x:v>D02632</x:v>
      </x:c>
      <x:c r="B2636" s="19" t="n">
        <x:v>5</x:v>
      </x:c>
      <x:c r="C2636" s="19" t="n">
        <x:v>5</x:v>
      </x:c>
      <x:c r="D2636" s="19" t="str">
        <x:v>C05-M058</x:v>
      </x:c>
      <x:c r="E2636" s="19" t="str">
        <x:v>琉潮白鳍巫</x:v>
      </x:c>
      <x:c r="F2636" s="19" t="str">
        <x:v>稀有</x:v>
      </x:c>
      <x:c r="G2636" s="19" t="str">
        <x:v>材料独立候选</x:v>
      </x:c>
      <x:c r="H2636" s="19" t="str">
        <x:v>技能残页</x:v>
      </x:c>
      <x:c r="I2636" s="22" t="n">
        <x:v>2000</x:v>
      </x:c>
      <x:c r="J2636" s="22" t="n">
        <x:v>1</x:v>
      </x:c>
      <x:c r="K2636" s="19" t="n">
        <x:v>1</x:v>
      </x:c>
      <x:c r="L2636" s="24" t="n">
        <x:v>27.839999999999996</x:v>
      </x:c>
      <x:c r="M2636" s="26" t="n">
        <x:v>0.1</x:v>
      </x:c>
      <x:c r="N2636" s="24" t="n">
        <x:v>10.688042367058742</x:v>
      </x:c>
      <x:c r="O2636" s="28" t="n">
        <x:f>MIN(1,L2636/I2636)</x:f>
        <x:v>0.013919999999999998</x:v>
      </x:c>
      <x:c r="P2636" s="30" t="n">
        <x:f>O2636*J2636*(1+M2636)</x:f>
        <x:v>0.015312</x:v>
      </x:c>
      <x:c r="Q2636" s="30" t="n">
        <x:f>P2636*N2636</x:f>
        <x:v>0.16365530472440346</x:v>
      </x:c>
      <x:c r="R2636" s="19" t="str">
        <x:v>独立判定</x:v>
      </x:c>
    </x:row>
    <x:row r="2637" ht="19" customHeight="1">
      <x:c r="A2637" s="19" t="str">
        <x:v>D02633</x:v>
      </x:c>
      <x:c r="B2637" s="19" t="n">
        <x:v>5</x:v>
      </x:c>
      <x:c r="C2637" s="19" t="n">
        <x:v>5</x:v>
      </x:c>
      <x:c r="D2637" s="19" t="str">
        <x:v>C05-M058</x:v>
      </x:c>
      <x:c r="E2637" s="19" t="str">
        <x:v>琉潮白鳍巫</x:v>
      </x:c>
      <x:c r="F2637" s="19" t="str">
        <x:v>稀有</x:v>
      </x:c>
      <x:c r="G2637" s="19" t="str">
        <x:v>材料独立候选</x:v>
      </x:c>
      <x:c r="H2637" s="19" t="str">
        <x:v>小卢恩</x:v>
      </x:c>
      <x:c r="I2637" s="22" t="n">
        <x:v>5000</x:v>
      </x:c>
      <x:c r="J2637" s="22" t="n">
        <x:v>1</x:v>
      </x:c>
      <x:c r="K2637" s="19" t="n">
        <x:v>1</x:v>
      </x:c>
      <x:c r="L2637" s="24" t="n">
        <x:v>27.839999999999996</x:v>
      </x:c>
      <x:c r="M2637" s="26" t="n">
        <x:v>0.1</x:v>
      </x:c>
      <x:c r="N2637" s="24" t="n">
        <x:v>10.688042367058742</x:v>
      </x:c>
      <x:c r="O2637" s="28" t="n">
        <x:f>MIN(1,L2637/I2637)</x:f>
        <x:v>0.005567999999999999</x:v>
      </x:c>
      <x:c r="P2637" s="30" t="n">
        <x:f>O2637*J2637*(1+M2637)</x:f>
        <x:v>0.0061248</x:v>
      </x:c>
      <x:c r="Q2637" s="30" t="n">
        <x:f>P2637*N2637</x:f>
        <x:v>0.06546212188976137</x:v>
      </x:c>
      <x:c r="R2637" s="19" t="str">
        <x:v>独立判定</x:v>
      </x:c>
    </x:row>
    <x:row r="2638" ht="19" customHeight="1">
      <x:c r="A2638" s="19" t="str">
        <x:v>D02634</x:v>
      </x:c>
      <x:c r="B2638" s="19" t="n">
        <x:v>5</x:v>
      </x:c>
      <x:c r="C2638" s="19" t="n">
        <x:v>5</x:v>
      </x:c>
      <x:c r="D2638" s="19" t="str">
        <x:v>C05-M058</x:v>
      </x:c>
      <x:c r="E2638" s="19" t="str">
        <x:v>琉潮白鳍巫</x:v>
      </x:c>
      <x:c r="F2638" s="19" t="str">
        <x:v>稀有</x:v>
      </x:c>
      <x:c r="G2638" s="19" t="str">
        <x:v>六神器公共池</x:v>
      </x:c>
      <x:c r="H2638" s="19" t="str">
        <x:v>POOL006</x:v>
      </x:c>
      <x:c r="I2638" s="22" t="n">
        <x:v>5000000</x:v>
      </x:c>
      <x:c r="J2638" s="22" t="n">
        <x:v>1</x:v>
      </x:c>
      <x:c r="K2638" s="19" t="n">
        <x:v>6</x:v>
      </x:c>
      <x:c r="L2638" s="24" t="n">
        <x:v>27.839999999999996</x:v>
      </x:c>
      <x:c r="M2638" s="26" t="n">
        <x:v>0.1</x:v>
      </x:c>
      <x:c r="N2638" s="24" t="n">
        <x:v>10.688042367058742</x:v>
      </x:c>
      <x:c r="O2638" s="28" t="n">
        <x:f>MIN(1,L2638/I2638)</x:f>
        <x:v>0.000005567999999999999</x:v>
      </x:c>
      <x:c r="P2638" s="30" t="n">
        <x:f>O2638*J2638*(1+M2638)</x:f>
        <x:v>0.000006124799999999999</x:v>
      </x:c>
      <x:c r="Q2638" s="30" t="n">
        <x:f>P2638*N2638</x:f>
        <x:v>0.00006546212188976138</x:v>
      </x:c>
      <x:c r="R2638" s="19" t="str">
        <x:v>六选一；非6个独立爆率</x:v>
      </x:c>
    </x:row>
    <x:row r="2639" ht="19" customHeight="1">
      <x:c r="A2639" s="19" t="str">
        <x:v>D02635</x:v>
      </x:c>
      <x:c r="B2639" s="19" t="n">
        <x:v>5</x:v>
      </x:c>
      <x:c r="C2639" s="19" t="n">
        <x:v>5</x:v>
      </x:c>
      <x:c r="D2639" s="19" t="str">
        <x:v>C05-M059</x:v>
      </x:c>
      <x:c r="E2639" s="19" t="str">
        <x:v>月华内殿掌灯君</x:v>
      </x:c>
      <x:c r="F2639" s="19" t="str">
        <x:v>地图BOSS</x:v>
      </x:c>
      <x:c r="G2639" s="19" t="str">
        <x:v>自身专属</x:v>
      </x:c>
      <x:c r="H2639" s="19" t="str">
        <x:v>掌灯君月华衣</x:v>
      </x:c>
      <x:c r="I2639" s="22" t="n">
        <x:v>80</x:v>
      </x:c>
      <x:c r="J2639" s="22" t="n">
        <x:v>1</x:v>
      </x:c>
      <x:c r="K2639" s="19" t="n">
        <x:v>1</x:v>
      </x:c>
      <x:c r="L2639" s="24" t="n">
        <x:v>27.839999999999996</x:v>
      </x:c>
      <x:c r="M2639" s="26" t="n">
        <x:v>0.1</x:v>
      </x:c>
      <x:c r="N2639" s="24" t="n">
        <x:v>2</x:v>
      </x:c>
      <x:c r="O2639" s="28" t="n">
        <x:f>MIN(1,L2639/I2639)</x:f>
        <x:v>0.348</x:v>
      </x:c>
      <x:c r="P2639" s="30" t="n">
        <x:f>O2639*J2639*(1+M2639)</x:f>
        <x:v>0.38280000000000003</x:v>
      </x:c>
      <x:c r="Q2639" s="30" t="n">
        <x:f>P2639*N2639</x:f>
        <x:v>0.7656000000000001</x:v>
      </x:c>
      <x:c r="R2639" s="19" t="str">
        <x:v>独立判定</x:v>
      </x:c>
    </x:row>
    <x:row r="2640" ht="19" customHeight="1">
      <x:c r="A2640" s="19" t="str">
        <x:v>D02636</x:v>
      </x:c>
      <x:c r="B2640" s="19" t="n">
        <x:v>5</x:v>
      </x:c>
      <x:c r="C2640" s="19" t="n">
        <x:v>5</x:v>
      </x:c>
      <x:c r="D2640" s="19" t="str">
        <x:v>C05-M059</x:v>
      </x:c>
      <x:c r="E2640" s="19" t="str">
        <x:v>月华内殿掌灯君</x:v>
      </x:c>
      <x:c r="F2640" s="19" t="str">
        <x:v>地图BOSS</x:v>
      </x:c>
      <x:c r="G2640" s="19" t="str">
        <x:v>本图普通兼掉候选</x:v>
      </x:c>
      <x:c r="H2640" s="19" t="str">
        <x:v>POOL044</x:v>
      </x:c>
      <x:c r="I2640" s="22" t="n">
        <x:v>80</x:v>
      </x:c>
      <x:c r="J2640" s="22" t="n">
        <x:v>1</x:v>
      </x:c>
      <x:c r="K2640" s="19" t="n">
        <x:v>2</x:v>
      </x:c>
      <x:c r="L2640" s="24" t="n">
        <x:v>27.839999999999996</x:v>
      </x:c>
      <x:c r="M2640" s="26" t="n">
        <x:v>0.1</x:v>
      </x:c>
      <x:c r="N2640" s="24" t="n">
        <x:v>2</x:v>
      </x:c>
      <x:c r="O2640" s="28" t="n">
        <x:f>MIN(1,L2640/I2640)</x:f>
        <x:v>0.348</x:v>
      </x:c>
      <x:c r="P2640" s="30" t="n">
        <x:f>O2640*J2640*(1+M2640)</x:f>
        <x:v>0.38280000000000003</x:v>
      </x:c>
      <x:c r="Q2640" s="30" t="n">
        <x:f>P2640*N2640</x:f>
        <x:v>0.7656000000000001</x:v>
      </x:c>
      <x:c r="R2640" s="19" t="str">
        <x:v>单池选一</x:v>
      </x:c>
    </x:row>
    <x:row r="2641" ht="19" customHeight="1">
      <x:c r="A2641" s="19" t="str">
        <x:v>D02637</x:v>
      </x:c>
      <x:c r="B2641" s="19" t="n">
        <x:v>5</x:v>
      </x:c>
      <x:c r="C2641" s="19" t="n">
        <x:v>5</x:v>
      </x:c>
      <x:c r="D2641" s="19" t="str">
        <x:v>C05-M059</x:v>
      </x:c>
      <x:c r="E2641" s="19" t="str">
        <x:v>月华内殿掌灯君</x:v>
      </x:c>
      <x:c r="F2641" s="19" t="str">
        <x:v>地图BOSS</x:v>
      </x:c>
      <x:c r="G2641" s="19" t="str">
        <x:v>材料独立候选</x:v>
      </x:c>
      <x:c r="H2641" s="19" t="str">
        <x:v>辉石碎晶</x:v>
      </x:c>
      <x:c r="I2641" s="22" t="n">
        <x:v>300</x:v>
      </x:c>
      <x:c r="J2641" s="22" t="n">
        <x:v>30</x:v>
      </x:c>
      <x:c r="K2641" s="19" t="n">
        <x:v>1</x:v>
      </x:c>
      <x:c r="L2641" s="24" t="n">
        <x:v>27.839999999999996</x:v>
      </x:c>
      <x:c r="M2641" s="26" t="n">
        <x:v>0.1</x:v>
      </x:c>
      <x:c r="N2641" s="24" t="n">
        <x:v>2</x:v>
      </x:c>
      <x:c r="O2641" s="28" t="n">
        <x:f>MIN(1,L2641/I2641)</x:f>
        <x:v>0.0928</x:v>
      </x:c>
      <x:c r="P2641" s="30" t="n">
        <x:f>O2641*J2641*(1+M2641)</x:f>
        <x:v>3.0624000000000002</x:v>
      </x:c>
      <x:c r="Q2641" s="30" t="n">
        <x:f>P2641*N2641</x:f>
        <x:v>6.1248000000000005</x:v>
      </x:c>
      <x:c r="R2641" s="19" t="str">
        <x:v>独立判定</x:v>
      </x:c>
    </x:row>
    <x:row r="2642" ht="19" customHeight="1">
      <x:c r="A2642" s="19" t="str">
        <x:v>D02638</x:v>
      </x:c>
      <x:c r="B2642" s="19" t="n">
        <x:v>5</x:v>
      </x:c>
      <x:c r="C2642" s="19" t="n">
        <x:v>5</x:v>
      </x:c>
      <x:c r="D2642" s="19" t="str">
        <x:v>C05-M059</x:v>
      </x:c>
      <x:c r="E2642" s="19" t="str">
        <x:v>月华内殿掌灯君</x:v>
      </x:c>
      <x:c r="F2642" s="19" t="str">
        <x:v>地图BOSS</x:v>
      </x:c>
      <x:c r="G2642" s="19" t="str">
        <x:v>材料独立候选</x:v>
      </x:c>
      <x:c r="H2642" s="19" t="str">
        <x:v>卡利亚月露</x:v>
      </x:c>
      <x:c r="I2642" s="22" t="n">
        <x:v>500</x:v>
      </x:c>
      <x:c r="J2642" s="22" t="n">
        <x:v>1</x:v>
      </x:c>
      <x:c r="K2642" s="19" t="n">
        <x:v>1</x:v>
      </x:c>
      <x:c r="L2642" s="24" t="n">
        <x:v>27.839999999999996</x:v>
      </x:c>
      <x:c r="M2642" s="26" t="n">
        <x:v>0.1</x:v>
      </x:c>
      <x:c r="N2642" s="24" t="n">
        <x:v>2</x:v>
      </x:c>
      <x:c r="O2642" s="28" t="n">
        <x:f>MIN(1,L2642/I2642)</x:f>
        <x:v>0.05567999999999999</x:v>
      </x:c>
      <x:c r="P2642" s="30" t="n">
        <x:f>O2642*J2642*(1+M2642)</x:f>
        <x:v>0.061248</x:v>
      </x:c>
      <x:c r="Q2642" s="30" t="n">
        <x:f>P2642*N2642</x:f>
        <x:v>0.122496</x:v>
      </x:c>
      <x:c r="R2642" s="19" t="str">
        <x:v>独立判定</x:v>
      </x:c>
    </x:row>
    <x:row r="2643" ht="19" customHeight="1">
      <x:c r="A2643" s="19" t="str">
        <x:v>D02639</x:v>
      </x:c>
      <x:c r="B2643" s="19" t="n">
        <x:v>5</x:v>
      </x:c>
      <x:c r="C2643" s="19" t="n">
        <x:v>5</x:v>
      </x:c>
      <x:c r="D2643" s="19" t="str">
        <x:v>C05-M059</x:v>
      </x:c>
      <x:c r="E2643" s="19" t="str">
        <x:v>月华内殿掌灯君</x:v>
      </x:c>
      <x:c r="F2643" s="19" t="str">
        <x:v>地图BOSS</x:v>
      </x:c>
      <x:c r="G2643" s="19" t="str">
        <x:v>材料独立候选</x:v>
      </x:c>
      <x:c r="H2643" s="19" t="str">
        <x:v>满月王室印</x:v>
      </x:c>
      <x:c r="I2643" s="22" t="n">
        <x:v>150</x:v>
      </x:c>
      <x:c r="J2643" s="22" t="n">
        <x:v>3</x:v>
      </x:c>
      <x:c r="K2643" s="19" t="n">
        <x:v>1</x:v>
      </x:c>
      <x:c r="L2643" s="24" t="n">
        <x:v>27.839999999999996</x:v>
      </x:c>
      <x:c r="M2643" s="26" t="n">
        <x:v>0.1</x:v>
      </x:c>
      <x:c r="N2643" s="24" t="n">
        <x:v>2</x:v>
      </x:c>
      <x:c r="O2643" s="28" t="n">
        <x:f>MIN(1,L2643/I2643)</x:f>
        <x:v>0.1856</x:v>
      </x:c>
      <x:c r="P2643" s="30" t="n">
        <x:f>O2643*J2643*(1+M2643)</x:f>
        <x:v>0.61248</x:v>
      </x:c>
      <x:c r="Q2643" s="30" t="n">
        <x:f>P2643*N2643</x:f>
        <x:v>1.22496</x:v>
      </x:c>
      <x:c r="R2643" s="19" t="str">
        <x:v>独立判定</x:v>
      </x:c>
    </x:row>
    <x:row r="2644" ht="19" customHeight="1">
      <x:c r="A2644" s="19" t="str">
        <x:v>D02640</x:v>
      </x:c>
      <x:c r="B2644" s="19" t="n">
        <x:v>5</x:v>
      </x:c>
      <x:c r="C2644" s="19" t="n">
        <x:v>5</x:v>
      </x:c>
      <x:c r="D2644" s="19" t="str">
        <x:v>C05-M059</x:v>
      </x:c>
      <x:c r="E2644" s="19" t="str">
        <x:v>月华内殿掌灯君</x:v>
      </x:c>
      <x:c r="F2644" s="19" t="str">
        <x:v>地图BOSS</x:v>
      </x:c>
      <x:c r="G2644" s="19" t="str">
        <x:v>材料独立候选</x:v>
      </x:c>
      <x:c r="H2644" s="19" t="str">
        <x:v>月蚀镜片</x:v>
      </x:c>
      <x:c r="I2644" s="22" t="n">
        <x:v>150</x:v>
      </x:c>
      <x:c r="J2644" s="22" t="n">
        <x:v>2</x:v>
      </x:c>
      <x:c r="K2644" s="19" t="n">
        <x:v>1</x:v>
      </x:c>
      <x:c r="L2644" s="24" t="n">
        <x:v>27.839999999999996</x:v>
      </x:c>
      <x:c r="M2644" s="26" t="n">
        <x:v>0.1</x:v>
      </x:c>
      <x:c r="N2644" s="24" t="n">
        <x:v>2</x:v>
      </x:c>
      <x:c r="O2644" s="28" t="n">
        <x:f>MIN(1,L2644/I2644)</x:f>
        <x:v>0.1856</x:v>
      </x:c>
      <x:c r="P2644" s="30" t="n">
        <x:f>O2644*J2644*(1+M2644)</x:f>
        <x:v>0.40832</x:v>
      </x:c>
      <x:c r="Q2644" s="30" t="n">
        <x:f>P2644*N2644</x:f>
        <x:v>0.81664</x:v>
      </x:c>
      <x:c r="R2644" s="19" t="str">
        <x:v>独立判定</x:v>
      </x:c>
    </x:row>
    <x:row r="2645" ht="19" customHeight="1">
      <x:c r="A2645" s="19" t="str">
        <x:v>D02641</x:v>
      </x:c>
      <x:c r="B2645" s="19" t="n">
        <x:v>5</x:v>
      </x:c>
      <x:c r="C2645" s="19" t="n">
        <x:v>5</x:v>
      </x:c>
      <x:c r="D2645" s="19" t="str">
        <x:v>C05-M059</x:v>
      </x:c>
      <x:c r="E2645" s="19" t="str">
        <x:v>月华内殿掌灯君</x:v>
      </x:c>
      <x:c r="F2645" s="19" t="str">
        <x:v>地图BOSS</x:v>
      </x:c>
      <x:c r="G2645" s="19" t="str">
        <x:v>材料独立候选</x:v>
      </x:c>
      <x:c r="H2645" s="19" t="str">
        <x:v>湖心月谱残章</x:v>
      </x:c>
      <x:c r="I2645" s="22" t="n">
        <x:v>400000</x:v>
      </x:c>
      <x:c r="J2645" s="22" t="n">
        <x:v>1</x:v>
      </x:c>
      <x:c r="K2645" s="19" t="n">
        <x:v>1</x:v>
      </x:c>
      <x:c r="L2645" s="24" t="n">
        <x:v>27.839999999999996</x:v>
      </x:c>
      <x:c r="M2645" s="26" t="n">
        <x:v>0.1</x:v>
      </x:c>
      <x:c r="N2645" s="24" t="n">
        <x:v>2</x:v>
      </x:c>
      <x:c r="O2645" s="28" t="n">
        <x:f>MIN(1,L2645/I2645)</x:f>
        <x:v>0.00006959999999999998</x:v>
      </x:c>
      <x:c r="P2645" s="30" t="n">
        <x:f>O2645*J2645*(1+M2645)</x:f>
        <x:v>0.00007655999999999999</x:v>
      </x:c>
      <x:c r="Q2645" s="30" t="n">
        <x:f>P2645*N2645</x:f>
        <x:v>0.00015311999999999997</x:v>
      </x:c>
      <x:c r="R2645" s="19" t="str">
        <x:v>独立判定</x:v>
      </x:c>
    </x:row>
    <x:row r="2646" ht="19" customHeight="1">
      <x:c r="A2646" s="19" t="str">
        <x:v>D02642</x:v>
      </x:c>
      <x:c r="B2646" s="19" t="n">
        <x:v>5</x:v>
      </x:c>
      <x:c r="C2646" s="19" t="n">
        <x:v>5</x:v>
      </x:c>
      <x:c r="D2646" s="19" t="str">
        <x:v>C05-M059</x:v>
      </x:c>
      <x:c r="E2646" s="19" t="str">
        <x:v>月华内殿掌灯君</x:v>
      </x:c>
      <x:c r="F2646" s="19" t="str">
        <x:v>地图BOSS</x:v>
      </x:c>
      <x:c r="G2646" s="19" t="str">
        <x:v>材料独立候选</x:v>
      </x:c>
      <x:c r="H2646" s="19" t="str">
        <x:v>黄金树芽</x:v>
      </x:c>
      <x:c r="I2646" s="22" t="n">
        <x:v>2000</x:v>
      </x:c>
      <x:c r="J2646" s="22" t="n">
        <x:v>1</x:v>
      </x:c>
      <x:c r="K2646" s="19" t="n">
        <x:v>1</x:v>
      </x:c>
      <x:c r="L2646" s="24" t="n">
        <x:v>27.839999999999996</x:v>
      </x:c>
      <x:c r="M2646" s="26" t="n">
        <x:v>0.1</x:v>
      </x:c>
      <x:c r="N2646" s="24" t="n">
        <x:v>2</x:v>
      </x:c>
      <x:c r="O2646" s="28" t="n">
        <x:f>MIN(1,L2646/I2646)</x:f>
        <x:v>0.013919999999999998</x:v>
      </x:c>
      <x:c r="P2646" s="30" t="n">
        <x:f>O2646*J2646*(1+M2646)</x:f>
        <x:v>0.015312</x:v>
      </x:c>
      <x:c r="Q2646" s="30" t="n">
        <x:f>P2646*N2646</x:f>
        <x:v>0.030624</x:v>
      </x:c>
      <x:c r="R2646" s="19" t="str">
        <x:v>独立判定</x:v>
      </x:c>
    </x:row>
    <x:row r="2647" ht="19" customHeight="1">
      <x:c r="A2647" s="19" t="str">
        <x:v>D02643</x:v>
      </x:c>
      <x:c r="B2647" s="19" t="n">
        <x:v>5</x:v>
      </x:c>
      <x:c r="C2647" s="19" t="n">
        <x:v>5</x:v>
      </x:c>
      <x:c r="D2647" s="19" t="str">
        <x:v>C05-M059</x:v>
      </x:c>
      <x:c r="E2647" s="19" t="str">
        <x:v>月华内殿掌灯君</x:v>
      </x:c>
      <x:c r="F2647" s="19" t="str">
        <x:v>地图BOSS</x:v>
      </x:c>
      <x:c r="G2647" s="19" t="str">
        <x:v>材料独立候选</x:v>
      </x:c>
      <x:c r="H2647" s="19" t="str">
        <x:v>野兽骨片</x:v>
      </x:c>
      <x:c r="I2647" s="22" t="n">
        <x:v>50</x:v>
      </x:c>
      <x:c r="J2647" s="22" t="n">
        <x:v>3</x:v>
      </x:c>
      <x:c r="K2647" s="19" t="n">
        <x:v>1</x:v>
      </x:c>
      <x:c r="L2647" s="24" t="n">
        <x:v>27.839999999999996</x:v>
      </x:c>
      <x:c r="M2647" s="26" t="n">
        <x:v>0.1</x:v>
      </x:c>
      <x:c r="N2647" s="24" t="n">
        <x:v>2</x:v>
      </x:c>
      <x:c r="O2647" s="28" t="n">
        <x:f>MIN(1,L2647/I2647)</x:f>
        <x:v>0.5568</x:v>
      </x:c>
      <x:c r="P2647" s="30" t="n">
        <x:f>O2647*J2647*(1+M2647)</x:f>
        <x:v>1.83744</x:v>
      </x:c>
      <x:c r="Q2647" s="30" t="n">
        <x:f>P2647*N2647</x:f>
        <x:v>3.67488</x:v>
      </x:c>
      <x:c r="R2647" s="19" t="str">
        <x:v>独立判定</x:v>
      </x:c>
    </x:row>
    <x:row r="2648" ht="19" customHeight="1">
      <x:c r="A2648" s="19" t="str">
        <x:v>D02644</x:v>
      </x:c>
      <x:c r="B2648" s="19" t="n">
        <x:v>5</x:v>
      </x:c>
      <x:c r="C2648" s="19" t="n">
        <x:v>5</x:v>
      </x:c>
      <x:c r="D2648" s="19" t="str">
        <x:v>C05-M059</x:v>
      </x:c>
      <x:c r="E2648" s="19" t="str">
        <x:v>月华内殿掌灯君</x:v>
      </x:c>
      <x:c r="F2648" s="19" t="str">
        <x:v>地图BOSS</x:v>
      </x:c>
      <x:c r="G2648" s="19" t="str">
        <x:v>材料独立候选</x:v>
      </x:c>
      <x:c r="H2648" s="19" t="str">
        <x:v>技能残页</x:v>
      </x:c>
      <x:c r="I2648" s="22" t="n">
        <x:v>1200</x:v>
      </x:c>
      <x:c r="J2648" s="22" t="n">
        <x:v>1</x:v>
      </x:c>
      <x:c r="K2648" s="19" t="n">
        <x:v>1</x:v>
      </x:c>
      <x:c r="L2648" s="24" t="n">
        <x:v>27.839999999999996</x:v>
      </x:c>
      <x:c r="M2648" s="26" t="n">
        <x:v>0.1</x:v>
      </x:c>
      <x:c r="N2648" s="24" t="n">
        <x:v>2</x:v>
      </x:c>
      <x:c r="O2648" s="28" t="n">
        <x:f>MIN(1,L2648/I2648)</x:f>
        <x:v>0.0232</x:v>
      </x:c>
      <x:c r="P2648" s="30" t="n">
        <x:f>O2648*J2648*(1+M2648)</x:f>
        <x:v>0.02552</x:v>
      </x:c>
      <x:c r="Q2648" s="30" t="n">
        <x:f>P2648*N2648</x:f>
        <x:v>0.05104</x:v>
      </x:c>
      <x:c r="R2648" s="19" t="str">
        <x:v>独立判定</x:v>
      </x:c>
    </x:row>
    <x:row r="2649" ht="19" customHeight="1">
      <x:c r="A2649" s="19" t="str">
        <x:v>D02645</x:v>
      </x:c>
      <x:c r="B2649" s="19" t="n">
        <x:v>5</x:v>
      </x:c>
      <x:c r="C2649" s="19" t="n">
        <x:v>5</x:v>
      </x:c>
      <x:c r="D2649" s="19" t="str">
        <x:v>C05-M059</x:v>
      </x:c>
      <x:c r="E2649" s="19" t="str">
        <x:v>月华内殿掌灯君</x:v>
      </x:c>
      <x:c r="F2649" s="19" t="str">
        <x:v>地图BOSS</x:v>
      </x:c>
      <x:c r="G2649" s="19" t="str">
        <x:v>材料独立候选</x:v>
      </x:c>
      <x:c r="H2649" s="19" t="str">
        <x:v>宁姆格福誓页</x:v>
      </x:c>
      <x:c r="I2649" s="22" t="n">
        <x:v>400</x:v>
      </x:c>
      <x:c r="J2649" s="22" t="n">
        <x:v>1</x:v>
      </x:c>
      <x:c r="K2649" s="19" t="n">
        <x:v>1</x:v>
      </x:c>
      <x:c r="L2649" s="24" t="n">
        <x:v>27.839999999999996</x:v>
      </x:c>
      <x:c r="M2649" s="26" t="n">
        <x:v>0.1</x:v>
      </x:c>
      <x:c r="N2649" s="24" t="n">
        <x:v>2</x:v>
      </x:c>
      <x:c r="O2649" s="28" t="n">
        <x:f>MIN(1,L2649/I2649)</x:f>
        <x:v>0.0696</x:v>
      </x:c>
      <x:c r="P2649" s="30" t="n">
        <x:f>O2649*J2649*(1+M2649)</x:f>
        <x:v>0.07656</x:v>
      </x:c>
      <x:c r="Q2649" s="30" t="n">
        <x:f>P2649*N2649</x:f>
        <x:v>0.15312</x:v>
      </x:c>
      <x:c r="R2649" s="19" t="str">
        <x:v>独立判定</x:v>
      </x:c>
    </x:row>
    <x:row r="2650" ht="19" customHeight="1">
      <x:c r="A2650" s="19" t="str">
        <x:v>D02646</x:v>
      </x:c>
      <x:c r="B2650" s="19" t="n">
        <x:v>5</x:v>
      </x:c>
      <x:c r="C2650" s="19" t="n">
        <x:v>5</x:v>
      </x:c>
      <x:c r="D2650" s="19" t="str">
        <x:v>C05-M059</x:v>
      </x:c>
      <x:c r="E2650" s="19" t="str">
        <x:v>月华内殿掌灯君</x:v>
      </x:c>
      <x:c r="F2650" s="19" t="str">
        <x:v>地图BOSS</x:v>
      </x:c>
      <x:c r="G2650" s="19" t="str">
        <x:v>材料独立候选</x:v>
      </x:c>
      <x:c r="H2650" s="19" t="str">
        <x:v>小卢恩</x:v>
      </x:c>
      <x:c r="I2650" s="22" t="n">
        <x:v>2500</x:v>
      </x:c>
      <x:c r="J2650" s="22" t="n">
        <x:v>1</x:v>
      </x:c>
      <x:c r="K2650" s="19" t="n">
        <x:v>1</x:v>
      </x:c>
      <x:c r="L2650" s="24" t="n">
        <x:v>27.839999999999996</x:v>
      </x:c>
      <x:c r="M2650" s="26" t="n">
        <x:v>0.1</x:v>
      </x:c>
      <x:c r="N2650" s="24" t="n">
        <x:v>2</x:v>
      </x:c>
      <x:c r="O2650" s="28" t="n">
        <x:f>MIN(1,L2650/I2650)</x:f>
        <x:v>0.011135999999999998</x:v>
      </x:c>
      <x:c r="P2650" s="30" t="n">
        <x:f>O2650*J2650*(1+M2650)</x:f>
        <x:v>0.0122496</x:v>
      </x:c>
      <x:c r="Q2650" s="30" t="n">
        <x:f>P2650*N2650</x:f>
        <x:v>0.0244992</x:v>
      </x:c>
      <x:c r="R2650" s="19" t="str">
        <x:v>独立判定</x:v>
      </x:c>
    </x:row>
    <x:row r="2651" ht="19" customHeight="1">
      <x:c r="A2651" s="19" t="str">
        <x:v>D02647</x:v>
      </x:c>
      <x:c r="B2651" s="19" t="n">
        <x:v>5</x:v>
      </x:c>
      <x:c r="C2651" s="19" t="n">
        <x:v>5</x:v>
      </x:c>
      <x:c r="D2651" s="19" t="str">
        <x:v>C05-M059</x:v>
      </x:c>
      <x:c r="E2651" s="19" t="str">
        <x:v>月华内殿掌灯君</x:v>
      </x:c>
      <x:c r="F2651" s="19" t="str">
        <x:v>地图BOSS</x:v>
      </x:c>
      <x:c r="G2651" s="19" t="str">
        <x:v>材料独立候选</x:v>
      </x:c>
      <x:c r="H2651" s="19" t="str">
        <x:v>大卢恩</x:v>
      </x:c>
      <x:c r="I2651" s="22" t="n">
        <x:v>250</x:v>
      </x:c>
      <x:c r="J2651" s="22" t="n">
        <x:v>1</x:v>
      </x:c>
      <x:c r="K2651" s="19" t="n">
        <x:v>1</x:v>
      </x:c>
      <x:c r="L2651" s="24" t="n">
        <x:v>27.839999999999996</x:v>
      </x:c>
      <x:c r="M2651" s="26" t="n">
        <x:v>0.1</x:v>
      </x:c>
      <x:c r="N2651" s="24" t="n">
        <x:v>2</x:v>
      </x:c>
      <x:c r="O2651" s="28" t="n">
        <x:f>MIN(1,L2651/I2651)</x:f>
        <x:v>0.11135999999999999</x:v>
      </x:c>
      <x:c r="P2651" s="30" t="n">
        <x:f>O2651*J2651*(1+M2651)</x:f>
        <x:v>0.122496</x:v>
      </x:c>
      <x:c r="Q2651" s="30" t="n">
        <x:f>P2651*N2651</x:f>
        <x:v>0.244992</x:v>
      </x:c>
      <x:c r="R2651" s="19" t="str">
        <x:v>独立判定</x:v>
      </x:c>
    </x:row>
    <x:row r="2652" ht="19" customHeight="1">
      <x:c r="A2652" s="19" t="str">
        <x:v>D02648</x:v>
      </x:c>
      <x:c r="B2652" s="19" t="n">
        <x:v>5</x:v>
      </x:c>
      <x:c r="C2652" s="19" t="n">
        <x:v>5</x:v>
      </x:c>
      <x:c r="D2652" s="19" t="str">
        <x:v>C05-M059</x:v>
      </x:c>
      <x:c r="E2652" s="19" t="str">
        <x:v>月华内殿掌灯君</x:v>
      </x:c>
      <x:c r="F2652" s="19" t="str">
        <x:v>地图BOSS</x:v>
      </x:c>
      <x:c r="G2652" s="19" t="str">
        <x:v>六神器公共池</x:v>
      </x:c>
      <x:c r="H2652" s="19" t="str">
        <x:v>POOL006</x:v>
      </x:c>
      <x:c r="I2652" s="22" t="n">
        <x:v>200000</x:v>
      </x:c>
      <x:c r="J2652" s="22" t="n">
        <x:v>1</x:v>
      </x:c>
      <x:c r="K2652" s="19" t="n">
        <x:v>6</x:v>
      </x:c>
      <x:c r="L2652" s="24" t="n">
        <x:v>27.839999999999996</x:v>
      </x:c>
      <x:c r="M2652" s="26" t="n">
        <x:v>0.1</x:v>
      </x:c>
      <x:c r="N2652" s="24" t="n">
        <x:v>2</x:v>
      </x:c>
      <x:c r="O2652" s="28" t="n">
        <x:f>MIN(1,L2652/I2652)</x:f>
        <x:v>0.00013919999999999997</x:v>
      </x:c>
      <x:c r="P2652" s="30" t="n">
        <x:f>O2652*J2652*(1+M2652)</x:f>
        <x:v>0.00015311999999999997</x:v>
      </x:c>
      <x:c r="Q2652" s="30" t="n">
        <x:f>P2652*N2652</x:f>
        <x:v>0.00030623999999999994</x:v>
      </x:c>
      <x:c r="R2652" s="19" t="str">
        <x:v>六选一；非6个独立爆率</x:v>
      </x:c>
    </x:row>
    <x:row r="2653" ht="19" customHeight="1">
      <x:c r="A2653" s="19" t="str">
        <x:v>D02649</x:v>
      </x:c>
      <x:c r="B2653" s="19" t="n">
        <x:v>5</x:v>
      </x:c>
      <x:c r="C2653" s="19" t="n">
        <x:v>5</x:v>
      </x:c>
      <x:c r="D2653" s="19" t="str">
        <x:v>C05-M060</x:v>
      </x:c>
      <x:c r="E2653" s="19" t="str">
        <x:v>影宫深潮王女</x:v>
      </x:c>
      <x:c r="F2653" s="19" t="str">
        <x:v>地图BOSS</x:v>
      </x:c>
      <x:c r="G2653" s="19" t="str">
        <x:v>自身专属</x:v>
      </x:c>
      <x:c r="H2653" s="19" t="str">
        <x:v>深潮王女权杖</x:v>
      </x:c>
      <x:c r="I2653" s="22" t="n">
        <x:v>80</x:v>
      </x:c>
      <x:c r="J2653" s="22" t="n">
        <x:v>1</x:v>
      </x:c>
      <x:c r="K2653" s="19" t="n">
        <x:v>1</x:v>
      </x:c>
      <x:c r="L2653" s="24" t="n">
        <x:v>27.839999999999996</x:v>
      </x:c>
      <x:c r="M2653" s="26" t="n">
        <x:v>0.1</x:v>
      </x:c>
      <x:c r="N2653" s="24" t="n">
        <x:v>2</x:v>
      </x:c>
      <x:c r="O2653" s="28" t="n">
        <x:f>MIN(1,L2653/I2653)</x:f>
        <x:v>0.348</x:v>
      </x:c>
      <x:c r="P2653" s="30" t="n">
        <x:f>O2653*J2653*(1+M2653)</x:f>
        <x:v>0.38280000000000003</x:v>
      </x:c>
      <x:c r="Q2653" s="30" t="n">
        <x:f>P2653*N2653</x:f>
        <x:v>0.7656000000000001</x:v>
      </x:c>
      <x:c r="R2653" s="19" t="str">
        <x:v>独立判定</x:v>
      </x:c>
    </x:row>
    <x:row r="2654" ht="19" customHeight="1">
      <x:c r="A2654" s="19" t="str">
        <x:v>D02650</x:v>
      </x:c>
      <x:c r="B2654" s="19" t="n">
        <x:v>5</x:v>
      </x:c>
      <x:c r="C2654" s="19" t="n">
        <x:v>5</x:v>
      </x:c>
      <x:c r="D2654" s="19" t="str">
        <x:v>C05-M060</x:v>
      </x:c>
      <x:c r="E2654" s="19" t="str">
        <x:v>影宫深潮王女</x:v>
      </x:c>
      <x:c r="F2654" s="19" t="str">
        <x:v>地图BOSS</x:v>
      </x:c>
      <x:c r="G2654" s="19" t="str">
        <x:v>本图普通兼掉候选</x:v>
      </x:c>
      <x:c r="H2654" s="19" t="str">
        <x:v>POOL045</x:v>
      </x:c>
      <x:c r="I2654" s="22" t="n">
        <x:v>80</x:v>
      </x:c>
      <x:c r="J2654" s="22" t="n">
        <x:v>1</x:v>
      </x:c>
      <x:c r="K2654" s="19" t="n">
        <x:v>2</x:v>
      </x:c>
      <x:c r="L2654" s="24" t="n">
        <x:v>27.839999999999996</x:v>
      </x:c>
      <x:c r="M2654" s="26" t="n">
        <x:v>0.1</x:v>
      </x:c>
      <x:c r="N2654" s="24" t="n">
        <x:v>2</x:v>
      </x:c>
      <x:c r="O2654" s="28" t="n">
        <x:f>MIN(1,L2654/I2654)</x:f>
        <x:v>0.348</x:v>
      </x:c>
      <x:c r="P2654" s="30" t="n">
        <x:f>O2654*J2654*(1+M2654)</x:f>
        <x:v>0.38280000000000003</x:v>
      </x:c>
      <x:c r="Q2654" s="30" t="n">
        <x:f>P2654*N2654</x:f>
        <x:v>0.7656000000000001</x:v>
      </x:c>
      <x:c r="R2654" s="19" t="str">
        <x:v>单池选一</x:v>
      </x:c>
    </x:row>
    <x:row r="2655" ht="19" customHeight="1">
      <x:c r="A2655" s="19" t="str">
        <x:v>D02651</x:v>
      </x:c>
      <x:c r="B2655" s="19" t="n">
        <x:v>5</x:v>
      </x:c>
      <x:c r="C2655" s="19" t="n">
        <x:v>5</x:v>
      </x:c>
      <x:c r="D2655" s="19" t="str">
        <x:v>C05-M060</x:v>
      </x:c>
      <x:c r="E2655" s="19" t="str">
        <x:v>影宫深潮王女</x:v>
      </x:c>
      <x:c r="F2655" s="19" t="str">
        <x:v>地图BOSS</x:v>
      </x:c>
      <x:c r="G2655" s="19" t="str">
        <x:v>材料独立候选</x:v>
      </x:c>
      <x:c r="H2655" s="19" t="str">
        <x:v>辉石碎晶</x:v>
      </x:c>
      <x:c r="I2655" s="22" t="n">
        <x:v>300</x:v>
      </x:c>
      <x:c r="J2655" s="22" t="n">
        <x:v>30</x:v>
      </x:c>
      <x:c r="K2655" s="19" t="n">
        <x:v>1</x:v>
      </x:c>
      <x:c r="L2655" s="24" t="n">
        <x:v>27.839999999999996</x:v>
      </x:c>
      <x:c r="M2655" s="26" t="n">
        <x:v>0.1</x:v>
      </x:c>
      <x:c r="N2655" s="24" t="n">
        <x:v>2</x:v>
      </x:c>
      <x:c r="O2655" s="28" t="n">
        <x:f>MIN(1,L2655/I2655)</x:f>
        <x:v>0.0928</x:v>
      </x:c>
      <x:c r="P2655" s="30" t="n">
        <x:f>O2655*J2655*(1+M2655)</x:f>
        <x:v>3.0624000000000002</x:v>
      </x:c>
      <x:c r="Q2655" s="30" t="n">
        <x:f>P2655*N2655</x:f>
        <x:v>6.1248000000000005</x:v>
      </x:c>
      <x:c r="R2655" s="19" t="str">
        <x:v>独立判定</x:v>
      </x:c>
    </x:row>
    <x:row r="2656" ht="19" customHeight="1">
      <x:c r="A2656" s="19" t="str">
        <x:v>D02652</x:v>
      </x:c>
      <x:c r="B2656" s="19" t="n">
        <x:v>5</x:v>
      </x:c>
      <x:c r="C2656" s="19" t="n">
        <x:v>5</x:v>
      </x:c>
      <x:c r="D2656" s="19" t="str">
        <x:v>C05-M060</x:v>
      </x:c>
      <x:c r="E2656" s="19" t="str">
        <x:v>影宫深潮王女</x:v>
      </x:c>
      <x:c r="F2656" s="19" t="str">
        <x:v>地图BOSS</x:v>
      </x:c>
      <x:c r="G2656" s="19" t="str">
        <x:v>材料独立候选</x:v>
      </x:c>
      <x:c r="H2656" s="19" t="str">
        <x:v>卡利亚月露</x:v>
      </x:c>
      <x:c r="I2656" s="22" t="n">
        <x:v>500</x:v>
      </x:c>
      <x:c r="J2656" s="22" t="n">
        <x:v>1</x:v>
      </x:c>
      <x:c r="K2656" s="19" t="n">
        <x:v>1</x:v>
      </x:c>
      <x:c r="L2656" s="24" t="n">
        <x:v>27.839999999999996</x:v>
      </x:c>
      <x:c r="M2656" s="26" t="n">
        <x:v>0.1</x:v>
      </x:c>
      <x:c r="N2656" s="24" t="n">
        <x:v>2</x:v>
      </x:c>
      <x:c r="O2656" s="28" t="n">
        <x:f>MIN(1,L2656/I2656)</x:f>
        <x:v>0.05567999999999999</x:v>
      </x:c>
      <x:c r="P2656" s="30" t="n">
        <x:f>O2656*J2656*(1+M2656)</x:f>
        <x:v>0.061248</x:v>
      </x:c>
      <x:c r="Q2656" s="30" t="n">
        <x:f>P2656*N2656</x:f>
        <x:v>0.122496</x:v>
      </x:c>
      <x:c r="R2656" s="19" t="str">
        <x:v>独立判定</x:v>
      </x:c>
    </x:row>
    <x:row r="2657" ht="19" customHeight="1">
      <x:c r="A2657" s="19" t="str">
        <x:v>D02653</x:v>
      </x:c>
      <x:c r="B2657" s="19" t="n">
        <x:v>5</x:v>
      </x:c>
      <x:c r="C2657" s="19" t="n">
        <x:v>5</x:v>
      </x:c>
      <x:c r="D2657" s="19" t="str">
        <x:v>C05-M060</x:v>
      </x:c>
      <x:c r="E2657" s="19" t="str">
        <x:v>影宫深潮王女</x:v>
      </x:c>
      <x:c r="F2657" s="19" t="str">
        <x:v>地图BOSS</x:v>
      </x:c>
      <x:c r="G2657" s="19" t="str">
        <x:v>材料独立候选</x:v>
      </x:c>
      <x:c r="H2657" s="19" t="str">
        <x:v>满月王室印</x:v>
      </x:c>
      <x:c r="I2657" s="22" t="n">
        <x:v>150</x:v>
      </x:c>
      <x:c r="J2657" s="22" t="n">
        <x:v>3</x:v>
      </x:c>
      <x:c r="K2657" s="19" t="n">
        <x:v>1</x:v>
      </x:c>
      <x:c r="L2657" s="24" t="n">
        <x:v>27.839999999999996</x:v>
      </x:c>
      <x:c r="M2657" s="26" t="n">
        <x:v>0.1</x:v>
      </x:c>
      <x:c r="N2657" s="24" t="n">
        <x:v>2</x:v>
      </x:c>
      <x:c r="O2657" s="28" t="n">
        <x:f>MIN(1,L2657/I2657)</x:f>
        <x:v>0.1856</x:v>
      </x:c>
      <x:c r="P2657" s="30" t="n">
        <x:f>O2657*J2657*(1+M2657)</x:f>
        <x:v>0.61248</x:v>
      </x:c>
      <x:c r="Q2657" s="30" t="n">
        <x:f>P2657*N2657</x:f>
        <x:v>1.22496</x:v>
      </x:c>
      <x:c r="R2657" s="19" t="str">
        <x:v>独立判定</x:v>
      </x:c>
    </x:row>
    <x:row r="2658" ht="19" customHeight="1">
      <x:c r="A2658" s="19" t="str">
        <x:v>D02654</x:v>
      </x:c>
      <x:c r="B2658" s="19" t="n">
        <x:v>5</x:v>
      </x:c>
      <x:c r="C2658" s="19" t="n">
        <x:v>5</x:v>
      </x:c>
      <x:c r="D2658" s="19" t="str">
        <x:v>C05-M060</x:v>
      </x:c>
      <x:c r="E2658" s="19" t="str">
        <x:v>影宫深潮王女</x:v>
      </x:c>
      <x:c r="F2658" s="19" t="str">
        <x:v>地图BOSS</x:v>
      </x:c>
      <x:c r="G2658" s="19" t="str">
        <x:v>材料独立候选</x:v>
      </x:c>
      <x:c r="H2658" s="19" t="str">
        <x:v>月蚀镜片</x:v>
      </x:c>
      <x:c r="I2658" s="22" t="n">
        <x:v>150</x:v>
      </x:c>
      <x:c r="J2658" s="22" t="n">
        <x:v>2</x:v>
      </x:c>
      <x:c r="K2658" s="19" t="n">
        <x:v>1</x:v>
      </x:c>
      <x:c r="L2658" s="24" t="n">
        <x:v>27.839999999999996</x:v>
      </x:c>
      <x:c r="M2658" s="26" t="n">
        <x:v>0.1</x:v>
      </x:c>
      <x:c r="N2658" s="24" t="n">
        <x:v>2</x:v>
      </x:c>
      <x:c r="O2658" s="28" t="n">
        <x:f>MIN(1,L2658/I2658)</x:f>
        <x:v>0.1856</x:v>
      </x:c>
      <x:c r="P2658" s="30" t="n">
        <x:f>O2658*J2658*(1+M2658)</x:f>
        <x:v>0.40832</x:v>
      </x:c>
      <x:c r="Q2658" s="30" t="n">
        <x:f>P2658*N2658</x:f>
        <x:v>0.81664</x:v>
      </x:c>
      <x:c r="R2658" s="19" t="str">
        <x:v>独立判定</x:v>
      </x:c>
    </x:row>
    <x:row r="2659" ht="19" customHeight="1">
      <x:c r="A2659" s="19" t="str">
        <x:v>D02655</x:v>
      </x:c>
      <x:c r="B2659" s="19" t="n">
        <x:v>5</x:v>
      </x:c>
      <x:c r="C2659" s="19" t="n">
        <x:v>5</x:v>
      </x:c>
      <x:c r="D2659" s="19" t="str">
        <x:v>C05-M060</x:v>
      </x:c>
      <x:c r="E2659" s="19" t="str">
        <x:v>影宫深潮王女</x:v>
      </x:c>
      <x:c r="F2659" s="19" t="str">
        <x:v>地图BOSS</x:v>
      </x:c>
      <x:c r="G2659" s="19" t="str">
        <x:v>材料独立候选</x:v>
      </x:c>
      <x:c r="H2659" s="19" t="str">
        <x:v>湖心月谱残章</x:v>
      </x:c>
      <x:c r="I2659" s="22" t="n">
        <x:v>400000</x:v>
      </x:c>
      <x:c r="J2659" s="22" t="n">
        <x:v>1</x:v>
      </x:c>
      <x:c r="K2659" s="19" t="n">
        <x:v>1</x:v>
      </x:c>
      <x:c r="L2659" s="24" t="n">
        <x:v>27.839999999999996</x:v>
      </x:c>
      <x:c r="M2659" s="26" t="n">
        <x:v>0.1</x:v>
      </x:c>
      <x:c r="N2659" s="24" t="n">
        <x:v>2</x:v>
      </x:c>
      <x:c r="O2659" s="28" t="n">
        <x:f>MIN(1,L2659/I2659)</x:f>
        <x:v>0.00006959999999999998</x:v>
      </x:c>
      <x:c r="P2659" s="30" t="n">
        <x:f>O2659*J2659*(1+M2659)</x:f>
        <x:v>0.00007655999999999999</x:v>
      </x:c>
      <x:c r="Q2659" s="30" t="n">
        <x:f>P2659*N2659</x:f>
        <x:v>0.00015311999999999997</x:v>
      </x:c>
      <x:c r="R2659" s="19" t="str">
        <x:v>独立判定</x:v>
      </x:c>
    </x:row>
    <x:row r="2660" ht="19" customHeight="1">
      <x:c r="A2660" s="19" t="str">
        <x:v>D02656</x:v>
      </x:c>
      <x:c r="B2660" s="19" t="n">
        <x:v>5</x:v>
      </x:c>
      <x:c r="C2660" s="19" t="n">
        <x:v>5</x:v>
      </x:c>
      <x:c r="D2660" s="19" t="str">
        <x:v>C05-M060</x:v>
      </x:c>
      <x:c r="E2660" s="19" t="str">
        <x:v>影宫深潮王女</x:v>
      </x:c>
      <x:c r="F2660" s="19" t="str">
        <x:v>地图BOSS</x:v>
      </x:c>
      <x:c r="G2660" s="19" t="str">
        <x:v>材料独立候选</x:v>
      </x:c>
      <x:c r="H2660" s="19" t="str">
        <x:v>黄金树芽</x:v>
      </x:c>
      <x:c r="I2660" s="22" t="n">
        <x:v>2000</x:v>
      </x:c>
      <x:c r="J2660" s="22" t="n">
        <x:v>1</x:v>
      </x:c>
      <x:c r="K2660" s="19" t="n">
        <x:v>1</x:v>
      </x:c>
      <x:c r="L2660" s="24" t="n">
        <x:v>27.839999999999996</x:v>
      </x:c>
      <x:c r="M2660" s="26" t="n">
        <x:v>0.1</x:v>
      </x:c>
      <x:c r="N2660" s="24" t="n">
        <x:v>2</x:v>
      </x:c>
      <x:c r="O2660" s="28" t="n">
        <x:f>MIN(1,L2660/I2660)</x:f>
        <x:v>0.013919999999999998</x:v>
      </x:c>
      <x:c r="P2660" s="30" t="n">
        <x:f>O2660*J2660*(1+M2660)</x:f>
        <x:v>0.015312</x:v>
      </x:c>
      <x:c r="Q2660" s="30" t="n">
        <x:f>P2660*N2660</x:f>
        <x:v>0.030624</x:v>
      </x:c>
      <x:c r="R2660" s="19" t="str">
        <x:v>独立判定</x:v>
      </x:c>
    </x:row>
    <x:row r="2661" ht="19" customHeight="1">
      <x:c r="A2661" s="19" t="str">
        <x:v>D02657</x:v>
      </x:c>
      <x:c r="B2661" s="19" t="n">
        <x:v>5</x:v>
      </x:c>
      <x:c r="C2661" s="19" t="n">
        <x:v>5</x:v>
      </x:c>
      <x:c r="D2661" s="19" t="str">
        <x:v>C05-M060</x:v>
      </x:c>
      <x:c r="E2661" s="19" t="str">
        <x:v>影宫深潮王女</x:v>
      </x:c>
      <x:c r="F2661" s="19" t="str">
        <x:v>地图BOSS</x:v>
      </x:c>
      <x:c r="G2661" s="19" t="str">
        <x:v>材料独立候选</x:v>
      </x:c>
      <x:c r="H2661" s="19" t="str">
        <x:v>野兽骨片</x:v>
      </x:c>
      <x:c r="I2661" s="22" t="n">
        <x:v>50</x:v>
      </x:c>
      <x:c r="J2661" s="22" t="n">
        <x:v>3</x:v>
      </x:c>
      <x:c r="K2661" s="19" t="n">
        <x:v>1</x:v>
      </x:c>
      <x:c r="L2661" s="24" t="n">
        <x:v>27.839999999999996</x:v>
      </x:c>
      <x:c r="M2661" s="26" t="n">
        <x:v>0.1</x:v>
      </x:c>
      <x:c r="N2661" s="24" t="n">
        <x:v>2</x:v>
      </x:c>
      <x:c r="O2661" s="28" t="n">
        <x:f>MIN(1,L2661/I2661)</x:f>
        <x:v>0.5568</x:v>
      </x:c>
      <x:c r="P2661" s="30" t="n">
        <x:f>O2661*J2661*(1+M2661)</x:f>
        <x:v>1.83744</x:v>
      </x:c>
      <x:c r="Q2661" s="30" t="n">
        <x:f>P2661*N2661</x:f>
        <x:v>3.67488</x:v>
      </x:c>
      <x:c r="R2661" s="19" t="str">
        <x:v>独立判定</x:v>
      </x:c>
    </x:row>
    <x:row r="2662" ht="19" customHeight="1">
      <x:c r="A2662" s="19" t="str">
        <x:v>D02658</x:v>
      </x:c>
      <x:c r="B2662" s="19" t="n">
        <x:v>5</x:v>
      </x:c>
      <x:c r="C2662" s="19" t="n">
        <x:v>5</x:v>
      </x:c>
      <x:c r="D2662" s="19" t="str">
        <x:v>C05-M060</x:v>
      </x:c>
      <x:c r="E2662" s="19" t="str">
        <x:v>影宫深潮王女</x:v>
      </x:c>
      <x:c r="F2662" s="19" t="str">
        <x:v>地图BOSS</x:v>
      </x:c>
      <x:c r="G2662" s="19" t="str">
        <x:v>材料独立候选</x:v>
      </x:c>
      <x:c r="H2662" s="19" t="str">
        <x:v>技能残页</x:v>
      </x:c>
      <x:c r="I2662" s="22" t="n">
        <x:v>1200</x:v>
      </x:c>
      <x:c r="J2662" s="22" t="n">
        <x:v>1</x:v>
      </x:c>
      <x:c r="K2662" s="19" t="n">
        <x:v>1</x:v>
      </x:c>
      <x:c r="L2662" s="24" t="n">
        <x:v>27.839999999999996</x:v>
      </x:c>
      <x:c r="M2662" s="26" t="n">
        <x:v>0.1</x:v>
      </x:c>
      <x:c r="N2662" s="24" t="n">
        <x:v>2</x:v>
      </x:c>
      <x:c r="O2662" s="28" t="n">
        <x:f>MIN(1,L2662/I2662)</x:f>
        <x:v>0.0232</x:v>
      </x:c>
      <x:c r="P2662" s="30" t="n">
        <x:f>O2662*J2662*(1+M2662)</x:f>
        <x:v>0.02552</x:v>
      </x:c>
      <x:c r="Q2662" s="30" t="n">
        <x:f>P2662*N2662</x:f>
        <x:v>0.05104</x:v>
      </x:c>
      <x:c r="R2662" s="19" t="str">
        <x:v>独立判定</x:v>
      </x:c>
    </x:row>
    <x:row r="2663" ht="19" customHeight="1">
      <x:c r="A2663" s="19" t="str">
        <x:v>D02659</x:v>
      </x:c>
      <x:c r="B2663" s="19" t="n">
        <x:v>5</x:v>
      </x:c>
      <x:c r="C2663" s="19" t="n">
        <x:v>5</x:v>
      </x:c>
      <x:c r="D2663" s="19" t="str">
        <x:v>C05-M060</x:v>
      </x:c>
      <x:c r="E2663" s="19" t="str">
        <x:v>影宫深潮王女</x:v>
      </x:c>
      <x:c r="F2663" s="19" t="str">
        <x:v>地图BOSS</x:v>
      </x:c>
      <x:c r="G2663" s="19" t="str">
        <x:v>材料独立候选</x:v>
      </x:c>
      <x:c r="H2663" s="19" t="str">
        <x:v>宁姆格福誓页</x:v>
      </x:c>
      <x:c r="I2663" s="22" t="n">
        <x:v>400</x:v>
      </x:c>
      <x:c r="J2663" s="22" t="n">
        <x:v>1</x:v>
      </x:c>
      <x:c r="K2663" s="19" t="n">
        <x:v>1</x:v>
      </x:c>
      <x:c r="L2663" s="24" t="n">
        <x:v>27.839999999999996</x:v>
      </x:c>
      <x:c r="M2663" s="26" t="n">
        <x:v>0.1</x:v>
      </x:c>
      <x:c r="N2663" s="24" t="n">
        <x:v>2</x:v>
      </x:c>
      <x:c r="O2663" s="28" t="n">
        <x:f>MIN(1,L2663/I2663)</x:f>
        <x:v>0.0696</x:v>
      </x:c>
      <x:c r="P2663" s="30" t="n">
        <x:f>O2663*J2663*(1+M2663)</x:f>
        <x:v>0.07656</x:v>
      </x:c>
      <x:c r="Q2663" s="30" t="n">
        <x:f>P2663*N2663</x:f>
        <x:v>0.15312</x:v>
      </x:c>
      <x:c r="R2663" s="19" t="str">
        <x:v>独立判定</x:v>
      </x:c>
    </x:row>
    <x:row r="2664" ht="19" customHeight="1">
      <x:c r="A2664" s="19" t="str">
        <x:v>D02660</x:v>
      </x:c>
      <x:c r="B2664" s="19" t="n">
        <x:v>5</x:v>
      </x:c>
      <x:c r="C2664" s="19" t="n">
        <x:v>5</x:v>
      </x:c>
      <x:c r="D2664" s="19" t="str">
        <x:v>C05-M060</x:v>
      </x:c>
      <x:c r="E2664" s="19" t="str">
        <x:v>影宫深潮王女</x:v>
      </x:c>
      <x:c r="F2664" s="19" t="str">
        <x:v>地图BOSS</x:v>
      </x:c>
      <x:c r="G2664" s="19" t="str">
        <x:v>材料独立候选</x:v>
      </x:c>
      <x:c r="H2664" s="19" t="str">
        <x:v>小卢恩</x:v>
      </x:c>
      <x:c r="I2664" s="22" t="n">
        <x:v>2500</x:v>
      </x:c>
      <x:c r="J2664" s="22" t="n">
        <x:v>1</x:v>
      </x:c>
      <x:c r="K2664" s="19" t="n">
        <x:v>1</x:v>
      </x:c>
      <x:c r="L2664" s="24" t="n">
        <x:v>27.839999999999996</x:v>
      </x:c>
      <x:c r="M2664" s="26" t="n">
        <x:v>0.1</x:v>
      </x:c>
      <x:c r="N2664" s="24" t="n">
        <x:v>2</x:v>
      </x:c>
      <x:c r="O2664" s="28" t="n">
        <x:f>MIN(1,L2664/I2664)</x:f>
        <x:v>0.011135999999999998</x:v>
      </x:c>
      <x:c r="P2664" s="30" t="n">
        <x:f>O2664*J2664*(1+M2664)</x:f>
        <x:v>0.0122496</x:v>
      </x:c>
      <x:c r="Q2664" s="30" t="n">
        <x:f>P2664*N2664</x:f>
        <x:v>0.0244992</x:v>
      </x:c>
      <x:c r="R2664" s="19" t="str">
        <x:v>独立判定</x:v>
      </x:c>
    </x:row>
    <x:row r="2665" ht="19" customHeight="1">
      <x:c r="A2665" s="19" t="str">
        <x:v>D02661</x:v>
      </x:c>
      <x:c r="B2665" s="19" t="n">
        <x:v>5</x:v>
      </x:c>
      <x:c r="C2665" s="19" t="n">
        <x:v>5</x:v>
      </x:c>
      <x:c r="D2665" s="19" t="str">
        <x:v>C05-M060</x:v>
      </x:c>
      <x:c r="E2665" s="19" t="str">
        <x:v>影宫深潮王女</x:v>
      </x:c>
      <x:c r="F2665" s="19" t="str">
        <x:v>地图BOSS</x:v>
      </x:c>
      <x:c r="G2665" s="19" t="str">
        <x:v>材料独立候选</x:v>
      </x:c>
      <x:c r="H2665" s="19" t="str">
        <x:v>大卢恩</x:v>
      </x:c>
      <x:c r="I2665" s="22" t="n">
        <x:v>250</x:v>
      </x:c>
      <x:c r="J2665" s="22" t="n">
        <x:v>1</x:v>
      </x:c>
      <x:c r="K2665" s="19" t="n">
        <x:v>1</x:v>
      </x:c>
      <x:c r="L2665" s="24" t="n">
        <x:v>27.839999999999996</x:v>
      </x:c>
      <x:c r="M2665" s="26" t="n">
        <x:v>0.1</x:v>
      </x:c>
      <x:c r="N2665" s="24" t="n">
        <x:v>2</x:v>
      </x:c>
      <x:c r="O2665" s="28" t="n">
        <x:f>MIN(1,L2665/I2665)</x:f>
        <x:v>0.11135999999999999</x:v>
      </x:c>
      <x:c r="P2665" s="30" t="n">
        <x:f>O2665*J2665*(1+M2665)</x:f>
        <x:v>0.122496</x:v>
      </x:c>
      <x:c r="Q2665" s="30" t="n">
        <x:f>P2665*N2665</x:f>
        <x:v>0.244992</x:v>
      </x:c>
      <x:c r="R2665" s="19" t="str">
        <x:v>独立判定</x:v>
      </x:c>
    </x:row>
    <x:row r="2666" ht="19" customHeight="1">
      <x:c r="A2666" s="19" t="str">
        <x:v>D02662</x:v>
      </x:c>
      <x:c r="B2666" s="19" t="n">
        <x:v>5</x:v>
      </x:c>
      <x:c r="C2666" s="19" t="n">
        <x:v>5</x:v>
      </x:c>
      <x:c r="D2666" s="19" t="str">
        <x:v>C05-M060</x:v>
      </x:c>
      <x:c r="E2666" s="19" t="str">
        <x:v>影宫深潮王女</x:v>
      </x:c>
      <x:c r="F2666" s="19" t="str">
        <x:v>地图BOSS</x:v>
      </x:c>
      <x:c r="G2666" s="19" t="str">
        <x:v>六神器公共池</x:v>
      </x:c>
      <x:c r="H2666" s="19" t="str">
        <x:v>POOL006</x:v>
      </x:c>
      <x:c r="I2666" s="22" t="n">
        <x:v>200000</x:v>
      </x:c>
      <x:c r="J2666" s="22" t="n">
        <x:v>1</x:v>
      </x:c>
      <x:c r="K2666" s="19" t="n">
        <x:v>6</x:v>
      </x:c>
      <x:c r="L2666" s="24" t="n">
        <x:v>27.839999999999996</x:v>
      </x:c>
      <x:c r="M2666" s="26" t="n">
        <x:v>0.1</x:v>
      </x:c>
      <x:c r="N2666" s="24" t="n">
        <x:v>2</x:v>
      </x:c>
      <x:c r="O2666" s="28" t="n">
        <x:f>MIN(1,L2666/I2666)</x:f>
        <x:v>0.00013919999999999997</x:v>
      </x:c>
      <x:c r="P2666" s="30" t="n">
        <x:f>O2666*J2666*(1+M2666)</x:f>
        <x:v>0.00015311999999999997</x:v>
      </x:c>
      <x:c r="Q2666" s="30" t="n">
        <x:f>P2666*N2666</x:f>
        <x:v>0.00030623999999999994</x:v>
      </x:c>
      <x:c r="R2666" s="19" t="str">
        <x:v>六选一；非6个独立爆率</x:v>
      </x:c>
    </x:row>
    <x:row r="2667" ht="19" customHeight="1">
      <x:c r="A2667" s="19" t="str">
        <x:v>D02663</x:v>
      </x:c>
      <x:c r="B2667" s="19" t="n">
        <x:v>5</x:v>
      </x:c>
      <x:c r="C2667" s="19" t="n">
        <x:v>6</x:v>
      </x:c>
      <x:c r="D2667" s="19" t="str">
        <x:v>C05-M061</x:v>
      </x:c>
      <x:c r="E2667" s="19" t="str">
        <x:v>禁域蓝焰猎犬</x:v>
      </x:c>
      <x:c r="F2667" s="19" t="str">
        <x:v>普通</x:v>
      </x:c>
      <x:c r="G2667" s="19" t="str">
        <x:v>自身专属</x:v>
      </x:c>
      <x:c r="H2667" s="19" t="str">
        <x:v>蓝焰逐影履</x:v>
      </x:c>
      <x:c r="I2667" s="22" t="n">
        <x:v>2000</x:v>
      </x:c>
      <x:c r="J2667" s="22" t="n">
        <x:v>1</x:v>
      </x:c>
      <x:c r="K2667" s="19" t="n">
        <x:v>1</x:v>
      </x:c>
      <x:c r="L2667" s="24" t="n">
        <x:v>29.33733333333333</x:v>
      </x:c>
      <x:c r="M2667" s="26" t="n">
        <x:v>0.1</x:v>
      </x:c>
      <x:c r="N2667" s="24" t="n">
        <x:v>72</x:v>
      </x:c>
      <x:c r="O2667" s="28" t="n">
        <x:f>MIN(1,L2667/I2667)</x:f>
        <x:v>0.014668666666666665</x:v>
      </x:c>
      <x:c r="P2667" s="30" t="n">
        <x:f>O2667*J2667*(1+M2667)</x:f>
        <x:v>0.016135533333333334</x:v>
      </x:c>
      <x:c r="Q2667" s="30" t="n">
        <x:f>P2667*N2667</x:f>
        <x:v>1.1617584</x:v>
      </x:c>
      <x:c r="R2667" s="19" t="str">
        <x:v>独立判定</x:v>
      </x:c>
    </x:row>
    <x:row r="2668" ht="19" customHeight="1">
      <x:c r="A2668" s="19" t="str">
        <x:v>D02664</x:v>
      </x:c>
      <x:c r="B2668" s="19" t="n">
        <x:v>5</x:v>
      </x:c>
      <x:c r="C2668" s="19" t="n">
        <x:v>6</x:v>
      </x:c>
      <x:c r="D2668" s="19" t="str">
        <x:v>C05-M061</x:v>
      </x:c>
      <x:c r="E2668" s="19" t="str">
        <x:v>禁域蓝焰猎犬</x:v>
      </x:c>
      <x:c r="F2668" s="19" t="str">
        <x:v>普通</x:v>
      </x:c>
      <x:c r="G2668" s="19" t="str">
        <x:v>材料独立候选</x:v>
      </x:c>
      <x:c r="H2668" s="19" t="str">
        <x:v>辉石碎晶</x:v>
      </x:c>
      <x:c r="I2668" s="22" t="n">
        <x:v>1000</x:v>
      </x:c>
      <x:c r="J2668" s="22" t="n">
        <x:v>8</x:v>
      </x:c>
      <x:c r="K2668" s="19" t="n">
        <x:v>1</x:v>
      </x:c>
      <x:c r="L2668" s="24" t="n">
        <x:v>29.33733333333333</x:v>
      </x:c>
      <x:c r="M2668" s="26" t="n">
        <x:v>0.1</x:v>
      </x:c>
      <x:c r="N2668" s="24" t="n">
        <x:v>72</x:v>
      </x:c>
      <x:c r="O2668" s="28" t="n">
        <x:f>MIN(1,L2668/I2668)</x:f>
        <x:v>0.02933733333333333</x:v>
      </x:c>
      <x:c r="P2668" s="30" t="n">
        <x:f>O2668*J2668*(1+M2668)</x:f>
        <x:v>0.25816853333333334</x:v>
      </x:c>
      <x:c r="Q2668" s="30" t="n">
        <x:f>P2668*N2668</x:f>
        <x:v>18.5881344</x:v>
      </x:c>
      <x:c r="R2668" s="19" t="str">
        <x:v>独立判定</x:v>
      </x:c>
    </x:row>
    <x:row r="2669" ht="19" customHeight="1">
      <x:c r="A2669" s="19" t="str">
        <x:v>D02665</x:v>
      </x:c>
      <x:c r="B2669" s="19" t="n">
        <x:v>5</x:v>
      </x:c>
      <x:c r="C2669" s="19" t="n">
        <x:v>6</x:v>
      </x:c>
      <x:c r="D2669" s="19" t="str">
        <x:v>C05-M061</x:v>
      </x:c>
      <x:c r="E2669" s="19" t="str">
        <x:v>禁域蓝焰猎犬</x:v>
      </x:c>
      <x:c r="F2669" s="19" t="str">
        <x:v>普通</x:v>
      </x:c>
      <x:c r="G2669" s="19" t="str">
        <x:v>材料独立候选</x:v>
      </x:c>
      <x:c r="H2669" s="19" t="str">
        <x:v>雾月星砂</x:v>
      </x:c>
      <x:c r="I2669" s="22" t="n">
        <x:v>1200</x:v>
      </x:c>
      <x:c r="J2669" s="22" t="n">
        <x:v>1</x:v>
      </x:c>
      <x:c r="K2669" s="19" t="n">
        <x:v>1</x:v>
      </x:c>
      <x:c r="L2669" s="24" t="n">
        <x:v>29.33733333333333</x:v>
      </x:c>
      <x:c r="M2669" s="26" t="n">
        <x:v>0.1</x:v>
      </x:c>
      <x:c r="N2669" s="24" t="n">
        <x:v>72</x:v>
      </x:c>
      <x:c r="O2669" s="28" t="n">
        <x:f>MIN(1,L2669/I2669)</x:f>
        <x:v>0.024447777777777777</x:v>
      </x:c>
      <x:c r="P2669" s="30" t="n">
        <x:f>O2669*J2669*(1+M2669)</x:f>
        <x:v>0.026892555555555555</x:v>
      </x:c>
      <x:c r="Q2669" s="30" t="n">
        <x:f>P2669*N2669</x:f>
        <x:v>1.936264</x:v>
      </x:c>
      <x:c r="R2669" s="19" t="str">
        <x:v>独立判定</x:v>
      </x:c>
    </x:row>
    <x:row r="2670" ht="19" customHeight="1">
      <x:c r="A2670" s="19" t="str">
        <x:v>D02666</x:v>
      </x:c>
      <x:c r="B2670" s="19" t="n">
        <x:v>5</x:v>
      </x:c>
      <x:c r="C2670" s="19" t="n">
        <x:v>6</x:v>
      </x:c>
      <x:c r="D2670" s="19" t="str">
        <x:v>C05-M061</x:v>
      </x:c>
      <x:c r="E2670" s="19" t="str">
        <x:v>禁域蓝焰猎犬</x:v>
      </x:c>
      <x:c r="F2670" s="19" t="str">
        <x:v>普通</x:v>
      </x:c>
      <x:c r="G2670" s="19" t="str">
        <x:v>材料独立候选</x:v>
      </x:c>
      <x:c r="H2670" s="19" t="str">
        <x:v>湖心月谱残章</x:v>
      </x:c>
      <x:c r="I2670" s="22" t="n">
        <x:v>1200000</x:v>
      </x:c>
      <x:c r="J2670" s="22" t="n">
        <x:v>1</x:v>
      </x:c>
      <x:c r="K2670" s="19" t="n">
        <x:v>1</x:v>
      </x:c>
      <x:c r="L2670" s="24" t="n">
        <x:v>29.33733333333333</x:v>
      </x:c>
      <x:c r="M2670" s="26" t="n">
        <x:v>0.1</x:v>
      </x:c>
      <x:c r="N2670" s="24" t="n">
        <x:v>72</x:v>
      </x:c>
      <x:c r="O2670" s="28" t="n">
        <x:f>MIN(1,L2670/I2670)</x:f>
        <x:v>0.000024447777777777775</x:v>
      </x:c>
      <x:c r="P2670" s="30" t="n">
        <x:f>O2670*J2670*(1+M2670)</x:f>
        <x:v>0.000026892555555555555</x:v>
      </x:c>
      <x:c r="Q2670" s="30" t="n">
        <x:f>P2670*N2670</x:f>
        <x:v>0.001936264</x:v>
      </x:c>
      <x:c r="R2670" s="19" t="str">
        <x:v>独立判定</x:v>
      </x:c>
    </x:row>
    <x:row r="2671" ht="19" customHeight="1">
      <x:c r="A2671" s="19" t="str">
        <x:v>D02667</x:v>
      </x:c>
      <x:c r="B2671" s="19" t="n">
        <x:v>5</x:v>
      </x:c>
      <x:c r="C2671" s="19" t="n">
        <x:v>6</x:v>
      </x:c>
      <x:c r="D2671" s="19" t="str">
        <x:v>C05-M061</x:v>
      </x:c>
      <x:c r="E2671" s="19" t="str">
        <x:v>禁域蓝焰猎犬</x:v>
      </x:c>
      <x:c r="F2671" s="19" t="str">
        <x:v>普通</x:v>
      </x:c>
      <x:c r="G2671" s="19" t="str">
        <x:v>材料独立候选</x:v>
      </x:c>
      <x:c r="H2671" s="19" t="str">
        <x:v>野兽骨片</x:v>
      </x:c>
      <x:c r="I2671" s="22" t="n">
        <x:v>150</x:v>
      </x:c>
      <x:c r="J2671" s="22" t="n">
        <x:v>3</x:v>
      </x:c>
      <x:c r="K2671" s="19" t="n">
        <x:v>1</x:v>
      </x:c>
      <x:c r="L2671" s="24" t="n">
        <x:v>29.33733333333333</x:v>
      </x:c>
      <x:c r="M2671" s="26" t="n">
        <x:v>0.1</x:v>
      </x:c>
      <x:c r="N2671" s="24" t="n">
        <x:v>72</x:v>
      </x:c>
      <x:c r="O2671" s="28" t="n">
        <x:f>MIN(1,L2671/I2671)</x:f>
        <x:v>0.1955822222222222</x:v>
      </x:c>
      <x:c r="P2671" s="30" t="n">
        <x:f>O2671*J2671*(1+M2671)</x:f>
        <x:v>0.6454213333333334</x:v>
      </x:c>
      <x:c r="Q2671" s="30" t="n">
        <x:f>P2671*N2671</x:f>
        <x:v>46.470336</x:v>
      </x:c>
      <x:c r="R2671" s="19" t="str">
        <x:v>独立判定</x:v>
      </x:c>
    </x:row>
    <x:row r="2672" ht="19" customHeight="1">
      <x:c r="A2672" s="19" t="str">
        <x:v>D02668</x:v>
      </x:c>
      <x:c r="B2672" s="19" t="n">
        <x:v>5</x:v>
      </x:c>
      <x:c r="C2672" s="19" t="n">
        <x:v>6</x:v>
      </x:c>
      <x:c r="D2672" s="19" t="str">
        <x:v>C05-M061</x:v>
      </x:c>
      <x:c r="E2672" s="19" t="str">
        <x:v>禁域蓝焰猎犬</x:v>
      </x:c>
      <x:c r="F2672" s="19" t="str">
        <x:v>普通</x:v>
      </x:c>
      <x:c r="G2672" s="19" t="str">
        <x:v>材料独立候选</x:v>
      </x:c>
      <x:c r="H2672" s="19" t="str">
        <x:v>技能残页</x:v>
      </x:c>
      <x:c r="I2672" s="22" t="n">
        <x:v>4000</x:v>
      </x:c>
      <x:c r="J2672" s="22" t="n">
        <x:v>1</x:v>
      </x:c>
      <x:c r="K2672" s="19" t="n">
        <x:v>1</x:v>
      </x:c>
      <x:c r="L2672" s="24" t="n">
        <x:v>29.33733333333333</x:v>
      </x:c>
      <x:c r="M2672" s="26" t="n">
        <x:v>0.1</x:v>
      </x:c>
      <x:c r="N2672" s="24" t="n">
        <x:v>72</x:v>
      </x:c>
      <x:c r="O2672" s="28" t="n">
        <x:f>MIN(1,L2672/I2672)</x:f>
        <x:v>0.0073343333333333325</x:v>
      </x:c>
      <x:c r="P2672" s="30" t="n">
        <x:f>O2672*J2672*(1+M2672)</x:f>
        <x:v>0.008067766666666667</x:v>
      </x:c>
      <x:c r="Q2672" s="30" t="n">
        <x:f>P2672*N2672</x:f>
        <x:v>0.5808792</x:v>
      </x:c>
      <x:c r="R2672" s="19" t="str">
        <x:v>独立判定</x:v>
      </x:c>
    </x:row>
    <x:row r="2673" ht="19" customHeight="1">
      <x:c r="A2673" s="19" t="str">
        <x:v>D02669</x:v>
      </x:c>
      <x:c r="B2673" s="19" t="n">
        <x:v>5</x:v>
      </x:c>
      <x:c r="C2673" s="19" t="n">
        <x:v>6</x:v>
      </x:c>
      <x:c r="D2673" s="19" t="str">
        <x:v>C05-M061</x:v>
      </x:c>
      <x:c r="E2673" s="19" t="str">
        <x:v>禁域蓝焰猎犬</x:v>
      </x:c>
      <x:c r="F2673" s="19" t="str">
        <x:v>普通</x:v>
      </x:c>
      <x:c r="G2673" s="19" t="str">
        <x:v>材料独立候选</x:v>
      </x:c>
      <x:c r="H2673" s="19" t="str">
        <x:v>小卢恩</x:v>
      </x:c>
      <x:c r="I2673" s="22" t="n">
        <x:v>8000</x:v>
      </x:c>
      <x:c r="J2673" s="22" t="n">
        <x:v>1</x:v>
      </x:c>
      <x:c r="K2673" s="19" t="n">
        <x:v>1</x:v>
      </x:c>
      <x:c r="L2673" s="24" t="n">
        <x:v>29.33733333333333</x:v>
      </x:c>
      <x:c r="M2673" s="26" t="n">
        <x:v>0.1</x:v>
      </x:c>
      <x:c r="N2673" s="24" t="n">
        <x:v>72</x:v>
      </x:c>
      <x:c r="O2673" s="28" t="n">
        <x:f>MIN(1,L2673/I2673)</x:f>
        <x:v>0.0036671666666666662</x:v>
      </x:c>
      <x:c r="P2673" s="30" t="n">
        <x:f>O2673*J2673*(1+M2673)</x:f>
        <x:v>0.004033883333333333</x:v>
      </x:c>
      <x:c r="Q2673" s="30" t="n">
        <x:f>P2673*N2673</x:f>
        <x:v>0.2904396</x:v>
      </x:c>
      <x:c r="R2673" s="19" t="str">
        <x:v>独立判定</x:v>
      </x:c>
    </x:row>
    <x:row r="2674" ht="19" customHeight="1">
      <x:c r="A2674" s="19" t="str">
        <x:v>D02670</x:v>
      </x:c>
      <x:c r="B2674" s="19" t="n">
        <x:v>5</x:v>
      </x:c>
      <x:c r="C2674" s="19" t="n">
        <x:v>6</x:v>
      </x:c>
      <x:c r="D2674" s="19" t="str">
        <x:v>C05-M061</x:v>
      </x:c>
      <x:c r="E2674" s="19" t="str">
        <x:v>禁域蓝焰猎犬</x:v>
      </x:c>
      <x:c r="F2674" s="19" t="str">
        <x:v>普通</x:v>
      </x:c>
      <x:c r="G2674" s="19" t="str">
        <x:v>六神器公共池</x:v>
      </x:c>
      <x:c r="H2674" s="19" t="str">
        <x:v>POOL006</x:v>
      </x:c>
      <x:c r="I2674" s="22" t="n">
        <x:v>20000000</x:v>
      </x:c>
      <x:c r="J2674" s="22" t="n">
        <x:v>1</x:v>
      </x:c>
      <x:c r="K2674" s="19" t="n">
        <x:v>6</x:v>
      </x:c>
      <x:c r="L2674" s="24" t="n">
        <x:v>29.33733333333333</x:v>
      </x:c>
      <x:c r="M2674" s="26" t="n">
        <x:v>0.1</x:v>
      </x:c>
      <x:c r="N2674" s="24" t="n">
        <x:v>72</x:v>
      </x:c>
      <x:c r="O2674" s="28" t="n">
        <x:f>MIN(1,L2674/I2674)</x:f>
        <x:v>0.0000014668666666666665</x:v>
      </x:c>
      <x:c r="P2674" s="30" t="n">
        <x:f>O2674*J2674*(1+M2674)</x:f>
        <x:v>0.0000016135533333333332</x:v>
      </x:c>
      <x:c r="Q2674" s="30" t="n">
        <x:f>P2674*N2674</x:f>
        <x:v>0.00011617584</x:v>
      </x:c>
      <x:c r="R2674" s="19" t="str">
        <x:v>六选一；非6个独立爆率</x:v>
      </x:c>
    </x:row>
    <x:row r="2675" ht="19" customHeight="1">
      <x:c r="A2675" s="19" t="str">
        <x:v>D02671</x:v>
      </x:c>
      <x:c r="B2675" s="19" t="n">
        <x:v>5</x:v>
      </x:c>
      <x:c r="C2675" s="19" t="n">
        <x:v>6</x:v>
      </x:c>
      <x:c r="D2675" s="19" t="str">
        <x:v>C05-M062</x:v>
      </x:c>
      <x:c r="E2675" s="19" t="str">
        <x:v>卡利亚断誓侍</x:v>
      </x:c>
      <x:c r="F2675" s="19" t="str">
        <x:v>普通</x:v>
      </x:c>
      <x:c r="G2675" s="19" t="str">
        <x:v>自身专属</x:v>
      </x:c>
      <x:c r="H2675" s="19" t="str">
        <x:v>断誓侍银剑</x:v>
      </x:c>
      <x:c r="I2675" s="22" t="n">
        <x:v>2000</x:v>
      </x:c>
      <x:c r="J2675" s="22" t="n">
        <x:v>1</x:v>
      </x:c>
      <x:c r="K2675" s="19" t="n">
        <x:v>1</x:v>
      </x:c>
      <x:c r="L2675" s="24" t="n">
        <x:v>29.33733333333333</x:v>
      </x:c>
      <x:c r="M2675" s="26" t="n">
        <x:v>0.1</x:v>
      </x:c>
      <x:c r="N2675" s="24" t="n">
        <x:v>72</x:v>
      </x:c>
      <x:c r="O2675" s="28" t="n">
        <x:f>MIN(1,L2675/I2675)</x:f>
        <x:v>0.014668666666666665</x:v>
      </x:c>
      <x:c r="P2675" s="30" t="n">
        <x:f>O2675*J2675*(1+M2675)</x:f>
        <x:v>0.016135533333333334</x:v>
      </x:c>
      <x:c r="Q2675" s="30" t="n">
        <x:f>P2675*N2675</x:f>
        <x:v>1.1617584</x:v>
      </x:c>
      <x:c r="R2675" s="19" t="str">
        <x:v>独立判定</x:v>
      </x:c>
    </x:row>
    <x:row r="2676" ht="19" customHeight="1">
      <x:c r="A2676" s="19" t="str">
        <x:v>D02672</x:v>
      </x:c>
      <x:c r="B2676" s="19" t="n">
        <x:v>5</x:v>
      </x:c>
      <x:c r="C2676" s="19" t="n">
        <x:v>6</x:v>
      </x:c>
      <x:c r="D2676" s="19" t="str">
        <x:v>C05-M062</x:v>
      </x:c>
      <x:c r="E2676" s="19" t="str">
        <x:v>卡利亚断誓侍</x:v>
      </x:c>
      <x:c r="F2676" s="19" t="str">
        <x:v>普通</x:v>
      </x:c>
      <x:c r="G2676" s="19" t="str">
        <x:v>材料独立候选</x:v>
      </x:c>
      <x:c r="H2676" s="19" t="str">
        <x:v>辉石碎晶</x:v>
      </x:c>
      <x:c r="I2676" s="22" t="n">
        <x:v>1000</x:v>
      </x:c>
      <x:c r="J2676" s="22" t="n">
        <x:v>8</x:v>
      </x:c>
      <x:c r="K2676" s="19" t="n">
        <x:v>1</x:v>
      </x:c>
      <x:c r="L2676" s="24" t="n">
        <x:v>29.33733333333333</x:v>
      </x:c>
      <x:c r="M2676" s="26" t="n">
        <x:v>0.1</x:v>
      </x:c>
      <x:c r="N2676" s="24" t="n">
        <x:v>72</x:v>
      </x:c>
      <x:c r="O2676" s="28" t="n">
        <x:f>MIN(1,L2676/I2676)</x:f>
        <x:v>0.02933733333333333</x:v>
      </x:c>
      <x:c r="P2676" s="30" t="n">
        <x:f>O2676*J2676*(1+M2676)</x:f>
        <x:v>0.25816853333333334</x:v>
      </x:c>
      <x:c r="Q2676" s="30" t="n">
        <x:f>P2676*N2676</x:f>
        <x:v>18.5881344</x:v>
      </x:c>
      <x:c r="R2676" s="19" t="str">
        <x:v>独立判定</x:v>
      </x:c>
    </x:row>
    <x:row r="2677" ht="19" customHeight="1">
      <x:c r="A2677" s="19" t="str">
        <x:v>D02673</x:v>
      </x:c>
      <x:c r="B2677" s="19" t="n">
        <x:v>5</x:v>
      </x:c>
      <x:c r="C2677" s="19" t="n">
        <x:v>6</x:v>
      </x:c>
      <x:c r="D2677" s="19" t="str">
        <x:v>C05-M062</x:v>
      </x:c>
      <x:c r="E2677" s="19" t="str">
        <x:v>卡利亚断誓侍</x:v>
      </x:c>
      <x:c r="F2677" s="19" t="str">
        <x:v>普通</x:v>
      </x:c>
      <x:c r="G2677" s="19" t="str">
        <x:v>材料独立候选</x:v>
      </x:c>
      <x:c r="H2677" s="19" t="str">
        <x:v>雾月星砂</x:v>
      </x:c>
      <x:c r="I2677" s="22" t="n">
        <x:v>1200</x:v>
      </x:c>
      <x:c r="J2677" s="22" t="n">
        <x:v>1</x:v>
      </x:c>
      <x:c r="K2677" s="19" t="n">
        <x:v>1</x:v>
      </x:c>
      <x:c r="L2677" s="24" t="n">
        <x:v>29.33733333333333</x:v>
      </x:c>
      <x:c r="M2677" s="26" t="n">
        <x:v>0.1</x:v>
      </x:c>
      <x:c r="N2677" s="24" t="n">
        <x:v>72</x:v>
      </x:c>
      <x:c r="O2677" s="28" t="n">
        <x:f>MIN(1,L2677/I2677)</x:f>
        <x:v>0.024447777777777777</x:v>
      </x:c>
      <x:c r="P2677" s="30" t="n">
        <x:f>O2677*J2677*(1+M2677)</x:f>
        <x:v>0.026892555555555555</x:v>
      </x:c>
      <x:c r="Q2677" s="30" t="n">
        <x:f>P2677*N2677</x:f>
        <x:v>1.936264</x:v>
      </x:c>
      <x:c r="R2677" s="19" t="str">
        <x:v>独立判定</x:v>
      </x:c>
    </x:row>
    <x:row r="2678" ht="19" customHeight="1">
      <x:c r="A2678" s="19" t="str">
        <x:v>D02674</x:v>
      </x:c>
      <x:c r="B2678" s="19" t="n">
        <x:v>5</x:v>
      </x:c>
      <x:c r="C2678" s="19" t="n">
        <x:v>6</x:v>
      </x:c>
      <x:c r="D2678" s="19" t="str">
        <x:v>C05-M062</x:v>
      </x:c>
      <x:c r="E2678" s="19" t="str">
        <x:v>卡利亚断誓侍</x:v>
      </x:c>
      <x:c r="F2678" s="19" t="str">
        <x:v>普通</x:v>
      </x:c>
      <x:c r="G2678" s="19" t="str">
        <x:v>材料独立候选</x:v>
      </x:c>
      <x:c r="H2678" s="19" t="str">
        <x:v>湖心月谱残章</x:v>
      </x:c>
      <x:c r="I2678" s="22" t="n">
        <x:v>1200000</x:v>
      </x:c>
      <x:c r="J2678" s="22" t="n">
        <x:v>1</x:v>
      </x:c>
      <x:c r="K2678" s="19" t="n">
        <x:v>1</x:v>
      </x:c>
      <x:c r="L2678" s="24" t="n">
        <x:v>29.33733333333333</x:v>
      </x:c>
      <x:c r="M2678" s="26" t="n">
        <x:v>0.1</x:v>
      </x:c>
      <x:c r="N2678" s="24" t="n">
        <x:v>72</x:v>
      </x:c>
      <x:c r="O2678" s="28" t="n">
        <x:f>MIN(1,L2678/I2678)</x:f>
        <x:v>0.000024447777777777775</x:v>
      </x:c>
      <x:c r="P2678" s="30" t="n">
        <x:f>O2678*J2678*(1+M2678)</x:f>
        <x:v>0.000026892555555555555</x:v>
      </x:c>
      <x:c r="Q2678" s="30" t="n">
        <x:f>P2678*N2678</x:f>
        <x:v>0.001936264</x:v>
      </x:c>
      <x:c r="R2678" s="19" t="str">
        <x:v>独立判定</x:v>
      </x:c>
    </x:row>
    <x:row r="2679" ht="19" customHeight="1">
      <x:c r="A2679" s="19" t="str">
        <x:v>D02675</x:v>
      </x:c>
      <x:c r="B2679" s="19" t="n">
        <x:v>5</x:v>
      </x:c>
      <x:c r="C2679" s="19" t="n">
        <x:v>6</x:v>
      </x:c>
      <x:c r="D2679" s="19" t="str">
        <x:v>C05-M062</x:v>
      </x:c>
      <x:c r="E2679" s="19" t="str">
        <x:v>卡利亚断誓侍</x:v>
      </x:c>
      <x:c r="F2679" s="19" t="str">
        <x:v>普通</x:v>
      </x:c>
      <x:c r="G2679" s="19" t="str">
        <x:v>材料独立候选</x:v>
      </x:c>
      <x:c r="H2679" s="19" t="str">
        <x:v>野兽骨片</x:v>
      </x:c>
      <x:c r="I2679" s="22" t="n">
        <x:v>150</x:v>
      </x:c>
      <x:c r="J2679" s="22" t="n">
        <x:v>3</x:v>
      </x:c>
      <x:c r="K2679" s="19" t="n">
        <x:v>1</x:v>
      </x:c>
      <x:c r="L2679" s="24" t="n">
        <x:v>29.33733333333333</x:v>
      </x:c>
      <x:c r="M2679" s="26" t="n">
        <x:v>0.1</x:v>
      </x:c>
      <x:c r="N2679" s="24" t="n">
        <x:v>72</x:v>
      </x:c>
      <x:c r="O2679" s="28" t="n">
        <x:f>MIN(1,L2679/I2679)</x:f>
        <x:v>0.1955822222222222</x:v>
      </x:c>
      <x:c r="P2679" s="30" t="n">
        <x:f>O2679*J2679*(1+M2679)</x:f>
        <x:v>0.6454213333333334</x:v>
      </x:c>
      <x:c r="Q2679" s="30" t="n">
        <x:f>P2679*N2679</x:f>
        <x:v>46.470336</x:v>
      </x:c>
      <x:c r="R2679" s="19" t="str">
        <x:v>独立判定</x:v>
      </x:c>
    </x:row>
    <x:row r="2680" ht="19" customHeight="1">
      <x:c r="A2680" s="19" t="str">
        <x:v>D02676</x:v>
      </x:c>
      <x:c r="B2680" s="19" t="n">
        <x:v>5</x:v>
      </x:c>
      <x:c r="C2680" s="19" t="n">
        <x:v>6</x:v>
      </x:c>
      <x:c r="D2680" s="19" t="str">
        <x:v>C05-M062</x:v>
      </x:c>
      <x:c r="E2680" s="19" t="str">
        <x:v>卡利亚断誓侍</x:v>
      </x:c>
      <x:c r="F2680" s="19" t="str">
        <x:v>普通</x:v>
      </x:c>
      <x:c r="G2680" s="19" t="str">
        <x:v>材料独立候选</x:v>
      </x:c>
      <x:c r="H2680" s="19" t="str">
        <x:v>技能残页</x:v>
      </x:c>
      <x:c r="I2680" s="22" t="n">
        <x:v>4000</x:v>
      </x:c>
      <x:c r="J2680" s="22" t="n">
        <x:v>1</x:v>
      </x:c>
      <x:c r="K2680" s="19" t="n">
        <x:v>1</x:v>
      </x:c>
      <x:c r="L2680" s="24" t="n">
        <x:v>29.33733333333333</x:v>
      </x:c>
      <x:c r="M2680" s="26" t="n">
        <x:v>0.1</x:v>
      </x:c>
      <x:c r="N2680" s="24" t="n">
        <x:v>72</x:v>
      </x:c>
      <x:c r="O2680" s="28" t="n">
        <x:f>MIN(1,L2680/I2680)</x:f>
        <x:v>0.0073343333333333325</x:v>
      </x:c>
      <x:c r="P2680" s="30" t="n">
        <x:f>O2680*J2680*(1+M2680)</x:f>
        <x:v>0.008067766666666667</x:v>
      </x:c>
      <x:c r="Q2680" s="30" t="n">
        <x:f>P2680*N2680</x:f>
        <x:v>0.5808792</x:v>
      </x:c>
      <x:c r="R2680" s="19" t="str">
        <x:v>独立判定</x:v>
      </x:c>
    </x:row>
    <x:row r="2681" ht="19" customHeight="1">
      <x:c r="A2681" s="19" t="str">
        <x:v>D02677</x:v>
      </x:c>
      <x:c r="B2681" s="19" t="n">
        <x:v>5</x:v>
      </x:c>
      <x:c r="C2681" s="19" t="n">
        <x:v>6</x:v>
      </x:c>
      <x:c r="D2681" s="19" t="str">
        <x:v>C05-M062</x:v>
      </x:c>
      <x:c r="E2681" s="19" t="str">
        <x:v>卡利亚断誓侍</x:v>
      </x:c>
      <x:c r="F2681" s="19" t="str">
        <x:v>普通</x:v>
      </x:c>
      <x:c r="G2681" s="19" t="str">
        <x:v>材料独立候选</x:v>
      </x:c>
      <x:c r="H2681" s="19" t="str">
        <x:v>小卢恩</x:v>
      </x:c>
      <x:c r="I2681" s="22" t="n">
        <x:v>8000</x:v>
      </x:c>
      <x:c r="J2681" s="22" t="n">
        <x:v>1</x:v>
      </x:c>
      <x:c r="K2681" s="19" t="n">
        <x:v>1</x:v>
      </x:c>
      <x:c r="L2681" s="24" t="n">
        <x:v>29.33733333333333</x:v>
      </x:c>
      <x:c r="M2681" s="26" t="n">
        <x:v>0.1</x:v>
      </x:c>
      <x:c r="N2681" s="24" t="n">
        <x:v>72</x:v>
      </x:c>
      <x:c r="O2681" s="28" t="n">
        <x:f>MIN(1,L2681/I2681)</x:f>
        <x:v>0.0036671666666666662</x:v>
      </x:c>
      <x:c r="P2681" s="30" t="n">
        <x:f>O2681*J2681*(1+M2681)</x:f>
        <x:v>0.004033883333333333</x:v>
      </x:c>
      <x:c r="Q2681" s="30" t="n">
        <x:f>P2681*N2681</x:f>
        <x:v>0.2904396</x:v>
      </x:c>
      <x:c r="R2681" s="19" t="str">
        <x:v>独立判定</x:v>
      </x:c>
    </x:row>
    <x:row r="2682" ht="19" customHeight="1">
      <x:c r="A2682" s="19" t="str">
        <x:v>D02678</x:v>
      </x:c>
      <x:c r="B2682" s="19" t="n">
        <x:v>5</x:v>
      </x:c>
      <x:c r="C2682" s="19" t="n">
        <x:v>6</x:v>
      </x:c>
      <x:c r="D2682" s="19" t="str">
        <x:v>C05-M062</x:v>
      </x:c>
      <x:c r="E2682" s="19" t="str">
        <x:v>卡利亚断誓侍</x:v>
      </x:c>
      <x:c r="F2682" s="19" t="str">
        <x:v>普通</x:v>
      </x:c>
      <x:c r="G2682" s="19" t="str">
        <x:v>六神器公共池</x:v>
      </x:c>
      <x:c r="H2682" s="19" t="str">
        <x:v>POOL006</x:v>
      </x:c>
      <x:c r="I2682" s="22" t="n">
        <x:v>20000000</x:v>
      </x:c>
      <x:c r="J2682" s="22" t="n">
        <x:v>1</x:v>
      </x:c>
      <x:c r="K2682" s="19" t="n">
        <x:v>6</x:v>
      </x:c>
      <x:c r="L2682" s="24" t="n">
        <x:v>29.33733333333333</x:v>
      </x:c>
      <x:c r="M2682" s="26" t="n">
        <x:v>0.1</x:v>
      </x:c>
      <x:c r="N2682" s="24" t="n">
        <x:v>72</x:v>
      </x:c>
      <x:c r="O2682" s="28" t="n">
        <x:f>MIN(1,L2682/I2682)</x:f>
        <x:v>0.0000014668666666666665</x:v>
      </x:c>
      <x:c r="P2682" s="30" t="n">
        <x:f>O2682*J2682*(1+M2682)</x:f>
        <x:v>0.0000016135533333333332</x:v>
      </x:c>
      <x:c r="Q2682" s="30" t="n">
        <x:f>P2682*N2682</x:f>
        <x:v>0.00011617584</x:v>
      </x:c>
      <x:c r="R2682" s="19" t="str">
        <x:v>六选一；非6个独立爆率</x:v>
      </x:c>
    </x:row>
    <x:row r="2683" ht="19" customHeight="1">
      <x:c r="A2683" s="19" t="str">
        <x:v>D02679</x:v>
      </x:c>
      <x:c r="B2683" s="19" t="n">
        <x:v>5</x:v>
      </x:c>
      <x:c r="C2683" s="19" t="n">
        <x:v>6</x:v>
      </x:c>
      <x:c r="D2683" s="19" t="str">
        <x:v>C05-M063</x:v>
      </x:c>
      <x:c r="E2683" s="19" t="str">
        <x:v>回廊折月傀</x:v>
      </x:c>
      <x:c r="F2683" s="19" t="str">
        <x:v>普通</x:v>
      </x:c>
      <x:c r="G2683" s="19" t="str">
        <x:v>自身专属</x:v>
      </x:c>
      <x:c r="H2683" s="19" t="str">
        <x:v>折月傀镜盾</x:v>
      </x:c>
      <x:c r="I2683" s="22" t="n">
        <x:v>2000</x:v>
      </x:c>
      <x:c r="J2683" s="22" t="n">
        <x:v>1</x:v>
      </x:c>
      <x:c r="K2683" s="19" t="n">
        <x:v>1</x:v>
      </x:c>
      <x:c r="L2683" s="24" t="n">
        <x:v>29.33733333333333</x:v>
      </x:c>
      <x:c r="M2683" s="26" t="n">
        <x:v>0.1</x:v>
      </x:c>
      <x:c r="N2683" s="24" t="n">
        <x:v>72</x:v>
      </x:c>
      <x:c r="O2683" s="28" t="n">
        <x:f>MIN(1,L2683/I2683)</x:f>
        <x:v>0.014668666666666665</x:v>
      </x:c>
      <x:c r="P2683" s="30" t="n">
        <x:f>O2683*J2683*(1+M2683)</x:f>
        <x:v>0.016135533333333334</x:v>
      </x:c>
      <x:c r="Q2683" s="30" t="n">
        <x:f>P2683*N2683</x:f>
        <x:v>1.1617584</x:v>
      </x:c>
      <x:c r="R2683" s="19" t="str">
        <x:v>独立判定</x:v>
      </x:c>
    </x:row>
    <x:row r="2684" ht="19" customHeight="1">
      <x:c r="A2684" s="19" t="str">
        <x:v>D02680</x:v>
      </x:c>
      <x:c r="B2684" s="19" t="n">
        <x:v>5</x:v>
      </x:c>
      <x:c r="C2684" s="19" t="n">
        <x:v>6</x:v>
      </x:c>
      <x:c r="D2684" s="19" t="str">
        <x:v>C05-M063</x:v>
      </x:c>
      <x:c r="E2684" s="19" t="str">
        <x:v>回廊折月傀</x:v>
      </x:c>
      <x:c r="F2684" s="19" t="str">
        <x:v>普通</x:v>
      </x:c>
      <x:c r="G2684" s="19" t="str">
        <x:v>材料独立候选</x:v>
      </x:c>
      <x:c r="H2684" s="19" t="str">
        <x:v>辉石碎晶</x:v>
      </x:c>
      <x:c r="I2684" s="22" t="n">
        <x:v>1000</x:v>
      </x:c>
      <x:c r="J2684" s="22" t="n">
        <x:v>8</x:v>
      </x:c>
      <x:c r="K2684" s="19" t="n">
        <x:v>1</x:v>
      </x:c>
      <x:c r="L2684" s="24" t="n">
        <x:v>29.33733333333333</x:v>
      </x:c>
      <x:c r="M2684" s="26" t="n">
        <x:v>0.1</x:v>
      </x:c>
      <x:c r="N2684" s="24" t="n">
        <x:v>72</x:v>
      </x:c>
      <x:c r="O2684" s="28" t="n">
        <x:f>MIN(1,L2684/I2684)</x:f>
        <x:v>0.02933733333333333</x:v>
      </x:c>
      <x:c r="P2684" s="30" t="n">
        <x:f>O2684*J2684*(1+M2684)</x:f>
        <x:v>0.25816853333333334</x:v>
      </x:c>
      <x:c r="Q2684" s="30" t="n">
        <x:f>P2684*N2684</x:f>
        <x:v>18.5881344</x:v>
      </x:c>
      <x:c r="R2684" s="19" t="str">
        <x:v>独立判定</x:v>
      </x:c>
    </x:row>
    <x:row r="2685" ht="19" customHeight="1">
      <x:c r="A2685" s="19" t="str">
        <x:v>D02681</x:v>
      </x:c>
      <x:c r="B2685" s="19" t="n">
        <x:v>5</x:v>
      </x:c>
      <x:c r="C2685" s="19" t="n">
        <x:v>6</x:v>
      </x:c>
      <x:c r="D2685" s="19" t="str">
        <x:v>C05-M063</x:v>
      </x:c>
      <x:c r="E2685" s="19" t="str">
        <x:v>回廊折月傀</x:v>
      </x:c>
      <x:c r="F2685" s="19" t="str">
        <x:v>普通</x:v>
      </x:c>
      <x:c r="G2685" s="19" t="str">
        <x:v>材料独立候选</x:v>
      </x:c>
      <x:c r="H2685" s="19" t="str">
        <x:v>雾月星砂</x:v>
      </x:c>
      <x:c r="I2685" s="22" t="n">
        <x:v>1200</x:v>
      </x:c>
      <x:c r="J2685" s="22" t="n">
        <x:v>1</x:v>
      </x:c>
      <x:c r="K2685" s="19" t="n">
        <x:v>1</x:v>
      </x:c>
      <x:c r="L2685" s="24" t="n">
        <x:v>29.33733333333333</x:v>
      </x:c>
      <x:c r="M2685" s="26" t="n">
        <x:v>0.1</x:v>
      </x:c>
      <x:c r="N2685" s="24" t="n">
        <x:v>72</x:v>
      </x:c>
      <x:c r="O2685" s="28" t="n">
        <x:f>MIN(1,L2685/I2685)</x:f>
        <x:v>0.024447777777777777</x:v>
      </x:c>
      <x:c r="P2685" s="30" t="n">
        <x:f>O2685*J2685*(1+M2685)</x:f>
        <x:v>0.026892555555555555</x:v>
      </x:c>
      <x:c r="Q2685" s="30" t="n">
        <x:f>P2685*N2685</x:f>
        <x:v>1.936264</x:v>
      </x:c>
      <x:c r="R2685" s="19" t="str">
        <x:v>独立判定</x:v>
      </x:c>
    </x:row>
    <x:row r="2686" ht="19" customHeight="1">
      <x:c r="A2686" s="19" t="str">
        <x:v>D02682</x:v>
      </x:c>
      <x:c r="B2686" s="19" t="n">
        <x:v>5</x:v>
      </x:c>
      <x:c r="C2686" s="19" t="n">
        <x:v>6</x:v>
      </x:c>
      <x:c r="D2686" s="19" t="str">
        <x:v>C05-M063</x:v>
      </x:c>
      <x:c r="E2686" s="19" t="str">
        <x:v>回廊折月傀</x:v>
      </x:c>
      <x:c r="F2686" s="19" t="str">
        <x:v>普通</x:v>
      </x:c>
      <x:c r="G2686" s="19" t="str">
        <x:v>材料独立候选</x:v>
      </x:c>
      <x:c r="H2686" s="19" t="str">
        <x:v>湖心月谱残章</x:v>
      </x:c>
      <x:c r="I2686" s="22" t="n">
        <x:v>1200000</x:v>
      </x:c>
      <x:c r="J2686" s="22" t="n">
        <x:v>1</x:v>
      </x:c>
      <x:c r="K2686" s="19" t="n">
        <x:v>1</x:v>
      </x:c>
      <x:c r="L2686" s="24" t="n">
        <x:v>29.33733333333333</x:v>
      </x:c>
      <x:c r="M2686" s="26" t="n">
        <x:v>0.1</x:v>
      </x:c>
      <x:c r="N2686" s="24" t="n">
        <x:v>72</x:v>
      </x:c>
      <x:c r="O2686" s="28" t="n">
        <x:f>MIN(1,L2686/I2686)</x:f>
        <x:v>0.000024447777777777775</x:v>
      </x:c>
      <x:c r="P2686" s="30" t="n">
        <x:f>O2686*J2686*(1+M2686)</x:f>
        <x:v>0.000026892555555555555</x:v>
      </x:c>
      <x:c r="Q2686" s="30" t="n">
        <x:f>P2686*N2686</x:f>
        <x:v>0.001936264</x:v>
      </x:c>
      <x:c r="R2686" s="19" t="str">
        <x:v>独立判定</x:v>
      </x:c>
    </x:row>
    <x:row r="2687" ht="19" customHeight="1">
      <x:c r="A2687" s="19" t="str">
        <x:v>D02683</x:v>
      </x:c>
      <x:c r="B2687" s="19" t="n">
        <x:v>5</x:v>
      </x:c>
      <x:c r="C2687" s="19" t="n">
        <x:v>6</x:v>
      </x:c>
      <x:c r="D2687" s="19" t="str">
        <x:v>C05-M063</x:v>
      </x:c>
      <x:c r="E2687" s="19" t="str">
        <x:v>回廊折月傀</x:v>
      </x:c>
      <x:c r="F2687" s="19" t="str">
        <x:v>普通</x:v>
      </x:c>
      <x:c r="G2687" s="19" t="str">
        <x:v>材料独立候选</x:v>
      </x:c>
      <x:c r="H2687" s="19" t="str">
        <x:v>野兽骨片</x:v>
      </x:c>
      <x:c r="I2687" s="22" t="n">
        <x:v>150</x:v>
      </x:c>
      <x:c r="J2687" s="22" t="n">
        <x:v>3</x:v>
      </x:c>
      <x:c r="K2687" s="19" t="n">
        <x:v>1</x:v>
      </x:c>
      <x:c r="L2687" s="24" t="n">
        <x:v>29.33733333333333</x:v>
      </x:c>
      <x:c r="M2687" s="26" t="n">
        <x:v>0.1</x:v>
      </x:c>
      <x:c r="N2687" s="24" t="n">
        <x:v>72</x:v>
      </x:c>
      <x:c r="O2687" s="28" t="n">
        <x:f>MIN(1,L2687/I2687)</x:f>
        <x:v>0.1955822222222222</x:v>
      </x:c>
      <x:c r="P2687" s="30" t="n">
        <x:f>O2687*J2687*(1+M2687)</x:f>
        <x:v>0.6454213333333334</x:v>
      </x:c>
      <x:c r="Q2687" s="30" t="n">
        <x:f>P2687*N2687</x:f>
        <x:v>46.470336</x:v>
      </x:c>
      <x:c r="R2687" s="19" t="str">
        <x:v>独立判定</x:v>
      </x:c>
    </x:row>
    <x:row r="2688" ht="19" customHeight="1">
      <x:c r="A2688" s="19" t="str">
        <x:v>D02684</x:v>
      </x:c>
      <x:c r="B2688" s="19" t="n">
        <x:v>5</x:v>
      </x:c>
      <x:c r="C2688" s="19" t="n">
        <x:v>6</x:v>
      </x:c>
      <x:c r="D2688" s="19" t="str">
        <x:v>C05-M063</x:v>
      </x:c>
      <x:c r="E2688" s="19" t="str">
        <x:v>回廊折月傀</x:v>
      </x:c>
      <x:c r="F2688" s="19" t="str">
        <x:v>普通</x:v>
      </x:c>
      <x:c r="G2688" s="19" t="str">
        <x:v>材料独立候选</x:v>
      </x:c>
      <x:c r="H2688" s="19" t="str">
        <x:v>技能残页</x:v>
      </x:c>
      <x:c r="I2688" s="22" t="n">
        <x:v>4000</x:v>
      </x:c>
      <x:c r="J2688" s="22" t="n">
        <x:v>1</x:v>
      </x:c>
      <x:c r="K2688" s="19" t="n">
        <x:v>1</x:v>
      </x:c>
      <x:c r="L2688" s="24" t="n">
        <x:v>29.33733333333333</x:v>
      </x:c>
      <x:c r="M2688" s="26" t="n">
        <x:v>0.1</x:v>
      </x:c>
      <x:c r="N2688" s="24" t="n">
        <x:v>72</x:v>
      </x:c>
      <x:c r="O2688" s="28" t="n">
        <x:f>MIN(1,L2688/I2688)</x:f>
        <x:v>0.0073343333333333325</x:v>
      </x:c>
      <x:c r="P2688" s="30" t="n">
        <x:f>O2688*J2688*(1+M2688)</x:f>
        <x:v>0.008067766666666667</x:v>
      </x:c>
      <x:c r="Q2688" s="30" t="n">
        <x:f>P2688*N2688</x:f>
        <x:v>0.5808792</x:v>
      </x:c>
      <x:c r="R2688" s="19" t="str">
        <x:v>独立判定</x:v>
      </x:c>
    </x:row>
    <x:row r="2689" ht="19" customHeight="1">
      <x:c r="A2689" s="19" t="str">
        <x:v>D02685</x:v>
      </x:c>
      <x:c r="B2689" s="19" t="n">
        <x:v>5</x:v>
      </x:c>
      <x:c r="C2689" s="19" t="n">
        <x:v>6</x:v>
      </x:c>
      <x:c r="D2689" s="19" t="str">
        <x:v>C05-M063</x:v>
      </x:c>
      <x:c r="E2689" s="19" t="str">
        <x:v>回廊折月傀</x:v>
      </x:c>
      <x:c r="F2689" s="19" t="str">
        <x:v>普通</x:v>
      </x:c>
      <x:c r="G2689" s="19" t="str">
        <x:v>材料独立候选</x:v>
      </x:c>
      <x:c r="H2689" s="19" t="str">
        <x:v>小卢恩</x:v>
      </x:c>
      <x:c r="I2689" s="22" t="n">
        <x:v>8000</x:v>
      </x:c>
      <x:c r="J2689" s="22" t="n">
        <x:v>1</x:v>
      </x:c>
      <x:c r="K2689" s="19" t="n">
        <x:v>1</x:v>
      </x:c>
      <x:c r="L2689" s="24" t="n">
        <x:v>29.33733333333333</x:v>
      </x:c>
      <x:c r="M2689" s="26" t="n">
        <x:v>0.1</x:v>
      </x:c>
      <x:c r="N2689" s="24" t="n">
        <x:v>72</x:v>
      </x:c>
      <x:c r="O2689" s="28" t="n">
        <x:f>MIN(1,L2689/I2689)</x:f>
        <x:v>0.0036671666666666662</x:v>
      </x:c>
      <x:c r="P2689" s="30" t="n">
        <x:f>O2689*J2689*(1+M2689)</x:f>
        <x:v>0.004033883333333333</x:v>
      </x:c>
      <x:c r="Q2689" s="30" t="n">
        <x:f>P2689*N2689</x:f>
        <x:v>0.2904396</x:v>
      </x:c>
      <x:c r="R2689" s="19" t="str">
        <x:v>独立判定</x:v>
      </x:c>
    </x:row>
    <x:row r="2690" ht="19" customHeight="1">
      <x:c r="A2690" s="19" t="str">
        <x:v>D02686</x:v>
      </x:c>
      <x:c r="B2690" s="19" t="n">
        <x:v>5</x:v>
      </x:c>
      <x:c r="C2690" s="19" t="n">
        <x:v>6</x:v>
      </x:c>
      <x:c r="D2690" s="19" t="str">
        <x:v>C05-M063</x:v>
      </x:c>
      <x:c r="E2690" s="19" t="str">
        <x:v>回廊折月傀</x:v>
      </x:c>
      <x:c r="F2690" s="19" t="str">
        <x:v>普通</x:v>
      </x:c>
      <x:c r="G2690" s="19" t="str">
        <x:v>六神器公共池</x:v>
      </x:c>
      <x:c r="H2690" s="19" t="str">
        <x:v>POOL006</x:v>
      </x:c>
      <x:c r="I2690" s="22" t="n">
        <x:v>20000000</x:v>
      </x:c>
      <x:c r="J2690" s="22" t="n">
        <x:v>1</x:v>
      </x:c>
      <x:c r="K2690" s="19" t="n">
        <x:v>6</x:v>
      </x:c>
      <x:c r="L2690" s="24" t="n">
        <x:v>29.33733333333333</x:v>
      </x:c>
      <x:c r="M2690" s="26" t="n">
        <x:v>0.1</x:v>
      </x:c>
      <x:c r="N2690" s="24" t="n">
        <x:v>72</x:v>
      </x:c>
      <x:c r="O2690" s="28" t="n">
        <x:f>MIN(1,L2690/I2690)</x:f>
        <x:v>0.0000014668666666666665</x:v>
      </x:c>
      <x:c r="P2690" s="30" t="n">
        <x:f>O2690*J2690*(1+M2690)</x:f>
        <x:v>0.0000016135533333333332</x:v>
      </x:c>
      <x:c r="Q2690" s="30" t="n">
        <x:f>P2690*N2690</x:f>
        <x:v>0.00011617584</x:v>
      </x:c>
      <x:c r="R2690" s="19" t="str">
        <x:v>六选一；非6个独立爆率</x:v>
      </x:c>
    </x:row>
    <x:row r="2691" ht="19" customHeight="1">
      <x:c r="A2691" s="19" t="str">
        <x:v>D02687</x:v>
      </x:c>
      <x:c r="B2691" s="19" t="n">
        <x:v>5</x:v>
      </x:c>
      <x:c r="C2691" s="19" t="n">
        <x:v>6</x:v>
      </x:c>
      <x:c r="D2691" s="19" t="str">
        <x:v>C05-M064</x:v>
      </x:c>
      <x:c r="E2691" s="19" t="str">
        <x:v>封印庭银纹卒</x:v>
      </x:c>
      <x:c r="F2691" s="19" t="str">
        <x:v>普通</x:v>
      </x:c>
      <x:c r="G2691" s="19" t="str">
        <x:v>自身专属</x:v>
      </x:c>
      <x:c r="H2691" s="19" t="str">
        <x:v>银纹封庭镯</x:v>
      </x:c>
      <x:c r="I2691" s="22" t="n">
        <x:v>2000</x:v>
      </x:c>
      <x:c r="J2691" s="22" t="n">
        <x:v>1</x:v>
      </x:c>
      <x:c r="K2691" s="19" t="n">
        <x:v>1</x:v>
      </x:c>
      <x:c r="L2691" s="24" t="n">
        <x:v>29.33733333333333</x:v>
      </x:c>
      <x:c r="M2691" s="26" t="n">
        <x:v>0.1</x:v>
      </x:c>
      <x:c r="N2691" s="24" t="n">
        <x:v>72</x:v>
      </x:c>
      <x:c r="O2691" s="28" t="n">
        <x:f>MIN(1,L2691/I2691)</x:f>
        <x:v>0.014668666666666665</x:v>
      </x:c>
      <x:c r="P2691" s="30" t="n">
        <x:f>O2691*J2691*(1+M2691)</x:f>
        <x:v>0.016135533333333334</x:v>
      </x:c>
      <x:c r="Q2691" s="30" t="n">
        <x:f>P2691*N2691</x:f>
        <x:v>1.1617584</x:v>
      </x:c>
      <x:c r="R2691" s="19" t="str">
        <x:v>独立判定</x:v>
      </x:c>
    </x:row>
    <x:row r="2692" ht="19" customHeight="1">
      <x:c r="A2692" s="19" t="str">
        <x:v>D02688</x:v>
      </x:c>
      <x:c r="B2692" s="19" t="n">
        <x:v>5</x:v>
      </x:c>
      <x:c r="C2692" s="19" t="n">
        <x:v>6</x:v>
      </x:c>
      <x:c r="D2692" s="19" t="str">
        <x:v>C05-M064</x:v>
      </x:c>
      <x:c r="E2692" s="19" t="str">
        <x:v>封印庭银纹卒</x:v>
      </x:c>
      <x:c r="F2692" s="19" t="str">
        <x:v>普通</x:v>
      </x:c>
      <x:c r="G2692" s="19" t="str">
        <x:v>材料独立候选</x:v>
      </x:c>
      <x:c r="H2692" s="19" t="str">
        <x:v>辉石碎晶</x:v>
      </x:c>
      <x:c r="I2692" s="22" t="n">
        <x:v>1000</x:v>
      </x:c>
      <x:c r="J2692" s="22" t="n">
        <x:v>8</x:v>
      </x:c>
      <x:c r="K2692" s="19" t="n">
        <x:v>1</x:v>
      </x:c>
      <x:c r="L2692" s="24" t="n">
        <x:v>29.33733333333333</x:v>
      </x:c>
      <x:c r="M2692" s="26" t="n">
        <x:v>0.1</x:v>
      </x:c>
      <x:c r="N2692" s="24" t="n">
        <x:v>72</x:v>
      </x:c>
      <x:c r="O2692" s="28" t="n">
        <x:f>MIN(1,L2692/I2692)</x:f>
        <x:v>0.02933733333333333</x:v>
      </x:c>
      <x:c r="P2692" s="30" t="n">
        <x:f>O2692*J2692*(1+M2692)</x:f>
        <x:v>0.25816853333333334</x:v>
      </x:c>
      <x:c r="Q2692" s="30" t="n">
        <x:f>P2692*N2692</x:f>
        <x:v>18.5881344</x:v>
      </x:c>
      <x:c r="R2692" s="19" t="str">
        <x:v>独立判定</x:v>
      </x:c>
    </x:row>
    <x:row r="2693" ht="19" customHeight="1">
      <x:c r="A2693" s="19" t="str">
        <x:v>D02689</x:v>
      </x:c>
      <x:c r="B2693" s="19" t="n">
        <x:v>5</x:v>
      </x:c>
      <x:c r="C2693" s="19" t="n">
        <x:v>6</x:v>
      </x:c>
      <x:c r="D2693" s="19" t="str">
        <x:v>C05-M064</x:v>
      </x:c>
      <x:c r="E2693" s="19" t="str">
        <x:v>封印庭银纹卒</x:v>
      </x:c>
      <x:c r="F2693" s="19" t="str">
        <x:v>普通</x:v>
      </x:c>
      <x:c r="G2693" s="19" t="str">
        <x:v>材料独立候选</x:v>
      </x:c>
      <x:c r="H2693" s="19" t="str">
        <x:v>雾月星砂</x:v>
      </x:c>
      <x:c r="I2693" s="22" t="n">
        <x:v>1200</x:v>
      </x:c>
      <x:c r="J2693" s="22" t="n">
        <x:v>1</x:v>
      </x:c>
      <x:c r="K2693" s="19" t="n">
        <x:v>1</x:v>
      </x:c>
      <x:c r="L2693" s="24" t="n">
        <x:v>29.33733333333333</x:v>
      </x:c>
      <x:c r="M2693" s="26" t="n">
        <x:v>0.1</x:v>
      </x:c>
      <x:c r="N2693" s="24" t="n">
        <x:v>72</x:v>
      </x:c>
      <x:c r="O2693" s="28" t="n">
        <x:f>MIN(1,L2693/I2693)</x:f>
        <x:v>0.024447777777777777</x:v>
      </x:c>
      <x:c r="P2693" s="30" t="n">
        <x:f>O2693*J2693*(1+M2693)</x:f>
        <x:v>0.026892555555555555</x:v>
      </x:c>
      <x:c r="Q2693" s="30" t="n">
        <x:f>P2693*N2693</x:f>
        <x:v>1.936264</x:v>
      </x:c>
      <x:c r="R2693" s="19" t="str">
        <x:v>独立判定</x:v>
      </x:c>
    </x:row>
    <x:row r="2694" ht="19" customHeight="1">
      <x:c r="A2694" s="19" t="str">
        <x:v>D02690</x:v>
      </x:c>
      <x:c r="B2694" s="19" t="n">
        <x:v>5</x:v>
      </x:c>
      <x:c r="C2694" s="19" t="n">
        <x:v>6</x:v>
      </x:c>
      <x:c r="D2694" s="19" t="str">
        <x:v>C05-M064</x:v>
      </x:c>
      <x:c r="E2694" s="19" t="str">
        <x:v>封印庭银纹卒</x:v>
      </x:c>
      <x:c r="F2694" s="19" t="str">
        <x:v>普通</x:v>
      </x:c>
      <x:c r="G2694" s="19" t="str">
        <x:v>材料独立候选</x:v>
      </x:c>
      <x:c r="H2694" s="19" t="str">
        <x:v>湖心月谱残章</x:v>
      </x:c>
      <x:c r="I2694" s="22" t="n">
        <x:v>1200000</x:v>
      </x:c>
      <x:c r="J2694" s="22" t="n">
        <x:v>1</x:v>
      </x:c>
      <x:c r="K2694" s="19" t="n">
        <x:v>1</x:v>
      </x:c>
      <x:c r="L2694" s="24" t="n">
        <x:v>29.33733333333333</x:v>
      </x:c>
      <x:c r="M2694" s="26" t="n">
        <x:v>0.1</x:v>
      </x:c>
      <x:c r="N2694" s="24" t="n">
        <x:v>72</x:v>
      </x:c>
      <x:c r="O2694" s="28" t="n">
        <x:f>MIN(1,L2694/I2694)</x:f>
        <x:v>0.000024447777777777775</x:v>
      </x:c>
      <x:c r="P2694" s="30" t="n">
        <x:f>O2694*J2694*(1+M2694)</x:f>
        <x:v>0.000026892555555555555</x:v>
      </x:c>
      <x:c r="Q2694" s="30" t="n">
        <x:f>P2694*N2694</x:f>
        <x:v>0.001936264</x:v>
      </x:c>
      <x:c r="R2694" s="19" t="str">
        <x:v>独立判定</x:v>
      </x:c>
    </x:row>
    <x:row r="2695" ht="19" customHeight="1">
      <x:c r="A2695" s="19" t="str">
        <x:v>D02691</x:v>
      </x:c>
      <x:c r="B2695" s="19" t="n">
        <x:v>5</x:v>
      </x:c>
      <x:c r="C2695" s="19" t="n">
        <x:v>6</x:v>
      </x:c>
      <x:c r="D2695" s="19" t="str">
        <x:v>C05-M064</x:v>
      </x:c>
      <x:c r="E2695" s="19" t="str">
        <x:v>封印庭银纹卒</x:v>
      </x:c>
      <x:c r="F2695" s="19" t="str">
        <x:v>普通</x:v>
      </x:c>
      <x:c r="G2695" s="19" t="str">
        <x:v>材料独立候选</x:v>
      </x:c>
      <x:c r="H2695" s="19" t="str">
        <x:v>野兽骨片</x:v>
      </x:c>
      <x:c r="I2695" s="22" t="n">
        <x:v>150</x:v>
      </x:c>
      <x:c r="J2695" s="22" t="n">
        <x:v>3</x:v>
      </x:c>
      <x:c r="K2695" s="19" t="n">
        <x:v>1</x:v>
      </x:c>
      <x:c r="L2695" s="24" t="n">
        <x:v>29.33733333333333</x:v>
      </x:c>
      <x:c r="M2695" s="26" t="n">
        <x:v>0.1</x:v>
      </x:c>
      <x:c r="N2695" s="24" t="n">
        <x:v>72</x:v>
      </x:c>
      <x:c r="O2695" s="28" t="n">
        <x:f>MIN(1,L2695/I2695)</x:f>
        <x:v>0.1955822222222222</x:v>
      </x:c>
      <x:c r="P2695" s="30" t="n">
        <x:f>O2695*J2695*(1+M2695)</x:f>
        <x:v>0.6454213333333334</x:v>
      </x:c>
      <x:c r="Q2695" s="30" t="n">
        <x:f>P2695*N2695</x:f>
        <x:v>46.470336</x:v>
      </x:c>
      <x:c r="R2695" s="19" t="str">
        <x:v>独立判定</x:v>
      </x:c>
    </x:row>
    <x:row r="2696" ht="19" customHeight="1">
      <x:c r="A2696" s="19" t="str">
        <x:v>D02692</x:v>
      </x:c>
      <x:c r="B2696" s="19" t="n">
        <x:v>5</x:v>
      </x:c>
      <x:c r="C2696" s="19" t="n">
        <x:v>6</x:v>
      </x:c>
      <x:c r="D2696" s="19" t="str">
        <x:v>C05-M064</x:v>
      </x:c>
      <x:c r="E2696" s="19" t="str">
        <x:v>封印庭银纹卒</x:v>
      </x:c>
      <x:c r="F2696" s="19" t="str">
        <x:v>普通</x:v>
      </x:c>
      <x:c r="G2696" s="19" t="str">
        <x:v>材料独立候选</x:v>
      </x:c>
      <x:c r="H2696" s="19" t="str">
        <x:v>技能残页</x:v>
      </x:c>
      <x:c r="I2696" s="22" t="n">
        <x:v>4000</x:v>
      </x:c>
      <x:c r="J2696" s="22" t="n">
        <x:v>1</x:v>
      </x:c>
      <x:c r="K2696" s="19" t="n">
        <x:v>1</x:v>
      </x:c>
      <x:c r="L2696" s="24" t="n">
        <x:v>29.33733333333333</x:v>
      </x:c>
      <x:c r="M2696" s="26" t="n">
        <x:v>0.1</x:v>
      </x:c>
      <x:c r="N2696" s="24" t="n">
        <x:v>72</x:v>
      </x:c>
      <x:c r="O2696" s="28" t="n">
        <x:f>MIN(1,L2696/I2696)</x:f>
        <x:v>0.0073343333333333325</x:v>
      </x:c>
      <x:c r="P2696" s="30" t="n">
        <x:f>O2696*J2696*(1+M2696)</x:f>
        <x:v>0.008067766666666667</x:v>
      </x:c>
      <x:c r="Q2696" s="30" t="n">
        <x:f>P2696*N2696</x:f>
        <x:v>0.5808792</x:v>
      </x:c>
      <x:c r="R2696" s="19" t="str">
        <x:v>独立判定</x:v>
      </x:c>
    </x:row>
    <x:row r="2697" ht="19" customHeight="1">
      <x:c r="A2697" s="19" t="str">
        <x:v>D02693</x:v>
      </x:c>
      <x:c r="B2697" s="19" t="n">
        <x:v>5</x:v>
      </x:c>
      <x:c r="C2697" s="19" t="n">
        <x:v>6</x:v>
      </x:c>
      <x:c r="D2697" s="19" t="str">
        <x:v>C05-M064</x:v>
      </x:c>
      <x:c r="E2697" s="19" t="str">
        <x:v>封印庭银纹卒</x:v>
      </x:c>
      <x:c r="F2697" s="19" t="str">
        <x:v>普通</x:v>
      </x:c>
      <x:c r="G2697" s="19" t="str">
        <x:v>材料独立候选</x:v>
      </x:c>
      <x:c r="H2697" s="19" t="str">
        <x:v>小卢恩</x:v>
      </x:c>
      <x:c r="I2697" s="22" t="n">
        <x:v>8000</x:v>
      </x:c>
      <x:c r="J2697" s="22" t="n">
        <x:v>1</x:v>
      </x:c>
      <x:c r="K2697" s="19" t="n">
        <x:v>1</x:v>
      </x:c>
      <x:c r="L2697" s="24" t="n">
        <x:v>29.33733333333333</x:v>
      </x:c>
      <x:c r="M2697" s="26" t="n">
        <x:v>0.1</x:v>
      </x:c>
      <x:c r="N2697" s="24" t="n">
        <x:v>72</x:v>
      </x:c>
      <x:c r="O2697" s="28" t="n">
        <x:f>MIN(1,L2697/I2697)</x:f>
        <x:v>0.0036671666666666662</x:v>
      </x:c>
      <x:c r="P2697" s="30" t="n">
        <x:f>O2697*J2697*(1+M2697)</x:f>
        <x:v>0.004033883333333333</x:v>
      </x:c>
      <x:c r="Q2697" s="30" t="n">
        <x:f>P2697*N2697</x:f>
        <x:v>0.2904396</x:v>
      </x:c>
      <x:c r="R2697" s="19" t="str">
        <x:v>独立判定</x:v>
      </x:c>
    </x:row>
    <x:row r="2698" ht="19" customHeight="1">
      <x:c r="A2698" s="19" t="str">
        <x:v>D02694</x:v>
      </x:c>
      <x:c r="B2698" s="19" t="n">
        <x:v>5</x:v>
      </x:c>
      <x:c r="C2698" s="19" t="n">
        <x:v>6</x:v>
      </x:c>
      <x:c r="D2698" s="19" t="str">
        <x:v>C05-M064</x:v>
      </x:c>
      <x:c r="E2698" s="19" t="str">
        <x:v>封印庭银纹卒</x:v>
      </x:c>
      <x:c r="F2698" s="19" t="str">
        <x:v>普通</x:v>
      </x:c>
      <x:c r="G2698" s="19" t="str">
        <x:v>六神器公共池</x:v>
      </x:c>
      <x:c r="H2698" s="19" t="str">
        <x:v>POOL006</x:v>
      </x:c>
      <x:c r="I2698" s="22" t="n">
        <x:v>20000000</x:v>
      </x:c>
      <x:c r="J2698" s="22" t="n">
        <x:v>1</x:v>
      </x:c>
      <x:c r="K2698" s="19" t="n">
        <x:v>6</x:v>
      </x:c>
      <x:c r="L2698" s="24" t="n">
        <x:v>29.33733333333333</x:v>
      </x:c>
      <x:c r="M2698" s="26" t="n">
        <x:v>0.1</x:v>
      </x:c>
      <x:c r="N2698" s="24" t="n">
        <x:v>72</x:v>
      </x:c>
      <x:c r="O2698" s="28" t="n">
        <x:f>MIN(1,L2698/I2698)</x:f>
        <x:v>0.0000014668666666666665</x:v>
      </x:c>
      <x:c r="P2698" s="30" t="n">
        <x:f>O2698*J2698*(1+M2698)</x:f>
        <x:v>0.0000016135533333333332</x:v>
      </x:c>
      <x:c r="Q2698" s="30" t="n">
        <x:f>P2698*N2698</x:f>
        <x:v>0.00011617584</x:v>
      </x:c>
      <x:c r="R2698" s="19" t="str">
        <x:v>六选一；非6个独立爆率</x:v>
      </x:c>
    </x:row>
    <x:row r="2699" ht="19" customHeight="1">
      <x:c r="A2699" s="19" t="str">
        <x:v>D02695</x:v>
      </x:c>
      <x:c r="B2699" s="19" t="n">
        <x:v>5</x:v>
      </x:c>
      <x:c r="C2699" s="19" t="n">
        <x:v>6</x:v>
      </x:c>
      <x:c r="D2699" s="19" t="str">
        <x:v>C05-M065</x:v>
      </x:c>
      <x:c r="E2699" s="19" t="str">
        <x:v>月蚀殿噬辉蛾</x:v>
      </x:c>
      <x:c r="F2699" s="19" t="str">
        <x:v>普通</x:v>
      </x:c>
      <x:c r="G2699" s="19" t="str">
        <x:v>自身专属</x:v>
      </x:c>
      <x:c r="H2699" s="19" t="str">
        <x:v>噬辉蛾蚀月笠</x:v>
      </x:c>
      <x:c r="I2699" s="22" t="n">
        <x:v>2000</x:v>
      </x:c>
      <x:c r="J2699" s="22" t="n">
        <x:v>1</x:v>
      </x:c>
      <x:c r="K2699" s="19" t="n">
        <x:v>1</x:v>
      </x:c>
      <x:c r="L2699" s="24" t="n">
        <x:v>29.33733333333333</x:v>
      </x:c>
      <x:c r="M2699" s="26" t="n">
        <x:v>0.1</x:v>
      </x:c>
      <x:c r="N2699" s="24" t="n">
        <x:v>72</x:v>
      </x:c>
      <x:c r="O2699" s="28" t="n">
        <x:f>MIN(1,L2699/I2699)</x:f>
        <x:v>0.014668666666666665</x:v>
      </x:c>
      <x:c r="P2699" s="30" t="n">
        <x:f>O2699*J2699*(1+M2699)</x:f>
        <x:v>0.016135533333333334</x:v>
      </x:c>
      <x:c r="Q2699" s="30" t="n">
        <x:f>P2699*N2699</x:f>
        <x:v>1.1617584</x:v>
      </x:c>
      <x:c r="R2699" s="19" t="str">
        <x:v>独立判定</x:v>
      </x:c>
    </x:row>
    <x:row r="2700" ht="19" customHeight="1">
      <x:c r="A2700" s="19" t="str">
        <x:v>D02696</x:v>
      </x:c>
      <x:c r="B2700" s="19" t="n">
        <x:v>5</x:v>
      </x:c>
      <x:c r="C2700" s="19" t="n">
        <x:v>6</x:v>
      </x:c>
      <x:c r="D2700" s="19" t="str">
        <x:v>C05-M065</x:v>
      </x:c>
      <x:c r="E2700" s="19" t="str">
        <x:v>月蚀殿噬辉蛾</x:v>
      </x:c>
      <x:c r="F2700" s="19" t="str">
        <x:v>普通</x:v>
      </x:c>
      <x:c r="G2700" s="19" t="str">
        <x:v>材料独立候选</x:v>
      </x:c>
      <x:c r="H2700" s="19" t="str">
        <x:v>辉石碎晶</x:v>
      </x:c>
      <x:c r="I2700" s="22" t="n">
        <x:v>1000</x:v>
      </x:c>
      <x:c r="J2700" s="22" t="n">
        <x:v>8</x:v>
      </x:c>
      <x:c r="K2700" s="19" t="n">
        <x:v>1</x:v>
      </x:c>
      <x:c r="L2700" s="24" t="n">
        <x:v>29.33733333333333</x:v>
      </x:c>
      <x:c r="M2700" s="26" t="n">
        <x:v>0.1</x:v>
      </x:c>
      <x:c r="N2700" s="24" t="n">
        <x:v>72</x:v>
      </x:c>
      <x:c r="O2700" s="28" t="n">
        <x:f>MIN(1,L2700/I2700)</x:f>
        <x:v>0.02933733333333333</x:v>
      </x:c>
      <x:c r="P2700" s="30" t="n">
        <x:f>O2700*J2700*(1+M2700)</x:f>
        <x:v>0.25816853333333334</x:v>
      </x:c>
      <x:c r="Q2700" s="30" t="n">
        <x:f>P2700*N2700</x:f>
        <x:v>18.5881344</x:v>
      </x:c>
      <x:c r="R2700" s="19" t="str">
        <x:v>独立判定</x:v>
      </x:c>
    </x:row>
    <x:row r="2701" ht="19" customHeight="1">
      <x:c r="A2701" s="19" t="str">
        <x:v>D02697</x:v>
      </x:c>
      <x:c r="B2701" s="19" t="n">
        <x:v>5</x:v>
      </x:c>
      <x:c r="C2701" s="19" t="n">
        <x:v>6</x:v>
      </x:c>
      <x:c r="D2701" s="19" t="str">
        <x:v>C05-M065</x:v>
      </x:c>
      <x:c r="E2701" s="19" t="str">
        <x:v>月蚀殿噬辉蛾</x:v>
      </x:c>
      <x:c r="F2701" s="19" t="str">
        <x:v>普通</x:v>
      </x:c>
      <x:c r="G2701" s="19" t="str">
        <x:v>材料独立候选</x:v>
      </x:c>
      <x:c r="H2701" s="19" t="str">
        <x:v>雾月星砂</x:v>
      </x:c>
      <x:c r="I2701" s="22" t="n">
        <x:v>1200</x:v>
      </x:c>
      <x:c r="J2701" s="22" t="n">
        <x:v>1</x:v>
      </x:c>
      <x:c r="K2701" s="19" t="n">
        <x:v>1</x:v>
      </x:c>
      <x:c r="L2701" s="24" t="n">
        <x:v>29.33733333333333</x:v>
      </x:c>
      <x:c r="M2701" s="26" t="n">
        <x:v>0.1</x:v>
      </x:c>
      <x:c r="N2701" s="24" t="n">
        <x:v>72</x:v>
      </x:c>
      <x:c r="O2701" s="28" t="n">
        <x:f>MIN(1,L2701/I2701)</x:f>
        <x:v>0.024447777777777777</x:v>
      </x:c>
      <x:c r="P2701" s="30" t="n">
        <x:f>O2701*J2701*(1+M2701)</x:f>
        <x:v>0.026892555555555555</x:v>
      </x:c>
      <x:c r="Q2701" s="30" t="n">
        <x:f>P2701*N2701</x:f>
        <x:v>1.936264</x:v>
      </x:c>
      <x:c r="R2701" s="19" t="str">
        <x:v>独立判定</x:v>
      </x:c>
    </x:row>
    <x:row r="2702" ht="19" customHeight="1">
      <x:c r="A2702" s="19" t="str">
        <x:v>D02698</x:v>
      </x:c>
      <x:c r="B2702" s="19" t="n">
        <x:v>5</x:v>
      </x:c>
      <x:c r="C2702" s="19" t="n">
        <x:v>6</x:v>
      </x:c>
      <x:c r="D2702" s="19" t="str">
        <x:v>C05-M065</x:v>
      </x:c>
      <x:c r="E2702" s="19" t="str">
        <x:v>月蚀殿噬辉蛾</x:v>
      </x:c>
      <x:c r="F2702" s="19" t="str">
        <x:v>普通</x:v>
      </x:c>
      <x:c r="G2702" s="19" t="str">
        <x:v>材料独立候选</x:v>
      </x:c>
      <x:c r="H2702" s="19" t="str">
        <x:v>湖心月谱残章</x:v>
      </x:c>
      <x:c r="I2702" s="22" t="n">
        <x:v>1200000</x:v>
      </x:c>
      <x:c r="J2702" s="22" t="n">
        <x:v>1</x:v>
      </x:c>
      <x:c r="K2702" s="19" t="n">
        <x:v>1</x:v>
      </x:c>
      <x:c r="L2702" s="24" t="n">
        <x:v>29.33733333333333</x:v>
      </x:c>
      <x:c r="M2702" s="26" t="n">
        <x:v>0.1</x:v>
      </x:c>
      <x:c r="N2702" s="24" t="n">
        <x:v>72</x:v>
      </x:c>
      <x:c r="O2702" s="28" t="n">
        <x:f>MIN(1,L2702/I2702)</x:f>
        <x:v>0.000024447777777777775</x:v>
      </x:c>
      <x:c r="P2702" s="30" t="n">
        <x:f>O2702*J2702*(1+M2702)</x:f>
        <x:v>0.000026892555555555555</x:v>
      </x:c>
      <x:c r="Q2702" s="30" t="n">
        <x:f>P2702*N2702</x:f>
        <x:v>0.001936264</x:v>
      </x:c>
      <x:c r="R2702" s="19" t="str">
        <x:v>独立判定</x:v>
      </x:c>
    </x:row>
    <x:row r="2703" ht="19" customHeight="1">
      <x:c r="A2703" s="19" t="str">
        <x:v>D02699</x:v>
      </x:c>
      <x:c r="B2703" s="19" t="n">
        <x:v>5</x:v>
      </x:c>
      <x:c r="C2703" s="19" t="n">
        <x:v>6</x:v>
      </x:c>
      <x:c r="D2703" s="19" t="str">
        <x:v>C05-M065</x:v>
      </x:c>
      <x:c r="E2703" s="19" t="str">
        <x:v>月蚀殿噬辉蛾</x:v>
      </x:c>
      <x:c r="F2703" s="19" t="str">
        <x:v>普通</x:v>
      </x:c>
      <x:c r="G2703" s="19" t="str">
        <x:v>材料独立候选</x:v>
      </x:c>
      <x:c r="H2703" s="19" t="str">
        <x:v>野兽骨片</x:v>
      </x:c>
      <x:c r="I2703" s="22" t="n">
        <x:v>150</x:v>
      </x:c>
      <x:c r="J2703" s="22" t="n">
        <x:v>3</x:v>
      </x:c>
      <x:c r="K2703" s="19" t="n">
        <x:v>1</x:v>
      </x:c>
      <x:c r="L2703" s="24" t="n">
        <x:v>29.33733333333333</x:v>
      </x:c>
      <x:c r="M2703" s="26" t="n">
        <x:v>0.1</x:v>
      </x:c>
      <x:c r="N2703" s="24" t="n">
        <x:v>72</x:v>
      </x:c>
      <x:c r="O2703" s="28" t="n">
        <x:f>MIN(1,L2703/I2703)</x:f>
        <x:v>0.1955822222222222</x:v>
      </x:c>
      <x:c r="P2703" s="30" t="n">
        <x:f>O2703*J2703*(1+M2703)</x:f>
        <x:v>0.6454213333333334</x:v>
      </x:c>
      <x:c r="Q2703" s="30" t="n">
        <x:f>P2703*N2703</x:f>
        <x:v>46.470336</x:v>
      </x:c>
      <x:c r="R2703" s="19" t="str">
        <x:v>独立判定</x:v>
      </x:c>
    </x:row>
    <x:row r="2704" ht="19" customHeight="1">
      <x:c r="A2704" s="19" t="str">
        <x:v>D02700</x:v>
      </x:c>
      <x:c r="B2704" s="19" t="n">
        <x:v>5</x:v>
      </x:c>
      <x:c r="C2704" s="19" t="n">
        <x:v>6</x:v>
      </x:c>
      <x:c r="D2704" s="19" t="str">
        <x:v>C05-M065</x:v>
      </x:c>
      <x:c r="E2704" s="19" t="str">
        <x:v>月蚀殿噬辉蛾</x:v>
      </x:c>
      <x:c r="F2704" s="19" t="str">
        <x:v>普通</x:v>
      </x:c>
      <x:c r="G2704" s="19" t="str">
        <x:v>材料独立候选</x:v>
      </x:c>
      <x:c r="H2704" s="19" t="str">
        <x:v>技能残页</x:v>
      </x:c>
      <x:c r="I2704" s="22" t="n">
        <x:v>4000</x:v>
      </x:c>
      <x:c r="J2704" s="22" t="n">
        <x:v>1</x:v>
      </x:c>
      <x:c r="K2704" s="19" t="n">
        <x:v>1</x:v>
      </x:c>
      <x:c r="L2704" s="24" t="n">
        <x:v>29.33733333333333</x:v>
      </x:c>
      <x:c r="M2704" s="26" t="n">
        <x:v>0.1</x:v>
      </x:c>
      <x:c r="N2704" s="24" t="n">
        <x:v>72</x:v>
      </x:c>
      <x:c r="O2704" s="28" t="n">
        <x:f>MIN(1,L2704/I2704)</x:f>
        <x:v>0.0073343333333333325</x:v>
      </x:c>
      <x:c r="P2704" s="30" t="n">
        <x:f>O2704*J2704*(1+M2704)</x:f>
        <x:v>0.008067766666666667</x:v>
      </x:c>
      <x:c r="Q2704" s="30" t="n">
        <x:f>P2704*N2704</x:f>
        <x:v>0.5808792</x:v>
      </x:c>
      <x:c r="R2704" s="19" t="str">
        <x:v>独立判定</x:v>
      </x:c>
    </x:row>
    <x:row r="2705" ht="19" customHeight="1">
      <x:c r="A2705" s="19" t="str">
        <x:v>D02701</x:v>
      </x:c>
      <x:c r="B2705" s="19" t="n">
        <x:v>5</x:v>
      </x:c>
      <x:c r="C2705" s="19" t="n">
        <x:v>6</x:v>
      </x:c>
      <x:c r="D2705" s="19" t="str">
        <x:v>C05-M065</x:v>
      </x:c>
      <x:c r="E2705" s="19" t="str">
        <x:v>月蚀殿噬辉蛾</x:v>
      </x:c>
      <x:c r="F2705" s="19" t="str">
        <x:v>普通</x:v>
      </x:c>
      <x:c r="G2705" s="19" t="str">
        <x:v>材料独立候选</x:v>
      </x:c>
      <x:c r="H2705" s="19" t="str">
        <x:v>小卢恩</x:v>
      </x:c>
      <x:c r="I2705" s="22" t="n">
        <x:v>8000</x:v>
      </x:c>
      <x:c r="J2705" s="22" t="n">
        <x:v>1</x:v>
      </x:c>
      <x:c r="K2705" s="19" t="n">
        <x:v>1</x:v>
      </x:c>
      <x:c r="L2705" s="24" t="n">
        <x:v>29.33733333333333</x:v>
      </x:c>
      <x:c r="M2705" s="26" t="n">
        <x:v>0.1</x:v>
      </x:c>
      <x:c r="N2705" s="24" t="n">
        <x:v>72</x:v>
      </x:c>
      <x:c r="O2705" s="28" t="n">
        <x:f>MIN(1,L2705/I2705)</x:f>
        <x:v>0.0036671666666666662</x:v>
      </x:c>
      <x:c r="P2705" s="30" t="n">
        <x:f>O2705*J2705*(1+M2705)</x:f>
        <x:v>0.004033883333333333</x:v>
      </x:c>
      <x:c r="Q2705" s="30" t="n">
        <x:f>P2705*N2705</x:f>
        <x:v>0.2904396</x:v>
      </x:c>
      <x:c r="R2705" s="19" t="str">
        <x:v>独立判定</x:v>
      </x:c>
    </x:row>
    <x:row r="2706" ht="19" customHeight="1">
      <x:c r="A2706" s="19" t="str">
        <x:v>D02702</x:v>
      </x:c>
      <x:c r="B2706" s="19" t="n">
        <x:v>5</x:v>
      </x:c>
      <x:c r="C2706" s="19" t="n">
        <x:v>6</x:v>
      </x:c>
      <x:c r="D2706" s="19" t="str">
        <x:v>C05-M065</x:v>
      </x:c>
      <x:c r="E2706" s="19" t="str">
        <x:v>月蚀殿噬辉蛾</x:v>
      </x:c>
      <x:c r="F2706" s="19" t="str">
        <x:v>普通</x:v>
      </x:c>
      <x:c r="G2706" s="19" t="str">
        <x:v>六神器公共池</x:v>
      </x:c>
      <x:c r="H2706" s="19" t="str">
        <x:v>POOL006</x:v>
      </x:c>
      <x:c r="I2706" s="22" t="n">
        <x:v>20000000</x:v>
      </x:c>
      <x:c r="J2706" s="22" t="n">
        <x:v>1</x:v>
      </x:c>
      <x:c r="K2706" s="19" t="n">
        <x:v>6</x:v>
      </x:c>
      <x:c r="L2706" s="24" t="n">
        <x:v>29.33733333333333</x:v>
      </x:c>
      <x:c r="M2706" s="26" t="n">
        <x:v>0.1</x:v>
      </x:c>
      <x:c r="N2706" s="24" t="n">
        <x:v>72</x:v>
      </x:c>
      <x:c r="O2706" s="28" t="n">
        <x:f>MIN(1,L2706/I2706)</x:f>
        <x:v>0.0000014668666666666665</x:v>
      </x:c>
      <x:c r="P2706" s="30" t="n">
        <x:f>O2706*J2706*(1+M2706)</x:f>
        <x:v>0.0000016135533333333332</x:v>
      </x:c>
      <x:c r="Q2706" s="30" t="n">
        <x:f>P2706*N2706</x:f>
        <x:v>0.00011617584</x:v>
      </x:c>
      <x:c r="R2706" s="19" t="str">
        <x:v>六选一；非6个独立爆率</x:v>
      </x:c>
    </x:row>
    <x:row r="2707" ht="19" customHeight="1">
      <x:c r="A2707" s="19" t="str">
        <x:v>D02703</x:v>
      </x:c>
      <x:c r="B2707" s="19" t="n">
        <x:v>5</x:v>
      </x:c>
      <x:c r="C2707" s="19" t="n">
        <x:v>6</x:v>
      </x:c>
      <x:c r="D2707" s="19" t="str">
        <x:v>C05-M066</x:v>
      </x:c>
      <x:c r="E2707" s="19" t="str">
        <x:v>圣所守星残灵</x:v>
      </x:c>
      <x:c r="F2707" s="19" t="str">
        <x:v>普通</x:v>
      </x:c>
      <x:c r="G2707" s="19" t="str">
        <x:v>自身专属</x:v>
      </x:c>
      <x:c r="H2707" s="19" t="str">
        <x:v>守星残灵戒</x:v>
      </x:c>
      <x:c r="I2707" s="22" t="n">
        <x:v>2000</x:v>
      </x:c>
      <x:c r="J2707" s="22" t="n">
        <x:v>1</x:v>
      </x:c>
      <x:c r="K2707" s="19" t="n">
        <x:v>1</x:v>
      </x:c>
      <x:c r="L2707" s="24" t="n">
        <x:v>29.33733333333333</x:v>
      </x:c>
      <x:c r="M2707" s="26" t="n">
        <x:v>0.1</x:v>
      </x:c>
      <x:c r="N2707" s="24" t="n">
        <x:v>60.964491194305666</x:v>
      </x:c>
      <x:c r="O2707" s="28" t="n">
        <x:f>MIN(1,L2707/I2707)</x:f>
        <x:v>0.014668666666666665</x:v>
      </x:c>
      <x:c r="P2707" s="30" t="n">
        <x:f>O2707*J2707*(1+M2707)</x:f>
        <x:v>0.016135533333333334</x:v>
      </x:c>
      <x:c r="Q2707" s="30" t="n">
        <x:f>P2707*N2707</x:f>
        <x:v>0.9836945798154255</x:v>
      </x:c>
      <x:c r="R2707" s="19" t="str">
        <x:v>独立判定</x:v>
      </x:c>
    </x:row>
    <x:row r="2708" ht="19" customHeight="1">
      <x:c r="A2708" s="19" t="str">
        <x:v>D02704</x:v>
      </x:c>
      <x:c r="B2708" s="19" t="n">
        <x:v>5</x:v>
      </x:c>
      <x:c r="C2708" s="19" t="n">
        <x:v>6</x:v>
      </x:c>
      <x:c r="D2708" s="19" t="str">
        <x:v>C05-M066</x:v>
      </x:c>
      <x:c r="E2708" s="19" t="str">
        <x:v>圣所守星残灵</x:v>
      </x:c>
      <x:c r="F2708" s="19" t="str">
        <x:v>普通</x:v>
      </x:c>
      <x:c r="G2708" s="19" t="str">
        <x:v>材料独立候选</x:v>
      </x:c>
      <x:c r="H2708" s="19" t="str">
        <x:v>辉石碎晶</x:v>
      </x:c>
      <x:c r="I2708" s="22" t="n">
        <x:v>1000</x:v>
      </x:c>
      <x:c r="J2708" s="22" t="n">
        <x:v>8</x:v>
      </x:c>
      <x:c r="K2708" s="19" t="n">
        <x:v>1</x:v>
      </x:c>
      <x:c r="L2708" s="24" t="n">
        <x:v>29.33733333333333</x:v>
      </x:c>
      <x:c r="M2708" s="26" t="n">
        <x:v>0.1</x:v>
      </x:c>
      <x:c r="N2708" s="24" t="n">
        <x:v>60.964491194305666</x:v>
      </x:c>
      <x:c r="O2708" s="28" t="n">
        <x:f>MIN(1,L2708/I2708)</x:f>
        <x:v>0.02933733333333333</x:v>
      </x:c>
      <x:c r="P2708" s="30" t="n">
        <x:f>O2708*J2708*(1+M2708)</x:f>
        <x:v>0.25816853333333334</x:v>
      </x:c>
      <x:c r="Q2708" s="30" t="n">
        <x:f>P2708*N2708</x:f>
        <x:v>15.739113277046808</x:v>
      </x:c>
      <x:c r="R2708" s="19" t="str">
        <x:v>独立判定</x:v>
      </x:c>
    </x:row>
    <x:row r="2709" ht="19" customHeight="1">
      <x:c r="A2709" s="19" t="str">
        <x:v>D02705</x:v>
      </x:c>
      <x:c r="B2709" s="19" t="n">
        <x:v>5</x:v>
      </x:c>
      <x:c r="C2709" s="19" t="n">
        <x:v>6</x:v>
      </x:c>
      <x:c r="D2709" s="19" t="str">
        <x:v>C05-M066</x:v>
      </x:c>
      <x:c r="E2709" s="19" t="str">
        <x:v>圣所守星残灵</x:v>
      </x:c>
      <x:c r="F2709" s="19" t="str">
        <x:v>普通</x:v>
      </x:c>
      <x:c r="G2709" s="19" t="str">
        <x:v>材料独立候选</x:v>
      </x:c>
      <x:c r="H2709" s="19" t="str">
        <x:v>雾月星砂</x:v>
      </x:c>
      <x:c r="I2709" s="22" t="n">
        <x:v>1200</x:v>
      </x:c>
      <x:c r="J2709" s="22" t="n">
        <x:v>1</x:v>
      </x:c>
      <x:c r="K2709" s="19" t="n">
        <x:v>1</x:v>
      </x:c>
      <x:c r="L2709" s="24" t="n">
        <x:v>29.33733333333333</x:v>
      </x:c>
      <x:c r="M2709" s="26" t="n">
        <x:v>0.1</x:v>
      </x:c>
      <x:c r="N2709" s="24" t="n">
        <x:v>60.964491194305666</x:v>
      </x:c>
      <x:c r="O2709" s="28" t="n">
        <x:f>MIN(1,L2709/I2709)</x:f>
        <x:v>0.024447777777777777</x:v>
      </x:c>
      <x:c r="P2709" s="30" t="n">
        <x:f>O2709*J2709*(1+M2709)</x:f>
        <x:v>0.026892555555555555</x:v>
      </x:c>
      <x:c r="Q2709" s="30" t="n">
        <x:f>P2709*N2709</x:f>
        <x:v>1.6394909663590425</x:v>
      </x:c>
      <x:c r="R2709" s="19" t="str">
        <x:v>独立判定</x:v>
      </x:c>
    </x:row>
    <x:row r="2710" ht="19" customHeight="1">
      <x:c r="A2710" s="19" t="str">
        <x:v>D02706</x:v>
      </x:c>
      <x:c r="B2710" s="19" t="n">
        <x:v>5</x:v>
      </x:c>
      <x:c r="C2710" s="19" t="n">
        <x:v>6</x:v>
      </x:c>
      <x:c r="D2710" s="19" t="str">
        <x:v>C05-M066</x:v>
      </x:c>
      <x:c r="E2710" s="19" t="str">
        <x:v>圣所守星残灵</x:v>
      </x:c>
      <x:c r="F2710" s="19" t="str">
        <x:v>普通</x:v>
      </x:c>
      <x:c r="G2710" s="19" t="str">
        <x:v>材料独立候选</x:v>
      </x:c>
      <x:c r="H2710" s="19" t="str">
        <x:v>湖心月谱残章</x:v>
      </x:c>
      <x:c r="I2710" s="22" t="n">
        <x:v>1200000</x:v>
      </x:c>
      <x:c r="J2710" s="22" t="n">
        <x:v>1</x:v>
      </x:c>
      <x:c r="K2710" s="19" t="n">
        <x:v>1</x:v>
      </x:c>
      <x:c r="L2710" s="24" t="n">
        <x:v>29.33733333333333</x:v>
      </x:c>
      <x:c r="M2710" s="26" t="n">
        <x:v>0.1</x:v>
      </x:c>
      <x:c r="N2710" s="24" t="n">
        <x:v>60.964491194305666</x:v>
      </x:c>
      <x:c r="O2710" s="28" t="n">
        <x:f>MIN(1,L2710/I2710)</x:f>
        <x:v>0.000024447777777777775</x:v>
      </x:c>
      <x:c r="P2710" s="30" t="n">
        <x:f>O2710*J2710*(1+M2710)</x:f>
        <x:v>0.000026892555555555555</x:v>
      </x:c>
      <x:c r="Q2710" s="30" t="n">
        <x:f>P2710*N2710</x:f>
        <x:v>0.0016394909663590424</x:v>
      </x:c>
      <x:c r="R2710" s="19" t="str">
        <x:v>独立判定</x:v>
      </x:c>
    </x:row>
    <x:row r="2711" ht="19" customHeight="1">
      <x:c r="A2711" s="19" t="str">
        <x:v>D02707</x:v>
      </x:c>
      <x:c r="B2711" s="19" t="n">
        <x:v>5</x:v>
      </x:c>
      <x:c r="C2711" s="19" t="n">
        <x:v>6</x:v>
      </x:c>
      <x:c r="D2711" s="19" t="str">
        <x:v>C05-M066</x:v>
      </x:c>
      <x:c r="E2711" s="19" t="str">
        <x:v>圣所守星残灵</x:v>
      </x:c>
      <x:c r="F2711" s="19" t="str">
        <x:v>普通</x:v>
      </x:c>
      <x:c r="G2711" s="19" t="str">
        <x:v>材料独立候选</x:v>
      </x:c>
      <x:c r="H2711" s="19" t="str">
        <x:v>野兽骨片</x:v>
      </x:c>
      <x:c r="I2711" s="22" t="n">
        <x:v>150</x:v>
      </x:c>
      <x:c r="J2711" s="22" t="n">
        <x:v>3</x:v>
      </x:c>
      <x:c r="K2711" s="19" t="n">
        <x:v>1</x:v>
      </x:c>
      <x:c r="L2711" s="24" t="n">
        <x:v>29.33733333333333</x:v>
      </x:c>
      <x:c r="M2711" s="26" t="n">
        <x:v>0.1</x:v>
      </x:c>
      <x:c r="N2711" s="24" t="n">
        <x:v>60.964491194305666</x:v>
      </x:c>
      <x:c r="O2711" s="28" t="n">
        <x:f>MIN(1,L2711/I2711)</x:f>
        <x:v>0.1955822222222222</x:v>
      </x:c>
      <x:c r="P2711" s="30" t="n">
        <x:f>O2711*J2711*(1+M2711)</x:f>
        <x:v>0.6454213333333334</x:v>
      </x:c>
      <x:c r="Q2711" s="30" t="n">
        <x:f>P2711*N2711</x:f>
        <x:v>39.34778319261702</x:v>
      </x:c>
      <x:c r="R2711" s="19" t="str">
        <x:v>独立判定</x:v>
      </x:c>
    </x:row>
    <x:row r="2712" ht="19" customHeight="1">
      <x:c r="A2712" s="19" t="str">
        <x:v>D02708</x:v>
      </x:c>
      <x:c r="B2712" s="19" t="n">
        <x:v>5</x:v>
      </x:c>
      <x:c r="C2712" s="19" t="n">
        <x:v>6</x:v>
      </x:c>
      <x:c r="D2712" s="19" t="str">
        <x:v>C05-M066</x:v>
      </x:c>
      <x:c r="E2712" s="19" t="str">
        <x:v>圣所守星残灵</x:v>
      </x:c>
      <x:c r="F2712" s="19" t="str">
        <x:v>普通</x:v>
      </x:c>
      <x:c r="G2712" s="19" t="str">
        <x:v>材料独立候选</x:v>
      </x:c>
      <x:c r="H2712" s="19" t="str">
        <x:v>技能残页</x:v>
      </x:c>
      <x:c r="I2712" s="22" t="n">
        <x:v>4000</x:v>
      </x:c>
      <x:c r="J2712" s="22" t="n">
        <x:v>1</x:v>
      </x:c>
      <x:c r="K2712" s="19" t="n">
        <x:v>1</x:v>
      </x:c>
      <x:c r="L2712" s="24" t="n">
        <x:v>29.33733333333333</x:v>
      </x:c>
      <x:c r="M2712" s="26" t="n">
        <x:v>0.1</x:v>
      </x:c>
      <x:c r="N2712" s="24" t="n">
        <x:v>60.964491194305666</x:v>
      </x:c>
      <x:c r="O2712" s="28" t="n">
        <x:f>MIN(1,L2712/I2712)</x:f>
        <x:v>0.0073343333333333325</x:v>
      </x:c>
      <x:c r="P2712" s="30" t="n">
        <x:f>O2712*J2712*(1+M2712)</x:f>
        <x:v>0.008067766666666667</x:v>
      </x:c>
      <x:c r="Q2712" s="30" t="n">
        <x:f>P2712*N2712</x:f>
        <x:v>0.49184728990771276</x:v>
      </x:c>
      <x:c r="R2712" s="19" t="str">
        <x:v>独立判定</x:v>
      </x:c>
    </x:row>
    <x:row r="2713" ht="19" customHeight="1">
      <x:c r="A2713" s="19" t="str">
        <x:v>D02709</x:v>
      </x:c>
      <x:c r="B2713" s="19" t="n">
        <x:v>5</x:v>
      </x:c>
      <x:c r="C2713" s="19" t="n">
        <x:v>6</x:v>
      </x:c>
      <x:c r="D2713" s="19" t="str">
        <x:v>C05-M066</x:v>
      </x:c>
      <x:c r="E2713" s="19" t="str">
        <x:v>圣所守星残灵</x:v>
      </x:c>
      <x:c r="F2713" s="19" t="str">
        <x:v>普通</x:v>
      </x:c>
      <x:c r="G2713" s="19" t="str">
        <x:v>材料独立候选</x:v>
      </x:c>
      <x:c r="H2713" s="19" t="str">
        <x:v>小卢恩</x:v>
      </x:c>
      <x:c r="I2713" s="22" t="n">
        <x:v>8000</x:v>
      </x:c>
      <x:c r="J2713" s="22" t="n">
        <x:v>1</x:v>
      </x:c>
      <x:c r="K2713" s="19" t="n">
        <x:v>1</x:v>
      </x:c>
      <x:c r="L2713" s="24" t="n">
        <x:v>29.33733333333333</x:v>
      </x:c>
      <x:c r="M2713" s="26" t="n">
        <x:v>0.1</x:v>
      </x:c>
      <x:c r="N2713" s="24" t="n">
        <x:v>60.964491194305666</x:v>
      </x:c>
      <x:c r="O2713" s="28" t="n">
        <x:f>MIN(1,L2713/I2713)</x:f>
        <x:v>0.0036671666666666662</x:v>
      </x:c>
      <x:c r="P2713" s="30" t="n">
        <x:f>O2713*J2713*(1+M2713)</x:f>
        <x:v>0.004033883333333333</x:v>
      </x:c>
      <x:c r="Q2713" s="30" t="n">
        <x:f>P2713*N2713</x:f>
        <x:v>0.24592364495385638</x:v>
      </x:c>
      <x:c r="R2713" s="19" t="str">
        <x:v>独立判定</x:v>
      </x:c>
    </x:row>
    <x:row r="2714" ht="19" customHeight="1">
      <x:c r="A2714" s="19" t="str">
        <x:v>D02710</x:v>
      </x:c>
      <x:c r="B2714" s="19" t="n">
        <x:v>5</x:v>
      </x:c>
      <x:c r="C2714" s="19" t="n">
        <x:v>6</x:v>
      </x:c>
      <x:c r="D2714" s="19" t="str">
        <x:v>C05-M066</x:v>
      </x:c>
      <x:c r="E2714" s="19" t="str">
        <x:v>圣所守星残灵</x:v>
      </x:c>
      <x:c r="F2714" s="19" t="str">
        <x:v>普通</x:v>
      </x:c>
      <x:c r="G2714" s="19" t="str">
        <x:v>六神器公共池</x:v>
      </x:c>
      <x:c r="H2714" s="19" t="str">
        <x:v>POOL006</x:v>
      </x:c>
      <x:c r="I2714" s="22" t="n">
        <x:v>20000000</x:v>
      </x:c>
      <x:c r="J2714" s="22" t="n">
        <x:v>1</x:v>
      </x:c>
      <x:c r="K2714" s="19" t="n">
        <x:v>6</x:v>
      </x:c>
      <x:c r="L2714" s="24" t="n">
        <x:v>29.33733333333333</x:v>
      </x:c>
      <x:c r="M2714" s="26" t="n">
        <x:v>0.1</x:v>
      </x:c>
      <x:c r="N2714" s="24" t="n">
        <x:v>60.964491194305666</x:v>
      </x:c>
      <x:c r="O2714" s="28" t="n">
        <x:f>MIN(1,L2714/I2714)</x:f>
        <x:v>0.0000014668666666666665</x:v>
      </x:c>
      <x:c r="P2714" s="30" t="n">
        <x:f>O2714*J2714*(1+M2714)</x:f>
        <x:v>0.0000016135533333333332</x:v>
      </x:c>
      <x:c r="Q2714" s="30" t="n">
        <x:f>P2714*N2714</x:f>
        <x:v>0.00009836945798154255</x:v>
      </x:c>
      <x:c r="R2714" s="19" t="str">
        <x:v>六选一；非6个独立爆率</x:v>
      </x:c>
    </x:row>
    <x:row r="2715" ht="19" customHeight="1">
      <x:c r="A2715" s="19" t="str">
        <x:v>D02711</x:v>
      </x:c>
      <x:c r="B2715" s="19" t="n">
        <x:v>5</x:v>
      </x:c>
      <x:c r="C2715" s="19" t="n">
        <x:v>6</x:v>
      </x:c>
      <x:c r="D2715" s="19" t="str">
        <x:v>C05-M067</x:v>
      </x:c>
      <x:c r="E2715" s="19" t="str">
        <x:v>王室镜刃使</x:v>
      </x:c>
      <x:c r="F2715" s="19" t="str">
        <x:v>稀有</x:v>
      </x:c>
      <x:c r="G2715" s="19" t="str">
        <x:v>自身专属</x:v>
      </x:c>
      <x:c r="H2715" s="19" t="str">
        <x:v>镜刃王室链</x:v>
      </x:c>
      <x:c r="I2715" s="22" t="n">
        <x:v>500</x:v>
      </x:c>
      <x:c r="J2715" s="22" t="n">
        <x:v>1</x:v>
      </x:c>
      <x:c r="K2715" s="19" t="n">
        <x:v>1</x:v>
      </x:c>
      <x:c r="L2715" s="24" t="n">
        <x:v>29.33733333333333</x:v>
      </x:c>
      <x:c r="M2715" s="26" t="n">
        <x:v>0.1</x:v>
      </x:c>
      <x:c r="N2715" s="24" t="n">
        <x:v>11.00180548945321</x:v>
      </x:c>
      <x:c r="O2715" s="28" t="n">
        <x:f>MIN(1,L2715/I2715)</x:f>
        <x:v>0.05867466666666666</x:v>
      </x:c>
      <x:c r="P2715" s="30" t="n">
        <x:f>O2715*J2715*(1+M2715)</x:f>
        <x:v>0.06454213333333333</x:v>
      </x:c>
      <x:c r="Q2715" s="30" t="n">
        <x:f>P2715*N2715</x:f>
        <x:v>0.7100799968076876</x:v>
      </x:c>
      <x:c r="R2715" s="19" t="str">
        <x:v>独立判定</x:v>
      </x:c>
    </x:row>
    <x:row r="2716" ht="19" customHeight="1">
      <x:c r="A2716" s="19" t="str">
        <x:v>D02712</x:v>
      </x:c>
      <x:c r="B2716" s="19" t="n">
        <x:v>5</x:v>
      </x:c>
      <x:c r="C2716" s="19" t="n">
        <x:v>6</x:v>
      </x:c>
      <x:c r="D2716" s="19" t="str">
        <x:v>C05-M067</x:v>
      </x:c>
      <x:c r="E2716" s="19" t="str">
        <x:v>王室镜刃使</x:v>
      </x:c>
      <x:c r="F2716" s="19" t="str">
        <x:v>稀有</x:v>
      </x:c>
      <x:c r="G2716" s="19" t="str">
        <x:v>材料独立候选</x:v>
      </x:c>
      <x:c r="H2716" s="19" t="str">
        <x:v>辉石碎晶</x:v>
      </x:c>
      <x:c r="I2716" s="22" t="n">
        <x:v>600</x:v>
      </x:c>
      <x:c r="J2716" s="22" t="n">
        <x:v>15</x:v>
      </x:c>
      <x:c r="K2716" s="19" t="n">
        <x:v>1</x:v>
      </x:c>
      <x:c r="L2716" s="24" t="n">
        <x:v>29.33733333333333</x:v>
      </x:c>
      <x:c r="M2716" s="26" t="n">
        <x:v>0.1</x:v>
      </x:c>
      <x:c r="N2716" s="24" t="n">
        <x:v>11.00180548945321</x:v>
      </x:c>
      <x:c r="O2716" s="28" t="n">
        <x:f>MIN(1,L2716/I2716)</x:f>
        <x:v>0.04889555555555555</x:v>
      </x:c>
      <x:c r="P2716" s="30" t="n">
        <x:f>O2716*J2716*(1+M2716)</x:f>
        <x:v>0.8067766666666667</x:v>
      </x:c>
      <x:c r="Q2716" s="30" t="n">
        <x:f>P2716*N2716</x:f>
        <x:v>8.875999960096095</x:v>
      </x:c>
      <x:c r="R2716" s="19" t="str">
        <x:v>独立判定</x:v>
      </x:c>
    </x:row>
    <x:row r="2717" ht="19" customHeight="1">
      <x:c r="A2717" s="19" t="str">
        <x:v>D02713</x:v>
      </x:c>
      <x:c r="B2717" s="19" t="n">
        <x:v>5</x:v>
      </x:c>
      <x:c r="C2717" s="19" t="n">
        <x:v>6</x:v>
      </x:c>
      <x:c r="D2717" s="19" t="str">
        <x:v>C05-M067</x:v>
      </x:c>
      <x:c r="E2717" s="19" t="str">
        <x:v>王室镜刃使</x:v>
      </x:c>
      <x:c r="F2717" s="19" t="str">
        <x:v>稀有</x:v>
      </x:c>
      <x:c r="G2717" s="19" t="str">
        <x:v>材料独立候选</x:v>
      </x:c>
      <x:c r="H2717" s="19" t="str">
        <x:v>卡利亚月露</x:v>
      </x:c>
      <x:c r="I2717" s="22" t="n">
        <x:v>1000</x:v>
      </x:c>
      <x:c r="J2717" s="22" t="n">
        <x:v>1</x:v>
      </x:c>
      <x:c r="K2717" s="19" t="n">
        <x:v>1</x:v>
      </x:c>
      <x:c r="L2717" s="24" t="n">
        <x:v>29.33733333333333</x:v>
      </x:c>
      <x:c r="M2717" s="26" t="n">
        <x:v>0.1</x:v>
      </x:c>
      <x:c r="N2717" s="24" t="n">
        <x:v>11.00180548945321</x:v>
      </x:c>
      <x:c r="O2717" s="28" t="n">
        <x:f>MIN(1,L2717/I2717)</x:f>
        <x:v>0.02933733333333333</x:v>
      </x:c>
      <x:c r="P2717" s="30" t="n">
        <x:f>O2717*J2717*(1+M2717)</x:f>
        <x:v>0.03227106666666667</x:v>
      </x:c>
      <x:c r="Q2717" s="30" t="n">
        <x:f>P2717*N2717</x:f>
        <x:v>0.3550399984038438</x:v>
      </x:c>
      <x:c r="R2717" s="19" t="str">
        <x:v>独立判定</x:v>
      </x:c>
    </x:row>
    <x:row r="2718" ht="19" customHeight="1">
      <x:c r="A2718" s="19" t="str">
        <x:v>D02714</x:v>
      </x:c>
      <x:c r="B2718" s="19" t="n">
        <x:v>5</x:v>
      </x:c>
      <x:c r="C2718" s="19" t="n">
        <x:v>6</x:v>
      </x:c>
      <x:c r="D2718" s="19" t="str">
        <x:v>C05-M067</x:v>
      </x:c>
      <x:c r="E2718" s="19" t="str">
        <x:v>王室镜刃使</x:v>
      </x:c>
      <x:c r="F2718" s="19" t="str">
        <x:v>稀有</x:v>
      </x:c>
      <x:c r="G2718" s="19" t="str">
        <x:v>材料独立候选</x:v>
      </x:c>
      <x:c r="H2718" s="19" t="str">
        <x:v>学院封蜡</x:v>
      </x:c>
      <x:c r="I2718" s="22" t="n">
        <x:v>1200</x:v>
      </x:c>
      <x:c r="J2718" s="22" t="n">
        <x:v>1</x:v>
      </x:c>
      <x:c r="K2718" s="19" t="n">
        <x:v>1</x:v>
      </x:c>
      <x:c r="L2718" s="24" t="n">
        <x:v>29.33733333333333</x:v>
      </x:c>
      <x:c r="M2718" s="26" t="n">
        <x:v>0.1</x:v>
      </x:c>
      <x:c r="N2718" s="24" t="n">
        <x:v>11.00180548945321</x:v>
      </x:c>
      <x:c r="O2718" s="28" t="n">
        <x:f>MIN(1,L2718/I2718)</x:f>
        <x:v>0.024447777777777777</x:v>
      </x:c>
      <x:c r="P2718" s="30" t="n">
        <x:f>O2718*J2718*(1+M2718)</x:f>
        <x:v>0.026892555555555555</x:v>
      </x:c>
      <x:c r="Q2718" s="30" t="n">
        <x:f>P2718*N2718</x:f>
        <x:v>0.2958666653365365</x:v>
      </x:c>
      <x:c r="R2718" s="19" t="str">
        <x:v>独立判定</x:v>
      </x:c>
    </x:row>
    <x:row r="2719" ht="19" customHeight="1">
      <x:c r="A2719" s="19" t="str">
        <x:v>D02715</x:v>
      </x:c>
      <x:c r="B2719" s="19" t="n">
        <x:v>5</x:v>
      </x:c>
      <x:c r="C2719" s="19" t="n">
        <x:v>6</x:v>
      </x:c>
      <x:c r="D2719" s="19" t="str">
        <x:v>C05-M067</x:v>
      </x:c>
      <x:c r="E2719" s="19" t="str">
        <x:v>王室镜刃使</x:v>
      </x:c>
      <x:c r="F2719" s="19" t="str">
        <x:v>稀有</x:v>
      </x:c>
      <x:c r="G2719" s="19" t="str">
        <x:v>材料独立候选</x:v>
      </x:c>
      <x:c r="H2719" s="19" t="str">
        <x:v>湖心月谱残章</x:v>
      </x:c>
      <x:c r="I2719" s="22" t="n">
        <x:v>800000</x:v>
      </x:c>
      <x:c r="J2719" s="22" t="n">
        <x:v>1</x:v>
      </x:c>
      <x:c r="K2719" s="19" t="n">
        <x:v>1</x:v>
      </x:c>
      <x:c r="L2719" s="24" t="n">
        <x:v>29.33733333333333</x:v>
      </x:c>
      <x:c r="M2719" s="26" t="n">
        <x:v>0.1</x:v>
      </x:c>
      <x:c r="N2719" s="24" t="n">
        <x:v>11.00180548945321</x:v>
      </x:c>
      <x:c r="O2719" s="28" t="n">
        <x:f>MIN(1,L2719/I2719)</x:f>
        <x:v>0.00003667166666666666</x:v>
      </x:c>
      <x:c r="P2719" s="30" t="n">
        <x:f>O2719*J2719*(1+M2719)</x:f>
        <x:v>0.000040338833333333334</x:v>
      </x:c>
      <x:c r="Q2719" s="30" t="n">
        <x:f>P2719*N2719</x:f>
        <x:v>0.0004437999980048048</x:v>
      </x:c>
      <x:c r="R2719" s="19" t="str">
        <x:v>独立判定</x:v>
      </x:c>
    </x:row>
    <x:row r="2720" ht="19" customHeight="1">
      <x:c r="A2720" s="19" t="str">
        <x:v>D02716</x:v>
      </x:c>
      <x:c r="B2720" s="19" t="n">
        <x:v>5</x:v>
      </x:c>
      <x:c r="C2720" s="19" t="n">
        <x:v>6</x:v>
      </x:c>
      <x:c r="D2720" s="19" t="str">
        <x:v>C05-M067</x:v>
      </x:c>
      <x:c r="E2720" s="19" t="str">
        <x:v>王室镜刃使</x:v>
      </x:c>
      <x:c r="F2720" s="19" t="str">
        <x:v>稀有</x:v>
      </x:c>
      <x:c r="G2720" s="19" t="str">
        <x:v>材料独立候选</x:v>
      </x:c>
      <x:c r="H2720" s="19" t="str">
        <x:v>黄金树芽</x:v>
      </x:c>
      <x:c r="I2720" s="22" t="n">
        <x:v>4000</x:v>
      </x:c>
      <x:c r="J2720" s="22" t="n">
        <x:v>1</x:v>
      </x:c>
      <x:c r="K2720" s="19" t="n">
        <x:v>1</x:v>
      </x:c>
      <x:c r="L2720" s="24" t="n">
        <x:v>29.33733333333333</x:v>
      </x:c>
      <x:c r="M2720" s="26" t="n">
        <x:v>0.1</x:v>
      </x:c>
      <x:c r="N2720" s="24" t="n">
        <x:v>11.00180548945321</x:v>
      </x:c>
      <x:c r="O2720" s="28" t="n">
        <x:f>MIN(1,L2720/I2720)</x:f>
        <x:v>0.0073343333333333325</x:v>
      </x:c>
      <x:c r="P2720" s="30" t="n">
        <x:f>O2720*J2720*(1+M2720)</x:f>
        <x:v>0.008067766666666667</x:v>
      </x:c>
      <x:c r="Q2720" s="30" t="n">
        <x:f>P2720*N2720</x:f>
        <x:v>0.08875999960096095</x:v>
      </x:c>
      <x:c r="R2720" s="19" t="str">
        <x:v>独立判定</x:v>
      </x:c>
    </x:row>
    <x:row r="2721" ht="19" customHeight="1">
      <x:c r="A2721" s="19" t="str">
        <x:v>D02717</x:v>
      </x:c>
      <x:c r="B2721" s="19" t="n">
        <x:v>5</x:v>
      </x:c>
      <x:c r="C2721" s="19" t="n">
        <x:v>6</x:v>
      </x:c>
      <x:c r="D2721" s="19" t="str">
        <x:v>C05-M067</x:v>
      </x:c>
      <x:c r="E2721" s="19" t="str">
        <x:v>王室镜刃使</x:v>
      </x:c>
      <x:c r="F2721" s="19" t="str">
        <x:v>稀有</x:v>
      </x:c>
      <x:c r="G2721" s="19" t="str">
        <x:v>材料独立候选</x:v>
      </x:c>
      <x:c r="H2721" s="19" t="str">
        <x:v>野兽骨片</x:v>
      </x:c>
      <x:c r="I2721" s="22" t="n">
        <x:v>100</x:v>
      </x:c>
      <x:c r="J2721" s="22" t="n">
        <x:v>3</x:v>
      </x:c>
      <x:c r="K2721" s="19" t="n">
        <x:v>1</x:v>
      </x:c>
      <x:c r="L2721" s="24" t="n">
        <x:v>29.33733333333333</x:v>
      </x:c>
      <x:c r="M2721" s="26" t="n">
        <x:v>0.1</x:v>
      </x:c>
      <x:c r="N2721" s="24" t="n">
        <x:v>11.00180548945321</x:v>
      </x:c>
      <x:c r="O2721" s="28" t="n">
        <x:f>MIN(1,L2721/I2721)</x:f>
        <x:v>0.2933733333333333</x:v>
      </x:c>
      <x:c r="P2721" s="30" t="n">
        <x:f>O2721*J2721*(1+M2721)</x:f>
        <x:v>0.9681320000000001</x:v>
      </x:c>
      <x:c r="Q2721" s="30" t="n">
        <x:f>P2721*N2721</x:f>
        <x:v>10.651199952115316</x:v>
      </x:c>
      <x:c r="R2721" s="19" t="str">
        <x:v>独立判定</x:v>
      </x:c>
    </x:row>
    <x:row r="2722" ht="19" customHeight="1">
      <x:c r="A2722" s="19" t="str">
        <x:v>D02718</x:v>
      </x:c>
      <x:c r="B2722" s="19" t="n">
        <x:v>5</x:v>
      </x:c>
      <x:c r="C2722" s="19" t="n">
        <x:v>6</x:v>
      </x:c>
      <x:c r="D2722" s="19" t="str">
        <x:v>C05-M067</x:v>
      </x:c>
      <x:c r="E2722" s="19" t="str">
        <x:v>王室镜刃使</x:v>
      </x:c>
      <x:c r="F2722" s="19" t="str">
        <x:v>稀有</x:v>
      </x:c>
      <x:c r="G2722" s="19" t="str">
        <x:v>材料独立候选</x:v>
      </x:c>
      <x:c r="H2722" s="19" t="str">
        <x:v>技能残页</x:v>
      </x:c>
      <x:c r="I2722" s="22" t="n">
        <x:v>2500</x:v>
      </x:c>
      <x:c r="J2722" s="22" t="n">
        <x:v>1</x:v>
      </x:c>
      <x:c r="K2722" s="19" t="n">
        <x:v>1</x:v>
      </x:c>
      <x:c r="L2722" s="24" t="n">
        <x:v>29.33733333333333</x:v>
      </x:c>
      <x:c r="M2722" s="26" t="n">
        <x:v>0.1</x:v>
      </x:c>
      <x:c r="N2722" s="24" t="n">
        <x:v>11.00180548945321</x:v>
      </x:c>
      <x:c r="O2722" s="28" t="n">
        <x:f>MIN(1,L2722/I2722)</x:f>
        <x:v>0.011734933333333333</x:v>
      </x:c>
      <x:c r="P2722" s="30" t="n">
        <x:f>O2722*J2722*(1+M2722)</x:f>
        <x:v>0.012908426666666667</x:v>
      </x:c>
      <x:c r="Q2722" s="30" t="n">
        <x:f>P2722*N2722</x:f>
        <x:v>0.14201599936153753</x:v>
      </x:c>
      <x:c r="R2722" s="19" t="str">
        <x:v>独立判定</x:v>
      </x:c>
    </x:row>
    <x:row r="2723" ht="19" customHeight="1">
      <x:c r="A2723" s="19" t="str">
        <x:v>D02719</x:v>
      </x:c>
      <x:c r="B2723" s="19" t="n">
        <x:v>5</x:v>
      </x:c>
      <x:c r="C2723" s="19" t="n">
        <x:v>6</x:v>
      </x:c>
      <x:c r="D2723" s="19" t="str">
        <x:v>C05-M067</x:v>
      </x:c>
      <x:c r="E2723" s="19" t="str">
        <x:v>王室镜刃使</x:v>
      </x:c>
      <x:c r="F2723" s="19" t="str">
        <x:v>稀有</x:v>
      </x:c>
      <x:c r="G2723" s="19" t="str">
        <x:v>材料独立候选</x:v>
      </x:c>
      <x:c r="H2723" s="19" t="str">
        <x:v>小卢恩</x:v>
      </x:c>
      <x:c r="I2723" s="22" t="n">
        <x:v>5000</x:v>
      </x:c>
      <x:c r="J2723" s="22" t="n">
        <x:v>1</x:v>
      </x:c>
      <x:c r="K2723" s="19" t="n">
        <x:v>1</x:v>
      </x:c>
      <x:c r="L2723" s="24" t="n">
        <x:v>29.33733333333333</x:v>
      </x:c>
      <x:c r="M2723" s="26" t="n">
        <x:v>0.1</x:v>
      </x:c>
      <x:c r="N2723" s="24" t="n">
        <x:v>11.00180548945321</x:v>
      </x:c>
      <x:c r="O2723" s="28" t="n">
        <x:f>MIN(1,L2723/I2723)</x:f>
        <x:v>0.005867466666666666</x:v>
      </x:c>
      <x:c r="P2723" s="30" t="n">
        <x:f>O2723*J2723*(1+M2723)</x:f>
        <x:v>0.0064542133333333335</x:v>
      </x:c>
      <x:c r="Q2723" s="30" t="n">
        <x:f>P2723*N2723</x:f>
        <x:v>0.07100799968076876</x:v>
      </x:c>
      <x:c r="R2723" s="19" t="str">
        <x:v>独立判定</x:v>
      </x:c>
    </x:row>
    <x:row r="2724" ht="19" customHeight="1">
      <x:c r="A2724" s="19" t="str">
        <x:v>D02720</x:v>
      </x:c>
      <x:c r="B2724" s="19" t="n">
        <x:v>5</x:v>
      </x:c>
      <x:c r="C2724" s="19" t="n">
        <x:v>6</x:v>
      </x:c>
      <x:c r="D2724" s="19" t="str">
        <x:v>C05-M067</x:v>
      </x:c>
      <x:c r="E2724" s="19" t="str">
        <x:v>王室镜刃使</x:v>
      </x:c>
      <x:c r="F2724" s="19" t="str">
        <x:v>稀有</x:v>
      </x:c>
      <x:c r="G2724" s="19" t="str">
        <x:v>六神器公共池</x:v>
      </x:c>
      <x:c r="H2724" s="19" t="str">
        <x:v>POOL006</x:v>
      </x:c>
      <x:c r="I2724" s="22" t="n">
        <x:v>5000000</x:v>
      </x:c>
      <x:c r="J2724" s="22" t="n">
        <x:v>1</x:v>
      </x:c>
      <x:c r="K2724" s="19" t="n">
        <x:v>6</x:v>
      </x:c>
      <x:c r="L2724" s="24" t="n">
        <x:v>29.33733333333333</x:v>
      </x:c>
      <x:c r="M2724" s="26" t="n">
        <x:v>0.1</x:v>
      </x:c>
      <x:c r="N2724" s="24" t="n">
        <x:v>11.00180548945321</x:v>
      </x:c>
      <x:c r="O2724" s="28" t="n">
        <x:f>MIN(1,L2724/I2724)</x:f>
        <x:v>0.000005867466666666666</x:v>
      </x:c>
      <x:c r="P2724" s="30" t="n">
        <x:f>O2724*J2724*(1+M2724)</x:f>
        <x:v>0.000006454213333333333</x:v>
      </x:c>
      <x:c r="Q2724" s="30" t="n">
        <x:f>P2724*N2724</x:f>
        <x:v>0.00007100799968076875</x:v>
      </x:c>
      <x:c r="R2724" s="19" t="str">
        <x:v>六选一；非6个独立爆率</x:v>
      </x:c>
    </x:row>
    <x:row r="2725" ht="19" customHeight="1">
      <x:c r="A2725" s="19" t="str">
        <x:v>D02721</x:v>
      </x:c>
      <x:c r="B2725" s="19" t="n">
        <x:v>5</x:v>
      </x:c>
      <x:c r="C2725" s="19" t="n">
        <x:v>6</x:v>
      </x:c>
      <x:c r="D2725" s="19" t="str">
        <x:v>C05-M068</x:v>
      </x:c>
      <x:c r="E2725" s="19" t="str">
        <x:v>禁域缄门法官</x:v>
      </x:c>
      <x:c r="F2725" s="19" t="str">
        <x:v>稀有</x:v>
      </x:c>
      <x:c r="G2725" s="19" t="str">
        <x:v>自身专属</x:v>
      </x:c>
      <x:c r="H2725" s="19" t="str">
        <x:v>缄门法官冠</x:v>
      </x:c>
      <x:c r="I2725" s="22" t="n">
        <x:v>500</x:v>
      </x:c>
      <x:c r="J2725" s="22" t="n">
        <x:v>1</x:v>
      </x:c>
      <x:c r="K2725" s="19" t="n">
        <x:v>1</x:v>
      </x:c>
      <x:c r="L2725" s="24" t="n">
        <x:v>29.33733333333333</x:v>
      </x:c>
      <x:c r="M2725" s="26" t="n">
        <x:v>0.1</x:v>
      </x:c>
      <x:c r="N2725" s="24" t="n">
        <x:v>12</x:v>
      </x:c>
      <x:c r="O2725" s="28" t="n">
        <x:f>MIN(1,L2725/I2725)</x:f>
        <x:v>0.05867466666666666</x:v>
      </x:c>
      <x:c r="P2725" s="30" t="n">
        <x:f>O2725*J2725*(1+M2725)</x:f>
        <x:v>0.06454213333333333</x:v>
      </x:c>
      <x:c r="Q2725" s="30" t="n">
        <x:f>P2725*N2725</x:f>
        <x:v>0.7745056</x:v>
      </x:c>
      <x:c r="R2725" s="19" t="str">
        <x:v>独立判定</x:v>
      </x:c>
    </x:row>
    <x:row r="2726" ht="19" customHeight="1">
      <x:c r="A2726" s="19" t="str">
        <x:v>D02722</x:v>
      </x:c>
      <x:c r="B2726" s="19" t="n">
        <x:v>5</x:v>
      </x:c>
      <x:c r="C2726" s="19" t="n">
        <x:v>6</x:v>
      </x:c>
      <x:c r="D2726" s="19" t="str">
        <x:v>C05-M068</x:v>
      </x:c>
      <x:c r="E2726" s="19" t="str">
        <x:v>禁域缄门法官</x:v>
      </x:c>
      <x:c r="F2726" s="19" t="str">
        <x:v>稀有</x:v>
      </x:c>
      <x:c r="G2726" s="19" t="str">
        <x:v>材料独立候选</x:v>
      </x:c>
      <x:c r="H2726" s="19" t="str">
        <x:v>辉石碎晶</x:v>
      </x:c>
      <x:c r="I2726" s="22" t="n">
        <x:v>600</x:v>
      </x:c>
      <x:c r="J2726" s="22" t="n">
        <x:v>15</x:v>
      </x:c>
      <x:c r="K2726" s="19" t="n">
        <x:v>1</x:v>
      </x:c>
      <x:c r="L2726" s="24" t="n">
        <x:v>29.33733333333333</x:v>
      </x:c>
      <x:c r="M2726" s="26" t="n">
        <x:v>0.1</x:v>
      </x:c>
      <x:c r="N2726" s="24" t="n">
        <x:v>12</x:v>
      </x:c>
      <x:c r="O2726" s="28" t="n">
        <x:f>MIN(1,L2726/I2726)</x:f>
        <x:v>0.04889555555555555</x:v>
      </x:c>
      <x:c r="P2726" s="30" t="n">
        <x:f>O2726*J2726*(1+M2726)</x:f>
        <x:v>0.8067766666666667</x:v>
      </x:c>
      <x:c r="Q2726" s="30" t="n">
        <x:f>P2726*N2726</x:f>
        <x:v>9.68132</x:v>
      </x:c>
      <x:c r="R2726" s="19" t="str">
        <x:v>独立判定</x:v>
      </x:c>
    </x:row>
    <x:row r="2727" ht="19" customHeight="1">
      <x:c r="A2727" s="19" t="str">
        <x:v>D02723</x:v>
      </x:c>
      <x:c r="B2727" s="19" t="n">
        <x:v>5</x:v>
      </x:c>
      <x:c r="C2727" s="19" t="n">
        <x:v>6</x:v>
      </x:c>
      <x:c r="D2727" s="19" t="str">
        <x:v>C05-M068</x:v>
      </x:c>
      <x:c r="E2727" s="19" t="str">
        <x:v>禁域缄门法官</x:v>
      </x:c>
      <x:c r="F2727" s="19" t="str">
        <x:v>稀有</x:v>
      </x:c>
      <x:c r="G2727" s="19" t="str">
        <x:v>材料独立候选</x:v>
      </x:c>
      <x:c r="H2727" s="19" t="str">
        <x:v>卡利亚月露</x:v>
      </x:c>
      <x:c r="I2727" s="22" t="n">
        <x:v>1000</x:v>
      </x:c>
      <x:c r="J2727" s="22" t="n">
        <x:v>1</x:v>
      </x:c>
      <x:c r="K2727" s="19" t="n">
        <x:v>1</x:v>
      </x:c>
      <x:c r="L2727" s="24" t="n">
        <x:v>29.33733333333333</x:v>
      </x:c>
      <x:c r="M2727" s="26" t="n">
        <x:v>0.1</x:v>
      </x:c>
      <x:c r="N2727" s="24" t="n">
        <x:v>12</x:v>
      </x:c>
      <x:c r="O2727" s="28" t="n">
        <x:f>MIN(1,L2727/I2727)</x:f>
        <x:v>0.02933733333333333</x:v>
      </x:c>
      <x:c r="P2727" s="30" t="n">
        <x:f>O2727*J2727*(1+M2727)</x:f>
        <x:v>0.03227106666666667</x:v>
      </x:c>
      <x:c r="Q2727" s="30" t="n">
        <x:f>P2727*N2727</x:f>
        <x:v>0.3872528</x:v>
      </x:c>
      <x:c r="R2727" s="19" t="str">
        <x:v>独立判定</x:v>
      </x:c>
    </x:row>
    <x:row r="2728" ht="19" customHeight="1">
      <x:c r="A2728" s="19" t="str">
        <x:v>D02724</x:v>
      </x:c>
      <x:c r="B2728" s="19" t="n">
        <x:v>5</x:v>
      </x:c>
      <x:c r="C2728" s="19" t="n">
        <x:v>6</x:v>
      </x:c>
      <x:c r="D2728" s="19" t="str">
        <x:v>C05-M068</x:v>
      </x:c>
      <x:c r="E2728" s="19" t="str">
        <x:v>禁域缄门法官</x:v>
      </x:c>
      <x:c r="F2728" s="19" t="str">
        <x:v>稀有</x:v>
      </x:c>
      <x:c r="G2728" s="19" t="str">
        <x:v>材料独立候选</x:v>
      </x:c>
      <x:c r="H2728" s="19" t="str">
        <x:v>学院封蜡</x:v>
      </x:c>
      <x:c r="I2728" s="22" t="n">
        <x:v>1200</x:v>
      </x:c>
      <x:c r="J2728" s="22" t="n">
        <x:v>1</x:v>
      </x:c>
      <x:c r="K2728" s="19" t="n">
        <x:v>1</x:v>
      </x:c>
      <x:c r="L2728" s="24" t="n">
        <x:v>29.33733333333333</x:v>
      </x:c>
      <x:c r="M2728" s="26" t="n">
        <x:v>0.1</x:v>
      </x:c>
      <x:c r="N2728" s="24" t="n">
        <x:v>12</x:v>
      </x:c>
      <x:c r="O2728" s="28" t="n">
        <x:f>MIN(1,L2728/I2728)</x:f>
        <x:v>0.024447777777777777</x:v>
      </x:c>
      <x:c r="P2728" s="30" t="n">
        <x:f>O2728*J2728*(1+M2728)</x:f>
        <x:v>0.026892555555555555</x:v>
      </x:c>
      <x:c r="Q2728" s="30" t="n">
        <x:f>P2728*N2728</x:f>
        <x:v>0.32271066666666665</x:v>
      </x:c>
      <x:c r="R2728" s="19" t="str">
        <x:v>独立判定</x:v>
      </x:c>
    </x:row>
    <x:row r="2729" ht="19" customHeight="1">
      <x:c r="A2729" s="19" t="str">
        <x:v>D02725</x:v>
      </x:c>
      <x:c r="B2729" s="19" t="n">
        <x:v>5</x:v>
      </x:c>
      <x:c r="C2729" s="19" t="n">
        <x:v>6</x:v>
      </x:c>
      <x:c r="D2729" s="19" t="str">
        <x:v>C05-M068</x:v>
      </x:c>
      <x:c r="E2729" s="19" t="str">
        <x:v>禁域缄门法官</x:v>
      </x:c>
      <x:c r="F2729" s="19" t="str">
        <x:v>稀有</x:v>
      </x:c>
      <x:c r="G2729" s="19" t="str">
        <x:v>材料独立候选</x:v>
      </x:c>
      <x:c r="H2729" s="19" t="str">
        <x:v>湖心月谱残章</x:v>
      </x:c>
      <x:c r="I2729" s="22" t="n">
        <x:v>800000</x:v>
      </x:c>
      <x:c r="J2729" s="22" t="n">
        <x:v>1</x:v>
      </x:c>
      <x:c r="K2729" s="19" t="n">
        <x:v>1</x:v>
      </x:c>
      <x:c r="L2729" s="24" t="n">
        <x:v>29.33733333333333</x:v>
      </x:c>
      <x:c r="M2729" s="26" t="n">
        <x:v>0.1</x:v>
      </x:c>
      <x:c r="N2729" s="24" t="n">
        <x:v>12</x:v>
      </x:c>
      <x:c r="O2729" s="28" t="n">
        <x:f>MIN(1,L2729/I2729)</x:f>
        <x:v>0.00003667166666666666</x:v>
      </x:c>
      <x:c r="P2729" s="30" t="n">
        <x:f>O2729*J2729*(1+M2729)</x:f>
        <x:v>0.000040338833333333334</x:v>
      </x:c>
      <x:c r="Q2729" s="30" t="n">
        <x:f>P2729*N2729</x:f>
        <x:v>0.000484066</x:v>
      </x:c>
      <x:c r="R2729" s="19" t="str">
        <x:v>独立判定</x:v>
      </x:c>
    </x:row>
    <x:row r="2730" ht="19" customHeight="1">
      <x:c r="A2730" s="19" t="str">
        <x:v>D02726</x:v>
      </x:c>
      <x:c r="B2730" s="19" t="n">
        <x:v>5</x:v>
      </x:c>
      <x:c r="C2730" s="19" t="n">
        <x:v>6</x:v>
      </x:c>
      <x:c r="D2730" s="19" t="str">
        <x:v>C05-M068</x:v>
      </x:c>
      <x:c r="E2730" s="19" t="str">
        <x:v>禁域缄门法官</x:v>
      </x:c>
      <x:c r="F2730" s="19" t="str">
        <x:v>稀有</x:v>
      </x:c>
      <x:c r="G2730" s="19" t="str">
        <x:v>材料独立候选</x:v>
      </x:c>
      <x:c r="H2730" s="19" t="str">
        <x:v>黄金树芽</x:v>
      </x:c>
      <x:c r="I2730" s="22" t="n">
        <x:v>4000</x:v>
      </x:c>
      <x:c r="J2730" s="22" t="n">
        <x:v>1</x:v>
      </x:c>
      <x:c r="K2730" s="19" t="n">
        <x:v>1</x:v>
      </x:c>
      <x:c r="L2730" s="24" t="n">
        <x:v>29.33733333333333</x:v>
      </x:c>
      <x:c r="M2730" s="26" t="n">
        <x:v>0.1</x:v>
      </x:c>
      <x:c r="N2730" s="24" t="n">
        <x:v>12</x:v>
      </x:c>
      <x:c r="O2730" s="28" t="n">
        <x:f>MIN(1,L2730/I2730)</x:f>
        <x:v>0.0073343333333333325</x:v>
      </x:c>
      <x:c r="P2730" s="30" t="n">
        <x:f>O2730*J2730*(1+M2730)</x:f>
        <x:v>0.008067766666666667</x:v>
      </x:c>
      <x:c r="Q2730" s="30" t="n">
        <x:f>P2730*N2730</x:f>
        <x:v>0.0968132</x:v>
      </x:c>
      <x:c r="R2730" s="19" t="str">
        <x:v>独立判定</x:v>
      </x:c>
    </x:row>
    <x:row r="2731" ht="19" customHeight="1">
      <x:c r="A2731" s="19" t="str">
        <x:v>D02727</x:v>
      </x:c>
      <x:c r="B2731" s="19" t="n">
        <x:v>5</x:v>
      </x:c>
      <x:c r="C2731" s="19" t="n">
        <x:v>6</x:v>
      </x:c>
      <x:c r="D2731" s="19" t="str">
        <x:v>C05-M068</x:v>
      </x:c>
      <x:c r="E2731" s="19" t="str">
        <x:v>禁域缄门法官</x:v>
      </x:c>
      <x:c r="F2731" s="19" t="str">
        <x:v>稀有</x:v>
      </x:c>
      <x:c r="G2731" s="19" t="str">
        <x:v>材料独立候选</x:v>
      </x:c>
      <x:c r="H2731" s="19" t="str">
        <x:v>野兽骨片</x:v>
      </x:c>
      <x:c r="I2731" s="22" t="n">
        <x:v>100</x:v>
      </x:c>
      <x:c r="J2731" s="22" t="n">
        <x:v>3</x:v>
      </x:c>
      <x:c r="K2731" s="19" t="n">
        <x:v>1</x:v>
      </x:c>
      <x:c r="L2731" s="24" t="n">
        <x:v>29.33733333333333</x:v>
      </x:c>
      <x:c r="M2731" s="26" t="n">
        <x:v>0.1</x:v>
      </x:c>
      <x:c r="N2731" s="24" t="n">
        <x:v>12</x:v>
      </x:c>
      <x:c r="O2731" s="28" t="n">
        <x:f>MIN(1,L2731/I2731)</x:f>
        <x:v>0.2933733333333333</x:v>
      </x:c>
      <x:c r="P2731" s="30" t="n">
        <x:f>O2731*J2731*(1+M2731)</x:f>
        <x:v>0.9681320000000001</x:v>
      </x:c>
      <x:c r="Q2731" s="30" t="n">
        <x:f>P2731*N2731</x:f>
        <x:v>11.617584</x:v>
      </x:c>
      <x:c r="R2731" s="19" t="str">
        <x:v>独立判定</x:v>
      </x:c>
    </x:row>
    <x:row r="2732" ht="19" customHeight="1">
      <x:c r="A2732" s="19" t="str">
        <x:v>D02728</x:v>
      </x:c>
      <x:c r="B2732" s="19" t="n">
        <x:v>5</x:v>
      </x:c>
      <x:c r="C2732" s="19" t="n">
        <x:v>6</x:v>
      </x:c>
      <x:c r="D2732" s="19" t="str">
        <x:v>C05-M068</x:v>
      </x:c>
      <x:c r="E2732" s="19" t="str">
        <x:v>禁域缄门法官</x:v>
      </x:c>
      <x:c r="F2732" s="19" t="str">
        <x:v>稀有</x:v>
      </x:c>
      <x:c r="G2732" s="19" t="str">
        <x:v>材料独立候选</x:v>
      </x:c>
      <x:c r="H2732" s="19" t="str">
        <x:v>技能残页</x:v>
      </x:c>
      <x:c r="I2732" s="22" t="n">
        <x:v>2500</x:v>
      </x:c>
      <x:c r="J2732" s="22" t="n">
        <x:v>1</x:v>
      </x:c>
      <x:c r="K2732" s="19" t="n">
        <x:v>1</x:v>
      </x:c>
      <x:c r="L2732" s="24" t="n">
        <x:v>29.33733333333333</x:v>
      </x:c>
      <x:c r="M2732" s="26" t="n">
        <x:v>0.1</x:v>
      </x:c>
      <x:c r="N2732" s="24" t="n">
        <x:v>12</x:v>
      </x:c>
      <x:c r="O2732" s="28" t="n">
        <x:f>MIN(1,L2732/I2732)</x:f>
        <x:v>0.011734933333333333</x:v>
      </x:c>
      <x:c r="P2732" s="30" t="n">
        <x:f>O2732*J2732*(1+M2732)</x:f>
        <x:v>0.012908426666666667</x:v>
      </x:c>
      <x:c r="Q2732" s="30" t="n">
        <x:f>P2732*N2732</x:f>
        <x:v>0.15490112</x:v>
      </x:c>
      <x:c r="R2732" s="19" t="str">
        <x:v>独立判定</x:v>
      </x:c>
    </x:row>
    <x:row r="2733" ht="19" customHeight="1">
      <x:c r="A2733" s="19" t="str">
        <x:v>D02729</x:v>
      </x:c>
      <x:c r="B2733" s="19" t="n">
        <x:v>5</x:v>
      </x:c>
      <x:c r="C2733" s="19" t="n">
        <x:v>6</x:v>
      </x:c>
      <x:c r="D2733" s="19" t="str">
        <x:v>C05-M068</x:v>
      </x:c>
      <x:c r="E2733" s="19" t="str">
        <x:v>禁域缄门法官</x:v>
      </x:c>
      <x:c r="F2733" s="19" t="str">
        <x:v>稀有</x:v>
      </x:c>
      <x:c r="G2733" s="19" t="str">
        <x:v>材料独立候选</x:v>
      </x:c>
      <x:c r="H2733" s="19" t="str">
        <x:v>小卢恩</x:v>
      </x:c>
      <x:c r="I2733" s="22" t="n">
        <x:v>5000</x:v>
      </x:c>
      <x:c r="J2733" s="22" t="n">
        <x:v>1</x:v>
      </x:c>
      <x:c r="K2733" s="19" t="n">
        <x:v>1</x:v>
      </x:c>
      <x:c r="L2733" s="24" t="n">
        <x:v>29.33733333333333</x:v>
      </x:c>
      <x:c r="M2733" s="26" t="n">
        <x:v>0.1</x:v>
      </x:c>
      <x:c r="N2733" s="24" t="n">
        <x:v>12</x:v>
      </x:c>
      <x:c r="O2733" s="28" t="n">
        <x:f>MIN(1,L2733/I2733)</x:f>
        <x:v>0.005867466666666666</x:v>
      </x:c>
      <x:c r="P2733" s="30" t="n">
        <x:f>O2733*J2733*(1+M2733)</x:f>
        <x:v>0.0064542133333333335</x:v>
      </x:c>
      <x:c r="Q2733" s="30" t="n">
        <x:f>P2733*N2733</x:f>
        <x:v>0.07745056</x:v>
      </x:c>
      <x:c r="R2733" s="19" t="str">
        <x:v>独立判定</x:v>
      </x:c>
    </x:row>
    <x:row r="2734" ht="19" customHeight="1">
      <x:c r="A2734" s="19" t="str">
        <x:v>D02730</x:v>
      </x:c>
      <x:c r="B2734" s="19" t="n">
        <x:v>5</x:v>
      </x:c>
      <x:c r="C2734" s="19" t="n">
        <x:v>6</x:v>
      </x:c>
      <x:c r="D2734" s="19" t="str">
        <x:v>C05-M068</x:v>
      </x:c>
      <x:c r="E2734" s="19" t="str">
        <x:v>禁域缄门法官</x:v>
      </x:c>
      <x:c r="F2734" s="19" t="str">
        <x:v>稀有</x:v>
      </x:c>
      <x:c r="G2734" s="19" t="str">
        <x:v>六神器公共池</x:v>
      </x:c>
      <x:c r="H2734" s="19" t="str">
        <x:v>POOL006</x:v>
      </x:c>
      <x:c r="I2734" s="22" t="n">
        <x:v>5000000</x:v>
      </x:c>
      <x:c r="J2734" s="22" t="n">
        <x:v>1</x:v>
      </x:c>
      <x:c r="K2734" s="19" t="n">
        <x:v>6</x:v>
      </x:c>
      <x:c r="L2734" s="24" t="n">
        <x:v>29.33733333333333</x:v>
      </x:c>
      <x:c r="M2734" s="26" t="n">
        <x:v>0.1</x:v>
      </x:c>
      <x:c r="N2734" s="24" t="n">
        <x:v>12</x:v>
      </x:c>
      <x:c r="O2734" s="28" t="n">
        <x:f>MIN(1,L2734/I2734)</x:f>
        <x:v>0.000005867466666666666</x:v>
      </x:c>
      <x:c r="P2734" s="30" t="n">
        <x:f>O2734*J2734*(1+M2734)</x:f>
        <x:v>0.000006454213333333333</x:v>
      </x:c>
      <x:c r="Q2734" s="30" t="n">
        <x:f>P2734*N2734</x:f>
        <x:v>0.00007745056</x:v>
      </x:c>
      <x:c r="R2734" s="19" t="str">
        <x:v>六选一；非6个独立爆率</x:v>
      </x:c>
    </x:row>
    <x:row r="2735" ht="19" customHeight="1">
      <x:c r="A2735" s="19" t="str">
        <x:v>D02731</x:v>
      </x:c>
      <x:c r="B2735" s="19" t="n">
        <x:v>5</x:v>
      </x:c>
      <x:c r="C2735" s="19" t="n">
        <x:v>6</x:v>
      </x:c>
      <x:c r="D2735" s="19" t="str">
        <x:v>C05-M069</x:v>
      </x:c>
      <x:c r="E2735" s="19" t="str">
        <x:v>封庭月契巫</x:v>
      </x:c>
      <x:c r="F2735" s="19" t="str">
        <x:v>稀有</x:v>
      </x:c>
      <x:c r="G2735" s="19" t="str">
        <x:v>自身专属</x:v>
      </x:c>
      <x:c r="H2735" s="19" t="str">
        <x:v>月契封印带</x:v>
      </x:c>
      <x:c r="I2735" s="22" t="n">
        <x:v>500</x:v>
      </x:c>
      <x:c r="J2735" s="22" t="n">
        <x:v>1</x:v>
      </x:c>
      <x:c r="K2735" s="19" t="n">
        <x:v>1</x:v>
      </x:c>
      <x:c r="L2735" s="24" t="n">
        <x:v>29.33733333333333</x:v>
      </x:c>
      <x:c r="M2735" s="26" t="n">
        <x:v>0.1</x:v>
      </x:c>
      <x:c r="N2735" s="24" t="n">
        <x:v>12</x:v>
      </x:c>
      <x:c r="O2735" s="28" t="n">
        <x:f>MIN(1,L2735/I2735)</x:f>
        <x:v>0.05867466666666666</x:v>
      </x:c>
      <x:c r="P2735" s="30" t="n">
        <x:f>O2735*J2735*(1+M2735)</x:f>
        <x:v>0.06454213333333333</x:v>
      </x:c>
      <x:c r="Q2735" s="30" t="n">
        <x:f>P2735*N2735</x:f>
        <x:v>0.7745056</x:v>
      </x:c>
      <x:c r="R2735" s="19" t="str">
        <x:v>独立判定</x:v>
      </x:c>
    </x:row>
    <x:row r="2736" ht="19" customHeight="1">
      <x:c r="A2736" s="19" t="str">
        <x:v>D02732</x:v>
      </x:c>
      <x:c r="B2736" s="19" t="n">
        <x:v>5</x:v>
      </x:c>
      <x:c r="C2736" s="19" t="n">
        <x:v>6</x:v>
      </x:c>
      <x:c r="D2736" s="19" t="str">
        <x:v>C05-M069</x:v>
      </x:c>
      <x:c r="E2736" s="19" t="str">
        <x:v>封庭月契巫</x:v>
      </x:c>
      <x:c r="F2736" s="19" t="str">
        <x:v>稀有</x:v>
      </x:c>
      <x:c r="G2736" s="19" t="str">
        <x:v>材料独立候选</x:v>
      </x:c>
      <x:c r="H2736" s="19" t="str">
        <x:v>辉石碎晶</x:v>
      </x:c>
      <x:c r="I2736" s="22" t="n">
        <x:v>600</x:v>
      </x:c>
      <x:c r="J2736" s="22" t="n">
        <x:v>15</x:v>
      </x:c>
      <x:c r="K2736" s="19" t="n">
        <x:v>1</x:v>
      </x:c>
      <x:c r="L2736" s="24" t="n">
        <x:v>29.33733333333333</x:v>
      </x:c>
      <x:c r="M2736" s="26" t="n">
        <x:v>0.1</x:v>
      </x:c>
      <x:c r="N2736" s="24" t="n">
        <x:v>12</x:v>
      </x:c>
      <x:c r="O2736" s="28" t="n">
        <x:f>MIN(1,L2736/I2736)</x:f>
        <x:v>0.04889555555555555</x:v>
      </x:c>
      <x:c r="P2736" s="30" t="n">
        <x:f>O2736*J2736*(1+M2736)</x:f>
        <x:v>0.8067766666666667</x:v>
      </x:c>
      <x:c r="Q2736" s="30" t="n">
        <x:f>P2736*N2736</x:f>
        <x:v>9.68132</x:v>
      </x:c>
      <x:c r="R2736" s="19" t="str">
        <x:v>独立判定</x:v>
      </x:c>
    </x:row>
    <x:row r="2737" ht="19" customHeight="1">
      <x:c r="A2737" s="19" t="str">
        <x:v>D02733</x:v>
      </x:c>
      <x:c r="B2737" s="19" t="n">
        <x:v>5</x:v>
      </x:c>
      <x:c r="C2737" s="19" t="n">
        <x:v>6</x:v>
      </x:c>
      <x:c r="D2737" s="19" t="str">
        <x:v>C05-M069</x:v>
      </x:c>
      <x:c r="E2737" s="19" t="str">
        <x:v>封庭月契巫</x:v>
      </x:c>
      <x:c r="F2737" s="19" t="str">
        <x:v>稀有</x:v>
      </x:c>
      <x:c r="G2737" s="19" t="str">
        <x:v>材料独立候选</x:v>
      </x:c>
      <x:c r="H2737" s="19" t="str">
        <x:v>卡利亚月露</x:v>
      </x:c>
      <x:c r="I2737" s="22" t="n">
        <x:v>1000</x:v>
      </x:c>
      <x:c r="J2737" s="22" t="n">
        <x:v>1</x:v>
      </x:c>
      <x:c r="K2737" s="19" t="n">
        <x:v>1</x:v>
      </x:c>
      <x:c r="L2737" s="24" t="n">
        <x:v>29.33733333333333</x:v>
      </x:c>
      <x:c r="M2737" s="26" t="n">
        <x:v>0.1</x:v>
      </x:c>
      <x:c r="N2737" s="24" t="n">
        <x:v>12</x:v>
      </x:c>
      <x:c r="O2737" s="28" t="n">
        <x:f>MIN(1,L2737/I2737)</x:f>
        <x:v>0.02933733333333333</x:v>
      </x:c>
      <x:c r="P2737" s="30" t="n">
        <x:f>O2737*J2737*(1+M2737)</x:f>
        <x:v>0.03227106666666667</x:v>
      </x:c>
      <x:c r="Q2737" s="30" t="n">
        <x:f>P2737*N2737</x:f>
        <x:v>0.3872528</x:v>
      </x:c>
      <x:c r="R2737" s="19" t="str">
        <x:v>独立判定</x:v>
      </x:c>
    </x:row>
    <x:row r="2738" ht="19" customHeight="1">
      <x:c r="A2738" s="19" t="str">
        <x:v>D02734</x:v>
      </x:c>
      <x:c r="B2738" s="19" t="n">
        <x:v>5</x:v>
      </x:c>
      <x:c r="C2738" s="19" t="n">
        <x:v>6</x:v>
      </x:c>
      <x:c r="D2738" s="19" t="str">
        <x:v>C05-M069</x:v>
      </x:c>
      <x:c r="E2738" s="19" t="str">
        <x:v>封庭月契巫</x:v>
      </x:c>
      <x:c r="F2738" s="19" t="str">
        <x:v>稀有</x:v>
      </x:c>
      <x:c r="G2738" s="19" t="str">
        <x:v>材料独立候选</x:v>
      </x:c>
      <x:c r="H2738" s="19" t="str">
        <x:v>学院封蜡</x:v>
      </x:c>
      <x:c r="I2738" s="22" t="n">
        <x:v>1200</x:v>
      </x:c>
      <x:c r="J2738" s="22" t="n">
        <x:v>1</x:v>
      </x:c>
      <x:c r="K2738" s="19" t="n">
        <x:v>1</x:v>
      </x:c>
      <x:c r="L2738" s="24" t="n">
        <x:v>29.33733333333333</x:v>
      </x:c>
      <x:c r="M2738" s="26" t="n">
        <x:v>0.1</x:v>
      </x:c>
      <x:c r="N2738" s="24" t="n">
        <x:v>12</x:v>
      </x:c>
      <x:c r="O2738" s="28" t="n">
        <x:f>MIN(1,L2738/I2738)</x:f>
        <x:v>0.024447777777777777</x:v>
      </x:c>
      <x:c r="P2738" s="30" t="n">
        <x:f>O2738*J2738*(1+M2738)</x:f>
        <x:v>0.026892555555555555</x:v>
      </x:c>
      <x:c r="Q2738" s="30" t="n">
        <x:f>P2738*N2738</x:f>
        <x:v>0.32271066666666665</x:v>
      </x:c>
      <x:c r="R2738" s="19" t="str">
        <x:v>独立判定</x:v>
      </x:c>
    </x:row>
    <x:row r="2739" ht="19" customHeight="1">
      <x:c r="A2739" s="19" t="str">
        <x:v>D02735</x:v>
      </x:c>
      <x:c r="B2739" s="19" t="n">
        <x:v>5</x:v>
      </x:c>
      <x:c r="C2739" s="19" t="n">
        <x:v>6</x:v>
      </x:c>
      <x:c r="D2739" s="19" t="str">
        <x:v>C05-M069</x:v>
      </x:c>
      <x:c r="E2739" s="19" t="str">
        <x:v>封庭月契巫</x:v>
      </x:c>
      <x:c r="F2739" s="19" t="str">
        <x:v>稀有</x:v>
      </x:c>
      <x:c r="G2739" s="19" t="str">
        <x:v>材料独立候选</x:v>
      </x:c>
      <x:c r="H2739" s="19" t="str">
        <x:v>湖心月谱残章</x:v>
      </x:c>
      <x:c r="I2739" s="22" t="n">
        <x:v>800000</x:v>
      </x:c>
      <x:c r="J2739" s="22" t="n">
        <x:v>1</x:v>
      </x:c>
      <x:c r="K2739" s="19" t="n">
        <x:v>1</x:v>
      </x:c>
      <x:c r="L2739" s="24" t="n">
        <x:v>29.33733333333333</x:v>
      </x:c>
      <x:c r="M2739" s="26" t="n">
        <x:v>0.1</x:v>
      </x:c>
      <x:c r="N2739" s="24" t="n">
        <x:v>12</x:v>
      </x:c>
      <x:c r="O2739" s="28" t="n">
        <x:f>MIN(1,L2739/I2739)</x:f>
        <x:v>0.00003667166666666666</x:v>
      </x:c>
      <x:c r="P2739" s="30" t="n">
        <x:f>O2739*J2739*(1+M2739)</x:f>
        <x:v>0.000040338833333333334</x:v>
      </x:c>
      <x:c r="Q2739" s="30" t="n">
        <x:f>P2739*N2739</x:f>
        <x:v>0.000484066</x:v>
      </x:c>
      <x:c r="R2739" s="19" t="str">
        <x:v>独立判定</x:v>
      </x:c>
    </x:row>
    <x:row r="2740" ht="19" customHeight="1">
      <x:c r="A2740" s="19" t="str">
        <x:v>D02736</x:v>
      </x:c>
      <x:c r="B2740" s="19" t="n">
        <x:v>5</x:v>
      </x:c>
      <x:c r="C2740" s="19" t="n">
        <x:v>6</x:v>
      </x:c>
      <x:c r="D2740" s="19" t="str">
        <x:v>C05-M069</x:v>
      </x:c>
      <x:c r="E2740" s="19" t="str">
        <x:v>封庭月契巫</x:v>
      </x:c>
      <x:c r="F2740" s="19" t="str">
        <x:v>稀有</x:v>
      </x:c>
      <x:c r="G2740" s="19" t="str">
        <x:v>材料独立候选</x:v>
      </x:c>
      <x:c r="H2740" s="19" t="str">
        <x:v>黄金树芽</x:v>
      </x:c>
      <x:c r="I2740" s="22" t="n">
        <x:v>4000</x:v>
      </x:c>
      <x:c r="J2740" s="22" t="n">
        <x:v>1</x:v>
      </x:c>
      <x:c r="K2740" s="19" t="n">
        <x:v>1</x:v>
      </x:c>
      <x:c r="L2740" s="24" t="n">
        <x:v>29.33733333333333</x:v>
      </x:c>
      <x:c r="M2740" s="26" t="n">
        <x:v>0.1</x:v>
      </x:c>
      <x:c r="N2740" s="24" t="n">
        <x:v>12</x:v>
      </x:c>
      <x:c r="O2740" s="28" t="n">
        <x:f>MIN(1,L2740/I2740)</x:f>
        <x:v>0.0073343333333333325</x:v>
      </x:c>
      <x:c r="P2740" s="30" t="n">
        <x:f>O2740*J2740*(1+M2740)</x:f>
        <x:v>0.008067766666666667</x:v>
      </x:c>
      <x:c r="Q2740" s="30" t="n">
        <x:f>P2740*N2740</x:f>
        <x:v>0.0968132</x:v>
      </x:c>
      <x:c r="R2740" s="19" t="str">
        <x:v>独立判定</x:v>
      </x:c>
    </x:row>
    <x:row r="2741" ht="19" customHeight="1">
      <x:c r="A2741" s="19" t="str">
        <x:v>D02737</x:v>
      </x:c>
      <x:c r="B2741" s="19" t="n">
        <x:v>5</x:v>
      </x:c>
      <x:c r="C2741" s="19" t="n">
        <x:v>6</x:v>
      </x:c>
      <x:c r="D2741" s="19" t="str">
        <x:v>C05-M069</x:v>
      </x:c>
      <x:c r="E2741" s="19" t="str">
        <x:v>封庭月契巫</x:v>
      </x:c>
      <x:c r="F2741" s="19" t="str">
        <x:v>稀有</x:v>
      </x:c>
      <x:c r="G2741" s="19" t="str">
        <x:v>材料独立候选</x:v>
      </x:c>
      <x:c r="H2741" s="19" t="str">
        <x:v>野兽骨片</x:v>
      </x:c>
      <x:c r="I2741" s="22" t="n">
        <x:v>100</x:v>
      </x:c>
      <x:c r="J2741" s="22" t="n">
        <x:v>3</x:v>
      </x:c>
      <x:c r="K2741" s="19" t="n">
        <x:v>1</x:v>
      </x:c>
      <x:c r="L2741" s="24" t="n">
        <x:v>29.33733333333333</x:v>
      </x:c>
      <x:c r="M2741" s="26" t="n">
        <x:v>0.1</x:v>
      </x:c>
      <x:c r="N2741" s="24" t="n">
        <x:v>12</x:v>
      </x:c>
      <x:c r="O2741" s="28" t="n">
        <x:f>MIN(1,L2741/I2741)</x:f>
        <x:v>0.2933733333333333</x:v>
      </x:c>
      <x:c r="P2741" s="30" t="n">
        <x:f>O2741*J2741*(1+M2741)</x:f>
        <x:v>0.9681320000000001</x:v>
      </x:c>
      <x:c r="Q2741" s="30" t="n">
        <x:f>P2741*N2741</x:f>
        <x:v>11.617584</x:v>
      </x:c>
      <x:c r="R2741" s="19" t="str">
        <x:v>独立判定</x:v>
      </x:c>
    </x:row>
    <x:row r="2742" ht="19" customHeight="1">
      <x:c r="A2742" s="19" t="str">
        <x:v>D02738</x:v>
      </x:c>
      <x:c r="B2742" s="19" t="n">
        <x:v>5</x:v>
      </x:c>
      <x:c r="C2742" s="19" t="n">
        <x:v>6</x:v>
      </x:c>
      <x:c r="D2742" s="19" t="str">
        <x:v>C05-M069</x:v>
      </x:c>
      <x:c r="E2742" s="19" t="str">
        <x:v>封庭月契巫</x:v>
      </x:c>
      <x:c r="F2742" s="19" t="str">
        <x:v>稀有</x:v>
      </x:c>
      <x:c r="G2742" s="19" t="str">
        <x:v>材料独立候选</x:v>
      </x:c>
      <x:c r="H2742" s="19" t="str">
        <x:v>技能残页</x:v>
      </x:c>
      <x:c r="I2742" s="22" t="n">
        <x:v>2500</x:v>
      </x:c>
      <x:c r="J2742" s="22" t="n">
        <x:v>1</x:v>
      </x:c>
      <x:c r="K2742" s="19" t="n">
        <x:v>1</x:v>
      </x:c>
      <x:c r="L2742" s="24" t="n">
        <x:v>29.33733333333333</x:v>
      </x:c>
      <x:c r="M2742" s="26" t="n">
        <x:v>0.1</x:v>
      </x:c>
      <x:c r="N2742" s="24" t="n">
        <x:v>12</x:v>
      </x:c>
      <x:c r="O2742" s="28" t="n">
        <x:f>MIN(1,L2742/I2742)</x:f>
        <x:v>0.011734933333333333</x:v>
      </x:c>
      <x:c r="P2742" s="30" t="n">
        <x:f>O2742*J2742*(1+M2742)</x:f>
        <x:v>0.012908426666666667</x:v>
      </x:c>
      <x:c r="Q2742" s="30" t="n">
        <x:f>P2742*N2742</x:f>
        <x:v>0.15490112</x:v>
      </x:c>
      <x:c r="R2742" s="19" t="str">
        <x:v>独立判定</x:v>
      </x:c>
    </x:row>
    <x:row r="2743" ht="19" customHeight="1">
      <x:c r="A2743" s="19" t="str">
        <x:v>D02739</x:v>
      </x:c>
      <x:c r="B2743" s="19" t="n">
        <x:v>5</x:v>
      </x:c>
      <x:c r="C2743" s="19" t="n">
        <x:v>6</x:v>
      </x:c>
      <x:c r="D2743" s="19" t="str">
        <x:v>C05-M069</x:v>
      </x:c>
      <x:c r="E2743" s="19" t="str">
        <x:v>封庭月契巫</x:v>
      </x:c>
      <x:c r="F2743" s="19" t="str">
        <x:v>稀有</x:v>
      </x:c>
      <x:c r="G2743" s="19" t="str">
        <x:v>材料独立候选</x:v>
      </x:c>
      <x:c r="H2743" s="19" t="str">
        <x:v>小卢恩</x:v>
      </x:c>
      <x:c r="I2743" s="22" t="n">
        <x:v>5000</x:v>
      </x:c>
      <x:c r="J2743" s="22" t="n">
        <x:v>1</x:v>
      </x:c>
      <x:c r="K2743" s="19" t="n">
        <x:v>1</x:v>
      </x:c>
      <x:c r="L2743" s="24" t="n">
        <x:v>29.33733333333333</x:v>
      </x:c>
      <x:c r="M2743" s="26" t="n">
        <x:v>0.1</x:v>
      </x:c>
      <x:c r="N2743" s="24" t="n">
        <x:v>12</x:v>
      </x:c>
      <x:c r="O2743" s="28" t="n">
        <x:f>MIN(1,L2743/I2743)</x:f>
        <x:v>0.005867466666666666</x:v>
      </x:c>
      <x:c r="P2743" s="30" t="n">
        <x:f>O2743*J2743*(1+M2743)</x:f>
        <x:v>0.0064542133333333335</x:v>
      </x:c>
      <x:c r="Q2743" s="30" t="n">
        <x:f>P2743*N2743</x:f>
        <x:v>0.07745056</x:v>
      </x:c>
      <x:c r="R2743" s="19" t="str">
        <x:v>独立判定</x:v>
      </x:c>
    </x:row>
    <x:row r="2744" ht="19" customHeight="1">
      <x:c r="A2744" s="19" t="str">
        <x:v>D02740</x:v>
      </x:c>
      <x:c r="B2744" s="19" t="n">
        <x:v>5</x:v>
      </x:c>
      <x:c r="C2744" s="19" t="n">
        <x:v>6</x:v>
      </x:c>
      <x:c r="D2744" s="19" t="str">
        <x:v>C05-M069</x:v>
      </x:c>
      <x:c r="E2744" s="19" t="str">
        <x:v>封庭月契巫</x:v>
      </x:c>
      <x:c r="F2744" s="19" t="str">
        <x:v>稀有</x:v>
      </x:c>
      <x:c r="G2744" s="19" t="str">
        <x:v>六神器公共池</x:v>
      </x:c>
      <x:c r="H2744" s="19" t="str">
        <x:v>POOL006</x:v>
      </x:c>
      <x:c r="I2744" s="22" t="n">
        <x:v>5000000</x:v>
      </x:c>
      <x:c r="J2744" s="22" t="n">
        <x:v>1</x:v>
      </x:c>
      <x:c r="K2744" s="19" t="n">
        <x:v>6</x:v>
      </x:c>
      <x:c r="L2744" s="24" t="n">
        <x:v>29.33733333333333</x:v>
      </x:c>
      <x:c r="M2744" s="26" t="n">
        <x:v>0.1</x:v>
      </x:c>
      <x:c r="N2744" s="24" t="n">
        <x:v>12</x:v>
      </x:c>
      <x:c r="O2744" s="28" t="n">
        <x:f>MIN(1,L2744/I2744)</x:f>
        <x:v>0.000005867466666666666</x:v>
      </x:c>
      <x:c r="P2744" s="30" t="n">
        <x:f>O2744*J2744*(1+M2744)</x:f>
        <x:v>0.000006454213333333333</x:v>
      </x:c>
      <x:c r="Q2744" s="30" t="n">
        <x:f>P2744*N2744</x:f>
        <x:v>0.00007745056</x:v>
      </x:c>
      <x:c r="R2744" s="19" t="str">
        <x:v>六选一；非6个独立爆率</x:v>
      </x:c>
    </x:row>
    <x:row r="2745" ht="19" customHeight="1">
      <x:c r="A2745" s="19" t="str">
        <x:v>D02741</x:v>
      </x:c>
      <x:c r="B2745" s="19" t="n">
        <x:v>5</x:v>
      </x:c>
      <x:c r="C2745" s="19" t="n">
        <x:v>6</x:v>
      </x:c>
      <x:c r="D2745" s="19" t="str">
        <x:v>C05-M070</x:v>
      </x:c>
      <x:c r="E2745" s="19" t="str">
        <x:v>密殿蚀冠兽</x:v>
      </x:c>
      <x:c r="F2745" s="19" t="str">
        <x:v>稀有</x:v>
      </x:c>
      <x:c r="G2745" s="19" t="str">
        <x:v>自身专属</x:v>
      </x:c>
      <x:c r="H2745" s="19" t="str">
        <x:v>蚀冠密殿章</x:v>
      </x:c>
      <x:c r="I2745" s="22" t="n">
        <x:v>500</x:v>
      </x:c>
      <x:c r="J2745" s="22" t="n">
        <x:v>1</x:v>
      </x:c>
      <x:c r="K2745" s="19" t="n">
        <x:v>1</x:v>
      </x:c>
      <x:c r="L2745" s="24" t="n">
        <x:v>29.33733333333333</x:v>
      </x:c>
      <x:c r="M2745" s="26" t="n">
        <x:v>0.1</x:v>
      </x:c>
      <x:c r="N2745" s="24" t="n">
        <x:v>11.00180548945321</x:v>
      </x:c>
      <x:c r="O2745" s="28" t="n">
        <x:f>MIN(1,L2745/I2745)</x:f>
        <x:v>0.05867466666666666</x:v>
      </x:c>
      <x:c r="P2745" s="30" t="n">
        <x:f>O2745*J2745*(1+M2745)</x:f>
        <x:v>0.06454213333333333</x:v>
      </x:c>
      <x:c r="Q2745" s="30" t="n">
        <x:f>P2745*N2745</x:f>
        <x:v>0.7100799968076876</x:v>
      </x:c>
      <x:c r="R2745" s="19" t="str">
        <x:v>独立判定</x:v>
      </x:c>
    </x:row>
    <x:row r="2746" ht="19" customHeight="1">
      <x:c r="A2746" s="19" t="str">
        <x:v>D02742</x:v>
      </x:c>
      <x:c r="B2746" s="19" t="n">
        <x:v>5</x:v>
      </x:c>
      <x:c r="C2746" s="19" t="n">
        <x:v>6</x:v>
      </x:c>
      <x:c r="D2746" s="19" t="str">
        <x:v>C05-M070</x:v>
      </x:c>
      <x:c r="E2746" s="19" t="str">
        <x:v>密殿蚀冠兽</x:v>
      </x:c>
      <x:c r="F2746" s="19" t="str">
        <x:v>稀有</x:v>
      </x:c>
      <x:c r="G2746" s="19" t="str">
        <x:v>材料独立候选</x:v>
      </x:c>
      <x:c r="H2746" s="19" t="str">
        <x:v>辉石碎晶</x:v>
      </x:c>
      <x:c r="I2746" s="22" t="n">
        <x:v>600</x:v>
      </x:c>
      <x:c r="J2746" s="22" t="n">
        <x:v>15</x:v>
      </x:c>
      <x:c r="K2746" s="19" t="n">
        <x:v>1</x:v>
      </x:c>
      <x:c r="L2746" s="24" t="n">
        <x:v>29.33733333333333</x:v>
      </x:c>
      <x:c r="M2746" s="26" t="n">
        <x:v>0.1</x:v>
      </x:c>
      <x:c r="N2746" s="24" t="n">
        <x:v>11.00180548945321</x:v>
      </x:c>
      <x:c r="O2746" s="28" t="n">
        <x:f>MIN(1,L2746/I2746)</x:f>
        <x:v>0.04889555555555555</x:v>
      </x:c>
      <x:c r="P2746" s="30" t="n">
        <x:f>O2746*J2746*(1+M2746)</x:f>
        <x:v>0.8067766666666667</x:v>
      </x:c>
      <x:c r="Q2746" s="30" t="n">
        <x:f>P2746*N2746</x:f>
        <x:v>8.875999960096095</x:v>
      </x:c>
      <x:c r="R2746" s="19" t="str">
        <x:v>独立判定</x:v>
      </x:c>
    </x:row>
    <x:row r="2747" ht="19" customHeight="1">
      <x:c r="A2747" s="19" t="str">
        <x:v>D02743</x:v>
      </x:c>
      <x:c r="B2747" s="19" t="n">
        <x:v>5</x:v>
      </x:c>
      <x:c r="C2747" s="19" t="n">
        <x:v>6</x:v>
      </x:c>
      <x:c r="D2747" s="19" t="str">
        <x:v>C05-M070</x:v>
      </x:c>
      <x:c r="E2747" s="19" t="str">
        <x:v>密殿蚀冠兽</x:v>
      </x:c>
      <x:c r="F2747" s="19" t="str">
        <x:v>稀有</x:v>
      </x:c>
      <x:c r="G2747" s="19" t="str">
        <x:v>材料独立候选</x:v>
      </x:c>
      <x:c r="H2747" s="19" t="str">
        <x:v>卡利亚月露</x:v>
      </x:c>
      <x:c r="I2747" s="22" t="n">
        <x:v>1000</x:v>
      </x:c>
      <x:c r="J2747" s="22" t="n">
        <x:v>1</x:v>
      </x:c>
      <x:c r="K2747" s="19" t="n">
        <x:v>1</x:v>
      </x:c>
      <x:c r="L2747" s="24" t="n">
        <x:v>29.33733333333333</x:v>
      </x:c>
      <x:c r="M2747" s="26" t="n">
        <x:v>0.1</x:v>
      </x:c>
      <x:c r="N2747" s="24" t="n">
        <x:v>11.00180548945321</x:v>
      </x:c>
      <x:c r="O2747" s="28" t="n">
        <x:f>MIN(1,L2747/I2747)</x:f>
        <x:v>0.02933733333333333</x:v>
      </x:c>
      <x:c r="P2747" s="30" t="n">
        <x:f>O2747*J2747*(1+M2747)</x:f>
        <x:v>0.03227106666666667</x:v>
      </x:c>
      <x:c r="Q2747" s="30" t="n">
        <x:f>P2747*N2747</x:f>
        <x:v>0.3550399984038438</x:v>
      </x:c>
      <x:c r="R2747" s="19" t="str">
        <x:v>独立判定</x:v>
      </x:c>
    </x:row>
    <x:row r="2748" ht="19" customHeight="1">
      <x:c r="A2748" s="19" t="str">
        <x:v>D02744</x:v>
      </x:c>
      <x:c r="B2748" s="19" t="n">
        <x:v>5</x:v>
      </x:c>
      <x:c r="C2748" s="19" t="n">
        <x:v>6</x:v>
      </x:c>
      <x:c r="D2748" s="19" t="str">
        <x:v>C05-M070</x:v>
      </x:c>
      <x:c r="E2748" s="19" t="str">
        <x:v>密殿蚀冠兽</x:v>
      </x:c>
      <x:c r="F2748" s="19" t="str">
        <x:v>稀有</x:v>
      </x:c>
      <x:c r="G2748" s="19" t="str">
        <x:v>材料独立候选</x:v>
      </x:c>
      <x:c r="H2748" s="19" t="str">
        <x:v>学院封蜡</x:v>
      </x:c>
      <x:c r="I2748" s="22" t="n">
        <x:v>1200</x:v>
      </x:c>
      <x:c r="J2748" s="22" t="n">
        <x:v>1</x:v>
      </x:c>
      <x:c r="K2748" s="19" t="n">
        <x:v>1</x:v>
      </x:c>
      <x:c r="L2748" s="24" t="n">
        <x:v>29.33733333333333</x:v>
      </x:c>
      <x:c r="M2748" s="26" t="n">
        <x:v>0.1</x:v>
      </x:c>
      <x:c r="N2748" s="24" t="n">
        <x:v>11.00180548945321</x:v>
      </x:c>
      <x:c r="O2748" s="28" t="n">
        <x:f>MIN(1,L2748/I2748)</x:f>
        <x:v>0.024447777777777777</x:v>
      </x:c>
      <x:c r="P2748" s="30" t="n">
        <x:f>O2748*J2748*(1+M2748)</x:f>
        <x:v>0.026892555555555555</x:v>
      </x:c>
      <x:c r="Q2748" s="30" t="n">
        <x:f>P2748*N2748</x:f>
        <x:v>0.2958666653365365</x:v>
      </x:c>
      <x:c r="R2748" s="19" t="str">
        <x:v>独立判定</x:v>
      </x:c>
    </x:row>
    <x:row r="2749" ht="19" customHeight="1">
      <x:c r="A2749" s="19" t="str">
        <x:v>D02745</x:v>
      </x:c>
      <x:c r="B2749" s="19" t="n">
        <x:v>5</x:v>
      </x:c>
      <x:c r="C2749" s="19" t="n">
        <x:v>6</x:v>
      </x:c>
      <x:c r="D2749" s="19" t="str">
        <x:v>C05-M070</x:v>
      </x:c>
      <x:c r="E2749" s="19" t="str">
        <x:v>密殿蚀冠兽</x:v>
      </x:c>
      <x:c r="F2749" s="19" t="str">
        <x:v>稀有</x:v>
      </x:c>
      <x:c r="G2749" s="19" t="str">
        <x:v>材料独立候选</x:v>
      </x:c>
      <x:c r="H2749" s="19" t="str">
        <x:v>湖心月谱残章</x:v>
      </x:c>
      <x:c r="I2749" s="22" t="n">
        <x:v>800000</x:v>
      </x:c>
      <x:c r="J2749" s="22" t="n">
        <x:v>1</x:v>
      </x:c>
      <x:c r="K2749" s="19" t="n">
        <x:v>1</x:v>
      </x:c>
      <x:c r="L2749" s="24" t="n">
        <x:v>29.33733333333333</x:v>
      </x:c>
      <x:c r="M2749" s="26" t="n">
        <x:v>0.1</x:v>
      </x:c>
      <x:c r="N2749" s="24" t="n">
        <x:v>11.00180548945321</x:v>
      </x:c>
      <x:c r="O2749" s="28" t="n">
        <x:f>MIN(1,L2749/I2749)</x:f>
        <x:v>0.00003667166666666666</x:v>
      </x:c>
      <x:c r="P2749" s="30" t="n">
        <x:f>O2749*J2749*(1+M2749)</x:f>
        <x:v>0.000040338833333333334</x:v>
      </x:c>
      <x:c r="Q2749" s="30" t="n">
        <x:f>P2749*N2749</x:f>
        <x:v>0.0004437999980048048</x:v>
      </x:c>
      <x:c r="R2749" s="19" t="str">
        <x:v>独立判定</x:v>
      </x:c>
    </x:row>
    <x:row r="2750" ht="19" customHeight="1">
      <x:c r="A2750" s="19" t="str">
        <x:v>D02746</x:v>
      </x:c>
      <x:c r="B2750" s="19" t="n">
        <x:v>5</x:v>
      </x:c>
      <x:c r="C2750" s="19" t="n">
        <x:v>6</x:v>
      </x:c>
      <x:c r="D2750" s="19" t="str">
        <x:v>C05-M070</x:v>
      </x:c>
      <x:c r="E2750" s="19" t="str">
        <x:v>密殿蚀冠兽</x:v>
      </x:c>
      <x:c r="F2750" s="19" t="str">
        <x:v>稀有</x:v>
      </x:c>
      <x:c r="G2750" s="19" t="str">
        <x:v>材料独立候选</x:v>
      </x:c>
      <x:c r="H2750" s="19" t="str">
        <x:v>黄金树芽</x:v>
      </x:c>
      <x:c r="I2750" s="22" t="n">
        <x:v>4000</x:v>
      </x:c>
      <x:c r="J2750" s="22" t="n">
        <x:v>1</x:v>
      </x:c>
      <x:c r="K2750" s="19" t="n">
        <x:v>1</x:v>
      </x:c>
      <x:c r="L2750" s="24" t="n">
        <x:v>29.33733333333333</x:v>
      </x:c>
      <x:c r="M2750" s="26" t="n">
        <x:v>0.1</x:v>
      </x:c>
      <x:c r="N2750" s="24" t="n">
        <x:v>11.00180548945321</x:v>
      </x:c>
      <x:c r="O2750" s="28" t="n">
        <x:f>MIN(1,L2750/I2750)</x:f>
        <x:v>0.0073343333333333325</x:v>
      </x:c>
      <x:c r="P2750" s="30" t="n">
        <x:f>O2750*J2750*(1+M2750)</x:f>
        <x:v>0.008067766666666667</x:v>
      </x:c>
      <x:c r="Q2750" s="30" t="n">
        <x:f>P2750*N2750</x:f>
        <x:v>0.08875999960096095</x:v>
      </x:c>
      <x:c r="R2750" s="19" t="str">
        <x:v>独立判定</x:v>
      </x:c>
    </x:row>
    <x:row r="2751" ht="19" customHeight="1">
      <x:c r="A2751" s="19" t="str">
        <x:v>D02747</x:v>
      </x:c>
      <x:c r="B2751" s="19" t="n">
        <x:v>5</x:v>
      </x:c>
      <x:c r="C2751" s="19" t="n">
        <x:v>6</x:v>
      </x:c>
      <x:c r="D2751" s="19" t="str">
        <x:v>C05-M070</x:v>
      </x:c>
      <x:c r="E2751" s="19" t="str">
        <x:v>密殿蚀冠兽</x:v>
      </x:c>
      <x:c r="F2751" s="19" t="str">
        <x:v>稀有</x:v>
      </x:c>
      <x:c r="G2751" s="19" t="str">
        <x:v>材料独立候选</x:v>
      </x:c>
      <x:c r="H2751" s="19" t="str">
        <x:v>野兽骨片</x:v>
      </x:c>
      <x:c r="I2751" s="22" t="n">
        <x:v>100</x:v>
      </x:c>
      <x:c r="J2751" s="22" t="n">
        <x:v>3</x:v>
      </x:c>
      <x:c r="K2751" s="19" t="n">
        <x:v>1</x:v>
      </x:c>
      <x:c r="L2751" s="24" t="n">
        <x:v>29.33733333333333</x:v>
      </x:c>
      <x:c r="M2751" s="26" t="n">
        <x:v>0.1</x:v>
      </x:c>
      <x:c r="N2751" s="24" t="n">
        <x:v>11.00180548945321</x:v>
      </x:c>
      <x:c r="O2751" s="28" t="n">
        <x:f>MIN(1,L2751/I2751)</x:f>
        <x:v>0.2933733333333333</x:v>
      </x:c>
      <x:c r="P2751" s="30" t="n">
        <x:f>O2751*J2751*(1+M2751)</x:f>
        <x:v>0.9681320000000001</x:v>
      </x:c>
      <x:c r="Q2751" s="30" t="n">
        <x:f>P2751*N2751</x:f>
        <x:v>10.651199952115316</x:v>
      </x:c>
      <x:c r="R2751" s="19" t="str">
        <x:v>独立判定</x:v>
      </x:c>
    </x:row>
    <x:row r="2752" ht="19" customHeight="1">
      <x:c r="A2752" s="19" t="str">
        <x:v>D02748</x:v>
      </x:c>
      <x:c r="B2752" s="19" t="n">
        <x:v>5</x:v>
      </x:c>
      <x:c r="C2752" s="19" t="n">
        <x:v>6</x:v>
      </x:c>
      <x:c r="D2752" s="19" t="str">
        <x:v>C05-M070</x:v>
      </x:c>
      <x:c r="E2752" s="19" t="str">
        <x:v>密殿蚀冠兽</x:v>
      </x:c>
      <x:c r="F2752" s="19" t="str">
        <x:v>稀有</x:v>
      </x:c>
      <x:c r="G2752" s="19" t="str">
        <x:v>材料独立候选</x:v>
      </x:c>
      <x:c r="H2752" s="19" t="str">
        <x:v>技能残页</x:v>
      </x:c>
      <x:c r="I2752" s="22" t="n">
        <x:v>2500</x:v>
      </x:c>
      <x:c r="J2752" s="22" t="n">
        <x:v>1</x:v>
      </x:c>
      <x:c r="K2752" s="19" t="n">
        <x:v>1</x:v>
      </x:c>
      <x:c r="L2752" s="24" t="n">
        <x:v>29.33733333333333</x:v>
      </x:c>
      <x:c r="M2752" s="26" t="n">
        <x:v>0.1</x:v>
      </x:c>
      <x:c r="N2752" s="24" t="n">
        <x:v>11.00180548945321</x:v>
      </x:c>
      <x:c r="O2752" s="28" t="n">
        <x:f>MIN(1,L2752/I2752)</x:f>
        <x:v>0.011734933333333333</x:v>
      </x:c>
      <x:c r="P2752" s="30" t="n">
        <x:f>O2752*J2752*(1+M2752)</x:f>
        <x:v>0.012908426666666667</x:v>
      </x:c>
      <x:c r="Q2752" s="30" t="n">
        <x:f>P2752*N2752</x:f>
        <x:v>0.14201599936153753</x:v>
      </x:c>
      <x:c r="R2752" s="19" t="str">
        <x:v>独立判定</x:v>
      </x:c>
    </x:row>
    <x:row r="2753" ht="19" customHeight="1">
      <x:c r="A2753" s="19" t="str">
        <x:v>D02749</x:v>
      </x:c>
      <x:c r="B2753" s="19" t="n">
        <x:v>5</x:v>
      </x:c>
      <x:c r="C2753" s="19" t="n">
        <x:v>6</x:v>
      </x:c>
      <x:c r="D2753" s="19" t="str">
        <x:v>C05-M070</x:v>
      </x:c>
      <x:c r="E2753" s="19" t="str">
        <x:v>密殿蚀冠兽</x:v>
      </x:c>
      <x:c r="F2753" s="19" t="str">
        <x:v>稀有</x:v>
      </x:c>
      <x:c r="G2753" s="19" t="str">
        <x:v>材料独立候选</x:v>
      </x:c>
      <x:c r="H2753" s="19" t="str">
        <x:v>小卢恩</x:v>
      </x:c>
      <x:c r="I2753" s="22" t="n">
        <x:v>5000</x:v>
      </x:c>
      <x:c r="J2753" s="22" t="n">
        <x:v>1</x:v>
      </x:c>
      <x:c r="K2753" s="19" t="n">
        <x:v>1</x:v>
      </x:c>
      <x:c r="L2753" s="24" t="n">
        <x:v>29.33733333333333</x:v>
      </x:c>
      <x:c r="M2753" s="26" t="n">
        <x:v>0.1</x:v>
      </x:c>
      <x:c r="N2753" s="24" t="n">
        <x:v>11.00180548945321</x:v>
      </x:c>
      <x:c r="O2753" s="28" t="n">
        <x:f>MIN(1,L2753/I2753)</x:f>
        <x:v>0.005867466666666666</x:v>
      </x:c>
      <x:c r="P2753" s="30" t="n">
        <x:f>O2753*J2753*(1+M2753)</x:f>
        <x:v>0.0064542133333333335</x:v>
      </x:c>
      <x:c r="Q2753" s="30" t="n">
        <x:f>P2753*N2753</x:f>
        <x:v>0.07100799968076876</x:v>
      </x:c>
      <x:c r="R2753" s="19" t="str">
        <x:v>独立判定</x:v>
      </x:c>
    </x:row>
    <x:row r="2754" ht="19" customHeight="1">
      <x:c r="A2754" s="19" t="str">
        <x:v>D02750</x:v>
      </x:c>
      <x:c r="B2754" s="19" t="n">
        <x:v>5</x:v>
      </x:c>
      <x:c r="C2754" s="19" t="n">
        <x:v>6</x:v>
      </x:c>
      <x:c r="D2754" s="19" t="str">
        <x:v>C05-M070</x:v>
      </x:c>
      <x:c r="E2754" s="19" t="str">
        <x:v>密殿蚀冠兽</x:v>
      </x:c>
      <x:c r="F2754" s="19" t="str">
        <x:v>稀有</x:v>
      </x:c>
      <x:c r="G2754" s="19" t="str">
        <x:v>六神器公共池</x:v>
      </x:c>
      <x:c r="H2754" s="19" t="str">
        <x:v>POOL006</x:v>
      </x:c>
      <x:c r="I2754" s="22" t="n">
        <x:v>5000000</x:v>
      </x:c>
      <x:c r="J2754" s="22" t="n">
        <x:v>1</x:v>
      </x:c>
      <x:c r="K2754" s="19" t="n">
        <x:v>6</x:v>
      </x:c>
      <x:c r="L2754" s="24" t="n">
        <x:v>29.33733333333333</x:v>
      </x:c>
      <x:c r="M2754" s="26" t="n">
        <x:v>0.1</x:v>
      </x:c>
      <x:c r="N2754" s="24" t="n">
        <x:v>11.00180548945321</x:v>
      </x:c>
      <x:c r="O2754" s="28" t="n">
        <x:f>MIN(1,L2754/I2754)</x:f>
        <x:v>0.000005867466666666666</x:v>
      </x:c>
      <x:c r="P2754" s="30" t="n">
        <x:f>O2754*J2754*(1+M2754)</x:f>
        <x:v>0.000006454213333333333</x:v>
      </x:c>
      <x:c r="Q2754" s="30" t="n">
        <x:f>P2754*N2754</x:f>
        <x:v>0.00007100799968076875</x:v>
      </x:c>
      <x:c r="R2754" s="19" t="str">
        <x:v>六选一；非6个独立爆率</x:v>
      </x:c>
    </x:row>
    <x:row r="2755" ht="19" customHeight="1">
      <x:c r="A2755" s="19" t="str">
        <x:v>D02751</x:v>
      </x:c>
      <x:c r="B2755" s="19" t="n">
        <x:v>5</x:v>
      </x:c>
      <x:c r="C2755" s="19" t="n">
        <x:v>6</x:v>
      </x:c>
      <x:c r="D2755" s="19" t="str">
        <x:v>C05-M071</x:v>
      </x:c>
      <x:c r="E2755" s="19" t="str">
        <x:v>月蚀密殿司冕</x:v>
      </x:c>
      <x:c r="F2755" s="19" t="str">
        <x:v>地图BOSS</x:v>
      </x:c>
      <x:c r="G2755" s="19" t="str">
        <x:v>自身专属</x:v>
      </x:c>
      <x:c r="H2755" s="19" t="str">
        <x:v>司冕月蚀礼衣</x:v>
      </x:c>
      <x:c r="I2755" s="22" t="n">
        <x:v>150</x:v>
      </x:c>
      <x:c r="J2755" s="22" t="n">
        <x:v>1</x:v>
      </x:c>
      <x:c r="K2755" s="19" t="n">
        <x:v>1</x:v>
      </x:c>
      <x:c r="L2755" s="24" t="n">
        <x:v>29.33733333333333</x:v>
      </x:c>
      <x:c r="M2755" s="26" t="n">
        <x:v>0.1</x:v>
      </x:c>
      <x:c r="N2755" s="24" t="n">
        <x:v>2</x:v>
      </x:c>
      <x:c r="O2755" s="28" t="n">
        <x:f>MIN(1,L2755/I2755)</x:f>
        <x:v>0.1955822222222222</x:v>
      </x:c>
      <x:c r="P2755" s="30" t="n">
        <x:f>O2755*J2755*(1+M2755)</x:f>
        <x:v>0.21514044444444444</x:v>
      </x:c>
      <x:c r="Q2755" s="30" t="n">
        <x:f>P2755*N2755</x:f>
        <x:v>0.4302808888888889</x:v>
      </x:c>
      <x:c r="R2755" s="19" t="str">
        <x:v>独立判定</x:v>
      </x:c>
    </x:row>
    <x:row r="2756" ht="19" customHeight="1">
      <x:c r="A2756" s="19" t="str">
        <x:v>D02752</x:v>
      </x:c>
      <x:c r="B2756" s="19" t="n">
        <x:v>5</x:v>
      </x:c>
      <x:c r="C2756" s="19" t="n">
        <x:v>6</x:v>
      </x:c>
      <x:c r="D2756" s="19" t="str">
        <x:v>C05-M071</x:v>
      </x:c>
      <x:c r="E2756" s="19" t="str">
        <x:v>月蚀密殿司冕</x:v>
      </x:c>
      <x:c r="F2756" s="19" t="str">
        <x:v>地图BOSS</x:v>
      </x:c>
      <x:c r="G2756" s="19" t="str">
        <x:v>自身专属</x:v>
      </x:c>
      <x:c r="H2756" s="19" t="str">
        <x:v>满月祷戒</x:v>
      </x:c>
      <x:c r="I2756" s="22" t="n">
        <x:v>150</x:v>
      </x:c>
      <x:c r="J2756" s="22" t="n">
        <x:v>1</x:v>
      </x:c>
      <x:c r="K2756" s="19" t="n">
        <x:v>1</x:v>
      </x:c>
      <x:c r="L2756" s="24" t="n">
        <x:v>29.33733333333333</x:v>
      </x:c>
      <x:c r="M2756" s="26" t="n">
        <x:v>0.1</x:v>
      </x:c>
      <x:c r="N2756" s="24" t="n">
        <x:v>2</x:v>
      </x:c>
      <x:c r="O2756" s="28" t="n">
        <x:f>MIN(1,L2756/I2756)</x:f>
        <x:v>0.1955822222222222</x:v>
      </x:c>
      <x:c r="P2756" s="30" t="n">
        <x:f>O2756*J2756*(1+M2756)</x:f>
        <x:v>0.21514044444444444</x:v>
      </x:c>
      <x:c r="Q2756" s="30" t="n">
        <x:f>P2756*N2756</x:f>
        <x:v>0.4302808888888889</x:v>
      </x:c>
      <x:c r="R2756" s="19" t="str">
        <x:v>独立判定</x:v>
      </x:c>
    </x:row>
    <x:row r="2757" ht="19" customHeight="1">
      <x:c r="A2757" s="19" t="str">
        <x:v>D02753</x:v>
      </x:c>
      <x:c r="B2757" s="19" t="n">
        <x:v>5</x:v>
      </x:c>
      <x:c r="C2757" s="19" t="n">
        <x:v>6</x:v>
      </x:c>
      <x:c r="D2757" s="19" t="str">
        <x:v>C05-M071</x:v>
      </x:c>
      <x:c r="E2757" s="19" t="str">
        <x:v>月蚀密殿司冕</x:v>
      </x:c>
      <x:c r="F2757" s="19" t="str">
        <x:v>地图BOSS</x:v>
      </x:c>
      <x:c r="G2757" s="19" t="str">
        <x:v>本图普通兼掉候选</x:v>
      </x:c>
      <x:c r="H2757" s="19" t="str">
        <x:v>POOL046</x:v>
      </x:c>
      <x:c r="I2757" s="22" t="n">
        <x:v>80</x:v>
      </x:c>
      <x:c r="J2757" s="22" t="n">
        <x:v>1</x:v>
      </x:c>
      <x:c r="K2757" s="19" t="n">
        <x:v>1</x:v>
      </x:c>
      <x:c r="L2757" s="24" t="n">
        <x:v>29.33733333333333</x:v>
      </x:c>
      <x:c r="M2757" s="26" t="n">
        <x:v>0.1</x:v>
      </x:c>
      <x:c r="N2757" s="24" t="n">
        <x:v>2</x:v>
      </x:c>
      <x:c r="O2757" s="28" t="n">
        <x:f>MIN(1,L2757/I2757)</x:f>
        <x:v>0.36671666666666664</x:v>
      </x:c>
      <x:c r="P2757" s="30" t="n">
        <x:f>O2757*J2757*(1+M2757)</x:f>
        <x:v>0.40338833333333335</x:v>
      </x:c>
      <x:c r="Q2757" s="30" t="n">
        <x:f>P2757*N2757</x:f>
        <x:v>0.8067766666666667</x:v>
      </x:c>
      <x:c r="R2757" s="19" t="str">
        <x:v>单池选一</x:v>
      </x:c>
    </x:row>
    <x:row r="2758" ht="19" customHeight="1">
      <x:c r="A2758" s="19" t="str">
        <x:v>D02754</x:v>
      </x:c>
      <x:c r="B2758" s="19" t="n">
        <x:v>5</x:v>
      </x:c>
      <x:c r="C2758" s="19" t="n">
        <x:v>6</x:v>
      </x:c>
      <x:c r="D2758" s="19" t="str">
        <x:v>C05-M071</x:v>
      </x:c>
      <x:c r="E2758" s="19" t="str">
        <x:v>月蚀密殿司冕</x:v>
      </x:c>
      <x:c r="F2758" s="19" t="str">
        <x:v>地图BOSS</x:v>
      </x:c>
      <x:c r="G2758" s="19" t="str">
        <x:v>材料独立候选</x:v>
      </x:c>
      <x:c r="H2758" s="19" t="str">
        <x:v>辉石碎晶</x:v>
      </x:c>
      <x:c r="I2758" s="22" t="n">
        <x:v>300</x:v>
      </x:c>
      <x:c r="J2758" s="22" t="n">
        <x:v>30</x:v>
      </x:c>
      <x:c r="K2758" s="19" t="n">
        <x:v>1</x:v>
      </x:c>
      <x:c r="L2758" s="24" t="n">
        <x:v>29.33733333333333</x:v>
      </x:c>
      <x:c r="M2758" s="26" t="n">
        <x:v>0.1</x:v>
      </x:c>
      <x:c r="N2758" s="24" t="n">
        <x:v>2</x:v>
      </x:c>
      <x:c r="O2758" s="28" t="n">
        <x:f>MIN(1,L2758/I2758)</x:f>
        <x:v>0.0977911111111111</x:v>
      </x:c>
      <x:c r="P2758" s="30" t="n">
        <x:f>O2758*J2758*(1+M2758)</x:f>
        <x:v>3.227106666666667</x:v>
      </x:c>
      <x:c r="Q2758" s="30" t="n">
        <x:f>P2758*N2758</x:f>
        <x:v>6.454213333333334</x:v>
      </x:c>
      <x:c r="R2758" s="19" t="str">
        <x:v>独立判定</x:v>
      </x:c>
    </x:row>
    <x:row r="2759" ht="19" customHeight="1">
      <x:c r="A2759" s="19" t="str">
        <x:v>D02755</x:v>
      </x:c>
      <x:c r="B2759" s="19" t="n">
        <x:v>5</x:v>
      </x:c>
      <x:c r="C2759" s="19" t="n">
        <x:v>6</x:v>
      </x:c>
      <x:c r="D2759" s="19" t="str">
        <x:v>C05-M071</x:v>
      </x:c>
      <x:c r="E2759" s="19" t="str">
        <x:v>月蚀密殿司冕</x:v>
      </x:c>
      <x:c r="F2759" s="19" t="str">
        <x:v>地图BOSS</x:v>
      </x:c>
      <x:c r="G2759" s="19" t="str">
        <x:v>材料独立候选</x:v>
      </x:c>
      <x:c r="H2759" s="19" t="str">
        <x:v>卡利亚月露</x:v>
      </x:c>
      <x:c r="I2759" s="22" t="n">
        <x:v>500</x:v>
      </x:c>
      <x:c r="J2759" s="22" t="n">
        <x:v>1</x:v>
      </x:c>
      <x:c r="K2759" s="19" t="n">
        <x:v>1</x:v>
      </x:c>
      <x:c r="L2759" s="24" t="n">
        <x:v>29.33733333333333</x:v>
      </x:c>
      <x:c r="M2759" s="26" t="n">
        <x:v>0.1</x:v>
      </x:c>
      <x:c r="N2759" s="24" t="n">
        <x:v>2</x:v>
      </x:c>
      <x:c r="O2759" s="28" t="n">
        <x:f>MIN(1,L2759/I2759)</x:f>
        <x:v>0.05867466666666666</x:v>
      </x:c>
      <x:c r="P2759" s="30" t="n">
        <x:f>O2759*J2759*(1+M2759)</x:f>
        <x:v>0.06454213333333333</x:v>
      </x:c>
      <x:c r="Q2759" s="30" t="n">
        <x:f>P2759*N2759</x:f>
        <x:v>0.12908426666666667</x:v>
      </x:c>
      <x:c r="R2759" s="19" t="str">
        <x:v>独立判定</x:v>
      </x:c>
    </x:row>
    <x:row r="2760" ht="19" customHeight="1">
      <x:c r="A2760" s="19" t="str">
        <x:v>D02756</x:v>
      </x:c>
      <x:c r="B2760" s="19" t="n">
        <x:v>5</x:v>
      </x:c>
      <x:c r="C2760" s="19" t="n">
        <x:v>6</x:v>
      </x:c>
      <x:c r="D2760" s="19" t="str">
        <x:v>C05-M071</x:v>
      </x:c>
      <x:c r="E2760" s="19" t="str">
        <x:v>月蚀密殿司冕</x:v>
      </x:c>
      <x:c r="F2760" s="19" t="str">
        <x:v>地图BOSS</x:v>
      </x:c>
      <x:c r="G2760" s="19" t="str">
        <x:v>材料独立候选</x:v>
      </x:c>
      <x:c r="H2760" s="19" t="str">
        <x:v>满月王室印</x:v>
      </x:c>
      <x:c r="I2760" s="22" t="n">
        <x:v>180</x:v>
      </x:c>
      <x:c r="J2760" s="22" t="n">
        <x:v>3</x:v>
      </x:c>
      <x:c r="K2760" s="19" t="n">
        <x:v>1</x:v>
      </x:c>
      <x:c r="L2760" s="24" t="n">
        <x:v>29.33733333333333</x:v>
      </x:c>
      <x:c r="M2760" s="26" t="n">
        <x:v>0.1</x:v>
      </x:c>
      <x:c r="N2760" s="24" t="n">
        <x:v>2</x:v>
      </x:c>
      <x:c r="O2760" s="28" t="n">
        <x:f>MIN(1,L2760/I2760)</x:f>
        <x:v>0.16298518518518518</x:v>
      </x:c>
      <x:c r="P2760" s="30" t="n">
        <x:f>O2760*J2760*(1+M2760)</x:f>
        <x:v>0.5378511111111112</x:v>
      </x:c>
      <x:c r="Q2760" s="30" t="n">
        <x:f>P2760*N2760</x:f>
        <x:v>1.0757022222222223</x:v>
      </x:c>
      <x:c r="R2760" s="19" t="str">
        <x:v>独立判定</x:v>
      </x:c>
    </x:row>
    <x:row r="2761" ht="19" customHeight="1">
      <x:c r="A2761" s="19" t="str">
        <x:v>D02757</x:v>
      </x:c>
      <x:c r="B2761" s="19" t="n">
        <x:v>5</x:v>
      </x:c>
      <x:c r="C2761" s="19" t="n">
        <x:v>6</x:v>
      </x:c>
      <x:c r="D2761" s="19" t="str">
        <x:v>C05-M071</x:v>
      </x:c>
      <x:c r="E2761" s="19" t="str">
        <x:v>月蚀密殿司冕</x:v>
      </x:c>
      <x:c r="F2761" s="19" t="str">
        <x:v>地图BOSS</x:v>
      </x:c>
      <x:c r="G2761" s="19" t="str">
        <x:v>材料独立候选</x:v>
      </x:c>
      <x:c r="H2761" s="19" t="str">
        <x:v>月蚀镜片</x:v>
      </x:c>
      <x:c r="I2761" s="22" t="n">
        <x:v>150</x:v>
      </x:c>
      <x:c r="J2761" s="22" t="n">
        <x:v>2</x:v>
      </x:c>
      <x:c r="K2761" s="19" t="n">
        <x:v>1</x:v>
      </x:c>
      <x:c r="L2761" s="24" t="n">
        <x:v>29.33733333333333</x:v>
      </x:c>
      <x:c r="M2761" s="26" t="n">
        <x:v>0.1</x:v>
      </x:c>
      <x:c r="N2761" s="24" t="n">
        <x:v>2</x:v>
      </x:c>
      <x:c r="O2761" s="28" t="n">
        <x:f>MIN(1,L2761/I2761)</x:f>
        <x:v>0.1955822222222222</x:v>
      </x:c>
      <x:c r="P2761" s="30" t="n">
        <x:f>O2761*J2761*(1+M2761)</x:f>
        <x:v>0.4302808888888889</x:v>
      </x:c>
      <x:c r="Q2761" s="30" t="n">
        <x:f>P2761*N2761</x:f>
        <x:v>0.8605617777777778</x:v>
      </x:c>
      <x:c r="R2761" s="19" t="str">
        <x:v>独立判定</x:v>
      </x:c>
    </x:row>
    <x:row r="2762" ht="19" customHeight="1">
      <x:c r="A2762" s="19" t="str">
        <x:v>D02758</x:v>
      </x:c>
      <x:c r="B2762" s="19" t="n">
        <x:v>5</x:v>
      </x:c>
      <x:c r="C2762" s="19" t="n">
        <x:v>6</x:v>
      </x:c>
      <x:c r="D2762" s="19" t="str">
        <x:v>C05-M071</x:v>
      </x:c>
      <x:c r="E2762" s="19" t="str">
        <x:v>月蚀密殿司冕</x:v>
      </x:c>
      <x:c r="F2762" s="19" t="str">
        <x:v>地图BOSS</x:v>
      </x:c>
      <x:c r="G2762" s="19" t="str">
        <x:v>材料独立候选</x:v>
      </x:c>
      <x:c r="H2762" s="19" t="str">
        <x:v>湖心月谱残章</x:v>
      </x:c>
      <x:c r="I2762" s="22" t="n">
        <x:v>400000</x:v>
      </x:c>
      <x:c r="J2762" s="22" t="n">
        <x:v>1</x:v>
      </x:c>
      <x:c r="K2762" s="19" t="n">
        <x:v>1</x:v>
      </x:c>
      <x:c r="L2762" s="24" t="n">
        <x:v>29.33733333333333</x:v>
      </x:c>
      <x:c r="M2762" s="26" t="n">
        <x:v>0.1</x:v>
      </x:c>
      <x:c r="N2762" s="24" t="n">
        <x:v>2</x:v>
      </x:c>
      <x:c r="O2762" s="28" t="n">
        <x:f>MIN(1,L2762/I2762)</x:f>
        <x:v>0.00007334333333333333</x:v>
      </x:c>
      <x:c r="P2762" s="30" t="n">
        <x:f>O2762*J2762*(1+M2762)</x:f>
        <x:v>0.00008067766666666667</x:v>
      </x:c>
      <x:c r="Q2762" s="30" t="n">
        <x:f>P2762*N2762</x:f>
        <x:v>0.00016135533333333334</x:v>
      </x:c>
      <x:c r="R2762" s="19" t="str">
        <x:v>独立判定</x:v>
      </x:c>
    </x:row>
    <x:row r="2763" ht="19" customHeight="1">
      <x:c r="A2763" s="19" t="str">
        <x:v>D02759</x:v>
      </x:c>
      <x:c r="B2763" s="19" t="n">
        <x:v>5</x:v>
      </x:c>
      <x:c r="C2763" s="19" t="n">
        <x:v>6</x:v>
      </x:c>
      <x:c r="D2763" s="19" t="str">
        <x:v>C05-M071</x:v>
      </x:c>
      <x:c r="E2763" s="19" t="str">
        <x:v>月蚀密殿司冕</x:v>
      </x:c>
      <x:c r="F2763" s="19" t="str">
        <x:v>地图BOSS</x:v>
      </x:c>
      <x:c r="G2763" s="19" t="str">
        <x:v>材料独立候选</x:v>
      </x:c>
      <x:c r="H2763" s="19" t="str">
        <x:v>黄金树芽</x:v>
      </x:c>
      <x:c r="I2763" s="22" t="n">
        <x:v>2500</x:v>
      </x:c>
      <x:c r="J2763" s="22" t="n">
        <x:v>1</x:v>
      </x:c>
      <x:c r="K2763" s="19" t="n">
        <x:v>1</x:v>
      </x:c>
      <x:c r="L2763" s="24" t="n">
        <x:v>29.33733333333333</x:v>
      </x:c>
      <x:c r="M2763" s="26" t="n">
        <x:v>0.1</x:v>
      </x:c>
      <x:c r="N2763" s="24" t="n">
        <x:v>2</x:v>
      </x:c>
      <x:c r="O2763" s="28" t="n">
        <x:f>MIN(1,L2763/I2763)</x:f>
        <x:v>0.011734933333333333</x:v>
      </x:c>
      <x:c r="P2763" s="30" t="n">
        <x:f>O2763*J2763*(1+M2763)</x:f>
        <x:v>0.012908426666666667</x:v>
      </x:c>
      <x:c r="Q2763" s="30" t="n">
        <x:f>P2763*N2763</x:f>
        <x:v>0.025816853333333334</x:v>
      </x:c>
      <x:c r="R2763" s="19" t="str">
        <x:v>独立判定</x:v>
      </x:c>
    </x:row>
    <x:row r="2764" ht="19" customHeight="1">
      <x:c r="A2764" s="19" t="str">
        <x:v>D02760</x:v>
      </x:c>
      <x:c r="B2764" s="19" t="n">
        <x:v>5</x:v>
      </x:c>
      <x:c r="C2764" s="19" t="n">
        <x:v>6</x:v>
      </x:c>
      <x:c r="D2764" s="19" t="str">
        <x:v>C05-M071</x:v>
      </x:c>
      <x:c r="E2764" s="19" t="str">
        <x:v>月蚀密殿司冕</x:v>
      </x:c>
      <x:c r="F2764" s="19" t="str">
        <x:v>地图BOSS</x:v>
      </x:c>
      <x:c r="G2764" s="19" t="str">
        <x:v>材料独立候选</x:v>
      </x:c>
      <x:c r="H2764" s="19" t="str">
        <x:v>野兽骨片</x:v>
      </x:c>
      <x:c r="I2764" s="22" t="n">
        <x:v>50</x:v>
      </x:c>
      <x:c r="J2764" s="22" t="n">
        <x:v>3</x:v>
      </x:c>
      <x:c r="K2764" s="19" t="n">
        <x:v>1</x:v>
      </x:c>
      <x:c r="L2764" s="24" t="n">
        <x:v>29.33733333333333</x:v>
      </x:c>
      <x:c r="M2764" s="26" t="n">
        <x:v>0.1</x:v>
      </x:c>
      <x:c r="N2764" s="24" t="n">
        <x:v>2</x:v>
      </x:c>
      <x:c r="O2764" s="28" t="n">
        <x:f>MIN(1,L2764/I2764)</x:f>
        <x:v>0.5867466666666666</x:v>
      </x:c>
      <x:c r="P2764" s="30" t="n">
        <x:f>O2764*J2764*(1+M2764)</x:f>
        <x:v>1.9362640000000002</x:v>
      </x:c>
      <x:c r="Q2764" s="30" t="n">
        <x:f>P2764*N2764</x:f>
        <x:v>3.8725280000000004</x:v>
      </x:c>
      <x:c r="R2764" s="19" t="str">
        <x:v>独立判定</x:v>
      </x:c>
    </x:row>
    <x:row r="2765" ht="19" customHeight="1">
      <x:c r="A2765" s="19" t="str">
        <x:v>D02761</x:v>
      </x:c>
      <x:c r="B2765" s="19" t="n">
        <x:v>5</x:v>
      </x:c>
      <x:c r="C2765" s="19" t="n">
        <x:v>6</x:v>
      </x:c>
      <x:c r="D2765" s="19" t="str">
        <x:v>C05-M071</x:v>
      </x:c>
      <x:c r="E2765" s="19" t="str">
        <x:v>月蚀密殿司冕</x:v>
      </x:c>
      <x:c r="F2765" s="19" t="str">
        <x:v>地图BOSS</x:v>
      </x:c>
      <x:c r="G2765" s="19" t="str">
        <x:v>材料独立候选</x:v>
      </x:c>
      <x:c r="H2765" s="19" t="str">
        <x:v>技能残页</x:v>
      </x:c>
      <x:c r="I2765" s="22" t="n">
        <x:v>1200</x:v>
      </x:c>
      <x:c r="J2765" s="22" t="n">
        <x:v>1</x:v>
      </x:c>
      <x:c r="K2765" s="19" t="n">
        <x:v>1</x:v>
      </x:c>
      <x:c r="L2765" s="24" t="n">
        <x:v>29.33733333333333</x:v>
      </x:c>
      <x:c r="M2765" s="26" t="n">
        <x:v>0.1</x:v>
      </x:c>
      <x:c r="N2765" s="24" t="n">
        <x:v>2</x:v>
      </x:c>
      <x:c r="O2765" s="28" t="n">
        <x:f>MIN(1,L2765/I2765)</x:f>
        <x:v>0.024447777777777777</x:v>
      </x:c>
      <x:c r="P2765" s="30" t="n">
        <x:f>O2765*J2765*(1+M2765)</x:f>
        <x:v>0.026892555555555555</x:v>
      </x:c>
      <x:c r="Q2765" s="30" t="n">
        <x:f>P2765*N2765</x:f>
        <x:v>0.05378511111111111</x:v>
      </x:c>
      <x:c r="R2765" s="19" t="str">
        <x:v>独立判定</x:v>
      </x:c>
    </x:row>
    <x:row r="2766" ht="19" customHeight="1">
      <x:c r="A2766" s="19" t="str">
        <x:v>D02762</x:v>
      </x:c>
      <x:c r="B2766" s="19" t="n">
        <x:v>5</x:v>
      </x:c>
      <x:c r="C2766" s="19" t="n">
        <x:v>6</x:v>
      </x:c>
      <x:c r="D2766" s="19" t="str">
        <x:v>C05-M071</x:v>
      </x:c>
      <x:c r="E2766" s="19" t="str">
        <x:v>月蚀密殿司冕</x:v>
      </x:c>
      <x:c r="F2766" s="19" t="str">
        <x:v>地图BOSS</x:v>
      </x:c>
      <x:c r="G2766" s="19" t="str">
        <x:v>材料独立候选</x:v>
      </x:c>
      <x:c r="H2766" s="19" t="str">
        <x:v>宁姆格福誓页</x:v>
      </x:c>
      <x:c r="I2766" s="22" t="n">
        <x:v>400</x:v>
      </x:c>
      <x:c r="J2766" s="22" t="n">
        <x:v>1</x:v>
      </x:c>
      <x:c r="K2766" s="19" t="n">
        <x:v>1</x:v>
      </x:c>
      <x:c r="L2766" s="24" t="n">
        <x:v>29.33733333333333</x:v>
      </x:c>
      <x:c r="M2766" s="26" t="n">
        <x:v>0.1</x:v>
      </x:c>
      <x:c r="N2766" s="24" t="n">
        <x:v>2</x:v>
      </x:c>
      <x:c r="O2766" s="28" t="n">
        <x:f>MIN(1,L2766/I2766)</x:f>
        <x:v>0.07334333333333333</x:v>
      </x:c>
      <x:c r="P2766" s="30" t="n">
        <x:f>O2766*J2766*(1+M2766)</x:f>
        <x:v>0.08067766666666668</x:v>
      </x:c>
      <x:c r="Q2766" s="30" t="n">
        <x:f>P2766*N2766</x:f>
        <x:v>0.16135533333333335</x:v>
      </x:c>
      <x:c r="R2766" s="19" t="str">
        <x:v>独立判定</x:v>
      </x:c>
    </x:row>
    <x:row r="2767" ht="19" customHeight="1">
      <x:c r="A2767" s="19" t="str">
        <x:v>D02763</x:v>
      </x:c>
      <x:c r="B2767" s="19" t="n">
        <x:v>5</x:v>
      </x:c>
      <x:c r="C2767" s="19" t="n">
        <x:v>6</x:v>
      </x:c>
      <x:c r="D2767" s="19" t="str">
        <x:v>C05-M071</x:v>
      </x:c>
      <x:c r="E2767" s="19" t="str">
        <x:v>月蚀密殿司冕</x:v>
      </x:c>
      <x:c r="F2767" s="19" t="str">
        <x:v>地图BOSS</x:v>
      </x:c>
      <x:c r="G2767" s="19" t="str">
        <x:v>材料独立候选</x:v>
      </x:c>
      <x:c r="H2767" s="19" t="str">
        <x:v>小卢恩</x:v>
      </x:c>
      <x:c r="I2767" s="22" t="n">
        <x:v>3000</x:v>
      </x:c>
      <x:c r="J2767" s="22" t="n">
        <x:v>1</x:v>
      </x:c>
      <x:c r="K2767" s="19" t="n">
        <x:v>1</x:v>
      </x:c>
      <x:c r="L2767" s="24" t="n">
        <x:v>29.33733333333333</x:v>
      </x:c>
      <x:c r="M2767" s="26" t="n">
        <x:v>0.1</x:v>
      </x:c>
      <x:c r="N2767" s="24" t="n">
        <x:v>2</x:v>
      </x:c>
      <x:c r="O2767" s="28" t="n">
        <x:f>MIN(1,L2767/I2767)</x:f>
        <x:v>0.00977911111111111</x:v>
      </x:c>
      <x:c r="P2767" s="30" t="n">
        <x:f>O2767*J2767*(1+M2767)</x:f>
        <x:v>0.010757022222222221</x:v>
      </x:c>
      <x:c r="Q2767" s="30" t="n">
        <x:f>P2767*N2767</x:f>
        <x:v>0.021514044444444443</x:v>
      </x:c>
      <x:c r="R2767" s="19" t="str">
        <x:v>独立判定</x:v>
      </x:c>
    </x:row>
    <x:row r="2768" ht="19" customHeight="1">
      <x:c r="A2768" s="19" t="str">
        <x:v>D02764</x:v>
      </x:c>
      <x:c r="B2768" s="19" t="n">
        <x:v>5</x:v>
      </x:c>
      <x:c r="C2768" s="19" t="n">
        <x:v>6</x:v>
      </x:c>
      <x:c r="D2768" s="19" t="str">
        <x:v>C05-M071</x:v>
      </x:c>
      <x:c r="E2768" s="19" t="str">
        <x:v>月蚀密殿司冕</x:v>
      </x:c>
      <x:c r="F2768" s="19" t="str">
        <x:v>地图BOSS</x:v>
      </x:c>
      <x:c r="G2768" s="19" t="str">
        <x:v>材料独立候选</x:v>
      </x:c>
      <x:c r="H2768" s="19" t="str">
        <x:v>大卢恩</x:v>
      </x:c>
      <x:c r="I2768" s="22" t="n">
        <x:v>250</x:v>
      </x:c>
      <x:c r="J2768" s="22" t="n">
        <x:v>1</x:v>
      </x:c>
      <x:c r="K2768" s="19" t="n">
        <x:v>1</x:v>
      </x:c>
      <x:c r="L2768" s="24" t="n">
        <x:v>29.33733333333333</x:v>
      </x:c>
      <x:c r="M2768" s="26" t="n">
        <x:v>0.1</x:v>
      </x:c>
      <x:c r="N2768" s="24" t="n">
        <x:v>2</x:v>
      </x:c>
      <x:c r="O2768" s="28" t="n">
        <x:f>MIN(1,L2768/I2768)</x:f>
        <x:v>0.11734933333333332</x:v>
      </x:c>
      <x:c r="P2768" s="30" t="n">
        <x:f>O2768*J2768*(1+M2768)</x:f>
        <x:v>0.12908426666666667</x:v>
      </x:c>
      <x:c r="Q2768" s="30" t="n">
        <x:f>P2768*N2768</x:f>
        <x:v>0.25816853333333334</x:v>
      </x:c>
      <x:c r="R2768" s="19" t="str">
        <x:v>独立判定</x:v>
      </x:c>
    </x:row>
    <x:row r="2769" ht="19" customHeight="1">
      <x:c r="A2769" s="19" t="str">
        <x:v>D02765</x:v>
      </x:c>
      <x:c r="B2769" s="19" t="n">
        <x:v>5</x:v>
      </x:c>
      <x:c r="C2769" s="19" t="n">
        <x:v>6</x:v>
      </x:c>
      <x:c r="D2769" s="19" t="str">
        <x:v>C05-M071</x:v>
      </x:c>
      <x:c r="E2769" s="19" t="str">
        <x:v>月蚀密殿司冕</x:v>
      </x:c>
      <x:c r="F2769" s="19" t="str">
        <x:v>地图BOSS</x:v>
      </x:c>
      <x:c r="G2769" s="19" t="str">
        <x:v>六神器公共池</x:v>
      </x:c>
      <x:c r="H2769" s="19" t="str">
        <x:v>POOL006</x:v>
      </x:c>
      <x:c r="I2769" s="22" t="n">
        <x:v>200000</x:v>
      </x:c>
      <x:c r="J2769" s="22" t="n">
        <x:v>1</x:v>
      </x:c>
      <x:c r="K2769" s="19" t="n">
        <x:v>6</x:v>
      </x:c>
      <x:c r="L2769" s="24" t="n">
        <x:v>29.33733333333333</x:v>
      </x:c>
      <x:c r="M2769" s="26" t="n">
        <x:v>0.1</x:v>
      </x:c>
      <x:c r="N2769" s="24" t="n">
        <x:v>2</x:v>
      </x:c>
      <x:c r="O2769" s="28" t="n">
        <x:f>MIN(1,L2769/I2769)</x:f>
        <x:v>0.00014668666666666665</x:v>
      </x:c>
      <x:c r="P2769" s="30" t="n">
        <x:f>O2769*J2769*(1+M2769)</x:f>
        <x:v>0.00016135533333333334</x:v>
      </x:c>
      <x:c r="Q2769" s="30" t="n">
        <x:f>P2769*N2769</x:f>
        <x:v>0.0003227106666666667</x:v>
      </x:c>
      <x:c r="R2769" s="19" t="str">
        <x:v>六选一；非6个独立爆率</x:v>
      </x:c>
    </x:row>
    <x:row r="2770" ht="19" customHeight="1">
      <x:c r="A2770" s="19" t="str">
        <x:v>D02766</x:v>
      </x:c>
      <x:c r="B2770" s="19" t="n">
        <x:v>5</x:v>
      </x:c>
      <x:c r="C2770" s="19" t="n">
        <x:v>6</x:v>
      </x:c>
      <x:c r="D2770" s="19" t="str">
        <x:v>C05-M072</x:v>
      </x:c>
      <x:c r="E2770" s="19" t="str">
        <x:v>卡利亚圣所摄政灵</x:v>
      </x:c>
      <x:c r="F2770" s="19" t="str">
        <x:v>地图BOSS</x:v>
      </x:c>
      <x:c r="G2770" s="19" t="str">
        <x:v>自身专属</x:v>
      </x:c>
      <x:c r="H2770" s="19" t="str">
        <x:v>摄政灵辉杖</x:v>
      </x:c>
      <x:c r="I2770" s="22" t="n">
        <x:v>150</x:v>
      </x:c>
      <x:c r="J2770" s="22" t="n">
        <x:v>1</x:v>
      </x:c>
      <x:c r="K2770" s="19" t="n">
        <x:v>1</x:v>
      </x:c>
      <x:c r="L2770" s="24" t="n">
        <x:v>29.33733333333333</x:v>
      </x:c>
      <x:c r="M2770" s="26" t="n">
        <x:v>0.1</x:v>
      </x:c>
      <x:c r="N2770" s="24" t="n">
        <x:v>2</x:v>
      </x:c>
      <x:c r="O2770" s="28" t="n">
        <x:f>MIN(1,L2770/I2770)</x:f>
        <x:v>0.1955822222222222</x:v>
      </x:c>
      <x:c r="P2770" s="30" t="n">
        <x:f>O2770*J2770*(1+M2770)</x:f>
        <x:v>0.21514044444444444</x:v>
      </x:c>
      <x:c r="Q2770" s="30" t="n">
        <x:f>P2770*N2770</x:f>
        <x:v>0.4302808888888889</x:v>
      </x:c>
      <x:c r="R2770" s="19" t="str">
        <x:v>独立判定</x:v>
      </x:c>
    </x:row>
    <x:row r="2771" ht="19" customHeight="1">
      <x:c r="A2771" s="19" t="str">
        <x:v>D02767</x:v>
      </x:c>
      <x:c r="B2771" s="19" t="n">
        <x:v>5</x:v>
      </x:c>
      <x:c r="C2771" s="19" t="n">
        <x:v>6</x:v>
      </x:c>
      <x:c r="D2771" s="19" t="str">
        <x:v>C05-M072</x:v>
      </x:c>
      <x:c r="E2771" s="19" t="str">
        <x:v>卡利亚圣所摄政灵</x:v>
      </x:c>
      <x:c r="F2771" s="19" t="str">
        <x:v>地图BOSS</x:v>
      </x:c>
      <x:c r="G2771" s="19" t="str">
        <x:v>自身专属</x:v>
      </x:c>
      <x:c r="H2771" s="19" t="str">
        <x:v>映辉玉兔</x:v>
      </x:c>
      <x:c r="I2771" s="22" t="n">
        <x:v>150</x:v>
      </x:c>
      <x:c r="J2771" s="22" t="n">
        <x:v>1</x:v>
      </x:c>
      <x:c r="K2771" s="19" t="n">
        <x:v>1</x:v>
      </x:c>
      <x:c r="L2771" s="24" t="n">
        <x:v>29.33733333333333</x:v>
      </x:c>
      <x:c r="M2771" s="26" t="n">
        <x:v>0.1</x:v>
      </x:c>
      <x:c r="N2771" s="24" t="n">
        <x:v>2</x:v>
      </x:c>
      <x:c r="O2771" s="28" t="n">
        <x:f>MIN(1,L2771/I2771)</x:f>
        <x:v>0.1955822222222222</x:v>
      </x:c>
      <x:c r="P2771" s="30" t="n">
        <x:f>O2771*J2771*(1+M2771)</x:f>
        <x:v>0.21514044444444444</x:v>
      </x:c>
      <x:c r="Q2771" s="30" t="n">
        <x:f>P2771*N2771</x:f>
        <x:v>0.4302808888888889</x:v>
      </x:c>
      <x:c r="R2771" s="19" t="str">
        <x:v>独立判定</x:v>
      </x:c>
    </x:row>
    <x:row r="2772" ht="19" customHeight="1">
      <x:c r="A2772" s="19" t="str">
        <x:v>D02768</x:v>
      </x:c>
      <x:c r="B2772" s="19" t="n">
        <x:v>5</x:v>
      </x:c>
      <x:c r="C2772" s="19" t="n">
        <x:v>6</x:v>
      </x:c>
      <x:c r="D2772" s="19" t="str">
        <x:v>C05-M072</x:v>
      </x:c>
      <x:c r="E2772" s="19" t="str">
        <x:v>卡利亚圣所摄政灵</x:v>
      </x:c>
      <x:c r="F2772" s="19" t="str">
        <x:v>地图BOSS</x:v>
      </x:c>
      <x:c r="G2772" s="19" t="str">
        <x:v>本图普通兼掉候选</x:v>
      </x:c>
      <x:c r="H2772" s="19" t="str">
        <x:v>POOL047</x:v>
      </x:c>
      <x:c r="I2772" s="22" t="n">
        <x:v>80</x:v>
      </x:c>
      <x:c r="J2772" s="22" t="n">
        <x:v>1</x:v>
      </x:c>
      <x:c r="K2772" s="19" t="n">
        <x:v>1</x:v>
      </x:c>
      <x:c r="L2772" s="24" t="n">
        <x:v>29.33733333333333</x:v>
      </x:c>
      <x:c r="M2772" s="26" t="n">
        <x:v>0.1</x:v>
      </x:c>
      <x:c r="N2772" s="24" t="n">
        <x:v>2</x:v>
      </x:c>
      <x:c r="O2772" s="28" t="n">
        <x:f>MIN(1,L2772/I2772)</x:f>
        <x:v>0.36671666666666664</x:v>
      </x:c>
      <x:c r="P2772" s="30" t="n">
        <x:f>O2772*J2772*(1+M2772)</x:f>
        <x:v>0.40338833333333335</x:v>
      </x:c>
      <x:c r="Q2772" s="30" t="n">
        <x:f>P2772*N2772</x:f>
        <x:v>0.8067766666666667</x:v>
      </x:c>
      <x:c r="R2772" s="19" t="str">
        <x:v>单池选一</x:v>
      </x:c>
    </x:row>
    <x:row r="2773" ht="19" customHeight="1">
      <x:c r="A2773" s="19" t="str">
        <x:v>D02769</x:v>
      </x:c>
      <x:c r="B2773" s="19" t="n">
        <x:v>5</x:v>
      </x:c>
      <x:c r="C2773" s="19" t="n">
        <x:v>6</x:v>
      </x:c>
      <x:c r="D2773" s="19" t="str">
        <x:v>C05-M072</x:v>
      </x:c>
      <x:c r="E2773" s="19" t="str">
        <x:v>卡利亚圣所摄政灵</x:v>
      </x:c>
      <x:c r="F2773" s="19" t="str">
        <x:v>地图BOSS</x:v>
      </x:c>
      <x:c r="G2773" s="19" t="str">
        <x:v>材料独立候选</x:v>
      </x:c>
      <x:c r="H2773" s="19" t="str">
        <x:v>辉石碎晶</x:v>
      </x:c>
      <x:c r="I2773" s="22" t="n">
        <x:v>300</x:v>
      </x:c>
      <x:c r="J2773" s="22" t="n">
        <x:v>30</x:v>
      </x:c>
      <x:c r="K2773" s="19" t="n">
        <x:v>1</x:v>
      </x:c>
      <x:c r="L2773" s="24" t="n">
        <x:v>29.33733333333333</x:v>
      </x:c>
      <x:c r="M2773" s="26" t="n">
        <x:v>0.1</x:v>
      </x:c>
      <x:c r="N2773" s="24" t="n">
        <x:v>2</x:v>
      </x:c>
      <x:c r="O2773" s="28" t="n">
        <x:f>MIN(1,L2773/I2773)</x:f>
        <x:v>0.0977911111111111</x:v>
      </x:c>
      <x:c r="P2773" s="30" t="n">
        <x:f>O2773*J2773*(1+M2773)</x:f>
        <x:v>3.227106666666667</x:v>
      </x:c>
      <x:c r="Q2773" s="30" t="n">
        <x:f>P2773*N2773</x:f>
        <x:v>6.454213333333334</x:v>
      </x:c>
      <x:c r="R2773" s="19" t="str">
        <x:v>独立判定</x:v>
      </x:c>
    </x:row>
    <x:row r="2774" ht="19" customHeight="1">
      <x:c r="A2774" s="19" t="str">
        <x:v>D02770</x:v>
      </x:c>
      <x:c r="B2774" s="19" t="n">
        <x:v>5</x:v>
      </x:c>
      <x:c r="C2774" s="19" t="n">
        <x:v>6</x:v>
      </x:c>
      <x:c r="D2774" s="19" t="str">
        <x:v>C05-M072</x:v>
      </x:c>
      <x:c r="E2774" s="19" t="str">
        <x:v>卡利亚圣所摄政灵</x:v>
      </x:c>
      <x:c r="F2774" s="19" t="str">
        <x:v>地图BOSS</x:v>
      </x:c>
      <x:c r="G2774" s="19" t="str">
        <x:v>材料独立候选</x:v>
      </x:c>
      <x:c r="H2774" s="19" t="str">
        <x:v>卡利亚月露</x:v>
      </x:c>
      <x:c r="I2774" s="22" t="n">
        <x:v>500</x:v>
      </x:c>
      <x:c r="J2774" s="22" t="n">
        <x:v>1</x:v>
      </x:c>
      <x:c r="K2774" s="19" t="n">
        <x:v>1</x:v>
      </x:c>
      <x:c r="L2774" s="24" t="n">
        <x:v>29.33733333333333</x:v>
      </x:c>
      <x:c r="M2774" s="26" t="n">
        <x:v>0.1</x:v>
      </x:c>
      <x:c r="N2774" s="24" t="n">
        <x:v>2</x:v>
      </x:c>
      <x:c r="O2774" s="28" t="n">
        <x:f>MIN(1,L2774/I2774)</x:f>
        <x:v>0.05867466666666666</x:v>
      </x:c>
      <x:c r="P2774" s="30" t="n">
        <x:f>O2774*J2774*(1+M2774)</x:f>
        <x:v>0.06454213333333333</x:v>
      </x:c>
      <x:c r="Q2774" s="30" t="n">
        <x:f>P2774*N2774</x:f>
        <x:v>0.12908426666666667</x:v>
      </x:c>
      <x:c r="R2774" s="19" t="str">
        <x:v>独立判定</x:v>
      </x:c>
    </x:row>
    <x:row r="2775" ht="19" customHeight="1">
      <x:c r="A2775" s="19" t="str">
        <x:v>D02771</x:v>
      </x:c>
      <x:c r="B2775" s="19" t="n">
        <x:v>5</x:v>
      </x:c>
      <x:c r="C2775" s="19" t="n">
        <x:v>6</x:v>
      </x:c>
      <x:c r="D2775" s="19" t="str">
        <x:v>C05-M072</x:v>
      </x:c>
      <x:c r="E2775" s="19" t="str">
        <x:v>卡利亚圣所摄政灵</x:v>
      </x:c>
      <x:c r="F2775" s="19" t="str">
        <x:v>地图BOSS</x:v>
      </x:c>
      <x:c r="G2775" s="19" t="str">
        <x:v>材料独立候选</x:v>
      </x:c>
      <x:c r="H2775" s="19" t="str">
        <x:v>满月王室印</x:v>
      </x:c>
      <x:c r="I2775" s="22" t="n">
        <x:v>180</x:v>
      </x:c>
      <x:c r="J2775" s="22" t="n">
        <x:v>3</x:v>
      </x:c>
      <x:c r="K2775" s="19" t="n">
        <x:v>1</x:v>
      </x:c>
      <x:c r="L2775" s="24" t="n">
        <x:v>29.33733333333333</x:v>
      </x:c>
      <x:c r="M2775" s="26" t="n">
        <x:v>0.1</x:v>
      </x:c>
      <x:c r="N2775" s="24" t="n">
        <x:v>2</x:v>
      </x:c>
      <x:c r="O2775" s="28" t="n">
        <x:f>MIN(1,L2775/I2775)</x:f>
        <x:v>0.16298518518518518</x:v>
      </x:c>
      <x:c r="P2775" s="30" t="n">
        <x:f>O2775*J2775*(1+M2775)</x:f>
        <x:v>0.5378511111111112</x:v>
      </x:c>
      <x:c r="Q2775" s="30" t="n">
        <x:f>P2775*N2775</x:f>
        <x:v>1.0757022222222223</x:v>
      </x:c>
      <x:c r="R2775" s="19" t="str">
        <x:v>独立判定</x:v>
      </x:c>
    </x:row>
    <x:row r="2776" ht="19" customHeight="1">
      <x:c r="A2776" s="19" t="str">
        <x:v>D02772</x:v>
      </x:c>
      <x:c r="B2776" s="19" t="n">
        <x:v>5</x:v>
      </x:c>
      <x:c r="C2776" s="19" t="n">
        <x:v>6</x:v>
      </x:c>
      <x:c r="D2776" s="19" t="str">
        <x:v>C05-M072</x:v>
      </x:c>
      <x:c r="E2776" s="19" t="str">
        <x:v>卡利亚圣所摄政灵</x:v>
      </x:c>
      <x:c r="F2776" s="19" t="str">
        <x:v>地图BOSS</x:v>
      </x:c>
      <x:c r="G2776" s="19" t="str">
        <x:v>材料独立候选</x:v>
      </x:c>
      <x:c r="H2776" s="19" t="str">
        <x:v>月蚀镜片</x:v>
      </x:c>
      <x:c r="I2776" s="22" t="n">
        <x:v>150</x:v>
      </x:c>
      <x:c r="J2776" s="22" t="n">
        <x:v>2</x:v>
      </x:c>
      <x:c r="K2776" s="19" t="n">
        <x:v>1</x:v>
      </x:c>
      <x:c r="L2776" s="24" t="n">
        <x:v>29.33733333333333</x:v>
      </x:c>
      <x:c r="M2776" s="26" t="n">
        <x:v>0.1</x:v>
      </x:c>
      <x:c r="N2776" s="24" t="n">
        <x:v>2</x:v>
      </x:c>
      <x:c r="O2776" s="28" t="n">
        <x:f>MIN(1,L2776/I2776)</x:f>
        <x:v>0.1955822222222222</x:v>
      </x:c>
      <x:c r="P2776" s="30" t="n">
        <x:f>O2776*J2776*(1+M2776)</x:f>
        <x:v>0.4302808888888889</x:v>
      </x:c>
      <x:c r="Q2776" s="30" t="n">
        <x:f>P2776*N2776</x:f>
        <x:v>0.8605617777777778</x:v>
      </x:c>
      <x:c r="R2776" s="19" t="str">
        <x:v>独立判定</x:v>
      </x:c>
    </x:row>
    <x:row r="2777" ht="19" customHeight="1">
      <x:c r="A2777" s="19" t="str">
        <x:v>D02773</x:v>
      </x:c>
      <x:c r="B2777" s="19" t="n">
        <x:v>5</x:v>
      </x:c>
      <x:c r="C2777" s="19" t="n">
        <x:v>6</x:v>
      </x:c>
      <x:c r="D2777" s="19" t="str">
        <x:v>C05-M072</x:v>
      </x:c>
      <x:c r="E2777" s="19" t="str">
        <x:v>卡利亚圣所摄政灵</x:v>
      </x:c>
      <x:c r="F2777" s="19" t="str">
        <x:v>地图BOSS</x:v>
      </x:c>
      <x:c r="G2777" s="19" t="str">
        <x:v>材料独立候选</x:v>
      </x:c>
      <x:c r="H2777" s="19" t="str">
        <x:v>湖心月谱残章</x:v>
      </x:c>
      <x:c r="I2777" s="22" t="n">
        <x:v>400000</x:v>
      </x:c>
      <x:c r="J2777" s="22" t="n">
        <x:v>1</x:v>
      </x:c>
      <x:c r="K2777" s="19" t="n">
        <x:v>1</x:v>
      </x:c>
      <x:c r="L2777" s="24" t="n">
        <x:v>29.33733333333333</x:v>
      </x:c>
      <x:c r="M2777" s="26" t="n">
        <x:v>0.1</x:v>
      </x:c>
      <x:c r="N2777" s="24" t="n">
        <x:v>2</x:v>
      </x:c>
      <x:c r="O2777" s="28" t="n">
        <x:f>MIN(1,L2777/I2777)</x:f>
        <x:v>0.00007334333333333333</x:v>
      </x:c>
      <x:c r="P2777" s="30" t="n">
        <x:f>O2777*J2777*(1+M2777)</x:f>
        <x:v>0.00008067766666666667</x:v>
      </x:c>
      <x:c r="Q2777" s="30" t="n">
        <x:f>P2777*N2777</x:f>
        <x:v>0.00016135533333333334</x:v>
      </x:c>
      <x:c r="R2777" s="19" t="str">
        <x:v>独立判定</x:v>
      </x:c>
    </x:row>
    <x:row r="2778" ht="19" customHeight="1">
      <x:c r="A2778" s="19" t="str">
        <x:v>D02774</x:v>
      </x:c>
      <x:c r="B2778" s="19" t="n">
        <x:v>5</x:v>
      </x:c>
      <x:c r="C2778" s="19" t="n">
        <x:v>6</x:v>
      </x:c>
      <x:c r="D2778" s="19" t="str">
        <x:v>C05-M072</x:v>
      </x:c>
      <x:c r="E2778" s="19" t="str">
        <x:v>卡利亚圣所摄政灵</x:v>
      </x:c>
      <x:c r="F2778" s="19" t="str">
        <x:v>地图BOSS</x:v>
      </x:c>
      <x:c r="G2778" s="19" t="str">
        <x:v>材料独立候选</x:v>
      </x:c>
      <x:c r="H2778" s="19" t="str">
        <x:v>黄金树芽</x:v>
      </x:c>
      <x:c r="I2778" s="22" t="n">
        <x:v>2500</x:v>
      </x:c>
      <x:c r="J2778" s="22" t="n">
        <x:v>1</x:v>
      </x:c>
      <x:c r="K2778" s="19" t="n">
        <x:v>1</x:v>
      </x:c>
      <x:c r="L2778" s="24" t="n">
        <x:v>29.33733333333333</x:v>
      </x:c>
      <x:c r="M2778" s="26" t="n">
        <x:v>0.1</x:v>
      </x:c>
      <x:c r="N2778" s="24" t="n">
        <x:v>2</x:v>
      </x:c>
      <x:c r="O2778" s="28" t="n">
        <x:f>MIN(1,L2778/I2778)</x:f>
        <x:v>0.011734933333333333</x:v>
      </x:c>
      <x:c r="P2778" s="30" t="n">
        <x:f>O2778*J2778*(1+M2778)</x:f>
        <x:v>0.012908426666666667</x:v>
      </x:c>
      <x:c r="Q2778" s="30" t="n">
        <x:f>P2778*N2778</x:f>
        <x:v>0.025816853333333334</x:v>
      </x:c>
      <x:c r="R2778" s="19" t="str">
        <x:v>独立判定</x:v>
      </x:c>
    </x:row>
    <x:row r="2779" ht="19" customHeight="1">
      <x:c r="A2779" s="19" t="str">
        <x:v>D02775</x:v>
      </x:c>
      <x:c r="B2779" s="19" t="n">
        <x:v>5</x:v>
      </x:c>
      <x:c r="C2779" s="19" t="n">
        <x:v>6</x:v>
      </x:c>
      <x:c r="D2779" s="19" t="str">
        <x:v>C05-M072</x:v>
      </x:c>
      <x:c r="E2779" s="19" t="str">
        <x:v>卡利亚圣所摄政灵</x:v>
      </x:c>
      <x:c r="F2779" s="19" t="str">
        <x:v>地图BOSS</x:v>
      </x:c>
      <x:c r="G2779" s="19" t="str">
        <x:v>材料独立候选</x:v>
      </x:c>
      <x:c r="H2779" s="19" t="str">
        <x:v>野兽骨片</x:v>
      </x:c>
      <x:c r="I2779" s="22" t="n">
        <x:v>50</x:v>
      </x:c>
      <x:c r="J2779" s="22" t="n">
        <x:v>3</x:v>
      </x:c>
      <x:c r="K2779" s="19" t="n">
        <x:v>1</x:v>
      </x:c>
      <x:c r="L2779" s="24" t="n">
        <x:v>29.33733333333333</x:v>
      </x:c>
      <x:c r="M2779" s="26" t="n">
        <x:v>0.1</x:v>
      </x:c>
      <x:c r="N2779" s="24" t="n">
        <x:v>2</x:v>
      </x:c>
      <x:c r="O2779" s="28" t="n">
        <x:f>MIN(1,L2779/I2779)</x:f>
        <x:v>0.5867466666666666</x:v>
      </x:c>
      <x:c r="P2779" s="30" t="n">
        <x:f>O2779*J2779*(1+M2779)</x:f>
        <x:v>1.9362640000000002</x:v>
      </x:c>
      <x:c r="Q2779" s="30" t="n">
        <x:f>P2779*N2779</x:f>
        <x:v>3.8725280000000004</x:v>
      </x:c>
      <x:c r="R2779" s="19" t="str">
        <x:v>独立判定</x:v>
      </x:c>
    </x:row>
    <x:row r="2780" ht="19" customHeight="1">
      <x:c r="A2780" s="19" t="str">
        <x:v>D02776</x:v>
      </x:c>
      <x:c r="B2780" s="19" t="n">
        <x:v>5</x:v>
      </x:c>
      <x:c r="C2780" s="19" t="n">
        <x:v>6</x:v>
      </x:c>
      <x:c r="D2780" s="19" t="str">
        <x:v>C05-M072</x:v>
      </x:c>
      <x:c r="E2780" s="19" t="str">
        <x:v>卡利亚圣所摄政灵</x:v>
      </x:c>
      <x:c r="F2780" s="19" t="str">
        <x:v>地图BOSS</x:v>
      </x:c>
      <x:c r="G2780" s="19" t="str">
        <x:v>材料独立候选</x:v>
      </x:c>
      <x:c r="H2780" s="19" t="str">
        <x:v>技能残页</x:v>
      </x:c>
      <x:c r="I2780" s="22" t="n">
        <x:v>1200</x:v>
      </x:c>
      <x:c r="J2780" s="22" t="n">
        <x:v>1</x:v>
      </x:c>
      <x:c r="K2780" s="19" t="n">
        <x:v>1</x:v>
      </x:c>
      <x:c r="L2780" s="24" t="n">
        <x:v>29.33733333333333</x:v>
      </x:c>
      <x:c r="M2780" s="26" t="n">
        <x:v>0.1</x:v>
      </x:c>
      <x:c r="N2780" s="24" t="n">
        <x:v>2</x:v>
      </x:c>
      <x:c r="O2780" s="28" t="n">
        <x:f>MIN(1,L2780/I2780)</x:f>
        <x:v>0.024447777777777777</x:v>
      </x:c>
      <x:c r="P2780" s="30" t="n">
        <x:f>O2780*J2780*(1+M2780)</x:f>
        <x:v>0.026892555555555555</x:v>
      </x:c>
      <x:c r="Q2780" s="30" t="n">
        <x:f>P2780*N2780</x:f>
        <x:v>0.05378511111111111</x:v>
      </x:c>
      <x:c r="R2780" s="19" t="str">
        <x:v>独立判定</x:v>
      </x:c>
    </x:row>
    <x:row r="2781" ht="19" customHeight="1">
      <x:c r="A2781" s="19" t="str">
        <x:v>D02777</x:v>
      </x:c>
      <x:c r="B2781" s="19" t="n">
        <x:v>5</x:v>
      </x:c>
      <x:c r="C2781" s="19" t="n">
        <x:v>6</x:v>
      </x:c>
      <x:c r="D2781" s="19" t="str">
        <x:v>C05-M072</x:v>
      </x:c>
      <x:c r="E2781" s="19" t="str">
        <x:v>卡利亚圣所摄政灵</x:v>
      </x:c>
      <x:c r="F2781" s="19" t="str">
        <x:v>地图BOSS</x:v>
      </x:c>
      <x:c r="G2781" s="19" t="str">
        <x:v>材料独立候选</x:v>
      </x:c>
      <x:c r="H2781" s="19" t="str">
        <x:v>宁姆格福誓页</x:v>
      </x:c>
      <x:c r="I2781" s="22" t="n">
        <x:v>400</x:v>
      </x:c>
      <x:c r="J2781" s="22" t="n">
        <x:v>1</x:v>
      </x:c>
      <x:c r="K2781" s="19" t="n">
        <x:v>1</x:v>
      </x:c>
      <x:c r="L2781" s="24" t="n">
        <x:v>29.33733333333333</x:v>
      </x:c>
      <x:c r="M2781" s="26" t="n">
        <x:v>0.1</x:v>
      </x:c>
      <x:c r="N2781" s="24" t="n">
        <x:v>2</x:v>
      </x:c>
      <x:c r="O2781" s="28" t="n">
        <x:f>MIN(1,L2781/I2781)</x:f>
        <x:v>0.07334333333333333</x:v>
      </x:c>
      <x:c r="P2781" s="30" t="n">
        <x:f>O2781*J2781*(1+M2781)</x:f>
        <x:v>0.08067766666666668</x:v>
      </x:c>
      <x:c r="Q2781" s="30" t="n">
        <x:f>P2781*N2781</x:f>
        <x:v>0.16135533333333335</x:v>
      </x:c>
      <x:c r="R2781" s="19" t="str">
        <x:v>独立判定</x:v>
      </x:c>
    </x:row>
    <x:row r="2782" ht="19" customHeight="1">
      <x:c r="A2782" s="19" t="str">
        <x:v>D02778</x:v>
      </x:c>
      <x:c r="B2782" s="19" t="n">
        <x:v>5</x:v>
      </x:c>
      <x:c r="C2782" s="19" t="n">
        <x:v>6</x:v>
      </x:c>
      <x:c r="D2782" s="19" t="str">
        <x:v>C05-M072</x:v>
      </x:c>
      <x:c r="E2782" s="19" t="str">
        <x:v>卡利亚圣所摄政灵</x:v>
      </x:c>
      <x:c r="F2782" s="19" t="str">
        <x:v>地图BOSS</x:v>
      </x:c>
      <x:c r="G2782" s="19" t="str">
        <x:v>材料独立候选</x:v>
      </x:c>
      <x:c r="H2782" s="19" t="str">
        <x:v>小卢恩</x:v>
      </x:c>
      <x:c r="I2782" s="22" t="n">
        <x:v>3000</x:v>
      </x:c>
      <x:c r="J2782" s="22" t="n">
        <x:v>1</x:v>
      </x:c>
      <x:c r="K2782" s="19" t="n">
        <x:v>1</x:v>
      </x:c>
      <x:c r="L2782" s="24" t="n">
        <x:v>29.33733333333333</x:v>
      </x:c>
      <x:c r="M2782" s="26" t="n">
        <x:v>0.1</x:v>
      </x:c>
      <x:c r="N2782" s="24" t="n">
        <x:v>2</x:v>
      </x:c>
      <x:c r="O2782" s="28" t="n">
        <x:f>MIN(1,L2782/I2782)</x:f>
        <x:v>0.00977911111111111</x:v>
      </x:c>
      <x:c r="P2782" s="30" t="n">
        <x:f>O2782*J2782*(1+M2782)</x:f>
        <x:v>0.010757022222222221</x:v>
      </x:c>
      <x:c r="Q2782" s="30" t="n">
        <x:f>P2782*N2782</x:f>
        <x:v>0.021514044444444443</x:v>
      </x:c>
      <x:c r="R2782" s="19" t="str">
        <x:v>独立判定</x:v>
      </x:c>
    </x:row>
    <x:row r="2783" ht="19" customHeight="1">
      <x:c r="A2783" s="19" t="str">
        <x:v>D02779</x:v>
      </x:c>
      <x:c r="B2783" s="19" t="n">
        <x:v>5</x:v>
      </x:c>
      <x:c r="C2783" s="19" t="n">
        <x:v>6</x:v>
      </x:c>
      <x:c r="D2783" s="19" t="str">
        <x:v>C05-M072</x:v>
      </x:c>
      <x:c r="E2783" s="19" t="str">
        <x:v>卡利亚圣所摄政灵</x:v>
      </x:c>
      <x:c r="F2783" s="19" t="str">
        <x:v>地图BOSS</x:v>
      </x:c>
      <x:c r="G2783" s="19" t="str">
        <x:v>材料独立候选</x:v>
      </x:c>
      <x:c r="H2783" s="19" t="str">
        <x:v>大卢恩</x:v>
      </x:c>
      <x:c r="I2783" s="22" t="n">
        <x:v>250</x:v>
      </x:c>
      <x:c r="J2783" s="22" t="n">
        <x:v>1</x:v>
      </x:c>
      <x:c r="K2783" s="19" t="n">
        <x:v>1</x:v>
      </x:c>
      <x:c r="L2783" s="24" t="n">
        <x:v>29.33733333333333</x:v>
      </x:c>
      <x:c r="M2783" s="26" t="n">
        <x:v>0.1</x:v>
      </x:c>
      <x:c r="N2783" s="24" t="n">
        <x:v>2</x:v>
      </x:c>
      <x:c r="O2783" s="28" t="n">
        <x:f>MIN(1,L2783/I2783)</x:f>
        <x:v>0.11734933333333332</x:v>
      </x:c>
      <x:c r="P2783" s="30" t="n">
        <x:f>O2783*J2783*(1+M2783)</x:f>
        <x:v>0.12908426666666667</x:v>
      </x:c>
      <x:c r="Q2783" s="30" t="n">
        <x:f>P2783*N2783</x:f>
        <x:v>0.25816853333333334</x:v>
      </x:c>
      <x:c r="R2783" s="19" t="str">
        <x:v>独立判定</x:v>
      </x:c>
    </x:row>
    <x:row r="2784" ht="19" customHeight="1">
      <x:c r="A2784" s="19" t="str">
        <x:v>D02780</x:v>
      </x:c>
      <x:c r="B2784" s="19" t="n">
        <x:v>5</x:v>
      </x:c>
      <x:c r="C2784" s="19" t="n">
        <x:v>6</x:v>
      </x:c>
      <x:c r="D2784" s="19" t="str">
        <x:v>C05-M072</x:v>
      </x:c>
      <x:c r="E2784" s="19" t="str">
        <x:v>卡利亚圣所摄政灵</x:v>
      </x:c>
      <x:c r="F2784" s="19" t="str">
        <x:v>地图BOSS</x:v>
      </x:c>
      <x:c r="G2784" s="19" t="str">
        <x:v>六神器公共池</x:v>
      </x:c>
      <x:c r="H2784" s="19" t="str">
        <x:v>POOL006</x:v>
      </x:c>
      <x:c r="I2784" s="22" t="n">
        <x:v>200000</x:v>
      </x:c>
      <x:c r="J2784" s="22" t="n">
        <x:v>1</x:v>
      </x:c>
      <x:c r="K2784" s="19" t="n">
        <x:v>6</x:v>
      </x:c>
      <x:c r="L2784" s="24" t="n">
        <x:v>29.33733333333333</x:v>
      </x:c>
      <x:c r="M2784" s="26" t="n">
        <x:v>0.1</x:v>
      </x:c>
      <x:c r="N2784" s="24" t="n">
        <x:v>2</x:v>
      </x:c>
      <x:c r="O2784" s="28" t="n">
        <x:f>MIN(1,L2784/I2784)</x:f>
        <x:v>0.00014668666666666665</x:v>
      </x:c>
      <x:c r="P2784" s="30" t="n">
        <x:f>O2784*J2784*(1+M2784)</x:f>
        <x:v>0.00016135533333333334</x:v>
      </x:c>
      <x:c r="Q2784" s="30" t="n">
        <x:f>P2784*N2784</x:f>
        <x:v>0.0003227106666666667</x:v>
      </x:c>
      <x:c r="R2784" s="19" t="str">
        <x:v>六选一；非6个独立爆率</x:v>
      </x:c>
    </x:row>
    <x:row r="2785" ht="19" customHeight="1">
      <x:c r="A2785" s="19" t="str">
        <x:v>D02781</x:v>
      </x:c>
      <x:c r="B2785" s="19" t="n">
        <x:v>5</x:v>
      </x:c>
      <x:c r="C2785" s="19" t="n">
        <x:v>6</x:v>
      </x:c>
      <x:c r="D2785" s="19" t="str">
        <x:v>C05-M073</x:v>
      </x:c>
      <x:c r="E2785" s="19" t="str">
        <x:v>寒镜终誓王</x:v>
      </x:c>
      <x:c r="F2785" s="19" t="str">
        <x:v>守关BOSS</x:v>
      </x:c>
      <x:c r="G2785" s="19" t="str">
        <x:v>自身专属</x:v>
      </x:c>
      <x:c r="H2785" s="19" t="str">
        <x:v>终誓月裁剑</x:v>
      </x:c>
      <x:c r="I2785" s="22" t="n">
        <x:v>100</x:v>
      </x:c>
      <x:c r="J2785" s="22" t="n">
        <x:v>1</x:v>
      </x:c>
      <x:c r="K2785" s="19" t="n">
        <x:v>1</x:v>
      </x:c>
      <x:c r="L2785" s="24" t="n">
        <x:v>29.33733333333333</x:v>
      </x:c>
      <x:c r="M2785" s="26" t="n">
        <x:v>0.1</x:v>
      </x:c>
      <x:c r="N2785" s="24" t="n">
        <x:v>0</x:v>
      </x:c>
      <x:c r="O2785" s="28" t="n">
        <x:f>MIN(1,L2785/I2785)</x:f>
        <x:v>0.2933733333333333</x:v>
      </x:c>
      <x:c r="P2785" s="30" t="n">
        <x:f>O2785*J2785*(1+M2785)</x:f>
        <x:v>0.3227106666666667</x:v>
      </x:c>
      <x:c r="Q2785" s="30" t="n">
        <x:f>P2785*N2785</x:f>
        <x:v>0</x:v>
      </x:c>
      <x:c r="R2785" s="19" t="str">
        <x:v>独立判定</x:v>
      </x:c>
    </x:row>
    <x:row r="2786" ht="19" customHeight="1">
      <x:c r="A2786" s="19" t="str">
        <x:v>D02782</x:v>
      </x:c>
      <x:c r="B2786" s="19" t="n">
        <x:v>5</x:v>
      </x:c>
      <x:c r="C2786" s="19" t="n">
        <x:v>6</x:v>
      </x:c>
      <x:c r="D2786" s="19" t="str">
        <x:v>C05-M073</x:v>
      </x:c>
      <x:c r="E2786" s="19" t="str">
        <x:v>寒镜终誓王</x:v>
      </x:c>
      <x:c r="F2786" s="19" t="str">
        <x:v>守关BOSS</x:v>
      </x:c>
      <x:c r="G2786" s="19" t="str">
        <x:v>自身专属</x:v>
      </x:c>
      <x:c r="H2786" s="19" t="str">
        <x:v>残月仪剑</x:v>
      </x:c>
      <x:c r="I2786" s="22" t="n">
        <x:v>100</x:v>
      </x:c>
      <x:c r="J2786" s="22" t="n">
        <x:v>1</x:v>
      </x:c>
      <x:c r="K2786" s="19" t="n">
        <x:v>1</x:v>
      </x:c>
      <x:c r="L2786" s="24" t="n">
        <x:v>29.33733333333333</x:v>
      </x:c>
      <x:c r="M2786" s="26" t="n">
        <x:v>0.1</x:v>
      </x:c>
      <x:c r="N2786" s="24" t="n">
        <x:v>0</x:v>
      </x:c>
      <x:c r="O2786" s="28" t="n">
        <x:f>MIN(1,L2786/I2786)</x:f>
        <x:v>0.2933733333333333</x:v>
      </x:c>
      <x:c r="P2786" s="30" t="n">
        <x:f>O2786*J2786*(1+M2786)</x:f>
        <x:v>0.3227106666666667</x:v>
      </x:c>
      <x:c r="Q2786" s="30" t="n">
        <x:f>P2786*N2786</x:f>
        <x:v>0</x:v>
      </x:c>
      <x:c r="R2786" s="19" t="str">
        <x:v>独立判定</x:v>
      </x:c>
    </x:row>
    <x:row r="2787" ht="19" customHeight="1">
      <x:c r="A2787" s="19" t="str">
        <x:v>D02783</x:v>
      </x:c>
      <x:c r="B2787" s="19" t="n">
        <x:v>5</x:v>
      </x:c>
      <x:c r="C2787" s="19" t="n">
        <x:v>6</x:v>
      </x:c>
      <x:c r="D2787" s="19" t="str">
        <x:v>C05-M073</x:v>
      </x:c>
      <x:c r="E2787" s="19" t="str">
        <x:v>寒镜终誓王</x:v>
      </x:c>
      <x:c r="F2787" s="19" t="str">
        <x:v>守关BOSS</x:v>
      </x:c>
      <x:c r="G2787" s="19" t="str">
        <x:v>自身专属</x:v>
      </x:c>
      <x:c r="H2787" s="19" t="str">
        <x:v>镜宫月袍</x:v>
      </x:c>
      <x:c r="I2787" s="22" t="n">
        <x:v>100</x:v>
      </x:c>
      <x:c r="J2787" s="22" t="n">
        <x:v>1</x:v>
      </x:c>
      <x:c r="K2787" s="19" t="n">
        <x:v>1</x:v>
      </x:c>
      <x:c r="L2787" s="24" t="n">
        <x:v>29.33733333333333</x:v>
      </x:c>
      <x:c r="M2787" s="26" t="n">
        <x:v>0.1</x:v>
      </x:c>
      <x:c r="N2787" s="24" t="n">
        <x:v>0</x:v>
      </x:c>
      <x:c r="O2787" s="28" t="n">
        <x:f>MIN(1,L2787/I2787)</x:f>
        <x:v>0.2933733333333333</x:v>
      </x:c>
      <x:c r="P2787" s="30" t="n">
        <x:f>O2787*J2787*(1+M2787)</x:f>
        <x:v>0.3227106666666667</x:v>
      </x:c>
      <x:c r="Q2787" s="30" t="n">
        <x:f>P2787*N2787</x:f>
        <x:v>0</x:v>
      </x:c>
      <x:c r="R2787" s="19" t="str">
        <x:v>独立判定</x:v>
      </x:c>
    </x:row>
    <x:row r="2788" ht="19" customHeight="1">
      <x:c r="A2788" s="19" t="str">
        <x:v>D02784</x:v>
      </x:c>
      <x:c r="B2788" s="19" t="n">
        <x:v>5</x:v>
      </x:c>
      <x:c r="C2788" s="19" t="n">
        <x:v>6</x:v>
      </x:c>
      <x:c r="D2788" s="19" t="str">
        <x:v>C05-M073</x:v>
      </x:c>
      <x:c r="E2788" s="19" t="str">
        <x:v>寒镜终誓王</x:v>
      </x:c>
      <x:c r="F2788" s="19" t="str">
        <x:v>守关BOSS</x:v>
      </x:c>
      <x:c r="G2788" s="19" t="str">
        <x:v>本图普通兼掉候选</x:v>
      </x:c>
      <x:c r="H2788" s="19" t="str">
        <x:v>POOL047</x:v>
      </x:c>
      <x:c r="I2788" s="22" t="n">
        <x:v>80</x:v>
      </x:c>
      <x:c r="J2788" s="22" t="n">
        <x:v>1</x:v>
      </x:c>
      <x:c r="K2788" s="19" t="n">
        <x:v>1</x:v>
      </x:c>
      <x:c r="L2788" s="24" t="n">
        <x:v>29.33733333333333</x:v>
      </x:c>
      <x:c r="M2788" s="26" t="n">
        <x:v>0.1</x:v>
      </x:c>
      <x:c r="N2788" s="24" t="n">
        <x:v>0</x:v>
      </x:c>
      <x:c r="O2788" s="28" t="n">
        <x:f>MIN(1,L2788/I2788)</x:f>
        <x:v>0.36671666666666664</x:v>
      </x:c>
      <x:c r="P2788" s="30" t="n">
        <x:f>O2788*J2788*(1+M2788)</x:f>
        <x:v>0.40338833333333335</x:v>
      </x:c>
      <x:c r="Q2788" s="30" t="n">
        <x:f>P2788*N2788</x:f>
        <x:v>0</x:v>
      </x:c>
      <x:c r="R2788" s="19" t="str">
        <x:v>单池选一</x:v>
      </x:c>
    </x:row>
    <x:row r="2789" ht="19" customHeight="1">
      <x:c r="A2789" s="19" t="str">
        <x:v>D02785</x:v>
      </x:c>
      <x:c r="B2789" s="19" t="n">
        <x:v>5</x:v>
      </x:c>
      <x:c r="C2789" s="19" t="n">
        <x:v>6</x:v>
      </x:c>
      <x:c r="D2789" s="19" t="str">
        <x:v>C05-M073</x:v>
      </x:c>
      <x:c r="E2789" s="19" t="str">
        <x:v>寒镜终誓王</x:v>
      </x:c>
      <x:c r="F2789" s="19" t="str">
        <x:v>守关BOSS</x:v>
      </x:c>
      <x:c r="G2789" s="19" t="str">
        <x:v>材料独立候选</x:v>
      </x:c>
      <x:c r="H2789" s="19" t="str">
        <x:v>辉石碎晶</x:v>
      </x:c>
      <x:c r="I2789" s="22" t="n">
        <x:v>1</x:v>
      </x:c>
      <x:c r="J2789" s="22" t="n">
        <x:v>40</x:v>
      </x:c>
      <x:c r="K2789" s="19" t="n">
        <x:v>1</x:v>
      </x:c>
      <x:c r="L2789" s="24" t="n">
        <x:v>29.33733333333333</x:v>
      </x:c>
      <x:c r="M2789" s="26" t="n">
        <x:v>0.1</x:v>
      </x:c>
      <x:c r="N2789" s="24" t="n">
        <x:v>0</x:v>
      </x:c>
      <x:c r="O2789" s="28" t="n">
        <x:f>MIN(1,L2789/I2789)</x:f>
        <x:v>1</x:v>
      </x:c>
      <x:c r="P2789" s="30" t="n">
        <x:f>O2789*J2789*(1+M2789)</x:f>
        <x:v>44</x:v>
      </x:c>
      <x:c r="Q2789" s="30" t="n">
        <x:f>P2789*N2789</x:f>
        <x:v>0</x:v>
      </x:c>
      <x:c r="R2789" s="19" t="str">
        <x:v>独立判定</x:v>
      </x:c>
    </x:row>
    <x:row r="2790" ht="19" customHeight="1">
      <x:c r="A2790" s="19" t="str">
        <x:v>D02786</x:v>
      </x:c>
      <x:c r="B2790" s="19" t="n">
        <x:v>5</x:v>
      </x:c>
      <x:c r="C2790" s="19" t="n">
        <x:v>6</x:v>
      </x:c>
      <x:c r="D2790" s="19" t="str">
        <x:v>C05-M073</x:v>
      </x:c>
      <x:c r="E2790" s="19" t="str">
        <x:v>寒镜终誓王</x:v>
      </x:c>
      <x:c r="F2790" s="19" t="str">
        <x:v>守关BOSS</x:v>
      </x:c>
      <x:c r="G2790" s="19" t="str">
        <x:v>材料独立候选</x:v>
      </x:c>
      <x:c r="H2790" s="19" t="str">
        <x:v>卡利亚月露</x:v>
      </x:c>
      <x:c r="I2790" s="22" t="n">
        <x:v>1</x:v>
      </x:c>
      <x:c r="J2790" s="22" t="n">
        <x:v>1</x:v>
      </x:c>
      <x:c r="K2790" s="19" t="n">
        <x:v>1</x:v>
      </x:c>
      <x:c r="L2790" s="24" t="n">
        <x:v>29.33733333333333</x:v>
      </x:c>
      <x:c r="M2790" s="26" t="n">
        <x:v>0.1</x:v>
      </x:c>
      <x:c r="N2790" s="24" t="n">
        <x:v>0</x:v>
      </x:c>
      <x:c r="O2790" s="28" t="n">
        <x:f>MIN(1,L2790/I2790)</x:f>
        <x:v>1</x:v>
      </x:c>
      <x:c r="P2790" s="30" t="n">
        <x:f>O2790*J2790*(1+M2790)</x:f>
        <x:v>1.1</x:v>
      </x:c>
      <x:c r="Q2790" s="30" t="n">
        <x:f>P2790*N2790</x:f>
        <x:v>0</x:v>
      </x:c>
      <x:c r="R2790" s="19" t="str">
        <x:v>独立判定</x:v>
      </x:c>
    </x:row>
    <x:row r="2791" ht="19" customHeight="1">
      <x:c r="A2791" s="19" t="str">
        <x:v>D02787</x:v>
      </x:c>
      <x:c r="B2791" s="19" t="n">
        <x:v>5</x:v>
      </x:c>
      <x:c r="C2791" s="19" t="n">
        <x:v>6</x:v>
      </x:c>
      <x:c r="D2791" s="19" t="str">
        <x:v>C05-M073</x:v>
      </x:c>
      <x:c r="E2791" s="19" t="str">
        <x:v>寒镜终誓王</x:v>
      </x:c>
      <x:c r="F2791" s="19" t="str">
        <x:v>守关BOSS</x:v>
      </x:c>
      <x:c r="G2791" s="19" t="str">
        <x:v>材料独立候选</x:v>
      </x:c>
      <x:c r="H2791" s="19" t="str">
        <x:v>满月王室印</x:v>
      </x:c>
      <x:c r="I2791" s="22" t="n">
        <x:v>1</x:v>
      </x:c>
      <x:c r="J2791" s="22" t="n">
        <x:v>1</x:v>
      </x:c>
      <x:c r="K2791" s="19" t="n">
        <x:v>1</x:v>
      </x:c>
      <x:c r="L2791" s="24" t="n">
        <x:v>29.33733333333333</x:v>
      </x:c>
      <x:c r="M2791" s="26" t="n">
        <x:v>0.1</x:v>
      </x:c>
      <x:c r="N2791" s="24" t="n">
        <x:v>0</x:v>
      </x:c>
      <x:c r="O2791" s="28" t="n">
        <x:f>MIN(1,L2791/I2791)</x:f>
        <x:v>1</x:v>
      </x:c>
      <x:c r="P2791" s="30" t="n">
        <x:f>O2791*J2791*(1+M2791)</x:f>
        <x:v>1.1</x:v>
      </x:c>
      <x:c r="Q2791" s="30" t="n">
        <x:f>P2791*N2791</x:f>
        <x:v>0</x:v>
      </x:c>
      <x:c r="R2791" s="19" t="str">
        <x:v>独立判定</x:v>
      </x:c>
    </x:row>
    <x:row r="2792" ht="19" customHeight="1">
      <x:c r="A2792" s="19" t="str">
        <x:v>D02788</x:v>
      </x:c>
      <x:c r="B2792" s="19" t="n">
        <x:v>5</x:v>
      </x:c>
      <x:c r="C2792" s="19" t="n">
        <x:v>6</x:v>
      </x:c>
      <x:c r="D2792" s="19" t="str">
        <x:v>C05-M073</x:v>
      </x:c>
      <x:c r="E2792" s="19" t="str">
        <x:v>寒镜终誓王</x:v>
      </x:c>
      <x:c r="F2792" s="19" t="str">
        <x:v>守关BOSS</x:v>
      </x:c>
      <x:c r="G2792" s="19" t="str">
        <x:v>材料独立候选</x:v>
      </x:c>
      <x:c r="H2792" s="19" t="str">
        <x:v>禁域星钥</x:v>
      </x:c>
      <x:c r="I2792" s="22" t="n">
        <x:v>1</x:v>
      </x:c>
      <x:c r="J2792" s="22" t="n">
        <x:v>1</x:v>
      </x:c>
      <x:c r="K2792" s="19" t="n">
        <x:v>1</x:v>
      </x:c>
      <x:c r="L2792" s="24" t="n">
        <x:v>29.33733333333333</x:v>
      </x:c>
      <x:c r="M2792" s="26" t="n">
        <x:v>0.1</x:v>
      </x:c>
      <x:c r="N2792" s="24" t="n">
        <x:v>0</x:v>
      </x:c>
      <x:c r="O2792" s="28" t="n">
        <x:f>MIN(1,L2792/I2792)</x:f>
        <x:v>1</x:v>
      </x:c>
      <x:c r="P2792" s="30" t="n">
        <x:f>O2792*J2792*(1+M2792)</x:f>
        <x:v>1.1</x:v>
      </x:c>
      <x:c r="Q2792" s="30" t="n">
        <x:f>P2792*N2792</x:f>
        <x:v>0</x:v>
      </x:c>
      <x:c r="R2792" s="19" t="str">
        <x:v>独立判定</x:v>
      </x:c>
    </x:row>
    <x:row r="2793" ht="19" customHeight="1">
      <x:c r="A2793" s="19" t="str">
        <x:v>D02789</x:v>
      </x:c>
      <x:c r="B2793" s="19" t="n">
        <x:v>5</x:v>
      </x:c>
      <x:c r="C2793" s="19" t="n">
        <x:v>6</x:v>
      </x:c>
      <x:c r="D2793" s="19" t="str">
        <x:v>C05-M073</x:v>
      </x:c>
      <x:c r="E2793" s="19" t="str">
        <x:v>寒镜终誓王</x:v>
      </x:c>
      <x:c r="F2793" s="19" t="str">
        <x:v>守关BOSS</x:v>
      </x:c>
      <x:c r="G2793" s="19" t="str">
        <x:v>材料独立候选</x:v>
      </x:c>
      <x:c r="H2793" s="19" t="str">
        <x:v>湖心月谱残章</x:v>
      </x:c>
      <x:c r="I2793" s="22" t="n">
        <x:v>8000</x:v>
      </x:c>
      <x:c r="J2793" s="22" t="n">
        <x:v>1</x:v>
      </x:c>
      <x:c r="K2793" s="19" t="n">
        <x:v>1</x:v>
      </x:c>
      <x:c r="L2793" s="24" t="n">
        <x:v>29.33733333333333</x:v>
      </x:c>
      <x:c r="M2793" s="26" t="n">
        <x:v>0.1</x:v>
      </x:c>
      <x:c r="N2793" s="24" t="n">
        <x:v>0</x:v>
      </x:c>
      <x:c r="O2793" s="28" t="n">
        <x:f>MIN(1,L2793/I2793)</x:f>
        <x:v>0.0036671666666666662</x:v>
      </x:c>
      <x:c r="P2793" s="30" t="n">
        <x:f>O2793*J2793*(1+M2793)</x:f>
        <x:v>0.004033883333333333</x:v>
      </x:c>
      <x:c r="Q2793" s="30" t="n">
        <x:f>P2793*N2793</x:f>
        <x:v>0</x:v>
      </x:c>
      <x:c r="R2793" s="19" t="str">
        <x:v>独立判定</x:v>
      </x:c>
    </x:row>
    <x:row r="2794" ht="19" customHeight="1">
      <x:c r="A2794" s="19" t="str">
        <x:v>D02790</x:v>
      </x:c>
      <x:c r="B2794" s="19" t="n">
        <x:v>5</x:v>
      </x:c>
      <x:c r="C2794" s="19" t="n">
        <x:v>6</x:v>
      </x:c>
      <x:c r="D2794" s="19" t="str">
        <x:v>C05-M073</x:v>
      </x:c>
      <x:c r="E2794" s="19" t="str">
        <x:v>寒镜终誓王</x:v>
      </x:c>
      <x:c r="F2794" s="19" t="str">
        <x:v>守关BOSS</x:v>
      </x:c>
      <x:c r="G2794" s="19" t="str">
        <x:v>材料独立候选</x:v>
      </x:c>
      <x:c r="H2794" s="19" t="str">
        <x:v>黄金树芽</x:v>
      </x:c>
      <x:c r="I2794" s="22" t="n">
        <x:v>1</x:v>
      </x:c>
      <x:c r="J2794" s="22" t="n">
        <x:v>1</x:v>
      </x:c>
      <x:c r="K2794" s="19" t="n">
        <x:v>1</x:v>
      </x:c>
      <x:c r="L2794" s="24" t="n">
        <x:v>29.33733333333333</x:v>
      </x:c>
      <x:c r="M2794" s="26" t="n">
        <x:v>0.1</x:v>
      </x:c>
      <x:c r="N2794" s="24" t="n">
        <x:v>0</x:v>
      </x:c>
      <x:c r="O2794" s="28" t="n">
        <x:f>MIN(1,L2794/I2794)</x:f>
        <x:v>1</x:v>
      </x:c>
      <x:c r="P2794" s="30" t="n">
        <x:f>O2794*J2794*(1+M2794)</x:f>
        <x:v>1.1</x:v>
      </x:c>
      <x:c r="Q2794" s="30" t="n">
        <x:f>P2794*N2794</x:f>
        <x:v>0</x:v>
      </x:c>
      <x:c r="R2794" s="19" t="str">
        <x:v>独立判定</x:v>
      </x:c>
    </x:row>
    <x:row r="2795" ht="19" customHeight="1">
      <x:c r="A2795" s="19" t="str">
        <x:v>D02791</x:v>
      </x:c>
      <x:c r="B2795" s="19" t="n">
        <x:v>5</x:v>
      </x:c>
      <x:c r="C2795" s="19" t="n">
        <x:v>6</x:v>
      </x:c>
      <x:c r="D2795" s="19" t="str">
        <x:v>C05-M073</x:v>
      </x:c>
      <x:c r="E2795" s="19" t="str">
        <x:v>寒镜终誓王</x:v>
      </x:c>
      <x:c r="F2795" s="19" t="str">
        <x:v>守关BOSS</x:v>
      </x:c>
      <x:c r="G2795" s="19" t="str">
        <x:v>六神器公共池</x:v>
      </x:c>
      <x:c r="H2795" s="19" t="str">
        <x:v>POOL006</x:v>
      </x:c>
      <x:c r="I2795" s="22" t="n">
        <x:v>40000</x:v>
      </x:c>
      <x:c r="J2795" s="22" t="n">
        <x:v>1</x:v>
      </x:c>
      <x:c r="K2795" s="19" t="n">
        <x:v>6</x:v>
      </x:c>
      <x:c r="L2795" s="24" t="n">
        <x:v>29.33733333333333</x:v>
      </x:c>
      <x:c r="M2795" s="26" t="n">
        <x:v>0.1</x:v>
      </x:c>
      <x:c r="N2795" s="24" t="n">
        <x:v>0</x:v>
      </x:c>
      <x:c r="O2795" s="28" t="n">
        <x:f>MIN(1,L2795/I2795)</x:f>
        <x:v>0.0007334333333333333</x:v>
      </x:c>
      <x:c r="P2795" s="30" t="n">
        <x:f>O2795*J2795*(1+M2795)</x:f>
        <x:v>0.0008067766666666667</x:v>
      </x:c>
      <x:c r="Q2795" s="30" t="n">
        <x:f>P2795*N2795</x:f>
        <x:v>0</x:v>
      </x:c>
      <x:c r="R2795" s="19" t="str">
        <x:v>六选一；非6个独立爆率</x:v>
      </x:c>
    </x:row>
    <x:row r="2796" ht="19" customHeight="1">
      <x:c r="A2796" s="19" t="str">
        <x:v>D02792</x:v>
      </x:c>
      <x:c r="B2796" s="19" t="n">
        <x:v>6</x:v>
      </x:c>
      <x:c r="C2796" s="19" t="n">
        <x:v>1</x:v>
      </x:c>
      <x:c r="D2796" s="19" t="str">
        <x:v>C06-M001</x:v>
      </x:c>
      <x:c r="E2796" s="19" t="str">
        <x:v>熔原灰背兽</x:v>
      </x:c>
      <x:c r="F2796" s="19" t="str">
        <x:v>普通</x:v>
      </x:c>
      <x:c r="G2796" s="19" t="str">
        <x:v>自身专属</x:v>
      </x:c>
      <x:c r="H2796" s="19" t="str">
        <x:v>灰背灼牙</x:v>
      </x:c>
      <x:c r="I2796" s="22" t="n">
        <x:v>2500</x:v>
      </x:c>
      <x:c r="J2796" s="22" t="n">
        <x:v>1</x:v>
      </x:c>
      <x:c r="K2796" s="19" t="n">
        <x:v>1</x:v>
      </x:c>
      <x:c r="L2796" s="24" t="n">
        <x:v>32.605999999999995</x:v>
      </x:c>
      <x:c r="M2796" s="26" t="n">
        <x:v>0.1</x:v>
      </x:c>
      <x:c r="N2796" s="24" t="n">
        <x:v>72</x:v>
      </x:c>
      <x:c r="O2796" s="28" t="n">
        <x:f>MIN(1,L2796/I2796)</x:f>
        <x:v>0.013042399999999997</x:v>
      </x:c>
      <x:c r="P2796" s="30" t="n">
        <x:f>O2796*J2796*(1+M2796)</x:f>
        <x:v>0.014346639999999999</x:v>
      </x:c>
      <x:c r="Q2796" s="30" t="n">
        <x:f>P2796*N2796</x:f>
        <x:v>1.03295808</x:v>
      </x:c>
      <x:c r="R2796" s="19" t="str">
        <x:v>独立判定</x:v>
      </x:c>
    </x:row>
    <x:row r="2797" ht="19" customHeight="1">
      <x:c r="A2797" s="19" t="str">
        <x:v>D02793</x:v>
      </x:c>
      <x:c r="B2797" s="19" t="n">
        <x:v>6</x:v>
      </x:c>
      <x:c r="C2797" s="19" t="n">
        <x:v>1</x:v>
      </x:c>
      <x:c r="D2797" s="19" t="str">
        <x:v>C06-M001</x:v>
      </x:c>
      <x:c r="E2797" s="19" t="str">
        <x:v>熔原灰背兽</x:v>
      </x:c>
      <x:c r="F2797" s="19" t="str">
        <x:v>普通</x:v>
      </x:c>
      <x:c r="G2797" s="19" t="str">
        <x:v>材料独立候选</x:v>
      </x:c>
      <x:c r="H2797" s="19" t="str">
        <x:v>猩红矿渣</x:v>
      </x:c>
      <x:c r="I2797" s="22" t="n">
        <x:v>600</x:v>
      </x:c>
      <x:c r="J2797" s="22" t="n">
        <x:v>8</x:v>
      </x:c>
      <x:c r="K2797" s="19" t="n">
        <x:v>1</x:v>
      </x:c>
      <x:c r="L2797" s="24" t="n">
        <x:v>32.605999999999995</x:v>
      </x:c>
      <x:c r="M2797" s="26" t="n">
        <x:v>0.1</x:v>
      </x:c>
      <x:c r="N2797" s="24" t="n">
        <x:v>72</x:v>
      </x:c>
      <x:c r="O2797" s="28" t="n">
        <x:f>MIN(1,L2797/I2797)</x:f>
        <x:v>0.05434333333333333</x:v>
      </x:c>
      <x:c r="P2797" s="30" t="n">
        <x:f>O2797*J2797*(1+M2797)</x:f>
        <x:v>0.47822133333333333</x:v>
      </x:c>
      <x:c r="Q2797" s="30" t="n">
        <x:f>P2797*N2797</x:f>
        <x:v>34.431936</x:v>
      </x:c>
      <x:c r="R2797" s="19" t="str">
        <x:v>独立判定</x:v>
      </x:c>
    </x:row>
    <x:row r="2798" ht="19" customHeight="1">
      <x:c r="A2798" s="19" t="str">
        <x:v>D02794</x:v>
      </x:c>
      <x:c r="B2798" s="19" t="n">
        <x:v>6</x:v>
      </x:c>
      <x:c r="C2798" s="19" t="n">
        <x:v>1</x:v>
      </x:c>
      <x:c r="D2798" s="19" t="str">
        <x:v>C06-M001</x:v>
      </x:c>
      <x:c r="E2798" s="19" t="str">
        <x:v>熔原灰背兽</x:v>
      </x:c>
      <x:c r="F2798" s="19" t="str">
        <x:v>普通</x:v>
      </x:c>
      <x:c r="G2798" s="19" t="str">
        <x:v>材料独立候选</x:v>
      </x:c>
      <x:c r="H2798" s="19" t="str">
        <x:v>红狮断箭</x:v>
      </x:c>
      <x:c r="I2798" s="22" t="n">
        <x:v>1500</x:v>
      </x:c>
      <x:c r="J2798" s="22" t="n">
        <x:v>1</x:v>
      </x:c>
      <x:c r="K2798" s="19" t="n">
        <x:v>1</x:v>
      </x:c>
      <x:c r="L2798" s="24" t="n">
        <x:v>32.605999999999995</x:v>
      </x:c>
      <x:c r="M2798" s="26" t="n">
        <x:v>0.1</x:v>
      </x:c>
      <x:c r="N2798" s="24" t="n">
        <x:v>72</x:v>
      </x:c>
      <x:c r="O2798" s="28" t="n">
        <x:f>MIN(1,L2798/I2798)</x:f>
        <x:v>0.02173733333333333</x:v>
      </x:c>
      <x:c r="P2798" s="30" t="n">
        <x:f>O2798*J2798*(1+M2798)</x:f>
        <x:v>0.023911066666666664</x:v>
      </x:c>
      <x:c r="Q2798" s="30" t="n">
        <x:f>P2798*N2798</x:f>
        <x:v>1.7215968</x:v>
      </x:c>
      <x:c r="R2798" s="19" t="str">
        <x:v>独立判定</x:v>
      </x:c>
    </x:row>
    <x:row r="2799" ht="19" customHeight="1">
      <x:c r="A2799" s="19" t="str">
        <x:v>D02795</x:v>
      </x:c>
      <x:c r="B2799" s="19" t="n">
        <x:v>6</x:v>
      </x:c>
      <x:c r="C2799" s="19" t="n">
        <x:v>1</x:v>
      </x:c>
      <x:c r="D2799" s="19" t="str">
        <x:v>C06-M001</x:v>
      </x:c>
      <x:c r="E2799" s="19" t="str">
        <x:v>熔原灰背兽</x:v>
      </x:c>
      <x:c r="F2799" s="19" t="str">
        <x:v>普通</x:v>
      </x:c>
      <x:c r="G2799" s="19" t="str">
        <x:v>材料独立候选</x:v>
      </x:c>
      <x:c r="H2799" s="19" t="str">
        <x:v>熔原罪火残章</x:v>
      </x:c>
      <x:c r="I2799" s="22" t="n">
        <x:v>1500000</x:v>
      </x:c>
      <x:c r="J2799" s="22" t="n">
        <x:v>1</x:v>
      </x:c>
      <x:c r="K2799" s="19" t="n">
        <x:v>1</x:v>
      </x:c>
      <x:c r="L2799" s="24" t="n">
        <x:v>32.605999999999995</x:v>
      </x:c>
      <x:c r="M2799" s="26" t="n">
        <x:v>0.1</x:v>
      </x:c>
      <x:c r="N2799" s="24" t="n">
        <x:v>72</x:v>
      </x:c>
      <x:c r="O2799" s="28" t="n">
        <x:f>MIN(1,L2799/I2799)</x:f>
        <x:v>0.00002173733333333333</x:v>
      </x:c>
      <x:c r="P2799" s="30" t="n">
        <x:f>O2799*J2799*(1+M2799)</x:f>
        <x:v>0.000023911066666666665</x:v>
      </x:c>
      <x:c r="Q2799" s="30" t="n">
        <x:f>P2799*N2799</x:f>
        <x:v>0.0017215968</x:v>
      </x:c>
      <x:c r="R2799" s="19" t="str">
        <x:v>独立判定</x:v>
      </x:c>
    </x:row>
    <x:row r="2800" ht="19" customHeight="1">
      <x:c r="A2800" s="19" t="str">
        <x:v>D02796</x:v>
      </x:c>
      <x:c r="B2800" s="19" t="n">
        <x:v>6</x:v>
      </x:c>
      <x:c r="C2800" s="19" t="n">
        <x:v>1</x:v>
      </x:c>
      <x:c r="D2800" s="19" t="str">
        <x:v>C06-M001</x:v>
      </x:c>
      <x:c r="E2800" s="19" t="str">
        <x:v>熔原灰背兽</x:v>
      </x:c>
      <x:c r="F2800" s="19" t="str">
        <x:v>普通</x:v>
      </x:c>
      <x:c r="G2800" s="19" t="str">
        <x:v>材料独立候选</x:v>
      </x:c>
      <x:c r="H2800" s="19" t="str">
        <x:v>野兽骨片</x:v>
      </x:c>
      <x:c r="I2800" s="22" t="n">
        <x:v>180</x:v>
      </x:c>
      <x:c r="J2800" s="22" t="n">
        <x:v>5</x:v>
      </x:c>
      <x:c r="K2800" s="19" t="n">
        <x:v>1</x:v>
      </x:c>
      <x:c r="L2800" s="24" t="n">
        <x:v>32.605999999999995</x:v>
      </x:c>
      <x:c r="M2800" s="26" t="n">
        <x:v>0.1</x:v>
      </x:c>
      <x:c r="N2800" s="24" t="n">
        <x:v>72</x:v>
      </x:c>
      <x:c r="O2800" s="28" t="n">
        <x:f>MIN(1,L2800/I2800)</x:f>
        <x:v>0.1811444444444444</x:v>
      </x:c>
      <x:c r="P2800" s="30" t="n">
        <x:f>O2800*J2800*(1+M2800)</x:f>
        <x:v>0.9962944444444444</x:v>
      </x:c>
      <x:c r="Q2800" s="30" t="n">
        <x:f>P2800*N2800</x:f>
        <x:v>71.7332</x:v>
      </x:c>
      <x:c r="R2800" s="19" t="str">
        <x:v>独立判定</x:v>
      </x:c>
    </x:row>
    <x:row r="2801" ht="19" customHeight="1">
      <x:c r="A2801" s="19" t="str">
        <x:v>D02797</x:v>
      </x:c>
      <x:c r="B2801" s="19" t="n">
        <x:v>6</x:v>
      </x:c>
      <x:c r="C2801" s="19" t="n">
        <x:v>1</x:v>
      </x:c>
      <x:c r="D2801" s="19" t="str">
        <x:v>C06-M001</x:v>
      </x:c>
      <x:c r="E2801" s="19" t="str">
        <x:v>熔原灰背兽</x:v>
      </x:c>
      <x:c r="F2801" s="19" t="str">
        <x:v>普通</x:v>
      </x:c>
      <x:c r="G2801" s="19" t="str">
        <x:v>材料独立候选</x:v>
      </x:c>
      <x:c r="H2801" s="19" t="str">
        <x:v>技能残页</x:v>
      </x:c>
      <x:c r="I2801" s="22" t="n">
        <x:v>1000</x:v>
      </x:c>
      <x:c r="J2801" s="22" t="n">
        <x:v>1</x:v>
      </x:c>
      <x:c r="K2801" s="19" t="n">
        <x:v>1</x:v>
      </x:c>
      <x:c r="L2801" s="24" t="n">
        <x:v>32.605999999999995</x:v>
      </x:c>
      <x:c r="M2801" s="26" t="n">
        <x:v>0.1</x:v>
      </x:c>
      <x:c r="N2801" s="24" t="n">
        <x:v>72</x:v>
      </x:c>
      <x:c r="O2801" s="28" t="n">
        <x:f>MIN(1,L2801/I2801)</x:f>
        <x:v>0.032605999999999996</x:v>
      </x:c>
      <x:c r="P2801" s="30" t="n">
        <x:f>O2801*J2801*(1+M2801)</x:f>
        <x:v>0.0358666</x:v>
      </x:c>
      <x:c r="Q2801" s="30" t="n">
        <x:f>P2801*N2801</x:f>
        <x:v>2.5823951999999997</x:v>
      </x:c>
      <x:c r="R2801" s="19" t="str">
        <x:v>独立判定</x:v>
      </x:c>
    </x:row>
    <x:row r="2802" ht="19" customHeight="1">
      <x:c r="A2802" s="19" t="str">
        <x:v>D02798</x:v>
      </x:c>
      <x:c r="B2802" s="19" t="n">
        <x:v>6</x:v>
      </x:c>
      <x:c r="C2802" s="19" t="n">
        <x:v>1</x:v>
      </x:c>
      <x:c r="D2802" s="19" t="str">
        <x:v>C06-M001</x:v>
      </x:c>
      <x:c r="E2802" s="19" t="str">
        <x:v>熔原灰背兽</x:v>
      </x:c>
      <x:c r="F2802" s="19" t="str">
        <x:v>普通</x:v>
      </x:c>
      <x:c r="G2802" s="19" t="str">
        <x:v>材料独立候选</x:v>
      </x:c>
      <x:c r="H2802" s="19" t="str">
        <x:v>小卢恩</x:v>
      </x:c>
      <x:c r="I2802" s="22" t="n">
        <x:v>10000</x:v>
      </x:c>
      <x:c r="J2802" s="22" t="n">
        <x:v>1</x:v>
      </x:c>
      <x:c r="K2802" s="19" t="n">
        <x:v>1</x:v>
      </x:c>
      <x:c r="L2802" s="24" t="n">
        <x:v>32.605999999999995</x:v>
      </x:c>
      <x:c r="M2802" s="26" t="n">
        <x:v>0.1</x:v>
      </x:c>
      <x:c r="N2802" s="24" t="n">
        <x:v>72</x:v>
      </x:c>
      <x:c r="O2802" s="28" t="n">
        <x:f>MIN(1,L2802/I2802)</x:f>
        <x:v>0.0032605999999999993</x:v>
      </x:c>
      <x:c r="P2802" s="30" t="n">
        <x:f>O2802*J2802*(1+M2802)</x:f>
        <x:v>0.0035866599999999998</x:v>
      </x:c>
      <x:c r="Q2802" s="30" t="n">
        <x:f>P2802*N2802</x:f>
        <x:v>0.25823952</x:v>
      </x:c>
      <x:c r="R2802" s="19" t="str">
        <x:v>独立判定</x:v>
      </x:c>
    </x:row>
    <x:row r="2803" ht="19" customHeight="1">
      <x:c r="A2803" s="19" t="str">
        <x:v>D02799</x:v>
      </x:c>
      <x:c r="B2803" s="19" t="n">
        <x:v>6</x:v>
      </x:c>
      <x:c r="C2803" s="19" t="n">
        <x:v>1</x:v>
      </x:c>
      <x:c r="D2803" s="19" t="str">
        <x:v>C06-M001</x:v>
      </x:c>
      <x:c r="E2803" s="19" t="str">
        <x:v>熔原灰背兽</x:v>
      </x:c>
      <x:c r="F2803" s="19" t="str">
        <x:v>普通</x:v>
      </x:c>
      <x:c r="G2803" s="19" t="str">
        <x:v>六神器公共池</x:v>
      </x:c>
      <x:c r="H2803" s="19" t="str">
        <x:v>POOL006</x:v>
      </x:c>
      <x:c r="I2803" s="22" t="n">
        <x:v>20000000</x:v>
      </x:c>
      <x:c r="J2803" s="22" t="n">
        <x:v>1</x:v>
      </x:c>
      <x:c r="K2803" s="19" t="n">
        <x:v>6</x:v>
      </x:c>
      <x:c r="L2803" s="24" t="n">
        <x:v>32.605999999999995</x:v>
      </x:c>
      <x:c r="M2803" s="26" t="n">
        <x:v>0.1</x:v>
      </x:c>
      <x:c r="N2803" s="24" t="n">
        <x:v>72</x:v>
      </x:c>
      <x:c r="O2803" s="28" t="n">
        <x:f>MIN(1,L2803/I2803)</x:f>
        <x:v>0.0000016302999999999997</x:v>
      </x:c>
      <x:c r="P2803" s="30" t="n">
        <x:f>O2803*J2803*(1+M2803)</x:f>
        <x:v>0.0000017933299999999998</x:v>
      </x:c>
      <x:c r="Q2803" s="30" t="n">
        <x:f>P2803*N2803</x:f>
        <x:v>0.00012911976</x:v>
      </x:c>
      <x:c r="R2803" s="19" t="str">
        <x:v>六选一；非6个独立爆率</x:v>
      </x:c>
    </x:row>
    <x:row r="2804" ht="19" customHeight="1">
      <x:c r="A2804" s="19" t="str">
        <x:v>D02800</x:v>
      </x:c>
      <x:c r="B2804" s="19" t="n">
        <x:v>6</x:v>
      </x:c>
      <x:c r="C2804" s="19" t="n">
        <x:v>1</x:v>
      </x:c>
      <x:c r="D2804" s="19" t="str">
        <x:v>C06-M002</x:v>
      </x:c>
      <x:c r="E2804" s="19" t="str">
        <x:v>焦土拾骸兵</x:v>
      </x:c>
      <x:c r="F2804" s="19" t="str">
        <x:v>普通</x:v>
      </x:c>
      <x:c r="G2804" s="19" t="str">
        <x:v>自身专属</x:v>
      </x:c>
      <x:c r="H2804" s="19" t="str">
        <x:v>拾骸骨盔</x:v>
      </x:c>
      <x:c r="I2804" s="22" t="n">
        <x:v>2500</x:v>
      </x:c>
      <x:c r="J2804" s="22" t="n">
        <x:v>1</x:v>
      </x:c>
      <x:c r="K2804" s="19" t="n">
        <x:v>1</x:v>
      </x:c>
      <x:c r="L2804" s="24" t="n">
        <x:v>32.605999999999995</x:v>
      </x:c>
      <x:c r="M2804" s="26" t="n">
        <x:v>0.1</x:v>
      </x:c>
      <x:c r="N2804" s="24" t="n">
        <x:v>72</x:v>
      </x:c>
      <x:c r="O2804" s="28" t="n">
        <x:f>MIN(1,L2804/I2804)</x:f>
        <x:v>0.013042399999999997</x:v>
      </x:c>
      <x:c r="P2804" s="30" t="n">
        <x:f>O2804*J2804*(1+M2804)</x:f>
        <x:v>0.014346639999999999</x:v>
      </x:c>
      <x:c r="Q2804" s="30" t="n">
        <x:f>P2804*N2804</x:f>
        <x:v>1.03295808</x:v>
      </x:c>
      <x:c r="R2804" s="19" t="str">
        <x:v>独立判定</x:v>
      </x:c>
    </x:row>
    <x:row r="2805" ht="19" customHeight="1">
      <x:c r="A2805" s="19" t="str">
        <x:v>D02801</x:v>
      </x:c>
      <x:c r="B2805" s="19" t="n">
        <x:v>6</x:v>
      </x:c>
      <x:c r="C2805" s="19" t="n">
        <x:v>1</x:v>
      </x:c>
      <x:c r="D2805" s="19" t="str">
        <x:v>C06-M002</x:v>
      </x:c>
      <x:c r="E2805" s="19" t="str">
        <x:v>焦土拾骸兵</x:v>
      </x:c>
      <x:c r="F2805" s="19" t="str">
        <x:v>普通</x:v>
      </x:c>
      <x:c r="G2805" s="19" t="str">
        <x:v>材料独立候选</x:v>
      </x:c>
      <x:c r="H2805" s="19" t="str">
        <x:v>猩红矿渣</x:v>
      </x:c>
      <x:c r="I2805" s="22" t="n">
        <x:v>600</x:v>
      </x:c>
      <x:c r="J2805" s="22" t="n">
        <x:v>8</x:v>
      </x:c>
      <x:c r="K2805" s="19" t="n">
        <x:v>1</x:v>
      </x:c>
      <x:c r="L2805" s="24" t="n">
        <x:v>32.605999999999995</x:v>
      </x:c>
      <x:c r="M2805" s="26" t="n">
        <x:v>0.1</x:v>
      </x:c>
      <x:c r="N2805" s="24" t="n">
        <x:v>72</x:v>
      </x:c>
      <x:c r="O2805" s="28" t="n">
        <x:f>MIN(1,L2805/I2805)</x:f>
        <x:v>0.05434333333333333</x:v>
      </x:c>
      <x:c r="P2805" s="30" t="n">
        <x:f>O2805*J2805*(1+M2805)</x:f>
        <x:v>0.47822133333333333</x:v>
      </x:c>
      <x:c r="Q2805" s="30" t="n">
        <x:f>P2805*N2805</x:f>
        <x:v>34.431936</x:v>
      </x:c>
      <x:c r="R2805" s="19" t="str">
        <x:v>独立判定</x:v>
      </x:c>
    </x:row>
    <x:row r="2806" ht="19" customHeight="1">
      <x:c r="A2806" s="19" t="str">
        <x:v>D02802</x:v>
      </x:c>
      <x:c r="B2806" s="19" t="n">
        <x:v>6</x:v>
      </x:c>
      <x:c r="C2806" s="19" t="n">
        <x:v>1</x:v>
      </x:c>
      <x:c r="D2806" s="19" t="str">
        <x:v>C06-M002</x:v>
      </x:c>
      <x:c r="E2806" s="19" t="str">
        <x:v>焦土拾骸兵</x:v>
      </x:c>
      <x:c r="F2806" s="19" t="str">
        <x:v>普通</x:v>
      </x:c>
      <x:c r="G2806" s="19" t="str">
        <x:v>材料独立候选</x:v>
      </x:c>
      <x:c r="H2806" s="19" t="str">
        <x:v>红狮断箭</x:v>
      </x:c>
      <x:c r="I2806" s="22" t="n">
        <x:v>1500</x:v>
      </x:c>
      <x:c r="J2806" s="22" t="n">
        <x:v>1</x:v>
      </x:c>
      <x:c r="K2806" s="19" t="n">
        <x:v>1</x:v>
      </x:c>
      <x:c r="L2806" s="24" t="n">
        <x:v>32.605999999999995</x:v>
      </x:c>
      <x:c r="M2806" s="26" t="n">
        <x:v>0.1</x:v>
      </x:c>
      <x:c r="N2806" s="24" t="n">
        <x:v>72</x:v>
      </x:c>
      <x:c r="O2806" s="28" t="n">
        <x:f>MIN(1,L2806/I2806)</x:f>
        <x:v>0.02173733333333333</x:v>
      </x:c>
      <x:c r="P2806" s="30" t="n">
        <x:f>O2806*J2806*(1+M2806)</x:f>
        <x:v>0.023911066666666664</x:v>
      </x:c>
      <x:c r="Q2806" s="30" t="n">
        <x:f>P2806*N2806</x:f>
        <x:v>1.7215968</x:v>
      </x:c>
      <x:c r="R2806" s="19" t="str">
        <x:v>独立判定</x:v>
      </x:c>
    </x:row>
    <x:row r="2807" ht="19" customHeight="1">
      <x:c r="A2807" s="19" t="str">
        <x:v>D02803</x:v>
      </x:c>
      <x:c r="B2807" s="19" t="n">
        <x:v>6</x:v>
      </x:c>
      <x:c r="C2807" s="19" t="n">
        <x:v>1</x:v>
      </x:c>
      <x:c r="D2807" s="19" t="str">
        <x:v>C06-M002</x:v>
      </x:c>
      <x:c r="E2807" s="19" t="str">
        <x:v>焦土拾骸兵</x:v>
      </x:c>
      <x:c r="F2807" s="19" t="str">
        <x:v>普通</x:v>
      </x:c>
      <x:c r="G2807" s="19" t="str">
        <x:v>材料独立候选</x:v>
      </x:c>
      <x:c r="H2807" s="19" t="str">
        <x:v>熔原罪火残章</x:v>
      </x:c>
      <x:c r="I2807" s="22" t="n">
        <x:v>1500000</x:v>
      </x:c>
      <x:c r="J2807" s="22" t="n">
        <x:v>1</x:v>
      </x:c>
      <x:c r="K2807" s="19" t="n">
        <x:v>1</x:v>
      </x:c>
      <x:c r="L2807" s="24" t="n">
        <x:v>32.605999999999995</x:v>
      </x:c>
      <x:c r="M2807" s="26" t="n">
        <x:v>0.1</x:v>
      </x:c>
      <x:c r="N2807" s="24" t="n">
        <x:v>72</x:v>
      </x:c>
      <x:c r="O2807" s="28" t="n">
        <x:f>MIN(1,L2807/I2807)</x:f>
        <x:v>0.00002173733333333333</x:v>
      </x:c>
      <x:c r="P2807" s="30" t="n">
        <x:f>O2807*J2807*(1+M2807)</x:f>
        <x:v>0.000023911066666666665</x:v>
      </x:c>
      <x:c r="Q2807" s="30" t="n">
        <x:f>P2807*N2807</x:f>
        <x:v>0.0017215968</x:v>
      </x:c>
      <x:c r="R2807" s="19" t="str">
        <x:v>独立判定</x:v>
      </x:c>
    </x:row>
    <x:row r="2808" ht="19" customHeight="1">
      <x:c r="A2808" s="19" t="str">
        <x:v>D02804</x:v>
      </x:c>
      <x:c r="B2808" s="19" t="n">
        <x:v>6</x:v>
      </x:c>
      <x:c r="C2808" s="19" t="n">
        <x:v>1</x:v>
      </x:c>
      <x:c r="D2808" s="19" t="str">
        <x:v>C06-M002</x:v>
      </x:c>
      <x:c r="E2808" s="19" t="str">
        <x:v>焦土拾骸兵</x:v>
      </x:c>
      <x:c r="F2808" s="19" t="str">
        <x:v>普通</x:v>
      </x:c>
      <x:c r="G2808" s="19" t="str">
        <x:v>材料独立候选</x:v>
      </x:c>
      <x:c r="H2808" s="19" t="str">
        <x:v>野兽骨片</x:v>
      </x:c>
      <x:c r="I2808" s="22" t="n">
        <x:v>180</x:v>
      </x:c>
      <x:c r="J2808" s="22" t="n">
        <x:v>5</x:v>
      </x:c>
      <x:c r="K2808" s="19" t="n">
        <x:v>1</x:v>
      </x:c>
      <x:c r="L2808" s="24" t="n">
        <x:v>32.605999999999995</x:v>
      </x:c>
      <x:c r="M2808" s="26" t="n">
        <x:v>0.1</x:v>
      </x:c>
      <x:c r="N2808" s="24" t="n">
        <x:v>72</x:v>
      </x:c>
      <x:c r="O2808" s="28" t="n">
        <x:f>MIN(1,L2808/I2808)</x:f>
        <x:v>0.1811444444444444</x:v>
      </x:c>
      <x:c r="P2808" s="30" t="n">
        <x:f>O2808*J2808*(1+M2808)</x:f>
        <x:v>0.9962944444444444</x:v>
      </x:c>
      <x:c r="Q2808" s="30" t="n">
        <x:f>P2808*N2808</x:f>
        <x:v>71.7332</x:v>
      </x:c>
      <x:c r="R2808" s="19" t="str">
        <x:v>独立判定</x:v>
      </x:c>
    </x:row>
    <x:row r="2809" ht="19" customHeight="1">
      <x:c r="A2809" s="19" t="str">
        <x:v>D02805</x:v>
      </x:c>
      <x:c r="B2809" s="19" t="n">
        <x:v>6</x:v>
      </x:c>
      <x:c r="C2809" s="19" t="n">
        <x:v>1</x:v>
      </x:c>
      <x:c r="D2809" s="19" t="str">
        <x:v>C06-M002</x:v>
      </x:c>
      <x:c r="E2809" s="19" t="str">
        <x:v>焦土拾骸兵</x:v>
      </x:c>
      <x:c r="F2809" s="19" t="str">
        <x:v>普通</x:v>
      </x:c>
      <x:c r="G2809" s="19" t="str">
        <x:v>材料独立候选</x:v>
      </x:c>
      <x:c r="H2809" s="19" t="str">
        <x:v>技能残页</x:v>
      </x:c>
      <x:c r="I2809" s="22" t="n">
        <x:v>1000</x:v>
      </x:c>
      <x:c r="J2809" s="22" t="n">
        <x:v>1</x:v>
      </x:c>
      <x:c r="K2809" s="19" t="n">
        <x:v>1</x:v>
      </x:c>
      <x:c r="L2809" s="24" t="n">
        <x:v>32.605999999999995</x:v>
      </x:c>
      <x:c r="M2809" s="26" t="n">
        <x:v>0.1</x:v>
      </x:c>
      <x:c r="N2809" s="24" t="n">
        <x:v>72</x:v>
      </x:c>
      <x:c r="O2809" s="28" t="n">
        <x:f>MIN(1,L2809/I2809)</x:f>
        <x:v>0.032605999999999996</x:v>
      </x:c>
      <x:c r="P2809" s="30" t="n">
        <x:f>O2809*J2809*(1+M2809)</x:f>
        <x:v>0.0358666</x:v>
      </x:c>
      <x:c r="Q2809" s="30" t="n">
        <x:f>P2809*N2809</x:f>
        <x:v>2.5823951999999997</x:v>
      </x:c>
      <x:c r="R2809" s="19" t="str">
        <x:v>独立判定</x:v>
      </x:c>
    </x:row>
    <x:row r="2810" ht="19" customHeight="1">
      <x:c r="A2810" s="19" t="str">
        <x:v>D02806</x:v>
      </x:c>
      <x:c r="B2810" s="19" t="n">
        <x:v>6</x:v>
      </x:c>
      <x:c r="C2810" s="19" t="n">
        <x:v>1</x:v>
      </x:c>
      <x:c r="D2810" s="19" t="str">
        <x:v>C06-M002</x:v>
      </x:c>
      <x:c r="E2810" s="19" t="str">
        <x:v>焦土拾骸兵</x:v>
      </x:c>
      <x:c r="F2810" s="19" t="str">
        <x:v>普通</x:v>
      </x:c>
      <x:c r="G2810" s="19" t="str">
        <x:v>材料独立候选</x:v>
      </x:c>
      <x:c r="H2810" s="19" t="str">
        <x:v>小卢恩</x:v>
      </x:c>
      <x:c r="I2810" s="22" t="n">
        <x:v>10000</x:v>
      </x:c>
      <x:c r="J2810" s="22" t="n">
        <x:v>1</x:v>
      </x:c>
      <x:c r="K2810" s="19" t="n">
        <x:v>1</x:v>
      </x:c>
      <x:c r="L2810" s="24" t="n">
        <x:v>32.605999999999995</x:v>
      </x:c>
      <x:c r="M2810" s="26" t="n">
        <x:v>0.1</x:v>
      </x:c>
      <x:c r="N2810" s="24" t="n">
        <x:v>72</x:v>
      </x:c>
      <x:c r="O2810" s="28" t="n">
        <x:f>MIN(1,L2810/I2810)</x:f>
        <x:v>0.0032605999999999993</x:v>
      </x:c>
      <x:c r="P2810" s="30" t="n">
        <x:f>O2810*J2810*(1+M2810)</x:f>
        <x:v>0.0035866599999999998</x:v>
      </x:c>
      <x:c r="Q2810" s="30" t="n">
        <x:f>P2810*N2810</x:f>
        <x:v>0.25823952</x:v>
      </x:c>
      <x:c r="R2810" s="19" t="str">
        <x:v>独立判定</x:v>
      </x:c>
    </x:row>
    <x:row r="2811" ht="19" customHeight="1">
      <x:c r="A2811" s="19" t="str">
        <x:v>D02807</x:v>
      </x:c>
      <x:c r="B2811" s="19" t="n">
        <x:v>6</x:v>
      </x:c>
      <x:c r="C2811" s="19" t="n">
        <x:v>1</x:v>
      </x:c>
      <x:c r="D2811" s="19" t="str">
        <x:v>C06-M002</x:v>
      </x:c>
      <x:c r="E2811" s="19" t="str">
        <x:v>焦土拾骸兵</x:v>
      </x:c>
      <x:c r="F2811" s="19" t="str">
        <x:v>普通</x:v>
      </x:c>
      <x:c r="G2811" s="19" t="str">
        <x:v>六神器公共池</x:v>
      </x:c>
      <x:c r="H2811" s="19" t="str">
        <x:v>POOL006</x:v>
      </x:c>
      <x:c r="I2811" s="22" t="n">
        <x:v>20000000</x:v>
      </x:c>
      <x:c r="J2811" s="22" t="n">
        <x:v>1</x:v>
      </x:c>
      <x:c r="K2811" s="19" t="n">
        <x:v>6</x:v>
      </x:c>
      <x:c r="L2811" s="24" t="n">
        <x:v>32.605999999999995</x:v>
      </x:c>
      <x:c r="M2811" s="26" t="n">
        <x:v>0.1</x:v>
      </x:c>
      <x:c r="N2811" s="24" t="n">
        <x:v>72</x:v>
      </x:c>
      <x:c r="O2811" s="28" t="n">
        <x:f>MIN(1,L2811/I2811)</x:f>
        <x:v>0.0000016302999999999997</x:v>
      </x:c>
      <x:c r="P2811" s="30" t="n">
        <x:f>O2811*J2811*(1+M2811)</x:f>
        <x:v>0.0000017933299999999998</x:v>
      </x:c>
      <x:c r="Q2811" s="30" t="n">
        <x:f>P2811*N2811</x:f>
        <x:v>0.00012911976</x:v>
      </x:c>
      <x:c r="R2811" s="19" t="str">
        <x:v>六选一；非6个独立爆率</x:v>
      </x:c>
    </x:row>
    <x:row r="2812" ht="19" customHeight="1">
      <x:c r="A2812" s="19" t="str">
        <x:v>D02808</x:v>
      </x:c>
      <x:c r="B2812" s="19" t="n">
        <x:v>6</x:v>
      </x:c>
      <x:c r="C2812" s="19" t="n">
        <x:v>1</x:v>
      </x:c>
      <x:c r="D2812" s="19" t="str">
        <x:v>C06-M003</x:v>
      </x:c>
      <x:c r="E2812" s="19" t="str">
        <x:v>岩河爬鳞者</x:v>
      </x:c>
      <x:c r="F2812" s="19" t="str">
        <x:v>普通</x:v>
      </x:c>
      <x:c r="G2812" s="19" t="str">
        <x:v>自身专属</x:v>
      </x:c>
      <x:c r="H2812" s="19" t="str">
        <x:v>岩河鳞衣</x:v>
      </x:c>
      <x:c r="I2812" s="22" t="n">
        <x:v>2500</x:v>
      </x:c>
      <x:c r="J2812" s="22" t="n">
        <x:v>1</x:v>
      </x:c>
      <x:c r="K2812" s="19" t="n">
        <x:v>1</x:v>
      </x:c>
      <x:c r="L2812" s="24" t="n">
        <x:v>32.605999999999995</x:v>
      </x:c>
      <x:c r="M2812" s="26" t="n">
        <x:v>0.1</x:v>
      </x:c>
      <x:c r="N2812" s="24" t="n">
        <x:v>72</x:v>
      </x:c>
      <x:c r="O2812" s="28" t="n">
        <x:f>MIN(1,L2812/I2812)</x:f>
        <x:v>0.013042399999999997</x:v>
      </x:c>
      <x:c r="P2812" s="30" t="n">
        <x:f>O2812*J2812*(1+M2812)</x:f>
        <x:v>0.014346639999999999</x:v>
      </x:c>
      <x:c r="Q2812" s="30" t="n">
        <x:f>P2812*N2812</x:f>
        <x:v>1.03295808</x:v>
      </x:c>
      <x:c r="R2812" s="19" t="str">
        <x:v>独立判定</x:v>
      </x:c>
    </x:row>
    <x:row r="2813" ht="19" customHeight="1">
      <x:c r="A2813" s="19" t="str">
        <x:v>D02809</x:v>
      </x:c>
      <x:c r="B2813" s="19" t="n">
        <x:v>6</x:v>
      </x:c>
      <x:c r="C2813" s="19" t="n">
        <x:v>1</x:v>
      </x:c>
      <x:c r="D2813" s="19" t="str">
        <x:v>C06-M003</x:v>
      </x:c>
      <x:c r="E2813" s="19" t="str">
        <x:v>岩河爬鳞者</x:v>
      </x:c>
      <x:c r="F2813" s="19" t="str">
        <x:v>普通</x:v>
      </x:c>
      <x:c r="G2813" s="19" t="str">
        <x:v>材料独立候选</x:v>
      </x:c>
      <x:c r="H2813" s="19" t="str">
        <x:v>猩红矿渣</x:v>
      </x:c>
      <x:c r="I2813" s="22" t="n">
        <x:v>600</x:v>
      </x:c>
      <x:c r="J2813" s="22" t="n">
        <x:v>8</x:v>
      </x:c>
      <x:c r="K2813" s="19" t="n">
        <x:v>1</x:v>
      </x:c>
      <x:c r="L2813" s="24" t="n">
        <x:v>32.605999999999995</x:v>
      </x:c>
      <x:c r="M2813" s="26" t="n">
        <x:v>0.1</x:v>
      </x:c>
      <x:c r="N2813" s="24" t="n">
        <x:v>72</x:v>
      </x:c>
      <x:c r="O2813" s="28" t="n">
        <x:f>MIN(1,L2813/I2813)</x:f>
        <x:v>0.05434333333333333</x:v>
      </x:c>
      <x:c r="P2813" s="30" t="n">
        <x:f>O2813*J2813*(1+M2813)</x:f>
        <x:v>0.47822133333333333</x:v>
      </x:c>
      <x:c r="Q2813" s="30" t="n">
        <x:f>P2813*N2813</x:f>
        <x:v>34.431936</x:v>
      </x:c>
      <x:c r="R2813" s="19" t="str">
        <x:v>独立判定</x:v>
      </x:c>
    </x:row>
    <x:row r="2814" ht="19" customHeight="1">
      <x:c r="A2814" s="19" t="str">
        <x:v>D02810</x:v>
      </x:c>
      <x:c r="B2814" s="19" t="n">
        <x:v>6</x:v>
      </x:c>
      <x:c r="C2814" s="19" t="n">
        <x:v>1</x:v>
      </x:c>
      <x:c r="D2814" s="19" t="str">
        <x:v>C06-M003</x:v>
      </x:c>
      <x:c r="E2814" s="19" t="str">
        <x:v>岩河爬鳞者</x:v>
      </x:c>
      <x:c r="F2814" s="19" t="str">
        <x:v>普通</x:v>
      </x:c>
      <x:c r="G2814" s="19" t="str">
        <x:v>材料独立候选</x:v>
      </x:c>
      <x:c r="H2814" s="19" t="str">
        <x:v>红狮断箭</x:v>
      </x:c>
      <x:c r="I2814" s="22" t="n">
        <x:v>1500</x:v>
      </x:c>
      <x:c r="J2814" s="22" t="n">
        <x:v>1</x:v>
      </x:c>
      <x:c r="K2814" s="19" t="n">
        <x:v>1</x:v>
      </x:c>
      <x:c r="L2814" s="24" t="n">
        <x:v>32.605999999999995</x:v>
      </x:c>
      <x:c r="M2814" s="26" t="n">
        <x:v>0.1</x:v>
      </x:c>
      <x:c r="N2814" s="24" t="n">
        <x:v>72</x:v>
      </x:c>
      <x:c r="O2814" s="28" t="n">
        <x:f>MIN(1,L2814/I2814)</x:f>
        <x:v>0.02173733333333333</x:v>
      </x:c>
      <x:c r="P2814" s="30" t="n">
        <x:f>O2814*J2814*(1+M2814)</x:f>
        <x:v>0.023911066666666664</x:v>
      </x:c>
      <x:c r="Q2814" s="30" t="n">
        <x:f>P2814*N2814</x:f>
        <x:v>1.7215968</x:v>
      </x:c>
      <x:c r="R2814" s="19" t="str">
        <x:v>独立判定</x:v>
      </x:c>
    </x:row>
    <x:row r="2815" ht="19" customHeight="1">
      <x:c r="A2815" s="19" t="str">
        <x:v>D02811</x:v>
      </x:c>
      <x:c r="B2815" s="19" t="n">
        <x:v>6</x:v>
      </x:c>
      <x:c r="C2815" s="19" t="n">
        <x:v>1</x:v>
      </x:c>
      <x:c r="D2815" s="19" t="str">
        <x:v>C06-M003</x:v>
      </x:c>
      <x:c r="E2815" s="19" t="str">
        <x:v>岩河爬鳞者</x:v>
      </x:c>
      <x:c r="F2815" s="19" t="str">
        <x:v>普通</x:v>
      </x:c>
      <x:c r="G2815" s="19" t="str">
        <x:v>材料独立候选</x:v>
      </x:c>
      <x:c r="H2815" s="19" t="str">
        <x:v>熔原罪火残章</x:v>
      </x:c>
      <x:c r="I2815" s="22" t="n">
        <x:v>1500000</x:v>
      </x:c>
      <x:c r="J2815" s="22" t="n">
        <x:v>1</x:v>
      </x:c>
      <x:c r="K2815" s="19" t="n">
        <x:v>1</x:v>
      </x:c>
      <x:c r="L2815" s="24" t="n">
        <x:v>32.605999999999995</x:v>
      </x:c>
      <x:c r="M2815" s="26" t="n">
        <x:v>0.1</x:v>
      </x:c>
      <x:c r="N2815" s="24" t="n">
        <x:v>72</x:v>
      </x:c>
      <x:c r="O2815" s="28" t="n">
        <x:f>MIN(1,L2815/I2815)</x:f>
        <x:v>0.00002173733333333333</x:v>
      </x:c>
      <x:c r="P2815" s="30" t="n">
        <x:f>O2815*J2815*(1+M2815)</x:f>
        <x:v>0.000023911066666666665</x:v>
      </x:c>
      <x:c r="Q2815" s="30" t="n">
        <x:f>P2815*N2815</x:f>
        <x:v>0.0017215968</x:v>
      </x:c>
      <x:c r="R2815" s="19" t="str">
        <x:v>独立判定</x:v>
      </x:c>
    </x:row>
    <x:row r="2816" ht="19" customHeight="1">
      <x:c r="A2816" s="19" t="str">
        <x:v>D02812</x:v>
      </x:c>
      <x:c r="B2816" s="19" t="n">
        <x:v>6</x:v>
      </x:c>
      <x:c r="C2816" s="19" t="n">
        <x:v>1</x:v>
      </x:c>
      <x:c r="D2816" s="19" t="str">
        <x:v>C06-M003</x:v>
      </x:c>
      <x:c r="E2816" s="19" t="str">
        <x:v>岩河爬鳞者</x:v>
      </x:c>
      <x:c r="F2816" s="19" t="str">
        <x:v>普通</x:v>
      </x:c>
      <x:c r="G2816" s="19" t="str">
        <x:v>材料独立候选</x:v>
      </x:c>
      <x:c r="H2816" s="19" t="str">
        <x:v>野兽骨片</x:v>
      </x:c>
      <x:c r="I2816" s="22" t="n">
        <x:v>180</x:v>
      </x:c>
      <x:c r="J2816" s="22" t="n">
        <x:v>5</x:v>
      </x:c>
      <x:c r="K2816" s="19" t="n">
        <x:v>1</x:v>
      </x:c>
      <x:c r="L2816" s="24" t="n">
        <x:v>32.605999999999995</x:v>
      </x:c>
      <x:c r="M2816" s="26" t="n">
        <x:v>0.1</x:v>
      </x:c>
      <x:c r="N2816" s="24" t="n">
        <x:v>72</x:v>
      </x:c>
      <x:c r="O2816" s="28" t="n">
        <x:f>MIN(1,L2816/I2816)</x:f>
        <x:v>0.1811444444444444</x:v>
      </x:c>
      <x:c r="P2816" s="30" t="n">
        <x:f>O2816*J2816*(1+M2816)</x:f>
        <x:v>0.9962944444444444</x:v>
      </x:c>
      <x:c r="Q2816" s="30" t="n">
        <x:f>P2816*N2816</x:f>
        <x:v>71.7332</x:v>
      </x:c>
      <x:c r="R2816" s="19" t="str">
        <x:v>独立判定</x:v>
      </x:c>
    </x:row>
    <x:row r="2817" ht="19" customHeight="1">
      <x:c r="A2817" s="19" t="str">
        <x:v>D02813</x:v>
      </x:c>
      <x:c r="B2817" s="19" t="n">
        <x:v>6</x:v>
      </x:c>
      <x:c r="C2817" s="19" t="n">
        <x:v>1</x:v>
      </x:c>
      <x:c r="D2817" s="19" t="str">
        <x:v>C06-M003</x:v>
      </x:c>
      <x:c r="E2817" s="19" t="str">
        <x:v>岩河爬鳞者</x:v>
      </x:c>
      <x:c r="F2817" s="19" t="str">
        <x:v>普通</x:v>
      </x:c>
      <x:c r="G2817" s="19" t="str">
        <x:v>材料独立候选</x:v>
      </x:c>
      <x:c r="H2817" s="19" t="str">
        <x:v>技能残页</x:v>
      </x:c>
      <x:c r="I2817" s="22" t="n">
        <x:v>1000</x:v>
      </x:c>
      <x:c r="J2817" s="22" t="n">
        <x:v>1</x:v>
      </x:c>
      <x:c r="K2817" s="19" t="n">
        <x:v>1</x:v>
      </x:c>
      <x:c r="L2817" s="24" t="n">
        <x:v>32.605999999999995</x:v>
      </x:c>
      <x:c r="M2817" s="26" t="n">
        <x:v>0.1</x:v>
      </x:c>
      <x:c r="N2817" s="24" t="n">
        <x:v>72</x:v>
      </x:c>
      <x:c r="O2817" s="28" t="n">
        <x:f>MIN(1,L2817/I2817)</x:f>
        <x:v>0.032605999999999996</x:v>
      </x:c>
      <x:c r="P2817" s="30" t="n">
        <x:f>O2817*J2817*(1+M2817)</x:f>
        <x:v>0.0358666</x:v>
      </x:c>
      <x:c r="Q2817" s="30" t="n">
        <x:f>P2817*N2817</x:f>
        <x:v>2.5823951999999997</x:v>
      </x:c>
      <x:c r="R2817" s="19" t="str">
        <x:v>独立判定</x:v>
      </x:c>
    </x:row>
    <x:row r="2818" ht="19" customHeight="1">
      <x:c r="A2818" s="19" t="str">
        <x:v>D02814</x:v>
      </x:c>
      <x:c r="B2818" s="19" t="n">
        <x:v>6</x:v>
      </x:c>
      <x:c r="C2818" s="19" t="n">
        <x:v>1</x:v>
      </x:c>
      <x:c r="D2818" s="19" t="str">
        <x:v>C06-M003</x:v>
      </x:c>
      <x:c r="E2818" s="19" t="str">
        <x:v>岩河爬鳞者</x:v>
      </x:c>
      <x:c r="F2818" s="19" t="str">
        <x:v>普通</x:v>
      </x:c>
      <x:c r="G2818" s="19" t="str">
        <x:v>材料独立候选</x:v>
      </x:c>
      <x:c r="H2818" s="19" t="str">
        <x:v>小卢恩</x:v>
      </x:c>
      <x:c r="I2818" s="22" t="n">
        <x:v>10000</x:v>
      </x:c>
      <x:c r="J2818" s="22" t="n">
        <x:v>1</x:v>
      </x:c>
      <x:c r="K2818" s="19" t="n">
        <x:v>1</x:v>
      </x:c>
      <x:c r="L2818" s="24" t="n">
        <x:v>32.605999999999995</x:v>
      </x:c>
      <x:c r="M2818" s="26" t="n">
        <x:v>0.1</x:v>
      </x:c>
      <x:c r="N2818" s="24" t="n">
        <x:v>72</x:v>
      </x:c>
      <x:c r="O2818" s="28" t="n">
        <x:f>MIN(1,L2818/I2818)</x:f>
        <x:v>0.0032605999999999993</x:v>
      </x:c>
      <x:c r="P2818" s="30" t="n">
        <x:f>O2818*J2818*(1+M2818)</x:f>
        <x:v>0.0035866599999999998</x:v>
      </x:c>
      <x:c r="Q2818" s="30" t="n">
        <x:f>P2818*N2818</x:f>
        <x:v>0.25823952</x:v>
      </x:c>
      <x:c r="R2818" s="19" t="str">
        <x:v>独立判定</x:v>
      </x:c>
    </x:row>
    <x:row r="2819" ht="19" customHeight="1">
      <x:c r="A2819" s="19" t="str">
        <x:v>D02815</x:v>
      </x:c>
      <x:c r="B2819" s="19" t="n">
        <x:v>6</x:v>
      </x:c>
      <x:c r="C2819" s="19" t="n">
        <x:v>1</x:v>
      </x:c>
      <x:c r="D2819" s="19" t="str">
        <x:v>C06-M003</x:v>
      </x:c>
      <x:c r="E2819" s="19" t="str">
        <x:v>岩河爬鳞者</x:v>
      </x:c>
      <x:c r="F2819" s="19" t="str">
        <x:v>普通</x:v>
      </x:c>
      <x:c r="G2819" s="19" t="str">
        <x:v>六神器公共池</x:v>
      </x:c>
      <x:c r="H2819" s="19" t="str">
        <x:v>POOL006</x:v>
      </x:c>
      <x:c r="I2819" s="22" t="n">
        <x:v>20000000</x:v>
      </x:c>
      <x:c r="J2819" s="22" t="n">
        <x:v>1</x:v>
      </x:c>
      <x:c r="K2819" s="19" t="n">
        <x:v>6</x:v>
      </x:c>
      <x:c r="L2819" s="24" t="n">
        <x:v>32.605999999999995</x:v>
      </x:c>
      <x:c r="M2819" s="26" t="n">
        <x:v>0.1</x:v>
      </x:c>
      <x:c r="N2819" s="24" t="n">
        <x:v>72</x:v>
      </x:c>
      <x:c r="O2819" s="28" t="n">
        <x:f>MIN(1,L2819/I2819)</x:f>
        <x:v>0.0000016302999999999997</x:v>
      </x:c>
      <x:c r="P2819" s="30" t="n">
        <x:f>O2819*J2819*(1+M2819)</x:f>
        <x:v>0.0000017933299999999998</x:v>
      </x:c>
      <x:c r="Q2819" s="30" t="n">
        <x:f>P2819*N2819</x:f>
        <x:v>0.00012911976</x:v>
      </x:c>
      <x:c r="R2819" s="19" t="str">
        <x:v>六选一；非6个独立爆率</x:v>
      </x:c>
    </x:row>
    <x:row r="2820" ht="19" customHeight="1">
      <x:c r="A2820" s="19" t="str">
        <x:v>D02816</x:v>
      </x:c>
      <x:c r="B2820" s="19" t="n">
        <x:v>6</x:v>
      </x:c>
      <x:c r="C2820" s="19" t="n">
        <x:v>1</x:v>
      </x:c>
      <x:c r="D2820" s="19" t="str">
        <x:v>C06-M004</x:v>
      </x:c>
      <x:c r="E2820" s="19" t="str">
        <x:v>祭场执炭徒</x:v>
      </x:c>
      <x:c r="F2820" s="19" t="str">
        <x:v>普通</x:v>
      </x:c>
      <x:c r="G2820" s="19" t="str">
        <x:v>自身专属</x:v>
      </x:c>
      <x:c r="H2820" s="19" t="str">
        <x:v>执炭腰封</x:v>
      </x:c>
      <x:c r="I2820" s="22" t="n">
        <x:v>2500</x:v>
      </x:c>
      <x:c r="J2820" s="22" t="n">
        <x:v>1</x:v>
      </x:c>
      <x:c r="K2820" s="19" t="n">
        <x:v>1</x:v>
      </x:c>
      <x:c r="L2820" s="24" t="n">
        <x:v>32.605999999999995</x:v>
      </x:c>
      <x:c r="M2820" s="26" t="n">
        <x:v>0.1</x:v>
      </x:c>
      <x:c r="N2820" s="24" t="n">
        <x:v>72</x:v>
      </x:c>
      <x:c r="O2820" s="28" t="n">
        <x:f>MIN(1,L2820/I2820)</x:f>
        <x:v>0.013042399999999997</x:v>
      </x:c>
      <x:c r="P2820" s="30" t="n">
        <x:f>O2820*J2820*(1+M2820)</x:f>
        <x:v>0.014346639999999999</x:v>
      </x:c>
      <x:c r="Q2820" s="30" t="n">
        <x:f>P2820*N2820</x:f>
        <x:v>1.03295808</x:v>
      </x:c>
      <x:c r="R2820" s="19" t="str">
        <x:v>独立判定</x:v>
      </x:c>
    </x:row>
    <x:row r="2821" ht="19" customHeight="1">
      <x:c r="A2821" s="19" t="str">
        <x:v>D02817</x:v>
      </x:c>
      <x:c r="B2821" s="19" t="n">
        <x:v>6</x:v>
      </x:c>
      <x:c r="C2821" s="19" t="n">
        <x:v>1</x:v>
      </x:c>
      <x:c r="D2821" s="19" t="str">
        <x:v>C06-M004</x:v>
      </x:c>
      <x:c r="E2821" s="19" t="str">
        <x:v>祭场执炭徒</x:v>
      </x:c>
      <x:c r="F2821" s="19" t="str">
        <x:v>普通</x:v>
      </x:c>
      <x:c r="G2821" s="19" t="str">
        <x:v>材料独立候选</x:v>
      </x:c>
      <x:c r="H2821" s="19" t="str">
        <x:v>猩红矿渣</x:v>
      </x:c>
      <x:c r="I2821" s="22" t="n">
        <x:v>600</x:v>
      </x:c>
      <x:c r="J2821" s="22" t="n">
        <x:v>8</x:v>
      </x:c>
      <x:c r="K2821" s="19" t="n">
        <x:v>1</x:v>
      </x:c>
      <x:c r="L2821" s="24" t="n">
        <x:v>32.605999999999995</x:v>
      </x:c>
      <x:c r="M2821" s="26" t="n">
        <x:v>0.1</x:v>
      </x:c>
      <x:c r="N2821" s="24" t="n">
        <x:v>72</x:v>
      </x:c>
      <x:c r="O2821" s="28" t="n">
        <x:f>MIN(1,L2821/I2821)</x:f>
        <x:v>0.05434333333333333</x:v>
      </x:c>
      <x:c r="P2821" s="30" t="n">
        <x:f>O2821*J2821*(1+M2821)</x:f>
        <x:v>0.47822133333333333</x:v>
      </x:c>
      <x:c r="Q2821" s="30" t="n">
        <x:f>P2821*N2821</x:f>
        <x:v>34.431936</x:v>
      </x:c>
      <x:c r="R2821" s="19" t="str">
        <x:v>独立判定</x:v>
      </x:c>
    </x:row>
    <x:row r="2822" ht="19" customHeight="1">
      <x:c r="A2822" s="19" t="str">
        <x:v>D02818</x:v>
      </x:c>
      <x:c r="B2822" s="19" t="n">
        <x:v>6</x:v>
      </x:c>
      <x:c r="C2822" s="19" t="n">
        <x:v>1</x:v>
      </x:c>
      <x:c r="D2822" s="19" t="str">
        <x:v>C06-M004</x:v>
      </x:c>
      <x:c r="E2822" s="19" t="str">
        <x:v>祭场执炭徒</x:v>
      </x:c>
      <x:c r="F2822" s="19" t="str">
        <x:v>普通</x:v>
      </x:c>
      <x:c r="G2822" s="19" t="str">
        <x:v>材料独立候选</x:v>
      </x:c>
      <x:c r="H2822" s="19" t="str">
        <x:v>红狮断箭</x:v>
      </x:c>
      <x:c r="I2822" s="22" t="n">
        <x:v>1500</x:v>
      </x:c>
      <x:c r="J2822" s="22" t="n">
        <x:v>1</x:v>
      </x:c>
      <x:c r="K2822" s="19" t="n">
        <x:v>1</x:v>
      </x:c>
      <x:c r="L2822" s="24" t="n">
        <x:v>32.605999999999995</x:v>
      </x:c>
      <x:c r="M2822" s="26" t="n">
        <x:v>0.1</x:v>
      </x:c>
      <x:c r="N2822" s="24" t="n">
        <x:v>72</x:v>
      </x:c>
      <x:c r="O2822" s="28" t="n">
        <x:f>MIN(1,L2822/I2822)</x:f>
        <x:v>0.02173733333333333</x:v>
      </x:c>
      <x:c r="P2822" s="30" t="n">
        <x:f>O2822*J2822*(1+M2822)</x:f>
        <x:v>0.023911066666666664</x:v>
      </x:c>
      <x:c r="Q2822" s="30" t="n">
        <x:f>P2822*N2822</x:f>
        <x:v>1.7215968</x:v>
      </x:c>
      <x:c r="R2822" s="19" t="str">
        <x:v>独立判定</x:v>
      </x:c>
    </x:row>
    <x:row r="2823" ht="19" customHeight="1">
      <x:c r="A2823" s="19" t="str">
        <x:v>D02819</x:v>
      </x:c>
      <x:c r="B2823" s="19" t="n">
        <x:v>6</x:v>
      </x:c>
      <x:c r="C2823" s="19" t="n">
        <x:v>1</x:v>
      </x:c>
      <x:c r="D2823" s="19" t="str">
        <x:v>C06-M004</x:v>
      </x:c>
      <x:c r="E2823" s="19" t="str">
        <x:v>祭场执炭徒</x:v>
      </x:c>
      <x:c r="F2823" s="19" t="str">
        <x:v>普通</x:v>
      </x:c>
      <x:c r="G2823" s="19" t="str">
        <x:v>材料独立候选</x:v>
      </x:c>
      <x:c r="H2823" s="19" t="str">
        <x:v>熔原罪火残章</x:v>
      </x:c>
      <x:c r="I2823" s="22" t="n">
        <x:v>1500000</x:v>
      </x:c>
      <x:c r="J2823" s="22" t="n">
        <x:v>1</x:v>
      </x:c>
      <x:c r="K2823" s="19" t="n">
        <x:v>1</x:v>
      </x:c>
      <x:c r="L2823" s="24" t="n">
        <x:v>32.605999999999995</x:v>
      </x:c>
      <x:c r="M2823" s="26" t="n">
        <x:v>0.1</x:v>
      </x:c>
      <x:c r="N2823" s="24" t="n">
        <x:v>72</x:v>
      </x:c>
      <x:c r="O2823" s="28" t="n">
        <x:f>MIN(1,L2823/I2823)</x:f>
        <x:v>0.00002173733333333333</x:v>
      </x:c>
      <x:c r="P2823" s="30" t="n">
        <x:f>O2823*J2823*(1+M2823)</x:f>
        <x:v>0.000023911066666666665</x:v>
      </x:c>
      <x:c r="Q2823" s="30" t="n">
        <x:f>P2823*N2823</x:f>
        <x:v>0.0017215968</x:v>
      </x:c>
      <x:c r="R2823" s="19" t="str">
        <x:v>独立判定</x:v>
      </x:c>
    </x:row>
    <x:row r="2824" ht="19" customHeight="1">
      <x:c r="A2824" s="19" t="str">
        <x:v>D02820</x:v>
      </x:c>
      <x:c r="B2824" s="19" t="n">
        <x:v>6</x:v>
      </x:c>
      <x:c r="C2824" s="19" t="n">
        <x:v>1</x:v>
      </x:c>
      <x:c r="D2824" s="19" t="str">
        <x:v>C06-M004</x:v>
      </x:c>
      <x:c r="E2824" s="19" t="str">
        <x:v>祭场执炭徒</x:v>
      </x:c>
      <x:c r="F2824" s="19" t="str">
        <x:v>普通</x:v>
      </x:c>
      <x:c r="G2824" s="19" t="str">
        <x:v>材料独立候选</x:v>
      </x:c>
      <x:c r="H2824" s="19" t="str">
        <x:v>野兽骨片</x:v>
      </x:c>
      <x:c r="I2824" s="22" t="n">
        <x:v>180</x:v>
      </x:c>
      <x:c r="J2824" s="22" t="n">
        <x:v>5</x:v>
      </x:c>
      <x:c r="K2824" s="19" t="n">
        <x:v>1</x:v>
      </x:c>
      <x:c r="L2824" s="24" t="n">
        <x:v>32.605999999999995</x:v>
      </x:c>
      <x:c r="M2824" s="26" t="n">
        <x:v>0.1</x:v>
      </x:c>
      <x:c r="N2824" s="24" t="n">
        <x:v>72</x:v>
      </x:c>
      <x:c r="O2824" s="28" t="n">
        <x:f>MIN(1,L2824/I2824)</x:f>
        <x:v>0.1811444444444444</x:v>
      </x:c>
      <x:c r="P2824" s="30" t="n">
        <x:f>O2824*J2824*(1+M2824)</x:f>
        <x:v>0.9962944444444444</x:v>
      </x:c>
      <x:c r="Q2824" s="30" t="n">
        <x:f>P2824*N2824</x:f>
        <x:v>71.7332</x:v>
      </x:c>
      <x:c r="R2824" s="19" t="str">
        <x:v>独立判定</x:v>
      </x:c>
    </x:row>
    <x:row r="2825" ht="19" customHeight="1">
      <x:c r="A2825" s="19" t="str">
        <x:v>D02821</x:v>
      </x:c>
      <x:c r="B2825" s="19" t="n">
        <x:v>6</x:v>
      </x:c>
      <x:c r="C2825" s="19" t="n">
        <x:v>1</x:v>
      </x:c>
      <x:c r="D2825" s="19" t="str">
        <x:v>C06-M004</x:v>
      </x:c>
      <x:c r="E2825" s="19" t="str">
        <x:v>祭场执炭徒</x:v>
      </x:c>
      <x:c r="F2825" s="19" t="str">
        <x:v>普通</x:v>
      </x:c>
      <x:c r="G2825" s="19" t="str">
        <x:v>材料独立候选</x:v>
      </x:c>
      <x:c r="H2825" s="19" t="str">
        <x:v>技能残页</x:v>
      </x:c>
      <x:c r="I2825" s="22" t="n">
        <x:v>1000</x:v>
      </x:c>
      <x:c r="J2825" s="22" t="n">
        <x:v>1</x:v>
      </x:c>
      <x:c r="K2825" s="19" t="n">
        <x:v>1</x:v>
      </x:c>
      <x:c r="L2825" s="24" t="n">
        <x:v>32.605999999999995</x:v>
      </x:c>
      <x:c r="M2825" s="26" t="n">
        <x:v>0.1</x:v>
      </x:c>
      <x:c r="N2825" s="24" t="n">
        <x:v>72</x:v>
      </x:c>
      <x:c r="O2825" s="28" t="n">
        <x:f>MIN(1,L2825/I2825)</x:f>
        <x:v>0.032605999999999996</x:v>
      </x:c>
      <x:c r="P2825" s="30" t="n">
        <x:f>O2825*J2825*(1+M2825)</x:f>
        <x:v>0.0358666</x:v>
      </x:c>
      <x:c r="Q2825" s="30" t="n">
        <x:f>P2825*N2825</x:f>
        <x:v>2.5823951999999997</x:v>
      </x:c>
      <x:c r="R2825" s="19" t="str">
        <x:v>独立判定</x:v>
      </x:c>
    </x:row>
    <x:row r="2826" ht="19" customHeight="1">
      <x:c r="A2826" s="19" t="str">
        <x:v>D02822</x:v>
      </x:c>
      <x:c r="B2826" s="19" t="n">
        <x:v>6</x:v>
      </x:c>
      <x:c r="C2826" s="19" t="n">
        <x:v>1</x:v>
      </x:c>
      <x:c r="D2826" s="19" t="str">
        <x:v>C06-M004</x:v>
      </x:c>
      <x:c r="E2826" s="19" t="str">
        <x:v>祭场执炭徒</x:v>
      </x:c>
      <x:c r="F2826" s="19" t="str">
        <x:v>普通</x:v>
      </x:c>
      <x:c r="G2826" s="19" t="str">
        <x:v>材料独立候选</x:v>
      </x:c>
      <x:c r="H2826" s="19" t="str">
        <x:v>小卢恩</x:v>
      </x:c>
      <x:c r="I2826" s="22" t="n">
        <x:v>10000</x:v>
      </x:c>
      <x:c r="J2826" s="22" t="n">
        <x:v>1</x:v>
      </x:c>
      <x:c r="K2826" s="19" t="n">
        <x:v>1</x:v>
      </x:c>
      <x:c r="L2826" s="24" t="n">
        <x:v>32.605999999999995</x:v>
      </x:c>
      <x:c r="M2826" s="26" t="n">
        <x:v>0.1</x:v>
      </x:c>
      <x:c r="N2826" s="24" t="n">
        <x:v>72</x:v>
      </x:c>
      <x:c r="O2826" s="28" t="n">
        <x:f>MIN(1,L2826/I2826)</x:f>
        <x:v>0.0032605999999999993</x:v>
      </x:c>
      <x:c r="P2826" s="30" t="n">
        <x:f>O2826*J2826*(1+M2826)</x:f>
        <x:v>0.0035866599999999998</x:v>
      </x:c>
      <x:c r="Q2826" s="30" t="n">
        <x:f>P2826*N2826</x:f>
        <x:v>0.25823952</x:v>
      </x:c>
      <x:c r="R2826" s="19" t="str">
        <x:v>独立判定</x:v>
      </x:c>
    </x:row>
    <x:row r="2827" ht="19" customHeight="1">
      <x:c r="A2827" s="19" t="str">
        <x:v>D02823</x:v>
      </x:c>
      <x:c r="B2827" s="19" t="n">
        <x:v>6</x:v>
      </x:c>
      <x:c r="C2827" s="19" t="n">
        <x:v>1</x:v>
      </x:c>
      <x:c r="D2827" s="19" t="str">
        <x:v>C06-M004</x:v>
      </x:c>
      <x:c r="E2827" s="19" t="str">
        <x:v>祭场执炭徒</x:v>
      </x:c>
      <x:c r="F2827" s="19" t="str">
        <x:v>普通</x:v>
      </x:c>
      <x:c r="G2827" s="19" t="str">
        <x:v>六神器公共池</x:v>
      </x:c>
      <x:c r="H2827" s="19" t="str">
        <x:v>POOL006</x:v>
      </x:c>
      <x:c r="I2827" s="22" t="n">
        <x:v>20000000</x:v>
      </x:c>
      <x:c r="J2827" s="22" t="n">
        <x:v>1</x:v>
      </x:c>
      <x:c r="K2827" s="19" t="n">
        <x:v>6</x:v>
      </x:c>
      <x:c r="L2827" s="24" t="n">
        <x:v>32.605999999999995</x:v>
      </x:c>
      <x:c r="M2827" s="26" t="n">
        <x:v>0.1</x:v>
      </x:c>
      <x:c r="N2827" s="24" t="n">
        <x:v>72</x:v>
      </x:c>
      <x:c r="O2827" s="28" t="n">
        <x:f>MIN(1,L2827/I2827)</x:f>
        <x:v>0.0000016302999999999997</x:v>
      </x:c>
      <x:c r="P2827" s="30" t="n">
        <x:f>O2827*J2827*(1+M2827)</x:f>
        <x:v>0.0000017933299999999998</x:v>
      </x:c>
      <x:c r="Q2827" s="30" t="n">
        <x:f>P2827*N2827</x:f>
        <x:v>0.00012911976</x:v>
      </x:c>
      <x:c r="R2827" s="19" t="str">
        <x:v>六选一；非6个独立爆率</x:v>
      </x:c>
    </x:row>
    <x:row r="2828" ht="19" customHeight="1">
      <x:c r="A2828" s="19" t="str">
        <x:v>D02824</x:v>
      </x:c>
      <x:c r="B2828" s="19" t="n">
        <x:v>6</x:v>
      </x:c>
      <x:c r="C2828" s="19" t="n">
        <x:v>1</x:v>
      </x:c>
      <x:c r="D2828" s="19" t="str">
        <x:v>C06-M005</x:v>
      </x:c>
      <x:c r="E2828" s="19" t="str">
        <x:v>熔心赤螯虫</x:v>
      </x:c>
      <x:c r="F2828" s="19" t="str">
        <x:v>普通</x:v>
      </x:c>
      <x:c r="G2828" s="19" t="str">
        <x:v>自身专属</x:v>
      </x:c>
      <x:c r="H2828" s="19" t="str">
        <x:v>赤螯腕甲</x:v>
      </x:c>
      <x:c r="I2828" s="22" t="n">
        <x:v>2500</x:v>
      </x:c>
      <x:c r="J2828" s="22" t="n">
        <x:v>1</x:v>
      </x:c>
      <x:c r="K2828" s="19" t="n">
        <x:v>1</x:v>
      </x:c>
      <x:c r="L2828" s="24" t="n">
        <x:v>32.605999999999995</x:v>
      </x:c>
      <x:c r="M2828" s="26" t="n">
        <x:v>0.1</x:v>
      </x:c>
      <x:c r="N2828" s="24" t="n">
        <x:v>72</x:v>
      </x:c>
      <x:c r="O2828" s="28" t="n">
        <x:f>MIN(1,L2828/I2828)</x:f>
        <x:v>0.013042399999999997</x:v>
      </x:c>
      <x:c r="P2828" s="30" t="n">
        <x:f>O2828*J2828*(1+M2828)</x:f>
        <x:v>0.014346639999999999</x:v>
      </x:c>
      <x:c r="Q2828" s="30" t="n">
        <x:f>P2828*N2828</x:f>
        <x:v>1.03295808</x:v>
      </x:c>
      <x:c r="R2828" s="19" t="str">
        <x:v>独立判定</x:v>
      </x:c>
    </x:row>
    <x:row r="2829" ht="19" customHeight="1">
      <x:c r="A2829" s="19" t="str">
        <x:v>D02825</x:v>
      </x:c>
      <x:c r="B2829" s="19" t="n">
        <x:v>6</x:v>
      </x:c>
      <x:c r="C2829" s="19" t="n">
        <x:v>1</x:v>
      </x:c>
      <x:c r="D2829" s="19" t="str">
        <x:v>C06-M005</x:v>
      </x:c>
      <x:c r="E2829" s="19" t="str">
        <x:v>熔心赤螯虫</x:v>
      </x:c>
      <x:c r="F2829" s="19" t="str">
        <x:v>普通</x:v>
      </x:c>
      <x:c r="G2829" s="19" t="str">
        <x:v>材料独立候选</x:v>
      </x:c>
      <x:c r="H2829" s="19" t="str">
        <x:v>猩红矿渣</x:v>
      </x:c>
      <x:c r="I2829" s="22" t="n">
        <x:v>600</x:v>
      </x:c>
      <x:c r="J2829" s="22" t="n">
        <x:v>8</x:v>
      </x:c>
      <x:c r="K2829" s="19" t="n">
        <x:v>1</x:v>
      </x:c>
      <x:c r="L2829" s="24" t="n">
        <x:v>32.605999999999995</x:v>
      </x:c>
      <x:c r="M2829" s="26" t="n">
        <x:v>0.1</x:v>
      </x:c>
      <x:c r="N2829" s="24" t="n">
        <x:v>72</x:v>
      </x:c>
      <x:c r="O2829" s="28" t="n">
        <x:f>MIN(1,L2829/I2829)</x:f>
        <x:v>0.05434333333333333</x:v>
      </x:c>
      <x:c r="P2829" s="30" t="n">
        <x:f>O2829*J2829*(1+M2829)</x:f>
        <x:v>0.47822133333333333</x:v>
      </x:c>
      <x:c r="Q2829" s="30" t="n">
        <x:f>P2829*N2829</x:f>
        <x:v>34.431936</x:v>
      </x:c>
      <x:c r="R2829" s="19" t="str">
        <x:v>独立判定</x:v>
      </x:c>
    </x:row>
    <x:row r="2830" ht="19" customHeight="1">
      <x:c r="A2830" s="19" t="str">
        <x:v>D02826</x:v>
      </x:c>
      <x:c r="B2830" s="19" t="n">
        <x:v>6</x:v>
      </x:c>
      <x:c r="C2830" s="19" t="n">
        <x:v>1</x:v>
      </x:c>
      <x:c r="D2830" s="19" t="str">
        <x:v>C06-M005</x:v>
      </x:c>
      <x:c r="E2830" s="19" t="str">
        <x:v>熔心赤螯虫</x:v>
      </x:c>
      <x:c r="F2830" s="19" t="str">
        <x:v>普通</x:v>
      </x:c>
      <x:c r="G2830" s="19" t="str">
        <x:v>材料独立候选</x:v>
      </x:c>
      <x:c r="H2830" s="19" t="str">
        <x:v>红狮断箭</x:v>
      </x:c>
      <x:c r="I2830" s="22" t="n">
        <x:v>1500</x:v>
      </x:c>
      <x:c r="J2830" s="22" t="n">
        <x:v>1</x:v>
      </x:c>
      <x:c r="K2830" s="19" t="n">
        <x:v>1</x:v>
      </x:c>
      <x:c r="L2830" s="24" t="n">
        <x:v>32.605999999999995</x:v>
      </x:c>
      <x:c r="M2830" s="26" t="n">
        <x:v>0.1</x:v>
      </x:c>
      <x:c r="N2830" s="24" t="n">
        <x:v>72</x:v>
      </x:c>
      <x:c r="O2830" s="28" t="n">
        <x:f>MIN(1,L2830/I2830)</x:f>
        <x:v>0.02173733333333333</x:v>
      </x:c>
      <x:c r="P2830" s="30" t="n">
        <x:f>O2830*J2830*(1+M2830)</x:f>
        <x:v>0.023911066666666664</x:v>
      </x:c>
      <x:c r="Q2830" s="30" t="n">
        <x:f>P2830*N2830</x:f>
        <x:v>1.7215968</x:v>
      </x:c>
      <x:c r="R2830" s="19" t="str">
        <x:v>独立判定</x:v>
      </x:c>
    </x:row>
    <x:row r="2831" ht="19" customHeight="1">
      <x:c r="A2831" s="19" t="str">
        <x:v>D02827</x:v>
      </x:c>
      <x:c r="B2831" s="19" t="n">
        <x:v>6</x:v>
      </x:c>
      <x:c r="C2831" s="19" t="n">
        <x:v>1</x:v>
      </x:c>
      <x:c r="D2831" s="19" t="str">
        <x:v>C06-M005</x:v>
      </x:c>
      <x:c r="E2831" s="19" t="str">
        <x:v>熔心赤螯虫</x:v>
      </x:c>
      <x:c r="F2831" s="19" t="str">
        <x:v>普通</x:v>
      </x:c>
      <x:c r="G2831" s="19" t="str">
        <x:v>材料独立候选</x:v>
      </x:c>
      <x:c r="H2831" s="19" t="str">
        <x:v>熔原罪火残章</x:v>
      </x:c>
      <x:c r="I2831" s="22" t="n">
        <x:v>1500000</x:v>
      </x:c>
      <x:c r="J2831" s="22" t="n">
        <x:v>1</x:v>
      </x:c>
      <x:c r="K2831" s="19" t="n">
        <x:v>1</x:v>
      </x:c>
      <x:c r="L2831" s="24" t="n">
        <x:v>32.605999999999995</x:v>
      </x:c>
      <x:c r="M2831" s="26" t="n">
        <x:v>0.1</x:v>
      </x:c>
      <x:c r="N2831" s="24" t="n">
        <x:v>72</x:v>
      </x:c>
      <x:c r="O2831" s="28" t="n">
        <x:f>MIN(1,L2831/I2831)</x:f>
        <x:v>0.00002173733333333333</x:v>
      </x:c>
      <x:c r="P2831" s="30" t="n">
        <x:f>O2831*J2831*(1+M2831)</x:f>
        <x:v>0.000023911066666666665</x:v>
      </x:c>
      <x:c r="Q2831" s="30" t="n">
        <x:f>P2831*N2831</x:f>
        <x:v>0.0017215968</x:v>
      </x:c>
      <x:c r="R2831" s="19" t="str">
        <x:v>独立判定</x:v>
      </x:c>
    </x:row>
    <x:row r="2832" ht="19" customHeight="1">
      <x:c r="A2832" s="19" t="str">
        <x:v>D02828</x:v>
      </x:c>
      <x:c r="B2832" s="19" t="n">
        <x:v>6</x:v>
      </x:c>
      <x:c r="C2832" s="19" t="n">
        <x:v>1</x:v>
      </x:c>
      <x:c r="D2832" s="19" t="str">
        <x:v>C06-M005</x:v>
      </x:c>
      <x:c r="E2832" s="19" t="str">
        <x:v>熔心赤螯虫</x:v>
      </x:c>
      <x:c r="F2832" s="19" t="str">
        <x:v>普通</x:v>
      </x:c>
      <x:c r="G2832" s="19" t="str">
        <x:v>材料独立候选</x:v>
      </x:c>
      <x:c r="H2832" s="19" t="str">
        <x:v>野兽骨片</x:v>
      </x:c>
      <x:c r="I2832" s="22" t="n">
        <x:v>180</x:v>
      </x:c>
      <x:c r="J2832" s="22" t="n">
        <x:v>5</x:v>
      </x:c>
      <x:c r="K2832" s="19" t="n">
        <x:v>1</x:v>
      </x:c>
      <x:c r="L2832" s="24" t="n">
        <x:v>32.605999999999995</x:v>
      </x:c>
      <x:c r="M2832" s="26" t="n">
        <x:v>0.1</x:v>
      </x:c>
      <x:c r="N2832" s="24" t="n">
        <x:v>72</x:v>
      </x:c>
      <x:c r="O2832" s="28" t="n">
        <x:f>MIN(1,L2832/I2832)</x:f>
        <x:v>0.1811444444444444</x:v>
      </x:c>
      <x:c r="P2832" s="30" t="n">
        <x:f>O2832*J2832*(1+M2832)</x:f>
        <x:v>0.9962944444444444</x:v>
      </x:c>
      <x:c r="Q2832" s="30" t="n">
        <x:f>P2832*N2832</x:f>
        <x:v>71.7332</x:v>
      </x:c>
      <x:c r="R2832" s="19" t="str">
        <x:v>独立判定</x:v>
      </x:c>
    </x:row>
    <x:row r="2833" ht="19" customHeight="1">
      <x:c r="A2833" s="19" t="str">
        <x:v>D02829</x:v>
      </x:c>
      <x:c r="B2833" s="19" t="n">
        <x:v>6</x:v>
      </x:c>
      <x:c r="C2833" s="19" t="n">
        <x:v>1</x:v>
      </x:c>
      <x:c r="D2833" s="19" t="str">
        <x:v>C06-M005</x:v>
      </x:c>
      <x:c r="E2833" s="19" t="str">
        <x:v>熔心赤螯虫</x:v>
      </x:c>
      <x:c r="F2833" s="19" t="str">
        <x:v>普通</x:v>
      </x:c>
      <x:c r="G2833" s="19" t="str">
        <x:v>材料独立候选</x:v>
      </x:c>
      <x:c r="H2833" s="19" t="str">
        <x:v>技能残页</x:v>
      </x:c>
      <x:c r="I2833" s="22" t="n">
        <x:v>1000</x:v>
      </x:c>
      <x:c r="J2833" s="22" t="n">
        <x:v>1</x:v>
      </x:c>
      <x:c r="K2833" s="19" t="n">
        <x:v>1</x:v>
      </x:c>
      <x:c r="L2833" s="24" t="n">
        <x:v>32.605999999999995</x:v>
      </x:c>
      <x:c r="M2833" s="26" t="n">
        <x:v>0.1</x:v>
      </x:c>
      <x:c r="N2833" s="24" t="n">
        <x:v>72</x:v>
      </x:c>
      <x:c r="O2833" s="28" t="n">
        <x:f>MIN(1,L2833/I2833)</x:f>
        <x:v>0.032605999999999996</x:v>
      </x:c>
      <x:c r="P2833" s="30" t="n">
        <x:f>O2833*J2833*(1+M2833)</x:f>
        <x:v>0.0358666</x:v>
      </x:c>
      <x:c r="Q2833" s="30" t="n">
        <x:f>P2833*N2833</x:f>
        <x:v>2.5823951999999997</x:v>
      </x:c>
      <x:c r="R2833" s="19" t="str">
        <x:v>独立判定</x:v>
      </x:c>
    </x:row>
    <x:row r="2834" ht="19" customHeight="1">
      <x:c r="A2834" s="19" t="str">
        <x:v>D02830</x:v>
      </x:c>
      <x:c r="B2834" s="19" t="n">
        <x:v>6</x:v>
      </x:c>
      <x:c r="C2834" s="19" t="n">
        <x:v>1</x:v>
      </x:c>
      <x:c r="D2834" s="19" t="str">
        <x:v>C06-M005</x:v>
      </x:c>
      <x:c r="E2834" s="19" t="str">
        <x:v>熔心赤螯虫</x:v>
      </x:c>
      <x:c r="F2834" s="19" t="str">
        <x:v>普通</x:v>
      </x:c>
      <x:c r="G2834" s="19" t="str">
        <x:v>材料独立候选</x:v>
      </x:c>
      <x:c r="H2834" s="19" t="str">
        <x:v>小卢恩</x:v>
      </x:c>
      <x:c r="I2834" s="22" t="n">
        <x:v>10000</x:v>
      </x:c>
      <x:c r="J2834" s="22" t="n">
        <x:v>1</x:v>
      </x:c>
      <x:c r="K2834" s="19" t="n">
        <x:v>1</x:v>
      </x:c>
      <x:c r="L2834" s="24" t="n">
        <x:v>32.605999999999995</x:v>
      </x:c>
      <x:c r="M2834" s="26" t="n">
        <x:v>0.1</x:v>
      </x:c>
      <x:c r="N2834" s="24" t="n">
        <x:v>72</x:v>
      </x:c>
      <x:c r="O2834" s="28" t="n">
        <x:f>MIN(1,L2834/I2834)</x:f>
        <x:v>0.0032605999999999993</x:v>
      </x:c>
      <x:c r="P2834" s="30" t="n">
        <x:f>O2834*J2834*(1+M2834)</x:f>
        <x:v>0.0035866599999999998</x:v>
      </x:c>
      <x:c r="Q2834" s="30" t="n">
        <x:f>P2834*N2834</x:f>
        <x:v>0.25823952</x:v>
      </x:c>
      <x:c r="R2834" s="19" t="str">
        <x:v>独立判定</x:v>
      </x:c>
    </x:row>
    <x:row r="2835" ht="19" customHeight="1">
      <x:c r="A2835" s="19" t="str">
        <x:v>D02831</x:v>
      </x:c>
      <x:c r="B2835" s="19" t="n">
        <x:v>6</x:v>
      </x:c>
      <x:c r="C2835" s="19" t="n">
        <x:v>1</x:v>
      </x:c>
      <x:c r="D2835" s="19" t="str">
        <x:v>C06-M005</x:v>
      </x:c>
      <x:c r="E2835" s="19" t="str">
        <x:v>熔心赤螯虫</x:v>
      </x:c>
      <x:c r="F2835" s="19" t="str">
        <x:v>普通</x:v>
      </x:c>
      <x:c r="G2835" s="19" t="str">
        <x:v>六神器公共池</x:v>
      </x:c>
      <x:c r="H2835" s="19" t="str">
        <x:v>POOL006</x:v>
      </x:c>
      <x:c r="I2835" s="22" t="n">
        <x:v>20000000</x:v>
      </x:c>
      <x:c r="J2835" s="22" t="n">
        <x:v>1</x:v>
      </x:c>
      <x:c r="K2835" s="19" t="n">
        <x:v>6</x:v>
      </x:c>
      <x:c r="L2835" s="24" t="n">
        <x:v>32.605999999999995</x:v>
      </x:c>
      <x:c r="M2835" s="26" t="n">
        <x:v>0.1</x:v>
      </x:c>
      <x:c r="N2835" s="24" t="n">
        <x:v>72</x:v>
      </x:c>
      <x:c r="O2835" s="28" t="n">
        <x:f>MIN(1,L2835/I2835)</x:f>
        <x:v>0.0000016302999999999997</x:v>
      </x:c>
      <x:c r="P2835" s="30" t="n">
        <x:f>O2835*J2835*(1+M2835)</x:f>
        <x:v>0.0000017933299999999998</x:v>
      </x:c>
      <x:c r="Q2835" s="30" t="n">
        <x:f>P2835*N2835</x:f>
        <x:v>0.00012911976</x:v>
      </x:c>
      <x:c r="R2835" s="19" t="str">
        <x:v>六选一；非6个独立爆率</x:v>
      </x:c>
    </x:row>
    <x:row r="2836" ht="19" customHeight="1">
      <x:c r="A2836" s="19" t="str">
        <x:v>D02832</x:v>
      </x:c>
      <x:c r="B2836" s="19" t="n">
        <x:v>6</x:v>
      </x:c>
      <x:c r="C2836" s="19" t="n">
        <x:v>1</x:v>
      </x:c>
      <x:c r="D2836" s="19" t="str">
        <x:v>C06-M006</x:v>
      </x:c>
      <x:c r="E2836" s="19" t="str">
        <x:v>血尘游猎手</x:v>
      </x:c>
      <x:c r="F2836" s="19" t="str">
        <x:v>普通</x:v>
      </x:c>
      <x:c r="G2836" s="19" t="str">
        <x:v>自身专属</x:v>
      </x:c>
      <x:c r="H2836" s="19" t="str">
        <x:v>血尘猎靴</x:v>
      </x:c>
      <x:c r="I2836" s="22" t="n">
        <x:v>2500</x:v>
      </x:c>
      <x:c r="J2836" s="22" t="n">
        <x:v>1</x:v>
      </x:c>
      <x:c r="K2836" s="19" t="n">
        <x:v>1</x:v>
      </x:c>
      <x:c r="L2836" s="24" t="n">
        <x:v>32.605999999999995</x:v>
      </x:c>
      <x:c r="M2836" s="26" t="n">
        <x:v>0.1</x:v>
      </x:c>
      <x:c r="N2836" s="24" t="n">
        <x:v>72</x:v>
      </x:c>
      <x:c r="O2836" s="28" t="n">
        <x:f>MIN(1,L2836/I2836)</x:f>
        <x:v>0.013042399999999997</x:v>
      </x:c>
      <x:c r="P2836" s="30" t="n">
        <x:f>O2836*J2836*(1+M2836)</x:f>
        <x:v>0.014346639999999999</x:v>
      </x:c>
      <x:c r="Q2836" s="30" t="n">
        <x:f>P2836*N2836</x:f>
        <x:v>1.03295808</x:v>
      </x:c>
      <x:c r="R2836" s="19" t="str">
        <x:v>独立判定</x:v>
      </x:c>
    </x:row>
    <x:row r="2837" ht="19" customHeight="1">
      <x:c r="A2837" s="19" t="str">
        <x:v>D02833</x:v>
      </x:c>
      <x:c r="B2837" s="19" t="n">
        <x:v>6</x:v>
      </x:c>
      <x:c r="C2837" s="19" t="n">
        <x:v>1</x:v>
      </x:c>
      <x:c r="D2837" s="19" t="str">
        <x:v>C06-M006</x:v>
      </x:c>
      <x:c r="E2837" s="19" t="str">
        <x:v>血尘游猎手</x:v>
      </x:c>
      <x:c r="F2837" s="19" t="str">
        <x:v>普通</x:v>
      </x:c>
      <x:c r="G2837" s="19" t="str">
        <x:v>材料独立候选</x:v>
      </x:c>
      <x:c r="H2837" s="19" t="str">
        <x:v>猩红矿渣</x:v>
      </x:c>
      <x:c r="I2837" s="22" t="n">
        <x:v>600</x:v>
      </x:c>
      <x:c r="J2837" s="22" t="n">
        <x:v>8</x:v>
      </x:c>
      <x:c r="K2837" s="19" t="n">
        <x:v>1</x:v>
      </x:c>
      <x:c r="L2837" s="24" t="n">
        <x:v>32.605999999999995</x:v>
      </x:c>
      <x:c r="M2837" s="26" t="n">
        <x:v>0.1</x:v>
      </x:c>
      <x:c r="N2837" s="24" t="n">
        <x:v>72</x:v>
      </x:c>
      <x:c r="O2837" s="28" t="n">
        <x:f>MIN(1,L2837/I2837)</x:f>
        <x:v>0.05434333333333333</x:v>
      </x:c>
      <x:c r="P2837" s="30" t="n">
        <x:f>O2837*J2837*(1+M2837)</x:f>
        <x:v>0.47822133333333333</x:v>
      </x:c>
      <x:c r="Q2837" s="30" t="n">
        <x:f>P2837*N2837</x:f>
        <x:v>34.431936</x:v>
      </x:c>
      <x:c r="R2837" s="19" t="str">
        <x:v>独立判定</x:v>
      </x:c>
    </x:row>
    <x:row r="2838" ht="19" customHeight="1">
      <x:c r="A2838" s="19" t="str">
        <x:v>D02834</x:v>
      </x:c>
      <x:c r="B2838" s="19" t="n">
        <x:v>6</x:v>
      </x:c>
      <x:c r="C2838" s="19" t="n">
        <x:v>1</x:v>
      </x:c>
      <x:c r="D2838" s="19" t="str">
        <x:v>C06-M006</x:v>
      </x:c>
      <x:c r="E2838" s="19" t="str">
        <x:v>血尘游猎手</x:v>
      </x:c>
      <x:c r="F2838" s="19" t="str">
        <x:v>普通</x:v>
      </x:c>
      <x:c r="G2838" s="19" t="str">
        <x:v>材料独立候选</x:v>
      </x:c>
      <x:c r="H2838" s="19" t="str">
        <x:v>红狮断箭</x:v>
      </x:c>
      <x:c r="I2838" s="22" t="n">
        <x:v>1500</x:v>
      </x:c>
      <x:c r="J2838" s="22" t="n">
        <x:v>1</x:v>
      </x:c>
      <x:c r="K2838" s="19" t="n">
        <x:v>1</x:v>
      </x:c>
      <x:c r="L2838" s="24" t="n">
        <x:v>32.605999999999995</x:v>
      </x:c>
      <x:c r="M2838" s="26" t="n">
        <x:v>0.1</x:v>
      </x:c>
      <x:c r="N2838" s="24" t="n">
        <x:v>72</x:v>
      </x:c>
      <x:c r="O2838" s="28" t="n">
        <x:f>MIN(1,L2838/I2838)</x:f>
        <x:v>0.02173733333333333</x:v>
      </x:c>
      <x:c r="P2838" s="30" t="n">
        <x:f>O2838*J2838*(1+M2838)</x:f>
        <x:v>0.023911066666666664</x:v>
      </x:c>
      <x:c r="Q2838" s="30" t="n">
        <x:f>P2838*N2838</x:f>
        <x:v>1.7215968</x:v>
      </x:c>
      <x:c r="R2838" s="19" t="str">
        <x:v>独立判定</x:v>
      </x:c>
    </x:row>
    <x:row r="2839" ht="19" customHeight="1">
      <x:c r="A2839" s="19" t="str">
        <x:v>D02835</x:v>
      </x:c>
      <x:c r="B2839" s="19" t="n">
        <x:v>6</x:v>
      </x:c>
      <x:c r="C2839" s="19" t="n">
        <x:v>1</x:v>
      </x:c>
      <x:c r="D2839" s="19" t="str">
        <x:v>C06-M006</x:v>
      </x:c>
      <x:c r="E2839" s="19" t="str">
        <x:v>血尘游猎手</x:v>
      </x:c>
      <x:c r="F2839" s="19" t="str">
        <x:v>普通</x:v>
      </x:c>
      <x:c r="G2839" s="19" t="str">
        <x:v>材料独立候选</x:v>
      </x:c>
      <x:c r="H2839" s="19" t="str">
        <x:v>熔原罪火残章</x:v>
      </x:c>
      <x:c r="I2839" s="22" t="n">
        <x:v>1500000</x:v>
      </x:c>
      <x:c r="J2839" s="22" t="n">
        <x:v>1</x:v>
      </x:c>
      <x:c r="K2839" s="19" t="n">
        <x:v>1</x:v>
      </x:c>
      <x:c r="L2839" s="24" t="n">
        <x:v>32.605999999999995</x:v>
      </x:c>
      <x:c r="M2839" s="26" t="n">
        <x:v>0.1</x:v>
      </x:c>
      <x:c r="N2839" s="24" t="n">
        <x:v>72</x:v>
      </x:c>
      <x:c r="O2839" s="28" t="n">
        <x:f>MIN(1,L2839/I2839)</x:f>
        <x:v>0.00002173733333333333</x:v>
      </x:c>
      <x:c r="P2839" s="30" t="n">
        <x:f>O2839*J2839*(1+M2839)</x:f>
        <x:v>0.000023911066666666665</x:v>
      </x:c>
      <x:c r="Q2839" s="30" t="n">
        <x:f>P2839*N2839</x:f>
        <x:v>0.0017215968</x:v>
      </x:c>
      <x:c r="R2839" s="19" t="str">
        <x:v>独立判定</x:v>
      </x:c>
    </x:row>
    <x:row r="2840" ht="19" customHeight="1">
      <x:c r="A2840" s="19" t="str">
        <x:v>D02836</x:v>
      </x:c>
      <x:c r="B2840" s="19" t="n">
        <x:v>6</x:v>
      </x:c>
      <x:c r="C2840" s="19" t="n">
        <x:v>1</x:v>
      </x:c>
      <x:c r="D2840" s="19" t="str">
        <x:v>C06-M006</x:v>
      </x:c>
      <x:c r="E2840" s="19" t="str">
        <x:v>血尘游猎手</x:v>
      </x:c>
      <x:c r="F2840" s="19" t="str">
        <x:v>普通</x:v>
      </x:c>
      <x:c r="G2840" s="19" t="str">
        <x:v>材料独立候选</x:v>
      </x:c>
      <x:c r="H2840" s="19" t="str">
        <x:v>野兽骨片</x:v>
      </x:c>
      <x:c r="I2840" s="22" t="n">
        <x:v>180</x:v>
      </x:c>
      <x:c r="J2840" s="22" t="n">
        <x:v>5</x:v>
      </x:c>
      <x:c r="K2840" s="19" t="n">
        <x:v>1</x:v>
      </x:c>
      <x:c r="L2840" s="24" t="n">
        <x:v>32.605999999999995</x:v>
      </x:c>
      <x:c r="M2840" s="26" t="n">
        <x:v>0.1</x:v>
      </x:c>
      <x:c r="N2840" s="24" t="n">
        <x:v>72</x:v>
      </x:c>
      <x:c r="O2840" s="28" t="n">
        <x:f>MIN(1,L2840/I2840)</x:f>
        <x:v>0.1811444444444444</x:v>
      </x:c>
      <x:c r="P2840" s="30" t="n">
        <x:f>O2840*J2840*(1+M2840)</x:f>
        <x:v>0.9962944444444444</x:v>
      </x:c>
      <x:c r="Q2840" s="30" t="n">
        <x:f>P2840*N2840</x:f>
        <x:v>71.7332</x:v>
      </x:c>
      <x:c r="R2840" s="19" t="str">
        <x:v>独立判定</x:v>
      </x:c>
    </x:row>
    <x:row r="2841" ht="19" customHeight="1">
      <x:c r="A2841" s="19" t="str">
        <x:v>D02837</x:v>
      </x:c>
      <x:c r="B2841" s="19" t="n">
        <x:v>6</x:v>
      </x:c>
      <x:c r="C2841" s="19" t="n">
        <x:v>1</x:v>
      </x:c>
      <x:c r="D2841" s="19" t="str">
        <x:v>C06-M006</x:v>
      </x:c>
      <x:c r="E2841" s="19" t="str">
        <x:v>血尘游猎手</x:v>
      </x:c>
      <x:c r="F2841" s="19" t="str">
        <x:v>普通</x:v>
      </x:c>
      <x:c r="G2841" s="19" t="str">
        <x:v>材料独立候选</x:v>
      </x:c>
      <x:c r="H2841" s="19" t="str">
        <x:v>技能残页</x:v>
      </x:c>
      <x:c r="I2841" s="22" t="n">
        <x:v>1000</x:v>
      </x:c>
      <x:c r="J2841" s="22" t="n">
        <x:v>1</x:v>
      </x:c>
      <x:c r="K2841" s="19" t="n">
        <x:v>1</x:v>
      </x:c>
      <x:c r="L2841" s="24" t="n">
        <x:v>32.605999999999995</x:v>
      </x:c>
      <x:c r="M2841" s="26" t="n">
        <x:v>0.1</x:v>
      </x:c>
      <x:c r="N2841" s="24" t="n">
        <x:v>72</x:v>
      </x:c>
      <x:c r="O2841" s="28" t="n">
        <x:f>MIN(1,L2841/I2841)</x:f>
        <x:v>0.032605999999999996</x:v>
      </x:c>
      <x:c r="P2841" s="30" t="n">
        <x:f>O2841*J2841*(1+M2841)</x:f>
        <x:v>0.0358666</x:v>
      </x:c>
      <x:c r="Q2841" s="30" t="n">
        <x:f>P2841*N2841</x:f>
        <x:v>2.5823951999999997</x:v>
      </x:c>
      <x:c r="R2841" s="19" t="str">
        <x:v>独立判定</x:v>
      </x:c>
    </x:row>
    <x:row r="2842" ht="19" customHeight="1">
      <x:c r="A2842" s="19" t="str">
        <x:v>D02838</x:v>
      </x:c>
      <x:c r="B2842" s="19" t="n">
        <x:v>6</x:v>
      </x:c>
      <x:c r="C2842" s="19" t="n">
        <x:v>1</x:v>
      </x:c>
      <x:c r="D2842" s="19" t="str">
        <x:v>C06-M006</x:v>
      </x:c>
      <x:c r="E2842" s="19" t="str">
        <x:v>血尘游猎手</x:v>
      </x:c>
      <x:c r="F2842" s="19" t="str">
        <x:v>普通</x:v>
      </x:c>
      <x:c r="G2842" s="19" t="str">
        <x:v>材料独立候选</x:v>
      </x:c>
      <x:c r="H2842" s="19" t="str">
        <x:v>小卢恩</x:v>
      </x:c>
      <x:c r="I2842" s="22" t="n">
        <x:v>10000</x:v>
      </x:c>
      <x:c r="J2842" s="22" t="n">
        <x:v>1</x:v>
      </x:c>
      <x:c r="K2842" s="19" t="n">
        <x:v>1</x:v>
      </x:c>
      <x:c r="L2842" s="24" t="n">
        <x:v>32.605999999999995</x:v>
      </x:c>
      <x:c r="M2842" s="26" t="n">
        <x:v>0.1</x:v>
      </x:c>
      <x:c r="N2842" s="24" t="n">
        <x:v>72</x:v>
      </x:c>
      <x:c r="O2842" s="28" t="n">
        <x:f>MIN(1,L2842/I2842)</x:f>
        <x:v>0.0032605999999999993</x:v>
      </x:c>
      <x:c r="P2842" s="30" t="n">
        <x:f>O2842*J2842*(1+M2842)</x:f>
        <x:v>0.0035866599999999998</x:v>
      </x:c>
      <x:c r="Q2842" s="30" t="n">
        <x:f>P2842*N2842</x:f>
        <x:v>0.25823952</x:v>
      </x:c>
      <x:c r="R2842" s="19" t="str">
        <x:v>独立判定</x:v>
      </x:c>
    </x:row>
    <x:row r="2843" ht="19" customHeight="1">
      <x:c r="A2843" s="19" t="str">
        <x:v>D02839</x:v>
      </x:c>
      <x:c r="B2843" s="19" t="n">
        <x:v>6</x:v>
      </x:c>
      <x:c r="C2843" s="19" t="n">
        <x:v>1</x:v>
      </x:c>
      <x:c r="D2843" s="19" t="str">
        <x:v>C06-M006</x:v>
      </x:c>
      <x:c r="E2843" s="19" t="str">
        <x:v>血尘游猎手</x:v>
      </x:c>
      <x:c r="F2843" s="19" t="str">
        <x:v>普通</x:v>
      </x:c>
      <x:c r="G2843" s="19" t="str">
        <x:v>六神器公共池</x:v>
      </x:c>
      <x:c r="H2843" s="19" t="str">
        <x:v>POOL006</x:v>
      </x:c>
      <x:c r="I2843" s="22" t="n">
        <x:v>20000000</x:v>
      </x:c>
      <x:c r="J2843" s="22" t="n">
        <x:v>1</x:v>
      </x:c>
      <x:c r="K2843" s="19" t="n">
        <x:v>6</x:v>
      </x:c>
      <x:c r="L2843" s="24" t="n">
        <x:v>32.605999999999995</x:v>
      </x:c>
      <x:c r="M2843" s="26" t="n">
        <x:v>0.1</x:v>
      </x:c>
      <x:c r="N2843" s="24" t="n">
        <x:v>72</x:v>
      </x:c>
      <x:c r="O2843" s="28" t="n">
        <x:f>MIN(1,L2843/I2843)</x:f>
        <x:v>0.0000016302999999999997</x:v>
      </x:c>
      <x:c r="P2843" s="30" t="n">
        <x:f>O2843*J2843*(1+M2843)</x:f>
        <x:v>0.0000017933299999999998</x:v>
      </x:c>
      <x:c r="Q2843" s="30" t="n">
        <x:f>P2843*N2843</x:f>
        <x:v>0.00012911976</x:v>
      </x:c>
      <x:c r="R2843" s="19" t="str">
        <x:v>六选一；非6个独立爆率</x:v>
      </x:c>
    </x:row>
    <x:row r="2844" ht="19" customHeight="1">
      <x:c r="A2844" s="19" t="str">
        <x:v>D02840</x:v>
      </x:c>
      <x:c r="B2844" s="19" t="n">
        <x:v>6</x:v>
      </x:c>
      <x:c r="C2844" s="19" t="n">
        <x:v>1</x:v>
      </x:c>
      <x:c r="D2844" s="19" t="str">
        <x:v>C06-M007</x:v>
      </x:c>
      <x:c r="E2844" s="19" t="str">
        <x:v>赤棘狂战士</x:v>
      </x:c>
      <x:c r="F2844" s="19" t="str">
        <x:v>稀有</x:v>
      </x:c>
      <x:c r="G2844" s="19" t="str">
        <x:v>自身专属</x:v>
      </x:c>
      <x:c r="H2844" s="19" t="str">
        <x:v>赤棘重戒</x:v>
      </x:c>
      <x:c r="I2844" s="22" t="n">
        <x:v>600</x:v>
      </x:c>
      <x:c r="J2844" s="22" t="n">
        <x:v>1</x:v>
      </x:c>
      <x:c r="K2844" s="19" t="n">
        <x:v>1</x:v>
      </x:c>
      <x:c r="L2844" s="24" t="n">
        <x:v>32.605999999999995</x:v>
      </x:c>
      <x:c r="M2844" s="26" t="n">
        <x:v>0.1</x:v>
      </x:c>
      <x:c r="N2844" s="24" t="n">
        <x:v>12</x:v>
      </x:c>
      <x:c r="O2844" s="28" t="n">
        <x:f>MIN(1,L2844/I2844)</x:f>
        <x:v>0.05434333333333333</x:v>
      </x:c>
      <x:c r="P2844" s="30" t="n">
        <x:f>O2844*J2844*(1+M2844)</x:f>
        <x:v>0.059777666666666666</x:v>
      </x:c>
      <x:c r="Q2844" s="30" t="n">
        <x:f>P2844*N2844</x:f>
        <x:v>0.717332</x:v>
      </x:c>
      <x:c r="R2844" s="19" t="str">
        <x:v>独立判定</x:v>
      </x:c>
    </x:row>
    <x:row r="2845" ht="19" customHeight="1">
      <x:c r="A2845" s="19" t="str">
        <x:v>D02841</x:v>
      </x:c>
      <x:c r="B2845" s="19" t="n">
        <x:v>6</x:v>
      </x:c>
      <x:c r="C2845" s="19" t="n">
        <x:v>1</x:v>
      </x:c>
      <x:c r="D2845" s="19" t="str">
        <x:v>C06-M007</x:v>
      </x:c>
      <x:c r="E2845" s="19" t="str">
        <x:v>赤棘狂战士</x:v>
      </x:c>
      <x:c r="F2845" s="19" t="str">
        <x:v>稀有</x:v>
      </x:c>
      <x:c r="G2845" s="19" t="str">
        <x:v>材料独立候选</x:v>
      </x:c>
      <x:c r="H2845" s="19" t="str">
        <x:v>猩红矿渣</x:v>
      </x:c>
      <x:c r="I2845" s="22" t="n">
        <x:v>400</x:v>
      </x:c>
      <x:c r="J2845" s="22" t="n">
        <x:v>15</x:v>
      </x:c>
      <x:c r="K2845" s="19" t="n">
        <x:v>1</x:v>
      </x:c>
      <x:c r="L2845" s="24" t="n">
        <x:v>32.605999999999995</x:v>
      </x:c>
      <x:c r="M2845" s="26" t="n">
        <x:v>0.1</x:v>
      </x:c>
      <x:c r="N2845" s="24" t="n">
        <x:v>12</x:v>
      </x:c>
      <x:c r="O2845" s="28" t="n">
        <x:f>MIN(1,L2845/I2845)</x:f>
        <x:v>0.08151499999999999</x:v>
      </x:c>
      <x:c r="P2845" s="30" t="n">
        <x:f>O2845*J2845*(1+M2845)</x:f>
        <x:v>1.3449974999999998</x:v>
      </x:c>
      <x:c r="Q2845" s="30" t="n">
        <x:f>P2845*N2845</x:f>
        <x:v>16.139969999999998</x:v>
      </x:c>
      <x:c r="R2845" s="19" t="str">
        <x:v>独立判定</x:v>
      </x:c>
    </x:row>
    <x:row r="2846" ht="19" customHeight="1">
      <x:c r="A2846" s="19" t="str">
        <x:v>D02842</x:v>
      </x:c>
      <x:c r="B2846" s="19" t="n">
        <x:v>6</x:v>
      </x:c>
      <x:c r="C2846" s="19" t="n">
        <x:v>1</x:v>
      </x:c>
      <x:c r="D2846" s="19" t="str">
        <x:v>C06-M007</x:v>
      </x:c>
      <x:c r="E2846" s="19" t="str">
        <x:v>赤棘狂战士</x:v>
      </x:c>
      <x:c r="F2846" s="19" t="str">
        <x:v>稀有</x:v>
      </x:c>
      <x:c r="G2846" s="19" t="str">
        <x:v>材料独立候选</x:v>
      </x:c>
      <x:c r="H2846" s="19" t="str">
        <x:v>龙火鳞</x:v>
      </x:c>
      <x:c r="I2846" s="22" t="n">
        <x:v>1000</x:v>
      </x:c>
      <x:c r="J2846" s="22" t="n">
        <x:v>1</x:v>
      </x:c>
      <x:c r="K2846" s="19" t="n">
        <x:v>1</x:v>
      </x:c>
      <x:c r="L2846" s="24" t="n">
        <x:v>32.605999999999995</x:v>
      </x:c>
      <x:c r="M2846" s="26" t="n">
        <x:v>0.1</x:v>
      </x:c>
      <x:c r="N2846" s="24" t="n">
        <x:v>12</x:v>
      </x:c>
      <x:c r="O2846" s="28" t="n">
        <x:f>MIN(1,L2846/I2846)</x:f>
        <x:v>0.032605999999999996</x:v>
      </x:c>
      <x:c r="P2846" s="30" t="n">
        <x:f>O2846*J2846*(1+M2846)</x:f>
        <x:v>0.0358666</x:v>
      </x:c>
      <x:c r="Q2846" s="30" t="n">
        <x:f>P2846*N2846</x:f>
        <x:v>0.4303992</x:v>
      </x:c>
      <x:c r="R2846" s="19" t="str">
        <x:v>独立判定</x:v>
      </x:c>
    </x:row>
    <x:row r="2847" ht="19" customHeight="1">
      <x:c r="A2847" s="19" t="str">
        <x:v>D02843</x:v>
      </x:c>
      <x:c r="B2847" s="19" t="n">
        <x:v>6</x:v>
      </x:c>
      <x:c r="C2847" s="19" t="n">
        <x:v>1</x:v>
      </x:c>
      <x:c r="D2847" s="19" t="str">
        <x:v>C06-M007</x:v>
      </x:c>
      <x:c r="E2847" s="19" t="str">
        <x:v>赤棘狂战士</x:v>
      </x:c>
      <x:c r="F2847" s="19" t="str">
        <x:v>稀有</x:v>
      </x:c>
      <x:c r="G2847" s="19" t="str">
        <x:v>材料独立候选</x:v>
      </x:c>
      <x:c r="H2847" s="19" t="str">
        <x:v>净火腺囊</x:v>
      </x:c>
      <x:c r="I2847" s="22" t="n">
        <x:v>200</x:v>
      </x:c>
      <x:c r="J2847" s="22" t="n">
        <x:v>1</x:v>
      </x:c>
      <x:c r="K2847" s="19" t="n">
        <x:v>1</x:v>
      </x:c>
      <x:c r="L2847" s="24" t="n">
        <x:v>32.605999999999995</x:v>
      </x:c>
      <x:c r="M2847" s="26" t="n">
        <x:v>0.1</x:v>
      </x:c>
      <x:c r="N2847" s="24" t="n">
        <x:v>12</x:v>
      </x:c>
      <x:c r="O2847" s="28" t="n">
        <x:f>MIN(1,L2847/I2847)</x:f>
        <x:v>0.16302999999999998</x:v>
      </x:c>
      <x:c r="P2847" s="30" t="n">
        <x:f>O2847*J2847*(1+M2847)</x:f>
        <x:v>0.179333</x:v>
      </x:c>
      <x:c r="Q2847" s="30" t="n">
        <x:f>P2847*N2847</x:f>
        <x:v>2.151996</x:v>
      </x:c>
      <x:c r="R2847" s="19" t="str">
        <x:v>独立判定</x:v>
      </x:c>
    </x:row>
    <x:row r="2848" ht="19" customHeight="1">
      <x:c r="A2848" s="19" t="str">
        <x:v>D02844</x:v>
      </x:c>
      <x:c r="B2848" s="19" t="n">
        <x:v>6</x:v>
      </x:c>
      <x:c r="C2848" s="19" t="n">
        <x:v>1</x:v>
      </x:c>
      <x:c r="D2848" s="19" t="str">
        <x:v>C06-M007</x:v>
      </x:c>
      <x:c r="E2848" s="19" t="str">
        <x:v>赤棘狂战士</x:v>
      </x:c>
      <x:c r="F2848" s="19" t="str">
        <x:v>稀有</x:v>
      </x:c>
      <x:c r="G2848" s="19" t="str">
        <x:v>材料独立候选</x:v>
      </x:c>
      <x:c r="H2848" s="19" t="str">
        <x:v>熔原罪火残章</x:v>
      </x:c>
      <x:c r="I2848" s="22" t="n">
        <x:v>1000000</x:v>
      </x:c>
      <x:c r="J2848" s="22" t="n">
        <x:v>1</x:v>
      </x:c>
      <x:c r="K2848" s="19" t="n">
        <x:v>1</x:v>
      </x:c>
      <x:c r="L2848" s="24" t="n">
        <x:v>32.605999999999995</x:v>
      </x:c>
      <x:c r="M2848" s="26" t="n">
        <x:v>0.1</x:v>
      </x:c>
      <x:c r="N2848" s="24" t="n">
        <x:v>12</x:v>
      </x:c>
      <x:c r="O2848" s="28" t="n">
        <x:f>MIN(1,L2848/I2848)</x:f>
        <x:v>0.00003260599999999999</x:v>
      </x:c>
      <x:c r="P2848" s="30" t="n">
        <x:f>O2848*J2848*(1+M2848)</x:f>
        <x:v>0.00003586659999999999</x:v>
      </x:c>
      <x:c r="Q2848" s="30" t="n">
        <x:f>P2848*N2848</x:f>
        <x:v>0.0004303991999999999</x:v>
      </x:c>
      <x:c r="R2848" s="19" t="str">
        <x:v>独立判定</x:v>
      </x:c>
    </x:row>
    <x:row r="2849" ht="19" customHeight="1">
      <x:c r="A2849" s="19" t="str">
        <x:v>D02845</x:v>
      </x:c>
      <x:c r="B2849" s="19" t="n">
        <x:v>6</x:v>
      </x:c>
      <x:c r="C2849" s="19" t="n">
        <x:v>1</x:v>
      </x:c>
      <x:c r="D2849" s="19" t="str">
        <x:v>C06-M007</x:v>
      </x:c>
      <x:c r="E2849" s="19" t="str">
        <x:v>赤棘狂战士</x:v>
      </x:c>
      <x:c r="F2849" s="19" t="str">
        <x:v>稀有</x:v>
      </x:c>
      <x:c r="G2849" s="19" t="str">
        <x:v>材料独立候选</x:v>
      </x:c>
      <x:c r="H2849" s="19" t="str">
        <x:v>黄金树芽</x:v>
      </x:c>
      <x:c r="I2849" s="22" t="n">
        <x:v>1000</x:v>
      </x:c>
      <x:c r="J2849" s="22" t="n">
        <x:v>1</x:v>
      </x:c>
      <x:c r="K2849" s="19" t="n">
        <x:v>1</x:v>
      </x:c>
      <x:c r="L2849" s="24" t="n">
        <x:v>32.605999999999995</x:v>
      </x:c>
      <x:c r="M2849" s="26" t="n">
        <x:v>0.1</x:v>
      </x:c>
      <x:c r="N2849" s="24" t="n">
        <x:v>12</x:v>
      </x:c>
      <x:c r="O2849" s="28" t="n">
        <x:f>MIN(1,L2849/I2849)</x:f>
        <x:v>0.032605999999999996</x:v>
      </x:c>
      <x:c r="P2849" s="30" t="n">
        <x:f>O2849*J2849*(1+M2849)</x:f>
        <x:v>0.0358666</x:v>
      </x:c>
      <x:c r="Q2849" s="30" t="n">
        <x:f>P2849*N2849</x:f>
        <x:v>0.4303992</x:v>
      </x:c>
      <x:c r="R2849" s="19" t="str">
        <x:v>独立判定</x:v>
      </x:c>
    </x:row>
    <x:row r="2850" ht="19" customHeight="1">
      <x:c r="A2850" s="19" t="str">
        <x:v>D02846</x:v>
      </x:c>
      <x:c r="B2850" s="19" t="n">
        <x:v>6</x:v>
      </x:c>
      <x:c r="C2850" s="19" t="n">
        <x:v>1</x:v>
      </x:c>
      <x:c r="D2850" s="19" t="str">
        <x:v>C06-M007</x:v>
      </x:c>
      <x:c r="E2850" s="19" t="str">
        <x:v>赤棘狂战士</x:v>
      </x:c>
      <x:c r="F2850" s="19" t="str">
        <x:v>稀有</x:v>
      </x:c>
      <x:c r="G2850" s="19" t="str">
        <x:v>材料独立候选</x:v>
      </x:c>
      <x:c r="H2850" s="19" t="str">
        <x:v>野兽骨片</x:v>
      </x:c>
      <x:c r="I2850" s="22" t="n">
        <x:v>100</x:v>
      </x:c>
      <x:c r="J2850" s="22" t="n">
        <x:v>5</x:v>
      </x:c>
      <x:c r="K2850" s="19" t="n">
        <x:v>1</x:v>
      </x:c>
      <x:c r="L2850" s="24" t="n">
        <x:v>32.605999999999995</x:v>
      </x:c>
      <x:c r="M2850" s="26" t="n">
        <x:v>0.1</x:v>
      </x:c>
      <x:c r="N2850" s="24" t="n">
        <x:v>12</x:v>
      </x:c>
      <x:c r="O2850" s="28" t="n">
        <x:f>MIN(1,L2850/I2850)</x:f>
        <x:v>0.32605999999999996</x:v>
      </x:c>
      <x:c r="P2850" s="30" t="n">
        <x:f>O2850*J2850*(1+M2850)</x:f>
        <x:v>1.79333</x:v>
      </x:c>
      <x:c r="Q2850" s="30" t="n">
        <x:f>P2850*N2850</x:f>
        <x:v>21.51996</x:v>
      </x:c>
      <x:c r="R2850" s="19" t="str">
        <x:v>独立判定</x:v>
      </x:c>
    </x:row>
    <x:row r="2851" ht="19" customHeight="1">
      <x:c r="A2851" s="19" t="str">
        <x:v>D02847</x:v>
      </x:c>
      <x:c r="B2851" s="19" t="n">
        <x:v>6</x:v>
      </x:c>
      <x:c r="C2851" s="19" t="n">
        <x:v>1</x:v>
      </x:c>
      <x:c r="D2851" s="19" t="str">
        <x:v>C06-M007</x:v>
      </x:c>
      <x:c r="E2851" s="19" t="str">
        <x:v>赤棘狂战士</x:v>
      </x:c>
      <x:c r="F2851" s="19" t="str">
        <x:v>稀有</x:v>
      </x:c>
      <x:c r="G2851" s="19" t="str">
        <x:v>材料独立候选</x:v>
      </x:c>
      <x:c r="H2851" s="19" t="str">
        <x:v>技能残页</x:v>
      </x:c>
      <x:c r="I2851" s="22" t="n">
        <x:v>600</x:v>
      </x:c>
      <x:c r="J2851" s="22" t="n">
        <x:v>1</x:v>
      </x:c>
      <x:c r="K2851" s="19" t="n">
        <x:v>1</x:v>
      </x:c>
      <x:c r="L2851" s="24" t="n">
        <x:v>32.605999999999995</x:v>
      </x:c>
      <x:c r="M2851" s="26" t="n">
        <x:v>0.1</x:v>
      </x:c>
      <x:c r="N2851" s="24" t="n">
        <x:v>12</x:v>
      </x:c>
      <x:c r="O2851" s="28" t="n">
        <x:f>MIN(1,L2851/I2851)</x:f>
        <x:v>0.05434333333333333</x:v>
      </x:c>
      <x:c r="P2851" s="30" t="n">
        <x:f>O2851*J2851*(1+M2851)</x:f>
        <x:v>0.059777666666666666</x:v>
      </x:c>
      <x:c r="Q2851" s="30" t="n">
        <x:f>P2851*N2851</x:f>
        <x:v>0.717332</x:v>
      </x:c>
      <x:c r="R2851" s="19" t="str">
        <x:v>独立判定</x:v>
      </x:c>
    </x:row>
    <x:row r="2852" ht="19" customHeight="1">
      <x:c r="A2852" s="19" t="str">
        <x:v>D02848</x:v>
      </x:c>
      <x:c r="B2852" s="19" t="n">
        <x:v>6</x:v>
      </x:c>
      <x:c r="C2852" s="19" t="n">
        <x:v>1</x:v>
      </x:c>
      <x:c r="D2852" s="19" t="str">
        <x:v>C06-M007</x:v>
      </x:c>
      <x:c r="E2852" s="19" t="str">
        <x:v>赤棘狂战士</x:v>
      </x:c>
      <x:c r="F2852" s="19" t="str">
        <x:v>稀有</x:v>
      </x:c>
      <x:c r="G2852" s="19" t="str">
        <x:v>材料独立候选</x:v>
      </x:c>
      <x:c r="H2852" s="19" t="str">
        <x:v>小卢恩</x:v>
      </x:c>
      <x:c r="I2852" s="22" t="n">
        <x:v>6000</x:v>
      </x:c>
      <x:c r="J2852" s="22" t="n">
        <x:v>1</x:v>
      </x:c>
      <x:c r="K2852" s="19" t="n">
        <x:v>1</x:v>
      </x:c>
      <x:c r="L2852" s="24" t="n">
        <x:v>32.605999999999995</x:v>
      </x:c>
      <x:c r="M2852" s="26" t="n">
        <x:v>0.1</x:v>
      </x:c>
      <x:c r="N2852" s="24" t="n">
        <x:v>12</x:v>
      </x:c>
      <x:c r="O2852" s="28" t="n">
        <x:f>MIN(1,L2852/I2852)</x:f>
        <x:v>0.005434333333333333</x:v>
      </x:c>
      <x:c r="P2852" s="30" t="n">
        <x:f>O2852*J2852*(1+M2852)</x:f>
        <x:v>0.005977766666666666</x:v>
      </x:c>
      <x:c r="Q2852" s="30" t="n">
        <x:f>P2852*N2852</x:f>
        <x:v>0.0717332</x:v>
      </x:c>
      <x:c r="R2852" s="19" t="str">
        <x:v>独立判定</x:v>
      </x:c>
    </x:row>
    <x:row r="2853" ht="19" customHeight="1">
      <x:c r="A2853" s="19" t="str">
        <x:v>D02849</x:v>
      </x:c>
      <x:c r="B2853" s="19" t="n">
        <x:v>6</x:v>
      </x:c>
      <x:c r="C2853" s="19" t="n">
        <x:v>1</x:v>
      </x:c>
      <x:c r="D2853" s="19" t="str">
        <x:v>C06-M007</x:v>
      </x:c>
      <x:c r="E2853" s="19" t="str">
        <x:v>赤棘狂战士</x:v>
      </x:c>
      <x:c r="F2853" s="19" t="str">
        <x:v>稀有</x:v>
      </x:c>
      <x:c r="G2853" s="19" t="str">
        <x:v>六神器公共池</x:v>
      </x:c>
      <x:c r="H2853" s="19" t="str">
        <x:v>POOL006</x:v>
      </x:c>
      <x:c r="I2853" s="22" t="n">
        <x:v>5000000</x:v>
      </x:c>
      <x:c r="J2853" s="22" t="n">
        <x:v>1</x:v>
      </x:c>
      <x:c r="K2853" s="19" t="n">
        <x:v>6</x:v>
      </x:c>
      <x:c r="L2853" s="24" t="n">
        <x:v>32.605999999999995</x:v>
      </x:c>
      <x:c r="M2853" s="26" t="n">
        <x:v>0.1</x:v>
      </x:c>
      <x:c r="N2853" s="24" t="n">
        <x:v>12</x:v>
      </x:c>
      <x:c r="O2853" s="28" t="n">
        <x:f>MIN(1,L2853/I2853)</x:f>
        <x:v>0.000006521199999999999</x:v>
      </x:c>
      <x:c r="P2853" s="30" t="n">
        <x:f>O2853*J2853*(1+M2853)</x:f>
        <x:v>0.000007173319999999999</x:v>
      </x:c>
      <x:c r="Q2853" s="30" t="n">
        <x:f>P2853*N2853</x:f>
        <x:v>0.00008607983999999999</x:v>
      </x:c>
      <x:c r="R2853" s="19" t="str">
        <x:v>六选一；非6个独立爆率</x:v>
      </x:c>
    </x:row>
    <x:row r="2854" ht="19" customHeight="1">
      <x:c r="A2854" s="19" t="str">
        <x:v>D02850</x:v>
      </x:c>
      <x:c r="B2854" s="19" t="n">
        <x:v>6</x:v>
      </x:c>
      <x:c r="C2854" s="19" t="n">
        <x:v>1</x:v>
      </x:c>
      <x:c r="D2854" s="19" t="str">
        <x:v>C06-M008</x:v>
      </x:c>
      <x:c r="E2854" s="19" t="str">
        <x:v>焦脉咒炎师</x:v>
      </x:c>
      <x:c r="F2854" s="19" t="str">
        <x:v>稀有</x:v>
      </x:c>
      <x:c r="G2854" s="19" t="str">
        <x:v>自身专属</x:v>
      </x:c>
      <x:c r="H2854" s="19" t="str">
        <x:v>焦脉祭链</x:v>
      </x:c>
      <x:c r="I2854" s="22" t="n">
        <x:v>600</x:v>
      </x:c>
      <x:c r="J2854" s="22" t="n">
        <x:v>1</x:v>
      </x:c>
      <x:c r="K2854" s="19" t="n">
        <x:v>1</x:v>
      </x:c>
      <x:c r="L2854" s="24" t="n">
        <x:v>32.605999999999995</x:v>
      </x:c>
      <x:c r="M2854" s="26" t="n">
        <x:v>0.1</x:v>
      </x:c>
      <x:c r="N2854" s="24" t="n">
        <x:v>12</x:v>
      </x:c>
      <x:c r="O2854" s="28" t="n">
        <x:f>MIN(1,L2854/I2854)</x:f>
        <x:v>0.05434333333333333</x:v>
      </x:c>
      <x:c r="P2854" s="30" t="n">
        <x:f>O2854*J2854*(1+M2854)</x:f>
        <x:v>0.059777666666666666</x:v>
      </x:c>
      <x:c r="Q2854" s="30" t="n">
        <x:f>P2854*N2854</x:f>
        <x:v>0.717332</x:v>
      </x:c>
      <x:c r="R2854" s="19" t="str">
        <x:v>独立判定</x:v>
      </x:c>
    </x:row>
    <x:row r="2855" ht="19" customHeight="1">
      <x:c r="A2855" s="19" t="str">
        <x:v>D02851</x:v>
      </x:c>
      <x:c r="B2855" s="19" t="n">
        <x:v>6</x:v>
      </x:c>
      <x:c r="C2855" s="19" t="n">
        <x:v>1</x:v>
      </x:c>
      <x:c r="D2855" s="19" t="str">
        <x:v>C06-M008</x:v>
      </x:c>
      <x:c r="E2855" s="19" t="str">
        <x:v>焦脉咒炎师</x:v>
      </x:c>
      <x:c r="F2855" s="19" t="str">
        <x:v>稀有</x:v>
      </x:c>
      <x:c r="G2855" s="19" t="str">
        <x:v>材料独立候选</x:v>
      </x:c>
      <x:c r="H2855" s="19" t="str">
        <x:v>猩红矿渣</x:v>
      </x:c>
      <x:c r="I2855" s="22" t="n">
        <x:v>400</x:v>
      </x:c>
      <x:c r="J2855" s="22" t="n">
        <x:v>15</x:v>
      </x:c>
      <x:c r="K2855" s="19" t="n">
        <x:v>1</x:v>
      </x:c>
      <x:c r="L2855" s="24" t="n">
        <x:v>32.605999999999995</x:v>
      </x:c>
      <x:c r="M2855" s="26" t="n">
        <x:v>0.1</x:v>
      </x:c>
      <x:c r="N2855" s="24" t="n">
        <x:v>12</x:v>
      </x:c>
      <x:c r="O2855" s="28" t="n">
        <x:f>MIN(1,L2855/I2855)</x:f>
        <x:v>0.08151499999999999</x:v>
      </x:c>
      <x:c r="P2855" s="30" t="n">
        <x:f>O2855*J2855*(1+M2855)</x:f>
        <x:v>1.3449974999999998</x:v>
      </x:c>
      <x:c r="Q2855" s="30" t="n">
        <x:f>P2855*N2855</x:f>
        <x:v>16.139969999999998</x:v>
      </x:c>
      <x:c r="R2855" s="19" t="str">
        <x:v>独立判定</x:v>
      </x:c>
    </x:row>
    <x:row r="2856" ht="19" customHeight="1">
      <x:c r="A2856" s="19" t="str">
        <x:v>D02852</x:v>
      </x:c>
      <x:c r="B2856" s="19" t="n">
        <x:v>6</x:v>
      </x:c>
      <x:c r="C2856" s="19" t="n">
        <x:v>1</x:v>
      </x:c>
      <x:c r="D2856" s="19" t="str">
        <x:v>C06-M008</x:v>
      </x:c>
      <x:c r="E2856" s="19" t="str">
        <x:v>焦脉咒炎师</x:v>
      </x:c>
      <x:c r="F2856" s="19" t="str">
        <x:v>稀有</x:v>
      </x:c>
      <x:c r="G2856" s="19" t="str">
        <x:v>材料独立候选</x:v>
      </x:c>
      <x:c r="H2856" s="19" t="str">
        <x:v>龙火鳞</x:v>
      </x:c>
      <x:c r="I2856" s="22" t="n">
        <x:v>1000</x:v>
      </x:c>
      <x:c r="J2856" s="22" t="n">
        <x:v>1</x:v>
      </x:c>
      <x:c r="K2856" s="19" t="n">
        <x:v>1</x:v>
      </x:c>
      <x:c r="L2856" s="24" t="n">
        <x:v>32.605999999999995</x:v>
      </x:c>
      <x:c r="M2856" s="26" t="n">
        <x:v>0.1</x:v>
      </x:c>
      <x:c r="N2856" s="24" t="n">
        <x:v>12</x:v>
      </x:c>
      <x:c r="O2856" s="28" t="n">
        <x:f>MIN(1,L2856/I2856)</x:f>
        <x:v>0.032605999999999996</x:v>
      </x:c>
      <x:c r="P2856" s="30" t="n">
        <x:f>O2856*J2856*(1+M2856)</x:f>
        <x:v>0.0358666</x:v>
      </x:c>
      <x:c r="Q2856" s="30" t="n">
        <x:f>P2856*N2856</x:f>
        <x:v>0.4303992</x:v>
      </x:c>
      <x:c r="R2856" s="19" t="str">
        <x:v>独立判定</x:v>
      </x:c>
    </x:row>
    <x:row r="2857" ht="19" customHeight="1">
      <x:c r="A2857" s="19" t="str">
        <x:v>D02853</x:v>
      </x:c>
      <x:c r="B2857" s="19" t="n">
        <x:v>6</x:v>
      </x:c>
      <x:c r="C2857" s="19" t="n">
        <x:v>1</x:v>
      </x:c>
      <x:c r="D2857" s="19" t="str">
        <x:v>C06-M008</x:v>
      </x:c>
      <x:c r="E2857" s="19" t="str">
        <x:v>焦脉咒炎师</x:v>
      </x:c>
      <x:c r="F2857" s="19" t="str">
        <x:v>稀有</x:v>
      </x:c>
      <x:c r="G2857" s="19" t="str">
        <x:v>材料独立候选</x:v>
      </x:c>
      <x:c r="H2857" s="19" t="str">
        <x:v>净火腺囊</x:v>
      </x:c>
      <x:c r="I2857" s="22" t="n">
        <x:v>200</x:v>
      </x:c>
      <x:c r="J2857" s="22" t="n">
        <x:v>1</x:v>
      </x:c>
      <x:c r="K2857" s="19" t="n">
        <x:v>1</x:v>
      </x:c>
      <x:c r="L2857" s="24" t="n">
        <x:v>32.605999999999995</x:v>
      </x:c>
      <x:c r="M2857" s="26" t="n">
        <x:v>0.1</x:v>
      </x:c>
      <x:c r="N2857" s="24" t="n">
        <x:v>12</x:v>
      </x:c>
      <x:c r="O2857" s="28" t="n">
        <x:f>MIN(1,L2857/I2857)</x:f>
        <x:v>0.16302999999999998</x:v>
      </x:c>
      <x:c r="P2857" s="30" t="n">
        <x:f>O2857*J2857*(1+M2857)</x:f>
        <x:v>0.179333</x:v>
      </x:c>
      <x:c r="Q2857" s="30" t="n">
        <x:f>P2857*N2857</x:f>
        <x:v>2.151996</x:v>
      </x:c>
      <x:c r="R2857" s="19" t="str">
        <x:v>独立判定</x:v>
      </x:c>
    </x:row>
    <x:row r="2858" ht="19" customHeight="1">
      <x:c r="A2858" s="19" t="str">
        <x:v>D02854</x:v>
      </x:c>
      <x:c r="B2858" s="19" t="n">
        <x:v>6</x:v>
      </x:c>
      <x:c r="C2858" s="19" t="n">
        <x:v>1</x:v>
      </x:c>
      <x:c r="D2858" s="19" t="str">
        <x:v>C06-M008</x:v>
      </x:c>
      <x:c r="E2858" s="19" t="str">
        <x:v>焦脉咒炎师</x:v>
      </x:c>
      <x:c r="F2858" s="19" t="str">
        <x:v>稀有</x:v>
      </x:c>
      <x:c r="G2858" s="19" t="str">
        <x:v>材料独立候选</x:v>
      </x:c>
      <x:c r="H2858" s="19" t="str">
        <x:v>熔原罪火残章</x:v>
      </x:c>
      <x:c r="I2858" s="22" t="n">
        <x:v>1000000</x:v>
      </x:c>
      <x:c r="J2858" s="22" t="n">
        <x:v>1</x:v>
      </x:c>
      <x:c r="K2858" s="19" t="n">
        <x:v>1</x:v>
      </x:c>
      <x:c r="L2858" s="24" t="n">
        <x:v>32.605999999999995</x:v>
      </x:c>
      <x:c r="M2858" s="26" t="n">
        <x:v>0.1</x:v>
      </x:c>
      <x:c r="N2858" s="24" t="n">
        <x:v>12</x:v>
      </x:c>
      <x:c r="O2858" s="28" t="n">
        <x:f>MIN(1,L2858/I2858)</x:f>
        <x:v>0.00003260599999999999</x:v>
      </x:c>
      <x:c r="P2858" s="30" t="n">
        <x:f>O2858*J2858*(1+M2858)</x:f>
        <x:v>0.00003586659999999999</x:v>
      </x:c>
      <x:c r="Q2858" s="30" t="n">
        <x:f>P2858*N2858</x:f>
        <x:v>0.0004303991999999999</x:v>
      </x:c>
      <x:c r="R2858" s="19" t="str">
        <x:v>独立判定</x:v>
      </x:c>
    </x:row>
    <x:row r="2859" ht="19" customHeight="1">
      <x:c r="A2859" s="19" t="str">
        <x:v>D02855</x:v>
      </x:c>
      <x:c r="B2859" s="19" t="n">
        <x:v>6</x:v>
      </x:c>
      <x:c r="C2859" s="19" t="n">
        <x:v>1</x:v>
      </x:c>
      <x:c r="D2859" s="19" t="str">
        <x:v>C06-M008</x:v>
      </x:c>
      <x:c r="E2859" s="19" t="str">
        <x:v>焦脉咒炎师</x:v>
      </x:c>
      <x:c r="F2859" s="19" t="str">
        <x:v>稀有</x:v>
      </x:c>
      <x:c r="G2859" s="19" t="str">
        <x:v>材料独立候选</x:v>
      </x:c>
      <x:c r="H2859" s="19" t="str">
        <x:v>黄金树芽</x:v>
      </x:c>
      <x:c r="I2859" s="22" t="n">
        <x:v>1000</x:v>
      </x:c>
      <x:c r="J2859" s="22" t="n">
        <x:v>1</x:v>
      </x:c>
      <x:c r="K2859" s="19" t="n">
        <x:v>1</x:v>
      </x:c>
      <x:c r="L2859" s="24" t="n">
        <x:v>32.605999999999995</x:v>
      </x:c>
      <x:c r="M2859" s="26" t="n">
        <x:v>0.1</x:v>
      </x:c>
      <x:c r="N2859" s="24" t="n">
        <x:v>12</x:v>
      </x:c>
      <x:c r="O2859" s="28" t="n">
        <x:f>MIN(1,L2859/I2859)</x:f>
        <x:v>0.032605999999999996</x:v>
      </x:c>
      <x:c r="P2859" s="30" t="n">
        <x:f>O2859*J2859*(1+M2859)</x:f>
        <x:v>0.0358666</x:v>
      </x:c>
      <x:c r="Q2859" s="30" t="n">
        <x:f>P2859*N2859</x:f>
        <x:v>0.4303992</x:v>
      </x:c>
      <x:c r="R2859" s="19" t="str">
        <x:v>独立判定</x:v>
      </x:c>
    </x:row>
    <x:row r="2860" ht="19" customHeight="1">
      <x:c r="A2860" s="19" t="str">
        <x:v>D02856</x:v>
      </x:c>
      <x:c r="B2860" s="19" t="n">
        <x:v>6</x:v>
      </x:c>
      <x:c r="C2860" s="19" t="n">
        <x:v>1</x:v>
      </x:c>
      <x:c r="D2860" s="19" t="str">
        <x:v>C06-M008</x:v>
      </x:c>
      <x:c r="E2860" s="19" t="str">
        <x:v>焦脉咒炎师</x:v>
      </x:c>
      <x:c r="F2860" s="19" t="str">
        <x:v>稀有</x:v>
      </x:c>
      <x:c r="G2860" s="19" t="str">
        <x:v>材料独立候选</x:v>
      </x:c>
      <x:c r="H2860" s="19" t="str">
        <x:v>野兽骨片</x:v>
      </x:c>
      <x:c r="I2860" s="22" t="n">
        <x:v>100</x:v>
      </x:c>
      <x:c r="J2860" s="22" t="n">
        <x:v>5</x:v>
      </x:c>
      <x:c r="K2860" s="19" t="n">
        <x:v>1</x:v>
      </x:c>
      <x:c r="L2860" s="24" t="n">
        <x:v>32.605999999999995</x:v>
      </x:c>
      <x:c r="M2860" s="26" t="n">
        <x:v>0.1</x:v>
      </x:c>
      <x:c r="N2860" s="24" t="n">
        <x:v>12</x:v>
      </x:c>
      <x:c r="O2860" s="28" t="n">
        <x:f>MIN(1,L2860/I2860)</x:f>
        <x:v>0.32605999999999996</x:v>
      </x:c>
      <x:c r="P2860" s="30" t="n">
        <x:f>O2860*J2860*(1+M2860)</x:f>
        <x:v>1.79333</x:v>
      </x:c>
      <x:c r="Q2860" s="30" t="n">
        <x:f>P2860*N2860</x:f>
        <x:v>21.51996</x:v>
      </x:c>
      <x:c r="R2860" s="19" t="str">
        <x:v>独立判定</x:v>
      </x:c>
    </x:row>
    <x:row r="2861" ht="19" customHeight="1">
      <x:c r="A2861" s="19" t="str">
        <x:v>D02857</x:v>
      </x:c>
      <x:c r="B2861" s="19" t="n">
        <x:v>6</x:v>
      </x:c>
      <x:c r="C2861" s="19" t="n">
        <x:v>1</x:v>
      </x:c>
      <x:c r="D2861" s="19" t="str">
        <x:v>C06-M008</x:v>
      </x:c>
      <x:c r="E2861" s="19" t="str">
        <x:v>焦脉咒炎师</x:v>
      </x:c>
      <x:c r="F2861" s="19" t="str">
        <x:v>稀有</x:v>
      </x:c>
      <x:c r="G2861" s="19" t="str">
        <x:v>材料独立候选</x:v>
      </x:c>
      <x:c r="H2861" s="19" t="str">
        <x:v>技能残页</x:v>
      </x:c>
      <x:c r="I2861" s="22" t="n">
        <x:v>600</x:v>
      </x:c>
      <x:c r="J2861" s="22" t="n">
        <x:v>1</x:v>
      </x:c>
      <x:c r="K2861" s="19" t="n">
        <x:v>1</x:v>
      </x:c>
      <x:c r="L2861" s="24" t="n">
        <x:v>32.605999999999995</x:v>
      </x:c>
      <x:c r="M2861" s="26" t="n">
        <x:v>0.1</x:v>
      </x:c>
      <x:c r="N2861" s="24" t="n">
        <x:v>12</x:v>
      </x:c>
      <x:c r="O2861" s="28" t="n">
        <x:f>MIN(1,L2861/I2861)</x:f>
        <x:v>0.05434333333333333</x:v>
      </x:c>
      <x:c r="P2861" s="30" t="n">
        <x:f>O2861*J2861*(1+M2861)</x:f>
        <x:v>0.059777666666666666</x:v>
      </x:c>
      <x:c r="Q2861" s="30" t="n">
        <x:f>P2861*N2861</x:f>
        <x:v>0.717332</x:v>
      </x:c>
      <x:c r="R2861" s="19" t="str">
        <x:v>独立判定</x:v>
      </x:c>
    </x:row>
    <x:row r="2862" ht="19" customHeight="1">
      <x:c r="A2862" s="19" t="str">
        <x:v>D02858</x:v>
      </x:c>
      <x:c r="B2862" s="19" t="n">
        <x:v>6</x:v>
      </x:c>
      <x:c r="C2862" s="19" t="n">
        <x:v>1</x:v>
      </x:c>
      <x:c r="D2862" s="19" t="str">
        <x:v>C06-M008</x:v>
      </x:c>
      <x:c r="E2862" s="19" t="str">
        <x:v>焦脉咒炎师</x:v>
      </x:c>
      <x:c r="F2862" s="19" t="str">
        <x:v>稀有</x:v>
      </x:c>
      <x:c r="G2862" s="19" t="str">
        <x:v>材料独立候选</x:v>
      </x:c>
      <x:c r="H2862" s="19" t="str">
        <x:v>小卢恩</x:v>
      </x:c>
      <x:c r="I2862" s="22" t="n">
        <x:v>6000</x:v>
      </x:c>
      <x:c r="J2862" s="22" t="n">
        <x:v>1</x:v>
      </x:c>
      <x:c r="K2862" s="19" t="n">
        <x:v>1</x:v>
      </x:c>
      <x:c r="L2862" s="24" t="n">
        <x:v>32.605999999999995</x:v>
      </x:c>
      <x:c r="M2862" s="26" t="n">
        <x:v>0.1</x:v>
      </x:c>
      <x:c r="N2862" s="24" t="n">
        <x:v>12</x:v>
      </x:c>
      <x:c r="O2862" s="28" t="n">
        <x:f>MIN(1,L2862/I2862)</x:f>
        <x:v>0.005434333333333333</x:v>
      </x:c>
      <x:c r="P2862" s="30" t="n">
        <x:f>O2862*J2862*(1+M2862)</x:f>
        <x:v>0.005977766666666666</x:v>
      </x:c>
      <x:c r="Q2862" s="30" t="n">
        <x:f>P2862*N2862</x:f>
        <x:v>0.0717332</x:v>
      </x:c>
      <x:c r="R2862" s="19" t="str">
        <x:v>独立判定</x:v>
      </x:c>
    </x:row>
    <x:row r="2863" ht="19" customHeight="1">
      <x:c r="A2863" s="19" t="str">
        <x:v>D02859</x:v>
      </x:c>
      <x:c r="B2863" s="19" t="n">
        <x:v>6</x:v>
      </x:c>
      <x:c r="C2863" s="19" t="n">
        <x:v>1</x:v>
      </x:c>
      <x:c r="D2863" s="19" t="str">
        <x:v>C06-M008</x:v>
      </x:c>
      <x:c r="E2863" s="19" t="str">
        <x:v>焦脉咒炎师</x:v>
      </x:c>
      <x:c r="F2863" s="19" t="str">
        <x:v>稀有</x:v>
      </x:c>
      <x:c r="G2863" s="19" t="str">
        <x:v>六神器公共池</x:v>
      </x:c>
      <x:c r="H2863" s="19" t="str">
        <x:v>POOL006</x:v>
      </x:c>
      <x:c r="I2863" s="22" t="n">
        <x:v>5000000</x:v>
      </x:c>
      <x:c r="J2863" s="22" t="n">
        <x:v>1</x:v>
      </x:c>
      <x:c r="K2863" s="19" t="n">
        <x:v>6</x:v>
      </x:c>
      <x:c r="L2863" s="24" t="n">
        <x:v>32.605999999999995</x:v>
      </x:c>
      <x:c r="M2863" s="26" t="n">
        <x:v>0.1</x:v>
      </x:c>
      <x:c r="N2863" s="24" t="n">
        <x:v>12</x:v>
      </x:c>
      <x:c r="O2863" s="28" t="n">
        <x:f>MIN(1,L2863/I2863)</x:f>
        <x:v>0.000006521199999999999</x:v>
      </x:c>
      <x:c r="P2863" s="30" t="n">
        <x:f>O2863*J2863*(1+M2863)</x:f>
        <x:v>0.000007173319999999999</x:v>
      </x:c>
      <x:c r="Q2863" s="30" t="n">
        <x:f>P2863*N2863</x:f>
        <x:v>0.00008607983999999999</x:v>
      </x:c>
      <x:c r="R2863" s="19" t="str">
        <x:v>六选一；非6个独立爆率</x:v>
      </x:c>
    </x:row>
    <x:row r="2864" ht="19" customHeight="1">
      <x:c r="A2864" s="19" t="str">
        <x:v>D02860</x:v>
      </x:c>
      <x:c r="B2864" s="19" t="n">
        <x:v>6</x:v>
      </x:c>
      <x:c r="C2864" s="19" t="n">
        <x:v>1</x:v>
      </x:c>
      <x:c r="D2864" s="19" t="str">
        <x:v>C06-M009</x:v>
      </x:c>
      <x:c r="E2864" s="19" t="str">
        <x:v>岩浆负甲兽</x:v>
      </x:c>
      <x:c r="F2864" s="19" t="str">
        <x:v>稀有</x:v>
      </x:c>
      <x:c r="G2864" s="19" t="str">
        <x:v>自身专属</x:v>
      </x:c>
      <x:c r="H2864" s="19" t="str">
        <x:v>负甲熔盾</x:v>
      </x:c>
      <x:c r="I2864" s="22" t="n">
        <x:v>600</x:v>
      </x:c>
      <x:c r="J2864" s="22" t="n">
        <x:v>1</x:v>
      </x:c>
      <x:c r="K2864" s="19" t="n">
        <x:v>1</x:v>
      </x:c>
      <x:c r="L2864" s="24" t="n">
        <x:v>32.605999999999995</x:v>
      </x:c>
      <x:c r="M2864" s="26" t="n">
        <x:v>0.1</x:v>
      </x:c>
      <x:c r="N2864" s="24" t="n">
        <x:v>12</x:v>
      </x:c>
      <x:c r="O2864" s="28" t="n">
        <x:f>MIN(1,L2864/I2864)</x:f>
        <x:v>0.05434333333333333</x:v>
      </x:c>
      <x:c r="P2864" s="30" t="n">
        <x:f>O2864*J2864*(1+M2864)</x:f>
        <x:v>0.059777666666666666</x:v>
      </x:c>
      <x:c r="Q2864" s="30" t="n">
        <x:f>P2864*N2864</x:f>
        <x:v>0.717332</x:v>
      </x:c>
      <x:c r="R2864" s="19" t="str">
        <x:v>独立判定</x:v>
      </x:c>
    </x:row>
    <x:row r="2865" ht="19" customHeight="1">
      <x:c r="A2865" s="19" t="str">
        <x:v>D02861</x:v>
      </x:c>
      <x:c r="B2865" s="19" t="n">
        <x:v>6</x:v>
      </x:c>
      <x:c r="C2865" s="19" t="n">
        <x:v>1</x:v>
      </x:c>
      <x:c r="D2865" s="19" t="str">
        <x:v>C06-M009</x:v>
      </x:c>
      <x:c r="E2865" s="19" t="str">
        <x:v>岩浆负甲兽</x:v>
      </x:c>
      <x:c r="F2865" s="19" t="str">
        <x:v>稀有</x:v>
      </x:c>
      <x:c r="G2865" s="19" t="str">
        <x:v>材料独立候选</x:v>
      </x:c>
      <x:c r="H2865" s="19" t="str">
        <x:v>猩红矿渣</x:v>
      </x:c>
      <x:c r="I2865" s="22" t="n">
        <x:v>400</x:v>
      </x:c>
      <x:c r="J2865" s="22" t="n">
        <x:v>15</x:v>
      </x:c>
      <x:c r="K2865" s="19" t="n">
        <x:v>1</x:v>
      </x:c>
      <x:c r="L2865" s="24" t="n">
        <x:v>32.605999999999995</x:v>
      </x:c>
      <x:c r="M2865" s="26" t="n">
        <x:v>0.1</x:v>
      </x:c>
      <x:c r="N2865" s="24" t="n">
        <x:v>12</x:v>
      </x:c>
      <x:c r="O2865" s="28" t="n">
        <x:f>MIN(1,L2865/I2865)</x:f>
        <x:v>0.08151499999999999</x:v>
      </x:c>
      <x:c r="P2865" s="30" t="n">
        <x:f>O2865*J2865*(1+M2865)</x:f>
        <x:v>1.3449974999999998</x:v>
      </x:c>
      <x:c r="Q2865" s="30" t="n">
        <x:f>P2865*N2865</x:f>
        <x:v>16.139969999999998</x:v>
      </x:c>
      <x:c r="R2865" s="19" t="str">
        <x:v>独立判定</x:v>
      </x:c>
    </x:row>
    <x:row r="2866" ht="19" customHeight="1">
      <x:c r="A2866" s="19" t="str">
        <x:v>D02862</x:v>
      </x:c>
      <x:c r="B2866" s="19" t="n">
        <x:v>6</x:v>
      </x:c>
      <x:c r="C2866" s="19" t="n">
        <x:v>1</x:v>
      </x:c>
      <x:c r="D2866" s="19" t="str">
        <x:v>C06-M009</x:v>
      </x:c>
      <x:c r="E2866" s="19" t="str">
        <x:v>岩浆负甲兽</x:v>
      </x:c>
      <x:c r="F2866" s="19" t="str">
        <x:v>稀有</x:v>
      </x:c>
      <x:c r="G2866" s="19" t="str">
        <x:v>材料独立候选</x:v>
      </x:c>
      <x:c r="H2866" s="19" t="str">
        <x:v>龙火鳞</x:v>
      </x:c>
      <x:c r="I2866" s="22" t="n">
        <x:v>1000</x:v>
      </x:c>
      <x:c r="J2866" s="22" t="n">
        <x:v>1</x:v>
      </x:c>
      <x:c r="K2866" s="19" t="n">
        <x:v>1</x:v>
      </x:c>
      <x:c r="L2866" s="24" t="n">
        <x:v>32.605999999999995</x:v>
      </x:c>
      <x:c r="M2866" s="26" t="n">
        <x:v>0.1</x:v>
      </x:c>
      <x:c r="N2866" s="24" t="n">
        <x:v>12</x:v>
      </x:c>
      <x:c r="O2866" s="28" t="n">
        <x:f>MIN(1,L2866/I2866)</x:f>
        <x:v>0.032605999999999996</x:v>
      </x:c>
      <x:c r="P2866" s="30" t="n">
        <x:f>O2866*J2866*(1+M2866)</x:f>
        <x:v>0.0358666</x:v>
      </x:c>
      <x:c r="Q2866" s="30" t="n">
        <x:f>P2866*N2866</x:f>
        <x:v>0.4303992</x:v>
      </x:c>
      <x:c r="R2866" s="19" t="str">
        <x:v>独立判定</x:v>
      </x:c>
    </x:row>
    <x:row r="2867" ht="19" customHeight="1">
      <x:c r="A2867" s="19" t="str">
        <x:v>D02863</x:v>
      </x:c>
      <x:c r="B2867" s="19" t="n">
        <x:v>6</x:v>
      </x:c>
      <x:c r="C2867" s="19" t="n">
        <x:v>1</x:v>
      </x:c>
      <x:c r="D2867" s="19" t="str">
        <x:v>C06-M009</x:v>
      </x:c>
      <x:c r="E2867" s="19" t="str">
        <x:v>岩浆负甲兽</x:v>
      </x:c>
      <x:c r="F2867" s="19" t="str">
        <x:v>稀有</x:v>
      </x:c>
      <x:c r="G2867" s="19" t="str">
        <x:v>材料独立候选</x:v>
      </x:c>
      <x:c r="H2867" s="19" t="str">
        <x:v>净火腺囊</x:v>
      </x:c>
      <x:c r="I2867" s="22" t="n">
        <x:v>200</x:v>
      </x:c>
      <x:c r="J2867" s="22" t="n">
        <x:v>1</x:v>
      </x:c>
      <x:c r="K2867" s="19" t="n">
        <x:v>1</x:v>
      </x:c>
      <x:c r="L2867" s="24" t="n">
        <x:v>32.605999999999995</x:v>
      </x:c>
      <x:c r="M2867" s="26" t="n">
        <x:v>0.1</x:v>
      </x:c>
      <x:c r="N2867" s="24" t="n">
        <x:v>12</x:v>
      </x:c>
      <x:c r="O2867" s="28" t="n">
        <x:f>MIN(1,L2867/I2867)</x:f>
        <x:v>0.16302999999999998</x:v>
      </x:c>
      <x:c r="P2867" s="30" t="n">
        <x:f>O2867*J2867*(1+M2867)</x:f>
        <x:v>0.179333</x:v>
      </x:c>
      <x:c r="Q2867" s="30" t="n">
        <x:f>P2867*N2867</x:f>
        <x:v>2.151996</x:v>
      </x:c>
      <x:c r="R2867" s="19" t="str">
        <x:v>独立判定</x:v>
      </x:c>
    </x:row>
    <x:row r="2868" ht="19" customHeight="1">
      <x:c r="A2868" s="19" t="str">
        <x:v>D02864</x:v>
      </x:c>
      <x:c r="B2868" s="19" t="n">
        <x:v>6</x:v>
      </x:c>
      <x:c r="C2868" s="19" t="n">
        <x:v>1</x:v>
      </x:c>
      <x:c r="D2868" s="19" t="str">
        <x:v>C06-M009</x:v>
      </x:c>
      <x:c r="E2868" s="19" t="str">
        <x:v>岩浆负甲兽</x:v>
      </x:c>
      <x:c r="F2868" s="19" t="str">
        <x:v>稀有</x:v>
      </x:c>
      <x:c r="G2868" s="19" t="str">
        <x:v>材料独立候选</x:v>
      </x:c>
      <x:c r="H2868" s="19" t="str">
        <x:v>熔原罪火残章</x:v>
      </x:c>
      <x:c r="I2868" s="22" t="n">
        <x:v>1000000</x:v>
      </x:c>
      <x:c r="J2868" s="22" t="n">
        <x:v>1</x:v>
      </x:c>
      <x:c r="K2868" s="19" t="n">
        <x:v>1</x:v>
      </x:c>
      <x:c r="L2868" s="24" t="n">
        <x:v>32.605999999999995</x:v>
      </x:c>
      <x:c r="M2868" s="26" t="n">
        <x:v>0.1</x:v>
      </x:c>
      <x:c r="N2868" s="24" t="n">
        <x:v>12</x:v>
      </x:c>
      <x:c r="O2868" s="28" t="n">
        <x:f>MIN(1,L2868/I2868)</x:f>
        <x:v>0.00003260599999999999</x:v>
      </x:c>
      <x:c r="P2868" s="30" t="n">
        <x:f>O2868*J2868*(1+M2868)</x:f>
        <x:v>0.00003586659999999999</x:v>
      </x:c>
      <x:c r="Q2868" s="30" t="n">
        <x:f>P2868*N2868</x:f>
        <x:v>0.0004303991999999999</x:v>
      </x:c>
      <x:c r="R2868" s="19" t="str">
        <x:v>独立判定</x:v>
      </x:c>
    </x:row>
    <x:row r="2869" ht="19" customHeight="1">
      <x:c r="A2869" s="19" t="str">
        <x:v>D02865</x:v>
      </x:c>
      <x:c r="B2869" s="19" t="n">
        <x:v>6</x:v>
      </x:c>
      <x:c r="C2869" s="19" t="n">
        <x:v>1</x:v>
      </x:c>
      <x:c r="D2869" s="19" t="str">
        <x:v>C06-M009</x:v>
      </x:c>
      <x:c r="E2869" s="19" t="str">
        <x:v>岩浆负甲兽</x:v>
      </x:c>
      <x:c r="F2869" s="19" t="str">
        <x:v>稀有</x:v>
      </x:c>
      <x:c r="G2869" s="19" t="str">
        <x:v>材料独立候选</x:v>
      </x:c>
      <x:c r="H2869" s="19" t="str">
        <x:v>黄金树芽</x:v>
      </x:c>
      <x:c r="I2869" s="22" t="n">
        <x:v>1000</x:v>
      </x:c>
      <x:c r="J2869" s="22" t="n">
        <x:v>1</x:v>
      </x:c>
      <x:c r="K2869" s="19" t="n">
        <x:v>1</x:v>
      </x:c>
      <x:c r="L2869" s="24" t="n">
        <x:v>32.605999999999995</x:v>
      </x:c>
      <x:c r="M2869" s="26" t="n">
        <x:v>0.1</x:v>
      </x:c>
      <x:c r="N2869" s="24" t="n">
        <x:v>12</x:v>
      </x:c>
      <x:c r="O2869" s="28" t="n">
        <x:f>MIN(1,L2869/I2869)</x:f>
        <x:v>0.032605999999999996</x:v>
      </x:c>
      <x:c r="P2869" s="30" t="n">
        <x:f>O2869*J2869*(1+M2869)</x:f>
        <x:v>0.0358666</x:v>
      </x:c>
      <x:c r="Q2869" s="30" t="n">
        <x:f>P2869*N2869</x:f>
        <x:v>0.4303992</x:v>
      </x:c>
      <x:c r="R2869" s="19" t="str">
        <x:v>独立判定</x:v>
      </x:c>
    </x:row>
    <x:row r="2870" ht="19" customHeight="1">
      <x:c r="A2870" s="19" t="str">
        <x:v>D02866</x:v>
      </x:c>
      <x:c r="B2870" s="19" t="n">
        <x:v>6</x:v>
      </x:c>
      <x:c r="C2870" s="19" t="n">
        <x:v>1</x:v>
      </x:c>
      <x:c r="D2870" s="19" t="str">
        <x:v>C06-M009</x:v>
      </x:c>
      <x:c r="E2870" s="19" t="str">
        <x:v>岩浆负甲兽</x:v>
      </x:c>
      <x:c r="F2870" s="19" t="str">
        <x:v>稀有</x:v>
      </x:c>
      <x:c r="G2870" s="19" t="str">
        <x:v>材料独立候选</x:v>
      </x:c>
      <x:c r="H2870" s="19" t="str">
        <x:v>野兽骨片</x:v>
      </x:c>
      <x:c r="I2870" s="22" t="n">
        <x:v>100</x:v>
      </x:c>
      <x:c r="J2870" s="22" t="n">
        <x:v>5</x:v>
      </x:c>
      <x:c r="K2870" s="19" t="n">
        <x:v>1</x:v>
      </x:c>
      <x:c r="L2870" s="24" t="n">
        <x:v>32.605999999999995</x:v>
      </x:c>
      <x:c r="M2870" s="26" t="n">
        <x:v>0.1</x:v>
      </x:c>
      <x:c r="N2870" s="24" t="n">
        <x:v>12</x:v>
      </x:c>
      <x:c r="O2870" s="28" t="n">
        <x:f>MIN(1,L2870/I2870)</x:f>
        <x:v>0.32605999999999996</x:v>
      </x:c>
      <x:c r="P2870" s="30" t="n">
        <x:f>O2870*J2870*(1+M2870)</x:f>
        <x:v>1.79333</x:v>
      </x:c>
      <x:c r="Q2870" s="30" t="n">
        <x:f>P2870*N2870</x:f>
        <x:v>21.51996</x:v>
      </x:c>
      <x:c r="R2870" s="19" t="str">
        <x:v>独立判定</x:v>
      </x:c>
    </x:row>
    <x:row r="2871" ht="19" customHeight="1">
      <x:c r="A2871" s="19" t="str">
        <x:v>D02867</x:v>
      </x:c>
      <x:c r="B2871" s="19" t="n">
        <x:v>6</x:v>
      </x:c>
      <x:c r="C2871" s="19" t="n">
        <x:v>1</x:v>
      </x:c>
      <x:c r="D2871" s="19" t="str">
        <x:v>C06-M009</x:v>
      </x:c>
      <x:c r="E2871" s="19" t="str">
        <x:v>岩浆负甲兽</x:v>
      </x:c>
      <x:c r="F2871" s="19" t="str">
        <x:v>稀有</x:v>
      </x:c>
      <x:c r="G2871" s="19" t="str">
        <x:v>材料独立候选</x:v>
      </x:c>
      <x:c r="H2871" s="19" t="str">
        <x:v>技能残页</x:v>
      </x:c>
      <x:c r="I2871" s="22" t="n">
        <x:v>600</x:v>
      </x:c>
      <x:c r="J2871" s="22" t="n">
        <x:v>1</x:v>
      </x:c>
      <x:c r="K2871" s="19" t="n">
        <x:v>1</x:v>
      </x:c>
      <x:c r="L2871" s="24" t="n">
        <x:v>32.605999999999995</x:v>
      </x:c>
      <x:c r="M2871" s="26" t="n">
        <x:v>0.1</x:v>
      </x:c>
      <x:c r="N2871" s="24" t="n">
        <x:v>12</x:v>
      </x:c>
      <x:c r="O2871" s="28" t="n">
        <x:f>MIN(1,L2871/I2871)</x:f>
        <x:v>0.05434333333333333</x:v>
      </x:c>
      <x:c r="P2871" s="30" t="n">
        <x:f>O2871*J2871*(1+M2871)</x:f>
        <x:v>0.059777666666666666</x:v>
      </x:c>
      <x:c r="Q2871" s="30" t="n">
        <x:f>P2871*N2871</x:f>
        <x:v>0.717332</x:v>
      </x:c>
      <x:c r="R2871" s="19" t="str">
        <x:v>独立判定</x:v>
      </x:c>
    </x:row>
    <x:row r="2872" ht="19" customHeight="1">
      <x:c r="A2872" s="19" t="str">
        <x:v>D02868</x:v>
      </x:c>
      <x:c r="B2872" s="19" t="n">
        <x:v>6</x:v>
      </x:c>
      <x:c r="C2872" s="19" t="n">
        <x:v>1</x:v>
      </x:c>
      <x:c r="D2872" s="19" t="str">
        <x:v>C06-M009</x:v>
      </x:c>
      <x:c r="E2872" s="19" t="str">
        <x:v>岩浆负甲兽</x:v>
      </x:c>
      <x:c r="F2872" s="19" t="str">
        <x:v>稀有</x:v>
      </x:c>
      <x:c r="G2872" s="19" t="str">
        <x:v>材料独立候选</x:v>
      </x:c>
      <x:c r="H2872" s="19" t="str">
        <x:v>小卢恩</x:v>
      </x:c>
      <x:c r="I2872" s="22" t="n">
        <x:v>6000</x:v>
      </x:c>
      <x:c r="J2872" s="22" t="n">
        <x:v>1</x:v>
      </x:c>
      <x:c r="K2872" s="19" t="n">
        <x:v>1</x:v>
      </x:c>
      <x:c r="L2872" s="24" t="n">
        <x:v>32.605999999999995</x:v>
      </x:c>
      <x:c r="M2872" s="26" t="n">
        <x:v>0.1</x:v>
      </x:c>
      <x:c r="N2872" s="24" t="n">
        <x:v>12</x:v>
      </x:c>
      <x:c r="O2872" s="28" t="n">
        <x:f>MIN(1,L2872/I2872)</x:f>
        <x:v>0.005434333333333333</x:v>
      </x:c>
      <x:c r="P2872" s="30" t="n">
        <x:f>O2872*J2872*(1+M2872)</x:f>
        <x:v>0.005977766666666666</x:v>
      </x:c>
      <x:c r="Q2872" s="30" t="n">
        <x:f>P2872*N2872</x:f>
        <x:v>0.0717332</x:v>
      </x:c>
      <x:c r="R2872" s="19" t="str">
        <x:v>独立判定</x:v>
      </x:c>
    </x:row>
    <x:row r="2873" ht="19" customHeight="1">
      <x:c r="A2873" s="19" t="str">
        <x:v>D02869</x:v>
      </x:c>
      <x:c r="B2873" s="19" t="n">
        <x:v>6</x:v>
      </x:c>
      <x:c r="C2873" s="19" t="n">
        <x:v>1</x:v>
      </x:c>
      <x:c r="D2873" s="19" t="str">
        <x:v>C06-M009</x:v>
      </x:c>
      <x:c r="E2873" s="19" t="str">
        <x:v>岩浆负甲兽</x:v>
      </x:c>
      <x:c r="F2873" s="19" t="str">
        <x:v>稀有</x:v>
      </x:c>
      <x:c r="G2873" s="19" t="str">
        <x:v>六神器公共池</x:v>
      </x:c>
      <x:c r="H2873" s="19" t="str">
        <x:v>POOL006</x:v>
      </x:c>
      <x:c r="I2873" s="22" t="n">
        <x:v>5000000</x:v>
      </x:c>
      <x:c r="J2873" s="22" t="n">
        <x:v>1</x:v>
      </x:c>
      <x:c r="K2873" s="19" t="n">
        <x:v>6</x:v>
      </x:c>
      <x:c r="L2873" s="24" t="n">
        <x:v>32.605999999999995</x:v>
      </x:c>
      <x:c r="M2873" s="26" t="n">
        <x:v>0.1</x:v>
      </x:c>
      <x:c r="N2873" s="24" t="n">
        <x:v>12</x:v>
      </x:c>
      <x:c r="O2873" s="28" t="n">
        <x:f>MIN(1,L2873/I2873)</x:f>
        <x:v>0.000006521199999999999</x:v>
      </x:c>
      <x:c r="P2873" s="30" t="n">
        <x:f>O2873*J2873*(1+M2873)</x:f>
        <x:v>0.000007173319999999999</x:v>
      </x:c>
      <x:c r="Q2873" s="30" t="n">
        <x:f>P2873*N2873</x:f>
        <x:v>0.00008607983999999999</x:v>
      </x:c>
      <x:c r="R2873" s="19" t="str">
        <x:v>六选一；非6个独立爆率</x:v>
      </x:c>
    </x:row>
    <x:row r="2874" ht="19" customHeight="1">
      <x:c r="A2874" s="19" t="str">
        <x:v>D02870</x:v>
      </x:c>
      <x:c r="B2874" s="19" t="n">
        <x:v>6</x:v>
      </x:c>
      <x:c r="C2874" s="19" t="n">
        <x:v>1</x:v>
      </x:c>
      <x:c r="D2874" s="19" t="str">
        <x:v>C06-M010</x:v>
      </x:c>
      <x:c r="E2874" s="19" t="str">
        <x:v>灰烬裁决官</x:v>
      </x:c>
      <x:c r="F2874" s="19" t="str">
        <x:v>稀有</x:v>
      </x:c>
      <x:c r="G2874" s="19" t="str">
        <x:v>自身专属</x:v>
      </x:c>
      <x:c r="H2874" s="19" t="str">
        <x:v>灰烬裁印</x:v>
      </x:c>
      <x:c r="I2874" s="22" t="n">
        <x:v>600</x:v>
      </x:c>
      <x:c r="J2874" s="22" t="n">
        <x:v>1</x:v>
      </x:c>
      <x:c r="K2874" s="19" t="n">
        <x:v>1</x:v>
      </x:c>
      <x:c r="L2874" s="24" t="n">
        <x:v>32.605999999999995</x:v>
      </x:c>
      <x:c r="M2874" s="26" t="n">
        <x:v>0.1</x:v>
      </x:c>
      <x:c r="N2874" s="24" t="n">
        <x:v>12</x:v>
      </x:c>
      <x:c r="O2874" s="28" t="n">
        <x:f>MIN(1,L2874/I2874)</x:f>
        <x:v>0.05434333333333333</x:v>
      </x:c>
      <x:c r="P2874" s="30" t="n">
        <x:f>O2874*J2874*(1+M2874)</x:f>
        <x:v>0.059777666666666666</x:v>
      </x:c>
      <x:c r="Q2874" s="30" t="n">
        <x:f>P2874*N2874</x:f>
        <x:v>0.717332</x:v>
      </x:c>
      <x:c r="R2874" s="19" t="str">
        <x:v>独立判定</x:v>
      </x:c>
    </x:row>
    <x:row r="2875" ht="19" customHeight="1">
      <x:c r="A2875" s="19" t="str">
        <x:v>D02871</x:v>
      </x:c>
      <x:c r="B2875" s="19" t="n">
        <x:v>6</x:v>
      </x:c>
      <x:c r="C2875" s="19" t="n">
        <x:v>1</x:v>
      </x:c>
      <x:c r="D2875" s="19" t="str">
        <x:v>C06-M010</x:v>
      </x:c>
      <x:c r="E2875" s="19" t="str">
        <x:v>灰烬裁决官</x:v>
      </x:c>
      <x:c r="F2875" s="19" t="str">
        <x:v>稀有</x:v>
      </x:c>
      <x:c r="G2875" s="19" t="str">
        <x:v>材料独立候选</x:v>
      </x:c>
      <x:c r="H2875" s="19" t="str">
        <x:v>猩红矿渣</x:v>
      </x:c>
      <x:c r="I2875" s="22" t="n">
        <x:v>400</x:v>
      </x:c>
      <x:c r="J2875" s="22" t="n">
        <x:v>15</x:v>
      </x:c>
      <x:c r="K2875" s="19" t="n">
        <x:v>1</x:v>
      </x:c>
      <x:c r="L2875" s="24" t="n">
        <x:v>32.605999999999995</x:v>
      </x:c>
      <x:c r="M2875" s="26" t="n">
        <x:v>0.1</x:v>
      </x:c>
      <x:c r="N2875" s="24" t="n">
        <x:v>12</x:v>
      </x:c>
      <x:c r="O2875" s="28" t="n">
        <x:f>MIN(1,L2875/I2875)</x:f>
        <x:v>0.08151499999999999</x:v>
      </x:c>
      <x:c r="P2875" s="30" t="n">
        <x:f>O2875*J2875*(1+M2875)</x:f>
        <x:v>1.3449974999999998</x:v>
      </x:c>
      <x:c r="Q2875" s="30" t="n">
        <x:f>P2875*N2875</x:f>
        <x:v>16.139969999999998</x:v>
      </x:c>
      <x:c r="R2875" s="19" t="str">
        <x:v>独立判定</x:v>
      </x:c>
    </x:row>
    <x:row r="2876" ht="19" customHeight="1">
      <x:c r="A2876" s="19" t="str">
        <x:v>D02872</x:v>
      </x:c>
      <x:c r="B2876" s="19" t="n">
        <x:v>6</x:v>
      </x:c>
      <x:c r="C2876" s="19" t="n">
        <x:v>1</x:v>
      </x:c>
      <x:c r="D2876" s="19" t="str">
        <x:v>C06-M010</x:v>
      </x:c>
      <x:c r="E2876" s="19" t="str">
        <x:v>灰烬裁决官</x:v>
      </x:c>
      <x:c r="F2876" s="19" t="str">
        <x:v>稀有</x:v>
      </x:c>
      <x:c r="G2876" s="19" t="str">
        <x:v>材料独立候选</x:v>
      </x:c>
      <x:c r="H2876" s="19" t="str">
        <x:v>龙火鳞</x:v>
      </x:c>
      <x:c r="I2876" s="22" t="n">
        <x:v>1000</x:v>
      </x:c>
      <x:c r="J2876" s="22" t="n">
        <x:v>1</x:v>
      </x:c>
      <x:c r="K2876" s="19" t="n">
        <x:v>1</x:v>
      </x:c>
      <x:c r="L2876" s="24" t="n">
        <x:v>32.605999999999995</x:v>
      </x:c>
      <x:c r="M2876" s="26" t="n">
        <x:v>0.1</x:v>
      </x:c>
      <x:c r="N2876" s="24" t="n">
        <x:v>12</x:v>
      </x:c>
      <x:c r="O2876" s="28" t="n">
        <x:f>MIN(1,L2876/I2876)</x:f>
        <x:v>0.032605999999999996</x:v>
      </x:c>
      <x:c r="P2876" s="30" t="n">
        <x:f>O2876*J2876*(1+M2876)</x:f>
        <x:v>0.0358666</x:v>
      </x:c>
      <x:c r="Q2876" s="30" t="n">
        <x:f>P2876*N2876</x:f>
        <x:v>0.4303992</x:v>
      </x:c>
      <x:c r="R2876" s="19" t="str">
        <x:v>独立判定</x:v>
      </x:c>
    </x:row>
    <x:row r="2877" ht="19" customHeight="1">
      <x:c r="A2877" s="19" t="str">
        <x:v>D02873</x:v>
      </x:c>
      <x:c r="B2877" s="19" t="n">
        <x:v>6</x:v>
      </x:c>
      <x:c r="C2877" s="19" t="n">
        <x:v>1</x:v>
      </x:c>
      <x:c r="D2877" s="19" t="str">
        <x:v>C06-M010</x:v>
      </x:c>
      <x:c r="E2877" s="19" t="str">
        <x:v>灰烬裁决官</x:v>
      </x:c>
      <x:c r="F2877" s="19" t="str">
        <x:v>稀有</x:v>
      </x:c>
      <x:c r="G2877" s="19" t="str">
        <x:v>材料独立候选</x:v>
      </x:c>
      <x:c r="H2877" s="19" t="str">
        <x:v>净火腺囊</x:v>
      </x:c>
      <x:c r="I2877" s="22" t="n">
        <x:v>200</x:v>
      </x:c>
      <x:c r="J2877" s="22" t="n">
        <x:v>1</x:v>
      </x:c>
      <x:c r="K2877" s="19" t="n">
        <x:v>1</x:v>
      </x:c>
      <x:c r="L2877" s="24" t="n">
        <x:v>32.605999999999995</x:v>
      </x:c>
      <x:c r="M2877" s="26" t="n">
        <x:v>0.1</x:v>
      </x:c>
      <x:c r="N2877" s="24" t="n">
        <x:v>12</x:v>
      </x:c>
      <x:c r="O2877" s="28" t="n">
        <x:f>MIN(1,L2877/I2877)</x:f>
        <x:v>0.16302999999999998</x:v>
      </x:c>
      <x:c r="P2877" s="30" t="n">
        <x:f>O2877*J2877*(1+M2877)</x:f>
        <x:v>0.179333</x:v>
      </x:c>
      <x:c r="Q2877" s="30" t="n">
        <x:f>P2877*N2877</x:f>
        <x:v>2.151996</x:v>
      </x:c>
      <x:c r="R2877" s="19" t="str">
        <x:v>独立判定</x:v>
      </x:c>
    </x:row>
    <x:row r="2878" ht="19" customHeight="1">
      <x:c r="A2878" s="19" t="str">
        <x:v>D02874</x:v>
      </x:c>
      <x:c r="B2878" s="19" t="n">
        <x:v>6</x:v>
      </x:c>
      <x:c r="C2878" s="19" t="n">
        <x:v>1</x:v>
      </x:c>
      <x:c r="D2878" s="19" t="str">
        <x:v>C06-M010</x:v>
      </x:c>
      <x:c r="E2878" s="19" t="str">
        <x:v>灰烬裁决官</x:v>
      </x:c>
      <x:c r="F2878" s="19" t="str">
        <x:v>稀有</x:v>
      </x:c>
      <x:c r="G2878" s="19" t="str">
        <x:v>材料独立候选</x:v>
      </x:c>
      <x:c r="H2878" s="19" t="str">
        <x:v>熔原罪火残章</x:v>
      </x:c>
      <x:c r="I2878" s="22" t="n">
        <x:v>1000000</x:v>
      </x:c>
      <x:c r="J2878" s="22" t="n">
        <x:v>1</x:v>
      </x:c>
      <x:c r="K2878" s="19" t="n">
        <x:v>1</x:v>
      </x:c>
      <x:c r="L2878" s="24" t="n">
        <x:v>32.605999999999995</x:v>
      </x:c>
      <x:c r="M2878" s="26" t="n">
        <x:v>0.1</x:v>
      </x:c>
      <x:c r="N2878" s="24" t="n">
        <x:v>12</x:v>
      </x:c>
      <x:c r="O2878" s="28" t="n">
        <x:f>MIN(1,L2878/I2878)</x:f>
        <x:v>0.00003260599999999999</x:v>
      </x:c>
      <x:c r="P2878" s="30" t="n">
        <x:f>O2878*J2878*(1+M2878)</x:f>
        <x:v>0.00003586659999999999</x:v>
      </x:c>
      <x:c r="Q2878" s="30" t="n">
        <x:f>P2878*N2878</x:f>
        <x:v>0.0004303991999999999</x:v>
      </x:c>
      <x:c r="R2878" s="19" t="str">
        <x:v>独立判定</x:v>
      </x:c>
    </x:row>
    <x:row r="2879" ht="19" customHeight="1">
      <x:c r="A2879" s="19" t="str">
        <x:v>D02875</x:v>
      </x:c>
      <x:c r="B2879" s="19" t="n">
        <x:v>6</x:v>
      </x:c>
      <x:c r="C2879" s="19" t="n">
        <x:v>1</x:v>
      </x:c>
      <x:c r="D2879" s="19" t="str">
        <x:v>C06-M010</x:v>
      </x:c>
      <x:c r="E2879" s="19" t="str">
        <x:v>灰烬裁决官</x:v>
      </x:c>
      <x:c r="F2879" s="19" t="str">
        <x:v>稀有</x:v>
      </x:c>
      <x:c r="G2879" s="19" t="str">
        <x:v>材料独立候选</x:v>
      </x:c>
      <x:c r="H2879" s="19" t="str">
        <x:v>黄金树芽</x:v>
      </x:c>
      <x:c r="I2879" s="22" t="n">
        <x:v>1000</x:v>
      </x:c>
      <x:c r="J2879" s="22" t="n">
        <x:v>1</x:v>
      </x:c>
      <x:c r="K2879" s="19" t="n">
        <x:v>1</x:v>
      </x:c>
      <x:c r="L2879" s="24" t="n">
        <x:v>32.605999999999995</x:v>
      </x:c>
      <x:c r="M2879" s="26" t="n">
        <x:v>0.1</x:v>
      </x:c>
      <x:c r="N2879" s="24" t="n">
        <x:v>12</x:v>
      </x:c>
      <x:c r="O2879" s="28" t="n">
        <x:f>MIN(1,L2879/I2879)</x:f>
        <x:v>0.032605999999999996</x:v>
      </x:c>
      <x:c r="P2879" s="30" t="n">
        <x:f>O2879*J2879*(1+M2879)</x:f>
        <x:v>0.0358666</x:v>
      </x:c>
      <x:c r="Q2879" s="30" t="n">
        <x:f>P2879*N2879</x:f>
        <x:v>0.4303992</x:v>
      </x:c>
      <x:c r="R2879" s="19" t="str">
        <x:v>独立判定</x:v>
      </x:c>
    </x:row>
    <x:row r="2880" ht="19" customHeight="1">
      <x:c r="A2880" s="19" t="str">
        <x:v>D02876</x:v>
      </x:c>
      <x:c r="B2880" s="19" t="n">
        <x:v>6</x:v>
      </x:c>
      <x:c r="C2880" s="19" t="n">
        <x:v>1</x:v>
      </x:c>
      <x:c r="D2880" s="19" t="str">
        <x:v>C06-M010</x:v>
      </x:c>
      <x:c r="E2880" s="19" t="str">
        <x:v>灰烬裁决官</x:v>
      </x:c>
      <x:c r="F2880" s="19" t="str">
        <x:v>稀有</x:v>
      </x:c>
      <x:c r="G2880" s="19" t="str">
        <x:v>材料独立候选</x:v>
      </x:c>
      <x:c r="H2880" s="19" t="str">
        <x:v>野兽骨片</x:v>
      </x:c>
      <x:c r="I2880" s="22" t="n">
        <x:v>100</x:v>
      </x:c>
      <x:c r="J2880" s="22" t="n">
        <x:v>5</x:v>
      </x:c>
      <x:c r="K2880" s="19" t="n">
        <x:v>1</x:v>
      </x:c>
      <x:c r="L2880" s="24" t="n">
        <x:v>32.605999999999995</x:v>
      </x:c>
      <x:c r="M2880" s="26" t="n">
        <x:v>0.1</x:v>
      </x:c>
      <x:c r="N2880" s="24" t="n">
        <x:v>12</x:v>
      </x:c>
      <x:c r="O2880" s="28" t="n">
        <x:f>MIN(1,L2880/I2880)</x:f>
        <x:v>0.32605999999999996</x:v>
      </x:c>
      <x:c r="P2880" s="30" t="n">
        <x:f>O2880*J2880*(1+M2880)</x:f>
        <x:v>1.79333</x:v>
      </x:c>
      <x:c r="Q2880" s="30" t="n">
        <x:f>P2880*N2880</x:f>
        <x:v>21.51996</x:v>
      </x:c>
      <x:c r="R2880" s="19" t="str">
        <x:v>独立判定</x:v>
      </x:c>
    </x:row>
    <x:row r="2881" ht="19" customHeight="1">
      <x:c r="A2881" s="19" t="str">
        <x:v>D02877</x:v>
      </x:c>
      <x:c r="B2881" s="19" t="n">
        <x:v>6</x:v>
      </x:c>
      <x:c r="C2881" s="19" t="n">
        <x:v>1</x:v>
      </x:c>
      <x:c r="D2881" s="19" t="str">
        <x:v>C06-M010</x:v>
      </x:c>
      <x:c r="E2881" s="19" t="str">
        <x:v>灰烬裁决官</x:v>
      </x:c>
      <x:c r="F2881" s="19" t="str">
        <x:v>稀有</x:v>
      </x:c>
      <x:c r="G2881" s="19" t="str">
        <x:v>材料独立候选</x:v>
      </x:c>
      <x:c r="H2881" s="19" t="str">
        <x:v>技能残页</x:v>
      </x:c>
      <x:c r="I2881" s="22" t="n">
        <x:v>600</x:v>
      </x:c>
      <x:c r="J2881" s="22" t="n">
        <x:v>1</x:v>
      </x:c>
      <x:c r="K2881" s="19" t="n">
        <x:v>1</x:v>
      </x:c>
      <x:c r="L2881" s="24" t="n">
        <x:v>32.605999999999995</x:v>
      </x:c>
      <x:c r="M2881" s="26" t="n">
        <x:v>0.1</x:v>
      </x:c>
      <x:c r="N2881" s="24" t="n">
        <x:v>12</x:v>
      </x:c>
      <x:c r="O2881" s="28" t="n">
        <x:f>MIN(1,L2881/I2881)</x:f>
        <x:v>0.05434333333333333</x:v>
      </x:c>
      <x:c r="P2881" s="30" t="n">
        <x:f>O2881*J2881*(1+M2881)</x:f>
        <x:v>0.059777666666666666</x:v>
      </x:c>
      <x:c r="Q2881" s="30" t="n">
        <x:f>P2881*N2881</x:f>
        <x:v>0.717332</x:v>
      </x:c>
      <x:c r="R2881" s="19" t="str">
        <x:v>独立判定</x:v>
      </x:c>
    </x:row>
    <x:row r="2882" ht="19" customHeight="1">
      <x:c r="A2882" s="19" t="str">
        <x:v>D02878</x:v>
      </x:c>
      <x:c r="B2882" s="19" t="n">
        <x:v>6</x:v>
      </x:c>
      <x:c r="C2882" s="19" t="n">
        <x:v>1</x:v>
      </x:c>
      <x:c r="D2882" s="19" t="str">
        <x:v>C06-M010</x:v>
      </x:c>
      <x:c r="E2882" s="19" t="str">
        <x:v>灰烬裁决官</x:v>
      </x:c>
      <x:c r="F2882" s="19" t="str">
        <x:v>稀有</x:v>
      </x:c>
      <x:c r="G2882" s="19" t="str">
        <x:v>材料独立候选</x:v>
      </x:c>
      <x:c r="H2882" s="19" t="str">
        <x:v>小卢恩</x:v>
      </x:c>
      <x:c r="I2882" s="22" t="n">
        <x:v>6000</x:v>
      </x:c>
      <x:c r="J2882" s="22" t="n">
        <x:v>1</x:v>
      </x:c>
      <x:c r="K2882" s="19" t="n">
        <x:v>1</x:v>
      </x:c>
      <x:c r="L2882" s="24" t="n">
        <x:v>32.605999999999995</x:v>
      </x:c>
      <x:c r="M2882" s="26" t="n">
        <x:v>0.1</x:v>
      </x:c>
      <x:c r="N2882" s="24" t="n">
        <x:v>12</x:v>
      </x:c>
      <x:c r="O2882" s="28" t="n">
        <x:f>MIN(1,L2882/I2882)</x:f>
        <x:v>0.005434333333333333</x:v>
      </x:c>
      <x:c r="P2882" s="30" t="n">
        <x:f>O2882*J2882*(1+M2882)</x:f>
        <x:v>0.005977766666666666</x:v>
      </x:c>
      <x:c r="Q2882" s="30" t="n">
        <x:f>P2882*N2882</x:f>
        <x:v>0.0717332</x:v>
      </x:c>
      <x:c r="R2882" s="19" t="str">
        <x:v>独立判定</x:v>
      </x:c>
    </x:row>
    <x:row r="2883" ht="19" customHeight="1">
      <x:c r="A2883" s="19" t="str">
        <x:v>D02879</x:v>
      </x:c>
      <x:c r="B2883" s="19" t="n">
        <x:v>6</x:v>
      </x:c>
      <x:c r="C2883" s="19" t="n">
        <x:v>1</x:v>
      </x:c>
      <x:c r="D2883" s="19" t="str">
        <x:v>C06-M010</x:v>
      </x:c>
      <x:c r="E2883" s="19" t="str">
        <x:v>灰烬裁决官</x:v>
      </x:c>
      <x:c r="F2883" s="19" t="str">
        <x:v>稀有</x:v>
      </x:c>
      <x:c r="G2883" s="19" t="str">
        <x:v>六神器公共池</x:v>
      </x:c>
      <x:c r="H2883" s="19" t="str">
        <x:v>POOL006</x:v>
      </x:c>
      <x:c r="I2883" s="22" t="n">
        <x:v>5000000</x:v>
      </x:c>
      <x:c r="J2883" s="22" t="n">
        <x:v>1</x:v>
      </x:c>
      <x:c r="K2883" s="19" t="n">
        <x:v>6</x:v>
      </x:c>
      <x:c r="L2883" s="24" t="n">
        <x:v>32.605999999999995</x:v>
      </x:c>
      <x:c r="M2883" s="26" t="n">
        <x:v>0.1</x:v>
      </x:c>
      <x:c r="N2883" s="24" t="n">
        <x:v>12</x:v>
      </x:c>
      <x:c r="O2883" s="28" t="n">
        <x:f>MIN(1,L2883/I2883)</x:f>
        <x:v>0.000006521199999999999</x:v>
      </x:c>
      <x:c r="P2883" s="30" t="n">
        <x:f>O2883*J2883*(1+M2883)</x:f>
        <x:v>0.000007173319999999999</x:v>
      </x:c>
      <x:c r="Q2883" s="30" t="n">
        <x:f>P2883*N2883</x:f>
        <x:v>0.00008607983999999999</x:v>
      </x:c>
      <x:c r="R2883" s="19" t="str">
        <x:v>六选一；非6个独立爆率</x:v>
      </x:c>
    </x:row>
    <x:row r="2884" ht="19" customHeight="1">
      <x:c r="A2884" s="19" t="str">
        <x:v>D02880</x:v>
      </x:c>
      <x:c r="B2884" s="19" t="n">
        <x:v>6</x:v>
      </x:c>
      <x:c r="C2884" s="19" t="n">
        <x:v>1</x:v>
      </x:c>
      <x:c r="D2884" s="19" t="str">
        <x:v>C06-M011</x:v>
      </x:c>
      <x:c r="E2884" s="19" t="str">
        <x:v>火蚀巨像·巴洛</x:v>
      </x:c>
      <x:c r="F2884" s="19" t="str">
        <x:v>地图BOSS</x:v>
      </x:c>
      <x:c r="G2884" s="19" t="str">
        <x:v>自身专属</x:v>
      </x:c>
      <x:c r="H2884" s="19" t="str">
        <x:v>巴洛熔拳</x:v>
      </x:c>
      <x:c r="I2884" s="22" t="n">
        <x:v>80</x:v>
      </x:c>
      <x:c r="J2884" s="22" t="n">
        <x:v>1</x:v>
      </x:c>
      <x:c r="K2884" s="19" t="n">
        <x:v>1</x:v>
      </x:c>
      <x:c r="L2884" s="24" t="n">
        <x:v>32.605999999999995</x:v>
      </x:c>
      <x:c r="M2884" s="26" t="n">
        <x:v>0.1</x:v>
      </x:c>
      <x:c r="N2884" s="24" t="n">
        <x:v>2</x:v>
      </x:c>
      <x:c r="O2884" s="28" t="n">
        <x:f>MIN(1,L2884/I2884)</x:f>
        <x:v>0.4075749999999999</x:v>
      </x:c>
      <x:c r="P2884" s="30" t="n">
        <x:f>O2884*J2884*(1+M2884)</x:f>
        <x:v>0.4483324999999999</x:v>
      </x:c>
      <x:c r="Q2884" s="30" t="n">
        <x:f>P2884*N2884</x:f>
        <x:v>0.8966649999999998</x:v>
      </x:c>
      <x:c r="R2884" s="19" t="str">
        <x:v>独立判定</x:v>
      </x:c>
    </x:row>
    <x:row r="2885" ht="19" customHeight="1">
      <x:c r="A2885" s="19" t="str">
        <x:v>D02881</x:v>
      </x:c>
      <x:c r="B2885" s="19" t="n">
        <x:v>6</x:v>
      </x:c>
      <x:c r="C2885" s="19" t="n">
        <x:v>1</x:v>
      </x:c>
      <x:c r="D2885" s="19" t="str">
        <x:v>C06-M011</x:v>
      </x:c>
      <x:c r="E2885" s="19" t="str">
        <x:v>火蚀巨像·巴洛</x:v>
      </x:c>
      <x:c r="F2885" s="19" t="str">
        <x:v>地图BOSS</x:v>
      </x:c>
      <x:c r="G2885" s="19" t="str">
        <x:v>本图普通兼掉候选</x:v>
      </x:c>
      <x:c r="H2885" s="19" t="str">
        <x:v>POOL048</x:v>
      </x:c>
      <x:c r="I2885" s="22" t="n">
        <x:v>80</x:v>
      </x:c>
      <x:c r="J2885" s="22" t="n">
        <x:v>1</x:v>
      </x:c>
      <x:c r="K2885" s="19" t="n">
        <x:v>1</x:v>
      </x:c>
      <x:c r="L2885" s="24" t="n">
        <x:v>32.605999999999995</x:v>
      </x:c>
      <x:c r="M2885" s="26" t="n">
        <x:v>0.1</x:v>
      </x:c>
      <x:c r="N2885" s="24" t="n">
        <x:v>2</x:v>
      </x:c>
      <x:c r="O2885" s="28" t="n">
        <x:f>MIN(1,L2885/I2885)</x:f>
        <x:v>0.4075749999999999</x:v>
      </x:c>
      <x:c r="P2885" s="30" t="n">
        <x:f>O2885*J2885*(1+M2885)</x:f>
        <x:v>0.4483324999999999</x:v>
      </x:c>
      <x:c r="Q2885" s="30" t="n">
        <x:f>P2885*N2885</x:f>
        <x:v>0.8966649999999998</x:v>
      </x:c>
      <x:c r="R2885" s="19" t="str">
        <x:v>单池选一</x:v>
      </x:c>
    </x:row>
    <x:row r="2886" ht="19" customHeight="1">
      <x:c r="A2886" s="19" t="str">
        <x:v>D02882</x:v>
      </x:c>
      <x:c r="B2886" s="19" t="n">
        <x:v>6</x:v>
      </x:c>
      <x:c r="C2886" s="19" t="n">
        <x:v>1</x:v>
      </x:c>
      <x:c r="D2886" s="19" t="str">
        <x:v>C06-M011</x:v>
      </x:c>
      <x:c r="E2886" s="19" t="str">
        <x:v>火蚀巨像·巴洛</x:v>
      </x:c>
      <x:c r="F2886" s="19" t="str">
        <x:v>地图BOSS</x:v>
      </x:c>
      <x:c r="G2886" s="19" t="str">
        <x:v>材料独立候选</x:v>
      </x:c>
      <x:c r="H2886" s="19" t="str">
        <x:v>猩红矿渣</x:v>
      </x:c>
      <x:c r="I2886" s="22" t="n">
        <x:v>180</x:v>
      </x:c>
      <x:c r="J2886" s="22" t="n">
        <x:v>30</x:v>
      </x:c>
      <x:c r="K2886" s="19" t="n">
        <x:v>1</x:v>
      </x:c>
      <x:c r="L2886" s="24" t="n">
        <x:v>32.605999999999995</x:v>
      </x:c>
      <x:c r="M2886" s="26" t="n">
        <x:v>0.1</x:v>
      </x:c>
      <x:c r="N2886" s="24" t="n">
        <x:v>2</x:v>
      </x:c>
      <x:c r="O2886" s="28" t="n">
        <x:f>MIN(1,L2886/I2886)</x:f>
        <x:v>0.1811444444444444</x:v>
      </x:c>
      <x:c r="P2886" s="30" t="n">
        <x:f>O2886*J2886*(1+M2886)</x:f>
        <x:v>5.977766666666666</x:v>
      </x:c>
      <x:c r="Q2886" s="30" t="n">
        <x:f>P2886*N2886</x:f>
        <x:v>11.955533333333332</x:v>
      </x:c>
      <x:c r="R2886" s="19" t="str">
        <x:v>独立判定</x:v>
      </x:c>
    </x:row>
    <x:row r="2887" ht="19" customHeight="1">
      <x:c r="A2887" s="19" t="str">
        <x:v>D02883</x:v>
      </x:c>
      <x:c r="B2887" s="19" t="n">
        <x:v>6</x:v>
      </x:c>
      <x:c r="C2887" s="19" t="n">
        <x:v>1</x:v>
      </x:c>
      <x:c r="D2887" s="19" t="str">
        <x:v>C06-M011</x:v>
      </x:c>
      <x:c r="E2887" s="19" t="str">
        <x:v>火蚀巨像·巴洛</x:v>
      </x:c>
      <x:c r="F2887" s="19" t="str">
        <x:v>地图BOSS</x:v>
      </x:c>
      <x:c r="G2887" s="19" t="str">
        <x:v>材料独立候选</x:v>
      </x:c>
      <x:c r="H2887" s="19" t="str">
        <x:v>龙火鳞</x:v>
      </x:c>
      <x:c r="I2887" s="22" t="n">
        <x:v>500</x:v>
      </x:c>
      <x:c r="J2887" s="22" t="n">
        <x:v>1</x:v>
      </x:c>
      <x:c r="K2887" s="19" t="n">
        <x:v>1</x:v>
      </x:c>
      <x:c r="L2887" s="24" t="n">
        <x:v>32.605999999999995</x:v>
      </x:c>
      <x:c r="M2887" s="26" t="n">
        <x:v>0.1</x:v>
      </x:c>
      <x:c r="N2887" s="24" t="n">
        <x:v>2</x:v>
      </x:c>
      <x:c r="O2887" s="28" t="n">
        <x:f>MIN(1,L2887/I2887)</x:f>
        <x:v>0.06521199999999999</x:v>
      </x:c>
      <x:c r="P2887" s="30" t="n">
        <x:f>O2887*J2887*(1+M2887)</x:f>
        <x:v>0.0717332</x:v>
      </x:c>
      <x:c r="Q2887" s="30" t="n">
        <x:f>P2887*N2887</x:f>
        <x:v>0.1434664</x:v>
      </x:c>
      <x:c r="R2887" s="19" t="str">
        <x:v>独立判定</x:v>
      </x:c>
    </x:row>
    <x:row r="2888" ht="19" customHeight="1">
      <x:c r="A2888" s="19" t="str">
        <x:v>D02884</x:v>
      </x:c>
      <x:c r="B2888" s="19" t="n">
        <x:v>6</x:v>
      </x:c>
      <x:c r="C2888" s="19" t="n">
        <x:v>1</x:v>
      </x:c>
      <x:c r="D2888" s="19" t="str">
        <x:v>C06-M011</x:v>
      </x:c>
      <x:c r="E2888" s="19" t="str">
        <x:v>火蚀巨像·巴洛</x:v>
      </x:c>
      <x:c r="F2888" s="19" t="str">
        <x:v>地图BOSS</x:v>
      </x:c>
      <x:c r="G2888" s="19" t="str">
        <x:v>材料独立候选</x:v>
      </x:c>
      <x:c r="H2888" s="19" t="str">
        <x:v>红狮战印</x:v>
      </x:c>
      <x:c r="I2888" s="22" t="n">
        <x:v>150</x:v>
      </x:c>
      <x:c r="J2888" s="22" t="n">
        <x:v>5</x:v>
      </x:c>
      <x:c r="K2888" s="19" t="n">
        <x:v>1</x:v>
      </x:c>
      <x:c r="L2888" s="24" t="n">
        <x:v>32.605999999999995</x:v>
      </x:c>
      <x:c r="M2888" s="26" t="n">
        <x:v>0.1</x:v>
      </x:c>
      <x:c r="N2888" s="24" t="n">
        <x:v>2</x:v>
      </x:c>
      <x:c r="O2888" s="28" t="n">
        <x:f>MIN(1,L2888/I2888)</x:f>
        <x:v>0.2173733333333333</x:v>
      </x:c>
      <x:c r="P2888" s="30" t="n">
        <x:f>O2888*J2888*(1+M2888)</x:f>
        <x:v>1.1955533333333332</x:v>
      </x:c>
      <x:c r="Q2888" s="30" t="n">
        <x:f>P2888*N2888</x:f>
        <x:v>2.3911066666666665</x:v>
      </x:c>
      <x:c r="R2888" s="19" t="str">
        <x:v>独立判定</x:v>
      </x:c>
    </x:row>
    <x:row r="2889" ht="19" customHeight="1">
      <x:c r="A2889" s="19" t="str">
        <x:v>D02885</x:v>
      </x:c>
      <x:c r="B2889" s="19" t="n">
        <x:v>6</x:v>
      </x:c>
      <x:c r="C2889" s="19" t="n">
        <x:v>1</x:v>
      </x:c>
      <x:c r="D2889" s="19" t="str">
        <x:v>C06-M011</x:v>
      </x:c>
      <x:c r="E2889" s="19" t="str">
        <x:v>火蚀巨像·巴洛</x:v>
      </x:c>
      <x:c r="F2889" s="19" t="str">
        <x:v>地图BOSS</x:v>
      </x:c>
      <x:c r="G2889" s="19" t="str">
        <x:v>材料独立候选</x:v>
      </x:c>
      <x:c r="H2889" s="19" t="str">
        <x:v>龙窟熔牙</x:v>
      </x:c>
      <x:c r="I2889" s="22" t="n">
        <x:v>180</x:v>
      </x:c>
      <x:c r="J2889" s="22" t="n">
        <x:v>3</x:v>
      </x:c>
      <x:c r="K2889" s="19" t="n">
        <x:v>1</x:v>
      </x:c>
      <x:c r="L2889" s="24" t="n">
        <x:v>32.605999999999995</x:v>
      </x:c>
      <x:c r="M2889" s="26" t="n">
        <x:v>0.1</x:v>
      </x:c>
      <x:c r="N2889" s="24" t="n">
        <x:v>2</x:v>
      </x:c>
      <x:c r="O2889" s="28" t="n">
        <x:f>MIN(1,L2889/I2889)</x:f>
        <x:v>0.1811444444444444</x:v>
      </x:c>
      <x:c r="P2889" s="30" t="n">
        <x:f>O2889*J2889*(1+M2889)</x:f>
        <x:v>0.5977766666666666</x:v>
      </x:c>
      <x:c r="Q2889" s="30" t="n">
        <x:f>P2889*N2889</x:f>
        <x:v>1.1955533333333332</x:v>
      </x:c>
      <x:c r="R2889" s="19" t="str">
        <x:v>独立判定</x:v>
      </x:c>
    </x:row>
    <x:row r="2890" ht="19" customHeight="1">
      <x:c r="A2890" s="19" t="str">
        <x:v>D02886</x:v>
      </x:c>
      <x:c r="B2890" s="19" t="n">
        <x:v>6</x:v>
      </x:c>
      <x:c r="C2890" s="19" t="n">
        <x:v>1</x:v>
      </x:c>
      <x:c r="D2890" s="19" t="str">
        <x:v>C06-M011</x:v>
      </x:c>
      <x:c r="E2890" s="19" t="str">
        <x:v>火蚀巨像·巴洛</x:v>
      </x:c>
      <x:c r="F2890" s="19" t="str">
        <x:v>地图BOSS</x:v>
      </x:c>
      <x:c r="G2890" s="19" t="str">
        <x:v>材料独立候选</x:v>
      </x:c>
      <x:c r="H2890" s="19" t="str">
        <x:v>熔原罪火残章</x:v>
      </x:c>
      <x:c r="I2890" s="22" t="n">
        <x:v>500000</x:v>
      </x:c>
      <x:c r="J2890" s="22" t="n">
        <x:v>1</x:v>
      </x:c>
      <x:c r="K2890" s="19" t="n">
        <x:v>1</x:v>
      </x:c>
      <x:c r="L2890" s="24" t="n">
        <x:v>32.605999999999995</x:v>
      </x:c>
      <x:c r="M2890" s="26" t="n">
        <x:v>0.1</x:v>
      </x:c>
      <x:c r="N2890" s="24" t="n">
        <x:v>2</x:v>
      </x:c>
      <x:c r="O2890" s="28" t="n">
        <x:f>MIN(1,L2890/I2890)</x:f>
        <x:v>0.00006521199999999998</x:v>
      </x:c>
      <x:c r="P2890" s="30" t="n">
        <x:f>O2890*J2890*(1+M2890)</x:f>
        <x:v>0.00007173319999999999</x:v>
      </x:c>
      <x:c r="Q2890" s="30" t="n">
        <x:f>P2890*N2890</x:f>
        <x:v>0.00014346639999999997</x:v>
      </x:c>
      <x:c r="R2890" s="19" t="str">
        <x:v>独立判定</x:v>
      </x:c>
    </x:row>
    <x:row r="2891" ht="19" customHeight="1">
      <x:c r="A2891" s="19" t="str">
        <x:v>D02887</x:v>
      </x:c>
      <x:c r="B2891" s="19" t="n">
        <x:v>6</x:v>
      </x:c>
      <x:c r="C2891" s="19" t="n">
        <x:v>1</x:v>
      </x:c>
      <x:c r="D2891" s="19" t="str">
        <x:v>C06-M011</x:v>
      </x:c>
      <x:c r="E2891" s="19" t="str">
        <x:v>火蚀巨像·巴洛</x:v>
      </x:c>
      <x:c r="F2891" s="19" t="str">
        <x:v>地图BOSS</x:v>
      </x:c>
      <x:c r="G2891" s="19" t="str">
        <x:v>材料独立候选</x:v>
      </x:c>
      <x:c r="H2891" s="19" t="str">
        <x:v>黄金树芽</x:v>
      </x:c>
      <x:c r="I2891" s="22" t="n">
        <x:v>500</x:v>
      </x:c>
      <x:c r="J2891" s="22" t="n">
        <x:v>1</x:v>
      </x:c>
      <x:c r="K2891" s="19" t="n">
        <x:v>1</x:v>
      </x:c>
      <x:c r="L2891" s="24" t="n">
        <x:v>32.605999999999995</x:v>
      </x:c>
      <x:c r="M2891" s="26" t="n">
        <x:v>0.1</x:v>
      </x:c>
      <x:c r="N2891" s="24" t="n">
        <x:v>2</x:v>
      </x:c>
      <x:c r="O2891" s="28" t="n">
        <x:f>MIN(1,L2891/I2891)</x:f>
        <x:v>0.06521199999999999</x:v>
      </x:c>
      <x:c r="P2891" s="30" t="n">
        <x:f>O2891*J2891*(1+M2891)</x:f>
        <x:v>0.0717332</x:v>
      </x:c>
      <x:c r="Q2891" s="30" t="n">
        <x:f>P2891*N2891</x:f>
        <x:v>0.1434664</x:v>
      </x:c>
      <x:c r="R2891" s="19" t="str">
        <x:v>独立判定</x:v>
      </x:c>
    </x:row>
    <x:row r="2892" ht="19" customHeight="1">
      <x:c r="A2892" s="19" t="str">
        <x:v>D02888</x:v>
      </x:c>
      <x:c r="B2892" s="19" t="n">
        <x:v>6</x:v>
      </x:c>
      <x:c r="C2892" s="19" t="n">
        <x:v>1</x:v>
      </x:c>
      <x:c r="D2892" s="19" t="str">
        <x:v>C06-M011</x:v>
      </x:c>
      <x:c r="E2892" s="19" t="str">
        <x:v>火蚀巨像·巴洛</x:v>
      </x:c>
      <x:c r="F2892" s="19" t="str">
        <x:v>地图BOSS</x:v>
      </x:c>
      <x:c r="G2892" s="19" t="str">
        <x:v>材料独立候选</x:v>
      </x:c>
      <x:c r="H2892" s="19" t="str">
        <x:v>野兽骨片</x:v>
      </x:c>
      <x:c r="I2892" s="22" t="n">
        <x:v>60</x:v>
      </x:c>
      <x:c r="J2892" s="22" t="n">
        <x:v>5</x:v>
      </x:c>
      <x:c r="K2892" s="19" t="n">
        <x:v>1</x:v>
      </x:c>
      <x:c r="L2892" s="24" t="n">
        <x:v>32.605999999999995</x:v>
      </x:c>
      <x:c r="M2892" s="26" t="n">
        <x:v>0.1</x:v>
      </x:c>
      <x:c r="N2892" s="24" t="n">
        <x:v>2</x:v>
      </x:c>
      <x:c r="O2892" s="28" t="n">
        <x:f>MIN(1,L2892/I2892)</x:f>
        <x:v>0.5434333333333332</x:v>
      </x:c>
      <x:c r="P2892" s="30" t="n">
        <x:f>O2892*J2892*(1+M2892)</x:f>
        <x:v>2.988883333333333</x:v>
      </x:c>
      <x:c r="Q2892" s="30" t="n">
        <x:f>P2892*N2892</x:f>
        <x:v>5.977766666666666</x:v>
      </x:c>
      <x:c r="R2892" s="19" t="str">
        <x:v>独立判定</x:v>
      </x:c>
    </x:row>
    <x:row r="2893" ht="19" customHeight="1">
      <x:c r="A2893" s="19" t="str">
        <x:v>D02889</x:v>
      </x:c>
      <x:c r="B2893" s="19" t="n">
        <x:v>6</x:v>
      </x:c>
      <x:c r="C2893" s="19" t="n">
        <x:v>1</x:v>
      </x:c>
      <x:c r="D2893" s="19" t="str">
        <x:v>C06-M011</x:v>
      </x:c>
      <x:c r="E2893" s="19" t="str">
        <x:v>火蚀巨像·巴洛</x:v>
      </x:c>
      <x:c r="F2893" s="19" t="str">
        <x:v>地图BOSS</x:v>
      </x:c>
      <x:c r="G2893" s="19" t="str">
        <x:v>材料独立候选</x:v>
      </x:c>
      <x:c r="H2893" s="19" t="str">
        <x:v>技能残页</x:v>
      </x:c>
      <x:c r="I2893" s="22" t="n">
        <x:v>300</x:v>
      </x:c>
      <x:c r="J2893" s="22" t="n">
        <x:v>1</x:v>
      </x:c>
      <x:c r="K2893" s="19" t="n">
        <x:v>1</x:v>
      </x:c>
      <x:c r="L2893" s="24" t="n">
        <x:v>32.605999999999995</x:v>
      </x:c>
      <x:c r="M2893" s="26" t="n">
        <x:v>0.1</x:v>
      </x:c>
      <x:c r="N2893" s="24" t="n">
        <x:v>2</x:v>
      </x:c>
      <x:c r="O2893" s="28" t="n">
        <x:f>MIN(1,L2893/I2893)</x:f>
        <x:v>0.10868666666666665</x:v>
      </x:c>
      <x:c r="P2893" s="30" t="n">
        <x:f>O2893*J2893*(1+M2893)</x:f>
        <x:v>0.11955533333333333</x:v>
      </x:c>
      <x:c r="Q2893" s="30" t="n">
        <x:f>P2893*N2893</x:f>
        <x:v>0.23911066666666667</x:v>
      </x:c>
      <x:c r="R2893" s="19" t="str">
        <x:v>独立判定</x:v>
      </x:c>
    </x:row>
    <x:row r="2894" ht="19" customHeight="1">
      <x:c r="A2894" s="19" t="str">
        <x:v>D02890</x:v>
      </x:c>
      <x:c r="B2894" s="19" t="n">
        <x:v>6</x:v>
      </x:c>
      <x:c r="C2894" s="19" t="n">
        <x:v>1</x:v>
      </x:c>
      <x:c r="D2894" s="19" t="str">
        <x:v>C06-M011</x:v>
      </x:c>
      <x:c r="E2894" s="19" t="str">
        <x:v>火蚀巨像·巴洛</x:v>
      </x:c>
      <x:c r="F2894" s="19" t="str">
        <x:v>地图BOSS</x:v>
      </x:c>
      <x:c r="G2894" s="19" t="str">
        <x:v>材料独立候选</x:v>
      </x:c>
      <x:c r="H2894" s="19" t="str">
        <x:v>宁姆格福誓页</x:v>
      </x:c>
      <x:c r="I2894" s="22" t="n">
        <x:v>400</x:v>
      </x:c>
      <x:c r="J2894" s="22" t="n">
        <x:v>1</x:v>
      </x:c>
      <x:c r="K2894" s="19" t="n">
        <x:v>1</x:v>
      </x:c>
      <x:c r="L2894" s="24" t="n">
        <x:v>32.605999999999995</x:v>
      </x:c>
      <x:c r="M2894" s="26" t="n">
        <x:v>0.1</x:v>
      </x:c>
      <x:c r="N2894" s="24" t="n">
        <x:v>2</x:v>
      </x:c>
      <x:c r="O2894" s="28" t="n">
        <x:f>MIN(1,L2894/I2894)</x:f>
        <x:v>0.08151499999999999</x:v>
      </x:c>
      <x:c r="P2894" s="30" t="n">
        <x:f>O2894*J2894*(1+M2894)</x:f>
        <x:v>0.0896665</x:v>
      </x:c>
      <x:c r="Q2894" s="30" t="n">
        <x:f>P2894*N2894</x:f>
        <x:v>0.179333</x:v>
      </x:c>
      <x:c r="R2894" s="19" t="str">
        <x:v>独立判定</x:v>
      </x:c>
    </x:row>
    <x:row r="2895" ht="19" customHeight="1">
      <x:c r="A2895" s="19" t="str">
        <x:v>D02891</x:v>
      </x:c>
      <x:c r="B2895" s="19" t="n">
        <x:v>6</x:v>
      </x:c>
      <x:c r="C2895" s="19" t="n">
        <x:v>1</x:v>
      </x:c>
      <x:c r="D2895" s="19" t="str">
        <x:v>C06-M011</x:v>
      </x:c>
      <x:c r="E2895" s="19" t="str">
        <x:v>火蚀巨像·巴洛</x:v>
      </x:c>
      <x:c r="F2895" s="19" t="str">
        <x:v>地图BOSS</x:v>
      </x:c>
      <x:c r="G2895" s="19" t="str">
        <x:v>材料独立候选</x:v>
      </x:c>
      <x:c r="H2895" s="19" t="str">
        <x:v>小卢恩</x:v>
      </x:c>
      <x:c r="I2895" s="22" t="n">
        <x:v>3000</x:v>
      </x:c>
      <x:c r="J2895" s="22" t="n">
        <x:v>1</x:v>
      </x:c>
      <x:c r="K2895" s="19" t="n">
        <x:v>1</x:v>
      </x:c>
      <x:c r="L2895" s="24" t="n">
        <x:v>32.605999999999995</x:v>
      </x:c>
      <x:c r="M2895" s="26" t="n">
        <x:v>0.1</x:v>
      </x:c>
      <x:c r="N2895" s="24" t="n">
        <x:v>2</x:v>
      </x:c>
      <x:c r="O2895" s="28" t="n">
        <x:f>MIN(1,L2895/I2895)</x:f>
        <x:v>0.010868666666666665</x:v>
      </x:c>
      <x:c r="P2895" s="30" t="n">
        <x:f>O2895*J2895*(1+M2895)</x:f>
        <x:v>0.011955533333333332</x:v>
      </x:c>
      <x:c r="Q2895" s="30" t="n">
        <x:f>P2895*N2895</x:f>
        <x:v>0.023911066666666664</x:v>
      </x:c>
      <x:c r="R2895" s="19" t="str">
        <x:v>独立判定</x:v>
      </x:c>
    </x:row>
    <x:row r="2896" ht="19" customHeight="1">
      <x:c r="A2896" s="19" t="str">
        <x:v>D02892</x:v>
      </x:c>
      <x:c r="B2896" s="19" t="n">
        <x:v>6</x:v>
      </x:c>
      <x:c r="C2896" s="19" t="n">
        <x:v>1</x:v>
      </x:c>
      <x:c r="D2896" s="19" t="str">
        <x:v>C06-M011</x:v>
      </x:c>
      <x:c r="E2896" s="19" t="str">
        <x:v>火蚀巨像·巴洛</x:v>
      </x:c>
      <x:c r="F2896" s="19" t="str">
        <x:v>地图BOSS</x:v>
      </x:c>
      <x:c r="G2896" s="19" t="str">
        <x:v>材料独立候选</x:v>
      </x:c>
      <x:c r="H2896" s="19" t="str">
        <x:v>大卢恩</x:v>
      </x:c>
      <x:c r="I2896" s="22" t="n">
        <x:v>150</x:v>
      </x:c>
      <x:c r="J2896" s="22" t="n">
        <x:v>20</x:v>
      </x:c>
      <x:c r="K2896" s="19" t="n">
        <x:v>1</x:v>
      </x:c>
      <x:c r="L2896" s="24" t="n">
        <x:v>32.605999999999995</x:v>
      </x:c>
      <x:c r="M2896" s="26" t="n">
        <x:v>0.1</x:v>
      </x:c>
      <x:c r="N2896" s="24" t="n">
        <x:v>2</x:v>
      </x:c>
      <x:c r="O2896" s="28" t="n">
        <x:f>MIN(1,L2896/I2896)</x:f>
        <x:v>0.2173733333333333</x:v>
      </x:c>
      <x:c r="P2896" s="30" t="n">
        <x:f>O2896*J2896*(1+M2896)</x:f>
        <x:v>4.782213333333333</x:v>
      </x:c>
      <x:c r="Q2896" s="30" t="n">
        <x:f>P2896*N2896</x:f>
        <x:v>9.564426666666666</x:v>
      </x:c>
      <x:c r="R2896" s="19" t="str">
        <x:v>独立判定</x:v>
      </x:c>
    </x:row>
    <x:row r="2897" ht="19" customHeight="1">
      <x:c r="A2897" s="19" t="str">
        <x:v>D02893</x:v>
      </x:c>
      <x:c r="B2897" s="19" t="n">
        <x:v>6</x:v>
      </x:c>
      <x:c r="C2897" s="19" t="n">
        <x:v>1</x:v>
      </x:c>
      <x:c r="D2897" s="19" t="str">
        <x:v>C06-M011</x:v>
      </x:c>
      <x:c r="E2897" s="19" t="str">
        <x:v>火蚀巨像·巴洛</x:v>
      </x:c>
      <x:c r="F2897" s="19" t="str">
        <x:v>地图BOSS</x:v>
      </x:c>
      <x:c r="G2897" s="19" t="str">
        <x:v>六神器公共池</x:v>
      </x:c>
      <x:c r="H2897" s="19" t="str">
        <x:v>POOL006</x:v>
      </x:c>
      <x:c r="I2897" s="22" t="n">
        <x:v>200000</x:v>
      </x:c>
      <x:c r="J2897" s="22" t="n">
        <x:v>1</x:v>
      </x:c>
      <x:c r="K2897" s="19" t="n">
        <x:v>6</x:v>
      </x:c>
      <x:c r="L2897" s="24" t="n">
        <x:v>32.605999999999995</x:v>
      </x:c>
      <x:c r="M2897" s="26" t="n">
        <x:v>0.1</x:v>
      </x:c>
      <x:c r="N2897" s="24" t="n">
        <x:v>2</x:v>
      </x:c>
      <x:c r="O2897" s="28" t="n">
        <x:f>MIN(1,L2897/I2897)</x:f>
        <x:v>0.00016302999999999996</x:v>
      </x:c>
      <x:c r="P2897" s="30" t="n">
        <x:f>O2897*J2897*(1+M2897)</x:f>
        <x:v>0.00017933299999999997</x:v>
      </x:c>
      <x:c r="Q2897" s="30" t="n">
        <x:f>P2897*N2897</x:f>
        <x:v>0.00035866599999999994</x:v>
      </x:c>
      <x:c r="R2897" s="19" t="str">
        <x:v>六选一；非6个独立爆率</x:v>
      </x:c>
    </x:row>
    <x:row r="2898" ht="19" customHeight="1">
      <x:c r="A2898" s="19" t="str">
        <x:v>D02894</x:v>
      </x:c>
      <x:c r="B2898" s="19" t="n">
        <x:v>6</x:v>
      </x:c>
      <x:c r="C2898" s="19" t="n">
        <x:v>1</x:v>
      </x:c>
      <x:c r="D2898" s="19" t="str">
        <x:v>C06-M012</x:v>
      </x:c>
      <x:c r="E2898" s="19" t="str">
        <x:v>猩红熔母·瑟芮</x:v>
      </x:c>
      <x:c r="F2898" s="19" t="str">
        <x:v>地图BOSS</x:v>
      </x:c>
      <x:c r="G2898" s="19" t="str">
        <x:v>自身专属</x:v>
      </x:c>
      <x:c r="H2898" s="19" t="str">
        <x:v>瑟芮血衣</x:v>
      </x:c>
      <x:c r="I2898" s="22" t="n">
        <x:v>150</x:v>
      </x:c>
      <x:c r="J2898" s="22" t="n">
        <x:v>1</x:v>
      </x:c>
      <x:c r="K2898" s="19" t="n">
        <x:v>1</x:v>
      </x:c>
      <x:c r="L2898" s="24" t="n">
        <x:v>32.605999999999995</x:v>
      </x:c>
      <x:c r="M2898" s="26" t="n">
        <x:v>0.1</x:v>
      </x:c>
      <x:c r="N2898" s="24" t="n">
        <x:v>2</x:v>
      </x:c>
      <x:c r="O2898" s="28" t="n">
        <x:f>MIN(1,L2898/I2898)</x:f>
        <x:v>0.2173733333333333</x:v>
      </x:c>
      <x:c r="P2898" s="30" t="n">
        <x:f>O2898*J2898*(1+M2898)</x:f>
        <x:v>0.23911066666666667</x:v>
      </x:c>
      <x:c r="Q2898" s="30" t="n">
        <x:f>P2898*N2898</x:f>
        <x:v>0.47822133333333333</x:v>
      </x:c>
      <x:c r="R2898" s="19" t="str">
        <x:v>独立判定</x:v>
      </x:c>
    </x:row>
    <x:row r="2899" ht="19" customHeight="1">
      <x:c r="A2899" s="19" t="str">
        <x:v>D02895</x:v>
      </x:c>
      <x:c r="B2899" s="19" t="n">
        <x:v>6</x:v>
      </x:c>
      <x:c r="C2899" s="19" t="n">
        <x:v>1</x:v>
      </x:c>
      <x:c r="D2899" s="19" t="str">
        <x:v>C06-M012</x:v>
      </x:c>
      <x:c r="E2899" s="19" t="str">
        <x:v>猩红熔母·瑟芮</x:v>
      </x:c>
      <x:c r="F2899" s="19" t="str">
        <x:v>地图BOSS</x:v>
      </x:c>
      <x:c r="G2899" s="19" t="str">
        <x:v>自身专属</x:v>
      </x:c>
      <x:c r="H2899" s="19" t="str">
        <x:v>龙焰流冠</x:v>
      </x:c>
      <x:c r="I2899" s="22" t="n">
        <x:v>150</x:v>
      </x:c>
      <x:c r="J2899" s="22" t="n">
        <x:v>1</x:v>
      </x:c>
      <x:c r="K2899" s="19" t="n">
        <x:v>1</x:v>
      </x:c>
      <x:c r="L2899" s="24" t="n">
        <x:v>32.605999999999995</x:v>
      </x:c>
      <x:c r="M2899" s="26" t="n">
        <x:v>0.1</x:v>
      </x:c>
      <x:c r="N2899" s="24" t="n">
        <x:v>2</x:v>
      </x:c>
      <x:c r="O2899" s="28" t="n">
        <x:f>MIN(1,L2899/I2899)</x:f>
        <x:v>0.2173733333333333</x:v>
      </x:c>
      <x:c r="P2899" s="30" t="n">
        <x:f>O2899*J2899*(1+M2899)</x:f>
        <x:v>0.23911066666666667</x:v>
      </x:c>
      <x:c r="Q2899" s="30" t="n">
        <x:f>P2899*N2899</x:f>
        <x:v>0.47822133333333333</x:v>
      </x:c>
      <x:c r="R2899" s="19" t="str">
        <x:v>独立判定</x:v>
      </x:c>
    </x:row>
    <x:row r="2900" ht="19" customHeight="1">
      <x:c r="A2900" s="19" t="str">
        <x:v>D02896</x:v>
      </x:c>
      <x:c r="B2900" s="19" t="n">
        <x:v>6</x:v>
      </x:c>
      <x:c r="C2900" s="19" t="n">
        <x:v>1</x:v>
      </x:c>
      <x:c r="D2900" s="19" t="str">
        <x:v>C06-M012</x:v>
      </x:c>
      <x:c r="E2900" s="19" t="str">
        <x:v>猩红熔母·瑟芮</x:v>
      </x:c>
      <x:c r="F2900" s="19" t="str">
        <x:v>地图BOSS</x:v>
      </x:c>
      <x:c r="G2900" s="19" t="str">
        <x:v>本图普通兼掉候选</x:v>
      </x:c>
      <x:c r="H2900" s="19" t="str">
        <x:v>POOL049</x:v>
      </x:c>
      <x:c r="I2900" s="22" t="n">
        <x:v>80</x:v>
      </x:c>
      <x:c r="J2900" s="22" t="n">
        <x:v>1</x:v>
      </x:c>
      <x:c r="K2900" s="19" t="n">
        <x:v>1</x:v>
      </x:c>
      <x:c r="L2900" s="24" t="n">
        <x:v>32.605999999999995</x:v>
      </x:c>
      <x:c r="M2900" s="26" t="n">
        <x:v>0.1</x:v>
      </x:c>
      <x:c r="N2900" s="24" t="n">
        <x:v>2</x:v>
      </x:c>
      <x:c r="O2900" s="28" t="n">
        <x:f>MIN(1,L2900/I2900)</x:f>
        <x:v>0.4075749999999999</x:v>
      </x:c>
      <x:c r="P2900" s="30" t="n">
        <x:f>O2900*J2900*(1+M2900)</x:f>
        <x:v>0.4483324999999999</x:v>
      </x:c>
      <x:c r="Q2900" s="30" t="n">
        <x:f>P2900*N2900</x:f>
        <x:v>0.8966649999999998</x:v>
      </x:c>
      <x:c r="R2900" s="19" t="str">
        <x:v>单池选一</x:v>
      </x:c>
    </x:row>
    <x:row r="2901" ht="19" customHeight="1">
      <x:c r="A2901" s="19" t="str">
        <x:v>D02897</x:v>
      </x:c>
      <x:c r="B2901" s="19" t="n">
        <x:v>6</x:v>
      </x:c>
      <x:c r="C2901" s="19" t="n">
        <x:v>1</x:v>
      </x:c>
      <x:c r="D2901" s="19" t="str">
        <x:v>C06-M012</x:v>
      </x:c>
      <x:c r="E2901" s="19" t="str">
        <x:v>猩红熔母·瑟芮</x:v>
      </x:c>
      <x:c r="F2901" s="19" t="str">
        <x:v>地图BOSS</x:v>
      </x:c>
      <x:c r="G2901" s="19" t="str">
        <x:v>材料独立候选</x:v>
      </x:c>
      <x:c r="H2901" s="19" t="str">
        <x:v>猩红矿渣</x:v>
      </x:c>
      <x:c r="I2901" s="22" t="n">
        <x:v>180</x:v>
      </x:c>
      <x:c r="J2901" s="22" t="n">
        <x:v>30</x:v>
      </x:c>
      <x:c r="K2901" s="19" t="n">
        <x:v>1</x:v>
      </x:c>
      <x:c r="L2901" s="24" t="n">
        <x:v>32.605999999999995</x:v>
      </x:c>
      <x:c r="M2901" s="26" t="n">
        <x:v>0.1</x:v>
      </x:c>
      <x:c r="N2901" s="24" t="n">
        <x:v>2</x:v>
      </x:c>
      <x:c r="O2901" s="28" t="n">
        <x:f>MIN(1,L2901/I2901)</x:f>
        <x:v>0.1811444444444444</x:v>
      </x:c>
      <x:c r="P2901" s="30" t="n">
        <x:f>O2901*J2901*(1+M2901)</x:f>
        <x:v>5.977766666666666</x:v>
      </x:c>
      <x:c r="Q2901" s="30" t="n">
        <x:f>P2901*N2901</x:f>
        <x:v>11.955533333333332</x:v>
      </x:c>
      <x:c r="R2901" s="19" t="str">
        <x:v>独立判定</x:v>
      </x:c>
    </x:row>
    <x:row r="2902" ht="19" customHeight="1">
      <x:c r="A2902" s="19" t="str">
        <x:v>D02898</x:v>
      </x:c>
      <x:c r="B2902" s="19" t="n">
        <x:v>6</x:v>
      </x:c>
      <x:c r="C2902" s="19" t="n">
        <x:v>1</x:v>
      </x:c>
      <x:c r="D2902" s="19" t="str">
        <x:v>C06-M012</x:v>
      </x:c>
      <x:c r="E2902" s="19" t="str">
        <x:v>猩红熔母·瑟芮</x:v>
      </x:c>
      <x:c r="F2902" s="19" t="str">
        <x:v>地图BOSS</x:v>
      </x:c>
      <x:c r="G2902" s="19" t="str">
        <x:v>材料独立候选</x:v>
      </x:c>
      <x:c r="H2902" s="19" t="str">
        <x:v>龙火鳞</x:v>
      </x:c>
      <x:c r="I2902" s="22" t="n">
        <x:v>500</x:v>
      </x:c>
      <x:c r="J2902" s="22" t="n">
        <x:v>1</x:v>
      </x:c>
      <x:c r="K2902" s="19" t="n">
        <x:v>1</x:v>
      </x:c>
      <x:c r="L2902" s="24" t="n">
        <x:v>32.605999999999995</x:v>
      </x:c>
      <x:c r="M2902" s="26" t="n">
        <x:v>0.1</x:v>
      </x:c>
      <x:c r="N2902" s="24" t="n">
        <x:v>2</x:v>
      </x:c>
      <x:c r="O2902" s="28" t="n">
        <x:f>MIN(1,L2902/I2902)</x:f>
        <x:v>0.06521199999999999</x:v>
      </x:c>
      <x:c r="P2902" s="30" t="n">
        <x:f>O2902*J2902*(1+M2902)</x:f>
        <x:v>0.0717332</x:v>
      </x:c>
      <x:c r="Q2902" s="30" t="n">
        <x:f>P2902*N2902</x:f>
        <x:v>0.1434664</x:v>
      </x:c>
      <x:c r="R2902" s="19" t="str">
        <x:v>独立判定</x:v>
      </x:c>
    </x:row>
    <x:row r="2903" ht="19" customHeight="1">
      <x:c r="A2903" s="19" t="str">
        <x:v>D02899</x:v>
      </x:c>
      <x:c r="B2903" s="19" t="n">
        <x:v>6</x:v>
      </x:c>
      <x:c r="C2903" s="19" t="n">
        <x:v>1</x:v>
      </x:c>
      <x:c r="D2903" s="19" t="str">
        <x:v>C06-M012</x:v>
      </x:c>
      <x:c r="E2903" s="19" t="str">
        <x:v>猩红熔母·瑟芮</x:v>
      </x:c>
      <x:c r="F2903" s="19" t="str">
        <x:v>地图BOSS</x:v>
      </x:c>
      <x:c r="G2903" s="19" t="str">
        <x:v>材料独立候选</x:v>
      </x:c>
      <x:c r="H2903" s="19" t="str">
        <x:v>红狮战印</x:v>
      </x:c>
      <x:c r="I2903" s="22" t="n">
        <x:v>150</x:v>
      </x:c>
      <x:c r="J2903" s="22" t="n">
        <x:v>5</x:v>
      </x:c>
      <x:c r="K2903" s="19" t="n">
        <x:v>1</x:v>
      </x:c>
      <x:c r="L2903" s="24" t="n">
        <x:v>32.605999999999995</x:v>
      </x:c>
      <x:c r="M2903" s="26" t="n">
        <x:v>0.1</x:v>
      </x:c>
      <x:c r="N2903" s="24" t="n">
        <x:v>2</x:v>
      </x:c>
      <x:c r="O2903" s="28" t="n">
        <x:f>MIN(1,L2903/I2903)</x:f>
        <x:v>0.2173733333333333</x:v>
      </x:c>
      <x:c r="P2903" s="30" t="n">
        <x:f>O2903*J2903*(1+M2903)</x:f>
        <x:v>1.1955533333333332</x:v>
      </x:c>
      <x:c r="Q2903" s="30" t="n">
        <x:f>P2903*N2903</x:f>
        <x:v>2.3911066666666665</x:v>
      </x:c>
      <x:c r="R2903" s="19" t="str">
        <x:v>独立判定</x:v>
      </x:c>
    </x:row>
    <x:row r="2904" ht="19" customHeight="1">
      <x:c r="A2904" s="19" t="str">
        <x:v>D02900</x:v>
      </x:c>
      <x:c r="B2904" s="19" t="n">
        <x:v>6</x:v>
      </x:c>
      <x:c r="C2904" s="19" t="n">
        <x:v>1</x:v>
      </x:c>
      <x:c r="D2904" s="19" t="str">
        <x:v>C06-M012</x:v>
      </x:c>
      <x:c r="E2904" s="19" t="str">
        <x:v>猩红熔母·瑟芮</x:v>
      </x:c>
      <x:c r="F2904" s="19" t="str">
        <x:v>地图BOSS</x:v>
      </x:c>
      <x:c r="G2904" s="19" t="str">
        <x:v>材料独立候选</x:v>
      </x:c>
      <x:c r="H2904" s="19" t="str">
        <x:v>龙窟熔牙</x:v>
      </x:c>
      <x:c r="I2904" s="22" t="n">
        <x:v>180</x:v>
      </x:c>
      <x:c r="J2904" s="22" t="n">
        <x:v>3</x:v>
      </x:c>
      <x:c r="K2904" s="19" t="n">
        <x:v>1</x:v>
      </x:c>
      <x:c r="L2904" s="24" t="n">
        <x:v>32.605999999999995</x:v>
      </x:c>
      <x:c r="M2904" s="26" t="n">
        <x:v>0.1</x:v>
      </x:c>
      <x:c r="N2904" s="24" t="n">
        <x:v>2</x:v>
      </x:c>
      <x:c r="O2904" s="28" t="n">
        <x:f>MIN(1,L2904/I2904)</x:f>
        <x:v>0.1811444444444444</x:v>
      </x:c>
      <x:c r="P2904" s="30" t="n">
        <x:f>O2904*J2904*(1+M2904)</x:f>
        <x:v>0.5977766666666666</x:v>
      </x:c>
      <x:c r="Q2904" s="30" t="n">
        <x:f>P2904*N2904</x:f>
        <x:v>1.1955533333333332</x:v>
      </x:c>
      <x:c r="R2904" s="19" t="str">
        <x:v>独立判定</x:v>
      </x:c>
    </x:row>
    <x:row r="2905" ht="19" customHeight="1">
      <x:c r="A2905" s="19" t="str">
        <x:v>D02901</x:v>
      </x:c>
      <x:c r="B2905" s="19" t="n">
        <x:v>6</x:v>
      </x:c>
      <x:c r="C2905" s="19" t="n">
        <x:v>1</x:v>
      </x:c>
      <x:c r="D2905" s="19" t="str">
        <x:v>C06-M012</x:v>
      </x:c>
      <x:c r="E2905" s="19" t="str">
        <x:v>猩红熔母·瑟芮</x:v>
      </x:c>
      <x:c r="F2905" s="19" t="str">
        <x:v>地图BOSS</x:v>
      </x:c>
      <x:c r="G2905" s="19" t="str">
        <x:v>材料独立候选</x:v>
      </x:c>
      <x:c r="H2905" s="19" t="str">
        <x:v>熔原罪火残章</x:v>
      </x:c>
      <x:c r="I2905" s="22" t="n">
        <x:v>500000</x:v>
      </x:c>
      <x:c r="J2905" s="22" t="n">
        <x:v>1</x:v>
      </x:c>
      <x:c r="K2905" s="19" t="n">
        <x:v>1</x:v>
      </x:c>
      <x:c r="L2905" s="24" t="n">
        <x:v>32.605999999999995</x:v>
      </x:c>
      <x:c r="M2905" s="26" t="n">
        <x:v>0.1</x:v>
      </x:c>
      <x:c r="N2905" s="24" t="n">
        <x:v>2</x:v>
      </x:c>
      <x:c r="O2905" s="28" t="n">
        <x:f>MIN(1,L2905/I2905)</x:f>
        <x:v>0.00006521199999999998</x:v>
      </x:c>
      <x:c r="P2905" s="30" t="n">
        <x:f>O2905*J2905*(1+M2905)</x:f>
        <x:v>0.00007173319999999999</x:v>
      </x:c>
      <x:c r="Q2905" s="30" t="n">
        <x:f>P2905*N2905</x:f>
        <x:v>0.00014346639999999997</x:v>
      </x:c>
      <x:c r="R2905" s="19" t="str">
        <x:v>独立判定</x:v>
      </x:c>
    </x:row>
    <x:row r="2906" ht="19" customHeight="1">
      <x:c r="A2906" s="19" t="str">
        <x:v>D02902</x:v>
      </x:c>
      <x:c r="B2906" s="19" t="n">
        <x:v>6</x:v>
      </x:c>
      <x:c r="C2906" s="19" t="n">
        <x:v>1</x:v>
      </x:c>
      <x:c r="D2906" s="19" t="str">
        <x:v>C06-M012</x:v>
      </x:c>
      <x:c r="E2906" s="19" t="str">
        <x:v>猩红熔母·瑟芮</x:v>
      </x:c>
      <x:c r="F2906" s="19" t="str">
        <x:v>地图BOSS</x:v>
      </x:c>
      <x:c r="G2906" s="19" t="str">
        <x:v>材料独立候选</x:v>
      </x:c>
      <x:c r="H2906" s="19" t="str">
        <x:v>黄金树芽</x:v>
      </x:c>
      <x:c r="I2906" s="22" t="n">
        <x:v>500</x:v>
      </x:c>
      <x:c r="J2906" s="22" t="n">
        <x:v>1</x:v>
      </x:c>
      <x:c r="K2906" s="19" t="n">
        <x:v>1</x:v>
      </x:c>
      <x:c r="L2906" s="24" t="n">
        <x:v>32.605999999999995</x:v>
      </x:c>
      <x:c r="M2906" s="26" t="n">
        <x:v>0.1</x:v>
      </x:c>
      <x:c r="N2906" s="24" t="n">
        <x:v>2</x:v>
      </x:c>
      <x:c r="O2906" s="28" t="n">
        <x:f>MIN(1,L2906/I2906)</x:f>
        <x:v>0.06521199999999999</x:v>
      </x:c>
      <x:c r="P2906" s="30" t="n">
        <x:f>O2906*J2906*(1+M2906)</x:f>
        <x:v>0.0717332</x:v>
      </x:c>
      <x:c r="Q2906" s="30" t="n">
        <x:f>P2906*N2906</x:f>
        <x:v>0.1434664</x:v>
      </x:c>
      <x:c r="R2906" s="19" t="str">
        <x:v>独立判定</x:v>
      </x:c>
    </x:row>
    <x:row r="2907" ht="19" customHeight="1">
      <x:c r="A2907" s="19" t="str">
        <x:v>D02903</x:v>
      </x:c>
      <x:c r="B2907" s="19" t="n">
        <x:v>6</x:v>
      </x:c>
      <x:c r="C2907" s="19" t="n">
        <x:v>1</x:v>
      </x:c>
      <x:c r="D2907" s="19" t="str">
        <x:v>C06-M012</x:v>
      </x:c>
      <x:c r="E2907" s="19" t="str">
        <x:v>猩红熔母·瑟芮</x:v>
      </x:c>
      <x:c r="F2907" s="19" t="str">
        <x:v>地图BOSS</x:v>
      </x:c>
      <x:c r="G2907" s="19" t="str">
        <x:v>材料独立候选</x:v>
      </x:c>
      <x:c r="H2907" s="19" t="str">
        <x:v>野兽骨片</x:v>
      </x:c>
      <x:c r="I2907" s="22" t="n">
        <x:v>60</x:v>
      </x:c>
      <x:c r="J2907" s="22" t="n">
        <x:v>5</x:v>
      </x:c>
      <x:c r="K2907" s="19" t="n">
        <x:v>1</x:v>
      </x:c>
      <x:c r="L2907" s="24" t="n">
        <x:v>32.605999999999995</x:v>
      </x:c>
      <x:c r="M2907" s="26" t="n">
        <x:v>0.1</x:v>
      </x:c>
      <x:c r="N2907" s="24" t="n">
        <x:v>2</x:v>
      </x:c>
      <x:c r="O2907" s="28" t="n">
        <x:f>MIN(1,L2907/I2907)</x:f>
        <x:v>0.5434333333333332</x:v>
      </x:c>
      <x:c r="P2907" s="30" t="n">
        <x:f>O2907*J2907*(1+M2907)</x:f>
        <x:v>2.988883333333333</x:v>
      </x:c>
      <x:c r="Q2907" s="30" t="n">
        <x:f>P2907*N2907</x:f>
        <x:v>5.977766666666666</x:v>
      </x:c>
      <x:c r="R2907" s="19" t="str">
        <x:v>独立判定</x:v>
      </x:c>
    </x:row>
    <x:row r="2908" ht="19" customHeight="1">
      <x:c r="A2908" s="19" t="str">
        <x:v>D02904</x:v>
      </x:c>
      <x:c r="B2908" s="19" t="n">
        <x:v>6</x:v>
      </x:c>
      <x:c r="C2908" s="19" t="n">
        <x:v>1</x:v>
      </x:c>
      <x:c r="D2908" s="19" t="str">
        <x:v>C06-M012</x:v>
      </x:c>
      <x:c r="E2908" s="19" t="str">
        <x:v>猩红熔母·瑟芮</x:v>
      </x:c>
      <x:c r="F2908" s="19" t="str">
        <x:v>地图BOSS</x:v>
      </x:c>
      <x:c r="G2908" s="19" t="str">
        <x:v>材料独立候选</x:v>
      </x:c>
      <x:c r="H2908" s="19" t="str">
        <x:v>技能残页</x:v>
      </x:c>
      <x:c r="I2908" s="22" t="n">
        <x:v>300</x:v>
      </x:c>
      <x:c r="J2908" s="22" t="n">
        <x:v>1</x:v>
      </x:c>
      <x:c r="K2908" s="19" t="n">
        <x:v>1</x:v>
      </x:c>
      <x:c r="L2908" s="24" t="n">
        <x:v>32.605999999999995</x:v>
      </x:c>
      <x:c r="M2908" s="26" t="n">
        <x:v>0.1</x:v>
      </x:c>
      <x:c r="N2908" s="24" t="n">
        <x:v>2</x:v>
      </x:c>
      <x:c r="O2908" s="28" t="n">
        <x:f>MIN(1,L2908/I2908)</x:f>
        <x:v>0.10868666666666665</x:v>
      </x:c>
      <x:c r="P2908" s="30" t="n">
        <x:f>O2908*J2908*(1+M2908)</x:f>
        <x:v>0.11955533333333333</x:v>
      </x:c>
      <x:c r="Q2908" s="30" t="n">
        <x:f>P2908*N2908</x:f>
        <x:v>0.23911066666666667</x:v>
      </x:c>
      <x:c r="R2908" s="19" t="str">
        <x:v>独立判定</x:v>
      </x:c>
    </x:row>
    <x:row r="2909" ht="19" customHeight="1">
      <x:c r="A2909" s="19" t="str">
        <x:v>D02905</x:v>
      </x:c>
      <x:c r="B2909" s="19" t="n">
        <x:v>6</x:v>
      </x:c>
      <x:c r="C2909" s="19" t="n">
        <x:v>1</x:v>
      </x:c>
      <x:c r="D2909" s="19" t="str">
        <x:v>C06-M012</x:v>
      </x:c>
      <x:c r="E2909" s="19" t="str">
        <x:v>猩红熔母·瑟芮</x:v>
      </x:c>
      <x:c r="F2909" s="19" t="str">
        <x:v>地图BOSS</x:v>
      </x:c>
      <x:c r="G2909" s="19" t="str">
        <x:v>材料独立候选</x:v>
      </x:c>
      <x:c r="H2909" s="19" t="str">
        <x:v>宁姆格福誓页</x:v>
      </x:c>
      <x:c r="I2909" s="22" t="n">
        <x:v>400</x:v>
      </x:c>
      <x:c r="J2909" s="22" t="n">
        <x:v>1</x:v>
      </x:c>
      <x:c r="K2909" s="19" t="n">
        <x:v>1</x:v>
      </x:c>
      <x:c r="L2909" s="24" t="n">
        <x:v>32.605999999999995</x:v>
      </x:c>
      <x:c r="M2909" s="26" t="n">
        <x:v>0.1</x:v>
      </x:c>
      <x:c r="N2909" s="24" t="n">
        <x:v>2</x:v>
      </x:c>
      <x:c r="O2909" s="28" t="n">
        <x:f>MIN(1,L2909/I2909)</x:f>
        <x:v>0.08151499999999999</x:v>
      </x:c>
      <x:c r="P2909" s="30" t="n">
        <x:f>O2909*J2909*(1+M2909)</x:f>
        <x:v>0.0896665</x:v>
      </x:c>
      <x:c r="Q2909" s="30" t="n">
        <x:f>P2909*N2909</x:f>
        <x:v>0.179333</x:v>
      </x:c>
      <x:c r="R2909" s="19" t="str">
        <x:v>独立判定</x:v>
      </x:c>
    </x:row>
    <x:row r="2910" ht="19" customHeight="1">
      <x:c r="A2910" s="19" t="str">
        <x:v>D02906</x:v>
      </x:c>
      <x:c r="B2910" s="19" t="n">
        <x:v>6</x:v>
      </x:c>
      <x:c r="C2910" s="19" t="n">
        <x:v>1</x:v>
      </x:c>
      <x:c r="D2910" s="19" t="str">
        <x:v>C06-M012</x:v>
      </x:c>
      <x:c r="E2910" s="19" t="str">
        <x:v>猩红熔母·瑟芮</x:v>
      </x:c>
      <x:c r="F2910" s="19" t="str">
        <x:v>地图BOSS</x:v>
      </x:c>
      <x:c r="G2910" s="19" t="str">
        <x:v>材料独立候选</x:v>
      </x:c>
      <x:c r="H2910" s="19" t="str">
        <x:v>小卢恩</x:v>
      </x:c>
      <x:c r="I2910" s="22" t="n">
        <x:v>3000</x:v>
      </x:c>
      <x:c r="J2910" s="22" t="n">
        <x:v>1</x:v>
      </x:c>
      <x:c r="K2910" s="19" t="n">
        <x:v>1</x:v>
      </x:c>
      <x:c r="L2910" s="24" t="n">
        <x:v>32.605999999999995</x:v>
      </x:c>
      <x:c r="M2910" s="26" t="n">
        <x:v>0.1</x:v>
      </x:c>
      <x:c r="N2910" s="24" t="n">
        <x:v>2</x:v>
      </x:c>
      <x:c r="O2910" s="28" t="n">
        <x:f>MIN(1,L2910/I2910)</x:f>
        <x:v>0.010868666666666665</x:v>
      </x:c>
      <x:c r="P2910" s="30" t="n">
        <x:f>O2910*J2910*(1+M2910)</x:f>
        <x:v>0.011955533333333332</x:v>
      </x:c>
      <x:c r="Q2910" s="30" t="n">
        <x:f>P2910*N2910</x:f>
        <x:v>0.023911066666666664</x:v>
      </x:c>
      <x:c r="R2910" s="19" t="str">
        <x:v>独立判定</x:v>
      </x:c>
    </x:row>
    <x:row r="2911" ht="19" customHeight="1">
      <x:c r="A2911" s="19" t="str">
        <x:v>D02907</x:v>
      </x:c>
      <x:c r="B2911" s="19" t="n">
        <x:v>6</x:v>
      </x:c>
      <x:c r="C2911" s="19" t="n">
        <x:v>1</x:v>
      </x:c>
      <x:c r="D2911" s="19" t="str">
        <x:v>C06-M012</x:v>
      </x:c>
      <x:c r="E2911" s="19" t="str">
        <x:v>猩红熔母·瑟芮</x:v>
      </x:c>
      <x:c r="F2911" s="19" t="str">
        <x:v>地图BOSS</x:v>
      </x:c>
      <x:c r="G2911" s="19" t="str">
        <x:v>材料独立候选</x:v>
      </x:c>
      <x:c r="H2911" s="19" t="str">
        <x:v>大卢恩</x:v>
      </x:c>
      <x:c r="I2911" s="22" t="n">
        <x:v>150</x:v>
      </x:c>
      <x:c r="J2911" s="22" t="n">
        <x:v>20</x:v>
      </x:c>
      <x:c r="K2911" s="19" t="n">
        <x:v>1</x:v>
      </x:c>
      <x:c r="L2911" s="24" t="n">
        <x:v>32.605999999999995</x:v>
      </x:c>
      <x:c r="M2911" s="26" t="n">
        <x:v>0.1</x:v>
      </x:c>
      <x:c r="N2911" s="24" t="n">
        <x:v>2</x:v>
      </x:c>
      <x:c r="O2911" s="28" t="n">
        <x:f>MIN(1,L2911/I2911)</x:f>
        <x:v>0.2173733333333333</x:v>
      </x:c>
      <x:c r="P2911" s="30" t="n">
        <x:f>O2911*J2911*(1+M2911)</x:f>
        <x:v>4.782213333333333</x:v>
      </x:c>
      <x:c r="Q2911" s="30" t="n">
        <x:f>P2911*N2911</x:f>
        <x:v>9.564426666666666</x:v>
      </x:c>
      <x:c r="R2911" s="19" t="str">
        <x:v>独立判定</x:v>
      </x:c>
    </x:row>
    <x:row r="2912" ht="19" customHeight="1">
      <x:c r="A2912" s="19" t="str">
        <x:v>D02908</x:v>
      </x:c>
      <x:c r="B2912" s="19" t="n">
        <x:v>6</x:v>
      </x:c>
      <x:c r="C2912" s="19" t="n">
        <x:v>1</x:v>
      </x:c>
      <x:c r="D2912" s="19" t="str">
        <x:v>C06-M012</x:v>
      </x:c>
      <x:c r="E2912" s="19" t="str">
        <x:v>猩红熔母·瑟芮</x:v>
      </x:c>
      <x:c r="F2912" s="19" t="str">
        <x:v>地图BOSS</x:v>
      </x:c>
      <x:c r="G2912" s="19" t="str">
        <x:v>六神器公共池</x:v>
      </x:c>
      <x:c r="H2912" s="19" t="str">
        <x:v>POOL006</x:v>
      </x:c>
      <x:c r="I2912" s="22" t="n">
        <x:v>200000</x:v>
      </x:c>
      <x:c r="J2912" s="22" t="n">
        <x:v>1</x:v>
      </x:c>
      <x:c r="K2912" s="19" t="n">
        <x:v>6</x:v>
      </x:c>
      <x:c r="L2912" s="24" t="n">
        <x:v>32.605999999999995</x:v>
      </x:c>
      <x:c r="M2912" s="26" t="n">
        <x:v>0.1</x:v>
      </x:c>
      <x:c r="N2912" s="24" t="n">
        <x:v>2</x:v>
      </x:c>
      <x:c r="O2912" s="28" t="n">
        <x:f>MIN(1,L2912/I2912)</x:f>
        <x:v>0.00016302999999999996</x:v>
      </x:c>
      <x:c r="P2912" s="30" t="n">
        <x:f>O2912*J2912*(1+M2912)</x:f>
        <x:v>0.00017933299999999997</x:v>
      </x:c>
      <x:c r="Q2912" s="30" t="n">
        <x:f>P2912*N2912</x:f>
        <x:v>0.00035866599999999994</x:v>
      </x:c>
      <x:c r="R2912" s="19" t="str">
        <x:v>六选一；非6个独立爆率</x:v>
      </x:c>
    </x:row>
    <x:row r="2913" ht="19" customHeight="1">
      <x:c r="A2913" s="19" t="str">
        <x:v>D02909</x:v>
      </x:c>
      <x:c r="B2913" s="19" t="n">
        <x:v>6</x:v>
      </x:c>
      <x:c r="C2913" s="19" t="n">
        <x:v>2</x:v>
      </x:c>
      <x:c r="D2913" s="19" t="str">
        <x:v>C06-M013</x:v>
      </x:c>
      <x:c r="E2913" s="19" t="str">
        <x:v>腐狱囚徒</x:v>
      </x:c>
      <x:c r="F2913" s="19" t="str">
        <x:v>普通</x:v>
      </x:c>
      <x:c r="G2913" s="19" t="str">
        <x:v>自身专属</x:v>
      </x:c>
      <x:c r="H2913" s="19" t="str">
        <x:v>腐狱铁链</x:v>
      </x:c>
      <x:c r="I2913" s="22" t="n">
        <x:v>3000</x:v>
      </x:c>
      <x:c r="J2913" s="22" t="n">
        <x:v>1</x:v>
      </x:c>
      <x:c r="K2913" s="19" t="n">
        <x:v>1</x:v>
      </x:c>
      <x:c r="L2913" s="24" t="n">
        <x:v>34.986</x:v>
      </x:c>
      <x:c r="M2913" s="26" t="n">
        <x:v>0.1</x:v>
      </x:c>
      <x:c r="N2913" s="24" t="n">
        <x:v>72</x:v>
      </x:c>
      <x:c r="O2913" s="28" t="n">
        <x:f>MIN(1,L2913/I2913)</x:f>
        <x:v>0.011661999999999999</x:v>
      </x:c>
      <x:c r="P2913" s="30" t="n">
        <x:f>O2913*J2913*(1+M2913)</x:f>
        <x:v>0.0128282</x:v>
      </x:c>
      <x:c r="Q2913" s="30" t="n">
        <x:f>P2913*N2913</x:f>
        <x:v>0.9236304</x:v>
      </x:c>
      <x:c r="R2913" s="19" t="str">
        <x:v>独立判定</x:v>
      </x:c>
    </x:row>
    <x:row r="2914" ht="19" customHeight="1">
      <x:c r="A2914" s="19" t="str">
        <x:v>D02910</x:v>
      </x:c>
      <x:c r="B2914" s="19" t="n">
        <x:v>6</x:v>
      </x:c>
      <x:c r="C2914" s="19" t="n">
        <x:v>2</x:v>
      </x:c>
      <x:c r="D2914" s="19" t="str">
        <x:v>C06-M013</x:v>
      </x:c>
      <x:c r="E2914" s="19" t="str">
        <x:v>腐狱囚徒</x:v>
      </x:c>
      <x:c r="F2914" s="19" t="str">
        <x:v>普通</x:v>
      </x:c>
      <x:c r="G2914" s="19" t="str">
        <x:v>材料独立候选</x:v>
      </x:c>
      <x:c r="H2914" s="19" t="str">
        <x:v>猩红矿渣</x:v>
      </x:c>
      <x:c r="I2914" s="22" t="n">
        <x:v>600</x:v>
      </x:c>
      <x:c r="J2914" s="22" t="n">
        <x:v>8</x:v>
      </x:c>
      <x:c r="K2914" s="19" t="n">
        <x:v>1</x:v>
      </x:c>
      <x:c r="L2914" s="24" t="n">
        <x:v>34.986</x:v>
      </x:c>
      <x:c r="M2914" s="26" t="n">
        <x:v>0.1</x:v>
      </x:c>
      <x:c r="N2914" s="24" t="n">
        <x:v>72</x:v>
      </x:c>
      <x:c r="O2914" s="28" t="n">
        <x:f>MIN(1,L2914/I2914)</x:f>
        <x:v>0.058309999999999994</x:v>
      </x:c>
      <x:c r="P2914" s="30" t="n">
        <x:f>O2914*J2914*(1+M2914)</x:f>
        <x:v>0.513128</x:v>
      </x:c>
      <x:c r="Q2914" s="30" t="n">
        <x:f>P2914*N2914</x:f>
        <x:v>36.945216</x:v>
      </x:c>
      <x:c r="R2914" s="19" t="str">
        <x:v>独立判定</x:v>
      </x:c>
    </x:row>
    <x:row r="2915" ht="19" customHeight="1">
      <x:c r="A2915" s="19" t="str">
        <x:v>D02911</x:v>
      </x:c>
      <x:c r="B2915" s="19" t="n">
        <x:v>6</x:v>
      </x:c>
      <x:c r="C2915" s="19" t="n">
        <x:v>2</x:v>
      </x:c>
      <x:c r="D2915" s="19" t="str">
        <x:v>C06-M013</x:v>
      </x:c>
      <x:c r="E2915" s="19" t="str">
        <x:v>腐狱囚徒</x:v>
      </x:c>
      <x:c r="F2915" s="19" t="str">
        <x:v>普通</x:v>
      </x:c>
      <x:c r="G2915" s="19" t="str">
        <x:v>材料独立候选</x:v>
      </x:c>
      <x:c r="H2915" s="19" t="str">
        <x:v>红狮断箭</x:v>
      </x:c>
      <x:c r="I2915" s="22" t="n">
        <x:v>1800</x:v>
      </x:c>
      <x:c r="J2915" s="22" t="n">
        <x:v>1</x:v>
      </x:c>
      <x:c r="K2915" s="19" t="n">
        <x:v>1</x:v>
      </x:c>
      <x:c r="L2915" s="24" t="n">
        <x:v>34.986</x:v>
      </x:c>
      <x:c r="M2915" s="26" t="n">
        <x:v>0.1</x:v>
      </x:c>
      <x:c r="N2915" s="24" t="n">
        <x:v>72</x:v>
      </x:c>
      <x:c r="O2915" s="28" t="n">
        <x:f>MIN(1,L2915/I2915)</x:f>
        <x:v>0.019436666666666665</x:v>
      </x:c>
      <x:c r="P2915" s="30" t="n">
        <x:f>O2915*J2915*(1+M2915)</x:f>
        <x:v>0.02138033333333333</x:v>
      </x:c>
      <x:c r="Q2915" s="30" t="n">
        <x:f>P2915*N2915</x:f>
        <x:v>1.5393839999999999</x:v>
      </x:c>
      <x:c r="R2915" s="19" t="str">
        <x:v>独立判定</x:v>
      </x:c>
    </x:row>
    <x:row r="2916" ht="19" customHeight="1">
      <x:c r="A2916" s="19" t="str">
        <x:v>D02912</x:v>
      </x:c>
      <x:c r="B2916" s="19" t="n">
        <x:v>6</x:v>
      </x:c>
      <x:c r="C2916" s="19" t="n">
        <x:v>2</x:v>
      </x:c>
      <x:c r="D2916" s="19" t="str">
        <x:v>C06-M013</x:v>
      </x:c>
      <x:c r="E2916" s="19" t="str">
        <x:v>腐狱囚徒</x:v>
      </x:c>
      <x:c r="F2916" s="19" t="str">
        <x:v>普通</x:v>
      </x:c>
      <x:c r="G2916" s="19" t="str">
        <x:v>材料独立候选</x:v>
      </x:c>
      <x:c r="H2916" s="19" t="str">
        <x:v>熔原罪火残章</x:v>
      </x:c>
      <x:c r="I2916" s="22" t="n">
        <x:v>1500000</x:v>
      </x:c>
      <x:c r="J2916" s="22" t="n">
        <x:v>1</x:v>
      </x:c>
      <x:c r="K2916" s="19" t="n">
        <x:v>1</x:v>
      </x:c>
      <x:c r="L2916" s="24" t="n">
        <x:v>34.986</x:v>
      </x:c>
      <x:c r="M2916" s="26" t="n">
        <x:v>0.1</x:v>
      </x:c>
      <x:c r="N2916" s="24" t="n">
        <x:v>72</x:v>
      </x:c>
      <x:c r="O2916" s="28" t="n">
        <x:f>MIN(1,L2916/I2916)</x:f>
        <x:v>0.000023324</x:v>
      </x:c>
      <x:c r="P2916" s="30" t="n">
        <x:f>O2916*J2916*(1+M2916)</x:f>
        <x:v>0.0000256564</x:v>
      </x:c>
      <x:c r="Q2916" s="30" t="n">
        <x:f>P2916*N2916</x:f>
        <x:v>0.0018472608000000001</x:v>
      </x:c>
      <x:c r="R2916" s="19" t="str">
        <x:v>独立判定</x:v>
      </x:c>
    </x:row>
    <x:row r="2917" ht="19" customHeight="1">
      <x:c r="A2917" s="19" t="str">
        <x:v>D02913</x:v>
      </x:c>
      <x:c r="B2917" s="19" t="n">
        <x:v>6</x:v>
      </x:c>
      <x:c r="C2917" s="19" t="n">
        <x:v>2</x:v>
      </x:c>
      <x:c r="D2917" s="19" t="str">
        <x:v>C06-M013</x:v>
      </x:c>
      <x:c r="E2917" s="19" t="str">
        <x:v>腐狱囚徒</x:v>
      </x:c>
      <x:c r="F2917" s="19" t="str">
        <x:v>普通</x:v>
      </x:c>
      <x:c r="G2917" s="19" t="str">
        <x:v>材料独立候选</x:v>
      </x:c>
      <x:c r="H2917" s="19" t="str">
        <x:v>野兽骨片</x:v>
      </x:c>
      <x:c r="I2917" s="22" t="n">
        <x:v>180</x:v>
      </x:c>
      <x:c r="J2917" s="22" t="n">
        <x:v>5</x:v>
      </x:c>
      <x:c r="K2917" s="19" t="n">
        <x:v>1</x:v>
      </x:c>
      <x:c r="L2917" s="24" t="n">
        <x:v>34.986</x:v>
      </x:c>
      <x:c r="M2917" s="26" t="n">
        <x:v>0.1</x:v>
      </x:c>
      <x:c r="N2917" s="24" t="n">
        <x:v>72</x:v>
      </x:c>
      <x:c r="O2917" s="28" t="n">
        <x:f>MIN(1,L2917/I2917)</x:f>
        <x:v>0.19436666666666666</x:v>
      </x:c>
      <x:c r="P2917" s="30" t="n">
        <x:f>O2917*J2917*(1+M2917)</x:f>
        <x:v>1.0690166666666667</x:v>
      </x:c>
      <x:c r="Q2917" s="30" t="n">
        <x:f>P2917*N2917</x:f>
        <x:v>76.9692</x:v>
      </x:c>
      <x:c r="R2917" s="19" t="str">
        <x:v>独立判定</x:v>
      </x:c>
    </x:row>
    <x:row r="2918" ht="19" customHeight="1">
      <x:c r="A2918" s="19" t="str">
        <x:v>D02914</x:v>
      </x:c>
      <x:c r="B2918" s="19" t="n">
        <x:v>6</x:v>
      </x:c>
      <x:c r="C2918" s="19" t="n">
        <x:v>2</x:v>
      </x:c>
      <x:c r="D2918" s="19" t="str">
        <x:v>C06-M013</x:v>
      </x:c>
      <x:c r="E2918" s="19" t="str">
        <x:v>腐狱囚徒</x:v>
      </x:c>
      <x:c r="F2918" s="19" t="str">
        <x:v>普通</x:v>
      </x:c>
      <x:c r="G2918" s="19" t="str">
        <x:v>材料独立候选</x:v>
      </x:c>
      <x:c r="H2918" s="19" t="str">
        <x:v>技能残页</x:v>
      </x:c>
      <x:c r="I2918" s="22" t="n">
        <x:v>1000</x:v>
      </x:c>
      <x:c r="J2918" s="22" t="n">
        <x:v>1</x:v>
      </x:c>
      <x:c r="K2918" s="19" t="n">
        <x:v>1</x:v>
      </x:c>
      <x:c r="L2918" s="24" t="n">
        <x:v>34.986</x:v>
      </x:c>
      <x:c r="M2918" s="26" t="n">
        <x:v>0.1</x:v>
      </x:c>
      <x:c r="N2918" s="24" t="n">
        <x:v>72</x:v>
      </x:c>
      <x:c r="O2918" s="28" t="n">
        <x:f>MIN(1,L2918/I2918)</x:f>
        <x:v>0.034985999999999996</x:v>
      </x:c>
      <x:c r="P2918" s="30" t="n">
        <x:f>O2918*J2918*(1+M2918)</x:f>
        <x:v>0.0384846</x:v>
      </x:c>
      <x:c r="Q2918" s="30" t="n">
        <x:f>P2918*N2918</x:f>
        <x:v>2.7708912</x:v>
      </x:c>
      <x:c r="R2918" s="19" t="str">
        <x:v>独立判定</x:v>
      </x:c>
    </x:row>
    <x:row r="2919" ht="19" customHeight="1">
      <x:c r="A2919" s="19" t="str">
        <x:v>D02915</x:v>
      </x:c>
      <x:c r="B2919" s="19" t="n">
        <x:v>6</x:v>
      </x:c>
      <x:c r="C2919" s="19" t="n">
        <x:v>2</x:v>
      </x:c>
      <x:c r="D2919" s="19" t="str">
        <x:v>C06-M013</x:v>
      </x:c>
      <x:c r="E2919" s="19" t="str">
        <x:v>腐狱囚徒</x:v>
      </x:c>
      <x:c r="F2919" s="19" t="str">
        <x:v>普通</x:v>
      </x:c>
      <x:c r="G2919" s="19" t="str">
        <x:v>材料独立候选</x:v>
      </x:c>
      <x:c r="H2919" s="19" t="str">
        <x:v>小卢恩</x:v>
      </x:c>
      <x:c r="I2919" s="22" t="n">
        <x:v>10000</x:v>
      </x:c>
      <x:c r="J2919" s="22" t="n">
        <x:v>1</x:v>
      </x:c>
      <x:c r="K2919" s="19" t="n">
        <x:v>1</x:v>
      </x:c>
      <x:c r="L2919" s="24" t="n">
        <x:v>34.986</x:v>
      </x:c>
      <x:c r="M2919" s="26" t="n">
        <x:v>0.1</x:v>
      </x:c>
      <x:c r="N2919" s="24" t="n">
        <x:v>72</x:v>
      </x:c>
      <x:c r="O2919" s="28" t="n">
        <x:f>MIN(1,L2919/I2919)</x:f>
        <x:v>0.0034985999999999997</x:v>
      </x:c>
      <x:c r="P2919" s="30" t="n">
        <x:f>O2919*J2919*(1+M2919)</x:f>
        <x:v>0.00384846</x:v>
      </x:c>
      <x:c r="Q2919" s="30" t="n">
        <x:f>P2919*N2919</x:f>
        <x:v>0.27708912</x:v>
      </x:c>
      <x:c r="R2919" s="19" t="str">
        <x:v>独立判定</x:v>
      </x:c>
    </x:row>
    <x:row r="2920" ht="19" customHeight="1">
      <x:c r="A2920" s="19" t="str">
        <x:v>D02916</x:v>
      </x:c>
      <x:c r="B2920" s="19" t="n">
        <x:v>6</x:v>
      </x:c>
      <x:c r="C2920" s="19" t="n">
        <x:v>2</x:v>
      </x:c>
      <x:c r="D2920" s="19" t="str">
        <x:v>C06-M013</x:v>
      </x:c>
      <x:c r="E2920" s="19" t="str">
        <x:v>腐狱囚徒</x:v>
      </x:c>
      <x:c r="F2920" s="19" t="str">
        <x:v>普通</x:v>
      </x:c>
      <x:c r="G2920" s="19" t="str">
        <x:v>六神器公共池</x:v>
      </x:c>
      <x:c r="H2920" s="19" t="str">
        <x:v>POOL006</x:v>
      </x:c>
      <x:c r="I2920" s="22" t="n">
        <x:v>20000000</x:v>
      </x:c>
      <x:c r="J2920" s="22" t="n">
        <x:v>1</x:v>
      </x:c>
      <x:c r="K2920" s="19" t="n">
        <x:v>6</x:v>
      </x:c>
      <x:c r="L2920" s="24" t="n">
        <x:v>34.986</x:v>
      </x:c>
      <x:c r="M2920" s="26" t="n">
        <x:v>0.1</x:v>
      </x:c>
      <x:c r="N2920" s="24" t="n">
        <x:v>72</x:v>
      </x:c>
      <x:c r="O2920" s="28" t="n">
        <x:f>MIN(1,L2920/I2920)</x:f>
        <x:v>0.0000017493</x:v>
      </x:c>
      <x:c r="P2920" s="30" t="n">
        <x:f>O2920*J2920*(1+M2920)</x:f>
        <x:v>0.00000192423</x:v>
      </x:c>
      <x:c r="Q2920" s="30" t="n">
        <x:f>P2920*N2920</x:f>
        <x:v>0.00013854456</x:v>
      </x:c>
      <x:c r="R2920" s="19" t="str">
        <x:v>六选一；非6个独立爆率</x:v>
      </x:c>
    </x:row>
    <x:row r="2921" ht="19" customHeight="1">
      <x:c r="A2921" s="19" t="str">
        <x:v>D02917</x:v>
      </x:c>
      <x:c r="B2921" s="19" t="n">
        <x:v>6</x:v>
      </x:c>
      <x:c r="C2921" s="19" t="n">
        <x:v>2</x:v>
      </x:c>
      <x:c r="D2921" s="19" t="str">
        <x:v>C06-M014</x:v>
      </x:c>
      <x:c r="E2921" s="19" t="str">
        <x:v>灼腐行刑兵</x:v>
      </x:c>
      <x:c r="F2921" s="19" t="str">
        <x:v>普通</x:v>
      </x:c>
      <x:c r="G2921" s="19" t="str">
        <x:v>自身专属</x:v>
      </x:c>
      <x:c r="H2921" s="19" t="str">
        <x:v>灼刑断刃</x:v>
      </x:c>
      <x:c r="I2921" s="22" t="n">
        <x:v>3000</x:v>
      </x:c>
      <x:c r="J2921" s="22" t="n">
        <x:v>1</x:v>
      </x:c>
      <x:c r="K2921" s="19" t="n">
        <x:v>1</x:v>
      </x:c>
      <x:c r="L2921" s="24" t="n">
        <x:v>34.986</x:v>
      </x:c>
      <x:c r="M2921" s="26" t="n">
        <x:v>0.1</x:v>
      </x:c>
      <x:c r="N2921" s="24" t="n">
        <x:v>72</x:v>
      </x:c>
      <x:c r="O2921" s="28" t="n">
        <x:f>MIN(1,L2921/I2921)</x:f>
        <x:v>0.011661999999999999</x:v>
      </x:c>
      <x:c r="P2921" s="30" t="n">
        <x:f>O2921*J2921*(1+M2921)</x:f>
        <x:v>0.0128282</x:v>
      </x:c>
      <x:c r="Q2921" s="30" t="n">
        <x:f>P2921*N2921</x:f>
        <x:v>0.9236304</x:v>
      </x:c>
      <x:c r="R2921" s="19" t="str">
        <x:v>独立判定</x:v>
      </x:c>
    </x:row>
    <x:row r="2922" ht="19" customHeight="1">
      <x:c r="A2922" s="19" t="str">
        <x:v>D02918</x:v>
      </x:c>
      <x:c r="B2922" s="19" t="n">
        <x:v>6</x:v>
      </x:c>
      <x:c r="C2922" s="19" t="n">
        <x:v>2</x:v>
      </x:c>
      <x:c r="D2922" s="19" t="str">
        <x:v>C06-M014</x:v>
      </x:c>
      <x:c r="E2922" s="19" t="str">
        <x:v>灼腐行刑兵</x:v>
      </x:c>
      <x:c r="F2922" s="19" t="str">
        <x:v>普通</x:v>
      </x:c>
      <x:c r="G2922" s="19" t="str">
        <x:v>材料独立候选</x:v>
      </x:c>
      <x:c r="H2922" s="19" t="str">
        <x:v>猩红矿渣</x:v>
      </x:c>
      <x:c r="I2922" s="22" t="n">
        <x:v>600</x:v>
      </x:c>
      <x:c r="J2922" s="22" t="n">
        <x:v>8</x:v>
      </x:c>
      <x:c r="K2922" s="19" t="n">
        <x:v>1</x:v>
      </x:c>
      <x:c r="L2922" s="24" t="n">
        <x:v>34.986</x:v>
      </x:c>
      <x:c r="M2922" s="26" t="n">
        <x:v>0.1</x:v>
      </x:c>
      <x:c r="N2922" s="24" t="n">
        <x:v>72</x:v>
      </x:c>
      <x:c r="O2922" s="28" t="n">
        <x:f>MIN(1,L2922/I2922)</x:f>
        <x:v>0.058309999999999994</x:v>
      </x:c>
      <x:c r="P2922" s="30" t="n">
        <x:f>O2922*J2922*(1+M2922)</x:f>
        <x:v>0.513128</x:v>
      </x:c>
      <x:c r="Q2922" s="30" t="n">
        <x:f>P2922*N2922</x:f>
        <x:v>36.945216</x:v>
      </x:c>
      <x:c r="R2922" s="19" t="str">
        <x:v>独立判定</x:v>
      </x:c>
    </x:row>
    <x:row r="2923" ht="19" customHeight="1">
      <x:c r="A2923" s="19" t="str">
        <x:v>D02919</x:v>
      </x:c>
      <x:c r="B2923" s="19" t="n">
        <x:v>6</x:v>
      </x:c>
      <x:c r="C2923" s="19" t="n">
        <x:v>2</x:v>
      </x:c>
      <x:c r="D2923" s="19" t="str">
        <x:v>C06-M014</x:v>
      </x:c>
      <x:c r="E2923" s="19" t="str">
        <x:v>灼腐行刑兵</x:v>
      </x:c>
      <x:c r="F2923" s="19" t="str">
        <x:v>普通</x:v>
      </x:c>
      <x:c r="G2923" s="19" t="str">
        <x:v>材料独立候选</x:v>
      </x:c>
      <x:c r="H2923" s="19" t="str">
        <x:v>红狮断箭</x:v>
      </x:c>
      <x:c r="I2923" s="22" t="n">
        <x:v>1800</x:v>
      </x:c>
      <x:c r="J2923" s="22" t="n">
        <x:v>1</x:v>
      </x:c>
      <x:c r="K2923" s="19" t="n">
        <x:v>1</x:v>
      </x:c>
      <x:c r="L2923" s="24" t="n">
        <x:v>34.986</x:v>
      </x:c>
      <x:c r="M2923" s="26" t="n">
        <x:v>0.1</x:v>
      </x:c>
      <x:c r="N2923" s="24" t="n">
        <x:v>72</x:v>
      </x:c>
      <x:c r="O2923" s="28" t="n">
        <x:f>MIN(1,L2923/I2923)</x:f>
        <x:v>0.019436666666666665</x:v>
      </x:c>
      <x:c r="P2923" s="30" t="n">
        <x:f>O2923*J2923*(1+M2923)</x:f>
        <x:v>0.02138033333333333</x:v>
      </x:c>
      <x:c r="Q2923" s="30" t="n">
        <x:f>P2923*N2923</x:f>
        <x:v>1.5393839999999999</x:v>
      </x:c>
      <x:c r="R2923" s="19" t="str">
        <x:v>独立判定</x:v>
      </x:c>
    </x:row>
    <x:row r="2924" ht="19" customHeight="1">
      <x:c r="A2924" s="19" t="str">
        <x:v>D02920</x:v>
      </x:c>
      <x:c r="B2924" s="19" t="n">
        <x:v>6</x:v>
      </x:c>
      <x:c r="C2924" s="19" t="n">
        <x:v>2</x:v>
      </x:c>
      <x:c r="D2924" s="19" t="str">
        <x:v>C06-M014</x:v>
      </x:c>
      <x:c r="E2924" s="19" t="str">
        <x:v>灼腐行刑兵</x:v>
      </x:c>
      <x:c r="F2924" s="19" t="str">
        <x:v>普通</x:v>
      </x:c>
      <x:c r="G2924" s="19" t="str">
        <x:v>材料独立候选</x:v>
      </x:c>
      <x:c r="H2924" s="19" t="str">
        <x:v>熔原罪火残章</x:v>
      </x:c>
      <x:c r="I2924" s="22" t="n">
        <x:v>1500000</x:v>
      </x:c>
      <x:c r="J2924" s="22" t="n">
        <x:v>1</x:v>
      </x:c>
      <x:c r="K2924" s="19" t="n">
        <x:v>1</x:v>
      </x:c>
      <x:c r="L2924" s="24" t="n">
        <x:v>34.986</x:v>
      </x:c>
      <x:c r="M2924" s="26" t="n">
        <x:v>0.1</x:v>
      </x:c>
      <x:c r="N2924" s="24" t="n">
        <x:v>72</x:v>
      </x:c>
      <x:c r="O2924" s="28" t="n">
        <x:f>MIN(1,L2924/I2924)</x:f>
        <x:v>0.000023324</x:v>
      </x:c>
      <x:c r="P2924" s="30" t="n">
        <x:f>O2924*J2924*(1+M2924)</x:f>
        <x:v>0.0000256564</x:v>
      </x:c>
      <x:c r="Q2924" s="30" t="n">
        <x:f>P2924*N2924</x:f>
        <x:v>0.0018472608000000001</x:v>
      </x:c>
      <x:c r="R2924" s="19" t="str">
        <x:v>独立判定</x:v>
      </x:c>
    </x:row>
    <x:row r="2925" ht="19" customHeight="1">
      <x:c r="A2925" s="19" t="str">
        <x:v>D02921</x:v>
      </x:c>
      <x:c r="B2925" s="19" t="n">
        <x:v>6</x:v>
      </x:c>
      <x:c r="C2925" s="19" t="n">
        <x:v>2</x:v>
      </x:c>
      <x:c r="D2925" s="19" t="str">
        <x:v>C06-M014</x:v>
      </x:c>
      <x:c r="E2925" s="19" t="str">
        <x:v>灼腐行刑兵</x:v>
      </x:c>
      <x:c r="F2925" s="19" t="str">
        <x:v>普通</x:v>
      </x:c>
      <x:c r="G2925" s="19" t="str">
        <x:v>材料独立候选</x:v>
      </x:c>
      <x:c r="H2925" s="19" t="str">
        <x:v>野兽骨片</x:v>
      </x:c>
      <x:c r="I2925" s="22" t="n">
        <x:v>180</x:v>
      </x:c>
      <x:c r="J2925" s="22" t="n">
        <x:v>5</x:v>
      </x:c>
      <x:c r="K2925" s="19" t="n">
        <x:v>1</x:v>
      </x:c>
      <x:c r="L2925" s="24" t="n">
        <x:v>34.986</x:v>
      </x:c>
      <x:c r="M2925" s="26" t="n">
        <x:v>0.1</x:v>
      </x:c>
      <x:c r="N2925" s="24" t="n">
        <x:v>72</x:v>
      </x:c>
      <x:c r="O2925" s="28" t="n">
        <x:f>MIN(1,L2925/I2925)</x:f>
        <x:v>0.19436666666666666</x:v>
      </x:c>
      <x:c r="P2925" s="30" t="n">
        <x:f>O2925*J2925*(1+M2925)</x:f>
        <x:v>1.0690166666666667</x:v>
      </x:c>
      <x:c r="Q2925" s="30" t="n">
        <x:f>P2925*N2925</x:f>
        <x:v>76.9692</x:v>
      </x:c>
      <x:c r="R2925" s="19" t="str">
        <x:v>独立判定</x:v>
      </x:c>
    </x:row>
    <x:row r="2926" ht="19" customHeight="1">
      <x:c r="A2926" s="19" t="str">
        <x:v>D02922</x:v>
      </x:c>
      <x:c r="B2926" s="19" t="n">
        <x:v>6</x:v>
      </x:c>
      <x:c r="C2926" s="19" t="n">
        <x:v>2</x:v>
      </x:c>
      <x:c r="D2926" s="19" t="str">
        <x:v>C06-M014</x:v>
      </x:c>
      <x:c r="E2926" s="19" t="str">
        <x:v>灼腐行刑兵</x:v>
      </x:c>
      <x:c r="F2926" s="19" t="str">
        <x:v>普通</x:v>
      </x:c>
      <x:c r="G2926" s="19" t="str">
        <x:v>材料独立候选</x:v>
      </x:c>
      <x:c r="H2926" s="19" t="str">
        <x:v>技能残页</x:v>
      </x:c>
      <x:c r="I2926" s="22" t="n">
        <x:v>1000</x:v>
      </x:c>
      <x:c r="J2926" s="22" t="n">
        <x:v>1</x:v>
      </x:c>
      <x:c r="K2926" s="19" t="n">
        <x:v>1</x:v>
      </x:c>
      <x:c r="L2926" s="24" t="n">
        <x:v>34.986</x:v>
      </x:c>
      <x:c r="M2926" s="26" t="n">
        <x:v>0.1</x:v>
      </x:c>
      <x:c r="N2926" s="24" t="n">
        <x:v>72</x:v>
      </x:c>
      <x:c r="O2926" s="28" t="n">
        <x:f>MIN(1,L2926/I2926)</x:f>
        <x:v>0.034985999999999996</x:v>
      </x:c>
      <x:c r="P2926" s="30" t="n">
        <x:f>O2926*J2926*(1+M2926)</x:f>
        <x:v>0.0384846</x:v>
      </x:c>
      <x:c r="Q2926" s="30" t="n">
        <x:f>P2926*N2926</x:f>
        <x:v>2.7708912</x:v>
      </x:c>
      <x:c r="R2926" s="19" t="str">
        <x:v>独立判定</x:v>
      </x:c>
    </x:row>
    <x:row r="2927" ht="19" customHeight="1">
      <x:c r="A2927" s="19" t="str">
        <x:v>D02923</x:v>
      </x:c>
      <x:c r="B2927" s="19" t="n">
        <x:v>6</x:v>
      </x:c>
      <x:c r="C2927" s="19" t="n">
        <x:v>2</x:v>
      </x:c>
      <x:c r="D2927" s="19" t="str">
        <x:v>C06-M014</x:v>
      </x:c>
      <x:c r="E2927" s="19" t="str">
        <x:v>灼腐行刑兵</x:v>
      </x:c>
      <x:c r="F2927" s="19" t="str">
        <x:v>普通</x:v>
      </x:c>
      <x:c r="G2927" s="19" t="str">
        <x:v>材料独立候选</x:v>
      </x:c>
      <x:c r="H2927" s="19" t="str">
        <x:v>小卢恩</x:v>
      </x:c>
      <x:c r="I2927" s="22" t="n">
        <x:v>10000</x:v>
      </x:c>
      <x:c r="J2927" s="22" t="n">
        <x:v>1</x:v>
      </x:c>
      <x:c r="K2927" s="19" t="n">
        <x:v>1</x:v>
      </x:c>
      <x:c r="L2927" s="24" t="n">
        <x:v>34.986</x:v>
      </x:c>
      <x:c r="M2927" s="26" t="n">
        <x:v>0.1</x:v>
      </x:c>
      <x:c r="N2927" s="24" t="n">
        <x:v>72</x:v>
      </x:c>
      <x:c r="O2927" s="28" t="n">
        <x:f>MIN(1,L2927/I2927)</x:f>
        <x:v>0.0034985999999999997</x:v>
      </x:c>
      <x:c r="P2927" s="30" t="n">
        <x:f>O2927*J2927*(1+M2927)</x:f>
        <x:v>0.00384846</x:v>
      </x:c>
      <x:c r="Q2927" s="30" t="n">
        <x:f>P2927*N2927</x:f>
        <x:v>0.27708912</x:v>
      </x:c>
      <x:c r="R2927" s="19" t="str">
        <x:v>独立判定</x:v>
      </x:c>
    </x:row>
    <x:row r="2928" ht="19" customHeight="1">
      <x:c r="A2928" s="19" t="str">
        <x:v>D02924</x:v>
      </x:c>
      <x:c r="B2928" s="19" t="n">
        <x:v>6</x:v>
      </x:c>
      <x:c r="C2928" s="19" t="n">
        <x:v>2</x:v>
      </x:c>
      <x:c r="D2928" s="19" t="str">
        <x:v>C06-M014</x:v>
      </x:c>
      <x:c r="E2928" s="19" t="str">
        <x:v>灼腐行刑兵</x:v>
      </x:c>
      <x:c r="F2928" s="19" t="str">
        <x:v>普通</x:v>
      </x:c>
      <x:c r="G2928" s="19" t="str">
        <x:v>六神器公共池</x:v>
      </x:c>
      <x:c r="H2928" s="19" t="str">
        <x:v>POOL006</x:v>
      </x:c>
      <x:c r="I2928" s="22" t="n">
        <x:v>20000000</x:v>
      </x:c>
      <x:c r="J2928" s="22" t="n">
        <x:v>1</x:v>
      </x:c>
      <x:c r="K2928" s="19" t="n">
        <x:v>6</x:v>
      </x:c>
      <x:c r="L2928" s="24" t="n">
        <x:v>34.986</x:v>
      </x:c>
      <x:c r="M2928" s="26" t="n">
        <x:v>0.1</x:v>
      </x:c>
      <x:c r="N2928" s="24" t="n">
        <x:v>72</x:v>
      </x:c>
      <x:c r="O2928" s="28" t="n">
        <x:f>MIN(1,L2928/I2928)</x:f>
        <x:v>0.0000017493</x:v>
      </x:c>
      <x:c r="P2928" s="30" t="n">
        <x:f>O2928*J2928*(1+M2928)</x:f>
        <x:v>0.00000192423</x:v>
      </x:c>
      <x:c r="Q2928" s="30" t="n">
        <x:f>P2928*N2928</x:f>
        <x:v>0.00013854456</x:v>
      </x:c>
      <x:c r="R2928" s="19" t="str">
        <x:v>六选一；非6个独立爆率</x:v>
      </x:c>
    </x:row>
    <x:row r="2929" ht="19" customHeight="1">
      <x:c r="A2929" s="19" t="str">
        <x:v>D02925</x:v>
      </x:c>
      <x:c r="B2929" s="19" t="n">
        <x:v>6</x:v>
      </x:c>
      <x:c r="C2929" s="19" t="n">
        <x:v>2</x:v>
      </x:c>
      <x:c r="D2929" s="19" t="str">
        <x:v>C06-M015</x:v>
      </x:c>
      <x:c r="E2929" s="19" t="str">
        <x:v>深渊熔壳虫</x:v>
      </x:c>
      <x:c r="F2929" s="19" t="str">
        <x:v>普通</x:v>
      </x:c>
      <x:c r="G2929" s="19" t="str">
        <x:v>自身专属</x:v>
      </x:c>
      <x:c r="H2929" s="19" t="str">
        <x:v>熔壳甲衣</x:v>
      </x:c>
      <x:c r="I2929" s="22" t="n">
        <x:v>3000</x:v>
      </x:c>
      <x:c r="J2929" s="22" t="n">
        <x:v>1</x:v>
      </x:c>
      <x:c r="K2929" s="19" t="n">
        <x:v>1</x:v>
      </x:c>
      <x:c r="L2929" s="24" t="n">
        <x:v>34.986</x:v>
      </x:c>
      <x:c r="M2929" s="26" t="n">
        <x:v>0.1</x:v>
      </x:c>
      <x:c r="N2929" s="24" t="n">
        <x:v>72</x:v>
      </x:c>
      <x:c r="O2929" s="28" t="n">
        <x:f>MIN(1,L2929/I2929)</x:f>
        <x:v>0.011661999999999999</x:v>
      </x:c>
      <x:c r="P2929" s="30" t="n">
        <x:f>O2929*J2929*(1+M2929)</x:f>
        <x:v>0.0128282</x:v>
      </x:c>
      <x:c r="Q2929" s="30" t="n">
        <x:f>P2929*N2929</x:f>
        <x:v>0.9236304</x:v>
      </x:c>
      <x:c r="R2929" s="19" t="str">
        <x:v>独立判定</x:v>
      </x:c>
    </x:row>
    <x:row r="2930" ht="19" customHeight="1">
      <x:c r="A2930" s="19" t="str">
        <x:v>D02926</x:v>
      </x:c>
      <x:c r="B2930" s="19" t="n">
        <x:v>6</x:v>
      </x:c>
      <x:c r="C2930" s="19" t="n">
        <x:v>2</x:v>
      </x:c>
      <x:c r="D2930" s="19" t="str">
        <x:v>C06-M015</x:v>
      </x:c>
      <x:c r="E2930" s="19" t="str">
        <x:v>深渊熔壳虫</x:v>
      </x:c>
      <x:c r="F2930" s="19" t="str">
        <x:v>普通</x:v>
      </x:c>
      <x:c r="G2930" s="19" t="str">
        <x:v>材料独立候选</x:v>
      </x:c>
      <x:c r="H2930" s="19" t="str">
        <x:v>猩红矿渣</x:v>
      </x:c>
      <x:c r="I2930" s="22" t="n">
        <x:v>600</x:v>
      </x:c>
      <x:c r="J2930" s="22" t="n">
        <x:v>8</x:v>
      </x:c>
      <x:c r="K2930" s="19" t="n">
        <x:v>1</x:v>
      </x:c>
      <x:c r="L2930" s="24" t="n">
        <x:v>34.986</x:v>
      </x:c>
      <x:c r="M2930" s="26" t="n">
        <x:v>0.1</x:v>
      </x:c>
      <x:c r="N2930" s="24" t="n">
        <x:v>72</x:v>
      </x:c>
      <x:c r="O2930" s="28" t="n">
        <x:f>MIN(1,L2930/I2930)</x:f>
        <x:v>0.058309999999999994</x:v>
      </x:c>
      <x:c r="P2930" s="30" t="n">
        <x:f>O2930*J2930*(1+M2930)</x:f>
        <x:v>0.513128</x:v>
      </x:c>
      <x:c r="Q2930" s="30" t="n">
        <x:f>P2930*N2930</x:f>
        <x:v>36.945216</x:v>
      </x:c>
      <x:c r="R2930" s="19" t="str">
        <x:v>独立判定</x:v>
      </x:c>
    </x:row>
    <x:row r="2931" ht="19" customHeight="1">
      <x:c r="A2931" s="19" t="str">
        <x:v>D02927</x:v>
      </x:c>
      <x:c r="B2931" s="19" t="n">
        <x:v>6</x:v>
      </x:c>
      <x:c r="C2931" s="19" t="n">
        <x:v>2</x:v>
      </x:c>
      <x:c r="D2931" s="19" t="str">
        <x:v>C06-M015</x:v>
      </x:c>
      <x:c r="E2931" s="19" t="str">
        <x:v>深渊熔壳虫</x:v>
      </x:c>
      <x:c r="F2931" s="19" t="str">
        <x:v>普通</x:v>
      </x:c>
      <x:c r="G2931" s="19" t="str">
        <x:v>材料独立候选</x:v>
      </x:c>
      <x:c r="H2931" s="19" t="str">
        <x:v>红狮断箭</x:v>
      </x:c>
      <x:c r="I2931" s="22" t="n">
        <x:v>1800</x:v>
      </x:c>
      <x:c r="J2931" s="22" t="n">
        <x:v>1</x:v>
      </x:c>
      <x:c r="K2931" s="19" t="n">
        <x:v>1</x:v>
      </x:c>
      <x:c r="L2931" s="24" t="n">
        <x:v>34.986</x:v>
      </x:c>
      <x:c r="M2931" s="26" t="n">
        <x:v>0.1</x:v>
      </x:c>
      <x:c r="N2931" s="24" t="n">
        <x:v>72</x:v>
      </x:c>
      <x:c r="O2931" s="28" t="n">
        <x:f>MIN(1,L2931/I2931)</x:f>
        <x:v>0.019436666666666665</x:v>
      </x:c>
      <x:c r="P2931" s="30" t="n">
        <x:f>O2931*J2931*(1+M2931)</x:f>
        <x:v>0.02138033333333333</x:v>
      </x:c>
      <x:c r="Q2931" s="30" t="n">
        <x:f>P2931*N2931</x:f>
        <x:v>1.5393839999999999</x:v>
      </x:c>
      <x:c r="R2931" s="19" t="str">
        <x:v>独立判定</x:v>
      </x:c>
    </x:row>
    <x:row r="2932" ht="19" customHeight="1">
      <x:c r="A2932" s="19" t="str">
        <x:v>D02928</x:v>
      </x:c>
      <x:c r="B2932" s="19" t="n">
        <x:v>6</x:v>
      </x:c>
      <x:c r="C2932" s="19" t="n">
        <x:v>2</x:v>
      </x:c>
      <x:c r="D2932" s="19" t="str">
        <x:v>C06-M015</x:v>
      </x:c>
      <x:c r="E2932" s="19" t="str">
        <x:v>深渊熔壳虫</x:v>
      </x:c>
      <x:c r="F2932" s="19" t="str">
        <x:v>普通</x:v>
      </x:c>
      <x:c r="G2932" s="19" t="str">
        <x:v>材料独立候选</x:v>
      </x:c>
      <x:c r="H2932" s="19" t="str">
        <x:v>熔原罪火残章</x:v>
      </x:c>
      <x:c r="I2932" s="22" t="n">
        <x:v>1500000</x:v>
      </x:c>
      <x:c r="J2932" s="22" t="n">
        <x:v>1</x:v>
      </x:c>
      <x:c r="K2932" s="19" t="n">
        <x:v>1</x:v>
      </x:c>
      <x:c r="L2932" s="24" t="n">
        <x:v>34.986</x:v>
      </x:c>
      <x:c r="M2932" s="26" t="n">
        <x:v>0.1</x:v>
      </x:c>
      <x:c r="N2932" s="24" t="n">
        <x:v>72</x:v>
      </x:c>
      <x:c r="O2932" s="28" t="n">
        <x:f>MIN(1,L2932/I2932)</x:f>
        <x:v>0.000023324</x:v>
      </x:c>
      <x:c r="P2932" s="30" t="n">
        <x:f>O2932*J2932*(1+M2932)</x:f>
        <x:v>0.0000256564</x:v>
      </x:c>
      <x:c r="Q2932" s="30" t="n">
        <x:f>P2932*N2932</x:f>
        <x:v>0.0018472608000000001</x:v>
      </x:c>
      <x:c r="R2932" s="19" t="str">
        <x:v>独立判定</x:v>
      </x:c>
    </x:row>
    <x:row r="2933" ht="19" customHeight="1">
      <x:c r="A2933" s="19" t="str">
        <x:v>D02929</x:v>
      </x:c>
      <x:c r="B2933" s="19" t="n">
        <x:v>6</x:v>
      </x:c>
      <x:c r="C2933" s="19" t="n">
        <x:v>2</x:v>
      </x:c>
      <x:c r="D2933" s="19" t="str">
        <x:v>C06-M015</x:v>
      </x:c>
      <x:c r="E2933" s="19" t="str">
        <x:v>深渊熔壳虫</x:v>
      </x:c>
      <x:c r="F2933" s="19" t="str">
        <x:v>普通</x:v>
      </x:c>
      <x:c r="G2933" s="19" t="str">
        <x:v>材料独立候选</x:v>
      </x:c>
      <x:c r="H2933" s="19" t="str">
        <x:v>野兽骨片</x:v>
      </x:c>
      <x:c r="I2933" s="22" t="n">
        <x:v>180</x:v>
      </x:c>
      <x:c r="J2933" s="22" t="n">
        <x:v>5</x:v>
      </x:c>
      <x:c r="K2933" s="19" t="n">
        <x:v>1</x:v>
      </x:c>
      <x:c r="L2933" s="24" t="n">
        <x:v>34.986</x:v>
      </x:c>
      <x:c r="M2933" s="26" t="n">
        <x:v>0.1</x:v>
      </x:c>
      <x:c r="N2933" s="24" t="n">
        <x:v>72</x:v>
      </x:c>
      <x:c r="O2933" s="28" t="n">
        <x:f>MIN(1,L2933/I2933)</x:f>
        <x:v>0.19436666666666666</x:v>
      </x:c>
      <x:c r="P2933" s="30" t="n">
        <x:f>O2933*J2933*(1+M2933)</x:f>
        <x:v>1.0690166666666667</x:v>
      </x:c>
      <x:c r="Q2933" s="30" t="n">
        <x:f>P2933*N2933</x:f>
        <x:v>76.9692</x:v>
      </x:c>
      <x:c r="R2933" s="19" t="str">
        <x:v>独立判定</x:v>
      </x:c>
    </x:row>
    <x:row r="2934" ht="19" customHeight="1">
      <x:c r="A2934" s="19" t="str">
        <x:v>D02930</x:v>
      </x:c>
      <x:c r="B2934" s="19" t="n">
        <x:v>6</x:v>
      </x:c>
      <x:c r="C2934" s="19" t="n">
        <x:v>2</x:v>
      </x:c>
      <x:c r="D2934" s="19" t="str">
        <x:v>C06-M015</x:v>
      </x:c>
      <x:c r="E2934" s="19" t="str">
        <x:v>深渊熔壳虫</x:v>
      </x:c>
      <x:c r="F2934" s="19" t="str">
        <x:v>普通</x:v>
      </x:c>
      <x:c r="G2934" s="19" t="str">
        <x:v>材料独立候选</x:v>
      </x:c>
      <x:c r="H2934" s="19" t="str">
        <x:v>技能残页</x:v>
      </x:c>
      <x:c r="I2934" s="22" t="n">
        <x:v>1000</x:v>
      </x:c>
      <x:c r="J2934" s="22" t="n">
        <x:v>1</x:v>
      </x:c>
      <x:c r="K2934" s="19" t="n">
        <x:v>1</x:v>
      </x:c>
      <x:c r="L2934" s="24" t="n">
        <x:v>34.986</x:v>
      </x:c>
      <x:c r="M2934" s="26" t="n">
        <x:v>0.1</x:v>
      </x:c>
      <x:c r="N2934" s="24" t="n">
        <x:v>72</x:v>
      </x:c>
      <x:c r="O2934" s="28" t="n">
        <x:f>MIN(1,L2934/I2934)</x:f>
        <x:v>0.034985999999999996</x:v>
      </x:c>
      <x:c r="P2934" s="30" t="n">
        <x:f>O2934*J2934*(1+M2934)</x:f>
        <x:v>0.0384846</x:v>
      </x:c>
      <x:c r="Q2934" s="30" t="n">
        <x:f>P2934*N2934</x:f>
        <x:v>2.7708912</x:v>
      </x:c>
      <x:c r="R2934" s="19" t="str">
        <x:v>独立判定</x:v>
      </x:c>
    </x:row>
    <x:row r="2935" ht="19" customHeight="1">
      <x:c r="A2935" s="19" t="str">
        <x:v>D02931</x:v>
      </x:c>
      <x:c r="B2935" s="19" t="n">
        <x:v>6</x:v>
      </x:c>
      <x:c r="C2935" s="19" t="n">
        <x:v>2</x:v>
      </x:c>
      <x:c r="D2935" s="19" t="str">
        <x:v>C06-M015</x:v>
      </x:c>
      <x:c r="E2935" s="19" t="str">
        <x:v>深渊熔壳虫</x:v>
      </x:c>
      <x:c r="F2935" s="19" t="str">
        <x:v>普通</x:v>
      </x:c>
      <x:c r="G2935" s="19" t="str">
        <x:v>材料独立候选</x:v>
      </x:c>
      <x:c r="H2935" s="19" t="str">
        <x:v>小卢恩</x:v>
      </x:c>
      <x:c r="I2935" s="22" t="n">
        <x:v>10000</x:v>
      </x:c>
      <x:c r="J2935" s="22" t="n">
        <x:v>1</x:v>
      </x:c>
      <x:c r="K2935" s="19" t="n">
        <x:v>1</x:v>
      </x:c>
      <x:c r="L2935" s="24" t="n">
        <x:v>34.986</x:v>
      </x:c>
      <x:c r="M2935" s="26" t="n">
        <x:v>0.1</x:v>
      </x:c>
      <x:c r="N2935" s="24" t="n">
        <x:v>72</x:v>
      </x:c>
      <x:c r="O2935" s="28" t="n">
        <x:f>MIN(1,L2935/I2935)</x:f>
        <x:v>0.0034985999999999997</x:v>
      </x:c>
      <x:c r="P2935" s="30" t="n">
        <x:f>O2935*J2935*(1+M2935)</x:f>
        <x:v>0.00384846</x:v>
      </x:c>
      <x:c r="Q2935" s="30" t="n">
        <x:f>P2935*N2935</x:f>
        <x:v>0.27708912</x:v>
      </x:c>
      <x:c r="R2935" s="19" t="str">
        <x:v>独立判定</x:v>
      </x:c>
    </x:row>
    <x:row r="2936" ht="19" customHeight="1">
      <x:c r="A2936" s="19" t="str">
        <x:v>D02932</x:v>
      </x:c>
      <x:c r="B2936" s="19" t="n">
        <x:v>6</x:v>
      </x:c>
      <x:c r="C2936" s="19" t="n">
        <x:v>2</x:v>
      </x:c>
      <x:c r="D2936" s="19" t="str">
        <x:v>C06-M015</x:v>
      </x:c>
      <x:c r="E2936" s="19" t="str">
        <x:v>深渊熔壳虫</x:v>
      </x:c>
      <x:c r="F2936" s="19" t="str">
        <x:v>普通</x:v>
      </x:c>
      <x:c r="G2936" s="19" t="str">
        <x:v>六神器公共池</x:v>
      </x:c>
      <x:c r="H2936" s="19" t="str">
        <x:v>POOL006</x:v>
      </x:c>
      <x:c r="I2936" s="22" t="n">
        <x:v>20000000</x:v>
      </x:c>
      <x:c r="J2936" s="22" t="n">
        <x:v>1</x:v>
      </x:c>
      <x:c r="K2936" s="19" t="n">
        <x:v>6</x:v>
      </x:c>
      <x:c r="L2936" s="24" t="n">
        <x:v>34.986</x:v>
      </x:c>
      <x:c r="M2936" s="26" t="n">
        <x:v>0.1</x:v>
      </x:c>
      <x:c r="N2936" s="24" t="n">
        <x:v>72</x:v>
      </x:c>
      <x:c r="O2936" s="28" t="n">
        <x:f>MIN(1,L2936/I2936)</x:f>
        <x:v>0.0000017493</x:v>
      </x:c>
      <x:c r="P2936" s="30" t="n">
        <x:f>O2936*J2936*(1+M2936)</x:f>
        <x:v>0.00000192423</x:v>
      </x:c>
      <x:c r="Q2936" s="30" t="n">
        <x:f>P2936*N2936</x:f>
        <x:v>0.00013854456</x:v>
      </x:c>
      <x:c r="R2936" s="19" t="str">
        <x:v>六选一；非6个独立爆率</x:v>
      </x:c>
    </x:row>
    <x:row r="2937" ht="19" customHeight="1">
      <x:c r="A2937" s="19" t="str">
        <x:v>D02933</x:v>
      </x:c>
      <x:c r="B2937" s="19" t="n">
        <x:v>6</x:v>
      </x:c>
      <x:c r="C2937" s="19" t="n">
        <x:v>2</x:v>
      </x:c>
      <x:c r="D2937" s="19" t="str">
        <x:v>C06-M016</x:v>
      </x:c>
      <x:c r="E2937" s="19" t="str">
        <x:v>内域血菌兽</x:v>
      </x:c>
      <x:c r="F2937" s="19" t="str">
        <x:v>普通</x:v>
      </x:c>
      <x:c r="G2937" s="19" t="str">
        <x:v>自身专属</x:v>
      </x:c>
      <x:c r="H2937" s="19" t="str">
        <x:v>血菌腕轮</x:v>
      </x:c>
      <x:c r="I2937" s="22" t="n">
        <x:v>3000</x:v>
      </x:c>
      <x:c r="J2937" s="22" t="n">
        <x:v>1</x:v>
      </x:c>
      <x:c r="K2937" s="19" t="n">
        <x:v>1</x:v>
      </x:c>
      <x:c r="L2937" s="24" t="n">
        <x:v>34.986</x:v>
      </x:c>
      <x:c r="M2937" s="26" t="n">
        <x:v>0.1</x:v>
      </x:c>
      <x:c r="N2937" s="24" t="n">
        <x:v>72</x:v>
      </x:c>
      <x:c r="O2937" s="28" t="n">
        <x:f>MIN(1,L2937/I2937)</x:f>
        <x:v>0.011661999999999999</x:v>
      </x:c>
      <x:c r="P2937" s="30" t="n">
        <x:f>O2937*J2937*(1+M2937)</x:f>
        <x:v>0.0128282</x:v>
      </x:c>
      <x:c r="Q2937" s="30" t="n">
        <x:f>P2937*N2937</x:f>
        <x:v>0.9236304</x:v>
      </x:c>
      <x:c r="R2937" s="19" t="str">
        <x:v>独立判定</x:v>
      </x:c>
    </x:row>
    <x:row r="2938" ht="19" customHeight="1">
      <x:c r="A2938" s="19" t="str">
        <x:v>D02934</x:v>
      </x:c>
      <x:c r="B2938" s="19" t="n">
        <x:v>6</x:v>
      </x:c>
      <x:c r="C2938" s="19" t="n">
        <x:v>2</x:v>
      </x:c>
      <x:c r="D2938" s="19" t="str">
        <x:v>C06-M016</x:v>
      </x:c>
      <x:c r="E2938" s="19" t="str">
        <x:v>内域血菌兽</x:v>
      </x:c>
      <x:c r="F2938" s="19" t="str">
        <x:v>普通</x:v>
      </x:c>
      <x:c r="G2938" s="19" t="str">
        <x:v>材料独立候选</x:v>
      </x:c>
      <x:c r="H2938" s="19" t="str">
        <x:v>猩红矿渣</x:v>
      </x:c>
      <x:c r="I2938" s="22" t="n">
        <x:v>600</x:v>
      </x:c>
      <x:c r="J2938" s="22" t="n">
        <x:v>8</x:v>
      </x:c>
      <x:c r="K2938" s="19" t="n">
        <x:v>1</x:v>
      </x:c>
      <x:c r="L2938" s="24" t="n">
        <x:v>34.986</x:v>
      </x:c>
      <x:c r="M2938" s="26" t="n">
        <x:v>0.1</x:v>
      </x:c>
      <x:c r="N2938" s="24" t="n">
        <x:v>72</x:v>
      </x:c>
      <x:c r="O2938" s="28" t="n">
        <x:f>MIN(1,L2938/I2938)</x:f>
        <x:v>0.058309999999999994</x:v>
      </x:c>
      <x:c r="P2938" s="30" t="n">
        <x:f>O2938*J2938*(1+M2938)</x:f>
        <x:v>0.513128</x:v>
      </x:c>
      <x:c r="Q2938" s="30" t="n">
        <x:f>P2938*N2938</x:f>
        <x:v>36.945216</x:v>
      </x:c>
      <x:c r="R2938" s="19" t="str">
        <x:v>独立判定</x:v>
      </x:c>
    </x:row>
    <x:row r="2939" ht="19" customHeight="1">
      <x:c r="A2939" s="19" t="str">
        <x:v>D02935</x:v>
      </x:c>
      <x:c r="B2939" s="19" t="n">
        <x:v>6</x:v>
      </x:c>
      <x:c r="C2939" s="19" t="n">
        <x:v>2</x:v>
      </x:c>
      <x:c r="D2939" s="19" t="str">
        <x:v>C06-M016</x:v>
      </x:c>
      <x:c r="E2939" s="19" t="str">
        <x:v>内域血菌兽</x:v>
      </x:c>
      <x:c r="F2939" s="19" t="str">
        <x:v>普通</x:v>
      </x:c>
      <x:c r="G2939" s="19" t="str">
        <x:v>材料独立候选</x:v>
      </x:c>
      <x:c r="H2939" s="19" t="str">
        <x:v>红狮断箭</x:v>
      </x:c>
      <x:c r="I2939" s="22" t="n">
        <x:v>1800</x:v>
      </x:c>
      <x:c r="J2939" s="22" t="n">
        <x:v>1</x:v>
      </x:c>
      <x:c r="K2939" s="19" t="n">
        <x:v>1</x:v>
      </x:c>
      <x:c r="L2939" s="24" t="n">
        <x:v>34.986</x:v>
      </x:c>
      <x:c r="M2939" s="26" t="n">
        <x:v>0.1</x:v>
      </x:c>
      <x:c r="N2939" s="24" t="n">
        <x:v>72</x:v>
      </x:c>
      <x:c r="O2939" s="28" t="n">
        <x:f>MIN(1,L2939/I2939)</x:f>
        <x:v>0.019436666666666665</x:v>
      </x:c>
      <x:c r="P2939" s="30" t="n">
        <x:f>O2939*J2939*(1+M2939)</x:f>
        <x:v>0.02138033333333333</x:v>
      </x:c>
      <x:c r="Q2939" s="30" t="n">
        <x:f>P2939*N2939</x:f>
        <x:v>1.5393839999999999</x:v>
      </x:c>
      <x:c r="R2939" s="19" t="str">
        <x:v>独立判定</x:v>
      </x:c>
    </x:row>
    <x:row r="2940" ht="19" customHeight="1">
      <x:c r="A2940" s="19" t="str">
        <x:v>D02936</x:v>
      </x:c>
      <x:c r="B2940" s="19" t="n">
        <x:v>6</x:v>
      </x:c>
      <x:c r="C2940" s="19" t="n">
        <x:v>2</x:v>
      </x:c>
      <x:c r="D2940" s="19" t="str">
        <x:v>C06-M016</x:v>
      </x:c>
      <x:c r="E2940" s="19" t="str">
        <x:v>内域血菌兽</x:v>
      </x:c>
      <x:c r="F2940" s="19" t="str">
        <x:v>普通</x:v>
      </x:c>
      <x:c r="G2940" s="19" t="str">
        <x:v>材料独立候选</x:v>
      </x:c>
      <x:c r="H2940" s="19" t="str">
        <x:v>熔原罪火残章</x:v>
      </x:c>
      <x:c r="I2940" s="22" t="n">
        <x:v>1500000</x:v>
      </x:c>
      <x:c r="J2940" s="22" t="n">
        <x:v>1</x:v>
      </x:c>
      <x:c r="K2940" s="19" t="n">
        <x:v>1</x:v>
      </x:c>
      <x:c r="L2940" s="24" t="n">
        <x:v>34.986</x:v>
      </x:c>
      <x:c r="M2940" s="26" t="n">
        <x:v>0.1</x:v>
      </x:c>
      <x:c r="N2940" s="24" t="n">
        <x:v>72</x:v>
      </x:c>
      <x:c r="O2940" s="28" t="n">
        <x:f>MIN(1,L2940/I2940)</x:f>
        <x:v>0.000023324</x:v>
      </x:c>
      <x:c r="P2940" s="30" t="n">
        <x:f>O2940*J2940*(1+M2940)</x:f>
        <x:v>0.0000256564</x:v>
      </x:c>
      <x:c r="Q2940" s="30" t="n">
        <x:f>P2940*N2940</x:f>
        <x:v>0.0018472608000000001</x:v>
      </x:c>
      <x:c r="R2940" s="19" t="str">
        <x:v>独立判定</x:v>
      </x:c>
    </x:row>
    <x:row r="2941" ht="19" customHeight="1">
      <x:c r="A2941" s="19" t="str">
        <x:v>D02937</x:v>
      </x:c>
      <x:c r="B2941" s="19" t="n">
        <x:v>6</x:v>
      </x:c>
      <x:c r="C2941" s="19" t="n">
        <x:v>2</x:v>
      </x:c>
      <x:c r="D2941" s="19" t="str">
        <x:v>C06-M016</x:v>
      </x:c>
      <x:c r="E2941" s="19" t="str">
        <x:v>内域血菌兽</x:v>
      </x:c>
      <x:c r="F2941" s="19" t="str">
        <x:v>普通</x:v>
      </x:c>
      <x:c r="G2941" s="19" t="str">
        <x:v>材料独立候选</x:v>
      </x:c>
      <x:c r="H2941" s="19" t="str">
        <x:v>野兽骨片</x:v>
      </x:c>
      <x:c r="I2941" s="22" t="n">
        <x:v>180</x:v>
      </x:c>
      <x:c r="J2941" s="22" t="n">
        <x:v>5</x:v>
      </x:c>
      <x:c r="K2941" s="19" t="n">
        <x:v>1</x:v>
      </x:c>
      <x:c r="L2941" s="24" t="n">
        <x:v>34.986</x:v>
      </x:c>
      <x:c r="M2941" s="26" t="n">
        <x:v>0.1</x:v>
      </x:c>
      <x:c r="N2941" s="24" t="n">
        <x:v>72</x:v>
      </x:c>
      <x:c r="O2941" s="28" t="n">
        <x:f>MIN(1,L2941/I2941)</x:f>
        <x:v>0.19436666666666666</x:v>
      </x:c>
      <x:c r="P2941" s="30" t="n">
        <x:f>O2941*J2941*(1+M2941)</x:f>
        <x:v>1.0690166666666667</x:v>
      </x:c>
      <x:c r="Q2941" s="30" t="n">
        <x:f>P2941*N2941</x:f>
        <x:v>76.9692</x:v>
      </x:c>
      <x:c r="R2941" s="19" t="str">
        <x:v>独立判定</x:v>
      </x:c>
    </x:row>
    <x:row r="2942" ht="19" customHeight="1">
      <x:c r="A2942" s="19" t="str">
        <x:v>D02938</x:v>
      </x:c>
      <x:c r="B2942" s="19" t="n">
        <x:v>6</x:v>
      </x:c>
      <x:c r="C2942" s="19" t="n">
        <x:v>2</x:v>
      </x:c>
      <x:c r="D2942" s="19" t="str">
        <x:v>C06-M016</x:v>
      </x:c>
      <x:c r="E2942" s="19" t="str">
        <x:v>内域血菌兽</x:v>
      </x:c>
      <x:c r="F2942" s="19" t="str">
        <x:v>普通</x:v>
      </x:c>
      <x:c r="G2942" s="19" t="str">
        <x:v>材料独立候选</x:v>
      </x:c>
      <x:c r="H2942" s="19" t="str">
        <x:v>技能残页</x:v>
      </x:c>
      <x:c r="I2942" s="22" t="n">
        <x:v>1000</x:v>
      </x:c>
      <x:c r="J2942" s="22" t="n">
        <x:v>1</x:v>
      </x:c>
      <x:c r="K2942" s="19" t="n">
        <x:v>1</x:v>
      </x:c>
      <x:c r="L2942" s="24" t="n">
        <x:v>34.986</x:v>
      </x:c>
      <x:c r="M2942" s="26" t="n">
        <x:v>0.1</x:v>
      </x:c>
      <x:c r="N2942" s="24" t="n">
        <x:v>72</x:v>
      </x:c>
      <x:c r="O2942" s="28" t="n">
        <x:f>MIN(1,L2942/I2942)</x:f>
        <x:v>0.034985999999999996</x:v>
      </x:c>
      <x:c r="P2942" s="30" t="n">
        <x:f>O2942*J2942*(1+M2942)</x:f>
        <x:v>0.0384846</x:v>
      </x:c>
      <x:c r="Q2942" s="30" t="n">
        <x:f>P2942*N2942</x:f>
        <x:v>2.7708912</x:v>
      </x:c>
      <x:c r="R2942" s="19" t="str">
        <x:v>独立判定</x:v>
      </x:c>
    </x:row>
    <x:row r="2943" ht="19" customHeight="1">
      <x:c r="A2943" s="19" t="str">
        <x:v>D02939</x:v>
      </x:c>
      <x:c r="B2943" s="19" t="n">
        <x:v>6</x:v>
      </x:c>
      <x:c r="C2943" s="19" t="n">
        <x:v>2</x:v>
      </x:c>
      <x:c r="D2943" s="19" t="str">
        <x:v>C06-M016</x:v>
      </x:c>
      <x:c r="E2943" s="19" t="str">
        <x:v>内域血菌兽</x:v>
      </x:c>
      <x:c r="F2943" s="19" t="str">
        <x:v>普通</x:v>
      </x:c>
      <x:c r="G2943" s="19" t="str">
        <x:v>材料独立候选</x:v>
      </x:c>
      <x:c r="H2943" s="19" t="str">
        <x:v>小卢恩</x:v>
      </x:c>
      <x:c r="I2943" s="22" t="n">
        <x:v>10000</x:v>
      </x:c>
      <x:c r="J2943" s="22" t="n">
        <x:v>1</x:v>
      </x:c>
      <x:c r="K2943" s="19" t="n">
        <x:v>1</x:v>
      </x:c>
      <x:c r="L2943" s="24" t="n">
        <x:v>34.986</x:v>
      </x:c>
      <x:c r="M2943" s="26" t="n">
        <x:v>0.1</x:v>
      </x:c>
      <x:c r="N2943" s="24" t="n">
        <x:v>72</x:v>
      </x:c>
      <x:c r="O2943" s="28" t="n">
        <x:f>MIN(1,L2943/I2943)</x:f>
        <x:v>0.0034985999999999997</x:v>
      </x:c>
      <x:c r="P2943" s="30" t="n">
        <x:f>O2943*J2943*(1+M2943)</x:f>
        <x:v>0.00384846</x:v>
      </x:c>
      <x:c r="Q2943" s="30" t="n">
        <x:f>P2943*N2943</x:f>
        <x:v>0.27708912</x:v>
      </x:c>
      <x:c r="R2943" s="19" t="str">
        <x:v>独立判定</x:v>
      </x:c>
    </x:row>
    <x:row r="2944" ht="19" customHeight="1">
      <x:c r="A2944" s="19" t="str">
        <x:v>D02940</x:v>
      </x:c>
      <x:c r="B2944" s="19" t="n">
        <x:v>6</x:v>
      </x:c>
      <x:c r="C2944" s="19" t="n">
        <x:v>2</x:v>
      </x:c>
      <x:c r="D2944" s="19" t="str">
        <x:v>C06-M016</x:v>
      </x:c>
      <x:c r="E2944" s="19" t="str">
        <x:v>内域血菌兽</x:v>
      </x:c>
      <x:c r="F2944" s="19" t="str">
        <x:v>普通</x:v>
      </x:c>
      <x:c r="G2944" s="19" t="str">
        <x:v>六神器公共池</x:v>
      </x:c>
      <x:c r="H2944" s="19" t="str">
        <x:v>POOL006</x:v>
      </x:c>
      <x:c r="I2944" s="22" t="n">
        <x:v>20000000</x:v>
      </x:c>
      <x:c r="J2944" s="22" t="n">
        <x:v>1</x:v>
      </x:c>
      <x:c r="K2944" s="19" t="n">
        <x:v>6</x:v>
      </x:c>
      <x:c r="L2944" s="24" t="n">
        <x:v>34.986</x:v>
      </x:c>
      <x:c r="M2944" s="26" t="n">
        <x:v>0.1</x:v>
      </x:c>
      <x:c r="N2944" s="24" t="n">
        <x:v>72</x:v>
      </x:c>
      <x:c r="O2944" s="28" t="n">
        <x:f>MIN(1,L2944/I2944)</x:f>
        <x:v>0.0000017493</x:v>
      </x:c>
      <x:c r="P2944" s="30" t="n">
        <x:f>O2944*J2944*(1+M2944)</x:f>
        <x:v>0.00000192423</x:v>
      </x:c>
      <x:c r="Q2944" s="30" t="n">
        <x:f>P2944*N2944</x:f>
        <x:v>0.00013854456</x:v>
      </x:c>
      <x:c r="R2944" s="19" t="str">
        <x:v>六选一；非6个独立爆率</x:v>
      </x:c>
    </x:row>
    <x:row r="2945" ht="19" customHeight="1">
      <x:c r="A2945" s="19" t="str">
        <x:v>D02941</x:v>
      </x:c>
      <x:c r="B2945" s="19" t="n">
        <x:v>6</x:v>
      </x:c>
      <x:c r="C2945" s="19" t="n">
        <x:v>2</x:v>
      </x:c>
      <x:c r="D2945" s="19" t="str">
        <x:v>C06-M017</x:v>
      </x:c>
      <x:c r="E2945" s="19" t="str">
        <x:v>熔心烙印僧</x:v>
      </x:c>
      <x:c r="F2945" s="19" t="str">
        <x:v>普通</x:v>
      </x:c>
      <x:c r="G2945" s="19" t="str">
        <x:v>自身专属</x:v>
      </x:c>
      <x:c r="H2945" s="19" t="str">
        <x:v>烙印斗笠</x:v>
      </x:c>
      <x:c r="I2945" s="22" t="n">
        <x:v>3000</x:v>
      </x:c>
      <x:c r="J2945" s="22" t="n">
        <x:v>1</x:v>
      </x:c>
      <x:c r="K2945" s="19" t="n">
        <x:v>1</x:v>
      </x:c>
      <x:c r="L2945" s="24" t="n">
        <x:v>34.986</x:v>
      </x:c>
      <x:c r="M2945" s="26" t="n">
        <x:v>0.1</x:v>
      </x:c>
      <x:c r="N2945" s="24" t="n">
        <x:v>72</x:v>
      </x:c>
      <x:c r="O2945" s="28" t="n">
        <x:f>MIN(1,L2945/I2945)</x:f>
        <x:v>0.011661999999999999</x:v>
      </x:c>
      <x:c r="P2945" s="30" t="n">
        <x:f>O2945*J2945*(1+M2945)</x:f>
        <x:v>0.0128282</x:v>
      </x:c>
      <x:c r="Q2945" s="30" t="n">
        <x:f>P2945*N2945</x:f>
        <x:v>0.9236304</x:v>
      </x:c>
      <x:c r="R2945" s="19" t="str">
        <x:v>独立判定</x:v>
      </x:c>
    </x:row>
    <x:row r="2946" ht="19" customHeight="1">
      <x:c r="A2946" s="19" t="str">
        <x:v>D02942</x:v>
      </x:c>
      <x:c r="B2946" s="19" t="n">
        <x:v>6</x:v>
      </x:c>
      <x:c r="C2946" s="19" t="n">
        <x:v>2</x:v>
      </x:c>
      <x:c r="D2946" s="19" t="str">
        <x:v>C06-M017</x:v>
      </x:c>
      <x:c r="E2946" s="19" t="str">
        <x:v>熔心烙印僧</x:v>
      </x:c>
      <x:c r="F2946" s="19" t="str">
        <x:v>普通</x:v>
      </x:c>
      <x:c r="G2946" s="19" t="str">
        <x:v>材料独立候选</x:v>
      </x:c>
      <x:c r="H2946" s="19" t="str">
        <x:v>猩红矿渣</x:v>
      </x:c>
      <x:c r="I2946" s="22" t="n">
        <x:v>600</x:v>
      </x:c>
      <x:c r="J2946" s="22" t="n">
        <x:v>8</x:v>
      </x:c>
      <x:c r="K2946" s="19" t="n">
        <x:v>1</x:v>
      </x:c>
      <x:c r="L2946" s="24" t="n">
        <x:v>34.986</x:v>
      </x:c>
      <x:c r="M2946" s="26" t="n">
        <x:v>0.1</x:v>
      </x:c>
      <x:c r="N2946" s="24" t="n">
        <x:v>72</x:v>
      </x:c>
      <x:c r="O2946" s="28" t="n">
        <x:f>MIN(1,L2946/I2946)</x:f>
        <x:v>0.058309999999999994</x:v>
      </x:c>
      <x:c r="P2946" s="30" t="n">
        <x:f>O2946*J2946*(1+M2946)</x:f>
        <x:v>0.513128</x:v>
      </x:c>
      <x:c r="Q2946" s="30" t="n">
        <x:f>P2946*N2946</x:f>
        <x:v>36.945216</x:v>
      </x:c>
      <x:c r="R2946" s="19" t="str">
        <x:v>独立判定</x:v>
      </x:c>
    </x:row>
    <x:row r="2947" ht="19" customHeight="1">
      <x:c r="A2947" s="19" t="str">
        <x:v>D02943</x:v>
      </x:c>
      <x:c r="B2947" s="19" t="n">
        <x:v>6</x:v>
      </x:c>
      <x:c r="C2947" s="19" t="n">
        <x:v>2</x:v>
      </x:c>
      <x:c r="D2947" s="19" t="str">
        <x:v>C06-M017</x:v>
      </x:c>
      <x:c r="E2947" s="19" t="str">
        <x:v>熔心烙印僧</x:v>
      </x:c>
      <x:c r="F2947" s="19" t="str">
        <x:v>普通</x:v>
      </x:c>
      <x:c r="G2947" s="19" t="str">
        <x:v>材料独立候选</x:v>
      </x:c>
      <x:c r="H2947" s="19" t="str">
        <x:v>红狮断箭</x:v>
      </x:c>
      <x:c r="I2947" s="22" t="n">
        <x:v>1800</x:v>
      </x:c>
      <x:c r="J2947" s="22" t="n">
        <x:v>1</x:v>
      </x:c>
      <x:c r="K2947" s="19" t="n">
        <x:v>1</x:v>
      </x:c>
      <x:c r="L2947" s="24" t="n">
        <x:v>34.986</x:v>
      </x:c>
      <x:c r="M2947" s="26" t="n">
        <x:v>0.1</x:v>
      </x:c>
      <x:c r="N2947" s="24" t="n">
        <x:v>72</x:v>
      </x:c>
      <x:c r="O2947" s="28" t="n">
        <x:f>MIN(1,L2947/I2947)</x:f>
        <x:v>0.019436666666666665</x:v>
      </x:c>
      <x:c r="P2947" s="30" t="n">
        <x:f>O2947*J2947*(1+M2947)</x:f>
        <x:v>0.02138033333333333</x:v>
      </x:c>
      <x:c r="Q2947" s="30" t="n">
        <x:f>P2947*N2947</x:f>
        <x:v>1.5393839999999999</x:v>
      </x:c>
      <x:c r="R2947" s="19" t="str">
        <x:v>独立判定</x:v>
      </x:c>
    </x:row>
    <x:row r="2948" ht="19" customHeight="1">
      <x:c r="A2948" s="19" t="str">
        <x:v>D02944</x:v>
      </x:c>
      <x:c r="B2948" s="19" t="n">
        <x:v>6</x:v>
      </x:c>
      <x:c r="C2948" s="19" t="n">
        <x:v>2</x:v>
      </x:c>
      <x:c r="D2948" s="19" t="str">
        <x:v>C06-M017</x:v>
      </x:c>
      <x:c r="E2948" s="19" t="str">
        <x:v>熔心烙印僧</x:v>
      </x:c>
      <x:c r="F2948" s="19" t="str">
        <x:v>普通</x:v>
      </x:c>
      <x:c r="G2948" s="19" t="str">
        <x:v>材料独立候选</x:v>
      </x:c>
      <x:c r="H2948" s="19" t="str">
        <x:v>熔原罪火残章</x:v>
      </x:c>
      <x:c r="I2948" s="22" t="n">
        <x:v>1500000</x:v>
      </x:c>
      <x:c r="J2948" s="22" t="n">
        <x:v>1</x:v>
      </x:c>
      <x:c r="K2948" s="19" t="n">
        <x:v>1</x:v>
      </x:c>
      <x:c r="L2948" s="24" t="n">
        <x:v>34.986</x:v>
      </x:c>
      <x:c r="M2948" s="26" t="n">
        <x:v>0.1</x:v>
      </x:c>
      <x:c r="N2948" s="24" t="n">
        <x:v>72</x:v>
      </x:c>
      <x:c r="O2948" s="28" t="n">
        <x:f>MIN(1,L2948/I2948)</x:f>
        <x:v>0.000023324</x:v>
      </x:c>
      <x:c r="P2948" s="30" t="n">
        <x:f>O2948*J2948*(1+M2948)</x:f>
        <x:v>0.0000256564</x:v>
      </x:c>
      <x:c r="Q2948" s="30" t="n">
        <x:f>P2948*N2948</x:f>
        <x:v>0.0018472608000000001</x:v>
      </x:c>
      <x:c r="R2948" s="19" t="str">
        <x:v>独立判定</x:v>
      </x:c>
    </x:row>
    <x:row r="2949" ht="19" customHeight="1">
      <x:c r="A2949" s="19" t="str">
        <x:v>D02945</x:v>
      </x:c>
      <x:c r="B2949" s="19" t="n">
        <x:v>6</x:v>
      </x:c>
      <x:c r="C2949" s="19" t="n">
        <x:v>2</x:v>
      </x:c>
      <x:c r="D2949" s="19" t="str">
        <x:v>C06-M017</x:v>
      </x:c>
      <x:c r="E2949" s="19" t="str">
        <x:v>熔心烙印僧</x:v>
      </x:c>
      <x:c r="F2949" s="19" t="str">
        <x:v>普通</x:v>
      </x:c>
      <x:c r="G2949" s="19" t="str">
        <x:v>材料独立候选</x:v>
      </x:c>
      <x:c r="H2949" s="19" t="str">
        <x:v>野兽骨片</x:v>
      </x:c>
      <x:c r="I2949" s="22" t="n">
        <x:v>180</x:v>
      </x:c>
      <x:c r="J2949" s="22" t="n">
        <x:v>5</x:v>
      </x:c>
      <x:c r="K2949" s="19" t="n">
        <x:v>1</x:v>
      </x:c>
      <x:c r="L2949" s="24" t="n">
        <x:v>34.986</x:v>
      </x:c>
      <x:c r="M2949" s="26" t="n">
        <x:v>0.1</x:v>
      </x:c>
      <x:c r="N2949" s="24" t="n">
        <x:v>72</x:v>
      </x:c>
      <x:c r="O2949" s="28" t="n">
        <x:f>MIN(1,L2949/I2949)</x:f>
        <x:v>0.19436666666666666</x:v>
      </x:c>
      <x:c r="P2949" s="30" t="n">
        <x:f>O2949*J2949*(1+M2949)</x:f>
        <x:v>1.0690166666666667</x:v>
      </x:c>
      <x:c r="Q2949" s="30" t="n">
        <x:f>P2949*N2949</x:f>
        <x:v>76.9692</x:v>
      </x:c>
      <x:c r="R2949" s="19" t="str">
        <x:v>独立判定</x:v>
      </x:c>
    </x:row>
    <x:row r="2950" ht="19" customHeight="1">
      <x:c r="A2950" s="19" t="str">
        <x:v>D02946</x:v>
      </x:c>
      <x:c r="B2950" s="19" t="n">
        <x:v>6</x:v>
      </x:c>
      <x:c r="C2950" s="19" t="n">
        <x:v>2</x:v>
      </x:c>
      <x:c r="D2950" s="19" t="str">
        <x:v>C06-M017</x:v>
      </x:c>
      <x:c r="E2950" s="19" t="str">
        <x:v>熔心烙印僧</x:v>
      </x:c>
      <x:c r="F2950" s="19" t="str">
        <x:v>普通</x:v>
      </x:c>
      <x:c r="G2950" s="19" t="str">
        <x:v>材料独立候选</x:v>
      </x:c>
      <x:c r="H2950" s="19" t="str">
        <x:v>技能残页</x:v>
      </x:c>
      <x:c r="I2950" s="22" t="n">
        <x:v>1000</x:v>
      </x:c>
      <x:c r="J2950" s="22" t="n">
        <x:v>1</x:v>
      </x:c>
      <x:c r="K2950" s="19" t="n">
        <x:v>1</x:v>
      </x:c>
      <x:c r="L2950" s="24" t="n">
        <x:v>34.986</x:v>
      </x:c>
      <x:c r="M2950" s="26" t="n">
        <x:v>0.1</x:v>
      </x:c>
      <x:c r="N2950" s="24" t="n">
        <x:v>72</x:v>
      </x:c>
      <x:c r="O2950" s="28" t="n">
        <x:f>MIN(1,L2950/I2950)</x:f>
        <x:v>0.034985999999999996</x:v>
      </x:c>
      <x:c r="P2950" s="30" t="n">
        <x:f>O2950*J2950*(1+M2950)</x:f>
        <x:v>0.0384846</x:v>
      </x:c>
      <x:c r="Q2950" s="30" t="n">
        <x:f>P2950*N2950</x:f>
        <x:v>2.7708912</x:v>
      </x:c>
      <x:c r="R2950" s="19" t="str">
        <x:v>独立判定</x:v>
      </x:c>
    </x:row>
    <x:row r="2951" ht="19" customHeight="1">
      <x:c r="A2951" s="19" t="str">
        <x:v>D02947</x:v>
      </x:c>
      <x:c r="B2951" s="19" t="n">
        <x:v>6</x:v>
      </x:c>
      <x:c r="C2951" s="19" t="n">
        <x:v>2</x:v>
      </x:c>
      <x:c r="D2951" s="19" t="str">
        <x:v>C06-M017</x:v>
      </x:c>
      <x:c r="E2951" s="19" t="str">
        <x:v>熔心烙印僧</x:v>
      </x:c>
      <x:c r="F2951" s="19" t="str">
        <x:v>普通</x:v>
      </x:c>
      <x:c r="G2951" s="19" t="str">
        <x:v>材料独立候选</x:v>
      </x:c>
      <x:c r="H2951" s="19" t="str">
        <x:v>小卢恩</x:v>
      </x:c>
      <x:c r="I2951" s="22" t="n">
        <x:v>10000</x:v>
      </x:c>
      <x:c r="J2951" s="22" t="n">
        <x:v>1</x:v>
      </x:c>
      <x:c r="K2951" s="19" t="n">
        <x:v>1</x:v>
      </x:c>
      <x:c r="L2951" s="24" t="n">
        <x:v>34.986</x:v>
      </x:c>
      <x:c r="M2951" s="26" t="n">
        <x:v>0.1</x:v>
      </x:c>
      <x:c r="N2951" s="24" t="n">
        <x:v>72</x:v>
      </x:c>
      <x:c r="O2951" s="28" t="n">
        <x:f>MIN(1,L2951/I2951)</x:f>
        <x:v>0.0034985999999999997</x:v>
      </x:c>
      <x:c r="P2951" s="30" t="n">
        <x:f>O2951*J2951*(1+M2951)</x:f>
        <x:v>0.00384846</x:v>
      </x:c>
      <x:c r="Q2951" s="30" t="n">
        <x:f>P2951*N2951</x:f>
        <x:v>0.27708912</x:v>
      </x:c>
      <x:c r="R2951" s="19" t="str">
        <x:v>独立判定</x:v>
      </x:c>
    </x:row>
    <x:row r="2952" ht="19" customHeight="1">
      <x:c r="A2952" s="19" t="str">
        <x:v>D02948</x:v>
      </x:c>
      <x:c r="B2952" s="19" t="n">
        <x:v>6</x:v>
      </x:c>
      <x:c r="C2952" s="19" t="n">
        <x:v>2</x:v>
      </x:c>
      <x:c r="D2952" s="19" t="str">
        <x:v>C06-M017</x:v>
      </x:c>
      <x:c r="E2952" s="19" t="str">
        <x:v>熔心烙印僧</x:v>
      </x:c>
      <x:c r="F2952" s="19" t="str">
        <x:v>普通</x:v>
      </x:c>
      <x:c r="G2952" s="19" t="str">
        <x:v>六神器公共池</x:v>
      </x:c>
      <x:c r="H2952" s="19" t="str">
        <x:v>POOL006</x:v>
      </x:c>
      <x:c r="I2952" s="22" t="n">
        <x:v>20000000</x:v>
      </x:c>
      <x:c r="J2952" s="22" t="n">
        <x:v>1</x:v>
      </x:c>
      <x:c r="K2952" s="19" t="n">
        <x:v>6</x:v>
      </x:c>
      <x:c r="L2952" s="24" t="n">
        <x:v>34.986</x:v>
      </x:c>
      <x:c r="M2952" s="26" t="n">
        <x:v>0.1</x:v>
      </x:c>
      <x:c r="N2952" s="24" t="n">
        <x:v>72</x:v>
      </x:c>
      <x:c r="O2952" s="28" t="n">
        <x:f>MIN(1,L2952/I2952)</x:f>
        <x:v>0.0000017493</x:v>
      </x:c>
      <x:c r="P2952" s="30" t="n">
        <x:f>O2952*J2952*(1+M2952)</x:f>
        <x:v>0.00000192423</x:v>
      </x:c>
      <x:c r="Q2952" s="30" t="n">
        <x:f>P2952*N2952</x:f>
        <x:v>0.00013854456</x:v>
      </x:c>
      <x:c r="R2952" s="19" t="str">
        <x:v>六选一；非6个独立爆率</x:v>
      </x:c>
    </x:row>
    <x:row r="2953" ht="19" customHeight="1">
      <x:c r="A2953" s="19" t="str">
        <x:v>D02949</x:v>
      </x:c>
      <x:c r="B2953" s="19" t="n">
        <x:v>6</x:v>
      </x:c>
      <x:c r="C2953" s="19" t="n">
        <x:v>2</x:v>
      </x:c>
      <x:c r="D2953" s="19" t="str">
        <x:v>C06-M018</x:v>
      </x:c>
      <x:c r="E2953" s="19" t="str">
        <x:v>火狱锁门卒</x:v>
      </x:c>
      <x:c r="F2953" s="19" t="str">
        <x:v>普通</x:v>
      </x:c>
      <x:c r="G2953" s="19" t="str">
        <x:v>自身专属</x:v>
      </x:c>
      <x:c r="H2953" s="19" t="str">
        <x:v>锁门重盾</x:v>
      </x:c>
      <x:c r="I2953" s="22" t="n">
        <x:v>3000</x:v>
      </x:c>
      <x:c r="J2953" s="22" t="n">
        <x:v>1</x:v>
      </x:c>
      <x:c r="K2953" s="19" t="n">
        <x:v>1</x:v>
      </x:c>
      <x:c r="L2953" s="24" t="n">
        <x:v>34.986</x:v>
      </x:c>
      <x:c r="M2953" s="26" t="n">
        <x:v>0.1</x:v>
      </x:c>
      <x:c r="N2953" s="24" t="n">
        <x:v>72</x:v>
      </x:c>
      <x:c r="O2953" s="28" t="n">
        <x:f>MIN(1,L2953/I2953)</x:f>
        <x:v>0.011661999999999999</x:v>
      </x:c>
      <x:c r="P2953" s="30" t="n">
        <x:f>O2953*J2953*(1+M2953)</x:f>
        <x:v>0.0128282</x:v>
      </x:c>
      <x:c r="Q2953" s="30" t="n">
        <x:f>P2953*N2953</x:f>
        <x:v>0.9236304</x:v>
      </x:c>
      <x:c r="R2953" s="19" t="str">
        <x:v>独立判定</x:v>
      </x:c>
    </x:row>
    <x:row r="2954" ht="19" customHeight="1">
      <x:c r="A2954" s="19" t="str">
        <x:v>D02950</x:v>
      </x:c>
      <x:c r="B2954" s="19" t="n">
        <x:v>6</x:v>
      </x:c>
      <x:c r="C2954" s="19" t="n">
        <x:v>2</x:v>
      </x:c>
      <x:c r="D2954" s="19" t="str">
        <x:v>C06-M018</x:v>
      </x:c>
      <x:c r="E2954" s="19" t="str">
        <x:v>火狱锁门卒</x:v>
      </x:c>
      <x:c r="F2954" s="19" t="str">
        <x:v>普通</x:v>
      </x:c>
      <x:c r="G2954" s="19" t="str">
        <x:v>材料独立候选</x:v>
      </x:c>
      <x:c r="H2954" s="19" t="str">
        <x:v>猩红矿渣</x:v>
      </x:c>
      <x:c r="I2954" s="22" t="n">
        <x:v>600</x:v>
      </x:c>
      <x:c r="J2954" s="22" t="n">
        <x:v>8</x:v>
      </x:c>
      <x:c r="K2954" s="19" t="n">
        <x:v>1</x:v>
      </x:c>
      <x:c r="L2954" s="24" t="n">
        <x:v>34.986</x:v>
      </x:c>
      <x:c r="M2954" s="26" t="n">
        <x:v>0.1</x:v>
      </x:c>
      <x:c r="N2954" s="24" t="n">
        <x:v>72</x:v>
      </x:c>
      <x:c r="O2954" s="28" t="n">
        <x:f>MIN(1,L2954/I2954)</x:f>
        <x:v>0.058309999999999994</x:v>
      </x:c>
      <x:c r="P2954" s="30" t="n">
        <x:f>O2954*J2954*(1+M2954)</x:f>
        <x:v>0.513128</x:v>
      </x:c>
      <x:c r="Q2954" s="30" t="n">
        <x:f>P2954*N2954</x:f>
        <x:v>36.945216</x:v>
      </x:c>
      <x:c r="R2954" s="19" t="str">
        <x:v>独立判定</x:v>
      </x:c>
    </x:row>
    <x:row r="2955" ht="19" customHeight="1">
      <x:c r="A2955" s="19" t="str">
        <x:v>D02951</x:v>
      </x:c>
      <x:c r="B2955" s="19" t="n">
        <x:v>6</x:v>
      </x:c>
      <x:c r="C2955" s="19" t="n">
        <x:v>2</x:v>
      </x:c>
      <x:c r="D2955" s="19" t="str">
        <x:v>C06-M018</x:v>
      </x:c>
      <x:c r="E2955" s="19" t="str">
        <x:v>火狱锁门卒</x:v>
      </x:c>
      <x:c r="F2955" s="19" t="str">
        <x:v>普通</x:v>
      </x:c>
      <x:c r="G2955" s="19" t="str">
        <x:v>材料独立候选</x:v>
      </x:c>
      <x:c r="H2955" s="19" t="str">
        <x:v>红狮断箭</x:v>
      </x:c>
      <x:c r="I2955" s="22" t="n">
        <x:v>1800</x:v>
      </x:c>
      <x:c r="J2955" s="22" t="n">
        <x:v>1</x:v>
      </x:c>
      <x:c r="K2955" s="19" t="n">
        <x:v>1</x:v>
      </x:c>
      <x:c r="L2955" s="24" t="n">
        <x:v>34.986</x:v>
      </x:c>
      <x:c r="M2955" s="26" t="n">
        <x:v>0.1</x:v>
      </x:c>
      <x:c r="N2955" s="24" t="n">
        <x:v>72</x:v>
      </x:c>
      <x:c r="O2955" s="28" t="n">
        <x:f>MIN(1,L2955/I2955)</x:f>
        <x:v>0.019436666666666665</x:v>
      </x:c>
      <x:c r="P2955" s="30" t="n">
        <x:f>O2955*J2955*(1+M2955)</x:f>
        <x:v>0.02138033333333333</x:v>
      </x:c>
      <x:c r="Q2955" s="30" t="n">
        <x:f>P2955*N2955</x:f>
        <x:v>1.5393839999999999</x:v>
      </x:c>
      <x:c r="R2955" s="19" t="str">
        <x:v>独立判定</x:v>
      </x:c>
    </x:row>
    <x:row r="2956" ht="19" customHeight="1">
      <x:c r="A2956" s="19" t="str">
        <x:v>D02952</x:v>
      </x:c>
      <x:c r="B2956" s="19" t="n">
        <x:v>6</x:v>
      </x:c>
      <x:c r="C2956" s="19" t="n">
        <x:v>2</x:v>
      </x:c>
      <x:c r="D2956" s="19" t="str">
        <x:v>C06-M018</x:v>
      </x:c>
      <x:c r="E2956" s="19" t="str">
        <x:v>火狱锁门卒</x:v>
      </x:c>
      <x:c r="F2956" s="19" t="str">
        <x:v>普通</x:v>
      </x:c>
      <x:c r="G2956" s="19" t="str">
        <x:v>材料独立候选</x:v>
      </x:c>
      <x:c r="H2956" s="19" t="str">
        <x:v>熔原罪火残章</x:v>
      </x:c>
      <x:c r="I2956" s="22" t="n">
        <x:v>1500000</x:v>
      </x:c>
      <x:c r="J2956" s="22" t="n">
        <x:v>1</x:v>
      </x:c>
      <x:c r="K2956" s="19" t="n">
        <x:v>1</x:v>
      </x:c>
      <x:c r="L2956" s="24" t="n">
        <x:v>34.986</x:v>
      </x:c>
      <x:c r="M2956" s="26" t="n">
        <x:v>0.1</x:v>
      </x:c>
      <x:c r="N2956" s="24" t="n">
        <x:v>72</x:v>
      </x:c>
      <x:c r="O2956" s="28" t="n">
        <x:f>MIN(1,L2956/I2956)</x:f>
        <x:v>0.000023324</x:v>
      </x:c>
      <x:c r="P2956" s="30" t="n">
        <x:f>O2956*J2956*(1+M2956)</x:f>
        <x:v>0.0000256564</x:v>
      </x:c>
      <x:c r="Q2956" s="30" t="n">
        <x:f>P2956*N2956</x:f>
        <x:v>0.0018472608000000001</x:v>
      </x:c>
      <x:c r="R2956" s="19" t="str">
        <x:v>独立判定</x:v>
      </x:c>
    </x:row>
    <x:row r="2957" ht="19" customHeight="1">
      <x:c r="A2957" s="19" t="str">
        <x:v>D02953</x:v>
      </x:c>
      <x:c r="B2957" s="19" t="n">
        <x:v>6</x:v>
      </x:c>
      <x:c r="C2957" s="19" t="n">
        <x:v>2</x:v>
      </x:c>
      <x:c r="D2957" s="19" t="str">
        <x:v>C06-M018</x:v>
      </x:c>
      <x:c r="E2957" s="19" t="str">
        <x:v>火狱锁门卒</x:v>
      </x:c>
      <x:c r="F2957" s="19" t="str">
        <x:v>普通</x:v>
      </x:c>
      <x:c r="G2957" s="19" t="str">
        <x:v>材料独立候选</x:v>
      </x:c>
      <x:c r="H2957" s="19" t="str">
        <x:v>野兽骨片</x:v>
      </x:c>
      <x:c r="I2957" s="22" t="n">
        <x:v>180</x:v>
      </x:c>
      <x:c r="J2957" s="22" t="n">
        <x:v>5</x:v>
      </x:c>
      <x:c r="K2957" s="19" t="n">
        <x:v>1</x:v>
      </x:c>
      <x:c r="L2957" s="24" t="n">
        <x:v>34.986</x:v>
      </x:c>
      <x:c r="M2957" s="26" t="n">
        <x:v>0.1</x:v>
      </x:c>
      <x:c r="N2957" s="24" t="n">
        <x:v>72</x:v>
      </x:c>
      <x:c r="O2957" s="28" t="n">
        <x:f>MIN(1,L2957/I2957)</x:f>
        <x:v>0.19436666666666666</x:v>
      </x:c>
      <x:c r="P2957" s="30" t="n">
        <x:f>O2957*J2957*(1+M2957)</x:f>
        <x:v>1.0690166666666667</x:v>
      </x:c>
      <x:c r="Q2957" s="30" t="n">
        <x:f>P2957*N2957</x:f>
        <x:v>76.9692</x:v>
      </x:c>
      <x:c r="R2957" s="19" t="str">
        <x:v>独立判定</x:v>
      </x:c>
    </x:row>
    <x:row r="2958" ht="19" customHeight="1">
      <x:c r="A2958" s="19" t="str">
        <x:v>D02954</x:v>
      </x:c>
      <x:c r="B2958" s="19" t="n">
        <x:v>6</x:v>
      </x:c>
      <x:c r="C2958" s="19" t="n">
        <x:v>2</x:v>
      </x:c>
      <x:c r="D2958" s="19" t="str">
        <x:v>C06-M018</x:v>
      </x:c>
      <x:c r="E2958" s="19" t="str">
        <x:v>火狱锁门卒</x:v>
      </x:c>
      <x:c r="F2958" s="19" t="str">
        <x:v>普通</x:v>
      </x:c>
      <x:c r="G2958" s="19" t="str">
        <x:v>材料独立候选</x:v>
      </x:c>
      <x:c r="H2958" s="19" t="str">
        <x:v>技能残页</x:v>
      </x:c>
      <x:c r="I2958" s="22" t="n">
        <x:v>1000</x:v>
      </x:c>
      <x:c r="J2958" s="22" t="n">
        <x:v>1</x:v>
      </x:c>
      <x:c r="K2958" s="19" t="n">
        <x:v>1</x:v>
      </x:c>
      <x:c r="L2958" s="24" t="n">
        <x:v>34.986</x:v>
      </x:c>
      <x:c r="M2958" s="26" t="n">
        <x:v>0.1</x:v>
      </x:c>
      <x:c r="N2958" s="24" t="n">
        <x:v>72</x:v>
      </x:c>
      <x:c r="O2958" s="28" t="n">
        <x:f>MIN(1,L2958/I2958)</x:f>
        <x:v>0.034985999999999996</x:v>
      </x:c>
      <x:c r="P2958" s="30" t="n">
        <x:f>O2958*J2958*(1+M2958)</x:f>
        <x:v>0.0384846</x:v>
      </x:c>
      <x:c r="Q2958" s="30" t="n">
        <x:f>P2958*N2958</x:f>
        <x:v>2.7708912</x:v>
      </x:c>
      <x:c r="R2958" s="19" t="str">
        <x:v>独立判定</x:v>
      </x:c>
    </x:row>
    <x:row r="2959" ht="19" customHeight="1">
      <x:c r="A2959" s="19" t="str">
        <x:v>D02955</x:v>
      </x:c>
      <x:c r="B2959" s="19" t="n">
        <x:v>6</x:v>
      </x:c>
      <x:c r="C2959" s="19" t="n">
        <x:v>2</x:v>
      </x:c>
      <x:c r="D2959" s="19" t="str">
        <x:v>C06-M018</x:v>
      </x:c>
      <x:c r="E2959" s="19" t="str">
        <x:v>火狱锁门卒</x:v>
      </x:c>
      <x:c r="F2959" s="19" t="str">
        <x:v>普通</x:v>
      </x:c>
      <x:c r="G2959" s="19" t="str">
        <x:v>材料独立候选</x:v>
      </x:c>
      <x:c r="H2959" s="19" t="str">
        <x:v>小卢恩</x:v>
      </x:c>
      <x:c r="I2959" s="22" t="n">
        <x:v>10000</x:v>
      </x:c>
      <x:c r="J2959" s="22" t="n">
        <x:v>1</x:v>
      </x:c>
      <x:c r="K2959" s="19" t="n">
        <x:v>1</x:v>
      </x:c>
      <x:c r="L2959" s="24" t="n">
        <x:v>34.986</x:v>
      </x:c>
      <x:c r="M2959" s="26" t="n">
        <x:v>0.1</x:v>
      </x:c>
      <x:c r="N2959" s="24" t="n">
        <x:v>72</x:v>
      </x:c>
      <x:c r="O2959" s="28" t="n">
        <x:f>MIN(1,L2959/I2959)</x:f>
        <x:v>0.0034985999999999997</x:v>
      </x:c>
      <x:c r="P2959" s="30" t="n">
        <x:f>O2959*J2959*(1+M2959)</x:f>
        <x:v>0.00384846</x:v>
      </x:c>
      <x:c r="Q2959" s="30" t="n">
        <x:f>P2959*N2959</x:f>
        <x:v>0.27708912</x:v>
      </x:c>
      <x:c r="R2959" s="19" t="str">
        <x:v>独立判定</x:v>
      </x:c>
    </x:row>
    <x:row r="2960" ht="19" customHeight="1">
      <x:c r="A2960" s="19" t="str">
        <x:v>D02956</x:v>
      </x:c>
      <x:c r="B2960" s="19" t="n">
        <x:v>6</x:v>
      </x:c>
      <x:c r="C2960" s="19" t="n">
        <x:v>2</x:v>
      </x:c>
      <x:c r="D2960" s="19" t="str">
        <x:v>C06-M018</x:v>
      </x:c>
      <x:c r="E2960" s="19" t="str">
        <x:v>火狱锁门卒</x:v>
      </x:c>
      <x:c r="F2960" s="19" t="str">
        <x:v>普通</x:v>
      </x:c>
      <x:c r="G2960" s="19" t="str">
        <x:v>六神器公共池</x:v>
      </x:c>
      <x:c r="H2960" s="19" t="str">
        <x:v>POOL006</x:v>
      </x:c>
      <x:c r="I2960" s="22" t="n">
        <x:v>20000000</x:v>
      </x:c>
      <x:c r="J2960" s="22" t="n">
        <x:v>1</x:v>
      </x:c>
      <x:c r="K2960" s="19" t="n">
        <x:v>6</x:v>
      </x:c>
      <x:c r="L2960" s="24" t="n">
        <x:v>34.986</x:v>
      </x:c>
      <x:c r="M2960" s="26" t="n">
        <x:v>0.1</x:v>
      </x:c>
      <x:c r="N2960" s="24" t="n">
        <x:v>72</x:v>
      </x:c>
      <x:c r="O2960" s="28" t="n">
        <x:f>MIN(1,L2960/I2960)</x:f>
        <x:v>0.0000017493</x:v>
      </x:c>
      <x:c r="P2960" s="30" t="n">
        <x:f>O2960*J2960*(1+M2960)</x:f>
        <x:v>0.00000192423</x:v>
      </x:c>
      <x:c r="Q2960" s="30" t="n">
        <x:f>P2960*N2960</x:f>
        <x:v>0.00013854456</x:v>
      </x:c>
      <x:c r="R2960" s="19" t="str">
        <x:v>六选一；非6个独立爆率</x:v>
      </x:c>
    </x:row>
    <x:row r="2961" ht="19" customHeight="1">
      <x:c r="A2961" s="19" t="str">
        <x:v>D02957</x:v>
      </x:c>
      <x:c r="B2961" s="19" t="n">
        <x:v>6</x:v>
      </x:c>
      <x:c r="C2961" s="19" t="n">
        <x:v>2</x:v>
      </x:c>
      <x:c r="D2961" s="19" t="str">
        <x:v>C06-M019</x:v>
      </x:c>
      <x:c r="E2961" s="19" t="str">
        <x:v>瘴焰缝尸匠</x:v>
      </x:c>
      <x:c r="F2961" s="19" t="str">
        <x:v>稀有</x:v>
      </x:c>
      <x:c r="G2961" s="19" t="str">
        <x:v>自身专属</x:v>
      </x:c>
      <x:c r="H2961" s="19" t="str">
        <x:v>缝尸骨针</x:v>
      </x:c>
      <x:c r="I2961" s="22" t="n">
        <x:v>800</x:v>
      </x:c>
      <x:c r="J2961" s="22" t="n">
        <x:v>1</x:v>
      </x:c>
      <x:c r="K2961" s="19" t="n">
        <x:v>1</x:v>
      </x:c>
      <x:c r="L2961" s="24" t="n">
        <x:v>34.986</x:v>
      </x:c>
      <x:c r="M2961" s="26" t="n">
        <x:v>0.1</x:v>
      </x:c>
      <x:c r="N2961" s="24" t="n">
        <x:v>12</x:v>
      </x:c>
      <x:c r="O2961" s="28" t="n">
        <x:f>MIN(1,L2961/I2961)</x:f>
        <x:v>0.043732499999999994</x:v>
      </x:c>
      <x:c r="P2961" s="30" t="n">
        <x:f>O2961*J2961*(1+M2961)</x:f>
        <x:v>0.048105749999999996</x:v>
      </x:c>
      <x:c r="Q2961" s="30" t="n">
        <x:f>P2961*N2961</x:f>
        <x:v>0.5772689999999999</x:v>
      </x:c>
      <x:c r="R2961" s="19" t="str">
        <x:v>独立判定</x:v>
      </x:c>
    </x:row>
    <x:row r="2962" ht="19" customHeight="1">
      <x:c r="A2962" s="19" t="str">
        <x:v>D02958</x:v>
      </x:c>
      <x:c r="B2962" s="19" t="n">
        <x:v>6</x:v>
      </x:c>
      <x:c r="C2962" s="19" t="n">
        <x:v>2</x:v>
      </x:c>
      <x:c r="D2962" s="19" t="str">
        <x:v>C06-M019</x:v>
      </x:c>
      <x:c r="E2962" s="19" t="str">
        <x:v>瘴焰缝尸匠</x:v>
      </x:c>
      <x:c r="F2962" s="19" t="str">
        <x:v>稀有</x:v>
      </x:c>
      <x:c r="G2962" s="19" t="str">
        <x:v>材料独立候选</x:v>
      </x:c>
      <x:c r="H2962" s="19" t="str">
        <x:v>猩红矿渣</x:v>
      </x:c>
      <x:c r="I2962" s="22" t="n">
        <x:v>400</x:v>
      </x:c>
      <x:c r="J2962" s="22" t="n">
        <x:v>15</x:v>
      </x:c>
      <x:c r="K2962" s="19" t="n">
        <x:v>1</x:v>
      </x:c>
      <x:c r="L2962" s="24" t="n">
        <x:v>34.986</x:v>
      </x:c>
      <x:c r="M2962" s="26" t="n">
        <x:v>0.1</x:v>
      </x:c>
      <x:c r="N2962" s="24" t="n">
        <x:v>12</x:v>
      </x:c>
      <x:c r="O2962" s="28" t="n">
        <x:f>MIN(1,L2962/I2962)</x:f>
        <x:v>0.08746499999999999</x:v>
      </x:c>
      <x:c r="P2962" s="30" t="n">
        <x:f>O2962*J2962*(1+M2962)</x:f>
        <x:v>1.4431725</x:v>
      </x:c>
      <x:c r="Q2962" s="30" t="n">
        <x:f>P2962*N2962</x:f>
        <x:v>17.31807</x:v>
      </x:c>
      <x:c r="R2962" s="19" t="str">
        <x:v>独立判定</x:v>
      </x:c>
    </x:row>
    <x:row r="2963" ht="19" customHeight="1">
      <x:c r="A2963" s="19" t="str">
        <x:v>D02959</x:v>
      </x:c>
      <x:c r="B2963" s="19" t="n">
        <x:v>6</x:v>
      </x:c>
      <x:c r="C2963" s="19" t="n">
        <x:v>2</x:v>
      </x:c>
      <x:c r="D2963" s="19" t="str">
        <x:v>C06-M019</x:v>
      </x:c>
      <x:c r="E2963" s="19" t="str">
        <x:v>瘴焰缝尸匠</x:v>
      </x:c>
      <x:c r="F2963" s="19" t="str">
        <x:v>稀有</x:v>
      </x:c>
      <x:c r="G2963" s="19" t="str">
        <x:v>材料独立候选</x:v>
      </x:c>
      <x:c r="H2963" s="19" t="str">
        <x:v>龙火鳞</x:v>
      </x:c>
      <x:c r="I2963" s="22" t="n">
        <x:v>1000</x:v>
      </x:c>
      <x:c r="J2963" s="22" t="n">
        <x:v>1</x:v>
      </x:c>
      <x:c r="K2963" s="19" t="n">
        <x:v>1</x:v>
      </x:c>
      <x:c r="L2963" s="24" t="n">
        <x:v>34.986</x:v>
      </x:c>
      <x:c r="M2963" s="26" t="n">
        <x:v>0.1</x:v>
      </x:c>
      <x:c r="N2963" s="24" t="n">
        <x:v>12</x:v>
      </x:c>
      <x:c r="O2963" s="28" t="n">
        <x:f>MIN(1,L2963/I2963)</x:f>
        <x:v>0.034985999999999996</x:v>
      </x:c>
      <x:c r="P2963" s="30" t="n">
        <x:f>O2963*J2963*(1+M2963)</x:f>
        <x:v>0.0384846</x:v>
      </x:c>
      <x:c r="Q2963" s="30" t="n">
        <x:f>P2963*N2963</x:f>
        <x:v>0.4618152</x:v>
      </x:c>
      <x:c r="R2963" s="19" t="str">
        <x:v>独立判定</x:v>
      </x:c>
    </x:row>
    <x:row r="2964" ht="19" customHeight="1">
      <x:c r="A2964" s="19" t="str">
        <x:v>D02960</x:v>
      </x:c>
      <x:c r="B2964" s="19" t="n">
        <x:v>6</x:v>
      </x:c>
      <x:c r="C2964" s="19" t="n">
        <x:v>2</x:v>
      </x:c>
      <x:c r="D2964" s="19" t="str">
        <x:v>C06-M019</x:v>
      </x:c>
      <x:c r="E2964" s="19" t="str">
        <x:v>瘴焰缝尸匠</x:v>
      </x:c>
      <x:c r="F2964" s="19" t="str">
        <x:v>稀有</x:v>
      </x:c>
      <x:c r="G2964" s="19" t="str">
        <x:v>材料独立候选</x:v>
      </x:c>
      <x:c r="H2964" s="19" t="str">
        <x:v>净火腺囊</x:v>
      </x:c>
      <x:c r="I2964" s="22" t="n">
        <x:v>250</x:v>
      </x:c>
      <x:c r="J2964" s="22" t="n">
        <x:v>1</x:v>
      </x:c>
      <x:c r="K2964" s="19" t="n">
        <x:v>1</x:v>
      </x:c>
      <x:c r="L2964" s="24" t="n">
        <x:v>34.986</x:v>
      </x:c>
      <x:c r="M2964" s="26" t="n">
        <x:v>0.1</x:v>
      </x:c>
      <x:c r="N2964" s="24" t="n">
        <x:v>12</x:v>
      </x:c>
      <x:c r="O2964" s="28" t="n">
        <x:f>MIN(1,L2964/I2964)</x:f>
        <x:v>0.13994399999999999</x:v>
      </x:c>
      <x:c r="P2964" s="30" t="n">
        <x:f>O2964*J2964*(1+M2964)</x:f>
        <x:v>0.1539384</x:v>
      </x:c>
      <x:c r="Q2964" s="30" t="n">
        <x:f>P2964*N2964</x:f>
        <x:v>1.8472608</x:v>
      </x:c>
      <x:c r="R2964" s="19" t="str">
        <x:v>独立判定</x:v>
      </x:c>
    </x:row>
    <x:row r="2965" ht="19" customHeight="1">
      <x:c r="A2965" s="19" t="str">
        <x:v>D02961</x:v>
      </x:c>
      <x:c r="B2965" s="19" t="n">
        <x:v>6</x:v>
      </x:c>
      <x:c r="C2965" s="19" t="n">
        <x:v>2</x:v>
      </x:c>
      <x:c r="D2965" s="19" t="str">
        <x:v>C06-M019</x:v>
      </x:c>
      <x:c r="E2965" s="19" t="str">
        <x:v>瘴焰缝尸匠</x:v>
      </x:c>
      <x:c r="F2965" s="19" t="str">
        <x:v>稀有</x:v>
      </x:c>
      <x:c r="G2965" s="19" t="str">
        <x:v>材料独立候选</x:v>
      </x:c>
      <x:c r="H2965" s="19" t="str">
        <x:v>熔原罪火残章</x:v>
      </x:c>
      <x:c r="I2965" s="22" t="n">
        <x:v>1000000</x:v>
      </x:c>
      <x:c r="J2965" s="22" t="n">
        <x:v>1</x:v>
      </x:c>
      <x:c r="K2965" s="19" t="n">
        <x:v>1</x:v>
      </x:c>
      <x:c r="L2965" s="24" t="n">
        <x:v>34.986</x:v>
      </x:c>
      <x:c r="M2965" s="26" t="n">
        <x:v>0.1</x:v>
      </x:c>
      <x:c r="N2965" s="24" t="n">
        <x:v>12</x:v>
      </x:c>
      <x:c r="O2965" s="28" t="n">
        <x:f>MIN(1,L2965/I2965)</x:f>
        <x:v>0.000034986</x:v>
      </x:c>
      <x:c r="P2965" s="30" t="n">
        <x:f>O2965*J2965*(1+M2965)</x:f>
        <x:v>0.0000384846</x:v>
      </x:c>
      <x:c r="Q2965" s="30" t="n">
        <x:f>P2965*N2965</x:f>
        <x:v>0.00046181520000000004</x:v>
      </x:c>
      <x:c r="R2965" s="19" t="str">
        <x:v>独立判定</x:v>
      </x:c>
    </x:row>
    <x:row r="2966" ht="19" customHeight="1">
      <x:c r="A2966" s="19" t="str">
        <x:v>D02962</x:v>
      </x:c>
      <x:c r="B2966" s="19" t="n">
        <x:v>6</x:v>
      </x:c>
      <x:c r="C2966" s="19" t="n">
        <x:v>2</x:v>
      </x:c>
      <x:c r="D2966" s="19" t="str">
        <x:v>C06-M019</x:v>
      </x:c>
      <x:c r="E2966" s="19" t="str">
        <x:v>瘴焰缝尸匠</x:v>
      </x:c>
      <x:c r="F2966" s="19" t="str">
        <x:v>稀有</x:v>
      </x:c>
      <x:c r="G2966" s="19" t="str">
        <x:v>材料独立候选</x:v>
      </x:c>
      <x:c r="H2966" s="19" t="str">
        <x:v>黄金树芽</x:v>
      </x:c>
      <x:c r="I2966" s="22" t="n">
        <x:v>1000</x:v>
      </x:c>
      <x:c r="J2966" s="22" t="n">
        <x:v>1</x:v>
      </x:c>
      <x:c r="K2966" s="19" t="n">
        <x:v>1</x:v>
      </x:c>
      <x:c r="L2966" s="24" t="n">
        <x:v>34.986</x:v>
      </x:c>
      <x:c r="M2966" s="26" t="n">
        <x:v>0.1</x:v>
      </x:c>
      <x:c r="N2966" s="24" t="n">
        <x:v>12</x:v>
      </x:c>
      <x:c r="O2966" s="28" t="n">
        <x:f>MIN(1,L2966/I2966)</x:f>
        <x:v>0.034985999999999996</x:v>
      </x:c>
      <x:c r="P2966" s="30" t="n">
        <x:f>O2966*J2966*(1+M2966)</x:f>
        <x:v>0.0384846</x:v>
      </x:c>
      <x:c r="Q2966" s="30" t="n">
        <x:f>P2966*N2966</x:f>
        <x:v>0.4618152</x:v>
      </x:c>
      <x:c r="R2966" s="19" t="str">
        <x:v>独立判定</x:v>
      </x:c>
    </x:row>
    <x:row r="2967" ht="19" customHeight="1">
      <x:c r="A2967" s="19" t="str">
        <x:v>D02963</x:v>
      </x:c>
      <x:c r="B2967" s="19" t="n">
        <x:v>6</x:v>
      </x:c>
      <x:c r="C2967" s="19" t="n">
        <x:v>2</x:v>
      </x:c>
      <x:c r="D2967" s="19" t="str">
        <x:v>C06-M019</x:v>
      </x:c>
      <x:c r="E2967" s="19" t="str">
        <x:v>瘴焰缝尸匠</x:v>
      </x:c>
      <x:c r="F2967" s="19" t="str">
        <x:v>稀有</x:v>
      </x:c>
      <x:c r="G2967" s="19" t="str">
        <x:v>材料独立候选</x:v>
      </x:c>
      <x:c r="H2967" s="19" t="str">
        <x:v>野兽骨片</x:v>
      </x:c>
      <x:c r="I2967" s="22" t="n">
        <x:v>120</x:v>
      </x:c>
      <x:c r="J2967" s="22" t="n">
        <x:v>5</x:v>
      </x:c>
      <x:c r="K2967" s="19" t="n">
        <x:v>1</x:v>
      </x:c>
      <x:c r="L2967" s="24" t="n">
        <x:v>34.986</x:v>
      </x:c>
      <x:c r="M2967" s="26" t="n">
        <x:v>0.1</x:v>
      </x:c>
      <x:c r="N2967" s="24" t="n">
        <x:v>12</x:v>
      </x:c>
      <x:c r="O2967" s="28" t="n">
        <x:f>MIN(1,L2967/I2967)</x:f>
        <x:v>0.29155</x:v>
      </x:c>
      <x:c r="P2967" s="30" t="n">
        <x:f>O2967*J2967*(1+M2967)</x:f>
        <x:v>1.603525</x:v>
      </x:c>
      <x:c r="Q2967" s="30" t="n">
        <x:f>P2967*N2967</x:f>
        <x:v>19.2423</x:v>
      </x:c>
      <x:c r="R2967" s="19" t="str">
        <x:v>独立判定</x:v>
      </x:c>
    </x:row>
    <x:row r="2968" ht="19" customHeight="1">
      <x:c r="A2968" s="19" t="str">
        <x:v>D02964</x:v>
      </x:c>
      <x:c r="B2968" s="19" t="n">
        <x:v>6</x:v>
      </x:c>
      <x:c r="C2968" s="19" t="n">
        <x:v>2</x:v>
      </x:c>
      <x:c r="D2968" s="19" t="str">
        <x:v>C06-M019</x:v>
      </x:c>
      <x:c r="E2968" s="19" t="str">
        <x:v>瘴焰缝尸匠</x:v>
      </x:c>
      <x:c r="F2968" s="19" t="str">
        <x:v>稀有</x:v>
      </x:c>
      <x:c r="G2968" s="19" t="str">
        <x:v>材料独立候选</x:v>
      </x:c>
      <x:c r="H2968" s="19" t="str">
        <x:v>技能残页</x:v>
      </x:c>
      <x:c r="I2968" s="22" t="n">
        <x:v>600</x:v>
      </x:c>
      <x:c r="J2968" s="22" t="n">
        <x:v>1</x:v>
      </x:c>
      <x:c r="K2968" s="19" t="n">
        <x:v>1</x:v>
      </x:c>
      <x:c r="L2968" s="24" t="n">
        <x:v>34.986</x:v>
      </x:c>
      <x:c r="M2968" s="26" t="n">
        <x:v>0.1</x:v>
      </x:c>
      <x:c r="N2968" s="24" t="n">
        <x:v>12</x:v>
      </x:c>
      <x:c r="O2968" s="28" t="n">
        <x:f>MIN(1,L2968/I2968)</x:f>
        <x:v>0.058309999999999994</x:v>
      </x:c>
      <x:c r="P2968" s="30" t="n">
        <x:f>O2968*J2968*(1+M2968)</x:f>
        <x:v>0.064141</x:v>
      </x:c>
      <x:c r="Q2968" s="30" t="n">
        <x:f>P2968*N2968</x:f>
        <x:v>0.769692</x:v>
      </x:c>
      <x:c r="R2968" s="19" t="str">
        <x:v>独立判定</x:v>
      </x:c>
    </x:row>
    <x:row r="2969" ht="19" customHeight="1">
      <x:c r="A2969" s="19" t="str">
        <x:v>D02965</x:v>
      </x:c>
      <x:c r="B2969" s="19" t="n">
        <x:v>6</x:v>
      </x:c>
      <x:c r="C2969" s="19" t="n">
        <x:v>2</x:v>
      </x:c>
      <x:c r="D2969" s="19" t="str">
        <x:v>C06-M019</x:v>
      </x:c>
      <x:c r="E2969" s="19" t="str">
        <x:v>瘴焰缝尸匠</x:v>
      </x:c>
      <x:c r="F2969" s="19" t="str">
        <x:v>稀有</x:v>
      </x:c>
      <x:c r="G2969" s="19" t="str">
        <x:v>材料独立候选</x:v>
      </x:c>
      <x:c r="H2969" s="19" t="str">
        <x:v>小卢恩</x:v>
      </x:c>
      <x:c r="I2969" s="22" t="n">
        <x:v>6000</x:v>
      </x:c>
      <x:c r="J2969" s="22" t="n">
        <x:v>1</x:v>
      </x:c>
      <x:c r="K2969" s="19" t="n">
        <x:v>1</x:v>
      </x:c>
      <x:c r="L2969" s="24" t="n">
        <x:v>34.986</x:v>
      </x:c>
      <x:c r="M2969" s="26" t="n">
        <x:v>0.1</x:v>
      </x:c>
      <x:c r="N2969" s="24" t="n">
        <x:v>12</x:v>
      </x:c>
      <x:c r="O2969" s="28" t="n">
        <x:f>MIN(1,L2969/I2969)</x:f>
        <x:v>0.005830999999999999</x:v>
      </x:c>
      <x:c r="P2969" s="30" t="n">
        <x:f>O2969*J2969*(1+M2969)</x:f>
        <x:v>0.0064141</x:v>
      </x:c>
      <x:c r="Q2969" s="30" t="n">
        <x:f>P2969*N2969</x:f>
        <x:v>0.0769692</x:v>
      </x:c>
      <x:c r="R2969" s="19" t="str">
        <x:v>独立判定</x:v>
      </x:c>
    </x:row>
    <x:row r="2970" ht="19" customHeight="1">
      <x:c r="A2970" s="19" t="str">
        <x:v>D02966</x:v>
      </x:c>
      <x:c r="B2970" s="19" t="n">
        <x:v>6</x:v>
      </x:c>
      <x:c r="C2970" s="19" t="n">
        <x:v>2</x:v>
      </x:c>
      <x:c r="D2970" s="19" t="str">
        <x:v>C06-M019</x:v>
      </x:c>
      <x:c r="E2970" s="19" t="str">
        <x:v>瘴焰缝尸匠</x:v>
      </x:c>
      <x:c r="F2970" s="19" t="str">
        <x:v>稀有</x:v>
      </x:c>
      <x:c r="G2970" s="19" t="str">
        <x:v>六神器公共池</x:v>
      </x:c>
      <x:c r="H2970" s="19" t="str">
        <x:v>POOL006</x:v>
      </x:c>
      <x:c r="I2970" s="22" t="n">
        <x:v>5000000</x:v>
      </x:c>
      <x:c r="J2970" s="22" t="n">
        <x:v>1</x:v>
      </x:c>
      <x:c r="K2970" s="19" t="n">
        <x:v>6</x:v>
      </x:c>
      <x:c r="L2970" s="24" t="n">
        <x:v>34.986</x:v>
      </x:c>
      <x:c r="M2970" s="26" t="n">
        <x:v>0.1</x:v>
      </x:c>
      <x:c r="N2970" s="24" t="n">
        <x:v>12</x:v>
      </x:c>
      <x:c r="O2970" s="28" t="n">
        <x:f>MIN(1,L2970/I2970)</x:f>
        <x:v>0.0000069972</x:v>
      </x:c>
      <x:c r="P2970" s="30" t="n">
        <x:f>O2970*J2970*(1+M2970)</x:f>
        <x:v>0.00000769692</x:v>
      </x:c>
      <x:c r="Q2970" s="30" t="n">
        <x:f>P2970*N2970</x:f>
        <x:v>0.00009236304000000001</x:v>
      </x:c>
      <x:c r="R2970" s="19" t="str">
        <x:v>六选一；非6个独立爆率</x:v>
      </x:c>
    </x:row>
    <x:row r="2971" ht="19" customHeight="1">
      <x:c r="A2971" s="19" t="str">
        <x:v>D02967</x:v>
      </x:c>
      <x:c r="B2971" s="19" t="n">
        <x:v>6</x:v>
      </x:c>
      <x:c r="C2971" s="19" t="n">
        <x:v>2</x:v>
      </x:c>
      <x:c r="D2971" s="19" t="str">
        <x:v>C06-M020</x:v>
      </x:c>
      <x:c r="E2971" s="19" t="str">
        <x:v>灼骨狱卒长</x:v>
      </x:c>
      <x:c r="F2971" s="19" t="str">
        <x:v>稀有</x:v>
      </x:c>
      <x:c r="G2971" s="19" t="str">
        <x:v>自身专属</x:v>
      </x:c>
      <x:c r="H2971" s="19" t="str">
        <x:v>灼骨腰甲</x:v>
      </x:c>
      <x:c r="I2971" s="22" t="n">
        <x:v>800</x:v>
      </x:c>
      <x:c r="J2971" s="22" t="n">
        <x:v>1</x:v>
      </x:c>
      <x:c r="K2971" s="19" t="n">
        <x:v>1</x:v>
      </x:c>
      <x:c r="L2971" s="24" t="n">
        <x:v>34.986</x:v>
      </x:c>
      <x:c r="M2971" s="26" t="n">
        <x:v>0.1</x:v>
      </x:c>
      <x:c r="N2971" s="24" t="n">
        <x:v>12</x:v>
      </x:c>
      <x:c r="O2971" s="28" t="n">
        <x:f>MIN(1,L2971/I2971)</x:f>
        <x:v>0.043732499999999994</x:v>
      </x:c>
      <x:c r="P2971" s="30" t="n">
        <x:f>O2971*J2971*(1+M2971)</x:f>
        <x:v>0.048105749999999996</x:v>
      </x:c>
      <x:c r="Q2971" s="30" t="n">
        <x:f>P2971*N2971</x:f>
        <x:v>0.5772689999999999</x:v>
      </x:c>
      <x:c r="R2971" s="19" t="str">
        <x:v>独立判定</x:v>
      </x:c>
    </x:row>
    <x:row r="2972" ht="19" customHeight="1">
      <x:c r="A2972" s="19" t="str">
        <x:v>D02968</x:v>
      </x:c>
      <x:c r="B2972" s="19" t="n">
        <x:v>6</x:v>
      </x:c>
      <x:c r="C2972" s="19" t="n">
        <x:v>2</x:v>
      </x:c>
      <x:c r="D2972" s="19" t="str">
        <x:v>C06-M020</x:v>
      </x:c>
      <x:c r="E2972" s="19" t="str">
        <x:v>灼骨狱卒长</x:v>
      </x:c>
      <x:c r="F2972" s="19" t="str">
        <x:v>稀有</x:v>
      </x:c>
      <x:c r="G2972" s="19" t="str">
        <x:v>材料独立候选</x:v>
      </x:c>
      <x:c r="H2972" s="19" t="str">
        <x:v>猩红矿渣</x:v>
      </x:c>
      <x:c r="I2972" s="22" t="n">
        <x:v>400</x:v>
      </x:c>
      <x:c r="J2972" s="22" t="n">
        <x:v>15</x:v>
      </x:c>
      <x:c r="K2972" s="19" t="n">
        <x:v>1</x:v>
      </x:c>
      <x:c r="L2972" s="24" t="n">
        <x:v>34.986</x:v>
      </x:c>
      <x:c r="M2972" s="26" t="n">
        <x:v>0.1</x:v>
      </x:c>
      <x:c r="N2972" s="24" t="n">
        <x:v>12</x:v>
      </x:c>
      <x:c r="O2972" s="28" t="n">
        <x:f>MIN(1,L2972/I2972)</x:f>
        <x:v>0.08746499999999999</x:v>
      </x:c>
      <x:c r="P2972" s="30" t="n">
        <x:f>O2972*J2972*(1+M2972)</x:f>
        <x:v>1.4431725</x:v>
      </x:c>
      <x:c r="Q2972" s="30" t="n">
        <x:f>P2972*N2972</x:f>
        <x:v>17.31807</x:v>
      </x:c>
      <x:c r="R2972" s="19" t="str">
        <x:v>独立判定</x:v>
      </x:c>
    </x:row>
    <x:row r="2973" ht="19" customHeight="1">
      <x:c r="A2973" s="19" t="str">
        <x:v>D02969</x:v>
      </x:c>
      <x:c r="B2973" s="19" t="n">
        <x:v>6</x:v>
      </x:c>
      <x:c r="C2973" s="19" t="n">
        <x:v>2</x:v>
      </x:c>
      <x:c r="D2973" s="19" t="str">
        <x:v>C06-M020</x:v>
      </x:c>
      <x:c r="E2973" s="19" t="str">
        <x:v>灼骨狱卒长</x:v>
      </x:c>
      <x:c r="F2973" s="19" t="str">
        <x:v>稀有</x:v>
      </x:c>
      <x:c r="G2973" s="19" t="str">
        <x:v>材料独立候选</x:v>
      </x:c>
      <x:c r="H2973" s="19" t="str">
        <x:v>龙火鳞</x:v>
      </x:c>
      <x:c r="I2973" s="22" t="n">
        <x:v>1000</x:v>
      </x:c>
      <x:c r="J2973" s="22" t="n">
        <x:v>1</x:v>
      </x:c>
      <x:c r="K2973" s="19" t="n">
        <x:v>1</x:v>
      </x:c>
      <x:c r="L2973" s="24" t="n">
        <x:v>34.986</x:v>
      </x:c>
      <x:c r="M2973" s="26" t="n">
        <x:v>0.1</x:v>
      </x:c>
      <x:c r="N2973" s="24" t="n">
        <x:v>12</x:v>
      </x:c>
      <x:c r="O2973" s="28" t="n">
        <x:f>MIN(1,L2973/I2973)</x:f>
        <x:v>0.034985999999999996</x:v>
      </x:c>
      <x:c r="P2973" s="30" t="n">
        <x:f>O2973*J2973*(1+M2973)</x:f>
        <x:v>0.0384846</x:v>
      </x:c>
      <x:c r="Q2973" s="30" t="n">
        <x:f>P2973*N2973</x:f>
        <x:v>0.4618152</x:v>
      </x:c>
      <x:c r="R2973" s="19" t="str">
        <x:v>独立判定</x:v>
      </x:c>
    </x:row>
    <x:row r="2974" ht="19" customHeight="1">
      <x:c r="A2974" s="19" t="str">
        <x:v>D02970</x:v>
      </x:c>
      <x:c r="B2974" s="19" t="n">
        <x:v>6</x:v>
      </x:c>
      <x:c r="C2974" s="19" t="n">
        <x:v>2</x:v>
      </x:c>
      <x:c r="D2974" s="19" t="str">
        <x:v>C06-M020</x:v>
      </x:c>
      <x:c r="E2974" s="19" t="str">
        <x:v>灼骨狱卒长</x:v>
      </x:c>
      <x:c r="F2974" s="19" t="str">
        <x:v>稀有</x:v>
      </x:c>
      <x:c r="G2974" s="19" t="str">
        <x:v>材料独立候选</x:v>
      </x:c>
      <x:c r="H2974" s="19" t="str">
        <x:v>净火腺囊</x:v>
      </x:c>
      <x:c r="I2974" s="22" t="n">
        <x:v>250</x:v>
      </x:c>
      <x:c r="J2974" s="22" t="n">
        <x:v>1</x:v>
      </x:c>
      <x:c r="K2974" s="19" t="n">
        <x:v>1</x:v>
      </x:c>
      <x:c r="L2974" s="24" t="n">
        <x:v>34.986</x:v>
      </x:c>
      <x:c r="M2974" s="26" t="n">
        <x:v>0.1</x:v>
      </x:c>
      <x:c r="N2974" s="24" t="n">
        <x:v>12</x:v>
      </x:c>
      <x:c r="O2974" s="28" t="n">
        <x:f>MIN(1,L2974/I2974)</x:f>
        <x:v>0.13994399999999999</x:v>
      </x:c>
      <x:c r="P2974" s="30" t="n">
        <x:f>O2974*J2974*(1+M2974)</x:f>
        <x:v>0.1539384</x:v>
      </x:c>
      <x:c r="Q2974" s="30" t="n">
        <x:f>P2974*N2974</x:f>
        <x:v>1.8472608</x:v>
      </x:c>
      <x:c r="R2974" s="19" t="str">
        <x:v>独立判定</x:v>
      </x:c>
    </x:row>
    <x:row r="2975" ht="19" customHeight="1">
      <x:c r="A2975" s="19" t="str">
        <x:v>D02971</x:v>
      </x:c>
      <x:c r="B2975" s="19" t="n">
        <x:v>6</x:v>
      </x:c>
      <x:c r="C2975" s="19" t="n">
        <x:v>2</x:v>
      </x:c>
      <x:c r="D2975" s="19" t="str">
        <x:v>C06-M020</x:v>
      </x:c>
      <x:c r="E2975" s="19" t="str">
        <x:v>灼骨狱卒长</x:v>
      </x:c>
      <x:c r="F2975" s="19" t="str">
        <x:v>稀有</x:v>
      </x:c>
      <x:c r="G2975" s="19" t="str">
        <x:v>材料独立候选</x:v>
      </x:c>
      <x:c r="H2975" s="19" t="str">
        <x:v>熔原罪火残章</x:v>
      </x:c>
      <x:c r="I2975" s="22" t="n">
        <x:v>1000000</x:v>
      </x:c>
      <x:c r="J2975" s="22" t="n">
        <x:v>1</x:v>
      </x:c>
      <x:c r="K2975" s="19" t="n">
        <x:v>1</x:v>
      </x:c>
      <x:c r="L2975" s="24" t="n">
        <x:v>34.986</x:v>
      </x:c>
      <x:c r="M2975" s="26" t="n">
        <x:v>0.1</x:v>
      </x:c>
      <x:c r="N2975" s="24" t="n">
        <x:v>12</x:v>
      </x:c>
      <x:c r="O2975" s="28" t="n">
        <x:f>MIN(1,L2975/I2975)</x:f>
        <x:v>0.000034986</x:v>
      </x:c>
      <x:c r="P2975" s="30" t="n">
        <x:f>O2975*J2975*(1+M2975)</x:f>
        <x:v>0.0000384846</x:v>
      </x:c>
      <x:c r="Q2975" s="30" t="n">
        <x:f>P2975*N2975</x:f>
        <x:v>0.00046181520000000004</x:v>
      </x:c>
      <x:c r="R2975" s="19" t="str">
        <x:v>独立判定</x:v>
      </x:c>
    </x:row>
    <x:row r="2976" ht="19" customHeight="1">
      <x:c r="A2976" s="19" t="str">
        <x:v>D02972</x:v>
      </x:c>
      <x:c r="B2976" s="19" t="n">
        <x:v>6</x:v>
      </x:c>
      <x:c r="C2976" s="19" t="n">
        <x:v>2</x:v>
      </x:c>
      <x:c r="D2976" s="19" t="str">
        <x:v>C06-M020</x:v>
      </x:c>
      <x:c r="E2976" s="19" t="str">
        <x:v>灼骨狱卒长</x:v>
      </x:c>
      <x:c r="F2976" s="19" t="str">
        <x:v>稀有</x:v>
      </x:c>
      <x:c r="G2976" s="19" t="str">
        <x:v>材料独立候选</x:v>
      </x:c>
      <x:c r="H2976" s="19" t="str">
        <x:v>黄金树芽</x:v>
      </x:c>
      <x:c r="I2976" s="22" t="n">
        <x:v>1000</x:v>
      </x:c>
      <x:c r="J2976" s="22" t="n">
        <x:v>1</x:v>
      </x:c>
      <x:c r="K2976" s="19" t="n">
        <x:v>1</x:v>
      </x:c>
      <x:c r="L2976" s="24" t="n">
        <x:v>34.986</x:v>
      </x:c>
      <x:c r="M2976" s="26" t="n">
        <x:v>0.1</x:v>
      </x:c>
      <x:c r="N2976" s="24" t="n">
        <x:v>12</x:v>
      </x:c>
      <x:c r="O2976" s="28" t="n">
        <x:f>MIN(1,L2976/I2976)</x:f>
        <x:v>0.034985999999999996</x:v>
      </x:c>
      <x:c r="P2976" s="30" t="n">
        <x:f>O2976*J2976*(1+M2976)</x:f>
        <x:v>0.0384846</x:v>
      </x:c>
      <x:c r="Q2976" s="30" t="n">
        <x:f>P2976*N2976</x:f>
        <x:v>0.4618152</x:v>
      </x:c>
      <x:c r="R2976" s="19" t="str">
        <x:v>独立判定</x:v>
      </x:c>
    </x:row>
    <x:row r="2977" ht="19" customHeight="1">
      <x:c r="A2977" s="19" t="str">
        <x:v>D02973</x:v>
      </x:c>
      <x:c r="B2977" s="19" t="n">
        <x:v>6</x:v>
      </x:c>
      <x:c r="C2977" s="19" t="n">
        <x:v>2</x:v>
      </x:c>
      <x:c r="D2977" s="19" t="str">
        <x:v>C06-M020</x:v>
      </x:c>
      <x:c r="E2977" s="19" t="str">
        <x:v>灼骨狱卒长</x:v>
      </x:c>
      <x:c r="F2977" s="19" t="str">
        <x:v>稀有</x:v>
      </x:c>
      <x:c r="G2977" s="19" t="str">
        <x:v>材料独立候选</x:v>
      </x:c>
      <x:c r="H2977" s="19" t="str">
        <x:v>野兽骨片</x:v>
      </x:c>
      <x:c r="I2977" s="22" t="n">
        <x:v>120</x:v>
      </x:c>
      <x:c r="J2977" s="22" t="n">
        <x:v>5</x:v>
      </x:c>
      <x:c r="K2977" s="19" t="n">
        <x:v>1</x:v>
      </x:c>
      <x:c r="L2977" s="24" t="n">
        <x:v>34.986</x:v>
      </x:c>
      <x:c r="M2977" s="26" t="n">
        <x:v>0.1</x:v>
      </x:c>
      <x:c r="N2977" s="24" t="n">
        <x:v>12</x:v>
      </x:c>
      <x:c r="O2977" s="28" t="n">
        <x:f>MIN(1,L2977/I2977)</x:f>
        <x:v>0.29155</x:v>
      </x:c>
      <x:c r="P2977" s="30" t="n">
        <x:f>O2977*J2977*(1+M2977)</x:f>
        <x:v>1.603525</x:v>
      </x:c>
      <x:c r="Q2977" s="30" t="n">
        <x:f>P2977*N2977</x:f>
        <x:v>19.2423</x:v>
      </x:c>
      <x:c r="R2977" s="19" t="str">
        <x:v>独立判定</x:v>
      </x:c>
    </x:row>
    <x:row r="2978" ht="19" customHeight="1">
      <x:c r="A2978" s="19" t="str">
        <x:v>D02974</x:v>
      </x:c>
      <x:c r="B2978" s="19" t="n">
        <x:v>6</x:v>
      </x:c>
      <x:c r="C2978" s="19" t="n">
        <x:v>2</x:v>
      </x:c>
      <x:c r="D2978" s="19" t="str">
        <x:v>C06-M020</x:v>
      </x:c>
      <x:c r="E2978" s="19" t="str">
        <x:v>灼骨狱卒长</x:v>
      </x:c>
      <x:c r="F2978" s="19" t="str">
        <x:v>稀有</x:v>
      </x:c>
      <x:c r="G2978" s="19" t="str">
        <x:v>材料独立候选</x:v>
      </x:c>
      <x:c r="H2978" s="19" t="str">
        <x:v>技能残页</x:v>
      </x:c>
      <x:c r="I2978" s="22" t="n">
        <x:v>600</x:v>
      </x:c>
      <x:c r="J2978" s="22" t="n">
        <x:v>1</x:v>
      </x:c>
      <x:c r="K2978" s="19" t="n">
        <x:v>1</x:v>
      </x:c>
      <x:c r="L2978" s="24" t="n">
        <x:v>34.986</x:v>
      </x:c>
      <x:c r="M2978" s="26" t="n">
        <x:v>0.1</x:v>
      </x:c>
      <x:c r="N2978" s="24" t="n">
        <x:v>12</x:v>
      </x:c>
      <x:c r="O2978" s="28" t="n">
        <x:f>MIN(1,L2978/I2978)</x:f>
        <x:v>0.058309999999999994</x:v>
      </x:c>
      <x:c r="P2978" s="30" t="n">
        <x:f>O2978*J2978*(1+M2978)</x:f>
        <x:v>0.064141</x:v>
      </x:c>
      <x:c r="Q2978" s="30" t="n">
        <x:f>P2978*N2978</x:f>
        <x:v>0.769692</x:v>
      </x:c>
      <x:c r="R2978" s="19" t="str">
        <x:v>独立判定</x:v>
      </x:c>
    </x:row>
    <x:row r="2979" ht="19" customHeight="1">
      <x:c r="A2979" s="19" t="str">
        <x:v>D02975</x:v>
      </x:c>
      <x:c r="B2979" s="19" t="n">
        <x:v>6</x:v>
      </x:c>
      <x:c r="C2979" s="19" t="n">
        <x:v>2</x:v>
      </x:c>
      <x:c r="D2979" s="19" t="str">
        <x:v>C06-M020</x:v>
      </x:c>
      <x:c r="E2979" s="19" t="str">
        <x:v>灼骨狱卒长</x:v>
      </x:c>
      <x:c r="F2979" s="19" t="str">
        <x:v>稀有</x:v>
      </x:c>
      <x:c r="G2979" s="19" t="str">
        <x:v>材料独立候选</x:v>
      </x:c>
      <x:c r="H2979" s="19" t="str">
        <x:v>小卢恩</x:v>
      </x:c>
      <x:c r="I2979" s="22" t="n">
        <x:v>6000</x:v>
      </x:c>
      <x:c r="J2979" s="22" t="n">
        <x:v>1</x:v>
      </x:c>
      <x:c r="K2979" s="19" t="n">
        <x:v>1</x:v>
      </x:c>
      <x:c r="L2979" s="24" t="n">
        <x:v>34.986</x:v>
      </x:c>
      <x:c r="M2979" s="26" t="n">
        <x:v>0.1</x:v>
      </x:c>
      <x:c r="N2979" s="24" t="n">
        <x:v>12</x:v>
      </x:c>
      <x:c r="O2979" s="28" t="n">
        <x:f>MIN(1,L2979/I2979)</x:f>
        <x:v>0.005830999999999999</x:v>
      </x:c>
      <x:c r="P2979" s="30" t="n">
        <x:f>O2979*J2979*(1+M2979)</x:f>
        <x:v>0.0064141</x:v>
      </x:c>
      <x:c r="Q2979" s="30" t="n">
        <x:f>P2979*N2979</x:f>
        <x:v>0.0769692</x:v>
      </x:c>
      <x:c r="R2979" s="19" t="str">
        <x:v>独立判定</x:v>
      </x:c>
    </x:row>
    <x:row r="2980" ht="19" customHeight="1">
      <x:c r="A2980" s="19" t="str">
        <x:v>D02976</x:v>
      </x:c>
      <x:c r="B2980" s="19" t="n">
        <x:v>6</x:v>
      </x:c>
      <x:c r="C2980" s="19" t="n">
        <x:v>2</x:v>
      </x:c>
      <x:c r="D2980" s="19" t="str">
        <x:v>C06-M020</x:v>
      </x:c>
      <x:c r="E2980" s="19" t="str">
        <x:v>灼骨狱卒长</x:v>
      </x:c>
      <x:c r="F2980" s="19" t="str">
        <x:v>稀有</x:v>
      </x:c>
      <x:c r="G2980" s="19" t="str">
        <x:v>六神器公共池</x:v>
      </x:c>
      <x:c r="H2980" s="19" t="str">
        <x:v>POOL006</x:v>
      </x:c>
      <x:c r="I2980" s="22" t="n">
        <x:v>5000000</x:v>
      </x:c>
      <x:c r="J2980" s="22" t="n">
        <x:v>1</x:v>
      </x:c>
      <x:c r="K2980" s="19" t="n">
        <x:v>6</x:v>
      </x:c>
      <x:c r="L2980" s="24" t="n">
        <x:v>34.986</x:v>
      </x:c>
      <x:c r="M2980" s="26" t="n">
        <x:v>0.1</x:v>
      </x:c>
      <x:c r="N2980" s="24" t="n">
        <x:v>12</x:v>
      </x:c>
      <x:c r="O2980" s="28" t="n">
        <x:f>MIN(1,L2980/I2980)</x:f>
        <x:v>0.0000069972</x:v>
      </x:c>
      <x:c r="P2980" s="30" t="n">
        <x:f>O2980*J2980*(1+M2980)</x:f>
        <x:v>0.00000769692</x:v>
      </x:c>
      <x:c r="Q2980" s="30" t="n">
        <x:f>P2980*N2980</x:f>
        <x:v>0.00009236304000000001</x:v>
      </x:c>
      <x:c r="R2980" s="19" t="str">
        <x:v>六选一；非6个独立爆率</x:v>
      </x:c>
    </x:row>
    <x:row r="2981" ht="19" customHeight="1">
      <x:c r="A2981" s="19" t="str">
        <x:v>D02977</x:v>
      </x:c>
      <x:c r="B2981" s="19" t="n">
        <x:v>6</x:v>
      </x:c>
      <x:c r="C2981" s="19" t="n">
        <x:v>2</x:v>
      </x:c>
      <x:c r="D2981" s="19" t="str">
        <x:v>C06-M021</x:v>
      </x:c>
      <x:c r="E2981" s="19" t="str">
        <x:v>深渊熔喉兽</x:v>
      </x:c>
      <x:c r="F2981" s="19" t="str">
        <x:v>稀有</x:v>
      </x:c>
      <x:c r="G2981" s="19" t="str">
        <x:v>自身专属</x:v>
      </x:c>
      <x:c r="H2981" s="19" t="str">
        <x:v>熔喉牙戒</x:v>
      </x:c>
      <x:c r="I2981" s="22" t="n">
        <x:v>800</x:v>
      </x:c>
      <x:c r="J2981" s="22" t="n">
        <x:v>1</x:v>
      </x:c>
      <x:c r="K2981" s="19" t="n">
        <x:v>1</x:v>
      </x:c>
      <x:c r="L2981" s="24" t="n">
        <x:v>34.986</x:v>
      </x:c>
      <x:c r="M2981" s="26" t="n">
        <x:v>0.1</x:v>
      </x:c>
      <x:c r="N2981" s="24" t="n">
        <x:v>12</x:v>
      </x:c>
      <x:c r="O2981" s="28" t="n">
        <x:f>MIN(1,L2981/I2981)</x:f>
        <x:v>0.043732499999999994</x:v>
      </x:c>
      <x:c r="P2981" s="30" t="n">
        <x:f>O2981*J2981*(1+M2981)</x:f>
        <x:v>0.048105749999999996</x:v>
      </x:c>
      <x:c r="Q2981" s="30" t="n">
        <x:f>P2981*N2981</x:f>
        <x:v>0.5772689999999999</x:v>
      </x:c>
      <x:c r="R2981" s="19" t="str">
        <x:v>独立判定</x:v>
      </x:c>
    </x:row>
    <x:row r="2982" ht="19" customHeight="1">
      <x:c r="A2982" s="19" t="str">
        <x:v>D02978</x:v>
      </x:c>
      <x:c r="B2982" s="19" t="n">
        <x:v>6</x:v>
      </x:c>
      <x:c r="C2982" s="19" t="n">
        <x:v>2</x:v>
      </x:c>
      <x:c r="D2982" s="19" t="str">
        <x:v>C06-M021</x:v>
      </x:c>
      <x:c r="E2982" s="19" t="str">
        <x:v>深渊熔喉兽</x:v>
      </x:c>
      <x:c r="F2982" s="19" t="str">
        <x:v>稀有</x:v>
      </x:c>
      <x:c r="G2982" s="19" t="str">
        <x:v>材料独立候选</x:v>
      </x:c>
      <x:c r="H2982" s="19" t="str">
        <x:v>猩红矿渣</x:v>
      </x:c>
      <x:c r="I2982" s="22" t="n">
        <x:v>400</x:v>
      </x:c>
      <x:c r="J2982" s="22" t="n">
        <x:v>15</x:v>
      </x:c>
      <x:c r="K2982" s="19" t="n">
        <x:v>1</x:v>
      </x:c>
      <x:c r="L2982" s="24" t="n">
        <x:v>34.986</x:v>
      </x:c>
      <x:c r="M2982" s="26" t="n">
        <x:v>0.1</x:v>
      </x:c>
      <x:c r="N2982" s="24" t="n">
        <x:v>12</x:v>
      </x:c>
      <x:c r="O2982" s="28" t="n">
        <x:f>MIN(1,L2982/I2982)</x:f>
        <x:v>0.08746499999999999</x:v>
      </x:c>
      <x:c r="P2982" s="30" t="n">
        <x:f>O2982*J2982*(1+M2982)</x:f>
        <x:v>1.4431725</x:v>
      </x:c>
      <x:c r="Q2982" s="30" t="n">
        <x:f>P2982*N2982</x:f>
        <x:v>17.31807</x:v>
      </x:c>
      <x:c r="R2982" s="19" t="str">
        <x:v>独立判定</x:v>
      </x:c>
    </x:row>
    <x:row r="2983" ht="19" customHeight="1">
      <x:c r="A2983" s="19" t="str">
        <x:v>D02979</x:v>
      </x:c>
      <x:c r="B2983" s="19" t="n">
        <x:v>6</x:v>
      </x:c>
      <x:c r="C2983" s="19" t="n">
        <x:v>2</x:v>
      </x:c>
      <x:c r="D2983" s="19" t="str">
        <x:v>C06-M021</x:v>
      </x:c>
      <x:c r="E2983" s="19" t="str">
        <x:v>深渊熔喉兽</x:v>
      </x:c>
      <x:c r="F2983" s="19" t="str">
        <x:v>稀有</x:v>
      </x:c>
      <x:c r="G2983" s="19" t="str">
        <x:v>材料独立候选</x:v>
      </x:c>
      <x:c r="H2983" s="19" t="str">
        <x:v>龙火鳞</x:v>
      </x:c>
      <x:c r="I2983" s="22" t="n">
        <x:v>1000</x:v>
      </x:c>
      <x:c r="J2983" s="22" t="n">
        <x:v>1</x:v>
      </x:c>
      <x:c r="K2983" s="19" t="n">
        <x:v>1</x:v>
      </x:c>
      <x:c r="L2983" s="24" t="n">
        <x:v>34.986</x:v>
      </x:c>
      <x:c r="M2983" s="26" t="n">
        <x:v>0.1</x:v>
      </x:c>
      <x:c r="N2983" s="24" t="n">
        <x:v>12</x:v>
      </x:c>
      <x:c r="O2983" s="28" t="n">
        <x:f>MIN(1,L2983/I2983)</x:f>
        <x:v>0.034985999999999996</x:v>
      </x:c>
      <x:c r="P2983" s="30" t="n">
        <x:f>O2983*J2983*(1+M2983)</x:f>
        <x:v>0.0384846</x:v>
      </x:c>
      <x:c r="Q2983" s="30" t="n">
        <x:f>P2983*N2983</x:f>
        <x:v>0.4618152</x:v>
      </x:c>
      <x:c r="R2983" s="19" t="str">
        <x:v>独立判定</x:v>
      </x:c>
    </x:row>
    <x:row r="2984" ht="19" customHeight="1">
      <x:c r="A2984" s="19" t="str">
        <x:v>D02980</x:v>
      </x:c>
      <x:c r="B2984" s="19" t="n">
        <x:v>6</x:v>
      </x:c>
      <x:c r="C2984" s="19" t="n">
        <x:v>2</x:v>
      </x:c>
      <x:c r="D2984" s="19" t="str">
        <x:v>C06-M021</x:v>
      </x:c>
      <x:c r="E2984" s="19" t="str">
        <x:v>深渊熔喉兽</x:v>
      </x:c>
      <x:c r="F2984" s="19" t="str">
        <x:v>稀有</x:v>
      </x:c>
      <x:c r="G2984" s="19" t="str">
        <x:v>材料独立候选</x:v>
      </x:c>
      <x:c r="H2984" s="19" t="str">
        <x:v>净火腺囊</x:v>
      </x:c>
      <x:c r="I2984" s="22" t="n">
        <x:v>250</x:v>
      </x:c>
      <x:c r="J2984" s="22" t="n">
        <x:v>1</x:v>
      </x:c>
      <x:c r="K2984" s="19" t="n">
        <x:v>1</x:v>
      </x:c>
      <x:c r="L2984" s="24" t="n">
        <x:v>34.986</x:v>
      </x:c>
      <x:c r="M2984" s="26" t="n">
        <x:v>0.1</x:v>
      </x:c>
      <x:c r="N2984" s="24" t="n">
        <x:v>12</x:v>
      </x:c>
      <x:c r="O2984" s="28" t="n">
        <x:f>MIN(1,L2984/I2984)</x:f>
        <x:v>0.13994399999999999</x:v>
      </x:c>
      <x:c r="P2984" s="30" t="n">
        <x:f>O2984*J2984*(1+M2984)</x:f>
        <x:v>0.1539384</x:v>
      </x:c>
      <x:c r="Q2984" s="30" t="n">
        <x:f>P2984*N2984</x:f>
        <x:v>1.8472608</x:v>
      </x:c>
      <x:c r="R2984" s="19" t="str">
        <x:v>独立判定</x:v>
      </x:c>
    </x:row>
    <x:row r="2985" ht="19" customHeight="1">
      <x:c r="A2985" s="19" t="str">
        <x:v>D02981</x:v>
      </x:c>
      <x:c r="B2985" s="19" t="n">
        <x:v>6</x:v>
      </x:c>
      <x:c r="C2985" s="19" t="n">
        <x:v>2</x:v>
      </x:c>
      <x:c r="D2985" s="19" t="str">
        <x:v>C06-M021</x:v>
      </x:c>
      <x:c r="E2985" s="19" t="str">
        <x:v>深渊熔喉兽</x:v>
      </x:c>
      <x:c r="F2985" s="19" t="str">
        <x:v>稀有</x:v>
      </x:c>
      <x:c r="G2985" s="19" t="str">
        <x:v>材料独立候选</x:v>
      </x:c>
      <x:c r="H2985" s="19" t="str">
        <x:v>熔原罪火残章</x:v>
      </x:c>
      <x:c r="I2985" s="22" t="n">
        <x:v>1000000</x:v>
      </x:c>
      <x:c r="J2985" s="22" t="n">
        <x:v>1</x:v>
      </x:c>
      <x:c r="K2985" s="19" t="n">
        <x:v>1</x:v>
      </x:c>
      <x:c r="L2985" s="24" t="n">
        <x:v>34.986</x:v>
      </x:c>
      <x:c r="M2985" s="26" t="n">
        <x:v>0.1</x:v>
      </x:c>
      <x:c r="N2985" s="24" t="n">
        <x:v>12</x:v>
      </x:c>
      <x:c r="O2985" s="28" t="n">
        <x:f>MIN(1,L2985/I2985)</x:f>
        <x:v>0.000034986</x:v>
      </x:c>
      <x:c r="P2985" s="30" t="n">
        <x:f>O2985*J2985*(1+M2985)</x:f>
        <x:v>0.0000384846</x:v>
      </x:c>
      <x:c r="Q2985" s="30" t="n">
        <x:f>P2985*N2985</x:f>
        <x:v>0.00046181520000000004</x:v>
      </x:c>
      <x:c r="R2985" s="19" t="str">
        <x:v>独立判定</x:v>
      </x:c>
    </x:row>
    <x:row r="2986" ht="19" customHeight="1">
      <x:c r="A2986" s="19" t="str">
        <x:v>D02982</x:v>
      </x:c>
      <x:c r="B2986" s="19" t="n">
        <x:v>6</x:v>
      </x:c>
      <x:c r="C2986" s="19" t="n">
        <x:v>2</x:v>
      </x:c>
      <x:c r="D2986" s="19" t="str">
        <x:v>C06-M021</x:v>
      </x:c>
      <x:c r="E2986" s="19" t="str">
        <x:v>深渊熔喉兽</x:v>
      </x:c>
      <x:c r="F2986" s="19" t="str">
        <x:v>稀有</x:v>
      </x:c>
      <x:c r="G2986" s="19" t="str">
        <x:v>材料独立候选</x:v>
      </x:c>
      <x:c r="H2986" s="19" t="str">
        <x:v>黄金树芽</x:v>
      </x:c>
      <x:c r="I2986" s="22" t="n">
        <x:v>1000</x:v>
      </x:c>
      <x:c r="J2986" s="22" t="n">
        <x:v>1</x:v>
      </x:c>
      <x:c r="K2986" s="19" t="n">
        <x:v>1</x:v>
      </x:c>
      <x:c r="L2986" s="24" t="n">
        <x:v>34.986</x:v>
      </x:c>
      <x:c r="M2986" s="26" t="n">
        <x:v>0.1</x:v>
      </x:c>
      <x:c r="N2986" s="24" t="n">
        <x:v>12</x:v>
      </x:c>
      <x:c r="O2986" s="28" t="n">
        <x:f>MIN(1,L2986/I2986)</x:f>
        <x:v>0.034985999999999996</x:v>
      </x:c>
      <x:c r="P2986" s="30" t="n">
        <x:f>O2986*J2986*(1+M2986)</x:f>
        <x:v>0.0384846</x:v>
      </x:c>
      <x:c r="Q2986" s="30" t="n">
        <x:f>P2986*N2986</x:f>
        <x:v>0.4618152</x:v>
      </x:c>
      <x:c r="R2986" s="19" t="str">
        <x:v>独立判定</x:v>
      </x:c>
    </x:row>
    <x:row r="2987" ht="19" customHeight="1">
      <x:c r="A2987" s="19" t="str">
        <x:v>D02983</x:v>
      </x:c>
      <x:c r="B2987" s="19" t="n">
        <x:v>6</x:v>
      </x:c>
      <x:c r="C2987" s="19" t="n">
        <x:v>2</x:v>
      </x:c>
      <x:c r="D2987" s="19" t="str">
        <x:v>C06-M021</x:v>
      </x:c>
      <x:c r="E2987" s="19" t="str">
        <x:v>深渊熔喉兽</x:v>
      </x:c>
      <x:c r="F2987" s="19" t="str">
        <x:v>稀有</x:v>
      </x:c>
      <x:c r="G2987" s="19" t="str">
        <x:v>材料独立候选</x:v>
      </x:c>
      <x:c r="H2987" s="19" t="str">
        <x:v>野兽骨片</x:v>
      </x:c>
      <x:c r="I2987" s="22" t="n">
        <x:v>120</x:v>
      </x:c>
      <x:c r="J2987" s="22" t="n">
        <x:v>5</x:v>
      </x:c>
      <x:c r="K2987" s="19" t="n">
        <x:v>1</x:v>
      </x:c>
      <x:c r="L2987" s="24" t="n">
        <x:v>34.986</x:v>
      </x:c>
      <x:c r="M2987" s="26" t="n">
        <x:v>0.1</x:v>
      </x:c>
      <x:c r="N2987" s="24" t="n">
        <x:v>12</x:v>
      </x:c>
      <x:c r="O2987" s="28" t="n">
        <x:f>MIN(1,L2987/I2987)</x:f>
        <x:v>0.29155</x:v>
      </x:c>
      <x:c r="P2987" s="30" t="n">
        <x:f>O2987*J2987*(1+M2987)</x:f>
        <x:v>1.603525</x:v>
      </x:c>
      <x:c r="Q2987" s="30" t="n">
        <x:f>P2987*N2987</x:f>
        <x:v>19.2423</x:v>
      </x:c>
      <x:c r="R2987" s="19" t="str">
        <x:v>独立判定</x:v>
      </x:c>
    </x:row>
    <x:row r="2988" ht="19" customHeight="1">
      <x:c r="A2988" s="19" t="str">
        <x:v>D02984</x:v>
      </x:c>
      <x:c r="B2988" s="19" t="n">
        <x:v>6</x:v>
      </x:c>
      <x:c r="C2988" s="19" t="n">
        <x:v>2</x:v>
      </x:c>
      <x:c r="D2988" s="19" t="str">
        <x:v>C06-M021</x:v>
      </x:c>
      <x:c r="E2988" s="19" t="str">
        <x:v>深渊熔喉兽</x:v>
      </x:c>
      <x:c r="F2988" s="19" t="str">
        <x:v>稀有</x:v>
      </x:c>
      <x:c r="G2988" s="19" t="str">
        <x:v>材料独立候选</x:v>
      </x:c>
      <x:c r="H2988" s="19" t="str">
        <x:v>技能残页</x:v>
      </x:c>
      <x:c r="I2988" s="22" t="n">
        <x:v>600</x:v>
      </x:c>
      <x:c r="J2988" s="22" t="n">
        <x:v>1</x:v>
      </x:c>
      <x:c r="K2988" s="19" t="n">
        <x:v>1</x:v>
      </x:c>
      <x:c r="L2988" s="24" t="n">
        <x:v>34.986</x:v>
      </x:c>
      <x:c r="M2988" s="26" t="n">
        <x:v>0.1</x:v>
      </x:c>
      <x:c r="N2988" s="24" t="n">
        <x:v>12</x:v>
      </x:c>
      <x:c r="O2988" s="28" t="n">
        <x:f>MIN(1,L2988/I2988)</x:f>
        <x:v>0.058309999999999994</x:v>
      </x:c>
      <x:c r="P2988" s="30" t="n">
        <x:f>O2988*J2988*(1+M2988)</x:f>
        <x:v>0.064141</x:v>
      </x:c>
      <x:c r="Q2988" s="30" t="n">
        <x:f>P2988*N2988</x:f>
        <x:v>0.769692</x:v>
      </x:c>
      <x:c r="R2988" s="19" t="str">
        <x:v>独立判定</x:v>
      </x:c>
    </x:row>
    <x:row r="2989" ht="19" customHeight="1">
      <x:c r="A2989" s="19" t="str">
        <x:v>D02985</x:v>
      </x:c>
      <x:c r="B2989" s="19" t="n">
        <x:v>6</x:v>
      </x:c>
      <x:c r="C2989" s="19" t="n">
        <x:v>2</x:v>
      </x:c>
      <x:c r="D2989" s="19" t="str">
        <x:v>C06-M021</x:v>
      </x:c>
      <x:c r="E2989" s="19" t="str">
        <x:v>深渊熔喉兽</x:v>
      </x:c>
      <x:c r="F2989" s="19" t="str">
        <x:v>稀有</x:v>
      </x:c>
      <x:c r="G2989" s="19" t="str">
        <x:v>材料独立候选</x:v>
      </x:c>
      <x:c r="H2989" s="19" t="str">
        <x:v>小卢恩</x:v>
      </x:c>
      <x:c r="I2989" s="22" t="n">
        <x:v>6000</x:v>
      </x:c>
      <x:c r="J2989" s="22" t="n">
        <x:v>1</x:v>
      </x:c>
      <x:c r="K2989" s="19" t="n">
        <x:v>1</x:v>
      </x:c>
      <x:c r="L2989" s="24" t="n">
        <x:v>34.986</x:v>
      </x:c>
      <x:c r="M2989" s="26" t="n">
        <x:v>0.1</x:v>
      </x:c>
      <x:c r="N2989" s="24" t="n">
        <x:v>12</x:v>
      </x:c>
      <x:c r="O2989" s="28" t="n">
        <x:f>MIN(1,L2989/I2989)</x:f>
        <x:v>0.005830999999999999</x:v>
      </x:c>
      <x:c r="P2989" s="30" t="n">
        <x:f>O2989*J2989*(1+M2989)</x:f>
        <x:v>0.0064141</x:v>
      </x:c>
      <x:c r="Q2989" s="30" t="n">
        <x:f>P2989*N2989</x:f>
        <x:v>0.0769692</x:v>
      </x:c>
      <x:c r="R2989" s="19" t="str">
        <x:v>独立判定</x:v>
      </x:c>
    </x:row>
    <x:row r="2990" ht="19" customHeight="1">
      <x:c r="A2990" s="19" t="str">
        <x:v>D02986</x:v>
      </x:c>
      <x:c r="B2990" s="19" t="n">
        <x:v>6</x:v>
      </x:c>
      <x:c r="C2990" s="19" t="n">
        <x:v>2</x:v>
      </x:c>
      <x:c r="D2990" s="19" t="str">
        <x:v>C06-M021</x:v>
      </x:c>
      <x:c r="E2990" s="19" t="str">
        <x:v>深渊熔喉兽</x:v>
      </x:c>
      <x:c r="F2990" s="19" t="str">
        <x:v>稀有</x:v>
      </x:c>
      <x:c r="G2990" s="19" t="str">
        <x:v>六神器公共池</x:v>
      </x:c>
      <x:c r="H2990" s="19" t="str">
        <x:v>POOL006</x:v>
      </x:c>
      <x:c r="I2990" s="22" t="n">
        <x:v>5000000</x:v>
      </x:c>
      <x:c r="J2990" s="22" t="n">
        <x:v>1</x:v>
      </x:c>
      <x:c r="K2990" s="19" t="n">
        <x:v>6</x:v>
      </x:c>
      <x:c r="L2990" s="24" t="n">
        <x:v>34.986</x:v>
      </x:c>
      <x:c r="M2990" s="26" t="n">
        <x:v>0.1</x:v>
      </x:c>
      <x:c r="N2990" s="24" t="n">
        <x:v>12</x:v>
      </x:c>
      <x:c r="O2990" s="28" t="n">
        <x:f>MIN(1,L2990/I2990)</x:f>
        <x:v>0.0000069972</x:v>
      </x:c>
      <x:c r="P2990" s="30" t="n">
        <x:f>O2990*J2990*(1+M2990)</x:f>
        <x:v>0.00000769692</x:v>
      </x:c>
      <x:c r="Q2990" s="30" t="n">
        <x:f>P2990*N2990</x:f>
        <x:v>0.00009236304000000001</x:v>
      </x:c>
      <x:c r="R2990" s="19" t="str">
        <x:v>六选一；非6个独立爆率</x:v>
      </x:c>
    </x:row>
    <x:row r="2991" ht="19" customHeight="1">
      <x:c r="A2991" s="19" t="str">
        <x:v>D02987</x:v>
      </x:c>
      <x:c r="B2991" s="19" t="n">
        <x:v>6</x:v>
      </x:c>
      <x:c r="C2991" s="19" t="n">
        <x:v>2</x:v>
      </x:c>
      <x:c r="D2991" s="19" t="str">
        <x:v>C06-M022</x:v>
      </x:c>
      <x:c r="E2991" s="19" t="str">
        <x:v>赤腐祷刑官</x:v>
      </x:c>
      <x:c r="F2991" s="19" t="str">
        <x:v>稀有</x:v>
      </x:c>
      <x:c r="G2991" s="19" t="str">
        <x:v>自身专属</x:v>
      </x:c>
      <x:c r="H2991" s="19" t="str">
        <x:v>祷刑罪章</x:v>
      </x:c>
      <x:c r="I2991" s="22" t="n">
        <x:v>800</x:v>
      </x:c>
      <x:c r="J2991" s="22" t="n">
        <x:v>1</x:v>
      </x:c>
      <x:c r="K2991" s="19" t="n">
        <x:v>1</x:v>
      </x:c>
      <x:c r="L2991" s="24" t="n">
        <x:v>34.986</x:v>
      </x:c>
      <x:c r="M2991" s="26" t="n">
        <x:v>0.1</x:v>
      </x:c>
      <x:c r="N2991" s="24" t="n">
        <x:v>12</x:v>
      </x:c>
      <x:c r="O2991" s="28" t="n">
        <x:f>MIN(1,L2991/I2991)</x:f>
        <x:v>0.043732499999999994</x:v>
      </x:c>
      <x:c r="P2991" s="30" t="n">
        <x:f>O2991*J2991*(1+M2991)</x:f>
        <x:v>0.048105749999999996</x:v>
      </x:c>
      <x:c r="Q2991" s="30" t="n">
        <x:f>P2991*N2991</x:f>
        <x:v>0.5772689999999999</x:v>
      </x:c>
      <x:c r="R2991" s="19" t="str">
        <x:v>独立判定</x:v>
      </x:c>
    </x:row>
    <x:row r="2992" ht="19" customHeight="1">
      <x:c r="A2992" s="19" t="str">
        <x:v>D02988</x:v>
      </x:c>
      <x:c r="B2992" s="19" t="n">
        <x:v>6</x:v>
      </x:c>
      <x:c r="C2992" s="19" t="n">
        <x:v>2</x:v>
      </x:c>
      <x:c r="D2992" s="19" t="str">
        <x:v>C06-M022</x:v>
      </x:c>
      <x:c r="E2992" s="19" t="str">
        <x:v>赤腐祷刑官</x:v>
      </x:c>
      <x:c r="F2992" s="19" t="str">
        <x:v>稀有</x:v>
      </x:c>
      <x:c r="G2992" s="19" t="str">
        <x:v>材料独立候选</x:v>
      </x:c>
      <x:c r="H2992" s="19" t="str">
        <x:v>猩红矿渣</x:v>
      </x:c>
      <x:c r="I2992" s="22" t="n">
        <x:v>400</x:v>
      </x:c>
      <x:c r="J2992" s="22" t="n">
        <x:v>15</x:v>
      </x:c>
      <x:c r="K2992" s="19" t="n">
        <x:v>1</x:v>
      </x:c>
      <x:c r="L2992" s="24" t="n">
        <x:v>34.986</x:v>
      </x:c>
      <x:c r="M2992" s="26" t="n">
        <x:v>0.1</x:v>
      </x:c>
      <x:c r="N2992" s="24" t="n">
        <x:v>12</x:v>
      </x:c>
      <x:c r="O2992" s="28" t="n">
        <x:f>MIN(1,L2992/I2992)</x:f>
        <x:v>0.08746499999999999</x:v>
      </x:c>
      <x:c r="P2992" s="30" t="n">
        <x:f>O2992*J2992*(1+M2992)</x:f>
        <x:v>1.4431725</x:v>
      </x:c>
      <x:c r="Q2992" s="30" t="n">
        <x:f>P2992*N2992</x:f>
        <x:v>17.31807</x:v>
      </x:c>
      <x:c r="R2992" s="19" t="str">
        <x:v>独立判定</x:v>
      </x:c>
    </x:row>
    <x:row r="2993" ht="19" customHeight="1">
      <x:c r="A2993" s="19" t="str">
        <x:v>D02989</x:v>
      </x:c>
      <x:c r="B2993" s="19" t="n">
        <x:v>6</x:v>
      </x:c>
      <x:c r="C2993" s="19" t="n">
        <x:v>2</x:v>
      </x:c>
      <x:c r="D2993" s="19" t="str">
        <x:v>C06-M022</x:v>
      </x:c>
      <x:c r="E2993" s="19" t="str">
        <x:v>赤腐祷刑官</x:v>
      </x:c>
      <x:c r="F2993" s="19" t="str">
        <x:v>稀有</x:v>
      </x:c>
      <x:c r="G2993" s="19" t="str">
        <x:v>材料独立候选</x:v>
      </x:c>
      <x:c r="H2993" s="19" t="str">
        <x:v>龙火鳞</x:v>
      </x:c>
      <x:c r="I2993" s="22" t="n">
        <x:v>1000</x:v>
      </x:c>
      <x:c r="J2993" s="22" t="n">
        <x:v>1</x:v>
      </x:c>
      <x:c r="K2993" s="19" t="n">
        <x:v>1</x:v>
      </x:c>
      <x:c r="L2993" s="24" t="n">
        <x:v>34.986</x:v>
      </x:c>
      <x:c r="M2993" s="26" t="n">
        <x:v>0.1</x:v>
      </x:c>
      <x:c r="N2993" s="24" t="n">
        <x:v>12</x:v>
      </x:c>
      <x:c r="O2993" s="28" t="n">
        <x:f>MIN(1,L2993/I2993)</x:f>
        <x:v>0.034985999999999996</x:v>
      </x:c>
      <x:c r="P2993" s="30" t="n">
        <x:f>O2993*J2993*(1+M2993)</x:f>
        <x:v>0.0384846</x:v>
      </x:c>
      <x:c r="Q2993" s="30" t="n">
        <x:f>P2993*N2993</x:f>
        <x:v>0.4618152</x:v>
      </x:c>
      <x:c r="R2993" s="19" t="str">
        <x:v>独立判定</x:v>
      </x:c>
    </x:row>
    <x:row r="2994" ht="19" customHeight="1">
      <x:c r="A2994" s="19" t="str">
        <x:v>D02990</x:v>
      </x:c>
      <x:c r="B2994" s="19" t="n">
        <x:v>6</x:v>
      </x:c>
      <x:c r="C2994" s="19" t="n">
        <x:v>2</x:v>
      </x:c>
      <x:c r="D2994" s="19" t="str">
        <x:v>C06-M022</x:v>
      </x:c>
      <x:c r="E2994" s="19" t="str">
        <x:v>赤腐祷刑官</x:v>
      </x:c>
      <x:c r="F2994" s="19" t="str">
        <x:v>稀有</x:v>
      </x:c>
      <x:c r="G2994" s="19" t="str">
        <x:v>材料独立候选</x:v>
      </x:c>
      <x:c r="H2994" s="19" t="str">
        <x:v>净火腺囊</x:v>
      </x:c>
      <x:c r="I2994" s="22" t="n">
        <x:v>250</x:v>
      </x:c>
      <x:c r="J2994" s="22" t="n">
        <x:v>1</x:v>
      </x:c>
      <x:c r="K2994" s="19" t="n">
        <x:v>1</x:v>
      </x:c>
      <x:c r="L2994" s="24" t="n">
        <x:v>34.986</x:v>
      </x:c>
      <x:c r="M2994" s="26" t="n">
        <x:v>0.1</x:v>
      </x:c>
      <x:c r="N2994" s="24" t="n">
        <x:v>12</x:v>
      </x:c>
      <x:c r="O2994" s="28" t="n">
        <x:f>MIN(1,L2994/I2994)</x:f>
        <x:v>0.13994399999999999</x:v>
      </x:c>
      <x:c r="P2994" s="30" t="n">
        <x:f>O2994*J2994*(1+M2994)</x:f>
        <x:v>0.1539384</x:v>
      </x:c>
      <x:c r="Q2994" s="30" t="n">
        <x:f>P2994*N2994</x:f>
        <x:v>1.8472608</x:v>
      </x:c>
      <x:c r="R2994" s="19" t="str">
        <x:v>独立判定</x:v>
      </x:c>
    </x:row>
    <x:row r="2995" ht="19" customHeight="1">
      <x:c r="A2995" s="19" t="str">
        <x:v>D02991</x:v>
      </x:c>
      <x:c r="B2995" s="19" t="n">
        <x:v>6</x:v>
      </x:c>
      <x:c r="C2995" s="19" t="n">
        <x:v>2</x:v>
      </x:c>
      <x:c r="D2995" s="19" t="str">
        <x:v>C06-M022</x:v>
      </x:c>
      <x:c r="E2995" s="19" t="str">
        <x:v>赤腐祷刑官</x:v>
      </x:c>
      <x:c r="F2995" s="19" t="str">
        <x:v>稀有</x:v>
      </x:c>
      <x:c r="G2995" s="19" t="str">
        <x:v>材料独立候选</x:v>
      </x:c>
      <x:c r="H2995" s="19" t="str">
        <x:v>熔原罪火残章</x:v>
      </x:c>
      <x:c r="I2995" s="22" t="n">
        <x:v>1000000</x:v>
      </x:c>
      <x:c r="J2995" s="22" t="n">
        <x:v>1</x:v>
      </x:c>
      <x:c r="K2995" s="19" t="n">
        <x:v>1</x:v>
      </x:c>
      <x:c r="L2995" s="24" t="n">
        <x:v>34.986</x:v>
      </x:c>
      <x:c r="M2995" s="26" t="n">
        <x:v>0.1</x:v>
      </x:c>
      <x:c r="N2995" s="24" t="n">
        <x:v>12</x:v>
      </x:c>
      <x:c r="O2995" s="28" t="n">
        <x:f>MIN(1,L2995/I2995)</x:f>
        <x:v>0.000034986</x:v>
      </x:c>
      <x:c r="P2995" s="30" t="n">
        <x:f>O2995*J2995*(1+M2995)</x:f>
        <x:v>0.0000384846</x:v>
      </x:c>
      <x:c r="Q2995" s="30" t="n">
        <x:f>P2995*N2995</x:f>
        <x:v>0.00046181520000000004</x:v>
      </x:c>
      <x:c r="R2995" s="19" t="str">
        <x:v>独立判定</x:v>
      </x:c>
    </x:row>
    <x:row r="2996" ht="19" customHeight="1">
      <x:c r="A2996" s="19" t="str">
        <x:v>D02992</x:v>
      </x:c>
      <x:c r="B2996" s="19" t="n">
        <x:v>6</x:v>
      </x:c>
      <x:c r="C2996" s="19" t="n">
        <x:v>2</x:v>
      </x:c>
      <x:c r="D2996" s="19" t="str">
        <x:v>C06-M022</x:v>
      </x:c>
      <x:c r="E2996" s="19" t="str">
        <x:v>赤腐祷刑官</x:v>
      </x:c>
      <x:c r="F2996" s="19" t="str">
        <x:v>稀有</x:v>
      </x:c>
      <x:c r="G2996" s="19" t="str">
        <x:v>材料独立候选</x:v>
      </x:c>
      <x:c r="H2996" s="19" t="str">
        <x:v>黄金树芽</x:v>
      </x:c>
      <x:c r="I2996" s="22" t="n">
        <x:v>1000</x:v>
      </x:c>
      <x:c r="J2996" s="22" t="n">
        <x:v>1</x:v>
      </x:c>
      <x:c r="K2996" s="19" t="n">
        <x:v>1</x:v>
      </x:c>
      <x:c r="L2996" s="24" t="n">
        <x:v>34.986</x:v>
      </x:c>
      <x:c r="M2996" s="26" t="n">
        <x:v>0.1</x:v>
      </x:c>
      <x:c r="N2996" s="24" t="n">
        <x:v>12</x:v>
      </x:c>
      <x:c r="O2996" s="28" t="n">
        <x:f>MIN(1,L2996/I2996)</x:f>
        <x:v>0.034985999999999996</x:v>
      </x:c>
      <x:c r="P2996" s="30" t="n">
        <x:f>O2996*J2996*(1+M2996)</x:f>
        <x:v>0.0384846</x:v>
      </x:c>
      <x:c r="Q2996" s="30" t="n">
        <x:f>P2996*N2996</x:f>
        <x:v>0.4618152</x:v>
      </x:c>
      <x:c r="R2996" s="19" t="str">
        <x:v>独立判定</x:v>
      </x:c>
    </x:row>
    <x:row r="2997" ht="19" customHeight="1">
      <x:c r="A2997" s="19" t="str">
        <x:v>D02993</x:v>
      </x:c>
      <x:c r="B2997" s="19" t="n">
        <x:v>6</x:v>
      </x:c>
      <x:c r="C2997" s="19" t="n">
        <x:v>2</x:v>
      </x:c>
      <x:c r="D2997" s="19" t="str">
        <x:v>C06-M022</x:v>
      </x:c>
      <x:c r="E2997" s="19" t="str">
        <x:v>赤腐祷刑官</x:v>
      </x:c>
      <x:c r="F2997" s="19" t="str">
        <x:v>稀有</x:v>
      </x:c>
      <x:c r="G2997" s="19" t="str">
        <x:v>材料独立候选</x:v>
      </x:c>
      <x:c r="H2997" s="19" t="str">
        <x:v>野兽骨片</x:v>
      </x:c>
      <x:c r="I2997" s="22" t="n">
        <x:v>120</x:v>
      </x:c>
      <x:c r="J2997" s="22" t="n">
        <x:v>5</x:v>
      </x:c>
      <x:c r="K2997" s="19" t="n">
        <x:v>1</x:v>
      </x:c>
      <x:c r="L2997" s="24" t="n">
        <x:v>34.986</x:v>
      </x:c>
      <x:c r="M2997" s="26" t="n">
        <x:v>0.1</x:v>
      </x:c>
      <x:c r="N2997" s="24" t="n">
        <x:v>12</x:v>
      </x:c>
      <x:c r="O2997" s="28" t="n">
        <x:f>MIN(1,L2997/I2997)</x:f>
        <x:v>0.29155</x:v>
      </x:c>
      <x:c r="P2997" s="30" t="n">
        <x:f>O2997*J2997*(1+M2997)</x:f>
        <x:v>1.603525</x:v>
      </x:c>
      <x:c r="Q2997" s="30" t="n">
        <x:f>P2997*N2997</x:f>
        <x:v>19.2423</x:v>
      </x:c>
      <x:c r="R2997" s="19" t="str">
        <x:v>独立判定</x:v>
      </x:c>
    </x:row>
    <x:row r="2998" ht="19" customHeight="1">
      <x:c r="A2998" s="19" t="str">
        <x:v>D02994</x:v>
      </x:c>
      <x:c r="B2998" s="19" t="n">
        <x:v>6</x:v>
      </x:c>
      <x:c r="C2998" s="19" t="n">
        <x:v>2</x:v>
      </x:c>
      <x:c r="D2998" s="19" t="str">
        <x:v>C06-M022</x:v>
      </x:c>
      <x:c r="E2998" s="19" t="str">
        <x:v>赤腐祷刑官</x:v>
      </x:c>
      <x:c r="F2998" s="19" t="str">
        <x:v>稀有</x:v>
      </x:c>
      <x:c r="G2998" s="19" t="str">
        <x:v>材料独立候选</x:v>
      </x:c>
      <x:c r="H2998" s="19" t="str">
        <x:v>技能残页</x:v>
      </x:c>
      <x:c r="I2998" s="22" t="n">
        <x:v>600</x:v>
      </x:c>
      <x:c r="J2998" s="22" t="n">
        <x:v>1</x:v>
      </x:c>
      <x:c r="K2998" s="19" t="n">
        <x:v>1</x:v>
      </x:c>
      <x:c r="L2998" s="24" t="n">
        <x:v>34.986</x:v>
      </x:c>
      <x:c r="M2998" s="26" t="n">
        <x:v>0.1</x:v>
      </x:c>
      <x:c r="N2998" s="24" t="n">
        <x:v>12</x:v>
      </x:c>
      <x:c r="O2998" s="28" t="n">
        <x:f>MIN(1,L2998/I2998)</x:f>
        <x:v>0.058309999999999994</x:v>
      </x:c>
      <x:c r="P2998" s="30" t="n">
        <x:f>O2998*J2998*(1+M2998)</x:f>
        <x:v>0.064141</x:v>
      </x:c>
      <x:c r="Q2998" s="30" t="n">
        <x:f>P2998*N2998</x:f>
        <x:v>0.769692</x:v>
      </x:c>
      <x:c r="R2998" s="19" t="str">
        <x:v>独立判定</x:v>
      </x:c>
    </x:row>
    <x:row r="2999" ht="19" customHeight="1">
      <x:c r="A2999" s="19" t="str">
        <x:v>D02995</x:v>
      </x:c>
      <x:c r="B2999" s="19" t="n">
        <x:v>6</x:v>
      </x:c>
      <x:c r="C2999" s="19" t="n">
        <x:v>2</x:v>
      </x:c>
      <x:c r="D2999" s="19" t="str">
        <x:v>C06-M022</x:v>
      </x:c>
      <x:c r="E2999" s="19" t="str">
        <x:v>赤腐祷刑官</x:v>
      </x:c>
      <x:c r="F2999" s="19" t="str">
        <x:v>稀有</x:v>
      </x:c>
      <x:c r="G2999" s="19" t="str">
        <x:v>材料独立候选</x:v>
      </x:c>
      <x:c r="H2999" s="19" t="str">
        <x:v>小卢恩</x:v>
      </x:c>
      <x:c r="I2999" s="22" t="n">
        <x:v>6000</x:v>
      </x:c>
      <x:c r="J2999" s="22" t="n">
        <x:v>1</x:v>
      </x:c>
      <x:c r="K2999" s="19" t="n">
        <x:v>1</x:v>
      </x:c>
      <x:c r="L2999" s="24" t="n">
        <x:v>34.986</x:v>
      </x:c>
      <x:c r="M2999" s="26" t="n">
        <x:v>0.1</x:v>
      </x:c>
      <x:c r="N2999" s="24" t="n">
        <x:v>12</x:v>
      </x:c>
      <x:c r="O2999" s="28" t="n">
        <x:f>MIN(1,L2999/I2999)</x:f>
        <x:v>0.005830999999999999</x:v>
      </x:c>
      <x:c r="P2999" s="30" t="n">
        <x:f>O2999*J2999*(1+M2999)</x:f>
        <x:v>0.0064141</x:v>
      </x:c>
      <x:c r="Q2999" s="30" t="n">
        <x:f>P2999*N2999</x:f>
        <x:v>0.0769692</x:v>
      </x:c>
      <x:c r="R2999" s="19" t="str">
        <x:v>独立判定</x:v>
      </x:c>
    </x:row>
    <x:row r="3000" ht="19" customHeight="1">
      <x:c r="A3000" s="19" t="str">
        <x:v>D02996</x:v>
      </x:c>
      <x:c r="B3000" s="19" t="n">
        <x:v>6</x:v>
      </x:c>
      <x:c r="C3000" s="19" t="n">
        <x:v>2</x:v>
      </x:c>
      <x:c r="D3000" s="19" t="str">
        <x:v>C06-M022</x:v>
      </x:c>
      <x:c r="E3000" s="19" t="str">
        <x:v>赤腐祷刑官</x:v>
      </x:c>
      <x:c r="F3000" s="19" t="str">
        <x:v>稀有</x:v>
      </x:c>
      <x:c r="G3000" s="19" t="str">
        <x:v>六神器公共池</x:v>
      </x:c>
      <x:c r="H3000" s="19" t="str">
        <x:v>POOL006</x:v>
      </x:c>
      <x:c r="I3000" s="22" t="n">
        <x:v>5000000</x:v>
      </x:c>
      <x:c r="J3000" s="22" t="n">
        <x:v>1</x:v>
      </x:c>
      <x:c r="K3000" s="19" t="n">
        <x:v>6</x:v>
      </x:c>
      <x:c r="L3000" s="24" t="n">
        <x:v>34.986</x:v>
      </x:c>
      <x:c r="M3000" s="26" t="n">
        <x:v>0.1</x:v>
      </x:c>
      <x:c r="N3000" s="24" t="n">
        <x:v>12</x:v>
      </x:c>
      <x:c r="O3000" s="28" t="n">
        <x:f>MIN(1,L3000/I3000)</x:f>
        <x:v>0.0000069972</x:v>
      </x:c>
      <x:c r="P3000" s="30" t="n">
        <x:f>O3000*J3000*(1+M3000)</x:f>
        <x:v>0.00000769692</x:v>
      </x:c>
      <x:c r="Q3000" s="30" t="n">
        <x:f>P3000*N3000</x:f>
        <x:v>0.00009236304000000001</x:v>
      </x:c>
      <x:c r="R3000" s="19" t="str">
        <x:v>六选一；非6个独立爆率</x:v>
      </x:c>
    </x:row>
    <x:row r="3001" ht="19" customHeight="1">
      <x:c r="A3001" s="19" t="str">
        <x:v>D02997</x:v>
      </x:c>
      <x:c r="B3001" s="19" t="n">
        <x:v>6</x:v>
      </x:c>
      <x:c r="C3001" s="19" t="n">
        <x:v>2</x:v>
      </x:c>
      <x:c r="D3001" s="19" t="str">
        <x:v>C06-M023</x:v>
      </x:c>
      <x:c r="E3001" s="19" t="str">
        <x:v>腐败火侯·伊弗</x:v>
      </x:c>
      <x:c r="F3001" s="19" t="str">
        <x:v>地图BOSS</x:v>
      </x:c>
      <x:c r="G3001" s="19" t="str">
        <x:v>自身专属</x:v>
      </x:c>
      <x:c r="H3001" s="19" t="str">
        <x:v>伊弗腐冠</x:v>
      </x:c>
      <x:c r="I3001" s="22" t="n">
        <x:v>80</x:v>
      </x:c>
      <x:c r="J3001" s="22" t="n">
        <x:v>1</x:v>
      </x:c>
      <x:c r="K3001" s="19" t="n">
        <x:v>1</x:v>
      </x:c>
      <x:c r="L3001" s="24" t="n">
        <x:v>34.986</x:v>
      </x:c>
      <x:c r="M3001" s="26" t="n">
        <x:v>0.1</x:v>
      </x:c>
      <x:c r="N3001" s="24" t="n">
        <x:v>2</x:v>
      </x:c>
      <x:c r="O3001" s="28" t="n">
        <x:f>MIN(1,L3001/I3001)</x:f>
        <x:v>0.43732499999999996</x:v>
      </x:c>
      <x:c r="P3001" s="30" t="n">
        <x:f>O3001*J3001*(1+M3001)</x:f>
        <x:v>0.48105749999999997</x:v>
      </x:c>
      <x:c r="Q3001" s="30" t="n">
        <x:f>P3001*N3001</x:f>
        <x:v>0.9621149999999999</x:v>
      </x:c>
      <x:c r="R3001" s="19" t="str">
        <x:v>独立判定</x:v>
      </x:c>
    </x:row>
    <x:row r="3002" ht="19" customHeight="1">
      <x:c r="A3002" s="19" t="str">
        <x:v>D02998</x:v>
      </x:c>
      <x:c r="B3002" s="19" t="n">
        <x:v>6</x:v>
      </x:c>
      <x:c r="C3002" s="19" t="n">
        <x:v>2</x:v>
      </x:c>
      <x:c r="D3002" s="19" t="str">
        <x:v>C06-M023</x:v>
      </x:c>
      <x:c r="E3002" s="19" t="str">
        <x:v>腐败火侯·伊弗</x:v>
      </x:c>
      <x:c r="F3002" s="19" t="str">
        <x:v>地图BOSS</x:v>
      </x:c>
      <x:c r="G3002" s="19" t="str">
        <x:v>本图普通兼掉候选</x:v>
      </x:c>
      <x:c r="H3002" s="19" t="str">
        <x:v>POOL050</x:v>
      </x:c>
      <x:c r="I3002" s="22" t="n">
        <x:v>80</x:v>
      </x:c>
      <x:c r="J3002" s="22" t="n">
        <x:v>1</x:v>
      </x:c>
      <x:c r="K3002" s="19" t="n">
        <x:v>1</x:v>
      </x:c>
      <x:c r="L3002" s="24" t="n">
        <x:v>34.986</x:v>
      </x:c>
      <x:c r="M3002" s="26" t="n">
        <x:v>0.1</x:v>
      </x:c>
      <x:c r="N3002" s="24" t="n">
        <x:v>2</x:v>
      </x:c>
      <x:c r="O3002" s="28" t="n">
        <x:f>MIN(1,L3002/I3002)</x:f>
        <x:v>0.43732499999999996</x:v>
      </x:c>
      <x:c r="P3002" s="30" t="n">
        <x:f>O3002*J3002*(1+M3002)</x:f>
        <x:v>0.48105749999999997</x:v>
      </x:c>
      <x:c r="Q3002" s="30" t="n">
        <x:f>P3002*N3002</x:f>
        <x:v>0.9621149999999999</x:v>
      </x:c>
      <x:c r="R3002" s="19" t="str">
        <x:v>单池选一</x:v>
      </x:c>
    </x:row>
    <x:row r="3003" ht="19" customHeight="1">
      <x:c r="A3003" s="19" t="str">
        <x:v>D02999</x:v>
      </x:c>
      <x:c r="B3003" s="19" t="n">
        <x:v>6</x:v>
      </x:c>
      <x:c r="C3003" s="19" t="n">
        <x:v>2</x:v>
      </x:c>
      <x:c r="D3003" s="19" t="str">
        <x:v>C06-M023</x:v>
      </x:c>
      <x:c r="E3003" s="19" t="str">
        <x:v>腐败火侯·伊弗</x:v>
      </x:c>
      <x:c r="F3003" s="19" t="str">
        <x:v>地图BOSS</x:v>
      </x:c>
      <x:c r="G3003" s="19" t="str">
        <x:v>材料独立候选</x:v>
      </x:c>
      <x:c r="H3003" s="19" t="str">
        <x:v>猩红矿渣</x:v>
      </x:c>
      <x:c r="I3003" s="22" t="n">
        <x:v>200</x:v>
      </x:c>
      <x:c r="J3003" s="22" t="n">
        <x:v>30</x:v>
      </x:c>
      <x:c r="K3003" s="19" t="n">
        <x:v>1</x:v>
      </x:c>
      <x:c r="L3003" s="24" t="n">
        <x:v>34.986</x:v>
      </x:c>
      <x:c r="M3003" s="26" t="n">
        <x:v>0.1</x:v>
      </x:c>
      <x:c r="N3003" s="24" t="n">
        <x:v>2</x:v>
      </x:c>
      <x:c r="O3003" s="28" t="n">
        <x:f>MIN(1,L3003/I3003)</x:f>
        <x:v>0.17492999999999997</x:v>
      </x:c>
      <x:c r="P3003" s="30" t="n">
        <x:f>O3003*J3003*(1+M3003)</x:f>
        <x:v>5.77269</x:v>
      </x:c>
      <x:c r="Q3003" s="30" t="n">
        <x:f>P3003*N3003</x:f>
        <x:v>11.54538</x:v>
      </x:c>
      <x:c r="R3003" s="19" t="str">
        <x:v>独立判定</x:v>
      </x:c>
    </x:row>
    <x:row r="3004" ht="19" customHeight="1">
      <x:c r="A3004" s="19" t="str">
        <x:v>D03000</x:v>
      </x:c>
      <x:c r="B3004" s="19" t="n">
        <x:v>6</x:v>
      </x:c>
      <x:c r="C3004" s="19" t="n">
        <x:v>2</x:v>
      </x:c>
      <x:c r="D3004" s="19" t="str">
        <x:v>C06-M023</x:v>
      </x:c>
      <x:c r="E3004" s="19" t="str">
        <x:v>腐败火侯·伊弗</x:v>
      </x:c>
      <x:c r="F3004" s="19" t="str">
        <x:v>地图BOSS</x:v>
      </x:c>
      <x:c r="G3004" s="19" t="str">
        <x:v>材料独立候选</x:v>
      </x:c>
      <x:c r="H3004" s="19" t="str">
        <x:v>龙火鳞</x:v>
      </x:c>
      <x:c r="I3004" s="22" t="n">
        <x:v>600</x:v>
      </x:c>
      <x:c r="J3004" s="22" t="n">
        <x:v>1</x:v>
      </x:c>
      <x:c r="K3004" s="19" t="n">
        <x:v>1</x:v>
      </x:c>
      <x:c r="L3004" s="24" t="n">
        <x:v>34.986</x:v>
      </x:c>
      <x:c r="M3004" s="26" t="n">
        <x:v>0.1</x:v>
      </x:c>
      <x:c r="N3004" s="24" t="n">
        <x:v>2</x:v>
      </x:c>
      <x:c r="O3004" s="28" t="n">
        <x:f>MIN(1,L3004/I3004)</x:f>
        <x:v>0.058309999999999994</x:v>
      </x:c>
      <x:c r="P3004" s="30" t="n">
        <x:f>O3004*J3004*(1+M3004)</x:f>
        <x:v>0.064141</x:v>
      </x:c>
      <x:c r="Q3004" s="30" t="n">
        <x:f>P3004*N3004</x:f>
        <x:v>0.128282</x:v>
      </x:c>
      <x:c r="R3004" s="19" t="str">
        <x:v>独立判定</x:v>
      </x:c>
    </x:row>
    <x:row r="3005" ht="19" customHeight="1">
      <x:c r="A3005" s="19" t="str">
        <x:v>D03001</x:v>
      </x:c>
      <x:c r="B3005" s="19" t="n">
        <x:v>6</x:v>
      </x:c>
      <x:c r="C3005" s="19" t="n">
        <x:v>2</x:v>
      </x:c>
      <x:c r="D3005" s="19" t="str">
        <x:v>C06-M023</x:v>
      </x:c>
      <x:c r="E3005" s="19" t="str">
        <x:v>腐败火侯·伊弗</x:v>
      </x:c>
      <x:c r="F3005" s="19" t="str">
        <x:v>地图BOSS</x:v>
      </x:c>
      <x:c r="G3005" s="19" t="str">
        <x:v>材料独立候选</x:v>
      </x:c>
      <x:c r="H3005" s="19" t="str">
        <x:v>红狮战印</x:v>
      </x:c>
      <x:c r="I3005" s="22" t="n">
        <x:v>180</x:v>
      </x:c>
      <x:c r="J3005" s="22" t="n">
        <x:v>5</x:v>
      </x:c>
      <x:c r="K3005" s="19" t="n">
        <x:v>1</x:v>
      </x:c>
      <x:c r="L3005" s="24" t="n">
        <x:v>34.986</x:v>
      </x:c>
      <x:c r="M3005" s="26" t="n">
        <x:v>0.1</x:v>
      </x:c>
      <x:c r="N3005" s="24" t="n">
        <x:v>2</x:v>
      </x:c>
      <x:c r="O3005" s="28" t="n">
        <x:f>MIN(1,L3005/I3005)</x:f>
        <x:v>0.19436666666666666</x:v>
      </x:c>
      <x:c r="P3005" s="30" t="n">
        <x:f>O3005*J3005*(1+M3005)</x:f>
        <x:v>1.0690166666666667</x:v>
      </x:c>
      <x:c r="Q3005" s="30" t="n">
        <x:f>P3005*N3005</x:f>
        <x:v>2.1380333333333335</x:v>
      </x:c>
      <x:c r="R3005" s="19" t="str">
        <x:v>独立判定</x:v>
      </x:c>
    </x:row>
    <x:row r="3006" ht="19" customHeight="1">
      <x:c r="A3006" s="19" t="str">
        <x:v>D03002</x:v>
      </x:c>
      <x:c r="B3006" s="19" t="n">
        <x:v>6</x:v>
      </x:c>
      <x:c r="C3006" s="19" t="n">
        <x:v>2</x:v>
      </x:c>
      <x:c r="D3006" s="19" t="str">
        <x:v>C06-M023</x:v>
      </x:c>
      <x:c r="E3006" s="19" t="str">
        <x:v>腐败火侯·伊弗</x:v>
      </x:c>
      <x:c r="F3006" s="19" t="str">
        <x:v>地图BOSS</x:v>
      </x:c>
      <x:c r="G3006" s="19" t="str">
        <x:v>材料独立候选</x:v>
      </x:c>
      <x:c r="H3006" s="19" t="str">
        <x:v>龙窟熔牙</x:v>
      </x:c>
      <x:c r="I3006" s="22" t="n">
        <x:v>200</x:v>
      </x:c>
      <x:c r="J3006" s="22" t="n">
        <x:v>3</x:v>
      </x:c>
      <x:c r="K3006" s="19" t="n">
        <x:v>1</x:v>
      </x:c>
      <x:c r="L3006" s="24" t="n">
        <x:v>34.986</x:v>
      </x:c>
      <x:c r="M3006" s="26" t="n">
        <x:v>0.1</x:v>
      </x:c>
      <x:c r="N3006" s="24" t="n">
        <x:v>2</x:v>
      </x:c>
      <x:c r="O3006" s="28" t="n">
        <x:f>MIN(1,L3006/I3006)</x:f>
        <x:v>0.17492999999999997</x:v>
      </x:c>
      <x:c r="P3006" s="30" t="n">
        <x:f>O3006*J3006*(1+M3006)</x:f>
        <x:v>0.5772689999999999</x:v>
      </x:c>
      <x:c r="Q3006" s="30" t="n">
        <x:f>P3006*N3006</x:f>
        <x:v>1.1545379999999998</x:v>
      </x:c>
      <x:c r="R3006" s="19" t="str">
        <x:v>独立判定</x:v>
      </x:c>
    </x:row>
    <x:row r="3007" ht="19" customHeight="1">
      <x:c r="A3007" s="19" t="str">
        <x:v>D03003</x:v>
      </x:c>
      <x:c r="B3007" s="19" t="n">
        <x:v>6</x:v>
      </x:c>
      <x:c r="C3007" s="19" t="n">
        <x:v>2</x:v>
      </x:c>
      <x:c r="D3007" s="19" t="str">
        <x:v>C06-M023</x:v>
      </x:c>
      <x:c r="E3007" s="19" t="str">
        <x:v>腐败火侯·伊弗</x:v>
      </x:c>
      <x:c r="F3007" s="19" t="str">
        <x:v>地图BOSS</x:v>
      </x:c>
      <x:c r="G3007" s="19" t="str">
        <x:v>材料独立候选</x:v>
      </x:c>
      <x:c r="H3007" s="19" t="str">
        <x:v>熔原罪火残章</x:v>
      </x:c>
      <x:c r="I3007" s="22" t="n">
        <x:v>500000</x:v>
      </x:c>
      <x:c r="J3007" s="22" t="n">
        <x:v>1</x:v>
      </x:c>
      <x:c r="K3007" s="19" t="n">
        <x:v>1</x:v>
      </x:c>
      <x:c r="L3007" s="24" t="n">
        <x:v>34.986</x:v>
      </x:c>
      <x:c r="M3007" s="26" t="n">
        <x:v>0.1</x:v>
      </x:c>
      <x:c r="N3007" s="24" t="n">
        <x:v>2</x:v>
      </x:c>
      <x:c r="O3007" s="28" t="n">
        <x:f>MIN(1,L3007/I3007)</x:f>
        <x:v>0.000069972</x:v>
      </x:c>
      <x:c r="P3007" s="30" t="n">
        <x:f>O3007*J3007*(1+M3007)</x:f>
        <x:v>0.0000769692</x:v>
      </x:c>
      <x:c r="Q3007" s="30" t="n">
        <x:f>P3007*N3007</x:f>
        <x:v>0.0001539384</x:v>
      </x:c>
      <x:c r="R3007" s="19" t="str">
        <x:v>独立判定</x:v>
      </x:c>
    </x:row>
    <x:row r="3008" ht="19" customHeight="1">
      <x:c r="A3008" s="19" t="str">
        <x:v>D03004</x:v>
      </x:c>
      <x:c r="B3008" s="19" t="n">
        <x:v>6</x:v>
      </x:c>
      <x:c r="C3008" s="19" t="n">
        <x:v>2</x:v>
      </x:c>
      <x:c r="D3008" s="19" t="str">
        <x:v>C06-M023</x:v>
      </x:c>
      <x:c r="E3008" s="19" t="str">
        <x:v>腐败火侯·伊弗</x:v>
      </x:c>
      <x:c r="F3008" s="19" t="str">
        <x:v>地图BOSS</x:v>
      </x:c>
      <x:c r="G3008" s="19" t="str">
        <x:v>材料独立候选</x:v>
      </x:c>
      <x:c r="H3008" s="19" t="str">
        <x:v>黄金树芽</x:v>
      </x:c>
      <x:c r="I3008" s="22" t="n">
        <x:v>600</x:v>
      </x:c>
      <x:c r="J3008" s="22" t="n">
        <x:v>1</x:v>
      </x:c>
      <x:c r="K3008" s="19" t="n">
        <x:v>1</x:v>
      </x:c>
      <x:c r="L3008" s="24" t="n">
        <x:v>34.986</x:v>
      </x:c>
      <x:c r="M3008" s="26" t="n">
        <x:v>0.1</x:v>
      </x:c>
      <x:c r="N3008" s="24" t="n">
        <x:v>2</x:v>
      </x:c>
      <x:c r="O3008" s="28" t="n">
        <x:f>MIN(1,L3008/I3008)</x:f>
        <x:v>0.058309999999999994</x:v>
      </x:c>
      <x:c r="P3008" s="30" t="n">
        <x:f>O3008*J3008*(1+M3008)</x:f>
        <x:v>0.064141</x:v>
      </x:c>
      <x:c r="Q3008" s="30" t="n">
        <x:f>P3008*N3008</x:f>
        <x:v>0.128282</x:v>
      </x:c>
      <x:c r="R3008" s="19" t="str">
        <x:v>独立判定</x:v>
      </x:c>
    </x:row>
    <x:row r="3009" ht="19" customHeight="1">
      <x:c r="A3009" s="19" t="str">
        <x:v>D03005</x:v>
      </x:c>
      <x:c r="B3009" s="19" t="n">
        <x:v>6</x:v>
      </x:c>
      <x:c r="C3009" s="19" t="n">
        <x:v>2</x:v>
      </x:c>
      <x:c r="D3009" s="19" t="str">
        <x:v>C06-M023</x:v>
      </x:c>
      <x:c r="E3009" s="19" t="str">
        <x:v>腐败火侯·伊弗</x:v>
      </x:c>
      <x:c r="F3009" s="19" t="str">
        <x:v>地图BOSS</x:v>
      </x:c>
      <x:c r="G3009" s="19" t="str">
        <x:v>材料独立候选</x:v>
      </x:c>
      <x:c r="H3009" s="19" t="str">
        <x:v>野兽骨片</x:v>
      </x:c>
      <x:c r="I3009" s="22" t="n">
        <x:v>60</x:v>
      </x:c>
      <x:c r="J3009" s="22" t="n">
        <x:v>5</x:v>
      </x:c>
      <x:c r="K3009" s="19" t="n">
        <x:v>1</x:v>
      </x:c>
      <x:c r="L3009" s="24" t="n">
        <x:v>34.986</x:v>
      </x:c>
      <x:c r="M3009" s="26" t="n">
        <x:v>0.1</x:v>
      </x:c>
      <x:c r="N3009" s="24" t="n">
        <x:v>2</x:v>
      </x:c>
      <x:c r="O3009" s="28" t="n">
        <x:f>MIN(1,L3009/I3009)</x:f>
        <x:v>0.5831</x:v>
      </x:c>
      <x:c r="P3009" s="30" t="n">
        <x:f>O3009*J3009*(1+M3009)</x:f>
        <x:v>3.20705</x:v>
      </x:c>
      <x:c r="Q3009" s="30" t="n">
        <x:f>P3009*N3009</x:f>
        <x:v>6.4141</x:v>
      </x:c>
      <x:c r="R3009" s="19" t="str">
        <x:v>独立判定</x:v>
      </x:c>
    </x:row>
    <x:row r="3010" ht="19" customHeight="1">
      <x:c r="A3010" s="19" t="str">
        <x:v>D03006</x:v>
      </x:c>
      <x:c r="B3010" s="19" t="n">
        <x:v>6</x:v>
      </x:c>
      <x:c r="C3010" s="19" t="n">
        <x:v>2</x:v>
      </x:c>
      <x:c r="D3010" s="19" t="str">
        <x:v>C06-M023</x:v>
      </x:c>
      <x:c r="E3010" s="19" t="str">
        <x:v>腐败火侯·伊弗</x:v>
      </x:c>
      <x:c r="F3010" s="19" t="str">
        <x:v>地图BOSS</x:v>
      </x:c>
      <x:c r="G3010" s="19" t="str">
        <x:v>材料独立候选</x:v>
      </x:c>
      <x:c r="H3010" s="19" t="str">
        <x:v>技能残页</x:v>
      </x:c>
      <x:c r="I3010" s="22" t="n">
        <x:v>300</x:v>
      </x:c>
      <x:c r="J3010" s="22" t="n">
        <x:v>1</x:v>
      </x:c>
      <x:c r="K3010" s="19" t="n">
        <x:v>1</x:v>
      </x:c>
      <x:c r="L3010" s="24" t="n">
        <x:v>34.986</x:v>
      </x:c>
      <x:c r="M3010" s="26" t="n">
        <x:v>0.1</x:v>
      </x:c>
      <x:c r="N3010" s="24" t="n">
        <x:v>2</x:v>
      </x:c>
      <x:c r="O3010" s="28" t="n">
        <x:f>MIN(1,L3010/I3010)</x:f>
        <x:v>0.11661999999999999</x:v>
      </x:c>
      <x:c r="P3010" s="30" t="n">
        <x:f>O3010*J3010*(1+M3010)</x:f>
        <x:v>0.128282</x:v>
      </x:c>
      <x:c r="Q3010" s="30" t="n">
        <x:f>P3010*N3010</x:f>
        <x:v>0.256564</x:v>
      </x:c>
      <x:c r="R3010" s="19" t="str">
        <x:v>独立判定</x:v>
      </x:c>
    </x:row>
    <x:row r="3011" ht="19" customHeight="1">
      <x:c r="A3011" s="19" t="str">
        <x:v>D03007</x:v>
      </x:c>
      <x:c r="B3011" s="19" t="n">
        <x:v>6</x:v>
      </x:c>
      <x:c r="C3011" s="19" t="n">
        <x:v>2</x:v>
      </x:c>
      <x:c r="D3011" s="19" t="str">
        <x:v>C06-M023</x:v>
      </x:c>
      <x:c r="E3011" s="19" t="str">
        <x:v>腐败火侯·伊弗</x:v>
      </x:c>
      <x:c r="F3011" s="19" t="str">
        <x:v>地图BOSS</x:v>
      </x:c>
      <x:c r="G3011" s="19" t="str">
        <x:v>材料独立候选</x:v>
      </x:c>
      <x:c r="H3011" s="19" t="str">
        <x:v>宁姆格福誓页</x:v>
      </x:c>
      <x:c r="I3011" s="22" t="n">
        <x:v>400</x:v>
      </x:c>
      <x:c r="J3011" s="22" t="n">
        <x:v>1</x:v>
      </x:c>
      <x:c r="K3011" s="19" t="n">
        <x:v>1</x:v>
      </x:c>
      <x:c r="L3011" s="24" t="n">
        <x:v>34.986</x:v>
      </x:c>
      <x:c r="M3011" s="26" t="n">
        <x:v>0.1</x:v>
      </x:c>
      <x:c r="N3011" s="24" t="n">
        <x:v>2</x:v>
      </x:c>
      <x:c r="O3011" s="28" t="n">
        <x:f>MIN(1,L3011/I3011)</x:f>
        <x:v>0.08746499999999999</x:v>
      </x:c>
      <x:c r="P3011" s="30" t="n">
        <x:f>O3011*J3011*(1+M3011)</x:f>
        <x:v>0.09621149999999999</x:v>
      </x:c>
      <x:c r="Q3011" s="30" t="n">
        <x:f>P3011*N3011</x:f>
        <x:v>0.19242299999999998</x:v>
      </x:c>
      <x:c r="R3011" s="19" t="str">
        <x:v>独立判定</x:v>
      </x:c>
    </x:row>
    <x:row r="3012" ht="19" customHeight="1">
      <x:c r="A3012" s="19" t="str">
        <x:v>D03008</x:v>
      </x:c>
      <x:c r="B3012" s="19" t="n">
        <x:v>6</x:v>
      </x:c>
      <x:c r="C3012" s="19" t="n">
        <x:v>2</x:v>
      </x:c>
      <x:c r="D3012" s="19" t="str">
        <x:v>C06-M023</x:v>
      </x:c>
      <x:c r="E3012" s="19" t="str">
        <x:v>腐败火侯·伊弗</x:v>
      </x:c>
      <x:c r="F3012" s="19" t="str">
        <x:v>地图BOSS</x:v>
      </x:c>
      <x:c r="G3012" s="19" t="str">
        <x:v>材料独立候选</x:v>
      </x:c>
      <x:c r="H3012" s="19" t="str">
        <x:v>小卢恩</x:v>
      </x:c>
      <x:c r="I3012" s="22" t="n">
        <x:v>3000</x:v>
      </x:c>
      <x:c r="J3012" s="22" t="n">
        <x:v>1</x:v>
      </x:c>
      <x:c r="K3012" s="19" t="n">
        <x:v>1</x:v>
      </x:c>
      <x:c r="L3012" s="24" t="n">
        <x:v>34.986</x:v>
      </x:c>
      <x:c r="M3012" s="26" t="n">
        <x:v>0.1</x:v>
      </x:c>
      <x:c r="N3012" s="24" t="n">
        <x:v>2</x:v>
      </x:c>
      <x:c r="O3012" s="28" t="n">
        <x:f>MIN(1,L3012/I3012)</x:f>
        <x:v>0.011661999999999999</x:v>
      </x:c>
      <x:c r="P3012" s="30" t="n">
        <x:f>O3012*J3012*(1+M3012)</x:f>
        <x:v>0.0128282</x:v>
      </x:c>
      <x:c r="Q3012" s="30" t="n">
        <x:f>P3012*N3012</x:f>
        <x:v>0.0256564</x:v>
      </x:c>
      <x:c r="R3012" s="19" t="str">
        <x:v>独立判定</x:v>
      </x:c>
    </x:row>
    <x:row r="3013" ht="19" customHeight="1">
      <x:c r="A3013" s="19" t="str">
        <x:v>D03009</x:v>
      </x:c>
      <x:c r="B3013" s="19" t="n">
        <x:v>6</x:v>
      </x:c>
      <x:c r="C3013" s="19" t="n">
        <x:v>2</x:v>
      </x:c>
      <x:c r="D3013" s="19" t="str">
        <x:v>C06-M023</x:v>
      </x:c>
      <x:c r="E3013" s="19" t="str">
        <x:v>腐败火侯·伊弗</x:v>
      </x:c>
      <x:c r="F3013" s="19" t="str">
        <x:v>地图BOSS</x:v>
      </x:c>
      <x:c r="G3013" s="19" t="str">
        <x:v>材料独立候选</x:v>
      </x:c>
      <x:c r="H3013" s="19" t="str">
        <x:v>大卢恩</x:v>
      </x:c>
      <x:c r="I3013" s="22" t="n">
        <x:v>150</x:v>
      </x:c>
      <x:c r="J3013" s="22" t="n">
        <x:v>20</x:v>
      </x:c>
      <x:c r="K3013" s="19" t="n">
        <x:v>1</x:v>
      </x:c>
      <x:c r="L3013" s="24" t="n">
        <x:v>34.986</x:v>
      </x:c>
      <x:c r="M3013" s="26" t="n">
        <x:v>0.1</x:v>
      </x:c>
      <x:c r="N3013" s="24" t="n">
        <x:v>2</x:v>
      </x:c>
      <x:c r="O3013" s="28" t="n">
        <x:f>MIN(1,L3013/I3013)</x:f>
        <x:v>0.23323999999999998</x:v>
      </x:c>
      <x:c r="P3013" s="30" t="n">
        <x:f>O3013*J3013*(1+M3013)</x:f>
        <x:v>5.13128</x:v>
      </x:c>
      <x:c r="Q3013" s="30" t="n">
        <x:f>P3013*N3013</x:f>
        <x:v>10.26256</x:v>
      </x:c>
      <x:c r="R3013" s="19" t="str">
        <x:v>独立判定</x:v>
      </x:c>
    </x:row>
    <x:row r="3014" ht="19" customHeight="1">
      <x:c r="A3014" s="19" t="str">
        <x:v>D03010</x:v>
      </x:c>
      <x:c r="B3014" s="19" t="n">
        <x:v>6</x:v>
      </x:c>
      <x:c r="C3014" s="19" t="n">
        <x:v>2</x:v>
      </x:c>
      <x:c r="D3014" s="19" t="str">
        <x:v>C06-M023</x:v>
      </x:c>
      <x:c r="E3014" s="19" t="str">
        <x:v>腐败火侯·伊弗</x:v>
      </x:c>
      <x:c r="F3014" s="19" t="str">
        <x:v>地图BOSS</x:v>
      </x:c>
      <x:c r="G3014" s="19" t="str">
        <x:v>六神器公共池</x:v>
      </x:c>
      <x:c r="H3014" s="19" t="str">
        <x:v>POOL006</x:v>
      </x:c>
      <x:c r="I3014" s="22" t="n">
        <x:v>200000</x:v>
      </x:c>
      <x:c r="J3014" s="22" t="n">
        <x:v>1</x:v>
      </x:c>
      <x:c r="K3014" s="19" t="n">
        <x:v>6</x:v>
      </x:c>
      <x:c r="L3014" s="24" t="n">
        <x:v>34.986</x:v>
      </x:c>
      <x:c r="M3014" s="26" t="n">
        <x:v>0.1</x:v>
      </x:c>
      <x:c r="N3014" s="24" t="n">
        <x:v>2</x:v>
      </x:c>
      <x:c r="O3014" s="28" t="n">
        <x:f>MIN(1,L3014/I3014)</x:f>
        <x:v>0.00017492999999999998</x:v>
      </x:c>
      <x:c r="P3014" s="30" t="n">
        <x:f>O3014*J3014*(1+M3014)</x:f>
        <x:v>0.000192423</x:v>
      </x:c>
      <x:c r="Q3014" s="30" t="n">
        <x:f>P3014*N3014</x:f>
        <x:v>0.000384846</x:v>
      </x:c>
      <x:c r="R3014" s="19" t="str">
        <x:v>六选一；非6个独立爆率</x:v>
      </x:c>
    </x:row>
    <x:row r="3015" ht="19" customHeight="1">
      <x:c r="A3015" s="19" t="str">
        <x:v>D03011</x:v>
      </x:c>
      <x:c r="B3015" s="19" t="n">
        <x:v>6</x:v>
      </x:c>
      <x:c r="C3015" s="19" t="n">
        <x:v>2</x:v>
      </x:c>
      <x:c r="D3015" s="19" t="str">
        <x:v>C06-M024</x:v>
      </x:c>
      <x:c r="E3015" s="19" t="str">
        <x:v>熔心狱主·塞维拉</x:v>
      </x:c>
      <x:c r="F3015" s="19" t="str">
        <x:v>地图BOSS</x:v>
      </x:c>
      <x:c r="G3015" s="19" t="str">
        <x:v>自身专属</x:v>
      </x:c>
      <x:c r="H3015" s="19" t="str">
        <x:v>塞维拉狱衣</x:v>
      </x:c>
      <x:c r="I3015" s="22" t="n">
        <x:v>180</x:v>
      </x:c>
      <x:c r="J3015" s="22" t="n">
        <x:v>1</x:v>
      </x:c>
      <x:c r="K3015" s="19" t="n">
        <x:v>1</x:v>
      </x:c>
      <x:c r="L3015" s="24" t="n">
        <x:v>34.986</x:v>
      </x:c>
      <x:c r="M3015" s="26" t="n">
        <x:v>0.1</x:v>
      </x:c>
      <x:c r="N3015" s="24" t="n">
        <x:v>2</x:v>
      </x:c>
      <x:c r="O3015" s="28" t="n">
        <x:f>MIN(1,L3015/I3015)</x:f>
        <x:v>0.19436666666666666</x:v>
      </x:c>
      <x:c r="P3015" s="30" t="n">
        <x:f>O3015*J3015*(1+M3015)</x:f>
        <x:v>0.21380333333333335</x:v>
      </x:c>
      <x:c r="Q3015" s="30" t="n">
        <x:f>P3015*N3015</x:f>
        <x:v>0.4276066666666667</x:v>
      </x:c>
      <x:c r="R3015" s="19" t="str">
        <x:v>独立判定</x:v>
      </x:c>
    </x:row>
    <x:row r="3016" ht="19" customHeight="1">
      <x:c r="A3016" s="19" t="str">
        <x:v>D03012</x:v>
      </x:c>
      <x:c r="B3016" s="19" t="n">
        <x:v>6</x:v>
      </x:c>
      <x:c r="C3016" s="19" t="n">
        <x:v>2</x:v>
      </x:c>
      <x:c r="D3016" s="19" t="str">
        <x:v>C06-M024</x:v>
      </x:c>
      <x:c r="E3016" s="19" t="str">
        <x:v>熔心狱主·塞维拉</x:v>
      </x:c>
      <x:c r="F3016" s="19" t="str">
        <x:v>地图BOSS</x:v>
      </x:c>
      <x:c r="G3016" s="19" t="str">
        <x:v>自身专属</x:v>
      </x:c>
      <x:c r="H3016" s="19" t="str">
        <x:v>血原骨坠</x:v>
      </x:c>
      <x:c r="I3016" s="22" t="n">
        <x:v>180</x:v>
      </x:c>
      <x:c r="J3016" s="22" t="n">
        <x:v>1</x:v>
      </x:c>
      <x:c r="K3016" s="19" t="n">
        <x:v>1</x:v>
      </x:c>
      <x:c r="L3016" s="24" t="n">
        <x:v>34.986</x:v>
      </x:c>
      <x:c r="M3016" s="26" t="n">
        <x:v>0.1</x:v>
      </x:c>
      <x:c r="N3016" s="24" t="n">
        <x:v>2</x:v>
      </x:c>
      <x:c r="O3016" s="28" t="n">
        <x:f>MIN(1,L3016/I3016)</x:f>
        <x:v>0.19436666666666666</x:v>
      </x:c>
      <x:c r="P3016" s="30" t="n">
        <x:f>O3016*J3016*(1+M3016)</x:f>
        <x:v>0.21380333333333335</x:v>
      </x:c>
      <x:c r="Q3016" s="30" t="n">
        <x:f>P3016*N3016</x:f>
        <x:v>0.4276066666666667</x:v>
      </x:c>
      <x:c r="R3016" s="19" t="str">
        <x:v>独立判定</x:v>
      </x:c>
    </x:row>
    <x:row r="3017" ht="19" customHeight="1">
      <x:c r="A3017" s="19" t="str">
        <x:v>D03013</x:v>
      </x:c>
      <x:c r="B3017" s="19" t="n">
        <x:v>6</x:v>
      </x:c>
      <x:c r="C3017" s="19" t="n">
        <x:v>2</x:v>
      </x:c>
      <x:c r="D3017" s="19" t="str">
        <x:v>C06-M024</x:v>
      </x:c>
      <x:c r="E3017" s="19" t="str">
        <x:v>熔心狱主·塞维拉</x:v>
      </x:c>
      <x:c r="F3017" s="19" t="str">
        <x:v>地图BOSS</x:v>
      </x:c>
      <x:c r="G3017" s="19" t="str">
        <x:v>本图普通兼掉候选</x:v>
      </x:c>
      <x:c r="H3017" s="19" t="str">
        <x:v>POOL051</x:v>
      </x:c>
      <x:c r="I3017" s="22" t="n">
        <x:v>80</x:v>
      </x:c>
      <x:c r="J3017" s="22" t="n">
        <x:v>1</x:v>
      </x:c>
      <x:c r="K3017" s="19" t="n">
        <x:v>1</x:v>
      </x:c>
      <x:c r="L3017" s="24" t="n">
        <x:v>34.986</x:v>
      </x:c>
      <x:c r="M3017" s="26" t="n">
        <x:v>0.1</x:v>
      </x:c>
      <x:c r="N3017" s="24" t="n">
        <x:v>2</x:v>
      </x:c>
      <x:c r="O3017" s="28" t="n">
        <x:f>MIN(1,L3017/I3017)</x:f>
        <x:v>0.43732499999999996</x:v>
      </x:c>
      <x:c r="P3017" s="30" t="n">
        <x:f>O3017*J3017*(1+M3017)</x:f>
        <x:v>0.48105749999999997</x:v>
      </x:c>
      <x:c r="Q3017" s="30" t="n">
        <x:f>P3017*N3017</x:f>
        <x:v>0.9621149999999999</x:v>
      </x:c>
      <x:c r="R3017" s="19" t="str">
        <x:v>单池选一</x:v>
      </x:c>
    </x:row>
    <x:row r="3018" ht="19" customHeight="1">
      <x:c r="A3018" s="19" t="str">
        <x:v>D03014</x:v>
      </x:c>
      <x:c r="B3018" s="19" t="n">
        <x:v>6</x:v>
      </x:c>
      <x:c r="C3018" s="19" t="n">
        <x:v>2</x:v>
      </x:c>
      <x:c r="D3018" s="19" t="str">
        <x:v>C06-M024</x:v>
      </x:c>
      <x:c r="E3018" s="19" t="str">
        <x:v>熔心狱主·塞维拉</x:v>
      </x:c>
      <x:c r="F3018" s="19" t="str">
        <x:v>地图BOSS</x:v>
      </x:c>
      <x:c r="G3018" s="19" t="str">
        <x:v>材料独立候选</x:v>
      </x:c>
      <x:c r="H3018" s="19" t="str">
        <x:v>猩红矿渣</x:v>
      </x:c>
      <x:c r="I3018" s="22" t="n">
        <x:v>200</x:v>
      </x:c>
      <x:c r="J3018" s="22" t="n">
        <x:v>30</x:v>
      </x:c>
      <x:c r="K3018" s="19" t="n">
        <x:v>1</x:v>
      </x:c>
      <x:c r="L3018" s="24" t="n">
        <x:v>34.986</x:v>
      </x:c>
      <x:c r="M3018" s="26" t="n">
        <x:v>0.1</x:v>
      </x:c>
      <x:c r="N3018" s="24" t="n">
        <x:v>2</x:v>
      </x:c>
      <x:c r="O3018" s="28" t="n">
        <x:f>MIN(1,L3018/I3018)</x:f>
        <x:v>0.17492999999999997</x:v>
      </x:c>
      <x:c r="P3018" s="30" t="n">
        <x:f>O3018*J3018*(1+M3018)</x:f>
        <x:v>5.77269</x:v>
      </x:c>
      <x:c r="Q3018" s="30" t="n">
        <x:f>P3018*N3018</x:f>
        <x:v>11.54538</x:v>
      </x:c>
      <x:c r="R3018" s="19" t="str">
        <x:v>独立判定</x:v>
      </x:c>
    </x:row>
    <x:row r="3019" ht="19" customHeight="1">
      <x:c r="A3019" s="19" t="str">
        <x:v>D03015</x:v>
      </x:c>
      <x:c r="B3019" s="19" t="n">
        <x:v>6</x:v>
      </x:c>
      <x:c r="C3019" s="19" t="n">
        <x:v>2</x:v>
      </x:c>
      <x:c r="D3019" s="19" t="str">
        <x:v>C06-M024</x:v>
      </x:c>
      <x:c r="E3019" s="19" t="str">
        <x:v>熔心狱主·塞维拉</x:v>
      </x:c>
      <x:c r="F3019" s="19" t="str">
        <x:v>地图BOSS</x:v>
      </x:c>
      <x:c r="G3019" s="19" t="str">
        <x:v>材料独立候选</x:v>
      </x:c>
      <x:c r="H3019" s="19" t="str">
        <x:v>龙火鳞</x:v>
      </x:c>
      <x:c r="I3019" s="22" t="n">
        <x:v>600</x:v>
      </x:c>
      <x:c r="J3019" s="22" t="n">
        <x:v>1</x:v>
      </x:c>
      <x:c r="K3019" s="19" t="n">
        <x:v>1</x:v>
      </x:c>
      <x:c r="L3019" s="24" t="n">
        <x:v>34.986</x:v>
      </x:c>
      <x:c r="M3019" s="26" t="n">
        <x:v>0.1</x:v>
      </x:c>
      <x:c r="N3019" s="24" t="n">
        <x:v>2</x:v>
      </x:c>
      <x:c r="O3019" s="28" t="n">
        <x:f>MIN(1,L3019/I3019)</x:f>
        <x:v>0.058309999999999994</x:v>
      </x:c>
      <x:c r="P3019" s="30" t="n">
        <x:f>O3019*J3019*(1+M3019)</x:f>
        <x:v>0.064141</x:v>
      </x:c>
      <x:c r="Q3019" s="30" t="n">
        <x:f>P3019*N3019</x:f>
        <x:v>0.128282</x:v>
      </x:c>
      <x:c r="R3019" s="19" t="str">
        <x:v>独立判定</x:v>
      </x:c>
    </x:row>
    <x:row r="3020" ht="19" customHeight="1">
      <x:c r="A3020" s="19" t="str">
        <x:v>D03016</x:v>
      </x:c>
      <x:c r="B3020" s="19" t="n">
        <x:v>6</x:v>
      </x:c>
      <x:c r="C3020" s="19" t="n">
        <x:v>2</x:v>
      </x:c>
      <x:c r="D3020" s="19" t="str">
        <x:v>C06-M024</x:v>
      </x:c>
      <x:c r="E3020" s="19" t="str">
        <x:v>熔心狱主·塞维拉</x:v>
      </x:c>
      <x:c r="F3020" s="19" t="str">
        <x:v>地图BOSS</x:v>
      </x:c>
      <x:c r="G3020" s="19" t="str">
        <x:v>材料独立候选</x:v>
      </x:c>
      <x:c r="H3020" s="19" t="str">
        <x:v>红狮战印</x:v>
      </x:c>
      <x:c r="I3020" s="22" t="n">
        <x:v>180</x:v>
      </x:c>
      <x:c r="J3020" s="22" t="n">
        <x:v>5</x:v>
      </x:c>
      <x:c r="K3020" s="19" t="n">
        <x:v>1</x:v>
      </x:c>
      <x:c r="L3020" s="24" t="n">
        <x:v>34.986</x:v>
      </x:c>
      <x:c r="M3020" s="26" t="n">
        <x:v>0.1</x:v>
      </x:c>
      <x:c r="N3020" s="24" t="n">
        <x:v>2</x:v>
      </x:c>
      <x:c r="O3020" s="28" t="n">
        <x:f>MIN(1,L3020/I3020)</x:f>
        <x:v>0.19436666666666666</x:v>
      </x:c>
      <x:c r="P3020" s="30" t="n">
        <x:f>O3020*J3020*(1+M3020)</x:f>
        <x:v>1.0690166666666667</x:v>
      </x:c>
      <x:c r="Q3020" s="30" t="n">
        <x:f>P3020*N3020</x:f>
        <x:v>2.1380333333333335</x:v>
      </x:c>
      <x:c r="R3020" s="19" t="str">
        <x:v>独立判定</x:v>
      </x:c>
    </x:row>
    <x:row r="3021" ht="19" customHeight="1">
      <x:c r="A3021" s="19" t="str">
        <x:v>D03017</x:v>
      </x:c>
      <x:c r="B3021" s="19" t="n">
        <x:v>6</x:v>
      </x:c>
      <x:c r="C3021" s="19" t="n">
        <x:v>2</x:v>
      </x:c>
      <x:c r="D3021" s="19" t="str">
        <x:v>C06-M024</x:v>
      </x:c>
      <x:c r="E3021" s="19" t="str">
        <x:v>熔心狱主·塞维拉</x:v>
      </x:c>
      <x:c r="F3021" s="19" t="str">
        <x:v>地图BOSS</x:v>
      </x:c>
      <x:c r="G3021" s="19" t="str">
        <x:v>材料独立候选</x:v>
      </x:c>
      <x:c r="H3021" s="19" t="str">
        <x:v>龙窟熔牙</x:v>
      </x:c>
      <x:c r="I3021" s="22" t="n">
        <x:v>200</x:v>
      </x:c>
      <x:c r="J3021" s="22" t="n">
        <x:v>3</x:v>
      </x:c>
      <x:c r="K3021" s="19" t="n">
        <x:v>1</x:v>
      </x:c>
      <x:c r="L3021" s="24" t="n">
        <x:v>34.986</x:v>
      </x:c>
      <x:c r="M3021" s="26" t="n">
        <x:v>0.1</x:v>
      </x:c>
      <x:c r="N3021" s="24" t="n">
        <x:v>2</x:v>
      </x:c>
      <x:c r="O3021" s="28" t="n">
        <x:f>MIN(1,L3021/I3021)</x:f>
        <x:v>0.17492999999999997</x:v>
      </x:c>
      <x:c r="P3021" s="30" t="n">
        <x:f>O3021*J3021*(1+M3021)</x:f>
        <x:v>0.5772689999999999</x:v>
      </x:c>
      <x:c r="Q3021" s="30" t="n">
        <x:f>P3021*N3021</x:f>
        <x:v>1.1545379999999998</x:v>
      </x:c>
      <x:c r="R3021" s="19" t="str">
        <x:v>独立判定</x:v>
      </x:c>
    </x:row>
    <x:row r="3022" ht="19" customHeight="1">
      <x:c r="A3022" s="19" t="str">
        <x:v>D03018</x:v>
      </x:c>
      <x:c r="B3022" s="19" t="n">
        <x:v>6</x:v>
      </x:c>
      <x:c r="C3022" s="19" t="n">
        <x:v>2</x:v>
      </x:c>
      <x:c r="D3022" s="19" t="str">
        <x:v>C06-M024</x:v>
      </x:c>
      <x:c r="E3022" s="19" t="str">
        <x:v>熔心狱主·塞维拉</x:v>
      </x:c>
      <x:c r="F3022" s="19" t="str">
        <x:v>地图BOSS</x:v>
      </x:c>
      <x:c r="G3022" s="19" t="str">
        <x:v>材料独立候选</x:v>
      </x:c>
      <x:c r="H3022" s="19" t="str">
        <x:v>熔原罪火残章</x:v>
      </x:c>
      <x:c r="I3022" s="22" t="n">
        <x:v>500000</x:v>
      </x:c>
      <x:c r="J3022" s="22" t="n">
        <x:v>1</x:v>
      </x:c>
      <x:c r="K3022" s="19" t="n">
        <x:v>1</x:v>
      </x:c>
      <x:c r="L3022" s="24" t="n">
        <x:v>34.986</x:v>
      </x:c>
      <x:c r="M3022" s="26" t="n">
        <x:v>0.1</x:v>
      </x:c>
      <x:c r="N3022" s="24" t="n">
        <x:v>2</x:v>
      </x:c>
      <x:c r="O3022" s="28" t="n">
        <x:f>MIN(1,L3022/I3022)</x:f>
        <x:v>0.000069972</x:v>
      </x:c>
      <x:c r="P3022" s="30" t="n">
        <x:f>O3022*J3022*(1+M3022)</x:f>
        <x:v>0.0000769692</x:v>
      </x:c>
      <x:c r="Q3022" s="30" t="n">
        <x:f>P3022*N3022</x:f>
        <x:v>0.0001539384</x:v>
      </x:c>
      <x:c r="R3022" s="19" t="str">
        <x:v>独立判定</x:v>
      </x:c>
    </x:row>
    <x:row r="3023" ht="19" customHeight="1">
      <x:c r="A3023" s="19" t="str">
        <x:v>D03019</x:v>
      </x:c>
      <x:c r="B3023" s="19" t="n">
        <x:v>6</x:v>
      </x:c>
      <x:c r="C3023" s="19" t="n">
        <x:v>2</x:v>
      </x:c>
      <x:c r="D3023" s="19" t="str">
        <x:v>C06-M024</x:v>
      </x:c>
      <x:c r="E3023" s="19" t="str">
        <x:v>熔心狱主·塞维拉</x:v>
      </x:c>
      <x:c r="F3023" s="19" t="str">
        <x:v>地图BOSS</x:v>
      </x:c>
      <x:c r="G3023" s="19" t="str">
        <x:v>材料独立候选</x:v>
      </x:c>
      <x:c r="H3023" s="19" t="str">
        <x:v>黄金树芽</x:v>
      </x:c>
      <x:c r="I3023" s="22" t="n">
        <x:v>600</x:v>
      </x:c>
      <x:c r="J3023" s="22" t="n">
        <x:v>1</x:v>
      </x:c>
      <x:c r="K3023" s="19" t="n">
        <x:v>1</x:v>
      </x:c>
      <x:c r="L3023" s="24" t="n">
        <x:v>34.986</x:v>
      </x:c>
      <x:c r="M3023" s="26" t="n">
        <x:v>0.1</x:v>
      </x:c>
      <x:c r="N3023" s="24" t="n">
        <x:v>2</x:v>
      </x:c>
      <x:c r="O3023" s="28" t="n">
        <x:f>MIN(1,L3023/I3023)</x:f>
        <x:v>0.058309999999999994</x:v>
      </x:c>
      <x:c r="P3023" s="30" t="n">
        <x:f>O3023*J3023*(1+M3023)</x:f>
        <x:v>0.064141</x:v>
      </x:c>
      <x:c r="Q3023" s="30" t="n">
        <x:f>P3023*N3023</x:f>
        <x:v>0.128282</x:v>
      </x:c>
      <x:c r="R3023" s="19" t="str">
        <x:v>独立判定</x:v>
      </x:c>
    </x:row>
    <x:row r="3024" ht="19" customHeight="1">
      <x:c r="A3024" s="19" t="str">
        <x:v>D03020</x:v>
      </x:c>
      <x:c r="B3024" s="19" t="n">
        <x:v>6</x:v>
      </x:c>
      <x:c r="C3024" s="19" t="n">
        <x:v>2</x:v>
      </x:c>
      <x:c r="D3024" s="19" t="str">
        <x:v>C06-M024</x:v>
      </x:c>
      <x:c r="E3024" s="19" t="str">
        <x:v>熔心狱主·塞维拉</x:v>
      </x:c>
      <x:c r="F3024" s="19" t="str">
        <x:v>地图BOSS</x:v>
      </x:c>
      <x:c r="G3024" s="19" t="str">
        <x:v>材料独立候选</x:v>
      </x:c>
      <x:c r="H3024" s="19" t="str">
        <x:v>野兽骨片</x:v>
      </x:c>
      <x:c r="I3024" s="22" t="n">
        <x:v>60</x:v>
      </x:c>
      <x:c r="J3024" s="22" t="n">
        <x:v>5</x:v>
      </x:c>
      <x:c r="K3024" s="19" t="n">
        <x:v>1</x:v>
      </x:c>
      <x:c r="L3024" s="24" t="n">
        <x:v>34.986</x:v>
      </x:c>
      <x:c r="M3024" s="26" t="n">
        <x:v>0.1</x:v>
      </x:c>
      <x:c r="N3024" s="24" t="n">
        <x:v>2</x:v>
      </x:c>
      <x:c r="O3024" s="28" t="n">
        <x:f>MIN(1,L3024/I3024)</x:f>
        <x:v>0.5831</x:v>
      </x:c>
      <x:c r="P3024" s="30" t="n">
        <x:f>O3024*J3024*(1+M3024)</x:f>
        <x:v>3.20705</x:v>
      </x:c>
      <x:c r="Q3024" s="30" t="n">
        <x:f>P3024*N3024</x:f>
        <x:v>6.4141</x:v>
      </x:c>
      <x:c r="R3024" s="19" t="str">
        <x:v>独立判定</x:v>
      </x:c>
    </x:row>
    <x:row r="3025" ht="19" customHeight="1">
      <x:c r="A3025" s="19" t="str">
        <x:v>D03021</x:v>
      </x:c>
      <x:c r="B3025" s="19" t="n">
        <x:v>6</x:v>
      </x:c>
      <x:c r="C3025" s="19" t="n">
        <x:v>2</x:v>
      </x:c>
      <x:c r="D3025" s="19" t="str">
        <x:v>C06-M024</x:v>
      </x:c>
      <x:c r="E3025" s="19" t="str">
        <x:v>熔心狱主·塞维拉</x:v>
      </x:c>
      <x:c r="F3025" s="19" t="str">
        <x:v>地图BOSS</x:v>
      </x:c>
      <x:c r="G3025" s="19" t="str">
        <x:v>材料独立候选</x:v>
      </x:c>
      <x:c r="H3025" s="19" t="str">
        <x:v>技能残页</x:v>
      </x:c>
      <x:c r="I3025" s="22" t="n">
        <x:v>300</x:v>
      </x:c>
      <x:c r="J3025" s="22" t="n">
        <x:v>1</x:v>
      </x:c>
      <x:c r="K3025" s="19" t="n">
        <x:v>1</x:v>
      </x:c>
      <x:c r="L3025" s="24" t="n">
        <x:v>34.986</x:v>
      </x:c>
      <x:c r="M3025" s="26" t="n">
        <x:v>0.1</x:v>
      </x:c>
      <x:c r="N3025" s="24" t="n">
        <x:v>2</x:v>
      </x:c>
      <x:c r="O3025" s="28" t="n">
        <x:f>MIN(1,L3025/I3025)</x:f>
        <x:v>0.11661999999999999</x:v>
      </x:c>
      <x:c r="P3025" s="30" t="n">
        <x:f>O3025*J3025*(1+M3025)</x:f>
        <x:v>0.128282</x:v>
      </x:c>
      <x:c r="Q3025" s="30" t="n">
        <x:f>P3025*N3025</x:f>
        <x:v>0.256564</x:v>
      </x:c>
      <x:c r="R3025" s="19" t="str">
        <x:v>独立判定</x:v>
      </x:c>
    </x:row>
    <x:row r="3026" ht="19" customHeight="1">
      <x:c r="A3026" s="19" t="str">
        <x:v>D03022</x:v>
      </x:c>
      <x:c r="B3026" s="19" t="n">
        <x:v>6</x:v>
      </x:c>
      <x:c r="C3026" s="19" t="n">
        <x:v>2</x:v>
      </x:c>
      <x:c r="D3026" s="19" t="str">
        <x:v>C06-M024</x:v>
      </x:c>
      <x:c r="E3026" s="19" t="str">
        <x:v>熔心狱主·塞维拉</x:v>
      </x:c>
      <x:c r="F3026" s="19" t="str">
        <x:v>地图BOSS</x:v>
      </x:c>
      <x:c r="G3026" s="19" t="str">
        <x:v>材料独立候选</x:v>
      </x:c>
      <x:c r="H3026" s="19" t="str">
        <x:v>宁姆格福誓页</x:v>
      </x:c>
      <x:c r="I3026" s="22" t="n">
        <x:v>400</x:v>
      </x:c>
      <x:c r="J3026" s="22" t="n">
        <x:v>1</x:v>
      </x:c>
      <x:c r="K3026" s="19" t="n">
        <x:v>1</x:v>
      </x:c>
      <x:c r="L3026" s="24" t="n">
        <x:v>34.986</x:v>
      </x:c>
      <x:c r="M3026" s="26" t="n">
        <x:v>0.1</x:v>
      </x:c>
      <x:c r="N3026" s="24" t="n">
        <x:v>2</x:v>
      </x:c>
      <x:c r="O3026" s="28" t="n">
        <x:f>MIN(1,L3026/I3026)</x:f>
        <x:v>0.08746499999999999</x:v>
      </x:c>
      <x:c r="P3026" s="30" t="n">
        <x:f>O3026*J3026*(1+M3026)</x:f>
        <x:v>0.09621149999999999</x:v>
      </x:c>
      <x:c r="Q3026" s="30" t="n">
        <x:f>P3026*N3026</x:f>
        <x:v>0.19242299999999998</x:v>
      </x:c>
      <x:c r="R3026" s="19" t="str">
        <x:v>独立判定</x:v>
      </x:c>
    </x:row>
    <x:row r="3027" ht="19" customHeight="1">
      <x:c r="A3027" s="19" t="str">
        <x:v>D03023</x:v>
      </x:c>
      <x:c r="B3027" s="19" t="n">
        <x:v>6</x:v>
      </x:c>
      <x:c r="C3027" s="19" t="n">
        <x:v>2</x:v>
      </x:c>
      <x:c r="D3027" s="19" t="str">
        <x:v>C06-M024</x:v>
      </x:c>
      <x:c r="E3027" s="19" t="str">
        <x:v>熔心狱主·塞维拉</x:v>
      </x:c>
      <x:c r="F3027" s="19" t="str">
        <x:v>地图BOSS</x:v>
      </x:c>
      <x:c r="G3027" s="19" t="str">
        <x:v>材料独立候选</x:v>
      </x:c>
      <x:c r="H3027" s="19" t="str">
        <x:v>小卢恩</x:v>
      </x:c>
      <x:c r="I3027" s="22" t="n">
        <x:v>3000</x:v>
      </x:c>
      <x:c r="J3027" s="22" t="n">
        <x:v>1</x:v>
      </x:c>
      <x:c r="K3027" s="19" t="n">
        <x:v>1</x:v>
      </x:c>
      <x:c r="L3027" s="24" t="n">
        <x:v>34.986</x:v>
      </x:c>
      <x:c r="M3027" s="26" t="n">
        <x:v>0.1</x:v>
      </x:c>
      <x:c r="N3027" s="24" t="n">
        <x:v>2</x:v>
      </x:c>
      <x:c r="O3027" s="28" t="n">
        <x:f>MIN(1,L3027/I3027)</x:f>
        <x:v>0.011661999999999999</x:v>
      </x:c>
      <x:c r="P3027" s="30" t="n">
        <x:f>O3027*J3027*(1+M3027)</x:f>
        <x:v>0.0128282</x:v>
      </x:c>
      <x:c r="Q3027" s="30" t="n">
        <x:f>P3027*N3027</x:f>
        <x:v>0.0256564</x:v>
      </x:c>
      <x:c r="R3027" s="19" t="str">
        <x:v>独立判定</x:v>
      </x:c>
    </x:row>
    <x:row r="3028" ht="19" customHeight="1">
      <x:c r="A3028" s="19" t="str">
        <x:v>D03024</x:v>
      </x:c>
      <x:c r="B3028" s="19" t="n">
        <x:v>6</x:v>
      </x:c>
      <x:c r="C3028" s="19" t="n">
        <x:v>2</x:v>
      </x:c>
      <x:c r="D3028" s="19" t="str">
        <x:v>C06-M024</x:v>
      </x:c>
      <x:c r="E3028" s="19" t="str">
        <x:v>熔心狱主·塞维拉</x:v>
      </x:c>
      <x:c r="F3028" s="19" t="str">
        <x:v>地图BOSS</x:v>
      </x:c>
      <x:c r="G3028" s="19" t="str">
        <x:v>材料独立候选</x:v>
      </x:c>
      <x:c r="H3028" s="19" t="str">
        <x:v>大卢恩</x:v>
      </x:c>
      <x:c r="I3028" s="22" t="n">
        <x:v>150</x:v>
      </x:c>
      <x:c r="J3028" s="22" t="n">
        <x:v>20</x:v>
      </x:c>
      <x:c r="K3028" s="19" t="n">
        <x:v>1</x:v>
      </x:c>
      <x:c r="L3028" s="24" t="n">
        <x:v>34.986</x:v>
      </x:c>
      <x:c r="M3028" s="26" t="n">
        <x:v>0.1</x:v>
      </x:c>
      <x:c r="N3028" s="24" t="n">
        <x:v>2</x:v>
      </x:c>
      <x:c r="O3028" s="28" t="n">
        <x:f>MIN(1,L3028/I3028)</x:f>
        <x:v>0.23323999999999998</x:v>
      </x:c>
      <x:c r="P3028" s="30" t="n">
        <x:f>O3028*J3028*(1+M3028)</x:f>
        <x:v>5.13128</x:v>
      </x:c>
      <x:c r="Q3028" s="30" t="n">
        <x:f>P3028*N3028</x:f>
        <x:v>10.26256</x:v>
      </x:c>
      <x:c r="R3028" s="19" t="str">
        <x:v>独立判定</x:v>
      </x:c>
    </x:row>
    <x:row r="3029" ht="19" customHeight="1">
      <x:c r="A3029" s="19" t="str">
        <x:v>D03025</x:v>
      </x:c>
      <x:c r="B3029" s="19" t="n">
        <x:v>6</x:v>
      </x:c>
      <x:c r="C3029" s="19" t="n">
        <x:v>2</x:v>
      </x:c>
      <x:c r="D3029" s="19" t="str">
        <x:v>C06-M024</x:v>
      </x:c>
      <x:c r="E3029" s="19" t="str">
        <x:v>熔心狱主·塞维拉</x:v>
      </x:c>
      <x:c r="F3029" s="19" t="str">
        <x:v>地图BOSS</x:v>
      </x:c>
      <x:c r="G3029" s="19" t="str">
        <x:v>六神器公共池</x:v>
      </x:c>
      <x:c r="H3029" s="19" t="str">
        <x:v>POOL006</x:v>
      </x:c>
      <x:c r="I3029" s="22" t="n">
        <x:v>200000</x:v>
      </x:c>
      <x:c r="J3029" s="22" t="n">
        <x:v>1</x:v>
      </x:c>
      <x:c r="K3029" s="19" t="n">
        <x:v>6</x:v>
      </x:c>
      <x:c r="L3029" s="24" t="n">
        <x:v>34.986</x:v>
      </x:c>
      <x:c r="M3029" s="26" t="n">
        <x:v>0.1</x:v>
      </x:c>
      <x:c r="N3029" s="24" t="n">
        <x:v>2</x:v>
      </x:c>
      <x:c r="O3029" s="28" t="n">
        <x:f>MIN(1,L3029/I3029)</x:f>
        <x:v>0.00017492999999999998</x:v>
      </x:c>
      <x:c r="P3029" s="30" t="n">
        <x:f>O3029*J3029*(1+M3029)</x:f>
        <x:v>0.000192423</x:v>
      </x:c>
      <x:c r="Q3029" s="30" t="n">
        <x:f>P3029*N3029</x:f>
        <x:v>0.000384846</x:v>
      </x:c>
      <x:c r="R3029" s="19" t="str">
        <x:v>六选一；非6个独立爆率</x:v>
      </x:c>
    </x:row>
    <x:row r="3030" ht="19" customHeight="1">
      <x:c r="A3030" s="19" t="str">
        <x:v>D03026</x:v>
      </x:c>
      <x:c r="B3030" s="19" t="n">
        <x:v>6</x:v>
      </x:c>
      <x:c r="C3030" s="19" t="n">
        <x:v>3</x:v>
      </x:c>
      <x:c r="D3030" s="19" t="str">
        <x:v>C06-M025</x:v>
      </x:c>
      <x:c r="E3030" s="19" t="str">
        <x:v>龙窟烬鳞兽</x:v>
      </x:c>
      <x:c r="F3030" s="19" t="str">
        <x:v>普通</x:v>
      </x:c>
      <x:c r="G3030" s="19" t="str">
        <x:v>自身专属</x:v>
      </x:c>
      <x:c r="H3030" s="19" t="str">
        <x:v>烬鳞护腕</x:v>
      </x:c>
      <x:c r="I3030" s="22" t="n">
        <x:v>3000</x:v>
      </x:c>
      <x:c r="J3030" s="22" t="n">
        <x:v>1</x:v>
      </x:c>
      <x:c r="K3030" s="19" t="n">
        <x:v>1</x:v>
      </x:c>
      <x:c r="L3030" s="24" t="n">
        <x:v>39.63466666666666</x:v>
      </x:c>
      <x:c r="M3030" s="26" t="n">
        <x:v>0.1</x:v>
      </x:c>
      <x:c r="N3030" s="24" t="n">
        <x:v>72</x:v>
      </x:c>
      <x:c r="O3030" s="28" t="n">
        <x:f>MIN(1,L3030/I3030)</x:f>
        <x:v>0.013211555555555553</x:v>
      </x:c>
      <x:c r="P3030" s="30" t="n">
        <x:f>O3030*J3030*(1+M3030)</x:f>
        <x:v>0.014532711111111108</x:v>
      </x:c>
      <x:c r="Q3030" s="30" t="n">
        <x:f>P3030*N3030</x:f>
        <x:v>1.0463551999999998</x:v>
      </x:c>
      <x:c r="R3030" s="19" t="str">
        <x:v>独立判定</x:v>
      </x:c>
    </x:row>
    <x:row r="3031" ht="19" customHeight="1">
      <x:c r="A3031" s="19" t="str">
        <x:v>D03027</x:v>
      </x:c>
      <x:c r="B3031" s="19" t="n">
        <x:v>6</x:v>
      </x:c>
      <x:c r="C3031" s="19" t="n">
        <x:v>3</x:v>
      </x:c>
      <x:c r="D3031" s="19" t="str">
        <x:v>C06-M025</x:v>
      </x:c>
      <x:c r="E3031" s="19" t="str">
        <x:v>龙窟烬鳞兽</x:v>
      </x:c>
      <x:c r="F3031" s="19" t="str">
        <x:v>普通</x:v>
      </x:c>
      <x:c r="G3031" s="19" t="str">
        <x:v>材料独立候选</x:v>
      </x:c>
      <x:c r="H3031" s="19" t="str">
        <x:v>猩红矿渣</x:v>
      </x:c>
      <x:c r="I3031" s="22" t="n">
        <x:v>600</x:v>
      </x:c>
      <x:c r="J3031" s="22" t="n">
        <x:v>8</x:v>
      </x:c>
      <x:c r="K3031" s="19" t="n">
        <x:v>1</x:v>
      </x:c>
      <x:c r="L3031" s="24" t="n">
        <x:v>39.63466666666666</x:v>
      </x:c>
      <x:c r="M3031" s="26" t="n">
        <x:v>0.1</x:v>
      </x:c>
      <x:c r="N3031" s="24" t="n">
        <x:v>72</x:v>
      </x:c>
      <x:c r="O3031" s="28" t="n">
        <x:f>MIN(1,L3031/I3031)</x:f>
        <x:v>0.06605777777777777</x:v>
      </x:c>
      <x:c r="P3031" s="30" t="n">
        <x:f>O3031*J3031*(1+M3031)</x:f>
        <x:v>0.5813084444444444</x:v>
      </x:c>
      <x:c r="Q3031" s="30" t="n">
        <x:f>P3031*N3031</x:f>
        <x:v>41.854208</x:v>
      </x:c>
      <x:c r="R3031" s="19" t="str">
        <x:v>独立判定</x:v>
      </x:c>
    </x:row>
    <x:row r="3032" ht="19" customHeight="1">
      <x:c r="A3032" s="19" t="str">
        <x:v>D03028</x:v>
      </x:c>
      <x:c r="B3032" s="19" t="n">
        <x:v>6</x:v>
      </x:c>
      <x:c r="C3032" s="19" t="n">
        <x:v>3</x:v>
      </x:c>
      <x:c r="D3032" s="19" t="str">
        <x:v>C06-M025</x:v>
      </x:c>
      <x:c r="E3032" s="19" t="str">
        <x:v>龙窟烬鳞兽</x:v>
      </x:c>
      <x:c r="F3032" s="19" t="str">
        <x:v>普通</x:v>
      </x:c>
      <x:c r="G3032" s="19" t="str">
        <x:v>材料独立候选</x:v>
      </x:c>
      <x:c r="H3032" s="19" t="str">
        <x:v>红狮断箭</x:v>
      </x:c>
      <x:c r="I3032" s="22" t="n">
        <x:v>2000</x:v>
      </x:c>
      <x:c r="J3032" s="22" t="n">
        <x:v>1</x:v>
      </x:c>
      <x:c r="K3032" s="19" t="n">
        <x:v>1</x:v>
      </x:c>
      <x:c r="L3032" s="24" t="n">
        <x:v>39.63466666666666</x:v>
      </x:c>
      <x:c r="M3032" s="26" t="n">
        <x:v>0.1</x:v>
      </x:c>
      <x:c r="N3032" s="24" t="n">
        <x:v>72</x:v>
      </x:c>
      <x:c r="O3032" s="28" t="n">
        <x:f>MIN(1,L3032/I3032)</x:f>
        <x:v>0.01981733333333333</x:v>
      </x:c>
      <x:c r="P3032" s="30" t="n">
        <x:f>O3032*J3032*(1+M3032)</x:f>
        <x:v>0.021799066666666665</x:v>
      </x:c>
      <x:c r="Q3032" s="30" t="n">
        <x:f>P3032*N3032</x:f>
        <x:v>1.5695328</x:v>
      </x:c>
      <x:c r="R3032" s="19" t="str">
        <x:v>独立判定</x:v>
      </x:c>
    </x:row>
    <x:row r="3033" ht="19" customHeight="1">
      <x:c r="A3033" s="19" t="str">
        <x:v>D03029</x:v>
      </x:c>
      <x:c r="B3033" s="19" t="n">
        <x:v>6</x:v>
      </x:c>
      <x:c r="C3033" s="19" t="n">
        <x:v>3</x:v>
      </x:c>
      <x:c r="D3033" s="19" t="str">
        <x:v>C06-M025</x:v>
      </x:c>
      <x:c r="E3033" s="19" t="str">
        <x:v>龙窟烬鳞兽</x:v>
      </x:c>
      <x:c r="F3033" s="19" t="str">
        <x:v>普通</x:v>
      </x:c>
      <x:c r="G3033" s="19" t="str">
        <x:v>材料独立候选</x:v>
      </x:c>
      <x:c r="H3033" s="19" t="str">
        <x:v>熔原罪火残章</x:v>
      </x:c>
      <x:c r="I3033" s="22" t="n">
        <x:v>1800000</x:v>
      </x:c>
      <x:c r="J3033" s="22" t="n">
        <x:v>1</x:v>
      </x:c>
      <x:c r="K3033" s="19" t="n">
        <x:v>1</x:v>
      </x:c>
      <x:c r="L3033" s="24" t="n">
        <x:v>39.63466666666666</x:v>
      </x:c>
      <x:c r="M3033" s="26" t="n">
        <x:v>0.1</x:v>
      </x:c>
      <x:c r="N3033" s="24" t="n">
        <x:v>72</x:v>
      </x:c>
      <x:c r="O3033" s="28" t="n">
        <x:f>MIN(1,L3033/I3033)</x:f>
        <x:v>0.000022019259259259257</x:v>
      </x:c>
      <x:c r="P3033" s="30" t="n">
        <x:f>O3033*J3033*(1+M3033)</x:f>
        <x:v>0.000024221185185185184</x:v>
      </x:c>
      <x:c r="Q3033" s="30" t="n">
        <x:f>P3033*N3033</x:f>
        <x:v>0.0017439253333333333</x:v>
      </x:c>
      <x:c r="R3033" s="19" t="str">
        <x:v>独立判定</x:v>
      </x:c>
    </x:row>
    <x:row r="3034" ht="19" customHeight="1">
      <x:c r="A3034" s="19" t="str">
        <x:v>D03030</x:v>
      </x:c>
      <x:c r="B3034" s="19" t="n">
        <x:v>6</x:v>
      </x:c>
      <x:c r="C3034" s="19" t="n">
        <x:v>3</x:v>
      </x:c>
      <x:c r="D3034" s="19" t="str">
        <x:v>C06-M025</x:v>
      </x:c>
      <x:c r="E3034" s="19" t="str">
        <x:v>龙窟烬鳞兽</x:v>
      </x:c>
      <x:c r="F3034" s="19" t="str">
        <x:v>普通</x:v>
      </x:c>
      <x:c r="G3034" s="19" t="str">
        <x:v>材料独立候选</x:v>
      </x:c>
      <x:c r="H3034" s="19" t="str">
        <x:v>野兽骨片</x:v>
      </x:c>
      <x:c r="I3034" s="22" t="n">
        <x:v>200</x:v>
      </x:c>
      <x:c r="J3034" s="22" t="n">
        <x:v>5</x:v>
      </x:c>
      <x:c r="K3034" s="19" t="n">
        <x:v>1</x:v>
      </x:c>
      <x:c r="L3034" s="24" t="n">
        <x:v>39.63466666666666</x:v>
      </x:c>
      <x:c r="M3034" s="26" t="n">
        <x:v>0.1</x:v>
      </x:c>
      <x:c r="N3034" s="24" t="n">
        <x:v>72</x:v>
      </x:c>
      <x:c r="O3034" s="28" t="n">
        <x:f>MIN(1,L3034/I3034)</x:f>
        <x:v>0.1981733333333333</x:v>
      </x:c>
      <x:c r="P3034" s="30" t="n">
        <x:f>O3034*J3034*(1+M3034)</x:f>
        <x:v>1.0899533333333333</x:v>
      </x:c>
      <x:c r="Q3034" s="30" t="n">
        <x:f>P3034*N3034</x:f>
        <x:v>78.47664</x:v>
      </x:c>
      <x:c r="R3034" s="19" t="str">
        <x:v>独立判定</x:v>
      </x:c>
    </x:row>
    <x:row r="3035" ht="19" customHeight="1">
      <x:c r="A3035" s="19" t="str">
        <x:v>D03031</x:v>
      </x:c>
      <x:c r="B3035" s="19" t="n">
        <x:v>6</x:v>
      </x:c>
      <x:c r="C3035" s="19" t="n">
        <x:v>3</x:v>
      </x:c>
      <x:c r="D3035" s="19" t="str">
        <x:v>C06-M025</x:v>
      </x:c>
      <x:c r="E3035" s="19" t="str">
        <x:v>龙窟烬鳞兽</x:v>
      </x:c>
      <x:c r="F3035" s="19" t="str">
        <x:v>普通</x:v>
      </x:c>
      <x:c r="G3035" s="19" t="str">
        <x:v>材料独立候选</x:v>
      </x:c>
      <x:c r="H3035" s="19" t="str">
        <x:v>技能残页</x:v>
      </x:c>
      <x:c r="I3035" s="22" t="n">
        <x:v>1200</x:v>
      </x:c>
      <x:c r="J3035" s="22" t="n">
        <x:v>1</x:v>
      </x:c>
      <x:c r="K3035" s="19" t="n">
        <x:v>1</x:v>
      </x:c>
      <x:c r="L3035" s="24" t="n">
        <x:v>39.63466666666666</x:v>
      </x:c>
      <x:c r="M3035" s="26" t="n">
        <x:v>0.1</x:v>
      </x:c>
      <x:c r="N3035" s="24" t="n">
        <x:v>72</x:v>
      </x:c>
      <x:c r="O3035" s="28" t="n">
        <x:f>MIN(1,L3035/I3035)</x:f>
        <x:v>0.033028888888888885</x:v>
      </x:c>
      <x:c r="P3035" s="30" t="n">
        <x:f>O3035*J3035*(1+M3035)</x:f>
        <x:v>0.036331777777777775</x:v>
      </x:c>
      <x:c r="Q3035" s="30" t="n">
        <x:f>P3035*N3035</x:f>
        <x:v>2.615888</x:v>
      </x:c>
      <x:c r="R3035" s="19" t="str">
        <x:v>独立判定</x:v>
      </x:c>
    </x:row>
    <x:row r="3036" ht="19" customHeight="1">
      <x:c r="A3036" s="19" t="str">
        <x:v>D03032</x:v>
      </x:c>
      <x:c r="B3036" s="19" t="n">
        <x:v>6</x:v>
      </x:c>
      <x:c r="C3036" s="19" t="n">
        <x:v>3</x:v>
      </x:c>
      <x:c r="D3036" s="19" t="str">
        <x:v>C06-M025</x:v>
      </x:c>
      <x:c r="E3036" s="19" t="str">
        <x:v>龙窟烬鳞兽</x:v>
      </x:c>
      <x:c r="F3036" s="19" t="str">
        <x:v>普通</x:v>
      </x:c>
      <x:c r="G3036" s="19" t="str">
        <x:v>材料独立候选</x:v>
      </x:c>
      <x:c r="H3036" s="19" t="str">
        <x:v>小卢恩</x:v>
      </x:c>
      <x:c r="I3036" s="22" t="n">
        <x:v>12000</x:v>
      </x:c>
      <x:c r="J3036" s="22" t="n">
        <x:v>1</x:v>
      </x:c>
      <x:c r="K3036" s="19" t="n">
        <x:v>1</x:v>
      </x:c>
      <x:c r="L3036" s="24" t="n">
        <x:v>39.63466666666666</x:v>
      </x:c>
      <x:c r="M3036" s="26" t="n">
        <x:v>0.1</x:v>
      </x:c>
      <x:c r="N3036" s="24" t="n">
        <x:v>72</x:v>
      </x:c>
      <x:c r="O3036" s="28" t="n">
        <x:f>MIN(1,L3036/I3036)</x:f>
        <x:v>0.003302888888888888</x:v>
      </x:c>
      <x:c r="P3036" s="30" t="n">
        <x:f>O3036*J3036*(1+M3036)</x:f>
        <x:v>0.003633177777777777</x:v>
      </x:c>
      <x:c r="Q3036" s="30" t="n">
        <x:f>P3036*N3036</x:f>
        <x:v>0.26158879999999995</x:v>
      </x:c>
      <x:c r="R3036" s="19" t="str">
        <x:v>独立判定</x:v>
      </x:c>
    </x:row>
    <x:row r="3037" ht="19" customHeight="1">
      <x:c r="A3037" s="19" t="str">
        <x:v>D03033</x:v>
      </x:c>
      <x:c r="B3037" s="19" t="n">
        <x:v>6</x:v>
      </x:c>
      <x:c r="C3037" s="19" t="n">
        <x:v>3</x:v>
      </x:c>
      <x:c r="D3037" s="19" t="str">
        <x:v>C06-M025</x:v>
      </x:c>
      <x:c r="E3037" s="19" t="str">
        <x:v>龙窟烬鳞兽</x:v>
      </x:c>
      <x:c r="F3037" s="19" t="str">
        <x:v>普通</x:v>
      </x:c>
      <x:c r="G3037" s="19" t="str">
        <x:v>六神器公共池</x:v>
      </x:c>
      <x:c r="H3037" s="19" t="str">
        <x:v>POOL006</x:v>
      </x:c>
      <x:c r="I3037" s="22" t="n">
        <x:v>20000000</x:v>
      </x:c>
      <x:c r="J3037" s="22" t="n">
        <x:v>1</x:v>
      </x:c>
      <x:c r="K3037" s="19" t="n">
        <x:v>6</x:v>
      </x:c>
      <x:c r="L3037" s="24" t="n">
        <x:v>39.63466666666666</x:v>
      </x:c>
      <x:c r="M3037" s="26" t="n">
        <x:v>0.1</x:v>
      </x:c>
      <x:c r="N3037" s="24" t="n">
        <x:v>72</x:v>
      </x:c>
      <x:c r="O3037" s="28" t="n">
        <x:f>MIN(1,L3037/I3037)</x:f>
        <x:v>0.000001981733333333333</x:v>
      </x:c>
      <x:c r="P3037" s="30" t="n">
        <x:f>O3037*J3037*(1+M3037)</x:f>
        <x:v>0.0000021799066666666665</x:v>
      </x:c>
      <x:c r="Q3037" s="30" t="n">
        <x:f>P3037*N3037</x:f>
        <x:v>0.00015695327999999998</x:v>
      </x:c>
      <x:c r="R3037" s="19" t="str">
        <x:v>六选一；非6个独立爆率</x:v>
      </x:c>
    </x:row>
    <x:row r="3038" ht="19" customHeight="1">
      <x:c r="A3038" s="19" t="str">
        <x:v>D03034</x:v>
      </x:c>
      <x:c r="B3038" s="19" t="n">
        <x:v>6</x:v>
      </x:c>
      <x:c r="C3038" s="19" t="n">
        <x:v>3</x:v>
      </x:c>
      <x:c r="D3038" s="19" t="str">
        <x:v>C06-M026</x:v>
      </x:c>
      <x:c r="E3038" s="19" t="str">
        <x:v>崎路红狮兵</x:v>
      </x:c>
      <x:c r="F3038" s="19" t="str">
        <x:v>普通</x:v>
      </x:c>
      <x:c r="G3038" s="19" t="str">
        <x:v>自身专属</x:v>
      </x:c>
      <x:c r="H3038" s="19" t="str">
        <x:v>崎路狮盔</x:v>
      </x:c>
      <x:c r="I3038" s="22" t="n">
        <x:v>3000</x:v>
      </x:c>
      <x:c r="J3038" s="22" t="n">
        <x:v>1</x:v>
      </x:c>
      <x:c r="K3038" s="19" t="n">
        <x:v>1</x:v>
      </x:c>
      <x:c r="L3038" s="24" t="n">
        <x:v>39.63466666666666</x:v>
      </x:c>
      <x:c r="M3038" s="26" t="n">
        <x:v>0.1</x:v>
      </x:c>
      <x:c r="N3038" s="24" t="n">
        <x:v>72</x:v>
      </x:c>
      <x:c r="O3038" s="28" t="n">
        <x:f>MIN(1,L3038/I3038)</x:f>
        <x:v>0.013211555555555553</x:v>
      </x:c>
      <x:c r="P3038" s="30" t="n">
        <x:f>O3038*J3038*(1+M3038)</x:f>
        <x:v>0.014532711111111108</x:v>
      </x:c>
      <x:c r="Q3038" s="30" t="n">
        <x:f>P3038*N3038</x:f>
        <x:v>1.0463551999999998</x:v>
      </x:c>
      <x:c r="R3038" s="19" t="str">
        <x:v>独立判定</x:v>
      </x:c>
    </x:row>
    <x:row r="3039" ht="19" customHeight="1">
      <x:c r="A3039" s="19" t="str">
        <x:v>D03035</x:v>
      </x:c>
      <x:c r="B3039" s="19" t="n">
        <x:v>6</x:v>
      </x:c>
      <x:c r="C3039" s="19" t="n">
        <x:v>3</x:v>
      </x:c>
      <x:c r="D3039" s="19" t="str">
        <x:v>C06-M026</x:v>
      </x:c>
      <x:c r="E3039" s="19" t="str">
        <x:v>崎路红狮兵</x:v>
      </x:c>
      <x:c r="F3039" s="19" t="str">
        <x:v>普通</x:v>
      </x:c>
      <x:c r="G3039" s="19" t="str">
        <x:v>材料独立候选</x:v>
      </x:c>
      <x:c r="H3039" s="19" t="str">
        <x:v>猩红矿渣</x:v>
      </x:c>
      <x:c r="I3039" s="22" t="n">
        <x:v>600</x:v>
      </x:c>
      <x:c r="J3039" s="22" t="n">
        <x:v>8</x:v>
      </x:c>
      <x:c r="K3039" s="19" t="n">
        <x:v>1</x:v>
      </x:c>
      <x:c r="L3039" s="24" t="n">
        <x:v>39.63466666666666</x:v>
      </x:c>
      <x:c r="M3039" s="26" t="n">
        <x:v>0.1</x:v>
      </x:c>
      <x:c r="N3039" s="24" t="n">
        <x:v>72</x:v>
      </x:c>
      <x:c r="O3039" s="28" t="n">
        <x:f>MIN(1,L3039/I3039)</x:f>
        <x:v>0.06605777777777777</x:v>
      </x:c>
      <x:c r="P3039" s="30" t="n">
        <x:f>O3039*J3039*(1+M3039)</x:f>
        <x:v>0.5813084444444444</x:v>
      </x:c>
      <x:c r="Q3039" s="30" t="n">
        <x:f>P3039*N3039</x:f>
        <x:v>41.854208</x:v>
      </x:c>
      <x:c r="R3039" s="19" t="str">
        <x:v>独立判定</x:v>
      </x:c>
    </x:row>
    <x:row r="3040" ht="19" customHeight="1">
      <x:c r="A3040" s="19" t="str">
        <x:v>D03036</x:v>
      </x:c>
      <x:c r="B3040" s="19" t="n">
        <x:v>6</x:v>
      </x:c>
      <x:c r="C3040" s="19" t="n">
        <x:v>3</x:v>
      </x:c>
      <x:c r="D3040" s="19" t="str">
        <x:v>C06-M026</x:v>
      </x:c>
      <x:c r="E3040" s="19" t="str">
        <x:v>崎路红狮兵</x:v>
      </x:c>
      <x:c r="F3040" s="19" t="str">
        <x:v>普通</x:v>
      </x:c>
      <x:c r="G3040" s="19" t="str">
        <x:v>材料独立候选</x:v>
      </x:c>
      <x:c r="H3040" s="19" t="str">
        <x:v>红狮断箭</x:v>
      </x:c>
      <x:c r="I3040" s="22" t="n">
        <x:v>2000</x:v>
      </x:c>
      <x:c r="J3040" s="22" t="n">
        <x:v>1</x:v>
      </x:c>
      <x:c r="K3040" s="19" t="n">
        <x:v>1</x:v>
      </x:c>
      <x:c r="L3040" s="24" t="n">
        <x:v>39.63466666666666</x:v>
      </x:c>
      <x:c r="M3040" s="26" t="n">
        <x:v>0.1</x:v>
      </x:c>
      <x:c r="N3040" s="24" t="n">
        <x:v>72</x:v>
      </x:c>
      <x:c r="O3040" s="28" t="n">
        <x:f>MIN(1,L3040/I3040)</x:f>
        <x:v>0.01981733333333333</x:v>
      </x:c>
      <x:c r="P3040" s="30" t="n">
        <x:f>O3040*J3040*(1+M3040)</x:f>
        <x:v>0.021799066666666665</x:v>
      </x:c>
      <x:c r="Q3040" s="30" t="n">
        <x:f>P3040*N3040</x:f>
        <x:v>1.5695328</x:v>
      </x:c>
      <x:c r="R3040" s="19" t="str">
        <x:v>独立判定</x:v>
      </x:c>
    </x:row>
    <x:row r="3041" ht="19" customHeight="1">
      <x:c r="A3041" s="19" t="str">
        <x:v>D03037</x:v>
      </x:c>
      <x:c r="B3041" s="19" t="n">
        <x:v>6</x:v>
      </x:c>
      <x:c r="C3041" s="19" t="n">
        <x:v>3</x:v>
      </x:c>
      <x:c r="D3041" s="19" t="str">
        <x:v>C06-M026</x:v>
      </x:c>
      <x:c r="E3041" s="19" t="str">
        <x:v>崎路红狮兵</x:v>
      </x:c>
      <x:c r="F3041" s="19" t="str">
        <x:v>普通</x:v>
      </x:c>
      <x:c r="G3041" s="19" t="str">
        <x:v>材料独立候选</x:v>
      </x:c>
      <x:c r="H3041" s="19" t="str">
        <x:v>熔原罪火残章</x:v>
      </x:c>
      <x:c r="I3041" s="22" t="n">
        <x:v>1800000</x:v>
      </x:c>
      <x:c r="J3041" s="22" t="n">
        <x:v>1</x:v>
      </x:c>
      <x:c r="K3041" s="19" t="n">
        <x:v>1</x:v>
      </x:c>
      <x:c r="L3041" s="24" t="n">
        <x:v>39.63466666666666</x:v>
      </x:c>
      <x:c r="M3041" s="26" t="n">
        <x:v>0.1</x:v>
      </x:c>
      <x:c r="N3041" s="24" t="n">
        <x:v>72</x:v>
      </x:c>
      <x:c r="O3041" s="28" t="n">
        <x:f>MIN(1,L3041/I3041)</x:f>
        <x:v>0.000022019259259259257</x:v>
      </x:c>
      <x:c r="P3041" s="30" t="n">
        <x:f>O3041*J3041*(1+M3041)</x:f>
        <x:v>0.000024221185185185184</x:v>
      </x:c>
      <x:c r="Q3041" s="30" t="n">
        <x:f>P3041*N3041</x:f>
        <x:v>0.0017439253333333333</x:v>
      </x:c>
      <x:c r="R3041" s="19" t="str">
        <x:v>独立判定</x:v>
      </x:c>
    </x:row>
    <x:row r="3042" ht="19" customHeight="1">
      <x:c r="A3042" s="19" t="str">
        <x:v>D03038</x:v>
      </x:c>
      <x:c r="B3042" s="19" t="n">
        <x:v>6</x:v>
      </x:c>
      <x:c r="C3042" s="19" t="n">
        <x:v>3</x:v>
      </x:c>
      <x:c r="D3042" s="19" t="str">
        <x:v>C06-M026</x:v>
      </x:c>
      <x:c r="E3042" s="19" t="str">
        <x:v>崎路红狮兵</x:v>
      </x:c>
      <x:c r="F3042" s="19" t="str">
        <x:v>普通</x:v>
      </x:c>
      <x:c r="G3042" s="19" t="str">
        <x:v>材料独立候选</x:v>
      </x:c>
      <x:c r="H3042" s="19" t="str">
        <x:v>野兽骨片</x:v>
      </x:c>
      <x:c r="I3042" s="22" t="n">
        <x:v>200</x:v>
      </x:c>
      <x:c r="J3042" s="22" t="n">
        <x:v>5</x:v>
      </x:c>
      <x:c r="K3042" s="19" t="n">
        <x:v>1</x:v>
      </x:c>
      <x:c r="L3042" s="24" t="n">
        <x:v>39.63466666666666</x:v>
      </x:c>
      <x:c r="M3042" s="26" t="n">
        <x:v>0.1</x:v>
      </x:c>
      <x:c r="N3042" s="24" t="n">
        <x:v>72</x:v>
      </x:c>
      <x:c r="O3042" s="28" t="n">
        <x:f>MIN(1,L3042/I3042)</x:f>
        <x:v>0.1981733333333333</x:v>
      </x:c>
      <x:c r="P3042" s="30" t="n">
        <x:f>O3042*J3042*(1+M3042)</x:f>
        <x:v>1.0899533333333333</x:v>
      </x:c>
      <x:c r="Q3042" s="30" t="n">
        <x:f>P3042*N3042</x:f>
        <x:v>78.47664</x:v>
      </x:c>
      <x:c r="R3042" s="19" t="str">
        <x:v>独立判定</x:v>
      </x:c>
    </x:row>
    <x:row r="3043" ht="19" customHeight="1">
      <x:c r="A3043" s="19" t="str">
        <x:v>D03039</x:v>
      </x:c>
      <x:c r="B3043" s="19" t="n">
        <x:v>6</x:v>
      </x:c>
      <x:c r="C3043" s="19" t="n">
        <x:v>3</x:v>
      </x:c>
      <x:c r="D3043" s="19" t="str">
        <x:v>C06-M026</x:v>
      </x:c>
      <x:c r="E3043" s="19" t="str">
        <x:v>崎路红狮兵</x:v>
      </x:c>
      <x:c r="F3043" s="19" t="str">
        <x:v>普通</x:v>
      </x:c>
      <x:c r="G3043" s="19" t="str">
        <x:v>材料独立候选</x:v>
      </x:c>
      <x:c r="H3043" s="19" t="str">
        <x:v>技能残页</x:v>
      </x:c>
      <x:c r="I3043" s="22" t="n">
        <x:v>1200</x:v>
      </x:c>
      <x:c r="J3043" s="22" t="n">
        <x:v>1</x:v>
      </x:c>
      <x:c r="K3043" s="19" t="n">
        <x:v>1</x:v>
      </x:c>
      <x:c r="L3043" s="24" t="n">
        <x:v>39.63466666666666</x:v>
      </x:c>
      <x:c r="M3043" s="26" t="n">
        <x:v>0.1</x:v>
      </x:c>
      <x:c r="N3043" s="24" t="n">
        <x:v>72</x:v>
      </x:c>
      <x:c r="O3043" s="28" t="n">
        <x:f>MIN(1,L3043/I3043)</x:f>
        <x:v>0.033028888888888885</x:v>
      </x:c>
      <x:c r="P3043" s="30" t="n">
        <x:f>O3043*J3043*(1+M3043)</x:f>
        <x:v>0.036331777777777775</x:v>
      </x:c>
      <x:c r="Q3043" s="30" t="n">
        <x:f>P3043*N3043</x:f>
        <x:v>2.615888</x:v>
      </x:c>
      <x:c r="R3043" s="19" t="str">
        <x:v>独立判定</x:v>
      </x:c>
    </x:row>
    <x:row r="3044" ht="19" customHeight="1">
      <x:c r="A3044" s="19" t="str">
        <x:v>D03040</x:v>
      </x:c>
      <x:c r="B3044" s="19" t="n">
        <x:v>6</x:v>
      </x:c>
      <x:c r="C3044" s="19" t="n">
        <x:v>3</x:v>
      </x:c>
      <x:c r="D3044" s="19" t="str">
        <x:v>C06-M026</x:v>
      </x:c>
      <x:c r="E3044" s="19" t="str">
        <x:v>崎路红狮兵</x:v>
      </x:c>
      <x:c r="F3044" s="19" t="str">
        <x:v>普通</x:v>
      </x:c>
      <x:c r="G3044" s="19" t="str">
        <x:v>材料独立候选</x:v>
      </x:c>
      <x:c r="H3044" s="19" t="str">
        <x:v>小卢恩</x:v>
      </x:c>
      <x:c r="I3044" s="22" t="n">
        <x:v>12000</x:v>
      </x:c>
      <x:c r="J3044" s="22" t="n">
        <x:v>1</x:v>
      </x:c>
      <x:c r="K3044" s="19" t="n">
        <x:v>1</x:v>
      </x:c>
      <x:c r="L3044" s="24" t="n">
        <x:v>39.63466666666666</x:v>
      </x:c>
      <x:c r="M3044" s="26" t="n">
        <x:v>0.1</x:v>
      </x:c>
      <x:c r="N3044" s="24" t="n">
        <x:v>72</x:v>
      </x:c>
      <x:c r="O3044" s="28" t="n">
        <x:f>MIN(1,L3044/I3044)</x:f>
        <x:v>0.003302888888888888</x:v>
      </x:c>
      <x:c r="P3044" s="30" t="n">
        <x:f>O3044*J3044*(1+M3044)</x:f>
        <x:v>0.003633177777777777</x:v>
      </x:c>
      <x:c r="Q3044" s="30" t="n">
        <x:f>P3044*N3044</x:f>
        <x:v>0.26158879999999995</x:v>
      </x:c>
      <x:c r="R3044" s="19" t="str">
        <x:v>独立判定</x:v>
      </x:c>
    </x:row>
    <x:row r="3045" ht="19" customHeight="1">
      <x:c r="A3045" s="19" t="str">
        <x:v>D03041</x:v>
      </x:c>
      <x:c r="B3045" s="19" t="n">
        <x:v>6</x:v>
      </x:c>
      <x:c r="C3045" s="19" t="n">
        <x:v>3</x:v>
      </x:c>
      <x:c r="D3045" s="19" t="str">
        <x:v>C06-M026</x:v>
      </x:c>
      <x:c r="E3045" s="19" t="str">
        <x:v>崎路红狮兵</x:v>
      </x:c>
      <x:c r="F3045" s="19" t="str">
        <x:v>普通</x:v>
      </x:c>
      <x:c r="G3045" s="19" t="str">
        <x:v>六神器公共池</x:v>
      </x:c>
      <x:c r="H3045" s="19" t="str">
        <x:v>POOL006</x:v>
      </x:c>
      <x:c r="I3045" s="22" t="n">
        <x:v>20000000</x:v>
      </x:c>
      <x:c r="J3045" s="22" t="n">
        <x:v>1</x:v>
      </x:c>
      <x:c r="K3045" s="19" t="n">
        <x:v>6</x:v>
      </x:c>
      <x:c r="L3045" s="24" t="n">
        <x:v>39.63466666666666</x:v>
      </x:c>
      <x:c r="M3045" s="26" t="n">
        <x:v>0.1</x:v>
      </x:c>
      <x:c r="N3045" s="24" t="n">
        <x:v>72</x:v>
      </x:c>
      <x:c r="O3045" s="28" t="n">
        <x:f>MIN(1,L3045/I3045)</x:f>
        <x:v>0.000001981733333333333</x:v>
      </x:c>
      <x:c r="P3045" s="30" t="n">
        <x:f>O3045*J3045*(1+M3045)</x:f>
        <x:v>0.0000021799066666666665</x:v>
      </x:c>
      <x:c r="Q3045" s="30" t="n">
        <x:f>P3045*N3045</x:f>
        <x:v>0.00015695327999999998</x:v>
      </x:c>
      <x:c r="R3045" s="19" t="str">
        <x:v>六选一；非6个独立爆率</x:v>
      </x:c>
    </x:row>
    <x:row r="3046" ht="19" customHeight="1">
      <x:c r="A3046" s="19" t="str">
        <x:v>D03042</x:v>
      </x:c>
      <x:c r="B3046" s="19" t="n">
        <x:v>6</x:v>
      </x:c>
      <x:c r="C3046" s="19" t="n">
        <x:v>3</x:v>
      </x:c>
      <x:c r="D3046" s="19" t="str">
        <x:v>C06-M027</x:v>
      </x:c>
      <x:c r="E3046" s="19" t="str">
        <x:v>回廊火弩卫</x:v>
      </x:c>
      <x:c r="F3046" s="19" t="str">
        <x:v>普通</x:v>
      </x:c>
      <x:c r="G3046" s="19" t="str">
        <x:v>自身专属</x:v>
      </x:c>
      <x:c r="H3046" s="19" t="str">
        <x:v>火弩指环</x:v>
      </x:c>
      <x:c r="I3046" s="22" t="n">
        <x:v>3000</x:v>
      </x:c>
      <x:c r="J3046" s="22" t="n">
        <x:v>1</x:v>
      </x:c>
      <x:c r="K3046" s="19" t="n">
        <x:v>1</x:v>
      </x:c>
      <x:c r="L3046" s="24" t="n">
        <x:v>39.63466666666666</x:v>
      </x:c>
      <x:c r="M3046" s="26" t="n">
        <x:v>0.1</x:v>
      </x:c>
      <x:c r="N3046" s="24" t="n">
        <x:v>72</x:v>
      </x:c>
      <x:c r="O3046" s="28" t="n">
        <x:f>MIN(1,L3046/I3046)</x:f>
        <x:v>0.013211555555555553</x:v>
      </x:c>
      <x:c r="P3046" s="30" t="n">
        <x:f>O3046*J3046*(1+M3046)</x:f>
        <x:v>0.014532711111111108</x:v>
      </x:c>
      <x:c r="Q3046" s="30" t="n">
        <x:f>P3046*N3046</x:f>
        <x:v>1.0463551999999998</x:v>
      </x:c>
      <x:c r="R3046" s="19" t="str">
        <x:v>独立判定</x:v>
      </x:c>
    </x:row>
    <x:row r="3047" ht="19" customHeight="1">
      <x:c r="A3047" s="19" t="str">
        <x:v>D03043</x:v>
      </x:c>
      <x:c r="B3047" s="19" t="n">
        <x:v>6</x:v>
      </x:c>
      <x:c r="C3047" s="19" t="n">
        <x:v>3</x:v>
      </x:c>
      <x:c r="D3047" s="19" t="str">
        <x:v>C06-M027</x:v>
      </x:c>
      <x:c r="E3047" s="19" t="str">
        <x:v>回廊火弩卫</x:v>
      </x:c>
      <x:c r="F3047" s="19" t="str">
        <x:v>普通</x:v>
      </x:c>
      <x:c r="G3047" s="19" t="str">
        <x:v>材料独立候选</x:v>
      </x:c>
      <x:c r="H3047" s="19" t="str">
        <x:v>猩红矿渣</x:v>
      </x:c>
      <x:c r="I3047" s="22" t="n">
        <x:v>600</x:v>
      </x:c>
      <x:c r="J3047" s="22" t="n">
        <x:v>8</x:v>
      </x:c>
      <x:c r="K3047" s="19" t="n">
        <x:v>1</x:v>
      </x:c>
      <x:c r="L3047" s="24" t="n">
        <x:v>39.63466666666666</x:v>
      </x:c>
      <x:c r="M3047" s="26" t="n">
        <x:v>0.1</x:v>
      </x:c>
      <x:c r="N3047" s="24" t="n">
        <x:v>72</x:v>
      </x:c>
      <x:c r="O3047" s="28" t="n">
        <x:f>MIN(1,L3047/I3047)</x:f>
        <x:v>0.06605777777777777</x:v>
      </x:c>
      <x:c r="P3047" s="30" t="n">
        <x:f>O3047*J3047*(1+M3047)</x:f>
        <x:v>0.5813084444444444</x:v>
      </x:c>
      <x:c r="Q3047" s="30" t="n">
        <x:f>P3047*N3047</x:f>
        <x:v>41.854208</x:v>
      </x:c>
      <x:c r="R3047" s="19" t="str">
        <x:v>独立判定</x:v>
      </x:c>
    </x:row>
    <x:row r="3048" ht="19" customHeight="1">
      <x:c r="A3048" s="19" t="str">
        <x:v>D03044</x:v>
      </x:c>
      <x:c r="B3048" s="19" t="n">
        <x:v>6</x:v>
      </x:c>
      <x:c r="C3048" s="19" t="n">
        <x:v>3</x:v>
      </x:c>
      <x:c r="D3048" s="19" t="str">
        <x:v>C06-M027</x:v>
      </x:c>
      <x:c r="E3048" s="19" t="str">
        <x:v>回廊火弩卫</x:v>
      </x:c>
      <x:c r="F3048" s="19" t="str">
        <x:v>普通</x:v>
      </x:c>
      <x:c r="G3048" s="19" t="str">
        <x:v>材料独立候选</x:v>
      </x:c>
      <x:c r="H3048" s="19" t="str">
        <x:v>红狮断箭</x:v>
      </x:c>
      <x:c r="I3048" s="22" t="n">
        <x:v>2000</x:v>
      </x:c>
      <x:c r="J3048" s="22" t="n">
        <x:v>1</x:v>
      </x:c>
      <x:c r="K3048" s="19" t="n">
        <x:v>1</x:v>
      </x:c>
      <x:c r="L3048" s="24" t="n">
        <x:v>39.63466666666666</x:v>
      </x:c>
      <x:c r="M3048" s="26" t="n">
        <x:v>0.1</x:v>
      </x:c>
      <x:c r="N3048" s="24" t="n">
        <x:v>72</x:v>
      </x:c>
      <x:c r="O3048" s="28" t="n">
        <x:f>MIN(1,L3048/I3048)</x:f>
        <x:v>0.01981733333333333</x:v>
      </x:c>
      <x:c r="P3048" s="30" t="n">
        <x:f>O3048*J3048*(1+M3048)</x:f>
        <x:v>0.021799066666666665</x:v>
      </x:c>
      <x:c r="Q3048" s="30" t="n">
        <x:f>P3048*N3048</x:f>
        <x:v>1.5695328</x:v>
      </x:c>
      <x:c r="R3048" s="19" t="str">
        <x:v>独立判定</x:v>
      </x:c>
    </x:row>
    <x:row r="3049" ht="19" customHeight="1">
      <x:c r="A3049" s="19" t="str">
        <x:v>D03045</x:v>
      </x:c>
      <x:c r="B3049" s="19" t="n">
        <x:v>6</x:v>
      </x:c>
      <x:c r="C3049" s="19" t="n">
        <x:v>3</x:v>
      </x:c>
      <x:c r="D3049" s="19" t="str">
        <x:v>C06-M027</x:v>
      </x:c>
      <x:c r="E3049" s="19" t="str">
        <x:v>回廊火弩卫</x:v>
      </x:c>
      <x:c r="F3049" s="19" t="str">
        <x:v>普通</x:v>
      </x:c>
      <x:c r="G3049" s="19" t="str">
        <x:v>材料独立候选</x:v>
      </x:c>
      <x:c r="H3049" s="19" t="str">
        <x:v>熔原罪火残章</x:v>
      </x:c>
      <x:c r="I3049" s="22" t="n">
        <x:v>1800000</x:v>
      </x:c>
      <x:c r="J3049" s="22" t="n">
        <x:v>1</x:v>
      </x:c>
      <x:c r="K3049" s="19" t="n">
        <x:v>1</x:v>
      </x:c>
      <x:c r="L3049" s="24" t="n">
        <x:v>39.63466666666666</x:v>
      </x:c>
      <x:c r="M3049" s="26" t="n">
        <x:v>0.1</x:v>
      </x:c>
      <x:c r="N3049" s="24" t="n">
        <x:v>72</x:v>
      </x:c>
      <x:c r="O3049" s="28" t="n">
        <x:f>MIN(1,L3049/I3049)</x:f>
        <x:v>0.000022019259259259257</x:v>
      </x:c>
      <x:c r="P3049" s="30" t="n">
        <x:f>O3049*J3049*(1+M3049)</x:f>
        <x:v>0.000024221185185185184</x:v>
      </x:c>
      <x:c r="Q3049" s="30" t="n">
        <x:f>P3049*N3049</x:f>
        <x:v>0.0017439253333333333</x:v>
      </x:c>
      <x:c r="R3049" s="19" t="str">
        <x:v>独立判定</x:v>
      </x:c>
    </x:row>
    <x:row r="3050" ht="19" customHeight="1">
      <x:c r="A3050" s="19" t="str">
        <x:v>D03046</x:v>
      </x:c>
      <x:c r="B3050" s="19" t="n">
        <x:v>6</x:v>
      </x:c>
      <x:c r="C3050" s="19" t="n">
        <x:v>3</x:v>
      </x:c>
      <x:c r="D3050" s="19" t="str">
        <x:v>C06-M027</x:v>
      </x:c>
      <x:c r="E3050" s="19" t="str">
        <x:v>回廊火弩卫</x:v>
      </x:c>
      <x:c r="F3050" s="19" t="str">
        <x:v>普通</x:v>
      </x:c>
      <x:c r="G3050" s="19" t="str">
        <x:v>材料独立候选</x:v>
      </x:c>
      <x:c r="H3050" s="19" t="str">
        <x:v>野兽骨片</x:v>
      </x:c>
      <x:c r="I3050" s="22" t="n">
        <x:v>200</x:v>
      </x:c>
      <x:c r="J3050" s="22" t="n">
        <x:v>5</x:v>
      </x:c>
      <x:c r="K3050" s="19" t="n">
        <x:v>1</x:v>
      </x:c>
      <x:c r="L3050" s="24" t="n">
        <x:v>39.63466666666666</x:v>
      </x:c>
      <x:c r="M3050" s="26" t="n">
        <x:v>0.1</x:v>
      </x:c>
      <x:c r="N3050" s="24" t="n">
        <x:v>72</x:v>
      </x:c>
      <x:c r="O3050" s="28" t="n">
        <x:f>MIN(1,L3050/I3050)</x:f>
        <x:v>0.1981733333333333</x:v>
      </x:c>
      <x:c r="P3050" s="30" t="n">
        <x:f>O3050*J3050*(1+M3050)</x:f>
        <x:v>1.0899533333333333</x:v>
      </x:c>
      <x:c r="Q3050" s="30" t="n">
        <x:f>P3050*N3050</x:f>
        <x:v>78.47664</x:v>
      </x:c>
      <x:c r="R3050" s="19" t="str">
        <x:v>独立判定</x:v>
      </x:c>
    </x:row>
    <x:row r="3051" ht="19" customHeight="1">
      <x:c r="A3051" s="19" t="str">
        <x:v>D03047</x:v>
      </x:c>
      <x:c r="B3051" s="19" t="n">
        <x:v>6</x:v>
      </x:c>
      <x:c r="C3051" s="19" t="n">
        <x:v>3</x:v>
      </x:c>
      <x:c r="D3051" s="19" t="str">
        <x:v>C06-M027</x:v>
      </x:c>
      <x:c r="E3051" s="19" t="str">
        <x:v>回廊火弩卫</x:v>
      </x:c>
      <x:c r="F3051" s="19" t="str">
        <x:v>普通</x:v>
      </x:c>
      <x:c r="G3051" s="19" t="str">
        <x:v>材料独立候选</x:v>
      </x:c>
      <x:c r="H3051" s="19" t="str">
        <x:v>技能残页</x:v>
      </x:c>
      <x:c r="I3051" s="22" t="n">
        <x:v>1200</x:v>
      </x:c>
      <x:c r="J3051" s="22" t="n">
        <x:v>1</x:v>
      </x:c>
      <x:c r="K3051" s="19" t="n">
        <x:v>1</x:v>
      </x:c>
      <x:c r="L3051" s="24" t="n">
        <x:v>39.63466666666666</x:v>
      </x:c>
      <x:c r="M3051" s="26" t="n">
        <x:v>0.1</x:v>
      </x:c>
      <x:c r="N3051" s="24" t="n">
        <x:v>72</x:v>
      </x:c>
      <x:c r="O3051" s="28" t="n">
        <x:f>MIN(1,L3051/I3051)</x:f>
        <x:v>0.033028888888888885</x:v>
      </x:c>
      <x:c r="P3051" s="30" t="n">
        <x:f>O3051*J3051*(1+M3051)</x:f>
        <x:v>0.036331777777777775</x:v>
      </x:c>
      <x:c r="Q3051" s="30" t="n">
        <x:f>P3051*N3051</x:f>
        <x:v>2.615888</x:v>
      </x:c>
      <x:c r="R3051" s="19" t="str">
        <x:v>独立判定</x:v>
      </x:c>
    </x:row>
    <x:row r="3052" ht="19" customHeight="1">
      <x:c r="A3052" s="19" t="str">
        <x:v>D03048</x:v>
      </x:c>
      <x:c r="B3052" s="19" t="n">
        <x:v>6</x:v>
      </x:c>
      <x:c r="C3052" s="19" t="n">
        <x:v>3</x:v>
      </x:c>
      <x:c r="D3052" s="19" t="str">
        <x:v>C06-M027</x:v>
      </x:c>
      <x:c r="E3052" s="19" t="str">
        <x:v>回廊火弩卫</x:v>
      </x:c>
      <x:c r="F3052" s="19" t="str">
        <x:v>普通</x:v>
      </x:c>
      <x:c r="G3052" s="19" t="str">
        <x:v>材料独立候选</x:v>
      </x:c>
      <x:c r="H3052" s="19" t="str">
        <x:v>小卢恩</x:v>
      </x:c>
      <x:c r="I3052" s="22" t="n">
        <x:v>12000</x:v>
      </x:c>
      <x:c r="J3052" s="22" t="n">
        <x:v>1</x:v>
      </x:c>
      <x:c r="K3052" s="19" t="n">
        <x:v>1</x:v>
      </x:c>
      <x:c r="L3052" s="24" t="n">
        <x:v>39.63466666666666</x:v>
      </x:c>
      <x:c r="M3052" s="26" t="n">
        <x:v>0.1</x:v>
      </x:c>
      <x:c r="N3052" s="24" t="n">
        <x:v>72</x:v>
      </x:c>
      <x:c r="O3052" s="28" t="n">
        <x:f>MIN(1,L3052/I3052)</x:f>
        <x:v>0.003302888888888888</x:v>
      </x:c>
      <x:c r="P3052" s="30" t="n">
        <x:f>O3052*J3052*(1+M3052)</x:f>
        <x:v>0.003633177777777777</x:v>
      </x:c>
      <x:c r="Q3052" s="30" t="n">
        <x:f>P3052*N3052</x:f>
        <x:v>0.26158879999999995</x:v>
      </x:c>
      <x:c r="R3052" s="19" t="str">
        <x:v>独立判定</x:v>
      </x:c>
    </x:row>
    <x:row r="3053" ht="19" customHeight="1">
      <x:c r="A3053" s="19" t="str">
        <x:v>D03049</x:v>
      </x:c>
      <x:c r="B3053" s="19" t="n">
        <x:v>6</x:v>
      </x:c>
      <x:c r="C3053" s="19" t="n">
        <x:v>3</x:v>
      </x:c>
      <x:c r="D3053" s="19" t="str">
        <x:v>C06-M027</x:v>
      </x:c>
      <x:c r="E3053" s="19" t="str">
        <x:v>回廊火弩卫</x:v>
      </x:c>
      <x:c r="F3053" s="19" t="str">
        <x:v>普通</x:v>
      </x:c>
      <x:c r="G3053" s="19" t="str">
        <x:v>六神器公共池</x:v>
      </x:c>
      <x:c r="H3053" s="19" t="str">
        <x:v>POOL006</x:v>
      </x:c>
      <x:c r="I3053" s="22" t="n">
        <x:v>20000000</x:v>
      </x:c>
      <x:c r="J3053" s="22" t="n">
        <x:v>1</x:v>
      </x:c>
      <x:c r="K3053" s="19" t="n">
        <x:v>6</x:v>
      </x:c>
      <x:c r="L3053" s="24" t="n">
        <x:v>39.63466666666666</x:v>
      </x:c>
      <x:c r="M3053" s="26" t="n">
        <x:v>0.1</x:v>
      </x:c>
      <x:c r="N3053" s="24" t="n">
        <x:v>72</x:v>
      </x:c>
      <x:c r="O3053" s="28" t="n">
        <x:f>MIN(1,L3053/I3053)</x:f>
        <x:v>0.000001981733333333333</x:v>
      </x:c>
      <x:c r="P3053" s="30" t="n">
        <x:f>O3053*J3053*(1+M3053)</x:f>
        <x:v>0.0000021799066666666665</x:v>
      </x:c>
      <x:c r="Q3053" s="30" t="n">
        <x:f>P3053*N3053</x:f>
        <x:v>0.00015695327999999998</x:v>
      </x:c>
      <x:c r="R3053" s="19" t="str">
        <x:v>六选一；非6个独立爆率</x:v>
      </x:c>
    </x:row>
    <x:row r="3054" ht="19" customHeight="1">
      <x:c r="A3054" s="19" t="str">
        <x:v>D03050</x:v>
      </x:c>
      <x:c r="B3054" s="19" t="n">
        <x:v>6</x:v>
      </x:c>
      <x:c r="C3054" s="19" t="n">
        <x:v>3</x:v>
      </x:c>
      <x:c r="D3054" s="19" t="str">
        <x:v>C06-M028</x:v>
      </x:c>
      <x:c r="E3054" s="19" t="str">
        <x:v>龙巢护卵兽</x:v>
      </x:c>
      <x:c r="F3054" s="19" t="str">
        <x:v>普通</x:v>
      </x:c>
      <x:c r="G3054" s="19" t="str">
        <x:v>自身专属</x:v>
      </x:c>
      <x:c r="H3054" s="19" t="str">
        <x:v>护卵鳞衣</x:v>
      </x:c>
      <x:c r="I3054" s="22" t="n">
        <x:v>3000</x:v>
      </x:c>
      <x:c r="J3054" s="22" t="n">
        <x:v>1</x:v>
      </x:c>
      <x:c r="K3054" s="19" t="n">
        <x:v>1</x:v>
      </x:c>
      <x:c r="L3054" s="24" t="n">
        <x:v>39.63466666666666</x:v>
      </x:c>
      <x:c r="M3054" s="26" t="n">
        <x:v>0.1</x:v>
      </x:c>
      <x:c r="N3054" s="24" t="n">
        <x:v>72</x:v>
      </x:c>
      <x:c r="O3054" s="28" t="n">
        <x:f>MIN(1,L3054/I3054)</x:f>
        <x:v>0.013211555555555553</x:v>
      </x:c>
      <x:c r="P3054" s="30" t="n">
        <x:f>O3054*J3054*(1+M3054)</x:f>
        <x:v>0.014532711111111108</x:v>
      </x:c>
      <x:c r="Q3054" s="30" t="n">
        <x:f>P3054*N3054</x:f>
        <x:v>1.0463551999999998</x:v>
      </x:c>
      <x:c r="R3054" s="19" t="str">
        <x:v>独立判定</x:v>
      </x:c>
    </x:row>
    <x:row r="3055" ht="19" customHeight="1">
      <x:c r="A3055" s="19" t="str">
        <x:v>D03051</x:v>
      </x:c>
      <x:c r="B3055" s="19" t="n">
        <x:v>6</x:v>
      </x:c>
      <x:c r="C3055" s="19" t="n">
        <x:v>3</x:v>
      </x:c>
      <x:c r="D3055" s="19" t="str">
        <x:v>C06-M028</x:v>
      </x:c>
      <x:c r="E3055" s="19" t="str">
        <x:v>龙巢护卵兽</x:v>
      </x:c>
      <x:c r="F3055" s="19" t="str">
        <x:v>普通</x:v>
      </x:c>
      <x:c r="G3055" s="19" t="str">
        <x:v>材料独立候选</x:v>
      </x:c>
      <x:c r="H3055" s="19" t="str">
        <x:v>猩红矿渣</x:v>
      </x:c>
      <x:c r="I3055" s="22" t="n">
        <x:v>600</x:v>
      </x:c>
      <x:c r="J3055" s="22" t="n">
        <x:v>8</x:v>
      </x:c>
      <x:c r="K3055" s="19" t="n">
        <x:v>1</x:v>
      </x:c>
      <x:c r="L3055" s="24" t="n">
        <x:v>39.63466666666666</x:v>
      </x:c>
      <x:c r="M3055" s="26" t="n">
        <x:v>0.1</x:v>
      </x:c>
      <x:c r="N3055" s="24" t="n">
        <x:v>72</x:v>
      </x:c>
      <x:c r="O3055" s="28" t="n">
        <x:f>MIN(1,L3055/I3055)</x:f>
        <x:v>0.06605777777777777</x:v>
      </x:c>
      <x:c r="P3055" s="30" t="n">
        <x:f>O3055*J3055*(1+M3055)</x:f>
        <x:v>0.5813084444444444</x:v>
      </x:c>
      <x:c r="Q3055" s="30" t="n">
        <x:f>P3055*N3055</x:f>
        <x:v>41.854208</x:v>
      </x:c>
      <x:c r="R3055" s="19" t="str">
        <x:v>独立判定</x:v>
      </x:c>
    </x:row>
    <x:row r="3056" ht="19" customHeight="1">
      <x:c r="A3056" s="19" t="str">
        <x:v>D03052</x:v>
      </x:c>
      <x:c r="B3056" s="19" t="n">
        <x:v>6</x:v>
      </x:c>
      <x:c r="C3056" s="19" t="n">
        <x:v>3</x:v>
      </x:c>
      <x:c r="D3056" s="19" t="str">
        <x:v>C06-M028</x:v>
      </x:c>
      <x:c r="E3056" s="19" t="str">
        <x:v>龙巢护卵兽</x:v>
      </x:c>
      <x:c r="F3056" s="19" t="str">
        <x:v>普通</x:v>
      </x:c>
      <x:c r="G3056" s="19" t="str">
        <x:v>材料独立候选</x:v>
      </x:c>
      <x:c r="H3056" s="19" t="str">
        <x:v>红狮断箭</x:v>
      </x:c>
      <x:c r="I3056" s="22" t="n">
        <x:v>2000</x:v>
      </x:c>
      <x:c r="J3056" s="22" t="n">
        <x:v>1</x:v>
      </x:c>
      <x:c r="K3056" s="19" t="n">
        <x:v>1</x:v>
      </x:c>
      <x:c r="L3056" s="24" t="n">
        <x:v>39.63466666666666</x:v>
      </x:c>
      <x:c r="M3056" s="26" t="n">
        <x:v>0.1</x:v>
      </x:c>
      <x:c r="N3056" s="24" t="n">
        <x:v>72</x:v>
      </x:c>
      <x:c r="O3056" s="28" t="n">
        <x:f>MIN(1,L3056/I3056)</x:f>
        <x:v>0.01981733333333333</x:v>
      </x:c>
      <x:c r="P3056" s="30" t="n">
        <x:f>O3056*J3056*(1+M3056)</x:f>
        <x:v>0.021799066666666665</x:v>
      </x:c>
      <x:c r="Q3056" s="30" t="n">
        <x:f>P3056*N3056</x:f>
        <x:v>1.5695328</x:v>
      </x:c>
      <x:c r="R3056" s="19" t="str">
        <x:v>独立判定</x:v>
      </x:c>
    </x:row>
    <x:row r="3057" ht="19" customHeight="1">
      <x:c r="A3057" s="19" t="str">
        <x:v>D03053</x:v>
      </x:c>
      <x:c r="B3057" s="19" t="n">
        <x:v>6</x:v>
      </x:c>
      <x:c r="C3057" s="19" t="n">
        <x:v>3</x:v>
      </x:c>
      <x:c r="D3057" s="19" t="str">
        <x:v>C06-M028</x:v>
      </x:c>
      <x:c r="E3057" s="19" t="str">
        <x:v>龙巢护卵兽</x:v>
      </x:c>
      <x:c r="F3057" s="19" t="str">
        <x:v>普通</x:v>
      </x:c>
      <x:c r="G3057" s="19" t="str">
        <x:v>材料独立候选</x:v>
      </x:c>
      <x:c r="H3057" s="19" t="str">
        <x:v>熔原罪火残章</x:v>
      </x:c>
      <x:c r="I3057" s="22" t="n">
        <x:v>1800000</x:v>
      </x:c>
      <x:c r="J3057" s="22" t="n">
        <x:v>1</x:v>
      </x:c>
      <x:c r="K3057" s="19" t="n">
        <x:v>1</x:v>
      </x:c>
      <x:c r="L3057" s="24" t="n">
        <x:v>39.63466666666666</x:v>
      </x:c>
      <x:c r="M3057" s="26" t="n">
        <x:v>0.1</x:v>
      </x:c>
      <x:c r="N3057" s="24" t="n">
        <x:v>72</x:v>
      </x:c>
      <x:c r="O3057" s="28" t="n">
        <x:f>MIN(1,L3057/I3057)</x:f>
        <x:v>0.000022019259259259257</x:v>
      </x:c>
      <x:c r="P3057" s="30" t="n">
        <x:f>O3057*J3057*(1+M3057)</x:f>
        <x:v>0.000024221185185185184</x:v>
      </x:c>
      <x:c r="Q3057" s="30" t="n">
        <x:f>P3057*N3057</x:f>
        <x:v>0.0017439253333333333</x:v>
      </x:c>
      <x:c r="R3057" s="19" t="str">
        <x:v>独立判定</x:v>
      </x:c>
    </x:row>
    <x:row r="3058" ht="19" customHeight="1">
      <x:c r="A3058" s="19" t="str">
        <x:v>D03054</x:v>
      </x:c>
      <x:c r="B3058" s="19" t="n">
        <x:v>6</x:v>
      </x:c>
      <x:c r="C3058" s="19" t="n">
        <x:v>3</x:v>
      </x:c>
      <x:c r="D3058" s="19" t="str">
        <x:v>C06-M028</x:v>
      </x:c>
      <x:c r="E3058" s="19" t="str">
        <x:v>龙巢护卵兽</x:v>
      </x:c>
      <x:c r="F3058" s="19" t="str">
        <x:v>普通</x:v>
      </x:c>
      <x:c r="G3058" s="19" t="str">
        <x:v>材料独立候选</x:v>
      </x:c>
      <x:c r="H3058" s="19" t="str">
        <x:v>野兽骨片</x:v>
      </x:c>
      <x:c r="I3058" s="22" t="n">
        <x:v>200</x:v>
      </x:c>
      <x:c r="J3058" s="22" t="n">
        <x:v>5</x:v>
      </x:c>
      <x:c r="K3058" s="19" t="n">
        <x:v>1</x:v>
      </x:c>
      <x:c r="L3058" s="24" t="n">
        <x:v>39.63466666666666</x:v>
      </x:c>
      <x:c r="M3058" s="26" t="n">
        <x:v>0.1</x:v>
      </x:c>
      <x:c r="N3058" s="24" t="n">
        <x:v>72</x:v>
      </x:c>
      <x:c r="O3058" s="28" t="n">
        <x:f>MIN(1,L3058/I3058)</x:f>
        <x:v>0.1981733333333333</x:v>
      </x:c>
      <x:c r="P3058" s="30" t="n">
        <x:f>O3058*J3058*(1+M3058)</x:f>
        <x:v>1.0899533333333333</x:v>
      </x:c>
      <x:c r="Q3058" s="30" t="n">
        <x:f>P3058*N3058</x:f>
        <x:v>78.47664</x:v>
      </x:c>
      <x:c r="R3058" s="19" t="str">
        <x:v>独立判定</x:v>
      </x:c>
    </x:row>
    <x:row r="3059" ht="19" customHeight="1">
      <x:c r="A3059" s="19" t="str">
        <x:v>D03055</x:v>
      </x:c>
      <x:c r="B3059" s="19" t="n">
        <x:v>6</x:v>
      </x:c>
      <x:c r="C3059" s="19" t="n">
        <x:v>3</x:v>
      </x:c>
      <x:c r="D3059" s="19" t="str">
        <x:v>C06-M028</x:v>
      </x:c>
      <x:c r="E3059" s="19" t="str">
        <x:v>龙巢护卵兽</x:v>
      </x:c>
      <x:c r="F3059" s="19" t="str">
        <x:v>普通</x:v>
      </x:c>
      <x:c r="G3059" s="19" t="str">
        <x:v>材料独立候选</x:v>
      </x:c>
      <x:c r="H3059" s="19" t="str">
        <x:v>技能残页</x:v>
      </x:c>
      <x:c r="I3059" s="22" t="n">
        <x:v>1200</x:v>
      </x:c>
      <x:c r="J3059" s="22" t="n">
        <x:v>1</x:v>
      </x:c>
      <x:c r="K3059" s="19" t="n">
        <x:v>1</x:v>
      </x:c>
      <x:c r="L3059" s="24" t="n">
        <x:v>39.63466666666666</x:v>
      </x:c>
      <x:c r="M3059" s="26" t="n">
        <x:v>0.1</x:v>
      </x:c>
      <x:c r="N3059" s="24" t="n">
        <x:v>72</x:v>
      </x:c>
      <x:c r="O3059" s="28" t="n">
        <x:f>MIN(1,L3059/I3059)</x:f>
        <x:v>0.033028888888888885</x:v>
      </x:c>
      <x:c r="P3059" s="30" t="n">
        <x:f>O3059*J3059*(1+M3059)</x:f>
        <x:v>0.036331777777777775</x:v>
      </x:c>
      <x:c r="Q3059" s="30" t="n">
        <x:f>P3059*N3059</x:f>
        <x:v>2.615888</x:v>
      </x:c>
      <x:c r="R3059" s="19" t="str">
        <x:v>独立判定</x:v>
      </x:c>
    </x:row>
    <x:row r="3060" ht="19" customHeight="1">
      <x:c r="A3060" s="19" t="str">
        <x:v>D03056</x:v>
      </x:c>
      <x:c r="B3060" s="19" t="n">
        <x:v>6</x:v>
      </x:c>
      <x:c r="C3060" s="19" t="n">
        <x:v>3</x:v>
      </x:c>
      <x:c r="D3060" s="19" t="str">
        <x:v>C06-M028</x:v>
      </x:c>
      <x:c r="E3060" s="19" t="str">
        <x:v>龙巢护卵兽</x:v>
      </x:c>
      <x:c r="F3060" s="19" t="str">
        <x:v>普通</x:v>
      </x:c>
      <x:c r="G3060" s="19" t="str">
        <x:v>材料独立候选</x:v>
      </x:c>
      <x:c r="H3060" s="19" t="str">
        <x:v>小卢恩</x:v>
      </x:c>
      <x:c r="I3060" s="22" t="n">
        <x:v>12000</x:v>
      </x:c>
      <x:c r="J3060" s="22" t="n">
        <x:v>1</x:v>
      </x:c>
      <x:c r="K3060" s="19" t="n">
        <x:v>1</x:v>
      </x:c>
      <x:c r="L3060" s="24" t="n">
        <x:v>39.63466666666666</x:v>
      </x:c>
      <x:c r="M3060" s="26" t="n">
        <x:v>0.1</x:v>
      </x:c>
      <x:c r="N3060" s="24" t="n">
        <x:v>72</x:v>
      </x:c>
      <x:c r="O3060" s="28" t="n">
        <x:f>MIN(1,L3060/I3060)</x:f>
        <x:v>0.003302888888888888</x:v>
      </x:c>
      <x:c r="P3060" s="30" t="n">
        <x:f>O3060*J3060*(1+M3060)</x:f>
        <x:v>0.003633177777777777</x:v>
      </x:c>
      <x:c r="Q3060" s="30" t="n">
        <x:f>P3060*N3060</x:f>
        <x:v>0.26158879999999995</x:v>
      </x:c>
      <x:c r="R3060" s="19" t="str">
        <x:v>独立判定</x:v>
      </x:c>
    </x:row>
    <x:row r="3061" ht="19" customHeight="1">
      <x:c r="A3061" s="19" t="str">
        <x:v>D03057</x:v>
      </x:c>
      <x:c r="B3061" s="19" t="n">
        <x:v>6</x:v>
      </x:c>
      <x:c r="C3061" s="19" t="n">
        <x:v>3</x:v>
      </x:c>
      <x:c r="D3061" s="19" t="str">
        <x:v>C06-M028</x:v>
      </x:c>
      <x:c r="E3061" s="19" t="str">
        <x:v>龙巢护卵兽</x:v>
      </x:c>
      <x:c r="F3061" s="19" t="str">
        <x:v>普通</x:v>
      </x:c>
      <x:c r="G3061" s="19" t="str">
        <x:v>六神器公共池</x:v>
      </x:c>
      <x:c r="H3061" s="19" t="str">
        <x:v>POOL006</x:v>
      </x:c>
      <x:c r="I3061" s="22" t="n">
        <x:v>20000000</x:v>
      </x:c>
      <x:c r="J3061" s="22" t="n">
        <x:v>1</x:v>
      </x:c>
      <x:c r="K3061" s="19" t="n">
        <x:v>6</x:v>
      </x:c>
      <x:c r="L3061" s="24" t="n">
        <x:v>39.63466666666666</x:v>
      </x:c>
      <x:c r="M3061" s="26" t="n">
        <x:v>0.1</x:v>
      </x:c>
      <x:c r="N3061" s="24" t="n">
        <x:v>72</x:v>
      </x:c>
      <x:c r="O3061" s="28" t="n">
        <x:f>MIN(1,L3061/I3061)</x:f>
        <x:v>0.000001981733333333333</x:v>
      </x:c>
      <x:c r="P3061" s="30" t="n">
        <x:f>O3061*J3061*(1+M3061)</x:f>
        <x:v>0.0000021799066666666665</x:v>
      </x:c>
      <x:c r="Q3061" s="30" t="n">
        <x:f>P3061*N3061</x:f>
        <x:v>0.00015695327999999998</x:v>
      </x:c>
      <x:c r="R3061" s="19" t="str">
        <x:v>六选一；非6个独立爆率</x:v>
      </x:c>
    </x:row>
    <x:row r="3062" ht="19" customHeight="1">
      <x:c r="A3062" s="19" t="str">
        <x:v>D03058</x:v>
      </x:c>
      <x:c r="B3062" s="19" t="n">
        <x:v>6</x:v>
      </x:c>
      <x:c r="C3062" s="19" t="n">
        <x:v>3</x:v>
      </x:c>
      <x:c r="D3062" s="19" t="str">
        <x:v>C06-M029</x:v>
      </x:c>
      <x:c r="E3062" s="19" t="str">
        <x:v>神殿执矛僧</x:v>
      </x:c>
      <x:c r="F3062" s="19" t="str">
        <x:v>普通</x:v>
      </x:c>
      <x:c r="G3062" s="19" t="str">
        <x:v>自身专属</x:v>
      </x:c>
      <x:c r="H3062" s="19" t="str">
        <x:v>神殿焰矛</x:v>
      </x:c>
      <x:c r="I3062" s="22" t="n">
        <x:v>3000</x:v>
      </x:c>
      <x:c r="J3062" s="22" t="n">
        <x:v>1</x:v>
      </x:c>
      <x:c r="K3062" s="19" t="n">
        <x:v>1</x:v>
      </x:c>
      <x:c r="L3062" s="24" t="n">
        <x:v>39.63466666666666</x:v>
      </x:c>
      <x:c r="M3062" s="26" t="n">
        <x:v>0.1</x:v>
      </x:c>
      <x:c r="N3062" s="24" t="n">
        <x:v>72</x:v>
      </x:c>
      <x:c r="O3062" s="28" t="n">
        <x:f>MIN(1,L3062/I3062)</x:f>
        <x:v>0.013211555555555553</x:v>
      </x:c>
      <x:c r="P3062" s="30" t="n">
        <x:f>O3062*J3062*(1+M3062)</x:f>
        <x:v>0.014532711111111108</x:v>
      </x:c>
      <x:c r="Q3062" s="30" t="n">
        <x:f>P3062*N3062</x:f>
        <x:v>1.0463551999999998</x:v>
      </x:c>
      <x:c r="R3062" s="19" t="str">
        <x:v>独立判定</x:v>
      </x:c>
    </x:row>
    <x:row r="3063" ht="19" customHeight="1">
      <x:c r="A3063" s="19" t="str">
        <x:v>D03059</x:v>
      </x:c>
      <x:c r="B3063" s="19" t="n">
        <x:v>6</x:v>
      </x:c>
      <x:c r="C3063" s="19" t="n">
        <x:v>3</x:v>
      </x:c>
      <x:c r="D3063" s="19" t="str">
        <x:v>C06-M029</x:v>
      </x:c>
      <x:c r="E3063" s="19" t="str">
        <x:v>神殿执矛僧</x:v>
      </x:c>
      <x:c r="F3063" s="19" t="str">
        <x:v>普通</x:v>
      </x:c>
      <x:c r="G3063" s="19" t="str">
        <x:v>材料独立候选</x:v>
      </x:c>
      <x:c r="H3063" s="19" t="str">
        <x:v>猩红矿渣</x:v>
      </x:c>
      <x:c r="I3063" s="22" t="n">
        <x:v>600</x:v>
      </x:c>
      <x:c r="J3063" s="22" t="n">
        <x:v>8</x:v>
      </x:c>
      <x:c r="K3063" s="19" t="n">
        <x:v>1</x:v>
      </x:c>
      <x:c r="L3063" s="24" t="n">
        <x:v>39.63466666666666</x:v>
      </x:c>
      <x:c r="M3063" s="26" t="n">
        <x:v>0.1</x:v>
      </x:c>
      <x:c r="N3063" s="24" t="n">
        <x:v>72</x:v>
      </x:c>
      <x:c r="O3063" s="28" t="n">
        <x:f>MIN(1,L3063/I3063)</x:f>
        <x:v>0.06605777777777777</x:v>
      </x:c>
      <x:c r="P3063" s="30" t="n">
        <x:f>O3063*J3063*(1+M3063)</x:f>
        <x:v>0.5813084444444444</x:v>
      </x:c>
      <x:c r="Q3063" s="30" t="n">
        <x:f>P3063*N3063</x:f>
        <x:v>41.854208</x:v>
      </x:c>
      <x:c r="R3063" s="19" t="str">
        <x:v>独立判定</x:v>
      </x:c>
    </x:row>
    <x:row r="3064" ht="19" customHeight="1">
      <x:c r="A3064" s="19" t="str">
        <x:v>D03060</x:v>
      </x:c>
      <x:c r="B3064" s="19" t="n">
        <x:v>6</x:v>
      </x:c>
      <x:c r="C3064" s="19" t="n">
        <x:v>3</x:v>
      </x:c>
      <x:c r="D3064" s="19" t="str">
        <x:v>C06-M029</x:v>
      </x:c>
      <x:c r="E3064" s="19" t="str">
        <x:v>神殿执矛僧</x:v>
      </x:c>
      <x:c r="F3064" s="19" t="str">
        <x:v>普通</x:v>
      </x:c>
      <x:c r="G3064" s="19" t="str">
        <x:v>材料独立候选</x:v>
      </x:c>
      <x:c r="H3064" s="19" t="str">
        <x:v>红狮断箭</x:v>
      </x:c>
      <x:c r="I3064" s="22" t="n">
        <x:v>2000</x:v>
      </x:c>
      <x:c r="J3064" s="22" t="n">
        <x:v>1</x:v>
      </x:c>
      <x:c r="K3064" s="19" t="n">
        <x:v>1</x:v>
      </x:c>
      <x:c r="L3064" s="24" t="n">
        <x:v>39.63466666666666</x:v>
      </x:c>
      <x:c r="M3064" s="26" t="n">
        <x:v>0.1</x:v>
      </x:c>
      <x:c r="N3064" s="24" t="n">
        <x:v>72</x:v>
      </x:c>
      <x:c r="O3064" s="28" t="n">
        <x:f>MIN(1,L3064/I3064)</x:f>
        <x:v>0.01981733333333333</x:v>
      </x:c>
      <x:c r="P3064" s="30" t="n">
        <x:f>O3064*J3064*(1+M3064)</x:f>
        <x:v>0.021799066666666665</x:v>
      </x:c>
      <x:c r="Q3064" s="30" t="n">
        <x:f>P3064*N3064</x:f>
        <x:v>1.5695328</x:v>
      </x:c>
      <x:c r="R3064" s="19" t="str">
        <x:v>独立判定</x:v>
      </x:c>
    </x:row>
    <x:row r="3065" ht="19" customHeight="1">
      <x:c r="A3065" s="19" t="str">
        <x:v>D03061</x:v>
      </x:c>
      <x:c r="B3065" s="19" t="n">
        <x:v>6</x:v>
      </x:c>
      <x:c r="C3065" s="19" t="n">
        <x:v>3</x:v>
      </x:c>
      <x:c r="D3065" s="19" t="str">
        <x:v>C06-M029</x:v>
      </x:c>
      <x:c r="E3065" s="19" t="str">
        <x:v>神殿执矛僧</x:v>
      </x:c>
      <x:c r="F3065" s="19" t="str">
        <x:v>普通</x:v>
      </x:c>
      <x:c r="G3065" s="19" t="str">
        <x:v>材料独立候选</x:v>
      </x:c>
      <x:c r="H3065" s="19" t="str">
        <x:v>熔原罪火残章</x:v>
      </x:c>
      <x:c r="I3065" s="22" t="n">
        <x:v>1800000</x:v>
      </x:c>
      <x:c r="J3065" s="22" t="n">
        <x:v>1</x:v>
      </x:c>
      <x:c r="K3065" s="19" t="n">
        <x:v>1</x:v>
      </x:c>
      <x:c r="L3065" s="24" t="n">
        <x:v>39.63466666666666</x:v>
      </x:c>
      <x:c r="M3065" s="26" t="n">
        <x:v>0.1</x:v>
      </x:c>
      <x:c r="N3065" s="24" t="n">
        <x:v>72</x:v>
      </x:c>
      <x:c r="O3065" s="28" t="n">
        <x:f>MIN(1,L3065/I3065)</x:f>
        <x:v>0.000022019259259259257</x:v>
      </x:c>
      <x:c r="P3065" s="30" t="n">
        <x:f>O3065*J3065*(1+M3065)</x:f>
        <x:v>0.000024221185185185184</x:v>
      </x:c>
      <x:c r="Q3065" s="30" t="n">
        <x:f>P3065*N3065</x:f>
        <x:v>0.0017439253333333333</x:v>
      </x:c>
      <x:c r="R3065" s="19" t="str">
        <x:v>独立判定</x:v>
      </x:c>
    </x:row>
    <x:row r="3066" ht="19" customHeight="1">
      <x:c r="A3066" s="19" t="str">
        <x:v>D03062</x:v>
      </x:c>
      <x:c r="B3066" s="19" t="n">
        <x:v>6</x:v>
      </x:c>
      <x:c r="C3066" s="19" t="n">
        <x:v>3</x:v>
      </x:c>
      <x:c r="D3066" s="19" t="str">
        <x:v>C06-M029</x:v>
      </x:c>
      <x:c r="E3066" s="19" t="str">
        <x:v>神殿执矛僧</x:v>
      </x:c>
      <x:c r="F3066" s="19" t="str">
        <x:v>普通</x:v>
      </x:c>
      <x:c r="G3066" s="19" t="str">
        <x:v>材料独立候选</x:v>
      </x:c>
      <x:c r="H3066" s="19" t="str">
        <x:v>野兽骨片</x:v>
      </x:c>
      <x:c r="I3066" s="22" t="n">
        <x:v>200</x:v>
      </x:c>
      <x:c r="J3066" s="22" t="n">
        <x:v>5</x:v>
      </x:c>
      <x:c r="K3066" s="19" t="n">
        <x:v>1</x:v>
      </x:c>
      <x:c r="L3066" s="24" t="n">
        <x:v>39.63466666666666</x:v>
      </x:c>
      <x:c r="M3066" s="26" t="n">
        <x:v>0.1</x:v>
      </x:c>
      <x:c r="N3066" s="24" t="n">
        <x:v>72</x:v>
      </x:c>
      <x:c r="O3066" s="28" t="n">
        <x:f>MIN(1,L3066/I3066)</x:f>
        <x:v>0.1981733333333333</x:v>
      </x:c>
      <x:c r="P3066" s="30" t="n">
        <x:f>O3066*J3066*(1+M3066)</x:f>
        <x:v>1.0899533333333333</x:v>
      </x:c>
      <x:c r="Q3066" s="30" t="n">
        <x:f>P3066*N3066</x:f>
        <x:v>78.47664</x:v>
      </x:c>
      <x:c r="R3066" s="19" t="str">
        <x:v>独立判定</x:v>
      </x:c>
    </x:row>
    <x:row r="3067" ht="19" customHeight="1">
      <x:c r="A3067" s="19" t="str">
        <x:v>D03063</x:v>
      </x:c>
      <x:c r="B3067" s="19" t="n">
        <x:v>6</x:v>
      </x:c>
      <x:c r="C3067" s="19" t="n">
        <x:v>3</x:v>
      </x:c>
      <x:c r="D3067" s="19" t="str">
        <x:v>C06-M029</x:v>
      </x:c>
      <x:c r="E3067" s="19" t="str">
        <x:v>神殿执矛僧</x:v>
      </x:c>
      <x:c r="F3067" s="19" t="str">
        <x:v>普通</x:v>
      </x:c>
      <x:c r="G3067" s="19" t="str">
        <x:v>材料独立候选</x:v>
      </x:c>
      <x:c r="H3067" s="19" t="str">
        <x:v>技能残页</x:v>
      </x:c>
      <x:c r="I3067" s="22" t="n">
        <x:v>1200</x:v>
      </x:c>
      <x:c r="J3067" s="22" t="n">
        <x:v>1</x:v>
      </x:c>
      <x:c r="K3067" s="19" t="n">
        <x:v>1</x:v>
      </x:c>
      <x:c r="L3067" s="24" t="n">
        <x:v>39.63466666666666</x:v>
      </x:c>
      <x:c r="M3067" s="26" t="n">
        <x:v>0.1</x:v>
      </x:c>
      <x:c r="N3067" s="24" t="n">
        <x:v>72</x:v>
      </x:c>
      <x:c r="O3067" s="28" t="n">
        <x:f>MIN(1,L3067/I3067)</x:f>
        <x:v>0.033028888888888885</x:v>
      </x:c>
      <x:c r="P3067" s="30" t="n">
        <x:f>O3067*J3067*(1+M3067)</x:f>
        <x:v>0.036331777777777775</x:v>
      </x:c>
      <x:c r="Q3067" s="30" t="n">
        <x:f>P3067*N3067</x:f>
        <x:v>2.615888</x:v>
      </x:c>
      <x:c r="R3067" s="19" t="str">
        <x:v>独立判定</x:v>
      </x:c>
    </x:row>
    <x:row r="3068" ht="19" customHeight="1">
      <x:c r="A3068" s="19" t="str">
        <x:v>D03064</x:v>
      </x:c>
      <x:c r="B3068" s="19" t="n">
        <x:v>6</x:v>
      </x:c>
      <x:c r="C3068" s="19" t="n">
        <x:v>3</x:v>
      </x:c>
      <x:c r="D3068" s="19" t="str">
        <x:v>C06-M029</x:v>
      </x:c>
      <x:c r="E3068" s="19" t="str">
        <x:v>神殿执矛僧</x:v>
      </x:c>
      <x:c r="F3068" s="19" t="str">
        <x:v>普通</x:v>
      </x:c>
      <x:c r="G3068" s="19" t="str">
        <x:v>材料独立候选</x:v>
      </x:c>
      <x:c r="H3068" s="19" t="str">
        <x:v>小卢恩</x:v>
      </x:c>
      <x:c r="I3068" s="22" t="n">
        <x:v>12000</x:v>
      </x:c>
      <x:c r="J3068" s="22" t="n">
        <x:v>1</x:v>
      </x:c>
      <x:c r="K3068" s="19" t="n">
        <x:v>1</x:v>
      </x:c>
      <x:c r="L3068" s="24" t="n">
        <x:v>39.63466666666666</x:v>
      </x:c>
      <x:c r="M3068" s="26" t="n">
        <x:v>0.1</x:v>
      </x:c>
      <x:c r="N3068" s="24" t="n">
        <x:v>72</x:v>
      </x:c>
      <x:c r="O3068" s="28" t="n">
        <x:f>MIN(1,L3068/I3068)</x:f>
        <x:v>0.003302888888888888</x:v>
      </x:c>
      <x:c r="P3068" s="30" t="n">
        <x:f>O3068*J3068*(1+M3068)</x:f>
        <x:v>0.003633177777777777</x:v>
      </x:c>
      <x:c r="Q3068" s="30" t="n">
        <x:f>P3068*N3068</x:f>
        <x:v>0.26158879999999995</x:v>
      </x:c>
      <x:c r="R3068" s="19" t="str">
        <x:v>独立判定</x:v>
      </x:c>
    </x:row>
    <x:row r="3069" ht="19" customHeight="1">
      <x:c r="A3069" s="19" t="str">
        <x:v>D03065</x:v>
      </x:c>
      <x:c r="B3069" s="19" t="n">
        <x:v>6</x:v>
      </x:c>
      <x:c r="C3069" s="19" t="n">
        <x:v>3</x:v>
      </x:c>
      <x:c r="D3069" s="19" t="str">
        <x:v>C06-M029</x:v>
      </x:c>
      <x:c r="E3069" s="19" t="str">
        <x:v>神殿执矛僧</x:v>
      </x:c>
      <x:c r="F3069" s="19" t="str">
        <x:v>普通</x:v>
      </x:c>
      <x:c r="G3069" s="19" t="str">
        <x:v>六神器公共池</x:v>
      </x:c>
      <x:c r="H3069" s="19" t="str">
        <x:v>POOL006</x:v>
      </x:c>
      <x:c r="I3069" s="22" t="n">
        <x:v>20000000</x:v>
      </x:c>
      <x:c r="J3069" s="22" t="n">
        <x:v>1</x:v>
      </x:c>
      <x:c r="K3069" s="19" t="n">
        <x:v>6</x:v>
      </x:c>
      <x:c r="L3069" s="24" t="n">
        <x:v>39.63466666666666</x:v>
      </x:c>
      <x:c r="M3069" s="26" t="n">
        <x:v>0.1</x:v>
      </x:c>
      <x:c r="N3069" s="24" t="n">
        <x:v>72</x:v>
      </x:c>
      <x:c r="O3069" s="28" t="n">
        <x:f>MIN(1,L3069/I3069)</x:f>
        <x:v>0.000001981733333333333</x:v>
      </x:c>
      <x:c r="P3069" s="30" t="n">
        <x:f>O3069*J3069*(1+M3069)</x:f>
        <x:v>0.0000021799066666666665</x:v>
      </x:c>
      <x:c r="Q3069" s="30" t="n">
        <x:f>P3069*N3069</x:f>
        <x:v>0.00015695327999999998</x:v>
      </x:c>
      <x:c r="R3069" s="19" t="str">
        <x:v>六选一；非6个独立爆率</x:v>
      </x:c>
    </x:row>
    <x:row r="3070" ht="19" customHeight="1">
      <x:c r="A3070" s="19" t="str">
        <x:v>D03066</x:v>
      </x:c>
      <x:c r="B3070" s="19" t="n">
        <x:v>6</x:v>
      </x:c>
      <x:c r="C3070" s="19" t="n">
        <x:v>3</x:v>
      </x:c>
      <x:c r="D3070" s="19" t="str">
        <x:v>C06-M030</x:v>
      </x:c>
      <x:c r="E3070" s="19" t="str">
        <x:v>赤鬃巡巢者</x:v>
      </x:c>
      <x:c r="F3070" s="19" t="str">
        <x:v>普通</x:v>
      </x:c>
      <x:c r="G3070" s="19" t="str">
        <x:v>自身专属</x:v>
      </x:c>
      <x:c r="H3070" s="19" t="str">
        <x:v>赤鬃战靴</x:v>
      </x:c>
      <x:c r="I3070" s="22" t="n">
        <x:v>3000</x:v>
      </x:c>
      <x:c r="J3070" s="22" t="n">
        <x:v>1</x:v>
      </x:c>
      <x:c r="K3070" s="19" t="n">
        <x:v>1</x:v>
      </x:c>
      <x:c r="L3070" s="24" t="n">
        <x:v>39.63466666666666</x:v>
      </x:c>
      <x:c r="M3070" s="26" t="n">
        <x:v>0.1</x:v>
      </x:c>
      <x:c r="N3070" s="24" t="n">
        <x:v>72</x:v>
      </x:c>
      <x:c r="O3070" s="28" t="n">
        <x:f>MIN(1,L3070/I3070)</x:f>
        <x:v>0.013211555555555553</x:v>
      </x:c>
      <x:c r="P3070" s="30" t="n">
        <x:f>O3070*J3070*(1+M3070)</x:f>
        <x:v>0.014532711111111108</x:v>
      </x:c>
      <x:c r="Q3070" s="30" t="n">
        <x:f>P3070*N3070</x:f>
        <x:v>1.0463551999999998</x:v>
      </x:c>
      <x:c r="R3070" s="19" t="str">
        <x:v>独立判定</x:v>
      </x:c>
    </x:row>
    <x:row r="3071" ht="19" customHeight="1">
      <x:c r="A3071" s="19" t="str">
        <x:v>D03067</x:v>
      </x:c>
      <x:c r="B3071" s="19" t="n">
        <x:v>6</x:v>
      </x:c>
      <x:c r="C3071" s="19" t="n">
        <x:v>3</x:v>
      </x:c>
      <x:c r="D3071" s="19" t="str">
        <x:v>C06-M030</x:v>
      </x:c>
      <x:c r="E3071" s="19" t="str">
        <x:v>赤鬃巡巢者</x:v>
      </x:c>
      <x:c r="F3071" s="19" t="str">
        <x:v>普通</x:v>
      </x:c>
      <x:c r="G3071" s="19" t="str">
        <x:v>材料独立候选</x:v>
      </x:c>
      <x:c r="H3071" s="19" t="str">
        <x:v>猩红矿渣</x:v>
      </x:c>
      <x:c r="I3071" s="22" t="n">
        <x:v>600</x:v>
      </x:c>
      <x:c r="J3071" s="22" t="n">
        <x:v>8</x:v>
      </x:c>
      <x:c r="K3071" s="19" t="n">
        <x:v>1</x:v>
      </x:c>
      <x:c r="L3071" s="24" t="n">
        <x:v>39.63466666666666</x:v>
      </x:c>
      <x:c r="M3071" s="26" t="n">
        <x:v>0.1</x:v>
      </x:c>
      <x:c r="N3071" s="24" t="n">
        <x:v>72</x:v>
      </x:c>
      <x:c r="O3071" s="28" t="n">
        <x:f>MIN(1,L3071/I3071)</x:f>
        <x:v>0.06605777777777777</x:v>
      </x:c>
      <x:c r="P3071" s="30" t="n">
        <x:f>O3071*J3071*(1+M3071)</x:f>
        <x:v>0.5813084444444444</x:v>
      </x:c>
      <x:c r="Q3071" s="30" t="n">
        <x:f>P3071*N3071</x:f>
        <x:v>41.854208</x:v>
      </x:c>
      <x:c r="R3071" s="19" t="str">
        <x:v>独立判定</x:v>
      </x:c>
    </x:row>
    <x:row r="3072" ht="19" customHeight="1">
      <x:c r="A3072" s="19" t="str">
        <x:v>D03068</x:v>
      </x:c>
      <x:c r="B3072" s="19" t="n">
        <x:v>6</x:v>
      </x:c>
      <x:c r="C3072" s="19" t="n">
        <x:v>3</x:v>
      </x:c>
      <x:c r="D3072" s="19" t="str">
        <x:v>C06-M030</x:v>
      </x:c>
      <x:c r="E3072" s="19" t="str">
        <x:v>赤鬃巡巢者</x:v>
      </x:c>
      <x:c r="F3072" s="19" t="str">
        <x:v>普通</x:v>
      </x:c>
      <x:c r="G3072" s="19" t="str">
        <x:v>材料独立候选</x:v>
      </x:c>
      <x:c r="H3072" s="19" t="str">
        <x:v>红狮断箭</x:v>
      </x:c>
      <x:c r="I3072" s="22" t="n">
        <x:v>2000</x:v>
      </x:c>
      <x:c r="J3072" s="22" t="n">
        <x:v>1</x:v>
      </x:c>
      <x:c r="K3072" s="19" t="n">
        <x:v>1</x:v>
      </x:c>
      <x:c r="L3072" s="24" t="n">
        <x:v>39.63466666666666</x:v>
      </x:c>
      <x:c r="M3072" s="26" t="n">
        <x:v>0.1</x:v>
      </x:c>
      <x:c r="N3072" s="24" t="n">
        <x:v>72</x:v>
      </x:c>
      <x:c r="O3072" s="28" t="n">
        <x:f>MIN(1,L3072/I3072)</x:f>
        <x:v>0.01981733333333333</x:v>
      </x:c>
      <x:c r="P3072" s="30" t="n">
        <x:f>O3072*J3072*(1+M3072)</x:f>
        <x:v>0.021799066666666665</x:v>
      </x:c>
      <x:c r="Q3072" s="30" t="n">
        <x:f>P3072*N3072</x:f>
        <x:v>1.5695328</x:v>
      </x:c>
      <x:c r="R3072" s="19" t="str">
        <x:v>独立判定</x:v>
      </x:c>
    </x:row>
    <x:row r="3073" ht="19" customHeight="1">
      <x:c r="A3073" s="19" t="str">
        <x:v>D03069</x:v>
      </x:c>
      <x:c r="B3073" s="19" t="n">
        <x:v>6</x:v>
      </x:c>
      <x:c r="C3073" s="19" t="n">
        <x:v>3</x:v>
      </x:c>
      <x:c r="D3073" s="19" t="str">
        <x:v>C06-M030</x:v>
      </x:c>
      <x:c r="E3073" s="19" t="str">
        <x:v>赤鬃巡巢者</x:v>
      </x:c>
      <x:c r="F3073" s="19" t="str">
        <x:v>普通</x:v>
      </x:c>
      <x:c r="G3073" s="19" t="str">
        <x:v>材料独立候选</x:v>
      </x:c>
      <x:c r="H3073" s="19" t="str">
        <x:v>熔原罪火残章</x:v>
      </x:c>
      <x:c r="I3073" s="22" t="n">
        <x:v>1800000</x:v>
      </x:c>
      <x:c r="J3073" s="22" t="n">
        <x:v>1</x:v>
      </x:c>
      <x:c r="K3073" s="19" t="n">
        <x:v>1</x:v>
      </x:c>
      <x:c r="L3073" s="24" t="n">
        <x:v>39.63466666666666</x:v>
      </x:c>
      <x:c r="M3073" s="26" t="n">
        <x:v>0.1</x:v>
      </x:c>
      <x:c r="N3073" s="24" t="n">
        <x:v>72</x:v>
      </x:c>
      <x:c r="O3073" s="28" t="n">
        <x:f>MIN(1,L3073/I3073)</x:f>
        <x:v>0.000022019259259259257</x:v>
      </x:c>
      <x:c r="P3073" s="30" t="n">
        <x:f>O3073*J3073*(1+M3073)</x:f>
        <x:v>0.000024221185185185184</x:v>
      </x:c>
      <x:c r="Q3073" s="30" t="n">
        <x:f>P3073*N3073</x:f>
        <x:v>0.0017439253333333333</x:v>
      </x:c>
      <x:c r="R3073" s="19" t="str">
        <x:v>独立判定</x:v>
      </x:c>
    </x:row>
    <x:row r="3074" ht="19" customHeight="1">
      <x:c r="A3074" s="19" t="str">
        <x:v>D03070</x:v>
      </x:c>
      <x:c r="B3074" s="19" t="n">
        <x:v>6</x:v>
      </x:c>
      <x:c r="C3074" s="19" t="n">
        <x:v>3</x:v>
      </x:c>
      <x:c r="D3074" s="19" t="str">
        <x:v>C06-M030</x:v>
      </x:c>
      <x:c r="E3074" s="19" t="str">
        <x:v>赤鬃巡巢者</x:v>
      </x:c>
      <x:c r="F3074" s="19" t="str">
        <x:v>普通</x:v>
      </x:c>
      <x:c r="G3074" s="19" t="str">
        <x:v>材料独立候选</x:v>
      </x:c>
      <x:c r="H3074" s="19" t="str">
        <x:v>野兽骨片</x:v>
      </x:c>
      <x:c r="I3074" s="22" t="n">
        <x:v>200</x:v>
      </x:c>
      <x:c r="J3074" s="22" t="n">
        <x:v>5</x:v>
      </x:c>
      <x:c r="K3074" s="19" t="n">
        <x:v>1</x:v>
      </x:c>
      <x:c r="L3074" s="24" t="n">
        <x:v>39.63466666666666</x:v>
      </x:c>
      <x:c r="M3074" s="26" t="n">
        <x:v>0.1</x:v>
      </x:c>
      <x:c r="N3074" s="24" t="n">
        <x:v>72</x:v>
      </x:c>
      <x:c r="O3074" s="28" t="n">
        <x:f>MIN(1,L3074/I3074)</x:f>
        <x:v>0.1981733333333333</x:v>
      </x:c>
      <x:c r="P3074" s="30" t="n">
        <x:f>O3074*J3074*(1+M3074)</x:f>
        <x:v>1.0899533333333333</x:v>
      </x:c>
      <x:c r="Q3074" s="30" t="n">
        <x:f>P3074*N3074</x:f>
        <x:v>78.47664</x:v>
      </x:c>
      <x:c r="R3074" s="19" t="str">
        <x:v>独立判定</x:v>
      </x:c>
    </x:row>
    <x:row r="3075" ht="19" customHeight="1">
      <x:c r="A3075" s="19" t="str">
        <x:v>D03071</x:v>
      </x:c>
      <x:c r="B3075" s="19" t="n">
        <x:v>6</x:v>
      </x:c>
      <x:c r="C3075" s="19" t="n">
        <x:v>3</x:v>
      </x:c>
      <x:c r="D3075" s="19" t="str">
        <x:v>C06-M030</x:v>
      </x:c>
      <x:c r="E3075" s="19" t="str">
        <x:v>赤鬃巡巢者</x:v>
      </x:c>
      <x:c r="F3075" s="19" t="str">
        <x:v>普通</x:v>
      </x:c>
      <x:c r="G3075" s="19" t="str">
        <x:v>材料独立候选</x:v>
      </x:c>
      <x:c r="H3075" s="19" t="str">
        <x:v>技能残页</x:v>
      </x:c>
      <x:c r="I3075" s="22" t="n">
        <x:v>1200</x:v>
      </x:c>
      <x:c r="J3075" s="22" t="n">
        <x:v>1</x:v>
      </x:c>
      <x:c r="K3075" s="19" t="n">
        <x:v>1</x:v>
      </x:c>
      <x:c r="L3075" s="24" t="n">
        <x:v>39.63466666666666</x:v>
      </x:c>
      <x:c r="M3075" s="26" t="n">
        <x:v>0.1</x:v>
      </x:c>
      <x:c r="N3075" s="24" t="n">
        <x:v>72</x:v>
      </x:c>
      <x:c r="O3075" s="28" t="n">
        <x:f>MIN(1,L3075/I3075)</x:f>
        <x:v>0.033028888888888885</x:v>
      </x:c>
      <x:c r="P3075" s="30" t="n">
        <x:f>O3075*J3075*(1+M3075)</x:f>
        <x:v>0.036331777777777775</x:v>
      </x:c>
      <x:c r="Q3075" s="30" t="n">
        <x:f>P3075*N3075</x:f>
        <x:v>2.615888</x:v>
      </x:c>
      <x:c r="R3075" s="19" t="str">
        <x:v>独立判定</x:v>
      </x:c>
    </x:row>
    <x:row r="3076" ht="19" customHeight="1">
      <x:c r="A3076" s="19" t="str">
        <x:v>D03072</x:v>
      </x:c>
      <x:c r="B3076" s="19" t="n">
        <x:v>6</x:v>
      </x:c>
      <x:c r="C3076" s="19" t="n">
        <x:v>3</x:v>
      </x:c>
      <x:c r="D3076" s="19" t="str">
        <x:v>C06-M030</x:v>
      </x:c>
      <x:c r="E3076" s="19" t="str">
        <x:v>赤鬃巡巢者</x:v>
      </x:c>
      <x:c r="F3076" s="19" t="str">
        <x:v>普通</x:v>
      </x:c>
      <x:c r="G3076" s="19" t="str">
        <x:v>材料独立候选</x:v>
      </x:c>
      <x:c r="H3076" s="19" t="str">
        <x:v>小卢恩</x:v>
      </x:c>
      <x:c r="I3076" s="22" t="n">
        <x:v>12000</x:v>
      </x:c>
      <x:c r="J3076" s="22" t="n">
        <x:v>1</x:v>
      </x:c>
      <x:c r="K3076" s="19" t="n">
        <x:v>1</x:v>
      </x:c>
      <x:c r="L3076" s="24" t="n">
        <x:v>39.63466666666666</x:v>
      </x:c>
      <x:c r="M3076" s="26" t="n">
        <x:v>0.1</x:v>
      </x:c>
      <x:c r="N3076" s="24" t="n">
        <x:v>72</x:v>
      </x:c>
      <x:c r="O3076" s="28" t="n">
        <x:f>MIN(1,L3076/I3076)</x:f>
        <x:v>0.003302888888888888</x:v>
      </x:c>
      <x:c r="P3076" s="30" t="n">
        <x:f>O3076*J3076*(1+M3076)</x:f>
        <x:v>0.003633177777777777</x:v>
      </x:c>
      <x:c r="Q3076" s="30" t="n">
        <x:f>P3076*N3076</x:f>
        <x:v>0.26158879999999995</x:v>
      </x:c>
      <x:c r="R3076" s="19" t="str">
        <x:v>独立判定</x:v>
      </x:c>
    </x:row>
    <x:row r="3077" ht="19" customHeight="1">
      <x:c r="A3077" s="19" t="str">
        <x:v>D03073</x:v>
      </x:c>
      <x:c r="B3077" s="19" t="n">
        <x:v>6</x:v>
      </x:c>
      <x:c r="C3077" s="19" t="n">
        <x:v>3</x:v>
      </x:c>
      <x:c r="D3077" s="19" t="str">
        <x:v>C06-M030</x:v>
      </x:c>
      <x:c r="E3077" s="19" t="str">
        <x:v>赤鬃巡巢者</x:v>
      </x:c>
      <x:c r="F3077" s="19" t="str">
        <x:v>普通</x:v>
      </x:c>
      <x:c r="G3077" s="19" t="str">
        <x:v>六神器公共池</x:v>
      </x:c>
      <x:c r="H3077" s="19" t="str">
        <x:v>POOL006</x:v>
      </x:c>
      <x:c r="I3077" s="22" t="n">
        <x:v>20000000</x:v>
      </x:c>
      <x:c r="J3077" s="22" t="n">
        <x:v>1</x:v>
      </x:c>
      <x:c r="K3077" s="19" t="n">
        <x:v>6</x:v>
      </x:c>
      <x:c r="L3077" s="24" t="n">
        <x:v>39.63466666666666</x:v>
      </x:c>
      <x:c r="M3077" s="26" t="n">
        <x:v>0.1</x:v>
      </x:c>
      <x:c r="N3077" s="24" t="n">
        <x:v>72</x:v>
      </x:c>
      <x:c r="O3077" s="28" t="n">
        <x:f>MIN(1,L3077/I3077)</x:f>
        <x:v>0.000001981733333333333</x:v>
      </x:c>
      <x:c r="P3077" s="30" t="n">
        <x:f>O3077*J3077*(1+M3077)</x:f>
        <x:v>0.0000021799066666666665</x:v>
      </x:c>
      <x:c r="Q3077" s="30" t="n">
        <x:f>P3077*N3077</x:f>
        <x:v>0.00015695327999999998</x:v>
      </x:c>
      <x:c r="R3077" s="19" t="str">
        <x:v>六选一；非6个独立爆率</x:v>
      </x:c>
    </x:row>
    <x:row r="3078" ht="19" customHeight="1">
      <x:c r="A3078" s="19" t="str">
        <x:v>D03074</x:v>
      </x:c>
      <x:c r="B3078" s="19" t="n">
        <x:v>6</x:v>
      </x:c>
      <x:c r="C3078" s="19" t="n">
        <x:v>3</x:v>
      </x:c>
      <x:c r="D3078" s="19" t="str">
        <x:v>C06-M031</x:v>
      </x:c>
      <x:c r="E3078" s="19" t="str">
        <x:v>龙火驯兽师</x:v>
      </x:c>
      <x:c r="F3078" s="19" t="str">
        <x:v>稀有</x:v>
      </x:c>
      <x:c r="G3078" s="19" t="str">
        <x:v>自身专属</x:v>
      </x:c>
      <x:c r="H3078" s="19" t="str">
        <x:v>驯火锁链</x:v>
      </x:c>
      <x:c r="I3078" s="22" t="n">
        <x:v>800</x:v>
      </x:c>
      <x:c r="J3078" s="22" t="n">
        <x:v>1</x:v>
      </x:c>
      <x:c r="K3078" s="19" t="n">
        <x:v>1</x:v>
      </x:c>
      <x:c r="L3078" s="24" t="n">
        <x:v>39.63466666666666</x:v>
      </x:c>
      <x:c r="M3078" s="26" t="n">
        <x:v>0.1</x:v>
      </x:c>
      <x:c r="N3078" s="24" t="n">
        <x:v>12</x:v>
      </x:c>
      <x:c r="O3078" s="28" t="n">
        <x:f>MIN(1,L3078/I3078)</x:f>
        <x:v>0.04954333333333333</x:v>
      </x:c>
      <x:c r="P3078" s="30" t="n">
        <x:f>O3078*J3078*(1+M3078)</x:f>
        <x:v>0.054497666666666666</x:v>
      </x:c>
      <x:c r="Q3078" s="30" t="n">
        <x:f>P3078*N3078</x:f>
        <x:v>0.653972</x:v>
      </x:c>
      <x:c r="R3078" s="19" t="str">
        <x:v>独立判定</x:v>
      </x:c>
    </x:row>
    <x:row r="3079" ht="19" customHeight="1">
      <x:c r="A3079" s="19" t="str">
        <x:v>D03075</x:v>
      </x:c>
      <x:c r="B3079" s="19" t="n">
        <x:v>6</x:v>
      </x:c>
      <x:c r="C3079" s="19" t="n">
        <x:v>3</x:v>
      </x:c>
      <x:c r="D3079" s="19" t="str">
        <x:v>C06-M031</x:v>
      </x:c>
      <x:c r="E3079" s="19" t="str">
        <x:v>龙火驯兽师</x:v>
      </x:c>
      <x:c r="F3079" s="19" t="str">
        <x:v>稀有</x:v>
      </x:c>
      <x:c r="G3079" s="19" t="str">
        <x:v>材料独立候选</x:v>
      </x:c>
      <x:c r="H3079" s="19" t="str">
        <x:v>猩红矿渣</x:v>
      </x:c>
      <x:c r="I3079" s="22" t="n">
        <x:v>400</x:v>
      </x:c>
      <x:c r="J3079" s="22" t="n">
        <x:v>15</x:v>
      </x:c>
      <x:c r="K3079" s="19" t="n">
        <x:v>1</x:v>
      </x:c>
      <x:c r="L3079" s="24" t="n">
        <x:v>39.63466666666666</x:v>
      </x:c>
      <x:c r="M3079" s="26" t="n">
        <x:v>0.1</x:v>
      </x:c>
      <x:c r="N3079" s="24" t="n">
        <x:v>12</x:v>
      </x:c>
      <x:c r="O3079" s="28" t="n">
        <x:f>MIN(1,L3079/I3079)</x:f>
        <x:v>0.09908666666666666</x:v>
      </x:c>
      <x:c r="P3079" s="30" t="n">
        <x:f>O3079*J3079*(1+M3079)</x:f>
        <x:v>1.63493</x:v>
      </x:c>
      <x:c r="Q3079" s="30" t="n">
        <x:f>P3079*N3079</x:f>
        <x:v>19.61916</x:v>
      </x:c>
      <x:c r="R3079" s="19" t="str">
        <x:v>独立判定</x:v>
      </x:c>
    </x:row>
    <x:row r="3080" ht="19" customHeight="1">
      <x:c r="A3080" s="19" t="str">
        <x:v>D03076</x:v>
      </x:c>
      <x:c r="B3080" s="19" t="n">
        <x:v>6</x:v>
      </x:c>
      <x:c r="C3080" s="19" t="n">
        <x:v>3</x:v>
      </x:c>
      <x:c r="D3080" s="19" t="str">
        <x:v>C06-M031</x:v>
      </x:c>
      <x:c r="E3080" s="19" t="str">
        <x:v>龙火驯兽师</x:v>
      </x:c>
      <x:c r="F3080" s="19" t="str">
        <x:v>稀有</x:v>
      </x:c>
      <x:c r="G3080" s="19" t="str">
        <x:v>材料独立候选</x:v>
      </x:c>
      <x:c r="H3080" s="19" t="str">
        <x:v>龙火鳞</x:v>
      </x:c>
      <x:c r="I3080" s="22" t="n">
        <x:v>1200</x:v>
      </x:c>
      <x:c r="J3080" s="22" t="n">
        <x:v>1</x:v>
      </x:c>
      <x:c r="K3080" s="19" t="n">
        <x:v>1</x:v>
      </x:c>
      <x:c r="L3080" s="24" t="n">
        <x:v>39.63466666666666</x:v>
      </x:c>
      <x:c r="M3080" s="26" t="n">
        <x:v>0.1</x:v>
      </x:c>
      <x:c r="N3080" s="24" t="n">
        <x:v>12</x:v>
      </x:c>
      <x:c r="O3080" s="28" t="n">
        <x:f>MIN(1,L3080/I3080)</x:f>
        <x:v>0.033028888888888885</x:v>
      </x:c>
      <x:c r="P3080" s="30" t="n">
        <x:f>O3080*J3080*(1+M3080)</x:f>
        <x:v>0.036331777777777775</x:v>
      </x:c>
      <x:c r="Q3080" s="30" t="n">
        <x:f>P3080*N3080</x:f>
        <x:v>0.43598133333333333</x:v>
      </x:c>
      <x:c r="R3080" s="19" t="str">
        <x:v>独立判定</x:v>
      </x:c>
    </x:row>
    <x:row r="3081" ht="19" customHeight="1">
      <x:c r="A3081" s="19" t="str">
        <x:v>D03077</x:v>
      </x:c>
      <x:c r="B3081" s="19" t="n">
        <x:v>6</x:v>
      </x:c>
      <x:c r="C3081" s="19" t="n">
        <x:v>3</x:v>
      </x:c>
      <x:c r="D3081" s="19" t="str">
        <x:v>C06-M031</x:v>
      </x:c>
      <x:c r="E3081" s="19" t="str">
        <x:v>龙火驯兽师</x:v>
      </x:c>
      <x:c r="F3081" s="19" t="str">
        <x:v>稀有</x:v>
      </x:c>
      <x:c r="G3081" s="19" t="str">
        <x:v>材料独立候选</x:v>
      </x:c>
      <x:c r="H3081" s="19" t="str">
        <x:v>净火腺囊</x:v>
      </x:c>
      <x:c r="I3081" s="22" t="n">
        <x:v>250</x:v>
      </x:c>
      <x:c r="J3081" s="22" t="n">
        <x:v>1</x:v>
      </x:c>
      <x:c r="K3081" s="19" t="n">
        <x:v>1</x:v>
      </x:c>
      <x:c r="L3081" s="24" t="n">
        <x:v>39.63466666666666</x:v>
      </x:c>
      <x:c r="M3081" s="26" t="n">
        <x:v>0.1</x:v>
      </x:c>
      <x:c r="N3081" s="24" t="n">
        <x:v>12</x:v>
      </x:c>
      <x:c r="O3081" s="28" t="n">
        <x:f>MIN(1,L3081/I3081)</x:f>
        <x:v>0.15853866666666663</x:v>
      </x:c>
      <x:c r="P3081" s="30" t="n">
        <x:f>O3081*J3081*(1+M3081)</x:f>
        <x:v>0.17439253333333332</x:v>
      </x:c>
      <x:c r="Q3081" s="30" t="n">
        <x:f>P3081*N3081</x:f>
        <x:v>2.0927103999999996</x:v>
      </x:c>
      <x:c r="R3081" s="19" t="str">
        <x:v>独立判定</x:v>
      </x:c>
    </x:row>
    <x:row r="3082" ht="19" customHeight="1">
      <x:c r="A3082" s="19" t="str">
        <x:v>D03078</x:v>
      </x:c>
      <x:c r="B3082" s="19" t="n">
        <x:v>6</x:v>
      </x:c>
      <x:c r="C3082" s="19" t="n">
        <x:v>3</x:v>
      </x:c>
      <x:c r="D3082" s="19" t="str">
        <x:v>C06-M031</x:v>
      </x:c>
      <x:c r="E3082" s="19" t="str">
        <x:v>龙火驯兽师</x:v>
      </x:c>
      <x:c r="F3082" s="19" t="str">
        <x:v>稀有</x:v>
      </x:c>
      <x:c r="G3082" s="19" t="str">
        <x:v>材料独立候选</x:v>
      </x:c>
      <x:c r="H3082" s="19" t="str">
        <x:v>熔原罪火残章</x:v>
      </x:c>
      <x:c r="I3082" s="22" t="n">
        <x:v>1200000</x:v>
      </x:c>
      <x:c r="J3082" s="22" t="n">
        <x:v>1</x:v>
      </x:c>
      <x:c r="K3082" s="19" t="n">
        <x:v>1</x:v>
      </x:c>
      <x:c r="L3082" s="24" t="n">
        <x:v>39.63466666666666</x:v>
      </x:c>
      <x:c r="M3082" s="26" t="n">
        <x:v>0.1</x:v>
      </x:c>
      <x:c r="N3082" s="24" t="n">
        <x:v>12</x:v>
      </x:c>
      <x:c r="O3082" s="28" t="n">
        <x:f>MIN(1,L3082/I3082)</x:f>
        <x:v>0.00003302888888888888</x:v>
      </x:c>
      <x:c r="P3082" s="30" t="n">
        <x:f>O3082*J3082*(1+M3082)</x:f>
        <x:v>0.00003633177777777777</x:v>
      </x:c>
      <x:c r="Q3082" s="30" t="n">
        <x:f>P3082*N3082</x:f>
        <x:v>0.00043598133333333327</x:v>
      </x:c>
      <x:c r="R3082" s="19" t="str">
        <x:v>独立判定</x:v>
      </x:c>
    </x:row>
    <x:row r="3083" ht="19" customHeight="1">
      <x:c r="A3083" s="19" t="str">
        <x:v>D03079</x:v>
      </x:c>
      <x:c r="B3083" s="19" t="n">
        <x:v>6</x:v>
      </x:c>
      <x:c r="C3083" s="19" t="n">
        <x:v>3</x:v>
      </x:c>
      <x:c r="D3083" s="19" t="str">
        <x:v>C06-M031</x:v>
      </x:c>
      <x:c r="E3083" s="19" t="str">
        <x:v>龙火驯兽师</x:v>
      </x:c>
      <x:c r="F3083" s="19" t="str">
        <x:v>稀有</x:v>
      </x:c>
      <x:c r="G3083" s="19" t="str">
        <x:v>材料独立候选</x:v>
      </x:c>
      <x:c r="H3083" s="19" t="str">
        <x:v>黄金树芽</x:v>
      </x:c>
      <x:c r="I3083" s="22" t="n">
        <x:v>1200</x:v>
      </x:c>
      <x:c r="J3083" s="22" t="n">
        <x:v>1</x:v>
      </x:c>
      <x:c r="K3083" s="19" t="n">
        <x:v>1</x:v>
      </x:c>
      <x:c r="L3083" s="24" t="n">
        <x:v>39.63466666666666</x:v>
      </x:c>
      <x:c r="M3083" s="26" t="n">
        <x:v>0.1</x:v>
      </x:c>
      <x:c r="N3083" s="24" t="n">
        <x:v>12</x:v>
      </x:c>
      <x:c r="O3083" s="28" t="n">
        <x:f>MIN(1,L3083/I3083)</x:f>
        <x:v>0.033028888888888885</x:v>
      </x:c>
      <x:c r="P3083" s="30" t="n">
        <x:f>O3083*J3083*(1+M3083)</x:f>
        <x:v>0.036331777777777775</x:v>
      </x:c>
      <x:c r="Q3083" s="30" t="n">
        <x:f>P3083*N3083</x:f>
        <x:v>0.43598133333333333</x:v>
      </x:c>
      <x:c r="R3083" s="19" t="str">
        <x:v>独立判定</x:v>
      </x:c>
    </x:row>
    <x:row r="3084" ht="19" customHeight="1">
      <x:c r="A3084" s="19" t="str">
        <x:v>D03080</x:v>
      </x:c>
      <x:c r="B3084" s="19" t="n">
        <x:v>6</x:v>
      </x:c>
      <x:c r="C3084" s="19" t="n">
        <x:v>3</x:v>
      </x:c>
      <x:c r="D3084" s="19" t="str">
        <x:v>C06-M031</x:v>
      </x:c>
      <x:c r="E3084" s="19" t="str">
        <x:v>龙火驯兽师</x:v>
      </x:c>
      <x:c r="F3084" s="19" t="str">
        <x:v>稀有</x:v>
      </x:c>
      <x:c r="G3084" s="19" t="str">
        <x:v>材料独立候选</x:v>
      </x:c>
      <x:c r="H3084" s="19" t="str">
        <x:v>野兽骨片</x:v>
      </x:c>
      <x:c r="I3084" s="22" t="n">
        <x:v>120</x:v>
      </x:c>
      <x:c r="J3084" s="22" t="n">
        <x:v>5</x:v>
      </x:c>
      <x:c r="K3084" s="19" t="n">
        <x:v>1</x:v>
      </x:c>
      <x:c r="L3084" s="24" t="n">
        <x:v>39.63466666666666</x:v>
      </x:c>
      <x:c r="M3084" s="26" t="n">
        <x:v>0.1</x:v>
      </x:c>
      <x:c r="N3084" s="24" t="n">
        <x:v>12</x:v>
      </x:c>
      <x:c r="O3084" s="28" t="n">
        <x:f>MIN(1,L3084/I3084)</x:f>
        <x:v>0.33028888888888885</x:v>
      </x:c>
      <x:c r="P3084" s="30" t="n">
        <x:f>O3084*J3084*(1+M3084)</x:f>
        <x:v>1.8165888888888888</x:v>
      </x:c>
      <x:c r="Q3084" s="30" t="n">
        <x:f>P3084*N3084</x:f>
        <x:v>21.799066666666665</x:v>
      </x:c>
      <x:c r="R3084" s="19" t="str">
        <x:v>独立判定</x:v>
      </x:c>
    </x:row>
    <x:row r="3085" ht="19" customHeight="1">
      <x:c r="A3085" s="19" t="str">
        <x:v>D03081</x:v>
      </x:c>
      <x:c r="B3085" s="19" t="n">
        <x:v>6</x:v>
      </x:c>
      <x:c r="C3085" s="19" t="n">
        <x:v>3</x:v>
      </x:c>
      <x:c r="D3085" s="19" t="str">
        <x:v>C06-M031</x:v>
      </x:c>
      <x:c r="E3085" s="19" t="str">
        <x:v>龙火驯兽师</x:v>
      </x:c>
      <x:c r="F3085" s="19" t="str">
        <x:v>稀有</x:v>
      </x:c>
      <x:c r="G3085" s="19" t="str">
        <x:v>材料独立候选</x:v>
      </x:c>
      <x:c r="H3085" s="19" t="str">
        <x:v>技能残页</x:v>
      </x:c>
      <x:c r="I3085" s="22" t="n">
        <x:v>800</x:v>
      </x:c>
      <x:c r="J3085" s="22" t="n">
        <x:v>1</x:v>
      </x:c>
      <x:c r="K3085" s="19" t="n">
        <x:v>1</x:v>
      </x:c>
      <x:c r="L3085" s="24" t="n">
        <x:v>39.63466666666666</x:v>
      </x:c>
      <x:c r="M3085" s="26" t="n">
        <x:v>0.1</x:v>
      </x:c>
      <x:c r="N3085" s="24" t="n">
        <x:v>12</x:v>
      </x:c>
      <x:c r="O3085" s="28" t="n">
        <x:f>MIN(1,L3085/I3085)</x:f>
        <x:v>0.04954333333333333</x:v>
      </x:c>
      <x:c r="P3085" s="30" t="n">
        <x:f>O3085*J3085*(1+M3085)</x:f>
        <x:v>0.054497666666666666</x:v>
      </x:c>
      <x:c r="Q3085" s="30" t="n">
        <x:f>P3085*N3085</x:f>
        <x:v>0.653972</x:v>
      </x:c>
      <x:c r="R3085" s="19" t="str">
        <x:v>独立判定</x:v>
      </x:c>
    </x:row>
    <x:row r="3086" ht="19" customHeight="1">
      <x:c r="A3086" s="19" t="str">
        <x:v>D03082</x:v>
      </x:c>
      <x:c r="B3086" s="19" t="n">
        <x:v>6</x:v>
      </x:c>
      <x:c r="C3086" s="19" t="n">
        <x:v>3</x:v>
      </x:c>
      <x:c r="D3086" s="19" t="str">
        <x:v>C06-M031</x:v>
      </x:c>
      <x:c r="E3086" s="19" t="str">
        <x:v>龙火驯兽师</x:v>
      </x:c>
      <x:c r="F3086" s="19" t="str">
        <x:v>稀有</x:v>
      </x:c>
      <x:c r="G3086" s="19" t="str">
        <x:v>材料独立候选</x:v>
      </x:c>
      <x:c r="H3086" s="19" t="str">
        <x:v>小卢恩</x:v>
      </x:c>
      <x:c r="I3086" s="22" t="n">
        <x:v>8000</x:v>
      </x:c>
      <x:c r="J3086" s="22" t="n">
        <x:v>1</x:v>
      </x:c>
      <x:c r="K3086" s="19" t="n">
        <x:v>1</x:v>
      </x:c>
      <x:c r="L3086" s="24" t="n">
        <x:v>39.63466666666666</x:v>
      </x:c>
      <x:c r="M3086" s="26" t="n">
        <x:v>0.1</x:v>
      </x:c>
      <x:c r="N3086" s="24" t="n">
        <x:v>12</x:v>
      </x:c>
      <x:c r="O3086" s="28" t="n">
        <x:f>MIN(1,L3086/I3086)</x:f>
        <x:v>0.004954333333333332</x:v>
      </x:c>
      <x:c r="P3086" s="30" t="n">
        <x:f>O3086*J3086*(1+M3086)</x:f>
        <x:v>0.005449766666666666</x:v>
      </x:c>
      <x:c r="Q3086" s="30" t="n">
        <x:f>P3086*N3086</x:f>
        <x:v>0.06539719999999999</x:v>
      </x:c>
      <x:c r="R3086" s="19" t="str">
        <x:v>独立判定</x:v>
      </x:c>
    </x:row>
    <x:row r="3087" ht="19" customHeight="1">
      <x:c r="A3087" s="19" t="str">
        <x:v>D03083</x:v>
      </x:c>
      <x:c r="B3087" s="19" t="n">
        <x:v>6</x:v>
      </x:c>
      <x:c r="C3087" s="19" t="n">
        <x:v>3</x:v>
      </x:c>
      <x:c r="D3087" s="19" t="str">
        <x:v>C06-M031</x:v>
      </x:c>
      <x:c r="E3087" s="19" t="str">
        <x:v>龙火驯兽师</x:v>
      </x:c>
      <x:c r="F3087" s="19" t="str">
        <x:v>稀有</x:v>
      </x:c>
      <x:c r="G3087" s="19" t="str">
        <x:v>六神器公共池</x:v>
      </x:c>
      <x:c r="H3087" s="19" t="str">
        <x:v>POOL006</x:v>
      </x:c>
      <x:c r="I3087" s="22" t="n">
        <x:v>5000000</x:v>
      </x:c>
      <x:c r="J3087" s="22" t="n">
        <x:v>1</x:v>
      </x:c>
      <x:c r="K3087" s="19" t="n">
        <x:v>6</x:v>
      </x:c>
      <x:c r="L3087" s="24" t="n">
        <x:v>39.63466666666666</x:v>
      </x:c>
      <x:c r="M3087" s="26" t="n">
        <x:v>0.1</x:v>
      </x:c>
      <x:c r="N3087" s="24" t="n">
        <x:v>12</x:v>
      </x:c>
      <x:c r="O3087" s="28" t="n">
        <x:f>MIN(1,L3087/I3087)</x:f>
        <x:v>0.000007926933333333332</x:v>
      </x:c>
      <x:c r="P3087" s="30" t="n">
        <x:f>O3087*J3087*(1+M3087)</x:f>
        <x:v>0.000008719626666666666</x:v>
      </x:c>
      <x:c r="Q3087" s="30" t="n">
        <x:f>P3087*N3087</x:f>
        <x:v>0.00010463551999999999</x:v>
      </x:c>
      <x:c r="R3087" s="19" t="str">
        <x:v>六选一；非6个独立爆率</x:v>
      </x:c>
    </x:row>
    <x:row r="3088" ht="19" customHeight="1">
      <x:c r="A3088" s="19" t="str">
        <x:v>D03084</x:v>
      </x:c>
      <x:c r="B3088" s="19" t="n">
        <x:v>6</x:v>
      </x:c>
      <x:c r="C3088" s="19" t="n">
        <x:v>3</x:v>
      </x:c>
      <x:c r="D3088" s="19" t="str">
        <x:v>C06-M032</x:v>
      </x:c>
      <x:c r="E3088" s="19" t="str">
        <x:v>红狮斩翼骑</x:v>
      </x:c>
      <x:c r="F3088" s="19" t="str">
        <x:v>稀有</x:v>
      </x:c>
      <x:c r="G3088" s="19" t="str">
        <x:v>自身专属</x:v>
      </x:c>
      <x:c r="H3088" s="19" t="str">
        <x:v>斩翼腰封</x:v>
      </x:c>
      <x:c r="I3088" s="22" t="n">
        <x:v>800</x:v>
      </x:c>
      <x:c r="J3088" s="22" t="n">
        <x:v>1</x:v>
      </x:c>
      <x:c r="K3088" s="19" t="n">
        <x:v>1</x:v>
      </x:c>
      <x:c r="L3088" s="24" t="n">
        <x:v>39.63466666666666</x:v>
      </x:c>
      <x:c r="M3088" s="26" t="n">
        <x:v>0.1</x:v>
      </x:c>
      <x:c r="N3088" s="24" t="n">
        <x:v>12</x:v>
      </x:c>
      <x:c r="O3088" s="28" t="n">
        <x:f>MIN(1,L3088/I3088)</x:f>
        <x:v>0.04954333333333333</x:v>
      </x:c>
      <x:c r="P3088" s="30" t="n">
        <x:f>O3088*J3088*(1+M3088)</x:f>
        <x:v>0.054497666666666666</x:v>
      </x:c>
      <x:c r="Q3088" s="30" t="n">
        <x:f>P3088*N3088</x:f>
        <x:v>0.653972</x:v>
      </x:c>
      <x:c r="R3088" s="19" t="str">
        <x:v>独立判定</x:v>
      </x:c>
    </x:row>
    <x:row r="3089" ht="19" customHeight="1">
      <x:c r="A3089" s="19" t="str">
        <x:v>D03085</x:v>
      </x:c>
      <x:c r="B3089" s="19" t="n">
        <x:v>6</x:v>
      </x:c>
      <x:c r="C3089" s="19" t="n">
        <x:v>3</x:v>
      </x:c>
      <x:c r="D3089" s="19" t="str">
        <x:v>C06-M032</x:v>
      </x:c>
      <x:c r="E3089" s="19" t="str">
        <x:v>红狮斩翼骑</x:v>
      </x:c>
      <x:c r="F3089" s="19" t="str">
        <x:v>稀有</x:v>
      </x:c>
      <x:c r="G3089" s="19" t="str">
        <x:v>材料独立候选</x:v>
      </x:c>
      <x:c r="H3089" s="19" t="str">
        <x:v>猩红矿渣</x:v>
      </x:c>
      <x:c r="I3089" s="22" t="n">
        <x:v>400</x:v>
      </x:c>
      <x:c r="J3089" s="22" t="n">
        <x:v>15</x:v>
      </x:c>
      <x:c r="K3089" s="19" t="n">
        <x:v>1</x:v>
      </x:c>
      <x:c r="L3089" s="24" t="n">
        <x:v>39.63466666666666</x:v>
      </x:c>
      <x:c r="M3089" s="26" t="n">
        <x:v>0.1</x:v>
      </x:c>
      <x:c r="N3089" s="24" t="n">
        <x:v>12</x:v>
      </x:c>
      <x:c r="O3089" s="28" t="n">
        <x:f>MIN(1,L3089/I3089)</x:f>
        <x:v>0.09908666666666666</x:v>
      </x:c>
      <x:c r="P3089" s="30" t="n">
        <x:f>O3089*J3089*(1+M3089)</x:f>
        <x:v>1.63493</x:v>
      </x:c>
      <x:c r="Q3089" s="30" t="n">
        <x:f>P3089*N3089</x:f>
        <x:v>19.61916</x:v>
      </x:c>
      <x:c r="R3089" s="19" t="str">
        <x:v>独立判定</x:v>
      </x:c>
    </x:row>
    <x:row r="3090" ht="19" customHeight="1">
      <x:c r="A3090" s="19" t="str">
        <x:v>D03086</x:v>
      </x:c>
      <x:c r="B3090" s="19" t="n">
        <x:v>6</x:v>
      </x:c>
      <x:c r="C3090" s="19" t="n">
        <x:v>3</x:v>
      </x:c>
      <x:c r="D3090" s="19" t="str">
        <x:v>C06-M032</x:v>
      </x:c>
      <x:c r="E3090" s="19" t="str">
        <x:v>红狮斩翼骑</x:v>
      </x:c>
      <x:c r="F3090" s="19" t="str">
        <x:v>稀有</x:v>
      </x:c>
      <x:c r="G3090" s="19" t="str">
        <x:v>材料独立候选</x:v>
      </x:c>
      <x:c r="H3090" s="19" t="str">
        <x:v>龙火鳞</x:v>
      </x:c>
      <x:c r="I3090" s="22" t="n">
        <x:v>1200</x:v>
      </x:c>
      <x:c r="J3090" s="22" t="n">
        <x:v>1</x:v>
      </x:c>
      <x:c r="K3090" s="19" t="n">
        <x:v>1</x:v>
      </x:c>
      <x:c r="L3090" s="24" t="n">
        <x:v>39.63466666666666</x:v>
      </x:c>
      <x:c r="M3090" s="26" t="n">
        <x:v>0.1</x:v>
      </x:c>
      <x:c r="N3090" s="24" t="n">
        <x:v>12</x:v>
      </x:c>
      <x:c r="O3090" s="28" t="n">
        <x:f>MIN(1,L3090/I3090)</x:f>
        <x:v>0.033028888888888885</x:v>
      </x:c>
      <x:c r="P3090" s="30" t="n">
        <x:f>O3090*J3090*(1+M3090)</x:f>
        <x:v>0.036331777777777775</x:v>
      </x:c>
      <x:c r="Q3090" s="30" t="n">
        <x:f>P3090*N3090</x:f>
        <x:v>0.43598133333333333</x:v>
      </x:c>
      <x:c r="R3090" s="19" t="str">
        <x:v>独立判定</x:v>
      </x:c>
    </x:row>
    <x:row r="3091" ht="19" customHeight="1">
      <x:c r="A3091" s="19" t="str">
        <x:v>D03087</x:v>
      </x:c>
      <x:c r="B3091" s="19" t="n">
        <x:v>6</x:v>
      </x:c>
      <x:c r="C3091" s="19" t="n">
        <x:v>3</x:v>
      </x:c>
      <x:c r="D3091" s="19" t="str">
        <x:v>C06-M032</x:v>
      </x:c>
      <x:c r="E3091" s="19" t="str">
        <x:v>红狮斩翼骑</x:v>
      </x:c>
      <x:c r="F3091" s="19" t="str">
        <x:v>稀有</x:v>
      </x:c>
      <x:c r="G3091" s="19" t="str">
        <x:v>材料独立候选</x:v>
      </x:c>
      <x:c r="H3091" s="19" t="str">
        <x:v>净火腺囊</x:v>
      </x:c>
      <x:c r="I3091" s="22" t="n">
        <x:v>250</x:v>
      </x:c>
      <x:c r="J3091" s="22" t="n">
        <x:v>1</x:v>
      </x:c>
      <x:c r="K3091" s="19" t="n">
        <x:v>1</x:v>
      </x:c>
      <x:c r="L3091" s="24" t="n">
        <x:v>39.63466666666666</x:v>
      </x:c>
      <x:c r="M3091" s="26" t="n">
        <x:v>0.1</x:v>
      </x:c>
      <x:c r="N3091" s="24" t="n">
        <x:v>12</x:v>
      </x:c>
      <x:c r="O3091" s="28" t="n">
        <x:f>MIN(1,L3091/I3091)</x:f>
        <x:v>0.15853866666666663</x:v>
      </x:c>
      <x:c r="P3091" s="30" t="n">
        <x:f>O3091*J3091*(1+M3091)</x:f>
        <x:v>0.17439253333333332</x:v>
      </x:c>
      <x:c r="Q3091" s="30" t="n">
        <x:f>P3091*N3091</x:f>
        <x:v>2.0927103999999996</x:v>
      </x:c>
      <x:c r="R3091" s="19" t="str">
        <x:v>独立判定</x:v>
      </x:c>
    </x:row>
    <x:row r="3092" ht="19" customHeight="1">
      <x:c r="A3092" s="19" t="str">
        <x:v>D03088</x:v>
      </x:c>
      <x:c r="B3092" s="19" t="n">
        <x:v>6</x:v>
      </x:c>
      <x:c r="C3092" s="19" t="n">
        <x:v>3</x:v>
      </x:c>
      <x:c r="D3092" s="19" t="str">
        <x:v>C06-M032</x:v>
      </x:c>
      <x:c r="E3092" s="19" t="str">
        <x:v>红狮斩翼骑</x:v>
      </x:c>
      <x:c r="F3092" s="19" t="str">
        <x:v>稀有</x:v>
      </x:c>
      <x:c r="G3092" s="19" t="str">
        <x:v>材料独立候选</x:v>
      </x:c>
      <x:c r="H3092" s="19" t="str">
        <x:v>熔原罪火残章</x:v>
      </x:c>
      <x:c r="I3092" s="22" t="n">
        <x:v>1200000</x:v>
      </x:c>
      <x:c r="J3092" s="22" t="n">
        <x:v>1</x:v>
      </x:c>
      <x:c r="K3092" s="19" t="n">
        <x:v>1</x:v>
      </x:c>
      <x:c r="L3092" s="24" t="n">
        <x:v>39.63466666666666</x:v>
      </x:c>
      <x:c r="M3092" s="26" t="n">
        <x:v>0.1</x:v>
      </x:c>
      <x:c r="N3092" s="24" t="n">
        <x:v>12</x:v>
      </x:c>
      <x:c r="O3092" s="28" t="n">
        <x:f>MIN(1,L3092/I3092)</x:f>
        <x:v>0.00003302888888888888</x:v>
      </x:c>
      <x:c r="P3092" s="30" t="n">
        <x:f>O3092*J3092*(1+M3092)</x:f>
        <x:v>0.00003633177777777777</x:v>
      </x:c>
      <x:c r="Q3092" s="30" t="n">
        <x:f>P3092*N3092</x:f>
        <x:v>0.00043598133333333327</x:v>
      </x:c>
      <x:c r="R3092" s="19" t="str">
        <x:v>独立判定</x:v>
      </x:c>
    </x:row>
    <x:row r="3093" ht="19" customHeight="1">
      <x:c r="A3093" s="19" t="str">
        <x:v>D03089</x:v>
      </x:c>
      <x:c r="B3093" s="19" t="n">
        <x:v>6</x:v>
      </x:c>
      <x:c r="C3093" s="19" t="n">
        <x:v>3</x:v>
      </x:c>
      <x:c r="D3093" s="19" t="str">
        <x:v>C06-M032</x:v>
      </x:c>
      <x:c r="E3093" s="19" t="str">
        <x:v>红狮斩翼骑</x:v>
      </x:c>
      <x:c r="F3093" s="19" t="str">
        <x:v>稀有</x:v>
      </x:c>
      <x:c r="G3093" s="19" t="str">
        <x:v>材料独立候选</x:v>
      </x:c>
      <x:c r="H3093" s="19" t="str">
        <x:v>黄金树芽</x:v>
      </x:c>
      <x:c r="I3093" s="22" t="n">
        <x:v>1200</x:v>
      </x:c>
      <x:c r="J3093" s="22" t="n">
        <x:v>1</x:v>
      </x:c>
      <x:c r="K3093" s="19" t="n">
        <x:v>1</x:v>
      </x:c>
      <x:c r="L3093" s="24" t="n">
        <x:v>39.63466666666666</x:v>
      </x:c>
      <x:c r="M3093" s="26" t="n">
        <x:v>0.1</x:v>
      </x:c>
      <x:c r="N3093" s="24" t="n">
        <x:v>12</x:v>
      </x:c>
      <x:c r="O3093" s="28" t="n">
        <x:f>MIN(1,L3093/I3093)</x:f>
        <x:v>0.033028888888888885</x:v>
      </x:c>
      <x:c r="P3093" s="30" t="n">
        <x:f>O3093*J3093*(1+M3093)</x:f>
        <x:v>0.036331777777777775</x:v>
      </x:c>
      <x:c r="Q3093" s="30" t="n">
        <x:f>P3093*N3093</x:f>
        <x:v>0.43598133333333333</x:v>
      </x:c>
      <x:c r="R3093" s="19" t="str">
        <x:v>独立判定</x:v>
      </x:c>
    </x:row>
    <x:row r="3094" ht="19" customHeight="1">
      <x:c r="A3094" s="19" t="str">
        <x:v>D03090</x:v>
      </x:c>
      <x:c r="B3094" s="19" t="n">
        <x:v>6</x:v>
      </x:c>
      <x:c r="C3094" s="19" t="n">
        <x:v>3</x:v>
      </x:c>
      <x:c r="D3094" s="19" t="str">
        <x:v>C06-M032</x:v>
      </x:c>
      <x:c r="E3094" s="19" t="str">
        <x:v>红狮斩翼骑</x:v>
      </x:c>
      <x:c r="F3094" s="19" t="str">
        <x:v>稀有</x:v>
      </x:c>
      <x:c r="G3094" s="19" t="str">
        <x:v>材料独立候选</x:v>
      </x:c>
      <x:c r="H3094" s="19" t="str">
        <x:v>野兽骨片</x:v>
      </x:c>
      <x:c r="I3094" s="22" t="n">
        <x:v>120</x:v>
      </x:c>
      <x:c r="J3094" s="22" t="n">
        <x:v>5</x:v>
      </x:c>
      <x:c r="K3094" s="19" t="n">
        <x:v>1</x:v>
      </x:c>
      <x:c r="L3094" s="24" t="n">
        <x:v>39.63466666666666</x:v>
      </x:c>
      <x:c r="M3094" s="26" t="n">
        <x:v>0.1</x:v>
      </x:c>
      <x:c r="N3094" s="24" t="n">
        <x:v>12</x:v>
      </x:c>
      <x:c r="O3094" s="28" t="n">
        <x:f>MIN(1,L3094/I3094)</x:f>
        <x:v>0.33028888888888885</x:v>
      </x:c>
      <x:c r="P3094" s="30" t="n">
        <x:f>O3094*J3094*(1+M3094)</x:f>
        <x:v>1.8165888888888888</x:v>
      </x:c>
      <x:c r="Q3094" s="30" t="n">
        <x:f>P3094*N3094</x:f>
        <x:v>21.799066666666665</x:v>
      </x:c>
      <x:c r="R3094" s="19" t="str">
        <x:v>独立判定</x:v>
      </x:c>
    </x:row>
    <x:row r="3095" ht="19" customHeight="1">
      <x:c r="A3095" s="19" t="str">
        <x:v>D03091</x:v>
      </x:c>
      <x:c r="B3095" s="19" t="n">
        <x:v>6</x:v>
      </x:c>
      <x:c r="C3095" s="19" t="n">
        <x:v>3</x:v>
      </x:c>
      <x:c r="D3095" s="19" t="str">
        <x:v>C06-M032</x:v>
      </x:c>
      <x:c r="E3095" s="19" t="str">
        <x:v>红狮斩翼骑</x:v>
      </x:c>
      <x:c r="F3095" s="19" t="str">
        <x:v>稀有</x:v>
      </x:c>
      <x:c r="G3095" s="19" t="str">
        <x:v>材料独立候选</x:v>
      </x:c>
      <x:c r="H3095" s="19" t="str">
        <x:v>技能残页</x:v>
      </x:c>
      <x:c r="I3095" s="22" t="n">
        <x:v>800</x:v>
      </x:c>
      <x:c r="J3095" s="22" t="n">
        <x:v>1</x:v>
      </x:c>
      <x:c r="K3095" s="19" t="n">
        <x:v>1</x:v>
      </x:c>
      <x:c r="L3095" s="24" t="n">
        <x:v>39.63466666666666</x:v>
      </x:c>
      <x:c r="M3095" s="26" t="n">
        <x:v>0.1</x:v>
      </x:c>
      <x:c r="N3095" s="24" t="n">
        <x:v>12</x:v>
      </x:c>
      <x:c r="O3095" s="28" t="n">
        <x:f>MIN(1,L3095/I3095)</x:f>
        <x:v>0.04954333333333333</x:v>
      </x:c>
      <x:c r="P3095" s="30" t="n">
        <x:f>O3095*J3095*(1+M3095)</x:f>
        <x:v>0.054497666666666666</x:v>
      </x:c>
      <x:c r="Q3095" s="30" t="n">
        <x:f>P3095*N3095</x:f>
        <x:v>0.653972</x:v>
      </x:c>
      <x:c r="R3095" s="19" t="str">
        <x:v>独立判定</x:v>
      </x:c>
    </x:row>
    <x:row r="3096" ht="19" customHeight="1">
      <x:c r="A3096" s="19" t="str">
        <x:v>D03092</x:v>
      </x:c>
      <x:c r="B3096" s="19" t="n">
        <x:v>6</x:v>
      </x:c>
      <x:c r="C3096" s="19" t="n">
        <x:v>3</x:v>
      </x:c>
      <x:c r="D3096" s="19" t="str">
        <x:v>C06-M032</x:v>
      </x:c>
      <x:c r="E3096" s="19" t="str">
        <x:v>红狮斩翼骑</x:v>
      </x:c>
      <x:c r="F3096" s="19" t="str">
        <x:v>稀有</x:v>
      </x:c>
      <x:c r="G3096" s="19" t="str">
        <x:v>材料独立候选</x:v>
      </x:c>
      <x:c r="H3096" s="19" t="str">
        <x:v>小卢恩</x:v>
      </x:c>
      <x:c r="I3096" s="22" t="n">
        <x:v>8000</x:v>
      </x:c>
      <x:c r="J3096" s="22" t="n">
        <x:v>1</x:v>
      </x:c>
      <x:c r="K3096" s="19" t="n">
        <x:v>1</x:v>
      </x:c>
      <x:c r="L3096" s="24" t="n">
        <x:v>39.63466666666666</x:v>
      </x:c>
      <x:c r="M3096" s="26" t="n">
        <x:v>0.1</x:v>
      </x:c>
      <x:c r="N3096" s="24" t="n">
        <x:v>12</x:v>
      </x:c>
      <x:c r="O3096" s="28" t="n">
        <x:f>MIN(1,L3096/I3096)</x:f>
        <x:v>0.004954333333333332</x:v>
      </x:c>
      <x:c r="P3096" s="30" t="n">
        <x:f>O3096*J3096*(1+M3096)</x:f>
        <x:v>0.005449766666666666</x:v>
      </x:c>
      <x:c r="Q3096" s="30" t="n">
        <x:f>P3096*N3096</x:f>
        <x:v>0.06539719999999999</x:v>
      </x:c>
      <x:c r="R3096" s="19" t="str">
        <x:v>独立判定</x:v>
      </x:c>
    </x:row>
    <x:row r="3097" ht="19" customHeight="1">
      <x:c r="A3097" s="19" t="str">
        <x:v>D03093</x:v>
      </x:c>
      <x:c r="B3097" s="19" t="n">
        <x:v>6</x:v>
      </x:c>
      <x:c r="C3097" s="19" t="n">
        <x:v>3</x:v>
      </x:c>
      <x:c r="D3097" s="19" t="str">
        <x:v>C06-M032</x:v>
      </x:c>
      <x:c r="E3097" s="19" t="str">
        <x:v>红狮斩翼骑</x:v>
      </x:c>
      <x:c r="F3097" s="19" t="str">
        <x:v>稀有</x:v>
      </x:c>
      <x:c r="G3097" s="19" t="str">
        <x:v>六神器公共池</x:v>
      </x:c>
      <x:c r="H3097" s="19" t="str">
        <x:v>POOL006</x:v>
      </x:c>
      <x:c r="I3097" s="22" t="n">
        <x:v>5000000</x:v>
      </x:c>
      <x:c r="J3097" s="22" t="n">
        <x:v>1</x:v>
      </x:c>
      <x:c r="K3097" s="19" t="n">
        <x:v>6</x:v>
      </x:c>
      <x:c r="L3097" s="24" t="n">
        <x:v>39.63466666666666</x:v>
      </x:c>
      <x:c r="M3097" s="26" t="n">
        <x:v>0.1</x:v>
      </x:c>
      <x:c r="N3097" s="24" t="n">
        <x:v>12</x:v>
      </x:c>
      <x:c r="O3097" s="28" t="n">
        <x:f>MIN(1,L3097/I3097)</x:f>
        <x:v>0.000007926933333333332</x:v>
      </x:c>
      <x:c r="P3097" s="30" t="n">
        <x:f>O3097*J3097*(1+M3097)</x:f>
        <x:v>0.000008719626666666666</x:v>
      </x:c>
      <x:c r="Q3097" s="30" t="n">
        <x:f>P3097*N3097</x:f>
        <x:v>0.00010463551999999999</x:v>
      </x:c>
      <x:c r="R3097" s="19" t="str">
        <x:v>六选一；非6个独立爆率</x:v>
      </x:c>
    </x:row>
    <x:row r="3098" ht="19" customHeight="1">
      <x:c r="A3098" s="19" t="str">
        <x:v>D03094</x:v>
      </x:c>
      <x:c r="B3098" s="19" t="n">
        <x:v>6</x:v>
      </x:c>
      <x:c r="C3098" s="19" t="n">
        <x:v>3</x:v>
      </x:c>
      <x:c r="D3098" s="19" t="str">
        <x:v>C06-M033</x:v>
      </x:c>
      <x:c r="E3098" s="19" t="str">
        <x:v>赤焰鳞甲将</x:v>
      </x:c>
      <x:c r="F3098" s="19" t="str">
        <x:v>稀有</x:v>
      </x:c>
      <x:c r="G3098" s="19" t="str">
        <x:v>自身专属</x:v>
      </x:c>
      <x:c r="H3098" s="19" t="str">
        <x:v>赤焰塔盾</x:v>
      </x:c>
      <x:c r="I3098" s="22" t="n">
        <x:v>800</x:v>
      </x:c>
      <x:c r="J3098" s="22" t="n">
        <x:v>1</x:v>
      </x:c>
      <x:c r="K3098" s="19" t="n">
        <x:v>1</x:v>
      </x:c>
      <x:c r="L3098" s="24" t="n">
        <x:v>39.63466666666666</x:v>
      </x:c>
      <x:c r="M3098" s="26" t="n">
        <x:v>0.1</x:v>
      </x:c>
      <x:c r="N3098" s="24" t="n">
        <x:v>12</x:v>
      </x:c>
      <x:c r="O3098" s="28" t="n">
        <x:f>MIN(1,L3098/I3098)</x:f>
        <x:v>0.04954333333333333</x:v>
      </x:c>
      <x:c r="P3098" s="30" t="n">
        <x:f>O3098*J3098*(1+M3098)</x:f>
        <x:v>0.054497666666666666</x:v>
      </x:c>
      <x:c r="Q3098" s="30" t="n">
        <x:f>P3098*N3098</x:f>
        <x:v>0.653972</x:v>
      </x:c>
      <x:c r="R3098" s="19" t="str">
        <x:v>独立判定</x:v>
      </x:c>
    </x:row>
    <x:row r="3099" ht="19" customHeight="1">
      <x:c r="A3099" s="19" t="str">
        <x:v>D03095</x:v>
      </x:c>
      <x:c r="B3099" s="19" t="n">
        <x:v>6</x:v>
      </x:c>
      <x:c r="C3099" s="19" t="n">
        <x:v>3</x:v>
      </x:c>
      <x:c r="D3099" s="19" t="str">
        <x:v>C06-M033</x:v>
      </x:c>
      <x:c r="E3099" s="19" t="str">
        <x:v>赤焰鳞甲将</x:v>
      </x:c>
      <x:c r="F3099" s="19" t="str">
        <x:v>稀有</x:v>
      </x:c>
      <x:c r="G3099" s="19" t="str">
        <x:v>材料独立候选</x:v>
      </x:c>
      <x:c r="H3099" s="19" t="str">
        <x:v>猩红矿渣</x:v>
      </x:c>
      <x:c r="I3099" s="22" t="n">
        <x:v>400</x:v>
      </x:c>
      <x:c r="J3099" s="22" t="n">
        <x:v>15</x:v>
      </x:c>
      <x:c r="K3099" s="19" t="n">
        <x:v>1</x:v>
      </x:c>
      <x:c r="L3099" s="24" t="n">
        <x:v>39.63466666666666</x:v>
      </x:c>
      <x:c r="M3099" s="26" t="n">
        <x:v>0.1</x:v>
      </x:c>
      <x:c r="N3099" s="24" t="n">
        <x:v>12</x:v>
      </x:c>
      <x:c r="O3099" s="28" t="n">
        <x:f>MIN(1,L3099/I3099)</x:f>
        <x:v>0.09908666666666666</x:v>
      </x:c>
      <x:c r="P3099" s="30" t="n">
        <x:f>O3099*J3099*(1+M3099)</x:f>
        <x:v>1.63493</x:v>
      </x:c>
      <x:c r="Q3099" s="30" t="n">
        <x:f>P3099*N3099</x:f>
        <x:v>19.61916</x:v>
      </x:c>
      <x:c r="R3099" s="19" t="str">
        <x:v>独立判定</x:v>
      </x:c>
    </x:row>
    <x:row r="3100" ht="19" customHeight="1">
      <x:c r="A3100" s="19" t="str">
        <x:v>D03096</x:v>
      </x:c>
      <x:c r="B3100" s="19" t="n">
        <x:v>6</x:v>
      </x:c>
      <x:c r="C3100" s="19" t="n">
        <x:v>3</x:v>
      </x:c>
      <x:c r="D3100" s="19" t="str">
        <x:v>C06-M033</x:v>
      </x:c>
      <x:c r="E3100" s="19" t="str">
        <x:v>赤焰鳞甲将</x:v>
      </x:c>
      <x:c r="F3100" s="19" t="str">
        <x:v>稀有</x:v>
      </x:c>
      <x:c r="G3100" s="19" t="str">
        <x:v>材料独立候选</x:v>
      </x:c>
      <x:c r="H3100" s="19" t="str">
        <x:v>龙火鳞</x:v>
      </x:c>
      <x:c r="I3100" s="22" t="n">
        <x:v>1200</x:v>
      </x:c>
      <x:c r="J3100" s="22" t="n">
        <x:v>1</x:v>
      </x:c>
      <x:c r="K3100" s="19" t="n">
        <x:v>1</x:v>
      </x:c>
      <x:c r="L3100" s="24" t="n">
        <x:v>39.63466666666666</x:v>
      </x:c>
      <x:c r="M3100" s="26" t="n">
        <x:v>0.1</x:v>
      </x:c>
      <x:c r="N3100" s="24" t="n">
        <x:v>12</x:v>
      </x:c>
      <x:c r="O3100" s="28" t="n">
        <x:f>MIN(1,L3100/I3100)</x:f>
        <x:v>0.033028888888888885</x:v>
      </x:c>
      <x:c r="P3100" s="30" t="n">
        <x:f>O3100*J3100*(1+M3100)</x:f>
        <x:v>0.036331777777777775</x:v>
      </x:c>
      <x:c r="Q3100" s="30" t="n">
        <x:f>P3100*N3100</x:f>
        <x:v>0.43598133333333333</x:v>
      </x:c>
      <x:c r="R3100" s="19" t="str">
        <x:v>独立判定</x:v>
      </x:c>
    </x:row>
    <x:row r="3101" ht="19" customHeight="1">
      <x:c r="A3101" s="19" t="str">
        <x:v>D03097</x:v>
      </x:c>
      <x:c r="B3101" s="19" t="n">
        <x:v>6</x:v>
      </x:c>
      <x:c r="C3101" s="19" t="n">
        <x:v>3</x:v>
      </x:c>
      <x:c r="D3101" s="19" t="str">
        <x:v>C06-M033</x:v>
      </x:c>
      <x:c r="E3101" s="19" t="str">
        <x:v>赤焰鳞甲将</x:v>
      </x:c>
      <x:c r="F3101" s="19" t="str">
        <x:v>稀有</x:v>
      </x:c>
      <x:c r="G3101" s="19" t="str">
        <x:v>材料独立候选</x:v>
      </x:c>
      <x:c r="H3101" s="19" t="str">
        <x:v>净火腺囊</x:v>
      </x:c>
      <x:c r="I3101" s="22" t="n">
        <x:v>250</x:v>
      </x:c>
      <x:c r="J3101" s="22" t="n">
        <x:v>1</x:v>
      </x:c>
      <x:c r="K3101" s="19" t="n">
        <x:v>1</x:v>
      </x:c>
      <x:c r="L3101" s="24" t="n">
        <x:v>39.63466666666666</x:v>
      </x:c>
      <x:c r="M3101" s="26" t="n">
        <x:v>0.1</x:v>
      </x:c>
      <x:c r="N3101" s="24" t="n">
        <x:v>12</x:v>
      </x:c>
      <x:c r="O3101" s="28" t="n">
        <x:f>MIN(1,L3101/I3101)</x:f>
        <x:v>0.15853866666666663</x:v>
      </x:c>
      <x:c r="P3101" s="30" t="n">
        <x:f>O3101*J3101*(1+M3101)</x:f>
        <x:v>0.17439253333333332</x:v>
      </x:c>
      <x:c r="Q3101" s="30" t="n">
        <x:f>P3101*N3101</x:f>
        <x:v>2.0927103999999996</x:v>
      </x:c>
      <x:c r="R3101" s="19" t="str">
        <x:v>独立判定</x:v>
      </x:c>
    </x:row>
    <x:row r="3102" ht="19" customHeight="1">
      <x:c r="A3102" s="19" t="str">
        <x:v>D03098</x:v>
      </x:c>
      <x:c r="B3102" s="19" t="n">
        <x:v>6</x:v>
      </x:c>
      <x:c r="C3102" s="19" t="n">
        <x:v>3</x:v>
      </x:c>
      <x:c r="D3102" s="19" t="str">
        <x:v>C06-M033</x:v>
      </x:c>
      <x:c r="E3102" s="19" t="str">
        <x:v>赤焰鳞甲将</x:v>
      </x:c>
      <x:c r="F3102" s="19" t="str">
        <x:v>稀有</x:v>
      </x:c>
      <x:c r="G3102" s="19" t="str">
        <x:v>材料独立候选</x:v>
      </x:c>
      <x:c r="H3102" s="19" t="str">
        <x:v>熔原罪火残章</x:v>
      </x:c>
      <x:c r="I3102" s="22" t="n">
        <x:v>1200000</x:v>
      </x:c>
      <x:c r="J3102" s="22" t="n">
        <x:v>1</x:v>
      </x:c>
      <x:c r="K3102" s="19" t="n">
        <x:v>1</x:v>
      </x:c>
      <x:c r="L3102" s="24" t="n">
        <x:v>39.63466666666666</x:v>
      </x:c>
      <x:c r="M3102" s="26" t="n">
        <x:v>0.1</x:v>
      </x:c>
      <x:c r="N3102" s="24" t="n">
        <x:v>12</x:v>
      </x:c>
      <x:c r="O3102" s="28" t="n">
        <x:f>MIN(1,L3102/I3102)</x:f>
        <x:v>0.00003302888888888888</x:v>
      </x:c>
      <x:c r="P3102" s="30" t="n">
        <x:f>O3102*J3102*(1+M3102)</x:f>
        <x:v>0.00003633177777777777</x:v>
      </x:c>
      <x:c r="Q3102" s="30" t="n">
        <x:f>P3102*N3102</x:f>
        <x:v>0.00043598133333333327</x:v>
      </x:c>
      <x:c r="R3102" s="19" t="str">
        <x:v>独立判定</x:v>
      </x:c>
    </x:row>
    <x:row r="3103" ht="19" customHeight="1">
      <x:c r="A3103" s="19" t="str">
        <x:v>D03099</x:v>
      </x:c>
      <x:c r="B3103" s="19" t="n">
        <x:v>6</x:v>
      </x:c>
      <x:c r="C3103" s="19" t="n">
        <x:v>3</x:v>
      </x:c>
      <x:c r="D3103" s="19" t="str">
        <x:v>C06-M033</x:v>
      </x:c>
      <x:c r="E3103" s="19" t="str">
        <x:v>赤焰鳞甲将</x:v>
      </x:c>
      <x:c r="F3103" s="19" t="str">
        <x:v>稀有</x:v>
      </x:c>
      <x:c r="G3103" s="19" t="str">
        <x:v>材料独立候选</x:v>
      </x:c>
      <x:c r="H3103" s="19" t="str">
        <x:v>黄金树芽</x:v>
      </x:c>
      <x:c r="I3103" s="22" t="n">
        <x:v>1200</x:v>
      </x:c>
      <x:c r="J3103" s="22" t="n">
        <x:v>1</x:v>
      </x:c>
      <x:c r="K3103" s="19" t="n">
        <x:v>1</x:v>
      </x:c>
      <x:c r="L3103" s="24" t="n">
        <x:v>39.63466666666666</x:v>
      </x:c>
      <x:c r="M3103" s="26" t="n">
        <x:v>0.1</x:v>
      </x:c>
      <x:c r="N3103" s="24" t="n">
        <x:v>12</x:v>
      </x:c>
      <x:c r="O3103" s="28" t="n">
        <x:f>MIN(1,L3103/I3103)</x:f>
        <x:v>0.033028888888888885</x:v>
      </x:c>
      <x:c r="P3103" s="30" t="n">
        <x:f>O3103*J3103*(1+M3103)</x:f>
        <x:v>0.036331777777777775</x:v>
      </x:c>
      <x:c r="Q3103" s="30" t="n">
        <x:f>P3103*N3103</x:f>
        <x:v>0.43598133333333333</x:v>
      </x:c>
      <x:c r="R3103" s="19" t="str">
        <x:v>独立判定</x:v>
      </x:c>
    </x:row>
    <x:row r="3104" ht="19" customHeight="1">
      <x:c r="A3104" s="19" t="str">
        <x:v>D03100</x:v>
      </x:c>
      <x:c r="B3104" s="19" t="n">
        <x:v>6</x:v>
      </x:c>
      <x:c r="C3104" s="19" t="n">
        <x:v>3</x:v>
      </x:c>
      <x:c r="D3104" s="19" t="str">
        <x:v>C06-M033</x:v>
      </x:c>
      <x:c r="E3104" s="19" t="str">
        <x:v>赤焰鳞甲将</x:v>
      </x:c>
      <x:c r="F3104" s="19" t="str">
        <x:v>稀有</x:v>
      </x:c>
      <x:c r="G3104" s="19" t="str">
        <x:v>材料独立候选</x:v>
      </x:c>
      <x:c r="H3104" s="19" t="str">
        <x:v>野兽骨片</x:v>
      </x:c>
      <x:c r="I3104" s="22" t="n">
        <x:v>120</x:v>
      </x:c>
      <x:c r="J3104" s="22" t="n">
        <x:v>5</x:v>
      </x:c>
      <x:c r="K3104" s="19" t="n">
        <x:v>1</x:v>
      </x:c>
      <x:c r="L3104" s="24" t="n">
        <x:v>39.63466666666666</x:v>
      </x:c>
      <x:c r="M3104" s="26" t="n">
        <x:v>0.1</x:v>
      </x:c>
      <x:c r="N3104" s="24" t="n">
        <x:v>12</x:v>
      </x:c>
      <x:c r="O3104" s="28" t="n">
        <x:f>MIN(1,L3104/I3104)</x:f>
        <x:v>0.33028888888888885</x:v>
      </x:c>
      <x:c r="P3104" s="30" t="n">
        <x:f>O3104*J3104*(1+M3104)</x:f>
        <x:v>1.8165888888888888</x:v>
      </x:c>
      <x:c r="Q3104" s="30" t="n">
        <x:f>P3104*N3104</x:f>
        <x:v>21.799066666666665</x:v>
      </x:c>
      <x:c r="R3104" s="19" t="str">
        <x:v>独立判定</x:v>
      </x:c>
    </x:row>
    <x:row r="3105" ht="19" customHeight="1">
      <x:c r="A3105" s="19" t="str">
        <x:v>D03101</x:v>
      </x:c>
      <x:c r="B3105" s="19" t="n">
        <x:v>6</x:v>
      </x:c>
      <x:c r="C3105" s="19" t="n">
        <x:v>3</x:v>
      </x:c>
      <x:c r="D3105" s="19" t="str">
        <x:v>C06-M033</x:v>
      </x:c>
      <x:c r="E3105" s="19" t="str">
        <x:v>赤焰鳞甲将</x:v>
      </x:c>
      <x:c r="F3105" s="19" t="str">
        <x:v>稀有</x:v>
      </x:c>
      <x:c r="G3105" s="19" t="str">
        <x:v>材料独立候选</x:v>
      </x:c>
      <x:c r="H3105" s="19" t="str">
        <x:v>技能残页</x:v>
      </x:c>
      <x:c r="I3105" s="22" t="n">
        <x:v>800</x:v>
      </x:c>
      <x:c r="J3105" s="22" t="n">
        <x:v>1</x:v>
      </x:c>
      <x:c r="K3105" s="19" t="n">
        <x:v>1</x:v>
      </x:c>
      <x:c r="L3105" s="24" t="n">
        <x:v>39.63466666666666</x:v>
      </x:c>
      <x:c r="M3105" s="26" t="n">
        <x:v>0.1</x:v>
      </x:c>
      <x:c r="N3105" s="24" t="n">
        <x:v>12</x:v>
      </x:c>
      <x:c r="O3105" s="28" t="n">
        <x:f>MIN(1,L3105/I3105)</x:f>
        <x:v>0.04954333333333333</x:v>
      </x:c>
      <x:c r="P3105" s="30" t="n">
        <x:f>O3105*J3105*(1+M3105)</x:f>
        <x:v>0.054497666666666666</x:v>
      </x:c>
      <x:c r="Q3105" s="30" t="n">
        <x:f>P3105*N3105</x:f>
        <x:v>0.653972</x:v>
      </x:c>
      <x:c r="R3105" s="19" t="str">
        <x:v>独立判定</x:v>
      </x:c>
    </x:row>
    <x:row r="3106" ht="19" customHeight="1">
      <x:c r="A3106" s="19" t="str">
        <x:v>D03102</x:v>
      </x:c>
      <x:c r="B3106" s="19" t="n">
        <x:v>6</x:v>
      </x:c>
      <x:c r="C3106" s="19" t="n">
        <x:v>3</x:v>
      </x:c>
      <x:c r="D3106" s="19" t="str">
        <x:v>C06-M033</x:v>
      </x:c>
      <x:c r="E3106" s="19" t="str">
        <x:v>赤焰鳞甲将</x:v>
      </x:c>
      <x:c r="F3106" s="19" t="str">
        <x:v>稀有</x:v>
      </x:c>
      <x:c r="G3106" s="19" t="str">
        <x:v>材料独立候选</x:v>
      </x:c>
      <x:c r="H3106" s="19" t="str">
        <x:v>小卢恩</x:v>
      </x:c>
      <x:c r="I3106" s="22" t="n">
        <x:v>8000</x:v>
      </x:c>
      <x:c r="J3106" s="22" t="n">
        <x:v>1</x:v>
      </x:c>
      <x:c r="K3106" s="19" t="n">
        <x:v>1</x:v>
      </x:c>
      <x:c r="L3106" s="24" t="n">
        <x:v>39.63466666666666</x:v>
      </x:c>
      <x:c r="M3106" s="26" t="n">
        <x:v>0.1</x:v>
      </x:c>
      <x:c r="N3106" s="24" t="n">
        <x:v>12</x:v>
      </x:c>
      <x:c r="O3106" s="28" t="n">
        <x:f>MIN(1,L3106/I3106)</x:f>
        <x:v>0.004954333333333332</x:v>
      </x:c>
      <x:c r="P3106" s="30" t="n">
        <x:f>O3106*J3106*(1+M3106)</x:f>
        <x:v>0.005449766666666666</x:v>
      </x:c>
      <x:c r="Q3106" s="30" t="n">
        <x:f>P3106*N3106</x:f>
        <x:v>0.06539719999999999</x:v>
      </x:c>
      <x:c r="R3106" s="19" t="str">
        <x:v>独立判定</x:v>
      </x:c>
    </x:row>
    <x:row r="3107" ht="19" customHeight="1">
      <x:c r="A3107" s="19" t="str">
        <x:v>D03103</x:v>
      </x:c>
      <x:c r="B3107" s="19" t="n">
        <x:v>6</x:v>
      </x:c>
      <x:c r="C3107" s="19" t="n">
        <x:v>3</x:v>
      </x:c>
      <x:c r="D3107" s="19" t="str">
        <x:v>C06-M033</x:v>
      </x:c>
      <x:c r="E3107" s="19" t="str">
        <x:v>赤焰鳞甲将</x:v>
      </x:c>
      <x:c r="F3107" s="19" t="str">
        <x:v>稀有</x:v>
      </x:c>
      <x:c r="G3107" s="19" t="str">
        <x:v>六神器公共池</x:v>
      </x:c>
      <x:c r="H3107" s="19" t="str">
        <x:v>POOL006</x:v>
      </x:c>
      <x:c r="I3107" s="22" t="n">
        <x:v>5000000</x:v>
      </x:c>
      <x:c r="J3107" s="22" t="n">
        <x:v>1</x:v>
      </x:c>
      <x:c r="K3107" s="19" t="n">
        <x:v>6</x:v>
      </x:c>
      <x:c r="L3107" s="24" t="n">
        <x:v>39.63466666666666</x:v>
      </x:c>
      <x:c r="M3107" s="26" t="n">
        <x:v>0.1</x:v>
      </x:c>
      <x:c r="N3107" s="24" t="n">
        <x:v>12</x:v>
      </x:c>
      <x:c r="O3107" s="28" t="n">
        <x:f>MIN(1,L3107/I3107)</x:f>
        <x:v>0.000007926933333333332</x:v>
      </x:c>
      <x:c r="P3107" s="30" t="n">
        <x:f>O3107*J3107*(1+M3107)</x:f>
        <x:v>0.000008719626666666666</x:v>
      </x:c>
      <x:c r="Q3107" s="30" t="n">
        <x:f>P3107*N3107</x:f>
        <x:v>0.00010463551999999999</x:v>
      </x:c>
      <x:c r="R3107" s="19" t="str">
        <x:v>六选一；非6个独立爆率</x:v>
      </x:c>
    </x:row>
    <x:row r="3108" ht="19" customHeight="1">
      <x:c r="A3108" s="19" t="str">
        <x:v>D03104</x:v>
      </x:c>
      <x:c r="B3108" s="19" t="n">
        <x:v>6</x:v>
      </x:c>
      <x:c r="C3108" s="19" t="n">
        <x:v>3</x:v>
      </x:c>
      <x:c r="D3108" s="19" t="str">
        <x:v>C06-M034</x:v>
      </x:c>
      <x:c r="E3108" s="19" t="str">
        <x:v>龙巢血祭司</x:v>
      </x:c>
      <x:c r="F3108" s="19" t="str">
        <x:v>稀有</x:v>
      </x:c>
      <x:c r="G3108" s="19" t="str">
        <x:v>自身专属</x:v>
      </x:c>
      <x:c r="H3108" s="19" t="str">
        <x:v>血祭徽章</x:v>
      </x:c>
      <x:c r="I3108" s="22" t="n">
        <x:v>800</x:v>
      </x:c>
      <x:c r="J3108" s="22" t="n">
        <x:v>1</x:v>
      </x:c>
      <x:c r="K3108" s="19" t="n">
        <x:v>1</x:v>
      </x:c>
      <x:c r="L3108" s="24" t="n">
        <x:v>39.63466666666666</x:v>
      </x:c>
      <x:c r="M3108" s="26" t="n">
        <x:v>0.1</x:v>
      </x:c>
      <x:c r="N3108" s="24" t="n">
        <x:v>12</x:v>
      </x:c>
      <x:c r="O3108" s="28" t="n">
        <x:f>MIN(1,L3108/I3108)</x:f>
        <x:v>0.04954333333333333</x:v>
      </x:c>
      <x:c r="P3108" s="30" t="n">
        <x:f>O3108*J3108*(1+M3108)</x:f>
        <x:v>0.054497666666666666</x:v>
      </x:c>
      <x:c r="Q3108" s="30" t="n">
        <x:f>P3108*N3108</x:f>
        <x:v>0.653972</x:v>
      </x:c>
      <x:c r="R3108" s="19" t="str">
        <x:v>独立判定</x:v>
      </x:c>
    </x:row>
    <x:row r="3109" ht="19" customHeight="1">
      <x:c r="A3109" s="19" t="str">
        <x:v>D03105</x:v>
      </x:c>
      <x:c r="B3109" s="19" t="n">
        <x:v>6</x:v>
      </x:c>
      <x:c r="C3109" s="19" t="n">
        <x:v>3</x:v>
      </x:c>
      <x:c r="D3109" s="19" t="str">
        <x:v>C06-M034</x:v>
      </x:c>
      <x:c r="E3109" s="19" t="str">
        <x:v>龙巢血祭司</x:v>
      </x:c>
      <x:c r="F3109" s="19" t="str">
        <x:v>稀有</x:v>
      </x:c>
      <x:c r="G3109" s="19" t="str">
        <x:v>材料独立候选</x:v>
      </x:c>
      <x:c r="H3109" s="19" t="str">
        <x:v>猩红矿渣</x:v>
      </x:c>
      <x:c r="I3109" s="22" t="n">
        <x:v>400</x:v>
      </x:c>
      <x:c r="J3109" s="22" t="n">
        <x:v>15</x:v>
      </x:c>
      <x:c r="K3109" s="19" t="n">
        <x:v>1</x:v>
      </x:c>
      <x:c r="L3109" s="24" t="n">
        <x:v>39.63466666666666</x:v>
      </x:c>
      <x:c r="M3109" s="26" t="n">
        <x:v>0.1</x:v>
      </x:c>
      <x:c r="N3109" s="24" t="n">
        <x:v>12</x:v>
      </x:c>
      <x:c r="O3109" s="28" t="n">
        <x:f>MIN(1,L3109/I3109)</x:f>
        <x:v>0.09908666666666666</x:v>
      </x:c>
      <x:c r="P3109" s="30" t="n">
        <x:f>O3109*J3109*(1+M3109)</x:f>
        <x:v>1.63493</x:v>
      </x:c>
      <x:c r="Q3109" s="30" t="n">
        <x:f>P3109*N3109</x:f>
        <x:v>19.61916</x:v>
      </x:c>
      <x:c r="R3109" s="19" t="str">
        <x:v>独立判定</x:v>
      </x:c>
    </x:row>
    <x:row r="3110" ht="19" customHeight="1">
      <x:c r="A3110" s="19" t="str">
        <x:v>D03106</x:v>
      </x:c>
      <x:c r="B3110" s="19" t="n">
        <x:v>6</x:v>
      </x:c>
      <x:c r="C3110" s="19" t="n">
        <x:v>3</x:v>
      </x:c>
      <x:c r="D3110" s="19" t="str">
        <x:v>C06-M034</x:v>
      </x:c>
      <x:c r="E3110" s="19" t="str">
        <x:v>龙巢血祭司</x:v>
      </x:c>
      <x:c r="F3110" s="19" t="str">
        <x:v>稀有</x:v>
      </x:c>
      <x:c r="G3110" s="19" t="str">
        <x:v>材料独立候选</x:v>
      </x:c>
      <x:c r="H3110" s="19" t="str">
        <x:v>龙火鳞</x:v>
      </x:c>
      <x:c r="I3110" s="22" t="n">
        <x:v>1200</x:v>
      </x:c>
      <x:c r="J3110" s="22" t="n">
        <x:v>1</x:v>
      </x:c>
      <x:c r="K3110" s="19" t="n">
        <x:v>1</x:v>
      </x:c>
      <x:c r="L3110" s="24" t="n">
        <x:v>39.63466666666666</x:v>
      </x:c>
      <x:c r="M3110" s="26" t="n">
        <x:v>0.1</x:v>
      </x:c>
      <x:c r="N3110" s="24" t="n">
        <x:v>12</x:v>
      </x:c>
      <x:c r="O3110" s="28" t="n">
        <x:f>MIN(1,L3110/I3110)</x:f>
        <x:v>0.033028888888888885</x:v>
      </x:c>
      <x:c r="P3110" s="30" t="n">
        <x:f>O3110*J3110*(1+M3110)</x:f>
        <x:v>0.036331777777777775</x:v>
      </x:c>
      <x:c r="Q3110" s="30" t="n">
        <x:f>P3110*N3110</x:f>
        <x:v>0.43598133333333333</x:v>
      </x:c>
      <x:c r="R3110" s="19" t="str">
        <x:v>独立判定</x:v>
      </x:c>
    </x:row>
    <x:row r="3111" ht="19" customHeight="1">
      <x:c r="A3111" s="19" t="str">
        <x:v>D03107</x:v>
      </x:c>
      <x:c r="B3111" s="19" t="n">
        <x:v>6</x:v>
      </x:c>
      <x:c r="C3111" s="19" t="n">
        <x:v>3</x:v>
      </x:c>
      <x:c r="D3111" s="19" t="str">
        <x:v>C06-M034</x:v>
      </x:c>
      <x:c r="E3111" s="19" t="str">
        <x:v>龙巢血祭司</x:v>
      </x:c>
      <x:c r="F3111" s="19" t="str">
        <x:v>稀有</x:v>
      </x:c>
      <x:c r="G3111" s="19" t="str">
        <x:v>材料独立候选</x:v>
      </x:c>
      <x:c r="H3111" s="19" t="str">
        <x:v>净火腺囊</x:v>
      </x:c>
      <x:c r="I3111" s="22" t="n">
        <x:v>250</x:v>
      </x:c>
      <x:c r="J3111" s="22" t="n">
        <x:v>1</x:v>
      </x:c>
      <x:c r="K3111" s="19" t="n">
        <x:v>1</x:v>
      </x:c>
      <x:c r="L3111" s="24" t="n">
        <x:v>39.63466666666666</x:v>
      </x:c>
      <x:c r="M3111" s="26" t="n">
        <x:v>0.1</x:v>
      </x:c>
      <x:c r="N3111" s="24" t="n">
        <x:v>12</x:v>
      </x:c>
      <x:c r="O3111" s="28" t="n">
        <x:f>MIN(1,L3111/I3111)</x:f>
        <x:v>0.15853866666666663</x:v>
      </x:c>
      <x:c r="P3111" s="30" t="n">
        <x:f>O3111*J3111*(1+M3111)</x:f>
        <x:v>0.17439253333333332</x:v>
      </x:c>
      <x:c r="Q3111" s="30" t="n">
        <x:f>P3111*N3111</x:f>
        <x:v>2.0927103999999996</x:v>
      </x:c>
      <x:c r="R3111" s="19" t="str">
        <x:v>独立判定</x:v>
      </x:c>
    </x:row>
    <x:row r="3112" ht="19" customHeight="1">
      <x:c r="A3112" s="19" t="str">
        <x:v>D03108</x:v>
      </x:c>
      <x:c r="B3112" s="19" t="n">
        <x:v>6</x:v>
      </x:c>
      <x:c r="C3112" s="19" t="n">
        <x:v>3</x:v>
      </x:c>
      <x:c r="D3112" s="19" t="str">
        <x:v>C06-M034</x:v>
      </x:c>
      <x:c r="E3112" s="19" t="str">
        <x:v>龙巢血祭司</x:v>
      </x:c>
      <x:c r="F3112" s="19" t="str">
        <x:v>稀有</x:v>
      </x:c>
      <x:c r="G3112" s="19" t="str">
        <x:v>材料独立候选</x:v>
      </x:c>
      <x:c r="H3112" s="19" t="str">
        <x:v>熔原罪火残章</x:v>
      </x:c>
      <x:c r="I3112" s="22" t="n">
        <x:v>1200000</x:v>
      </x:c>
      <x:c r="J3112" s="22" t="n">
        <x:v>1</x:v>
      </x:c>
      <x:c r="K3112" s="19" t="n">
        <x:v>1</x:v>
      </x:c>
      <x:c r="L3112" s="24" t="n">
        <x:v>39.63466666666666</x:v>
      </x:c>
      <x:c r="M3112" s="26" t="n">
        <x:v>0.1</x:v>
      </x:c>
      <x:c r="N3112" s="24" t="n">
        <x:v>12</x:v>
      </x:c>
      <x:c r="O3112" s="28" t="n">
        <x:f>MIN(1,L3112/I3112)</x:f>
        <x:v>0.00003302888888888888</x:v>
      </x:c>
      <x:c r="P3112" s="30" t="n">
        <x:f>O3112*J3112*(1+M3112)</x:f>
        <x:v>0.00003633177777777777</x:v>
      </x:c>
      <x:c r="Q3112" s="30" t="n">
        <x:f>P3112*N3112</x:f>
        <x:v>0.00043598133333333327</x:v>
      </x:c>
      <x:c r="R3112" s="19" t="str">
        <x:v>独立判定</x:v>
      </x:c>
    </x:row>
    <x:row r="3113" ht="19" customHeight="1">
      <x:c r="A3113" s="19" t="str">
        <x:v>D03109</x:v>
      </x:c>
      <x:c r="B3113" s="19" t="n">
        <x:v>6</x:v>
      </x:c>
      <x:c r="C3113" s="19" t="n">
        <x:v>3</x:v>
      </x:c>
      <x:c r="D3113" s="19" t="str">
        <x:v>C06-M034</x:v>
      </x:c>
      <x:c r="E3113" s="19" t="str">
        <x:v>龙巢血祭司</x:v>
      </x:c>
      <x:c r="F3113" s="19" t="str">
        <x:v>稀有</x:v>
      </x:c>
      <x:c r="G3113" s="19" t="str">
        <x:v>材料独立候选</x:v>
      </x:c>
      <x:c r="H3113" s="19" t="str">
        <x:v>黄金树芽</x:v>
      </x:c>
      <x:c r="I3113" s="22" t="n">
        <x:v>1200</x:v>
      </x:c>
      <x:c r="J3113" s="22" t="n">
        <x:v>1</x:v>
      </x:c>
      <x:c r="K3113" s="19" t="n">
        <x:v>1</x:v>
      </x:c>
      <x:c r="L3113" s="24" t="n">
        <x:v>39.63466666666666</x:v>
      </x:c>
      <x:c r="M3113" s="26" t="n">
        <x:v>0.1</x:v>
      </x:c>
      <x:c r="N3113" s="24" t="n">
        <x:v>12</x:v>
      </x:c>
      <x:c r="O3113" s="28" t="n">
        <x:f>MIN(1,L3113/I3113)</x:f>
        <x:v>0.033028888888888885</x:v>
      </x:c>
      <x:c r="P3113" s="30" t="n">
        <x:f>O3113*J3113*(1+M3113)</x:f>
        <x:v>0.036331777777777775</x:v>
      </x:c>
      <x:c r="Q3113" s="30" t="n">
        <x:f>P3113*N3113</x:f>
        <x:v>0.43598133333333333</x:v>
      </x:c>
      <x:c r="R3113" s="19" t="str">
        <x:v>独立判定</x:v>
      </x:c>
    </x:row>
    <x:row r="3114" ht="19" customHeight="1">
      <x:c r="A3114" s="19" t="str">
        <x:v>D03110</x:v>
      </x:c>
      <x:c r="B3114" s="19" t="n">
        <x:v>6</x:v>
      </x:c>
      <x:c r="C3114" s="19" t="n">
        <x:v>3</x:v>
      </x:c>
      <x:c r="D3114" s="19" t="str">
        <x:v>C06-M034</x:v>
      </x:c>
      <x:c r="E3114" s="19" t="str">
        <x:v>龙巢血祭司</x:v>
      </x:c>
      <x:c r="F3114" s="19" t="str">
        <x:v>稀有</x:v>
      </x:c>
      <x:c r="G3114" s="19" t="str">
        <x:v>材料独立候选</x:v>
      </x:c>
      <x:c r="H3114" s="19" t="str">
        <x:v>野兽骨片</x:v>
      </x:c>
      <x:c r="I3114" s="22" t="n">
        <x:v>120</x:v>
      </x:c>
      <x:c r="J3114" s="22" t="n">
        <x:v>5</x:v>
      </x:c>
      <x:c r="K3114" s="19" t="n">
        <x:v>1</x:v>
      </x:c>
      <x:c r="L3114" s="24" t="n">
        <x:v>39.63466666666666</x:v>
      </x:c>
      <x:c r="M3114" s="26" t="n">
        <x:v>0.1</x:v>
      </x:c>
      <x:c r="N3114" s="24" t="n">
        <x:v>12</x:v>
      </x:c>
      <x:c r="O3114" s="28" t="n">
        <x:f>MIN(1,L3114/I3114)</x:f>
        <x:v>0.33028888888888885</x:v>
      </x:c>
      <x:c r="P3114" s="30" t="n">
        <x:f>O3114*J3114*(1+M3114)</x:f>
        <x:v>1.8165888888888888</x:v>
      </x:c>
      <x:c r="Q3114" s="30" t="n">
        <x:f>P3114*N3114</x:f>
        <x:v>21.799066666666665</x:v>
      </x:c>
      <x:c r="R3114" s="19" t="str">
        <x:v>独立判定</x:v>
      </x:c>
    </x:row>
    <x:row r="3115" ht="19" customHeight="1">
      <x:c r="A3115" s="19" t="str">
        <x:v>D03111</x:v>
      </x:c>
      <x:c r="B3115" s="19" t="n">
        <x:v>6</x:v>
      </x:c>
      <x:c r="C3115" s="19" t="n">
        <x:v>3</x:v>
      </x:c>
      <x:c r="D3115" s="19" t="str">
        <x:v>C06-M034</x:v>
      </x:c>
      <x:c r="E3115" s="19" t="str">
        <x:v>龙巢血祭司</x:v>
      </x:c>
      <x:c r="F3115" s="19" t="str">
        <x:v>稀有</x:v>
      </x:c>
      <x:c r="G3115" s="19" t="str">
        <x:v>材料独立候选</x:v>
      </x:c>
      <x:c r="H3115" s="19" t="str">
        <x:v>技能残页</x:v>
      </x:c>
      <x:c r="I3115" s="22" t="n">
        <x:v>800</x:v>
      </x:c>
      <x:c r="J3115" s="22" t="n">
        <x:v>1</x:v>
      </x:c>
      <x:c r="K3115" s="19" t="n">
        <x:v>1</x:v>
      </x:c>
      <x:c r="L3115" s="24" t="n">
        <x:v>39.63466666666666</x:v>
      </x:c>
      <x:c r="M3115" s="26" t="n">
        <x:v>0.1</x:v>
      </x:c>
      <x:c r="N3115" s="24" t="n">
        <x:v>12</x:v>
      </x:c>
      <x:c r="O3115" s="28" t="n">
        <x:f>MIN(1,L3115/I3115)</x:f>
        <x:v>0.04954333333333333</x:v>
      </x:c>
      <x:c r="P3115" s="30" t="n">
        <x:f>O3115*J3115*(1+M3115)</x:f>
        <x:v>0.054497666666666666</x:v>
      </x:c>
      <x:c r="Q3115" s="30" t="n">
        <x:f>P3115*N3115</x:f>
        <x:v>0.653972</x:v>
      </x:c>
      <x:c r="R3115" s="19" t="str">
        <x:v>独立判定</x:v>
      </x:c>
    </x:row>
    <x:row r="3116" ht="19" customHeight="1">
      <x:c r="A3116" s="19" t="str">
        <x:v>D03112</x:v>
      </x:c>
      <x:c r="B3116" s="19" t="n">
        <x:v>6</x:v>
      </x:c>
      <x:c r="C3116" s="19" t="n">
        <x:v>3</x:v>
      </x:c>
      <x:c r="D3116" s="19" t="str">
        <x:v>C06-M034</x:v>
      </x:c>
      <x:c r="E3116" s="19" t="str">
        <x:v>龙巢血祭司</x:v>
      </x:c>
      <x:c r="F3116" s="19" t="str">
        <x:v>稀有</x:v>
      </x:c>
      <x:c r="G3116" s="19" t="str">
        <x:v>材料独立候选</x:v>
      </x:c>
      <x:c r="H3116" s="19" t="str">
        <x:v>小卢恩</x:v>
      </x:c>
      <x:c r="I3116" s="22" t="n">
        <x:v>8000</x:v>
      </x:c>
      <x:c r="J3116" s="22" t="n">
        <x:v>1</x:v>
      </x:c>
      <x:c r="K3116" s="19" t="n">
        <x:v>1</x:v>
      </x:c>
      <x:c r="L3116" s="24" t="n">
        <x:v>39.63466666666666</x:v>
      </x:c>
      <x:c r="M3116" s="26" t="n">
        <x:v>0.1</x:v>
      </x:c>
      <x:c r="N3116" s="24" t="n">
        <x:v>12</x:v>
      </x:c>
      <x:c r="O3116" s="28" t="n">
        <x:f>MIN(1,L3116/I3116)</x:f>
        <x:v>0.004954333333333332</x:v>
      </x:c>
      <x:c r="P3116" s="30" t="n">
        <x:f>O3116*J3116*(1+M3116)</x:f>
        <x:v>0.005449766666666666</x:v>
      </x:c>
      <x:c r="Q3116" s="30" t="n">
        <x:f>P3116*N3116</x:f>
        <x:v>0.06539719999999999</x:v>
      </x:c>
      <x:c r="R3116" s="19" t="str">
        <x:v>独立判定</x:v>
      </x:c>
    </x:row>
    <x:row r="3117" ht="19" customHeight="1">
      <x:c r="A3117" s="19" t="str">
        <x:v>D03113</x:v>
      </x:c>
      <x:c r="B3117" s="19" t="n">
        <x:v>6</x:v>
      </x:c>
      <x:c r="C3117" s="19" t="n">
        <x:v>3</x:v>
      </x:c>
      <x:c r="D3117" s="19" t="str">
        <x:v>C06-M034</x:v>
      </x:c>
      <x:c r="E3117" s="19" t="str">
        <x:v>龙巢血祭司</x:v>
      </x:c>
      <x:c r="F3117" s="19" t="str">
        <x:v>稀有</x:v>
      </x:c>
      <x:c r="G3117" s="19" t="str">
        <x:v>六神器公共池</x:v>
      </x:c>
      <x:c r="H3117" s="19" t="str">
        <x:v>POOL006</x:v>
      </x:c>
      <x:c r="I3117" s="22" t="n">
        <x:v>5000000</x:v>
      </x:c>
      <x:c r="J3117" s="22" t="n">
        <x:v>1</x:v>
      </x:c>
      <x:c r="K3117" s="19" t="n">
        <x:v>6</x:v>
      </x:c>
      <x:c r="L3117" s="24" t="n">
        <x:v>39.63466666666666</x:v>
      </x:c>
      <x:c r="M3117" s="26" t="n">
        <x:v>0.1</x:v>
      </x:c>
      <x:c r="N3117" s="24" t="n">
        <x:v>12</x:v>
      </x:c>
      <x:c r="O3117" s="28" t="n">
        <x:f>MIN(1,L3117/I3117)</x:f>
        <x:v>0.000007926933333333332</x:v>
      </x:c>
      <x:c r="P3117" s="30" t="n">
        <x:f>O3117*J3117*(1+M3117)</x:f>
        <x:v>0.000008719626666666666</x:v>
      </x:c>
      <x:c r="Q3117" s="30" t="n">
        <x:f>P3117*N3117</x:f>
        <x:v>0.00010463551999999999</x:v>
      </x:c>
      <x:c r="R3117" s="19" t="str">
        <x:v>六选一；非6个独立爆率</x:v>
      </x:c>
    </x:row>
    <x:row r="3118" ht="19" customHeight="1">
      <x:c r="A3118" s="19" t="str">
        <x:v>D03114</x:v>
      </x:c>
      <x:c r="B3118" s="19" t="n">
        <x:v>6</x:v>
      </x:c>
      <x:c r="C3118" s="19" t="n">
        <x:v>3</x:v>
      </x:c>
      <x:c r="D3118" s="19" t="str">
        <x:v>C06-M035</x:v>
      </x:c>
      <x:c r="E3118" s="19" t="str">
        <x:v>焚翼古龙·阿格纳</x:v>
      </x:c>
      <x:c r="F3118" s="19" t="str">
        <x:v>地图BOSS</x:v>
      </x:c>
      <x:c r="G3118" s="19" t="str">
        <x:v>自身专属</x:v>
      </x:c>
      <x:c r="H3118" s="19" t="str">
        <x:v>阿格纳龙牙</x:v>
      </x:c>
      <x:c r="I3118" s="22" t="n">
        <x:v>200</x:v>
      </x:c>
      <x:c r="J3118" s="22" t="n">
        <x:v>1</x:v>
      </x:c>
      <x:c r="K3118" s="19" t="n">
        <x:v>1</x:v>
      </x:c>
      <x:c r="L3118" s="24" t="n">
        <x:v>39.63466666666666</x:v>
      </x:c>
      <x:c r="M3118" s="26" t="n">
        <x:v>0.1</x:v>
      </x:c>
      <x:c r="N3118" s="24" t="n">
        <x:v>2</x:v>
      </x:c>
      <x:c r="O3118" s="28" t="n">
        <x:f>MIN(1,L3118/I3118)</x:f>
        <x:v>0.1981733333333333</x:v>
      </x:c>
      <x:c r="P3118" s="30" t="n">
        <x:f>O3118*J3118*(1+M3118)</x:f>
        <x:v>0.21799066666666667</x:v>
      </x:c>
      <x:c r="Q3118" s="30" t="n">
        <x:f>P3118*N3118</x:f>
        <x:v>0.43598133333333333</x:v>
      </x:c>
      <x:c r="R3118" s="19" t="str">
        <x:v>独立判定</x:v>
      </x:c>
    </x:row>
    <x:row r="3119" ht="19" customHeight="1">
      <x:c r="A3119" s="19" t="str">
        <x:v>D03115</x:v>
      </x:c>
      <x:c r="B3119" s="19" t="n">
        <x:v>6</x:v>
      </x:c>
      <x:c r="C3119" s="19" t="n">
        <x:v>3</x:v>
      </x:c>
      <x:c r="D3119" s="19" t="str">
        <x:v>C06-M035</x:v>
      </x:c>
      <x:c r="E3119" s="19" t="str">
        <x:v>焚翼古龙·阿格纳</x:v>
      </x:c>
      <x:c r="F3119" s="19" t="str">
        <x:v>地图BOSS</x:v>
      </x:c>
      <x:c r="G3119" s="19" t="str">
        <x:v>自身专属</x:v>
      </x:c>
      <x:c r="H3119" s="19" t="str">
        <x:v>红沙王戒</x:v>
      </x:c>
      <x:c r="I3119" s="22" t="n">
        <x:v>200</x:v>
      </x:c>
      <x:c r="J3119" s="22" t="n">
        <x:v>1</x:v>
      </x:c>
      <x:c r="K3119" s="19" t="n">
        <x:v>1</x:v>
      </x:c>
      <x:c r="L3119" s="24" t="n">
        <x:v>39.63466666666666</x:v>
      </x:c>
      <x:c r="M3119" s="26" t="n">
        <x:v>0.1</x:v>
      </x:c>
      <x:c r="N3119" s="24" t="n">
        <x:v>2</x:v>
      </x:c>
      <x:c r="O3119" s="28" t="n">
        <x:f>MIN(1,L3119/I3119)</x:f>
        <x:v>0.1981733333333333</x:v>
      </x:c>
      <x:c r="P3119" s="30" t="n">
        <x:f>O3119*J3119*(1+M3119)</x:f>
        <x:v>0.21799066666666667</x:v>
      </x:c>
      <x:c r="Q3119" s="30" t="n">
        <x:f>P3119*N3119</x:f>
        <x:v>0.43598133333333333</x:v>
      </x:c>
      <x:c r="R3119" s="19" t="str">
        <x:v>独立判定</x:v>
      </x:c>
    </x:row>
    <x:row r="3120" ht="19" customHeight="1">
      <x:c r="A3120" s="19" t="str">
        <x:v>D03116</x:v>
      </x:c>
      <x:c r="B3120" s="19" t="n">
        <x:v>6</x:v>
      </x:c>
      <x:c r="C3120" s="19" t="n">
        <x:v>3</x:v>
      </x:c>
      <x:c r="D3120" s="19" t="str">
        <x:v>C06-M035</x:v>
      </x:c>
      <x:c r="E3120" s="19" t="str">
        <x:v>焚翼古龙·阿格纳</x:v>
      </x:c>
      <x:c r="F3120" s="19" t="str">
        <x:v>地图BOSS</x:v>
      </x:c>
      <x:c r="G3120" s="19" t="str">
        <x:v>本图普通兼掉候选</x:v>
      </x:c>
      <x:c r="H3120" s="19" t="str">
        <x:v>POOL052</x:v>
      </x:c>
      <x:c r="I3120" s="22" t="n">
        <x:v>100</x:v>
      </x:c>
      <x:c r="J3120" s="22" t="n">
        <x:v>1</x:v>
      </x:c>
      <x:c r="K3120" s="19" t="n">
        <x:v>1</x:v>
      </x:c>
      <x:c r="L3120" s="24" t="n">
        <x:v>39.63466666666666</x:v>
      </x:c>
      <x:c r="M3120" s="26" t="n">
        <x:v>0.1</x:v>
      </x:c>
      <x:c r="N3120" s="24" t="n">
        <x:v>2</x:v>
      </x:c>
      <x:c r="O3120" s="28" t="n">
        <x:f>MIN(1,L3120/I3120)</x:f>
        <x:v>0.3963466666666666</x:v>
      </x:c>
      <x:c r="P3120" s="30" t="n">
        <x:f>O3120*J3120*(1+M3120)</x:f>
        <x:v>0.43598133333333333</x:v>
      </x:c>
      <x:c r="Q3120" s="30" t="n">
        <x:f>P3120*N3120</x:f>
        <x:v>0.8719626666666667</x:v>
      </x:c>
      <x:c r="R3120" s="19" t="str">
        <x:v>单池选一</x:v>
      </x:c>
    </x:row>
    <x:row r="3121" ht="19" customHeight="1">
      <x:c r="A3121" s="19" t="str">
        <x:v>D03117</x:v>
      </x:c>
      <x:c r="B3121" s="19" t="n">
        <x:v>6</x:v>
      </x:c>
      <x:c r="C3121" s="19" t="n">
        <x:v>3</x:v>
      </x:c>
      <x:c r="D3121" s="19" t="str">
        <x:v>C06-M035</x:v>
      </x:c>
      <x:c r="E3121" s="19" t="str">
        <x:v>焚翼古龙·阿格纳</x:v>
      </x:c>
      <x:c r="F3121" s="19" t="str">
        <x:v>地图BOSS</x:v>
      </x:c>
      <x:c r="G3121" s="19" t="str">
        <x:v>材料独立候选</x:v>
      </x:c>
      <x:c r="H3121" s="19" t="str">
        <x:v>猩红矿渣</x:v>
      </x:c>
      <x:c r="I3121" s="22" t="n">
        <x:v>250</x:v>
      </x:c>
      <x:c r="J3121" s="22" t="n">
        <x:v>30</x:v>
      </x:c>
      <x:c r="K3121" s="19" t="n">
        <x:v>1</x:v>
      </x:c>
      <x:c r="L3121" s="24" t="n">
        <x:v>39.63466666666666</x:v>
      </x:c>
      <x:c r="M3121" s="26" t="n">
        <x:v>0.1</x:v>
      </x:c>
      <x:c r="N3121" s="24" t="n">
        <x:v>2</x:v>
      </x:c>
      <x:c r="O3121" s="28" t="n">
        <x:f>MIN(1,L3121/I3121)</x:f>
        <x:v>0.15853866666666663</x:v>
      </x:c>
      <x:c r="P3121" s="30" t="n">
        <x:f>O3121*J3121*(1+M3121)</x:f>
        <x:v>5.231775999999999</x:v>
      </x:c>
      <x:c r="Q3121" s="30" t="n">
        <x:f>P3121*N3121</x:f>
        <x:v>10.463551999999998</x:v>
      </x:c>
      <x:c r="R3121" s="19" t="str">
        <x:v>独立判定</x:v>
      </x:c>
    </x:row>
    <x:row r="3122" ht="19" customHeight="1">
      <x:c r="A3122" s="19" t="str">
        <x:v>D03118</x:v>
      </x:c>
      <x:c r="B3122" s="19" t="n">
        <x:v>6</x:v>
      </x:c>
      <x:c r="C3122" s="19" t="n">
        <x:v>3</x:v>
      </x:c>
      <x:c r="D3122" s="19" t="str">
        <x:v>C06-M035</x:v>
      </x:c>
      <x:c r="E3122" s="19" t="str">
        <x:v>焚翼古龙·阿格纳</x:v>
      </x:c>
      <x:c r="F3122" s="19" t="str">
        <x:v>地图BOSS</x:v>
      </x:c>
      <x:c r="G3122" s="19" t="str">
        <x:v>材料独立候选</x:v>
      </x:c>
      <x:c r="H3122" s="19" t="str">
        <x:v>龙火鳞</x:v>
      </x:c>
      <x:c r="I3122" s="22" t="n">
        <x:v>600</x:v>
      </x:c>
      <x:c r="J3122" s="22" t="n">
        <x:v>1</x:v>
      </x:c>
      <x:c r="K3122" s="19" t="n">
        <x:v>1</x:v>
      </x:c>
      <x:c r="L3122" s="24" t="n">
        <x:v>39.63466666666666</x:v>
      </x:c>
      <x:c r="M3122" s="26" t="n">
        <x:v>0.1</x:v>
      </x:c>
      <x:c r="N3122" s="24" t="n">
        <x:v>2</x:v>
      </x:c>
      <x:c r="O3122" s="28" t="n">
        <x:f>MIN(1,L3122/I3122)</x:f>
        <x:v>0.06605777777777777</x:v>
      </x:c>
      <x:c r="P3122" s="30" t="n">
        <x:f>O3122*J3122*(1+M3122)</x:f>
        <x:v>0.07266355555555555</x:v>
      </x:c>
      <x:c r="Q3122" s="30" t="n">
        <x:f>P3122*N3122</x:f>
        <x:v>0.1453271111111111</x:v>
      </x:c>
      <x:c r="R3122" s="19" t="str">
        <x:v>独立判定</x:v>
      </x:c>
    </x:row>
    <x:row r="3123" ht="19" customHeight="1">
      <x:c r="A3123" s="19" t="str">
        <x:v>D03119</x:v>
      </x:c>
      <x:c r="B3123" s="19" t="n">
        <x:v>6</x:v>
      </x:c>
      <x:c r="C3123" s="19" t="n">
        <x:v>3</x:v>
      </x:c>
      <x:c r="D3123" s="19" t="str">
        <x:v>C06-M035</x:v>
      </x:c>
      <x:c r="E3123" s="19" t="str">
        <x:v>焚翼古龙·阿格纳</x:v>
      </x:c>
      <x:c r="F3123" s="19" t="str">
        <x:v>地图BOSS</x:v>
      </x:c>
      <x:c r="G3123" s="19" t="str">
        <x:v>材料独立候选</x:v>
      </x:c>
      <x:c r="H3123" s="19" t="str">
        <x:v>红狮战印</x:v>
      </x:c>
      <x:c r="I3123" s="22" t="n">
        <x:v>200</x:v>
      </x:c>
      <x:c r="J3123" s="22" t="n">
        <x:v>5</x:v>
      </x:c>
      <x:c r="K3123" s="19" t="n">
        <x:v>1</x:v>
      </x:c>
      <x:c r="L3123" s="24" t="n">
        <x:v>39.63466666666666</x:v>
      </x:c>
      <x:c r="M3123" s="26" t="n">
        <x:v>0.1</x:v>
      </x:c>
      <x:c r="N3123" s="24" t="n">
        <x:v>2</x:v>
      </x:c>
      <x:c r="O3123" s="28" t="n">
        <x:f>MIN(1,L3123/I3123)</x:f>
        <x:v>0.1981733333333333</x:v>
      </x:c>
      <x:c r="P3123" s="30" t="n">
        <x:f>O3123*J3123*(1+M3123)</x:f>
        <x:v>1.0899533333333333</x:v>
      </x:c>
      <x:c r="Q3123" s="30" t="n">
        <x:f>P3123*N3123</x:f>
        <x:v>2.1799066666666667</x:v>
      </x:c>
      <x:c r="R3123" s="19" t="str">
        <x:v>独立判定</x:v>
      </x:c>
    </x:row>
    <x:row r="3124" ht="19" customHeight="1">
      <x:c r="A3124" s="19" t="str">
        <x:v>D03120</x:v>
      </x:c>
      <x:c r="B3124" s="19" t="n">
        <x:v>6</x:v>
      </x:c>
      <x:c r="C3124" s="19" t="n">
        <x:v>3</x:v>
      </x:c>
      <x:c r="D3124" s="19" t="str">
        <x:v>C06-M035</x:v>
      </x:c>
      <x:c r="E3124" s="19" t="str">
        <x:v>焚翼古龙·阿格纳</x:v>
      </x:c>
      <x:c r="F3124" s="19" t="str">
        <x:v>地图BOSS</x:v>
      </x:c>
      <x:c r="G3124" s="19" t="str">
        <x:v>材料独立候选</x:v>
      </x:c>
      <x:c r="H3124" s="19" t="str">
        <x:v>龙窟熔牙</x:v>
      </x:c>
      <x:c r="I3124" s="22" t="n">
        <x:v>200</x:v>
      </x:c>
      <x:c r="J3124" s="22" t="n">
        <x:v>3</x:v>
      </x:c>
      <x:c r="K3124" s="19" t="n">
        <x:v>1</x:v>
      </x:c>
      <x:c r="L3124" s="24" t="n">
        <x:v>39.63466666666666</x:v>
      </x:c>
      <x:c r="M3124" s="26" t="n">
        <x:v>0.1</x:v>
      </x:c>
      <x:c r="N3124" s="24" t="n">
        <x:v>2</x:v>
      </x:c>
      <x:c r="O3124" s="28" t="n">
        <x:f>MIN(1,L3124/I3124)</x:f>
        <x:v>0.1981733333333333</x:v>
      </x:c>
      <x:c r="P3124" s="30" t="n">
        <x:f>O3124*J3124*(1+M3124)</x:f>
        <x:v>0.653972</x:v>
      </x:c>
      <x:c r="Q3124" s="30" t="n">
        <x:f>P3124*N3124</x:f>
        <x:v>1.307944</x:v>
      </x:c>
      <x:c r="R3124" s="19" t="str">
        <x:v>独立判定</x:v>
      </x:c>
    </x:row>
    <x:row r="3125" ht="19" customHeight="1">
      <x:c r="A3125" s="19" t="str">
        <x:v>D03121</x:v>
      </x:c>
      <x:c r="B3125" s="19" t="n">
        <x:v>6</x:v>
      </x:c>
      <x:c r="C3125" s="19" t="n">
        <x:v>3</x:v>
      </x:c>
      <x:c r="D3125" s="19" t="str">
        <x:v>C06-M035</x:v>
      </x:c>
      <x:c r="E3125" s="19" t="str">
        <x:v>焚翼古龙·阿格纳</x:v>
      </x:c>
      <x:c r="F3125" s="19" t="str">
        <x:v>地图BOSS</x:v>
      </x:c>
      <x:c r="G3125" s="19" t="str">
        <x:v>材料独立候选</x:v>
      </x:c>
      <x:c r="H3125" s="19" t="str">
        <x:v>熔原罪火残章</x:v>
      </x:c>
      <x:c r="I3125" s="22" t="n">
        <x:v>600000</x:v>
      </x:c>
      <x:c r="J3125" s="22" t="n">
        <x:v>1</x:v>
      </x:c>
      <x:c r="K3125" s="19" t="n">
        <x:v>1</x:v>
      </x:c>
      <x:c r="L3125" s="24" t="n">
        <x:v>39.63466666666666</x:v>
      </x:c>
      <x:c r="M3125" s="26" t="n">
        <x:v>0.1</x:v>
      </x:c>
      <x:c r="N3125" s="24" t="n">
        <x:v>2</x:v>
      </x:c>
      <x:c r="O3125" s="28" t="n">
        <x:f>MIN(1,L3125/I3125)</x:f>
        <x:v>0.00006605777777777776</x:v>
      </x:c>
      <x:c r="P3125" s="30" t="n">
        <x:f>O3125*J3125*(1+M3125)</x:f>
        <x:v>0.00007266355555555554</x:v>
      </x:c>
      <x:c r="Q3125" s="30" t="n">
        <x:f>P3125*N3125</x:f>
        <x:v>0.0001453271111111111</x:v>
      </x:c>
      <x:c r="R3125" s="19" t="str">
        <x:v>独立判定</x:v>
      </x:c>
    </x:row>
    <x:row r="3126" ht="19" customHeight="1">
      <x:c r="A3126" s="19" t="str">
        <x:v>D03122</x:v>
      </x:c>
      <x:c r="B3126" s="19" t="n">
        <x:v>6</x:v>
      </x:c>
      <x:c r="C3126" s="19" t="n">
        <x:v>3</x:v>
      </x:c>
      <x:c r="D3126" s="19" t="str">
        <x:v>C06-M035</x:v>
      </x:c>
      <x:c r="E3126" s="19" t="str">
        <x:v>焚翼古龙·阿格纳</x:v>
      </x:c>
      <x:c r="F3126" s="19" t="str">
        <x:v>地图BOSS</x:v>
      </x:c>
      <x:c r="G3126" s="19" t="str">
        <x:v>材料独立候选</x:v>
      </x:c>
      <x:c r="H3126" s="19" t="str">
        <x:v>黄金树芽</x:v>
      </x:c>
      <x:c r="I3126" s="22" t="n">
        <x:v>600</x:v>
      </x:c>
      <x:c r="J3126" s="22" t="n">
        <x:v>1</x:v>
      </x:c>
      <x:c r="K3126" s="19" t="n">
        <x:v>1</x:v>
      </x:c>
      <x:c r="L3126" s="24" t="n">
        <x:v>39.63466666666666</x:v>
      </x:c>
      <x:c r="M3126" s="26" t="n">
        <x:v>0.1</x:v>
      </x:c>
      <x:c r="N3126" s="24" t="n">
        <x:v>2</x:v>
      </x:c>
      <x:c r="O3126" s="28" t="n">
        <x:f>MIN(1,L3126/I3126)</x:f>
        <x:v>0.06605777777777777</x:v>
      </x:c>
      <x:c r="P3126" s="30" t="n">
        <x:f>O3126*J3126*(1+M3126)</x:f>
        <x:v>0.07266355555555555</x:v>
      </x:c>
      <x:c r="Q3126" s="30" t="n">
        <x:f>P3126*N3126</x:f>
        <x:v>0.1453271111111111</x:v>
      </x:c>
      <x:c r="R3126" s="19" t="str">
        <x:v>独立判定</x:v>
      </x:c>
    </x:row>
    <x:row r="3127" ht="19" customHeight="1">
      <x:c r="A3127" s="19" t="str">
        <x:v>D03123</x:v>
      </x:c>
      <x:c r="B3127" s="19" t="n">
        <x:v>6</x:v>
      </x:c>
      <x:c r="C3127" s="19" t="n">
        <x:v>3</x:v>
      </x:c>
      <x:c r="D3127" s="19" t="str">
        <x:v>C06-M035</x:v>
      </x:c>
      <x:c r="E3127" s="19" t="str">
        <x:v>焚翼古龙·阿格纳</x:v>
      </x:c>
      <x:c r="F3127" s="19" t="str">
        <x:v>地图BOSS</x:v>
      </x:c>
      <x:c r="G3127" s="19" t="str">
        <x:v>材料独立候选</x:v>
      </x:c>
      <x:c r="H3127" s="19" t="str">
        <x:v>野兽骨片</x:v>
      </x:c>
      <x:c r="I3127" s="22" t="n">
        <x:v>80</x:v>
      </x:c>
      <x:c r="J3127" s="22" t="n">
        <x:v>5</x:v>
      </x:c>
      <x:c r="K3127" s="19" t="n">
        <x:v>1</x:v>
      </x:c>
      <x:c r="L3127" s="24" t="n">
        <x:v>39.63466666666666</x:v>
      </x:c>
      <x:c r="M3127" s="26" t="n">
        <x:v>0.1</x:v>
      </x:c>
      <x:c r="N3127" s="24" t="n">
        <x:v>2</x:v>
      </x:c>
      <x:c r="O3127" s="28" t="n">
        <x:f>MIN(1,L3127/I3127)</x:f>
        <x:v>0.4954333333333333</x:v>
      </x:c>
      <x:c r="P3127" s="30" t="n">
        <x:f>O3127*J3127*(1+M3127)</x:f>
        <x:v>2.724883333333333</x:v>
      </x:c>
      <x:c r="Q3127" s="30" t="n">
        <x:f>P3127*N3127</x:f>
        <x:v>5.449766666666666</x:v>
      </x:c>
      <x:c r="R3127" s="19" t="str">
        <x:v>独立判定</x:v>
      </x:c>
    </x:row>
    <x:row r="3128" ht="19" customHeight="1">
      <x:c r="A3128" s="19" t="str">
        <x:v>D03124</x:v>
      </x:c>
      <x:c r="B3128" s="19" t="n">
        <x:v>6</x:v>
      </x:c>
      <x:c r="C3128" s="19" t="n">
        <x:v>3</x:v>
      </x:c>
      <x:c r="D3128" s="19" t="str">
        <x:v>C06-M035</x:v>
      </x:c>
      <x:c r="E3128" s="19" t="str">
        <x:v>焚翼古龙·阿格纳</x:v>
      </x:c>
      <x:c r="F3128" s="19" t="str">
        <x:v>地图BOSS</x:v>
      </x:c>
      <x:c r="G3128" s="19" t="str">
        <x:v>材料独立候选</x:v>
      </x:c>
      <x:c r="H3128" s="19" t="str">
        <x:v>技能残页</x:v>
      </x:c>
      <x:c r="I3128" s="22" t="n">
        <x:v>400</x:v>
      </x:c>
      <x:c r="J3128" s="22" t="n">
        <x:v>1</x:v>
      </x:c>
      <x:c r="K3128" s="19" t="n">
        <x:v>1</x:v>
      </x:c>
      <x:c r="L3128" s="24" t="n">
        <x:v>39.63466666666666</x:v>
      </x:c>
      <x:c r="M3128" s="26" t="n">
        <x:v>0.1</x:v>
      </x:c>
      <x:c r="N3128" s="24" t="n">
        <x:v>2</x:v>
      </x:c>
      <x:c r="O3128" s="28" t="n">
        <x:f>MIN(1,L3128/I3128)</x:f>
        <x:v>0.09908666666666666</x:v>
      </x:c>
      <x:c r="P3128" s="30" t="n">
        <x:f>O3128*J3128*(1+M3128)</x:f>
        <x:v>0.10899533333333333</x:v>
      </x:c>
      <x:c r="Q3128" s="30" t="n">
        <x:f>P3128*N3128</x:f>
        <x:v>0.21799066666666667</x:v>
      </x:c>
      <x:c r="R3128" s="19" t="str">
        <x:v>独立判定</x:v>
      </x:c>
    </x:row>
    <x:row r="3129" ht="19" customHeight="1">
      <x:c r="A3129" s="19" t="str">
        <x:v>D03125</x:v>
      </x:c>
      <x:c r="B3129" s="19" t="n">
        <x:v>6</x:v>
      </x:c>
      <x:c r="C3129" s="19" t="n">
        <x:v>3</x:v>
      </x:c>
      <x:c r="D3129" s="19" t="str">
        <x:v>C06-M035</x:v>
      </x:c>
      <x:c r="E3129" s="19" t="str">
        <x:v>焚翼古龙·阿格纳</x:v>
      </x:c>
      <x:c r="F3129" s="19" t="str">
        <x:v>地图BOSS</x:v>
      </x:c>
      <x:c r="G3129" s="19" t="str">
        <x:v>材料独立候选</x:v>
      </x:c>
      <x:c r="H3129" s="19" t="str">
        <x:v>宁姆格福誓页</x:v>
      </x:c>
      <x:c r="I3129" s="22" t="n">
        <x:v>500</x:v>
      </x:c>
      <x:c r="J3129" s="22" t="n">
        <x:v>1</x:v>
      </x:c>
      <x:c r="K3129" s="19" t="n">
        <x:v>1</x:v>
      </x:c>
      <x:c r="L3129" s="24" t="n">
        <x:v>39.63466666666666</x:v>
      </x:c>
      <x:c r="M3129" s="26" t="n">
        <x:v>0.1</x:v>
      </x:c>
      <x:c r="N3129" s="24" t="n">
        <x:v>2</x:v>
      </x:c>
      <x:c r="O3129" s="28" t="n">
        <x:f>MIN(1,L3129/I3129)</x:f>
        <x:v>0.07926933333333332</x:v>
      </x:c>
      <x:c r="P3129" s="30" t="n">
        <x:f>O3129*J3129*(1+M3129)</x:f>
        <x:v>0.08719626666666666</x:v>
      </x:c>
      <x:c r="Q3129" s="30" t="n">
        <x:f>P3129*N3129</x:f>
        <x:v>0.17439253333333332</x:v>
      </x:c>
      <x:c r="R3129" s="19" t="str">
        <x:v>独立判定</x:v>
      </x:c>
    </x:row>
    <x:row r="3130" ht="19" customHeight="1">
      <x:c r="A3130" s="19" t="str">
        <x:v>D03126</x:v>
      </x:c>
      <x:c r="B3130" s="19" t="n">
        <x:v>6</x:v>
      </x:c>
      <x:c r="C3130" s="19" t="n">
        <x:v>3</x:v>
      </x:c>
      <x:c r="D3130" s="19" t="str">
        <x:v>C06-M035</x:v>
      </x:c>
      <x:c r="E3130" s="19" t="str">
        <x:v>焚翼古龙·阿格纳</x:v>
      </x:c>
      <x:c r="F3130" s="19" t="str">
        <x:v>地图BOSS</x:v>
      </x:c>
      <x:c r="G3130" s="19" t="str">
        <x:v>材料独立候选</x:v>
      </x:c>
      <x:c r="H3130" s="19" t="str">
        <x:v>小卢恩</x:v>
      </x:c>
      <x:c r="I3130" s="22" t="n">
        <x:v>4000</x:v>
      </x:c>
      <x:c r="J3130" s="22" t="n">
        <x:v>1</x:v>
      </x:c>
      <x:c r="K3130" s="19" t="n">
        <x:v>1</x:v>
      </x:c>
      <x:c r="L3130" s="24" t="n">
        <x:v>39.63466666666666</x:v>
      </x:c>
      <x:c r="M3130" s="26" t="n">
        <x:v>0.1</x:v>
      </x:c>
      <x:c r="N3130" s="24" t="n">
        <x:v>2</x:v>
      </x:c>
      <x:c r="O3130" s="28" t="n">
        <x:f>MIN(1,L3130/I3130)</x:f>
        <x:v>0.009908666666666665</x:v>
      </x:c>
      <x:c r="P3130" s="30" t="n">
        <x:f>O3130*J3130*(1+M3130)</x:f>
        <x:v>0.010899533333333333</x:v>
      </x:c>
      <x:c r="Q3130" s="30" t="n">
        <x:f>P3130*N3130</x:f>
        <x:v>0.021799066666666665</x:v>
      </x:c>
      <x:c r="R3130" s="19" t="str">
        <x:v>独立判定</x:v>
      </x:c>
    </x:row>
    <x:row r="3131" ht="19" customHeight="1">
      <x:c r="A3131" s="19" t="str">
        <x:v>D03127</x:v>
      </x:c>
      <x:c r="B3131" s="19" t="n">
        <x:v>6</x:v>
      </x:c>
      <x:c r="C3131" s="19" t="n">
        <x:v>3</x:v>
      </x:c>
      <x:c r="D3131" s="19" t="str">
        <x:v>C06-M035</x:v>
      </x:c>
      <x:c r="E3131" s="19" t="str">
        <x:v>焚翼古龙·阿格纳</x:v>
      </x:c>
      <x:c r="F3131" s="19" t="str">
        <x:v>地图BOSS</x:v>
      </x:c>
      <x:c r="G3131" s="19" t="str">
        <x:v>材料独立候选</x:v>
      </x:c>
      <x:c r="H3131" s="19" t="str">
        <x:v>大卢恩</x:v>
      </x:c>
      <x:c r="I3131" s="22" t="n">
        <x:v>180</x:v>
      </x:c>
      <x:c r="J3131" s="22" t="n">
        <x:v>20</x:v>
      </x:c>
      <x:c r="K3131" s="19" t="n">
        <x:v>1</x:v>
      </x:c>
      <x:c r="L3131" s="24" t="n">
        <x:v>39.63466666666666</x:v>
      </x:c>
      <x:c r="M3131" s="26" t="n">
        <x:v>0.1</x:v>
      </x:c>
      <x:c r="N3131" s="24" t="n">
        <x:v>2</x:v>
      </x:c>
      <x:c r="O3131" s="28" t="n">
        <x:f>MIN(1,L3131/I3131)</x:f>
        <x:v>0.22019259259259255</x:v>
      </x:c>
      <x:c r="P3131" s="30" t="n">
        <x:f>O3131*J3131*(1+M3131)</x:f>
        <x:v>4.844237037037036</x:v>
      </x:c>
      <x:c r="Q3131" s="30" t="n">
        <x:f>P3131*N3131</x:f>
        <x:v>9.688474074074072</x:v>
      </x:c>
      <x:c r="R3131" s="19" t="str">
        <x:v>独立判定</x:v>
      </x:c>
    </x:row>
    <x:row r="3132" ht="19" customHeight="1">
      <x:c r="A3132" s="19" t="str">
        <x:v>D03128</x:v>
      </x:c>
      <x:c r="B3132" s="19" t="n">
        <x:v>6</x:v>
      </x:c>
      <x:c r="C3132" s="19" t="n">
        <x:v>3</x:v>
      </x:c>
      <x:c r="D3132" s="19" t="str">
        <x:v>C06-M035</x:v>
      </x:c>
      <x:c r="E3132" s="19" t="str">
        <x:v>焚翼古龙·阿格纳</x:v>
      </x:c>
      <x:c r="F3132" s="19" t="str">
        <x:v>地图BOSS</x:v>
      </x:c>
      <x:c r="G3132" s="19" t="str">
        <x:v>六神器公共池</x:v>
      </x:c>
      <x:c r="H3132" s="19" t="str">
        <x:v>POOL006</x:v>
      </x:c>
      <x:c r="I3132" s="22" t="n">
        <x:v>200000</x:v>
      </x:c>
      <x:c r="J3132" s="22" t="n">
        <x:v>1</x:v>
      </x:c>
      <x:c r="K3132" s="19" t="n">
        <x:v>6</x:v>
      </x:c>
      <x:c r="L3132" s="24" t="n">
        <x:v>39.63466666666666</x:v>
      </x:c>
      <x:c r="M3132" s="26" t="n">
        <x:v>0.1</x:v>
      </x:c>
      <x:c r="N3132" s="24" t="n">
        <x:v>2</x:v>
      </x:c>
      <x:c r="O3132" s="28" t="n">
        <x:f>MIN(1,L3132/I3132)</x:f>
        <x:v>0.0001981733333333333</x:v>
      </x:c>
      <x:c r="P3132" s="30" t="n">
        <x:f>O3132*J3132*(1+M3132)</x:f>
        <x:v>0.00021799066666666663</x:v>
      </x:c>
      <x:c r="Q3132" s="30" t="n">
        <x:f>P3132*N3132</x:f>
        <x:v>0.00043598133333333327</x:v>
      </x:c>
      <x:c r="R3132" s="19" t="str">
        <x:v>六选一；非6个独立爆率</x:v>
      </x:c>
    </x:row>
    <x:row r="3133" ht="19" customHeight="1">
      <x:c r="A3133" s="19" t="str">
        <x:v>D03129</x:v>
      </x:c>
      <x:c r="B3133" s="19" t="n">
        <x:v>6</x:v>
      </x:c>
      <x:c r="C3133" s="19" t="n">
        <x:v>3</x:v>
      </x:c>
      <x:c r="D3133" s="19" t="str">
        <x:v>C06-M036</x:v>
      </x:c>
      <x:c r="E3133" s="19" t="str">
        <x:v>红狮圣兽·雷奥尼斯</x:v>
      </x:c>
      <x:c r="F3133" s="19" t="str">
        <x:v>地图BOSS</x:v>
      </x:c>
      <x:c r="G3133" s="19" t="str">
        <x:v>自身专属</x:v>
      </x:c>
      <x:c r="H3133" s="19" t="str">
        <x:v>雷奥尼斯狮铠</x:v>
      </x:c>
      <x:c r="I3133" s="22" t="n">
        <x:v>300</x:v>
      </x:c>
      <x:c r="J3133" s="22" t="n">
        <x:v>1</x:v>
      </x:c>
      <x:c r="K3133" s="19" t="n">
        <x:v>1</x:v>
      </x:c>
      <x:c r="L3133" s="24" t="n">
        <x:v>39.63466666666666</x:v>
      </x:c>
      <x:c r="M3133" s="26" t="n">
        <x:v>0.1</x:v>
      </x:c>
      <x:c r="N3133" s="24" t="n">
        <x:v>2</x:v>
      </x:c>
      <x:c r="O3133" s="28" t="n">
        <x:f>MIN(1,L3133/I3133)</x:f>
        <x:v>0.13211555555555554</x:v>
      </x:c>
      <x:c r="P3133" s="30" t="n">
        <x:f>O3133*J3133*(1+M3133)</x:f>
        <x:v>0.1453271111111111</x:v>
      </x:c>
      <x:c r="Q3133" s="30" t="n">
        <x:f>P3133*N3133</x:f>
        <x:v>0.2906542222222222</x:v>
      </x:c>
      <x:c r="R3133" s="19" t="str">
        <x:v>独立判定</x:v>
      </x:c>
    </x:row>
    <x:row r="3134" ht="19" customHeight="1">
      <x:c r="A3134" s="19" t="str">
        <x:v>D03130</x:v>
      </x:c>
      <x:c r="B3134" s="19" t="n">
        <x:v>6</x:v>
      </x:c>
      <x:c r="C3134" s="19" t="n">
        <x:v>3</x:v>
      </x:c>
      <x:c r="D3134" s="19" t="str">
        <x:v>C06-M036</x:v>
      </x:c>
      <x:c r="E3134" s="19" t="str">
        <x:v>红狮圣兽·雷奥尼斯</x:v>
      </x:c>
      <x:c r="F3134" s="19" t="str">
        <x:v>地图BOSS</x:v>
      </x:c>
      <x:c r="G3134" s="19" t="str">
        <x:v>自身专属</x:v>
      </x:c>
      <x:c r="H3134" s="19" t="str">
        <x:v>狱火断铐</x:v>
      </x:c>
      <x:c r="I3134" s="22" t="n">
        <x:v>300</x:v>
      </x:c>
      <x:c r="J3134" s="22" t="n">
        <x:v>1</x:v>
      </x:c>
      <x:c r="K3134" s="19" t="n">
        <x:v>1</x:v>
      </x:c>
      <x:c r="L3134" s="24" t="n">
        <x:v>39.63466666666666</x:v>
      </x:c>
      <x:c r="M3134" s="26" t="n">
        <x:v>0.1</x:v>
      </x:c>
      <x:c r="N3134" s="24" t="n">
        <x:v>2</x:v>
      </x:c>
      <x:c r="O3134" s="28" t="n">
        <x:f>MIN(1,L3134/I3134)</x:f>
        <x:v>0.13211555555555554</x:v>
      </x:c>
      <x:c r="P3134" s="30" t="n">
        <x:f>O3134*J3134*(1+M3134)</x:f>
        <x:v>0.1453271111111111</x:v>
      </x:c>
      <x:c r="Q3134" s="30" t="n">
        <x:f>P3134*N3134</x:f>
        <x:v>0.2906542222222222</x:v>
      </x:c>
      <x:c r="R3134" s="19" t="str">
        <x:v>独立判定</x:v>
      </x:c>
    </x:row>
    <x:row r="3135" ht="19" customHeight="1">
      <x:c r="A3135" s="19" t="str">
        <x:v>D03131</x:v>
      </x:c>
      <x:c r="B3135" s="19" t="n">
        <x:v>6</x:v>
      </x:c>
      <x:c r="C3135" s="19" t="n">
        <x:v>3</x:v>
      </x:c>
      <x:c r="D3135" s="19" t="str">
        <x:v>C06-M036</x:v>
      </x:c>
      <x:c r="E3135" s="19" t="str">
        <x:v>红狮圣兽·雷奥尼斯</x:v>
      </x:c>
      <x:c r="F3135" s="19" t="str">
        <x:v>地图BOSS</x:v>
      </x:c>
      <x:c r="G3135" s="19" t="str">
        <x:v>自身专属</x:v>
      </x:c>
      <x:c r="H3135" s="19" t="str">
        <x:v>炎鬃寅魄</x:v>
      </x:c>
      <x:c r="I3135" s="22" t="n">
        <x:v>300</x:v>
      </x:c>
      <x:c r="J3135" s="22" t="n">
        <x:v>1</x:v>
      </x:c>
      <x:c r="K3135" s="19" t="n">
        <x:v>1</x:v>
      </x:c>
      <x:c r="L3135" s="24" t="n">
        <x:v>39.63466666666666</x:v>
      </x:c>
      <x:c r="M3135" s="26" t="n">
        <x:v>0.1</x:v>
      </x:c>
      <x:c r="N3135" s="24" t="n">
        <x:v>2</x:v>
      </x:c>
      <x:c r="O3135" s="28" t="n">
        <x:f>MIN(1,L3135/I3135)</x:f>
        <x:v>0.13211555555555554</x:v>
      </x:c>
      <x:c r="P3135" s="30" t="n">
        <x:f>O3135*J3135*(1+M3135)</x:f>
        <x:v>0.1453271111111111</x:v>
      </x:c>
      <x:c r="Q3135" s="30" t="n">
        <x:f>P3135*N3135</x:f>
        <x:v>0.2906542222222222</x:v>
      </x:c>
      <x:c r="R3135" s="19" t="str">
        <x:v>独立判定</x:v>
      </x:c>
    </x:row>
    <x:row r="3136" ht="19" customHeight="1">
      <x:c r="A3136" s="19" t="str">
        <x:v>D03132</x:v>
      </x:c>
      <x:c r="B3136" s="19" t="n">
        <x:v>6</x:v>
      </x:c>
      <x:c r="C3136" s="19" t="n">
        <x:v>3</x:v>
      </x:c>
      <x:c r="D3136" s="19" t="str">
        <x:v>C06-M036</x:v>
      </x:c>
      <x:c r="E3136" s="19" t="str">
        <x:v>红狮圣兽·雷奥尼斯</x:v>
      </x:c>
      <x:c r="F3136" s="19" t="str">
        <x:v>地图BOSS</x:v>
      </x:c>
      <x:c r="G3136" s="19" t="str">
        <x:v>本图普通兼掉候选</x:v>
      </x:c>
      <x:c r="H3136" s="19" t="str">
        <x:v>POOL053</x:v>
      </x:c>
      <x:c r="I3136" s="22" t="n">
        <x:v>100</x:v>
      </x:c>
      <x:c r="J3136" s="22" t="n">
        <x:v>1</x:v>
      </x:c>
      <x:c r="K3136" s="19" t="n">
        <x:v>1</x:v>
      </x:c>
      <x:c r="L3136" s="24" t="n">
        <x:v>39.63466666666666</x:v>
      </x:c>
      <x:c r="M3136" s="26" t="n">
        <x:v>0.1</x:v>
      </x:c>
      <x:c r="N3136" s="24" t="n">
        <x:v>2</x:v>
      </x:c>
      <x:c r="O3136" s="28" t="n">
        <x:f>MIN(1,L3136/I3136)</x:f>
        <x:v>0.3963466666666666</x:v>
      </x:c>
      <x:c r="P3136" s="30" t="n">
        <x:f>O3136*J3136*(1+M3136)</x:f>
        <x:v>0.43598133333333333</x:v>
      </x:c>
      <x:c r="Q3136" s="30" t="n">
        <x:f>P3136*N3136</x:f>
        <x:v>0.8719626666666667</x:v>
      </x:c>
      <x:c r="R3136" s="19" t="str">
        <x:v>单池选一</x:v>
      </x:c>
    </x:row>
    <x:row r="3137" ht="19" customHeight="1">
      <x:c r="A3137" s="19" t="str">
        <x:v>D03133</x:v>
      </x:c>
      <x:c r="B3137" s="19" t="n">
        <x:v>6</x:v>
      </x:c>
      <x:c r="C3137" s="19" t="n">
        <x:v>3</x:v>
      </x:c>
      <x:c r="D3137" s="19" t="str">
        <x:v>C06-M036</x:v>
      </x:c>
      <x:c r="E3137" s="19" t="str">
        <x:v>红狮圣兽·雷奥尼斯</x:v>
      </x:c>
      <x:c r="F3137" s="19" t="str">
        <x:v>地图BOSS</x:v>
      </x:c>
      <x:c r="G3137" s="19" t="str">
        <x:v>材料独立候选</x:v>
      </x:c>
      <x:c r="H3137" s="19" t="str">
        <x:v>猩红矿渣</x:v>
      </x:c>
      <x:c r="I3137" s="22" t="n">
        <x:v>250</x:v>
      </x:c>
      <x:c r="J3137" s="22" t="n">
        <x:v>30</x:v>
      </x:c>
      <x:c r="K3137" s="19" t="n">
        <x:v>1</x:v>
      </x:c>
      <x:c r="L3137" s="24" t="n">
        <x:v>39.63466666666666</x:v>
      </x:c>
      <x:c r="M3137" s="26" t="n">
        <x:v>0.1</x:v>
      </x:c>
      <x:c r="N3137" s="24" t="n">
        <x:v>2</x:v>
      </x:c>
      <x:c r="O3137" s="28" t="n">
        <x:f>MIN(1,L3137/I3137)</x:f>
        <x:v>0.15853866666666663</x:v>
      </x:c>
      <x:c r="P3137" s="30" t="n">
        <x:f>O3137*J3137*(1+M3137)</x:f>
        <x:v>5.231775999999999</x:v>
      </x:c>
      <x:c r="Q3137" s="30" t="n">
        <x:f>P3137*N3137</x:f>
        <x:v>10.463551999999998</x:v>
      </x:c>
      <x:c r="R3137" s="19" t="str">
        <x:v>独立判定</x:v>
      </x:c>
    </x:row>
    <x:row r="3138" ht="19" customHeight="1">
      <x:c r="A3138" s="19" t="str">
        <x:v>D03134</x:v>
      </x:c>
      <x:c r="B3138" s="19" t="n">
        <x:v>6</x:v>
      </x:c>
      <x:c r="C3138" s="19" t="n">
        <x:v>3</x:v>
      </x:c>
      <x:c r="D3138" s="19" t="str">
        <x:v>C06-M036</x:v>
      </x:c>
      <x:c r="E3138" s="19" t="str">
        <x:v>红狮圣兽·雷奥尼斯</x:v>
      </x:c>
      <x:c r="F3138" s="19" t="str">
        <x:v>地图BOSS</x:v>
      </x:c>
      <x:c r="G3138" s="19" t="str">
        <x:v>材料独立候选</x:v>
      </x:c>
      <x:c r="H3138" s="19" t="str">
        <x:v>龙火鳞</x:v>
      </x:c>
      <x:c r="I3138" s="22" t="n">
        <x:v>600</x:v>
      </x:c>
      <x:c r="J3138" s="22" t="n">
        <x:v>1</x:v>
      </x:c>
      <x:c r="K3138" s="19" t="n">
        <x:v>1</x:v>
      </x:c>
      <x:c r="L3138" s="24" t="n">
        <x:v>39.63466666666666</x:v>
      </x:c>
      <x:c r="M3138" s="26" t="n">
        <x:v>0.1</x:v>
      </x:c>
      <x:c r="N3138" s="24" t="n">
        <x:v>2</x:v>
      </x:c>
      <x:c r="O3138" s="28" t="n">
        <x:f>MIN(1,L3138/I3138)</x:f>
        <x:v>0.06605777777777777</x:v>
      </x:c>
      <x:c r="P3138" s="30" t="n">
        <x:f>O3138*J3138*(1+M3138)</x:f>
        <x:v>0.07266355555555555</x:v>
      </x:c>
      <x:c r="Q3138" s="30" t="n">
        <x:f>P3138*N3138</x:f>
        <x:v>0.1453271111111111</x:v>
      </x:c>
      <x:c r="R3138" s="19" t="str">
        <x:v>独立判定</x:v>
      </x:c>
    </x:row>
    <x:row r="3139" ht="19" customHeight="1">
      <x:c r="A3139" s="19" t="str">
        <x:v>D03135</x:v>
      </x:c>
      <x:c r="B3139" s="19" t="n">
        <x:v>6</x:v>
      </x:c>
      <x:c r="C3139" s="19" t="n">
        <x:v>3</x:v>
      </x:c>
      <x:c r="D3139" s="19" t="str">
        <x:v>C06-M036</x:v>
      </x:c>
      <x:c r="E3139" s="19" t="str">
        <x:v>红狮圣兽·雷奥尼斯</x:v>
      </x:c>
      <x:c r="F3139" s="19" t="str">
        <x:v>地图BOSS</x:v>
      </x:c>
      <x:c r="G3139" s="19" t="str">
        <x:v>材料独立候选</x:v>
      </x:c>
      <x:c r="H3139" s="19" t="str">
        <x:v>红狮战印</x:v>
      </x:c>
      <x:c r="I3139" s="22" t="n">
        <x:v>200</x:v>
      </x:c>
      <x:c r="J3139" s="22" t="n">
        <x:v>5</x:v>
      </x:c>
      <x:c r="K3139" s="19" t="n">
        <x:v>1</x:v>
      </x:c>
      <x:c r="L3139" s="24" t="n">
        <x:v>39.63466666666666</x:v>
      </x:c>
      <x:c r="M3139" s="26" t="n">
        <x:v>0.1</x:v>
      </x:c>
      <x:c r="N3139" s="24" t="n">
        <x:v>2</x:v>
      </x:c>
      <x:c r="O3139" s="28" t="n">
        <x:f>MIN(1,L3139/I3139)</x:f>
        <x:v>0.1981733333333333</x:v>
      </x:c>
      <x:c r="P3139" s="30" t="n">
        <x:f>O3139*J3139*(1+M3139)</x:f>
        <x:v>1.0899533333333333</x:v>
      </x:c>
      <x:c r="Q3139" s="30" t="n">
        <x:f>P3139*N3139</x:f>
        <x:v>2.1799066666666667</x:v>
      </x:c>
      <x:c r="R3139" s="19" t="str">
        <x:v>独立判定</x:v>
      </x:c>
    </x:row>
    <x:row r="3140" ht="19" customHeight="1">
      <x:c r="A3140" s="19" t="str">
        <x:v>D03136</x:v>
      </x:c>
      <x:c r="B3140" s="19" t="n">
        <x:v>6</x:v>
      </x:c>
      <x:c r="C3140" s="19" t="n">
        <x:v>3</x:v>
      </x:c>
      <x:c r="D3140" s="19" t="str">
        <x:v>C06-M036</x:v>
      </x:c>
      <x:c r="E3140" s="19" t="str">
        <x:v>红狮圣兽·雷奥尼斯</x:v>
      </x:c>
      <x:c r="F3140" s="19" t="str">
        <x:v>地图BOSS</x:v>
      </x:c>
      <x:c r="G3140" s="19" t="str">
        <x:v>材料独立候选</x:v>
      </x:c>
      <x:c r="H3140" s="19" t="str">
        <x:v>龙窟熔牙</x:v>
      </x:c>
      <x:c r="I3140" s="22" t="n">
        <x:v>200</x:v>
      </x:c>
      <x:c r="J3140" s="22" t="n">
        <x:v>3</x:v>
      </x:c>
      <x:c r="K3140" s="19" t="n">
        <x:v>1</x:v>
      </x:c>
      <x:c r="L3140" s="24" t="n">
        <x:v>39.63466666666666</x:v>
      </x:c>
      <x:c r="M3140" s="26" t="n">
        <x:v>0.1</x:v>
      </x:c>
      <x:c r="N3140" s="24" t="n">
        <x:v>2</x:v>
      </x:c>
      <x:c r="O3140" s="28" t="n">
        <x:f>MIN(1,L3140/I3140)</x:f>
        <x:v>0.1981733333333333</x:v>
      </x:c>
      <x:c r="P3140" s="30" t="n">
        <x:f>O3140*J3140*(1+M3140)</x:f>
        <x:v>0.653972</x:v>
      </x:c>
      <x:c r="Q3140" s="30" t="n">
        <x:f>P3140*N3140</x:f>
        <x:v>1.307944</x:v>
      </x:c>
      <x:c r="R3140" s="19" t="str">
        <x:v>独立判定</x:v>
      </x:c>
    </x:row>
    <x:row r="3141" ht="19" customHeight="1">
      <x:c r="A3141" s="19" t="str">
        <x:v>D03137</x:v>
      </x:c>
      <x:c r="B3141" s="19" t="n">
        <x:v>6</x:v>
      </x:c>
      <x:c r="C3141" s="19" t="n">
        <x:v>3</x:v>
      </x:c>
      <x:c r="D3141" s="19" t="str">
        <x:v>C06-M036</x:v>
      </x:c>
      <x:c r="E3141" s="19" t="str">
        <x:v>红狮圣兽·雷奥尼斯</x:v>
      </x:c>
      <x:c r="F3141" s="19" t="str">
        <x:v>地图BOSS</x:v>
      </x:c>
      <x:c r="G3141" s="19" t="str">
        <x:v>材料独立候选</x:v>
      </x:c>
      <x:c r="H3141" s="19" t="str">
        <x:v>熔原罪火残章</x:v>
      </x:c>
      <x:c r="I3141" s="22" t="n">
        <x:v>600000</x:v>
      </x:c>
      <x:c r="J3141" s="22" t="n">
        <x:v>1</x:v>
      </x:c>
      <x:c r="K3141" s="19" t="n">
        <x:v>1</x:v>
      </x:c>
      <x:c r="L3141" s="24" t="n">
        <x:v>39.63466666666666</x:v>
      </x:c>
      <x:c r="M3141" s="26" t="n">
        <x:v>0.1</x:v>
      </x:c>
      <x:c r="N3141" s="24" t="n">
        <x:v>2</x:v>
      </x:c>
      <x:c r="O3141" s="28" t="n">
        <x:f>MIN(1,L3141/I3141)</x:f>
        <x:v>0.00006605777777777776</x:v>
      </x:c>
      <x:c r="P3141" s="30" t="n">
        <x:f>O3141*J3141*(1+M3141)</x:f>
        <x:v>0.00007266355555555554</x:v>
      </x:c>
      <x:c r="Q3141" s="30" t="n">
        <x:f>P3141*N3141</x:f>
        <x:v>0.0001453271111111111</x:v>
      </x:c>
      <x:c r="R3141" s="19" t="str">
        <x:v>独立判定</x:v>
      </x:c>
    </x:row>
    <x:row r="3142" ht="19" customHeight="1">
      <x:c r="A3142" s="19" t="str">
        <x:v>D03138</x:v>
      </x:c>
      <x:c r="B3142" s="19" t="n">
        <x:v>6</x:v>
      </x:c>
      <x:c r="C3142" s="19" t="n">
        <x:v>3</x:v>
      </x:c>
      <x:c r="D3142" s="19" t="str">
        <x:v>C06-M036</x:v>
      </x:c>
      <x:c r="E3142" s="19" t="str">
        <x:v>红狮圣兽·雷奥尼斯</x:v>
      </x:c>
      <x:c r="F3142" s="19" t="str">
        <x:v>地图BOSS</x:v>
      </x:c>
      <x:c r="G3142" s="19" t="str">
        <x:v>材料独立候选</x:v>
      </x:c>
      <x:c r="H3142" s="19" t="str">
        <x:v>黄金树芽</x:v>
      </x:c>
      <x:c r="I3142" s="22" t="n">
        <x:v>600</x:v>
      </x:c>
      <x:c r="J3142" s="22" t="n">
        <x:v>1</x:v>
      </x:c>
      <x:c r="K3142" s="19" t="n">
        <x:v>1</x:v>
      </x:c>
      <x:c r="L3142" s="24" t="n">
        <x:v>39.63466666666666</x:v>
      </x:c>
      <x:c r="M3142" s="26" t="n">
        <x:v>0.1</x:v>
      </x:c>
      <x:c r="N3142" s="24" t="n">
        <x:v>2</x:v>
      </x:c>
      <x:c r="O3142" s="28" t="n">
        <x:f>MIN(1,L3142/I3142)</x:f>
        <x:v>0.06605777777777777</x:v>
      </x:c>
      <x:c r="P3142" s="30" t="n">
        <x:f>O3142*J3142*(1+M3142)</x:f>
        <x:v>0.07266355555555555</x:v>
      </x:c>
      <x:c r="Q3142" s="30" t="n">
        <x:f>P3142*N3142</x:f>
        <x:v>0.1453271111111111</x:v>
      </x:c>
      <x:c r="R3142" s="19" t="str">
        <x:v>独立判定</x:v>
      </x:c>
    </x:row>
    <x:row r="3143" ht="19" customHeight="1">
      <x:c r="A3143" s="19" t="str">
        <x:v>D03139</x:v>
      </x:c>
      <x:c r="B3143" s="19" t="n">
        <x:v>6</x:v>
      </x:c>
      <x:c r="C3143" s="19" t="n">
        <x:v>3</x:v>
      </x:c>
      <x:c r="D3143" s="19" t="str">
        <x:v>C06-M036</x:v>
      </x:c>
      <x:c r="E3143" s="19" t="str">
        <x:v>红狮圣兽·雷奥尼斯</x:v>
      </x:c>
      <x:c r="F3143" s="19" t="str">
        <x:v>地图BOSS</x:v>
      </x:c>
      <x:c r="G3143" s="19" t="str">
        <x:v>材料独立候选</x:v>
      </x:c>
      <x:c r="H3143" s="19" t="str">
        <x:v>野兽骨片</x:v>
      </x:c>
      <x:c r="I3143" s="22" t="n">
        <x:v>80</x:v>
      </x:c>
      <x:c r="J3143" s="22" t="n">
        <x:v>5</x:v>
      </x:c>
      <x:c r="K3143" s="19" t="n">
        <x:v>1</x:v>
      </x:c>
      <x:c r="L3143" s="24" t="n">
        <x:v>39.63466666666666</x:v>
      </x:c>
      <x:c r="M3143" s="26" t="n">
        <x:v>0.1</x:v>
      </x:c>
      <x:c r="N3143" s="24" t="n">
        <x:v>2</x:v>
      </x:c>
      <x:c r="O3143" s="28" t="n">
        <x:f>MIN(1,L3143/I3143)</x:f>
        <x:v>0.4954333333333333</x:v>
      </x:c>
      <x:c r="P3143" s="30" t="n">
        <x:f>O3143*J3143*(1+M3143)</x:f>
        <x:v>2.724883333333333</x:v>
      </x:c>
      <x:c r="Q3143" s="30" t="n">
        <x:f>P3143*N3143</x:f>
        <x:v>5.449766666666666</x:v>
      </x:c>
      <x:c r="R3143" s="19" t="str">
        <x:v>独立判定</x:v>
      </x:c>
    </x:row>
    <x:row r="3144" ht="19" customHeight="1">
      <x:c r="A3144" s="19" t="str">
        <x:v>D03140</x:v>
      </x:c>
      <x:c r="B3144" s="19" t="n">
        <x:v>6</x:v>
      </x:c>
      <x:c r="C3144" s="19" t="n">
        <x:v>3</x:v>
      </x:c>
      <x:c r="D3144" s="19" t="str">
        <x:v>C06-M036</x:v>
      </x:c>
      <x:c r="E3144" s="19" t="str">
        <x:v>红狮圣兽·雷奥尼斯</x:v>
      </x:c>
      <x:c r="F3144" s="19" t="str">
        <x:v>地图BOSS</x:v>
      </x:c>
      <x:c r="G3144" s="19" t="str">
        <x:v>材料独立候选</x:v>
      </x:c>
      <x:c r="H3144" s="19" t="str">
        <x:v>技能残页</x:v>
      </x:c>
      <x:c r="I3144" s="22" t="n">
        <x:v>400</x:v>
      </x:c>
      <x:c r="J3144" s="22" t="n">
        <x:v>1</x:v>
      </x:c>
      <x:c r="K3144" s="19" t="n">
        <x:v>1</x:v>
      </x:c>
      <x:c r="L3144" s="24" t="n">
        <x:v>39.63466666666666</x:v>
      </x:c>
      <x:c r="M3144" s="26" t="n">
        <x:v>0.1</x:v>
      </x:c>
      <x:c r="N3144" s="24" t="n">
        <x:v>2</x:v>
      </x:c>
      <x:c r="O3144" s="28" t="n">
        <x:f>MIN(1,L3144/I3144)</x:f>
        <x:v>0.09908666666666666</x:v>
      </x:c>
      <x:c r="P3144" s="30" t="n">
        <x:f>O3144*J3144*(1+M3144)</x:f>
        <x:v>0.10899533333333333</x:v>
      </x:c>
      <x:c r="Q3144" s="30" t="n">
        <x:f>P3144*N3144</x:f>
        <x:v>0.21799066666666667</x:v>
      </x:c>
      <x:c r="R3144" s="19" t="str">
        <x:v>独立判定</x:v>
      </x:c>
    </x:row>
    <x:row r="3145" ht="19" customHeight="1">
      <x:c r="A3145" s="19" t="str">
        <x:v>D03141</x:v>
      </x:c>
      <x:c r="B3145" s="19" t="n">
        <x:v>6</x:v>
      </x:c>
      <x:c r="C3145" s="19" t="n">
        <x:v>3</x:v>
      </x:c>
      <x:c r="D3145" s="19" t="str">
        <x:v>C06-M036</x:v>
      </x:c>
      <x:c r="E3145" s="19" t="str">
        <x:v>红狮圣兽·雷奥尼斯</x:v>
      </x:c>
      <x:c r="F3145" s="19" t="str">
        <x:v>地图BOSS</x:v>
      </x:c>
      <x:c r="G3145" s="19" t="str">
        <x:v>材料独立候选</x:v>
      </x:c>
      <x:c r="H3145" s="19" t="str">
        <x:v>宁姆格福誓页</x:v>
      </x:c>
      <x:c r="I3145" s="22" t="n">
        <x:v>500</x:v>
      </x:c>
      <x:c r="J3145" s="22" t="n">
        <x:v>1</x:v>
      </x:c>
      <x:c r="K3145" s="19" t="n">
        <x:v>1</x:v>
      </x:c>
      <x:c r="L3145" s="24" t="n">
        <x:v>39.63466666666666</x:v>
      </x:c>
      <x:c r="M3145" s="26" t="n">
        <x:v>0.1</x:v>
      </x:c>
      <x:c r="N3145" s="24" t="n">
        <x:v>2</x:v>
      </x:c>
      <x:c r="O3145" s="28" t="n">
        <x:f>MIN(1,L3145/I3145)</x:f>
        <x:v>0.07926933333333332</x:v>
      </x:c>
      <x:c r="P3145" s="30" t="n">
        <x:f>O3145*J3145*(1+M3145)</x:f>
        <x:v>0.08719626666666666</x:v>
      </x:c>
      <x:c r="Q3145" s="30" t="n">
        <x:f>P3145*N3145</x:f>
        <x:v>0.17439253333333332</x:v>
      </x:c>
      <x:c r="R3145" s="19" t="str">
        <x:v>独立判定</x:v>
      </x:c>
    </x:row>
    <x:row r="3146" ht="19" customHeight="1">
      <x:c r="A3146" s="19" t="str">
        <x:v>D03142</x:v>
      </x:c>
      <x:c r="B3146" s="19" t="n">
        <x:v>6</x:v>
      </x:c>
      <x:c r="C3146" s="19" t="n">
        <x:v>3</x:v>
      </x:c>
      <x:c r="D3146" s="19" t="str">
        <x:v>C06-M036</x:v>
      </x:c>
      <x:c r="E3146" s="19" t="str">
        <x:v>红狮圣兽·雷奥尼斯</x:v>
      </x:c>
      <x:c r="F3146" s="19" t="str">
        <x:v>地图BOSS</x:v>
      </x:c>
      <x:c r="G3146" s="19" t="str">
        <x:v>材料独立候选</x:v>
      </x:c>
      <x:c r="H3146" s="19" t="str">
        <x:v>小卢恩</x:v>
      </x:c>
      <x:c r="I3146" s="22" t="n">
        <x:v>4000</x:v>
      </x:c>
      <x:c r="J3146" s="22" t="n">
        <x:v>1</x:v>
      </x:c>
      <x:c r="K3146" s="19" t="n">
        <x:v>1</x:v>
      </x:c>
      <x:c r="L3146" s="24" t="n">
        <x:v>39.63466666666666</x:v>
      </x:c>
      <x:c r="M3146" s="26" t="n">
        <x:v>0.1</x:v>
      </x:c>
      <x:c r="N3146" s="24" t="n">
        <x:v>2</x:v>
      </x:c>
      <x:c r="O3146" s="28" t="n">
        <x:f>MIN(1,L3146/I3146)</x:f>
        <x:v>0.009908666666666665</x:v>
      </x:c>
      <x:c r="P3146" s="30" t="n">
        <x:f>O3146*J3146*(1+M3146)</x:f>
        <x:v>0.010899533333333333</x:v>
      </x:c>
      <x:c r="Q3146" s="30" t="n">
        <x:f>P3146*N3146</x:f>
        <x:v>0.021799066666666665</x:v>
      </x:c>
      <x:c r="R3146" s="19" t="str">
        <x:v>独立判定</x:v>
      </x:c>
    </x:row>
    <x:row r="3147" ht="19" customHeight="1">
      <x:c r="A3147" s="19" t="str">
        <x:v>D03143</x:v>
      </x:c>
      <x:c r="B3147" s="19" t="n">
        <x:v>6</x:v>
      </x:c>
      <x:c r="C3147" s="19" t="n">
        <x:v>3</x:v>
      </x:c>
      <x:c r="D3147" s="19" t="str">
        <x:v>C06-M036</x:v>
      </x:c>
      <x:c r="E3147" s="19" t="str">
        <x:v>红狮圣兽·雷奥尼斯</x:v>
      </x:c>
      <x:c r="F3147" s="19" t="str">
        <x:v>地图BOSS</x:v>
      </x:c>
      <x:c r="G3147" s="19" t="str">
        <x:v>材料独立候选</x:v>
      </x:c>
      <x:c r="H3147" s="19" t="str">
        <x:v>大卢恩</x:v>
      </x:c>
      <x:c r="I3147" s="22" t="n">
        <x:v>180</x:v>
      </x:c>
      <x:c r="J3147" s="22" t="n">
        <x:v>20</x:v>
      </x:c>
      <x:c r="K3147" s="19" t="n">
        <x:v>1</x:v>
      </x:c>
      <x:c r="L3147" s="24" t="n">
        <x:v>39.63466666666666</x:v>
      </x:c>
      <x:c r="M3147" s="26" t="n">
        <x:v>0.1</x:v>
      </x:c>
      <x:c r="N3147" s="24" t="n">
        <x:v>2</x:v>
      </x:c>
      <x:c r="O3147" s="28" t="n">
        <x:f>MIN(1,L3147/I3147)</x:f>
        <x:v>0.22019259259259255</x:v>
      </x:c>
      <x:c r="P3147" s="30" t="n">
        <x:f>O3147*J3147*(1+M3147)</x:f>
        <x:v>4.844237037037036</x:v>
      </x:c>
      <x:c r="Q3147" s="30" t="n">
        <x:f>P3147*N3147</x:f>
        <x:v>9.688474074074072</x:v>
      </x:c>
      <x:c r="R3147" s="19" t="str">
        <x:v>独立判定</x:v>
      </x:c>
    </x:row>
    <x:row r="3148" ht="19" customHeight="1">
      <x:c r="A3148" s="19" t="str">
        <x:v>D03144</x:v>
      </x:c>
      <x:c r="B3148" s="19" t="n">
        <x:v>6</x:v>
      </x:c>
      <x:c r="C3148" s="19" t="n">
        <x:v>3</x:v>
      </x:c>
      <x:c r="D3148" s="19" t="str">
        <x:v>C06-M036</x:v>
      </x:c>
      <x:c r="E3148" s="19" t="str">
        <x:v>红狮圣兽·雷奥尼斯</x:v>
      </x:c>
      <x:c r="F3148" s="19" t="str">
        <x:v>地图BOSS</x:v>
      </x:c>
      <x:c r="G3148" s="19" t="str">
        <x:v>六神器公共池</x:v>
      </x:c>
      <x:c r="H3148" s="19" t="str">
        <x:v>POOL006</x:v>
      </x:c>
      <x:c r="I3148" s="22" t="n">
        <x:v>200000</x:v>
      </x:c>
      <x:c r="J3148" s="22" t="n">
        <x:v>1</x:v>
      </x:c>
      <x:c r="K3148" s="19" t="n">
        <x:v>6</x:v>
      </x:c>
      <x:c r="L3148" s="24" t="n">
        <x:v>39.63466666666666</x:v>
      </x:c>
      <x:c r="M3148" s="26" t="n">
        <x:v>0.1</x:v>
      </x:c>
      <x:c r="N3148" s="24" t="n">
        <x:v>2</x:v>
      </x:c>
      <x:c r="O3148" s="28" t="n">
        <x:f>MIN(1,L3148/I3148)</x:f>
        <x:v>0.0001981733333333333</x:v>
      </x:c>
      <x:c r="P3148" s="30" t="n">
        <x:f>O3148*J3148*(1+M3148)</x:f>
        <x:v>0.00021799066666666663</x:v>
      </x:c>
      <x:c r="Q3148" s="30" t="n">
        <x:f>P3148*N3148</x:f>
        <x:v>0.00043598133333333327</x:v>
      </x:c>
      <x:c r="R3148" s="19" t="str">
        <x:v>六选一；非6个独立爆率</x:v>
      </x:c>
    </x:row>
    <x:row r="3149" ht="19" customHeight="1">
      <x:c r="A3149" s="19" t="str">
        <x:v>D03145</x:v>
      </x:c>
      <x:c r="B3149" s="19" t="n">
        <x:v>6</x:v>
      </x:c>
      <x:c r="C3149" s="19" t="n">
        <x:v>3</x:v>
      </x:c>
      <x:c r="D3149" s="19" t="str">
        <x:v>C06-M037</x:v>
      </x:c>
      <x:c r="E3149" s="19" t="str">
        <x:v>碎星狮王·拉塔恩</x:v>
      </x:c>
      <x:c r="F3149" s="19" t="str">
        <x:v>守关BOSS</x:v>
      </x:c>
      <x:c r="G3149" s="19" t="str">
        <x:v>自身专属</x:v>
      </x:c>
      <x:c r="H3149" s="19" t="str">
        <x:v>拉塔恩碎星巨刃</x:v>
      </x:c>
      <x:c r="I3149" s="22" t="n">
        <x:v>120</x:v>
      </x:c>
      <x:c r="J3149" s="22" t="n">
        <x:v>1</x:v>
      </x:c>
      <x:c r="K3149" s="19" t="n">
        <x:v>1</x:v>
      </x:c>
      <x:c r="L3149" s="24" t="n">
        <x:v>39.63466666666666</x:v>
      </x:c>
      <x:c r="M3149" s="26" t="n">
        <x:v>0.1</x:v>
      </x:c>
      <x:c r="N3149" s="24" t="n">
        <x:v>0</x:v>
      </x:c>
      <x:c r="O3149" s="28" t="n">
        <x:f>MIN(1,L3149/I3149)</x:f>
        <x:v>0.33028888888888885</x:v>
      </x:c>
      <x:c r="P3149" s="30" t="n">
        <x:f>O3149*J3149*(1+M3149)</x:f>
        <x:v>0.3633177777777778</x:v>
      </x:c>
      <x:c r="Q3149" s="30" t="n">
        <x:f>P3149*N3149</x:f>
        <x:v>0</x:v>
      </x:c>
      <x:c r="R3149" s="19" t="str">
        <x:v>独立判定</x:v>
      </x:c>
    </x:row>
    <x:row r="3150" ht="19" customHeight="1">
      <x:c r="A3150" s="19" t="str">
        <x:v>D03146</x:v>
      </x:c>
      <x:c r="B3150" s="19" t="n">
        <x:v>6</x:v>
      </x:c>
      <x:c r="C3150" s="19" t="n">
        <x:v>3</x:v>
      </x:c>
      <x:c r="D3150" s="19" t="str">
        <x:v>C06-M037</x:v>
      </x:c>
      <x:c r="E3150" s="19" t="str">
        <x:v>碎星狮王·拉塔恩</x:v>
      </x:c>
      <x:c r="F3150" s="19" t="str">
        <x:v>守关BOSS</x:v>
      </x:c>
      <x:c r="G3150" s="19" t="str">
        <x:v>自身专属</x:v>
      </x:c>
      <x:c r="H3150" s="19" t="str">
        <x:v>陨星礼锋</x:v>
      </x:c>
      <x:c r="I3150" s="22" t="n">
        <x:v>120</x:v>
      </x:c>
      <x:c r="J3150" s="22" t="n">
        <x:v>1</x:v>
      </x:c>
      <x:c r="K3150" s="19" t="n">
        <x:v>1</x:v>
      </x:c>
      <x:c r="L3150" s="24" t="n">
        <x:v>39.63466666666666</x:v>
      </x:c>
      <x:c r="M3150" s="26" t="n">
        <x:v>0.1</x:v>
      </x:c>
      <x:c r="N3150" s="24" t="n">
        <x:v>0</x:v>
      </x:c>
      <x:c r="O3150" s="28" t="n">
        <x:f>MIN(1,L3150/I3150)</x:f>
        <x:v>0.33028888888888885</x:v>
      </x:c>
      <x:c r="P3150" s="30" t="n">
        <x:f>O3150*J3150*(1+M3150)</x:f>
        <x:v>0.3633177777777778</x:v>
      </x:c>
      <x:c r="Q3150" s="30" t="n">
        <x:f>P3150*N3150</x:f>
        <x:v>0</x:v>
      </x:c>
      <x:c r="R3150" s="19" t="str">
        <x:v>独立判定</x:v>
      </x:c>
    </x:row>
    <x:row r="3151" ht="19" customHeight="1">
      <x:c r="A3151" s="19" t="str">
        <x:v>D03147</x:v>
      </x:c>
      <x:c r="B3151" s="19" t="n">
        <x:v>6</x:v>
      </x:c>
      <x:c r="C3151" s="19" t="n">
        <x:v>3</x:v>
      </x:c>
      <x:c r="D3151" s="19" t="str">
        <x:v>C06-M037</x:v>
      </x:c>
      <x:c r="E3151" s="19" t="str">
        <x:v>碎星狮王·拉塔恩</x:v>
      </x:c>
      <x:c r="F3151" s="19" t="str">
        <x:v>守关BOSS</x:v>
      </x:c>
      <x:c r="G3151" s="19" t="str">
        <x:v>自身专属</x:v>
      </x:c>
      <x:c r="H3151" s="19" t="str">
        <x:v>赤狮葬衣</x:v>
      </x:c>
      <x:c r="I3151" s="22" t="n">
        <x:v>120</x:v>
      </x:c>
      <x:c r="J3151" s="22" t="n">
        <x:v>1</x:v>
      </x:c>
      <x:c r="K3151" s="19" t="n">
        <x:v>1</x:v>
      </x:c>
      <x:c r="L3151" s="24" t="n">
        <x:v>39.63466666666666</x:v>
      </x:c>
      <x:c r="M3151" s="26" t="n">
        <x:v>0.1</x:v>
      </x:c>
      <x:c r="N3151" s="24" t="n">
        <x:v>0</x:v>
      </x:c>
      <x:c r="O3151" s="28" t="n">
        <x:f>MIN(1,L3151/I3151)</x:f>
        <x:v>0.33028888888888885</x:v>
      </x:c>
      <x:c r="P3151" s="30" t="n">
        <x:f>O3151*J3151*(1+M3151)</x:f>
        <x:v>0.3633177777777778</x:v>
      </x:c>
      <x:c r="Q3151" s="30" t="n">
        <x:f>P3151*N3151</x:f>
        <x:v>0</x:v>
      </x:c>
      <x:c r="R3151" s="19" t="str">
        <x:v>独立判定</x:v>
      </x:c>
    </x:row>
    <x:row r="3152" ht="19" customHeight="1">
      <x:c r="A3152" s="19" t="str">
        <x:v>D03148</x:v>
      </x:c>
      <x:c r="B3152" s="19" t="n">
        <x:v>6</x:v>
      </x:c>
      <x:c r="C3152" s="19" t="n">
        <x:v>3</x:v>
      </x:c>
      <x:c r="D3152" s="19" t="str">
        <x:v>C06-M037</x:v>
      </x:c>
      <x:c r="E3152" s="19" t="str">
        <x:v>碎星狮王·拉塔恩</x:v>
      </x:c>
      <x:c r="F3152" s="19" t="str">
        <x:v>守关BOSS</x:v>
      </x:c>
      <x:c r="G3152" s="19" t="str">
        <x:v>本图普通兼掉候选</x:v>
      </x:c>
      <x:c r="H3152" s="19" t="str">
        <x:v>POOL053</x:v>
      </x:c>
      <x:c r="I3152" s="22" t="n">
        <x:v>100</x:v>
      </x:c>
      <x:c r="J3152" s="22" t="n">
        <x:v>1</x:v>
      </x:c>
      <x:c r="K3152" s="19" t="n">
        <x:v>1</x:v>
      </x:c>
      <x:c r="L3152" s="24" t="n">
        <x:v>39.63466666666666</x:v>
      </x:c>
      <x:c r="M3152" s="26" t="n">
        <x:v>0.1</x:v>
      </x:c>
      <x:c r="N3152" s="24" t="n">
        <x:v>0</x:v>
      </x:c>
      <x:c r="O3152" s="28" t="n">
        <x:f>MIN(1,L3152/I3152)</x:f>
        <x:v>0.3963466666666666</x:v>
      </x:c>
      <x:c r="P3152" s="30" t="n">
        <x:f>O3152*J3152*(1+M3152)</x:f>
        <x:v>0.43598133333333333</x:v>
      </x:c>
      <x:c r="Q3152" s="30" t="n">
        <x:f>P3152*N3152</x:f>
        <x:v>0</x:v>
      </x:c>
      <x:c r="R3152" s="19" t="str">
        <x:v>单池选一</x:v>
      </x:c>
    </x:row>
    <x:row r="3153" ht="19" customHeight="1">
      <x:c r="A3153" s="19" t="str">
        <x:v>D03149</x:v>
      </x:c>
      <x:c r="B3153" s="19" t="n">
        <x:v>6</x:v>
      </x:c>
      <x:c r="C3153" s="19" t="n">
        <x:v>3</x:v>
      </x:c>
      <x:c r="D3153" s="19" t="str">
        <x:v>C06-M037</x:v>
      </x:c>
      <x:c r="E3153" s="19" t="str">
        <x:v>碎星狮王·拉塔恩</x:v>
      </x:c>
      <x:c r="F3153" s="19" t="str">
        <x:v>守关BOSS</x:v>
      </x:c>
      <x:c r="G3153" s="19" t="str">
        <x:v>材料独立候选</x:v>
      </x:c>
      <x:c r="H3153" s="19" t="str">
        <x:v>猩红矿渣</x:v>
      </x:c>
      <x:c r="I3153" s="22" t="n">
        <x:v>1</x:v>
      </x:c>
      <x:c r="J3153" s="22" t="n">
        <x:v>40</x:v>
      </x:c>
      <x:c r="K3153" s="19" t="n">
        <x:v>1</x:v>
      </x:c>
      <x:c r="L3153" s="24" t="n">
        <x:v>39.63466666666666</x:v>
      </x:c>
      <x:c r="M3153" s="26" t="n">
        <x:v>0.1</x:v>
      </x:c>
      <x:c r="N3153" s="24" t="n">
        <x:v>0</x:v>
      </x:c>
      <x:c r="O3153" s="28" t="n">
        <x:f>MIN(1,L3153/I3153)</x:f>
        <x:v>1</x:v>
      </x:c>
      <x:c r="P3153" s="30" t="n">
        <x:f>O3153*J3153*(1+M3153)</x:f>
        <x:v>44</x:v>
      </x:c>
      <x:c r="Q3153" s="30" t="n">
        <x:f>P3153*N3153</x:f>
        <x:v>0</x:v>
      </x:c>
      <x:c r="R3153" s="19" t="str">
        <x:v>独立判定</x:v>
      </x:c>
    </x:row>
    <x:row r="3154" ht="19" customHeight="1">
      <x:c r="A3154" s="19" t="str">
        <x:v>D03150</x:v>
      </x:c>
      <x:c r="B3154" s="19" t="n">
        <x:v>6</x:v>
      </x:c>
      <x:c r="C3154" s="19" t="n">
        <x:v>3</x:v>
      </x:c>
      <x:c r="D3154" s="19" t="str">
        <x:v>C06-M037</x:v>
      </x:c>
      <x:c r="E3154" s="19" t="str">
        <x:v>碎星狮王·拉塔恩</x:v>
      </x:c>
      <x:c r="F3154" s="19" t="str">
        <x:v>守关BOSS</x:v>
      </x:c>
      <x:c r="G3154" s="19" t="str">
        <x:v>材料独立候选</x:v>
      </x:c>
      <x:c r="H3154" s="19" t="str">
        <x:v>龙火鳞</x:v>
      </x:c>
      <x:c r="I3154" s="22" t="n">
        <x:v>1</x:v>
      </x:c>
      <x:c r="J3154" s="22" t="n">
        <x:v>1</x:v>
      </x:c>
      <x:c r="K3154" s="19" t="n">
        <x:v>1</x:v>
      </x:c>
      <x:c r="L3154" s="24" t="n">
        <x:v>39.63466666666666</x:v>
      </x:c>
      <x:c r="M3154" s="26" t="n">
        <x:v>0.1</x:v>
      </x:c>
      <x:c r="N3154" s="24" t="n">
        <x:v>0</x:v>
      </x:c>
      <x:c r="O3154" s="28" t="n">
        <x:f>MIN(1,L3154/I3154)</x:f>
        <x:v>1</x:v>
      </x:c>
      <x:c r="P3154" s="30" t="n">
        <x:f>O3154*J3154*(1+M3154)</x:f>
        <x:v>1.1</x:v>
      </x:c>
      <x:c r="Q3154" s="30" t="n">
        <x:f>P3154*N3154</x:f>
        <x:v>0</x:v>
      </x:c>
      <x:c r="R3154" s="19" t="str">
        <x:v>独立判定</x:v>
      </x:c>
    </x:row>
    <x:row r="3155" ht="19" customHeight="1">
      <x:c r="A3155" s="19" t="str">
        <x:v>D03151</x:v>
      </x:c>
      <x:c r="B3155" s="19" t="n">
        <x:v>6</x:v>
      </x:c>
      <x:c r="C3155" s="19" t="n">
        <x:v>3</x:v>
      </x:c>
      <x:c r="D3155" s="19" t="str">
        <x:v>C06-M037</x:v>
      </x:c>
      <x:c r="E3155" s="19" t="str">
        <x:v>碎星狮王·拉塔恩</x:v>
      </x:c>
      <x:c r="F3155" s="19" t="str">
        <x:v>守关BOSS</x:v>
      </x:c>
      <x:c r="G3155" s="19" t="str">
        <x:v>材料独立候选</x:v>
      </x:c>
      <x:c r="H3155" s="19" t="str">
        <x:v>红狮战印</x:v>
      </x:c>
      <x:c r="I3155" s="22" t="n">
        <x:v>1</x:v>
      </x:c>
      <x:c r="J3155" s="22" t="n">
        <x:v>1</x:v>
      </x:c>
      <x:c r="K3155" s="19" t="n">
        <x:v>1</x:v>
      </x:c>
      <x:c r="L3155" s="24" t="n">
        <x:v>39.63466666666666</x:v>
      </x:c>
      <x:c r="M3155" s="26" t="n">
        <x:v>0.1</x:v>
      </x:c>
      <x:c r="N3155" s="24" t="n">
        <x:v>0</x:v>
      </x:c>
      <x:c r="O3155" s="28" t="n">
        <x:f>MIN(1,L3155/I3155)</x:f>
        <x:v>1</x:v>
      </x:c>
      <x:c r="P3155" s="30" t="n">
        <x:f>O3155*J3155*(1+M3155)</x:f>
        <x:v>1.1</x:v>
      </x:c>
      <x:c r="Q3155" s="30" t="n">
        <x:f>P3155*N3155</x:f>
        <x:v>0</x:v>
      </x:c>
      <x:c r="R3155" s="19" t="str">
        <x:v>独立判定</x:v>
      </x:c>
    </x:row>
    <x:row r="3156" ht="19" customHeight="1">
      <x:c r="A3156" s="19" t="str">
        <x:v>D03152</x:v>
      </x:c>
      <x:c r="B3156" s="19" t="n">
        <x:v>6</x:v>
      </x:c>
      <x:c r="C3156" s="19" t="n">
        <x:v>3</x:v>
      </x:c>
      <x:c r="D3156" s="19" t="str">
        <x:v>C06-M037</x:v>
      </x:c>
      <x:c r="E3156" s="19" t="str">
        <x:v>碎星狮王·拉塔恩</x:v>
      </x:c>
      <x:c r="F3156" s="19" t="str">
        <x:v>守关BOSS</x:v>
      </x:c>
      <x:c r="G3156" s="19" t="str">
        <x:v>材料独立候选</x:v>
      </x:c>
      <x:c r="H3156" s="19" t="str">
        <x:v>碎星仪仗钉</x:v>
      </x:c>
      <x:c r="I3156" s="22" t="n">
        <x:v>1</x:v>
      </x:c>
      <x:c r="J3156" s="22" t="n">
        <x:v>1</x:v>
      </x:c>
      <x:c r="K3156" s="19" t="n">
        <x:v>1</x:v>
      </x:c>
      <x:c r="L3156" s="24" t="n">
        <x:v>39.63466666666666</x:v>
      </x:c>
      <x:c r="M3156" s="26" t="n">
        <x:v>0.1</x:v>
      </x:c>
      <x:c r="N3156" s="24" t="n">
        <x:v>0</x:v>
      </x:c>
      <x:c r="O3156" s="28" t="n">
        <x:f>MIN(1,L3156/I3156)</x:f>
        <x:v>1</x:v>
      </x:c>
      <x:c r="P3156" s="30" t="n">
        <x:f>O3156*J3156*(1+M3156)</x:f>
        <x:v>1.1</x:v>
      </x:c>
      <x:c r="Q3156" s="30" t="n">
        <x:f>P3156*N3156</x:f>
        <x:v>0</x:v>
      </x:c>
      <x:c r="R3156" s="19" t="str">
        <x:v>独立判定</x:v>
      </x:c>
    </x:row>
    <x:row r="3157" ht="19" customHeight="1">
      <x:c r="A3157" s="19" t="str">
        <x:v>D03153</x:v>
      </x:c>
      <x:c r="B3157" s="19" t="n">
        <x:v>6</x:v>
      </x:c>
      <x:c r="C3157" s="19" t="n">
        <x:v>3</x:v>
      </x:c>
      <x:c r="D3157" s="19" t="str">
        <x:v>C06-M037</x:v>
      </x:c>
      <x:c r="E3157" s="19" t="str">
        <x:v>碎星狮王·拉塔恩</x:v>
      </x:c>
      <x:c r="F3157" s="19" t="str">
        <x:v>守关BOSS</x:v>
      </x:c>
      <x:c r="G3157" s="19" t="str">
        <x:v>材料独立候选</x:v>
      </x:c>
      <x:c r="H3157" s="19" t="str">
        <x:v>熔原罪火残章</x:v>
      </x:c>
      <x:c r="I3157" s="22" t="n">
        <x:v>10000</x:v>
      </x:c>
      <x:c r="J3157" s="22" t="n">
        <x:v>1</x:v>
      </x:c>
      <x:c r="K3157" s="19" t="n">
        <x:v>1</x:v>
      </x:c>
      <x:c r="L3157" s="24" t="n">
        <x:v>39.63466666666666</x:v>
      </x:c>
      <x:c r="M3157" s="26" t="n">
        <x:v>0.1</x:v>
      </x:c>
      <x:c r="N3157" s="24" t="n">
        <x:v>0</x:v>
      </x:c>
      <x:c r="O3157" s="28" t="n">
        <x:f>MIN(1,L3157/I3157)</x:f>
        <x:v>0.003963466666666666</x:v>
      </x:c>
      <x:c r="P3157" s="30" t="n">
        <x:f>O3157*J3157*(1+M3157)</x:f>
        <x:v>0.004359813333333333</x:v>
      </x:c>
      <x:c r="Q3157" s="30" t="n">
        <x:f>P3157*N3157</x:f>
        <x:v>0</x:v>
      </x:c>
      <x:c r="R3157" s="19" t="str">
        <x:v>独立判定</x:v>
      </x:c>
    </x:row>
    <x:row r="3158" ht="19" customHeight="1">
      <x:c r="A3158" s="19" t="str">
        <x:v>D03154</x:v>
      </x:c>
      <x:c r="B3158" s="19" t="n">
        <x:v>6</x:v>
      </x:c>
      <x:c r="C3158" s="19" t="n">
        <x:v>3</x:v>
      </x:c>
      <x:c r="D3158" s="19" t="str">
        <x:v>C06-M037</x:v>
      </x:c>
      <x:c r="E3158" s="19" t="str">
        <x:v>碎星狮王·拉塔恩</x:v>
      </x:c>
      <x:c r="F3158" s="19" t="str">
        <x:v>守关BOSS</x:v>
      </x:c>
      <x:c r="G3158" s="19" t="str">
        <x:v>材料独立候选</x:v>
      </x:c>
      <x:c r="H3158" s="19" t="str">
        <x:v>黄金树芽</x:v>
      </x:c>
      <x:c r="I3158" s="22" t="n">
        <x:v>1</x:v>
      </x:c>
      <x:c r="J3158" s="22" t="n">
        <x:v>1</x:v>
      </x:c>
      <x:c r="K3158" s="19" t="n">
        <x:v>1</x:v>
      </x:c>
      <x:c r="L3158" s="24" t="n">
        <x:v>39.63466666666666</x:v>
      </x:c>
      <x:c r="M3158" s="26" t="n">
        <x:v>0.1</x:v>
      </x:c>
      <x:c r="N3158" s="24" t="n">
        <x:v>0</x:v>
      </x:c>
      <x:c r="O3158" s="28" t="n">
        <x:f>MIN(1,L3158/I3158)</x:f>
        <x:v>1</x:v>
      </x:c>
      <x:c r="P3158" s="30" t="n">
        <x:f>O3158*J3158*(1+M3158)</x:f>
        <x:v>1.1</x:v>
      </x:c>
      <x:c r="Q3158" s="30" t="n">
        <x:f>P3158*N3158</x:f>
        <x:v>0</x:v>
      </x:c>
      <x:c r="R3158" s="19" t="str">
        <x:v>独立判定</x:v>
      </x:c>
    </x:row>
    <x:row r="3159" ht="19" customHeight="1">
      <x:c r="A3159" s="19" t="str">
        <x:v>D03155</x:v>
      </x:c>
      <x:c r="B3159" s="19" t="n">
        <x:v>6</x:v>
      </x:c>
      <x:c r="C3159" s="19" t="n">
        <x:v>3</x:v>
      </x:c>
      <x:c r="D3159" s="19" t="str">
        <x:v>C06-M037</x:v>
      </x:c>
      <x:c r="E3159" s="19" t="str">
        <x:v>碎星狮王·拉塔恩</x:v>
      </x:c>
      <x:c r="F3159" s="19" t="str">
        <x:v>守关BOSS</x:v>
      </x:c>
      <x:c r="G3159" s="19" t="str">
        <x:v>六神器公共池</x:v>
      </x:c>
      <x:c r="H3159" s="19" t="str">
        <x:v>POOL006</x:v>
      </x:c>
      <x:c r="I3159" s="22" t="n">
        <x:v>40000</x:v>
      </x:c>
      <x:c r="J3159" s="22" t="n">
        <x:v>1</x:v>
      </x:c>
      <x:c r="K3159" s="19" t="n">
        <x:v>6</x:v>
      </x:c>
      <x:c r="L3159" s="24" t="n">
        <x:v>39.63466666666666</x:v>
      </x:c>
      <x:c r="M3159" s="26" t="n">
        <x:v>0.1</x:v>
      </x:c>
      <x:c r="N3159" s="24" t="n">
        <x:v>0</x:v>
      </x:c>
      <x:c r="O3159" s="28" t="n">
        <x:f>MIN(1,L3159/I3159)</x:f>
        <x:v>0.0009908666666666665</x:v>
      </x:c>
      <x:c r="P3159" s="30" t="n">
        <x:f>O3159*J3159*(1+M3159)</x:f>
        <x:v>0.0010899533333333332</x:v>
      </x:c>
      <x:c r="Q3159" s="30" t="n">
        <x:f>P3159*N3159</x:f>
        <x:v>0</x:v>
      </x:c>
      <x:c r="R3159" s="19" t="str">
        <x:v>六选一；非6个独立爆率</x:v>
      </x:c>
    </x:row>
    <x:row r="3160" ht="19" customHeight="1">
      <x:c r="A3160" s="19" t="str">
        <x:v>D03156</x:v>
      </x:c>
      <x:c r="B3160" s="19" t="n">
        <x:v>7</x:v>
      </x:c>
      <x:c r="C3160" s="19" t="n">
        <x:v>1</x:v>
      </x:c>
      <x:c r="D3160" s="19" t="str">
        <x:v>C07-M001</x:v>
      </x:c>
      <x:c r="E3160" s="19" t="str">
        <x:v>雪原冻角鹿</x:v>
      </x:c>
      <x:c r="F3160" s="19" t="str">
        <x:v>普通</x:v>
      </x:c>
      <x:c r="G3160" s="19" t="str">
        <x:v>自身专属</x:v>
      </x:c>
      <x:c r="H3160" s="19" t="str">
        <x:v>冻角护腕</x:v>
      </x:c>
      <x:c r="I3160" s="22" t="n">
        <x:v>4000</x:v>
      </x:c>
      <x:c r="J3160" s="22" t="n">
        <x:v>1</x:v>
      </x:c>
      <x:c r="K3160" s="19" t="n">
        <x:v>1</x:v>
      </x:c>
      <x:c r="L3160" s="24" t="n">
        <x:v>39.412</x:v>
      </x:c>
      <x:c r="M3160" s="26" t="n">
        <x:v>0.1</x:v>
      </x:c>
      <x:c r="N3160" s="24" t="n">
        <x:v>72</x:v>
      </x:c>
      <x:c r="O3160" s="28" t="n">
        <x:f>MIN(1,L3160/I3160)</x:f>
        <x:v>0.009852999999999999</x:v>
      </x:c>
      <x:c r="P3160" s="30" t="n">
        <x:f>O3160*J3160*(1+M3160)</x:f>
        <x:v>0.0108383</x:v>
      </x:c>
      <x:c r="Q3160" s="30" t="n">
        <x:f>P3160*N3160</x:f>
        <x:v>0.7803576</x:v>
      </x:c>
      <x:c r="R3160" s="19" t="str">
        <x:v>独立判定</x:v>
      </x:c>
    </x:row>
    <x:row r="3161" ht="19" customHeight="1">
      <x:c r="A3161" s="19" t="str">
        <x:v>D03157</x:v>
      </x:c>
      <x:c r="B3161" s="19" t="n">
        <x:v>7</x:v>
      </x:c>
      <x:c r="C3161" s="19" t="n">
        <x:v>1</x:v>
      </x:c>
      <x:c r="D3161" s="19" t="str">
        <x:v>C07-M001</x:v>
      </x:c>
      <x:c r="E3161" s="19" t="str">
        <x:v>雪原冻角鹿</x:v>
      </x:c>
      <x:c r="F3161" s="19" t="str">
        <x:v>普通</x:v>
      </x:c>
      <x:c r="G3161" s="19" t="str">
        <x:v>材料独立候选</x:v>
      </x:c>
      <x:c r="H3161" s="19" t="str">
        <x:v>冻晶尘</x:v>
      </x:c>
      <x:c r="I3161" s="22" t="n">
        <x:v>1000</x:v>
      </x:c>
      <x:c r="J3161" s="22" t="n">
        <x:v>8</x:v>
      </x:c>
      <x:c r="K3161" s="19" t="n">
        <x:v>1</x:v>
      </x:c>
      <x:c r="L3161" s="24" t="n">
        <x:v>39.412</x:v>
      </x:c>
      <x:c r="M3161" s="26" t="n">
        <x:v>0.1</x:v>
      </x:c>
      <x:c r="N3161" s="24" t="n">
        <x:v>72</x:v>
      </x:c>
      <x:c r="O3161" s="28" t="n">
        <x:f>MIN(1,L3161/I3161)</x:f>
        <x:v>0.039411999999999996</x:v>
      </x:c>
      <x:c r="P3161" s="30" t="n">
        <x:f>O3161*J3161*(1+M3161)</x:f>
        <x:v>0.3468256</x:v>
      </x:c>
      <x:c r="Q3161" s="30" t="n">
        <x:f>P3161*N3161</x:f>
        <x:v>24.9714432</x:v>
      </x:c>
      <x:c r="R3161" s="19" t="str">
        <x:v>独立判定</x:v>
      </x:c>
    </x:row>
    <x:row r="3162" ht="19" customHeight="1">
      <x:c r="A3162" s="19" t="str">
        <x:v>D03158</x:v>
      </x:c>
      <x:c r="B3162" s="19" t="n">
        <x:v>7</x:v>
      </x:c>
      <x:c r="C3162" s="19" t="n">
        <x:v>1</x:v>
      </x:c>
      <x:c r="D3162" s="19" t="str">
        <x:v>C07-M001</x:v>
      </x:c>
      <x:c r="E3162" s="19" t="str">
        <x:v>雪原冻角鹿</x:v>
      </x:c>
      <x:c r="F3162" s="19" t="str">
        <x:v>普通</x:v>
      </x:c>
      <x:c r="G3162" s="19" t="str">
        <x:v>材料独立候选</x:v>
      </x:c>
      <x:c r="H3162" s="19" t="str">
        <x:v>白金路标片</x:v>
      </x:c>
      <x:c r="I3162" s="22" t="n">
        <x:v>1500</x:v>
      </x:c>
      <x:c r="J3162" s="22" t="n">
        <x:v>1</x:v>
      </x:c>
      <x:c r="K3162" s="19" t="n">
        <x:v>1</x:v>
      </x:c>
      <x:c r="L3162" s="24" t="n">
        <x:v>39.412</x:v>
      </x:c>
      <x:c r="M3162" s="26" t="n">
        <x:v>0.1</x:v>
      </x:c>
      <x:c r="N3162" s="24" t="n">
        <x:v>72</x:v>
      </x:c>
      <x:c r="O3162" s="28" t="n">
        <x:f>MIN(1,L3162/I3162)</x:f>
        <x:v>0.026274666666666665</x:v>
      </x:c>
      <x:c r="P3162" s="30" t="n">
        <x:f>O3162*J3162*(1+M3162)</x:f>
        <x:v>0.028902133333333333</x:v>
      </x:c>
      <x:c r="Q3162" s="30" t="n">
        <x:f>P3162*N3162</x:f>
        <x:v>2.0809536</x:v>
      </x:c>
      <x:c r="R3162" s="19" t="str">
        <x:v>独立判定</x:v>
      </x:c>
    </x:row>
    <x:row r="3163" ht="19" customHeight="1">
      <x:c r="A3163" s="19" t="str">
        <x:v>D03159</x:v>
      </x:c>
      <x:c r="B3163" s="19" t="n">
        <x:v>7</x:v>
      </x:c>
      <x:c r="C3163" s="19" t="n">
        <x:v>1</x:v>
      </x:c>
      <x:c r="D3163" s="19" t="str">
        <x:v>C07-M001</x:v>
      </x:c>
      <x:c r="E3163" s="19" t="str">
        <x:v>雪原冻角鹿</x:v>
      </x:c>
      <x:c r="F3163" s="19" t="str">
        <x:v>普通</x:v>
      </x:c>
      <x:c r="G3163" s="19" t="str">
        <x:v>材料独立候选</x:v>
      </x:c>
      <x:c r="H3163" s="19" t="str">
        <x:v>永霜朝圣痕</x:v>
      </x:c>
      <x:c r="I3163" s="22" t="n">
        <x:v>1800000</x:v>
      </x:c>
      <x:c r="J3163" s="22" t="n">
        <x:v>1</x:v>
      </x:c>
      <x:c r="K3163" s="19" t="n">
        <x:v>1</x:v>
      </x:c>
      <x:c r="L3163" s="24" t="n">
        <x:v>39.412</x:v>
      </x:c>
      <x:c r="M3163" s="26" t="n">
        <x:v>0.1</x:v>
      </x:c>
      <x:c r="N3163" s="24" t="n">
        <x:v>72</x:v>
      </x:c>
      <x:c r="O3163" s="28" t="n">
        <x:f>MIN(1,L3163/I3163)</x:f>
        <x:v>0.000021895555555555555</x:v>
      </x:c>
      <x:c r="P3163" s="30" t="n">
        <x:f>O3163*J3163*(1+M3163)</x:f>
        <x:v>0.000024085111111111113</x:v>
      </x:c>
      <x:c r="Q3163" s="30" t="n">
        <x:f>P3163*N3163</x:f>
        <x:v>0.0017341280000000001</x:v>
      </x:c>
      <x:c r="R3163" s="19" t="str">
        <x:v>独立判定</x:v>
      </x:c>
    </x:row>
    <x:row r="3164" ht="19" customHeight="1">
      <x:c r="A3164" s="19" t="str">
        <x:v>D03160</x:v>
      </x:c>
      <x:c r="B3164" s="19" t="n">
        <x:v>7</x:v>
      </x:c>
      <x:c r="C3164" s="19" t="n">
        <x:v>1</x:v>
      </x:c>
      <x:c r="D3164" s="19" t="str">
        <x:v>C07-M001</x:v>
      </x:c>
      <x:c r="E3164" s="19" t="str">
        <x:v>雪原冻角鹿</x:v>
      </x:c>
      <x:c r="F3164" s="19" t="str">
        <x:v>普通</x:v>
      </x:c>
      <x:c r="G3164" s="19" t="str">
        <x:v>材料独立候选</x:v>
      </x:c>
      <x:c r="H3164" s="19" t="str">
        <x:v>野兽骨片</x:v>
      </x:c>
      <x:c r="I3164" s="22" t="n">
        <x:v>200</x:v>
      </x:c>
      <x:c r="J3164" s="22" t="n">
        <x:v>5</x:v>
      </x:c>
      <x:c r="K3164" s="19" t="n">
        <x:v>1</x:v>
      </x:c>
      <x:c r="L3164" s="24" t="n">
        <x:v>39.412</x:v>
      </x:c>
      <x:c r="M3164" s="26" t="n">
        <x:v>0.1</x:v>
      </x:c>
      <x:c r="N3164" s="24" t="n">
        <x:v>72</x:v>
      </x:c>
      <x:c r="O3164" s="28" t="n">
        <x:f>MIN(1,L3164/I3164)</x:f>
        <x:v>0.19705999999999999</x:v>
      </x:c>
      <x:c r="P3164" s="30" t="n">
        <x:f>O3164*J3164*(1+M3164)</x:f>
        <x:v>1.08383</x:v>
      </x:c>
      <x:c r="Q3164" s="30" t="n">
        <x:f>P3164*N3164</x:f>
        <x:v>78.03576000000001</x:v>
      </x:c>
      <x:c r="R3164" s="19" t="str">
        <x:v>独立判定</x:v>
      </x:c>
    </x:row>
    <x:row r="3165" ht="19" customHeight="1">
      <x:c r="A3165" s="19" t="str">
        <x:v>D03161</x:v>
      </x:c>
      <x:c r="B3165" s="19" t="n">
        <x:v>7</x:v>
      </x:c>
      <x:c r="C3165" s="19" t="n">
        <x:v>1</x:v>
      </x:c>
      <x:c r="D3165" s="19" t="str">
        <x:v>C07-M001</x:v>
      </x:c>
      <x:c r="E3165" s="19" t="str">
        <x:v>雪原冻角鹿</x:v>
      </x:c>
      <x:c r="F3165" s="19" t="str">
        <x:v>普通</x:v>
      </x:c>
      <x:c r="G3165" s="19" t="str">
        <x:v>材料独立候选</x:v>
      </x:c>
      <x:c r="H3165" s="19" t="str">
        <x:v>技能残页</x:v>
      </x:c>
      <x:c r="I3165" s="22" t="n">
        <x:v>1200</x:v>
      </x:c>
      <x:c r="J3165" s="22" t="n">
        <x:v>1</x:v>
      </x:c>
      <x:c r="K3165" s="19" t="n">
        <x:v>1</x:v>
      </x:c>
      <x:c r="L3165" s="24" t="n">
        <x:v>39.412</x:v>
      </x:c>
      <x:c r="M3165" s="26" t="n">
        <x:v>0.1</x:v>
      </x:c>
      <x:c r="N3165" s="24" t="n">
        <x:v>72</x:v>
      </x:c>
      <x:c r="O3165" s="28" t="n">
        <x:f>MIN(1,L3165/I3165)</x:f>
        <x:v>0.032843333333333335</x:v>
      </x:c>
      <x:c r="P3165" s="30" t="n">
        <x:f>O3165*J3165*(1+M3165)</x:f>
        <x:v>0.03612766666666667</x:v>
      </x:c>
      <x:c r="Q3165" s="30" t="n">
        <x:f>P3165*N3165</x:f>
        <x:v>2.601192</x:v>
      </x:c>
      <x:c r="R3165" s="19" t="str">
        <x:v>独立判定</x:v>
      </x:c>
    </x:row>
    <x:row r="3166" ht="19" customHeight="1">
      <x:c r="A3166" s="19" t="str">
        <x:v>D03162</x:v>
      </x:c>
      <x:c r="B3166" s="19" t="n">
        <x:v>7</x:v>
      </x:c>
      <x:c r="C3166" s="19" t="n">
        <x:v>1</x:v>
      </x:c>
      <x:c r="D3166" s="19" t="str">
        <x:v>C07-M001</x:v>
      </x:c>
      <x:c r="E3166" s="19" t="str">
        <x:v>雪原冻角鹿</x:v>
      </x:c>
      <x:c r="F3166" s="19" t="str">
        <x:v>普通</x:v>
      </x:c>
      <x:c r="G3166" s="19" t="str">
        <x:v>材料独立候选</x:v>
      </x:c>
      <x:c r="H3166" s="19" t="str">
        <x:v>小卢恩</x:v>
      </x:c>
      <x:c r="I3166" s="22" t="n">
        <x:v>12000</x:v>
      </x:c>
      <x:c r="J3166" s="22" t="n">
        <x:v>1</x:v>
      </x:c>
      <x:c r="K3166" s="19" t="n">
        <x:v>1</x:v>
      </x:c>
      <x:c r="L3166" s="24" t="n">
        <x:v>39.412</x:v>
      </x:c>
      <x:c r="M3166" s="26" t="n">
        <x:v>0.1</x:v>
      </x:c>
      <x:c r="N3166" s="24" t="n">
        <x:v>72</x:v>
      </x:c>
      <x:c r="O3166" s="28" t="n">
        <x:f>MIN(1,L3166/I3166)</x:f>
        <x:v>0.003284333333333333</x:v>
      </x:c>
      <x:c r="P3166" s="30" t="n">
        <x:f>O3166*J3166*(1+M3166)</x:f>
        <x:v>0.0036127666666666666</x:v>
      </x:c>
      <x:c r="Q3166" s="30" t="n">
        <x:f>P3166*N3166</x:f>
        <x:v>0.2601192</x:v>
      </x:c>
      <x:c r="R3166" s="19" t="str">
        <x:v>独立判定</x:v>
      </x:c>
    </x:row>
    <x:row r="3167" ht="19" customHeight="1">
      <x:c r="A3167" s="19" t="str">
        <x:v>D03163</x:v>
      </x:c>
      <x:c r="B3167" s="19" t="n">
        <x:v>7</x:v>
      </x:c>
      <x:c r="C3167" s="19" t="n">
        <x:v>1</x:v>
      </x:c>
      <x:c r="D3167" s="19" t="str">
        <x:v>C07-M001</x:v>
      </x:c>
      <x:c r="E3167" s="19" t="str">
        <x:v>雪原冻角鹿</x:v>
      </x:c>
      <x:c r="F3167" s="19" t="str">
        <x:v>普通</x:v>
      </x:c>
      <x:c r="G3167" s="19" t="str">
        <x:v>六神器公共池</x:v>
      </x:c>
      <x:c r="H3167" s="19" t="str">
        <x:v>POOL006</x:v>
      </x:c>
      <x:c r="I3167" s="22" t="n">
        <x:v>20000000</x:v>
      </x:c>
      <x:c r="J3167" s="22" t="n">
        <x:v>1</x:v>
      </x:c>
      <x:c r="K3167" s="19" t="n">
        <x:v>6</x:v>
      </x:c>
      <x:c r="L3167" s="24" t="n">
        <x:v>39.412</x:v>
      </x:c>
      <x:c r="M3167" s="26" t="n">
        <x:v>0.1</x:v>
      </x:c>
      <x:c r="N3167" s="24" t="n">
        <x:v>72</x:v>
      </x:c>
      <x:c r="O3167" s="28" t="n">
        <x:f>MIN(1,L3167/I3167)</x:f>
        <x:v>0.0000019706</x:v>
      </x:c>
      <x:c r="P3167" s="30" t="n">
        <x:f>O3167*J3167*(1+M3167)</x:f>
        <x:v>0.00000216766</x:v>
      </x:c>
      <x:c r="Q3167" s="30" t="n">
        <x:f>P3167*N3167</x:f>
        <x:v>0.00015607152</x:v>
      </x:c>
      <x:c r="R3167" s="19" t="str">
        <x:v>六选一；非6个独立爆率</x:v>
      </x:c>
    </x:row>
    <x:row r="3168" ht="19" customHeight="1">
      <x:c r="A3168" s="19" t="str">
        <x:v>D03164</x:v>
      </x:c>
      <x:c r="B3168" s="19" t="n">
        <x:v>7</x:v>
      </x:c>
      <x:c r="C3168" s="19" t="n">
        <x:v>1</x:v>
      </x:c>
      <x:c r="D3168" s="19" t="str">
        <x:v>C07-M002</x:v>
      </x:c>
      <x:c r="E3168" s="19" t="str">
        <x:v>霜风放逐兵</x:v>
      </x:c>
      <x:c r="F3168" s="19" t="str">
        <x:v>普通</x:v>
      </x:c>
      <x:c r="G3168" s="19" t="str">
        <x:v>自身专属</x:v>
      </x:c>
      <x:c r="H3168" s="19" t="str">
        <x:v>放逐雪刃</x:v>
      </x:c>
      <x:c r="I3168" s="22" t="n">
        <x:v>4000</x:v>
      </x:c>
      <x:c r="J3168" s="22" t="n">
        <x:v>1</x:v>
      </x:c>
      <x:c r="K3168" s="19" t="n">
        <x:v>1</x:v>
      </x:c>
      <x:c r="L3168" s="24" t="n">
        <x:v>39.412</x:v>
      </x:c>
      <x:c r="M3168" s="26" t="n">
        <x:v>0.1</x:v>
      </x:c>
      <x:c r="N3168" s="24" t="n">
        <x:v>72</x:v>
      </x:c>
      <x:c r="O3168" s="28" t="n">
        <x:f>MIN(1,L3168/I3168)</x:f>
        <x:v>0.009852999999999999</x:v>
      </x:c>
      <x:c r="P3168" s="30" t="n">
        <x:f>O3168*J3168*(1+M3168)</x:f>
        <x:v>0.0108383</x:v>
      </x:c>
      <x:c r="Q3168" s="30" t="n">
        <x:f>P3168*N3168</x:f>
        <x:v>0.7803576</x:v>
      </x:c>
      <x:c r="R3168" s="19" t="str">
        <x:v>独立判定</x:v>
      </x:c>
    </x:row>
    <x:row r="3169" ht="19" customHeight="1">
      <x:c r="A3169" s="19" t="str">
        <x:v>D03165</x:v>
      </x:c>
      <x:c r="B3169" s="19" t="n">
        <x:v>7</x:v>
      </x:c>
      <x:c r="C3169" s="19" t="n">
        <x:v>1</x:v>
      </x:c>
      <x:c r="D3169" s="19" t="str">
        <x:v>C07-M002</x:v>
      </x:c>
      <x:c r="E3169" s="19" t="str">
        <x:v>霜风放逐兵</x:v>
      </x:c>
      <x:c r="F3169" s="19" t="str">
        <x:v>普通</x:v>
      </x:c>
      <x:c r="G3169" s="19" t="str">
        <x:v>材料独立候选</x:v>
      </x:c>
      <x:c r="H3169" s="19" t="str">
        <x:v>冻晶尘</x:v>
      </x:c>
      <x:c r="I3169" s="22" t="n">
        <x:v>1000</x:v>
      </x:c>
      <x:c r="J3169" s="22" t="n">
        <x:v>8</x:v>
      </x:c>
      <x:c r="K3169" s="19" t="n">
        <x:v>1</x:v>
      </x:c>
      <x:c r="L3169" s="24" t="n">
        <x:v>39.412</x:v>
      </x:c>
      <x:c r="M3169" s="26" t="n">
        <x:v>0.1</x:v>
      </x:c>
      <x:c r="N3169" s="24" t="n">
        <x:v>72</x:v>
      </x:c>
      <x:c r="O3169" s="28" t="n">
        <x:f>MIN(1,L3169/I3169)</x:f>
        <x:v>0.039411999999999996</x:v>
      </x:c>
      <x:c r="P3169" s="30" t="n">
        <x:f>O3169*J3169*(1+M3169)</x:f>
        <x:v>0.3468256</x:v>
      </x:c>
      <x:c r="Q3169" s="30" t="n">
        <x:f>P3169*N3169</x:f>
        <x:v>24.9714432</x:v>
      </x:c>
      <x:c r="R3169" s="19" t="str">
        <x:v>独立判定</x:v>
      </x:c>
    </x:row>
    <x:row r="3170" ht="19" customHeight="1">
      <x:c r="A3170" s="19" t="str">
        <x:v>D03166</x:v>
      </x:c>
      <x:c r="B3170" s="19" t="n">
        <x:v>7</x:v>
      </x:c>
      <x:c r="C3170" s="19" t="n">
        <x:v>1</x:v>
      </x:c>
      <x:c r="D3170" s="19" t="str">
        <x:v>C07-M002</x:v>
      </x:c>
      <x:c r="E3170" s="19" t="str">
        <x:v>霜风放逐兵</x:v>
      </x:c>
      <x:c r="F3170" s="19" t="str">
        <x:v>普通</x:v>
      </x:c>
      <x:c r="G3170" s="19" t="str">
        <x:v>材料独立候选</x:v>
      </x:c>
      <x:c r="H3170" s="19" t="str">
        <x:v>白金路标片</x:v>
      </x:c>
      <x:c r="I3170" s="22" t="n">
        <x:v>1500</x:v>
      </x:c>
      <x:c r="J3170" s="22" t="n">
        <x:v>1</x:v>
      </x:c>
      <x:c r="K3170" s="19" t="n">
        <x:v>1</x:v>
      </x:c>
      <x:c r="L3170" s="24" t="n">
        <x:v>39.412</x:v>
      </x:c>
      <x:c r="M3170" s="26" t="n">
        <x:v>0.1</x:v>
      </x:c>
      <x:c r="N3170" s="24" t="n">
        <x:v>72</x:v>
      </x:c>
      <x:c r="O3170" s="28" t="n">
        <x:f>MIN(1,L3170/I3170)</x:f>
        <x:v>0.026274666666666665</x:v>
      </x:c>
      <x:c r="P3170" s="30" t="n">
        <x:f>O3170*J3170*(1+M3170)</x:f>
        <x:v>0.028902133333333333</x:v>
      </x:c>
      <x:c r="Q3170" s="30" t="n">
        <x:f>P3170*N3170</x:f>
        <x:v>2.0809536</x:v>
      </x:c>
      <x:c r="R3170" s="19" t="str">
        <x:v>独立判定</x:v>
      </x:c>
    </x:row>
    <x:row r="3171" ht="19" customHeight="1">
      <x:c r="A3171" s="19" t="str">
        <x:v>D03167</x:v>
      </x:c>
      <x:c r="B3171" s="19" t="n">
        <x:v>7</x:v>
      </x:c>
      <x:c r="C3171" s="19" t="n">
        <x:v>1</x:v>
      </x:c>
      <x:c r="D3171" s="19" t="str">
        <x:v>C07-M002</x:v>
      </x:c>
      <x:c r="E3171" s="19" t="str">
        <x:v>霜风放逐兵</x:v>
      </x:c>
      <x:c r="F3171" s="19" t="str">
        <x:v>普通</x:v>
      </x:c>
      <x:c r="G3171" s="19" t="str">
        <x:v>材料独立候选</x:v>
      </x:c>
      <x:c r="H3171" s="19" t="str">
        <x:v>永霜朝圣痕</x:v>
      </x:c>
      <x:c r="I3171" s="22" t="n">
        <x:v>1800000</x:v>
      </x:c>
      <x:c r="J3171" s="22" t="n">
        <x:v>1</x:v>
      </x:c>
      <x:c r="K3171" s="19" t="n">
        <x:v>1</x:v>
      </x:c>
      <x:c r="L3171" s="24" t="n">
        <x:v>39.412</x:v>
      </x:c>
      <x:c r="M3171" s="26" t="n">
        <x:v>0.1</x:v>
      </x:c>
      <x:c r="N3171" s="24" t="n">
        <x:v>72</x:v>
      </x:c>
      <x:c r="O3171" s="28" t="n">
        <x:f>MIN(1,L3171/I3171)</x:f>
        <x:v>0.000021895555555555555</x:v>
      </x:c>
      <x:c r="P3171" s="30" t="n">
        <x:f>O3171*J3171*(1+M3171)</x:f>
        <x:v>0.000024085111111111113</x:v>
      </x:c>
      <x:c r="Q3171" s="30" t="n">
        <x:f>P3171*N3171</x:f>
        <x:v>0.0017341280000000001</x:v>
      </x:c>
      <x:c r="R3171" s="19" t="str">
        <x:v>独立判定</x:v>
      </x:c>
    </x:row>
    <x:row r="3172" ht="19" customHeight="1">
      <x:c r="A3172" s="19" t="str">
        <x:v>D03168</x:v>
      </x:c>
      <x:c r="B3172" s="19" t="n">
        <x:v>7</x:v>
      </x:c>
      <x:c r="C3172" s="19" t="n">
        <x:v>1</x:v>
      </x:c>
      <x:c r="D3172" s="19" t="str">
        <x:v>C07-M002</x:v>
      </x:c>
      <x:c r="E3172" s="19" t="str">
        <x:v>霜风放逐兵</x:v>
      </x:c>
      <x:c r="F3172" s="19" t="str">
        <x:v>普通</x:v>
      </x:c>
      <x:c r="G3172" s="19" t="str">
        <x:v>材料独立候选</x:v>
      </x:c>
      <x:c r="H3172" s="19" t="str">
        <x:v>野兽骨片</x:v>
      </x:c>
      <x:c r="I3172" s="22" t="n">
        <x:v>200</x:v>
      </x:c>
      <x:c r="J3172" s="22" t="n">
        <x:v>5</x:v>
      </x:c>
      <x:c r="K3172" s="19" t="n">
        <x:v>1</x:v>
      </x:c>
      <x:c r="L3172" s="24" t="n">
        <x:v>39.412</x:v>
      </x:c>
      <x:c r="M3172" s="26" t="n">
        <x:v>0.1</x:v>
      </x:c>
      <x:c r="N3172" s="24" t="n">
        <x:v>72</x:v>
      </x:c>
      <x:c r="O3172" s="28" t="n">
        <x:f>MIN(1,L3172/I3172)</x:f>
        <x:v>0.19705999999999999</x:v>
      </x:c>
      <x:c r="P3172" s="30" t="n">
        <x:f>O3172*J3172*(1+M3172)</x:f>
        <x:v>1.08383</x:v>
      </x:c>
      <x:c r="Q3172" s="30" t="n">
        <x:f>P3172*N3172</x:f>
        <x:v>78.03576000000001</x:v>
      </x:c>
      <x:c r="R3172" s="19" t="str">
        <x:v>独立判定</x:v>
      </x:c>
    </x:row>
    <x:row r="3173" ht="19" customHeight="1">
      <x:c r="A3173" s="19" t="str">
        <x:v>D03169</x:v>
      </x:c>
      <x:c r="B3173" s="19" t="n">
        <x:v>7</x:v>
      </x:c>
      <x:c r="C3173" s="19" t="n">
        <x:v>1</x:v>
      </x:c>
      <x:c r="D3173" s="19" t="str">
        <x:v>C07-M002</x:v>
      </x:c>
      <x:c r="E3173" s="19" t="str">
        <x:v>霜风放逐兵</x:v>
      </x:c>
      <x:c r="F3173" s="19" t="str">
        <x:v>普通</x:v>
      </x:c>
      <x:c r="G3173" s="19" t="str">
        <x:v>材料独立候选</x:v>
      </x:c>
      <x:c r="H3173" s="19" t="str">
        <x:v>技能残页</x:v>
      </x:c>
      <x:c r="I3173" s="22" t="n">
        <x:v>1200</x:v>
      </x:c>
      <x:c r="J3173" s="22" t="n">
        <x:v>1</x:v>
      </x:c>
      <x:c r="K3173" s="19" t="n">
        <x:v>1</x:v>
      </x:c>
      <x:c r="L3173" s="24" t="n">
        <x:v>39.412</x:v>
      </x:c>
      <x:c r="M3173" s="26" t="n">
        <x:v>0.1</x:v>
      </x:c>
      <x:c r="N3173" s="24" t="n">
        <x:v>72</x:v>
      </x:c>
      <x:c r="O3173" s="28" t="n">
        <x:f>MIN(1,L3173/I3173)</x:f>
        <x:v>0.032843333333333335</x:v>
      </x:c>
      <x:c r="P3173" s="30" t="n">
        <x:f>O3173*J3173*(1+M3173)</x:f>
        <x:v>0.03612766666666667</x:v>
      </x:c>
      <x:c r="Q3173" s="30" t="n">
        <x:f>P3173*N3173</x:f>
        <x:v>2.601192</x:v>
      </x:c>
      <x:c r="R3173" s="19" t="str">
        <x:v>独立判定</x:v>
      </x:c>
    </x:row>
    <x:row r="3174" ht="19" customHeight="1">
      <x:c r="A3174" s="19" t="str">
        <x:v>D03170</x:v>
      </x:c>
      <x:c r="B3174" s="19" t="n">
        <x:v>7</x:v>
      </x:c>
      <x:c r="C3174" s="19" t="n">
        <x:v>1</x:v>
      </x:c>
      <x:c r="D3174" s="19" t="str">
        <x:v>C07-M002</x:v>
      </x:c>
      <x:c r="E3174" s="19" t="str">
        <x:v>霜风放逐兵</x:v>
      </x:c>
      <x:c r="F3174" s="19" t="str">
        <x:v>普通</x:v>
      </x:c>
      <x:c r="G3174" s="19" t="str">
        <x:v>材料独立候选</x:v>
      </x:c>
      <x:c r="H3174" s="19" t="str">
        <x:v>小卢恩</x:v>
      </x:c>
      <x:c r="I3174" s="22" t="n">
        <x:v>12000</x:v>
      </x:c>
      <x:c r="J3174" s="22" t="n">
        <x:v>1</x:v>
      </x:c>
      <x:c r="K3174" s="19" t="n">
        <x:v>1</x:v>
      </x:c>
      <x:c r="L3174" s="24" t="n">
        <x:v>39.412</x:v>
      </x:c>
      <x:c r="M3174" s="26" t="n">
        <x:v>0.1</x:v>
      </x:c>
      <x:c r="N3174" s="24" t="n">
        <x:v>72</x:v>
      </x:c>
      <x:c r="O3174" s="28" t="n">
        <x:f>MIN(1,L3174/I3174)</x:f>
        <x:v>0.003284333333333333</x:v>
      </x:c>
      <x:c r="P3174" s="30" t="n">
        <x:f>O3174*J3174*(1+M3174)</x:f>
        <x:v>0.0036127666666666666</x:v>
      </x:c>
      <x:c r="Q3174" s="30" t="n">
        <x:f>P3174*N3174</x:f>
        <x:v>0.2601192</x:v>
      </x:c>
      <x:c r="R3174" s="19" t="str">
        <x:v>独立判定</x:v>
      </x:c>
    </x:row>
    <x:row r="3175" ht="19" customHeight="1">
      <x:c r="A3175" s="19" t="str">
        <x:v>D03171</x:v>
      </x:c>
      <x:c r="B3175" s="19" t="n">
        <x:v>7</x:v>
      </x:c>
      <x:c r="C3175" s="19" t="n">
        <x:v>1</x:v>
      </x:c>
      <x:c r="D3175" s="19" t="str">
        <x:v>C07-M002</x:v>
      </x:c>
      <x:c r="E3175" s="19" t="str">
        <x:v>霜风放逐兵</x:v>
      </x:c>
      <x:c r="F3175" s="19" t="str">
        <x:v>普通</x:v>
      </x:c>
      <x:c r="G3175" s="19" t="str">
        <x:v>六神器公共池</x:v>
      </x:c>
      <x:c r="H3175" s="19" t="str">
        <x:v>POOL006</x:v>
      </x:c>
      <x:c r="I3175" s="22" t="n">
        <x:v>20000000</x:v>
      </x:c>
      <x:c r="J3175" s="22" t="n">
        <x:v>1</x:v>
      </x:c>
      <x:c r="K3175" s="19" t="n">
        <x:v>6</x:v>
      </x:c>
      <x:c r="L3175" s="24" t="n">
        <x:v>39.412</x:v>
      </x:c>
      <x:c r="M3175" s="26" t="n">
        <x:v>0.1</x:v>
      </x:c>
      <x:c r="N3175" s="24" t="n">
        <x:v>72</x:v>
      </x:c>
      <x:c r="O3175" s="28" t="n">
        <x:f>MIN(1,L3175/I3175)</x:f>
        <x:v>0.0000019706</x:v>
      </x:c>
      <x:c r="P3175" s="30" t="n">
        <x:f>O3175*J3175*(1+M3175)</x:f>
        <x:v>0.00000216766</x:v>
      </x:c>
      <x:c r="Q3175" s="30" t="n">
        <x:f>P3175*N3175</x:f>
        <x:v>0.00015607152</x:v>
      </x:c>
      <x:c r="R3175" s="19" t="str">
        <x:v>六选一；非6个独立爆率</x:v>
      </x:c>
    </x:row>
    <x:row r="3176" ht="19" customHeight="1">
      <x:c r="A3176" s="19" t="str">
        <x:v>D03172</x:v>
      </x:c>
      <x:c r="B3176" s="19" t="n">
        <x:v>7</x:v>
      </x:c>
      <x:c r="C3176" s="19" t="n">
        <x:v>1</x:v>
      </x:c>
      <x:c r="D3176" s="19" t="str">
        <x:v>C07-M003</x:v>
      </x:c>
      <x:c r="E3176" s="19" t="str">
        <x:v>冻土掘冰徒</x:v>
      </x:c>
      <x:c r="F3176" s="19" t="str">
        <x:v>普通</x:v>
      </x:c>
      <x:c r="G3176" s="19" t="str">
        <x:v>自身专属</x:v>
      </x:c>
      <x:c r="H3176" s="19" t="str">
        <x:v>掘冰腰带</x:v>
      </x:c>
      <x:c r="I3176" s="22" t="n">
        <x:v>4000</x:v>
      </x:c>
      <x:c r="J3176" s="22" t="n">
        <x:v>1</x:v>
      </x:c>
      <x:c r="K3176" s="19" t="n">
        <x:v>1</x:v>
      </x:c>
      <x:c r="L3176" s="24" t="n">
        <x:v>39.412</x:v>
      </x:c>
      <x:c r="M3176" s="26" t="n">
        <x:v>0.1</x:v>
      </x:c>
      <x:c r="N3176" s="24" t="n">
        <x:v>72</x:v>
      </x:c>
      <x:c r="O3176" s="28" t="n">
        <x:f>MIN(1,L3176/I3176)</x:f>
        <x:v>0.009852999999999999</x:v>
      </x:c>
      <x:c r="P3176" s="30" t="n">
        <x:f>O3176*J3176*(1+M3176)</x:f>
        <x:v>0.0108383</x:v>
      </x:c>
      <x:c r="Q3176" s="30" t="n">
        <x:f>P3176*N3176</x:f>
        <x:v>0.7803576</x:v>
      </x:c>
      <x:c r="R3176" s="19" t="str">
        <x:v>独立判定</x:v>
      </x:c>
    </x:row>
    <x:row r="3177" ht="19" customHeight="1">
      <x:c r="A3177" s="19" t="str">
        <x:v>D03173</x:v>
      </x:c>
      <x:c r="B3177" s="19" t="n">
        <x:v>7</x:v>
      </x:c>
      <x:c r="C3177" s="19" t="n">
        <x:v>1</x:v>
      </x:c>
      <x:c r="D3177" s="19" t="str">
        <x:v>C07-M003</x:v>
      </x:c>
      <x:c r="E3177" s="19" t="str">
        <x:v>冻土掘冰徒</x:v>
      </x:c>
      <x:c r="F3177" s="19" t="str">
        <x:v>普通</x:v>
      </x:c>
      <x:c r="G3177" s="19" t="str">
        <x:v>材料独立候选</x:v>
      </x:c>
      <x:c r="H3177" s="19" t="str">
        <x:v>冻晶尘</x:v>
      </x:c>
      <x:c r="I3177" s="22" t="n">
        <x:v>1000</x:v>
      </x:c>
      <x:c r="J3177" s="22" t="n">
        <x:v>8</x:v>
      </x:c>
      <x:c r="K3177" s="19" t="n">
        <x:v>1</x:v>
      </x:c>
      <x:c r="L3177" s="24" t="n">
        <x:v>39.412</x:v>
      </x:c>
      <x:c r="M3177" s="26" t="n">
        <x:v>0.1</x:v>
      </x:c>
      <x:c r="N3177" s="24" t="n">
        <x:v>72</x:v>
      </x:c>
      <x:c r="O3177" s="28" t="n">
        <x:f>MIN(1,L3177/I3177)</x:f>
        <x:v>0.039411999999999996</x:v>
      </x:c>
      <x:c r="P3177" s="30" t="n">
        <x:f>O3177*J3177*(1+M3177)</x:f>
        <x:v>0.3468256</x:v>
      </x:c>
      <x:c r="Q3177" s="30" t="n">
        <x:f>P3177*N3177</x:f>
        <x:v>24.9714432</x:v>
      </x:c>
      <x:c r="R3177" s="19" t="str">
        <x:v>独立判定</x:v>
      </x:c>
    </x:row>
    <x:row r="3178" ht="19" customHeight="1">
      <x:c r="A3178" s="19" t="str">
        <x:v>D03174</x:v>
      </x:c>
      <x:c r="B3178" s="19" t="n">
        <x:v>7</x:v>
      </x:c>
      <x:c r="C3178" s="19" t="n">
        <x:v>1</x:v>
      </x:c>
      <x:c r="D3178" s="19" t="str">
        <x:v>C07-M003</x:v>
      </x:c>
      <x:c r="E3178" s="19" t="str">
        <x:v>冻土掘冰徒</x:v>
      </x:c>
      <x:c r="F3178" s="19" t="str">
        <x:v>普通</x:v>
      </x:c>
      <x:c r="G3178" s="19" t="str">
        <x:v>材料独立候选</x:v>
      </x:c>
      <x:c r="H3178" s="19" t="str">
        <x:v>白金路标片</x:v>
      </x:c>
      <x:c r="I3178" s="22" t="n">
        <x:v>1500</x:v>
      </x:c>
      <x:c r="J3178" s="22" t="n">
        <x:v>1</x:v>
      </x:c>
      <x:c r="K3178" s="19" t="n">
        <x:v>1</x:v>
      </x:c>
      <x:c r="L3178" s="24" t="n">
        <x:v>39.412</x:v>
      </x:c>
      <x:c r="M3178" s="26" t="n">
        <x:v>0.1</x:v>
      </x:c>
      <x:c r="N3178" s="24" t="n">
        <x:v>72</x:v>
      </x:c>
      <x:c r="O3178" s="28" t="n">
        <x:f>MIN(1,L3178/I3178)</x:f>
        <x:v>0.026274666666666665</x:v>
      </x:c>
      <x:c r="P3178" s="30" t="n">
        <x:f>O3178*J3178*(1+M3178)</x:f>
        <x:v>0.028902133333333333</x:v>
      </x:c>
      <x:c r="Q3178" s="30" t="n">
        <x:f>P3178*N3178</x:f>
        <x:v>2.0809536</x:v>
      </x:c>
      <x:c r="R3178" s="19" t="str">
        <x:v>独立判定</x:v>
      </x:c>
    </x:row>
    <x:row r="3179" ht="19" customHeight="1">
      <x:c r="A3179" s="19" t="str">
        <x:v>D03175</x:v>
      </x:c>
      <x:c r="B3179" s="19" t="n">
        <x:v>7</x:v>
      </x:c>
      <x:c r="C3179" s="19" t="n">
        <x:v>1</x:v>
      </x:c>
      <x:c r="D3179" s="19" t="str">
        <x:v>C07-M003</x:v>
      </x:c>
      <x:c r="E3179" s="19" t="str">
        <x:v>冻土掘冰徒</x:v>
      </x:c>
      <x:c r="F3179" s="19" t="str">
        <x:v>普通</x:v>
      </x:c>
      <x:c r="G3179" s="19" t="str">
        <x:v>材料独立候选</x:v>
      </x:c>
      <x:c r="H3179" s="19" t="str">
        <x:v>永霜朝圣痕</x:v>
      </x:c>
      <x:c r="I3179" s="22" t="n">
        <x:v>1800000</x:v>
      </x:c>
      <x:c r="J3179" s="22" t="n">
        <x:v>1</x:v>
      </x:c>
      <x:c r="K3179" s="19" t="n">
        <x:v>1</x:v>
      </x:c>
      <x:c r="L3179" s="24" t="n">
        <x:v>39.412</x:v>
      </x:c>
      <x:c r="M3179" s="26" t="n">
        <x:v>0.1</x:v>
      </x:c>
      <x:c r="N3179" s="24" t="n">
        <x:v>72</x:v>
      </x:c>
      <x:c r="O3179" s="28" t="n">
        <x:f>MIN(1,L3179/I3179)</x:f>
        <x:v>0.000021895555555555555</x:v>
      </x:c>
      <x:c r="P3179" s="30" t="n">
        <x:f>O3179*J3179*(1+M3179)</x:f>
        <x:v>0.000024085111111111113</x:v>
      </x:c>
      <x:c r="Q3179" s="30" t="n">
        <x:f>P3179*N3179</x:f>
        <x:v>0.0017341280000000001</x:v>
      </x:c>
      <x:c r="R3179" s="19" t="str">
        <x:v>独立判定</x:v>
      </x:c>
    </x:row>
    <x:row r="3180" ht="19" customHeight="1">
      <x:c r="A3180" s="19" t="str">
        <x:v>D03176</x:v>
      </x:c>
      <x:c r="B3180" s="19" t="n">
        <x:v>7</x:v>
      </x:c>
      <x:c r="C3180" s="19" t="n">
        <x:v>1</x:v>
      </x:c>
      <x:c r="D3180" s="19" t="str">
        <x:v>C07-M003</x:v>
      </x:c>
      <x:c r="E3180" s="19" t="str">
        <x:v>冻土掘冰徒</x:v>
      </x:c>
      <x:c r="F3180" s="19" t="str">
        <x:v>普通</x:v>
      </x:c>
      <x:c r="G3180" s="19" t="str">
        <x:v>材料独立候选</x:v>
      </x:c>
      <x:c r="H3180" s="19" t="str">
        <x:v>野兽骨片</x:v>
      </x:c>
      <x:c r="I3180" s="22" t="n">
        <x:v>200</x:v>
      </x:c>
      <x:c r="J3180" s="22" t="n">
        <x:v>5</x:v>
      </x:c>
      <x:c r="K3180" s="19" t="n">
        <x:v>1</x:v>
      </x:c>
      <x:c r="L3180" s="24" t="n">
        <x:v>39.412</x:v>
      </x:c>
      <x:c r="M3180" s="26" t="n">
        <x:v>0.1</x:v>
      </x:c>
      <x:c r="N3180" s="24" t="n">
        <x:v>72</x:v>
      </x:c>
      <x:c r="O3180" s="28" t="n">
        <x:f>MIN(1,L3180/I3180)</x:f>
        <x:v>0.19705999999999999</x:v>
      </x:c>
      <x:c r="P3180" s="30" t="n">
        <x:f>O3180*J3180*(1+M3180)</x:f>
        <x:v>1.08383</x:v>
      </x:c>
      <x:c r="Q3180" s="30" t="n">
        <x:f>P3180*N3180</x:f>
        <x:v>78.03576000000001</x:v>
      </x:c>
      <x:c r="R3180" s="19" t="str">
        <x:v>独立判定</x:v>
      </x:c>
    </x:row>
    <x:row r="3181" ht="19" customHeight="1">
      <x:c r="A3181" s="19" t="str">
        <x:v>D03177</x:v>
      </x:c>
      <x:c r="B3181" s="19" t="n">
        <x:v>7</x:v>
      </x:c>
      <x:c r="C3181" s="19" t="n">
        <x:v>1</x:v>
      </x:c>
      <x:c r="D3181" s="19" t="str">
        <x:v>C07-M003</x:v>
      </x:c>
      <x:c r="E3181" s="19" t="str">
        <x:v>冻土掘冰徒</x:v>
      </x:c>
      <x:c r="F3181" s="19" t="str">
        <x:v>普通</x:v>
      </x:c>
      <x:c r="G3181" s="19" t="str">
        <x:v>材料独立候选</x:v>
      </x:c>
      <x:c r="H3181" s="19" t="str">
        <x:v>技能残页</x:v>
      </x:c>
      <x:c r="I3181" s="22" t="n">
        <x:v>1200</x:v>
      </x:c>
      <x:c r="J3181" s="22" t="n">
        <x:v>1</x:v>
      </x:c>
      <x:c r="K3181" s="19" t="n">
        <x:v>1</x:v>
      </x:c>
      <x:c r="L3181" s="24" t="n">
        <x:v>39.412</x:v>
      </x:c>
      <x:c r="M3181" s="26" t="n">
        <x:v>0.1</x:v>
      </x:c>
      <x:c r="N3181" s="24" t="n">
        <x:v>72</x:v>
      </x:c>
      <x:c r="O3181" s="28" t="n">
        <x:f>MIN(1,L3181/I3181)</x:f>
        <x:v>0.032843333333333335</x:v>
      </x:c>
      <x:c r="P3181" s="30" t="n">
        <x:f>O3181*J3181*(1+M3181)</x:f>
        <x:v>0.03612766666666667</x:v>
      </x:c>
      <x:c r="Q3181" s="30" t="n">
        <x:f>P3181*N3181</x:f>
        <x:v>2.601192</x:v>
      </x:c>
      <x:c r="R3181" s="19" t="str">
        <x:v>独立判定</x:v>
      </x:c>
    </x:row>
    <x:row r="3182" ht="19" customHeight="1">
      <x:c r="A3182" s="19" t="str">
        <x:v>D03178</x:v>
      </x:c>
      <x:c r="B3182" s="19" t="n">
        <x:v>7</x:v>
      </x:c>
      <x:c r="C3182" s="19" t="n">
        <x:v>1</x:v>
      </x:c>
      <x:c r="D3182" s="19" t="str">
        <x:v>C07-M003</x:v>
      </x:c>
      <x:c r="E3182" s="19" t="str">
        <x:v>冻土掘冰徒</x:v>
      </x:c>
      <x:c r="F3182" s="19" t="str">
        <x:v>普通</x:v>
      </x:c>
      <x:c r="G3182" s="19" t="str">
        <x:v>材料独立候选</x:v>
      </x:c>
      <x:c r="H3182" s="19" t="str">
        <x:v>小卢恩</x:v>
      </x:c>
      <x:c r="I3182" s="22" t="n">
        <x:v>12000</x:v>
      </x:c>
      <x:c r="J3182" s="22" t="n">
        <x:v>1</x:v>
      </x:c>
      <x:c r="K3182" s="19" t="n">
        <x:v>1</x:v>
      </x:c>
      <x:c r="L3182" s="24" t="n">
        <x:v>39.412</x:v>
      </x:c>
      <x:c r="M3182" s="26" t="n">
        <x:v>0.1</x:v>
      </x:c>
      <x:c r="N3182" s="24" t="n">
        <x:v>72</x:v>
      </x:c>
      <x:c r="O3182" s="28" t="n">
        <x:f>MIN(1,L3182/I3182)</x:f>
        <x:v>0.003284333333333333</x:v>
      </x:c>
      <x:c r="P3182" s="30" t="n">
        <x:f>O3182*J3182*(1+M3182)</x:f>
        <x:v>0.0036127666666666666</x:v>
      </x:c>
      <x:c r="Q3182" s="30" t="n">
        <x:f>P3182*N3182</x:f>
        <x:v>0.2601192</x:v>
      </x:c>
      <x:c r="R3182" s="19" t="str">
        <x:v>独立判定</x:v>
      </x:c>
    </x:row>
    <x:row r="3183" ht="19" customHeight="1">
      <x:c r="A3183" s="19" t="str">
        <x:v>D03179</x:v>
      </x:c>
      <x:c r="B3183" s="19" t="n">
        <x:v>7</x:v>
      </x:c>
      <x:c r="C3183" s="19" t="n">
        <x:v>1</x:v>
      </x:c>
      <x:c r="D3183" s="19" t="str">
        <x:v>C07-M003</x:v>
      </x:c>
      <x:c r="E3183" s="19" t="str">
        <x:v>冻土掘冰徒</x:v>
      </x:c>
      <x:c r="F3183" s="19" t="str">
        <x:v>普通</x:v>
      </x:c>
      <x:c r="G3183" s="19" t="str">
        <x:v>六神器公共池</x:v>
      </x:c>
      <x:c r="H3183" s="19" t="str">
        <x:v>POOL006</x:v>
      </x:c>
      <x:c r="I3183" s="22" t="n">
        <x:v>20000000</x:v>
      </x:c>
      <x:c r="J3183" s="22" t="n">
        <x:v>1</x:v>
      </x:c>
      <x:c r="K3183" s="19" t="n">
        <x:v>6</x:v>
      </x:c>
      <x:c r="L3183" s="24" t="n">
        <x:v>39.412</x:v>
      </x:c>
      <x:c r="M3183" s="26" t="n">
        <x:v>0.1</x:v>
      </x:c>
      <x:c r="N3183" s="24" t="n">
        <x:v>72</x:v>
      </x:c>
      <x:c r="O3183" s="28" t="n">
        <x:f>MIN(1,L3183/I3183)</x:f>
        <x:v>0.0000019706</x:v>
      </x:c>
      <x:c r="P3183" s="30" t="n">
        <x:f>O3183*J3183*(1+M3183)</x:f>
        <x:v>0.00000216766</x:v>
      </x:c>
      <x:c r="Q3183" s="30" t="n">
        <x:f>P3183*N3183</x:f>
        <x:v>0.00015607152</x:v>
      </x:c>
      <x:c r="R3183" s="19" t="str">
        <x:v>六选一；非6个独立爆率</x:v>
      </x:c>
    </x:row>
    <x:row r="3184" ht="19" customHeight="1">
      <x:c r="A3184" s="19" t="str">
        <x:v>D03180</x:v>
      </x:c>
      <x:c r="B3184" s="19" t="n">
        <x:v>7</x:v>
      </x:c>
      <x:c r="C3184" s="19" t="n">
        <x:v>1</x:v>
      </x:c>
      <x:c r="D3184" s="19" t="str">
        <x:v>C07-M004</x:v>
      </x:c>
      <x:c r="E3184" s="19" t="str">
        <x:v>祭场白烛侍</x:v>
      </x:c>
      <x:c r="F3184" s="19" t="str">
        <x:v>普通</x:v>
      </x:c>
      <x:c r="G3184" s="19" t="str">
        <x:v>自身专属</x:v>
      </x:c>
      <x:c r="H3184" s="19" t="str">
        <x:v>白烛礼冠</x:v>
      </x:c>
      <x:c r="I3184" s="22" t="n">
        <x:v>4000</x:v>
      </x:c>
      <x:c r="J3184" s="22" t="n">
        <x:v>1</x:v>
      </x:c>
      <x:c r="K3184" s="19" t="n">
        <x:v>1</x:v>
      </x:c>
      <x:c r="L3184" s="24" t="n">
        <x:v>39.412</x:v>
      </x:c>
      <x:c r="M3184" s="26" t="n">
        <x:v>0.1</x:v>
      </x:c>
      <x:c r="N3184" s="24" t="n">
        <x:v>72</x:v>
      </x:c>
      <x:c r="O3184" s="28" t="n">
        <x:f>MIN(1,L3184/I3184)</x:f>
        <x:v>0.009852999999999999</x:v>
      </x:c>
      <x:c r="P3184" s="30" t="n">
        <x:f>O3184*J3184*(1+M3184)</x:f>
        <x:v>0.0108383</x:v>
      </x:c>
      <x:c r="Q3184" s="30" t="n">
        <x:f>P3184*N3184</x:f>
        <x:v>0.7803576</x:v>
      </x:c>
      <x:c r="R3184" s="19" t="str">
        <x:v>独立判定</x:v>
      </x:c>
    </x:row>
    <x:row r="3185" ht="19" customHeight="1">
      <x:c r="A3185" s="19" t="str">
        <x:v>D03181</x:v>
      </x:c>
      <x:c r="B3185" s="19" t="n">
        <x:v>7</x:v>
      </x:c>
      <x:c r="C3185" s="19" t="n">
        <x:v>1</x:v>
      </x:c>
      <x:c r="D3185" s="19" t="str">
        <x:v>C07-M004</x:v>
      </x:c>
      <x:c r="E3185" s="19" t="str">
        <x:v>祭场白烛侍</x:v>
      </x:c>
      <x:c r="F3185" s="19" t="str">
        <x:v>普通</x:v>
      </x:c>
      <x:c r="G3185" s="19" t="str">
        <x:v>材料独立候选</x:v>
      </x:c>
      <x:c r="H3185" s="19" t="str">
        <x:v>冻晶尘</x:v>
      </x:c>
      <x:c r="I3185" s="22" t="n">
        <x:v>1000</x:v>
      </x:c>
      <x:c r="J3185" s="22" t="n">
        <x:v>8</x:v>
      </x:c>
      <x:c r="K3185" s="19" t="n">
        <x:v>1</x:v>
      </x:c>
      <x:c r="L3185" s="24" t="n">
        <x:v>39.412</x:v>
      </x:c>
      <x:c r="M3185" s="26" t="n">
        <x:v>0.1</x:v>
      </x:c>
      <x:c r="N3185" s="24" t="n">
        <x:v>72</x:v>
      </x:c>
      <x:c r="O3185" s="28" t="n">
        <x:f>MIN(1,L3185/I3185)</x:f>
        <x:v>0.039411999999999996</x:v>
      </x:c>
      <x:c r="P3185" s="30" t="n">
        <x:f>O3185*J3185*(1+M3185)</x:f>
        <x:v>0.3468256</x:v>
      </x:c>
      <x:c r="Q3185" s="30" t="n">
        <x:f>P3185*N3185</x:f>
        <x:v>24.9714432</x:v>
      </x:c>
      <x:c r="R3185" s="19" t="str">
        <x:v>独立判定</x:v>
      </x:c>
    </x:row>
    <x:row r="3186" ht="19" customHeight="1">
      <x:c r="A3186" s="19" t="str">
        <x:v>D03182</x:v>
      </x:c>
      <x:c r="B3186" s="19" t="n">
        <x:v>7</x:v>
      </x:c>
      <x:c r="C3186" s="19" t="n">
        <x:v>1</x:v>
      </x:c>
      <x:c r="D3186" s="19" t="str">
        <x:v>C07-M004</x:v>
      </x:c>
      <x:c r="E3186" s="19" t="str">
        <x:v>祭场白烛侍</x:v>
      </x:c>
      <x:c r="F3186" s="19" t="str">
        <x:v>普通</x:v>
      </x:c>
      <x:c r="G3186" s="19" t="str">
        <x:v>材料独立候选</x:v>
      </x:c>
      <x:c r="H3186" s="19" t="str">
        <x:v>白金路标片</x:v>
      </x:c>
      <x:c r="I3186" s="22" t="n">
        <x:v>1500</x:v>
      </x:c>
      <x:c r="J3186" s="22" t="n">
        <x:v>1</x:v>
      </x:c>
      <x:c r="K3186" s="19" t="n">
        <x:v>1</x:v>
      </x:c>
      <x:c r="L3186" s="24" t="n">
        <x:v>39.412</x:v>
      </x:c>
      <x:c r="M3186" s="26" t="n">
        <x:v>0.1</x:v>
      </x:c>
      <x:c r="N3186" s="24" t="n">
        <x:v>72</x:v>
      </x:c>
      <x:c r="O3186" s="28" t="n">
        <x:f>MIN(1,L3186/I3186)</x:f>
        <x:v>0.026274666666666665</x:v>
      </x:c>
      <x:c r="P3186" s="30" t="n">
        <x:f>O3186*J3186*(1+M3186)</x:f>
        <x:v>0.028902133333333333</x:v>
      </x:c>
      <x:c r="Q3186" s="30" t="n">
        <x:f>P3186*N3186</x:f>
        <x:v>2.0809536</x:v>
      </x:c>
      <x:c r="R3186" s="19" t="str">
        <x:v>独立判定</x:v>
      </x:c>
    </x:row>
    <x:row r="3187" ht="19" customHeight="1">
      <x:c r="A3187" s="19" t="str">
        <x:v>D03183</x:v>
      </x:c>
      <x:c r="B3187" s="19" t="n">
        <x:v>7</x:v>
      </x:c>
      <x:c r="C3187" s="19" t="n">
        <x:v>1</x:v>
      </x:c>
      <x:c r="D3187" s="19" t="str">
        <x:v>C07-M004</x:v>
      </x:c>
      <x:c r="E3187" s="19" t="str">
        <x:v>祭场白烛侍</x:v>
      </x:c>
      <x:c r="F3187" s="19" t="str">
        <x:v>普通</x:v>
      </x:c>
      <x:c r="G3187" s="19" t="str">
        <x:v>材料独立候选</x:v>
      </x:c>
      <x:c r="H3187" s="19" t="str">
        <x:v>永霜朝圣痕</x:v>
      </x:c>
      <x:c r="I3187" s="22" t="n">
        <x:v>1800000</x:v>
      </x:c>
      <x:c r="J3187" s="22" t="n">
        <x:v>1</x:v>
      </x:c>
      <x:c r="K3187" s="19" t="n">
        <x:v>1</x:v>
      </x:c>
      <x:c r="L3187" s="24" t="n">
        <x:v>39.412</x:v>
      </x:c>
      <x:c r="M3187" s="26" t="n">
        <x:v>0.1</x:v>
      </x:c>
      <x:c r="N3187" s="24" t="n">
        <x:v>72</x:v>
      </x:c>
      <x:c r="O3187" s="28" t="n">
        <x:f>MIN(1,L3187/I3187)</x:f>
        <x:v>0.000021895555555555555</x:v>
      </x:c>
      <x:c r="P3187" s="30" t="n">
        <x:f>O3187*J3187*(1+M3187)</x:f>
        <x:v>0.000024085111111111113</x:v>
      </x:c>
      <x:c r="Q3187" s="30" t="n">
        <x:f>P3187*N3187</x:f>
        <x:v>0.0017341280000000001</x:v>
      </x:c>
      <x:c r="R3187" s="19" t="str">
        <x:v>独立判定</x:v>
      </x:c>
    </x:row>
    <x:row r="3188" ht="19" customHeight="1">
      <x:c r="A3188" s="19" t="str">
        <x:v>D03184</x:v>
      </x:c>
      <x:c r="B3188" s="19" t="n">
        <x:v>7</x:v>
      </x:c>
      <x:c r="C3188" s="19" t="n">
        <x:v>1</x:v>
      </x:c>
      <x:c r="D3188" s="19" t="str">
        <x:v>C07-M004</x:v>
      </x:c>
      <x:c r="E3188" s="19" t="str">
        <x:v>祭场白烛侍</x:v>
      </x:c>
      <x:c r="F3188" s="19" t="str">
        <x:v>普通</x:v>
      </x:c>
      <x:c r="G3188" s="19" t="str">
        <x:v>材料独立候选</x:v>
      </x:c>
      <x:c r="H3188" s="19" t="str">
        <x:v>野兽骨片</x:v>
      </x:c>
      <x:c r="I3188" s="22" t="n">
        <x:v>200</x:v>
      </x:c>
      <x:c r="J3188" s="22" t="n">
        <x:v>5</x:v>
      </x:c>
      <x:c r="K3188" s="19" t="n">
        <x:v>1</x:v>
      </x:c>
      <x:c r="L3188" s="24" t="n">
        <x:v>39.412</x:v>
      </x:c>
      <x:c r="M3188" s="26" t="n">
        <x:v>0.1</x:v>
      </x:c>
      <x:c r="N3188" s="24" t="n">
        <x:v>72</x:v>
      </x:c>
      <x:c r="O3188" s="28" t="n">
        <x:f>MIN(1,L3188/I3188)</x:f>
        <x:v>0.19705999999999999</x:v>
      </x:c>
      <x:c r="P3188" s="30" t="n">
        <x:f>O3188*J3188*(1+M3188)</x:f>
        <x:v>1.08383</x:v>
      </x:c>
      <x:c r="Q3188" s="30" t="n">
        <x:f>P3188*N3188</x:f>
        <x:v>78.03576000000001</x:v>
      </x:c>
      <x:c r="R3188" s="19" t="str">
        <x:v>独立判定</x:v>
      </x:c>
    </x:row>
    <x:row r="3189" ht="19" customHeight="1">
      <x:c r="A3189" s="19" t="str">
        <x:v>D03185</x:v>
      </x:c>
      <x:c r="B3189" s="19" t="n">
        <x:v>7</x:v>
      </x:c>
      <x:c r="C3189" s="19" t="n">
        <x:v>1</x:v>
      </x:c>
      <x:c r="D3189" s="19" t="str">
        <x:v>C07-M004</x:v>
      </x:c>
      <x:c r="E3189" s="19" t="str">
        <x:v>祭场白烛侍</x:v>
      </x:c>
      <x:c r="F3189" s="19" t="str">
        <x:v>普通</x:v>
      </x:c>
      <x:c r="G3189" s="19" t="str">
        <x:v>材料独立候选</x:v>
      </x:c>
      <x:c r="H3189" s="19" t="str">
        <x:v>技能残页</x:v>
      </x:c>
      <x:c r="I3189" s="22" t="n">
        <x:v>1200</x:v>
      </x:c>
      <x:c r="J3189" s="22" t="n">
        <x:v>1</x:v>
      </x:c>
      <x:c r="K3189" s="19" t="n">
        <x:v>1</x:v>
      </x:c>
      <x:c r="L3189" s="24" t="n">
        <x:v>39.412</x:v>
      </x:c>
      <x:c r="M3189" s="26" t="n">
        <x:v>0.1</x:v>
      </x:c>
      <x:c r="N3189" s="24" t="n">
        <x:v>72</x:v>
      </x:c>
      <x:c r="O3189" s="28" t="n">
        <x:f>MIN(1,L3189/I3189)</x:f>
        <x:v>0.032843333333333335</x:v>
      </x:c>
      <x:c r="P3189" s="30" t="n">
        <x:f>O3189*J3189*(1+M3189)</x:f>
        <x:v>0.03612766666666667</x:v>
      </x:c>
      <x:c r="Q3189" s="30" t="n">
        <x:f>P3189*N3189</x:f>
        <x:v>2.601192</x:v>
      </x:c>
      <x:c r="R3189" s="19" t="str">
        <x:v>独立判定</x:v>
      </x:c>
    </x:row>
    <x:row r="3190" ht="19" customHeight="1">
      <x:c r="A3190" s="19" t="str">
        <x:v>D03186</x:v>
      </x:c>
      <x:c r="B3190" s="19" t="n">
        <x:v>7</x:v>
      </x:c>
      <x:c r="C3190" s="19" t="n">
        <x:v>1</x:v>
      </x:c>
      <x:c r="D3190" s="19" t="str">
        <x:v>C07-M004</x:v>
      </x:c>
      <x:c r="E3190" s="19" t="str">
        <x:v>祭场白烛侍</x:v>
      </x:c>
      <x:c r="F3190" s="19" t="str">
        <x:v>普通</x:v>
      </x:c>
      <x:c r="G3190" s="19" t="str">
        <x:v>材料独立候选</x:v>
      </x:c>
      <x:c r="H3190" s="19" t="str">
        <x:v>小卢恩</x:v>
      </x:c>
      <x:c r="I3190" s="22" t="n">
        <x:v>12000</x:v>
      </x:c>
      <x:c r="J3190" s="22" t="n">
        <x:v>1</x:v>
      </x:c>
      <x:c r="K3190" s="19" t="n">
        <x:v>1</x:v>
      </x:c>
      <x:c r="L3190" s="24" t="n">
        <x:v>39.412</x:v>
      </x:c>
      <x:c r="M3190" s="26" t="n">
        <x:v>0.1</x:v>
      </x:c>
      <x:c r="N3190" s="24" t="n">
        <x:v>72</x:v>
      </x:c>
      <x:c r="O3190" s="28" t="n">
        <x:f>MIN(1,L3190/I3190)</x:f>
        <x:v>0.003284333333333333</x:v>
      </x:c>
      <x:c r="P3190" s="30" t="n">
        <x:f>O3190*J3190*(1+M3190)</x:f>
        <x:v>0.0036127666666666666</x:v>
      </x:c>
      <x:c r="Q3190" s="30" t="n">
        <x:f>P3190*N3190</x:f>
        <x:v>0.2601192</x:v>
      </x:c>
      <x:c r="R3190" s="19" t="str">
        <x:v>独立判定</x:v>
      </x:c>
    </x:row>
    <x:row r="3191" ht="19" customHeight="1">
      <x:c r="A3191" s="19" t="str">
        <x:v>D03187</x:v>
      </x:c>
      <x:c r="B3191" s="19" t="n">
        <x:v>7</x:v>
      </x:c>
      <x:c r="C3191" s="19" t="n">
        <x:v>1</x:v>
      </x:c>
      <x:c r="D3191" s="19" t="str">
        <x:v>C07-M004</x:v>
      </x:c>
      <x:c r="E3191" s="19" t="str">
        <x:v>祭场白烛侍</x:v>
      </x:c>
      <x:c r="F3191" s="19" t="str">
        <x:v>普通</x:v>
      </x:c>
      <x:c r="G3191" s="19" t="str">
        <x:v>六神器公共池</x:v>
      </x:c>
      <x:c r="H3191" s="19" t="str">
        <x:v>POOL006</x:v>
      </x:c>
      <x:c r="I3191" s="22" t="n">
        <x:v>20000000</x:v>
      </x:c>
      <x:c r="J3191" s="22" t="n">
        <x:v>1</x:v>
      </x:c>
      <x:c r="K3191" s="19" t="n">
        <x:v>6</x:v>
      </x:c>
      <x:c r="L3191" s="24" t="n">
        <x:v>39.412</x:v>
      </x:c>
      <x:c r="M3191" s="26" t="n">
        <x:v>0.1</x:v>
      </x:c>
      <x:c r="N3191" s="24" t="n">
        <x:v>72</x:v>
      </x:c>
      <x:c r="O3191" s="28" t="n">
        <x:f>MIN(1,L3191/I3191)</x:f>
        <x:v>0.0000019706</x:v>
      </x:c>
      <x:c r="P3191" s="30" t="n">
        <x:f>O3191*J3191*(1+M3191)</x:f>
        <x:v>0.00000216766</x:v>
      </x:c>
      <x:c r="Q3191" s="30" t="n">
        <x:f>P3191*N3191</x:f>
        <x:v>0.00015607152</x:v>
      </x:c>
      <x:c r="R3191" s="19" t="str">
        <x:v>六选一；非6个独立爆率</x:v>
      </x:c>
    </x:row>
    <x:row r="3192" ht="19" customHeight="1">
      <x:c r="A3192" s="19" t="str">
        <x:v>D03188</x:v>
      </x:c>
      <x:c r="B3192" s="19" t="n">
        <x:v>7</x:v>
      </x:c>
      <x:c r="C3192" s="19" t="n">
        <x:v>1</x:v>
      </x:c>
      <x:c r="D3192" s="19" t="str">
        <x:v>C07-M005</x:v>
      </x:c>
      <x:c r="E3192" s="19" t="str">
        <x:v>苍鬃雪狼</x:v>
      </x:c>
      <x:c r="F3192" s="19" t="str">
        <x:v>普通</x:v>
      </x:c>
      <x:c r="G3192" s="19" t="str">
        <x:v>自身专属</x:v>
      </x:c>
      <x:c r="H3192" s="19" t="str">
        <x:v>苍鬃牙戒</x:v>
      </x:c>
      <x:c r="I3192" s="22" t="n">
        <x:v>4000</x:v>
      </x:c>
      <x:c r="J3192" s="22" t="n">
        <x:v>1</x:v>
      </x:c>
      <x:c r="K3192" s="19" t="n">
        <x:v>1</x:v>
      </x:c>
      <x:c r="L3192" s="24" t="n">
        <x:v>39.412</x:v>
      </x:c>
      <x:c r="M3192" s="26" t="n">
        <x:v>0.1</x:v>
      </x:c>
      <x:c r="N3192" s="24" t="n">
        <x:v>72</x:v>
      </x:c>
      <x:c r="O3192" s="28" t="n">
        <x:f>MIN(1,L3192/I3192)</x:f>
        <x:v>0.009852999999999999</x:v>
      </x:c>
      <x:c r="P3192" s="30" t="n">
        <x:f>O3192*J3192*(1+M3192)</x:f>
        <x:v>0.0108383</x:v>
      </x:c>
      <x:c r="Q3192" s="30" t="n">
        <x:f>P3192*N3192</x:f>
        <x:v>0.7803576</x:v>
      </x:c>
      <x:c r="R3192" s="19" t="str">
        <x:v>独立判定</x:v>
      </x:c>
    </x:row>
    <x:row r="3193" ht="19" customHeight="1">
      <x:c r="A3193" s="19" t="str">
        <x:v>D03189</x:v>
      </x:c>
      <x:c r="B3193" s="19" t="n">
        <x:v>7</x:v>
      </x:c>
      <x:c r="C3193" s="19" t="n">
        <x:v>1</x:v>
      </x:c>
      <x:c r="D3193" s="19" t="str">
        <x:v>C07-M005</x:v>
      </x:c>
      <x:c r="E3193" s="19" t="str">
        <x:v>苍鬃雪狼</x:v>
      </x:c>
      <x:c r="F3193" s="19" t="str">
        <x:v>普通</x:v>
      </x:c>
      <x:c r="G3193" s="19" t="str">
        <x:v>材料独立候选</x:v>
      </x:c>
      <x:c r="H3193" s="19" t="str">
        <x:v>冻晶尘</x:v>
      </x:c>
      <x:c r="I3193" s="22" t="n">
        <x:v>1000</x:v>
      </x:c>
      <x:c r="J3193" s="22" t="n">
        <x:v>8</x:v>
      </x:c>
      <x:c r="K3193" s="19" t="n">
        <x:v>1</x:v>
      </x:c>
      <x:c r="L3193" s="24" t="n">
        <x:v>39.412</x:v>
      </x:c>
      <x:c r="M3193" s="26" t="n">
        <x:v>0.1</x:v>
      </x:c>
      <x:c r="N3193" s="24" t="n">
        <x:v>72</x:v>
      </x:c>
      <x:c r="O3193" s="28" t="n">
        <x:f>MIN(1,L3193/I3193)</x:f>
        <x:v>0.039411999999999996</x:v>
      </x:c>
      <x:c r="P3193" s="30" t="n">
        <x:f>O3193*J3193*(1+M3193)</x:f>
        <x:v>0.3468256</x:v>
      </x:c>
      <x:c r="Q3193" s="30" t="n">
        <x:f>P3193*N3193</x:f>
        <x:v>24.9714432</x:v>
      </x:c>
      <x:c r="R3193" s="19" t="str">
        <x:v>独立判定</x:v>
      </x:c>
    </x:row>
    <x:row r="3194" ht="19" customHeight="1">
      <x:c r="A3194" s="19" t="str">
        <x:v>D03190</x:v>
      </x:c>
      <x:c r="B3194" s="19" t="n">
        <x:v>7</x:v>
      </x:c>
      <x:c r="C3194" s="19" t="n">
        <x:v>1</x:v>
      </x:c>
      <x:c r="D3194" s="19" t="str">
        <x:v>C07-M005</x:v>
      </x:c>
      <x:c r="E3194" s="19" t="str">
        <x:v>苍鬃雪狼</x:v>
      </x:c>
      <x:c r="F3194" s="19" t="str">
        <x:v>普通</x:v>
      </x:c>
      <x:c r="G3194" s="19" t="str">
        <x:v>材料独立候选</x:v>
      </x:c>
      <x:c r="H3194" s="19" t="str">
        <x:v>白金路标片</x:v>
      </x:c>
      <x:c r="I3194" s="22" t="n">
        <x:v>1500</x:v>
      </x:c>
      <x:c r="J3194" s="22" t="n">
        <x:v>1</x:v>
      </x:c>
      <x:c r="K3194" s="19" t="n">
        <x:v>1</x:v>
      </x:c>
      <x:c r="L3194" s="24" t="n">
        <x:v>39.412</x:v>
      </x:c>
      <x:c r="M3194" s="26" t="n">
        <x:v>0.1</x:v>
      </x:c>
      <x:c r="N3194" s="24" t="n">
        <x:v>72</x:v>
      </x:c>
      <x:c r="O3194" s="28" t="n">
        <x:f>MIN(1,L3194/I3194)</x:f>
        <x:v>0.026274666666666665</x:v>
      </x:c>
      <x:c r="P3194" s="30" t="n">
        <x:f>O3194*J3194*(1+M3194)</x:f>
        <x:v>0.028902133333333333</x:v>
      </x:c>
      <x:c r="Q3194" s="30" t="n">
        <x:f>P3194*N3194</x:f>
        <x:v>2.0809536</x:v>
      </x:c>
      <x:c r="R3194" s="19" t="str">
        <x:v>独立判定</x:v>
      </x:c>
    </x:row>
    <x:row r="3195" ht="19" customHeight="1">
      <x:c r="A3195" s="19" t="str">
        <x:v>D03191</x:v>
      </x:c>
      <x:c r="B3195" s="19" t="n">
        <x:v>7</x:v>
      </x:c>
      <x:c r="C3195" s="19" t="n">
        <x:v>1</x:v>
      </x:c>
      <x:c r="D3195" s="19" t="str">
        <x:v>C07-M005</x:v>
      </x:c>
      <x:c r="E3195" s="19" t="str">
        <x:v>苍鬃雪狼</x:v>
      </x:c>
      <x:c r="F3195" s="19" t="str">
        <x:v>普通</x:v>
      </x:c>
      <x:c r="G3195" s="19" t="str">
        <x:v>材料独立候选</x:v>
      </x:c>
      <x:c r="H3195" s="19" t="str">
        <x:v>永霜朝圣痕</x:v>
      </x:c>
      <x:c r="I3195" s="22" t="n">
        <x:v>1800000</x:v>
      </x:c>
      <x:c r="J3195" s="22" t="n">
        <x:v>1</x:v>
      </x:c>
      <x:c r="K3195" s="19" t="n">
        <x:v>1</x:v>
      </x:c>
      <x:c r="L3195" s="24" t="n">
        <x:v>39.412</x:v>
      </x:c>
      <x:c r="M3195" s="26" t="n">
        <x:v>0.1</x:v>
      </x:c>
      <x:c r="N3195" s="24" t="n">
        <x:v>72</x:v>
      </x:c>
      <x:c r="O3195" s="28" t="n">
        <x:f>MIN(1,L3195/I3195)</x:f>
        <x:v>0.000021895555555555555</x:v>
      </x:c>
      <x:c r="P3195" s="30" t="n">
        <x:f>O3195*J3195*(1+M3195)</x:f>
        <x:v>0.000024085111111111113</x:v>
      </x:c>
      <x:c r="Q3195" s="30" t="n">
        <x:f>P3195*N3195</x:f>
        <x:v>0.0017341280000000001</x:v>
      </x:c>
      <x:c r="R3195" s="19" t="str">
        <x:v>独立判定</x:v>
      </x:c>
    </x:row>
    <x:row r="3196" ht="19" customHeight="1">
      <x:c r="A3196" s="19" t="str">
        <x:v>D03192</x:v>
      </x:c>
      <x:c r="B3196" s="19" t="n">
        <x:v>7</x:v>
      </x:c>
      <x:c r="C3196" s="19" t="n">
        <x:v>1</x:v>
      </x:c>
      <x:c r="D3196" s="19" t="str">
        <x:v>C07-M005</x:v>
      </x:c>
      <x:c r="E3196" s="19" t="str">
        <x:v>苍鬃雪狼</x:v>
      </x:c>
      <x:c r="F3196" s="19" t="str">
        <x:v>普通</x:v>
      </x:c>
      <x:c r="G3196" s="19" t="str">
        <x:v>材料独立候选</x:v>
      </x:c>
      <x:c r="H3196" s="19" t="str">
        <x:v>野兽骨片</x:v>
      </x:c>
      <x:c r="I3196" s="22" t="n">
        <x:v>200</x:v>
      </x:c>
      <x:c r="J3196" s="22" t="n">
        <x:v>5</x:v>
      </x:c>
      <x:c r="K3196" s="19" t="n">
        <x:v>1</x:v>
      </x:c>
      <x:c r="L3196" s="24" t="n">
        <x:v>39.412</x:v>
      </x:c>
      <x:c r="M3196" s="26" t="n">
        <x:v>0.1</x:v>
      </x:c>
      <x:c r="N3196" s="24" t="n">
        <x:v>72</x:v>
      </x:c>
      <x:c r="O3196" s="28" t="n">
        <x:f>MIN(1,L3196/I3196)</x:f>
        <x:v>0.19705999999999999</x:v>
      </x:c>
      <x:c r="P3196" s="30" t="n">
        <x:f>O3196*J3196*(1+M3196)</x:f>
        <x:v>1.08383</x:v>
      </x:c>
      <x:c r="Q3196" s="30" t="n">
        <x:f>P3196*N3196</x:f>
        <x:v>78.03576000000001</x:v>
      </x:c>
      <x:c r="R3196" s="19" t="str">
        <x:v>独立判定</x:v>
      </x:c>
    </x:row>
    <x:row r="3197" ht="19" customHeight="1">
      <x:c r="A3197" s="19" t="str">
        <x:v>D03193</x:v>
      </x:c>
      <x:c r="B3197" s="19" t="n">
        <x:v>7</x:v>
      </x:c>
      <x:c r="C3197" s="19" t="n">
        <x:v>1</x:v>
      </x:c>
      <x:c r="D3197" s="19" t="str">
        <x:v>C07-M005</x:v>
      </x:c>
      <x:c r="E3197" s="19" t="str">
        <x:v>苍鬃雪狼</x:v>
      </x:c>
      <x:c r="F3197" s="19" t="str">
        <x:v>普通</x:v>
      </x:c>
      <x:c r="G3197" s="19" t="str">
        <x:v>材料独立候选</x:v>
      </x:c>
      <x:c r="H3197" s="19" t="str">
        <x:v>技能残页</x:v>
      </x:c>
      <x:c r="I3197" s="22" t="n">
        <x:v>1200</x:v>
      </x:c>
      <x:c r="J3197" s="22" t="n">
        <x:v>1</x:v>
      </x:c>
      <x:c r="K3197" s="19" t="n">
        <x:v>1</x:v>
      </x:c>
      <x:c r="L3197" s="24" t="n">
        <x:v>39.412</x:v>
      </x:c>
      <x:c r="M3197" s="26" t="n">
        <x:v>0.1</x:v>
      </x:c>
      <x:c r="N3197" s="24" t="n">
        <x:v>72</x:v>
      </x:c>
      <x:c r="O3197" s="28" t="n">
        <x:f>MIN(1,L3197/I3197)</x:f>
        <x:v>0.032843333333333335</x:v>
      </x:c>
      <x:c r="P3197" s="30" t="n">
        <x:f>O3197*J3197*(1+M3197)</x:f>
        <x:v>0.03612766666666667</x:v>
      </x:c>
      <x:c r="Q3197" s="30" t="n">
        <x:f>P3197*N3197</x:f>
        <x:v>2.601192</x:v>
      </x:c>
      <x:c r="R3197" s="19" t="str">
        <x:v>独立判定</x:v>
      </x:c>
    </x:row>
    <x:row r="3198" ht="19" customHeight="1">
      <x:c r="A3198" s="19" t="str">
        <x:v>D03194</x:v>
      </x:c>
      <x:c r="B3198" s="19" t="n">
        <x:v>7</x:v>
      </x:c>
      <x:c r="C3198" s="19" t="n">
        <x:v>1</x:v>
      </x:c>
      <x:c r="D3198" s="19" t="str">
        <x:v>C07-M005</x:v>
      </x:c>
      <x:c r="E3198" s="19" t="str">
        <x:v>苍鬃雪狼</x:v>
      </x:c>
      <x:c r="F3198" s="19" t="str">
        <x:v>普通</x:v>
      </x:c>
      <x:c r="G3198" s="19" t="str">
        <x:v>材料独立候选</x:v>
      </x:c>
      <x:c r="H3198" s="19" t="str">
        <x:v>小卢恩</x:v>
      </x:c>
      <x:c r="I3198" s="22" t="n">
        <x:v>12000</x:v>
      </x:c>
      <x:c r="J3198" s="22" t="n">
        <x:v>1</x:v>
      </x:c>
      <x:c r="K3198" s="19" t="n">
        <x:v>1</x:v>
      </x:c>
      <x:c r="L3198" s="24" t="n">
        <x:v>39.412</x:v>
      </x:c>
      <x:c r="M3198" s="26" t="n">
        <x:v>0.1</x:v>
      </x:c>
      <x:c r="N3198" s="24" t="n">
        <x:v>72</x:v>
      </x:c>
      <x:c r="O3198" s="28" t="n">
        <x:f>MIN(1,L3198/I3198)</x:f>
        <x:v>0.003284333333333333</x:v>
      </x:c>
      <x:c r="P3198" s="30" t="n">
        <x:f>O3198*J3198*(1+M3198)</x:f>
        <x:v>0.0036127666666666666</x:v>
      </x:c>
      <x:c r="Q3198" s="30" t="n">
        <x:f>P3198*N3198</x:f>
        <x:v>0.2601192</x:v>
      </x:c>
      <x:c r="R3198" s="19" t="str">
        <x:v>独立判定</x:v>
      </x:c>
    </x:row>
    <x:row r="3199" ht="19" customHeight="1">
      <x:c r="A3199" s="19" t="str">
        <x:v>D03195</x:v>
      </x:c>
      <x:c r="B3199" s="19" t="n">
        <x:v>7</x:v>
      </x:c>
      <x:c r="C3199" s="19" t="n">
        <x:v>1</x:v>
      </x:c>
      <x:c r="D3199" s="19" t="str">
        <x:v>C07-M005</x:v>
      </x:c>
      <x:c r="E3199" s="19" t="str">
        <x:v>苍鬃雪狼</x:v>
      </x:c>
      <x:c r="F3199" s="19" t="str">
        <x:v>普通</x:v>
      </x:c>
      <x:c r="G3199" s="19" t="str">
        <x:v>六神器公共池</x:v>
      </x:c>
      <x:c r="H3199" s="19" t="str">
        <x:v>POOL006</x:v>
      </x:c>
      <x:c r="I3199" s="22" t="n">
        <x:v>20000000</x:v>
      </x:c>
      <x:c r="J3199" s="22" t="n">
        <x:v>1</x:v>
      </x:c>
      <x:c r="K3199" s="19" t="n">
        <x:v>6</x:v>
      </x:c>
      <x:c r="L3199" s="24" t="n">
        <x:v>39.412</x:v>
      </x:c>
      <x:c r="M3199" s="26" t="n">
        <x:v>0.1</x:v>
      </x:c>
      <x:c r="N3199" s="24" t="n">
        <x:v>72</x:v>
      </x:c>
      <x:c r="O3199" s="28" t="n">
        <x:f>MIN(1,L3199/I3199)</x:f>
        <x:v>0.0000019706</x:v>
      </x:c>
      <x:c r="P3199" s="30" t="n">
        <x:f>O3199*J3199*(1+M3199)</x:f>
        <x:v>0.00000216766</x:v>
      </x:c>
      <x:c r="Q3199" s="30" t="n">
        <x:f>P3199*N3199</x:f>
        <x:v>0.00015607152</x:v>
      </x:c>
      <x:c r="R3199" s="19" t="str">
        <x:v>六选一；非6个独立爆率</x:v>
      </x:c>
    </x:row>
    <x:row r="3200" ht="19" customHeight="1">
      <x:c r="A3200" s="19" t="str">
        <x:v>D03196</x:v>
      </x:c>
      <x:c r="B3200" s="19" t="n">
        <x:v>7</x:v>
      </x:c>
      <x:c r="C3200" s="19" t="n">
        <x:v>1</x:v>
      </x:c>
      <x:c r="D3200" s="19" t="str">
        <x:v>C07-M006</x:v>
      </x:c>
      <x:c r="E3200" s="19" t="str">
        <x:v>寒羽巡猎鹰</x:v>
      </x:c>
      <x:c r="F3200" s="19" t="str">
        <x:v>普通</x:v>
      </x:c>
      <x:c r="G3200" s="19" t="str">
        <x:v>自身专属</x:v>
      </x:c>
      <x:c r="H3200" s="19" t="str">
        <x:v>寒羽猎链</x:v>
      </x:c>
      <x:c r="I3200" s="22" t="n">
        <x:v>4000</x:v>
      </x:c>
      <x:c r="J3200" s="22" t="n">
        <x:v>1</x:v>
      </x:c>
      <x:c r="K3200" s="19" t="n">
        <x:v>1</x:v>
      </x:c>
      <x:c r="L3200" s="24" t="n">
        <x:v>39.412</x:v>
      </x:c>
      <x:c r="M3200" s="26" t="n">
        <x:v>0.1</x:v>
      </x:c>
      <x:c r="N3200" s="24" t="n">
        <x:v>72</x:v>
      </x:c>
      <x:c r="O3200" s="28" t="n">
        <x:f>MIN(1,L3200/I3200)</x:f>
        <x:v>0.009852999999999999</x:v>
      </x:c>
      <x:c r="P3200" s="30" t="n">
        <x:f>O3200*J3200*(1+M3200)</x:f>
        <x:v>0.0108383</x:v>
      </x:c>
      <x:c r="Q3200" s="30" t="n">
        <x:f>P3200*N3200</x:f>
        <x:v>0.7803576</x:v>
      </x:c>
      <x:c r="R3200" s="19" t="str">
        <x:v>独立判定</x:v>
      </x:c>
    </x:row>
    <x:row r="3201" ht="19" customHeight="1">
      <x:c r="A3201" s="19" t="str">
        <x:v>D03197</x:v>
      </x:c>
      <x:c r="B3201" s="19" t="n">
        <x:v>7</x:v>
      </x:c>
      <x:c r="C3201" s="19" t="n">
        <x:v>1</x:v>
      </x:c>
      <x:c r="D3201" s="19" t="str">
        <x:v>C07-M006</x:v>
      </x:c>
      <x:c r="E3201" s="19" t="str">
        <x:v>寒羽巡猎鹰</x:v>
      </x:c>
      <x:c r="F3201" s="19" t="str">
        <x:v>普通</x:v>
      </x:c>
      <x:c r="G3201" s="19" t="str">
        <x:v>材料独立候选</x:v>
      </x:c>
      <x:c r="H3201" s="19" t="str">
        <x:v>冻晶尘</x:v>
      </x:c>
      <x:c r="I3201" s="22" t="n">
        <x:v>1000</x:v>
      </x:c>
      <x:c r="J3201" s="22" t="n">
        <x:v>8</x:v>
      </x:c>
      <x:c r="K3201" s="19" t="n">
        <x:v>1</x:v>
      </x:c>
      <x:c r="L3201" s="24" t="n">
        <x:v>39.412</x:v>
      </x:c>
      <x:c r="M3201" s="26" t="n">
        <x:v>0.1</x:v>
      </x:c>
      <x:c r="N3201" s="24" t="n">
        <x:v>72</x:v>
      </x:c>
      <x:c r="O3201" s="28" t="n">
        <x:f>MIN(1,L3201/I3201)</x:f>
        <x:v>0.039411999999999996</x:v>
      </x:c>
      <x:c r="P3201" s="30" t="n">
        <x:f>O3201*J3201*(1+M3201)</x:f>
        <x:v>0.3468256</x:v>
      </x:c>
      <x:c r="Q3201" s="30" t="n">
        <x:f>P3201*N3201</x:f>
        <x:v>24.9714432</x:v>
      </x:c>
      <x:c r="R3201" s="19" t="str">
        <x:v>独立判定</x:v>
      </x:c>
    </x:row>
    <x:row r="3202" ht="19" customHeight="1">
      <x:c r="A3202" s="19" t="str">
        <x:v>D03198</x:v>
      </x:c>
      <x:c r="B3202" s="19" t="n">
        <x:v>7</x:v>
      </x:c>
      <x:c r="C3202" s="19" t="n">
        <x:v>1</x:v>
      </x:c>
      <x:c r="D3202" s="19" t="str">
        <x:v>C07-M006</x:v>
      </x:c>
      <x:c r="E3202" s="19" t="str">
        <x:v>寒羽巡猎鹰</x:v>
      </x:c>
      <x:c r="F3202" s="19" t="str">
        <x:v>普通</x:v>
      </x:c>
      <x:c r="G3202" s="19" t="str">
        <x:v>材料独立候选</x:v>
      </x:c>
      <x:c r="H3202" s="19" t="str">
        <x:v>白金路标片</x:v>
      </x:c>
      <x:c r="I3202" s="22" t="n">
        <x:v>1500</x:v>
      </x:c>
      <x:c r="J3202" s="22" t="n">
        <x:v>1</x:v>
      </x:c>
      <x:c r="K3202" s="19" t="n">
        <x:v>1</x:v>
      </x:c>
      <x:c r="L3202" s="24" t="n">
        <x:v>39.412</x:v>
      </x:c>
      <x:c r="M3202" s="26" t="n">
        <x:v>0.1</x:v>
      </x:c>
      <x:c r="N3202" s="24" t="n">
        <x:v>72</x:v>
      </x:c>
      <x:c r="O3202" s="28" t="n">
        <x:f>MIN(1,L3202/I3202)</x:f>
        <x:v>0.026274666666666665</x:v>
      </x:c>
      <x:c r="P3202" s="30" t="n">
        <x:f>O3202*J3202*(1+M3202)</x:f>
        <x:v>0.028902133333333333</x:v>
      </x:c>
      <x:c r="Q3202" s="30" t="n">
        <x:f>P3202*N3202</x:f>
        <x:v>2.0809536</x:v>
      </x:c>
      <x:c r="R3202" s="19" t="str">
        <x:v>独立判定</x:v>
      </x:c>
    </x:row>
    <x:row r="3203" ht="19" customHeight="1">
      <x:c r="A3203" s="19" t="str">
        <x:v>D03199</x:v>
      </x:c>
      <x:c r="B3203" s="19" t="n">
        <x:v>7</x:v>
      </x:c>
      <x:c r="C3203" s="19" t="n">
        <x:v>1</x:v>
      </x:c>
      <x:c r="D3203" s="19" t="str">
        <x:v>C07-M006</x:v>
      </x:c>
      <x:c r="E3203" s="19" t="str">
        <x:v>寒羽巡猎鹰</x:v>
      </x:c>
      <x:c r="F3203" s="19" t="str">
        <x:v>普通</x:v>
      </x:c>
      <x:c r="G3203" s="19" t="str">
        <x:v>材料独立候选</x:v>
      </x:c>
      <x:c r="H3203" s="19" t="str">
        <x:v>永霜朝圣痕</x:v>
      </x:c>
      <x:c r="I3203" s="22" t="n">
        <x:v>1800000</x:v>
      </x:c>
      <x:c r="J3203" s="22" t="n">
        <x:v>1</x:v>
      </x:c>
      <x:c r="K3203" s="19" t="n">
        <x:v>1</x:v>
      </x:c>
      <x:c r="L3203" s="24" t="n">
        <x:v>39.412</x:v>
      </x:c>
      <x:c r="M3203" s="26" t="n">
        <x:v>0.1</x:v>
      </x:c>
      <x:c r="N3203" s="24" t="n">
        <x:v>72</x:v>
      </x:c>
      <x:c r="O3203" s="28" t="n">
        <x:f>MIN(1,L3203/I3203)</x:f>
        <x:v>0.000021895555555555555</x:v>
      </x:c>
      <x:c r="P3203" s="30" t="n">
        <x:f>O3203*J3203*(1+M3203)</x:f>
        <x:v>0.000024085111111111113</x:v>
      </x:c>
      <x:c r="Q3203" s="30" t="n">
        <x:f>P3203*N3203</x:f>
        <x:v>0.0017341280000000001</x:v>
      </x:c>
      <x:c r="R3203" s="19" t="str">
        <x:v>独立判定</x:v>
      </x:c>
    </x:row>
    <x:row r="3204" ht="19" customHeight="1">
      <x:c r="A3204" s="19" t="str">
        <x:v>D03200</x:v>
      </x:c>
      <x:c r="B3204" s="19" t="n">
        <x:v>7</x:v>
      </x:c>
      <x:c r="C3204" s="19" t="n">
        <x:v>1</x:v>
      </x:c>
      <x:c r="D3204" s="19" t="str">
        <x:v>C07-M006</x:v>
      </x:c>
      <x:c r="E3204" s="19" t="str">
        <x:v>寒羽巡猎鹰</x:v>
      </x:c>
      <x:c r="F3204" s="19" t="str">
        <x:v>普通</x:v>
      </x:c>
      <x:c r="G3204" s="19" t="str">
        <x:v>材料独立候选</x:v>
      </x:c>
      <x:c r="H3204" s="19" t="str">
        <x:v>野兽骨片</x:v>
      </x:c>
      <x:c r="I3204" s="22" t="n">
        <x:v>200</x:v>
      </x:c>
      <x:c r="J3204" s="22" t="n">
        <x:v>5</x:v>
      </x:c>
      <x:c r="K3204" s="19" t="n">
        <x:v>1</x:v>
      </x:c>
      <x:c r="L3204" s="24" t="n">
        <x:v>39.412</x:v>
      </x:c>
      <x:c r="M3204" s="26" t="n">
        <x:v>0.1</x:v>
      </x:c>
      <x:c r="N3204" s="24" t="n">
        <x:v>72</x:v>
      </x:c>
      <x:c r="O3204" s="28" t="n">
        <x:f>MIN(1,L3204/I3204)</x:f>
        <x:v>0.19705999999999999</x:v>
      </x:c>
      <x:c r="P3204" s="30" t="n">
        <x:f>O3204*J3204*(1+M3204)</x:f>
        <x:v>1.08383</x:v>
      </x:c>
      <x:c r="Q3204" s="30" t="n">
        <x:f>P3204*N3204</x:f>
        <x:v>78.03576000000001</x:v>
      </x:c>
      <x:c r="R3204" s="19" t="str">
        <x:v>独立判定</x:v>
      </x:c>
    </x:row>
    <x:row r="3205" ht="19" customHeight="1">
      <x:c r="A3205" s="19" t="str">
        <x:v>D03201</x:v>
      </x:c>
      <x:c r="B3205" s="19" t="n">
        <x:v>7</x:v>
      </x:c>
      <x:c r="C3205" s="19" t="n">
        <x:v>1</x:v>
      </x:c>
      <x:c r="D3205" s="19" t="str">
        <x:v>C07-M006</x:v>
      </x:c>
      <x:c r="E3205" s="19" t="str">
        <x:v>寒羽巡猎鹰</x:v>
      </x:c>
      <x:c r="F3205" s="19" t="str">
        <x:v>普通</x:v>
      </x:c>
      <x:c r="G3205" s="19" t="str">
        <x:v>材料独立候选</x:v>
      </x:c>
      <x:c r="H3205" s="19" t="str">
        <x:v>技能残页</x:v>
      </x:c>
      <x:c r="I3205" s="22" t="n">
        <x:v>1200</x:v>
      </x:c>
      <x:c r="J3205" s="22" t="n">
        <x:v>1</x:v>
      </x:c>
      <x:c r="K3205" s="19" t="n">
        <x:v>1</x:v>
      </x:c>
      <x:c r="L3205" s="24" t="n">
        <x:v>39.412</x:v>
      </x:c>
      <x:c r="M3205" s="26" t="n">
        <x:v>0.1</x:v>
      </x:c>
      <x:c r="N3205" s="24" t="n">
        <x:v>72</x:v>
      </x:c>
      <x:c r="O3205" s="28" t="n">
        <x:f>MIN(1,L3205/I3205)</x:f>
        <x:v>0.032843333333333335</x:v>
      </x:c>
      <x:c r="P3205" s="30" t="n">
        <x:f>O3205*J3205*(1+M3205)</x:f>
        <x:v>0.03612766666666667</x:v>
      </x:c>
      <x:c r="Q3205" s="30" t="n">
        <x:f>P3205*N3205</x:f>
        <x:v>2.601192</x:v>
      </x:c>
      <x:c r="R3205" s="19" t="str">
        <x:v>独立判定</x:v>
      </x:c>
    </x:row>
    <x:row r="3206" ht="19" customHeight="1">
      <x:c r="A3206" s="19" t="str">
        <x:v>D03202</x:v>
      </x:c>
      <x:c r="B3206" s="19" t="n">
        <x:v>7</x:v>
      </x:c>
      <x:c r="C3206" s="19" t="n">
        <x:v>1</x:v>
      </x:c>
      <x:c r="D3206" s="19" t="str">
        <x:v>C07-M006</x:v>
      </x:c>
      <x:c r="E3206" s="19" t="str">
        <x:v>寒羽巡猎鹰</x:v>
      </x:c>
      <x:c r="F3206" s="19" t="str">
        <x:v>普通</x:v>
      </x:c>
      <x:c r="G3206" s="19" t="str">
        <x:v>材料独立候选</x:v>
      </x:c>
      <x:c r="H3206" s="19" t="str">
        <x:v>小卢恩</x:v>
      </x:c>
      <x:c r="I3206" s="22" t="n">
        <x:v>12000</x:v>
      </x:c>
      <x:c r="J3206" s="22" t="n">
        <x:v>1</x:v>
      </x:c>
      <x:c r="K3206" s="19" t="n">
        <x:v>1</x:v>
      </x:c>
      <x:c r="L3206" s="24" t="n">
        <x:v>39.412</x:v>
      </x:c>
      <x:c r="M3206" s="26" t="n">
        <x:v>0.1</x:v>
      </x:c>
      <x:c r="N3206" s="24" t="n">
        <x:v>72</x:v>
      </x:c>
      <x:c r="O3206" s="28" t="n">
        <x:f>MIN(1,L3206/I3206)</x:f>
        <x:v>0.003284333333333333</x:v>
      </x:c>
      <x:c r="P3206" s="30" t="n">
        <x:f>O3206*J3206*(1+M3206)</x:f>
        <x:v>0.0036127666666666666</x:v>
      </x:c>
      <x:c r="Q3206" s="30" t="n">
        <x:f>P3206*N3206</x:f>
        <x:v>0.2601192</x:v>
      </x:c>
      <x:c r="R3206" s="19" t="str">
        <x:v>独立判定</x:v>
      </x:c>
    </x:row>
    <x:row r="3207" ht="19" customHeight="1">
      <x:c r="A3207" s="19" t="str">
        <x:v>D03203</x:v>
      </x:c>
      <x:c r="B3207" s="19" t="n">
        <x:v>7</x:v>
      </x:c>
      <x:c r="C3207" s="19" t="n">
        <x:v>1</x:v>
      </x:c>
      <x:c r="D3207" s="19" t="str">
        <x:v>C07-M006</x:v>
      </x:c>
      <x:c r="E3207" s="19" t="str">
        <x:v>寒羽巡猎鹰</x:v>
      </x:c>
      <x:c r="F3207" s="19" t="str">
        <x:v>普通</x:v>
      </x:c>
      <x:c r="G3207" s="19" t="str">
        <x:v>六神器公共池</x:v>
      </x:c>
      <x:c r="H3207" s="19" t="str">
        <x:v>POOL006</x:v>
      </x:c>
      <x:c r="I3207" s="22" t="n">
        <x:v>20000000</x:v>
      </x:c>
      <x:c r="J3207" s="22" t="n">
        <x:v>1</x:v>
      </x:c>
      <x:c r="K3207" s="19" t="n">
        <x:v>6</x:v>
      </x:c>
      <x:c r="L3207" s="24" t="n">
        <x:v>39.412</x:v>
      </x:c>
      <x:c r="M3207" s="26" t="n">
        <x:v>0.1</x:v>
      </x:c>
      <x:c r="N3207" s="24" t="n">
        <x:v>72</x:v>
      </x:c>
      <x:c r="O3207" s="28" t="n">
        <x:f>MIN(1,L3207/I3207)</x:f>
        <x:v>0.0000019706</x:v>
      </x:c>
      <x:c r="P3207" s="30" t="n">
        <x:f>O3207*J3207*(1+M3207)</x:f>
        <x:v>0.00000216766</x:v>
      </x:c>
      <x:c r="Q3207" s="30" t="n">
        <x:f>P3207*N3207</x:f>
        <x:v>0.00015607152</x:v>
      </x:c>
      <x:c r="R3207" s="19" t="str">
        <x:v>六选一；非6个独立爆率</x:v>
      </x:c>
    </x:row>
    <x:row r="3208" ht="19" customHeight="1">
      <x:c r="A3208" s="19" t="str">
        <x:v>D03204</x:v>
      </x:c>
      <x:c r="B3208" s="19" t="n">
        <x:v>7</x:v>
      </x:c>
      <x:c r="C3208" s="19" t="n">
        <x:v>1</x:v>
      </x:c>
      <x:c r="D3208" s="19" t="str">
        <x:v>C07-M007</x:v>
      </x:c>
      <x:c r="E3208" s="19" t="str">
        <x:v>白霜重甲卫</x:v>
      </x:c>
      <x:c r="F3208" s="19" t="str">
        <x:v>稀有</x:v>
      </x:c>
      <x:c r="G3208" s="19" t="str">
        <x:v>自身专属</x:v>
      </x:c>
      <x:c r="H3208" s="19" t="str">
        <x:v>白霜重衣</x:v>
      </x:c>
      <x:c r="I3208" s="22" t="n">
        <x:v>800</x:v>
      </x:c>
      <x:c r="J3208" s="22" t="n">
        <x:v>1</x:v>
      </x:c>
      <x:c r="K3208" s="19" t="n">
        <x:v>1</x:v>
      </x:c>
      <x:c r="L3208" s="24" t="n">
        <x:v>39.412</x:v>
      </x:c>
      <x:c r="M3208" s="26" t="n">
        <x:v>0.1</x:v>
      </x:c>
      <x:c r="N3208" s="24" t="n">
        <x:v>12</x:v>
      </x:c>
      <x:c r="O3208" s="28" t="n">
        <x:f>MIN(1,L3208/I3208)</x:f>
        <x:v>0.049264999999999996</x:v>
      </x:c>
      <x:c r="P3208" s="30" t="n">
        <x:f>O3208*J3208*(1+M3208)</x:f>
        <x:v>0.054191500000000004</x:v>
      </x:c>
      <x:c r="Q3208" s="30" t="n">
        <x:f>P3208*N3208</x:f>
        <x:v>0.650298</x:v>
      </x:c>
      <x:c r="R3208" s="19" t="str">
        <x:v>独立判定</x:v>
      </x:c>
    </x:row>
    <x:row r="3209" ht="19" customHeight="1">
      <x:c r="A3209" s="19" t="str">
        <x:v>D03205</x:v>
      </x:c>
      <x:c r="B3209" s="19" t="n">
        <x:v>7</x:v>
      </x:c>
      <x:c r="C3209" s="19" t="n">
        <x:v>1</x:v>
      </x:c>
      <x:c r="D3209" s="19" t="str">
        <x:v>C07-M007</x:v>
      </x:c>
      <x:c r="E3209" s="19" t="str">
        <x:v>白霜重甲卫</x:v>
      </x:c>
      <x:c r="F3209" s="19" t="str">
        <x:v>稀有</x:v>
      </x:c>
      <x:c r="G3209" s="19" t="str">
        <x:v>材料独立候选</x:v>
      </x:c>
      <x:c r="H3209" s="19" t="str">
        <x:v>冻晶尘</x:v>
      </x:c>
      <x:c r="I3209" s="22" t="n">
        <x:v>600</x:v>
      </x:c>
      <x:c r="J3209" s="22" t="n">
        <x:v>15</x:v>
      </x:c>
      <x:c r="K3209" s="19" t="n">
        <x:v>1</x:v>
      </x:c>
      <x:c r="L3209" s="24" t="n">
        <x:v>39.412</x:v>
      </x:c>
      <x:c r="M3209" s="26" t="n">
        <x:v>0.1</x:v>
      </x:c>
      <x:c r="N3209" s="24" t="n">
        <x:v>12</x:v>
      </x:c>
      <x:c r="O3209" s="28" t="n">
        <x:f>MIN(1,L3209/I3209)</x:f>
        <x:v>0.06568666666666667</x:v>
      </x:c>
      <x:c r="P3209" s="30" t="n">
        <x:f>O3209*J3209*(1+M3209)</x:f>
        <x:v>1.08383</x:v>
      </x:c>
      <x:c r="Q3209" s="30" t="n">
        <x:f>P3209*N3209</x:f>
        <x:v>13.005960000000002</x:v>
      </x:c>
      <x:c r="R3209" s="19" t="str">
        <x:v>独立判定</x:v>
      </x:c>
    </x:row>
    <x:row r="3210" ht="19" customHeight="1">
      <x:c r="A3210" s="19" t="str">
        <x:v>D03206</x:v>
      </x:c>
      <x:c r="B3210" s="19" t="n">
        <x:v>7</x:v>
      </x:c>
      <x:c r="C3210" s="19" t="n">
        <x:v>1</x:v>
      </x:c>
      <x:c r="D3210" s="19" t="str">
        <x:v>C07-M007</x:v>
      </x:c>
      <x:c r="E3210" s="19" t="str">
        <x:v>白霜重甲卫</x:v>
      </x:c>
      <x:c r="F3210" s="19" t="str">
        <x:v>稀有</x:v>
      </x:c>
      <x:c r="G3210" s="19" t="str">
        <x:v>材料独立候选</x:v>
      </x:c>
      <x:c r="H3210" s="19" t="str">
        <x:v>白金纺线</x:v>
      </x:c>
      <x:c r="I3210" s="22" t="n">
        <x:v>800</x:v>
      </x:c>
      <x:c r="J3210" s="22" t="n">
        <x:v>1</x:v>
      </x:c>
      <x:c r="K3210" s="19" t="n">
        <x:v>1</x:v>
      </x:c>
      <x:c r="L3210" s="24" t="n">
        <x:v>39.412</x:v>
      </x:c>
      <x:c r="M3210" s="26" t="n">
        <x:v>0.1</x:v>
      </x:c>
      <x:c r="N3210" s="24" t="n">
        <x:v>12</x:v>
      </x:c>
      <x:c r="O3210" s="28" t="n">
        <x:f>MIN(1,L3210/I3210)</x:f>
        <x:v>0.049264999999999996</x:v>
      </x:c>
      <x:c r="P3210" s="30" t="n">
        <x:f>O3210*J3210*(1+M3210)</x:f>
        <x:v>0.054191500000000004</x:v>
      </x:c>
      <x:c r="Q3210" s="30" t="n">
        <x:f>P3210*N3210</x:f>
        <x:v>0.650298</x:v>
      </x:c>
      <x:c r="R3210" s="19" t="str">
        <x:v>独立判定</x:v>
      </x:c>
    </x:row>
    <x:row r="3211" ht="19" customHeight="1">
      <x:c r="A3211" s="19" t="str">
        <x:v>D03207</x:v>
      </x:c>
      <x:c r="B3211" s="19" t="n">
        <x:v>7</x:v>
      </x:c>
      <x:c r="C3211" s="19" t="n">
        <x:v>1</x:v>
      </x:c>
      <x:c r="D3211" s="19" t="str">
        <x:v>C07-M007</x:v>
      </x:c>
      <x:c r="E3211" s="19" t="str">
        <x:v>白霜重甲卫</x:v>
      </x:c>
      <x:c r="F3211" s="19" t="str">
        <x:v>稀有</x:v>
      </x:c>
      <x:c r="G3211" s="19" t="str">
        <x:v>材料独立候选</x:v>
      </x:c>
      <x:c r="H3211" s="19" t="str">
        <x:v>冻原银角</x:v>
      </x:c>
      <x:c r="I3211" s="22" t="n">
        <x:v>1500</x:v>
      </x:c>
      <x:c r="J3211" s="22" t="n">
        <x:v>1</x:v>
      </x:c>
      <x:c r="K3211" s="19" t="n">
        <x:v>1</x:v>
      </x:c>
      <x:c r="L3211" s="24" t="n">
        <x:v>39.412</x:v>
      </x:c>
      <x:c r="M3211" s="26" t="n">
        <x:v>0.1</x:v>
      </x:c>
      <x:c r="N3211" s="24" t="n">
        <x:v>12</x:v>
      </x:c>
      <x:c r="O3211" s="28" t="n">
        <x:f>MIN(1,L3211/I3211)</x:f>
        <x:v>0.026274666666666665</x:v>
      </x:c>
      <x:c r="P3211" s="30" t="n">
        <x:f>O3211*J3211*(1+M3211)</x:f>
        <x:v>0.028902133333333333</x:v>
      </x:c>
      <x:c r="Q3211" s="30" t="n">
        <x:f>P3211*N3211</x:f>
        <x:v>0.3468256</x:v>
      </x:c>
      <x:c r="R3211" s="19" t="str">
        <x:v>独立判定</x:v>
      </x:c>
    </x:row>
    <x:row r="3212" ht="19" customHeight="1">
      <x:c r="A3212" s="19" t="str">
        <x:v>D03208</x:v>
      </x:c>
      <x:c r="B3212" s="19" t="n">
        <x:v>7</x:v>
      </x:c>
      <x:c r="C3212" s="19" t="n">
        <x:v>1</x:v>
      </x:c>
      <x:c r="D3212" s="19" t="str">
        <x:v>C07-M007</x:v>
      </x:c>
      <x:c r="E3212" s="19" t="str">
        <x:v>白霜重甲卫</x:v>
      </x:c>
      <x:c r="F3212" s="19" t="str">
        <x:v>稀有</x:v>
      </x:c>
      <x:c r="G3212" s="19" t="str">
        <x:v>材料独立候选</x:v>
      </x:c>
      <x:c r="H3212" s="19" t="str">
        <x:v>永霜朝圣痕</x:v>
      </x:c>
      <x:c r="I3212" s="22" t="n">
        <x:v>1200000</x:v>
      </x:c>
      <x:c r="J3212" s="22" t="n">
        <x:v>1</x:v>
      </x:c>
      <x:c r="K3212" s="19" t="n">
        <x:v>1</x:v>
      </x:c>
      <x:c r="L3212" s="24" t="n">
        <x:v>39.412</x:v>
      </x:c>
      <x:c r="M3212" s="26" t="n">
        <x:v>0.1</x:v>
      </x:c>
      <x:c r="N3212" s="24" t="n">
        <x:v>12</x:v>
      </x:c>
      <x:c r="O3212" s="28" t="n">
        <x:f>MIN(1,L3212/I3212)</x:f>
        <x:v>0.00003284333333333333</x:v>
      </x:c>
      <x:c r="P3212" s="30" t="n">
        <x:f>O3212*J3212*(1+M3212)</x:f>
        <x:v>0.00003612766666666667</x:v>
      </x:c>
      <x:c r="Q3212" s="30" t="n">
        <x:f>P3212*N3212</x:f>
        <x:v>0.00043353200000000004</x:v>
      </x:c>
      <x:c r="R3212" s="19" t="str">
        <x:v>独立判定</x:v>
      </x:c>
    </x:row>
    <x:row r="3213" ht="19" customHeight="1">
      <x:c r="A3213" s="19" t="str">
        <x:v>D03209</x:v>
      </x:c>
      <x:c r="B3213" s="19" t="n">
        <x:v>7</x:v>
      </x:c>
      <x:c r="C3213" s="19" t="n">
        <x:v>1</x:v>
      </x:c>
      <x:c r="D3213" s="19" t="str">
        <x:v>C07-M007</x:v>
      </x:c>
      <x:c r="E3213" s="19" t="str">
        <x:v>白霜重甲卫</x:v>
      </x:c>
      <x:c r="F3213" s="19" t="str">
        <x:v>稀有</x:v>
      </x:c>
      <x:c r="G3213" s="19" t="str">
        <x:v>材料独立候选</x:v>
      </x:c>
      <x:c r="H3213" s="19" t="str">
        <x:v>黄金树芽</x:v>
      </x:c>
      <x:c r="I3213" s="22" t="n">
        <x:v>6000</x:v>
      </x:c>
      <x:c r="J3213" s="22" t="n">
        <x:v>1</x:v>
      </x:c>
      <x:c r="K3213" s="19" t="n">
        <x:v>1</x:v>
      </x:c>
      <x:c r="L3213" s="24" t="n">
        <x:v>39.412</x:v>
      </x:c>
      <x:c r="M3213" s="26" t="n">
        <x:v>0.1</x:v>
      </x:c>
      <x:c r="N3213" s="24" t="n">
        <x:v>12</x:v>
      </x:c>
      <x:c r="O3213" s="28" t="n">
        <x:f>MIN(1,L3213/I3213)</x:f>
        <x:v>0.006568666666666666</x:v>
      </x:c>
      <x:c r="P3213" s="30" t="n">
        <x:f>O3213*J3213*(1+M3213)</x:f>
        <x:v>0.007225533333333333</x:v>
      </x:c>
      <x:c r="Q3213" s="30" t="n">
        <x:f>P3213*N3213</x:f>
        <x:v>0.0867064</x:v>
      </x:c>
      <x:c r="R3213" s="19" t="str">
        <x:v>独立判定</x:v>
      </x:c>
    </x:row>
    <x:row r="3214" ht="19" customHeight="1">
      <x:c r="A3214" s="19" t="str">
        <x:v>D03210</x:v>
      </x:c>
      <x:c r="B3214" s="19" t="n">
        <x:v>7</x:v>
      </x:c>
      <x:c r="C3214" s="19" t="n">
        <x:v>1</x:v>
      </x:c>
      <x:c r="D3214" s="19" t="str">
        <x:v>C07-M007</x:v>
      </x:c>
      <x:c r="E3214" s="19" t="str">
        <x:v>白霜重甲卫</x:v>
      </x:c>
      <x:c r="F3214" s="19" t="str">
        <x:v>稀有</x:v>
      </x:c>
      <x:c r="G3214" s="19" t="str">
        <x:v>材料独立候选</x:v>
      </x:c>
      <x:c r="H3214" s="19" t="str">
        <x:v>野兽骨片</x:v>
      </x:c>
      <x:c r="I3214" s="22" t="n">
        <x:v>120</x:v>
      </x:c>
      <x:c r="J3214" s="22" t="n">
        <x:v>5</x:v>
      </x:c>
      <x:c r="K3214" s="19" t="n">
        <x:v>1</x:v>
      </x:c>
      <x:c r="L3214" s="24" t="n">
        <x:v>39.412</x:v>
      </x:c>
      <x:c r="M3214" s="26" t="n">
        <x:v>0.1</x:v>
      </x:c>
      <x:c r="N3214" s="24" t="n">
        <x:v>12</x:v>
      </x:c>
      <x:c r="O3214" s="28" t="n">
        <x:f>MIN(1,L3214/I3214)</x:f>
        <x:v>0.3284333333333333</x:v>
      </x:c>
      <x:c r="P3214" s="30" t="n">
        <x:f>O3214*J3214*(1+M3214)</x:f>
        <x:v>1.8063833333333335</x:v>
      </x:c>
      <x:c r="Q3214" s="30" t="n">
        <x:f>P3214*N3214</x:f>
        <x:v>21.6766</x:v>
      </x:c>
      <x:c r="R3214" s="19" t="str">
        <x:v>独立判定</x:v>
      </x:c>
    </x:row>
    <x:row r="3215" ht="19" customHeight="1">
      <x:c r="A3215" s="19" t="str">
        <x:v>D03211</x:v>
      </x:c>
      <x:c r="B3215" s="19" t="n">
        <x:v>7</x:v>
      </x:c>
      <x:c r="C3215" s="19" t="n">
        <x:v>1</x:v>
      </x:c>
      <x:c r="D3215" s="19" t="str">
        <x:v>C07-M007</x:v>
      </x:c>
      <x:c r="E3215" s="19" t="str">
        <x:v>白霜重甲卫</x:v>
      </x:c>
      <x:c r="F3215" s="19" t="str">
        <x:v>稀有</x:v>
      </x:c>
      <x:c r="G3215" s="19" t="str">
        <x:v>材料独立候选</x:v>
      </x:c>
      <x:c r="H3215" s="19" t="str">
        <x:v>技能残页</x:v>
      </x:c>
      <x:c r="I3215" s="22" t="n">
        <x:v>800</x:v>
      </x:c>
      <x:c r="J3215" s="22" t="n">
        <x:v>1</x:v>
      </x:c>
      <x:c r="K3215" s="19" t="n">
        <x:v>1</x:v>
      </x:c>
      <x:c r="L3215" s="24" t="n">
        <x:v>39.412</x:v>
      </x:c>
      <x:c r="M3215" s="26" t="n">
        <x:v>0.1</x:v>
      </x:c>
      <x:c r="N3215" s="24" t="n">
        <x:v>12</x:v>
      </x:c>
      <x:c r="O3215" s="28" t="n">
        <x:f>MIN(1,L3215/I3215)</x:f>
        <x:v>0.049264999999999996</x:v>
      </x:c>
      <x:c r="P3215" s="30" t="n">
        <x:f>O3215*J3215*(1+M3215)</x:f>
        <x:v>0.054191500000000004</x:v>
      </x:c>
      <x:c r="Q3215" s="30" t="n">
        <x:f>P3215*N3215</x:f>
        <x:v>0.650298</x:v>
      </x:c>
      <x:c r="R3215" s="19" t="str">
        <x:v>独立判定</x:v>
      </x:c>
    </x:row>
    <x:row r="3216" ht="19" customHeight="1">
      <x:c r="A3216" s="19" t="str">
        <x:v>D03212</x:v>
      </x:c>
      <x:c r="B3216" s="19" t="n">
        <x:v>7</x:v>
      </x:c>
      <x:c r="C3216" s="19" t="n">
        <x:v>1</x:v>
      </x:c>
      <x:c r="D3216" s="19" t="str">
        <x:v>C07-M007</x:v>
      </x:c>
      <x:c r="E3216" s="19" t="str">
        <x:v>白霜重甲卫</x:v>
      </x:c>
      <x:c r="F3216" s="19" t="str">
        <x:v>稀有</x:v>
      </x:c>
      <x:c r="G3216" s="19" t="str">
        <x:v>材料独立候选</x:v>
      </x:c>
      <x:c r="H3216" s="19" t="str">
        <x:v>小卢恩</x:v>
      </x:c>
      <x:c r="I3216" s="22" t="n">
        <x:v>8000</x:v>
      </x:c>
      <x:c r="J3216" s="22" t="n">
        <x:v>1</x:v>
      </x:c>
      <x:c r="K3216" s="19" t="n">
        <x:v>1</x:v>
      </x:c>
      <x:c r="L3216" s="24" t="n">
        <x:v>39.412</x:v>
      </x:c>
      <x:c r="M3216" s="26" t="n">
        <x:v>0.1</x:v>
      </x:c>
      <x:c r="N3216" s="24" t="n">
        <x:v>12</x:v>
      </x:c>
      <x:c r="O3216" s="28" t="n">
        <x:f>MIN(1,L3216/I3216)</x:f>
        <x:v>0.0049264999999999995</x:v>
      </x:c>
      <x:c r="P3216" s="30" t="n">
        <x:f>O3216*J3216*(1+M3216)</x:f>
        <x:v>0.00541915</x:v>
      </x:c>
      <x:c r="Q3216" s="30" t="n">
        <x:f>P3216*N3216</x:f>
        <x:v>0.0650298</x:v>
      </x:c>
      <x:c r="R3216" s="19" t="str">
        <x:v>独立判定</x:v>
      </x:c>
    </x:row>
    <x:row r="3217" ht="19" customHeight="1">
      <x:c r="A3217" s="19" t="str">
        <x:v>D03213</x:v>
      </x:c>
      <x:c r="B3217" s="19" t="n">
        <x:v>7</x:v>
      </x:c>
      <x:c r="C3217" s="19" t="n">
        <x:v>1</x:v>
      </x:c>
      <x:c r="D3217" s="19" t="str">
        <x:v>C07-M007</x:v>
      </x:c>
      <x:c r="E3217" s="19" t="str">
        <x:v>白霜重甲卫</x:v>
      </x:c>
      <x:c r="F3217" s="19" t="str">
        <x:v>稀有</x:v>
      </x:c>
      <x:c r="G3217" s="19" t="str">
        <x:v>六神器公共池</x:v>
      </x:c>
      <x:c r="H3217" s="19" t="str">
        <x:v>POOL006</x:v>
      </x:c>
      <x:c r="I3217" s="22" t="n">
        <x:v>5000000</x:v>
      </x:c>
      <x:c r="J3217" s="22" t="n">
        <x:v>1</x:v>
      </x:c>
      <x:c r="K3217" s="19" t="n">
        <x:v>6</x:v>
      </x:c>
      <x:c r="L3217" s="24" t="n">
        <x:v>39.412</x:v>
      </x:c>
      <x:c r="M3217" s="26" t="n">
        <x:v>0.1</x:v>
      </x:c>
      <x:c r="N3217" s="24" t="n">
        <x:v>12</x:v>
      </x:c>
      <x:c r="O3217" s="28" t="n">
        <x:f>MIN(1,L3217/I3217)</x:f>
        <x:v>0.0000078824</x:v>
      </x:c>
      <x:c r="P3217" s="30" t="n">
        <x:f>O3217*J3217*(1+M3217)</x:f>
        <x:v>0.00000867064</x:v>
      </x:c>
      <x:c r="Q3217" s="30" t="n">
        <x:f>P3217*N3217</x:f>
        <x:v>0.00010404768000000001</x:v>
      </x:c>
      <x:c r="R3217" s="19" t="str">
        <x:v>六选一；非6个独立爆率</x:v>
      </x:c>
    </x:row>
    <x:row r="3218" ht="19" customHeight="1">
      <x:c r="A3218" s="19" t="str">
        <x:v>D03214</x:v>
      </x:c>
      <x:c r="B3218" s="19" t="n">
        <x:v>7</x:v>
      </x:c>
      <x:c r="C3218" s="19" t="n">
        <x:v>1</x:v>
      </x:c>
      <x:c r="D3218" s="19" t="str">
        <x:v>C07-M008</x:v>
      </x:c>
      <x:c r="E3218" s="19" t="str">
        <x:v>霜风号角骑</x:v>
      </x:c>
      <x:c r="F3218" s="19" t="str">
        <x:v>稀有</x:v>
      </x:c>
      <x:c r="G3218" s="19" t="str">
        <x:v>自身专属</x:v>
      </x:c>
      <x:c r="H3218" s="19" t="str">
        <x:v>霜风战靴</x:v>
      </x:c>
      <x:c r="I3218" s="22" t="n">
        <x:v>800</x:v>
      </x:c>
      <x:c r="J3218" s="22" t="n">
        <x:v>1</x:v>
      </x:c>
      <x:c r="K3218" s="19" t="n">
        <x:v>1</x:v>
      </x:c>
      <x:c r="L3218" s="24" t="n">
        <x:v>39.412</x:v>
      </x:c>
      <x:c r="M3218" s="26" t="n">
        <x:v>0.1</x:v>
      </x:c>
      <x:c r="N3218" s="24" t="n">
        <x:v>12</x:v>
      </x:c>
      <x:c r="O3218" s="28" t="n">
        <x:f>MIN(1,L3218/I3218)</x:f>
        <x:v>0.049264999999999996</x:v>
      </x:c>
      <x:c r="P3218" s="30" t="n">
        <x:f>O3218*J3218*(1+M3218)</x:f>
        <x:v>0.054191500000000004</x:v>
      </x:c>
      <x:c r="Q3218" s="30" t="n">
        <x:f>P3218*N3218</x:f>
        <x:v>0.650298</x:v>
      </x:c>
      <x:c r="R3218" s="19" t="str">
        <x:v>独立判定</x:v>
      </x:c>
    </x:row>
    <x:row r="3219" ht="19" customHeight="1">
      <x:c r="A3219" s="19" t="str">
        <x:v>D03215</x:v>
      </x:c>
      <x:c r="B3219" s="19" t="n">
        <x:v>7</x:v>
      </x:c>
      <x:c r="C3219" s="19" t="n">
        <x:v>1</x:v>
      </x:c>
      <x:c r="D3219" s="19" t="str">
        <x:v>C07-M008</x:v>
      </x:c>
      <x:c r="E3219" s="19" t="str">
        <x:v>霜风号角骑</x:v>
      </x:c>
      <x:c r="F3219" s="19" t="str">
        <x:v>稀有</x:v>
      </x:c>
      <x:c r="G3219" s="19" t="str">
        <x:v>材料独立候选</x:v>
      </x:c>
      <x:c r="H3219" s="19" t="str">
        <x:v>冻晶尘</x:v>
      </x:c>
      <x:c r="I3219" s="22" t="n">
        <x:v>600</x:v>
      </x:c>
      <x:c r="J3219" s="22" t="n">
        <x:v>15</x:v>
      </x:c>
      <x:c r="K3219" s="19" t="n">
        <x:v>1</x:v>
      </x:c>
      <x:c r="L3219" s="24" t="n">
        <x:v>39.412</x:v>
      </x:c>
      <x:c r="M3219" s="26" t="n">
        <x:v>0.1</x:v>
      </x:c>
      <x:c r="N3219" s="24" t="n">
        <x:v>12</x:v>
      </x:c>
      <x:c r="O3219" s="28" t="n">
        <x:f>MIN(1,L3219/I3219)</x:f>
        <x:v>0.06568666666666667</x:v>
      </x:c>
      <x:c r="P3219" s="30" t="n">
        <x:f>O3219*J3219*(1+M3219)</x:f>
        <x:v>1.08383</x:v>
      </x:c>
      <x:c r="Q3219" s="30" t="n">
        <x:f>P3219*N3219</x:f>
        <x:v>13.005960000000002</x:v>
      </x:c>
      <x:c r="R3219" s="19" t="str">
        <x:v>独立判定</x:v>
      </x:c>
    </x:row>
    <x:row r="3220" ht="19" customHeight="1">
      <x:c r="A3220" s="19" t="str">
        <x:v>D03216</x:v>
      </x:c>
      <x:c r="B3220" s="19" t="n">
        <x:v>7</x:v>
      </x:c>
      <x:c r="C3220" s="19" t="n">
        <x:v>1</x:v>
      </x:c>
      <x:c r="D3220" s="19" t="str">
        <x:v>C07-M008</x:v>
      </x:c>
      <x:c r="E3220" s="19" t="str">
        <x:v>霜风号角骑</x:v>
      </x:c>
      <x:c r="F3220" s="19" t="str">
        <x:v>稀有</x:v>
      </x:c>
      <x:c r="G3220" s="19" t="str">
        <x:v>材料独立候选</x:v>
      </x:c>
      <x:c r="H3220" s="19" t="str">
        <x:v>白金纺线</x:v>
      </x:c>
      <x:c r="I3220" s="22" t="n">
        <x:v>800</x:v>
      </x:c>
      <x:c r="J3220" s="22" t="n">
        <x:v>1</x:v>
      </x:c>
      <x:c r="K3220" s="19" t="n">
        <x:v>1</x:v>
      </x:c>
      <x:c r="L3220" s="24" t="n">
        <x:v>39.412</x:v>
      </x:c>
      <x:c r="M3220" s="26" t="n">
        <x:v>0.1</x:v>
      </x:c>
      <x:c r="N3220" s="24" t="n">
        <x:v>12</x:v>
      </x:c>
      <x:c r="O3220" s="28" t="n">
        <x:f>MIN(1,L3220/I3220)</x:f>
        <x:v>0.049264999999999996</x:v>
      </x:c>
      <x:c r="P3220" s="30" t="n">
        <x:f>O3220*J3220*(1+M3220)</x:f>
        <x:v>0.054191500000000004</x:v>
      </x:c>
      <x:c r="Q3220" s="30" t="n">
        <x:f>P3220*N3220</x:f>
        <x:v>0.650298</x:v>
      </x:c>
      <x:c r="R3220" s="19" t="str">
        <x:v>独立判定</x:v>
      </x:c>
    </x:row>
    <x:row r="3221" ht="19" customHeight="1">
      <x:c r="A3221" s="19" t="str">
        <x:v>D03217</x:v>
      </x:c>
      <x:c r="B3221" s="19" t="n">
        <x:v>7</x:v>
      </x:c>
      <x:c r="C3221" s="19" t="n">
        <x:v>1</x:v>
      </x:c>
      <x:c r="D3221" s="19" t="str">
        <x:v>C07-M008</x:v>
      </x:c>
      <x:c r="E3221" s="19" t="str">
        <x:v>霜风号角骑</x:v>
      </x:c>
      <x:c r="F3221" s="19" t="str">
        <x:v>稀有</x:v>
      </x:c>
      <x:c r="G3221" s="19" t="str">
        <x:v>材料独立候选</x:v>
      </x:c>
      <x:c r="H3221" s="19" t="str">
        <x:v>冻原银角</x:v>
      </x:c>
      <x:c r="I3221" s="22" t="n">
        <x:v>1500</x:v>
      </x:c>
      <x:c r="J3221" s="22" t="n">
        <x:v>1</x:v>
      </x:c>
      <x:c r="K3221" s="19" t="n">
        <x:v>1</x:v>
      </x:c>
      <x:c r="L3221" s="24" t="n">
        <x:v>39.412</x:v>
      </x:c>
      <x:c r="M3221" s="26" t="n">
        <x:v>0.1</x:v>
      </x:c>
      <x:c r="N3221" s="24" t="n">
        <x:v>12</x:v>
      </x:c>
      <x:c r="O3221" s="28" t="n">
        <x:f>MIN(1,L3221/I3221)</x:f>
        <x:v>0.026274666666666665</x:v>
      </x:c>
      <x:c r="P3221" s="30" t="n">
        <x:f>O3221*J3221*(1+M3221)</x:f>
        <x:v>0.028902133333333333</x:v>
      </x:c>
      <x:c r="Q3221" s="30" t="n">
        <x:f>P3221*N3221</x:f>
        <x:v>0.3468256</x:v>
      </x:c>
      <x:c r="R3221" s="19" t="str">
        <x:v>独立判定</x:v>
      </x:c>
    </x:row>
    <x:row r="3222" ht="19" customHeight="1">
      <x:c r="A3222" s="19" t="str">
        <x:v>D03218</x:v>
      </x:c>
      <x:c r="B3222" s="19" t="n">
        <x:v>7</x:v>
      </x:c>
      <x:c r="C3222" s="19" t="n">
        <x:v>1</x:v>
      </x:c>
      <x:c r="D3222" s="19" t="str">
        <x:v>C07-M008</x:v>
      </x:c>
      <x:c r="E3222" s="19" t="str">
        <x:v>霜风号角骑</x:v>
      </x:c>
      <x:c r="F3222" s="19" t="str">
        <x:v>稀有</x:v>
      </x:c>
      <x:c r="G3222" s="19" t="str">
        <x:v>材料独立候选</x:v>
      </x:c>
      <x:c r="H3222" s="19" t="str">
        <x:v>永霜朝圣痕</x:v>
      </x:c>
      <x:c r="I3222" s="22" t="n">
        <x:v>1200000</x:v>
      </x:c>
      <x:c r="J3222" s="22" t="n">
        <x:v>1</x:v>
      </x:c>
      <x:c r="K3222" s="19" t="n">
        <x:v>1</x:v>
      </x:c>
      <x:c r="L3222" s="24" t="n">
        <x:v>39.412</x:v>
      </x:c>
      <x:c r="M3222" s="26" t="n">
        <x:v>0.1</x:v>
      </x:c>
      <x:c r="N3222" s="24" t="n">
        <x:v>12</x:v>
      </x:c>
      <x:c r="O3222" s="28" t="n">
        <x:f>MIN(1,L3222/I3222)</x:f>
        <x:v>0.00003284333333333333</x:v>
      </x:c>
      <x:c r="P3222" s="30" t="n">
        <x:f>O3222*J3222*(1+M3222)</x:f>
        <x:v>0.00003612766666666667</x:v>
      </x:c>
      <x:c r="Q3222" s="30" t="n">
        <x:f>P3222*N3222</x:f>
        <x:v>0.00043353200000000004</x:v>
      </x:c>
      <x:c r="R3222" s="19" t="str">
        <x:v>独立判定</x:v>
      </x:c>
    </x:row>
    <x:row r="3223" ht="19" customHeight="1">
      <x:c r="A3223" s="19" t="str">
        <x:v>D03219</x:v>
      </x:c>
      <x:c r="B3223" s="19" t="n">
        <x:v>7</x:v>
      </x:c>
      <x:c r="C3223" s="19" t="n">
        <x:v>1</x:v>
      </x:c>
      <x:c r="D3223" s="19" t="str">
        <x:v>C07-M008</x:v>
      </x:c>
      <x:c r="E3223" s="19" t="str">
        <x:v>霜风号角骑</x:v>
      </x:c>
      <x:c r="F3223" s="19" t="str">
        <x:v>稀有</x:v>
      </x:c>
      <x:c r="G3223" s="19" t="str">
        <x:v>材料独立候选</x:v>
      </x:c>
      <x:c r="H3223" s="19" t="str">
        <x:v>黄金树芽</x:v>
      </x:c>
      <x:c r="I3223" s="22" t="n">
        <x:v>6000</x:v>
      </x:c>
      <x:c r="J3223" s="22" t="n">
        <x:v>1</x:v>
      </x:c>
      <x:c r="K3223" s="19" t="n">
        <x:v>1</x:v>
      </x:c>
      <x:c r="L3223" s="24" t="n">
        <x:v>39.412</x:v>
      </x:c>
      <x:c r="M3223" s="26" t="n">
        <x:v>0.1</x:v>
      </x:c>
      <x:c r="N3223" s="24" t="n">
        <x:v>12</x:v>
      </x:c>
      <x:c r="O3223" s="28" t="n">
        <x:f>MIN(1,L3223/I3223)</x:f>
        <x:v>0.006568666666666666</x:v>
      </x:c>
      <x:c r="P3223" s="30" t="n">
        <x:f>O3223*J3223*(1+M3223)</x:f>
        <x:v>0.007225533333333333</x:v>
      </x:c>
      <x:c r="Q3223" s="30" t="n">
        <x:f>P3223*N3223</x:f>
        <x:v>0.0867064</x:v>
      </x:c>
      <x:c r="R3223" s="19" t="str">
        <x:v>独立判定</x:v>
      </x:c>
    </x:row>
    <x:row r="3224" ht="19" customHeight="1">
      <x:c r="A3224" s="19" t="str">
        <x:v>D03220</x:v>
      </x:c>
      <x:c r="B3224" s="19" t="n">
        <x:v>7</x:v>
      </x:c>
      <x:c r="C3224" s="19" t="n">
        <x:v>1</x:v>
      </x:c>
      <x:c r="D3224" s="19" t="str">
        <x:v>C07-M008</x:v>
      </x:c>
      <x:c r="E3224" s="19" t="str">
        <x:v>霜风号角骑</x:v>
      </x:c>
      <x:c r="F3224" s="19" t="str">
        <x:v>稀有</x:v>
      </x:c>
      <x:c r="G3224" s="19" t="str">
        <x:v>材料独立候选</x:v>
      </x:c>
      <x:c r="H3224" s="19" t="str">
        <x:v>野兽骨片</x:v>
      </x:c>
      <x:c r="I3224" s="22" t="n">
        <x:v>120</x:v>
      </x:c>
      <x:c r="J3224" s="22" t="n">
        <x:v>5</x:v>
      </x:c>
      <x:c r="K3224" s="19" t="n">
        <x:v>1</x:v>
      </x:c>
      <x:c r="L3224" s="24" t="n">
        <x:v>39.412</x:v>
      </x:c>
      <x:c r="M3224" s="26" t="n">
        <x:v>0.1</x:v>
      </x:c>
      <x:c r="N3224" s="24" t="n">
        <x:v>12</x:v>
      </x:c>
      <x:c r="O3224" s="28" t="n">
        <x:f>MIN(1,L3224/I3224)</x:f>
        <x:v>0.3284333333333333</x:v>
      </x:c>
      <x:c r="P3224" s="30" t="n">
        <x:f>O3224*J3224*(1+M3224)</x:f>
        <x:v>1.8063833333333335</x:v>
      </x:c>
      <x:c r="Q3224" s="30" t="n">
        <x:f>P3224*N3224</x:f>
        <x:v>21.6766</x:v>
      </x:c>
      <x:c r="R3224" s="19" t="str">
        <x:v>独立判定</x:v>
      </x:c>
    </x:row>
    <x:row r="3225" ht="19" customHeight="1">
      <x:c r="A3225" s="19" t="str">
        <x:v>D03221</x:v>
      </x:c>
      <x:c r="B3225" s="19" t="n">
        <x:v>7</x:v>
      </x:c>
      <x:c r="C3225" s="19" t="n">
        <x:v>1</x:v>
      </x:c>
      <x:c r="D3225" s="19" t="str">
        <x:v>C07-M008</x:v>
      </x:c>
      <x:c r="E3225" s="19" t="str">
        <x:v>霜风号角骑</x:v>
      </x:c>
      <x:c r="F3225" s="19" t="str">
        <x:v>稀有</x:v>
      </x:c>
      <x:c r="G3225" s="19" t="str">
        <x:v>材料独立候选</x:v>
      </x:c>
      <x:c r="H3225" s="19" t="str">
        <x:v>技能残页</x:v>
      </x:c>
      <x:c r="I3225" s="22" t="n">
        <x:v>800</x:v>
      </x:c>
      <x:c r="J3225" s="22" t="n">
        <x:v>1</x:v>
      </x:c>
      <x:c r="K3225" s="19" t="n">
        <x:v>1</x:v>
      </x:c>
      <x:c r="L3225" s="24" t="n">
        <x:v>39.412</x:v>
      </x:c>
      <x:c r="M3225" s="26" t="n">
        <x:v>0.1</x:v>
      </x:c>
      <x:c r="N3225" s="24" t="n">
        <x:v>12</x:v>
      </x:c>
      <x:c r="O3225" s="28" t="n">
        <x:f>MIN(1,L3225/I3225)</x:f>
        <x:v>0.049264999999999996</x:v>
      </x:c>
      <x:c r="P3225" s="30" t="n">
        <x:f>O3225*J3225*(1+M3225)</x:f>
        <x:v>0.054191500000000004</x:v>
      </x:c>
      <x:c r="Q3225" s="30" t="n">
        <x:f>P3225*N3225</x:f>
        <x:v>0.650298</x:v>
      </x:c>
      <x:c r="R3225" s="19" t="str">
        <x:v>独立判定</x:v>
      </x:c>
    </x:row>
    <x:row r="3226" ht="19" customHeight="1">
      <x:c r="A3226" s="19" t="str">
        <x:v>D03222</x:v>
      </x:c>
      <x:c r="B3226" s="19" t="n">
        <x:v>7</x:v>
      </x:c>
      <x:c r="C3226" s="19" t="n">
        <x:v>1</x:v>
      </x:c>
      <x:c r="D3226" s="19" t="str">
        <x:v>C07-M008</x:v>
      </x:c>
      <x:c r="E3226" s="19" t="str">
        <x:v>霜风号角骑</x:v>
      </x:c>
      <x:c r="F3226" s="19" t="str">
        <x:v>稀有</x:v>
      </x:c>
      <x:c r="G3226" s="19" t="str">
        <x:v>材料独立候选</x:v>
      </x:c>
      <x:c r="H3226" s="19" t="str">
        <x:v>小卢恩</x:v>
      </x:c>
      <x:c r="I3226" s="22" t="n">
        <x:v>8000</x:v>
      </x:c>
      <x:c r="J3226" s="22" t="n">
        <x:v>1</x:v>
      </x:c>
      <x:c r="K3226" s="19" t="n">
        <x:v>1</x:v>
      </x:c>
      <x:c r="L3226" s="24" t="n">
        <x:v>39.412</x:v>
      </x:c>
      <x:c r="M3226" s="26" t="n">
        <x:v>0.1</x:v>
      </x:c>
      <x:c r="N3226" s="24" t="n">
        <x:v>12</x:v>
      </x:c>
      <x:c r="O3226" s="28" t="n">
        <x:f>MIN(1,L3226/I3226)</x:f>
        <x:v>0.0049264999999999995</x:v>
      </x:c>
      <x:c r="P3226" s="30" t="n">
        <x:f>O3226*J3226*(1+M3226)</x:f>
        <x:v>0.00541915</x:v>
      </x:c>
      <x:c r="Q3226" s="30" t="n">
        <x:f>P3226*N3226</x:f>
        <x:v>0.0650298</x:v>
      </x:c>
      <x:c r="R3226" s="19" t="str">
        <x:v>独立判定</x:v>
      </x:c>
    </x:row>
    <x:row r="3227" ht="19" customHeight="1">
      <x:c r="A3227" s="19" t="str">
        <x:v>D03223</x:v>
      </x:c>
      <x:c r="B3227" s="19" t="n">
        <x:v>7</x:v>
      </x:c>
      <x:c r="C3227" s="19" t="n">
        <x:v>1</x:v>
      </x:c>
      <x:c r="D3227" s="19" t="str">
        <x:v>C07-M008</x:v>
      </x:c>
      <x:c r="E3227" s="19" t="str">
        <x:v>霜风号角骑</x:v>
      </x:c>
      <x:c r="F3227" s="19" t="str">
        <x:v>稀有</x:v>
      </x:c>
      <x:c r="G3227" s="19" t="str">
        <x:v>六神器公共池</x:v>
      </x:c>
      <x:c r="H3227" s="19" t="str">
        <x:v>POOL006</x:v>
      </x:c>
      <x:c r="I3227" s="22" t="n">
        <x:v>5000000</x:v>
      </x:c>
      <x:c r="J3227" s="22" t="n">
        <x:v>1</x:v>
      </x:c>
      <x:c r="K3227" s="19" t="n">
        <x:v>6</x:v>
      </x:c>
      <x:c r="L3227" s="24" t="n">
        <x:v>39.412</x:v>
      </x:c>
      <x:c r="M3227" s="26" t="n">
        <x:v>0.1</x:v>
      </x:c>
      <x:c r="N3227" s="24" t="n">
        <x:v>12</x:v>
      </x:c>
      <x:c r="O3227" s="28" t="n">
        <x:f>MIN(1,L3227/I3227)</x:f>
        <x:v>0.0000078824</x:v>
      </x:c>
      <x:c r="P3227" s="30" t="n">
        <x:f>O3227*J3227*(1+M3227)</x:f>
        <x:v>0.00000867064</x:v>
      </x:c>
      <x:c r="Q3227" s="30" t="n">
        <x:f>P3227*N3227</x:f>
        <x:v>0.00010404768000000001</x:v>
      </x:c>
      <x:c r="R3227" s="19" t="str">
        <x:v>六选一；非6个独立爆率</x:v>
      </x:c>
    </x:row>
    <x:row r="3228" ht="19" customHeight="1">
      <x:c r="A3228" s="19" t="str">
        <x:v>D03224</x:v>
      </x:c>
      <x:c r="B3228" s="19" t="n">
        <x:v>7</x:v>
      </x:c>
      <x:c r="C3228" s="19" t="n">
        <x:v>1</x:v>
      </x:c>
      <x:c r="D3228" s="19" t="str">
        <x:v>C07-M009</x:v>
      </x:c>
      <x:c r="E3228" s="19" t="str">
        <x:v>冻土晶背熊</x:v>
      </x:c>
      <x:c r="F3228" s="19" t="str">
        <x:v>稀有</x:v>
      </x:c>
      <x:c r="G3228" s="19" t="str">
        <x:v>自身专属</x:v>
      </x:c>
      <x:c r="H3228" s="19" t="str">
        <x:v>晶背塔盾</x:v>
      </x:c>
      <x:c r="I3228" s="22" t="n">
        <x:v>800</x:v>
      </x:c>
      <x:c r="J3228" s="22" t="n">
        <x:v>1</x:v>
      </x:c>
      <x:c r="K3228" s="19" t="n">
        <x:v>1</x:v>
      </x:c>
      <x:c r="L3228" s="24" t="n">
        <x:v>39.412</x:v>
      </x:c>
      <x:c r="M3228" s="26" t="n">
        <x:v>0.1</x:v>
      </x:c>
      <x:c r="N3228" s="24" t="n">
        <x:v>12</x:v>
      </x:c>
      <x:c r="O3228" s="28" t="n">
        <x:f>MIN(1,L3228/I3228)</x:f>
        <x:v>0.049264999999999996</x:v>
      </x:c>
      <x:c r="P3228" s="30" t="n">
        <x:f>O3228*J3228*(1+M3228)</x:f>
        <x:v>0.054191500000000004</x:v>
      </x:c>
      <x:c r="Q3228" s="30" t="n">
        <x:f>P3228*N3228</x:f>
        <x:v>0.650298</x:v>
      </x:c>
      <x:c r="R3228" s="19" t="str">
        <x:v>独立判定</x:v>
      </x:c>
    </x:row>
    <x:row r="3229" ht="19" customHeight="1">
      <x:c r="A3229" s="19" t="str">
        <x:v>D03225</x:v>
      </x:c>
      <x:c r="B3229" s="19" t="n">
        <x:v>7</x:v>
      </x:c>
      <x:c r="C3229" s="19" t="n">
        <x:v>1</x:v>
      </x:c>
      <x:c r="D3229" s="19" t="str">
        <x:v>C07-M009</x:v>
      </x:c>
      <x:c r="E3229" s="19" t="str">
        <x:v>冻土晶背熊</x:v>
      </x:c>
      <x:c r="F3229" s="19" t="str">
        <x:v>稀有</x:v>
      </x:c>
      <x:c r="G3229" s="19" t="str">
        <x:v>材料独立候选</x:v>
      </x:c>
      <x:c r="H3229" s="19" t="str">
        <x:v>冻晶尘</x:v>
      </x:c>
      <x:c r="I3229" s="22" t="n">
        <x:v>600</x:v>
      </x:c>
      <x:c r="J3229" s="22" t="n">
        <x:v>15</x:v>
      </x:c>
      <x:c r="K3229" s="19" t="n">
        <x:v>1</x:v>
      </x:c>
      <x:c r="L3229" s="24" t="n">
        <x:v>39.412</x:v>
      </x:c>
      <x:c r="M3229" s="26" t="n">
        <x:v>0.1</x:v>
      </x:c>
      <x:c r="N3229" s="24" t="n">
        <x:v>12</x:v>
      </x:c>
      <x:c r="O3229" s="28" t="n">
        <x:f>MIN(1,L3229/I3229)</x:f>
        <x:v>0.06568666666666667</x:v>
      </x:c>
      <x:c r="P3229" s="30" t="n">
        <x:f>O3229*J3229*(1+M3229)</x:f>
        <x:v>1.08383</x:v>
      </x:c>
      <x:c r="Q3229" s="30" t="n">
        <x:f>P3229*N3229</x:f>
        <x:v>13.005960000000002</x:v>
      </x:c>
      <x:c r="R3229" s="19" t="str">
        <x:v>独立判定</x:v>
      </x:c>
    </x:row>
    <x:row r="3230" ht="19" customHeight="1">
      <x:c r="A3230" s="19" t="str">
        <x:v>D03226</x:v>
      </x:c>
      <x:c r="B3230" s="19" t="n">
        <x:v>7</x:v>
      </x:c>
      <x:c r="C3230" s="19" t="n">
        <x:v>1</x:v>
      </x:c>
      <x:c r="D3230" s="19" t="str">
        <x:v>C07-M009</x:v>
      </x:c>
      <x:c r="E3230" s="19" t="str">
        <x:v>冻土晶背熊</x:v>
      </x:c>
      <x:c r="F3230" s="19" t="str">
        <x:v>稀有</x:v>
      </x:c>
      <x:c r="G3230" s="19" t="str">
        <x:v>材料独立候选</x:v>
      </x:c>
      <x:c r="H3230" s="19" t="str">
        <x:v>白金纺线</x:v>
      </x:c>
      <x:c r="I3230" s="22" t="n">
        <x:v>800</x:v>
      </x:c>
      <x:c r="J3230" s="22" t="n">
        <x:v>1</x:v>
      </x:c>
      <x:c r="K3230" s="19" t="n">
        <x:v>1</x:v>
      </x:c>
      <x:c r="L3230" s="24" t="n">
        <x:v>39.412</x:v>
      </x:c>
      <x:c r="M3230" s="26" t="n">
        <x:v>0.1</x:v>
      </x:c>
      <x:c r="N3230" s="24" t="n">
        <x:v>12</x:v>
      </x:c>
      <x:c r="O3230" s="28" t="n">
        <x:f>MIN(1,L3230/I3230)</x:f>
        <x:v>0.049264999999999996</x:v>
      </x:c>
      <x:c r="P3230" s="30" t="n">
        <x:f>O3230*J3230*(1+M3230)</x:f>
        <x:v>0.054191500000000004</x:v>
      </x:c>
      <x:c r="Q3230" s="30" t="n">
        <x:f>P3230*N3230</x:f>
        <x:v>0.650298</x:v>
      </x:c>
      <x:c r="R3230" s="19" t="str">
        <x:v>独立判定</x:v>
      </x:c>
    </x:row>
    <x:row r="3231" ht="19" customHeight="1">
      <x:c r="A3231" s="19" t="str">
        <x:v>D03227</x:v>
      </x:c>
      <x:c r="B3231" s="19" t="n">
        <x:v>7</x:v>
      </x:c>
      <x:c r="C3231" s="19" t="n">
        <x:v>1</x:v>
      </x:c>
      <x:c r="D3231" s="19" t="str">
        <x:v>C07-M009</x:v>
      </x:c>
      <x:c r="E3231" s="19" t="str">
        <x:v>冻土晶背熊</x:v>
      </x:c>
      <x:c r="F3231" s="19" t="str">
        <x:v>稀有</x:v>
      </x:c>
      <x:c r="G3231" s="19" t="str">
        <x:v>材料独立候选</x:v>
      </x:c>
      <x:c r="H3231" s="19" t="str">
        <x:v>冻原银角</x:v>
      </x:c>
      <x:c r="I3231" s="22" t="n">
        <x:v>1500</x:v>
      </x:c>
      <x:c r="J3231" s="22" t="n">
        <x:v>1</x:v>
      </x:c>
      <x:c r="K3231" s="19" t="n">
        <x:v>1</x:v>
      </x:c>
      <x:c r="L3231" s="24" t="n">
        <x:v>39.412</x:v>
      </x:c>
      <x:c r="M3231" s="26" t="n">
        <x:v>0.1</x:v>
      </x:c>
      <x:c r="N3231" s="24" t="n">
        <x:v>12</x:v>
      </x:c>
      <x:c r="O3231" s="28" t="n">
        <x:f>MIN(1,L3231/I3231)</x:f>
        <x:v>0.026274666666666665</x:v>
      </x:c>
      <x:c r="P3231" s="30" t="n">
        <x:f>O3231*J3231*(1+M3231)</x:f>
        <x:v>0.028902133333333333</x:v>
      </x:c>
      <x:c r="Q3231" s="30" t="n">
        <x:f>P3231*N3231</x:f>
        <x:v>0.3468256</x:v>
      </x:c>
      <x:c r="R3231" s="19" t="str">
        <x:v>独立判定</x:v>
      </x:c>
    </x:row>
    <x:row r="3232" ht="19" customHeight="1">
      <x:c r="A3232" s="19" t="str">
        <x:v>D03228</x:v>
      </x:c>
      <x:c r="B3232" s="19" t="n">
        <x:v>7</x:v>
      </x:c>
      <x:c r="C3232" s="19" t="n">
        <x:v>1</x:v>
      </x:c>
      <x:c r="D3232" s="19" t="str">
        <x:v>C07-M009</x:v>
      </x:c>
      <x:c r="E3232" s="19" t="str">
        <x:v>冻土晶背熊</x:v>
      </x:c>
      <x:c r="F3232" s="19" t="str">
        <x:v>稀有</x:v>
      </x:c>
      <x:c r="G3232" s="19" t="str">
        <x:v>材料独立候选</x:v>
      </x:c>
      <x:c r="H3232" s="19" t="str">
        <x:v>永霜朝圣痕</x:v>
      </x:c>
      <x:c r="I3232" s="22" t="n">
        <x:v>1200000</x:v>
      </x:c>
      <x:c r="J3232" s="22" t="n">
        <x:v>1</x:v>
      </x:c>
      <x:c r="K3232" s="19" t="n">
        <x:v>1</x:v>
      </x:c>
      <x:c r="L3232" s="24" t="n">
        <x:v>39.412</x:v>
      </x:c>
      <x:c r="M3232" s="26" t="n">
        <x:v>0.1</x:v>
      </x:c>
      <x:c r="N3232" s="24" t="n">
        <x:v>12</x:v>
      </x:c>
      <x:c r="O3232" s="28" t="n">
        <x:f>MIN(1,L3232/I3232)</x:f>
        <x:v>0.00003284333333333333</x:v>
      </x:c>
      <x:c r="P3232" s="30" t="n">
        <x:f>O3232*J3232*(1+M3232)</x:f>
        <x:v>0.00003612766666666667</x:v>
      </x:c>
      <x:c r="Q3232" s="30" t="n">
        <x:f>P3232*N3232</x:f>
        <x:v>0.00043353200000000004</x:v>
      </x:c>
      <x:c r="R3232" s="19" t="str">
        <x:v>独立判定</x:v>
      </x:c>
    </x:row>
    <x:row r="3233" ht="19" customHeight="1">
      <x:c r="A3233" s="19" t="str">
        <x:v>D03229</x:v>
      </x:c>
      <x:c r="B3233" s="19" t="n">
        <x:v>7</x:v>
      </x:c>
      <x:c r="C3233" s="19" t="n">
        <x:v>1</x:v>
      </x:c>
      <x:c r="D3233" s="19" t="str">
        <x:v>C07-M009</x:v>
      </x:c>
      <x:c r="E3233" s="19" t="str">
        <x:v>冻土晶背熊</x:v>
      </x:c>
      <x:c r="F3233" s="19" t="str">
        <x:v>稀有</x:v>
      </x:c>
      <x:c r="G3233" s="19" t="str">
        <x:v>材料独立候选</x:v>
      </x:c>
      <x:c r="H3233" s="19" t="str">
        <x:v>黄金树芽</x:v>
      </x:c>
      <x:c r="I3233" s="22" t="n">
        <x:v>6000</x:v>
      </x:c>
      <x:c r="J3233" s="22" t="n">
        <x:v>1</x:v>
      </x:c>
      <x:c r="K3233" s="19" t="n">
        <x:v>1</x:v>
      </x:c>
      <x:c r="L3233" s="24" t="n">
        <x:v>39.412</x:v>
      </x:c>
      <x:c r="M3233" s="26" t="n">
        <x:v>0.1</x:v>
      </x:c>
      <x:c r="N3233" s="24" t="n">
        <x:v>12</x:v>
      </x:c>
      <x:c r="O3233" s="28" t="n">
        <x:f>MIN(1,L3233/I3233)</x:f>
        <x:v>0.006568666666666666</x:v>
      </x:c>
      <x:c r="P3233" s="30" t="n">
        <x:f>O3233*J3233*(1+M3233)</x:f>
        <x:v>0.007225533333333333</x:v>
      </x:c>
      <x:c r="Q3233" s="30" t="n">
        <x:f>P3233*N3233</x:f>
        <x:v>0.0867064</x:v>
      </x:c>
      <x:c r="R3233" s="19" t="str">
        <x:v>独立判定</x:v>
      </x:c>
    </x:row>
    <x:row r="3234" ht="19" customHeight="1">
      <x:c r="A3234" s="19" t="str">
        <x:v>D03230</x:v>
      </x:c>
      <x:c r="B3234" s="19" t="n">
        <x:v>7</x:v>
      </x:c>
      <x:c r="C3234" s="19" t="n">
        <x:v>1</x:v>
      </x:c>
      <x:c r="D3234" s="19" t="str">
        <x:v>C07-M009</x:v>
      </x:c>
      <x:c r="E3234" s="19" t="str">
        <x:v>冻土晶背熊</x:v>
      </x:c>
      <x:c r="F3234" s="19" t="str">
        <x:v>稀有</x:v>
      </x:c>
      <x:c r="G3234" s="19" t="str">
        <x:v>材料独立候选</x:v>
      </x:c>
      <x:c r="H3234" s="19" t="str">
        <x:v>野兽骨片</x:v>
      </x:c>
      <x:c r="I3234" s="22" t="n">
        <x:v>120</x:v>
      </x:c>
      <x:c r="J3234" s="22" t="n">
        <x:v>5</x:v>
      </x:c>
      <x:c r="K3234" s="19" t="n">
        <x:v>1</x:v>
      </x:c>
      <x:c r="L3234" s="24" t="n">
        <x:v>39.412</x:v>
      </x:c>
      <x:c r="M3234" s="26" t="n">
        <x:v>0.1</x:v>
      </x:c>
      <x:c r="N3234" s="24" t="n">
        <x:v>12</x:v>
      </x:c>
      <x:c r="O3234" s="28" t="n">
        <x:f>MIN(1,L3234/I3234)</x:f>
        <x:v>0.3284333333333333</x:v>
      </x:c>
      <x:c r="P3234" s="30" t="n">
        <x:f>O3234*J3234*(1+M3234)</x:f>
        <x:v>1.8063833333333335</x:v>
      </x:c>
      <x:c r="Q3234" s="30" t="n">
        <x:f>P3234*N3234</x:f>
        <x:v>21.6766</x:v>
      </x:c>
      <x:c r="R3234" s="19" t="str">
        <x:v>独立判定</x:v>
      </x:c>
    </x:row>
    <x:row r="3235" ht="19" customHeight="1">
      <x:c r="A3235" s="19" t="str">
        <x:v>D03231</x:v>
      </x:c>
      <x:c r="B3235" s="19" t="n">
        <x:v>7</x:v>
      </x:c>
      <x:c r="C3235" s="19" t="n">
        <x:v>1</x:v>
      </x:c>
      <x:c r="D3235" s="19" t="str">
        <x:v>C07-M009</x:v>
      </x:c>
      <x:c r="E3235" s="19" t="str">
        <x:v>冻土晶背熊</x:v>
      </x:c>
      <x:c r="F3235" s="19" t="str">
        <x:v>稀有</x:v>
      </x:c>
      <x:c r="G3235" s="19" t="str">
        <x:v>材料独立候选</x:v>
      </x:c>
      <x:c r="H3235" s="19" t="str">
        <x:v>技能残页</x:v>
      </x:c>
      <x:c r="I3235" s="22" t="n">
        <x:v>800</x:v>
      </x:c>
      <x:c r="J3235" s="22" t="n">
        <x:v>1</x:v>
      </x:c>
      <x:c r="K3235" s="19" t="n">
        <x:v>1</x:v>
      </x:c>
      <x:c r="L3235" s="24" t="n">
        <x:v>39.412</x:v>
      </x:c>
      <x:c r="M3235" s="26" t="n">
        <x:v>0.1</x:v>
      </x:c>
      <x:c r="N3235" s="24" t="n">
        <x:v>12</x:v>
      </x:c>
      <x:c r="O3235" s="28" t="n">
        <x:f>MIN(1,L3235/I3235)</x:f>
        <x:v>0.049264999999999996</x:v>
      </x:c>
      <x:c r="P3235" s="30" t="n">
        <x:f>O3235*J3235*(1+M3235)</x:f>
        <x:v>0.054191500000000004</x:v>
      </x:c>
      <x:c r="Q3235" s="30" t="n">
        <x:f>P3235*N3235</x:f>
        <x:v>0.650298</x:v>
      </x:c>
      <x:c r="R3235" s="19" t="str">
        <x:v>独立判定</x:v>
      </x:c>
    </x:row>
    <x:row r="3236" ht="19" customHeight="1">
      <x:c r="A3236" s="19" t="str">
        <x:v>D03232</x:v>
      </x:c>
      <x:c r="B3236" s="19" t="n">
        <x:v>7</x:v>
      </x:c>
      <x:c r="C3236" s="19" t="n">
        <x:v>1</x:v>
      </x:c>
      <x:c r="D3236" s="19" t="str">
        <x:v>C07-M009</x:v>
      </x:c>
      <x:c r="E3236" s="19" t="str">
        <x:v>冻土晶背熊</x:v>
      </x:c>
      <x:c r="F3236" s="19" t="str">
        <x:v>稀有</x:v>
      </x:c>
      <x:c r="G3236" s="19" t="str">
        <x:v>材料独立候选</x:v>
      </x:c>
      <x:c r="H3236" s="19" t="str">
        <x:v>小卢恩</x:v>
      </x:c>
      <x:c r="I3236" s="22" t="n">
        <x:v>8000</x:v>
      </x:c>
      <x:c r="J3236" s="22" t="n">
        <x:v>1</x:v>
      </x:c>
      <x:c r="K3236" s="19" t="n">
        <x:v>1</x:v>
      </x:c>
      <x:c r="L3236" s="24" t="n">
        <x:v>39.412</x:v>
      </x:c>
      <x:c r="M3236" s="26" t="n">
        <x:v>0.1</x:v>
      </x:c>
      <x:c r="N3236" s="24" t="n">
        <x:v>12</x:v>
      </x:c>
      <x:c r="O3236" s="28" t="n">
        <x:f>MIN(1,L3236/I3236)</x:f>
        <x:v>0.0049264999999999995</x:v>
      </x:c>
      <x:c r="P3236" s="30" t="n">
        <x:f>O3236*J3236*(1+M3236)</x:f>
        <x:v>0.00541915</x:v>
      </x:c>
      <x:c r="Q3236" s="30" t="n">
        <x:f>P3236*N3236</x:f>
        <x:v>0.0650298</x:v>
      </x:c>
      <x:c r="R3236" s="19" t="str">
        <x:v>独立判定</x:v>
      </x:c>
    </x:row>
    <x:row r="3237" ht="19" customHeight="1">
      <x:c r="A3237" s="19" t="str">
        <x:v>D03233</x:v>
      </x:c>
      <x:c r="B3237" s="19" t="n">
        <x:v>7</x:v>
      </x:c>
      <x:c r="C3237" s="19" t="n">
        <x:v>1</x:v>
      </x:c>
      <x:c r="D3237" s="19" t="str">
        <x:v>C07-M009</x:v>
      </x:c>
      <x:c r="E3237" s="19" t="str">
        <x:v>冻土晶背熊</x:v>
      </x:c>
      <x:c r="F3237" s="19" t="str">
        <x:v>稀有</x:v>
      </x:c>
      <x:c r="G3237" s="19" t="str">
        <x:v>六神器公共池</x:v>
      </x:c>
      <x:c r="H3237" s="19" t="str">
        <x:v>POOL006</x:v>
      </x:c>
      <x:c r="I3237" s="22" t="n">
        <x:v>5000000</x:v>
      </x:c>
      <x:c r="J3237" s="22" t="n">
        <x:v>1</x:v>
      </x:c>
      <x:c r="K3237" s="19" t="n">
        <x:v>6</x:v>
      </x:c>
      <x:c r="L3237" s="24" t="n">
        <x:v>39.412</x:v>
      </x:c>
      <x:c r="M3237" s="26" t="n">
        <x:v>0.1</x:v>
      </x:c>
      <x:c r="N3237" s="24" t="n">
        <x:v>12</x:v>
      </x:c>
      <x:c r="O3237" s="28" t="n">
        <x:f>MIN(1,L3237/I3237)</x:f>
        <x:v>0.0000078824</x:v>
      </x:c>
      <x:c r="P3237" s="30" t="n">
        <x:f>O3237*J3237*(1+M3237)</x:f>
        <x:v>0.00000867064</x:v>
      </x:c>
      <x:c r="Q3237" s="30" t="n">
        <x:f>P3237*N3237</x:f>
        <x:v>0.00010404768000000001</x:v>
      </x:c>
      <x:c r="R3237" s="19" t="str">
        <x:v>六选一；非6个独立爆率</x:v>
      </x:c>
    </x:row>
    <x:row r="3238" ht="19" customHeight="1">
      <x:c r="A3238" s="19" t="str">
        <x:v>D03234</x:v>
      </x:c>
      <x:c r="B3238" s="19" t="n">
        <x:v>7</x:v>
      </x:c>
      <x:c r="C3238" s="19" t="n">
        <x:v>1</x:v>
      </x:c>
      <x:c r="D3238" s="19" t="str">
        <x:v>C07-M010</x:v>
      </x:c>
      <x:c r="E3238" s="19" t="str">
        <x:v>苍白祭司</x:v>
      </x:c>
      <x:c r="F3238" s="19" t="str">
        <x:v>稀有</x:v>
      </x:c>
      <x:c r="G3238" s="19" t="str">
        <x:v>自身专属</x:v>
      </x:c>
      <x:c r="H3238" s="19" t="str">
        <x:v>苍白圣徽</x:v>
      </x:c>
      <x:c r="I3238" s="22" t="n">
        <x:v>800</x:v>
      </x:c>
      <x:c r="J3238" s="22" t="n">
        <x:v>1</x:v>
      </x:c>
      <x:c r="K3238" s="19" t="n">
        <x:v>1</x:v>
      </x:c>
      <x:c r="L3238" s="24" t="n">
        <x:v>39.412</x:v>
      </x:c>
      <x:c r="M3238" s="26" t="n">
        <x:v>0.1</x:v>
      </x:c>
      <x:c r="N3238" s="24" t="n">
        <x:v>12</x:v>
      </x:c>
      <x:c r="O3238" s="28" t="n">
        <x:f>MIN(1,L3238/I3238)</x:f>
        <x:v>0.049264999999999996</x:v>
      </x:c>
      <x:c r="P3238" s="30" t="n">
        <x:f>O3238*J3238*(1+M3238)</x:f>
        <x:v>0.054191500000000004</x:v>
      </x:c>
      <x:c r="Q3238" s="30" t="n">
        <x:f>P3238*N3238</x:f>
        <x:v>0.650298</x:v>
      </x:c>
      <x:c r="R3238" s="19" t="str">
        <x:v>独立判定</x:v>
      </x:c>
    </x:row>
    <x:row r="3239" ht="19" customHeight="1">
      <x:c r="A3239" s="19" t="str">
        <x:v>D03235</x:v>
      </x:c>
      <x:c r="B3239" s="19" t="n">
        <x:v>7</x:v>
      </x:c>
      <x:c r="C3239" s="19" t="n">
        <x:v>1</x:v>
      </x:c>
      <x:c r="D3239" s="19" t="str">
        <x:v>C07-M010</x:v>
      </x:c>
      <x:c r="E3239" s="19" t="str">
        <x:v>苍白祭司</x:v>
      </x:c>
      <x:c r="F3239" s="19" t="str">
        <x:v>稀有</x:v>
      </x:c>
      <x:c r="G3239" s="19" t="str">
        <x:v>材料独立候选</x:v>
      </x:c>
      <x:c r="H3239" s="19" t="str">
        <x:v>冻晶尘</x:v>
      </x:c>
      <x:c r="I3239" s="22" t="n">
        <x:v>600</x:v>
      </x:c>
      <x:c r="J3239" s="22" t="n">
        <x:v>15</x:v>
      </x:c>
      <x:c r="K3239" s="19" t="n">
        <x:v>1</x:v>
      </x:c>
      <x:c r="L3239" s="24" t="n">
        <x:v>39.412</x:v>
      </x:c>
      <x:c r="M3239" s="26" t="n">
        <x:v>0.1</x:v>
      </x:c>
      <x:c r="N3239" s="24" t="n">
        <x:v>12</x:v>
      </x:c>
      <x:c r="O3239" s="28" t="n">
        <x:f>MIN(1,L3239/I3239)</x:f>
        <x:v>0.06568666666666667</x:v>
      </x:c>
      <x:c r="P3239" s="30" t="n">
        <x:f>O3239*J3239*(1+M3239)</x:f>
        <x:v>1.08383</x:v>
      </x:c>
      <x:c r="Q3239" s="30" t="n">
        <x:f>P3239*N3239</x:f>
        <x:v>13.005960000000002</x:v>
      </x:c>
      <x:c r="R3239" s="19" t="str">
        <x:v>独立判定</x:v>
      </x:c>
    </x:row>
    <x:row r="3240" ht="19" customHeight="1">
      <x:c r="A3240" s="19" t="str">
        <x:v>D03236</x:v>
      </x:c>
      <x:c r="B3240" s="19" t="n">
        <x:v>7</x:v>
      </x:c>
      <x:c r="C3240" s="19" t="n">
        <x:v>1</x:v>
      </x:c>
      <x:c r="D3240" s="19" t="str">
        <x:v>C07-M010</x:v>
      </x:c>
      <x:c r="E3240" s="19" t="str">
        <x:v>苍白祭司</x:v>
      </x:c>
      <x:c r="F3240" s="19" t="str">
        <x:v>稀有</x:v>
      </x:c>
      <x:c r="G3240" s="19" t="str">
        <x:v>材料独立候选</x:v>
      </x:c>
      <x:c r="H3240" s="19" t="str">
        <x:v>白金纺线</x:v>
      </x:c>
      <x:c r="I3240" s="22" t="n">
        <x:v>800</x:v>
      </x:c>
      <x:c r="J3240" s="22" t="n">
        <x:v>1</x:v>
      </x:c>
      <x:c r="K3240" s="19" t="n">
        <x:v>1</x:v>
      </x:c>
      <x:c r="L3240" s="24" t="n">
        <x:v>39.412</x:v>
      </x:c>
      <x:c r="M3240" s="26" t="n">
        <x:v>0.1</x:v>
      </x:c>
      <x:c r="N3240" s="24" t="n">
        <x:v>12</x:v>
      </x:c>
      <x:c r="O3240" s="28" t="n">
        <x:f>MIN(1,L3240/I3240)</x:f>
        <x:v>0.049264999999999996</x:v>
      </x:c>
      <x:c r="P3240" s="30" t="n">
        <x:f>O3240*J3240*(1+M3240)</x:f>
        <x:v>0.054191500000000004</x:v>
      </x:c>
      <x:c r="Q3240" s="30" t="n">
        <x:f>P3240*N3240</x:f>
        <x:v>0.650298</x:v>
      </x:c>
      <x:c r="R3240" s="19" t="str">
        <x:v>独立判定</x:v>
      </x:c>
    </x:row>
    <x:row r="3241" ht="19" customHeight="1">
      <x:c r="A3241" s="19" t="str">
        <x:v>D03237</x:v>
      </x:c>
      <x:c r="B3241" s="19" t="n">
        <x:v>7</x:v>
      </x:c>
      <x:c r="C3241" s="19" t="n">
        <x:v>1</x:v>
      </x:c>
      <x:c r="D3241" s="19" t="str">
        <x:v>C07-M010</x:v>
      </x:c>
      <x:c r="E3241" s="19" t="str">
        <x:v>苍白祭司</x:v>
      </x:c>
      <x:c r="F3241" s="19" t="str">
        <x:v>稀有</x:v>
      </x:c>
      <x:c r="G3241" s="19" t="str">
        <x:v>材料独立候选</x:v>
      </x:c>
      <x:c r="H3241" s="19" t="str">
        <x:v>冻原银角</x:v>
      </x:c>
      <x:c r="I3241" s="22" t="n">
        <x:v>1500</x:v>
      </x:c>
      <x:c r="J3241" s="22" t="n">
        <x:v>1</x:v>
      </x:c>
      <x:c r="K3241" s="19" t="n">
        <x:v>1</x:v>
      </x:c>
      <x:c r="L3241" s="24" t="n">
        <x:v>39.412</x:v>
      </x:c>
      <x:c r="M3241" s="26" t="n">
        <x:v>0.1</x:v>
      </x:c>
      <x:c r="N3241" s="24" t="n">
        <x:v>12</x:v>
      </x:c>
      <x:c r="O3241" s="28" t="n">
        <x:f>MIN(1,L3241/I3241)</x:f>
        <x:v>0.026274666666666665</x:v>
      </x:c>
      <x:c r="P3241" s="30" t="n">
        <x:f>O3241*J3241*(1+M3241)</x:f>
        <x:v>0.028902133333333333</x:v>
      </x:c>
      <x:c r="Q3241" s="30" t="n">
        <x:f>P3241*N3241</x:f>
        <x:v>0.3468256</x:v>
      </x:c>
      <x:c r="R3241" s="19" t="str">
        <x:v>独立判定</x:v>
      </x:c>
    </x:row>
    <x:row r="3242" ht="19" customHeight="1">
      <x:c r="A3242" s="19" t="str">
        <x:v>D03238</x:v>
      </x:c>
      <x:c r="B3242" s="19" t="n">
        <x:v>7</x:v>
      </x:c>
      <x:c r="C3242" s="19" t="n">
        <x:v>1</x:v>
      </x:c>
      <x:c r="D3242" s="19" t="str">
        <x:v>C07-M010</x:v>
      </x:c>
      <x:c r="E3242" s="19" t="str">
        <x:v>苍白祭司</x:v>
      </x:c>
      <x:c r="F3242" s="19" t="str">
        <x:v>稀有</x:v>
      </x:c>
      <x:c r="G3242" s="19" t="str">
        <x:v>材料独立候选</x:v>
      </x:c>
      <x:c r="H3242" s="19" t="str">
        <x:v>永霜朝圣痕</x:v>
      </x:c>
      <x:c r="I3242" s="22" t="n">
        <x:v>1200000</x:v>
      </x:c>
      <x:c r="J3242" s="22" t="n">
        <x:v>1</x:v>
      </x:c>
      <x:c r="K3242" s="19" t="n">
        <x:v>1</x:v>
      </x:c>
      <x:c r="L3242" s="24" t="n">
        <x:v>39.412</x:v>
      </x:c>
      <x:c r="M3242" s="26" t="n">
        <x:v>0.1</x:v>
      </x:c>
      <x:c r="N3242" s="24" t="n">
        <x:v>12</x:v>
      </x:c>
      <x:c r="O3242" s="28" t="n">
        <x:f>MIN(1,L3242/I3242)</x:f>
        <x:v>0.00003284333333333333</x:v>
      </x:c>
      <x:c r="P3242" s="30" t="n">
        <x:f>O3242*J3242*(1+M3242)</x:f>
        <x:v>0.00003612766666666667</x:v>
      </x:c>
      <x:c r="Q3242" s="30" t="n">
        <x:f>P3242*N3242</x:f>
        <x:v>0.00043353200000000004</x:v>
      </x:c>
      <x:c r="R3242" s="19" t="str">
        <x:v>独立判定</x:v>
      </x:c>
    </x:row>
    <x:row r="3243" ht="19" customHeight="1">
      <x:c r="A3243" s="19" t="str">
        <x:v>D03239</x:v>
      </x:c>
      <x:c r="B3243" s="19" t="n">
        <x:v>7</x:v>
      </x:c>
      <x:c r="C3243" s="19" t="n">
        <x:v>1</x:v>
      </x:c>
      <x:c r="D3243" s="19" t="str">
        <x:v>C07-M010</x:v>
      </x:c>
      <x:c r="E3243" s="19" t="str">
        <x:v>苍白祭司</x:v>
      </x:c>
      <x:c r="F3243" s="19" t="str">
        <x:v>稀有</x:v>
      </x:c>
      <x:c r="G3243" s="19" t="str">
        <x:v>材料独立候选</x:v>
      </x:c>
      <x:c r="H3243" s="19" t="str">
        <x:v>黄金树芽</x:v>
      </x:c>
      <x:c r="I3243" s="22" t="n">
        <x:v>6000</x:v>
      </x:c>
      <x:c r="J3243" s="22" t="n">
        <x:v>1</x:v>
      </x:c>
      <x:c r="K3243" s="19" t="n">
        <x:v>1</x:v>
      </x:c>
      <x:c r="L3243" s="24" t="n">
        <x:v>39.412</x:v>
      </x:c>
      <x:c r="M3243" s="26" t="n">
        <x:v>0.1</x:v>
      </x:c>
      <x:c r="N3243" s="24" t="n">
        <x:v>12</x:v>
      </x:c>
      <x:c r="O3243" s="28" t="n">
        <x:f>MIN(1,L3243/I3243)</x:f>
        <x:v>0.006568666666666666</x:v>
      </x:c>
      <x:c r="P3243" s="30" t="n">
        <x:f>O3243*J3243*(1+M3243)</x:f>
        <x:v>0.007225533333333333</x:v>
      </x:c>
      <x:c r="Q3243" s="30" t="n">
        <x:f>P3243*N3243</x:f>
        <x:v>0.0867064</x:v>
      </x:c>
      <x:c r="R3243" s="19" t="str">
        <x:v>独立判定</x:v>
      </x:c>
    </x:row>
    <x:row r="3244" ht="19" customHeight="1">
      <x:c r="A3244" s="19" t="str">
        <x:v>D03240</x:v>
      </x:c>
      <x:c r="B3244" s="19" t="n">
        <x:v>7</x:v>
      </x:c>
      <x:c r="C3244" s="19" t="n">
        <x:v>1</x:v>
      </x:c>
      <x:c r="D3244" s="19" t="str">
        <x:v>C07-M010</x:v>
      </x:c>
      <x:c r="E3244" s="19" t="str">
        <x:v>苍白祭司</x:v>
      </x:c>
      <x:c r="F3244" s="19" t="str">
        <x:v>稀有</x:v>
      </x:c>
      <x:c r="G3244" s="19" t="str">
        <x:v>材料独立候选</x:v>
      </x:c>
      <x:c r="H3244" s="19" t="str">
        <x:v>野兽骨片</x:v>
      </x:c>
      <x:c r="I3244" s="22" t="n">
        <x:v>120</x:v>
      </x:c>
      <x:c r="J3244" s="22" t="n">
        <x:v>5</x:v>
      </x:c>
      <x:c r="K3244" s="19" t="n">
        <x:v>1</x:v>
      </x:c>
      <x:c r="L3244" s="24" t="n">
        <x:v>39.412</x:v>
      </x:c>
      <x:c r="M3244" s="26" t="n">
        <x:v>0.1</x:v>
      </x:c>
      <x:c r="N3244" s="24" t="n">
        <x:v>12</x:v>
      </x:c>
      <x:c r="O3244" s="28" t="n">
        <x:f>MIN(1,L3244/I3244)</x:f>
        <x:v>0.3284333333333333</x:v>
      </x:c>
      <x:c r="P3244" s="30" t="n">
        <x:f>O3244*J3244*(1+M3244)</x:f>
        <x:v>1.8063833333333335</x:v>
      </x:c>
      <x:c r="Q3244" s="30" t="n">
        <x:f>P3244*N3244</x:f>
        <x:v>21.6766</x:v>
      </x:c>
      <x:c r="R3244" s="19" t="str">
        <x:v>独立判定</x:v>
      </x:c>
    </x:row>
    <x:row r="3245" ht="19" customHeight="1">
      <x:c r="A3245" s="19" t="str">
        <x:v>D03241</x:v>
      </x:c>
      <x:c r="B3245" s="19" t="n">
        <x:v>7</x:v>
      </x:c>
      <x:c r="C3245" s="19" t="n">
        <x:v>1</x:v>
      </x:c>
      <x:c r="D3245" s="19" t="str">
        <x:v>C07-M010</x:v>
      </x:c>
      <x:c r="E3245" s="19" t="str">
        <x:v>苍白祭司</x:v>
      </x:c>
      <x:c r="F3245" s="19" t="str">
        <x:v>稀有</x:v>
      </x:c>
      <x:c r="G3245" s="19" t="str">
        <x:v>材料独立候选</x:v>
      </x:c>
      <x:c r="H3245" s="19" t="str">
        <x:v>技能残页</x:v>
      </x:c>
      <x:c r="I3245" s="22" t="n">
        <x:v>800</x:v>
      </x:c>
      <x:c r="J3245" s="22" t="n">
        <x:v>1</x:v>
      </x:c>
      <x:c r="K3245" s="19" t="n">
        <x:v>1</x:v>
      </x:c>
      <x:c r="L3245" s="24" t="n">
        <x:v>39.412</x:v>
      </x:c>
      <x:c r="M3245" s="26" t="n">
        <x:v>0.1</x:v>
      </x:c>
      <x:c r="N3245" s="24" t="n">
        <x:v>12</x:v>
      </x:c>
      <x:c r="O3245" s="28" t="n">
        <x:f>MIN(1,L3245/I3245)</x:f>
        <x:v>0.049264999999999996</x:v>
      </x:c>
      <x:c r="P3245" s="30" t="n">
        <x:f>O3245*J3245*(1+M3245)</x:f>
        <x:v>0.054191500000000004</x:v>
      </x:c>
      <x:c r="Q3245" s="30" t="n">
        <x:f>P3245*N3245</x:f>
        <x:v>0.650298</x:v>
      </x:c>
      <x:c r="R3245" s="19" t="str">
        <x:v>独立判定</x:v>
      </x:c>
    </x:row>
    <x:row r="3246" ht="19" customHeight="1">
      <x:c r="A3246" s="19" t="str">
        <x:v>D03242</x:v>
      </x:c>
      <x:c r="B3246" s="19" t="n">
        <x:v>7</x:v>
      </x:c>
      <x:c r="C3246" s="19" t="n">
        <x:v>1</x:v>
      </x:c>
      <x:c r="D3246" s="19" t="str">
        <x:v>C07-M010</x:v>
      </x:c>
      <x:c r="E3246" s="19" t="str">
        <x:v>苍白祭司</x:v>
      </x:c>
      <x:c r="F3246" s="19" t="str">
        <x:v>稀有</x:v>
      </x:c>
      <x:c r="G3246" s="19" t="str">
        <x:v>材料独立候选</x:v>
      </x:c>
      <x:c r="H3246" s="19" t="str">
        <x:v>小卢恩</x:v>
      </x:c>
      <x:c r="I3246" s="22" t="n">
        <x:v>8000</x:v>
      </x:c>
      <x:c r="J3246" s="22" t="n">
        <x:v>1</x:v>
      </x:c>
      <x:c r="K3246" s="19" t="n">
        <x:v>1</x:v>
      </x:c>
      <x:c r="L3246" s="24" t="n">
        <x:v>39.412</x:v>
      </x:c>
      <x:c r="M3246" s="26" t="n">
        <x:v>0.1</x:v>
      </x:c>
      <x:c r="N3246" s="24" t="n">
        <x:v>12</x:v>
      </x:c>
      <x:c r="O3246" s="28" t="n">
        <x:f>MIN(1,L3246/I3246)</x:f>
        <x:v>0.0049264999999999995</x:v>
      </x:c>
      <x:c r="P3246" s="30" t="n">
        <x:f>O3246*J3246*(1+M3246)</x:f>
        <x:v>0.00541915</x:v>
      </x:c>
      <x:c r="Q3246" s="30" t="n">
        <x:f>P3246*N3246</x:f>
        <x:v>0.0650298</x:v>
      </x:c>
      <x:c r="R3246" s="19" t="str">
        <x:v>独立判定</x:v>
      </x:c>
    </x:row>
    <x:row r="3247" ht="19" customHeight="1">
      <x:c r="A3247" s="19" t="str">
        <x:v>D03243</x:v>
      </x:c>
      <x:c r="B3247" s="19" t="n">
        <x:v>7</x:v>
      </x:c>
      <x:c r="C3247" s="19" t="n">
        <x:v>1</x:v>
      </x:c>
      <x:c r="D3247" s="19" t="str">
        <x:v>C07-M010</x:v>
      </x:c>
      <x:c r="E3247" s="19" t="str">
        <x:v>苍白祭司</x:v>
      </x:c>
      <x:c r="F3247" s="19" t="str">
        <x:v>稀有</x:v>
      </x:c>
      <x:c r="G3247" s="19" t="str">
        <x:v>六神器公共池</x:v>
      </x:c>
      <x:c r="H3247" s="19" t="str">
        <x:v>POOL006</x:v>
      </x:c>
      <x:c r="I3247" s="22" t="n">
        <x:v>5000000</x:v>
      </x:c>
      <x:c r="J3247" s="22" t="n">
        <x:v>1</x:v>
      </x:c>
      <x:c r="K3247" s="19" t="n">
        <x:v>6</x:v>
      </x:c>
      <x:c r="L3247" s="24" t="n">
        <x:v>39.412</x:v>
      </x:c>
      <x:c r="M3247" s="26" t="n">
        <x:v>0.1</x:v>
      </x:c>
      <x:c r="N3247" s="24" t="n">
        <x:v>12</x:v>
      </x:c>
      <x:c r="O3247" s="28" t="n">
        <x:f>MIN(1,L3247/I3247)</x:f>
        <x:v>0.0000078824</x:v>
      </x:c>
      <x:c r="P3247" s="30" t="n">
        <x:f>O3247*J3247*(1+M3247)</x:f>
        <x:v>0.00000867064</x:v>
      </x:c>
      <x:c r="Q3247" s="30" t="n">
        <x:f>P3247*N3247</x:f>
        <x:v>0.00010404768000000001</x:v>
      </x:c>
      <x:c r="R3247" s="19" t="str">
        <x:v>六选一；非6个独立爆率</x:v>
      </x:c>
    </x:row>
    <x:row r="3248" ht="19" customHeight="1">
      <x:c r="A3248" s="19" t="str">
        <x:v>D03244</x:v>
      </x:c>
      <x:c r="B3248" s="19" t="n">
        <x:v>7</x:v>
      </x:c>
      <x:c r="C3248" s="19" t="n">
        <x:v>1</x:v>
      </x:c>
      <x:c r="D3248" s="19" t="str">
        <x:v>C07-M011</x:v>
      </x:c>
      <x:c r="E3248" s="19" t="str">
        <x:v>雪墓巨人·赫洛</x:v>
      </x:c>
      <x:c r="F3248" s="19" t="str">
        <x:v>地图BOSS</x:v>
      </x:c>
      <x:c r="G3248" s="19" t="str">
        <x:v>自身专属</x:v>
      </x:c>
      <x:c r="H3248" s="19" t="str">
        <x:v>赫洛冻拳</x:v>
      </x:c>
      <x:c r="I3248" s="22" t="n">
        <x:v>100</x:v>
      </x:c>
      <x:c r="J3248" s="22" t="n">
        <x:v>1</x:v>
      </x:c>
      <x:c r="K3248" s="19" t="n">
        <x:v>1</x:v>
      </x:c>
      <x:c r="L3248" s="24" t="n">
        <x:v>39.412</x:v>
      </x:c>
      <x:c r="M3248" s="26" t="n">
        <x:v>0.1</x:v>
      </x:c>
      <x:c r="N3248" s="24" t="n">
        <x:v>2</x:v>
      </x:c>
      <x:c r="O3248" s="28" t="n">
        <x:f>MIN(1,L3248/I3248)</x:f>
        <x:v>0.39411999999999997</x:v>
      </x:c>
      <x:c r="P3248" s="30" t="n">
        <x:f>O3248*J3248*(1+M3248)</x:f>
        <x:v>0.43353200000000003</x:v>
      </x:c>
      <x:c r="Q3248" s="30" t="n">
        <x:f>P3248*N3248</x:f>
        <x:v>0.8670640000000001</x:v>
      </x:c>
      <x:c r="R3248" s="19" t="str">
        <x:v>独立判定</x:v>
      </x:c>
    </x:row>
    <x:row r="3249" ht="19" customHeight="1">
      <x:c r="A3249" s="19" t="str">
        <x:v>D03245</x:v>
      </x:c>
      <x:c r="B3249" s="19" t="n">
        <x:v>7</x:v>
      </x:c>
      <x:c r="C3249" s="19" t="n">
        <x:v>1</x:v>
      </x:c>
      <x:c r="D3249" s="19" t="str">
        <x:v>C07-M011</x:v>
      </x:c>
      <x:c r="E3249" s="19" t="str">
        <x:v>雪墓巨人·赫洛</x:v>
      </x:c>
      <x:c r="F3249" s="19" t="str">
        <x:v>地图BOSS</x:v>
      </x:c>
      <x:c r="G3249" s="19" t="str">
        <x:v>本图普通兼掉候选</x:v>
      </x:c>
      <x:c r="H3249" s="19" t="str">
        <x:v>POOL054</x:v>
      </x:c>
      <x:c r="I3249" s="22" t="n">
        <x:v>100</x:v>
      </x:c>
      <x:c r="J3249" s="22" t="n">
        <x:v>1</x:v>
      </x:c>
      <x:c r="K3249" s="19" t="n">
        <x:v>1</x:v>
      </x:c>
      <x:c r="L3249" s="24" t="n">
        <x:v>39.412</x:v>
      </x:c>
      <x:c r="M3249" s="26" t="n">
        <x:v>0.1</x:v>
      </x:c>
      <x:c r="N3249" s="24" t="n">
        <x:v>2</x:v>
      </x:c>
      <x:c r="O3249" s="28" t="n">
        <x:f>MIN(1,L3249/I3249)</x:f>
        <x:v>0.39411999999999997</x:v>
      </x:c>
      <x:c r="P3249" s="30" t="n">
        <x:f>O3249*J3249*(1+M3249)</x:f>
        <x:v>0.43353200000000003</x:v>
      </x:c>
      <x:c r="Q3249" s="30" t="n">
        <x:f>P3249*N3249</x:f>
        <x:v>0.8670640000000001</x:v>
      </x:c>
      <x:c r="R3249" s="19" t="str">
        <x:v>单池选一</x:v>
      </x:c>
    </x:row>
    <x:row r="3250" ht="19" customHeight="1">
      <x:c r="A3250" s="19" t="str">
        <x:v>D03246</x:v>
      </x:c>
      <x:c r="B3250" s="19" t="n">
        <x:v>7</x:v>
      </x:c>
      <x:c r="C3250" s="19" t="n">
        <x:v>1</x:v>
      </x:c>
      <x:c r="D3250" s="19" t="str">
        <x:v>C07-M011</x:v>
      </x:c>
      <x:c r="E3250" s="19" t="str">
        <x:v>雪墓巨人·赫洛</x:v>
      </x:c>
      <x:c r="F3250" s="19" t="str">
        <x:v>地图BOSS</x:v>
      </x:c>
      <x:c r="G3250" s="19" t="str">
        <x:v>材料独立候选</x:v>
      </x:c>
      <x:c r="H3250" s="19" t="str">
        <x:v>冻晶尘</x:v>
      </x:c>
      <x:c r="I3250" s="22" t="n">
        <x:v>300</x:v>
      </x:c>
      <x:c r="J3250" s="22" t="n">
        <x:v>30</x:v>
      </x:c>
      <x:c r="K3250" s="19" t="n">
        <x:v>1</x:v>
      </x:c>
      <x:c r="L3250" s="24" t="n">
        <x:v>39.412</x:v>
      </x:c>
      <x:c r="M3250" s="26" t="n">
        <x:v>0.1</x:v>
      </x:c>
      <x:c r="N3250" s="24" t="n">
        <x:v>2</x:v>
      </x:c>
      <x:c r="O3250" s="28" t="n">
        <x:f>MIN(1,L3250/I3250)</x:f>
        <x:v>0.13137333333333334</x:v>
      </x:c>
      <x:c r="P3250" s="30" t="n">
        <x:f>O3250*J3250*(1+M3250)</x:f>
        <x:v>4.33532</x:v>
      </x:c>
      <x:c r="Q3250" s="30" t="n">
        <x:f>P3250*N3250</x:f>
        <x:v>8.67064</x:v>
      </x:c>
      <x:c r="R3250" s="19" t="str">
        <x:v>独立判定</x:v>
      </x:c>
    </x:row>
    <x:row r="3251" ht="19" customHeight="1">
      <x:c r="A3251" s="19" t="str">
        <x:v>D03247</x:v>
      </x:c>
      <x:c r="B3251" s="19" t="n">
        <x:v>7</x:v>
      </x:c>
      <x:c r="C3251" s="19" t="n">
        <x:v>1</x:v>
      </x:c>
      <x:c r="D3251" s="19" t="str">
        <x:v>C07-M011</x:v>
      </x:c>
      <x:c r="E3251" s="19" t="str">
        <x:v>雪墓巨人·赫洛</x:v>
      </x:c>
      <x:c r="F3251" s="19" t="str">
        <x:v>地图BOSS</x:v>
      </x:c>
      <x:c r="G3251" s="19" t="str">
        <x:v>材料独立候选</x:v>
      </x:c>
      <x:c r="H3251" s="19" t="str">
        <x:v>白金纺线</x:v>
      </x:c>
      <x:c r="I3251" s="22" t="n">
        <x:v>500</x:v>
      </x:c>
      <x:c r="J3251" s="22" t="n">
        <x:v>1</x:v>
      </x:c>
      <x:c r="K3251" s="19" t="n">
        <x:v>1</x:v>
      </x:c>
      <x:c r="L3251" s="24" t="n">
        <x:v>39.412</x:v>
      </x:c>
      <x:c r="M3251" s="26" t="n">
        <x:v>0.1</x:v>
      </x:c>
      <x:c r="N3251" s="24" t="n">
        <x:v>2</x:v>
      </x:c>
      <x:c r="O3251" s="28" t="n">
        <x:f>MIN(1,L3251/I3251)</x:f>
        <x:v>0.07882399999999999</x:v>
      </x:c>
      <x:c r="P3251" s="30" t="n">
        <x:f>O3251*J3251*(1+M3251)</x:f>
        <x:v>0.0867064</x:v>
      </x:c>
      <x:c r="Q3251" s="30" t="n">
        <x:f>P3251*N3251</x:f>
        <x:v>0.1734128</x:v>
      </x:c>
      <x:c r="R3251" s="19" t="str">
        <x:v>独立判定</x:v>
      </x:c>
    </x:row>
    <x:row r="3252" ht="19" customHeight="1">
      <x:c r="A3252" s="19" t="str">
        <x:v>D03248</x:v>
      </x:c>
      <x:c r="B3252" s="19" t="n">
        <x:v>7</x:v>
      </x:c>
      <x:c r="C3252" s="19" t="n">
        <x:v>1</x:v>
      </x:c>
      <x:c r="D3252" s="19" t="str">
        <x:v>C07-M011</x:v>
      </x:c>
      <x:c r="E3252" s="19" t="str">
        <x:v>雪墓巨人·赫洛</x:v>
      </x:c>
      <x:c r="F3252" s="19" t="str">
        <x:v>地图BOSS</x:v>
      </x:c>
      <x:c r="G3252" s="19" t="str">
        <x:v>材料独立候选</x:v>
      </x:c>
      <x:c r="H3252" s="19" t="str">
        <x:v>圣雪誓印</x:v>
      </x:c>
      <x:c r="I3252" s="22" t="n">
        <x:v>180</x:v>
      </x:c>
      <x:c r="J3252" s="22" t="n">
        <x:v>4</x:v>
      </x:c>
      <x:c r="K3252" s="19" t="n">
        <x:v>1</x:v>
      </x:c>
      <x:c r="L3252" s="24" t="n">
        <x:v>39.412</x:v>
      </x:c>
      <x:c r="M3252" s="26" t="n">
        <x:v>0.1</x:v>
      </x:c>
      <x:c r="N3252" s="24" t="n">
        <x:v>2</x:v>
      </x:c>
      <x:c r="O3252" s="28" t="n">
        <x:f>MIN(1,L3252/I3252)</x:f>
        <x:v>0.21895555555555554</x:v>
      </x:c>
      <x:c r="P3252" s="30" t="n">
        <x:f>O3252*J3252*(1+M3252)</x:f>
        <x:v>0.9634044444444445</x:v>
      </x:c>
      <x:c r="Q3252" s="30" t="n">
        <x:f>P3252*N3252</x:f>
        <x:v>1.926808888888889</x:v>
      </x:c>
      <x:c r="R3252" s="19" t="str">
        <x:v>独立判定</x:v>
      </x:c>
    </x:row>
    <x:row r="3253" ht="19" customHeight="1">
      <x:c r="A3253" s="19" t="str">
        <x:v>D03249</x:v>
      </x:c>
      <x:c r="B3253" s="19" t="n">
        <x:v>7</x:v>
      </x:c>
      <x:c r="C3253" s="19" t="n">
        <x:v>1</x:v>
      </x:c>
      <x:c r="D3253" s="19" t="str">
        <x:v>C07-M011</x:v>
      </x:c>
      <x:c r="E3253" s="19" t="str">
        <x:v>雪墓巨人·赫洛</x:v>
      </x:c>
      <x:c r="F3253" s="19" t="str">
        <x:v>地图BOSS</x:v>
      </x:c>
      <x:c r="G3253" s="19" t="str">
        <x:v>材料独立候选</x:v>
      </x:c>
      <x:c r="H3253" s="19" t="str">
        <x:v>秘树霜芽</x:v>
      </x:c>
      <x:c r="I3253" s="22" t="n">
        <x:v>180</x:v>
      </x:c>
      <x:c r="J3253" s="22" t="n">
        <x:v>3</x:v>
      </x:c>
      <x:c r="K3253" s="19" t="n">
        <x:v>1</x:v>
      </x:c>
      <x:c r="L3253" s="24" t="n">
        <x:v>39.412</x:v>
      </x:c>
      <x:c r="M3253" s="26" t="n">
        <x:v>0.1</x:v>
      </x:c>
      <x:c r="N3253" s="24" t="n">
        <x:v>2</x:v>
      </x:c>
      <x:c r="O3253" s="28" t="n">
        <x:f>MIN(1,L3253/I3253)</x:f>
        <x:v>0.21895555555555554</x:v>
      </x:c>
      <x:c r="P3253" s="30" t="n">
        <x:f>O3253*J3253*(1+M3253)</x:f>
        <x:v>0.7225533333333333</x:v>
      </x:c>
      <x:c r="Q3253" s="30" t="n">
        <x:f>P3253*N3253</x:f>
        <x:v>1.4451066666666665</x:v>
      </x:c>
      <x:c r="R3253" s="19" t="str">
        <x:v>独立判定</x:v>
      </x:c>
    </x:row>
    <x:row r="3254" ht="19" customHeight="1">
      <x:c r="A3254" s="19" t="str">
        <x:v>D03250</x:v>
      </x:c>
      <x:c r="B3254" s="19" t="n">
        <x:v>7</x:v>
      </x:c>
      <x:c r="C3254" s="19" t="n">
        <x:v>1</x:v>
      </x:c>
      <x:c r="D3254" s="19" t="str">
        <x:v>C07-M011</x:v>
      </x:c>
      <x:c r="E3254" s="19" t="str">
        <x:v>雪墓巨人·赫洛</x:v>
      </x:c>
      <x:c r="F3254" s="19" t="str">
        <x:v>地图BOSS</x:v>
      </x:c>
      <x:c r="G3254" s="19" t="str">
        <x:v>材料独立候选</x:v>
      </x:c>
      <x:c r="H3254" s="19" t="str">
        <x:v>永霜朝圣痕</x:v>
      </x:c>
      <x:c r="I3254" s="22" t="n">
        <x:v>600000</x:v>
      </x:c>
      <x:c r="J3254" s="22" t="n">
        <x:v>1</x:v>
      </x:c>
      <x:c r="K3254" s="19" t="n">
        <x:v>1</x:v>
      </x:c>
      <x:c r="L3254" s="24" t="n">
        <x:v>39.412</x:v>
      </x:c>
      <x:c r="M3254" s="26" t="n">
        <x:v>0.1</x:v>
      </x:c>
      <x:c r="N3254" s="24" t="n">
        <x:v>2</x:v>
      </x:c>
      <x:c r="O3254" s="28" t="n">
        <x:f>MIN(1,L3254/I3254)</x:f>
        <x:v>0.00006568666666666666</x:v>
      </x:c>
      <x:c r="P3254" s="30" t="n">
        <x:f>O3254*J3254*(1+M3254)</x:f>
        <x:v>0.00007225533333333334</x:v>
      </x:c>
      <x:c r="Q3254" s="30" t="n">
        <x:f>P3254*N3254</x:f>
        <x:v>0.00014451066666666668</x:v>
      </x:c>
      <x:c r="R3254" s="19" t="str">
        <x:v>独立判定</x:v>
      </x:c>
    </x:row>
    <x:row r="3255" ht="19" customHeight="1">
      <x:c r="A3255" s="19" t="str">
        <x:v>D03251</x:v>
      </x:c>
      <x:c r="B3255" s="19" t="n">
        <x:v>7</x:v>
      </x:c>
      <x:c r="C3255" s="19" t="n">
        <x:v>1</x:v>
      </x:c>
      <x:c r="D3255" s="19" t="str">
        <x:v>C07-M011</x:v>
      </x:c>
      <x:c r="E3255" s="19" t="str">
        <x:v>雪墓巨人·赫洛</x:v>
      </x:c>
      <x:c r="F3255" s="19" t="str">
        <x:v>地图BOSS</x:v>
      </x:c>
      <x:c r="G3255" s="19" t="str">
        <x:v>材料独立候选</x:v>
      </x:c>
      <x:c r="H3255" s="19" t="str">
        <x:v>黄金树芽</x:v>
      </x:c>
      <x:c r="I3255" s="22" t="n">
        <x:v>3000</x:v>
      </x:c>
      <x:c r="J3255" s="22" t="n">
        <x:v>1</x:v>
      </x:c>
      <x:c r="K3255" s="19" t="n">
        <x:v>1</x:v>
      </x:c>
      <x:c r="L3255" s="24" t="n">
        <x:v>39.412</x:v>
      </x:c>
      <x:c r="M3255" s="26" t="n">
        <x:v>0.1</x:v>
      </x:c>
      <x:c r="N3255" s="24" t="n">
        <x:v>2</x:v>
      </x:c>
      <x:c r="O3255" s="28" t="n">
        <x:f>MIN(1,L3255/I3255)</x:f>
        <x:v>0.013137333333333332</x:v>
      </x:c>
      <x:c r="P3255" s="30" t="n">
        <x:f>O3255*J3255*(1+M3255)</x:f>
        <x:v>0.014451066666666667</x:v>
      </x:c>
      <x:c r="Q3255" s="30" t="n">
        <x:f>P3255*N3255</x:f>
        <x:v>0.028902133333333333</x:v>
      </x:c>
      <x:c r="R3255" s="19" t="str">
        <x:v>独立判定</x:v>
      </x:c>
    </x:row>
    <x:row r="3256" ht="19" customHeight="1">
      <x:c r="A3256" s="19" t="str">
        <x:v>D03252</x:v>
      </x:c>
      <x:c r="B3256" s="19" t="n">
        <x:v>7</x:v>
      </x:c>
      <x:c r="C3256" s="19" t="n">
        <x:v>1</x:v>
      </x:c>
      <x:c r="D3256" s="19" t="str">
        <x:v>C07-M011</x:v>
      </x:c>
      <x:c r="E3256" s="19" t="str">
        <x:v>雪墓巨人·赫洛</x:v>
      </x:c>
      <x:c r="F3256" s="19" t="str">
        <x:v>地图BOSS</x:v>
      </x:c>
      <x:c r="G3256" s="19" t="str">
        <x:v>材料独立候选</x:v>
      </x:c>
      <x:c r="H3256" s="19" t="str">
        <x:v>野兽骨片</x:v>
      </x:c>
      <x:c r="I3256" s="22" t="n">
        <x:v>80</x:v>
      </x:c>
      <x:c r="J3256" s="22" t="n">
        <x:v>5</x:v>
      </x:c>
      <x:c r="K3256" s="19" t="n">
        <x:v>1</x:v>
      </x:c>
      <x:c r="L3256" s="24" t="n">
        <x:v>39.412</x:v>
      </x:c>
      <x:c r="M3256" s="26" t="n">
        <x:v>0.1</x:v>
      </x:c>
      <x:c r="N3256" s="24" t="n">
        <x:v>2</x:v>
      </x:c>
      <x:c r="O3256" s="28" t="n">
        <x:f>MIN(1,L3256/I3256)</x:f>
        <x:v>0.49265</x:v>
      </x:c>
      <x:c r="P3256" s="30" t="n">
        <x:f>O3256*J3256*(1+M3256)</x:f>
        <x:v>2.709575</x:v>
      </x:c>
      <x:c r="Q3256" s="30" t="n">
        <x:f>P3256*N3256</x:f>
        <x:v>5.41915</x:v>
      </x:c>
      <x:c r="R3256" s="19" t="str">
        <x:v>独立判定</x:v>
      </x:c>
    </x:row>
    <x:row r="3257" ht="19" customHeight="1">
      <x:c r="A3257" s="19" t="str">
        <x:v>D03253</x:v>
      </x:c>
      <x:c r="B3257" s="19" t="n">
        <x:v>7</x:v>
      </x:c>
      <x:c r="C3257" s="19" t="n">
        <x:v>1</x:v>
      </x:c>
      <x:c r="D3257" s="19" t="str">
        <x:v>C07-M011</x:v>
      </x:c>
      <x:c r="E3257" s="19" t="str">
        <x:v>雪墓巨人·赫洛</x:v>
      </x:c>
      <x:c r="F3257" s="19" t="str">
        <x:v>地图BOSS</x:v>
      </x:c>
      <x:c r="G3257" s="19" t="str">
        <x:v>材料独立候选</x:v>
      </x:c>
      <x:c r="H3257" s="19" t="str">
        <x:v>技能残页</x:v>
      </x:c>
      <x:c r="I3257" s="22" t="n">
        <x:v>400</x:v>
      </x:c>
      <x:c r="J3257" s="22" t="n">
        <x:v>1</x:v>
      </x:c>
      <x:c r="K3257" s="19" t="n">
        <x:v>1</x:v>
      </x:c>
      <x:c r="L3257" s="24" t="n">
        <x:v>39.412</x:v>
      </x:c>
      <x:c r="M3257" s="26" t="n">
        <x:v>0.1</x:v>
      </x:c>
      <x:c r="N3257" s="24" t="n">
        <x:v>2</x:v>
      </x:c>
      <x:c r="O3257" s="28" t="n">
        <x:f>MIN(1,L3257/I3257)</x:f>
        <x:v>0.09852999999999999</x:v>
      </x:c>
      <x:c r="P3257" s="30" t="n">
        <x:f>O3257*J3257*(1+M3257)</x:f>
        <x:v>0.10838300000000001</x:v>
      </x:c>
      <x:c r="Q3257" s="30" t="n">
        <x:f>P3257*N3257</x:f>
        <x:v>0.21676600000000001</x:v>
      </x:c>
      <x:c r="R3257" s="19" t="str">
        <x:v>独立判定</x:v>
      </x:c>
    </x:row>
    <x:row r="3258" ht="19" customHeight="1">
      <x:c r="A3258" s="19" t="str">
        <x:v>D03254</x:v>
      </x:c>
      <x:c r="B3258" s="19" t="n">
        <x:v>7</x:v>
      </x:c>
      <x:c r="C3258" s="19" t="n">
        <x:v>1</x:v>
      </x:c>
      <x:c r="D3258" s="19" t="str">
        <x:v>C07-M011</x:v>
      </x:c>
      <x:c r="E3258" s="19" t="str">
        <x:v>雪墓巨人·赫洛</x:v>
      </x:c>
      <x:c r="F3258" s="19" t="str">
        <x:v>地图BOSS</x:v>
      </x:c>
      <x:c r="G3258" s="19" t="str">
        <x:v>材料独立候选</x:v>
      </x:c>
      <x:c r="H3258" s="19" t="str">
        <x:v>宁姆格福誓页</x:v>
      </x:c>
      <x:c r="I3258" s="22" t="n">
        <x:v>500</x:v>
      </x:c>
      <x:c r="J3258" s="22" t="n">
        <x:v>1</x:v>
      </x:c>
      <x:c r="K3258" s="19" t="n">
        <x:v>1</x:v>
      </x:c>
      <x:c r="L3258" s="24" t="n">
        <x:v>39.412</x:v>
      </x:c>
      <x:c r="M3258" s="26" t="n">
        <x:v>0.1</x:v>
      </x:c>
      <x:c r="N3258" s="24" t="n">
        <x:v>2</x:v>
      </x:c>
      <x:c r="O3258" s="28" t="n">
        <x:f>MIN(1,L3258/I3258)</x:f>
        <x:v>0.07882399999999999</x:v>
      </x:c>
      <x:c r="P3258" s="30" t="n">
        <x:f>O3258*J3258*(1+M3258)</x:f>
        <x:v>0.0867064</x:v>
      </x:c>
      <x:c r="Q3258" s="30" t="n">
        <x:f>P3258*N3258</x:f>
        <x:v>0.1734128</x:v>
      </x:c>
      <x:c r="R3258" s="19" t="str">
        <x:v>独立判定</x:v>
      </x:c>
    </x:row>
    <x:row r="3259" ht="19" customHeight="1">
      <x:c r="A3259" s="19" t="str">
        <x:v>D03255</x:v>
      </x:c>
      <x:c r="B3259" s="19" t="n">
        <x:v>7</x:v>
      </x:c>
      <x:c r="C3259" s="19" t="n">
        <x:v>1</x:v>
      </x:c>
      <x:c r="D3259" s="19" t="str">
        <x:v>C07-M011</x:v>
      </x:c>
      <x:c r="E3259" s="19" t="str">
        <x:v>雪墓巨人·赫洛</x:v>
      </x:c>
      <x:c r="F3259" s="19" t="str">
        <x:v>地图BOSS</x:v>
      </x:c>
      <x:c r="G3259" s="19" t="str">
        <x:v>材料独立候选</x:v>
      </x:c>
      <x:c r="H3259" s="19" t="str">
        <x:v>小卢恩</x:v>
      </x:c>
      <x:c r="I3259" s="22" t="n">
        <x:v>4000</x:v>
      </x:c>
      <x:c r="J3259" s="22" t="n">
        <x:v>1</x:v>
      </x:c>
      <x:c r="K3259" s="19" t="n">
        <x:v>1</x:v>
      </x:c>
      <x:c r="L3259" s="24" t="n">
        <x:v>39.412</x:v>
      </x:c>
      <x:c r="M3259" s="26" t="n">
        <x:v>0.1</x:v>
      </x:c>
      <x:c r="N3259" s="24" t="n">
        <x:v>2</x:v>
      </x:c>
      <x:c r="O3259" s="28" t="n">
        <x:f>MIN(1,L3259/I3259)</x:f>
        <x:v>0.009852999999999999</x:v>
      </x:c>
      <x:c r="P3259" s="30" t="n">
        <x:f>O3259*J3259*(1+M3259)</x:f>
        <x:v>0.0108383</x:v>
      </x:c>
      <x:c r="Q3259" s="30" t="n">
        <x:f>P3259*N3259</x:f>
        <x:v>0.0216766</x:v>
      </x:c>
      <x:c r="R3259" s="19" t="str">
        <x:v>独立判定</x:v>
      </x:c>
    </x:row>
    <x:row r="3260" ht="19" customHeight="1">
      <x:c r="A3260" s="19" t="str">
        <x:v>D03256</x:v>
      </x:c>
      <x:c r="B3260" s="19" t="n">
        <x:v>7</x:v>
      </x:c>
      <x:c r="C3260" s="19" t="n">
        <x:v>1</x:v>
      </x:c>
      <x:c r="D3260" s="19" t="str">
        <x:v>C07-M011</x:v>
      </x:c>
      <x:c r="E3260" s="19" t="str">
        <x:v>雪墓巨人·赫洛</x:v>
      </x:c>
      <x:c r="F3260" s="19" t="str">
        <x:v>地图BOSS</x:v>
      </x:c>
      <x:c r="G3260" s="19" t="str">
        <x:v>材料独立候选</x:v>
      </x:c>
      <x:c r="H3260" s="19" t="str">
        <x:v>大卢恩</x:v>
      </x:c>
      <x:c r="I3260" s="22" t="n">
        <x:v>400</x:v>
      </x:c>
      <x:c r="J3260" s="22" t="n">
        <x:v>1</x:v>
      </x:c>
      <x:c r="K3260" s="19" t="n">
        <x:v>1</x:v>
      </x:c>
      <x:c r="L3260" s="24" t="n">
        <x:v>39.412</x:v>
      </x:c>
      <x:c r="M3260" s="26" t="n">
        <x:v>0.1</x:v>
      </x:c>
      <x:c r="N3260" s="24" t="n">
        <x:v>2</x:v>
      </x:c>
      <x:c r="O3260" s="28" t="n">
        <x:f>MIN(1,L3260/I3260)</x:f>
        <x:v>0.09852999999999999</x:v>
      </x:c>
      <x:c r="P3260" s="30" t="n">
        <x:f>O3260*J3260*(1+M3260)</x:f>
        <x:v>0.10838300000000001</x:v>
      </x:c>
      <x:c r="Q3260" s="30" t="n">
        <x:f>P3260*N3260</x:f>
        <x:v>0.21676600000000001</x:v>
      </x:c>
      <x:c r="R3260" s="19" t="str">
        <x:v>独立判定</x:v>
      </x:c>
    </x:row>
    <x:row r="3261" ht="19" customHeight="1">
      <x:c r="A3261" s="19" t="str">
        <x:v>D03257</x:v>
      </x:c>
      <x:c r="B3261" s="19" t="n">
        <x:v>7</x:v>
      </x:c>
      <x:c r="C3261" s="19" t="n">
        <x:v>1</x:v>
      </x:c>
      <x:c r="D3261" s="19" t="str">
        <x:v>C07-M011</x:v>
      </x:c>
      <x:c r="E3261" s="19" t="str">
        <x:v>雪墓巨人·赫洛</x:v>
      </x:c>
      <x:c r="F3261" s="19" t="str">
        <x:v>地图BOSS</x:v>
      </x:c>
      <x:c r="G3261" s="19" t="str">
        <x:v>六神器公共池</x:v>
      </x:c>
      <x:c r="H3261" s="19" t="str">
        <x:v>POOL006</x:v>
      </x:c>
      <x:c r="I3261" s="22" t="n">
        <x:v>200000</x:v>
      </x:c>
      <x:c r="J3261" s="22" t="n">
        <x:v>1</x:v>
      </x:c>
      <x:c r="K3261" s="19" t="n">
        <x:v>6</x:v>
      </x:c>
      <x:c r="L3261" s="24" t="n">
        <x:v>39.412</x:v>
      </x:c>
      <x:c r="M3261" s="26" t="n">
        <x:v>0.1</x:v>
      </x:c>
      <x:c r="N3261" s="24" t="n">
        <x:v>2</x:v>
      </x:c>
      <x:c r="O3261" s="28" t="n">
        <x:f>MIN(1,L3261/I3261)</x:f>
        <x:v>0.00019706</x:v>
      </x:c>
      <x:c r="P3261" s="30" t="n">
        <x:f>O3261*J3261*(1+M3261)</x:f>
        <x:v>0.000216766</x:v>
      </x:c>
      <x:c r="Q3261" s="30" t="n">
        <x:f>P3261*N3261</x:f>
        <x:v>0.000433532</x:v>
      </x:c>
      <x:c r="R3261" s="19" t="str">
        <x:v>六选一；非6个独立爆率</x:v>
      </x:c>
    </x:row>
    <x:row r="3262" ht="19" customHeight="1">
      <x:c r="A3262" s="19" t="str">
        <x:v>D03258</x:v>
      </x:c>
      <x:c r="B3262" s="19" t="n">
        <x:v>7</x:v>
      </x:c>
      <x:c r="C3262" s="19" t="n">
        <x:v>1</x:v>
      </x:c>
      <x:c r="D3262" s="19" t="str">
        <x:v>C07-M012</x:v>
      </x:c>
      <x:c r="E3262" s="19" t="str">
        <x:v>苍白鹿王·艾尔维</x:v>
      </x:c>
      <x:c r="F3262" s="19" t="str">
        <x:v>地图BOSS</x:v>
      </x:c>
      <x:c r="G3262" s="19" t="str">
        <x:v>自身专属</x:v>
      </x:c>
      <x:c r="H3262" s="19" t="str">
        <x:v>艾尔维霜冠</x:v>
      </x:c>
      <x:c r="I3262" s="22" t="n">
        <x:v>200</x:v>
      </x:c>
      <x:c r="J3262" s="22" t="n">
        <x:v>1</x:v>
      </x:c>
      <x:c r="K3262" s="19" t="n">
        <x:v>1</x:v>
      </x:c>
      <x:c r="L3262" s="24" t="n">
        <x:v>39.412</x:v>
      </x:c>
      <x:c r="M3262" s="26" t="n">
        <x:v>0.1</x:v>
      </x:c>
      <x:c r="N3262" s="24" t="n">
        <x:v>2</x:v>
      </x:c>
      <x:c r="O3262" s="28" t="n">
        <x:f>MIN(1,L3262/I3262)</x:f>
        <x:v>0.19705999999999999</x:v>
      </x:c>
      <x:c r="P3262" s="30" t="n">
        <x:f>O3262*J3262*(1+M3262)</x:f>
        <x:v>0.21676600000000001</x:v>
      </x:c>
      <x:c r="Q3262" s="30" t="n">
        <x:f>P3262*N3262</x:f>
        <x:v>0.43353200000000003</x:v>
      </x:c>
      <x:c r="R3262" s="19" t="str">
        <x:v>独立判定</x:v>
      </x:c>
    </x:row>
    <x:row r="3263" ht="19" customHeight="1">
      <x:c r="A3263" s="19" t="str">
        <x:v>D03259</x:v>
      </x:c>
      <x:c r="B3263" s="19" t="n">
        <x:v>7</x:v>
      </x:c>
      <x:c r="C3263" s="19" t="n">
        <x:v>1</x:v>
      </x:c>
      <x:c r="D3263" s="19" t="str">
        <x:v>C07-M012</x:v>
      </x:c>
      <x:c r="E3263" s="19" t="str">
        <x:v>苍白鹿王·艾尔维</x:v>
      </x:c>
      <x:c r="F3263" s="19" t="str">
        <x:v>地图BOSS</x:v>
      </x:c>
      <x:c r="G3263" s="19" t="str">
        <x:v>自身专属</x:v>
      </x:c>
      <x:c r="H3263" s="19" t="str">
        <x:v>无火圣冠</x:v>
      </x:c>
      <x:c r="I3263" s="22" t="n">
        <x:v>200</x:v>
      </x:c>
      <x:c r="J3263" s="22" t="n">
        <x:v>1</x:v>
      </x:c>
      <x:c r="K3263" s="19" t="n">
        <x:v>1</x:v>
      </x:c>
      <x:c r="L3263" s="24" t="n">
        <x:v>39.412</x:v>
      </x:c>
      <x:c r="M3263" s="26" t="n">
        <x:v>0.1</x:v>
      </x:c>
      <x:c r="N3263" s="24" t="n">
        <x:v>2</x:v>
      </x:c>
      <x:c r="O3263" s="28" t="n">
        <x:f>MIN(1,L3263/I3263)</x:f>
        <x:v>0.19705999999999999</x:v>
      </x:c>
      <x:c r="P3263" s="30" t="n">
        <x:f>O3263*J3263*(1+M3263)</x:f>
        <x:v>0.21676600000000001</x:v>
      </x:c>
      <x:c r="Q3263" s="30" t="n">
        <x:f>P3263*N3263</x:f>
        <x:v>0.43353200000000003</x:v>
      </x:c>
      <x:c r="R3263" s="19" t="str">
        <x:v>独立判定</x:v>
      </x:c>
    </x:row>
    <x:row r="3264" ht="19" customHeight="1">
      <x:c r="A3264" s="19" t="str">
        <x:v>D03260</x:v>
      </x:c>
      <x:c r="B3264" s="19" t="n">
        <x:v>7</x:v>
      </x:c>
      <x:c r="C3264" s="19" t="n">
        <x:v>1</x:v>
      </x:c>
      <x:c r="D3264" s="19" t="str">
        <x:v>C07-M012</x:v>
      </x:c>
      <x:c r="E3264" s="19" t="str">
        <x:v>苍白鹿王·艾尔维</x:v>
      </x:c>
      <x:c r="F3264" s="19" t="str">
        <x:v>地图BOSS</x:v>
      </x:c>
      <x:c r="G3264" s="19" t="str">
        <x:v>本图普通兼掉候选</x:v>
      </x:c>
      <x:c r="H3264" s="19" t="str">
        <x:v>POOL055</x:v>
      </x:c>
      <x:c r="I3264" s="22" t="n">
        <x:v>100</x:v>
      </x:c>
      <x:c r="J3264" s="22" t="n">
        <x:v>1</x:v>
      </x:c>
      <x:c r="K3264" s="19" t="n">
        <x:v>1</x:v>
      </x:c>
      <x:c r="L3264" s="24" t="n">
        <x:v>39.412</x:v>
      </x:c>
      <x:c r="M3264" s="26" t="n">
        <x:v>0.1</x:v>
      </x:c>
      <x:c r="N3264" s="24" t="n">
        <x:v>2</x:v>
      </x:c>
      <x:c r="O3264" s="28" t="n">
        <x:f>MIN(1,L3264/I3264)</x:f>
        <x:v>0.39411999999999997</x:v>
      </x:c>
      <x:c r="P3264" s="30" t="n">
        <x:f>O3264*J3264*(1+M3264)</x:f>
        <x:v>0.43353200000000003</x:v>
      </x:c>
      <x:c r="Q3264" s="30" t="n">
        <x:f>P3264*N3264</x:f>
        <x:v>0.8670640000000001</x:v>
      </x:c>
      <x:c r="R3264" s="19" t="str">
        <x:v>单池选一</x:v>
      </x:c>
    </x:row>
    <x:row r="3265" ht="19" customHeight="1">
      <x:c r="A3265" s="19" t="str">
        <x:v>D03261</x:v>
      </x:c>
      <x:c r="B3265" s="19" t="n">
        <x:v>7</x:v>
      </x:c>
      <x:c r="C3265" s="19" t="n">
        <x:v>1</x:v>
      </x:c>
      <x:c r="D3265" s="19" t="str">
        <x:v>C07-M012</x:v>
      </x:c>
      <x:c r="E3265" s="19" t="str">
        <x:v>苍白鹿王·艾尔维</x:v>
      </x:c>
      <x:c r="F3265" s="19" t="str">
        <x:v>地图BOSS</x:v>
      </x:c>
      <x:c r="G3265" s="19" t="str">
        <x:v>材料独立候选</x:v>
      </x:c>
      <x:c r="H3265" s="19" t="str">
        <x:v>冻晶尘</x:v>
      </x:c>
      <x:c r="I3265" s="22" t="n">
        <x:v>300</x:v>
      </x:c>
      <x:c r="J3265" s="22" t="n">
        <x:v>30</x:v>
      </x:c>
      <x:c r="K3265" s="19" t="n">
        <x:v>1</x:v>
      </x:c>
      <x:c r="L3265" s="24" t="n">
        <x:v>39.412</x:v>
      </x:c>
      <x:c r="M3265" s="26" t="n">
        <x:v>0.1</x:v>
      </x:c>
      <x:c r="N3265" s="24" t="n">
        <x:v>2</x:v>
      </x:c>
      <x:c r="O3265" s="28" t="n">
        <x:f>MIN(1,L3265/I3265)</x:f>
        <x:v>0.13137333333333334</x:v>
      </x:c>
      <x:c r="P3265" s="30" t="n">
        <x:f>O3265*J3265*(1+M3265)</x:f>
        <x:v>4.33532</x:v>
      </x:c>
      <x:c r="Q3265" s="30" t="n">
        <x:f>P3265*N3265</x:f>
        <x:v>8.67064</x:v>
      </x:c>
      <x:c r="R3265" s="19" t="str">
        <x:v>独立判定</x:v>
      </x:c>
    </x:row>
    <x:row r="3266" ht="19" customHeight="1">
      <x:c r="A3266" s="19" t="str">
        <x:v>D03262</x:v>
      </x:c>
      <x:c r="B3266" s="19" t="n">
        <x:v>7</x:v>
      </x:c>
      <x:c r="C3266" s="19" t="n">
        <x:v>1</x:v>
      </x:c>
      <x:c r="D3266" s="19" t="str">
        <x:v>C07-M012</x:v>
      </x:c>
      <x:c r="E3266" s="19" t="str">
        <x:v>苍白鹿王·艾尔维</x:v>
      </x:c>
      <x:c r="F3266" s="19" t="str">
        <x:v>地图BOSS</x:v>
      </x:c>
      <x:c r="G3266" s="19" t="str">
        <x:v>材料独立候选</x:v>
      </x:c>
      <x:c r="H3266" s="19" t="str">
        <x:v>白金纺线</x:v>
      </x:c>
      <x:c r="I3266" s="22" t="n">
        <x:v>500</x:v>
      </x:c>
      <x:c r="J3266" s="22" t="n">
        <x:v>1</x:v>
      </x:c>
      <x:c r="K3266" s="19" t="n">
        <x:v>1</x:v>
      </x:c>
      <x:c r="L3266" s="24" t="n">
        <x:v>39.412</x:v>
      </x:c>
      <x:c r="M3266" s="26" t="n">
        <x:v>0.1</x:v>
      </x:c>
      <x:c r="N3266" s="24" t="n">
        <x:v>2</x:v>
      </x:c>
      <x:c r="O3266" s="28" t="n">
        <x:f>MIN(1,L3266/I3266)</x:f>
        <x:v>0.07882399999999999</x:v>
      </x:c>
      <x:c r="P3266" s="30" t="n">
        <x:f>O3266*J3266*(1+M3266)</x:f>
        <x:v>0.0867064</x:v>
      </x:c>
      <x:c r="Q3266" s="30" t="n">
        <x:f>P3266*N3266</x:f>
        <x:v>0.1734128</x:v>
      </x:c>
      <x:c r="R3266" s="19" t="str">
        <x:v>独立判定</x:v>
      </x:c>
    </x:row>
    <x:row r="3267" ht="19" customHeight="1">
      <x:c r="A3267" s="19" t="str">
        <x:v>D03263</x:v>
      </x:c>
      <x:c r="B3267" s="19" t="n">
        <x:v>7</x:v>
      </x:c>
      <x:c r="C3267" s="19" t="n">
        <x:v>1</x:v>
      </x:c>
      <x:c r="D3267" s="19" t="str">
        <x:v>C07-M012</x:v>
      </x:c>
      <x:c r="E3267" s="19" t="str">
        <x:v>苍白鹿王·艾尔维</x:v>
      </x:c>
      <x:c r="F3267" s="19" t="str">
        <x:v>地图BOSS</x:v>
      </x:c>
      <x:c r="G3267" s="19" t="str">
        <x:v>材料独立候选</x:v>
      </x:c>
      <x:c r="H3267" s="19" t="str">
        <x:v>圣雪誓印</x:v>
      </x:c>
      <x:c r="I3267" s="22" t="n">
        <x:v>180</x:v>
      </x:c>
      <x:c r="J3267" s="22" t="n">
        <x:v>4</x:v>
      </x:c>
      <x:c r="K3267" s="19" t="n">
        <x:v>1</x:v>
      </x:c>
      <x:c r="L3267" s="24" t="n">
        <x:v>39.412</x:v>
      </x:c>
      <x:c r="M3267" s="26" t="n">
        <x:v>0.1</x:v>
      </x:c>
      <x:c r="N3267" s="24" t="n">
        <x:v>2</x:v>
      </x:c>
      <x:c r="O3267" s="28" t="n">
        <x:f>MIN(1,L3267/I3267)</x:f>
        <x:v>0.21895555555555554</x:v>
      </x:c>
      <x:c r="P3267" s="30" t="n">
        <x:f>O3267*J3267*(1+M3267)</x:f>
        <x:v>0.9634044444444445</x:v>
      </x:c>
      <x:c r="Q3267" s="30" t="n">
        <x:f>P3267*N3267</x:f>
        <x:v>1.926808888888889</x:v>
      </x:c>
      <x:c r="R3267" s="19" t="str">
        <x:v>独立判定</x:v>
      </x:c>
    </x:row>
    <x:row r="3268" ht="19" customHeight="1">
      <x:c r="A3268" s="19" t="str">
        <x:v>D03264</x:v>
      </x:c>
      <x:c r="B3268" s="19" t="n">
        <x:v>7</x:v>
      </x:c>
      <x:c r="C3268" s="19" t="n">
        <x:v>1</x:v>
      </x:c>
      <x:c r="D3268" s="19" t="str">
        <x:v>C07-M012</x:v>
      </x:c>
      <x:c r="E3268" s="19" t="str">
        <x:v>苍白鹿王·艾尔维</x:v>
      </x:c>
      <x:c r="F3268" s="19" t="str">
        <x:v>地图BOSS</x:v>
      </x:c>
      <x:c r="G3268" s="19" t="str">
        <x:v>材料独立候选</x:v>
      </x:c>
      <x:c r="H3268" s="19" t="str">
        <x:v>秘树霜芽</x:v>
      </x:c>
      <x:c r="I3268" s="22" t="n">
        <x:v>180</x:v>
      </x:c>
      <x:c r="J3268" s="22" t="n">
        <x:v>3</x:v>
      </x:c>
      <x:c r="K3268" s="19" t="n">
        <x:v>1</x:v>
      </x:c>
      <x:c r="L3268" s="24" t="n">
        <x:v>39.412</x:v>
      </x:c>
      <x:c r="M3268" s="26" t="n">
        <x:v>0.1</x:v>
      </x:c>
      <x:c r="N3268" s="24" t="n">
        <x:v>2</x:v>
      </x:c>
      <x:c r="O3268" s="28" t="n">
        <x:f>MIN(1,L3268/I3268)</x:f>
        <x:v>0.21895555555555554</x:v>
      </x:c>
      <x:c r="P3268" s="30" t="n">
        <x:f>O3268*J3268*(1+M3268)</x:f>
        <x:v>0.7225533333333333</x:v>
      </x:c>
      <x:c r="Q3268" s="30" t="n">
        <x:f>P3268*N3268</x:f>
        <x:v>1.4451066666666665</x:v>
      </x:c>
      <x:c r="R3268" s="19" t="str">
        <x:v>独立判定</x:v>
      </x:c>
    </x:row>
    <x:row r="3269" ht="19" customHeight="1">
      <x:c r="A3269" s="19" t="str">
        <x:v>D03265</x:v>
      </x:c>
      <x:c r="B3269" s="19" t="n">
        <x:v>7</x:v>
      </x:c>
      <x:c r="C3269" s="19" t="n">
        <x:v>1</x:v>
      </x:c>
      <x:c r="D3269" s="19" t="str">
        <x:v>C07-M012</x:v>
      </x:c>
      <x:c r="E3269" s="19" t="str">
        <x:v>苍白鹿王·艾尔维</x:v>
      </x:c>
      <x:c r="F3269" s="19" t="str">
        <x:v>地图BOSS</x:v>
      </x:c>
      <x:c r="G3269" s="19" t="str">
        <x:v>材料独立候选</x:v>
      </x:c>
      <x:c r="H3269" s="19" t="str">
        <x:v>永霜朝圣痕</x:v>
      </x:c>
      <x:c r="I3269" s="22" t="n">
        <x:v>600000</x:v>
      </x:c>
      <x:c r="J3269" s="22" t="n">
        <x:v>1</x:v>
      </x:c>
      <x:c r="K3269" s="19" t="n">
        <x:v>1</x:v>
      </x:c>
      <x:c r="L3269" s="24" t="n">
        <x:v>39.412</x:v>
      </x:c>
      <x:c r="M3269" s="26" t="n">
        <x:v>0.1</x:v>
      </x:c>
      <x:c r="N3269" s="24" t="n">
        <x:v>2</x:v>
      </x:c>
      <x:c r="O3269" s="28" t="n">
        <x:f>MIN(1,L3269/I3269)</x:f>
        <x:v>0.00006568666666666666</x:v>
      </x:c>
      <x:c r="P3269" s="30" t="n">
        <x:f>O3269*J3269*(1+M3269)</x:f>
        <x:v>0.00007225533333333334</x:v>
      </x:c>
      <x:c r="Q3269" s="30" t="n">
        <x:f>P3269*N3269</x:f>
        <x:v>0.00014451066666666668</x:v>
      </x:c>
      <x:c r="R3269" s="19" t="str">
        <x:v>独立判定</x:v>
      </x:c>
    </x:row>
    <x:row r="3270" ht="19" customHeight="1">
      <x:c r="A3270" s="19" t="str">
        <x:v>D03266</x:v>
      </x:c>
      <x:c r="B3270" s="19" t="n">
        <x:v>7</x:v>
      </x:c>
      <x:c r="C3270" s="19" t="n">
        <x:v>1</x:v>
      </x:c>
      <x:c r="D3270" s="19" t="str">
        <x:v>C07-M012</x:v>
      </x:c>
      <x:c r="E3270" s="19" t="str">
        <x:v>苍白鹿王·艾尔维</x:v>
      </x:c>
      <x:c r="F3270" s="19" t="str">
        <x:v>地图BOSS</x:v>
      </x:c>
      <x:c r="G3270" s="19" t="str">
        <x:v>材料独立候选</x:v>
      </x:c>
      <x:c r="H3270" s="19" t="str">
        <x:v>黄金树芽</x:v>
      </x:c>
      <x:c r="I3270" s="22" t="n">
        <x:v>3000</x:v>
      </x:c>
      <x:c r="J3270" s="22" t="n">
        <x:v>1</x:v>
      </x:c>
      <x:c r="K3270" s="19" t="n">
        <x:v>1</x:v>
      </x:c>
      <x:c r="L3270" s="24" t="n">
        <x:v>39.412</x:v>
      </x:c>
      <x:c r="M3270" s="26" t="n">
        <x:v>0.1</x:v>
      </x:c>
      <x:c r="N3270" s="24" t="n">
        <x:v>2</x:v>
      </x:c>
      <x:c r="O3270" s="28" t="n">
        <x:f>MIN(1,L3270/I3270)</x:f>
        <x:v>0.013137333333333332</x:v>
      </x:c>
      <x:c r="P3270" s="30" t="n">
        <x:f>O3270*J3270*(1+M3270)</x:f>
        <x:v>0.014451066666666667</x:v>
      </x:c>
      <x:c r="Q3270" s="30" t="n">
        <x:f>P3270*N3270</x:f>
        <x:v>0.028902133333333333</x:v>
      </x:c>
      <x:c r="R3270" s="19" t="str">
        <x:v>独立判定</x:v>
      </x:c>
    </x:row>
    <x:row r="3271" ht="19" customHeight="1">
      <x:c r="A3271" s="19" t="str">
        <x:v>D03267</x:v>
      </x:c>
      <x:c r="B3271" s="19" t="n">
        <x:v>7</x:v>
      </x:c>
      <x:c r="C3271" s="19" t="n">
        <x:v>1</x:v>
      </x:c>
      <x:c r="D3271" s="19" t="str">
        <x:v>C07-M012</x:v>
      </x:c>
      <x:c r="E3271" s="19" t="str">
        <x:v>苍白鹿王·艾尔维</x:v>
      </x:c>
      <x:c r="F3271" s="19" t="str">
        <x:v>地图BOSS</x:v>
      </x:c>
      <x:c r="G3271" s="19" t="str">
        <x:v>材料独立候选</x:v>
      </x:c>
      <x:c r="H3271" s="19" t="str">
        <x:v>野兽骨片</x:v>
      </x:c>
      <x:c r="I3271" s="22" t="n">
        <x:v>80</x:v>
      </x:c>
      <x:c r="J3271" s="22" t="n">
        <x:v>5</x:v>
      </x:c>
      <x:c r="K3271" s="19" t="n">
        <x:v>1</x:v>
      </x:c>
      <x:c r="L3271" s="24" t="n">
        <x:v>39.412</x:v>
      </x:c>
      <x:c r="M3271" s="26" t="n">
        <x:v>0.1</x:v>
      </x:c>
      <x:c r="N3271" s="24" t="n">
        <x:v>2</x:v>
      </x:c>
      <x:c r="O3271" s="28" t="n">
        <x:f>MIN(1,L3271/I3271)</x:f>
        <x:v>0.49265</x:v>
      </x:c>
      <x:c r="P3271" s="30" t="n">
        <x:f>O3271*J3271*(1+M3271)</x:f>
        <x:v>2.709575</x:v>
      </x:c>
      <x:c r="Q3271" s="30" t="n">
        <x:f>P3271*N3271</x:f>
        <x:v>5.41915</x:v>
      </x:c>
      <x:c r="R3271" s="19" t="str">
        <x:v>独立判定</x:v>
      </x:c>
    </x:row>
    <x:row r="3272" ht="19" customHeight="1">
      <x:c r="A3272" s="19" t="str">
        <x:v>D03268</x:v>
      </x:c>
      <x:c r="B3272" s="19" t="n">
        <x:v>7</x:v>
      </x:c>
      <x:c r="C3272" s="19" t="n">
        <x:v>1</x:v>
      </x:c>
      <x:c r="D3272" s="19" t="str">
        <x:v>C07-M012</x:v>
      </x:c>
      <x:c r="E3272" s="19" t="str">
        <x:v>苍白鹿王·艾尔维</x:v>
      </x:c>
      <x:c r="F3272" s="19" t="str">
        <x:v>地图BOSS</x:v>
      </x:c>
      <x:c r="G3272" s="19" t="str">
        <x:v>材料独立候选</x:v>
      </x:c>
      <x:c r="H3272" s="19" t="str">
        <x:v>技能残页</x:v>
      </x:c>
      <x:c r="I3272" s="22" t="n">
        <x:v>400</x:v>
      </x:c>
      <x:c r="J3272" s="22" t="n">
        <x:v>1</x:v>
      </x:c>
      <x:c r="K3272" s="19" t="n">
        <x:v>1</x:v>
      </x:c>
      <x:c r="L3272" s="24" t="n">
        <x:v>39.412</x:v>
      </x:c>
      <x:c r="M3272" s="26" t="n">
        <x:v>0.1</x:v>
      </x:c>
      <x:c r="N3272" s="24" t="n">
        <x:v>2</x:v>
      </x:c>
      <x:c r="O3272" s="28" t="n">
        <x:f>MIN(1,L3272/I3272)</x:f>
        <x:v>0.09852999999999999</x:v>
      </x:c>
      <x:c r="P3272" s="30" t="n">
        <x:f>O3272*J3272*(1+M3272)</x:f>
        <x:v>0.10838300000000001</x:v>
      </x:c>
      <x:c r="Q3272" s="30" t="n">
        <x:f>P3272*N3272</x:f>
        <x:v>0.21676600000000001</x:v>
      </x:c>
      <x:c r="R3272" s="19" t="str">
        <x:v>独立判定</x:v>
      </x:c>
    </x:row>
    <x:row r="3273" ht="19" customHeight="1">
      <x:c r="A3273" s="19" t="str">
        <x:v>D03269</x:v>
      </x:c>
      <x:c r="B3273" s="19" t="n">
        <x:v>7</x:v>
      </x:c>
      <x:c r="C3273" s="19" t="n">
        <x:v>1</x:v>
      </x:c>
      <x:c r="D3273" s="19" t="str">
        <x:v>C07-M012</x:v>
      </x:c>
      <x:c r="E3273" s="19" t="str">
        <x:v>苍白鹿王·艾尔维</x:v>
      </x:c>
      <x:c r="F3273" s="19" t="str">
        <x:v>地图BOSS</x:v>
      </x:c>
      <x:c r="G3273" s="19" t="str">
        <x:v>材料独立候选</x:v>
      </x:c>
      <x:c r="H3273" s="19" t="str">
        <x:v>宁姆格福誓页</x:v>
      </x:c>
      <x:c r="I3273" s="22" t="n">
        <x:v>500</x:v>
      </x:c>
      <x:c r="J3273" s="22" t="n">
        <x:v>1</x:v>
      </x:c>
      <x:c r="K3273" s="19" t="n">
        <x:v>1</x:v>
      </x:c>
      <x:c r="L3273" s="24" t="n">
        <x:v>39.412</x:v>
      </x:c>
      <x:c r="M3273" s="26" t="n">
        <x:v>0.1</x:v>
      </x:c>
      <x:c r="N3273" s="24" t="n">
        <x:v>2</x:v>
      </x:c>
      <x:c r="O3273" s="28" t="n">
        <x:f>MIN(1,L3273/I3273)</x:f>
        <x:v>0.07882399999999999</x:v>
      </x:c>
      <x:c r="P3273" s="30" t="n">
        <x:f>O3273*J3273*(1+M3273)</x:f>
        <x:v>0.0867064</x:v>
      </x:c>
      <x:c r="Q3273" s="30" t="n">
        <x:f>P3273*N3273</x:f>
        <x:v>0.1734128</x:v>
      </x:c>
      <x:c r="R3273" s="19" t="str">
        <x:v>独立判定</x:v>
      </x:c>
    </x:row>
    <x:row r="3274" ht="19" customHeight="1">
      <x:c r="A3274" s="19" t="str">
        <x:v>D03270</x:v>
      </x:c>
      <x:c r="B3274" s="19" t="n">
        <x:v>7</x:v>
      </x:c>
      <x:c r="C3274" s="19" t="n">
        <x:v>1</x:v>
      </x:c>
      <x:c r="D3274" s="19" t="str">
        <x:v>C07-M012</x:v>
      </x:c>
      <x:c r="E3274" s="19" t="str">
        <x:v>苍白鹿王·艾尔维</x:v>
      </x:c>
      <x:c r="F3274" s="19" t="str">
        <x:v>地图BOSS</x:v>
      </x:c>
      <x:c r="G3274" s="19" t="str">
        <x:v>材料独立候选</x:v>
      </x:c>
      <x:c r="H3274" s="19" t="str">
        <x:v>小卢恩</x:v>
      </x:c>
      <x:c r="I3274" s="22" t="n">
        <x:v>4000</x:v>
      </x:c>
      <x:c r="J3274" s="22" t="n">
        <x:v>1</x:v>
      </x:c>
      <x:c r="K3274" s="19" t="n">
        <x:v>1</x:v>
      </x:c>
      <x:c r="L3274" s="24" t="n">
        <x:v>39.412</x:v>
      </x:c>
      <x:c r="M3274" s="26" t="n">
        <x:v>0.1</x:v>
      </x:c>
      <x:c r="N3274" s="24" t="n">
        <x:v>2</x:v>
      </x:c>
      <x:c r="O3274" s="28" t="n">
        <x:f>MIN(1,L3274/I3274)</x:f>
        <x:v>0.009852999999999999</x:v>
      </x:c>
      <x:c r="P3274" s="30" t="n">
        <x:f>O3274*J3274*(1+M3274)</x:f>
        <x:v>0.0108383</x:v>
      </x:c>
      <x:c r="Q3274" s="30" t="n">
        <x:f>P3274*N3274</x:f>
        <x:v>0.0216766</x:v>
      </x:c>
      <x:c r="R3274" s="19" t="str">
        <x:v>独立判定</x:v>
      </x:c>
    </x:row>
    <x:row r="3275" ht="19" customHeight="1">
      <x:c r="A3275" s="19" t="str">
        <x:v>D03271</x:v>
      </x:c>
      <x:c r="B3275" s="19" t="n">
        <x:v>7</x:v>
      </x:c>
      <x:c r="C3275" s="19" t="n">
        <x:v>1</x:v>
      </x:c>
      <x:c r="D3275" s="19" t="str">
        <x:v>C07-M012</x:v>
      </x:c>
      <x:c r="E3275" s="19" t="str">
        <x:v>苍白鹿王·艾尔维</x:v>
      </x:c>
      <x:c r="F3275" s="19" t="str">
        <x:v>地图BOSS</x:v>
      </x:c>
      <x:c r="G3275" s="19" t="str">
        <x:v>材料独立候选</x:v>
      </x:c>
      <x:c r="H3275" s="19" t="str">
        <x:v>大卢恩</x:v>
      </x:c>
      <x:c r="I3275" s="22" t="n">
        <x:v>400</x:v>
      </x:c>
      <x:c r="J3275" s="22" t="n">
        <x:v>1</x:v>
      </x:c>
      <x:c r="K3275" s="19" t="n">
        <x:v>1</x:v>
      </x:c>
      <x:c r="L3275" s="24" t="n">
        <x:v>39.412</x:v>
      </x:c>
      <x:c r="M3275" s="26" t="n">
        <x:v>0.1</x:v>
      </x:c>
      <x:c r="N3275" s="24" t="n">
        <x:v>2</x:v>
      </x:c>
      <x:c r="O3275" s="28" t="n">
        <x:f>MIN(1,L3275/I3275)</x:f>
        <x:v>0.09852999999999999</x:v>
      </x:c>
      <x:c r="P3275" s="30" t="n">
        <x:f>O3275*J3275*(1+M3275)</x:f>
        <x:v>0.10838300000000001</x:v>
      </x:c>
      <x:c r="Q3275" s="30" t="n">
        <x:f>P3275*N3275</x:f>
        <x:v>0.21676600000000001</x:v>
      </x:c>
      <x:c r="R3275" s="19" t="str">
        <x:v>独立判定</x:v>
      </x:c>
    </x:row>
    <x:row r="3276" ht="19" customHeight="1">
      <x:c r="A3276" s="19" t="str">
        <x:v>D03272</x:v>
      </x:c>
      <x:c r="B3276" s="19" t="n">
        <x:v>7</x:v>
      </x:c>
      <x:c r="C3276" s="19" t="n">
        <x:v>1</x:v>
      </x:c>
      <x:c r="D3276" s="19" t="str">
        <x:v>C07-M012</x:v>
      </x:c>
      <x:c r="E3276" s="19" t="str">
        <x:v>苍白鹿王·艾尔维</x:v>
      </x:c>
      <x:c r="F3276" s="19" t="str">
        <x:v>地图BOSS</x:v>
      </x:c>
      <x:c r="G3276" s="19" t="str">
        <x:v>六神器公共池</x:v>
      </x:c>
      <x:c r="H3276" s="19" t="str">
        <x:v>POOL006</x:v>
      </x:c>
      <x:c r="I3276" s="22" t="n">
        <x:v>200000</x:v>
      </x:c>
      <x:c r="J3276" s="22" t="n">
        <x:v>1</x:v>
      </x:c>
      <x:c r="K3276" s="19" t="n">
        <x:v>6</x:v>
      </x:c>
      <x:c r="L3276" s="24" t="n">
        <x:v>39.412</x:v>
      </x:c>
      <x:c r="M3276" s="26" t="n">
        <x:v>0.1</x:v>
      </x:c>
      <x:c r="N3276" s="24" t="n">
        <x:v>2</x:v>
      </x:c>
      <x:c r="O3276" s="28" t="n">
        <x:f>MIN(1,L3276/I3276)</x:f>
        <x:v>0.00019706</x:v>
      </x:c>
      <x:c r="P3276" s="30" t="n">
        <x:f>O3276*J3276*(1+M3276)</x:f>
        <x:v>0.000216766</x:v>
      </x:c>
      <x:c r="Q3276" s="30" t="n">
        <x:f>P3276*N3276</x:f>
        <x:v>0.000433532</x:v>
      </x:c>
      <x:c r="R3276" s="19" t="str">
        <x:v>六选一；非6个独立爆率</x:v>
      </x:c>
    </x:row>
    <x:row r="3277" ht="19" customHeight="1">
      <x:c r="A3277" s="19" t="str">
        <x:v>D03273</x:v>
      </x:c>
      <x:c r="B3277" s="19" t="n">
        <x:v>7</x:v>
      </x:c>
      <x:c r="C3277" s="19" t="n">
        <x:v>2</x:v>
      </x:c>
      <x:c r="D3277" s="19" t="str">
        <x:v>C07-M013</x:v>
      </x:c>
      <x:c r="E3277" s="19" t="str">
        <x:v>荒境雪壳虫</x:v>
      </x:c>
      <x:c r="F3277" s="19" t="str">
        <x:v>普通</x:v>
      </x:c>
      <x:c r="G3277" s="19" t="str">
        <x:v>自身专属</x:v>
      </x:c>
      <x:c r="H3277" s="19" t="str">
        <x:v>雪壳腕甲</x:v>
      </x:c>
      <x:c r="I3277" s="22" t="n">
        <x:v>4000</x:v>
      </x:c>
      <x:c r="J3277" s="22" t="n">
        <x:v>1</x:v>
      </x:c>
      <x:c r="K3277" s="19" t="n">
        <x:v>1</x:v>
      </x:c>
      <x:c r="L3277" s="24" t="n">
        <x:v>42.30933333333333</x:v>
      </x:c>
      <x:c r="M3277" s="26" t="n">
        <x:v>0.1</x:v>
      </x:c>
      <x:c r="N3277" s="24" t="n">
        <x:v>72</x:v>
      </x:c>
      <x:c r="O3277" s="28" t="n">
        <x:f>MIN(1,L3277/I3277)</x:f>
        <x:v>0.010577333333333333</x:v>
      </x:c>
      <x:c r="P3277" s="30" t="n">
        <x:f>O3277*J3277*(1+M3277)</x:f>
        <x:v>0.011635066666666668</x:v>
      </x:c>
      <x:c r="Q3277" s="30" t="n">
        <x:f>P3277*N3277</x:f>
        <x:v>0.8377248</x:v>
      </x:c>
      <x:c r="R3277" s="19" t="str">
        <x:v>独立判定</x:v>
      </x:c>
    </x:row>
    <x:row r="3278" ht="19" customHeight="1">
      <x:c r="A3278" s="19" t="str">
        <x:v>D03274</x:v>
      </x:c>
      <x:c r="B3278" s="19" t="n">
        <x:v>7</x:v>
      </x:c>
      <x:c r="C3278" s="19" t="n">
        <x:v>2</x:v>
      </x:c>
      <x:c r="D3278" s="19" t="str">
        <x:v>C07-M013</x:v>
      </x:c>
      <x:c r="E3278" s="19" t="str">
        <x:v>荒境雪壳虫</x:v>
      </x:c>
      <x:c r="F3278" s="19" t="str">
        <x:v>普通</x:v>
      </x:c>
      <x:c r="G3278" s="19" t="str">
        <x:v>材料独立候选</x:v>
      </x:c>
      <x:c r="H3278" s="19" t="str">
        <x:v>冻晶尘</x:v>
      </x:c>
      <x:c r="I3278" s="22" t="n">
        <x:v>1200</x:v>
      </x:c>
      <x:c r="J3278" s="22" t="n">
        <x:v>8</x:v>
      </x:c>
      <x:c r="K3278" s="19" t="n">
        <x:v>1</x:v>
      </x:c>
      <x:c r="L3278" s="24" t="n">
        <x:v>42.30933333333333</x:v>
      </x:c>
      <x:c r="M3278" s="26" t="n">
        <x:v>0.1</x:v>
      </x:c>
      <x:c r="N3278" s="24" t="n">
        <x:v>72</x:v>
      </x:c>
      <x:c r="O3278" s="28" t="n">
        <x:f>MIN(1,L3278/I3278)</x:f>
        <x:v>0.03525777777777777</x:v>
      </x:c>
      <x:c r="P3278" s="30" t="n">
        <x:f>O3278*J3278*(1+M3278)</x:f>
        <x:v>0.3102684444444444</x:v>
      </x:c>
      <x:c r="Q3278" s="30" t="n">
        <x:f>P3278*N3278</x:f>
        <x:v>22.339328</x:v>
      </x:c>
      <x:c r="R3278" s="19" t="str">
        <x:v>独立判定</x:v>
      </x:c>
    </x:row>
    <x:row r="3279" ht="19" customHeight="1">
      <x:c r="A3279" s="19" t="str">
        <x:v>D03275</x:v>
      </x:c>
      <x:c r="B3279" s="19" t="n">
        <x:v>7</x:v>
      </x:c>
      <x:c r="C3279" s="19" t="n">
        <x:v>2</x:v>
      </x:c>
      <x:c r="D3279" s="19" t="str">
        <x:v>C07-M013</x:v>
      </x:c>
      <x:c r="E3279" s="19" t="str">
        <x:v>荒境雪壳虫</x:v>
      </x:c>
      <x:c r="F3279" s="19" t="str">
        <x:v>普通</x:v>
      </x:c>
      <x:c r="G3279" s="19" t="str">
        <x:v>材料独立候选</x:v>
      </x:c>
      <x:c r="H3279" s="19" t="str">
        <x:v>白金路标片</x:v>
      </x:c>
      <x:c r="I3279" s="22" t="n">
        <x:v>1500</x:v>
      </x:c>
      <x:c r="J3279" s="22" t="n">
        <x:v>1</x:v>
      </x:c>
      <x:c r="K3279" s="19" t="n">
        <x:v>1</x:v>
      </x:c>
      <x:c r="L3279" s="24" t="n">
        <x:v>42.30933333333333</x:v>
      </x:c>
      <x:c r="M3279" s="26" t="n">
        <x:v>0.1</x:v>
      </x:c>
      <x:c r="N3279" s="24" t="n">
        <x:v>72</x:v>
      </x:c>
      <x:c r="O3279" s="28" t="n">
        <x:f>MIN(1,L3279/I3279)</x:f>
        <x:v>0.02820622222222222</x:v>
      </x:c>
      <x:c r="P3279" s="30" t="n">
        <x:f>O3279*J3279*(1+M3279)</x:f>
        <x:v>0.031026844444444444</x:v>
      </x:c>
      <x:c r="Q3279" s="30" t="n">
        <x:f>P3279*N3279</x:f>
        <x:v>2.2339328</x:v>
      </x:c>
      <x:c r="R3279" s="19" t="str">
        <x:v>独立判定</x:v>
      </x:c>
    </x:row>
    <x:row r="3280" ht="19" customHeight="1">
      <x:c r="A3280" s="19" t="str">
        <x:v>D03276</x:v>
      </x:c>
      <x:c r="B3280" s="19" t="n">
        <x:v>7</x:v>
      </x:c>
      <x:c r="C3280" s="19" t="n">
        <x:v>2</x:v>
      </x:c>
      <x:c r="D3280" s="19" t="str">
        <x:v>C07-M013</x:v>
      </x:c>
      <x:c r="E3280" s="19" t="str">
        <x:v>荒境雪壳虫</x:v>
      </x:c>
      <x:c r="F3280" s="19" t="str">
        <x:v>普通</x:v>
      </x:c>
      <x:c r="G3280" s="19" t="str">
        <x:v>材料独立候选</x:v>
      </x:c>
      <x:c r="H3280" s="19" t="str">
        <x:v>永霜朝圣痕</x:v>
      </x:c>
      <x:c r="I3280" s="22" t="n">
        <x:v>2000000</x:v>
      </x:c>
      <x:c r="J3280" s="22" t="n">
        <x:v>1</x:v>
      </x:c>
      <x:c r="K3280" s="19" t="n">
        <x:v>1</x:v>
      </x:c>
      <x:c r="L3280" s="24" t="n">
        <x:v>42.30933333333333</x:v>
      </x:c>
      <x:c r="M3280" s="26" t="n">
        <x:v>0.1</x:v>
      </x:c>
      <x:c r="N3280" s="24" t="n">
        <x:v>72</x:v>
      </x:c>
      <x:c r="O3280" s="28" t="n">
        <x:f>MIN(1,L3280/I3280)</x:f>
        <x:v>0.000021154666666666662</x:v>
      </x:c>
      <x:c r="P3280" s="30" t="n">
        <x:f>O3280*J3280*(1+M3280)</x:f>
        <x:v>0.00002327013333333333</x:v>
      </x:c>
      <x:c r="Q3280" s="30" t="n">
        <x:f>P3280*N3280</x:f>
        <x:v>0.0016754495999999996</x:v>
      </x:c>
      <x:c r="R3280" s="19" t="str">
        <x:v>独立判定</x:v>
      </x:c>
    </x:row>
    <x:row r="3281" ht="19" customHeight="1">
      <x:c r="A3281" s="19" t="str">
        <x:v>D03277</x:v>
      </x:c>
      <x:c r="B3281" s="19" t="n">
        <x:v>7</x:v>
      </x:c>
      <x:c r="C3281" s="19" t="n">
        <x:v>2</x:v>
      </x:c>
      <x:c r="D3281" s="19" t="str">
        <x:v>C07-M013</x:v>
      </x:c>
      <x:c r="E3281" s="19" t="str">
        <x:v>荒境雪壳虫</x:v>
      </x:c>
      <x:c r="F3281" s="19" t="str">
        <x:v>普通</x:v>
      </x:c>
      <x:c r="G3281" s="19" t="str">
        <x:v>材料独立候选</x:v>
      </x:c>
      <x:c r="H3281" s="19" t="str">
        <x:v>野兽骨片</x:v>
      </x:c>
      <x:c r="I3281" s="22" t="n">
        <x:v>250</x:v>
      </x:c>
      <x:c r="J3281" s="22" t="n">
        <x:v>5</x:v>
      </x:c>
      <x:c r="K3281" s="19" t="n">
        <x:v>1</x:v>
      </x:c>
      <x:c r="L3281" s="24" t="n">
        <x:v>42.30933333333333</x:v>
      </x:c>
      <x:c r="M3281" s="26" t="n">
        <x:v>0.1</x:v>
      </x:c>
      <x:c r="N3281" s="24" t="n">
        <x:v>72</x:v>
      </x:c>
      <x:c r="O3281" s="28" t="n">
        <x:f>MIN(1,L3281/I3281)</x:f>
        <x:v>0.16923733333333332</x:v>
      </x:c>
      <x:c r="P3281" s="30" t="n">
        <x:f>O3281*J3281*(1+M3281)</x:f>
        <x:v>0.9308053333333334</x:v>
      </x:c>
      <x:c r="Q3281" s="30" t="n">
        <x:f>P3281*N3281</x:f>
        <x:v>67.017984</x:v>
      </x:c>
      <x:c r="R3281" s="19" t="str">
        <x:v>独立判定</x:v>
      </x:c>
    </x:row>
    <x:row r="3282" ht="19" customHeight="1">
      <x:c r="A3282" s="19" t="str">
        <x:v>D03278</x:v>
      </x:c>
      <x:c r="B3282" s="19" t="n">
        <x:v>7</x:v>
      </x:c>
      <x:c r="C3282" s="19" t="n">
        <x:v>2</x:v>
      </x:c>
      <x:c r="D3282" s="19" t="str">
        <x:v>C07-M013</x:v>
      </x:c>
      <x:c r="E3282" s="19" t="str">
        <x:v>荒境雪壳虫</x:v>
      </x:c>
      <x:c r="F3282" s="19" t="str">
        <x:v>普通</x:v>
      </x:c>
      <x:c r="G3282" s="19" t="str">
        <x:v>材料独立候选</x:v>
      </x:c>
      <x:c r="H3282" s="19" t="str">
        <x:v>技能残页</x:v>
      </x:c>
      <x:c r="I3282" s="22" t="n">
        <x:v>1500</x:v>
      </x:c>
      <x:c r="J3282" s="22" t="n">
        <x:v>1</x:v>
      </x:c>
      <x:c r="K3282" s="19" t="n">
        <x:v>1</x:v>
      </x:c>
      <x:c r="L3282" s="24" t="n">
        <x:v>42.30933333333333</x:v>
      </x:c>
      <x:c r="M3282" s="26" t="n">
        <x:v>0.1</x:v>
      </x:c>
      <x:c r="N3282" s="24" t="n">
        <x:v>72</x:v>
      </x:c>
      <x:c r="O3282" s="28" t="n">
        <x:f>MIN(1,L3282/I3282)</x:f>
        <x:v>0.02820622222222222</x:v>
      </x:c>
      <x:c r="P3282" s="30" t="n">
        <x:f>O3282*J3282*(1+M3282)</x:f>
        <x:v>0.031026844444444444</x:v>
      </x:c>
      <x:c r="Q3282" s="30" t="n">
        <x:f>P3282*N3282</x:f>
        <x:v>2.2339328</x:v>
      </x:c>
      <x:c r="R3282" s="19" t="str">
        <x:v>独立判定</x:v>
      </x:c>
    </x:row>
    <x:row r="3283" ht="19" customHeight="1">
      <x:c r="A3283" s="19" t="str">
        <x:v>D03279</x:v>
      </x:c>
      <x:c r="B3283" s="19" t="n">
        <x:v>7</x:v>
      </x:c>
      <x:c r="C3283" s="19" t="n">
        <x:v>2</x:v>
      </x:c>
      <x:c r="D3283" s="19" t="str">
        <x:v>C07-M013</x:v>
      </x:c>
      <x:c r="E3283" s="19" t="str">
        <x:v>荒境雪壳虫</x:v>
      </x:c>
      <x:c r="F3283" s="19" t="str">
        <x:v>普通</x:v>
      </x:c>
      <x:c r="G3283" s="19" t="str">
        <x:v>材料独立候选</x:v>
      </x:c>
      <x:c r="H3283" s="19" t="str">
        <x:v>小卢恩</x:v>
      </x:c>
      <x:c r="I3283" s="22" t="n">
        <x:v>12000</x:v>
      </x:c>
      <x:c r="J3283" s="22" t="n">
        <x:v>1</x:v>
      </x:c>
      <x:c r="K3283" s="19" t="n">
        <x:v>1</x:v>
      </x:c>
      <x:c r="L3283" s="24" t="n">
        <x:v>42.30933333333333</x:v>
      </x:c>
      <x:c r="M3283" s="26" t="n">
        <x:v>0.1</x:v>
      </x:c>
      <x:c r="N3283" s="24" t="n">
        <x:v>72</x:v>
      </x:c>
      <x:c r="O3283" s="28" t="n">
        <x:f>MIN(1,L3283/I3283)</x:f>
        <x:v>0.0035257777777777774</x:v>
      </x:c>
      <x:c r="P3283" s="30" t="n">
        <x:f>O3283*J3283*(1+M3283)</x:f>
        <x:v>0.0038783555555555555</x:v>
      </x:c>
      <x:c r="Q3283" s="30" t="n">
        <x:f>P3283*N3283</x:f>
        <x:v>0.2792416</x:v>
      </x:c>
      <x:c r="R3283" s="19" t="str">
        <x:v>独立判定</x:v>
      </x:c>
    </x:row>
    <x:row r="3284" ht="19" customHeight="1">
      <x:c r="A3284" s="19" t="str">
        <x:v>D03280</x:v>
      </x:c>
      <x:c r="B3284" s="19" t="n">
        <x:v>7</x:v>
      </x:c>
      <x:c r="C3284" s="19" t="n">
        <x:v>2</x:v>
      </x:c>
      <x:c r="D3284" s="19" t="str">
        <x:v>C07-M013</x:v>
      </x:c>
      <x:c r="E3284" s="19" t="str">
        <x:v>荒境雪壳虫</x:v>
      </x:c>
      <x:c r="F3284" s="19" t="str">
        <x:v>普通</x:v>
      </x:c>
      <x:c r="G3284" s="19" t="str">
        <x:v>六神器公共池</x:v>
      </x:c>
      <x:c r="H3284" s="19" t="str">
        <x:v>POOL006</x:v>
      </x:c>
      <x:c r="I3284" s="22" t="n">
        <x:v>20000000</x:v>
      </x:c>
      <x:c r="J3284" s="22" t="n">
        <x:v>1</x:v>
      </x:c>
      <x:c r="K3284" s="19" t="n">
        <x:v>6</x:v>
      </x:c>
      <x:c r="L3284" s="24" t="n">
        <x:v>42.30933333333333</x:v>
      </x:c>
      <x:c r="M3284" s="26" t="n">
        <x:v>0.1</x:v>
      </x:c>
      <x:c r="N3284" s="24" t="n">
        <x:v>72</x:v>
      </x:c>
      <x:c r="O3284" s="28" t="n">
        <x:f>MIN(1,L3284/I3284)</x:f>
        <x:v>0.0000021154666666666665</x:v>
      </x:c>
      <x:c r="P3284" s="30" t="n">
        <x:f>O3284*J3284*(1+M3284)</x:f>
        <x:v>0.000002327013333333333</x:v>
      </x:c>
      <x:c r="Q3284" s="30" t="n">
        <x:f>P3284*N3284</x:f>
        <x:v>0.00016754495999999998</x:v>
      </x:c>
      <x:c r="R3284" s="19" t="str">
        <x:v>六选一；非6个独立爆率</x:v>
      </x:c>
    </x:row>
    <x:row r="3285" ht="19" customHeight="1">
      <x:c r="A3285" s="19" t="str">
        <x:v>D03281</x:v>
      </x:c>
      <x:c r="B3285" s="19" t="n">
        <x:v>7</x:v>
      </x:c>
      <x:c r="C3285" s="19" t="n">
        <x:v>2</x:v>
      </x:c>
      <x:c r="D3285" s="19" t="str">
        <x:v>C07-M014</x:v>
      </x:c>
      <x:c r="E3285" s="19" t="str">
        <x:v>冰封流亡者</x:v>
      </x:c>
      <x:c r="F3285" s="19" t="str">
        <x:v>普通</x:v>
      </x:c>
      <x:c r="G3285" s="19" t="str">
        <x:v>自身专属</x:v>
      </x:c>
      <x:c r="H3285" s="19" t="str">
        <x:v>流亡冰刀</x:v>
      </x:c>
      <x:c r="I3285" s="22" t="n">
        <x:v>4000</x:v>
      </x:c>
      <x:c r="J3285" s="22" t="n">
        <x:v>1</x:v>
      </x:c>
      <x:c r="K3285" s="19" t="n">
        <x:v>1</x:v>
      </x:c>
      <x:c r="L3285" s="24" t="n">
        <x:v>42.30933333333333</x:v>
      </x:c>
      <x:c r="M3285" s="26" t="n">
        <x:v>0.1</x:v>
      </x:c>
      <x:c r="N3285" s="24" t="n">
        <x:v>72</x:v>
      </x:c>
      <x:c r="O3285" s="28" t="n">
        <x:f>MIN(1,L3285/I3285)</x:f>
        <x:v>0.010577333333333333</x:v>
      </x:c>
      <x:c r="P3285" s="30" t="n">
        <x:f>O3285*J3285*(1+M3285)</x:f>
        <x:v>0.011635066666666668</x:v>
      </x:c>
      <x:c r="Q3285" s="30" t="n">
        <x:f>P3285*N3285</x:f>
        <x:v>0.8377248</x:v>
      </x:c>
      <x:c r="R3285" s="19" t="str">
        <x:v>独立判定</x:v>
      </x:c>
    </x:row>
    <x:row r="3286" ht="19" customHeight="1">
      <x:c r="A3286" s="19" t="str">
        <x:v>D03282</x:v>
      </x:c>
      <x:c r="B3286" s="19" t="n">
        <x:v>7</x:v>
      </x:c>
      <x:c r="C3286" s="19" t="n">
        <x:v>2</x:v>
      </x:c>
      <x:c r="D3286" s="19" t="str">
        <x:v>C07-M014</x:v>
      </x:c>
      <x:c r="E3286" s="19" t="str">
        <x:v>冰封流亡者</x:v>
      </x:c>
      <x:c r="F3286" s="19" t="str">
        <x:v>普通</x:v>
      </x:c>
      <x:c r="G3286" s="19" t="str">
        <x:v>材料独立候选</x:v>
      </x:c>
      <x:c r="H3286" s="19" t="str">
        <x:v>冻晶尘</x:v>
      </x:c>
      <x:c r="I3286" s="22" t="n">
        <x:v>1200</x:v>
      </x:c>
      <x:c r="J3286" s="22" t="n">
        <x:v>8</x:v>
      </x:c>
      <x:c r="K3286" s="19" t="n">
        <x:v>1</x:v>
      </x:c>
      <x:c r="L3286" s="24" t="n">
        <x:v>42.30933333333333</x:v>
      </x:c>
      <x:c r="M3286" s="26" t="n">
        <x:v>0.1</x:v>
      </x:c>
      <x:c r="N3286" s="24" t="n">
        <x:v>72</x:v>
      </x:c>
      <x:c r="O3286" s="28" t="n">
        <x:f>MIN(1,L3286/I3286)</x:f>
        <x:v>0.03525777777777777</x:v>
      </x:c>
      <x:c r="P3286" s="30" t="n">
        <x:f>O3286*J3286*(1+M3286)</x:f>
        <x:v>0.3102684444444444</x:v>
      </x:c>
      <x:c r="Q3286" s="30" t="n">
        <x:f>P3286*N3286</x:f>
        <x:v>22.339328</x:v>
      </x:c>
      <x:c r="R3286" s="19" t="str">
        <x:v>独立判定</x:v>
      </x:c>
    </x:row>
    <x:row r="3287" ht="19" customHeight="1">
      <x:c r="A3287" s="19" t="str">
        <x:v>D03283</x:v>
      </x:c>
      <x:c r="B3287" s="19" t="n">
        <x:v>7</x:v>
      </x:c>
      <x:c r="C3287" s="19" t="n">
        <x:v>2</x:v>
      </x:c>
      <x:c r="D3287" s="19" t="str">
        <x:v>C07-M014</x:v>
      </x:c>
      <x:c r="E3287" s="19" t="str">
        <x:v>冰封流亡者</x:v>
      </x:c>
      <x:c r="F3287" s="19" t="str">
        <x:v>普通</x:v>
      </x:c>
      <x:c r="G3287" s="19" t="str">
        <x:v>材料独立候选</x:v>
      </x:c>
      <x:c r="H3287" s="19" t="str">
        <x:v>白金路标片</x:v>
      </x:c>
      <x:c r="I3287" s="22" t="n">
        <x:v>1500</x:v>
      </x:c>
      <x:c r="J3287" s="22" t="n">
        <x:v>1</x:v>
      </x:c>
      <x:c r="K3287" s="19" t="n">
        <x:v>1</x:v>
      </x:c>
      <x:c r="L3287" s="24" t="n">
        <x:v>42.30933333333333</x:v>
      </x:c>
      <x:c r="M3287" s="26" t="n">
        <x:v>0.1</x:v>
      </x:c>
      <x:c r="N3287" s="24" t="n">
        <x:v>72</x:v>
      </x:c>
      <x:c r="O3287" s="28" t="n">
        <x:f>MIN(1,L3287/I3287)</x:f>
        <x:v>0.02820622222222222</x:v>
      </x:c>
      <x:c r="P3287" s="30" t="n">
        <x:f>O3287*J3287*(1+M3287)</x:f>
        <x:v>0.031026844444444444</x:v>
      </x:c>
      <x:c r="Q3287" s="30" t="n">
        <x:f>P3287*N3287</x:f>
        <x:v>2.2339328</x:v>
      </x:c>
      <x:c r="R3287" s="19" t="str">
        <x:v>独立判定</x:v>
      </x:c>
    </x:row>
    <x:row r="3288" ht="19" customHeight="1">
      <x:c r="A3288" s="19" t="str">
        <x:v>D03284</x:v>
      </x:c>
      <x:c r="B3288" s="19" t="n">
        <x:v>7</x:v>
      </x:c>
      <x:c r="C3288" s="19" t="n">
        <x:v>2</x:v>
      </x:c>
      <x:c r="D3288" s="19" t="str">
        <x:v>C07-M014</x:v>
      </x:c>
      <x:c r="E3288" s="19" t="str">
        <x:v>冰封流亡者</x:v>
      </x:c>
      <x:c r="F3288" s="19" t="str">
        <x:v>普通</x:v>
      </x:c>
      <x:c r="G3288" s="19" t="str">
        <x:v>材料独立候选</x:v>
      </x:c>
      <x:c r="H3288" s="19" t="str">
        <x:v>永霜朝圣痕</x:v>
      </x:c>
      <x:c r="I3288" s="22" t="n">
        <x:v>2000000</x:v>
      </x:c>
      <x:c r="J3288" s="22" t="n">
        <x:v>1</x:v>
      </x:c>
      <x:c r="K3288" s="19" t="n">
        <x:v>1</x:v>
      </x:c>
      <x:c r="L3288" s="24" t="n">
        <x:v>42.30933333333333</x:v>
      </x:c>
      <x:c r="M3288" s="26" t="n">
        <x:v>0.1</x:v>
      </x:c>
      <x:c r="N3288" s="24" t="n">
        <x:v>72</x:v>
      </x:c>
      <x:c r="O3288" s="28" t="n">
        <x:f>MIN(1,L3288/I3288)</x:f>
        <x:v>0.000021154666666666662</x:v>
      </x:c>
      <x:c r="P3288" s="30" t="n">
        <x:f>O3288*J3288*(1+M3288)</x:f>
        <x:v>0.00002327013333333333</x:v>
      </x:c>
      <x:c r="Q3288" s="30" t="n">
        <x:f>P3288*N3288</x:f>
        <x:v>0.0016754495999999996</x:v>
      </x:c>
      <x:c r="R3288" s="19" t="str">
        <x:v>独立判定</x:v>
      </x:c>
    </x:row>
    <x:row r="3289" ht="19" customHeight="1">
      <x:c r="A3289" s="19" t="str">
        <x:v>D03285</x:v>
      </x:c>
      <x:c r="B3289" s="19" t="n">
        <x:v>7</x:v>
      </x:c>
      <x:c r="C3289" s="19" t="n">
        <x:v>2</x:v>
      </x:c>
      <x:c r="D3289" s="19" t="str">
        <x:v>C07-M014</x:v>
      </x:c>
      <x:c r="E3289" s="19" t="str">
        <x:v>冰封流亡者</x:v>
      </x:c>
      <x:c r="F3289" s="19" t="str">
        <x:v>普通</x:v>
      </x:c>
      <x:c r="G3289" s="19" t="str">
        <x:v>材料独立候选</x:v>
      </x:c>
      <x:c r="H3289" s="19" t="str">
        <x:v>野兽骨片</x:v>
      </x:c>
      <x:c r="I3289" s="22" t="n">
        <x:v>250</x:v>
      </x:c>
      <x:c r="J3289" s="22" t="n">
        <x:v>5</x:v>
      </x:c>
      <x:c r="K3289" s="19" t="n">
        <x:v>1</x:v>
      </x:c>
      <x:c r="L3289" s="24" t="n">
        <x:v>42.30933333333333</x:v>
      </x:c>
      <x:c r="M3289" s="26" t="n">
        <x:v>0.1</x:v>
      </x:c>
      <x:c r="N3289" s="24" t="n">
        <x:v>72</x:v>
      </x:c>
      <x:c r="O3289" s="28" t="n">
        <x:f>MIN(1,L3289/I3289)</x:f>
        <x:v>0.16923733333333332</x:v>
      </x:c>
      <x:c r="P3289" s="30" t="n">
        <x:f>O3289*J3289*(1+M3289)</x:f>
        <x:v>0.9308053333333334</x:v>
      </x:c>
      <x:c r="Q3289" s="30" t="n">
        <x:f>P3289*N3289</x:f>
        <x:v>67.017984</x:v>
      </x:c>
      <x:c r="R3289" s="19" t="str">
        <x:v>独立判定</x:v>
      </x:c>
    </x:row>
    <x:row r="3290" ht="19" customHeight="1">
      <x:c r="A3290" s="19" t="str">
        <x:v>D03286</x:v>
      </x:c>
      <x:c r="B3290" s="19" t="n">
        <x:v>7</x:v>
      </x:c>
      <x:c r="C3290" s="19" t="n">
        <x:v>2</x:v>
      </x:c>
      <x:c r="D3290" s="19" t="str">
        <x:v>C07-M014</x:v>
      </x:c>
      <x:c r="E3290" s="19" t="str">
        <x:v>冰封流亡者</x:v>
      </x:c>
      <x:c r="F3290" s="19" t="str">
        <x:v>普通</x:v>
      </x:c>
      <x:c r="G3290" s="19" t="str">
        <x:v>材料独立候选</x:v>
      </x:c>
      <x:c r="H3290" s="19" t="str">
        <x:v>技能残页</x:v>
      </x:c>
      <x:c r="I3290" s="22" t="n">
        <x:v>1500</x:v>
      </x:c>
      <x:c r="J3290" s="22" t="n">
        <x:v>1</x:v>
      </x:c>
      <x:c r="K3290" s="19" t="n">
        <x:v>1</x:v>
      </x:c>
      <x:c r="L3290" s="24" t="n">
        <x:v>42.30933333333333</x:v>
      </x:c>
      <x:c r="M3290" s="26" t="n">
        <x:v>0.1</x:v>
      </x:c>
      <x:c r="N3290" s="24" t="n">
        <x:v>72</x:v>
      </x:c>
      <x:c r="O3290" s="28" t="n">
        <x:f>MIN(1,L3290/I3290)</x:f>
        <x:v>0.02820622222222222</x:v>
      </x:c>
      <x:c r="P3290" s="30" t="n">
        <x:f>O3290*J3290*(1+M3290)</x:f>
        <x:v>0.031026844444444444</x:v>
      </x:c>
      <x:c r="Q3290" s="30" t="n">
        <x:f>P3290*N3290</x:f>
        <x:v>2.2339328</x:v>
      </x:c>
      <x:c r="R3290" s="19" t="str">
        <x:v>独立判定</x:v>
      </x:c>
    </x:row>
    <x:row r="3291" ht="19" customHeight="1">
      <x:c r="A3291" s="19" t="str">
        <x:v>D03287</x:v>
      </x:c>
      <x:c r="B3291" s="19" t="n">
        <x:v>7</x:v>
      </x:c>
      <x:c r="C3291" s="19" t="n">
        <x:v>2</x:v>
      </x:c>
      <x:c r="D3291" s="19" t="str">
        <x:v>C07-M014</x:v>
      </x:c>
      <x:c r="E3291" s="19" t="str">
        <x:v>冰封流亡者</x:v>
      </x:c>
      <x:c r="F3291" s="19" t="str">
        <x:v>普通</x:v>
      </x:c>
      <x:c r="G3291" s="19" t="str">
        <x:v>材料独立候选</x:v>
      </x:c>
      <x:c r="H3291" s="19" t="str">
        <x:v>小卢恩</x:v>
      </x:c>
      <x:c r="I3291" s="22" t="n">
        <x:v>12000</x:v>
      </x:c>
      <x:c r="J3291" s="22" t="n">
        <x:v>1</x:v>
      </x:c>
      <x:c r="K3291" s="19" t="n">
        <x:v>1</x:v>
      </x:c>
      <x:c r="L3291" s="24" t="n">
        <x:v>42.30933333333333</x:v>
      </x:c>
      <x:c r="M3291" s="26" t="n">
        <x:v>0.1</x:v>
      </x:c>
      <x:c r="N3291" s="24" t="n">
        <x:v>72</x:v>
      </x:c>
      <x:c r="O3291" s="28" t="n">
        <x:f>MIN(1,L3291/I3291)</x:f>
        <x:v>0.0035257777777777774</x:v>
      </x:c>
      <x:c r="P3291" s="30" t="n">
        <x:f>O3291*J3291*(1+M3291)</x:f>
        <x:v>0.0038783555555555555</x:v>
      </x:c>
      <x:c r="Q3291" s="30" t="n">
        <x:f>P3291*N3291</x:f>
        <x:v>0.2792416</x:v>
      </x:c>
      <x:c r="R3291" s="19" t="str">
        <x:v>独立判定</x:v>
      </x:c>
    </x:row>
    <x:row r="3292" ht="19" customHeight="1">
      <x:c r="A3292" s="19" t="str">
        <x:v>D03288</x:v>
      </x:c>
      <x:c r="B3292" s="19" t="n">
        <x:v>7</x:v>
      </x:c>
      <x:c r="C3292" s="19" t="n">
        <x:v>2</x:v>
      </x:c>
      <x:c r="D3292" s="19" t="str">
        <x:v>C07-M014</x:v>
      </x:c>
      <x:c r="E3292" s="19" t="str">
        <x:v>冰封流亡者</x:v>
      </x:c>
      <x:c r="F3292" s="19" t="str">
        <x:v>普通</x:v>
      </x:c>
      <x:c r="G3292" s="19" t="str">
        <x:v>六神器公共池</x:v>
      </x:c>
      <x:c r="H3292" s="19" t="str">
        <x:v>POOL006</x:v>
      </x:c>
      <x:c r="I3292" s="22" t="n">
        <x:v>20000000</x:v>
      </x:c>
      <x:c r="J3292" s="22" t="n">
        <x:v>1</x:v>
      </x:c>
      <x:c r="K3292" s="19" t="n">
        <x:v>6</x:v>
      </x:c>
      <x:c r="L3292" s="24" t="n">
        <x:v>42.30933333333333</x:v>
      </x:c>
      <x:c r="M3292" s="26" t="n">
        <x:v>0.1</x:v>
      </x:c>
      <x:c r="N3292" s="24" t="n">
        <x:v>72</x:v>
      </x:c>
      <x:c r="O3292" s="28" t="n">
        <x:f>MIN(1,L3292/I3292)</x:f>
        <x:v>0.0000021154666666666665</x:v>
      </x:c>
      <x:c r="P3292" s="30" t="n">
        <x:f>O3292*J3292*(1+M3292)</x:f>
        <x:v>0.000002327013333333333</x:v>
      </x:c>
      <x:c r="Q3292" s="30" t="n">
        <x:f>P3292*N3292</x:f>
        <x:v>0.00016754495999999998</x:v>
      </x:c>
      <x:c r="R3292" s="19" t="str">
        <x:v>六选一；非6个独立爆率</x:v>
      </x:c>
    </x:row>
    <x:row r="3293" ht="19" customHeight="1">
      <x:c r="A3293" s="19" t="str">
        <x:v>D03289</x:v>
      </x:c>
      <x:c r="B3293" s="19" t="n">
        <x:v>7</x:v>
      </x:c>
      <x:c r="C3293" s="19" t="n">
        <x:v>2</x:v>
      </x:c>
      <x:c r="D3293" s="19" t="str">
        <x:v>C07-M015</x:v>
      </x:c>
      <x:c r="E3293" s="19" t="str">
        <x:v>极昼逐光兽</x:v>
      </x:c>
      <x:c r="F3293" s="19" t="str">
        <x:v>普通</x:v>
      </x:c>
      <x:c r="G3293" s="19" t="str">
        <x:v>自身专属</x:v>
      </x:c>
      <x:c r="H3293" s="19" t="str">
        <x:v>逐光雪衣</x:v>
      </x:c>
      <x:c r="I3293" s="22" t="n">
        <x:v>4000</x:v>
      </x:c>
      <x:c r="J3293" s="22" t="n">
        <x:v>1</x:v>
      </x:c>
      <x:c r="K3293" s="19" t="n">
        <x:v>1</x:v>
      </x:c>
      <x:c r="L3293" s="24" t="n">
        <x:v>42.30933333333333</x:v>
      </x:c>
      <x:c r="M3293" s="26" t="n">
        <x:v>0.1</x:v>
      </x:c>
      <x:c r="N3293" s="24" t="n">
        <x:v>72</x:v>
      </x:c>
      <x:c r="O3293" s="28" t="n">
        <x:f>MIN(1,L3293/I3293)</x:f>
        <x:v>0.010577333333333333</x:v>
      </x:c>
      <x:c r="P3293" s="30" t="n">
        <x:f>O3293*J3293*(1+M3293)</x:f>
        <x:v>0.011635066666666668</x:v>
      </x:c>
      <x:c r="Q3293" s="30" t="n">
        <x:f>P3293*N3293</x:f>
        <x:v>0.8377248</x:v>
      </x:c>
      <x:c r="R3293" s="19" t="str">
        <x:v>独立判定</x:v>
      </x:c>
    </x:row>
    <x:row r="3294" ht="19" customHeight="1">
      <x:c r="A3294" s="19" t="str">
        <x:v>D03290</x:v>
      </x:c>
      <x:c r="B3294" s="19" t="n">
        <x:v>7</x:v>
      </x:c>
      <x:c r="C3294" s="19" t="n">
        <x:v>2</x:v>
      </x:c>
      <x:c r="D3294" s="19" t="str">
        <x:v>C07-M015</x:v>
      </x:c>
      <x:c r="E3294" s="19" t="str">
        <x:v>极昼逐光兽</x:v>
      </x:c>
      <x:c r="F3294" s="19" t="str">
        <x:v>普通</x:v>
      </x:c>
      <x:c r="G3294" s="19" t="str">
        <x:v>材料独立候选</x:v>
      </x:c>
      <x:c r="H3294" s="19" t="str">
        <x:v>冻晶尘</x:v>
      </x:c>
      <x:c r="I3294" s="22" t="n">
        <x:v>1200</x:v>
      </x:c>
      <x:c r="J3294" s="22" t="n">
        <x:v>8</x:v>
      </x:c>
      <x:c r="K3294" s="19" t="n">
        <x:v>1</x:v>
      </x:c>
      <x:c r="L3294" s="24" t="n">
        <x:v>42.30933333333333</x:v>
      </x:c>
      <x:c r="M3294" s="26" t="n">
        <x:v>0.1</x:v>
      </x:c>
      <x:c r="N3294" s="24" t="n">
        <x:v>72</x:v>
      </x:c>
      <x:c r="O3294" s="28" t="n">
        <x:f>MIN(1,L3294/I3294)</x:f>
        <x:v>0.03525777777777777</x:v>
      </x:c>
      <x:c r="P3294" s="30" t="n">
        <x:f>O3294*J3294*(1+M3294)</x:f>
        <x:v>0.3102684444444444</x:v>
      </x:c>
      <x:c r="Q3294" s="30" t="n">
        <x:f>P3294*N3294</x:f>
        <x:v>22.339328</x:v>
      </x:c>
      <x:c r="R3294" s="19" t="str">
        <x:v>独立判定</x:v>
      </x:c>
    </x:row>
    <x:row r="3295" ht="19" customHeight="1">
      <x:c r="A3295" s="19" t="str">
        <x:v>D03291</x:v>
      </x:c>
      <x:c r="B3295" s="19" t="n">
        <x:v>7</x:v>
      </x:c>
      <x:c r="C3295" s="19" t="n">
        <x:v>2</x:v>
      </x:c>
      <x:c r="D3295" s="19" t="str">
        <x:v>C07-M015</x:v>
      </x:c>
      <x:c r="E3295" s="19" t="str">
        <x:v>极昼逐光兽</x:v>
      </x:c>
      <x:c r="F3295" s="19" t="str">
        <x:v>普通</x:v>
      </x:c>
      <x:c r="G3295" s="19" t="str">
        <x:v>材料独立候选</x:v>
      </x:c>
      <x:c r="H3295" s="19" t="str">
        <x:v>白金路标片</x:v>
      </x:c>
      <x:c r="I3295" s="22" t="n">
        <x:v>1500</x:v>
      </x:c>
      <x:c r="J3295" s="22" t="n">
        <x:v>1</x:v>
      </x:c>
      <x:c r="K3295" s="19" t="n">
        <x:v>1</x:v>
      </x:c>
      <x:c r="L3295" s="24" t="n">
        <x:v>42.30933333333333</x:v>
      </x:c>
      <x:c r="M3295" s="26" t="n">
        <x:v>0.1</x:v>
      </x:c>
      <x:c r="N3295" s="24" t="n">
        <x:v>72</x:v>
      </x:c>
      <x:c r="O3295" s="28" t="n">
        <x:f>MIN(1,L3295/I3295)</x:f>
        <x:v>0.02820622222222222</x:v>
      </x:c>
      <x:c r="P3295" s="30" t="n">
        <x:f>O3295*J3295*(1+M3295)</x:f>
        <x:v>0.031026844444444444</x:v>
      </x:c>
      <x:c r="Q3295" s="30" t="n">
        <x:f>P3295*N3295</x:f>
        <x:v>2.2339328</x:v>
      </x:c>
      <x:c r="R3295" s="19" t="str">
        <x:v>独立判定</x:v>
      </x:c>
    </x:row>
    <x:row r="3296" ht="19" customHeight="1">
      <x:c r="A3296" s="19" t="str">
        <x:v>D03292</x:v>
      </x:c>
      <x:c r="B3296" s="19" t="n">
        <x:v>7</x:v>
      </x:c>
      <x:c r="C3296" s="19" t="n">
        <x:v>2</x:v>
      </x:c>
      <x:c r="D3296" s="19" t="str">
        <x:v>C07-M015</x:v>
      </x:c>
      <x:c r="E3296" s="19" t="str">
        <x:v>极昼逐光兽</x:v>
      </x:c>
      <x:c r="F3296" s="19" t="str">
        <x:v>普通</x:v>
      </x:c>
      <x:c r="G3296" s="19" t="str">
        <x:v>材料独立候选</x:v>
      </x:c>
      <x:c r="H3296" s="19" t="str">
        <x:v>永霜朝圣痕</x:v>
      </x:c>
      <x:c r="I3296" s="22" t="n">
        <x:v>2000000</x:v>
      </x:c>
      <x:c r="J3296" s="22" t="n">
        <x:v>1</x:v>
      </x:c>
      <x:c r="K3296" s="19" t="n">
        <x:v>1</x:v>
      </x:c>
      <x:c r="L3296" s="24" t="n">
        <x:v>42.30933333333333</x:v>
      </x:c>
      <x:c r="M3296" s="26" t="n">
        <x:v>0.1</x:v>
      </x:c>
      <x:c r="N3296" s="24" t="n">
        <x:v>72</x:v>
      </x:c>
      <x:c r="O3296" s="28" t="n">
        <x:f>MIN(1,L3296/I3296)</x:f>
        <x:v>0.000021154666666666662</x:v>
      </x:c>
      <x:c r="P3296" s="30" t="n">
        <x:f>O3296*J3296*(1+M3296)</x:f>
        <x:v>0.00002327013333333333</x:v>
      </x:c>
      <x:c r="Q3296" s="30" t="n">
        <x:f>P3296*N3296</x:f>
        <x:v>0.0016754495999999996</x:v>
      </x:c>
      <x:c r="R3296" s="19" t="str">
        <x:v>独立判定</x:v>
      </x:c>
    </x:row>
    <x:row r="3297" ht="19" customHeight="1">
      <x:c r="A3297" s="19" t="str">
        <x:v>D03293</x:v>
      </x:c>
      <x:c r="B3297" s="19" t="n">
        <x:v>7</x:v>
      </x:c>
      <x:c r="C3297" s="19" t="n">
        <x:v>2</x:v>
      </x:c>
      <x:c r="D3297" s="19" t="str">
        <x:v>C07-M015</x:v>
      </x:c>
      <x:c r="E3297" s="19" t="str">
        <x:v>极昼逐光兽</x:v>
      </x:c>
      <x:c r="F3297" s="19" t="str">
        <x:v>普通</x:v>
      </x:c>
      <x:c r="G3297" s="19" t="str">
        <x:v>材料独立候选</x:v>
      </x:c>
      <x:c r="H3297" s="19" t="str">
        <x:v>野兽骨片</x:v>
      </x:c>
      <x:c r="I3297" s="22" t="n">
        <x:v>250</x:v>
      </x:c>
      <x:c r="J3297" s="22" t="n">
        <x:v>5</x:v>
      </x:c>
      <x:c r="K3297" s="19" t="n">
        <x:v>1</x:v>
      </x:c>
      <x:c r="L3297" s="24" t="n">
        <x:v>42.30933333333333</x:v>
      </x:c>
      <x:c r="M3297" s="26" t="n">
        <x:v>0.1</x:v>
      </x:c>
      <x:c r="N3297" s="24" t="n">
        <x:v>72</x:v>
      </x:c>
      <x:c r="O3297" s="28" t="n">
        <x:f>MIN(1,L3297/I3297)</x:f>
        <x:v>0.16923733333333332</x:v>
      </x:c>
      <x:c r="P3297" s="30" t="n">
        <x:f>O3297*J3297*(1+M3297)</x:f>
        <x:v>0.9308053333333334</x:v>
      </x:c>
      <x:c r="Q3297" s="30" t="n">
        <x:f>P3297*N3297</x:f>
        <x:v>67.017984</x:v>
      </x:c>
      <x:c r="R3297" s="19" t="str">
        <x:v>独立判定</x:v>
      </x:c>
    </x:row>
    <x:row r="3298" ht="19" customHeight="1">
      <x:c r="A3298" s="19" t="str">
        <x:v>D03294</x:v>
      </x:c>
      <x:c r="B3298" s="19" t="n">
        <x:v>7</x:v>
      </x:c>
      <x:c r="C3298" s="19" t="n">
        <x:v>2</x:v>
      </x:c>
      <x:c r="D3298" s="19" t="str">
        <x:v>C07-M015</x:v>
      </x:c>
      <x:c r="E3298" s="19" t="str">
        <x:v>极昼逐光兽</x:v>
      </x:c>
      <x:c r="F3298" s="19" t="str">
        <x:v>普通</x:v>
      </x:c>
      <x:c r="G3298" s="19" t="str">
        <x:v>材料独立候选</x:v>
      </x:c>
      <x:c r="H3298" s="19" t="str">
        <x:v>技能残页</x:v>
      </x:c>
      <x:c r="I3298" s="22" t="n">
        <x:v>1500</x:v>
      </x:c>
      <x:c r="J3298" s="22" t="n">
        <x:v>1</x:v>
      </x:c>
      <x:c r="K3298" s="19" t="n">
        <x:v>1</x:v>
      </x:c>
      <x:c r="L3298" s="24" t="n">
        <x:v>42.30933333333333</x:v>
      </x:c>
      <x:c r="M3298" s="26" t="n">
        <x:v>0.1</x:v>
      </x:c>
      <x:c r="N3298" s="24" t="n">
        <x:v>72</x:v>
      </x:c>
      <x:c r="O3298" s="28" t="n">
        <x:f>MIN(1,L3298/I3298)</x:f>
        <x:v>0.02820622222222222</x:v>
      </x:c>
      <x:c r="P3298" s="30" t="n">
        <x:f>O3298*J3298*(1+M3298)</x:f>
        <x:v>0.031026844444444444</x:v>
      </x:c>
      <x:c r="Q3298" s="30" t="n">
        <x:f>P3298*N3298</x:f>
        <x:v>2.2339328</x:v>
      </x:c>
      <x:c r="R3298" s="19" t="str">
        <x:v>独立判定</x:v>
      </x:c>
    </x:row>
    <x:row r="3299" ht="19" customHeight="1">
      <x:c r="A3299" s="19" t="str">
        <x:v>D03295</x:v>
      </x:c>
      <x:c r="B3299" s="19" t="n">
        <x:v>7</x:v>
      </x:c>
      <x:c r="C3299" s="19" t="n">
        <x:v>2</x:v>
      </x:c>
      <x:c r="D3299" s="19" t="str">
        <x:v>C07-M015</x:v>
      </x:c>
      <x:c r="E3299" s="19" t="str">
        <x:v>极昼逐光兽</x:v>
      </x:c>
      <x:c r="F3299" s="19" t="str">
        <x:v>普通</x:v>
      </x:c>
      <x:c r="G3299" s="19" t="str">
        <x:v>材料独立候选</x:v>
      </x:c>
      <x:c r="H3299" s="19" t="str">
        <x:v>小卢恩</x:v>
      </x:c>
      <x:c r="I3299" s="22" t="n">
        <x:v>12000</x:v>
      </x:c>
      <x:c r="J3299" s="22" t="n">
        <x:v>1</x:v>
      </x:c>
      <x:c r="K3299" s="19" t="n">
        <x:v>1</x:v>
      </x:c>
      <x:c r="L3299" s="24" t="n">
        <x:v>42.30933333333333</x:v>
      </x:c>
      <x:c r="M3299" s="26" t="n">
        <x:v>0.1</x:v>
      </x:c>
      <x:c r="N3299" s="24" t="n">
        <x:v>72</x:v>
      </x:c>
      <x:c r="O3299" s="28" t="n">
        <x:f>MIN(1,L3299/I3299)</x:f>
        <x:v>0.0035257777777777774</x:v>
      </x:c>
      <x:c r="P3299" s="30" t="n">
        <x:f>O3299*J3299*(1+M3299)</x:f>
        <x:v>0.0038783555555555555</x:v>
      </x:c>
      <x:c r="Q3299" s="30" t="n">
        <x:f>P3299*N3299</x:f>
        <x:v>0.2792416</x:v>
      </x:c>
      <x:c r="R3299" s="19" t="str">
        <x:v>独立判定</x:v>
      </x:c>
    </x:row>
    <x:row r="3300" ht="19" customHeight="1">
      <x:c r="A3300" s="19" t="str">
        <x:v>D03296</x:v>
      </x:c>
      <x:c r="B3300" s="19" t="n">
        <x:v>7</x:v>
      </x:c>
      <x:c r="C3300" s="19" t="n">
        <x:v>2</x:v>
      </x:c>
      <x:c r="D3300" s="19" t="str">
        <x:v>C07-M015</x:v>
      </x:c>
      <x:c r="E3300" s="19" t="str">
        <x:v>极昼逐光兽</x:v>
      </x:c>
      <x:c r="F3300" s="19" t="str">
        <x:v>普通</x:v>
      </x:c>
      <x:c r="G3300" s="19" t="str">
        <x:v>六神器公共池</x:v>
      </x:c>
      <x:c r="H3300" s="19" t="str">
        <x:v>POOL006</x:v>
      </x:c>
      <x:c r="I3300" s="22" t="n">
        <x:v>20000000</x:v>
      </x:c>
      <x:c r="J3300" s="22" t="n">
        <x:v>1</x:v>
      </x:c>
      <x:c r="K3300" s="19" t="n">
        <x:v>6</x:v>
      </x:c>
      <x:c r="L3300" s="24" t="n">
        <x:v>42.30933333333333</x:v>
      </x:c>
      <x:c r="M3300" s="26" t="n">
        <x:v>0.1</x:v>
      </x:c>
      <x:c r="N3300" s="24" t="n">
        <x:v>72</x:v>
      </x:c>
      <x:c r="O3300" s="28" t="n">
        <x:f>MIN(1,L3300/I3300)</x:f>
        <x:v>0.0000021154666666666665</x:v>
      </x:c>
      <x:c r="P3300" s="30" t="n">
        <x:f>O3300*J3300*(1+M3300)</x:f>
        <x:v>0.000002327013333333333</x:v>
      </x:c>
      <x:c r="Q3300" s="30" t="n">
        <x:f>P3300*N3300</x:f>
        <x:v>0.00016754495999999998</x:v>
      </x:c>
      <x:c r="R3300" s="19" t="str">
        <x:v>六选一；非6个独立爆率</x:v>
      </x:c>
    </x:row>
    <x:row r="3301" ht="19" customHeight="1">
      <x:c r="A3301" s="19" t="str">
        <x:v>D03297</x:v>
      </x:c>
      <x:c r="B3301" s="19" t="n">
        <x:v>7</x:v>
      </x:c>
      <x:c r="C3301" s="19" t="n">
        <x:v>2</x:v>
      </x:c>
      <x:c r="D3301" s="19" t="str">
        <x:v>C07-M016</x:v>
      </x:c>
      <x:c r="E3301" s="19" t="str">
        <x:v>圣域守碑人</x:v>
      </x:c>
      <x:c r="F3301" s="19" t="str">
        <x:v>普通</x:v>
      </x:c>
      <x:c r="G3301" s="19" t="str">
        <x:v>自身专属</x:v>
      </x:c>
      <x:c r="H3301" s="19" t="str">
        <x:v>守碑斗笠</x:v>
      </x:c>
      <x:c r="I3301" s="22" t="n">
        <x:v>4000</x:v>
      </x:c>
      <x:c r="J3301" s="22" t="n">
        <x:v>1</x:v>
      </x:c>
      <x:c r="K3301" s="19" t="n">
        <x:v>1</x:v>
      </x:c>
      <x:c r="L3301" s="24" t="n">
        <x:v>42.30933333333333</x:v>
      </x:c>
      <x:c r="M3301" s="26" t="n">
        <x:v>0.1</x:v>
      </x:c>
      <x:c r="N3301" s="24" t="n">
        <x:v>72</x:v>
      </x:c>
      <x:c r="O3301" s="28" t="n">
        <x:f>MIN(1,L3301/I3301)</x:f>
        <x:v>0.010577333333333333</x:v>
      </x:c>
      <x:c r="P3301" s="30" t="n">
        <x:f>O3301*J3301*(1+M3301)</x:f>
        <x:v>0.011635066666666668</x:v>
      </x:c>
      <x:c r="Q3301" s="30" t="n">
        <x:f>P3301*N3301</x:f>
        <x:v>0.8377248</x:v>
      </x:c>
      <x:c r="R3301" s="19" t="str">
        <x:v>独立判定</x:v>
      </x:c>
    </x:row>
    <x:row r="3302" ht="19" customHeight="1">
      <x:c r="A3302" s="19" t="str">
        <x:v>D03298</x:v>
      </x:c>
      <x:c r="B3302" s="19" t="n">
        <x:v>7</x:v>
      </x:c>
      <x:c r="C3302" s="19" t="n">
        <x:v>2</x:v>
      </x:c>
      <x:c r="D3302" s="19" t="str">
        <x:v>C07-M016</x:v>
      </x:c>
      <x:c r="E3302" s="19" t="str">
        <x:v>圣域守碑人</x:v>
      </x:c>
      <x:c r="F3302" s="19" t="str">
        <x:v>普通</x:v>
      </x:c>
      <x:c r="G3302" s="19" t="str">
        <x:v>材料独立候选</x:v>
      </x:c>
      <x:c r="H3302" s="19" t="str">
        <x:v>冻晶尘</x:v>
      </x:c>
      <x:c r="I3302" s="22" t="n">
        <x:v>1200</x:v>
      </x:c>
      <x:c r="J3302" s="22" t="n">
        <x:v>8</x:v>
      </x:c>
      <x:c r="K3302" s="19" t="n">
        <x:v>1</x:v>
      </x:c>
      <x:c r="L3302" s="24" t="n">
        <x:v>42.30933333333333</x:v>
      </x:c>
      <x:c r="M3302" s="26" t="n">
        <x:v>0.1</x:v>
      </x:c>
      <x:c r="N3302" s="24" t="n">
        <x:v>72</x:v>
      </x:c>
      <x:c r="O3302" s="28" t="n">
        <x:f>MIN(1,L3302/I3302)</x:f>
        <x:v>0.03525777777777777</x:v>
      </x:c>
      <x:c r="P3302" s="30" t="n">
        <x:f>O3302*J3302*(1+M3302)</x:f>
        <x:v>0.3102684444444444</x:v>
      </x:c>
      <x:c r="Q3302" s="30" t="n">
        <x:f>P3302*N3302</x:f>
        <x:v>22.339328</x:v>
      </x:c>
      <x:c r="R3302" s="19" t="str">
        <x:v>独立判定</x:v>
      </x:c>
    </x:row>
    <x:row r="3303" ht="19" customHeight="1">
      <x:c r="A3303" s="19" t="str">
        <x:v>D03299</x:v>
      </x:c>
      <x:c r="B3303" s="19" t="n">
        <x:v>7</x:v>
      </x:c>
      <x:c r="C3303" s="19" t="n">
        <x:v>2</x:v>
      </x:c>
      <x:c r="D3303" s="19" t="str">
        <x:v>C07-M016</x:v>
      </x:c>
      <x:c r="E3303" s="19" t="str">
        <x:v>圣域守碑人</x:v>
      </x:c>
      <x:c r="F3303" s="19" t="str">
        <x:v>普通</x:v>
      </x:c>
      <x:c r="G3303" s="19" t="str">
        <x:v>材料独立候选</x:v>
      </x:c>
      <x:c r="H3303" s="19" t="str">
        <x:v>白金路标片</x:v>
      </x:c>
      <x:c r="I3303" s="22" t="n">
        <x:v>1500</x:v>
      </x:c>
      <x:c r="J3303" s="22" t="n">
        <x:v>1</x:v>
      </x:c>
      <x:c r="K3303" s="19" t="n">
        <x:v>1</x:v>
      </x:c>
      <x:c r="L3303" s="24" t="n">
        <x:v>42.30933333333333</x:v>
      </x:c>
      <x:c r="M3303" s="26" t="n">
        <x:v>0.1</x:v>
      </x:c>
      <x:c r="N3303" s="24" t="n">
        <x:v>72</x:v>
      </x:c>
      <x:c r="O3303" s="28" t="n">
        <x:f>MIN(1,L3303/I3303)</x:f>
        <x:v>0.02820622222222222</x:v>
      </x:c>
      <x:c r="P3303" s="30" t="n">
        <x:f>O3303*J3303*(1+M3303)</x:f>
        <x:v>0.031026844444444444</x:v>
      </x:c>
      <x:c r="Q3303" s="30" t="n">
        <x:f>P3303*N3303</x:f>
        <x:v>2.2339328</x:v>
      </x:c>
      <x:c r="R3303" s="19" t="str">
        <x:v>独立判定</x:v>
      </x:c>
    </x:row>
    <x:row r="3304" ht="19" customHeight="1">
      <x:c r="A3304" s="19" t="str">
        <x:v>D03300</x:v>
      </x:c>
      <x:c r="B3304" s="19" t="n">
        <x:v>7</x:v>
      </x:c>
      <x:c r="C3304" s="19" t="n">
        <x:v>2</x:v>
      </x:c>
      <x:c r="D3304" s="19" t="str">
        <x:v>C07-M016</x:v>
      </x:c>
      <x:c r="E3304" s="19" t="str">
        <x:v>圣域守碑人</x:v>
      </x:c>
      <x:c r="F3304" s="19" t="str">
        <x:v>普通</x:v>
      </x:c>
      <x:c r="G3304" s="19" t="str">
        <x:v>材料独立候选</x:v>
      </x:c>
      <x:c r="H3304" s="19" t="str">
        <x:v>永霜朝圣痕</x:v>
      </x:c>
      <x:c r="I3304" s="22" t="n">
        <x:v>2000000</x:v>
      </x:c>
      <x:c r="J3304" s="22" t="n">
        <x:v>1</x:v>
      </x:c>
      <x:c r="K3304" s="19" t="n">
        <x:v>1</x:v>
      </x:c>
      <x:c r="L3304" s="24" t="n">
        <x:v>42.30933333333333</x:v>
      </x:c>
      <x:c r="M3304" s="26" t="n">
        <x:v>0.1</x:v>
      </x:c>
      <x:c r="N3304" s="24" t="n">
        <x:v>72</x:v>
      </x:c>
      <x:c r="O3304" s="28" t="n">
        <x:f>MIN(1,L3304/I3304)</x:f>
        <x:v>0.000021154666666666662</x:v>
      </x:c>
      <x:c r="P3304" s="30" t="n">
        <x:f>O3304*J3304*(1+M3304)</x:f>
        <x:v>0.00002327013333333333</x:v>
      </x:c>
      <x:c r="Q3304" s="30" t="n">
        <x:f>P3304*N3304</x:f>
        <x:v>0.0016754495999999996</x:v>
      </x:c>
      <x:c r="R3304" s="19" t="str">
        <x:v>独立判定</x:v>
      </x:c>
    </x:row>
    <x:row r="3305" ht="19" customHeight="1">
      <x:c r="A3305" s="19" t="str">
        <x:v>D03301</x:v>
      </x:c>
      <x:c r="B3305" s="19" t="n">
        <x:v>7</x:v>
      </x:c>
      <x:c r="C3305" s="19" t="n">
        <x:v>2</x:v>
      </x:c>
      <x:c r="D3305" s="19" t="str">
        <x:v>C07-M016</x:v>
      </x:c>
      <x:c r="E3305" s="19" t="str">
        <x:v>圣域守碑人</x:v>
      </x:c>
      <x:c r="F3305" s="19" t="str">
        <x:v>普通</x:v>
      </x:c>
      <x:c r="G3305" s="19" t="str">
        <x:v>材料独立候选</x:v>
      </x:c>
      <x:c r="H3305" s="19" t="str">
        <x:v>野兽骨片</x:v>
      </x:c>
      <x:c r="I3305" s="22" t="n">
        <x:v>250</x:v>
      </x:c>
      <x:c r="J3305" s="22" t="n">
        <x:v>5</x:v>
      </x:c>
      <x:c r="K3305" s="19" t="n">
        <x:v>1</x:v>
      </x:c>
      <x:c r="L3305" s="24" t="n">
        <x:v>42.30933333333333</x:v>
      </x:c>
      <x:c r="M3305" s="26" t="n">
        <x:v>0.1</x:v>
      </x:c>
      <x:c r="N3305" s="24" t="n">
        <x:v>72</x:v>
      </x:c>
      <x:c r="O3305" s="28" t="n">
        <x:f>MIN(1,L3305/I3305)</x:f>
        <x:v>0.16923733333333332</x:v>
      </x:c>
      <x:c r="P3305" s="30" t="n">
        <x:f>O3305*J3305*(1+M3305)</x:f>
        <x:v>0.9308053333333334</x:v>
      </x:c>
      <x:c r="Q3305" s="30" t="n">
        <x:f>P3305*N3305</x:f>
        <x:v>67.017984</x:v>
      </x:c>
      <x:c r="R3305" s="19" t="str">
        <x:v>独立判定</x:v>
      </x:c>
    </x:row>
    <x:row r="3306" ht="19" customHeight="1">
      <x:c r="A3306" s="19" t="str">
        <x:v>D03302</x:v>
      </x:c>
      <x:c r="B3306" s="19" t="n">
        <x:v>7</x:v>
      </x:c>
      <x:c r="C3306" s="19" t="n">
        <x:v>2</x:v>
      </x:c>
      <x:c r="D3306" s="19" t="str">
        <x:v>C07-M016</x:v>
      </x:c>
      <x:c r="E3306" s="19" t="str">
        <x:v>圣域守碑人</x:v>
      </x:c>
      <x:c r="F3306" s="19" t="str">
        <x:v>普通</x:v>
      </x:c>
      <x:c r="G3306" s="19" t="str">
        <x:v>材料独立候选</x:v>
      </x:c>
      <x:c r="H3306" s="19" t="str">
        <x:v>技能残页</x:v>
      </x:c>
      <x:c r="I3306" s="22" t="n">
        <x:v>1500</x:v>
      </x:c>
      <x:c r="J3306" s="22" t="n">
        <x:v>1</x:v>
      </x:c>
      <x:c r="K3306" s="19" t="n">
        <x:v>1</x:v>
      </x:c>
      <x:c r="L3306" s="24" t="n">
        <x:v>42.30933333333333</x:v>
      </x:c>
      <x:c r="M3306" s="26" t="n">
        <x:v>0.1</x:v>
      </x:c>
      <x:c r="N3306" s="24" t="n">
        <x:v>72</x:v>
      </x:c>
      <x:c r="O3306" s="28" t="n">
        <x:f>MIN(1,L3306/I3306)</x:f>
        <x:v>0.02820622222222222</x:v>
      </x:c>
      <x:c r="P3306" s="30" t="n">
        <x:f>O3306*J3306*(1+M3306)</x:f>
        <x:v>0.031026844444444444</x:v>
      </x:c>
      <x:c r="Q3306" s="30" t="n">
        <x:f>P3306*N3306</x:f>
        <x:v>2.2339328</x:v>
      </x:c>
      <x:c r="R3306" s="19" t="str">
        <x:v>独立判定</x:v>
      </x:c>
    </x:row>
    <x:row r="3307" ht="19" customHeight="1">
      <x:c r="A3307" s="19" t="str">
        <x:v>D03303</x:v>
      </x:c>
      <x:c r="B3307" s="19" t="n">
        <x:v>7</x:v>
      </x:c>
      <x:c r="C3307" s="19" t="n">
        <x:v>2</x:v>
      </x:c>
      <x:c r="D3307" s="19" t="str">
        <x:v>C07-M016</x:v>
      </x:c>
      <x:c r="E3307" s="19" t="str">
        <x:v>圣域守碑人</x:v>
      </x:c>
      <x:c r="F3307" s="19" t="str">
        <x:v>普通</x:v>
      </x:c>
      <x:c r="G3307" s="19" t="str">
        <x:v>材料独立候选</x:v>
      </x:c>
      <x:c r="H3307" s="19" t="str">
        <x:v>小卢恩</x:v>
      </x:c>
      <x:c r="I3307" s="22" t="n">
        <x:v>12000</x:v>
      </x:c>
      <x:c r="J3307" s="22" t="n">
        <x:v>1</x:v>
      </x:c>
      <x:c r="K3307" s="19" t="n">
        <x:v>1</x:v>
      </x:c>
      <x:c r="L3307" s="24" t="n">
        <x:v>42.30933333333333</x:v>
      </x:c>
      <x:c r="M3307" s="26" t="n">
        <x:v>0.1</x:v>
      </x:c>
      <x:c r="N3307" s="24" t="n">
        <x:v>72</x:v>
      </x:c>
      <x:c r="O3307" s="28" t="n">
        <x:f>MIN(1,L3307/I3307)</x:f>
        <x:v>0.0035257777777777774</x:v>
      </x:c>
      <x:c r="P3307" s="30" t="n">
        <x:f>O3307*J3307*(1+M3307)</x:f>
        <x:v>0.0038783555555555555</x:v>
      </x:c>
      <x:c r="Q3307" s="30" t="n">
        <x:f>P3307*N3307</x:f>
        <x:v>0.2792416</x:v>
      </x:c>
      <x:c r="R3307" s="19" t="str">
        <x:v>独立判定</x:v>
      </x:c>
    </x:row>
    <x:row r="3308" ht="19" customHeight="1">
      <x:c r="A3308" s="19" t="str">
        <x:v>D03304</x:v>
      </x:c>
      <x:c r="B3308" s="19" t="n">
        <x:v>7</x:v>
      </x:c>
      <x:c r="C3308" s="19" t="n">
        <x:v>2</x:v>
      </x:c>
      <x:c r="D3308" s="19" t="str">
        <x:v>C07-M016</x:v>
      </x:c>
      <x:c r="E3308" s="19" t="str">
        <x:v>圣域守碑人</x:v>
      </x:c>
      <x:c r="F3308" s="19" t="str">
        <x:v>普通</x:v>
      </x:c>
      <x:c r="G3308" s="19" t="str">
        <x:v>六神器公共池</x:v>
      </x:c>
      <x:c r="H3308" s="19" t="str">
        <x:v>POOL006</x:v>
      </x:c>
      <x:c r="I3308" s="22" t="n">
        <x:v>20000000</x:v>
      </x:c>
      <x:c r="J3308" s="22" t="n">
        <x:v>1</x:v>
      </x:c>
      <x:c r="K3308" s="19" t="n">
        <x:v>6</x:v>
      </x:c>
      <x:c r="L3308" s="24" t="n">
        <x:v>42.30933333333333</x:v>
      </x:c>
      <x:c r="M3308" s="26" t="n">
        <x:v>0.1</x:v>
      </x:c>
      <x:c r="N3308" s="24" t="n">
        <x:v>72</x:v>
      </x:c>
      <x:c r="O3308" s="28" t="n">
        <x:f>MIN(1,L3308/I3308)</x:f>
        <x:v>0.0000021154666666666665</x:v>
      </x:c>
      <x:c r="P3308" s="30" t="n">
        <x:f>O3308*J3308*(1+M3308)</x:f>
        <x:v>0.000002327013333333333</x:v>
      </x:c>
      <x:c r="Q3308" s="30" t="n">
        <x:f>P3308*N3308</x:f>
        <x:v>0.00016754495999999998</x:v>
      </x:c>
      <x:c r="R3308" s="19" t="str">
        <x:v>六选一；非6个独立爆率</x:v>
      </x:c>
    </x:row>
    <x:row r="3309" ht="19" customHeight="1">
      <x:c r="A3309" s="19" t="str">
        <x:v>D03305</x:v>
      </x:c>
      <x:c r="B3309" s="19" t="n">
        <x:v>7</x:v>
      </x:c>
      <x:c r="C3309" s="19" t="n">
        <x:v>2</x:v>
      </x:c>
      <x:c r="D3309" s="19" t="str">
        <x:v>C07-M017</x:v>
      </x:c>
      <x:c r="E3309" s="19" t="str">
        <x:v>永冻霜牙狼</x:v>
      </x:c>
      <x:c r="F3309" s="19" t="str">
        <x:v>普通</x:v>
      </x:c>
      <x:c r="G3309" s="19" t="str">
        <x:v>自身专属</x:v>
      </x:c>
      <x:c r="H3309" s="19" t="str">
        <x:v>霜牙指环</x:v>
      </x:c>
      <x:c r="I3309" s="22" t="n">
        <x:v>4000</x:v>
      </x:c>
      <x:c r="J3309" s="22" t="n">
        <x:v>1</x:v>
      </x:c>
      <x:c r="K3309" s="19" t="n">
        <x:v>1</x:v>
      </x:c>
      <x:c r="L3309" s="24" t="n">
        <x:v>42.30933333333333</x:v>
      </x:c>
      <x:c r="M3309" s="26" t="n">
        <x:v>0.1</x:v>
      </x:c>
      <x:c r="N3309" s="24" t="n">
        <x:v>72</x:v>
      </x:c>
      <x:c r="O3309" s="28" t="n">
        <x:f>MIN(1,L3309/I3309)</x:f>
        <x:v>0.010577333333333333</x:v>
      </x:c>
      <x:c r="P3309" s="30" t="n">
        <x:f>O3309*J3309*(1+M3309)</x:f>
        <x:v>0.011635066666666668</x:v>
      </x:c>
      <x:c r="Q3309" s="30" t="n">
        <x:f>P3309*N3309</x:f>
        <x:v>0.8377248</x:v>
      </x:c>
      <x:c r="R3309" s="19" t="str">
        <x:v>独立判定</x:v>
      </x:c>
    </x:row>
    <x:row r="3310" ht="19" customHeight="1">
      <x:c r="A3310" s="19" t="str">
        <x:v>D03306</x:v>
      </x:c>
      <x:c r="B3310" s="19" t="n">
        <x:v>7</x:v>
      </x:c>
      <x:c r="C3310" s="19" t="n">
        <x:v>2</x:v>
      </x:c>
      <x:c r="D3310" s="19" t="str">
        <x:v>C07-M017</x:v>
      </x:c>
      <x:c r="E3310" s="19" t="str">
        <x:v>永冻霜牙狼</x:v>
      </x:c>
      <x:c r="F3310" s="19" t="str">
        <x:v>普通</x:v>
      </x:c>
      <x:c r="G3310" s="19" t="str">
        <x:v>材料独立候选</x:v>
      </x:c>
      <x:c r="H3310" s="19" t="str">
        <x:v>冻晶尘</x:v>
      </x:c>
      <x:c r="I3310" s="22" t="n">
        <x:v>1200</x:v>
      </x:c>
      <x:c r="J3310" s="22" t="n">
        <x:v>8</x:v>
      </x:c>
      <x:c r="K3310" s="19" t="n">
        <x:v>1</x:v>
      </x:c>
      <x:c r="L3310" s="24" t="n">
        <x:v>42.30933333333333</x:v>
      </x:c>
      <x:c r="M3310" s="26" t="n">
        <x:v>0.1</x:v>
      </x:c>
      <x:c r="N3310" s="24" t="n">
        <x:v>72</x:v>
      </x:c>
      <x:c r="O3310" s="28" t="n">
        <x:f>MIN(1,L3310/I3310)</x:f>
        <x:v>0.03525777777777777</x:v>
      </x:c>
      <x:c r="P3310" s="30" t="n">
        <x:f>O3310*J3310*(1+M3310)</x:f>
        <x:v>0.3102684444444444</x:v>
      </x:c>
      <x:c r="Q3310" s="30" t="n">
        <x:f>P3310*N3310</x:f>
        <x:v>22.339328</x:v>
      </x:c>
      <x:c r="R3310" s="19" t="str">
        <x:v>独立判定</x:v>
      </x:c>
    </x:row>
    <x:row r="3311" ht="19" customHeight="1">
      <x:c r="A3311" s="19" t="str">
        <x:v>D03307</x:v>
      </x:c>
      <x:c r="B3311" s="19" t="n">
        <x:v>7</x:v>
      </x:c>
      <x:c r="C3311" s="19" t="n">
        <x:v>2</x:v>
      </x:c>
      <x:c r="D3311" s="19" t="str">
        <x:v>C07-M017</x:v>
      </x:c>
      <x:c r="E3311" s="19" t="str">
        <x:v>永冻霜牙狼</x:v>
      </x:c>
      <x:c r="F3311" s="19" t="str">
        <x:v>普通</x:v>
      </x:c>
      <x:c r="G3311" s="19" t="str">
        <x:v>材料独立候选</x:v>
      </x:c>
      <x:c r="H3311" s="19" t="str">
        <x:v>白金路标片</x:v>
      </x:c>
      <x:c r="I3311" s="22" t="n">
        <x:v>1500</x:v>
      </x:c>
      <x:c r="J3311" s="22" t="n">
        <x:v>1</x:v>
      </x:c>
      <x:c r="K3311" s="19" t="n">
        <x:v>1</x:v>
      </x:c>
      <x:c r="L3311" s="24" t="n">
        <x:v>42.30933333333333</x:v>
      </x:c>
      <x:c r="M3311" s="26" t="n">
        <x:v>0.1</x:v>
      </x:c>
      <x:c r="N3311" s="24" t="n">
        <x:v>72</x:v>
      </x:c>
      <x:c r="O3311" s="28" t="n">
        <x:f>MIN(1,L3311/I3311)</x:f>
        <x:v>0.02820622222222222</x:v>
      </x:c>
      <x:c r="P3311" s="30" t="n">
        <x:f>O3311*J3311*(1+M3311)</x:f>
        <x:v>0.031026844444444444</x:v>
      </x:c>
      <x:c r="Q3311" s="30" t="n">
        <x:f>P3311*N3311</x:f>
        <x:v>2.2339328</x:v>
      </x:c>
      <x:c r="R3311" s="19" t="str">
        <x:v>独立判定</x:v>
      </x:c>
    </x:row>
    <x:row r="3312" ht="19" customHeight="1">
      <x:c r="A3312" s="19" t="str">
        <x:v>D03308</x:v>
      </x:c>
      <x:c r="B3312" s="19" t="n">
        <x:v>7</x:v>
      </x:c>
      <x:c r="C3312" s="19" t="n">
        <x:v>2</x:v>
      </x:c>
      <x:c r="D3312" s="19" t="str">
        <x:v>C07-M017</x:v>
      </x:c>
      <x:c r="E3312" s="19" t="str">
        <x:v>永冻霜牙狼</x:v>
      </x:c>
      <x:c r="F3312" s="19" t="str">
        <x:v>普通</x:v>
      </x:c>
      <x:c r="G3312" s="19" t="str">
        <x:v>材料独立候选</x:v>
      </x:c>
      <x:c r="H3312" s="19" t="str">
        <x:v>永霜朝圣痕</x:v>
      </x:c>
      <x:c r="I3312" s="22" t="n">
        <x:v>2000000</x:v>
      </x:c>
      <x:c r="J3312" s="22" t="n">
        <x:v>1</x:v>
      </x:c>
      <x:c r="K3312" s="19" t="n">
        <x:v>1</x:v>
      </x:c>
      <x:c r="L3312" s="24" t="n">
        <x:v>42.30933333333333</x:v>
      </x:c>
      <x:c r="M3312" s="26" t="n">
        <x:v>0.1</x:v>
      </x:c>
      <x:c r="N3312" s="24" t="n">
        <x:v>72</x:v>
      </x:c>
      <x:c r="O3312" s="28" t="n">
        <x:f>MIN(1,L3312/I3312)</x:f>
        <x:v>0.000021154666666666662</x:v>
      </x:c>
      <x:c r="P3312" s="30" t="n">
        <x:f>O3312*J3312*(1+M3312)</x:f>
        <x:v>0.00002327013333333333</x:v>
      </x:c>
      <x:c r="Q3312" s="30" t="n">
        <x:f>P3312*N3312</x:f>
        <x:v>0.0016754495999999996</x:v>
      </x:c>
      <x:c r="R3312" s="19" t="str">
        <x:v>独立判定</x:v>
      </x:c>
    </x:row>
    <x:row r="3313" ht="19" customHeight="1">
      <x:c r="A3313" s="19" t="str">
        <x:v>D03309</x:v>
      </x:c>
      <x:c r="B3313" s="19" t="n">
        <x:v>7</x:v>
      </x:c>
      <x:c r="C3313" s="19" t="n">
        <x:v>2</x:v>
      </x:c>
      <x:c r="D3313" s="19" t="str">
        <x:v>C07-M017</x:v>
      </x:c>
      <x:c r="E3313" s="19" t="str">
        <x:v>永冻霜牙狼</x:v>
      </x:c>
      <x:c r="F3313" s="19" t="str">
        <x:v>普通</x:v>
      </x:c>
      <x:c r="G3313" s="19" t="str">
        <x:v>材料独立候选</x:v>
      </x:c>
      <x:c r="H3313" s="19" t="str">
        <x:v>野兽骨片</x:v>
      </x:c>
      <x:c r="I3313" s="22" t="n">
        <x:v>250</x:v>
      </x:c>
      <x:c r="J3313" s="22" t="n">
        <x:v>5</x:v>
      </x:c>
      <x:c r="K3313" s="19" t="n">
        <x:v>1</x:v>
      </x:c>
      <x:c r="L3313" s="24" t="n">
        <x:v>42.30933333333333</x:v>
      </x:c>
      <x:c r="M3313" s="26" t="n">
        <x:v>0.1</x:v>
      </x:c>
      <x:c r="N3313" s="24" t="n">
        <x:v>72</x:v>
      </x:c>
      <x:c r="O3313" s="28" t="n">
        <x:f>MIN(1,L3313/I3313)</x:f>
        <x:v>0.16923733333333332</x:v>
      </x:c>
      <x:c r="P3313" s="30" t="n">
        <x:f>O3313*J3313*(1+M3313)</x:f>
        <x:v>0.9308053333333334</x:v>
      </x:c>
      <x:c r="Q3313" s="30" t="n">
        <x:f>P3313*N3313</x:f>
        <x:v>67.017984</x:v>
      </x:c>
      <x:c r="R3313" s="19" t="str">
        <x:v>独立判定</x:v>
      </x:c>
    </x:row>
    <x:row r="3314" ht="19" customHeight="1">
      <x:c r="A3314" s="19" t="str">
        <x:v>D03310</x:v>
      </x:c>
      <x:c r="B3314" s="19" t="n">
        <x:v>7</x:v>
      </x:c>
      <x:c r="C3314" s="19" t="n">
        <x:v>2</x:v>
      </x:c>
      <x:c r="D3314" s="19" t="str">
        <x:v>C07-M017</x:v>
      </x:c>
      <x:c r="E3314" s="19" t="str">
        <x:v>永冻霜牙狼</x:v>
      </x:c>
      <x:c r="F3314" s="19" t="str">
        <x:v>普通</x:v>
      </x:c>
      <x:c r="G3314" s="19" t="str">
        <x:v>材料独立候选</x:v>
      </x:c>
      <x:c r="H3314" s="19" t="str">
        <x:v>技能残页</x:v>
      </x:c>
      <x:c r="I3314" s="22" t="n">
        <x:v>1500</x:v>
      </x:c>
      <x:c r="J3314" s="22" t="n">
        <x:v>1</x:v>
      </x:c>
      <x:c r="K3314" s="19" t="n">
        <x:v>1</x:v>
      </x:c>
      <x:c r="L3314" s="24" t="n">
        <x:v>42.30933333333333</x:v>
      </x:c>
      <x:c r="M3314" s="26" t="n">
        <x:v>0.1</x:v>
      </x:c>
      <x:c r="N3314" s="24" t="n">
        <x:v>72</x:v>
      </x:c>
      <x:c r="O3314" s="28" t="n">
        <x:f>MIN(1,L3314/I3314)</x:f>
        <x:v>0.02820622222222222</x:v>
      </x:c>
      <x:c r="P3314" s="30" t="n">
        <x:f>O3314*J3314*(1+M3314)</x:f>
        <x:v>0.031026844444444444</x:v>
      </x:c>
      <x:c r="Q3314" s="30" t="n">
        <x:f>P3314*N3314</x:f>
        <x:v>2.2339328</x:v>
      </x:c>
      <x:c r="R3314" s="19" t="str">
        <x:v>独立判定</x:v>
      </x:c>
    </x:row>
    <x:row r="3315" ht="19" customHeight="1">
      <x:c r="A3315" s="19" t="str">
        <x:v>D03311</x:v>
      </x:c>
      <x:c r="B3315" s="19" t="n">
        <x:v>7</x:v>
      </x:c>
      <x:c r="C3315" s="19" t="n">
        <x:v>2</x:v>
      </x:c>
      <x:c r="D3315" s="19" t="str">
        <x:v>C07-M017</x:v>
      </x:c>
      <x:c r="E3315" s="19" t="str">
        <x:v>永冻霜牙狼</x:v>
      </x:c>
      <x:c r="F3315" s="19" t="str">
        <x:v>普通</x:v>
      </x:c>
      <x:c r="G3315" s="19" t="str">
        <x:v>材料独立候选</x:v>
      </x:c>
      <x:c r="H3315" s="19" t="str">
        <x:v>小卢恩</x:v>
      </x:c>
      <x:c r="I3315" s="22" t="n">
        <x:v>12000</x:v>
      </x:c>
      <x:c r="J3315" s="22" t="n">
        <x:v>1</x:v>
      </x:c>
      <x:c r="K3315" s="19" t="n">
        <x:v>1</x:v>
      </x:c>
      <x:c r="L3315" s="24" t="n">
        <x:v>42.30933333333333</x:v>
      </x:c>
      <x:c r="M3315" s="26" t="n">
        <x:v>0.1</x:v>
      </x:c>
      <x:c r="N3315" s="24" t="n">
        <x:v>72</x:v>
      </x:c>
      <x:c r="O3315" s="28" t="n">
        <x:f>MIN(1,L3315/I3315)</x:f>
        <x:v>0.0035257777777777774</x:v>
      </x:c>
      <x:c r="P3315" s="30" t="n">
        <x:f>O3315*J3315*(1+M3315)</x:f>
        <x:v>0.0038783555555555555</x:v>
      </x:c>
      <x:c r="Q3315" s="30" t="n">
        <x:f>P3315*N3315</x:f>
        <x:v>0.2792416</x:v>
      </x:c>
      <x:c r="R3315" s="19" t="str">
        <x:v>独立判定</x:v>
      </x:c>
    </x:row>
    <x:row r="3316" ht="19" customHeight="1">
      <x:c r="A3316" s="19" t="str">
        <x:v>D03312</x:v>
      </x:c>
      <x:c r="B3316" s="19" t="n">
        <x:v>7</x:v>
      </x:c>
      <x:c r="C3316" s="19" t="n">
        <x:v>2</x:v>
      </x:c>
      <x:c r="D3316" s="19" t="str">
        <x:v>C07-M017</x:v>
      </x:c>
      <x:c r="E3316" s="19" t="str">
        <x:v>永冻霜牙狼</x:v>
      </x:c>
      <x:c r="F3316" s="19" t="str">
        <x:v>普通</x:v>
      </x:c>
      <x:c r="G3316" s="19" t="str">
        <x:v>六神器公共池</x:v>
      </x:c>
      <x:c r="H3316" s="19" t="str">
        <x:v>POOL006</x:v>
      </x:c>
      <x:c r="I3316" s="22" t="n">
        <x:v>20000000</x:v>
      </x:c>
      <x:c r="J3316" s="22" t="n">
        <x:v>1</x:v>
      </x:c>
      <x:c r="K3316" s="19" t="n">
        <x:v>6</x:v>
      </x:c>
      <x:c r="L3316" s="24" t="n">
        <x:v>42.30933333333333</x:v>
      </x:c>
      <x:c r="M3316" s="26" t="n">
        <x:v>0.1</x:v>
      </x:c>
      <x:c r="N3316" s="24" t="n">
        <x:v>72</x:v>
      </x:c>
      <x:c r="O3316" s="28" t="n">
        <x:f>MIN(1,L3316/I3316)</x:f>
        <x:v>0.0000021154666666666665</x:v>
      </x:c>
      <x:c r="P3316" s="30" t="n">
        <x:f>O3316*J3316*(1+M3316)</x:f>
        <x:v>0.000002327013333333333</x:v>
      </x:c>
      <x:c r="Q3316" s="30" t="n">
        <x:f>P3316*N3316</x:f>
        <x:v>0.00016754495999999998</x:v>
      </x:c>
      <x:c r="R3316" s="19" t="str">
        <x:v>六选一；非6个独立爆率</x:v>
      </x:c>
    </x:row>
    <x:row r="3317" ht="19" customHeight="1">
      <x:c r="A3317" s="19" t="str">
        <x:v>D03313</x:v>
      </x:c>
      <x:c r="B3317" s="19" t="n">
        <x:v>7</x:v>
      </x:c>
      <x:c r="C3317" s="19" t="n">
        <x:v>2</x:v>
      </x:c>
      <x:c r="D3317" s="19" t="str">
        <x:v>C07-M018</x:v>
      </x:c>
      <x:c r="E3317" s="19" t="str">
        <x:v>旷野寒弓手</x:v>
      </x:c>
      <x:c r="F3317" s="19" t="str">
        <x:v>普通</x:v>
      </x:c>
      <x:c r="G3317" s="19" t="str">
        <x:v>自身专属</x:v>
      </x:c>
      <x:c r="H3317" s="19" t="str">
        <x:v>寒弓束带</x:v>
      </x:c>
      <x:c r="I3317" s="22" t="n">
        <x:v>4000</x:v>
      </x:c>
      <x:c r="J3317" s="22" t="n">
        <x:v>1</x:v>
      </x:c>
      <x:c r="K3317" s="19" t="n">
        <x:v>1</x:v>
      </x:c>
      <x:c r="L3317" s="24" t="n">
        <x:v>42.30933333333333</x:v>
      </x:c>
      <x:c r="M3317" s="26" t="n">
        <x:v>0.1</x:v>
      </x:c>
      <x:c r="N3317" s="24" t="n">
        <x:v>72</x:v>
      </x:c>
      <x:c r="O3317" s="28" t="n">
        <x:f>MIN(1,L3317/I3317)</x:f>
        <x:v>0.010577333333333333</x:v>
      </x:c>
      <x:c r="P3317" s="30" t="n">
        <x:f>O3317*J3317*(1+M3317)</x:f>
        <x:v>0.011635066666666668</x:v>
      </x:c>
      <x:c r="Q3317" s="30" t="n">
        <x:f>P3317*N3317</x:f>
        <x:v>0.8377248</x:v>
      </x:c>
      <x:c r="R3317" s="19" t="str">
        <x:v>独立判定</x:v>
      </x:c>
    </x:row>
    <x:row r="3318" ht="19" customHeight="1">
      <x:c r="A3318" s="19" t="str">
        <x:v>D03314</x:v>
      </x:c>
      <x:c r="B3318" s="19" t="n">
        <x:v>7</x:v>
      </x:c>
      <x:c r="C3318" s="19" t="n">
        <x:v>2</x:v>
      </x:c>
      <x:c r="D3318" s="19" t="str">
        <x:v>C07-M018</x:v>
      </x:c>
      <x:c r="E3318" s="19" t="str">
        <x:v>旷野寒弓手</x:v>
      </x:c>
      <x:c r="F3318" s="19" t="str">
        <x:v>普通</x:v>
      </x:c>
      <x:c r="G3318" s="19" t="str">
        <x:v>材料独立候选</x:v>
      </x:c>
      <x:c r="H3318" s="19" t="str">
        <x:v>冻晶尘</x:v>
      </x:c>
      <x:c r="I3318" s="22" t="n">
        <x:v>1200</x:v>
      </x:c>
      <x:c r="J3318" s="22" t="n">
        <x:v>8</x:v>
      </x:c>
      <x:c r="K3318" s="19" t="n">
        <x:v>1</x:v>
      </x:c>
      <x:c r="L3318" s="24" t="n">
        <x:v>42.30933333333333</x:v>
      </x:c>
      <x:c r="M3318" s="26" t="n">
        <x:v>0.1</x:v>
      </x:c>
      <x:c r="N3318" s="24" t="n">
        <x:v>72</x:v>
      </x:c>
      <x:c r="O3318" s="28" t="n">
        <x:f>MIN(1,L3318/I3318)</x:f>
        <x:v>0.03525777777777777</x:v>
      </x:c>
      <x:c r="P3318" s="30" t="n">
        <x:f>O3318*J3318*(1+M3318)</x:f>
        <x:v>0.3102684444444444</x:v>
      </x:c>
      <x:c r="Q3318" s="30" t="n">
        <x:f>P3318*N3318</x:f>
        <x:v>22.339328</x:v>
      </x:c>
      <x:c r="R3318" s="19" t="str">
        <x:v>独立判定</x:v>
      </x:c>
    </x:row>
    <x:row r="3319" ht="19" customHeight="1">
      <x:c r="A3319" s="19" t="str">
        <x:v>D03315</x:v>
      </x:c>
      <x:c r="B3319" s="19" t="n">
        <x:v>7</x:v>
      </x:c>
      <x:c r="C3319" s="19" t="n">
        <x:v>2</x:v>
      </x:c>
      <x:c r="D3319" s="19" t="str">
        <x:v>C07-M018</x:v>
      </x:c>
      <x:c r="E3319" s="19" t="str">
        <x:v>旷野寒弓手</x:v>
      </x:c>
      <x:c r="F3319" s="19" t="str">
        <x:v>普通</x:v>
      </x:c>
      <x:c r="G3319" s="19" t="str">
        <x:v>材料独立候选</x:v>
      </x:c>
      <x:c r="H3319" s="19" t="str">
        <x:v>白金路标片</x:v>
      </x:c>
      <x:c r="I3319" s="22" t="n">
        <x:v>1500</x:v>
      </x:c>
      <x:c r="J3319" s="22" t="n">
        <x:v>1</x:v>
      </x:c>
      <x:c r="K3319" s="19" t="n">
        <x:v>1</x:v>
      </x:c>
      <x:c r="L3319" s="24" t="n">
        <x:v>42.30933333333333</x:v>
      </x:c>
      <x:c r="M3319" s="26" t="n">
        <x:v>0.1</x:v>
      </x:c>
      <x:c r="N3319" s="24" t="n">
        <x:v>72</x:v>
      </x:c>
      <x:c r="O3319" s="28" t="n">
        <x:f>MIN(1,L3319/I3319)</x:f>
        <x:v>0.02820622222222222</x:v>
      </x:c>
      <x:c r="P3319" s="30" t="n">
        <x:f>O3319*J3319*(1+M3319)</x:f>
        <x:v>0.031026844444444444</x:v>
      </x:c>
      <x:c r="Q3319" s="30" t="n">
        <x:f>P3319*N3319</x:f>
        <x:v>2.2339328</x:v>
      </x:c>
      <x:c r="R3319" s="19" t="str">
        <x:v>独立判定</x:v>
      </x:c>
    </x:row>
    <x:row r="3320" ht="19" customHeight="1">
      <x:c r="A3320" s="19" t="str">
        <x:v>D03316</x:v>
      </x:c>
      <x:c r="B3320" s="19" t="n">
        <x:v>7</x:v>
      </x:c>
      <x:c r="C3320" s="19" t="n">
        <x:v>2</x:v>
      </x:c>
      <x:c r="D3320" s="19" t="str">
        <x:v>C07-M018</x:v>
      </x:c>
      <x:c r="E3320" s="19" t="str">
        <x:v>旷野寒弓手</x:v>
      </x:c>
      <x:c r="F3320" s="19" t="str">
        <x:v>普通</x:v>
      </x:c>
      <x:c r="G3320" s="19" t="str">
        <x:v>材料独立候选</x:v>
      </x:c>
      <x:c r="H3320" s="19" t="str">
        <x:v>永霜朝圣痕</x:v>
      </x:c>
      <x:c r="I3320" s="22" t="n">
        <x:v>2000000</x:v>
      </x:c>
      <x:c r="J3320" s="22" t="n">
        <x:v>1</x:v>
      </x:c>
      <x:c r="K3320" s="19" t="n">
        <x:v>1</x:v>
      </x:c>
      <x:c r="L3320" s="24" t="n">
        <x:v>42.30933333333333</x:v>
      </x:c>
      <x:c r="M3320" s="26" t="n">
        <x:v>0.1</x:v>
      </x:c>
      <x:c r="N3320" s="24" t="n">
        <x:v>72</x:v>
      </x:c>
      <x:c r="O3320" s="28" t="n">
        <x:f>MIN(1,L3320/I3320)</x:f>
        <x:v>0.000021154666666666662</x:v>
      </x:c>
      <x:c r="P3320" s="30" t="n">
        <x:f>O3320*J3320*(1+M3320)</x:f>
        <x:v>0.00002327013333333333</x:v>
      </x:c>
      <x:c r="Q3320" s="30" t="n">
        <x:f>P3320*N3320</x:f>
        <x:v>0.0016754495999999996</x:v>
      </x:c>
      <x:c r="R3320" s="19" t="str">
        <x:v>独立判定</x:v>
      </x:c>
    </x:row>
    <x:row r="3321" ht="19" customHeight="1">
      <x:c r="A3321" s="19" t="str">
        <x:v>D03317</x:v>
      </x:c>
      <x:c r="B3321" s="19" t="n">
        <x:v>7</x:v>
      </x:c>
      <x:c r="C3321" s="19" t="n">
        <x:v>2</x:v>
      </x:c>
      <x:c r="D3321" s="19" t="str">
        <x:v>C07-M018</x:v>
      </x:c>
      <x:c r="E3321" s="19" t="str">
        <x:v>旷野寒弓手</x:v>
      </x:c>
      <x:c r="F3321" s="19" t="str">
        <x:v>普通</x:v>
      </x:c>
      <x:c r="G3321" s="19" t="str">
        <x:v>材料独立候选</x:v>
      </x:c>
      <x:c r="H3321" s="19" t="str">
        <x:v>野兽骨片</x:v>
      </x:c>
      <x:c r="I3321" s="22" t="n">
        <x:v>250</x:v>
      </x:c>
      <x:c r="J3321" s="22" t="n">
        <x:v>5</x:v>
      </x:c>
      <x:c r="K3321" s="19" t="n">
        <x:v>1</x:v>
      </x:c>
      <x:c r="L3321" s="24" t="n">
        <x:v>42.30933333333333</x:v>
      </x:c>
      <x:c r="M3321" s="26" t="n">
        <x:v>0.1</x:v>
      </x:c>
      <x:c r="N3321" s="24" t="n">
        <x:v>72</x:v>
      </x:c>
      <x:c r="O3321" s="28" t="n">
        <x:f>MIN(1,L3321/I3321)</x:f>
        <x:v>0.16923733333333332</x:v>
      </x:c>
      <x:c r="P3321" s="30" t="n">
        <x:f>O3321*J3321*(1+M3321)</x:f>
        <x:v>0.9308053333333334</x:v>
      </x:c>
      <x:c r="Q3321" s="30" t="n">
        <x:f>P3321*N3321</x:f>
        <x:v>67.017984</x:v>
      </x:c>
      <x:c r="R3321" s="19" t="str">
        <x:v>独立判定</x:v>
      </x:c>
    </x:row>
    <x:row r="3322" ht="19" customHeight="1">
      <x:c r="A3322" s="19" t="str">
        <x:v>D03318</x:v>
      </x:c>
      <x:c r="B3322" s="19" t="n">
        <x:v>7</x:v>
      </x:c>
      <x:c r="C3322" s="19" t="n">
        <x:v>2</x:v>
      </x:c>
      <x:c r="D3322" s="19" t="str">
        <x:v>C07-M018</x:v>
      </x:c>
      <x:c r="E3322" s="19" t="str">
        <x:v>旷野寒弓手</x:v>
      </x:c>
      <x:c r="F3322" s="19" t="str">
        <x:v>普通</x:v>
      </x:c>
      <x:c r="G3322" s="19" t="str">
        <x:v>材料独立候选</x:v>
      </x:c>
      <x:c r="H3322" s="19" t="str">
        <x:v>技能残页</x:v>
      </x:c>
      <x:c r="I3322" s="22" t="n">
        <x:v>1500</x:v>
      </x:c>
      <x:c r="J3322" s="22" t="n">
        <x:v>1</x:v>
      </x:c>
      <x:c r="K3322" s="19" t="n">
        <x:v>1</x:v>
      </x:c>
      <x:c r="L3322" s="24" t="n">
        <x:v>42.30933333333333</x:v>
      </x:c>
      <x:c r="M3322" s="26" t="n">
        <x:v>0.1</x:v>
      </x:c>
      <x:c r="N3322" s="24" t="n">
        <x:v>72</x:v>
      </x:c>
      <x:c r="O3322" s="28" t="n">
        <x:f>MIN(1,L3322/I3322)</x:f>
        <x:v>0.02820622222222222</x:v>
      </x:c>
      <x:c r="P3322" s="30" t="n">
        <x:f>O3322*J3322*(1+M3322)</x:f>
        <x:v>0.031026844444444444</x:v>
      </x:c>
      <x:c r="Q3322" s="30" t="n">
        <x:f>P3322*N3322</x:f>
        <x:v>2.2339328</x:v>
      </x:c>
      <x:c r="R3322" s="19" t="str">
        <x:v>独立判定</x:v>
      </x:c>
    </x:row>
    <x:row r="3323" ht="19" customHeight="1">
      <x:c r="A3323" s="19" t="str">
        <x:v>D03319</x:v>
      </x:c>
      <x:c r="B3323" s="19" t="n">
        <x:v>7</x:v>
      </x:c>
      <x:c r="C3323" s="19" t="n">
        <x:v>2</x:v>
      </x:c>
      <x:c r="D3323" s="19" t="str">
        <x:v>C07-M018</x:v>
      </x:c>
      <x:c r="E3323" s="19" t="str">
        <x:v>旷野寒弓手</x:v>
      </x:c>
      <x:c r="F3323" s="19" t="str">
        <x:v>普通</x:v>
      </x:c>
      <x:c r="G3323" s="19" t="str">
        <x:v>材料独立候选</x:v>
      </x:c>
      <x:c r="H3323" s="19" t="str">
        <x:v>小卢恩</x:v>
      </x:c>
      <x:c r="I3323" s="22" t="n">
        <x:v>12000</x:v>
      </x:c>
      <x:c r="J3323" s="22" t="n">
        <x:v>1</x:v>
      </x:c>
      <x:c r="K3323" s="19" t="n">
        <x:v>1</x:v>
      </x:c>
      <x:c r="L3323" s="24" t="n">
        <x:v>42.30933333333333</x:v>
      </x:c>
      <x:c r="M3323" s="26" t="n">
        <x:v>0.1</x:v>
      </x:c>
      <x:c r="N3323" s="24" t="n">
        <x:v>72</x:v>
      </x:c>
      <x:c r="O3323" s="28" t="n">
        <x:f>MIN(1,L3323/I3323)</x:f>
        <x:v>0.0035257777777777774</x:v>
      </x:c>
      <x:c r="P3323" s="30" t="n">
        <x:f>O3323*J3323*(1+M3323)</x:f>
        <x:v>0.0038783555555555555</x:v>
      </x:c>
      <x:c r="Q3323" s="30" t="n">
        <x:f>P3323*N3323</x:f>
        <x:v>0.2792416</x:v>
      </x:c>
      <x:c r="R3323" s="19" t="str">
        <x:v>独立判定</x:v>
      </x:c>
    </x:row>
    <x:row r="3324" ht="19" customHeight="1">
      <x:c r="A3324" s="19" t="str">
        <x:v>D03320</x:v>
      </x:c>
      <x:c r="B3324" s="19" t="n">
        <x:v>7</x:v>
      </x:c>
      <x:c r="C3324" s="19" t="n">
        <x:v>2</x:v>
      </x:c>
      <x:c r="D3324" s="19" t="str">
        <x:v>C07-M018</x:v>
      </x:c>
      <x:c r="E3324" s="19" t="str">
        <x:v>旷野寒弓手</x:v>
      </x:c>
      <x:c r="F3324" s="19" t="str">
        <x:v>普通</x:v>
      </x:c>
      <x:c r="G3324" s="19" t="str">
        <x:v>六神器公共池</x:v>
      </x:c>
      <x:c r="H3324" s="19" t="str">
        <x:v>POOL006</x:v>
      </x:c>
      <x:c r="I3324" s="22" t="n">
        <x:v>20000000</x:v>
      </x:c>
      <x:c r="J3324" s="22" t="n">
        <x:v>1</x:v>
      </x:c>
      <x:c r="K3324" s="19" t="n">
        <x:v>6</x:v>
      </x:c>
      <x:c r="L3324" s="24" t="n">
        <x:v>42.30933333333333</x:v>
      </x:c>
      <x:c r="M3324" s="26" t="n">
        <x:v>0.1</x:v>
      </x:c>
      <x:c r="N3324" s="24" t="n">
        <x:v>72</x:v>
      </x:c>
      <x:c r="O3324" s="28" t="n">
        <x:f>MIN(1,L3324/I3324)</x:f>
        <x:v>0.0000021154666666666665</x:v>
      </x:c>
      <x:c r="P3324" s="30" t="n">
        <x:f>O3324*J3324*(1+M3324)</x:f>
        <x:v>0.000002327013333333333</x:v>
      </x:c>
      <x:c r="Q3324" s="30" t="n">
        <x:f>P3324*N3324</x:f>
        <x:v>0.00016754495999999998</x:v>
      </x:c>
      <x:c r="R3324" s="19" t="str">
        <x:v>六选一；非6个独立爆率</x:v>
      </x:c>
    </x:row>
    <x:row r="3325" ht="19" customHeight="1">
      <x:c r="A3325" s="19" t="str">
        <x:v>D03321</x:v>
      </x:c>
      <x:c r="B3325" s="19" t="n">
        <x:v>7</x:v>
      </x:c>
      <x:c r="C3325" s="19" t="n">
        <x:v>2</x:v>
      </x:c>
      <x:c r="D3325" s="19" t="str">
        <x:v>C07-M019</x:v>
      </x:c>
      <x:c r="E3325" s="19" t="str">
        <x:v>荒境冰甲犀</x:v>
      </x:c>
      <x:c r="F3325" s="19" t="str">
        <x:v>稀有</x:v>
      </x:c>
      <x:c r="G3325" s="19" t="str">
        <x:v>自身专属</x:v>
      </x:c>
      <x:c r="H3325" s="19" t="str">
        <x:v>冰甲重盾</x:v>
      </x:c>
      <x:c r="I3325" s="22" t="n">
        <x:v>1000</x:v>
      </x:c>
      <x:c r="J3325" s="22" t="n">
        <x:v>1</x:v>
      </x:c>
      <x:c r="K3325" s="19" t="n">
        <x:v>1</x:v>
      </x:c>
      <x:c r="L3325" s="24" t="n">
        <x:v>42.30933333333333</x:v>
      </x:c>
      <x:c r="M3325" s="26" t="n">
        <x:v>0.1</x:v>
      </x:c>
      <x:c r="N3325" s="24" t="n">
        <x:v>12</x:v>
      </x:c>
      <x:c r="O3325" s="28" t="n">
        <x:f>MIN(1,L3325/I3325)</x:f>
        <x:v>0.04230933333333333</x:v>
      </x:c>
      <x:c r="P3325" s="30" t="n">
        <x:f>O3325*J3325*(1+M3325)</x:f>
        <x:v>0.04654026666666667</x:v>
      </x:c>
      <x:c r="Q3325" s="30" t="n">
        <x:f>P3325*N3325</x:f>
        <x:v>0.5584832000000001</x:v>
      </x:c>
      <x:c r="R3325" s="19" t="str">
        <x:v>独立判定</x:v>
      </x:c>
    </x:row>
    <x:row r="3326" ht="19" customHeight="1">
      <x:c r="A3326" s="19" t="str">
        <x:v>D03322</x:v>
      </x:c>
      <x:c r="B3326" s="19" t="n">
        <x:v>7</x:v>
      </x:c>
      <x:c r="C3326" s="19" t="n">
        <x:v>2</x:v>
      </x:c>
      <x:c r="D3326" s="19" t="str">
        <x:v>C07-M019</x:v>
      </x:c>
      <x:c r="E3326" s="19" t="str">
        <x:v>荒境冰甲犀</x:v>
      </x:c>
      <x:c r="F3326" s="19" t="str">
        <x:v>稀有</x:v>
      </x:c>
      <x:c r="G3326" s="19" t="str">
        <x:v>材料独立候选</x:v>
      </x:c>
      <x:c r="H3326" s="19" t="str">
        <x:v>冻晶尘</x:v>
      </x:c>
      <x:c r="I3326" s="22" t="n">
        <x:v>600</x:v>
      </x:c>
      <x:c r="J3326" s="22" t="n">
        <x:v>15</x:v>
      </x:c>
      <x:c r="K3326" s="19" t="n">
        <x:v>1</x:v>
      </x:c>
      <x:c r="L3326" s="24" t="n">
        <x:v>42.30933333333333</x:v>
      </x:c>
      <x:c r="M3326" s="26" t="n">
        <x:v>0.1</x:v>
      </x:c>
      <x:c r="N3326" s="24" t="n">
        <x:v>12</x:v>
      </x:c>
      <x:c r="O3326" s="28" t="n">
        <x:f>MIN(1,L3326/I3326)</x:f>
        <x:v>0.07051555555555554</x:v>
      </x:c>
      <x:c r="P3326" s="30" t="n">
        <x:f>O3326*J3326*(1+M3326)</x:f>
        <x:v>1.1635066666666667</x:v>
      </x:c>
      <x:c r="Q3326" s="30" t="n">
        <x:f>P3326*N3326</x:f>
        <x:v>13.96208</x:v>
      </x:c>
      <x:c r="R3326" s="19" t="str">
        <x:v>独立判定</x:v>
      </x:c>
    </x:row>
    <x:row r="3327" ht="19" customHeight="1">
      <x:c r="A3327" s="19" t="str">
        <x:v>D03323</x:v>
      </x:c>
      <x:c r="B3327" s="19" t="n">
        <x:v>7</x:v>
      </x:c>
      <x:c r="C3327" s="19" t="n">
        <x:v>2</x:v>
      </x:c>
      <x:c r="D3327" s="19" t="str">
        <x:v>C07-M019</x:v>
      </x:c>
      <x:c r="E3327" s="19" t="str">
        <x:v>荒境冰甲犀</x:v>
      </x:c>
      <x:c r="F3327" s="19" t="str">
        <x:v>稀有</x:v>
      </x:c>
      <x:c r="G3327" s="19" t="str">
        <x:v>材料独立候选</x:v>
      </x:c>
      <x:c r="H3327" s="19" t="str">
        <x:v>白金纺线</x:v>
      </x:c>
      <x:c r="I3327" s="22" t="n">
        <x:v>1000</x:v>
      </x:c>
      <x:c r="J3327" s="22" t="n">
        <x:v>1</x:v>
      </x:c>
      <x:c r="K3327" s="19" t="n">
        <x:v>1</x:v>
      </x:c>
      <x:c r="L3327" s="24" t="n">
        <x:v>42.30933333333333</x:v>
      </x:c>
      <x:c r="M3327" s="26" t="n">
        <x:v>0.1</x:v>
      </x:c>
      <x:c r="N3327" s="24" t="n">
        <x:v>12</x:v>
      </x:c>
      <x:c r="O3327" s="28" t="n">
        <x:f>MIN(1,L3327/I3327)</x:f>
        <x:v>0.04230933333333333</x:v>
      </x:c>
      <x:c r="P3327" s="30" t="n">
        <x:f>O3327*J3327*(1+M3327)</x:f>
        <x:v>0.04654026666666667</x:v>
      </x:c>
      <x:c r="Q3327" s="30" t="n">
        <x:f>P3327*N3327</x:f>
        <x:v>0.5584832000000001</x:v>
      </x:c>
      <x:c r="R3327" s="19" t="str">
        <x:v>独立判定</x:v>
      </x:c>
    </x:row>
    <x:row r="3328" ht="19" customHeight="1">
      <x:c r="A3328" s="19" t="str">
        <x:v>D03324</x:v>
      </x:c>
      <x:c r="B3328" s="19" t="n">
        <x:v>7</x:v>
      </x:c>
      <x:c r="C3328" s="19" t="n">
        <x:v>2</x:v>
      </x:c>
      <x:c r="D3328" s="19" t="str">
        <x:v>C07-M019</x:v>
      </x:c>
      <x:c r="E3328" s="19" t="str">
        <x:v>荒境冰甲犀</x:v>
      </x:c>
      <x:c r="F3328" s="19" t="str">
        <x:v>稀有</x:v>
      </x:c>
      <x:c r="G3328" s="19" t="str">
        <x:v>材料独立候选</x:v>
      </x:c>
      <x:c r="H3328" s="19" t="str">
        <x:v>冻原银角</x:v>
      </x:c>
      <x:c r="I3328" s="22" t="n">
        <x:v>1500</x:v>
      </x:c>
      <x:c r="J3328" s="22" t="n">
        <x:v>1</x:v>
      </x:c>
      <x:c r="K3328" s="19" t="n">
        <x:v>1</x:v>
      </x:c>
      <x:c r="L3328" s="24" t="n">
        <x:v>42.30933333333333</x:v>
      </x:c>
      <x:c r="M3328" s="26" t="n">
        <x:v>0.1</x:v>
      </x:c>
      <x:c r="N3328" s="24" t="n">
        <x:v>12</x:v>
      </x:c>
      <x:c r="O3328" s="28" t="n">
        <x:f>MIN(1,L3328/I3328)</x:f>
        <x:v>0.02820622222222222</x:v>
      </x:c>
      <x:c r="P3328" s="30" t="n">
        <x:f>O3328*J3328*(1+M3328)</x:f>
        <x:v>0.031026844444444444</x:v>
      </x:c>
      <x:c r="Q3328" s="30" t="n">
        <x:f>P3328*N3328</x:f>
        <x:v>0.3723221333333333</x:v>
      </x:c>
      <x:c r="R3328" s="19" t="str">
        <x:v>独立判定</x:v>
      </x:c>
    </x:row>
    <x:row r="3329" ht="19" customHeight="1">
      <x:c r="A3329" s="19" t="str">
        <x:v>D03325</x:v>
      </x:c>
      <x:c r="B3329" s="19" t="n">
        <x:v>7</x:v>
      </x:c>
      <x:c r="C3329" s="19" t="n">
        <x:v>2</x:v>
      </x:c>
      <x:c r="D3329" s="19" t="str">
        <x:v>C07-M019</x:v>
      </x:c>
      <x:c r="E3329" s="19" t="str">
        <x:v>荒境冰甲犀</x:v>
      </x:c>
      <x:c r="F3329" s="19" t="str">
        <x:v>稀有</x:v>
      </x:c>
      <x:c r="G3329" s="19" t="str">
        <x:v>材料独立候选</x:v>
      </x:c>
      <x:c r="H3329" s="19" t="str">
        <x:v>永霜朝圣痕</x:v>
      </x:c>
      <x:c r="I3329" s="22" t="n">
        <x:v>1200000</x:v>
      </x:c>
      <x:c r="J3329" s="22" t="n">
        <x:v>1</x:v>
      </x:c>
      <x:c r="K3329" s="19" t="n">
        <x:v>1</x:v>
      </x:c>
      <x:c r="L3329" s="24" t="n">
        <x:v>42.30933333333333</x:v>
      </x:c>
      <x:c r="M3329" s="26" t="n">
        <x:v>0.1</x:v>
      </x:c>
      <x:c r="N3329" s="24" t="n">
        <x:v>12</x:v>
      </x:c>
      <x:c r="O3329" s="28" t="n">
        <x:f>MIN(1,L3329/I3329)</x:f>
        <x:v>0.000035257777777777775</x:v>
      </x:c>
      <x:c r="P3329" s="30" t="n">
        <x:f>O3329*J3329*(1+M3329)</x:f>
        <x:v>0.00003878355555555556</x:v>
      </x:c>
      <x:c r="Q3329" s="30" t="n">
        <x:f>P3329*N3329</x:f>
        <x:v>0.0004654026666666667</x:v>
      </x:c>
      <x:c r="R3329" s="19" t="str">
        <x:v>独立判定</x:v>
      </x:c>
    </x:row>
    <x:row r="3330" ht="19" customHeight="1">
      <x:c r="A3330" s="19" t="str">
        <x:v>D03326</x:v>
      </x:c>
      <x:c r="B3330" s="19" t="n">
        <x:v>7</x:v>
      </x:c>
      <x:c r="C3330" s="19" t="n">
        <x:v>2</x:v>
      </x:c>
      <x:c r="D3330" s="19" t="str">
        <x:v>C07-M019</x:v>
      </x:c>
      <x:c r="E3330" s="19" t="str">
        <x:v>荒境冰甲犀</x:v>
      </x:c>
      <x:c r="F3330" s="19" t="str">
        <x:v>稀有</x:v>
      </x:c>
      <x:c r="G3330" s="19" t="str">
        <x:v>材料独立候选</x:v>
      </x:c>
      <x:c r="H3330" s="19" t="str">
        <x:v>黄金树芽</x:v>
      </x:c>
      <x:c r="I3330" s="22" t="n">
        <x:v>6000</x:v>
      </x:c>
      <x:c r="J3330" s="22" t="n">
        <x:v>1</x:v>
      </x:c>
      <x:c r="K3330" s="19" t="n">
        <x:v>1</x:v>
      </x:c>
      <x:c r="L3330" s="24" t="n">
        <x:v>42.30933333333333</x:v>
      </x:c>
      <x:c r="M3330" s="26" t="n">
        <x:v>0.1</x:v>
      </x:c>
      <x:c r="N3330" s="24" t="n">
        <x:v>12</x:v>
      </x:c>
      <x:c r="O3330" s="28" t="n">
        <x:f>MIN(1,L3330/I3330)</x:f>
        <x:v>0.007051555555555555</x:v>
      </x:c>
      <x:c r="P3330" s="30" t="n">
        <x:f>O3330*J3330*(1+M3330)</x:f>
        <x:v>0.007756711111111111</x:v>
      </x:c>
      <x:c r="Q3330" s="30" t="n">
        <x:f>P3330*N3330</x:f>
        <x:v>0.09308053333333333</x:v>
      </x:c>
      <x:c r="R3330" s="19" t="str">
        <x:v>独立判定</x:v>
      </x:c>
    </x:row>
    <x:row r="3331" ht="19" customHeight="1">
      <x:c r="A3331" s="19" t="str">
        <x:v>D03327</x:v>
      </x:c>
      <x:c r="B3331" s="19" t="n">
        <x:v>7</x:v>
      </x:c>
      <x:c r="C3331" s="19" t="n">
        <x:v>2</x:v>
      </x:c>
      <x:c r="D3331" s="19" t="str">
        <x:v>C07-M019</x:v>
      </x:c>
      <x:c r="E3331" s="19" t="str">
        <x:v>荒境冰甲犀</x:v>
      </x:c>
      <x:c r="F3331" s="19" t="str">
        <x:v>稀有</x:v>
      </x:c>
      <x:c r="G3331" s="19" t="str">
        <x:v>材料独立候选</x:v>
      </x:c>
      <x:c r="H3331" s="19" t="str">
        <x:v>野兽骨片</x:v>
      </x:c>
      <x:c r="I3331" s="22" t="n">
        <x:v>150</x:v>
      </x:c>
      <x:c r="J3331" s="22" t="n">
        <x:v>5</x:v>
      </x:c>
      <x:c r="K3331" s="19" t="n">
        <x:v>1</x:v>
      </x:c>
      <x:c r="L3331" s="24" t="n">
        <x:v>42.30933333333333</x:v>
      </x:c>
      <x:c r="M3331" s="26" t="n">
        <x:v>0.1</x:v>
      </x:c>
      <x:c r="N3331" s="24" t="n">
        <x:v>12</x:v>
      </x:c>
      <x:c r="O3331" s="28" t="n">
        <x:f>MIN(1,L3331/I3331)</x:f>
        <x:v>0.28206222222222216</x:v>
      </x:c>
      <x:c r="P3331" s="30" t="n">
        <x:f>O3331*J3331*(1+M3331)</x:f>
        <x:v>1.551342222222222</x:v>
      </x:c>
      <x:c r="Q3331" s="30" t="n">
        <x:f>P3331*N3331</x:f>
        <x:v>18.616106666666663</x:v>
      </x:c>
      <x:c r="R3331" s="19" t="str">
        <x:v>独立判定</x:v>
      </x:c>
    </x:row>
    <x:row r="3332" ht="19" customHeight="1">
      <x:c r="A3332" s="19" t="str">
        <x:v>D03328</x:v>
      </x:c>
      <x:c r="B3332" s="19" t="n">
        <x:v>7</x:v>
      </x:c>
      <x:c r="C3332" s="19" t="n">
        <x:v>2</x:v>
      </x:c>
      <x:c r="D3332" s="19" t="str">
        <x:v>C07-M019</x:v>
      </x:c>
      <x:c r="E3332" s="19" t="str">
        <x:v>荒境冰甲犀</x:v>
      </x:c>
      <x:c r="F3332" s="19" t="str">
        <x:v>稀有</x:v>
      </x:c>
      <x:c r="G3332" s="19" t="str">
        <x:v>材料独立候选</x:v>
      </x:c>
      <x:c r="H3332" s="19" t="str">
        <x:v>技能残页</x:v>
      </x:c>
      <x:c r="I3332" s="22" t="n">
        <x:v>800</x:v>
      </x:c>
      <x:c r="J3332" s="22" t="n">
        <x:v>1</x:v>
      </x:c>
      <x:c r="K3332" s="19" t="n">
        <x:v>1</x:v>
      </x:c>
      <x:c r="L3332" s="24" t="n">
        <x:v>42.30933333333333</x:v>
      </x:c>
      <x:c r="M3332" s="26" t="n">
        <x:v>0.1</x:v>
      </x:c>
      <x:c r="N3332" s="24" t="n">
        <x:v>12</x:v>
      </x:c>
      <x:c r="O3332" s="28" t="n">
        <x:f>MIN(1,L3332/I3332)</x:f>
        <x:v>0.05288666666666666</x:v>
      </x:c>
      <x:c r="P3332" s="30" t="n">
        <x:f>O3332*J3332*(1+M3332)</x:f>
        <x:v>0.05817533333333333</x:v>
      </x:c>
      <x:c r="Q3332" s="30" t="n">
        <x:f>P3332*N3332</x:f>
        <x:v>0.698104</x:v>
      </x:c>
      <x:c r="R3332" s="19" t="str">
        <x:v>独立判定</x:v>
      </x:c>
    </x:row>
    <x:row r="3333" ht="19" customHeight="1">
      <x:c r="A3333" s="19" t="str">
        <x:v>D03329</x:v>
      </x:c>
      <x:c r="B3333" s="19" t="n">
        <x:v>7</x:v>
      </x:c>
      <x:c r="C3333" s="19" t="n">
        <x:v>2</x:v>
      </x:c>
      <x:c r="D3333" s="19" t="str">
        <x:v>C07-M019</x:v>
      </x:c>
      <x:c r="E3333" s="19" t="str">
        <x:v>荒境冰甲犀</x:v>
      </x:c>
      <x:c r="F3333" s="19" t="str">
        <x:v>稀有</x:v>
      </x:c>
      <x:c r="G3333" s="19" t="str">
        <x:v>材料独立候选</x:v>
      </x:c>
      <x:c r="H3333" s="19" t="str">
        <x:v>小卢恩</x:v>
      </x:c>
      <x:c r="I3333" s="22" t="n">
        <x:v>8000</x:v>
      </x:c>
      <x:c r="J3333" s="22" t="n">
        <x:v>1</x:v>
      </x:c>
      <x:c r="K3333" s="19" t="n">
        <x:v>1</x:v>
      </x:c>
      <x:c r="L3333" s="24" t="n">
        <x:v>42.30933333333333</x:v>
      </x:c>
      <x:c r="M3333" s="26" t="n">
        <x:v>0.1</x:v>
      </x:c>
      <x:c r="N3333" s="24" t="n">
        <x:v>12</x:v>
      </x:c>
      <x:c r="O3333" s="28" t="n">
        <x:f>MIN(1,L3333/I3333)</x:f>
        <x:v>0.005288666666666666</x:v>
      </x:c>
      <x:c r="P3333" s="30" t="n">
        <x:f>O3333*J3333*(1+M3333)</x:f>
        <x:v>0.005817533333333334</x:v>
      </x:c>
      <x:c r="Q3333" s="30" t="n">
        <x:f>P3333*N3333</x:f>
        <x:v>0.06981040000000001</x:v>
      </x:c>
      <x:c r="R3333" s="19" t="str">
        <x:v>独立判定</x:v>
      </x:c>
    </x:row>
    <x:row r="3334" ht="19" customHeight="1">
      <x:c r="A3334" s="19" t="str">
        <x:v>D03330</x:v>
      </x:c>
      <x:c r="B3334" s="19" t="n">
        <x:v>7</x:v>
      </x:c>
      <x:c r="C3334" s="19" t="n">
        <x:v>2</x:v>
      </x:c>
      <x:c r="D3334" s="19" t="str">
        <x:v>C07-M019</x:v>
      </x:c>
      <x:c r="E3334" s="19" t="str">
        <x:v>荒境冰甲犀</x:v>
      </x:c>
      <x:c r="F3334" s="19" t="str">
        <x:v>稀有</x:v>
      </x:c>
      <x:c r="G3334" s="19" t="str">
        <x:v>六神器公共池</x:v>
      </x:c>
      <x:c r="H3334" s="19" t="str">
        <x:v>POOL006</x:v>
      </x:c>
      <x:c r="I3334" s="22" t="n">
        <x:v>5000000</x:v>
      </x:c>
      <x:c r="J3334" s="22" t="n">
        <x:v>1</x:v>
      </x:c>
      <x:c r="K3334" s="19" t="n">
        <x:v>6</x:v>
      </x:c>
      <x:c r="L3334" s="24" t="n">
        <x:v>42.30933333333333</x:v>
      </x:c>
      <x:c r="M3334" s="26" t="n">
        <x:v>0.1</x:v>
      </x:c>
      <x:c r="N3334" s="24" t="n">
        <x:v>12</x:v>
      </x:c>
      <x:c r="O3334" s="28" t="n">
        <x:f>MIN(1,L3334/I3334)</x:f>
        <x:v>0.000008461866666666666</x:v>
      </x:c>
      <x:c r="P3334" s="30" t="n">
        <x:f>O3334*J3334*(1+M3334)</x:f>
        <x:v>0.000009308053333333333</x:v>
      </x:c>
      <x:c r="Q3334" s="30" t="n">
        <x:f>P3334*N3334</x:f>
        <x:v>0.00011169663999999999</x:v>
      </x:c>
      <x:c r="R3334" s="19" t="str">
        <x:v>六选一；非6个独立爆率</x:v>
      </x:c>
    </x:row>
    <x:row r="3335" ht="19" customHeight="1">
      <x:c r="A3335" s="19" t="str">
        <x:v>D03331</x:v>
      </x:c>
      <x:c r="B3335" s="19" t="n">
        <x:v>7</x:v>
      </x:c>
      <x:c r="C3335" s="19" t="n">
        <x:v>2</x:v>
      </x:c>
      <x:c r="D3335" s="19" t="str">
        <x:v>C07-M020</x:v>
      </x:c>
      <x:c r="E3335" s="19" t="str">
        <x:v>冰封审判骑</x:v>
      </x:c>
      <x:c r="F3335" s="19" t="str">
        <x:v>稀有</x:v>
      </x:c>
      <x:c r="G3335" s="19" t="str">
        <x:v>自身专属</x:v>
      </x:c>
      <x:c r="H3335" s="19" t="str">
        <x:v>审判长靴</x:v>
      </x:c>
      <x:c r="I3335" s="22" t="n">
        <x:v>1000</x:v>
      </x:c>
      <x:c r="J3335" s="22" t="n">
        <x:v>1</x:v>
      </x:c>
      <x:c r="K3335" s="19" t="n">
        <x:v>1</x:v>
      </x:c>
      <x:c r="L3335" s="24" t="n">
        <x:v>42.30933333333333</x:v>
      </x:c>
      <x:c r="M3335" s="26" t="n">
        <x:v>0.1</x:v>
      </x:c>
      <x:c r="N3335" s="24" t="n">
        <x:v>12</x:v>
      </x:c>
      <x:c r="O3335" s="28" t="n">
        <x:f>MIN(1,L3335/I3335)</x:f>
        <x:v>0.04230933333333333</x:v>
      </x:c>
      <x:c r="P3335" s="30" t="n">
        <x:f>O3335*J3335*(1+M3335)</x:f>
        <x:v>0.04654026666666667</x:v>
      </x:c>
      <x:c r="Q3335" s="30" t="n">
        <x:f>P3335*N3335</x:f>
        <x:v>0.5584832000000001</x:v>
      </x:c>
      <x:c r="R3335" s="19" t="str">
        <x:v>独立判定</x:v>
      </x:c>
    </x:row>
    <x:row r="3336" ht="19" customHeight="1">
      <x:c r="A3336" s="19" t="str">
        <x:v>D03332</x:v>
      </x:c>
      <x:c r="B3336" s="19" t="n">
        <x:v>7</x:v>
      </x:c>
      <x:c r="C3336" s="19" t="n">
        <x:v>2</x:v>
      </x:c>
      <x:c r="D3336" s="19" t="str">
        <x:v>C07-M020</x:v>
      </x:c>
      <x:c r="E3336" s="19" t="str">
        <x:v>冰封审判骑</x:v>
      </x:c>
      <x:c r="F3336" s="19" t="str">
        <x:v>稀有</x:v>
      </x:c>
      <x:c r="G3336" s="19" t="str">
        <x:v>材料独立候选</x:v>
      </x:c>
      <x:c r="H3336" s="19" t="str">
        <x:v>冻晶尘</x:v>
      </x:c>
      <x:c r="I3336" s="22" t="n">
        <x:v>600</x:v>
      </x:c>
      <x:c r="J3336" s="22" t="n">
        <x:v>15</x:v>
      </x:c>
      <x:c r="K3336" s="19" t="n">
        <x:v>1</x:v>
      </x:c>
      <x:c r="L3336" s="24" t="n">
        <x:v>42.30933333333333</x:v>
      </x:c>
      <x:c r="M3336" s="26" t="n">
        <x:v>0.1</x:v>
      </x:c>
      <x:c r="N3336" s="24" t="n">
        <x:v>12</x:v>
      </x:c>
      <x:c r="O3336" s="28" t="n">
        <x:f>MIN(1,L3336/I3336)</x:f>
        <x:v>0.07051555555555554</x:v>
      </x:c>
      <x:c r="P3336" s="30" t="n">
        <x:f>O3336*J3336*(1+M3336)</x:f>
        <x:v>1.1635066666666667</x:v>
      </x:c>
      <x:c r="Q3336" s="30" t="n">
        <x:f>P3336*N3336</x:f>
        <x:v>13.96208</x:v>
      </x:c>
      <x:c r="R3336" s="19" t="str">
        <x:v>独立判定</x:v>
      </x:c>
    </x:row>
    <x:row r="3337" ht="19" customHeight="1">
      <x:c r="A3337" s="19" t="str">
        <x:v>D03333</x:v>
      </x:c>
      <x:c r="B3337" s="19" t="n">
        <x:v>7</x:v>
      </x:c>
      <x:c r="C3337" s="19" t="n">
        <x:v>2</x:v>
      </x:c>
      <x:c r="D3337" s="19" t="str">
        <x:v>C07-M020</x:v>
      </x:c>
      <x:c r="E3337" s="19" t="str">
        <x:v>冰封审判骑</x:v>
      </x:c>
      <x:c r="F3337" s="19" t="str">
        <x:v>稀有</x:v>
      </x:c>
      <x:c r="G3337" s="19" t="str">
        <x:v>材料独立候选</x:v>
      </x:c>
      <x:c r="H3337" s="19" t="str">
        <x:v>白金纺线</x:v>
      </x:c>
      <x:c r="I3337" s="22" t="n">
        <x:v>1000</x:v>
      </x:c>
      <x:c r="J3337" s="22" t="n">
        <x:v>1</x:v>
      </x:c>
      <x:c r="K3337" s="19" t="n">
        <x:v>1</x:v>
      </x:c>
      <x:c r="L3337" s="24" t="n">
        <x:v>42.30933333333333</x:v>
      </x:c>
      <x:c r="M3337" s="26" t="n">
        <x:v>0.1</x:v>
      </x:c>
      <x:c r="N3337" s="24" t="n">
        <x:v>12</x:v>
      </x:c>
      <x:c r="O3337" s="28" t="n">
        <x:f>MIN(1,L3337/I3337)</x:f>
        <x:v>0.04230933333333333</x:v>
      </x:c>
      <x:c r="P3337" s="30" t="n">
        <x:f>O3337*J3337*(1+M3337)</x:f>
        <x:v>0.04654026666666667</x:v>
      </x:c>
      <x:c r="Q3337" s="30" t="n">
        <x:f>P3337*N3337</x:f>
        <x:v>0.5584832000000001</x:v>
      </x:c>
      <x:c r="R3337" s="19" t="str">
        <x:v>独立判定</x:v>
      </x:c>
    </x:row>
    <x:row r="3338" ht="19" customHeight="1">
      <x:c r="A3338" s="19" t="str">
        <x:v>D03334</x:v>
      </x:c>
      <x:c r="B3338" s="19" t="n">
        <x:v>7</x:v>
      </x:c>
      <x:c r="C3338" s="19" t="n">
        <x:v>2</x:v>
      </x:c>
      <x:c r="D3338" s="19" t="str">
        <x:v>C07-M020</x:v>
      </x:c>
      <x:c r="E3338" s="19" t="str">
        <x:v>冰封审判骑</x:v>
      </x:c>
      <x:c r="F3338" s="19" t="str">
        <x:v>稀有</x:v>
      </x:c>
      <x:c r="G3338" s="19" t="str">
        <x:v>材料独立候选</x:v>
      </x:c>
      <x:c r="H3338" s="19" t="str">
        <x:v>冻原银角</x:v>
      </x:c>
      <x:c r="I3338" s="22" t="n">
        <x:v>1500</x:v>
      </x:c>
      <x:c r="J3338" s="22" t="n">
        <x:v>1</x:v>
      </x:c>
      <x:c r="K3338" s="19" t="n">
        <x:v>1</x:v>
      </x:c>
      <x:c r="L3338" s="24" t="n">
        <x:v>42.30933333333333</x:v>
      </x:c>
      <x:c r="M3338" s="26" t="n">
        <x:v>0.1</x:v>
      </x:c>
      <x:c r="N3338" s="24" t="n">
        <x:v>12</x:v>
      </x:c>
      <x:c r="O3338" s="28" t="n">
        <x:f>MIN(1,L3338/I3338)</x:f>
        <x:v>0.02820622222222222</x:v>
      </x:c>
      <x:c r="P3338" s="30" t="n">
        <x:f>O3338*J3338*(1+M3338)</x:f>
        <x:v>0.031026844444444444</x:v>
      </x:c>
      <x:c r="Q3338" s="30" t="n">
        <x:f>P3338*N3338</x:f>
        <x:v>0.3723221333333333</x:v>
      </x:c>
      <x:c r="R3338" s="19" t="str">
        <x:v>独立判定</x:v>
      </x:c>
    </x:row>
    <x:row r="3339" ht="19" customHeight="1">
      <x:c r="A3339" s="19" t="str">
        <x:v>D03335</x:v>
      </x:c>
      <x:c r="B3339" s="19" t="n">
        <x:v>7</x:v>
      </x:c>
      <x:c r="C3339" s="19" t="n">
        <x:v>2</x:v>
      </x:c>
      <x:c r="D3339" s="19" t="str">
        <x:v>C07-M020</x:v>
      </x:c>
      <x:c r="E3339" s="19" t="str">
        <x:v>冰封审判骑</x:v>
      </x:c>
      <x:c r="F3339" s="19" t="str">
        <x:v>稀有</x:v>
      </x:c>
      <x:c r="G3339" s="19" t="str">
        <x:v>材料独立候选</x:v>
      </x:c>
      <x:c r="H3339" s="19" t="str">
        <x:v>永霜朝圣痕</x:v>
      </x:c>
      <x:c r="I3339" s="22" t="n">
        <x:v>1200000</x:v>
      </x:c>
      <x:c r="J3339" s="22" t="n">
        <x:v>1</x:v>
      </x:c>
      <x:c r="K3339" s="19" t="n">
        <x:v>1</x:v>
      </x:c>
      <x:c r="L3339" s="24" t="n">
        <x:v>42.30933333333333</x:v>
      </x:c>
      <x:c r="M3339" s="26" t="n">
        <x:v>0.1</x:v>
      </x:c>
      <x:c r="N3339" s="24" t="n">
        <x:v>12</x:v>
      </x:c>
      <x:c r="O3339" s="28" t="n">
        <x:f>MIN(1,L3339/I3339)</x:f>
        <x:v>0.000035257777777777775</x:v>
      </x:c>
      <x:c r="P3339" s="30" t="n">
        <x:f>O3339*J3339*(1+M3339)</x:f>
        <x:v>0.00003878355555555556</x:v>
      </x:c>
      <x:c r="Q3339" s="30" t="n">
        <x:f>P3339*N3339</x:f>
        <x:v>0.0004654026666666667</x:v>
      </x:c>
      <x:c r="R3339" s="19" t="str">
        <x:v>独立判定</x:v>
      </x:c>
    </x:row>
    <x:row r="3340" ht="19" customHeight="1">
      <x:c r="A3340" s="19" t="str">
        <x:v>D03336</x:v>
      </x:c>
      <x:c r="B3340" s="19" t="n">
        <x:v>7</x:v>
      </x:c>
      <x:c r="C3340" s="19" t="n">
        <x:v>2</x:v>
      </x:c>
      <x:c r="D3340" s="19" t="str">
        <x:v>C07-M020</x:v>
      </x:c>
      <x:c r="E3340" s="19" t="str">
        <x:v>冰封审判骑</x:v>
      </x:c>
      <x:c r="F3340" s="19" t="str">
        <x:v>稀有</x:v>
      </x:c>
      <x:c r="G3340" s="19" t="str">
        <x:v>材料独立候选</x:v>
      </x:c>
      <x:c r="H3340" s="19" t="str">
        <x:v>黄金树芽</x:v>
      </x:c>
      <x:c r="I3340" s="22" t="n">
        <x:v>6000</x:v>
      </x:c>
      <x:c r="J3340" s="22" t="n">
        <x:v>1</x:v>
      </x:c>
      <x:c r="K3340" s="19" t="n">
        <x:v>1</x:v>
      </x:c>
      <x:c r="L3340" s="24" t="n">
        <x:v>42.30933333333333</x:v>
      </x:c>
      <x:c r="M3340" s="26" t="n">
        <x:v>0.1</x:v>
      </x:c>
      <x:c r="N3340" s="24" t="n">
        <x:v>12</x:v>
      </x:c>
      <x:c r="O3340" s="28" t="n">
        <x:f>MIN(1,L3340/I3340)</x:f>
        <x:v>0.007051555555555555</x:v>
      </x:c>
      <x:c r="P3340" s="30" t="n">
        <x:f>O3340*J3340*(1+M3340)</x:f>
        <x:v>0.007756711111111111</x:v>
      </x:c>
      <x:c r="Q3340" s="30" t="n">
        <x:f>P3340*N3340</x:f>
        <x:v>0.09308053333333333</x:v>
      </x:c>
      <x:c r="R3340" s="19" t="str">
        <x:v>独立判定</x:v>
      </x:c>
    </x:row>
    <x:row r="3341" ht="19" customHeight="1">
      <x:c r="A3341" s="19" t="str">
        <x:v>D03337</x:v>
      </x:c>
      <x:c r="B3341" s="19" t="n">
        <x:v>7</x:v>
      </x:c>
      <x:c r="C3341" s="19" t="n">
        <x:v>2</x:v>
      </x:c>
      <x:c r="D3341" s="19" t="str">
        <x:v>C07-M020</x:v>
      </x:c>
      <x:c r="E3341" s="19" t="str">
        <x:v>冰封审判骑</x:v>
      </x:c>
      <x:c r="F3341" s="19" t="str">
        <x:v>稀有</x:v>
      </x:c>
      <x:c r="G3341" s="19" t="str">
        <x:v>材料独立候选</x:v>
      </x:c>
      <x:c r="H3341" s="19" t="str">
        <x:v>野兽骨片</x:v>
      </x:c>
      <x:c r="I3341" s="22" t="n">
        <x:v>150</x:v>
      </x:c>
      <x:c r="J3341" s="22" t="n">
        <x:v>5</x:v>
      </x:c>
      <x:c r="K3341" s="19" t="n">
        <x:v>1</x:v>
      </x:c>
      <x:c r="L3341" s="24" t="n">
        <x:v>42.30933333333333</x:v>
      </x:c>
      <x:c r="M3341" s="26" t="n">
        <x:v>0.1</x:v>
      </x:c>
      <x:c r="N3341" s="24" t="n">
        <x:v>12</x:v>
      </x:c>
      <x:c r="O3341" s="28" t="n">
        <x:f>MIN(1,L3341/I3341)</x:f>
        <x:v>0.28206222222222216</x:v>
      </x:c>
      <x:c r="P3341" s="30" t="n">
        <x:f>O3341*J3341*(1+M3341)</x:f>
        <x:v>1.551342222222222</x:v>
      </x:c>
      <x:c r="Q3341" s="30" t="n">
        <x:f>P3341*N3341</x:f>
        <x:v>18.616106666666663</x:v>
      </x:c>
      <x:c r="R3341" s="19" t="str">
        <x:v>独立判定</x:v>
      </x:c>
    </x:row>
    <x:row r="3342" ht="19" customHeight="1">
      <x:c r="A3342" s="19" t="str">
        <x:v>D03338</x:v>
      </x:c>
      <x:c r="B3342" s="19" t="n">
        <x:v>7</x:v>
      </x:c>
      <x:c r="C3342" s="19" t="n">
        <x:v>2</x:v>
      </x:c>
      <x:c r="D3342" s="19" t="str">
        <x:v>C07-M020</x:v>
      </x:c>
      <x:c r="E3342" s="19" t="str">
        <x:v>冰封审判骑</x:v>
      </x:c>
      <x:c r="F3342" s="19" t="str">
        <x:v>稀有</x:v>
      </x:c>
      <x:c r="G3342" s="19" t="str">
        <x:v>材料独立候选</x:v>
      </x:c>
      <x:c r="H3342" s="19" t="str">
        <x:v>技能残页</x:v>
      </x:c>
      <x:c r="I3342" s="22" t="n">
        <x:v>800</x:v>
      </x:c>
      <x:c r="J3342" s="22" t="n">
        <x:v>1</x:v>
      </x:c>
      <x:c r="K3342" s="19" t="n">
        <x:v>1</x:v>
      </x:c>
      <x:c r="L3342" s="24" t="n">
        <x:v>42.30933333333333</x:v>
      </x:c>
      <x:c r="M3342" s="26" t="n">
        <x:v>0.1</x:v>
      </x:c>
      <x:c r="N3342" s="24" t="n">
        <x:v>12</x:v>
      </x:c>
      <x:c r="O3342" s="28" t="n">
        <x:f>MIN(1,L3342/I3342)</x:f>
        <x:v>0.05288666666666666</x:v>
      </x:c>
      <x:c r="P3342" s="30" t="n">
        <x:f>O3342*J3342*(1+M3342)</x:f>
        <x:v>0.05817533333333333</x:v>
      </x:c>
      <x:c r="Q3342" s="30" t="n">
        <x:f>P3342*N3342</x:f>
        <x:v>0.698104</x:v>
      </x:c>
      <x:c r="R3342" s="19" t="str">
        <x:v>独立判定</x:v>
      </x:c>
    </x:row>
    <x:row r="3343" ht="19" customHeight="1">
      <x:c r="A3343" s="19" t="str">
        <x:v>D03339</x:v>
      </x:c>
      <x:c r="B3343" s="19" t="n">
        <x:v>7</x:v>
      </x:c>
      <x:c r="C3343" s="19" t="n">
        <x:v>2</x:v>
      </x:c>
      <x:c r="D3343" s="19" t="str">
        <x:v>C07-M020</x:v>
      </x:c>
      <x:c r="E3343" s="19" t="str">
        <x:v>冰封审判骑</x:v>
      </x:c>
      <x:c r="F3343" s="19" t="str">
        <x:v>稀有</x:v>
      </x:c>
      <x:c r="G3343" s="19" t="str">
        <x:v>材料独立候选</x:v>
      </x:c>
      <x:c r="H3343" s="19" t="str">
        <x:v>小卢恩</x:v>
      </x:c>
      <x:c r="I3343" s="22" t="n">
        <x:v>8000</x:v>
      </x:c>
      <x:c r="J3343" s="22" t="n">
        <x:v>1</x:v>
      </x:c>
      <x:c r="K3343" s="19" t="n">
        <x:v>1</x:v>
      </x:c>
      <x:c r="L3343" s="24" t="n">
        <x:v>42.30933333333333</x:v>
      </x:c>
      <x:c r="M3343" s="26" t="n">
        <x:v>0.1</x:v>
      </x:c>
      <x:c r="N3343" s="24" t="n">
        <x:v>12</x:v>
      </x:c>
      <x:c r="O3343" s="28" t="n">
        <x:f>MIN(1,L3343/I3343)</x:f>
        <x:v>0.005288666666666666</x:v>
      </x:c>
      <x:c r="P3343" s="30" t="n">
        <x:f>O3343*J3343*(1+M3343)</x:f>
        <x:v>0.005817533333333334</x:v>
      </x:c>
      <x:c r="Q3343" s="30" t="n">
        <x:f>P3343*N3343</x:f>
        <x:v>0.06981040000000001</x:v>
      </x:c>
      <x:c r="R3343" s="19" t="str">
        <x:v>独立判定</x:v>
      </x:c>
    </x:row>
    <x:row r="3344" ht="19" customHeight="1">
      <x:c r="A3344" s="19" t="str">
        <x:v>D03340</x:v>
      </x:c>
      <x:c r="B3344" s="19" t="n">
        <x:v>7</x:v>
      </x:c>
      <x:c r="C3344" s="19" t="n">
        <x:v>2</x:v>
      </x:c>
      <x:c r="D3344" s="19" t="str">
        <x:v>C07-M020</x:v>
      </x:c>
      <x:c r="E3344" s="19" t="str">
        <x:v>冰封审判骑</x:v>
      </x:c>
      <x:c r="F3344" s="19" t="str">
        <x:v>稀有</x:v>
      </x:c>
      <x:c r="G3344" s="19" t="str">
        <x:v>六神器公共池</x:v>
      </x:c>
      <x:c r="H3344" s="19" t="str">
        <x:v>POOL006</x:v>
      </x:c>
      <x:c r="I3344" s="22" t="n">
        <x:v>5000000</x:v>
      </x:c>
      <x:c r="J3344" s="22" t="n">
        <x:v>1</x:v>
      </x:c>
      <x:c r="K3344" s="19" t="n">
        <x:v>6</x:v>
      </x:c>
      <x:c r="L3344" s="24" t="n">
        <x:v>42.30933333333333</x:v>
      </x:c>
      <x:c r="M3344" s="26" t="n">
        <x:v>0.1</x:v>
      </x:c>
      <x:c r="N3344" s="24" t="n">
        <x:v>12</x:v>
      </x:c>
      <x:c r="O3344" s="28" t="n">
        <x:f>MIN(1,L3344/I3344)</x:f>
        <x:v>0.000008461866666666666</x:v>
      </x:c>
      <x:c r="P3344" s="30" t="n">
        <x:f>O3344*J3344*(1+M3344)</x:f>
        <x:v>0.000009308053333333333</x:v>
      </x:c>
      <x:c r="Q3344" s="30" t="n">
        <x:f>P3344*N3344</x:f>
        <x:v>0.00011169663999999999</x:v>
      </x:c>
      <x:c r="R3344" s="19" t="str">
        <x:v>六选一；非6个独立爆率</x:v>
      </x:c>
    </x:row>
    <x:row r="3345" ht="19" customHeight="1">
      <x:c r="A3345" s="19" t="str">
        <x:v>D03341</x:v>
      </x:c>
      <x:c r="B3345" s="19" t="n">
        <x:v>7</x:v>
      </x:c>
      <x:c r="C3345" s="19" t="n">
        <x:v>2</x:v>
      </x:c>
      <x:c r="D3345" s="19" t="str">
        <x:v>C07-M021</x:v>
      </x:c>
      <x:c r="E3345" s="19" t="str">
        <x:v>极昼白翼鹫</x:v>
      </x:c>
      <x:c r="F3345" s="19" t="str">
        <x:v>稀有</x:v>
      </x:c>
      <x:c r="G3345" s="19" t="str">
        <x:v>自身专属</x:v>
      </x:c>
      <x:c r="H3345" s="19" t="str">
        <x:v>白翼颈链</x:v>
      </x:c>
      <x:c r="I3345" s="22" t="n">
        <x:v>1000</x:v>
      </x:c>
      <x:c r="J3345" s="22" t="n">
        <x:v>1</x:v>
      </x:c>
      <x:c r="K3345" s="19" t="n">
        <x:v>1</x:v>
      </x:c>
      <x:c r="L3345" s="24" t="n">
        <x:v>42.30933333333333</x:v>
      </x:c>
      <x:c r="M3345" s="26" t="n">
        <x:v>0.1</x:v>
      </x:c>
      <x:c r="N3345" s="24" t="n">
        <x:v>12</x:v>
      </x:c>
      <x:c r="O3345" s="28" t="n">
        <x:f>MIN(1,L3345/I3345)</x:f>
        <x:v>0.04230933333333333</x:v>
      </x:c>
      <x:c r="P3345" s="30" t="n">
        <x:f>O3345*J3345*(1+M3345)</x:f>
        <x:v>0.04654026666666667</x:v>
      </x:c>
      <x:c r="Q3345" s="30" t="n">
        <x:f>P3345*N3345</x:f>
        <x:v>0.5584832000000001</x:v>
      </x:c>
      <x:c r="R3345" s="19" t="str">
        <x:v>独立判定</x:v>
      </x:c>
    </x:row>
    <x:row r="3346" ht="19" customHeight="1">
      <x:c r="A3346" s="19" t="str">
        <x:v>D03342</x:v>
      </x:c>
      <x:c r="B3346" s="19" t="n">
        <x:v>7</x:v>
      </x:c>
      <x:c r="C3346" s="19" t="n">
        <x:v>2</x:v>
      </x:c>
      <x:c r="D3346" s="19" t="str">
        <x:v>C07-M021</x:v>
      </x:c>
      <x:c r="E3346" s="19" t="str">
        <x:v>极昼白翼鹫</x:v>
      </x:c>
      <x:c r="F3346" s="19" t="str">
        <x:v>稀有</x:v>
      </x:c>
      <x:c r="G3346" s="19" t="str">
        <x:v>材料独立候选</x:v>
      </x:c>
      <x:c r="H3346" s="19" t="str">
        <x:v>冻晶尘</x:v>
      </x:c>
      <x:c r="I3346" s="22" t="n">
        <x:v>600</x:v>
      </x:c>
      <x:c r="J3346" s="22" t="n">
        <x:v>15</x:v>
      </x:c>
      <x:c r="K3346" s="19" t="n">
        <x:v>1</x:v>
      </x:c>
      <x:c r="L3346" s="24" t="n">
        <x:v>42.30933333333333</x:v>
      </x:c>
      <x:c r="M3346" s="26" t="n">
        <x:v>0.1</x:v>
      </x:c>
      <x:c r="N3346" s="24" t="n">
        <x:v>12</x:v>
      </x:c>
      <x:c r="O3346" s="28" t="n">
        <x:f>MIN(1,L3346/I3346)</x:f>
        <x:v>0.07051555555555554</x:v>
      </x:c>
      <x:c r="P3346" s="30" t="n">
        <x:f>O3346*J3346*(1+M3346)</x:f>
        <x:v>1.1635066666666667</x:v>
      </x:c>
      <x:c r="Q3346" s="30" t="n">
        <x:f>P3346*N3346</x:f>
        <x:v>13.96208</x:v>
      </x:c>
      <x:c r="R3346" s="19" t="str">
        <x:v>独立判定</x:v>
      </x:c>
    </x:row>
    <x:row r="3347" ht="19" customHeight="1">
      <x:c r="A3347" s="19" t="str">
        <x:v>D03343</x:v>
      </x:c>
      <x:c r="B3347" s="19" t="n">
        <x:v>7</x:v>
      </x:c>
      <x:c r="C3347" s="19" t="n">
        <x:v>2</x:v>
      </x:c>
      <x:c r="D3347" s="19" t="str">
        <x:v>C07-M021</x:v>
      </x:c>
      <x:c r="E3347" s="19" t="str">
        <x:v>极昼白翼鹫</x:v>
      </x:c>
      <x:c r="F3347" s="19" t="str">
        <x:v>稀有</x:v>
      </x:c>
      <x:c r="G3347" s="19" t="str">
        <x:v>材料独立候选</x:v>
      </x:c>
      <x:c r="H3347" s="19" t="str">
        <x:v>白金纺线</x:v>
      </x:c>
      <x:c r="I3347" s="22" t="n">
        <x:v>1000</x:v>
      </x:c>
      <x:c r="J3347" s="22" t="n">
        <x:v>1</x:v>
      </x:c>
      <x:c r="K3347" s="19" t="n">
        <x:v>1</x:v>
      </x:c>
      <x:c r="L3347" s="24" t="n">
        <x:v>42.30933333333333</x:v>
      </x:c>
      <x:c r="M3347" s="26" t="n">
        <x:v>0.1</x:v>
      </x:c>
      <x:c r="N3347" s="24" t="n">
        <x:v>12</x:v>
      </x:c>
      <x:c r="O3347" s="28" t="n">
        <x:f>MIN(1,L3347/I3347)</x:f>
        <x:v>0.04230933333333333</x:v>
      </x:c>
      <x:c r="P3347" s="30" t="n">
        <x:f>O3347*J3347*(1+M3347)</x:f>
        <x:v>0.04654026666666667</x:v>
      </x:c>
      <x:c r="Q3347" s="30" t="n">
        <x:f>P3347*N3347</x:f>
        <x:v>0.5584832000000001</x:v>
      </x:c>
      <x:c r="R3347" s="19" t="str">
        <x:v>独立判定</x:v>
      </x:c>
    </x:row>
    <x:row r="3348" ht="19" customHeight="1">
      <x:c r="A3348" s="19" t="str">
        <x:v>D03344</x:v>
      </x:c>
      <x:c r="B3348" s="19" t="n">
        <x:v>7</x:v>
      </x:c>
      <x:c r="C3348" s="19" t="n">
        <x:v>2</x:v>
      </x:c>
      <x:c r="D3348" s="19" t="str">
        <x:v>C07-M021</x:v>
      </x:c>
      <x:c r="E3348" s="19" t="str">
        <x:v>极昼白翼鹫</x:v>
      </x:c>
      <x:c r="F3348" s="19" t="str">
        <x:v>稀有</x:v>
      </x:c>
      <x:c r="G3348" s="19" t="str">
        <x:v>材料独立候选</x:v>
      </x:c>
      <x:c r="H3348" s="19" t="str">
        <x:v>冻原银角</x:v>
      </x:c>
      <x:c r="I3348" s="22" t="n">
        <x:v>1500</x:v>
      </x:c>
      <x:c r="J3348" s="22" t="n">
        <x:v>1</x:v>
      </x:c>
      <x:c r="K3348" s="19" t="n">
        <x:v>1</x:v>
      </x:c>
      <x:c r="L3348" s="24" t="n">
        <x:v>42.30933333333333</x:v>
      </x:c>
      <x:c r="M3348" s="26" t="n">
        <x:v>0.1</x:v>
      </x:c>
      <x:c r="N3348" s="24" t="n">
        <x:v>12</x:v>
      </x:c>
      <x:c r="O3348" s="28" t="n">
        <x:f>MIN(1,L3348/I3348)</x:f>
        <x:v>0.02820622222222222</x:v>
      </x:c>
      <x:c r="P3348" s="30" t="n">
        <x:f>O3348*J3348*(1+M3348)</x:f>
        <x:v>0.031026844444444444</x:v>
      </x:c>
      <x:c r="Q3348" s="30" t="n">
        <x:f>P3348*N3348</x:f>
        <x:v>0.3723221333333333</x:v>
      </x:c>
      <x:c r="R3348" s="19" t="str">
        <x:v>独立判定</x:v>
      </x:c>
    </x:row>
    <x:row r="3349" ht="19" customHeight="1">
      <x:c r="A3349" s="19" t="str">
        <x:v>D03345</x:v>
      </x:c>
      <x:c r="B3349" s="19" t="n">
        <x:v>7</x:v>
      </x:c>
      <x:c r="C3349" s="19" t="n">
        <x:v>2</x:v>
      </x:c>
      <x:c r="D3349" s="19" t="str">
        <x:v>C07-M021</x:v>
      </x:c>
      <x:c r="E3349" s="19" t="str">
        <x:v>极昼白翼鹫</x:v>
      </x:c>
      <x:c r="F3349" s="19" t="str">
        <x:v>稀有</x:v>
      </x:c>
      <x:c r="G3349" s="19" t="str">
        <x:v>材料独立候选</x:v>
      </x:c>
      <x:c r="H3349" s="19" t="str">
        <x:v>永霜朝圣痕</x:v>
      </x:c>
      <x:c r="I3349" s="22" t="n">
        <x:v>1200000</x:v>
      </x:c>
      <x:c r="J3349" s="22" t="n">
        <x:v>1</x:v>
      </x:c>
      <x:c r="K3349" s="19" t="n">
        <x:v>1</x:v>
      </x:c>
      <x:c r="L3349" s="24" t="n">
        <x:v>42.30933333333333</x:v>
      </x:c>
      <x:c r="M3349" s="26" t="n">
        <x:v>0.1</x:v>
      </x:c>
      <x:c r="N3349" s="24" t="n">
        <x:v>12</x:v>
      </x:c>
      <x:c r="O3349" s="28" t="n">
        <x:f>MIN(1,L3349/I3349)</x:f>
        <x:v>0.000035257777777777775</x:v>
      </x:c>
      <x:c r="P3349" s="30" t="n">
        <x:f>O3349*J3349*(1+M3349)</x:f>
        <x:v>0.00003878355555555556</x:v>
      </x:c>
      <x:c r="Q3349" s="30" t="n">
        <x:f>P3349*N3349</x:f>
        <x:v>0.0004654026666666667</x:v>
      </x:c>
      <x:c r="R3349" s="19" t="str">
        <x:v>独立判定</x:v>
      </x:c>
    </x:row>
    <x:row r="3350" ht="19" customHeight="1">
      <x:c r="A3350" s="19" t="str">
        <x:v>D03346</x:v>
      </x:c>
      <x:c r="B3350" s="19" t="n">
        <x:v>7</x:v>
      </x:c>
      <x:c r="C3350" s="19" t="n">
        <x:v>2</x:v>
      </x:c>
      <x:c r="D3350" s="19" t="str">
        <x:v>C07-M021</x:v>
      </x:c>
      <x:c r="E3350" s="19" t="str">
        <x:v>极昼白翼鹫</x:v>
      </x:c>
      <x:c r="F3350" s="19" t="str">
        <x:v>稀有</x:v>
      </x:c>
      <x:c r="G3350" s="19" t="str">
        <x:v>材料独立候选</x:v>
      </x:c>
      <x:c r="H3350" s="19" t="str">
        <x:v>黄金树芽</x:v>
      </x:c>
      <x:c r="I3350" s="22" t="n">
        <x:v>6000</x:v>
      </x:c>
      <x:c r="J3350" s="22" t="n">
        <x:v>1</x:v>
      </x:c>
      <x:c r="K3350" s="19" t="n">
        <x:v>1</x:v>
      </x:c>
      <x:c r="L3350" s="24" t="n">
        <x:v>42.30933333333333</x:v>
      </x:c>
      <x:c r="M3350" s="26" t="n">
        <x:v>0.1</x:v>
      </x:c>
      <x:c r="N3350" s="24" t="n">
        <x:v>12</x:v>
      </x:c>
      <x:c r="O3350" s="28" t="n">
        <x:f>MIN(1,L3350/I3350)</x:f>
        <x:v>0.007051555555555555</x:v>
      </x:c>
      <x:c r="P3350" s="30" t="n">
        <x:f>O3350*J3350*(1+M3350)</x:f>
        <x:v>0.007756711111111111</x:v>
      </x:c>
      <x:c r="Q3350" s="30" t="n">
        <x:f>P3350*N3350</x:f>
        <x:v>0.09308053333333333</x:v>
      </x:c>
      <x:c r="R3350" s="19" t="str">
        <x:v>独立判定</x:v>
      </x:c>
    </x:row>
    <x:row r="3351" ht="19" customHeight="1">
      <x:c r="A3351" s="19" t="str">
        <x:v>D03347</x:v>
      </x:c>
      <x:c r="B3351" s="19" t="n">
        <x:v>7</x:v>
      </x:c>
      <x:c r="C3351" s="19" t="n">
        <x:v>2</x:v>
      </x:c>
      <x:c r="D3351" s="19" t="str">
        <x:v>C07-M021</x:v>
      </x:c>
      <x:c r="E3351" s="19" t="str">
        <x:v>极昼白翼鹫</x:v>
      </x:c>
      <x:c r="F3351" s="19" t="str">
        <x:v>稀有</x:v>
      </x:c>
      <x:c r="G3351" s="19" t="str">
        <x:v>材料独立候选</x:v>
      </x:c>
      <x:c r="H3351" s="19" t="str">
        <x:v>野兽骨片</x:v>
      </x:c>
      <x:c r="I3351" s="22" t="n">
        <x:v>150</x:v>
      </x:c>
      <x:c r="J3351" s="22" t="n">
        <x:v>5</x:v>
      </x:c>
      <x:c r="K3351" s="19" t="n">
        <x:v>1</x:v>
      </x:c>
      <x:c r="L3351" s="24" t="n">
        <x:v>42.30933333333333</x:v>
      </x:c>
      <x:c r="M3351" s="26" t="n">
        <x:v>0.1</x:v>
      </x:c>
      <x:c r="N3351" s="24" t="n">
        <x:v>12</x:v>
      </x:c>
      <x:c r="O3351" s="28" t="n">
        <x:f>MIN(1,L3351/I3351)</x:f>
        <x:v>0.28206222222222216</x:v>
      </x:c>
      <x:c r="P3351" s="30" t="n">
        <x:f>O3351*J3351*(1+M3351)</x:f>
        <x:v>1.551342222222222</x:v>
      </x:c>
      <x:c r="Q3351" s="30" t="n">
        <x:f>P3351*N3351</x:f>
        <x:v>18.616106666666663</x:v>
      </x:c>
      <x:c r="R3351" s="19" t="str">
        <x:v>独立判定</x:v>
      </x:c>
    </x:row>
    <x:row r="3352" ht="19" customHeight="1">
      <x:c r="A3352" s="19" t="str">
        <x:v>D03348</x:v>
      </x:c>
      <x:c r="B3352" s="19" t="n">
        <x:v>7</x:v>
      </x:c>
      <x:c r="C3352" s="19" t="n">
        <x:v>2</x:v>
      </x:c>
      <x:c r="D3352" s="19" t="str">
        <x:v>C07-M021</x:v>
      </x:c>
      <x:c r="E3352" s="19" t="str">
        <x:v>极昼白翼鹫</x:v>
      </x:c>
      <x:c r="F3352" s="19" t="str">
        <x:v>稀有</x:v>
      </x:c>
      <x:c r="G3352" s="19" t="str">
        <x:v>材料独立候选</x:v>
      </x:c>
      <x:c r="H3352" s="19" t="str">
        <x:v>技能残页</x:v>
      </x:c>
      <x:c r="I3352" s="22" t="n">
        <x:v>800</x:v>
      </x:c>
      <x:c r="J3352" s="22" t="n">
        <x:v>1</x:v>
      </x:c>
      <x:c r="K3352" s="19" t="n">
        <x:v>1</x:v>
      </x:c>
      <x:c r="L3352" s="24" t="n">
        <x:v>42.30933333333333</x:v>
      </x:c>
      <x:c r="M3352" s="26" t="n">
        <x:v>0.1</x:v>
      </x:c>
      <x:c r="N3352" s="24" t="n">
        <x:v>12</x:v>
      </x:c>
      <x:c r="O3352" s="28" t="n">
        <x:f>MIN(1,L3352/I3352)</x:f>
        <x:v>0.05288666666666666</x:v>
      </x:c>
      <x:c r="P3352" s="30" t="n">
        <x:f>O3352*J3352*(1+M3352)</x:f>
        <x:v>0.05817533333333333</x:v>
      </x:c>
      <x:c r="Q3352" s="30" t="n">
        <x:f>P3352*N3352</x:f>
        <x:v>0.698104</x:v>
      </x:c>
      <x:c r="R3352" s="19" t="str">
        <x:v>独立判定</x:v>
      </x:c>
    </x:row>
    <x:row r="3353" ht="19" customHeight="1">
      <x:c r="A3353" s="19" t="str">
        <x:v>D03349</x:v>
      </x:c>
      <x:c r="B3353" s="19" t="n">
        <x:v>7</x:v>
      </x:c>
      <x:c r="C3353" s="19" t="n">
        <x:v>2</x:v>
      </x:c>
      <x:c r="D3353" s="19" t="str">
        <x:v>C07-M021</x:v>
      </x:c>
      <x:c r="E3353" s="19" t="str">
        <x:v>极昼白翼鹫</x:v>
      </x:c>
      <x:c r="F3353" s="19" t="str">
        <x:v>稀有</x:v>
      </x:c>
      <x:c r="G3353" s="19" t="str">
        <x:v>材料独立候选</x:v>
      </x:c>
      <x:c r="H3353" s="19" t="str">
        <x:v>小卢恩</x:v>
      </x:c>
      <x:c r="I3353" s="22" t="n">
        <x:v>8000</x:v>
      </x:c>
      <x:c r="J3353" s="22" t="n">
        <x:v>1</x:v>
      </x:c>
      <x:c r="K3353" s="19" t="n">
        <x:v>1</x:v>
      </x:c>
      <x:c r="L3353" s="24" t="n">
        <x:v>42.30933333333333</x:v>
      </x:c>
      <x:c r="M3353" s="26" t="n">
        <x:v>0.1</x:v>
      </x:c>
      <x:c r="N3353" s="24" t="n">
        <x:v>12</x:v>
      </x:c>
      <x:c r="O3353" s="28" t="n">
        <x:f>MIN(1,L3353/I3353)</x:f>
        <x:v>0.005288666666666666</x:v>
      </x:c>
      <x:c r="P3353" s="30" t="n">
        <x:f>O3353*J3353*(1+M3353)</x:f>
        <x:v>0.005817533333333334</x:v>
      </x:c>
      <x:c r="Q3353" s="30" t="n">
        <x:f>P3353*N3353</x:f>
        <x:v>0.06981040000000001</x:v>
      </x:c>
      <x:c r="R3353" s="19" t="str">
        <x:v>独立判定</x:v>
      </x:c>
    </x:row>
    <x:row r="3354" ht="19" customHeight="1">
      <x:c r="A3354" s="19" t="str">
        <x:v>D03350</x:v>
      </x:c>
      <x:c r="B3354" s="19" t="n">
        <x:v>7</x:v>
      </x:c>
      <x:c r="C3354" s="19" t="n">
        <x:v>2</x:v>
      </x:c>
      <x:c r="D3354" s="19" t="str">
        <x:v>C07-M021</x:v>
      </x:c>
      <x:c r="E3354" s="19" t="str">
        <x:v>极昼白翼鹫</x:v>
      </x:c>
      <x:c r="F3354" s="19" t="str">
        <x:v>稀有</x:v>
      </x:c>
      <x:c r="G3354" s="19" t="str">
        <x:v>六神器公共池</x:v>
      </x:c>
      <x:c r="H3354" s="19" t="str">
        <x:v>POOL006</x:v>
      </x:c>
      <x:c r="I3354" s="22" t="n">
        <x:v>5000000</x:v>
      </x:c>
      <x:c r="J3354" s="22" t="n">
        <x:v>1</x:v>
      </x:c>
      <x:c r="K3354" s="19" t="n">
        <x:v>6</x:v>
      </x:c>
      <x:c r="L3354" s="24" t="n">
        <x:v>42.30933333333333</x:v>
      </x:c>
      <x:c r="M3354" s="26" t="n">
        <x:v>0.1</x:v>
      </x:c>
      <x:c r="N3354" s="24" t="n">
        <x:v>12</x:v>
      </x:c>
      <x:c r="O3354" s="28" t="n">
        <x:f>MIN(1,L3354/I3354)</x:f>
        <x:v>0.000008461866666666666</x:v>
      </x:c>
      <x:c r="P3354" s="30" t="n">
        <x:f>O3354*J3354*(1+M3354)</x:f>
        <x:v>0.000009308053333333333</x:v>
      </x:c>
      <x:c r="Q3354" s="30" t="n">
        <x:f>P3354*N3354</x:f>
        <x:v>0.00011169663999999999</x:v>
      </x:c>
      <x:c r="R3354" s="19" t="str">
        <x:v>六选一；非6个独立爆率</x:v>
      </x:c>
    </x:row>
    <x:row r="3355" ht="19" customHeight="1">
      <x:c r="A3355" s="19" t="str">
        <x:v>D03351</x:v>
      </x:c>
      <x:c r="B3355" s="19" t="n">
        <x:v>7</x:v>
      </x:c>
      <x:c r="C3355" s="19" t="n">
        <x:v>2</x:v>
      </x:c>
      <x:c r="D3355" s="19" t="str">
        <x:v>C07-M022</x:v>
      </x:c>
      <x:c r="E3355" s="19" t="str">
        <x:v>圣域默祷师</x:v>
      </x:c>
      <x:c r="F3355" s="19" t="str">
        <x:v>稀有</x:v>
      </x:c>
      <x:c r="G3355" s="19" t="str">
        <x:v>自身专属</x:v>
      </x:c>
      <x:c r="H3355" s="19" t="str">
        <x:v>默祷雪章</x:v>
      </x:c>
      <x:c r="I3355" s="22" t="n">
        <x:v>1000</x:v>
      </x:c>
      <x:c r="J3355" s="22" t="n">
        <x:v>1</x:v>
      </x:c>
      <x:c r="K3355" s="19" t="n">
        <x:v>1</x:v>
      </x:c>
      <x:c r="L3355" s="24" t="n">
        <x:v>42.30933333333333</x:v>
      </x:c>
      <x:c r="M3355" s="26" t="n">
        <x:v>0.1</x:v>
      </x:c>
      <x:c r="N3355" s="24" t="n">
        <x:v>12</x:v>
      </x:c>
      <x:c r="O3355" s="28" t="n">
        <x:f>MIN(1,L3355/I3355)</x:f>
        <x:v>0.04230933333333333</x:v>
      </x:c>
      <x:c r="P3355" s="30" t="n">
        <x:f>O3355*J3355*(1+M3355)</x:f>
        <x:v>0.04654026666666667</x:v>
      </x:c>
      <x:c r="Q3355" s="30" t="n">
        <x:f>P3355*N3355</x:f>
        <x:v>0.5584832000000001</x:v>
      </x:c>
      <x:c r="R3355" s="19" t="str">
        <x:v>独立判定</x:v>
      </x:c>
    </x:row>
    <x:row r="3356" ht="19" customHeight="1">
      <x:c r="A3356" s="19" t="str">
        <x:v>D03352</x:v>
      </x:c>
      <x:c r="B3356" s="19" t="n">
        <x:v>7</x:v>
      </x:c>
      <x:c r="C3356" s="19" t="n">
        <x:v>2</x:v>
      </x:c>
      <x:c r="D3356" s="19" t="str">
        <x:v>C07-M022</x:v>
      </x:c>
      <x:c r="E3356" s="19" t="str">
        <x:v>圣域默祷师</x:v>
      </x:c>
      <x:c r="F3356" s="19" t="str">
        <x:v>稀有</x:v>
      </x:c>
      <x:c r="G3356" s="19" t="str">
        <x:v>材料独立候选</x:v>
      </x:c>
      <x:c r="H3356" s="19" t="str">
        <x:v>冻晶尘</x:v>
      </x:c>
      <x:c r="I3356" s="22" t="n">
        <x:v>600</x:v>
      </x:c>
      <x:c r="J3356" s="22" t="n">
        <x:v>15</x:v>
      </x:c>
      <x:c r="K3356" s="19" t="n">
        <x:v>1</x:v>
      </x:c>
      <x:c r="L3356" s="24" t="n">
        <x:v>42.30933333333333</x:v>
      </x:c>
      <x:c r="M3356" s="26" t="n">
        <x:v>0.1</x:v>
      </x:c>
      <x:c r="N3356" s="24" t="n">
        <x:v>12</x:v>
      </x:c>
      <x:c r="O3356" s="28" t="n">
        <x:f>MIN(1,L3356/I3356)</x:f>
        <x:v>0.07051555555555554</x:v>
      </x:c>
      <x:c r="P3356" s="30" t="n">
        <x:f>O3356*J3356*(1+M3356)</x:f>
        <x:v>1.1635066666666667</x:v>
      </x:c>
      <x:c r="Q3356" s="30" t="n">
        <x:f>P3356*N3356</x:f>
        <x:v>13.96208</x:v>
      </x:c>
      <x:c r="R3356" s="19" t="str">
        <x:v>独立判定</x:v>
      </x:c>
    </x:row>
    <x:row r="3357" ht="19" customHeight="1">
      <x:c r="A3357" s="19" t="str">
        <x:v>D03353</x:v>
      </x:c>
      <x:c r="B3357" s="19" t="n">
        <x:v>7</x:v>
      </x:c>
      <x:c r="C3357" s="19" t="n">
        <x:v>2</x:v>
      </x:c>
      <x:c r="D3357" s="19" t="str">
        <x:v>C07-M022</x:v>
      </x:c>
      <x:c r="E3357" s="19" t="str">
        <x:v>圣域默祷师</x:v>
      </x:c>
      <x:c r="F3357" s="19" t="str">
        <x:v>稀有</x:v>
      </x:c>
      <x:c r="G3357" s="19" t="str">
        <x:v>材料独立候选</x:v>
      </x:c>
      <x:c r="H3357" s="19" t="str">
        <x:v>白金纺线</x:v>
      </x:c>
      <x:c r="I3357" s="22" t="n">
        <x:v>1000</x:v>
      </x:c>
      <x:c r="J3357" s="22" t="n">
        <x:v>1</x:v>
      </x:c>
      <x:c r="K3357" s="19" t="n">
        <x:v>1</x:v>
      </x:c>
      <x:c r="L3357" s="24" t="n">
        <x:v>42.30933333333333</x:v>
      </x:c>
      <x:c r="M3357" s="26" t="n">
        <x:v>0.1</x:v>
      </x:c>
      <x:c r="N3357" s="24" t="n">
        <x:v>12</x:v>
      </x:c>
      <x:c r="O3357" s="28" t="n">
        <x:f>MIN(1,L3357/I3357)</x:f>
        <x:v>0.04230933333333333</x:v>
      </x:c>
      <x:c r="P3357" s="30" t="n">
        <x:f>O3357*J3357*(1+M3357)</x:f>
        <x:v>0.04654026666666667</x:v>
      </x:c>
      <x:c r="Q3357" s="30" t="n">
        <x:f>P3357*N3357</x:f>
        <x:v>0.5584832000000001</x:v>
      </x:c>
      <x:c r="R3357" s="19" t="str">
        <x:v>独立判定</x:v>
      </x:c>
    </x:row>
    <x:row r="3358" ht="19" customHeight="1">
      <x:c r="A3358" s="19" t="str">
        <x:v>D03354</x:v>
      </x:c>
      <x:c r="B3358" s="19" t="n">
        <x:v>7</x:v>
      </x:c>
      <x:c r="C3358" s="19" t="n">
        <x:v>2</x:v>
      </x:c>
      <x:c r="D3358" s="19" t="str">
        <x:v>C07-M022</x:v>
      </x:c>
      <x:c r="E3358" s="19" t="str">
        <x:v>圣域默祷师</x:v>
      </x:c>
      <x:c r="F3358" s="19" t="str">
        <x:v>稀有</x:v>
      </x:c>
      <x:c r="G3358" s="19" t="str">
        <x:v>材料独立候选</x:v>
      </x:c>
      <x:c r="H3358" s="19" t="str">
        <x:v>冻原银角</x:v>
      </x:c>
      <x:c r="I3358" s="22" t="n">
        <x:v>1500</x:v>
      </x:c>
      <x:c r="J3358" s="22" t="n">
        <x:v>1</x:v>
      </x:c>
      <x:c r="K3358" s="19" t="n">
        <x:v>1</x:v>
      </x:c>
      <x:c r="L3358" s="24" t="n">
        <x:v>42.30933333333333</x:v>
      </x:c>
      <x:c r="M3358" s="26" t="n">
        <x:v>0.1</x:v>
      </x:c>
      <x:c r="N3358" s="24" t="n">
        <x:v>12</x:v>
      </x:c>
      <x:c r="O3358" s="28" t="n">
        <x:f>MIN(1,L3358/I3358)</x:f>
        <x:v>0.02820622222222222</x:v>
      </x:c>
      <x:c r="P3358" s="30" t="n">
        <x:f>O3358*J3358*(1+M3358)</x:f>
        <x:v>0.031026844444444444</x:v>
      </x:c>
      <x:c r="Q3358" s="30" t="n">
        <x:f>P3358*N3358</x:f>
        <x:v>0.3723221333333333</x:v>
      </x:c>
      <x:c r="R3358" s="19" t="str">
        <x:v>独立判定</x:v>
      </x:c>
    </x:row>
    <x:row r="3359" ht="19" customHeight="1">
      <x:c r="A3359" s="19" t="str">
        <x:v>D03355</x:v>
      </x:c>
      <x:c r="B3359" s="19" t="n">
        <x:v>7</x:v>
      </x:c>
      <x:c r="C3359" s="19" t="n">
        <x:v>2</x:v>
      </x:c>
      <x:c r="D3359" s="19" t="str">
        <x:v>C07-M022</x:v>
      </x:c>
      <x:c r="E3359" s="19" t="str">
        <x:v>圣域默祷师</x:v>
      </x:c>
      <x:c r="F3359" s="19" t="str">
        <x:v>稀有</x:v>
      </x:c>
      <x:c r="G3359" s="19" t="str">
        <x:v>材料独立候选</x:v>
      </x:c>
      <x:c r="H3359" s="19" t="str">
        <x:v>永霜朝圣痕</x:v>
      </x:c>
      <x:c r="I3359" s="22" t="n">
        <x:v>1200000</x:v>
      </x:c>
      <x:c r="J3359" s="22" t="n">
        <x:v>1</x:v>
      </x:c>
      <x:c r="K3359" s="19" t="n">
        <x:v>1</x:v>
      </x:c>
      <x:c r="L3359" s="24" t="n">
        <x:v>42.30933333333333</x:v>
      </x:c>
      <x:c r="M3359" s="26" t="n">
        <x:v>0.1</x:v>
      </x:c>
      <x:c r="N3359" s="24" t="n">
        <x:v>12</x:v>
      </x:c>
      <x:c r="O3359" s="28" t="n">
        <x:f>MIN(1,L3359/I3359)</x:f>
        <x:v>0.000035257777777777775</x:v>
      </x:c>
      <x:c r="P3359" s="30" t="n">
        <x:f>O3359*J3359*(1+M3359)</x:f>
        <x:v>0.00003878355555555556</x:v>
      </x:c>
      <x:c r="Q3359" s="30" t="n">
        <x:f>P3359*N3359</x:f>
        <x:v>0.0004654026666666667</x:v>
      </x:c>
      <x:c r="R3359" s="19" t="str">
        <x:v>独立判定</x:v>
      </x:c>
    </x:row>
    <x:row r="3360" ht="19" customHeight="1">
      <x:c r="A3360" s="19" t="str">
        <x:v>D03356</x:v>
      </x:c>
      <x:c r="B3360" s="19" t="n">
        <x:v>7</x:v>
      </x:c>
      <x:c r="C3360" s="19" t="n">
        <x:v>2</x:v>
      </x:c>
      <x:c r="D3360" s="19" t="str">
        <x:v>C07-M022</x:v>
      </x:c>
      <x:c r="E3360" s="19" t="str">
        <x:v>圣域默祷师</x:v>
      </x:c>
      <x:c r="F3360" s="19" t="str">
        <x:v>稀有</x:v>
      </x:c>
      <x:c r="G3360" s="19" t="str">
        <x:v>材料独立候选</x:v>
      </x:c>
      <x:c r="H3360" s="19" t="str">
        <x:v>黄金树芽</x:v>
      </x:c>
      <x:c r="I3360" s="22" t="n">
        <x:v>6000</x:v>
      </x:c>
      <x:c r="J3360" s="22" t="n">
        <x:v>1</x:v>
      </x:c>
      <x:c r="K3360" s="19" t="n">
        <x:v>1</x:v>
      </x:c>
      <x:c r="L3360" s="24" t="n">
        <x:v>42.30933333333333</x:v>
      </x:c>
      <x:c r="M3360" s="26" t="n">
        <x:v>0.1</x:v>
      </x:c>
      <x:c r="N3360" s="24" t="n">
        <x:v>12</x:v>
      </x:c>
      <x:c r="O3360" s="28" t="n">
        <x:f>MIN(1,L3360/I3360)</x:f>
        <x:v>0.007051555555555555</x:v>
      </x:c>
      <x:c r="P3360" s="30" t="n">
        <x:f>O3360*J3360*(1+M3360)</x:f>
        <x:v>0.007756711111111111</x:v>
      </x:c>
      <x:c r="Q3360" s="30" t="n">
        <x:f>P3360*N3360</x:f>
        <x:v>0.09308053333333333</x:v>
      </x:c>
      <x:c r="R3360" s="19" t="str">
        <x:v>独立判定</x:v>
      </x:c>
    </x:row>
    <x:row r="3361" ht="19" customHeight="1">
      <x:c r="A3361" s="19" t="str">
        <x:v>D03357</x:v>
      </x:c>
      <x:c r="B3361" s="19" t="n">
        <x:v>7</x:v>
      </x:c>
      <x:c r="C3361" s="19" t="n">
        <x:v>2</x:v>
      </x:c>
      <x:c r="D3361" s="19" t="str">
        <x:v>C07-M022</x:v>
      </x:c>
      <x:c r="E3361" s="19" t="str">
        <x:v>圣域默祷师</x:v>
      </x:c>
      <x:c r="F3361" s="19" t="str">
        <x:v>稀有</x:v>
      </x:c>
      <x:c r="G3361" s="19" t="str">
        <x:v>材料独立候选</x:v>
      </x:c>
      <x:c r="H3361" s="19" t="str">
        <x:v>野兽骨片</x:v>
      </x:c>
      <x:c r="I3361" s="22" t="n">
        <x:v>150</x:v>
      </x:c>
      <x:c r="J3361" s="22" t="n">
        <x:v>5</x:v>
      </x:c>
      <x:c r="K3361" s="19" t="n">
        <x:v>1</x:v>
      </x:c>
      <x:c r="L3361" s="24" t="n">
        <x:v>42.30933333333333</x:v>
      </x:c>
      <x:c r="M3361" s="26" t="n">
        <x:v>0.1</x:v>
      </x:c>
      <x:c r="N3361" s="24" t="n">
        <x:v>12</x:v>
      </x:c>
      <x:c r="O3361" s="28" t="n">
        <x:f>MIN(1,L3361/I3361)</x:f>
        <x:v>0.28206222222222216</x:v>
      </x:c>
      <x:c r="P3361" s="30" t="n">
        <x:f>O3361*J3361*(1+M3361)</x:f>
        <x:v>1.551342222222222</x:v>
      </x:c>
      <x:c r="Q3361" s="30" t="n">
        <x:f>P3361*N3361</x:f>
        <x:v>18.616106666666663</x:v>
      </x:c>
      <x:c r="R3361" s="19" t="str">
        <x:v>独立判定</x:v>
      </x:c>
    </x:row>
    <x:row r="3362" ht="19" customHeight="1">
      <x:c r="A3362" s="19" t="str">
        <x:v>D03358</x:v>
      </x:c>
      <x:c r="B3362" s="19" t="n">
        <x:v>7</x:v>
      </x:c>
      <x:c r="C3362" s="19" t="n">
        <x:v>2</x:v>
      </x:c>
      <x:c r="D3362" s="19" t="str">
        <x:v>C07-M022</x:v>
      </x:c>
      <x:c r="E3362" s="19" t="str">
        <x:v>圣域默祷师</x:v>
      </x:c>
      <x:c r="F3362" s="19" t="str">
        <x:v>稀有</x:v>
      </x:c>
      <x:c r="G3362" s="19" t="str">
        <x:v>材料独立候选</x:v>
      </x:c>
      <x:c r="H3362" s="19" t="str">
        <x:v>技能残页</x:v>
      </x:c>
      <x:c r="I3362" s="22" t="n">
        <x:v>800</x:v>
      </x:c>
      <x:c r="J3362" s="22" t="n">
        <x:v>1</x:v>
      </x:c>
      <x:c r="K3362" s="19" t="n">
        <x:v>1</x:v>
      </x:c>
      <x:c r="L3362" s="24" t="n">
        <x:v>42.30933333333333</x:v>
      </x:c>
      <x:c r="M3362" s="26" t="n">
        <x:v>0.1</x:v>
      </x:c>
      <x:c r="N3362" s="24" t="n">
        <x:v>12</x:v>
      </x:c>
      <x:c r="O3362" s="28" t="n">
        <x:f>MIN(1,L3362/I3362)</x:f>
        <x:v>0.05288666666666666</x:v>
      </x:c>
      <x:c r="P3362" s="30" t="n">
        <x:f>O3362*J3362*(1+M3362)</x:f>
        <x:v>0.05817533333333333</x:v>
      </x:c>
      <x:c r="Q3362" s="30" t="n">
        <x:f>P3362*N3362</x:f>
        <x:v>0.698104</x:v>
      </x:c>
      <x:c r="R3362" s="19" t="str">
        <x:v>独立判定</x:v>
      </x:c>
    </x:row>
    <x:row r="3363" ht="19" customHeight="1">
      <x:c r="A3363" s="19" t="str">
        <x:v>D03359</x:v>
      </x:c>
      <x:c r="B3363" s="19" t="n">
        <x:v>7</x:v>
      </x:c>
      <x:c r="C3363" s="19" t="n">
        <x:v>2</x:v>
      </x:c>
      <x:c r="D3363" s="19" t="str">
        <x:v>C07-M022</x:v>
      </x:c>
      <x:c r="E3363" s="19" t="str">
        <x:v>圣域默祷师</x:v>
      </x:c>
      <x:c r="F3363" s="19" t="str">
        <x:v>稀有</x:v>
      </x:c>
      <x:c r="G3363" s="19" t="str">
        <x:v>材料独立候选</x:v>
      </x:c>
      <x:c r="H3363" s="19" t="str">
        <x:v>小卢恩</x:v>
      </x:c>
      <x:c r="I3363" s="22" t="n">
        <x:v>8000</x:v>
      </x:c>
      <x:c r="J3363" s="22" t="n">
        <x:v>1</x:v>
      </x:c>
      <x:c r="K3363" s="19" t="n">
        <x:v>1</x:v>
      </x:c>
      <x:c r="L3363" s="24" t="n">
        <x:v>42.30933333333333</x:v>
      </x:c>
      <x:c r="M3363" s="26" t="n">
        <x:v>0.1</x:v>
      </x:c>
      <x:c r="N3363" s="24" t="n">
        <x:v>12</x:v>
      </x:c>
      <x:c r="O3363" s="28" t="n">
        <x:f>MIN(1,L3363/I3363)</x:f>
        <x:v>0.005288666666666666</x:v>
      </x:c>
      <x:c r="P3363" s="30" t="n">
        <x:f>O3363*J3363*(1+M3363)</x:f>
        <x:v>0.005817533333333334</x:v>
      </x:c>
      <x:c r="Q3363" s="30" t="n">
        <x:f>P3363*N3363</x:f>
        <x:v>0.06981040000000001</x:v>
      </x:c>
      <x:c r="R3363" s="19" t="str">
        <x:v>独立判定</x:v>
      </x:c>
    </x:row>
    <x:row r="3364" ht="19" customHeight="1">
      <x:c r="A3364" s="19" t="str">
        <x:v>D03360</x:v>
      </x:c>
      <x:c r="B3364" s="19" t="n">
        <x:v>7</x:v>
      </x:c>
      <x:c r="C3364" s="19" t="n">
        <x:v>2</x:v>
      </x:c>
      <x:c r="D3364" s="19" t="str">
        <x:v>C07-M022</x:v>
      </x:c>
      <x:c r="E3364" s="19" t="str">
        <x:v>圣域默祷师</x:v>
      </x:c>
      <x:c r="F3364" s="19" t="str">
        <x:v>稀有</x:v>
      </x:c>
      <x:c r="G3364" s="19" t="str">
        <x:v>六神器公共池</x:v>
      </x:c>
      <x:c r="H3364" s="19" t="str">
        <x:v>POOL006</x:v>
      </x:c>
      <x:c r="I3364" s="22" t="n">
        <x:v>5000000</x:v>
      </x:c>
      <x:c r="J3364" s="22" t="n">
        <x:v>1</x:v>
      </x:c>
      <x:c r="K3364" s="19" t="n">
        <x:v>6</x:v>
      </x:c>
      <x:c r="L3364" s="24" t="n">
        <x:v>42.30933333333333</x:v>
      </x:c>
      <x:c r="M3364" s="26" t="n">
        <x:v>0.1</x:v>
      </x:c>
      <x:c r="N3364" s="24" t="n">
        <x:v>12</x:v>
      </x:c>
      <x:c r="O3364" s="28" t="n">
        <x:f>MIN(1,L3364/I3364)</x:f>
        <x:v>0.000008461866666666666</x:v>
      </x:c>
      <x:c r="P3364" s="30" t="n">
        <x:f>O3364*J3364*(1+M3364)</x:f>
        <x:v>0.000009308053333333333</x:v>
      </x:c>
      <x:c r="Q3364" s="30" t="n">
        <x:f>P3364*N3364</x:f>
        <x:v>0.00011169663999999999</x:v>
      </x:c>
      <x:c r="R3364" s="19" t="str">
        <x:v>六选一；非6个独立爆率</x:v>
      </x:c>
    </x:row>
    <x:row r="3365" ht="19" customHeight="1">
      <x:c r="A3365" s="19" t="str">
        <x:v>D03361</x:v>
      </x:c>
      <x:c r="B3365" s="19" t="n">
        <x:v>7</x:v>
      </x:c>
      <x:c r="C3365" s="19" t="n">
        <x:v>2</x:v>
      </x:c>
      <x:c r="D3365" s="19" t="str">
        <x:v>C07-M023</x:v>
      </x:c>
      <x:c r="E3365" s="19" t="str">
        <x:v>极昼雪后·芙蕾</x:v>
      </x:c>
      <x:c r="F3365" s="19" t="str">
        <x:v>地图BOSS</x:v>
      </x:c>
      <x:c r="G3365" s="19" t="str">
        <x:v>自身专属</x:v>
      </x:c>
      <x:c r="H3365" s="19" t="str">
        <x:v>芙蕾冰冠</x:v>
      </x:c>
      <x:c r="I3365" s="22" t="n">
        <x:v>100</x:v>
      </x:c>
      <x:c r="J3365" s="22" t="n">
        <x:v>1</x:v>
      </x:c>
      <x:c r="K3365" s="19" t="n">
        <x:v>1</x:v>
      </x:c>
      <x:c r="L3365" s="24" t="n">
        <x:v>42.30933333333333</x:v>
      </x:c>
      <x:c r="M3365" s="26" t="n">
        <x:v>0.1</x:v>
      </x:c>
      <x:c r="N3365" s="24" t="n">
        <x:v>2</x:v>
      </x:c>
      <x:c r="O3365" s="28" t="n">
        <x:f>MIN(1,L3365/I3365)</x:f>
        <x:v>0.42309333333333327</x:v>
      </x:c>
      <x:c r="P3365" s="30" t="n">
        <x:f>O3365*J3365*(1+M3365)</x:f>
        <x:v>0.46540266666666663</x:v>
      </x:c>
      <x:c r="Q3365" s="30" t="n">
        <x:f>P3365*N3365</x:f>
        <x:v>0.9308053333333333</x:v>
      </x:c>
      <x:c r="R3365" s="19" t="str">
        <x:v>独立判定</x:v>
      </x:c>
    </x:row>
    <x:row r="3366" ht="19" customHeight="1">
      <x:c r="A3366" s="19" t="str">
        <x:v>D03362</x:v>
      </x:c>
      <x:c r="B3366" s="19" t="n">
        <x:v>7</x:v>
      </x:c>
      <x:c r="C3366" s="19" t="n">
        <x:v>2</x:v>
      </x:c>
      <x:c r="D3366" s="19" t="str">
        <x:v>C07-M023</x:v>
      </x:c>
      <x:c r="E3366" s="19" t="str">
        <x:v>极昼雪后·芙蕾</x:v>
      </x:c>
      <x:c r="F3366" s="19" t="str">
        <x:v>地图BOSS</x:v>
      </x:c>
      <x:c r="G3366" s="19" t="str">
        <x:v>本图普通兼掉候选</x:v>
      </x:c>
      <x:c r="H3366" s="19" t="str">
        <x:v>POOL056</x:v>
      </x:c>
      <x:c r="I3366" s="22" t="n">
        <x:v>100</x:v>
      </x:c>
      <x:c r="J3366" s="22" t="n">
        <x:v>1</x:v>
      </x:c>
      <x:c r="K3366" s="19" t="n">
        <x:v>1</x:v>
      </x:c>
      <x:c r="L3366" s="24" t="n">
        <x:v>42.30933333333333</x:v>
      </x:c>
      <x:c r="M3366" s="26" t="n">
        <x:v>0.1</x:v>
      </x:c>
      <x:c r="N3366" s="24" t="n">
        <x:v>2</x:v>
      </x:c>
      <x:c r="O3366" s="28" t="n">
        <x:f>MIN(1,L3366/I3366)</x:f>
        <x:v>0.42309333333333327</x:v>
      </x:c>
      <x:c r="P3366" s="30" t="n">
        <x:f>O3366*J3366*(1+M3366)</x:f>
        <x:v>0.46540266666666663</x:v>
      </x:c>
      <x:c r="Q3366" s="30" t="n">
        <x:f>P3366*N3366</x:f>
        <x:v>0.9308053333333333</x:v>
      </x:c>
      <x:c r="R3366" s="19" t="str">
        <x:v>单池选一</x:v>
      </x:c>
    </x:row>
    <x:row r="3367" ht="19" customHeight="1">
      <x:c r="A3367" s="19" t="str">
        <x:v>D03363</x:v>
      </x:c>
      <x:c r="B3367" s="19" t="n">
        <x:v>7</x:v>
      </x:c>
      <x:c r="C3367" s="19" t="n">
        <x:v>2</x:v>
      </x:c>
      <x:c r="D3367" s="19" t="str">
        <x:v>C07-M023</x:v>
      </x:c>
      <x:c r="E3367" s="19" t="str">
        <x:v>极昼雪后·芙蕾</x:v>
      </x:c>
      <x:c r="F3367" s="19" t="str">
        <x:v>地图BOSS</x:v>
      </x:c>
      <x:c r="G3367" s="19" t="str">
        <x:v>材料独立候选</x:v>
      </x:c>
      <x:c r="H3367" s="19" t="str">
        <x:v>冻晶尘</x:v>
      </x:c>
      <x:c r="I3367" s="22" t="n">
        <x:v>400</x:v>
      </x:c>
      <x:c r="J3367" s="22" t="n">
        <x:v>30</x:v>
      </x:c>
      <x:c r="K3367" s="19" t="n">
        <x:v>1</x:v>
      </x:c>
      <x:c r="L3367" s="24" t="n">
        <x:v>42.30933333333333</x:v>
      </x:c>
      <x:c r="M3367" s="26" t="n">
        <x:v>0.1</x:v>
      </x:c>
      <x:c r="N3367" s="24" t="n">
        <x:v>2</x:v>
      </x:c>
      <x:c r="O3367" s="28" t="n">
        <x:f>MIN(1,L3367/I3367)</x:f>
        <x:v>0.10577333333333332</x:v>
      </x:c>
      <x:c r="P3367" s="30" t="n">
        <x:f>O3367*J3367*(1+M3367)</x:f>
        <x:v>3.4905199999999996</x:v>
      </x:c>
      <x:c r="Q3367" s="30" t="n">
        <x:f>P3367*N3367</x:f>
        <x:v>6.981039999999999</x:v>
      </x:c>
      <x:c r="R3367" s="19" t="str">
        <x:v>独立判定</x:v>
      </x:c>
    </x:row>
    <x:row r="3368" ht="19" customHeight="1">
      <x:c r="A3368" s="19" t="str">
        <x:v>D03364</x:v>
      </x:c>
      <x:c r="B3368" s="19" t="n">
        <x:v>7</x:v>
      </x:c>
      <x:c r="C3368" s="19" t="n">
        <x:v>2</x:v>
      </x:c>
      <x:c r="D3368" s="19" t="str">
        <x:v>C07-M023</x:v>
      </x:c>
      <x:c r="E3368" s="19" t="str">
        <x:v>极昼雪后·芙蕾</x:v>
      </x:c>
      <x:c r="F3368" s="19" t="str">
        <x:v>地图BOSS</x:v>
      </x:c>
      <x:c r="G3368" s="19" t="str">
        <x:v>材料独立候选</x:v>
      </x:c>
      <x:c r="H3368" s="19" t="str">
        <x:v>白金纺线</x:v>
      </x:c>
      <x:c r="I3368" s="22" t="n">
        <x:v>500</x:v>
      </x:c>
      <x:c r="J3368" s="22" t="n">
        <x:v>1</x:v>
      </x:c>
      <x:c r="K3368" s="19" t="n">
        <x:v>1</x:v>
      </x:c>
      <x:c r="L3368" s="24" t="n">
        <x:v>42.30933333333333</x:v>
      </x:c>
      <x:c r="M3368" s="26" t="n">
        <x:v>0.1</x:v>
      </x:c>
      <x:c r="N3368" s="24" t="n">
        <x:v>2</x:v>
      </x:c>
      <x:c r="O3368" s="28" t="n">
        <x:f>MIN(1,L3368/I3368)</x:f>
        <x:v>0.08461866666666666</x:v>
      </x:c>
      <x:c r="P3368" s="30" t="n">
        <x:f>O3368*J3368*(1+M3368)</x:f>
        <x:v>0.09308053333333334</x:v>
      </x:c>
      <x:c r="Q3368" s="30" t="n">
        <x:f>P3368*N3368</x:f>
        <x:v>0.18616106666666668</x:v>
      </x:c>
      <x:c r="R3368" s="19" t="str">
        <x:v>独立判定</x:v>
      </x:c>
    </x:row>
    <x:row r="3369" ht="19" customHeight="1">
      <x:c r="A3369" s="19" t="str">
        <x:v>D03365</x:v>
      </x:c>
      <x:c r="B3369" s="19" t="n">
        <x:v>7</x:v>
      </x:c>
      <x:c r="C3369" s="19" t="n">
        <x:v>2</x:v>
      </x:c>
      <x:c r="D3369" s="19" t="str">
        <x:v>C07-M023</x:v>
      </x:c>
      <x:c r="E3369" s="19" t="str">
        <x:v>极昼雪后·芙蕾</x:v>
      </x:c>
      <x:c r="F3369" s="19" t="str">
        <x:v>地图BOSS</x:v>
      </x:c>
      <x:c r="G3369" s="19" t="str">
        <x:v>材料独立候选</x:v>
      </x:c>
      <x:c r="H3369" s="19" t="str">
        <x:v>圣雪誓印</x:v>
      </x:c>
      <x:c r="I3369" s="22" t="n">
        <x:v>200</x:v>
      </x:c>
      <x:c r="J3369" s="22" t="n">
        <x:v>4</x:v>
      </x:c>
      <x:c r="K3369" s="19" t="n">
        <x:v>1</x:v>
      </x:c>
      <x:c r="L3369" s="24" t="n">
        <x:v>42.30933333333333</x:v>
      </x:c>
      <x:c r="M3369" s="26" t="n">
        <x:v>0.1</x:v>
      </x:c>
      <x:c r="N3369" s="24" t="n">
        <x:v>2</x:v>
      </x:c>
      <x:c r="O3369" s="28" t="n">
        <x:f>MIN(1,L3369/I3369)</x:f>
        <x:v>0.21154666666666663</x:v>
      </x:c>
      <x:c r="P3369" s="30" t="n">
        <x:f>O3369*J3369*(1+M3369)</x:f>
        <x:v>0.9308053333333333</x:v>
      </x:c>
      <x:c r="Q3369" s="30" t="n">
        <x:f>P3369*N3369</x:f>
        <x:v>1.8616106666666665</x:v>
      </x:c>
      <x:c r="R3369" s="19" t="str">
        <x:v>独立判定</x:v>
      </x:c>
    </x:row>
    <x:row r="3370" ht="19" customHeight="1">
      <x:c r="A3370" s="19" t="str">
        <x:v>D03366</x:v>
      </x:c>
      <x:c r="B3370" s="19" t="n">
        <x:v>7</x:v>
      </x:c>
      <x:c r="C3370" s="19" t="n">
        <x:v>2</x:v>
      </x:c>
      <x:c r="D3370" s="19" t="str">
        <x:v>C07-M023</x:v>
      </x:c>
      <x:c r="E3370" s="19" t="str">
        <x:v>极昼雪后·芙蕾</x:v>
      </x:c>
      <x:c r="F3370" s="19" t="str">
        <x:v>地图BOSS</x:v>
      </x:c>
      <x:c r="G3370" s="19" t="str">
        <x:v>材料独立候选</x:v>
      </x:c>
      <x:c r="H3370" s="19" t="str">
        <x:v>秘树霜芽</x:v>
      </x:c>
      <x:c r="I3370" s="22" t="n">
        <x:v>180</x:v>
      </x:c>
      <x:c r="J3370" s="22" t="n">
        <x:v>3</x:v>
      </x:c>
      <x:c r="K3370" s="19" t="n">
        <x:v>1</x:v>
      </x:c>
      <x:c r="L3370" s="24" t="n">
        <x:v>42.30933333333333</x:v>
      </x:c>
      <x:c r="M3370" s="26" t="n">
        <x:v>0.1</x:v>
      </x:c>
      <x:c r="N3370" s="24" t="n">
        <x:v>2</x:v>
      </x:c>
      <x:c r="O3370" s="28" t="n">
        <x:f>MIN(1,L3370/I3370)</x:f>
        <x:v>0.23505185185185182</x:v>
      </x:c>
      <x:c r="P3370" s="30" t="n">
        <x:f>O3370*J3370*(1+M3370)</x:f>
        <x:v>0.775671111111111</x:v>
      </x:c>
      <x:c r="Q3370" s="30" t="n">
        <x:f>P3370*N3370</x:f>
        <x:v>1.551342222222222</x:v>
      </x:c>
      <x:c r="R3370" s="19" t="str">
        <x:v>独立判定</x:v>
      </x:c>
    </x:row>
    <x:row r="3371" ht="19" customHeight="1">
      <x:c r="A3371" s="19" t="str">
        <x:v>D03367</x:v>
      </x:c>
      <x:c r="B3371" s="19" t="n">
        <x:v>7</x:v>
      </x:c>
      <x:c r="C3371" s="19" t="n">
        <x:v>2</x:v>
      </x:c>
      <x:c r="D3371" s="19" t="str">
        <x:v>C07-M023</x:v>
      </x:c>
      <x:c r="E3371" s="19" t="str">
        <x:v>极昼雪后·芙蕾</x:v>
      </x:c>
      <x:c r="F3371" s="19" t="str">
        <x:v>地图BOSS</x:v>
      </x:c>
      <x:c r="G3371" s="19" t="str">
        <x:v>材料独立候选</x:v>
      </x:c>
      <x:c r="H3371" s="19" t="str">
        <x:v>永霜朝圣痕</x:v>
      </x:c>
      <x:c r="I3371" s="22" t="n">
        <x:v>600000</x:v>
      </x:c>
      <x:c r="J3371" s="22" t="n">
        <x:v>1</x:v>
      </x:c>
      <x:c r="K3371" s="19" t="n">
        <x:v>1</x:v>
      </x:c>
      <x:c r="L3371" s="24" t="n">
        <x:v>42.30933333333333</x:v>
      </x:c>
      <x:c r="M3371" s="26" t="n">
        <x:v>0.1</x:v>
      </x:c>
      <x:c r="N3371" s="24" t="n">
        <x:v>2</x:v>
      </x:c>
      <x:c r="O3371" s="28" t="n">
        <x:f>MIN(1,L3371/I3371)</x:f>
        <x:v>0.00007051555555555555</x:v>
      </x:c>
      <x:c r="P3371" s="30" t="n">
        <x:f>O3371*J3371*(1+M3371)</x:f>
        <x:v>0.00007756711111111111</x:v>
      </x:c>
      <x:c r="Q3371" s="30" t="n">
        <x:f>P3371*N3371</x:f>
        <x:v>0.00015513422222222223</x:v>
      </x:c>
      <x:c r="R3371" s="19" t="str">
        <x:v>独立判定</x:v>
      </x:c>
    </x:row>
    <x:row r="3372" ht="19" customHeight="1">
      <x:c r="A3372" s="19" t="str">
        <x:v>D03368</x:v>
      </x:c>
      <x:c r="B3372" s="19" t="n">
        <x:v>7</x:v>
      </x:c>
      <x:c r="C3372" s="19" t="n">
        <x:v>2</x:v>
      </x:c>
      <x:c r="D3372" s="19" t="str">
        <x:v>C07-M023</x:v>
      </x:c>
      <x:c r="E3372" s="19" t="str">
        <x:v>极昼雪后·芙蕾</x:v>
      </x:c>
      <x:c r="F3372" s="19" t="str">
        <x:v>地图BOSS</x:v>
      </x:c>
      <x:c r="G3372" s="19" t="str">
        <x:v>材料独立候选</x:v>
      </x:c>
      <x:c r="H3372" s="19" t="str">
        <x:v>黄金树芽</x:v>
      </x:c>
      <x:c r="I3372" s="22" t="n">
        <x:v>4000</x:v>
      </x:c>
      <x:c r="J3372" s="22" t="n">
        <x:v>1</x:v>
      </x:c>
      <x:c r="K3372" s="19" t="n">
        <x:v>1</x:v>
      </x:c>
      <x:c r="L3372" s="24" t="n">
        <x:v>42.30933333333333</x:v>
      </x:c>
      <x:c r="M3372" s="26" t="n">
        <x:v>0.1</x:v>
      </x:c>
      <x:c r="N3372" s="24" t="n">
        <x:v>2</x:v>
      </x:c>
      <x:c r="O3372" s="28" t="n">
        <x:f>MIN(1,L3372/I3372)</x:f>
        <x:v>0.010577333333333333</x:v>
      </x:c>
      <x:c r="P3372" s="30" t="n">
        <x:f>O3372*J3372*(1+M3372)</x:f>
        <x:v>0.011635066666666668</x:v>
      </x:c>
      <x:c r="Q3372" s="30" t="n">
        <x:f>P3372*N3372</x:f>
        <x:v>0.023270133333333335</x:v>
      </x:c>
      <x:c r="R3372" s="19" t="str">
        <x:v>独立判定</x:v>
      </x:c>
    </x:row>
    <x:row r="3373" ht="19" customHeight="1">
      <x:c r="A3373" s="19" t="str">
        <x:v>D03369</x:v>
      </x:c>
      <x:c r="B3373" s="19" t="n">
        <x:v>7</x:v>
      </x:c>
      <x:c r="C3373" s="19" t="n">
        <x:v>2</x:v>
      </x:c>
      <x:c r="D3373" s="19" t="str">
        <x:v>C07-M023</x:v>
      </x:c>
      <x:c r="E3373" s="19" t="str">
        <x:v>极昼雪后·芙蕾</x:v>
      </x:c>
      <x:c r="F3373" s="19" t="str">
        <x:v>地图BOSS</x:v>
      </x:c>
      <x:c r="G3373" s="19" t="str">
        <x:v>材料独立候选</x:v>
      </x:c>
      <x:c r="H3373" s="19" t="str">
        <x:v>野兽骨片</x:v>
      </x:c>
      <x:c r="I3373" s="22" t="n">
        <x:v>80</x:v>
      </x:c>
      <x:c r="J3373" s="22" t="n">
        <x:v>5</x:v>
      </x:c>
      <x:c r="K3373" s="19" t="n">
        <x:v>1</x:v>
      </x:c>
      <x:c r="L3373" s="24" t="n">
        <x:v>42.30933333333333</x:v>
      </x:c>
      <x:c r="M3373" s="26" t="n">
        <x:v>0.1</x:v>
      </x:c>
      <x:c r="N3373" s="24" t="n">
        <x:v>2</x:v>
      </x:c>
      <x:c r="O3373" s="28" t="n">
        <x:f>MIN(1,L3373/I3373)</x:f>
        <x:v>0.5288666666666666</x:v>
      </x:c>
      <x:c r="P3373" s="30" t="n">
        <x:f>O3373*J3373*(1+M3373)</x:f>
        <x:v>2.9087666666666667</x:v>
      </x:c>
      <x:c r="Q3373" s="30" t="n">
        <x:f>P3373*N3373</x:f>
        <x:v>5.8175333333333334</x:v>
      </x:c>
      <x:c r="R3373" s="19" t="str">
        <x:v>独立判定</x:v>
      </x:c>
    </x:row>
    <x:row r="3374" ht="19" customHeight="1">
      <x:c r="A3374" s="19" t="str">
        <x:v>D03370</x:v>
      </x:c>
      <x:c r="B3374" s="19" t="n">
        <x:v>7</x:v>
      </x:c>
      <x:c r="C3374" s="19" t="n">
        <x:v>2</x:v>
      </x:c>
      <x:c r="D3374" s="19" t="str">
        <x:v>C07-M023</x:v>
      </x:c>
      <x:c r="E3374" s="19" t="str">
        <x:v>极昼雪后·芙蕾</x:v>
      </x:c>
      <x:c r="F3374" s="19" t="str">
        <x:v>地图BOSS</x:v>
      </x:c>
      <x:c r="G3374" s="19" t="str">
        <x:v>材料独立候选</x:v>
      </x:c>
      <x:c r="H3374" s="19" t="str">
        <x:v>技能残页</x:v>
      </x:c>
      <x:c r="I3374" s="22" t="n">
        <x:v>500</x:v>
      </x:c>
      <x:c r="J3374" s="22" t="n">
        <x:v>1</x:v>
      </x:c>
      <x:c r="K3374" s="19" t="n">
        <x:v>1</x:v>
      </x:c>
      <x:c r="L3374" s="24" t="n">
        <x:v>42.30933333333333</x:v>
      </x:c>
      <x:c r="M3374" s="26" t="n">
        <x:v>0.1</x:v>
      </x:c>
      <x:c r="N3374" s="24" t="n">
        <x:v>2</x:v>
      </x:c>
      <x:c r="O3374" s="28" t="n">
        <x:f>MIN(1,L3374/I3374)</x:f>
        <x:v>0.08461866666666666</x:v>
      </x:c>
      <x:c r="P3374" s="30" t="n">
        <x:f>O3374*J3374*(1+M3374)</x:f>
        <x:v>0.09308053333333334</x:v>
      </x:c>
      <x:c r="Q3374" s="30" t="n">
        <x:f>P3374*N3374</x:f>
        <x:v>0.18616106666666668</x:v>
      </x:c>
      <x:c r="R3374" s="19" t="str">
        <x:v>独立判定</x:v>
      </x:c>
    </x:row>
    <x:row r="3375" ht="19" customHeight="1">
      <x:c r="A3375" s="19" t="str">
        <x:v>D03371</x:v>
      </x:c>
      <x:c r="B3375" s="19" t="n">
        <x:v>7</x:v>
      </x:c>
      <x:c r="C3375" s="19" t="n">
        <x:v>2</x:v>
      </x:c>
      <x:c r="D3375" s="19" t="str">
        <x:v>C07-M023</x:v>
      </x:c>
      <x:c r="E3375" s="19" t="str">
        <x:v>极昼雪后·芙蕾</x:v>
      </x:c>
      <x:c r="F3375" s="19" t="str">
        <x:v>地图BOSS</x:v>
      </x:c>
      <x:c r="G3375" s="19" t="str">
        <x:v>材料独立候选</x:v>
      </x:c>
      <x:c r="H3375" s="19" t="str">
        <x:v>宁姆格福誓页</x:v>
      </x:c>
      <x:c r="I3375" s="22" t="n">
        <x:v>500</x:v>
      </x:c>
      <x:c r="J3375" s="22" t="n">
        <x:v>1</x:v>
      </x:c>
      <x:c r="K3375" s="19" t="n">
        <x:v>1</x:v>
      </x:c>
      <x:c r="L3375" s="24" t="n">
        <x:v>42.30933333333333</x:v>
      </x:c>
      <x:c r="M3375" s="26" t="n">
        <x:v>0.1</x:v>
      </x:c>
      <x:c r="N3375" s="24" t="n">
        <x:v>2</x:v>
      </x:c>
      <x:c r="O3375" s="28" t="n">
        <x:f>MIN(1,L3375/I3375)</x:f>
        <x:v>0.08461866666666666</x:v>
      </x:c>
      <x:c r="P3375" s="30" t="n">
        <x:f>O3375*J3375*(1+M3375)</x:f>
        <x:v>0.09308053333333334</x:v>
      </x:c>
      <x:c r="Q3375" s="30" t="n">
        <x:f>P3375*N3375</x:f>
        <x:v>0.18616106666666668</x:v>
      </x:c>
      <x:c r="R3375" s="19" t="str">
        <x:v>独立判定</x:v>
      </x:c>
    </x:row>
    <x:row r="3376" ht="19" customHeight="1">
      <x:c r="A3376" s="19" t="str">
        <x:v>D03372</x:v>
      </x:c>
      <x:c r="B3376" s="19" t="n">
        <x:v>7</x:v>
      </x:c>
      <x:c r="C3376" s="19" t="n">
        <x:v>2</x:v>
      </x:c>
      <x:c r="D3376" s="19" t="str">
        <x:v>C07-M023</x:v>
      </x:c>
      <x:c r="E3376" s="19" t="str">
        <x:v>极昼雪后·芙蕾</x:v>
      </x:c>
      <x:c r="F3376" s="19" t="str">
        <x:v>地图BOSS</x:v>
      </x:c>
      <x:c r="G3376" s="19" t="str">
        <x:v>材料独立候选</x:v>
      </x:c>
      <x:c r="H3376" s="19" t="str">
        <x:v>小卢恩</x:v>
      </x:c>
      <x:c r="I3376" s="22" t="n">
        <x:v>4000</x:v>
      </x:c>
      <x:c r="J3376" s="22" t="n">
        <x:v>1</x:v>
      </x:c>
      <x:c r="K3376" s="19" t="n">
        <x:v>1</x:v>
      </x:c>
      <x:c r="L3376" s="24" t="n">
        <x:v>42.30933333333333</x:v>
      </x:c>
      <x:c r="M3376" s="26" t="n">
        <x:v>0.1</x:v>
      </x:c>
      <x:c r="N3376" s="24" t="n">
        <x:v>2</x:v>
      </x:c>
      <x:c r="O3376" s="28" t="n">
        <x:f>MIN(1,L3376/I3376)</x:f>
        <x:v>0.010577333333333333</x:v>
      </x:c>
      <x:c r="P3376" s="30" t="n">
        <x:f>O3376*J3376*(1+M3376)</x:f>
        <x:v>0.011635066666666668</x:v>
      </x:c>
      <x:c r="Q3376" s="30" t="n">
        <x:f>P3376*N3376</x:f>
        <x:v>0.023270133333333335</x:v>
      </x:c>
      <x:c r="R3376" s="19" t="str">
        <x:v>独立判定</x:v>
      </x:c>
    </x:row>
    <x:row r="3377" ht="19" customHeight="1">
      <x:c r="A3377" s="19" t="str">
        <x:v>D03373</x:v>
      </x:c>
      <x:c r="B3377" s="19" t="n">
        <x:v>7</x:v>
      </x:c>
      <x:c r="C3377" s="19" t="n">
        <x:v>2</x:v>
      </x:c>
      <x:c r="D3377" s="19" t="str">
        <x:v>C07-M023</x:v>
      </x:c>
      <x:c r="E3377" s="19" t="str">
        <x:v>极昼雪后·芙蕾</x:v>
      </x:c>
      <x:c r="F3377" s="19" t="str">
        <x:v>地图BOSS</x:v>
      </x:c>
      <x:c r="G3377" s="19" t="str">
        <x:v>材料独立候选</x:v>
      </x:c>
      <x:c r="H3377" s="19" t="str">
        <x:v>大卢恩</x:v>
      </x:c>
      <x:c r="I3377" s="22" t="n">
        <x:v>400</x:v>
      </x:c>
      <x:c r="J3377" s="22" t="n">
        <x:v>1</x:v>
      </x:c>
      <x:c r="K3377" s="19" t="n">
        <x:v>1</x:v>
      </x:c>
      <x:c r="L3377" s="24" t="n">
        <x:v>42.30933333333333</x:v>
      </x:c>
      <x:c r="M3377" s="26" t="n">
        <x:v>0.1</x:v>
      </x:c>
      <x:c r="N3377" s="24" t="n">
        <x:v>2</x:v>
      </x:c>
      <x:c r="O3377" s="28" t="n">
        <x:f>MIN(1,L3377/I3377)</x:f>
        <x:v>0.10577333333333332</x:v>
      </x:c>
      <x:c r="P3377" s="30" t="n">
        <x:f>O3377*J3377*(1+M3377)</x:f>
        <x:v>0.11635066666666666</x:v>
      </x:c>
      <x:c r="Q3377" s="30" t="n">
        <x:f>P3377*N3377</x:f>
        <x:v>0.23270133333333332</x:v>
      </x:c>
      <x:c r="R3377" s="19" t="str">
        <x:v>独立判定</x:v>
      </x:c>
    </x:row>
    <x:row r="3378" ht="19" customHeight="1">
      <x:c r="A3378" s="19" t="str">
        <x:v>D03374</x:v>
      </x:c>
      <x:c r="B3378" s="19" t="n">
        <x:v>7</x:v>
      </x:c>
      <x:c r="C3378" s="19" t="n">
        <x:v>2</x:v>
      </x:c>
      <x:c r="D3378" s="19" t="str">
        <x:v>C07-M023</x:v>
      </x:c>
      <x:c r="E3378" s="19" t="str">
        <x:v>极昼雪后·芙蕾</x:v>
      </x:c>
      <x:c r="F3378" s="19" t="str">
        <x:v>地图BOSS</x:v>
      </x:c>
      <x:c r="G3378" s="19" t="str">
        <x:v>六神器公共池</x:v>
      </x:c>
      <x:c r="H3378" s="19" t="str">
        <x:v>POOL006</x:v>
      </x:c>
      <x:c r="I3378" s="22" t="n">
        <x:v>200000</x:v>
      </x:c>
      <x:c r="J3378" s="22" t="n">
        <x:v>1</x:v>
      </x:c>
      <x:c r="K3378" s="19" t="n">
        <x:v>6</x:v>
      </x:c>
      <x:c r="L3378" s="24" t="n">
        <x:v>42.30933333333333</x:v>
      </x:c>
      <x:c r="M3378" s="26" t="n">
        <x:v>0.1</x:v>
      </x:c>
      <x:c r="N3378" s="24" t="n">
        <x:v>2</x:v>
      </x:c>
      <x:c r="O3378" s="28" t="n">
        <x:f>MIN(1,L3378/I3378)</x:f>
        <x:v>0.00021154666666666665</x:v>
      </x:c>
      <x:c r="P3378" s="30" t="n">
        <x:f>O3378*J3378*(1+M3378)</x:f>
        <x:v>0.00023270133333333333</x:v>
      </x:c>
      <x:c r="Q3378" s="30" t="n">
        <x:f>P3378*N3378</x:f>
        <x:v>0.00046540266666666666</x:v>
      </x:c>
      <x:c r="R3378" s="19" t="str">
        <x:v>六选一；非6个独立爆率</x:v>
      </x:c>
    </x:row>
    <x:row r="3379" ht="19" customHeight="1">
      <x:c r="A3379" s="19" t="str">
        <x:v>D03375</x:v>
      </x:c>
      <x:c r="B3379" s="19" t="n">
        <x:v>7</x:v>
      </x:c>
      <x:c r="C3379" s="19" t="n">
        <x:v>2</x:v>
      </x:c>
      <x:c r="D3379" s="19" t="str">
        <x:v>C07-M024</x:v>
      </x:c>
      <x:c r="E3379" s="19" t="str">
        <x:v>永冻圣兽·乌尔</x:v>
      </x:c>
      <x:c r="F3379" s="19" t="str">
        <x:v>地图BOSS</x:v>
      </x:c>
      <x:c r="G3379" s="19" t="str">
        <x:v>自身专属</x:v>
      </x:c>
      <x:c r="H3379" s="19" t="str">
        <x:v>乌尔寒铠</x:v>
      </x:c>
      <x:c r="I3379" s="22" t="n">
        <x:v>200</x:v>
      </x:c>
      <x:c r="J3379" s="22" t="n">
        <x:v>1</x:v>
      </x:c>
      <x:c r="K3379" s="19" t="n">
        <x:v>1</x:v>
      </x:c>
      <x:c r="L3379" s="24" t="n">
        <x:v>42.30933333333333</x:v>
      </x:c>
      <x:c r="M3379" s="26" t="n">
        <x:v>0.1</x:v>
      </x:c>
      <x:c r="N3379" s="24" t="n">
        <x:v>2</x:v>
      </x:c>
      <x:c r="O3379" s="28" t="n">
        <x:f>MIN(1,L3379/I3379)</x:f>
        <x:v>0.21154666666666663</x:v>
      </x:c>
      <x:c r="P3379" s="30" t="n">
        <x:f>O3379*J3379*(1+M3379)</x:f>
        <x:v>0.23270133333333332</x:v>
      </x:c>
      <x:c r="Q3379" s="30" t="n">
        <x:f>P3379*N3379</x:f>
        <x:v>0.46540266666666663</x:v>
      </x:c>
      <x:c r="R3379" s="19" t="str">
        <x:v>独立判定</x:v>
      </x:c>
    </x:row>
    <x:row r="3380" ht="19" customHeight="1">
      <x:c r="A3380" s="19" t="str">
        <x:v>D03376</x:v>
      </x:c>
      <x:c r="B3380" s="19" t="n">
        <x:v>7</x:v>
      </x:c>
      <x:c r="C3380" s="19" t="n">
        <x:v>2</x:v>
      </x:c>
      <x:c r="D3380" s="19" t="str">
        <x:v>C07-M024</x:v>
      </x:c>
      <x:c r="E3380" s="19" t="str">
        <x:v>永冻圣兽·乌尔</x:v>
      </x:c>
      <x:c r="F3380" s="19" t="str">
        <x:v>地图BOSS</x:v>
      </x:c>
      <x:c r="G3380" s="19" t="str">
        <x:v>自身专属</x:v>
      </x:c>
      <x:c r="H3380" s="19" t="str">
        <x:v>白金雪坠</x:v>
      </x:c>
      <x:c r="I3380" s="22" t="n">
        <x:v>200</x:v>
      </x:c>
      <x:c r="J3380" s="22" t="n">
        <x:v>1</x:v>
      </x:c>
      <x:c r="K3380" s="19" t="n">
        <x:v>1</x:v>
      </x:c>
      <x:c r="L3380" s="24" t="n">
        <x:v>42.30933333333333</x:v>
      </x:c>
      <x:c r="M3380" s="26" t="n">
        <x:v>0.1</x:v>
      </x:c>
      <x:c r="N3380" s="24" t="n">
        <x:v>2</x:v>
      </x:c>
      <x:c r="O3380" s="28" t="n">
        <x:f>MIN(1,L3380/I3380)</x:f>
        <x:v>0.21154666666666663</x:v>
      </x:c>
      <x:c r="P3380" s="30" t="n">
        <x:f>O3380*J3380*(1+M3380)</x:f>
        <x:v>0.23270133333333332</x:v>
      </x:c>
      <x:c r="Q3380" s="30" t="n">
        <x:f>P3380*N3380</x:f>
        <x:v>0.46540266666666663</x:v>
      </x:c>
      <x:c r="R3380" s="19" t="str">
        <x:v>独立判定</x:v>
      </x:c>
    </x:row>
    <x:row r="3381" ht="19" customHeight="1">
      <x:c r="A3381" s="19" t="str">
        <x:v>D03377</x:v>
      </x:c>
      <x:c r="B3381" s="19" t="n">
        <x:v>7</x:v>
      </x:c>
      <x:c r="C3381" s="19" t="n">
        <x:v>2</x:v>
      </x:c>
      <x:c r="D3381" s="19" t="str">
        <x:v>C07-M024</x:v>
      </x:c>
      <x:c r="E3381" s="19" t="str">
        <x:v>永冻圣兽·乌尔</x:v>
      </x:c>
      <x:c r="F3381" s="19" t="str">
        <x:v>地图BOSS</x:v>
      </x:c>
      <x:c r="G3381" s="19" t="str">
        <x:v>本图普通兼掉候选</x:v>
      </x:c>
      <x:c r="H3381" s="19" t="str">
        <x:v>POOL057</x:v>
      </x:c>
      <x:c r="I3381" s="22" t="n">
        <x:v>100</x:v>
      </x:c>
      <x:c r="J3381" s="22" t="n">
        <x:v>1</x:v>
      </x:c>
      <x:c r="K3381" s="19" t="n">
        <x:v>1</x:v>
      </x:c>
      <x:c r="L3381" s="24" t="n">
        <x:v>42.30933333333333</x:v>
      </x:c>
      <x:c r="M3381" s="26" t="n">
        <x:v>0.1</x:v>
      </x:c>
      <x:c r="N3381" s="24" t="n">
        <x:v>2</x:v>
      </x:c>
      <x:c r="O3381" s="28" t="n">
        <x:f>MIN(1,L3381/I3381)</x:f>
        <x:v>0.42309333333333327</x:v>
      </x:c>
      <x:c r="P3381" s="30" t="n">
        <x:f>O3381*J3381*(1+M3381)</x:f>
        <x:v>0.46540266666666663</x:v>
      </x:c>
      <x:c r="Q3381" s="30" t="n">
        <x:f>P3381*N3381</x:f>
        <x:v>0.9308053333333333</x:v>
      </x:c>
      <x:c r="R3381" s="19" t="str">
        <x:v>单池选一</x:v>
      </x:c>
    </x:row>
    <x:row r="3382" ht="19" customHeight="1">
      <x:c r="A3382" s="19" t="str">
        <x:v>D03378</x:v>
      </x:c>
      <x:c r="B3382" s="19" t="n">
        <x:v>7</x:v>
      </x:c>
      <x:c r="C3382" s="19" t="n">
        <x:v>2</x:v>
      </x:c>
      <x:c r="D3382" s="19" t="str">
        <x:v>C07-M024</x:v>
      </x:c>
      <x:c r="E3382" s="19" t="str">
        <x:v>永冻圣兽·乌尔</x:v>
      </x:c>
      <x:c r="F3382" s="19" t="str">
        <x:v>地图BOSS</x:v>
      </x:c>
      <x:c r="G3382" s="19" t="str">
        <x:v>材料独立候选</x:v>
      </x:c>
      <x:c r="H3382" s="19" t="str">
        <x:v>冻晶尘</x:v>
      </x:c>
      <x:c r="I3382" s="22" t="n">
        <x:v>400</x:v>
      </x:c>
      <x:c r="J3382" s="22" t="n">
        <x:v>30</x:v>
      </x:c>
      <x:c r="K3382" s="19" t="n">
        <x:v>1</x:v>
      </x:c>
      <x:c r="L3382" s="24" t="n">
        <x:v>42.30933333333333</x:v>
      </x:c>
      <x:c r="M3382" s="26" t="n">
        <x:v>0.1</x:v>
      </x:c>
      <x:c r="N3382" s="24" t="n">
        <x:v>2</x:v>
      </x:c>
      <x:c r="O3382" s="28" t="n">
        <x:f>MIN(1,L3382/I3382)</x:f>
        <x:v>0.10577333333333332</x:v>
      </x:c>
      <x:c r="P3382" s="30" t="n">
        <x:f>O3382*J3382*(1+M3382)</x:f>
        <x:v>3.4905199999999996</x:v>
      </x:c>
      <x:c r="Q3382" s="30" t="n">
        <x:f>P3382*N3382</x:f>
        <x:v>6.981039999999999</x:v>
      </x:c>
      <x:c r="R3382" s="19" t="str">
        <x:v>独立判定</x:v>
      </x:c>
    </x:row>
    <x:row r="3383" ht="19" customHeight="1">
      <x:c r="A3383" s="19" t="str">
        <x:v>D03379</x:v>
      </x:c>
      <x:c r="B3383" s="19" t="n">
        <x:v>7</x:v>
      </x:c>
      <x:c r="C3383" s="19" t="n">
        <x:v>2</x:v>
      </x:c>
      <x:c r="D3383" s="19" t="str">
        <x:v>C07-M024</x:v>
      </x:c>
      <x:c r="E3383" s="19" t="str">
        <x:v>永冻圣兽·乌尔</x:v>
      </x:c>
      <x:c r="F3383" s="19" t="str">
        <x:v>地图BOSS</x:v>
      </x:c>
      <x:c r="G3383" s="19" t="str">
        <x:v>材料独立候选</x:v>
      </x:c>
      <x:c r="H3383" s="19" t="str">
        <x:v>白金纺线</x:v>
      </x:c>
      <x:c r="I3383" s="22" t="n">
        <x:v>500</x:v>
      </x:c>
      <x:c r="J3383" s="22" t="n">
        <x:v>1</x:v>
      </x:c>
      <x:c r="K3383" s="19" t="n">
        <x:v>1</x:v>
      </x:c>
      <x:c r="L3383" s="24" t="n">
        <x:v>42.30933333333333</x:v>
      </x:c>
      <x:c r="M3383" s="26" t="n">
        <x:v>0.1</x:v>
      </x:c>
      <x:c r="N3383" s="24" t="n">
        <x:v>2</x:v>
      </x:c>
      <x:c r="O3383" s="28" t="n">
        <x:f>MIN(1,L3383/I3383)</x:f>
        <x:v>0.08461866666666666</x:v>
      </x:c>
      <x:c r="P3383" s="30" t="n">
        <x:f>O3383*J3383*(1+M3383)</x:f>
        <x:v>0.09308053333333334</x:v>
      </x:c>
      <x:c r="Q3383" s="30" t="n">
        <x:f>P3383*N3383</x:f>
        <x:v>0.18616106666666668</x:v>
      </x:c>
      <x:c r="R3383" s="19" t="str">
        <x:v>独立判定</x:v>
      </x:c>
    </x:row>
    <x:row r="3384" ht="19" customHeight="1">
      <x:c r="A3384" s="19" t="str">
        <x:v>D03380</x:v>
      </x:c>
      <x:c r="B3384" s="19" t="n">
        <x:v>7</x:v>
      </x:c>
      <x:c r="C3384" s="19" t="n">
        <x:v>2</x:v>
      </x:c>
      <x:c r="D3384" s="19" t="str">
        <x:v>C07-M024</x:v>
      </x:c>
      <x:c r="E3384" s="19" t="str">
        <x:v>永冻圣兽·乌尔</x:v>
      </x:c>
      <x:c r="F3384" s="19" t="str">
        <x:v>地图BOSS</x:v>
      </x:c>
      <x:c r="G3384" s="19" t="str">
        <x:v>材料独立候选</x:v>
      </x:c>
      <x:c r="H3384" s="19" t="str">
        <x:v>圣雪誓印</x:v>
      </x:c>
      <x:c r="I3384" s="22" t="n">
        <x:v>200</x:v>
      </x:c>
      <x:c r="J3384" s="22" t="n">
        <x:v>4</x:v>
      </x:c>
      <x:c r="K3384" s="19" t="n">
        <x:v>1</x:v>
      </x:c>
      <x:c r="L3384" s="24" t="n">
        <x:v>42.30933333333333</x:v>
      </x:c>
      <x:c r="M3384" s="26" t="n">
        <x:v>0.1</x:v>
      </x:c>
      <x:c r="N3384" s="24" t="n">
        <x:v>2</x:v>
      </x:c>
      <x:c r="O3384" s="28" t="n">
        <x:f>MIN(1,L3384/I3384)</x:f>
        <x:v>0.21154666666666663</x:v>
      </x:c>
      <x:c r="P3384" s="30" t="n">
        <x:f>O3384*J3384*(1+M3384)</x:f>
        <x:v>0.9308053333333333</x:v>
      </x:c>
      <x:c r="Q3384" s="30" t="n">
        <x:f>P3384*N3384</x:f>
        <x:v>1.8616106666666665</x:v>
      </x:c>
      <x:c r="R3384" s="19" t="str">
        <x:v>独立判定</x:v>
      </x:c>
    </x:row>
    <x:row r="3385" ht="19" customHeight="1">
      <x:c r="A3385" s="19" t="str">
        <x:v>D03381</x:v>
      </x:c>
      <x:c r="B3385" s="19" t="n">
        <x:v>7</x:v>
      </x:c>
      <x:c r="C3385" s="19" t="n">
        <x:v>2</x:v>
      </x:c>
      <x:c r="D3385" s="19" t="str">
        <x:v>C07-M024</x:v>
      </x:c>
      <x:c r="E3385" s="19" t="str">
        <x:v>永冻圣兽·乌尔</x:v>
      </x:c>
      <x:c r="F3385" s="19" t="str">
        <x:v>地图BOSS</x:v>
      </x:c>
      <x:c r="G3385" s="19" t="str">
        <x:v>材料独立候选</x:v>
      </x:c>
      <x:c r="H3385" s="19" t="str">
        <x:v>秘树霜芽</x:v>
      </x:c>
      <x:c r="I3385" s="22" t="n">
        <x:v>180</x:v>
      </x:c>
      <x:c r="J3385" s="22" t="n">
        <x:v>3</x:v>
      </x:c>
      <x:c r="K3385" s="19" t="n">
        <x:v>1</x:v>
      </x:c>
      <x:c r="L3385" s="24" t="n">
        <x:v>42.30933333333333</x:v>
      </x:c>
      <x:c r="M3385" s="26" t="n">
        <x:v>0.1</x:v>
      </x:c>
      <x:c r="N3385" s="24" t="n">
        <x:v>2</x:v>
      </x:c>
      <x:c r="O3385" s="28" t="n">
        <x:f>MIN(1,L3385/I3385)</x:f>
        <x:v>0.23505185185185182</x:v>
      </x:c>
      <x:c r="P3385" s="30" t="n">
        <x:f>O3385*J3385*(1+M3385)</x:f>
        <x:v>0.775671111111111</x:v>
      </x:c>
      <x:c r="Q3385" s="30" t="n">
        <x:f>P3385*N3385</x:f>
        <x:v>1.551342222222222</x:v>
      </x:c>
      <x:c r="R3385" s="19" t="str">
        <x:v>独立判定</x:v>
      </x:c>
    </x:row>
    <x:row r="3386" ht="19" customHeight="1">
      <x:c r="A3386" s="19" t="str">
        <x:v>D03382</x:v>
      </x:c>
      <x:c r="B3386" s="19" t="n">
        <x:v>7</x:v>
      </x:c>
      <x:c r="C3386" s="19" t="n">
        <x:v>2</x:v>
      </x:c>
      <x:c r="D3386" s="19" t="str">
        <x:v>C07-M024</x:v>
      </x:c>
      <x:c r="E3386" s="19" t="str">
        <x:v>永冻圣兽·乌尔</x:v>
      </x:c>
      <x:c r="F3386" s="19" t="str">
        <x:v>地图BOSS</x:v>
      </x:c>
      <x:c r="G3386" s="19" t="str">
        <x:v>材料独立候选</x:v>
      </x:c>
      <x:c r="H3386" s="19" t="str">
        <x:v>永霜朝圣痕</x:v>
      </x:c>
      <x:c r="I3386" s="22" t="n">
        <x:v>600000</x:v>
      </x:c>
      <x:c r="J3386" s="22" t="n">
        <x:v>1</x:v>
      </x:c>
      <x:c r="K3386" s="19" t="n">
        <x:v>1</x:v>
      </x:c>
      <x:c r="L3386" s="24" t="n">
        <x:v>42.30933333333333</x:v>
      </x:c>
      <x:c r="M3386" s="26" t="n">
        <x:v>0.1</x:v>
      </x:c>
      <x:c r="N3386" s="24" t="n">
        <x:v>2</x:v>
      </x:c>
      <x:c r="O3386" s="28" t="n">
        <x:f>MIN(1,L3386/I3386)</x:f>
        <x:v>0.00007051555555555555</x:v>
      </x:c>
      <x:c r="P3386" s="30" t="n">
        <x:f>O3386*J3386*(1+M3386)</x:f>
        <x:v>0.00007756711111111111</x:v>
      </x:c>
      <x:c r="Q3386" s="30" t="n">
        <x:f>P3386*N3386</x:f>
        <x:v>0.00015513422222222223</x:v>
      </x:c>
      <x:c r="R3386" s="19" t="str">
        <x:v>独立判定</x:v>
      </x:c>
    </x:row>
    <x:row r="3387" ht="19" customHeight="1">
      <x:c r="A3387" s="19" t="str">
        <x:v>D03383</x:v>
      </x:c>
      <x:c r="B3387" s="19" t="n">
        <x:v>7</x:v>
      </x:c>
      <x:c r="C3387" s="19" t="n">
        <x:v>2</x:v>
      </x:c>
      <x:c r="D3387" s="19" t="str">
        <x:v>C07-M024</x:v>
      </x:c>
      <x:c r="E3387" s="19" t="str">
        <x:v>永冻圣兽·乌尔</x:v>
      </x:c>
      <x:c r="F3387" s="19" t="str">
        <x:v>地图BOSS</x:v>
      </x:c>
      <x:c r="G3387" s="19" t="str">
        <x:v>材料独立候选</x:v>
      </x:c>
      <x:c r="H3387" s="19" t="str">
        <x:v>黄金树芽</x:v>
      </x:c>
      <x:c r="I3387" s="22" t="n">
        <x:v>4000</x:v>
      </x:c>
      <x:c r="J3387" s="22" t="n">
        <x:v>1</x:v>
      </x:c>
      <x:c r="K3387" s="19" t="n">
        <x:v>1</x:v>
      </x:c>
      <x:c r="L3387" s="24" t="n">
        <x:v>42.30933333333333</x:v>
      </x:c>
      <x:c r="M3387" s="26" t="n">
        <x:v>0.1</x:v>
      </x:c>
      <x:c r="N3387" s="24" t="n">
        <x:v>2</x:v>
      </x:c>
      <x:c r="O3387" s="28" t="n">
        <x:f>MIN(1,L3387/I3387)</x:f>
        <x:v>0.010577333333333333</x:v>
      </x:c>
      <x:c r="P3387" s="30" t="n">
        <x:f>O3387*J3387*(1+M3387)</x:f>
        <x:v>0.011635066666666668</x:v>
      </x:c>
      <x:c r="Q3387" s="30" t="n">
        <x:f>P3387*N3387</x:f>
        <x:v>0.023270133333333335</x:v>
      </x:c>
      <x:c r="R3387" s="19" t="str">
        <x:v>独立判定</x:v>
      </x:c>
    </x:row>
    <x:row r="3388" ht="19" customHeight="1">
      <x:c r="A3388" s="19" t="str">
        <x:v>D03384</x:v>
      </x:c>
      <x:c r="B3388" s="19" t="n">
        <x:v>7</x:v>
      </x:c>
      <x:c r="C3388" s="19" t="n">
        <x:v>2</x:v>
      </x:c>
      <x:c r="D3388" s="19" t="str">
        <x:v>C07-M024</x:v>
      </x:c>
      <x:c r="E3388" s="19" t="str">
        <x:v>永冻圣兽·乌尔</x:v>
      </x:c>
      <x:c r="F3388" s="19" t="str">
        <x:v>地图BOSS</x:v>
      </x:c>
      <x:c r="G3388" s="19" t="str">
        <x:v>材料独立候选</x:v>
      </x:c>
      <x:c r="H3388" s="19" t="str">
        <x:v>野兽骨片</x:v>
      </x:c>
      <x:c r="I3388" s="22" t="n">
        <x:v>80</x:v>
      </x:c>
      <x:c r="J3388" s="22" t="n">
        <x:v>5</x:v>
      </x:c>
      <x:c r="K3388" s="19" t="n">
        <x:v>1</x:v>
      </x:c>
      <x:c r="L3388" s="24" t="n">
        <x:v>42.30933333333333</x:v>
      </x:c>
      <x:c r="M3388" s="26" t="n">
        <x:v>0.1</x:v>
      </x:c>
      <x:c r="N3388" s="24" t="n">
        <x:v>2</x:v>
      </x:c>
      <x:c r="O3388" s="28" t="n">
        <x:f>MIN(1,L3388/I3388)</x:f>
        <x:v>0.5288666666666666</x:v>
      </x:c>
      <x:c r="P3388" s="30" t="n">
        <x:f>O3388*J3388*(1+M3388)</x:f>
        <x:v>2.9087666666666667</x:v>
      </x:c>
      <x:c r="Q3388" s="30" t="n">
        <x:f>P3388*N3388</x:f>
        <x:v>5.8175333333333334</x:v>
      </x:c>
      <x:c r="R3388" s="19" t="str">
        <x:v>独立判定</x:v>
      </x:c>
    </x:row>
    <x:row r="3389" ht="19" customHeight="1">
      <x:c r="A3389" s="19" t="str">
        <x:v>D03385</x:v>
      </x:c>
      <x:c r="B3389" s="19" t="n">
        <x:v>7</x:v>
      </x:c>
      <x:c r="C3389" s="19" t="n">
        <x:v>2</x:v>
      </x:c>
      <x:c r="D3389" s="19" t="str">
        <x:v>C07-M024</x:v>
      </x:c>
      <x:c r="E3389" s="19" t="str">
        <x:v>永冻圣兽·乌尔</x:v>
      </x:c>
      <x:c r="F3389" s="19" t="str">
        <x:v>地图BOSS</x:v>
      </x:c>
      <x:c r="G3389" s="19" t="str">
        <x:v>材料独立候选</x:v>
      </x:c>
      <x:c r="H3389" s="19" t="str">
        <x:v>技能残页</x:v>
      </x:c>
      <x:c r="I3389" s="22" t="n">
        <x:v>500</x:v>
      </x:c>
      <x:c r="J3389" s="22" t="n">
        <x:v>1</x:v>
      </x:c>
      <x:c r="K3389" s="19" t="n">
        <x:v>1</x:v>
      </x:c>
      <x:c r="L3389" s="24" t="n">
        <x:v>42.30933333333333</x:v>
      </x:c>
      <x:c r="M3389" s="26" t="n">
        <x:v>0.1</x:v>
      </x:c>
      <x:c r="N3389" s="24" t="n">
        <x:v>2</x:v>
      </x:c>
      <x:c r="O3389" s="28" t="n">
        <x:f>MIN(1,L3389/I3389)</x:f>
        <x:v>0.08461866666666666</x:v>
      </x:c>
      <x:c r="P3389" s="30" t="n">
        <x:f>O3389*J3389*(1+M3389)</x:f>
        <x:v>0.09308053333333334</x:v>
      </x:c>
      <x:c r="Q3389" s="30" t="n">
        <x:f>P3389*N3389</x:f>
        <x:v>0.18616106666666668</x:v>
      </x:c>
      <x:c r="R3389" s="19" t="str">
        <x:v>独立判定</x:v>
      </x:c>
    </x:row>
    <x:row r="3390" ht="19" customHeight="1">
      <x:c r="A3390" s="19" t="str">
        <x:v>D03386</x:v>
      </x:c>
      <x:c r="B3390" s="19" t="n">
        <x:v>7</x:v>
      </x:c>
      <x:c r="C3390" s="19" t="n">
        <x:v>2</x:v>
      </x:c>
      <x:c r="D3390" s="19" t="str">
        <x:v>C07-M024</x:v>
      </x:c>
      <x:c r="E3390" s="19" t="str">
        <x:v>永冻圣兽·乌尔</x:v>
      </x:c>
      <x:c r="F3390" s="19" t="str">
        <x:v>地图BOSS</x:v>
      </x:c>
      <x:c r="G3390" s="19" t="str">
        <x:v>材料独立候选</x:v>
      </x:c>
      <x:c r="H3390" s="19" t="str">
        <x:v>宁姆格福誓页</x:v>
      </x:c>
      <x:c r="I3390" s="22" t="n">
        <x:v>500</x:v>
      </x:c>
      <x:c r="J3390" s="22" t="n">
        <x:v>1</x:v>
      </x:c>
      <x:c r="K3390" s="19" t="n">
        <x:v>1</x:v>
      </x:c>
      <x:c r="L3390" s="24" t="n">
        <x:v>42.30933333333333</x:v>
      </x:c>
      <x:c r="M3390" s="26" t="n">
        <x:v>0.1</x:v>
      </x:c>
      <x:c r="N3390" s="24" t="n">
        <x:v>2</x:v>
      </x:c>
      <x:c r="O3390" s="28" t="n">
        <x:f>MIN(1,L3390/I3390)</x:f>
        <x:v>0.08461866666666666</x:v>
      </x:c>
      <x:c r="P3390" s="30" t="n">
        <x:f>O3390*J3390*(1+M3390)</x:f>
        <x:v>0.09308053333333334</x:v>
      </x:c>
      <x:c r="Q3390" s="30" t="n">
        <x:f>P3390*N3390</x:f>
        <x:v>0.18616106666666668</x:v>
      </x:c>
      <x:c r="R3390" s="19" t="str">
        <x:v>独立判定</x:v>
      </x:c>
    </x:row>
    <x:row r="3391" ht="19" customHeight="1">
      <x:c r="A3391" s="19" t="str">
        <x:v>D03387</x:v>
      </x:c>
      <x:c r="B3391" s="19" t="n">
        <x:v>7</x:v>
      </x:c>
      <x:c r="C3391" s="19" t="n">
        <x:v>2</x:v>
      </x:c>
      <x:c r="D3391" s="19" t="str">
        <x:v>C07-M024</x:v>
      </x:c>
      <x:c r="E3391" s="19" t="str">
        <x:v>永冻圣兽·乌尔</x:v>
      </x:c>
      <x:c r="F3391" s="19" t="str">
        <x:v>地图BOSS</x:v>
      </x:c>
      <x:c r="G3391" s="19" t="str">
        <x:v>材料独立候选</x:v>
      </x:c>
      <x:c r="H3391" s="19" t="str">
        <x:v>小卢恩</x:v>
      </x:c>
      <x:c r="I3391" s="22" t="n">
        <x:v>4000</x:v>
      </x:c>
      <x:c r="J3391" s="22" t="n">
        <x:v>1</x:v>
      </x:c>
      <x:c r="K3391" s="19" t="n">
        <x:v>1</x:v>
      </x:c>
      <x:c r="L3391" s="24" t="n">
        <x:v>42.30933333333333</x:v>
      </x:c>
      <x:c r="M3391" s="26" t="n">
        <x:v>0.1</x:v>
      </x:c>
      <x:c r="N3391" s="24" t="n">
        <x:v>2</x:v>
      </x:c>
      <x:c r="O3391" s="28" t="n">
        <x:f>MIN(1,L3391/I3391)</x:f>
        <x:v>0.010577333333333333</x:v>
      </x:c>
      <x:c r="P3391" s="30" t="n">
        <x:f>O3391*J3391*(1+M3391)</x:f>
        <x:v>0.011635066666666668</x:v>
      </x:c>
      <x:c r="Q3391" s="30" t="n">
        <x:f>P3391*N3391</x:f>
        <x:v>0.023270133333333335</x:v>
      </x:c>
      <x:c r="R3391" s="19" t="str">
        <x:v>独立判定</x:v>
      </x:c>
    </x:row>
    <x:row r="3392" ht="19" customHeight="1">
      <x:c r="A3392" s="19" t="str">
        <x:v>D03388</x:v>
      </x:c>
      <x:c r="B3392" s="19" t="n">
        <x:v>7</x:v>
      </x:c>
      <x:c r="C3392" s="19" t="n">
        <x:v>2</x:v>
      </x:c>
      <x:c r="D3392" s="19" t="str">
        <x:v>C07-M024</x:v>
      </x:c>
      <x:c r="E3392" s="19" t="str">
        <x:v>永冻圣兽·乌尔</x:v>
      </x:c>
      <x:c r="F3392" s="19" t="str">
        <x:v>地图BOSS</x:v>
      </x:c>
      <x:c r="G3392" s="19" t="str">
        <x:v>材料独立候选</x:v>
      </x:c>
      <x:c r="H3392" s="19" t="str">
        <x:v>大卢恩</x:v>
      </x:c>
      <x:c r="I3392" s="22" t="n">
        <x:v>400</x:v>
      </x:c>
      <x:c r="J3392" s="22" t="n">
        <x:v>1</x:v>
      </x:c>
      <x:c r="K3392" s="19" t="n">
        <x:v>1</x:v>
      </x:c>
      <x:c r="L3392" s="24" t="n">
        <x:v>42.30933333333333</x:v>
      </x:c>
      <x:c r="M3392" s="26" t="n">
        <x:v>0.1</x:v>
      </x:c>
      <x:c r="N3392" s="24" t="n">
        <x:v>2</x:v>
      </x:c>
      <x:c r="O3392" s="28" t="n">
        <x:f>MIN(1,L3392/I3392)</x:f>
        <x:v>0.10577333333333332</x:v>
      </x:c>
      <x:c r="P3392" s="30" t="n">
        <x:f>O3392*J3392*(1+M3392)</x:f>
        <x:v>0.11635066666666666</x:v>
      </x:c>
      <x:c r="Q3392" s="30" t="n">
        <x:f>P3392*N3392</x:f>
        <x:v>0.23270133333333332</x:v>
      </x:c>
      <x:c r="R3392" s="19" t="str">
        <x:v>独立判定</x:v>
      </x:c>
    </x:row>
    <x:row r="3393" ht="19" customHeight="1">
      <x:c r="A3393" s="19" t="str">
        <x:v>D03389</x:v>
      </x:c>
      <x:c r="B3393" s="19" t="n">
        <x:v>7</x:v>
      </x:c>
      <x:c r="C3393" s="19" t="n">
        <x:v>2</x:v>
      </x:c>
      <x:c r="D3393" s="19" t="str">
        <x:v>C07-M024</x:v>
      </x:c>
      <x:c r="E3393" s="19" t="str">
        <x:v>永冻圣兽·乌尔</x:v>
      </x:c>
      <x:c r="F3393" s="19" t="str">
        <x:v>地图BOSS</x:v>
      </x:c>
      <x:c r="G3393" s="19" t="str">
        <x:v>六神器公共池</x:v>
      </x:c>
      <x:c r="H3393" s="19" t="str">
        <x:v>POOL006</x:v>
      </x:c>
      <x:c r="I3393" s="22" t="n">
        <x:v>200000</x:v>
      </x:c>
      <x:c r="J3393" s="22" t="n">
        <x:v>1</x:v>
      </x:c>
      <x:c r="K3393" s="19" t="n">
        <x:v>6</x:v>
      </x:c>
      <x:c r="L3393" s="24" t="n">
        <x:v>42.30933333333333</x:v>
      </x:c>
      <x:c r="M3393" s="26" t="n">
        <x:v>0.1</x:v>
      </x:c>
      <x:c r="N3393" s="24" t="n">
        <x:v>2</x:v>
      </x:c>
      <x:c r="O3393" s="28" t="n">
        <x:f>MIN(1,L3393/I3393)</x:f>
        <x:v>0.00021154666666666665</x:v>
      </x:c>
      <x:c r="P3393" s="30" t="n">
        <x:f>O3393*J3393*(1+M3393)</x:f>
        <x:v>0.00023270133333333333</x:v>
      </x:c>
      <x:c r="Q3393" s="30" t="n">
        <x:f>P3393*N3393</x:f>
        <x:v>0.00046540266666666666</x:v>
      </x:c>
      <x:c r="R3393" s="19" t="str">
        <x:v>六选一；非6个独立爆率</x:v>
      </x:c>
    </x:row>
    <x:row r="3394" ht="19" customHeight="1">
      <x:c r="A3394" s="19" t="str">
        <x:v>D03390</x:v>
      </x:c>
      <x:c r="B3394" s="19" t="n">
        <x:v>7</x:v>
      </x:c>
      <x:c r="C3394" s="19" t="n">
        <x:v>3</x:v>
      </x:c>
      <x:c r="D3394" s="19" t="str">
        <x:v>C07-M025</x:v>
      </x:c>
      <x:c r="E3394" s="19" t="str">
        <x:v>禁域冻喉兽</x:v>
      </x:c>
      <x:c r="F3394" s="19" t="str">
        <x:v>普通</x:v>
      </x:c>
      <x:c r="G3394" s="19" t="str">
        <x:v>自身专属</x:v>
      </x:c>
      <x:c r="H3394" s="19" t="str">
        <x:v>冻喉牙刃</x:v>
      </x:c>
      <x:c r="I3394" s="22" t="n">
        <x:v>4000</x:v>
      </x:c>
      <x:c r="J3394" s="22" t="n">
        <x:v>1</x:v>
      </x:c>
      <x:c r="K3394" s="19" t="n">
        <x:v>1</x:v>
      </x:c>
      <x:c r="L3394" s="24" t="n">
        <x:v>49.547</x:v>
      </x:c>
      <x:c r="M3394" s="26" t="n">
        <x:v>0.1</x:v>
      </x:c>
      <x:c r="N3394" s="24" t="n">
        <x:v>72</x:v>
      </x:c>
      <x:c r="O3394" s="28" t="n">
        <x:f>MIN(1,L3394/I3394)</x:f>
        <x:v>0.012386749999999998</x:v>
      </x:c>
      <x:c r="P3394" s="30" t="n">
        <x:f>O3394*J3394*(1+M3394)</x:f>
        <x:v>0.013625425</x:v>
      </x:c>
      <x:c r="Q3394" s="30" t="n">
        <x:f>P3394*N3394</x:f>
        <x:v>0.9810306</x:v>
      </x:c>
      <x:c r="R3394" s="19" t="str">
        <x:v>独立判定</x:v>
      </x:c>
    </x:row>
    <x:row r="3395" ht="19" customHeight="1">
      <x:c r="A3395" s="19" t="str">
        <x:v>D03391</x:v>
      </x:c>
      <x:c r="B3395" s="19" t="n">
        <x:v>7</x:v>
      </x:c>
      <x:c r="C3395" s="19" t="n">
        <x:v>3</x:v>
      </x:c>
      <x:c r="D3395" s="19" t="str">
        <x:v>C07-M025</x:v>
      </x:c>
      <x:c r="E3395" s="19" t="str">
        <x:v>禁域冻喉兽</x:v>
      </x:c>
      <x:c r="F3395" s="19" t="str">
        <x:v>普通</x:v>
      </x:c>
      <x:c r="G3395" s="19" t="str">
        <x:v>材料独立候选</x:v>
      </x:c>
      <x:c r="H3395" s="19" t="str">
        <x:v>冻晶尘</x:v>
      </x:c>
      <x:c r="I3395" s="22" t="n">
        <x:v>1200</x:v>
      </x:c>
      <x:c r="J3395" s="22" t="n">
        <x:v>8</x:v>
      </x:c>
      <x:c r="K3395" s="19" t="n">
        <x:v>1</x:v>
      </x:c>
      <x:c r="L3395" s="24" t="n">
        <x:v>49.547</x:v>
      </x:c>
      <x:c r="M3395" s="26" t="n">
        <x:v>0.1</x:v>
      </x:c>
      <x:c r="N3395" s="24" t="n">
        <x:v>72</x:v>
      </x:c>
      <x:c r="O3395" s="28" t="n">
        <x:f>MIN(1,L3395/I3395)</x:f>
        <x:v>0.04128916666666666</x:v>
      </x:c>
      <x:c r="P3395" s="30" t="n">
        <x:f>O3395*J3395*(1+M3395)</x:f>
        <x:v>0.36334466666666665</x:v>
      </x:c>
      <x:c r="Q3395" s="30" t="n">
        <x:f>P3395*N3395</x:f>
        <x:v>26.160815999999997</x:v>
      </x:c>
      <x:c r="R3395" s="19" t="str">
        <x:v>独立判定</x:v>
      </x:c>
    </x:row>
    <x:row r="3396" ht="19" customHeight="1">
      <x:c r="A3396" s="19" t="str">
        <x:v>D03392</x:v>
      </x:c>
      <x:c r="B3396" s="19" t="n">
        <x:v>7</x:v>
      </x:c>
      <x:c r="C3396" s="19" t="n">
        <x:v>3</x:v>
      </x:c>
      <x:c r="D3396" s="19" t="str">
        <x:v>C07-M025</x:v>
      </x:c>
      <x:c r="E3396" s="19" t="str">
        <x:v>禁域冻喉兽</x:v>
      </x:c>
      <x:c r="F3396" s="19" t="str">
        <x:v>普通</x:v>
      </x:c>
      <x:c r="G3396" s="19" t="str">
        <x:v>材料独立候选</x:v>
      </x:c>
      <x:c r="H3396" s="19" t="str">
        <x:v>白金路标片</x:v>
      </x:c>
      <x:c r="I3396" s="22" t="n">
        <x:v>1800</x:v>
      </x:c>
      <x:c r="J3396" s="22" t="n">
        <x:v>1</x:v>
      </x:c>
      <x:c r="K3396" s="19" t="n">
        <x:v>1</x:v>
      </x:c>
      <x:c r="L3396" s="24" t="n">
        <x:v>49.547</x:v>
      </x:c>
      <x:c r="M3396" s="26" t="n">
        <x:v>0.1</x:v>
      </x:c>
      <x:c r="N3396" s="24" t="n">
        <x:v>72</x:v>
      </x:c>
      <x:c r="O3396" s="28" t="n">
        <x:f>MIN(1,L3396/I3396)</x:f>
        <x:v>0.02752611111111111</x:v>
      </x:c>
      <x:c r="P3396" s="30" t="n">
        <x:f>O3396*J3396*(1+M3396)</x:f>
        <x:v>0.03027872222222222</x:v>
      </x:c>
      <x:c r="Q3396" s="30" t="n">
        <x:f>P3396*N3396</x:f>
        <x:v>2.180068</x:v>
      </x:c>
      <x:c r="R3396" s="19" t="str">
        <x:v>独立判定</x:v>
      </x:c>
    </x:row>
    <x:row r="3397" ht="19" customHeight="1">
      <x:c r="A3397" s="19" t="str">
        <x:v>D03393</x:v>
      </x:c>
      <x:c r="B3397" s="19" t="n">
        <x:v>7</x:v>
      </x:c>
      <x:c r="C3397" s="19" t="n">
        <x:v>3</x:v>
      </x:c>
      <x:c r="D3397" s="19" t="str">
        <x:v>C07-M025</x:v>
      </x:c>
      <x:c r="E3397" s="19" t="str">
        <x:v>禁域冻喉兽</x:v>
      </x:c>
      <x:c r="F3397" s="19" t="str">
        <x:v>普通</x:v>
      </x:c>
      <x:c r="G3397" s="19" t="str">
        <x:v>材料独立候选</x:v>
      </x:c>
      <x:c r="H3397" s="19" t="str">
        <x:v>永霜朝圣痕</x:v>
      </x:c>
      <x:c r="I3397" s="22" t="n">
        <x:v>2500000</x:v>
      </x:c>
      <x:c r="J3397" s="22" t="n">
        <x:v>1</x:v>
      </x:c>
      <x:c r="K3397" s="19" t="n">
        <x:v>1</x:v>
      </x:c>
      <x:c r="L3397" s="24" t="n">
        <x:v>49.547</x:v>
      </x:c>
      <x:c r="M3397" s="26" t="n">
        <x:v>0.1</x:v>
      </x:c>
      <x:c r="N3397" s="24" t="n">
        <x:v>72</x:v>
      </x:c>
      <x:c r="O3397" s="28" t="n">
        <x:f>MIN(1,L3397/I3397)</x:f>
        <x:v>0.000019818799999999997</x:v>
      </x:c>
      <x:c r="P3397" s="30" t="n">
        <x:f>O3397*J3397*(1+M3397)</x:f>
        <x:v>0.000021800679999999998</x:v>
      </x:c>
      <x:c r="Q3397" s="30" t="n">
        <x:f>P3397*N3397</x:f>
        <x:v>0.00156964896</x:v>
      </x:c>
      <x:c r="R3397" s="19" t="str">
        <x:v>独立判定</x:v>
      </x:c>
    </x:row>
    <x:row r="3398" ht="19" customHeight="1">
      <x:c r="A3398" s="19" t="str">
        <x:v>D03394</x:v>
      </x:c>
      <x:c r="B3398" s="19" t="n">
        <x:v>7</x:v>
      </x:c>
      <x:c r="C3398" s="19" t="n">
        <x:v>3</x:v>
      </x:c>
      <x:c r="D3398" s="19" t="str">
        <x:v>C07-M025</x:v>
      </x:c>
      <x:c r="E3398" s="19" t="str">
        <x:v>禁域冻喉兽</x:v>
      </x:c>
      <x:c r="F3398" s="19" t="str">
        <x:v>普通</x:v>
      </x:c>
      <x:c r="G3398" s="19" t="str">
        <x:v>材料独立候选</x:v>
      </x:c>
      <x:c r="H3398" s="19" t="str">
        <x:v>野兽骨片</x:v>
      </x:c>
      <x:c r="I3398" s="22" t="n">
        <x:v>250</x:v>
      </x:c>
      <x:c r="J3398" s="22" t="n">
        <x:v>5</x:v>
      </x:c>
      <x:c r="K3398" s="19" t="n">
        <x:v>1</x:v>
      </x:c>
      <x:c r="L3398" s="24" t="n">
        <x:v>49.547</x:v>
      </x:c>
      <x:c r="M3398" s="26" t="n">
        <x:v>0.1</x:v>
      </x:c>
      <x:c r="N3398" s="24" t="n">
        <x:v>72</x:v>
      </x:c>
      <x:c r="O3398" s="28" t="n">
        <x:f>MIN(1,L3398/I3398)</x:f>
        <x:v>0.19818799999999998</x:v>
      </x:c>
      <x:c r="P3398" s="30" t="n">
        <x:f>O3398*J3398*(1+M3398)</x:f>
        <x:v>1.090034</x:v>
      </x:c>
      <x:c r="Q3398" s="30" t="n">
        <x:f>P3398*N3398</x:f>
        <x:v>78.48244799999999</x:v>
      </x:c>
      <x:c r="R3398" s="19" t="str">
        <x:v>独立判定</x:v>
      </x:c>
    </x:row>
    <x:row r="3399" ht="19" customHeight="1">
      <x:c r="A3399" s="19" t="str">
        <x:v>D03395</x:v>
      </x:c>
      <x:c r="B3399" s="19" t="n">
        <x:v>7</x:v>
      </x:c>
      <x:c r="C3399" s="19" t="n">
        <x:v>3</x:v>
      </x:c>
      <x:c r="D3399" s="19" t="str">
        <x:v>C07-M025</x:v>
      </x:c>
      <x:c r="E3399" s="19" t="str">
        <x:v>禁域冻喉兽</x:v>
      </x:c>
      <x:c r="F3399" s="19" t="str">
        <x:v>普通</x:v>
      </x:c>
      <x:c r="G3399" s="19" t="str">
        <x:v>材料独立候选</x:v>
      </x:c>
      <x:c r="H3399" s="19" t="str">
        <x:v>技能残页</x:v>
      </x:c>
      <x:c r="I3399" s="22" t="n">
        <x:v>1500</x:v>
      </x:c>
      <x:c r="J3399" s="22" t="n">
        <x:v>1</x:v>
      </x:c>
      <x:c r="K3399" s="19" t="n">
        <x:v>1</x:v>
      </x:c>
      <x:c r="L3399" s="24" t="n">
        <x:v>49.547</x:v>
      </x:c>
      <x:c r="M3399" s="26" t="n">
        <x:v>0.1</x:v>
      </x:c>
      <x:c r="N3399" s="24" t="n">
        <x:v>72</x:v>
      </x:c>
      <x:c r="O3399" s="28" t="n">
        <x:f>MIN(1,L3399/I3399)</x:f>
        <x:v>0.03303133333333333</x:v>
      </x:c>
      <x:c r="P3399" s="30" t="n">
        <x:f>O3399*J3399*(1+M3399)</x:f>
        <x:v>0.03633446666666666</x:v>
      </x:c>
      <x:c r="Q3399" s="30" t="n">
        <x:f>P3399*N3399</x:f>
        <x:v>2.6160816</x:v>
      </x:c>
      <x:c r="R3399" s="19" t="str">
        <x:v>独立判定</x:v>
      </x:c>
    </x:row>
    <x:row r="3400" ht="19" customHeight="1">
      <x:c r="A3400" s="19" t="str">
        <x:v>D03396</x:v>
      </x:c>
      <x:c r="B3400" s="19" t="n">
        <x:v>7</x:v>
      </x:c>
      <x:c r="C3400" s="19" t="n">
        <x:v>3</x:v>
      </x:c>
      <x:c r="D3400" s="19" t="str">
        <x:v>C07-M025</x:v>
      </x:c>
      <x:c r="E3400" s="19" t="str">
        <x:v>禁域冻喉兽</x:v>
      </x:c>
      <x:c r="F3400" s="19" t="str">
        <x:v>普通</x:v>
      </x:c>
      <x:c r="G3400" s="19" t="str">
        <x:v>材料独立候选</x:v>
      </x:c>
      <x:c r="H3400" s="19" t="str">
        <x:v>小卢恩</x:v>
      </x:c>
      <x:c r="I3400" s="22" t="n">
        <x:v>15000</x:v>
      </x:c>
      <x:c r="J3400" s="22" t="n">
        <x:v>1</x:v>
      </x:c>
      <x:c r="K3400" s="19" t="n">
        <x:v>1</x:v>
      </x:c>
      <x:c r="L3400" s="24" t="n">
        <x:v>49.547</x:v>
      </x:c>
      <x:c r="M3400" s="26" t="n">
        <x:v>0.1</x:v>
      </x:c>
      <x:c r="N3400" s="24" t="n">
        <x:v>72</x:v>
      </x:c>
      <x:c r="O3400" s="28" t="n">
        <x:f>MIN(1,L3400/I3400)</x:f>
        <x:v>0.003303133333333333</x:v>
      </x:c>
      <x:c r="P3400" s="30" t="n">
        <x:f>O3400*J3400*(1+M3400)</x:f>
        <x:v>0.0036334466666666666</x:v>
      </x:c>
      <x:c r="Q3400" s="30" t="n">
        <x:f>P3400*N3400</x:f>
        <x:v>0.26160816</x:v>
      </x:c>
      <x:c r="R3400" s="19" t="str">
        <x:v>独立判定</x:v>
      </x:c>
    </x:row>
    <x:row r="3401" ht="19" customHeight="1">
      <x:c r="A3401" s="19" t="str">
        <x:v>D03397</x:v>
      </x:c>
      <x:c r="B3401" s="19" t="n">
        <x:v>7</x:v>
      </x:c>
      <x:c r="C3401" s="19" t="n">
        <x:v>3</x:v>
      </x:c>
      <x:c r="D3401" s="19" t="str">
        <x:v>C07-M025</x:v>
      </x:c>
      <x:c r="E3401" s="19" t="str">
        <x:v>禁域冻喉兽</x:v>
      </x:c>
      <x:c r="F3401" s="19" t="str">
        <x:v>普通</x:v>
      </x:c>
      <x:c r="G3401" s="19" t="str">
        <x:v>六神器公共池</x:v>
      </x:c>
      <x:c r="H3401" s="19" t="str">
        <x:v>POOL006</x:v>
      </x:c>
      <x:c r="I3401" s="22" t="n">
        <x:v>20000000</x:v>
      </x:c>
      <x:c r="J3401" s="22" t="n">
        <x:v>1</x:v>
      </x:c>
      <x:c r="K3401" s="19" t="n">
        <x:v>6</x:v>
      </x:c>
      <x:c r="L3401" s="24" t="n">
        <x:v>49.547</x:v>
      </x:c>
      <x:c r="M3401" s="26" t="n">
        <x:v>0.1</x:v>
      </x:c>
      <x:c r="N3401" s="24" t="n">
        <x:v>72</x:v>
      </x:c>
      <x:c r="O3401" s="28" t="n">
        <x:f>MIN(1,L3401/I3401)</x:f>
        <x:v>0.0000024773499999999997</x:v>
      </x:c>
      <x:c r="P3401" s="30" t="n">
        <x:f>O3401*J3401*(1+M3401)</x:f>
        <x:v>0.0000027250849999999998</x:v>
      </x:c>
      <x:c r="Q3401" s="30" t="n">
        <x:f>P3401*N3401</x:f>
        <x:v>0.00019620612</x:v>
      </x:c>
      <x:c r="R3401" s="19" t="str">
        <x:v>六选一；非6个独立爆率</x:v>
      </x:c>
    </x:row>
    <x:row r="3402" ht="19" customHeight="1">
      <x:c r="A3402" s="19" t="str">
        <x:v>D03398</x:v>
      </x:c>
      <x:c r="B3402" s="19" t="n">
        <x:v>7</x:v>
      </x:c>
      <x:c r="C3402" s="19" t="n">
        <x:v>3</x:v>
      </x:c>
      <x:c r="D3402" s="19" t="str">
        <x:v>C07-M026</x:v>
      </x:c>
      <x:c r="E3402" s="19" t="str">
        <x:v>雾界迷途兵</x:v>
      </x:c>
      <x:c r="F3402" s="19" t="str">
        <x:v>普通</x:v>
      </x:c>
      <x:c r="G3402" s="19" t="str">
        <x:v>自身专属</x:v>
      </x:c>
      <x:c r="H3402" s="19" t="str">
        <x:v>雾界斗笠</x:v>
      </x:c>
      <x:c r="I3402" s="22" t="n">
        <x:v>4000</x:v>
      </x:c>
      <x:c r="J3402" s="22" t="n">
        <x:v>1</x:v>
      </x:c>
      <x:c r="K3402" s="19" t="n">
        <x:v>1</x:v>
      </x:c>
      <x:c r="L3402" s="24" t="n">
        <x:v>49.547</x:v>
      </x:c>
      <x:c r="M3402" s="26" t="n">
        <x:v>0.1</x:v>
      </x:c>
      <x:c r="N3402" s="24" t="n">
        <x:v>72</x:v>
      </x:c>
      <x:c r="O3402" s="28" t="n">
        <x:f>MIN(1,L3402/I3402)</x:f>
        <x:v>0.012386749999999998</x:v>
      </x:c>
      <x:c r="P3402" s="30" t="n">
        <x:f>O3402*J3402*(1+M3402)</x:f>
        <x:v>0.013625425</x:v>
      </x:c>
      <x:c r="Q3402" s="30" t="n">
        <x:f>P3402*N3402</x:f>
        <x:v>0.9810306</x:v>
      </x:c>
      <x:c r="R3402" s="19" t="str">
        <x:v>独立判定</x:v>
      </x:c>
    </x:row>
    <x:row r="3403" ht="19" customHeight="1">
      <x:c r="A3403" s="19" t="str">
        <x:v>D03399</x:v>
      </x:c>
      <x:c r="B3403" s="19" t="n">
        <x:v>7</x:v>
      </x:c>
      <x:c r="C3403" s="19" t="n">
        <x:v>3</x:v>
      </x:c>
      <x:c r="D3403" s="19" t="str">
        <x:v>C07-M026</x:v>
      </x:c>
      <x:c r="E3403" s="19" t="str">
        <x:v>雾界迷途兵</x:v>
      </x:c>
      <x:c r="F3403" s="19" t="str">
        <x:v>普通</x:v>
      </x:c>
      <x:c r="G3403" s="19" t="str">
        <x:v>材料独立候选</x:v>
      </x:c>
      <x:c r="H3403" s="19" t="str">
        <x:v>冻晶尘</x:v>
      </x:c>
      <x:c r="I3403" s="22" t="n">
        <x:v>1200</x:v>
      </x:c>
      <x:c r="J3403" s="22" t="n">
        <x:v>8</x:v>
      </x:c>
      <x:c r="K3403" s="19" t="n">
        <x:v>1</x:v>
      </x:c>
      <x:c r="L3403" s="24" t="n">
        <x:v>49.547</x:v>
      </x:c>
      <x:c r="M3403" s="26" t="n">
        <x:v>0.1</x:v>
      </x:c>
      <x:c r="N3403" s="24" t="n">
        <x:v>72</x:v>
      </x:c>
      <x:c r="O3403" s="28" t="n">
        <x:f>MIN(1,L3403/I3403)</x:f>
        <x:v>0.04128916666666666</x:v>
      </x:c>
      <x:c r="P3403" s="30" t="n">
        <x:f>O3403*J3403*(1+M3403)</x:f>
        <x:v>0.36334466666666665</x:v>
      </x:c>
      <x:c r="Q3403" s="30" t="n">
        <x:f>P3403*N3403</x:f>
        <x:v>26.160815999999997</x:v>
      </x:c>
      <x:c r="R3403" s="19" t="str">
        <x:v>独立判定</x:v>
      </x:c>
    </x:row>
    <x:row r="3404" ht="19" customHeight="1">
      <x:c r="A3404" s="19" t="str">
        <x:v>D03400</x:v>
      </x:c>
      <x:c r="B3404" s="19" t="n">
        <x:v>7</x:v>
      </x:c>
      <x:c r="C3404" s="19" t="n">
        <x:v>3</x:v>
      </x:c>
      <x:c r="D3404" s="19" t="str">
        <x:v>C07-M026</x:v>
      </x:c>
      <x:c r="E3404" s="19" t="str">
        <x:v>雾界迷途兵</x:v>
      </x:c>
      <x:c r="F3404" s="19" t="str">
        <x:v>普通</x:v>
      </x:c>
      <x:c r="G3404" s="19" t="str">
        <x:v>材料独立候选</x:v>
      </x:c>
      <x:c r="H3404" s="19" t="str">
        <x:v>白金路标片</x:v>
      </x:c>
      <x:c r="I3404" s="22" t="n">
        <x:v>1800</x:v>
      </x:c>
      <x:c r="J3404" s="22" t="n">
        <x:v>1</x:v>
      </x:c>
      <x:c r="K3404" s="19" t="n">
        <x:v>1</x:v>
      </x:c>
      <x:c r="L3404" s="24" t="n">
        <x:v>49.547</x:v>
      </x:c>
      <x:c r="M3404" s="26" t="n">
        <x:v>0.1</x:v>
      </x:c>
      <x:c r="N3404" s="24" t="n">
        <x:v>72</x:v>
      </x:c>
      <x:c r="O3404" s="28" t="n">
        <x:f>MIN(1,L3404/I3404)</x:f>
        <x:v>0.02752611111111111</x:v>
      </x:c>
      <x:c r="P3404" s="30" t="n">
        <x:f>O3404*J3404*(1+M3404)</x:f>
        <x:v>0.03027872222222222</x:v>
      </x:c>
      <x:c r="Q3404" s="30" t="n">
        <x:f>P3404*N3404</x:f>
        <x:v>2.180068</x:v>
      </x:c>
      <x:c r="R3404" s="19" t="str">
        <x:v>独立判定</x:v>
      </x:c>
    </x:row>
    <x:row r="3405" ht="19" customHeight="1">
      <x:c r="A3405" s="19" t="str">
        <x:v>D03401</x:v>
      </x:c>
      <x:c r="B3405" s="19" t="n">
        <x:v>7</x:v>
      </x:c>
      <x:c r="C3405" s="19" t="n">
        <x:v>3</x:v>
      </x:c>
      <x:c r="D3405" s="19" t="str">
        <x:v>C07-M026</x:v>
      </x:c>
      <x:c r="E3405" s="19" t="str">
        <x:v>雾界迷途兵</x:v>
      </x:c>
      <x:c r="F3405" s="19" t="str">
        <x:v>普通</x:v>
      </x:c>
      <x:c r="G3405" s="19" t="str">
        <x:v>材料独立候选</x:v>
      </x:c>
      <x:c r="H3405" s="19" t="str">
        <x:v>永霜朝圣痕</x:v>
      </x:c>
      <x:c r="I3405" s="22" t="n">
        <x:v>2500000</x:v>
      </x:c>
      <x:c r="J3405" s="22" t="n">
        <x:v>1</x:v>
      </x:c>
      <x:c r="K3405" s="19" t="n">
        <x:v>1</x:v>
      </x:c>
      <x:c r="L3405" s="24" t="n">
        <x:v>49.547</x:v>
      </x:c>
      <x:c r="M3405" s="26" t="n">
        <x:v>0.1</x:v>
      </x:c>
      <x:c r="N3405" s="24" t="n">
        <x:v>72</x:v>
      </x:c>
      <x:c r="O3405" s="28" t="n">
        <x:f>MIN(1,L3405/I3405)</x:f>
        <x:v>0.000019818799999999997</x:v>
      </x:c>
      <x:c r="P3405" s="30" t="n">
        <x:f>O3405*J3405*(1+M3405)</x:f>
        <x:v>0.000021800679999999998</x:v>
      </x:c>
      <x:c r="Q3405" s="30" t="n">
        <x:f>P3405*N3405</x:f>
        <x:v>0.00156964896</x:v>
      </x:c>
      <x:c r="R3405" s="19" t="str">
        <x:v>独立判定</x:v>
      </x:c>
    </x:row>
    <x:row r="3406" ht="19" customHeight="1">
      <x:c r="A3406" s="19" t="str">
        <x:v>D03402</x:v>
      </x:c>
      <x:c r="B3406" s="19" t="n">
        <x:v>7</x:v>
      </x:c>
      <x:c r="C3406" s="19" t="n">
        <x:v>3</x:v>
      </x:c>
      <x:c r="D3406" s="19" t="str">
        <x:v>C07-M026</x:v>
      </x:c>
      <x:c r="E3406" s="19" t="str">
        <x:v>雾界迷途兵</x:v>
      </x:c>
      <x:c r="F3406" s="19" t="str">
        <x:v>普通</x:v>
      </x:c>
      <x:c r="G3406" s="19" t="str">
        <x:v>材料独立候选</x:v>
      </x:c>
      <x:c r="H3406" s="19" t="str">
        <x:v>野兽骨片</x:v>
      </x:c>
      <x:c r="I3406" s="22" t="n">
        <x:v>250</x:v>
      </x:c>
      <x:c r="J3406" s="22" t="n">
        <x:v>5</x:v>
      </x:c>
      <x:c r="K3406" s="19" t="n">
        <x:v>1</x:v>
      </x:c>
      <x:c r="L3406" s="24" t="n">
        <x:v>49.547</x:v>
      </x:c>
      <x:c r="M3406" s="26" t="n">
        <x:v>0.1</x:v>
      </x:c>
      <x:c r="N3406" s="24" t="n">
        <x:v>72</x:v>
      </x:c>
      <x:c r="O3406" s="28" t="n">
        <x:f>MIN(1,L3406/I3406)</x:f>
        <x:v>0.19818799999999998</x:v>
      </x:c>
      <x:c r="P3406" s="30" t="n">
        <x:f>O3406*J3406*(1+M3406)</x:f>
        <x:v>1.090034</x:v>
      </x:c>
      <x:c r="Q3406" s="30" t="n">
        <x:f>P3406*N3406</x:f>
        <x:v>78.48244799999999</x:v>
      </x:c>
      <x:c r="R3406" s="19" t="str">
        <x:v>独立判定</x:v>
      </x:c>
    </x:row>
    <x:row r="3407" ht="19" customHeight="1">
      <x:c r="A3407" s="19" t="str">
        <x:v>D03403</x:v>
      </x:c>
      <x:c r="B3407" s="19" t="n">
        <x:v>7</x:v>
      </x:c>
      <x:c r="C3407" s="19" t="n">
        <x:v>3</x:v>
      </x:c>
      <x:c r="D3407" s="19" t="str">
        <x:v>C07-M026</x:v>
      </x:c>
      <x:c r="E3407" s="19" t="str">
        <x:v>雾界迷途兵</x:v>
      </x:c>
      <x:c r="F3407" s="19" t="str">
        <x:v>普通</x:v>
      </x:c>
      <x:c r="G3407" s="19" t="str">
        <x:v>材料独立候选</x:v>
      </x:c>
      <x:c r="H3407" s="19" t="str">
        <x:v>技能残页</x:v>
      </x:c>
      <x:c r="I3407" s="22" t="n">
        <x:v>1500</x:v>
      </x:c>
      <x:c r="J3407" s="22" t="n">
        <x:v>1</x:v>
      </x:c>
      <x:c r="K3407" s="19" t="n">
        <x:v>1</x:v>
      </x:c>
      <x:c r="L3407" s="24" t="n">
        <x:v>49.547</x:v>
      </x:c>
      <x:c r="M3407" s="26" t="n">
        <x:v>0.1</x:v>
      </x:c>
      <x:c r="N3407" s="24" t="n">
        <x:v>72</x:v>
      </x:c>
      <x:c r="O3407" s="28" t="n">
        <x:f>MIN(1,L3407/I3407)</x:f>
        <x:v>0.03303133333333333</x:v>
      </x:c>
      <x:c r="P3407" s="30" t="n">
        <x:f>O3407*J3407*(1+M3407)</x:f>
        <x:v>0.03633446666666666</x:v>
      </x:c>
      <x:c r="Q3407" s="30" t="n">
        <x:f>P3407*N3407</x:f>
        <x:v>2.6160816</x:v>
      </x:c>
      <x:c r="R3407" s="19" t="str">
        <x:v>独立判定</x:v>
      </x:c>
    </x:row>
    <x:row r="3408" ht="19" customHeight="1">
      <x:c r="A3408" s="19" t="str">
        <x:v>D03404</x:v>
      </x:c>
      <x:c r="B3408" s="19" t="n">
        <x:v>7</x:v>
      </x:c>
      <x:c r="C3408" s="19" t="n">
        <x:v>3</x:v>
      </x:c>
      <x:c r="D3408" s="19" t="str">
        <x:v>C07-M026</x:v>
      </x:c>
      <x:c r="E3408" s="19" t="str">
        <x:v>雾界迷途兵</x:v>
      </x:c>
      <x:c r="F3408" s="19" t="str">
        <x:v>普通</x:v>
      </x:c>
      <x:c r="G3408" s="19" t="str">
        <x:v>材料独立候选</x:v>
      </x:c>
      <x:c r="H3408" s="19" t="str">
        <x:v>小卢恩</x:v>
      </x:c>
      <x:c r="I3408" s="22" t="n">
        <x:v>15000</x:v>
      </x:c>
      <x:c r="J3408" s="22" t="n">
        <x:v>1</x:v>
      </x:c>
      <x:c r="K3408" s="19" t="n">
        <x:v>1</x:v>
      </x:c>
      <x:c r="L3408" s="24" t="n">
        <x:v>49.547</x:v>
      </x:c>
      <x:c r="M3408" s="26" t="n">
        <x:v>0.1</x:v>
      </x:c>
      <x:c r="N3408" s="24" t="n">
        <x:v>72</x:v>
      </x:c>
      <x:c r="O3408" s="28" t="n">
        <x:f>MIN(1,L3408/I3408)</x:f>
        <x:v>0.003303133333333333</x:v>
      </x:c>
      <x:c r="P3408" s="30" t="n">
        <x:f>O3408*J3408*(1+M3408)</x:f>
        <x:v>0.0036334466666666666</x:v>
      </x:c>
      <x:c r="Q3408" s="30" t="n">
        <x:f>P3408*N3408</x:f>
        <x:v>0.26160816</x:v>
      </x:c>
      <x:c r="R3408" s="19" t="str">
        <x:v>独立判定</x:v>
      </x:c>
    </x:row>
    <x:row r="3409" ht="19" customHeight="1">
      <x:c r="A3409" s="19" t="str">
        <x:v>D03405</x:v>
      </x:c>
      <x:c r="B3409" s="19" t="n">
        <x:v>7</x:v>
      </x:c>
      <x:c r="C3409" s="19" t="n">
        <x:v>3</x:v>
      </x:c>
      <x:c r="D3409" s="19" t="str">
        <x:v>C07-M026</x:v>
      </x:c>
      <x:c r="E3409" s="19" t="str">
        <x:v>雾界迷途兵</x:v>
      </x:c>
      <x:c r="F3409" s="19" t="str">
        <x:v>普通</x:v>
      </x:c>
      <x:c r="G3409" s="19" t="str">
        <x:v>六神器公共池</x:v>
      </x:c>
      <x:c r="H3409" s="19" t="str">
        <x:v>POOL006</x:v>
      </x:c>
      <x:c r="I3409" s="22" t="n">
        <x:v>20000000</x:v>
      </x:c>
      <x:c r="J3409" s="22" t="n">
        <x:v>1</x:v>
      </x:c>
      <x:c r="K3409" s="19" t="n">
        <x:v>6</x:v>
      </x:c>
      <x:c r="L3409" s="24" t="n">
        <x:v>49.547</x:v>
      </x:c>
      <x:c r="M3409" s="26" t="n">
        <x:v>0.1</x:v>
      </x:c>
      <x:c r="N3409" s="24" t="n">
        <x:v>72</x:v>
      </x:c>
      <x:c r="O3409" s="28" t="n">
        <x:f>MIN(1,L3409/I3409)</x:f>
        <x:v>0.0000024773499999999997</x:v>
      </x:c>
      <x:c r="P3409" s="30" t="n">
        <x:f>O3409*J3409*(1+M3409)</x:f>
        <x:v>0.0000027250849999999998</x:v>
      </x:c>
      <x:c r="Q3409" s="30" t="n">
        <x:f>P3409*N3409</x:f>
        <x:v>0.00019620612</x:v>
      </x:c>
      <x:c r="R3409" s="19" t="str">
        <x:v>六选一；非6个独立爆率</x:v>
      </x:c>
    </x:row>
    <x:row r="3410" ht="19" customHeight="1">
      <x:c r="A3410" s="19" t="str">
        <x:v>D03406</x:v>
      </x:c>
      <x:c r="B3410" s="19" t="n">
        <x:v>7</x:v>
      </x:c>
      <x:c r="C3410" s="19" t="n">
        <x:v>3</x:v>
      </x:c>
      <x:c r="D3410" s="19" t="str">
        <x:v>C07-M027</x:v>
      </x:c>
      <x:c r="E3410" s="19" t="str">
        <x:v>寒狱锁链卒</x:v>
      </x:c>
      <x:c r="F3410" s="19" t="str">
        <x:v>普通</x:v>
      </x:c>
      <x:c r="G3410" s="19" t="str">
        <x:v>自身专属</x:v>
      </x:c>
      <x:c r="H3410" s="19" t="str">
        <x:v>寒狱铁镯</x:v>
      </x:c>
      <x:c r="I3410" s="22" t="n">
        <x:v>4000</x:v>
      </x:c>
      <x:c r="J3410" s="22" t="n">
        <x:v>1</x:v>
      </x:c>
      <x:c r="K3410" s="19" t="n">
        <x:v>1</x:v>
      </x:c>
      <x:c r="L3410" s="24" t="n">
        <x:v>49.547</x:v>
      </x:c>
      <x:c r="M3410" s="26" t="n">
        <x:v>0.1</x:v>
      </x:c>
      <x:c r="N3410" s="24" t="n">
        <x:v>72</x:v>
      </x:c>
      <x:c r="O3410" s="28" t="n">
        <x:f>MIN(1,L3410/I3410)</x:f>
        <x:v>0.012386749999999998</x:v>
      </x:c>
      <x:c r="P3410" s="30" t="n">
        <x:f>O3410*J3410*(1+M3410)</x:f>
        <x:v>0.013625425</x:v>
      </x:c>
      <x:c r="Q3410" s="30" t="n">
        <x:f>P3410*N3410</x:f>
        <x:v>0.9810306</x:v>
      </x:c>
      <x:c r="R3410" s="19" t="str">
        <x:v>独立判定</x:v>
      </x:c>
    </x:row>
    <x:row r="3411" ht="19" customHeight="1">
      <x:c r="A3411" s="19" t="str">
        <x:v>D03407</x:v>
      </x:c>
      <x:c r="B3411" s="19" t="n">
        <x:v>7</x:v>
      </x:c>
      <x:c r="C3411" s="19" t="n">
        <x:v>3</x:v>
      </x:c>
      <x:c r="D3411" s="19" t="str">
        <x:v>C07-M027</x:v>
      </x:c>
      <x:c r="E3411" s="19" t="str">
        <x:v>寒狱锁链卒</x:v>
      </x:c>
      <x:c r="F3411" s="19" t="str">
        <x:v>普通</x:v>
      </x:c>
      <x:c r="G3411" s="19" t="str">
        <x:v>材料独立候选</x:v>
      </x:c>
      <x:c r="H3411" s="19" t="str">
        <x:v>冻晶尘</x:v>
      </x:c>
      <x:c r="I3411" s="22" t="n">
        <x:v>1200</x:v>
      </x:c>
      <x:c r="J3411" s="22" t="n">
        <x:v>8</x:v>
      </x:c>
      <x:c r="K3411" s="19" t="n">
        <x:v>1</x:v>
      </x:c>
      <x:c r="L3411" s="24" t="n">
        <x:v>49.547</x:v>
      </x:c>
      <x:c r="M3411" s="26" t="n">
        <x:v>0.1</x:v>
      </x:c>
      <x:c r="N3411" s="24" t="n">
        <x:v>72</x:v>
      </x:c>
      <x:c r="O3411" s="28" t="n">
        <x:f>MIN(1,L3411/I3411)</x:f>
        <x:v>0.04128916666666666</x:v>
      </x:c>
      <x:c r="P3411" s="30" t="n">
        <x:f>O3411*J3411*(1+M3411)</x:f>
        <x:v>0.36334466666666665</x:v>
      </x:c>
      <x:c r="Q3411" s="30" t="n">
        <x:f>P3411*N3411</x:f>
        <x:v>26.160815999999997</x:v>
      </x:c>
      <x:c r="R3411" s="19" t="str">
        <x:v>独立判定</x:v>
      </x:c>
    </x:row>
    <x:row r="3412" ht="19" customHeight="1">
      <x:c r="A3412" s="19" t="str">
        <x:v>D03408</x:v>
      </x:c>
      <x:c r="B3412" s="19" t="n">
        <x:v>7</x:v>
      </x:c>
      <x:c r="C3412" s="19" t="n">
        <x:v>3</x:v>
      </x:c>
      <x:c r="D3412" s="19" t="str">
        <x:v>C07-M027</x:v>
      </x:c>
      <x:c r="E3412" s="19" t="str">
        <x:v>寒狱锁链卒</x:v>
      </x:c>
      <x:c r="F3412" s="19" t="str">
        <x:v>普通</x:v>
      </x:c>
      <x:c r="G3412" s="19" t="str">
        <x:v>材料独立候选</x:v>
      </x:c>
      <x:c r="H3412" s="19" t="str">
        <x:v>白金路标片</x:v>
      </x:c>
      <x:c r="I3412" s="22" t="n">
        <x:v>1800</x:v>
      </x:c>
      <x:c r="J3412" s="22" t="n">
        <x:v>1</x:v>
      </x:c>
      <x:c r="K3412" s="19" t="n">
        <x:v>1</x:v>
      </x:c>
      <x:c r="L3412" s="24" t="n">
        <x:v>49.547</x:v>
      </x:c>
      <x:c r="M3412" s="26" t="n">
        <x:v>0.1</x:v>
      </x:c>
      <x:c r="N3412" s="24" t="n">
        <x:v>72</x:v>
      </x:c>
      <x:c r="O3412" s="28" t="n">
        <x:f>MIN(1,L3412/I3412)</x:f>
        <x:v>0.02752611111111111</x:v>
      </x:c>
      <x:c r="P3412" s="30" t="n">
        <x:f>O3412*J3412*(1+M3412)</x:f>
        <x:v>0.03027872222222222</x:v>
      </x:c>
      <x:c r="Q3412" s="30" t="n">
        <x:f>P3412*N3412</x:f>
        <x:v>2.180068</x:v>
      </x:c>
      <x:c r="R3412" s="19" t="str">
        <x:v>独立判定</x:v>
      </x:c>
    </x:row>
    <x:row r="3413" ht="19" customHeight="1">
      <x:c r="A3413" s="19" t="str">
        <x:v>D03409</x:v>
      </x:c>
      <x:c r="B3413" s="19" t="n">
        <x:v>7</x:v>
      </x:c>
      <x:c r="C3413" s="19" t="n">
        <x:v>3</x:v>
      </x:c>
      <x:c r="D3413" s="19" t="str">
        <x:v>C07-M027</x:v>
      </x:c>
      <x:c r="E3413" s="19" t="str">
        <x:v>寒狱锁链卒</x:v>
      </x:c>
      <x:c r="F3413" s="19" t="str">
        <x:v>普通</x:v>
      </x:c>
      <x:c r="G3413" s="19" t="str">
        <x:v>材料独立候选</x:v>
      </x:c>
      <x:c r="H3413" s="19" t="str">
        <x:v>永霜朝圣痕</x:v>
      </x:c>
      <x:c r="I3413" s="22" t="n">
        <x:v>2500000</x:v>
      </x:c>
      <x:c r="J3413" s="22" t="n">
        <x:v>1</x:v>
      </x:c>
      <x:c r="K3413" s="19" t="n">
        <x:v>1</x:v>
      </x:c>
      <x:c r="L3413" s="24" t="n">
        <x:v>49.547</x:v>
      </x:c>
      <x:c r="M3413" s="26" t="n">
        <x:v>0.1</x:v>
      </x:c>
      <x:c r="N3413" s="24" t="n">
        <x:v>72</x:v>
      </x:c>
      <x:c r="O3413" s="28" t="n">
        <x:f>MIN(1,L3413/I3413)</x:f>
        <x:v>0.000019818799999999997</x:v>
      </x:c>
      <x:c r="P3413" s="30" t="n">
        <x:f>O3413*J3413*(1+M3413)</x:f>
        <x:v>0.000021800679999999998</x:v>
      </x:c>
      <x:c r="Q3413" s="30" t="n">
        <x:f>P3413*N3413</x:f>
        <x:v>0.00156964896</x:v>
      </x:c>
      <x:c r="R3413" s="19" t="str">
        <x:v>独立判定</x:v>
      </x:c>
    </x:row>
    <x:row r="3414" ht="19" customHeight="1">
      <x:c r="A3414" s="19" t="str">
        <x:v>D03410</x:v>
      </x:c>
      <x:c r="B3414" s="19" t="n">
        <x:v>7</x:v>
      </x:c>
      <x:c r="C3414" s="19" t="n">
        <x:v>3</x:v>
      </x:c>
      <x:c r="D3414" s="19" t="str">
        <x:v>C07-M027</x:v>
      </x:c>
      <x:c r="E3414" s="19" t="str">
        <x:v>寒狱锁链卒</x:v>
      </x:c>
      <x:c r="F3414" s="19" t="str">
        <x:v>普通</x:v>
      </x:c>
      <x:c r="G3414" s="19" t="str">
        <x:v>材料独立候选</x:v>
      </x:c>
      <x:c r="H3414" s="19" t="str">
        <x:v>野兽骨片</x:v>
      </x:c>
      <x:c r="I3414" s="22" t="n">
        <x:v>250</x:v>
      </x:c>
      <x:c r="J3414" s="22" t="n">
        <x:v>5</x:v>
      </x:c>
      <x:c r="K3414" s="19" t="n">
        <x:v>1</x:v>
      </x:c>
      <x:c r="L3414" s="24" t="n">
        <x:v>49.547</x:v>
      </x:c>
      <x:c r="M3414" s="26" t="n">
        <x:v>0.1</x:v>
      </x:c>
      <x:c r="N3414" s="24" t="n">
        <x:v>72</x:v>
      </x:c>
      <x:c r="O3414" s="28" t="n">
        <x:f>MIN(1,L3414/I3414)</x:f>
        <x:v>0.19818799999999998</x:v>
      </x:c>
      <x:c r="P3414" s="30" t="n">
        <x:f>O3414*J3414*(1+M3414)</x:f>
        <x:v>1.090034</x:v>
      </x:c>
      <x:c r="Q3414" s="30" t="n">
        <x:f>P3414*N3414</x:f>
        <x:v>78.48244799999999</x:v>
      </x:c>
      <x:c r="R3414" s="19" t="str">
        <x:v>独立判定</x:v>
      </x:c>
    </x:row>
    <x:row r="3415" ht="19" customHeight="1">
      <x:c r="A3415" s="19" t="str">
        <x:v>D03411</x:v>
      </x:c>
      <x:c r="B3415" s="19" t="n">
        <x:v>7</x:v>
      </x:c>
      <x:c r="C3415" s="19" t="n">
        <x:v>3</x:v>
      </x:c>
      <x:c r="D3415" s="19" t="str">
        <x:v>C07-M027</x:v>
      </x:c>
      <x:c r="E3415" s="19" t="str">
        <x:v>寒狱锁链卒</x:v>
      </x:c>
      <x:c r="F3415" s="19" t="str">
        <x:v>普通</x:v>
      </x:c>
      <x:c r="G3415" s="19" t="str">
        <x:v>材料独立候选</x:v>
      </x:c>
      <x:c r="H3415" s="19" t="str">
        <x:v>技能残页</x:v>
      </x:c>
      <x:c r="I3415" s="22" t="n">
        <x:v>1500</x:v>
      </x:c>
      <x:c r="J3415" s="22" t="n">
        <x:v>1</x:v>
      </x:c>
      <x:c r="K3415" s="19" t="n">
        <x:v>1</x:v>
      </x:c>
      <x:c r="L3415" s="24" t="n">
        <x:v>49.547</x:v>
      </x:c>
      <x:c r="M3415" s="26" t="n">
        <x:v>0.1</x:v>
      </x:c>
      <x:c r="N3415" s="24" t="n">
        <x:v>72</x:v>
      </x:c>
      <x:c r="O3415" s="28" t="n">
        <x:f>MIN(1,L3415/I3415)</x:f>
        <x:v>0.03303133333333333</x:v>
      </x:c>
      <x:c r="P3415" s="30" t="n">
        <x:f>O3415*J3415*(1+M3415)</x:f>
        <x:v>0.03633446666666666</x:v>
      </x:c>
      <x:c r="Q3415" s="30" t="n">
        <x:f>P3415*N3415</x:f>
        <x:v>2.6160816</x:v>
      </x:c>
      <x:c r="R3415" s="19" t="str">
        <x:v>独立判定</x:v>
      </x:c>
    </x:row>
    <x:row r="3416" ht="19" customHeight="1">
      <x:c r="A3416" s="19" t="str">
        <x:v>D03412</x:v>
      </x:c>
      <x:c r="B3416" s="19" t="n">
        <x:v>7</x:v>
      </x:c>
      <x:c r="C3416" s="19" t="n">
        <x:v>3</x:v>
      </x:c>
      <x:c r="D3416" s="19" t="str">
        <x:v>C07-M027</x:v>
      </x:c>
      <x:c r="E3416" s="19" t="str">
        <x:v>寒狱锁链卒</x:v>
      </x:c>
      <x:c r="F3416" s="19" t="str">
        <x:v>普通</x:v>
      </x:c>
      <x:c r="G3416" s="19" t="str">
        <x:v>材料独立候选</x:v>
      </x:c>
      <x:c r="H3416" s="19" t="str">
        <x:v>小卢恩</x:v>
      </x:c>
      <x:c r="I3416" s="22" t="n">
        <x:v>15000</x:v>
      </x:c>
      <x:c r="J3416" s="22" t="n">
        <x:v>1</x:v>
      </x:c>
      <x:c r="K3416" s="19" t="n">
        <x:v>1</x:v>
      </x:c>
      <x:c r="L3416" s="24" t="n">
        <x:v>49.547</x:v>
      </x:c>
      <x:c r="M3416" s="26" t="n">
        <x:v>0.1</x:v>
      </x:c>
      <x:c r="N3416" s="24" t="n">
        <x:v>72</x:v>
      </x:c>
      <x:c r="O3416" s="28" t="n">
        <x:f>MIN(1,L3416/I3416)</x:f>
        <x:v>0.003303133333333333</x:v>
      </x:c>
      <x:c r="P3416" s="30" t="n">
        <x:f>O3416*J3416*(1+M3416)</x:f>
        <x:v>0.0036334466666666666</x:v>
      </x:c>
      <x:c r="Q3416" s="30" t="n">
        <x:f>P3416*N3416</x:f>
        <x:v>0.26160816</x:v>
      </x:c>
      <x:c r="R3416" s="19" t="str">
        <x:v>独立判定</x:v>
      </x:c>
    </x:row>
    <x:row r="3417" ht="19" customHeight="1">
      <x:c r="A3417" s="19" t="str">
        <x:v>D03413</x:v>
      </x:c>
      <x:c r="B3417" s="19" t="n">
        <x:v>7</x:v>
      </x:c>
      <x:c r="C3417" s="19" t="n">
        <x:v>3</x:v>
      </x:c>
      <x:c r="D3417" s="19" t="str">
        <x:v>C07-M027</x:v>
      </x:c>
      <x:c r="E3417" s="19" t="str">
        <x:v>寒狱锁链卒</x:v>
      </x:c>
      <x:c r="F3417" s="19" t="str">
        <x:v>普通</x:v>
      </x:c>
      <x:c r="G3417" s="19" t="str">
        <x:v>六神器公共池</x:v>
      </x:c>
      <x:c r="H3417" s="19" t="str">
        <x:v>POOL006</x:v>
      </x:c>
      <x:c r="I3417" s="22" t="n">
        <x:v>20000000</x:v>
      </x:c>
      <x:c r="J3417" s="22" t="n">
        <x:v>1</x:v>
      </x:c>
      <x:c r="K3417" s="19" t="n">
        <x:v>6</x:v>
      </x:c>
      <x:c r="L3417" s="24" t="n">
        <x:v>49.547</x:v>
      </x:c>
      <x:c r="M3417" s="26" t="n">
        <x:v>0.1</x:v>
      </x:c>
      <x:c r="N3417" s="24" t="n">
        <x:v>72</x:v>
      </x:c>
      <x:c r="O3417" s="28" t="n">
        <x:f>MIN(1,L3417/I3417)</x:f>
        <x:v>0.0000024773499999999997</x:v>
      </x:c>
      <x:c r="P3417" s="30" t="n">
        <x:f>O3417*J3417*(1+M3417)</x:f>
        <x:v>0.0000027250849999999998</x:v>
      </x:c>
      <x:c r="Q3417" s="30" t="n">
        <x:f>P3417*N3417</x:f>
        <x:v>0.00019620612</x:v>
      </x:c>
      <x:c r="R3417" s="19" t="str">
        <x:v>六选一；非6个独立爆率</x:v>
      </x:c>
    </x:row>
    <x:row r="3418" ht="19" customHeight="1">
      <x:c r="A3418" s="19" t="str">
        <x:v>D03414</x:v>
      </x:c>
      <x:c r="B3418" s="19" t="n">
        <x:v>7</x:v>
      </x:c>
      <x:c r="C3418" s="19" t="n">
        <x:v>3</x:v>
      </x:c>
      <x:c r="D3418" s="19" t="str">
        <x:v>C07-M028</x:v>
      </x:c>
      <x:c r="E3418" s="19" t="str">
        <x:v>祭坛守烛女</x:v>
      </x:c>
      <x:c r="F3418" s="19" t="str">
        <x:v>普通</x:v>
      </x:c>
      <x:c r="G3418" s="19" t="str">
        <x:v>自身专属</x:v>
      </x:c>
      <x:c r="H3418" s="19" t="str">
        <x:v>守烛项链</x:v>
      </x:c>
      <x:c r="I3418" s="22" t="n">
        <x:v>4000</x:v>
      </x:c>
      <x:c r="J3418" s="22" t="n">
        <x:v>1</x:v>
      </x:c>
      <x:c r="K3418" s="19" t="n">
        <x:v>1</x:v>
      </x:c>
      <x:c r="L3418" s="24" t="n">
        <x:v>49.547</x:v>
      </x:c>
      <x:c r="M3418" s="26" t="n">
        <x:v>0.1</x:v>
      </x:c>
      <x:c r="N3418" s="24" t="n">
        <x:v>72</x:v>
      </x:c>
      <x:c r="O3418" s="28" t="n">
        <x:f>MIN(1,L3418/I3418)</x:f>
        <x:v>0.012386749999999998</x:v>
      </x:c>
      <x:c r="P3418" s="30" t="n">
        <x:f>O3418*J3418*(1+M3418)</x:f>
        <x:v>0.013625425</x:v>
      </x:c>
      <x:c r="Q3418" s="30" t="n">
        <x:f>P3418*N3418</x:f>
        <x:v>0.9810306</x:v>
      </x:c>
      <x:c r="R3418" s="19" t="str">
        <x:v>独立判定</x:v>
      </x:c>
    </x:row>
    <x:row r="3419" ht="19" customHeight="1">
      <x:c r="A3419" s="19" t="str">
        <x:v>D03415</x:v>
      </x:c>
      <x:c r="B3419" s="19" t="n">
        <x:v>7</x:v>
      </x:c>
      <x:c r="C3419" s="19" t="n">
        <x:v>3</x:v>
      </x:c>
      <x:c r="D3419" s="19" t="str">
        <x:v>C07-M028</x:v>
      </x:c>
      <x:c r="E3419" s="19" t="str">
        <x:v>祭坛守烛女</x:v>
      </x:c>
      <x:c r="F3419" s="19" t="str">
        <x:v>普通</x:v>
      </x:c>
      <x:c r="G3419" s="19" t="str">
        <x:v>材料独立候选</x:v>
      </x:c>
      <x:c r="H3419" s="19" t="str">
        <x:v>冻晶尘</x:v>
      </x:c>
      <x:c r="I3419" s="22" t="n">
        <x:v>1200</x:v>
      </x:c>
      <x:c r="J3419" s="22" t="n">
        <x:v>8</x:v>
      </x:c>
      <x:c r="K3419" s="19" t="n">
        <x:v>1</x:v>
      </x:c>
      <x:c r="L3419" s="24" t="n">
        <x:v>49.547</x:v>
      </x:c>
      <x:c r="M3419" s="26" t="n">
        <x:v>0.1</x:v>
      </x:c>
      <x:c r="N3419" s="24" t="n">
        <x:v>72</x:v>
      </x:c>
      <x:c r="O3419" s="28" t="n">
        <x:f>MIN(1,L3419/I3419)</x:f>
        <x:v>0.04128916666666666</x:v>
      </x:c>
      <x:c r="P3419" s="30" t="n">
        <x:f>O3419*J3419*(1+M3419)</x:f>
        <x:v>0.36334466666666665</x:v>
      </x:c>
      <x:c r="Q3419" s="30" t="n">
        <x:f>P3419*N3419</x:f>
        <x:v>26.160815999999997</x:v>
      </x:c>
      <x:c r="R3419" s="19" t="str">
        <x:v>独立判定</x:v>
      </x:c>
    </x:row>
    <x:row r="3420" ht="19" customHeight="1">
      <x:c r="A3420" s="19" t="str">
        <x:v>D03416</x:v>
      </x:c>
      <x:c r="B3420" s="19" t="n">
        <x:v>7</x:v>
      </x:c>
      <x:c r="C3420" s="19" t="n">
        <x:v>3</x:v>
      </x:c>
      <x:c r="D3420" s="19" t="str">
        <x:v>C07-M028</x:v>
      </x:c>
      <x:c r="E3420" s="19" t="str">
        <x:v>祭坛守烛女</x:v>
      </x:c>
      <x:c r="F3420" s="19" t="str">
        <x:v>普通</x:v>
      </x:c>
      <x:c r="G3420" s="19" t="str">
        <x:v>材料独立候选</x:v>
      </x:c>
      <x:c r="H3420" s="19" t="str">
        <x:v>白金路标片</x:v>
      </x:c>
      <x:c r="I3420" s="22" t="n">
        <x:v>1800</x:v>
      </x:c>
      <x:c r="J3420" s="22" t="n">
        <x:v>1</x:v>
      </x:c>
      <x:c r="K3420" s="19" t="n">
        <x:v>1</x:v>
      </x:c>
      <x:c r="L3420" s="24" t="n">
        <x:v>49.547</x:v>
      </x:c>
      <x:c r="M3420" s="26" t="n">
        <x:v>0.1</x:v>
      </x:c>
      <x:c r="N3420" s="24" t="n">
        <x:v>72</x:v>
      </x:c>
      <x:c r="O3420" s="28" t="n">
        <x:f>MIN(1,L3420/I3420)</x:f>
        <x:v>0.02752611111111111</x:v>
      </x:c>
      <x:c r="P3420" s="30" t="n">
        <x:f>O3420*J3420*(1+M3420)</x:f>
        <x:v>0.03027872222222222</x:v>
      </x:c>
      <x:c r="Q3420" s="30" t="n">
        <x:f>P3420*N3420</x:f>
        <x:v>2.180068</x:v>
      </x:c>
      <x:c r="R3420" s="19" t="str">
        <x:v>独立判定</x:v>
      </x:c>
    </x:row>
    <x:row r="3421" ht="19" customHeight="1">
      <x:c r="A3421" s="19" t="str">
        <x:v>D03417</x:v>
      </x:c>
      <x:c r="B3421" s="19" t="n">
        <x:v>7</x:v>
      </x:c>
      <x:c r="C3421" s="19" t="n">
        <x:v>3</x:v>
      </x:c>
      <x:c r="D3421" s="19" t="str">
        <x:v>C07-M028</x:v>
      </x:c>
      <x:c r="E3421" s="19" t="str">
        <x:v>祭坛守烛女</x:v>
      </x:c>
      <x:c r="F3421" s="19" t="str">
        <x:v>普通</x:v>
      </x:c>
      <x:c r="G3421" s="19" t="str">
        <x:v>材料独立候选</x:v>
      </x:c>
      <x:c r="H3421" s="19" t="str">
        <x:v>永霜朝圣痕</x:v>
      </x:c>
      <x:c r="I3421" s="22" t="n">
        <x:v>2500000</x:v>
      </x:c>
      <x:c r="J3421" s="22" t="n">
        <x:v>1</x:v>
      </x:c>
      <x:c r="K3421" s="19" t="n">
        <x:v>1</x:v>
      </x:c>
      <x:c r="L3421" s="24" t="n">
        <x:v>49.547</x:v>
      </x:c>
      <x:c r="M3421" s="26" t="n">
        <x:v>0.1</x:v>
      </x:c>
      <x:c r="N3421" s="24" t="n">
        <x:v>72</x:v>
      </x:c>
      <x:c r="O3421" s="28" t="n">
        <x:f>MIN(1,L3421/I3421)</x:f>
        <x:v>0.000019818799999999997</x:v>
      </x:c>
      <x:c r="P3421" s="30" t="n">
        <x:f>O3421*J3421*(1+M3421)</x:f>
        <x:v>0.000021800679999999998</x:v>
      </x:c>
      <x:c r="Q3421" s="30" t="n">
        <x:f>P3421*N3421</x:f>
        <x:v>0.00156964896</x:v>
      </x:c>
      <x:c r="R3421" s="19" t="str">
        <x:v>独立判定</x:v>
      </x:c>
    </x:row>
    <x:row r="3422" ht="19" customHeight="1">
      <x:c r="A3422" s="19" t="str">
        <x:v>D03418</x:v>
      </x:c>
      <x:c r="B3422" s="19" t="n">
        <x:v>7</x:v>
      </x:c>
      <x:c r="C3422" s="19" t="n">
        <x:v>3</x:v>
      </x:c>
      <x:c r="D3422" s="19" t="str">
        <x:v>C07-M028</x:v>
      </x:c>
      <x:c r="E3422" s="19" t="str">
        <x:v>祭坛守烛女</x:v>
      </x:c>
      <x:c r="F3422" s="19" t="str">
        <x:v>普通</x:v>
      </x:c>
      <x:c r="G3422" s="19" t="str">
        <x:v>材料独立候选</x:v>
      </x:c>
      <x:c r="H3422" s="19" t="str">
        <x:v>野兽骨片</x:v>
      </x:c>
      <x:c r="I3422" s="22" t="n">
        <x:v>250</x:v>
      </x:c>
      <x:c r="J3422" s="22" t="n">
        <x:v>5</x:v>
      </x:c>
      <x:c r="K3422" s="19" t="n">
        <x:v>1</x:v>
      </x:c>
      <x:c r="L3422" s="24" t="n">
        <x:v>49.547</x:v>
      </x:c>
      <x:c r="M3422" s="26" t="n">
        <x:v>0.1</x:v>
      </x:c>
      <x:c r="N3422" s="24" t="n">
        <x:v>72</x:v>
      </x:c>
      <x:c r="O3422" s="28" t="n">
        <x:f>MIN(1,L3422/I3422)</x:f>
        <x:v>0.19818799999999998</x:v>
      </x:c>
      <x:c r="P3422" s="30" t="n">
        <x:f>O3422*J3422*(1+M3422)</x:f>
        <x:v>1.090034</x:v>
      </x:c>
      <x:c r="Q3422" s="30" t="n">
        <x:f>P3422*N3422</x:f>
        <x:v>78.48244799999999</x:v>
      </x:c>
      <x:c r="R3422" s="19" t="str">
        <x:v>独立判定</x:v>
      </x:c>
    </x:row>
    <x:row r="3423" ht="19" customHeight="1">
      <x:c r="A3423" s="19" t="str">
        <x:v>D03419</x:v>
      </x:c>
      <x:c r="B3423" s="19" t="n">
        <x:v>7</x:v>
      </x:c>
      <x:c r="C3423" s="19" t="n">
        <x:v>3</x:v>
      </x:c>
      <x:c r="D3423" s="19" t="str">
        <x:v>C07-M028</x:v>
      </x:c>
      <x:c r="E3423" s="19" t="str">
        <x:v>祭坛守烛女</x:v>
      </x:c>
      <x:c r="F3423" s="19" t="str">
        <x:v>普通</x:v>
      </x:c>
      <x:c r="G3423" s="19" t="str">
        <x:v>材料独立候选</x:v>
      </x:c>
      <x:c r="H3423" s="19" t="str">
        <x:v>技能残页</x:v>
      </x:c>
      <x:c r="I3423" s="22" t="n">
        <x:v>1500</x:v>
      </x:c>
      <x:c r="J3423" s="22" t="n">
        <x:v>1</x:v>
      </x:c>
      <x:c r="K3423" s="19" t="n">
        <x:v>1</x:v>
      </x:c>
      <x:c r="L3423" s="24" t="n">
        <x:v>49.547</x:v>
      </x:c>
      <x:c r="M3423" s="26" t="n">
        <x:v>0.1</x:v>
      </x:c>
      <x:c r="N3423" s="24" t="n">
        <x:v>72</x:v>
      </x:c>
      <x:c r="O3423" s="28" t="n">
        <x:f>MIN(1,L3423/I3423)</x:f>
        <x:v>0.03303133333333333</x:v>
      </x:c>
      <x:c r="P3423" s="30" t="n">
        <x:f>O3423*J3423*(1+M3423)</x:f>
        <x:v>0.03633446666666666</x:v>
      </x:c>
      <x:c r="Q3423" s="30" t="n">
        <x:f>P3423*N3423</x:f>
        <x:v>2.6160816</x:v>
      </x:c>
      <x:c r="R3423" s="19" t="str">
        <x:v>独立判定</x:v>
      </x:c>
    </x:row>
    <x:row r="3424" ht="19" customHeight="1">
      <x:c r="A3424" s="19" t="str">
        <x:v>D03420</x:v>
      </x:c>
      <x:c r="B3424" s="19" t="n">
        <x:v>7</x:v>
      </x:c>
      <x:c r="C3424" s="19" t="n">
        <x:v>3</x:v>
      </x:c>
      <x:c r="D3424" s="19" t="str">
        <x:v>C07-M028</x:v>
      </x:c>
      <x:c r="E3424" s="19" t="str">
        <x:v>祭坛守烛女</x:v>
      </x:c>
      <x:c r="F3424" s="19" t="str">
        <x:v>普通</x:v>
      </x:c>
      <x:c r="G3424" s="19" t="str">
        <x:v>材料独立候选</x:v>
      </x:c>
      <x:c r="H3424" s="19" t="str">
        <x:v>小卢恩</x:v>
      </x:c>
      <x:c r="I3424" s="22" t="n">
        <x:v>15000</x:v>
      </x:c>
      <x:c r="J3424" s="22" t="n">
        <x:v>1</x:v>
      </x:c>
      <x:c r="K3424" s="19" t="n">
        <x:v>1</x:v>
      </x:c>
      <x:c r="L3424" s="24" t="n">
        <x:v>49.547</x:v>
      </x:c>
      <x:c r="M3424" s="26" t="n">
        <x:v>0.1</x:v>
      </x:c>
      <x:c r="N3424" s="24" t="n">
        <x:v>72</x:v>
      </x:c>
      <x:c r="O3424" s="28" t="n">
        <x:f>MIN(1,L3424/I3424)</x:f>
        <x:v>0.003303133333333333</x:v>
      </x:c>
      <x:c r="P3424" s="30" t="n">
        <x:f>O3424*J3424*(1+M3424)</x:f>
        <x:v>0.0036334466666666666</x:v>
      </x:c>
      <x:c r="Q3424" s="30" t="n">
        <x:f>P3424*N3424</x:f>
        <x:v>0.26160816</x:v>
      </x:c>
      <x:c r="R3424" s="19" t="str">
        <x:v>独立判定</x:v>
      </x:c>
    </x:row>
    <x:row r="3425" ht="19" customHeight="1">
      <x:c r="A3425" s="19" t="str">
        <x:v>D03421</x:v>
      </x:c>
      <x:c r="B3425" s="19" t="n">
        <x:v>7</x:v>
      </x:c>
      <x:c r="C3425" s="19" t="n">
        <x:v>3</x:v>
      </x:c>
      <x:c r="D3425" s="19" t="str">
        <x:v>C07-M028</x:v>
      </x:c>
      <x:c r="E3425" s="19" t="str">
        <x:v>祭坛守烛女</x:v>
      </x:c>
      <x:c r="F3425" s="19" t="str">
        <x:v>普通</x:v>
      </x:c>
      <x:c r="G3425" s="19" t="str">
        <x:v>六神器公共池</x:v>
      </x:c>
      <x:c r="H3425" s="19" t="str">
        <x:v>POOL006</x:v>
      </x:c>
      <x:c r="I3425" s="22" t="n">
        <x:v>20000000</x:v>
      </x:c>
      <x:c r="J3425" s="22" t="n">
        <x:v>1</x:v>
      </x:c>
      <x:c r="K3425" s="19" t="n">
        <x:v>6</x:v>
      </x:c>
      <x:c r="L3425" s="24" t="n">
        <x:v>49.547</x:v>
      </x:c>
      <x:c r="M3425" s="26" t="n">
        <x:v>0.1</x:v>
      </x:c>
      <x:c r="N3425" s="24" t="n">
        <x:v>72</x:v>
      </x:c>
      <x:c r="O3425" s="28" t="n">
        <x:f>MIN(1,L3425/I3425)</x:f>
        <x:v>0.0000024773499999999997</x:v>
      </x:c>
      <x:c r="P3425" s="30" t="n">
        <x:f>O3425*J3425*(1+M3425)</x:f>
        <x:v>0.0000027250849999999998</x:v>
      </x:c>
      <x:c r="Q3425" s="30" t="n">
        <x:f>P3425*N3425</x:f>
        <x:v>0.00019620612</x:v>
      </x:c>
      <x:c r="R3425" s="19" t="str">
        <x:v>六选一；非6个独立爆率</x:v>
      </x:c>
    </x:row>
    <x:row r="3426" ht="19" customHeight="1">
      <x:c r="A3426" s="19" t="str">
        <x:v>D03422</x:v>
      </x:c>
      <x:c r="B3426" s="19" t="n">
        <x:v>7</x:v>
      </x:c>
      <x:c r="C3426" s="19" t="n">
        <x:v>3</x:v>
      </x:c>
      <x:c r="D3426" s="19" t="str">
        <x:v>C07-M029</x:v>
      </x:c>
      <x:c r="E3426" s="19" t="str">
        <x:v>圣所白甲卫</x:v>
      </x:c>
      <x:c r="F3426" s="19" t="str">
        <x:v>普通</x:v>
      </x:c>
      <x:c r="G3426" s="19" t="str">
        <x:v>自身专属</x:v>
      </x:c>
      <x:c r="H3426" s="19" t="str">
        <x:v>白甲战衣</x:v>
      </x:c>
      <x:c r="I3426" s="22" t="n">
        <x:v>4000</x:v>
      </x:c>
      <x:c r="J3426" s="22" t="n">
        <x:v>1</x:v>
      </x:c>
      <x:c r="K3426" s="19" t="n">
        <x:v>1</x:v>
      </x:c>
      <x:c r="L3426" s="24" t="n">
        <x:v>49.547</x:v>
      </x:c>
      <x:c r="M3426" s="26" t="n">
        <x:v>0.1</x:v>
      </x:c>
      <x:c r="N3426" s="24" t="n">
        <x:v>56.847913624626166</x:v>
      </x:c>
      <x:c r="O3426" s="28" t="n">
        <x:f>MIN(1,L3426/I3426)</x:f>
        <x:v>0.012386749999999998</x:v>
      </x:c>
      <x:c r="P3426" s="30" t="n">
        <x:f>O3426*J3426*(1+M3426)</x:f>
        <x:v>0.013625425</x:v>
      </x:c>
      <x:c r="Q3426" s="30" t="n">
        <x:f>P3426*N3426</x:f>
        <x:v>0.774576983498822</x:v>
      </x:c>
      <x:c r="R3426" s="19" t="str">
        <x:v>独立判定</x:v>
      </x:c>
    </x:row>
    <x:row r="3427" ht="19" customHeight="1">
      <x:c r="A3427" s="19" t="str">
        <x:v>D03423</x:v>
      </x:c>
      <x:c r="B3427" s="19" t="n">
        <x:v>7</x:v>
      </x:c>
      <x:c r="C3427" s="19" t="n">
        <x:v>3</x:v>
      </x:c>
      <x:c r="D3427" s="19" t="str">
        <x:v>C07-M029</x:v>
      </x:c>
      <x:c r="E3427" s="19" t="str">
        <x:v>圣所白甲卫</x:v>
      </x:c>
      <x:c r="F3427" s="19" t="str">
        <x:v>普通</x:v>
      </x:c>
      <x:c r="G3427" s="19" t="str">
        <x:v>材料独立候选</x:v>
      </x:c>
      <x:c r="H3427" s="19" t="str">
        <x:v>冻晶尘</x:v>
      </x:c>
      <x:c r="I3427" s="22" t="n">
        <x:v>1200</x:v>
      </x:c>
      <x:c r="J3427" s="22" t="n">
        <x:v>8</x:v>
      </x:c>
      <x:c r="K3427" s="19" t="n">
        <x:v>1</x:v>
      </x:c>
      <x:c r="L3427" s="24" t="n">
        <x:v>49.547</x:v>
      </x:c>
      <x:c r="M3427" s="26" t="n">
        <x:v>0.1</x:v>
      </x:c>
      <x:c r="N3427" s="24" t="n">
        <x:v>56.847913624626166</x:v>
      </x:c>
      <x:c r="O3427" s="28" t="n">
        <x:f>MIN(1,L3427/I3427)</x:f>
        <x:v>0.04128916666666666</x:v>
      </x:c>
      <x:c r="P3427" s="30" t="n">
        <x:f>O3427*J3427*(1+M3427)</x:f>
        <x:v>0.36334466666666665</x:v>
      </x:c>
      <x:c r="Q3427" s="30" t="n">
        <x:f>P3427*N3427</x:f>
        <x:v>20.65538622663525</x:v>
      </x:c>
      <x:c r="R3427" s="19" t="str">
        <x:v>独立判定</x:v>
      </x:c>
    </x:row>
    <x:row r="3428" ht="19" customHeight="1">
      <x:c r="A3428" s="19" t="str">
        <x:v>D03424</x:v>
      </x:c>
      <x:c r="B3428" s="19" t="n">
        <x:v>7</x:v>
      </x:c>
      <x:c r="C3428" s="19" t="n">
        <x:v>3</x:v>
      </x:c>
      <x:c r="D3428" s="19" t="str">
        <x:v>C07-M029</x:v>
      </x:c>
      <x:c r="E3428" s="19" t="str">
        <x:v>圣所白甲卫</x:v>
      </x:c>
      <x:c r="F3428" s="19" t="str">
        <x:v>普通</x:v>
      </x:c>
      <x:c r="G3428" s="19" t="str">
        <x:v>材料独立候选</x:v>
      </x:c>
      <x:c r="H3428" s="19" t="str">
        <x:v>白金路标片</x:v>
      </x:c>
      <x:c r="I3428" s="22" t="n">
        <x:v>1800</x:v>
      </x:c>
      <x:c r="J3428" s="22" t="n">
        <x:v>1</x:v>
      </x:c>
      <x:c r="K3428" s="19" t="n">
        <x:v>1</x:v>
      </x:c>
      <x:c r="L3428" s="24" t="n">
        <x:v>49.547</x:v>
      </x:c>
      <x:c r="M3428" s="26" t="n">
        <x:v>0.1</x:v>
      </x:c>
      <x:c r="N3428" s="24" t="n">
        <x:v>56.847913624626166</x:v>
      </x:c>
      <x:c r="O3428" s="28" t="n">
        <x:f>MIN(1,L3428/I3428)</x:f>
        <x:v>0.02752611111111111</x:v>
      </x:c>
      <x:c r="P3428" s="30" t="n">
        <x:f>O3428*J3428*(1+M3428)</x:f>
        <x:v>0.03027872222222222</x:v>
      </x:c>
      <x:c r="Q3428" s="30" t="n">
        <x:f>P3428*N3428</x:f>
        <x:v>1.7212821855529377</x:v>
      </x:c>
      <x:c r="R3428" s="19" t="str">
        <x:v>独立判定</x:v>
      </x:c>
    </x:row>
    <x:row r="3429" ht="19" customHeight="1">
      <x:c r="A3429" s="19" t="str">
        <x:v>D03425</x:v>
      </x:c>
      <x:c r="B3429" s="19" t="n">
        <x:v>7</x:v>
      </x:c>
      <x:c r="C3429" s="19" t="n">
        <x:v>3</x:v>
      </x:c>
      <x:c r="D3429" s="19" t="str">
        <x:v>C07-M029</x:v>
      </x:c>
      <x:c r="E3429" s="19" t="str">
        <x:v>圣所白甲卫</x:v>
      </x:c>
      <x:c r="F3429" s="19" t="str">
        <x:v>普通</x:v>
      </x:c>
      <x:c r="G3429" s="19" t="str">
        <x:v>材料独立候选</x:v>
      </x:c>
      <x:c r="H3429" s="19" t="str">
        <x:v>永霜朝圣痕</x:v>
      </x:c>
      <x:c r="I3429" s="22" t="n">
        <x:v>2500000</x:v>
      </x:c>
      <x:c r="J3429" s="22" t="n">
        <x:v>1</x:v>
      </x:c>
      <x:c r="K3429" s="19" t="n">
        <x:v>1</x:v>
      </x:c>
      <x:c r="L3429" s="24" t="n">
        <x:v>49.547</x:v>
      </x:c>
      <x:c r="M3429" s="26" t="n">
        <x:v>0.1</x:v>
      </x:c>
      <x:c r="N3429" s="24" t="n">
        <x:v>56.847913624626166</x:v>
      </x:c>
      <x:c r="O3429" s="28" t="n">
        <x:f>MIN(1,L3429/I3429)</x:f>
        <x:v>0.000019818799999999997</x:v>
      </x:c>
      <x:c r="P3429" s="30" t="n">
        <x:f>O3429*J3429*(1+M3429)</x:f>
        <x:v>0.000021800679999999998</x:v>
      </x:c>
      <x:c r="Q3429" s="30" t="n">
        <x:f>P3429*N3429</x:f>
        <x:v>0.0012393231735981151</x:v>
      </x:c>
      <x:c r="R3429" s="19" t="str">
        <x:v>独立判定</x:v>
      </x:c>
    </x:row>
    <x:row r="3430" ht="19" customHeight="1">
      <x:c r="A3430" s="19" t="str">
        <x:v>D03426</x:v>
      </x:c>
      <x:c r="B3430" s="19" t="n">
        <x:v>7</x:v>
      </x:c>
      <x:c r="C3430" s="19" t="n">
        <x:v>3</x:v>
      </x:c>
      <x:c r="D3430" s="19" t="str">
        <x:v>C07-M029</x:v>
      </x:c>
      <x:c r="E3430" s="19" t="str">
        <x:v>圣所白甲卫</x:v>
      </x:c>
      <x:c r="F3430" s="19" t="str">
        <x:v>普通</x:v>
      </x:c>
      <x:c r="G3430" s="19" t="str">
        <x:v>材料独立候选</x:v>
      </x:c>
      <x:c r="H3430" s="19" t="str">
        <x:v>野兽骨片</x:v>
      </x:c>
      <x:c r="I3430" s="22" t="n">
        <x:v>250</x:v>
      </x:c>
      <x:c r="J3430" s="22" t="n">
        <x:v>5</x:v>
      </x:c>
      <x:c r="K3430" s="19" t="n">
        <x:v>1</x:v>
      </x:c>
      <x:c r="L3430" s="24" t="n">
        <x:v>49.547</x:v>
      </x:c>
      <x:c r="M3430" s="26" t="n">
        <x:v>0.1</x:v>
      </x:c>
      <x:c r="N3430" s="24" t="n">
        <x:v>56.847913624626166</x:v>
      </x:c>
      <x:c r="O3430" s="28" t="n">
        <x:f>MIN(1,L3430/I3430)</x:f>
        <x:v>0.19818799999999998</x:v>
      </x:c>
      <x:c r="P3430" s="30" t="n">
        <x:f>O3430*J3430*(1+M3430)</x:f>
        <x:v>1.090034</x:v>
      </x:c>
      <x:c r="Q3430" s="30" t="n">
        <x:f>P3430*N3430</x:f>
        <x:v>61.96615867990575</x:v>
      </x:c>
      <x:c r="R3430" s="19" t="str">
        <x:v>独立判定</x:v>
      </x:c>
    </x:row>
    <x:row r="3431" ht="19" customHeight="1">
      <x:c r="A3431" s="19" t="str">
        <x:v>D03427</x:v>
      </x:c>
      <x:c r="B3431" s="19" t="n">
        <x:v>7</x:v>
      </x:c>
      <x:c r="C3431" s="19" t="n">
        <x:v>3</x:v>
      </x:c>
      <x:c r="D3431" s="19" t="str">
        <x:v>C07-M029</x:v>
      </x:c>
      <x:c r="E3431" s="19" t="str">
        <x:v>圣所白甲卫</x:v>
      </x:c>
      <x:c r="F3431" s="19" t="str">
        <x:v>普通</x:v>
      </x:c>
      <x:c r="G3431" s="19" t="str">
        <x:v>材料独立候选</x:v>
      </x:c>
      <x:c r="H3431" s="19" t="str">
        <x:v>技能残页</x:v>
      </x:c>
      <x:c r="I3431" s="22" t="n">
        <x:v>1500</x:v>
      </x:c>
      <x:c r="J3431" s="22" t="n">
        <x:v>1</x:v>
      </x:c>
      <x:c r="K3431" s="19" t="n">
        <x:v>1</x:v>
      </x:c>
      <x:c r="L3431" s="24" t="n">
        <x:v>49.547</x:v>
      </x:c>
      <x:c r="M3431" s="26" t="n">
        <x:v>0.1</x:v>
      </x:c>
      <x:c r="N3431" s="24" t="n">
        <x:v>56.847913624626166</x:v>
      </x:c>
      <x:c r="O3431" s="28" t="n">
        <x:f>MIN(1,L3431/I3431)</x:f>
        <x:v>0.03303133333333333</x:v>
      </x:c>
      <x:c r="P3431" s="30" t="n">
        <x:f>O3431*J3431*(1+M3431)</x:f>
        <x:v>0.03633446666666666</x:v>
      </x:c>
      <x:c r="Q3431" s="30" t="n">
        <x:f>P3431*N3431</x:f>
        <x:v>2.065538622663525</x:v>
      </x:c>
      <x:c r="R3431" s="19" t="str">
        <x:v>独立判定</x:v>
      </x:c>
    </x:row>
    <x:row r="3432" ht="19" customHeight="1">
      <x:c r="A3432" s="19" t="str">
        <x:v>D03428</x:v>
      </x:c>
      <x:c r="B3432" s="19" t="n">
        <x:v>7</x:v>
      </x:c>
      <x:c r="C3432" s="19" t="n">
        <x:v>3</x:v>
      </x:c>
      <x:c r="D3432" s="19" t="str">
        <x:v>C07-M029</x:v>
      </x:c>
      <x:c r="E3432" s="19" t="str">
        <x:v>圣所白甲卫</x:v>
      </x:c>
      <x:c r="F3432" s="19" t="str">
        <x:v>普通</x:v>
      </x:c>
      <x:c r="G3432" s="19" t="str">
        <x:v>材料独立候选</x:v>
      </x:c>
      <x:c r="H3432" s="19" t="str">
        <x:v>小卢恩</x:v>
      </x:c>
      <x:c r="I3432" s="22" t="n">
        <x:v>15000</x:v>
      </x:c>
      <x:c r="J3432" s="22" t="n">
        <x:v>1</x:v>
      </x:c>
      <x:c r="K3432" s="19" t="n">
        <x:v>1</x:v>
      </x:c>
      <x:c r="L3432" s="24" t="n">
        <x:v>49.547</x:v>
      </x:c>
      <x:c r="M3432" s="26" t="n">
        <x:v>0.1</x:v>
      </x:c>
      <x:c r="N3432" s="24" t="n">
        <x:v>56.847913624626166</x:v>
      </x:c>
      <x:c r="O3432" s="28" t="n">
        <x:f>MIN(1,L3432/I3432)</x:f>
        <x:v>0.003303133333333333</x:v>
      </x:c>
      <x:c r="P3432" s="30" t="n">
        <x:f>O3432*J3432*(1+M3432)</x:f>
        <x:v>0.0036334466666666666</x:v>
      </x:c>
      <x:c r="Q3432" s="30" t="n">
        <x:f>P3432*N3432</x:f>
        <x:v>0.20655386226635253</x:v>
      </x:c>
      <x:c r="R3432" s="19" t="str">
        <x:v>独立判定</x:v>
      </x:c>
    </x:row>
    <x:row r="3433" ht="19" customHeight="1">
      <x:c r="A3433" s="19" t="str">
        <x:v>D03429</x:v>
      </x:c>
      <x:c r="B3433" s="19" t="n">
        <x:v>7</x:v>
      </x:c>
      <x:c r="C3433" s="19" t="n">
        <x:v>3</x:v>
      </x:c>
      <x:c r="D3433" s="19" t="str">
        <x:v>C07-M029</x:v>
      </x:c>
      <x:c r="E3433" s="19" t="str">
        <x:v>圣所白甲卫</x:v>
      </x:c>
      <x:c r="F3433" s="19" t="str">
        <x:v>普通</x:v>
      </x:c>
      <x:c r="G3433" s="19" t="str">
        <x:v>六神器公共池</x:v>
      </x:c>
      <x:c r="H3433" s="19" t="str">
        <x:v>POOL006</x:v>
      </x:c>
      <x:c r="I3433" s="22" t="n">
        <x:v>20000000</x:v>
      </x:c>
      <x:c r="J3433" s="22" t="n">
        <x:v>1</x:v>
      </x:c>
      <x:c r="K3433" s="19" t="n">
        <x:v>6</x:v>
      </x:c>
      <x:c r="L3433" s="24" t="n">
        <x:v>49.547</x:v>
      </x:c>
      <x:c r="M3433" s="26" t="n">
        <x:v>0.1</x:v>
      </x:c>
      <x:c r="N3433" s="24" t="n">
        <x:v>56.847913624626166</x:v>
      </x:c>
      <x:c r="O3433" s="28" t="n">
        <x:f>MIN(1,L3433/I3433)</x:f>
        <x:v>0.0000024773499999999997</x:v>
      </x:c>
      <x:c r="P3433" s="30" t="n">
        <x:f>O3433*J3433*(1+M3433)</x:f>
        <x:v>0.0000027250849999999998</x:v>
      </x:c>
      <x:c r="Q3433" s="30" t="n">
        <x:f>P3433*N3433</x:f>
        <x:v>0.0001549153966997644</x:v>
      </x:c>
      <x:c r="R3433" s="19" t="str">
        <x:v>六选一；非6个独立爆率</x:v>
      </x:c>
    </x:row>
    <x:row r="3434" ht="19" customHeight="1">
      <x:c r="A3434" s="19" t="str">
        <x:v>D03430</x:v>
      </x:c>
      <x:c r="B3434" s="19" t="n">
        <x:v>7</x:v>
      </x:c>
      <x:c r="C3434" s="19" t="n">
        <x:v>3</x:v>
      </x:c>
      <x:c r="D3434" s="19" t="str">
        <x:v>C07-M030</x:v>
      </x:c>
      <x:c r="E3434" s="19" t="str">
        <x:v>极寒巡界狼</x:v>
      </x:c>
      <x:c r="F3434" s="19" t="str">
        <x:v>普通</x:v>
      </x:c>
      <x:c r="G3434" s="19" t="str">
        <x:v>自身专属</x:v>
      </x:c>
      <x:c r="H3434" s="19" t="str">
        <x:v>巡界牙戒</x:v>
      </x:c>
      <x:c r="I3434" s="22" t="n">
        <x:v>4000</x:v>
      </x:c>
      <x:c r="J3434" s="22" t="n">
        <x:v>1</x:v>
      </x:c>
      <x:c r="K3434" s="19" t="n">
        <x:v>1</x:v>
      </x:c>
      <x:c r="L3434" s="24" t="n">
        <x:v>49.547</x:v>
      </x:c>
      <x:c r="M3434" s="26" t="n">
        <x:v>0.1</x:v>
      </x:c>
      <x:c r="N3434" s="24" t="n">
        <x:v>72</x:v>
      </x:c>
      <x:c r="O3434" s="28" t="n">
        <x:f>MIN(1,L3434/I3434)</x:f>
        <x:v>0.012386749999999998</x:v>
      </x:c>
      <x:c r="P3434" s="30" t="n">
        <x:f>O3434*J3434*(1+M3434)</x:f>
        <x:v>0.013625425</x:v>
      </x:c>
      <x:c r="Q3434" s="30" t="n">
        <x:f>P3434*N3434</x:f>
        <x:v>0.9810306</x:v>
      </x:c>
      <x:c r="R3434" s="19" t="str">
        <x:v>独立判定</x:v>
      </x:c>
    </x:row>
    <x:row r="3435" ht="19" customHeight="1">
      <x:c r="A3435" s="19" t="str">
        <x:v>D03431</x:v>
      </x:c>
      <x:c r="B3435" s="19" t="n">
        <x:v>7</x:v>
      </x:c>
      <x:c r="C3435" s="19" t="n">
        <x:v>3</x:v>
      </x:c>
      <x:c r="D3435" s="19" t="str">
        <x:v>C07-M030</x:v>
      </x:c>
      <x:c r="E3435" s="19" t="str">
        <x:v>极寒巡界狼</x:v>
      </x:c>
      <x:c r="F3435" s="19" t="str">
        <x:v>普通</x:v>
      </x:c>
      <x:c r="G3435" s="19" t="str">
        <x:v>材料独立候选</x:v>
      </x:c>
      <x:c r="H3435" s="19" t="str">
        <x:v>冻晶尘</x:v>
      </x:c>
      <x:c r="I3435" s="22" t="n">
        <x:v>1200</x:v>
      </x:c>
      <x:c r="J3435" s="22" t="n">
        <x:v>8</x:v>
      </x:c>
      <x:c r="K3435" s="19" t="n">
        <x:v>1</x:v>
      </x:c>
      <x:c r="L3435" s="24" t="n">
        <x:v>49.547</x:v>
      </x:c>
      <x:c r="M3435" s="26" t="n">
        <x:v>0.1</x:v>
      </x:c>
      <x:c r="N3435" s="24" t="n">
        <x:v>72</x:v>
      </x:c>
      <x:c r="O3435" s="28" t="n">
        <x:f>MIN(1,L3435/I3435)</x:f>
        <x:v>0.04128916666666666</x:v>
      </x:c>
      <x:c r="P3435" s="30" t="n">
        <x:f>O3435*J3435*(1+M3435)</x:f>
        <x:v>0.36334466666666665</x:v>
      </x:c>
      <x:c r="Q3435" s="30" t="n">
        <x:f>P3435*N3435</x:f>
        <x:v>26.160815999999997</x:v>
      </x:c>
      <x:c r="R3435" s="19" t="str">
        <x:v>独立判定</x:v>
      </x:c>
    </x:row>
    <x:row r="3436" ht="19" customHeight="1">
      <x:c r="A3436" s="19" t="str">
        <x:v>D03432</x:v>
      </x:c>
      <x:c r="B3436" s="19" t="n">
        <x:v>7</x:v>
      </x:c>
      <x:c r="C3436" s="19" t="n">
        <x:v>3</x:v>
      </x:c>
      <x:c r="D3436" s="19" t="str">
        <x:v>C07-M030</x:v>
      </x:c>
      <x:c r="E3436" s="19" t="str">
        <x:v>极寒巡界狼</x:v>
      </x:c>
      <x:c r="F3436" s="19" t="str">
        <x:v>普通</x:v>
      </x:c>
      <x:c r="G3436" s="19" t="str">
        <x:v>材料独立候选</x:v>
      </x:c>
      <x:c r="H3436" s="19" t="str">
        <x:v>白金路标片</x:v>
      </x:c>
      <x:c r="I3436" s="22" t="n">
        <x:v>1800</x:v>
      </x:c>
      <x:c r="J3436" s="22" t="n">
        <x:v>1</x:v>
      </x:c>
      <x:c r="K3436" s="19" t="n">
        <x:v>1</x:v>
      </x:c>
      <x:c r="L3436" s="24" t="n">
        <x:v>49.547</x:v>
      </x:c>
      <x:c r="M3436" s="26" t="n">
        <x:v>0.1</x:v>
      </x:c>
      <x:c r="N3436" s="24" t="n">
        <x:v>72</x:v>
      </x:c>
      <x:c r="O3436" s="28" t="n">
        <x:f>MIN(1,L3436/I3436)</x:f>
        <x:v>0.02752611111111111</x:v>
      </x:c>
      <x:c r="P3436" s="30" t="n">
        <x:f>O3436*J3436*(1+M3436)</x:f>
        <x:v>0.03027872222222222</x:v>
      </x:c>
      <x:c r="Q3436" s="30" t="n">
        <x:f>P3436*N3436</x:f>
        <x:v>2.180068</x:v>
      </x:c>
      <x:c r="R3436" s="19" t="str">
        <x:v>独立判定</x:v>
      </x:c>
    </x:row>
    <x:row r="3437" ht="19" customHeight="1">
      <x:c r="A3437" s="19" t="str">
        <x:v>D03433</x:v>
      </x:c>
      <x:c r="B3437" s="19" t="n">
        <x:v>7</x:v>
      </x:c>
      <x:c r="C3437" s="19" t="n">
        <x:v>3</x:v>
      </x:c>
      <x:c r="D3437" s="19" t="str">
        <x:v>C07-M030</x:v>
      </x:c>
      <x:c r="E3437" s="19" t="str">
        <x:v>极寒巡界狼</x:v>
      </x:c>
      <x:c r="F3437" s="19" t="str">
        <x:v>普通</x:v>
      </x:c>
      <x:c r="G3437" s="19" t="str">
        <x:v>材料独立候选</x:v>
      </x:c>
      <x:c r="H3437" s="19" t="str">
        <x:v>永霜朝圣痕</x:v>
      </x:c>
      <x:c r="I3437" s="22" t="n">
        <x:v>2500000</x:v>
      </x:c>
      <x:c r="J3437" s="22" t="n">
        <x:v>1</x:v>
      </x:c>
      <x:c r="K3437" s="19" t="n">
        <x:v>1</x:v>
      </x:c>
      <x:c r="L3437" s="24" t="n">
        <x:v>49.547</x:v>
      </x:c>
      <x:c r="M3437" s="26" t="n">
        <x:v>0.1</x:v>
      </x:c>
      <x:c r="N3437" s="24" t="n">
        <x:v>72</x:v>
      </x:c>
      <x:c r="O3437" s="28" t="n">
        <x:f>MIN(1,L3437/I3437)</x:f>
        <x:v>0.000019818799999999997</x:v>
      </x:c>
      <x:c r="P3437" s="30" t="n">
        <x:f>O3437*J3437*(1+M3437)</x:f>
        <x:v>0.000021800679999999998</x:v>
      </x:c>
      <x:c r="Q3437" s="30" t="n">
        <x:f>P3437*N3437</x:f>
        <x:v>0.00156964896</x:v>
      </x:c>
      <x:c r="R3437" s="19" t="str">
        <x:v>独立判定</x:v>
      </x:c>
    </x:row>
    <x:row r="3438" ht="19" customHeight="1">
      <x:c r="A3438" s="19" t="str">
        <x:v>D03434</x:v>
      </x:c>
      <x:c r="B3438" s="19" t="n">
        <x:v>7</x:v>
      </x:c>
      <x:c r="C3438" s="19" t="n">
        <x:v>3</x:v>
      </x:c>
      <x:c r="D3438" s="19" t="str">
        <x:v>C07-M030</x:v>
      </x:c>
      <x:c r="E3438" s="19" t="str">
        <x:v>极寒巡界狼</x:v>
      </x:c>
      <x:c r="F3438" s="19" t="str">
        <x:v>普通</x:v>
      </x:c>
      <x:c r="G3438" s="19" t="str">
        <x:v>材料独立候选</x:v>
      </x:c>
      <x:c r="H3438" s="19" t="str">
        <x:v>野兽骨片</x:v>
      </x:c>
      <x:c r="I3438" s="22" t="n">
        <x:v>250</x:v>
      </x:c>
      <x:c r="J3438" s="22" t="n">
        <x:v>5</x:v>
      </x:c>
      <x:c r="K3438" s="19" t="n">
        <x:v>1</x:v>
      </x:c>
      <x:c r="L3438" s="24" t="n">
        <x:v>49.547</x:v>
      </x:c>
      <x:c r="M3438" s="26" t="n">
        <x:v>0.1</x:v>
      </x:c>
      <x:c r="N3438" s="24" t="n">
        <x:v>72</x:v>
      </x:c>
      <x:c r="O3438" s="28" t="n">
        <x:f>MIN(1,L3438/I3438)</x:f>
        <x:v>0.19818799999999998</x:v>
      </x:c>
      <x:c r="P3438" s="30" t="n">
        <x:f>O3438*J3438*(1+M3438)</x:f>
        <x:v>1.090034</x:v>
      </x:c>
      <x:c r="Q3438" s="30" t="n">
        <x:f>P3438*N3438</x:f>
        <x:v>78.48244799999999</x:v>
      </x:c>
      <x:c r="R3438" s="19" t="str">
        <x:v>独立判定</x:v>
      </x:c>
    </x:row>
    <x:row r="3439" ht="19" customHeight="1">
      <x:c r="A3439" s="19" t="str">
        <x:v>D03435</x:v>
      </x:c>
      <x:c r="B3439" s="19" t="n">
        <x:v>7</x:v>
      </x:c>
      <x:c r="C3439" s="19" t="n">
        <x:v>3</x:v>
      </x:c>
      <x:c r="D3439" s="19" t="str">
        <x:v>C07-M030</x:v>
      </x:c>
      <x:c r="E3439" s="19" t="str">
        <x:v>极寒巡界狼</x:v>
      </x:c>
      <x:c r="F3439" s="19" t="str">
        <x:v>普通</x:v>
      </x:c>
      <x:c r="G3439" s="19" t="str">
        <x:v>材料独立候选</x:v>
      </x:c>
      <x:c r="H3439" s="19" t="str">
        <x:v>技能残页</x:v>
      </x:c>
      <x:c r="I3439" s="22" t="n">
        <x:v>1500</x:v>
      </x:c>
      <x:c r="J3439" s="22" t="n">
        <x:v>1</x:v>
      </x:c>
      <x:c r="K3439" s="19" t="n">
        <x:v>1</x:v>
      </x:c>
      <x:c r="L3439" s="24" t="n">
        <x:v>49.547</x:v>
      </x:c>
      <x:c r="M3439" s="26" t="n">
        <x:v>0.1</x:v>
      </x:c>
      <x:c r="N3439" s="24" t="n">
        <x:v>72</x:v>
      </x:c>
      <x:c r="O3439" s="28" t="n">
        <x:f>MIN(1,L3439/I3439)</x:f>
        <x:v>0.03303133333333333</x:v>
      </x:c>
      <x:c r="P3439" s="30" t="n">
        <x:f>O3439*J3439*(1+M3439)</x:f>
        <x:v>0.03633446666666666</x:v>
      </x:c>
      <x:c r="Q3439" s="30" t="n">
        <x:f>P3439*N3439</x:f>
        <x:v>2.6160816</x:v>
      </x:c>
      <x:c r="R3439" s="19" t="str">
        <x:v>独立判定</x:v>
      </x:c>
    </x:row>
    <x:row r="3440" ht="19" customHeight="1">
      <x:c r="A3440" s="19" t="str">
        <x:v>D03436</x:v>
      </x:c>
      <x:c r="B3440" s="19" t="n">
        <x:v>7</x:v>
      </x:c>
      <x:c r="C3440" s="19" t="n">
        <x:v>3</x:v>
      </x:c>
      <x:c r="D3440" s="19" t="str">
        <x:v>C07-M030</x:v>
      </x:c>
      <x:c r="E3440" s="19" t="str">
        <x:v>极寒巡界狼</x:v>
      </x:c>
      <x:c r="F3440" s="19" t="str">
        <x:v>普通</x:v>
      </x:c>
      <x:c r="G3440" s="19" t="str">
        <x:v>材料独立候选</x:v>
      </x:c>
      <x:c r="H3440" s="19" t="str">
        <x:v>小卢恩</x:v>
      </x:c>
      <x:c r="I3440" s="22" t="n">
        <x:v>15000</x:v>
      </x:c>
      <x:c r="J3440" s="22" t="n">
        <x:v>1</x:v>
      </x:c>
      <x:c r="K3440" s="19" t="n">
        <x:v>1</x:v>
      </x:c>
      <x:c r="L3440" s="24" t="n">
        <x:v>49.547</x:v>
      </x:c>
      <x:c r="M3440" s="26" t="n">
        <x:v>0.1</x:v>
      </x:c>
      <x:c r="N3440" s="24" t="n">
        <x:v>72</x:v>
      </x:c>
      <x:c r="O3440" s="28" t="n">
        <x:f>MIN(1,L3440/I3440)</x:f>
        <x:v>0.003303133333333333</x:v>
      </x:c>
      <x:c r="P3440" s="30" t="n">
        <x:f>O3440*J3440*(1+M3440)</x:f>
        <x:v>0.0036334466666666666</x:v>
      </x:c>
      <x:c r="Q3440" s="30" t="n">
        <x:f>P3440*N3440</x:f>
        <x:v>0.26160816</x:v>
      </x:c>
      <x:c r="R3440" s="19" t="str">
        <x:v>独立判定</x:v>
      </x:c>
    </x:row>
    <x:row r="3441" ht="19" customHeight="1">
      <x:c r="A3441" s="19" t="str">
        <x:v>D03437</x:v>
      </x:c>
      <x:c r="B3441" s="19" t="n">
        <x:v>7</x:v>
      </x:c>
      <x:c r="C3441" s="19" t="n">
        <x:v>3</x:v>
      </x:c>
      <x:c r="D3441" s="19" t="str">
        <x:v>C07-M030</x:v>
      </x:c>
      <x:c r="E3441" s="19" t="str">
        <x:v>极寒巡界狼</x:v>
      </x:c>
      <x:c r="F3441" s="19" t="str">
        <x:v>普通</x:v>
      </x:c>
      <x:c r="G3441" s="19" t="str">
        <x:v>六神器公共池</x:v>
      </x:c>
      <x:c r="H3441" s="19" t="str">
        <x:v>POOL006</x:v>
      </x:c>
      <x:c r="I3441" s="22" t="n">
        <x:v>20000000</x:v>
      </x:c>
      <x:c r="J3441" s="22" t="n">
        <x:v>1</x:v>
      </x:c>
      <x:c r="K3441" s="19" t="n">
        <x:v>6</x:v>
      </x:c>
      <x:c r="L3441" s="24" t="n">
        <x:v>49.547</x:v>
      </x:c>
      <x:c r="M3441" s="26" t="n">
        <x:v>0.1</x:v>
      </x:c>
      <x:c r="N3441" s="24" t="n">
        <x:v>72</x:v>
      </x:c>
      <x:c r="O3441" s="28" t="n">
        <x:f>MIN(1,L3441/I3441)</x:f>
        <x:v>0.0000024773499999999997</x:v>
      </x:c>
      <x:c r="P3441" s="30" t="n">
        <x:f>O3441*J3441*(1+M3441)</x:f>
        <x:v>0.0000027250849999999998</x:v>
      </x:c>
      <x:c r="Q3441" s="30" t="n">
        <x:f>P3441*N3441</x:f>
        <x:v>0.00019620612</x:v>
      </x:c>
      <x:c r="R3441" s="19" t="str">
        <x:v>六选一；非6个独立爆率</x:v>
      </x:c>
    </x:row>
    <x:row r="3442" ht="19" customHeight="1">
      <x:c r="A3442" s="19" t="str">
        <x:v>D03438</x:v>
      </x:c>
      <x:c r="B3442" s="19" t="n">
        <x:v>7</x:v>
      </x:c>
      <x:c r="C3442" s="19" t="n">
        <x:v>3</x:v>
      </x:c>
      <x:c r="D3442" s="19" t="str">
        <x:v>C07-M031</x:v>
      </x:c>
      <x:c r="E3442" s="19" t="str">
        <x:v>冻雾幻刃客</x:v>
      </x:c>
      <x:c r="F3442" s="19" t="str">
        <x:v>稀有</x:v>
      </x:c>
      <x:c r="G3442" s="19" t="str">
        <x:v>自身专属</x:v>
      </x:c>
      <x:c r="H3442" s="19" t="str">
        <x:v>幻刃腰封</x:v>
      </x:c>
      <x:c r="I3442" s="22" t="n">
        <x:v>1200</x:v>
      </x:c>
      <x:c r="J3442" s="22" t="n">
        <x:v>1</x:v>
      </x:c>
      <x:c r="K3442" s="19" t="n">
        <x:v>1</x:v>
      </x:c>
      <x:c r="L3442" s="24" t="n">
        <x:v>49.547</x:v>
      </x:c>
      <x:c r="M3442" s="26" t="n">
        <x:v>0.1</x:v>
      </x:c>
      <x:c r="N3442" s="24" t="n">
        <x:v>12</x:v>
      </x:c>
      <x:c r="O3442" s="28" t="n">
        <x:f>MIN(1,L3442/I3442)</x:f>
        <x:v>0.04128916666666666</x:v>
      </x:c>
      <x:c r="P3442" s="30" t="n">
        <x:f>O3442*J3442*(1+M3442)</x:f>
        <x:v>0.04541808333333333</x:v>
      </x:c>
      <x:c r="Q3442" s="30" t="n">
        <x:f>P3442*N3442</x:f>
        <x:v>0.545017</x:v>
      </x:c>
      <x:c r="R3442" s="19" t="str">
        <x:v>独立判定</x:v>
      </x:c>
    </x:row>
    <x:row r="3443" ht="19" customHeight="1">
      <x:c r="A3443" s="19" t="str">
        <x:v>D03439</x:v>
      </x:c>
      <x:c r="B3443" s="19" t="n">
        <x:v>7</x:v>
      </x:c>
      <x:c r="C3443" s="19" t="n">
        <x:v>3</x:v>
      </x:c>
      <x:c r="D3443" s="19" t="str">
        <x:v>C07-M031</x:v>
      </x:c>
      <x:c r="E3443" s="19" t="str">
        <x:v>冻雾幻刃客</x:v>
      </x:c>
      <x:c r="F3443" s="19" t="str">
        <x:v>稀有</x:v>
      </x:c>
      <x:c r="G3443" s="19" t="str">
        <x:v>材料独立候选</x:v>
      </x:c>
      <x:c r="H3443" s="19" t="str">
        <x:v>冻晶尘</x:v>
      </x:c>
      <x:c r="I3443" s="22" t="n">
        <x:v>800</x:v>
      </x:c>
      <x:c r="J3443" s="22" t="n">
        <x:v>15</x:v>
      </x:c>
      <x:c r="K3443" s="19" t="n">
        <x:v>1</x:v>
      </x:c>
      <x:c r="L3443" s="24" t="n">
        <x:v>49.547</x:v>
      </x:c>
      <x:c r="M3443" s="26" t="n">
        <x:v>0.1</x:v>
      </x:c>
      <x:c r="N3443" s="24" t="n">
        <x:v>12</x:v>
      </x:c>
      <x:c r="O3443" s="28" t="n">
        <x:f>MIN(1,L3443/I3443)</x:f>
        <x:v>0.061933749999999996</x:v>
      </x:c>
      <x:c r="P3443" s="30" t="n">
        <x:f>O3443*J3443*(1+M3443)</x:f>
        <x:v>1.021906875</x:v>
      </x:c>
      <x:c r="Q3443" s="30" t="n">
        <x:f>P3443*N3443</x:f>
        <x:v>12.2628825</x:v>
      </x:c>
      <x:c r="R3443" s="19" t="str">
        <x:v>独立判定</x:v>
      </x:c>
    </x:row>
    <x:row r="3444" ht="19" customHeight="1">
      <x:c r="A3444" s="19" t="str">
        <x:v>D03440</x:v>
      </x:c>
      <x:c r="B3444" s="19" t="n">
        <x:v>7</x:v>
      </x:c>
      <x:c r="C3444" s="19" t="n">
        <x:v>3</x:v>
      </x:c>
      <x:c r="D3444" s="19" t="str">
        <x:v>C07-M031</x:v>
      </x:c>
      <x:c r="E3444" s="19" t="str">
        <x:v>冻雾幻刃客</x:v>
      </x:c>
      <x:c r="F3444" s="19" t="str">
        <x:v>稀有</x:v>
      </x:c>
      <x:c r="G3444" s="19" t="str">
        <x:v>材料独立候选</x:v>
      </x:c>
      <x:c r="H3444" s="19" t="str">
        <x:v>白金纺线</x:v>
      </x:c>
      <x:c r="I3444" s="22" t="n">
        <x:v>1000</x:v>
      </x:c>
      <x:c r="J3444" s="22" t="n">
        <x:v>1</x:v>
      </x:c>
      <x:c r="K3444" s="19" t="n">
        <x:v>1</x:v>
      </x:c>
      <x:c r="L3444" s="24" t="n">
        <x:v>49.547</x:v>
      </x:c>
      <x:c r="M3444" s="26" t="n">
        <x:v>0.1</x:v>
      </x:c>
      <x:c r="N3444" s="24" t="n">
        <x:v>12</x:v>
      </x:c>
      <x:c r="O3444" s="28" t="n">
        <x:f>MIN(1,L3444/I3444)</x:f>
        <x:v>0.049546999999999994</x:v>
      </x:c>
      <x:c r="P3444" s="30" t="n">
        <x:f>O3444*J3444*(1+M3444)</x:f>
        <x:v>0.0545017</x:v>
      </x:c>
      <x:c r="Q3444" s="30" t="n">
        <x:f>P3444*N3444</x:f>
        <x:v>0.6540204000000001</x:v>
      </x:c>
      <x:c r="R3444" s="19" t="str">
        <x:v>独立判定</x:v>
      </x:c>
    </x:row>
    <x:row r="3445" ht="19" customHeight="1">
      <x:c r="A3445" s="19" t="str">
        <x:v>D03441</x:v>
      </x:c>
      <x:c r="B3445" s="19" t="n">
        <x:v>7</x:v>
      </x:c>
      <x:c r="C3445" s="19" t="n">
        <x:v>3</x:v>
      </x:c>
      <x:c r="D3445" s="19" t="str">
        <x:v>C07-M031</x:v>
      </x:c>
      <x:c r="E3445" s="19" t="str">
        <x:v>冻雾幻刃客</x:v>
      </x:c>
      <x:c r="F3445" s="19" t="str">
        <x:v>稀有</x:v>
      </x:c>
      <x:c r="G3445" s="19" t="str">
        <x:v>材料独立候选</x:v>
      </x:c>
      <x:c r="H3445" s="19" t="str">
        <x:v>冻原银角</x:v>
      </x:c>
      <x:c r="I3445" s="22" t="n">
        <x:v>1800</x:v>
      </x:c>
      <x:c r="J3445" s="22" t="n">
        <x:v>1</x:v>
      </x:c>
      <x:c r="K3445" s="19" t="n">
        <x:v>1</x:v>
      </x:c>
      <x:c r="L3445" s="24" t="n">
        <x:v>49.547</x:v>
      </x:c>
      <x:c r="M3445" s="26" t="n">
        <x:v>0.1</x:v>
      </x:c>
      <x:c r="N3445" s="24" t="n">
        <x:v>12</x:v>
      </x:c>
      <x:c r="O3445" s="28" t="n">
        <x:f>MIN(1,L3445/I3445)</x:f>
        <x:v>0.02752611111111111</x:v>
      </x:c>
      <x:c r="P3445" s="30" t="n">
        <x:f>O3445*J3445*(1+M3445)</x:f>
        <x:v>0.03027872222222222</x:v>
      </x:c>
      <x:c r="Q3445" s="30" t="n">
        <x:f>P3445*N3445</x:f>
        <x:v>0.36334466666666665</x:v>
      </x:c>
      <x:c r="R3445" s="19" t="str">
        <x:v>独立判定</x:v>
      </x:c>
    </x:row>
    <x:row r="3446" ht="19" customHeight="1">
      <x:c r="A3446" s="19" t="str">
        <x:v>D03442</x:v>
      </x:c>
      <x:c r="B3446" s="19" t="n">
        <x:v>7</x:v>
      </x:c>
      <x:c r="C3446" s="19" t="n">
        <x:v>3</x:v>
      </x:c>
      <x:c r="D3446" s="19" t="str">
        <x:v>C07-M031</x:v>
      </x:c>
      <x:c r="E3446" s="19" t="str">
        <x:v>冻雾幻刃客</x:v>
      </x:c>
      <x:c r="F3446" s="19" t="str">
        <x:v>稀有</x:v>
      </x:c>
      <x:c r="G3446" s="19" t="str">
        <x:v>材料独立候选</x:v>
      </x:c>
      <x:c r="H3446" s="19" t="str">
        <x:v>永霜朝圣痕</x:v>
      </x:c>
      <x:c r="I3446" s="22" t="n">
        <x:v>1500000</x:v>
      </x:c>
      <x:c r="J3446" s="22" t="n">
        <x:v>1</x:v>
      </x:c>
      <x:c r="K3446" s="19" t="n">
        <x:v>1</x:v>
      </x:c>
      <x:c r="L3446" s="24" t="n">
        <x:v>49.547</x:v>
      </x:c>
      <x:c r="M3446" s="26" t="n">
        <x:v>0.1</x:v>
      </x:c>
      <x:c r="N3446" s="24" t="n">
        <x:v>12</x:v>
      </x:c>
      <x:c r="O3446" s="28" t="n">
        <x:f>MIN(1,L3446/I3446)</x:f>
        <x:v>0.00003303133333333333</x:v>
      </x:c>
      <x:c r="P3446" s="30" t="n">
        <x:f>O3446*J3446*(1+M3446)</x:f>
        <x:v>0.00003633446666666667</x:v>
      </x:c>
      <x:c r="Q3446" s="30" t="n">
        <x:f>P3446*N3446</x:f>
        <x:v>0.00043601360000000006</x:v>
      </x:c>
      <x:c r="R3446" s="19" t="str">
        <x:v>独立判定</x:v>
      </x:c>
    </x:row>
    <x:row r="3447" ht="19" customHeight="1">
      <x:c r="A3447" s="19" t="str">
        <x:v>D03443</x:v>
      </x:c>
      <x:c r="B3447" s="19" t="n">
        <x:v>7</x:v>
      </x:c>
      <x:c r="C3447" s="19" t="n">
        <x:v>3</x:v>
      </x:c>
      <x:c r="D3447" s="19" t="str">
        <x:v>C07-M031</x:v>
      </x:c>
      <x:c r="E3447" s="19" t="str">
        <x:v>冻雾幻刃客</x:v>
      </x:c>
      <x:c r="F3447" s="19" t="str">
        <x:v>稀有</x:v>
      </x:c>
      <x:c r="G3447" s="19" t="str">
        <x:v>材料独立候选</x:v>
      </x:c>
      <x:c r="H3447" s="19" t="str">
        <x:v>黄金树芽</x:v>
      </x:c>
      <x:c r="I3447" s="22" t="n">
        <x:v>8000</x:v>
      </x:c>
      <x:c r="J3447" s="22" t="n">
        <x:v>1</x:v>
      </x:c>
      <x:c r="K3447" s="19" t="n">
        <x:v>1</x:v>
      </x:c>
      <x:c r="L3447" s="24" t="n">
        <x:v>49.547</x:v>
      </x:c>
      <x:c r="M3447" s="26" t="n">
        <x:v>0.1</x:v>
      </x:c>
      <x:c r="N3447" s="24" t="n">
        <x:v>12</x:v>
      </x:c>
      <x:c r="O3447" s="28" t="n">
        <x:f>MIN(1,L3447/I3447)</x:f>
        <x:v>0.006193374999999999</x:v>
      </x:c>
      <x:c r="P3447" s="30" t="n">
        <x:f>O3447*J3447*(1+M3447)</x:f>
        <x:v>0.0068127125</x:v>
      </x:c>
      <x:c r="Q3447" s="30" t="n">
        <x:f>P3447*N3447</x:f>
        <x:v>0.08175255000000001</x:v>
      </x:c>
      <x:c r="R3447" s="19" t="str">
        <x:v>独立判定</x:v>
      </x:c>
    </x:row>
    <x:row r="3448" ht="19" customHeight="1">
      <x:c r="A3448" s="19" t="str">
        <x:v>D03444</x:v>
      </x:c>
      <x:c r="B3448" s="19" t="n">
        <x:v>7</x:v>
      </x:c>
      <x:c r="C3448" s="19" t="n">
        <x:v>3</x:v>
      </x:c>
      <x:c r="D3448" s="19" t="str">
        <x:v>C07-M031</x:v>
      </x:c>
      <x:c r="E3448" s="19" t="str">
        <x:v>冻雾幻刃客</x:v>
      </x:c>
      <x:c r="F3448" s="19" t="str">
        <x:v>稀有</x:v>
      </x:c>
      <x:c r="G3448" s="19" t="str">
        <x:v>材料独立候选</x:v>
      </x:c>
      <x:c r="H3448" s="19" t="str">
        <x:v>野兽骨片</x:v>
      </x:c>
      <x:c r="I3448" s="22" t="n">
        <x:v>180</x:v>
      </x:c>
      <x:c r="J3448" s="22" t="n">
        <x:v>5</x:v>
      </x:c>
      <x:c r="K3448" s="19" t="n">
        <x:v>1</x:v>
      </x:c>
      <x:c r="L3448" s="24" t="n">
        <x:v>49.547</x:v>
      </x:c>
      <x:c r="M3448" s="26" t="n">
        <x:v>0.1</x:v>
      </x:c>
      <x:c r="N3448" s="24" t="n">
        <x:v>12</x:v>
      </x:c>
      <x:c r="O3448" s="28" t="n">
        <x:f>MIN(1,L3448/I3448)</x:f>
        <x:v>0.27526111111111107</x:v>
      </x:c>
      <x:c r="P3448" s="30" t="n">
        <x:f>O3448*J3448*(1+M3448)</x:f>
        <x:v>1.513936111111111</x:v>
      </x:c>
      <x:c r="Q3448" s="30" t="n">
        <x:f>P3448*N3448</x:f>
        <x:v>18.167233333333332</x:v>
      </x:c>
      <x:c r="R3448" s="19" t="str">
        <x:v>独立判定</x:v>
      </x:c>
    </x:row>
    <x:row r="3449" ht="19" customHeight="1">
      <x:c r="A3449" s="19" t="str">
        <x:v>D03445</x:v>
      </x:c>
      <x:c r="B3449" s="19" t="n">
        <x:v>7</x:v>
      </x:c>
      <x:c r="C3449" s="19" t="n">
        <x:v>3</x:v>
      </x:c>
      <x:c r="D3449" s="19" t="str">
        <x:v>C07-M031</x:v>
      </x:c>
      <x:c r="E3449" s="19" t="str">
        <x:v>冻雾幻刃客</x:v>
      </x:c>
      <x:c r="F3449" s="19" t="str">
        <x:v>稀有</x:v>
      </x:c>
      <x:c r="G3449" s="19" t="str">
        <x:v>材料独立候选</x:v>
      </x:c>
      <x:c r="H3449" s="19" t="str">
        <x:v>技能残页</x:v>
      </x:c>
      <x:c r="I3449" s="22" t="n">
        <x:v>1000</x:v>
      </x:c>
      <x:c r="J3449" s="22" t="n">
        <x:v>1</x:v>
      </x:c>
      <x:c r="K3449" s="19" t="n">
        <x:v>1</x:v>
      </x:c>
      <x:c r="L3449" s="24" t="n">
        <x:v>49.547</x:v>
      </x:c>
      <x:c r="M3449" s="26" t="n">
        <x:v>0.1</x:v>
      </x:c>
      <x:c r="N3449" s="24" t="n">
        <x:v>12</x:v>
      </x:c>
      <x:c r="O3449" s="28" t="n">
        <x:f>MIN(1,L3449/I3449)</x:f>
        <x:v>0.049546999999999994</x:v>
      </x:c>
      <x:c r="P3449" s="30" t="n">
        <x:f>O3449*J3449*(1+M3449)</x:f>
        <x:v>0.0545017</x:v>
      </x:c>
      <x:c r="Q3449" s="30" t="n">
        <x:f>P3449*N3449</x:f>
        <x:v>0.6540204000000001</x:v>
      </x:c>
      <x:c r="R3449" s="19" t="str">
        <x:v>独立判定</x:v>
      </x:c>
    </x:row>
    <x:row r="3450" ht="19" customHeight="1">
      <x:c r="A3450" s="19" t="str">
        <x:v>D03446</x:v>
      </x:c>
      <x:c r="B3450" s="19" t="n">
        <x:v>7</x:v>
      </x:c>
      <x:c r="C3450" s="19" t="n">
        <x:v>3</x:v>
      </x:c>
      <x:c r="D3450" s="19" t="str">
        <x:v>C07-M031</x:v>
      </x:c>
      <x:c r="E3450" s="19" t="str">
        <x:v>冻雾幻刃客</x:v>
      </x:c>
      <x:c r="F3450" s="19" t="str">
        <x:v>稀有</x:v>
      </x:c>
      <x:c r="G3450" s="19" t="str">
        <x:v>材料独立候选</x:v>
      </x:c>
      <x:c r="H3450" s="19" t="str">
        <x:v>小卢恩</x:v>
      </x:c>
      <x:c r="I3450" s="22" t="n">
        <x:v>8000</x:v>
      </x:c>
      <x:c r="J3450" s="22" t="n">
        <x:v>1</x:v>
      </x:c>
      <x:c r="K3450" s="19" t="n">
        <x:v>1</x:v>
      </x:c>
      <x:c r="L3450" s="24" t="n">
        <x:v>49.547</x:v>
      </x:c>
      <x:c r="M3450" s="26" t="n">
        <x:v>0.1</x:v>
      </x:c>
      <x:c r="N3450" s="24" t="n">
        <x:v>12</x:v>
      </x:c>
      <x:c r="O3450" s="28" t="n">
        <x:f>MIN(1,L3450/I3450)</x:f>
        <x:v>0.006193374999999999</x:v>
      </x:c>
      <x:c r="P3450" s="30" t="n">
        <x:f>O3450*J3450*(1+M3450)</x:f>
        <x:v>0.0068127125</x:v>
      </x:c>
      <x:c r="Q3450" s="30" t="n">
        <x:f>P3450*N3450</x:f>
        <x:v>0.08175255000000001</x:v>
      </x:c>
      <x:c r="R3450" s="19" t="str">
        <x:v>独立判定</x:v>
      </x:c>
    </x:row>
    <x:row r="3451" ht="19" customHeight="1">
      <x:c r="A3451" s="19" t="str">
        <x:v>D03447</x:v>
      </x:c>
      <x:c r="B3451" s="19" t="n">
        <x:v>7</x:v>
      </x:c>
      <x:c r="C3451" s="19" t="n">
        <x:v>3</x:v>
      </x:c>
      <x:c r="D3451" s="19" t="str">
        <x:v>C07-M031</x:v>
      </x:c>
      <x:c r="E3451" s="19" t="str">
        <x:v>冻雾幻刃客</x:v>
      </x:c>
      <x:c r="F3451" s="19" t="str">
        <x:v>稀有</x:v>
      </x:c>
      <x:c r="G3451" s="19" t="str">
        <x:v>六神器公共池</x:v>
      </x:c>
      <x:c r="H3451" s="19" t="str">
        <x:v>POOL006</x:v>
      </x:c>
      <x:c r="I3451" s="22" t="n">
        <x:v>5000000</x:v>
      </x:c>
      <x:c r="J3451" s="22" t="n">
        <x:v>1</x:v>
      </x:c>
      <x:c r="K3451" s="19" t="n">
        <x:v>6</x:v>
      </x:c>
      <x:c r="L3451" s="24" t="n">
        <x:v>49.547</x:v>
      </x:c>
      <x:c r="M3451" s="26" t="n">
        <x:v>0.1</x:v>
      </x:c>
      <x:c r="N3451" s="24" t="n">
        <x:v>12</x:v>
      </x:c>
      <x:c r="O3451" s="28" t="n">
        <x:f>MIN(1,L3451/I3451)</x:f>
        <x:v>0.000009909399999999999</x:v>
      </x:c>
      <x:c r="P3451" s="30" t="n">
        <x:f>O3451*J3451*(1+M3451)</x:f>
        <x:v>0.000010900339999999999</x:v>
      </x:c>
      <x:c r="Q3451" s="30" t="n">
        <x:f>P3451*N3451</x:f>
        <x:v>0.00013080408</x:v>
      </x:c>
      <x:c r="R3451" s="19" t="str">
        <x:v>六选一；非6个独立爆率</x:v>
      </x:c>
    </x:row>
    <x:row r="3452" ht="19" customHeight="1">
      <x:c r="A3452" s="19" t="str">
        <x:v>D03448</x:v>
      </x:c>
      <x:c r="B3452" s="19" t="n">
        <x:v>7</x:v>
      </x:c>
      <x:c r="C3452" s="19" t="n">
        <x:v>3</x:v>
      </x:c>
      <x:c r="D3452" s="19" t="str">
        <x:v>C07-M032</x:v>
      </x:c>
      <x:c r="E3452" s="19" t="str">
        <x:v>寒狱冰骨将</x:v>
      </x:c>
      <x:c r="F3452" s="19" t="str">
        <x:v>稀有</x:v>
      </x:c>
      <x:c r="G3452" s="19" t="str">
        <x:v>自身专属</x:v>
      </x:c>
      <x:c r="H3452" s="19" t="str">
        <x:v>冰骨战靴</x:v>
      </x:c>
      <x:c r="I3452" s="22" t="n">
        <x:v>1200</x:v>
      </x:c>
      <x:c r="J3452" s="22" t="n">
        <x:v>1</x:v>
      </x:c>
      <x:c r="K3452" s="19" t="n">
        <x:v>1</x:v>
      </x:c>
      <x:c r="L3452" s="24" t="n">
        <x:v>49.547</x:v>
      </x:c>
      <x:c r="M3452" s="26" t="n">
        <x:v>0.1</x:v>
      </x:c>
      <x:c r="N3452" s="24" t="n">
        <x:v>12</x:v>
      </x:c>
      <x:c r="O3452" s="28" t="n">
        <x:f>MIN(1,L3452/I3452)</x:f>
        <x:v>0.04128916666666666</x:v>
      </x:c>
      <x:c r="P3452" s="30" t="n">
        <x:f>O3452*J3452*(1+M3452)</x:f>
        <x:v>0.04541808333333333</x:v>
      </x:c>
      <x:c r="Q3452" s="30" t="n">
        <x:f>P3452*N3452</x:f>
        <x:v>0.545017</x:v>
      </x:c>
      <x:c r="R3452" s="19" t="str">
        <x:v>独立判定</x:v>
      </x:c>
    </x:row>
    <x:row r="3453" ht="19" customHeight="1">
      <x:c r="A3453" s="19" t="str">
        <x:v>D03449</x:v>
      </x:c>
      <x:c r="B3453" s="19" t="n">
        <x:v>7</x:v>
      </x:c>
      <x:c r="C3453" s="19" t="n">
        <x:v>3</x:v>
      </x:c>
      <x:c r="D3453" s="19" t="str">
        <x:v>C07-M032</x:v>
      </x:c>
      <x:c r="E3453" s="19" t="str">
        <x:v>寒狱冰骨将</x:v>
      </x:c>
      <x:c r="F3453" s="19" t="str">
        <x:v>稀有</x:v>
      </x:c>
      <x:c r="G3453" s="19" t="str">
        <x:v>材料独立候选</x:v>
      </x:c>
      <x:c r="H3453" s="19" t="str">
        <x:v>冻晶尘</x:v>
      </x:c>
      <x:c r="I3453" s="22" t="n">
        <x:v>800</x:v>
      </x:c>
      <x:c r="J3453" s="22" t="n">
        <x:v>15</x:v>
      </x:c>
      <x:c r="K3453" s="19" t="n">
        <x:v>1</x:v>
      </x:c>
      <x:c r="L3453" s="24" t="n">
        <x:v>49.547</x:v>
      </x:c>
      <x:c r="M3453" s="26" t="n">
        <x:v>0.1</x:v>
      </x:c>
      <x:c r="N3453" s="24" t="n">
        <x:v>12</x:v>
      </x:c>
      <x:c r="O3453" s="28" t="n">
        <x:f>MIN(1,L3453/I3453)</x:f>
        <x:v>0.061933749999999996</x:v>
      </x:c>
      <x:c r="P3453" s="30" t="n">
        <x:f>O3453*J3453*(1+M3453)</x:f>
        <x:v>1.021906875</x:v>
      </x:c>
      <x:c r="Q3453" s="30" t="n">
        <x:f>P3453*N3453</x:f>
        <x:v>12.2628825</x:v>
      </x:c>
      <x:c r="R3453" s="19" t="str">
        <x:v>独立判定</x:v>
      </x:c>
    </x:row>
    <x:row r="3454" ht="19" customHeight="1">
      <x:c r="A3454" s="19" t="str">
        <x:v>D03450</x:v>
      </x:c>
      <x:c r="B3454" s="19" t="n">
        <x:v>7</x:v>
      </x:c>
      <x:c r="C3454" s="19" t="n">
        <x:v>3</x:v>
      </x:c>
      <x:c r="D3454" s="19" t="str">
        <x:v>C07-M032</x:v>
      </x:c>
      <x:c r="E3454" s="19" t="str">
        <x:v>寒狱冰骨将</x:v>
      </x:c>
      <x:c r="F3454" s="19" t="str">
        <x:v>稀有</x:v>
      </x:c>
      <x:c r="G3454" s="19" t="str">
        <x:v>材料独立候选</x:v>
      </x:c>
      <x:c r="H3454" s="19" t="str">
        <x:v>白金纺线</x:v>
      </x:c>
      <x:c r="I3454" s="22" t="n">
        <x:v>1000</x:v>
      </x:c>
      <x:c r="J3454" s="22" t="n">
        <x:v>1</x:v>
      </x:c>
      <x:c r="K3454" s="19" t="n">
        <x:v>1</x:v>
      </x:c>
      <x:c r="L3454" s="24" t="n">
        <x:v>49.547</x:v>
      </x:c>
      <x:c r="M3454" s="26" t="n">
        <x:v>0.1</x:v>
      </x:c>
      <x:c r="N3454" s="24" t="n">
        <x:v>12</x:v>
      </x:c>
      <x:c r="O3454" s="28" t="n">
        <x:f>MIN(1,L3454/I3454)</x:f>
        <x:v>0.049546999999999994</x:v>
      </x:c>
      <x:c r="P3454" s="30" t="n">
        <x:f>O3454*J3454*(1+M3454)</x:f>
        <x:v>0.0545017</x:v>
      </x:c>
      <x:c r="Q3454" s="30" t="n">
        <x:f>P3454*N3454</x:f>
        <x:v>0.6540204000000001</x:v>
      </x:c>
      <x:c r="R3454" s="19" t="str">
        <x:v>独立判定</x:v>
      </x:c>
    </x:row>
    <x:row r="3455" ht="19" customHeight="1">
      <x:c r="A3455" s="19" t="str">
        <x:v>D03451</x:v>
      </x:c>
      <x:c r="B3455" s="19" t="n">
        <x:v>7</x:v>
      </x:c>
      <x:c r="C3455" s="19" t="n">
        <x:v>3</x:v>
      </x:c>
      <x:c r="D3455" s="19" t="str">
        <x:v>C07-M032</x:v>
      </x:c>
      <x:c r="E3455" s="19" t="str">
        <x:v>寒狱冰骨将</x:v>
      </x:c>
      <x:c r="F3455" s="19" t="str">
        <x:v>稀有</x:v>
      </x:c>
      <x:c r="G3455" s="19" t="str">
        <x:v>材料独立候选</x:v>
      </x:c>
      <x:c r="H3455" s="19" t="str">
        <x:v>冻原银角</x:v>
      </x:c>
      <x:c r="I3455" s="22" t="n">
        <x:v>1800</x:v>
      </x:c>
      <x:c r="J3455" s="22" t="n">
        <x:v>1</x:v>
      </x:c>
      <x:c r="K3455" s="19" t="n">
        <x:v>1</x:v>
      </x:c>
      <x:c r="L3455" s="24" t="n">
        <x:v>49.547</x:v>
      </x:c>
      <x:c r="M3455" s="26" t="n">
        <x:v>0.1</x:v>
      </x:c>
      <x:c r="N3455" s="24" t="n">
        <x:v>12</x:v>
      </x:c>
      <x:c r="O3455" s="28" t="n">
        <x:f>MIN(1,L3455/I3455)</x:f>
        <x:v>0.02752611111111111</x:v>
      </x:c>
      <x:c r="P3455" s="30" t="n">
        <x:f>O3455*J3455*(1+M3455)</x:f>
        <x:v>0.03027872222222222</x:v>
      </x:c>
      <x:c r="Q3455" s="30" t="n">
        <x:f>P3455*N3455</x:f>
        <x:v>0.36334466666666665</x:v>
      </x:c>
      <x:c r="R3455" s="19" t="str">
        <x:v>独立判定</x:v>
      </x:c>
    </x:row>
    <x:row r="3456" ht="19" customHeight="1">
      <x:c r="A3456" s="19" t="str">
        <x:v>D03452</x:v>
      </x:c>
      <x:c r="B3456" s="19" t="n">
        <x:v>7</x:v>
      </x:c>
      <x:c r="C3456" s="19" t="n">
        <x:v>3</x:v>
      </x:c>
      <x:c r="D3456" s="19" t="str">
        <x:v>C07-M032</x:v>
      </x:c>
      <x:c r="E3456" s="19" t="str">
        <x:v>寒狱冰骨将</x:v>
      </x:c>
      <x:c r="F3456" s="19" t="str">
        <x:v>稀有</x:v>
      </x:c>
      <x:c r="G3456" s="19" t="str">
        <x:v>材料独立候选</x:v>
      </x:c>
      <x:c r="H3456" s="19" t="str">
        <x:v>永霜朝圣痕</x:v>
      </x:c>
      <x:c r="I3456" s="22" t="n">
        <x:v>1500000</x:v>
      </x:c>
      <x:c r="J3456" s="22" t="n">
        <x:v>1</x:v>
      </x:c>
      <x:c r="K3456" s="19" t="n">
        <x:v>1</x:v>
      </x:c>
      <x:c r="L3456" s="24" t="n">
        <x:v>49.547</x:v>
      </x:c>
      <x:c r="M3456" s="26" t="n">
        <x:v>0.1</x:v>
      </x:c>
      <x:c r="N3456" s="24" t="n">
        <x:v>12</x:v>
      </x:c>
      <x:c r="O3456" s="28" t="n">
        <x:f>MIN(1,L3456/I3456)</x:f>
        <x:v>0.00003303133333333333</x:v>
      </x:c>
      <x:c r="P3456" s="30" t="n">
        <x:f>O3456*J3456*(1+M3456)</x:f>
        <x:v>0.00003633446666666667</x:v>
      </x:c>
      <x:c r="Q3456" s="30" t="n">
        <x:f>P3456*N3456</x:f>
        <x:v>0.00043601360000000006</x:v>
      </x:c>
      <x:c r="R3456" s="19" t="str">
        <x:v>独立判定</x:v>
      </x:c>
    </x:row>
    <x:row r="3457" ht="19" customHeight="1">
      <x:c r="A3457" s="19" t="str">
        <x:v>D03453</x:v>
      </x:c>
      <x:c r="B3457" s="19" t="n">
        <x:v>7</x:v>
      </x:c>
      <x:c r="C3457" s="19" t="n">
        <x:v>3</x:v>
      </x:c>
      <x:c r="D3457" s="19" t="str">
        <x:v>C07-M032</x:v>
      </x:c>
      <x:c r="E3457" s="19" t="str">
        <x:v>寒狱冰骨将</x:v>
      </x:c>
      <x:c r="F3457" s="19" t="str">
        <x:v>稀有</x:v>
      </x:c>
      <x:c r="G3457" s="19" t="str">
        <x:v>材料独立候选</x:v>
      </x:c>
      <x:c r="H3457" s="19" t="str">
        <x:v>黄金树芽</x:v>
      </x:c>
      <x:c r="I3457" s="22" t="n">
        <x:v>8000</x:v>
      </x:c>
      <x:c r="J3457" s="22" t="n">
        <x:v>1</x:v>
      </x:c>
      <x:c r="K3457" s="19" t="n">
        <x:v>1</x:v>
      </x:c>
      <x:c r="L3457" s="24" t="n">
        <x:v>49.547</x:v>
      </x:c>
      <x:c r="M3457" s="26" t="n">
        <x:v>0.1</x:v>
      </x:c>
      <x:c r="N3457" s="24" t="n">
        <x:v>12</x:v>
      </x:c>
      <x:c r="O3457" s="28" t="n">
        <x:f>MIN(1,L3457/I3457)</x:f>
        <x:v>0.006193374999999999</x:v>
      </x:c>
      <x:c r="P3457" s="30" t="n">
        <x:f>O3457*J3457*(1+M3457)</x:f>
        <x:v>0.0068127125</x:v>
      </x:c>
      <x:c r="Q3457" s="30" t="n">
        <x:f>P3457*N3457</x:f>
        <x:v>0.08175255000000001</x:v>
      </x:c>
      <x:c r="R3457" s="19" t="str">
        <x:v>独立判定</x:v>
      </x:c>
    </x:row>
    <x:row r="3458" ht="19" customHeight="1">
      <x:c r="A3458" s="19" t="str">
        <x:v>D03454</x:v>
      </x:c>
      <x:c r="B3458" s="19" t="n">
        <x:v>7</x:v>
      </x:c>
      <x:c r="C3458" s="19" t="n">
        <x:v>3</x:v>
      </x:c>
      <x:c r="D3458" s="19" t="str">
        <x:v>C07-M032</x:v>
      </x:c>
      <x:c r="E3458" s="19" t="str">
        <x:v>寒狱冰骨将</x:v>
      </x:c>
      <x:c r="F3458" s="19" t="str">
        <x:v>稀有</x:v>
      </x:c>
      <x:c r="G3458" s="19" t="str">
        <x:v>材料独立候选</x:v>
      </x:c>
      <x:c r="H3458" s="19" t="str">
        <x:v>野兽骨片</x:v>
      </x:c>
      <x:c r="I3458" s="22" t="n">
        <x:v>180</x:v>
      </x:c>
      <x:c r="J3458" s="22" t="n">
        <x:v>5</x:v>
      </x:c>
      <x:c r="K3458" s="19" t="n">
        <x:v>1</x:v>
      </x:c>
      <x:c r="L3458" s="24" t="n">
        <x:v>49.547</x:v>
      </x:c>
      <x:c r="M3458" s="26" t="n">
        <x:v>0.1</x:v>
      </x:c>
      <x:c r="N3458" s="24" t="n">
        <x:v>12</x:v>
      </x:c>
      <x:c r="O3458" s="28" t="n">
        <x:f>MIN(1,L3458/I3458)</x:f>
        <x:v>0.27526111111111107</x:v>
      </x:c>
      <x:c r="P3458" s="30" t="n">
        <x:f>O3458*J3458*(1+M3458)</x:f>
        <x:v>1.513936111111111</x:v>
      </x:c>
      <x:c r="Q3458" s="30" t="n">
        <x:f>P3458*N3458</x:f>
        <x:v>18.167233333333332</x:v>
      </x:c>
      <x:c r="R3458" s="19" t="str">
        <x:v>独立判定</x:v>
      </x:c>
    </x:row>
    <x:row r="3459" ht="19" customHeight="1">
      <x:c r="A3459" s="19" t="str">
        <x:v>D03455</x:v>
      </x:c>
      <x:c r="B3459" s="19" t="n">
        <x:v>7</x:v>
      </x:c>
      <x:c r="C3459" s="19" t="n">
        <x:v>3</x:v>
      </x:c>
      <x:c r="D3459" s="19" t="str">
        <x:v>C07-M032</x:v>
      </x:c>
      <x:c r="E3459" s="19" t="str">
        <x:v>寒狱冰骨将</x:v>
      </x:c>
      <x:c r="F3459" s="19" t="str">
        <x:v>稀有</x:v>
      </x:c>
      <x:c r="G3459" s="19" t="str">
        <x:v>材料独立候选</x:v>
      </x:c>
      <x:c r="H3459" s="19" t="str">
        <x:v>技能残页</x:v>
      </x:c>
      <x:c r="I3459" s="22" t="n">
        <x:v>1000</x:v>
      </x:c>
      <x:c r="J3459" s="22" t="n">
        <x:v>1</x:v>
      </x:c>
      <x:c r="K3459" s="19" t="n">
        <x:v>1</x:v>
      </x:c>
      <x:c r="L3459" s="24" t="n">
        <x:v>49.547</x:v>
      </x:c>
      <x:c r="M3459" s="26" t="n">
        <x:v>0.1</x:v>
      </x:c>
      <x:c r="N3459" s="24" t="n">
        <x:v>12</x:v>
      </x:c>
      <x:c r="O3459" s="28" t="n">
        <x:f>MIN(1,L3459/I3459)</x:f>
        <x:v>0.049546999999999994</x:v>
      </x:c>
      <x:c r="P3459" s="30" t="n">
        <x:f>O3459*J3459*(1+M3459)</x:f>
        <x:v>0.0545017</x:v>
      </x:c>
      <x:c r="Q3459" s="30" t="n">
        <x:f>P3459*N3459</x:f>
        <x:v>0.6540204000000001</x:v>
      </x:c>
      <x:c r="R3459" s="19" t="str">
        <x:v>独立判定</x:v>
      </x:c>
    </x:row>
    <x:row r="3460" ht="19" customHeight="1">
      <x:c r="A3460" s="19" t="str">
        <x:v>D03456</x:v>
      </x:c>
      <x:c r="B3460" s="19" t="n">
        <x:v>7</x:v>
      </x:c>
      <x:c r="C3460" s="19" t="n">
        <x:v>3</x:v>
      </x:c>
      <x:c r="D3460" s="19" t="str">
        <x:v>C07-M032</x:v>
      </x:c>
      <x:c r="E3460" s="19" t="str">
        <x:v>寒狱冰骨将</x:v>
      </x:c>
      <x:c r="F3460" s="19" t="str">
        <x:v>稀有</x:v>
      </x:c>
      <x:c r="G3460" s="19" t="str">
        <x:v>材料独立候选</x:v>
      </x:c>
      <x:c r="H3460" s="19" t="str">
        <x:v>小卢恩</x:v>
      </x:c>
      <x:c r="I3460" s="22" t="n">
        <x:v>8000</x:v>
      </x:c>
      <x:c r="J3460" s="22" t="n">
        <x:v>1</x:v>
      </x:c>
      <x:c r="K3460" s="19" t="n">
        <x:v>1</x:v>
      </x:c>
      <x:c r="L3460" s="24" t="n">
        <x:v>49.547</x:v>
      </x:c>
      <x:c r="M3460" s="26" t="n">
        <x:v>0.1</x:v>
      </x:c>
      <x:c r="N3460" s="24" t="n">
        <x:v>12</x:v>
      </x:c>
      <x:c r="O3460" s="28" t="n">
        <x:f>MIN(1,L3460/I3460)</x:f>
        <x:v>0.006193374999999999</x:v>
      </x:c>
      <x:c r="P3460" s="30" t="n">
        <x:f>O3460*J3460*(1+M3460)</x:f>
        <x:v>0.0068127125</x:v>
      </x:c>
      <x:c r="Q3460" s="30" t="n">
        <x:f>P3460*N3460</x:f>
        <x:v>0.08175255000000001</x:v>
      </x:c>
      <x:c r="R3460" s="19" t="str">
        <x:v>独立判定</x:v>
      </x:c>
    </x:row>
    <x:row r="3461" ht="19" customHeight="1">
      <x:c r="A3461" s="19" t="str">
        <x:v>D03457</x:v>
      </x:c>
      <x:c r="B3461" s="19" t="n">
        <x:v>7</x:v>
      </x:c>
      <x:c r="C3461" s="19" t="n">
        <x:v>3</x:v>
      </x:c>
      <x:c r="D3461" s="19" t="str">
        <x:v>C07-M032</x:v>
      </x:c>
      <x:c r="E3461" s="19" t="str">
        <x:v>寒狱冰骨将</x:v>
      </x:c>
      <x:c r="F3461" s="19" t="str">
        <x:v>稀有</x:v>
      </x:c>
      <x:c r="G3461" s="19" t="str">
        <x:v>六神器公共池</x:v>
      </x:c>
      <x:c r="H3461" s="19" t="str">
        <x:v>POOL006</x:v>
      </x:c>
      <x:c r="I3461" s="22" t="n">
        <x:v>5000000</x:v>
      </x:c>
      <x:c r="J3461" s="22" t="n">
        <x:v>1</x:v>
      </x:c>
      <x:c r="K3461" s="19" t="n">
        <x:v>6</x:v>
      </x:c>
      <x:c r="L3461" s="24" t="n">
        <x:v>49.547</x:v>
      </x:c>
      <x:c r="M3461" s="26" t="n">
        <x:v>0.1</x:v>
      </x:c>
      <x:c r="N3461" s="24" t="n">
        <x:v>12</x:v>
      </x:c>
      <x:c r="O3461" s="28" t="n">
        <x:f>MIN(1,L3461/I3461)</x:f>
        <x:v>0.000009909399999999999</x:v>
      </x:c>
      <x:c r="P3461" s="30" t="n">
        <x:f>O3461*J3461*(1+M3461)</x:f>
        <x:v>0.000010900339999999999</x:v>
      </x:c>
      <x:c r="Q3461" s="30" t="n">
        <x:f>P3461*N3461</x:f>
        <x:v>0.00013080408</x:v>
      </x:c>
      <x:c r="R3461" s="19" t="str">
        <x:v>六选一；非6个独立爆率</x:v>
      </x:c>
    </x:row>
    <x:row r="3462" ht="19" customHeight="1">
      <x:c r="A3462" s="19" t="str">
        <x:v>D03458</x:v>
      </x:c>
      <x:c r="B3462" s="19" t="n">
        <x:v>7</x:v>
      </x:c>
      <x:c r="C3462" s="19" t="n">
        <x:v>3</x:v>
      </x:c>
      <x:c r="D3462" s="19" t="str">
        <x:v>C07-M033</x:v>
      </x:c>
      <x:c r="E3462" s="19" t="str">
        <x:v>祭坛霜钟僧</x:v>
      </x:c>
      <x:c r="F3462" s="19" t="str">
        <x:v>稀有</x:v>
      </x:c>
      <x:c r="G3462" s="19" t="str">
        <x:v>自身专属</x:v>
      </x:c>
      <x:c r="H3462" s="19" t="str">
        <x:v>霜钟罪章</x:v>
      </x:c>
      <x:c r="I3462" s="22" t="n">
        <x:v>1200</x:v>
      </x:c>
      <x:c r="J3462" s="22" t="n">
        <x:v>1</x:v>
      </x:c>
      <x:c r="K3462" s="19" t="n">
        <x:v>1</x:v>
      </x:c>
      <x:c r="L3462" s="24" t="n">
        <x:v>49.547</x:v>
      </x:c>
      <x:c r="M3462" s="26" t="n">
        <x:v>0.1</x:v>
      </x:c>
      <x:c r="N3462" s="24" t="n">
        <x:v>12</x:v>
      </x:c>
      <x:c r="O3462" s="28" t="n">
        <x:f>MIN(1,L3462/I3462)</x:f>
        <x:v>0.04128916666666666</x:v>
      </x:c>
      <x:c r="P3462" s="30" t="n">
        <x:f>O3462*J3462*(1+M3462)</x:f>
        <x:v>0.04541808333333333</x:v>
      </x:c>
      <x:c r="Q3462" s="30" t="n">
        <x:f>P3462*N3462</x:f>
        <x:v>0.545017</x:v>
      </x:c>
      <x:c r="R3462" s="19" t="str">
        <x:v>独立判定</x:v>
      </x:c>
    </x:row>
    <x:row r="3463" ht="19" customHeight="1">
      <x:c r="A3463" s="19" t="str">
        <x:v>D03459</x:v>
      </x:c>
      <x:c r="B3463" s="19" t="n">
        <x:v>7</x:v>
      </x:c>
      <x:c r="C3463" s="19" t="n">
        <x:v>3</x:v>
      </x:c>
      <x:c r="D3463" s="19" t="str">
        <x:v>C07-M033</x:v>
      </x:c>
      <x:c r="E3463" s="19" t="str">
        <x:v>祭坛霜钟僧</x:v>
      </x:c>
      <x:c r="F3463" s="19" t="str">
        <x:v>稀有</x:v>
      </x:c>
      <x:c r="G3463" s="19" t="str">
        <x:v>材料独立候选</x:v>
      </x:c>
      <x:c r="H3463" s="19" t="str">
        <x:v>冻晶尘</x:v>
      </x:c>
      <x:c r="I3463" s="22" t="n">
        <x:v>800</x:v>
      </x:c>
      <x:c r="J3463" s="22" t="n">
        <x:v>15</x:v>
      </x:c>
      <x:c r="K3463" s="19" t="n">
        <x:v>1</x:v>
      </x:c>
      <x:c r="L3463" s="24" t="n">
        <x:v>49.547</x:v>
      </x:c>
      <x:c r="M3463" s="26" t="n">
        <x:v>0.1</x:v>
      </x:c>
      <x:c r="N3463" s="24" t="n">
        <x:v>12</x:v>
      </x:c>
      <x:c r="O3463" s="28" t="n">
        <x:f>MIN(1,L3463/I3463)</x:f>
        <x:v>0.061933749999999996</x:v>
      </x:c>
      <x:c r="P3463" s="30" t="n">
        <x:f>O3463*J3463*(1+M3463)</x:f>
        <x:v>1.021906875</x:v>
      </x:c>
      <x:c r="Q3463" s="30" t="n">
        <x:f>P3463*N3463</x:f>
        <x:v>12.2628825</x:v>
      </x:c>
      <x:c r="R3463" s="19" t="str">
        <x:v>独立判定</x:v>
      </x:c>
    </x:row>
    <x:row r="3464" ht="19" customHeight="1">
      <x:c r="A3464" s="19" t="str">
        <x:v>D03460</x:v>
      </x:c>
      <x:c r="B3464" s="19" t="n">
        <x:v>7</x:v>
      </x:c>
      <x:c r="C3464" s="19" t="n">
        <x:v>3</x:v>
      </x:c>
      <x:c r="D3464" s="19" t="str">
        <x:v>C07-M033</x:v>
      </x:c>
      <x:c r="E3464" s="19" t="str">
        <x:v>祭坛霜钟僧</x:v>
      </x:c>
      <x:c r="F3464" s="19" t="str">
        <x:v>稀有</x:v>
      </x:c>
      <x:c r="G3464" s="19" t="str">
        <x:v>材料独立候选</x:v>
      </x:c>
      <x:c r="H3464" s="19" t="str">
        <x:v>白金纺线</x:v>
      </x:c>
      <x:c r="I3464" s="22" t="n">
        <x:v>1000</x:v>
      </x:c>
      <x:c r="J3464" s="22" t="n">
        <x:v>1</x:v>
      </x:c>
      <x:c r="K3464" s="19" t="n">
        <x:v>1</x:v>
      </x:c>
      <x:c r="L3464" s="24" t="n">
        <x:v>49.547</x:v>
      </x:c>
      <x:c r="M3464" s="26" t="n">
        <x:v>0.1</x:v>
      </x:c>
      <x:c r="N3464" s="24" t="n">
        <x:v>12</x:v>
      </x:c>
      <x:c r="O3464" s="28" t="n">
        <x:f>MIN(1,L3464/I3464)</x:f>
        <x:v>0.049546999999999994</x:v>
      </x:c>
      <x:c r="P3464" s="30" t="n">
        <x:f>O3464*J3464*(1+M3464)</x:f>
        <x:v>0.0545017</x:v>
      </x:c>
      <x:c r="Q3464" s="30" t="n">
        <x:f>P3464*N3464</x:f>
        <x:v>0.6540204000000001</x:v>
      </x:c>
      <x:c r="R3464" s="19" t="str">
        <x:v>独立判定</x:v>
      </x:c>
    </x:row>
    <x:row r="3465" ht="19" customHeight="1">
      <x:c r="A3465" s="19" t="str">
        <x:v>D03461</x:v>
      </x:c>
      <x:c r="B3465" s="19" t="n">
        <x:v>7</x:v>
      </x:c>
      <x:c r="C3465" s="19" t="n">
        <x:v>3</x:v>
      </x:c>
      <x:c r="D3465" s="19" t="str">
        <x:v>C07-M033</x:v>
      </x:c>
      <x:c r="E3465" s="19" t="str">
        <x:v>祭坛霜钟僧</x:v>
      </x:c>
      <x:c r="F3465" s="19" t="str">
        <x:v>稀有</x:v>
      </x:c>
      <x:c r="G3465" s="19" t="str">
        <x:v>材料独立候选</x:v>
      </x:c>
      <x:c r="H3465" s="19" t="str">
        <x:v>冻原银角</x:v>
      </x:c>
      <x:c r="I3465" s="22" t="n">
        <x:v>1800</x:v>
      </x:c>
      <x:c r="J3465" s="22" t="n">
        <x:v>1</x:v>
      </x:c>
      <x:c r="K3465" s="19" t="n">
        <x:v>1</x:v>
      </x:c>
      <x:c r="L3465" s="24" t="n">
        <x:v>49.547</x:v>
      </x:c>
      <x:c r="M3465" s="26" t="n">
        <x:v>0.1</x:v>
      </x:c>
      <x:c r="N3465" s="24" t="n">
        <x:v>12</x:v>
      </x:c>
      <x:c r="O3465" s="28" t="n">
        <x:f>MIN(1,L3465/I3465)</x:f>
        <x:v>0.02752611111111111</x:v>
      </x:c>
      <x:c r="P3465" s="30" t="n">
        <x:f>O3465*J3465*(1+M3465)</x:f>
        <x:v>0.03027872222222222</x:v>
      </x:c>
      <x:c r="Q3465" s="30" t="n">
        <x:f>P3465*N3465</x:f>
        <x:v>0.36334466666666665</x:v>
      </x:c>
      <x:c r="R3465" s="19" t="str">
        <x:v>独立判定</x:v>
      </x:c>
    </x:row>
    <x:row r="3466" ht="19" customHeight="1">
      <x:c r="A3466" s="19" t="str">
        <x:v>D03462</x:v>
      </x:c>
      <x:c r="B3466" s="19" t="n">
        <x:v>7</x:v>
      </x:c>
      <x:c r="C3466" s="19" t="n">
        <x:v>3</x:v>
      </x:c>
      <x:c r="D3466" s="19" t="str">
        <x:v>C07-M033</x:v>
      </x:c>
      <x:c r="E3466" s="19" t="str">
        <x:v>祭坛霜钟僧</x:v>
      </x:c>
      <x:c r="F3466" s="19" t="str">
        <x:v>稀有</x:v>
      </x:c>
      <x:c r="G3466" s="19" t="str">
        <x:v>材料独立候选</x:v>
      </x:c>
      <x:c r="H3466" s="19" t="str">
        <x:v>永霜朝圣痕</x:v>
      </x:c>
      <x:c r="I3466" s="22" t="n">
        <x:v>1500000</x:v>
      </x:c>
      <x:c r="J3466" s="22" t="n">
        <x:v>1</x:v>
      </x:c>
      <x:c r="K3466" s="19" t="n">
        <x:v>1</x:v>
      </x:c>
      <x:c r="L3466" s="24" t="n">
        <x:v>49.547</x:v>
      </x:c>
      <x:c r="M3466" s="26" t="n">
        <x:v>0.1</x:v>
      </x:c>
      <x:c r="N3466" s="24" t="n">
        <x:v>12</x:v>
      </x:c>
      <x:c r="O3466" s="28" t="n">
        <x:f>MIN(1,L3466/I3466)</x:f>
        <x:v>0.00003303133333333333</x:v>
      </x:c>
      <x:c r="P3466" s="30" t="n">
        <x:f>O3466*J3466*(1+M3466)</x:f>
        <x:v>0.00003633446666666667</x:v>
      </x:c>
      <x:c r="Q3466" s="30" t="n">
        <x:f>P3466*N3466</x:f>
        <x:v>0.00043601360000000006</x:v>
      </x:c>
      <x:c r="R3466" s="19" t="str">
        <x:v>独立判定</x:v>
      </x:c>
    </x:row>
    <x:row r="3467" ht="19" customHeight="1">
      <x:c r="A3467" s="19" t="str">
        <x:v>D03463</x:v>
      </x:c>
      <x:c r="B3467" s="19" t="n">
        <x:v>7</x:v>
      </x:c>
      <x:c r="C3467" s="19" t="n">
        <x:v>3</x:v>
      </x:c>
      <x:c r="D3467" s="19" t="str">
        <x:v>C07-M033</x:v>
      </x:c>
      <x:c r="E3467" s="19" t="str">
        <x:v>祭坛霜钟僧</x:v>
      </x:c>
      <x:c r="F3467" s="19" t="str">
        <x:v>稀有</x:v>
      </x:c>
      <x:c r="G3467" s="19" t="str">
        <x:v>材料独立候选</x:v>
      </x:c>
      <x:c r="H3467" s="19" t="str">
        <x:v>黄金树芽</x:v>
      </x:c>
      <x:c r="I3467" s="22" t="n">
        <x:v>8000</x:v>
      </x:c>
      <x:c r="J3467" s="22" t="n">
        <x:v>1</x:v>
      </x:c>
      <x:c r="K3467" s="19" t="n">
        <x:v>1</x:v>
      </x:c>
      <x:c r="L3467" s="24" t="n">
        <x:v>49.547</x:v>
      </x:c>
      <x:c r="M3467" s="26" t="n">
        <x:v>0.1</x:v>
      </x:c>
      <x:c r="N3467" s="24" t="n">
        <x:v>12</x:v>
      </x:c>
      <x:c r="O3467" s="28" t="n">
        <x:f>MIN(1,L3467/I3467)</x:f>
        <x:v>0.006193374999999999</x:v>
      </x:c>
      <x:c r="P3467" s="30" t="n">
        <x:f>O3467*J3467*(1+M3467)</x:f>
        <x:v>0.0068127125</x:v>
      </x:c>
      <x:c r="Q3467" s="30" t="n">
        <x:f>P3467*N3467</x:f>
        <x:v>0.08175255000000001</x:v>
      </x:c>
      <x:c r="R3467" s="19" t="str">
        <x:v>独立判定</x:v>
      </x:c>
    </x:row>
    <x:row r="3468" ht="19" customHeight="1">
      <x:c r="A3468" s="19" t="str">
        <x:v>D03464</x:v>
      </x:c>
      <x:c r="B3468" s="19" t="n">
        <x:v>7</x:v>
      </x:c>
      <x:c r="C3468" s="19" t="n">
        <x:v>3</x:v>
      </x:c>
      <x:c r="D3468" s="19" t="str">
        <x:v>C07-M033</x:v>
      </x:c>
      <x:c r="E3468" s="19" t="str">
        <x:v>祭坛霜钟僧</x:v>
      </x:c>
      <x:c r="F3468" s="19" t="str">
        <x:v>稀有</x:v>
      </x:c>
      <x:c r="G3468" s="19" t="str">
        <x:v>材料独立候选</x:v>
      </x:c>
      <x:c r="H3468" s="19" t="str">
        <x:v>野兽骨片</x:v>
      </x:c>
      <x:c r="I3468" s="22" t="n">
        <x:v>180</x:v>
      </x:c>
      <x:c r="J3468" s="22" t="n">
        <x:v>5</x:v>
      </x:c>
      <x:c r="K3468" s="19" t="n">
        <x:v>1</x:v>
      </x:c>
      <x:c r="L3468" s="24" t="n">
        <x:v>49.547</x:v>
      </x:c>
      <x:c r="M3468" s="26" t="n">
        <x:v>0.1</x:v>
      </x:c>
      <x:c r="N3468" s="24" t="n">
        <x:v>12</x:v>
      </x:c>
      <x:c r="O3468" s="28" t="n">
        <x:f>MIN(1,L3468/I3468)</x:f>
        <x:v>0.27526111111111107</x:v>
      </x:c>
      <x:c r="P3468" s="30" t="n">
        <x:f>O3468*J3468*(1+M3468)</x:f>
        <x:v>1.513936111111111</x:v>
      </x:c>
      <x:c r="Q3468" s="30" t="n">
        <x:f>P3468*N3468</x:f>
        <x:v>18.167233333333332</x:v>
      </x:c>
      <x:c r="R3468" s="19" t="str">
        <x:v>独立判定</x:v>
      </x:c>
    </x:row>
    <x:row r="3469" ht="19" customHeight="1">
      <x:c r="A3469" s="19" t="str">
        <x:v>D03465</x:v>
      </x:c>
      <x:c r="B3469" s="19" t="n">
        <x:v>7</x:v>
      </x:c>
      <x:c r="C3469" s="19" t="n">
        <x:v>3</x:v>
      </x:c>
      <x:c r="D3469" s="19" t="str">
        <x:v>C07-M033</x:v>
      </x:c>
      <x:c r="E3469" s="19" t="str">
        <x:v>祭坛霜钟僧</x:v>
      </x:c>
      <x:c r="F3469" s="19" t="str">
        <x:v>稀有</x:v>
      </x:c>
      <x:c r="G3469" s="19" t="str">
        <x:v>材料独立候选</x:v>
      </x:c>
      <x:c r="H3469" s="19" t="str">
        <x:v>技能残页</x:v>
      </x:c>
      <x:c r="I3469" s="22" t="n">
        <x:v>1000</x:v>
      </x:c>
      <x:c r="J3469" s="22" t="n">
        <x:v>1</x:v>
      </x:c>
      <x:c r="K3469" s="19" t="n">
        <x:v>1</x:v>
      </x:c>
      <x:c r="L3469" s="24" t="n">
        <x:v>49.547</x:v>
      </x:c>
      <x:c r="M3469" s="26" t="n">
        <x:v>0.1</x:v>
      </x:c>
      <x:c r="N3469" s="24" t="n">
        <x:v>12</x:v>
      </x:c>
      <x:c r="O3469" s="28" t="n">
        <x:f>MIN(1,L3469/I3469)</x:f>
        <x:v>0.049546999999999994</x:v>
      </x:c>
      <x:c r="P3469" s="30" t="n">
        <x:f>O3469*J3469*(1+M3469)</x:f>
        <x:v>0.0545017</x:v>
      </x:c>
      <x:c r="Q3469" s="30" t="n">
        <x:f>P3469*N3469</x:f>
        <x:v>0.6540204000000001</x:v>
      </x:c>
      <x:c r="R3469" s="19" t="str">
        <x:v>独立判定</x:v>
      </x:c>
    </x:row>
    <x:row r="3470" ht="19" customHeight="1">
      <x:c r="A3470" s="19" t="str">
        <x:v>D03466</x:v>
      </x:c>
      <x:c r="B3470" s="19" t="n">
        <x:v>7</x:v>
      </x:c>
      <x:c r="C3470" s="19" t="n">
        <x:v>3</x:v>
      </x:c>
      <x:c r="D3470" s="19" t="str">
        <x:v>C07-M033</x:v>
      </x:c>
      <x:c r="E3470" s="19" t="str">
        <x:v>祭坛霜钟僧</x:v>
      </x:c>
      <x:c r="F3470" s="19" t="str">
        <x:v>稀有</x:v>
      </x:c>
      <x:c r="G3470" s="19" t="str">
        <x:v>材料独立候选</x:v>
      </x:c>
      <x:c r="H3470" s="19" t="str">
        <x:v>小卢恩</x:v>
      </x:c>
      <x:c r="I3470" s="22" t="n">
        <x:v>8000</x:v>
      </x:c>
      <x:c r="J3470" s="22" t="n">
        <x:v>1</x:v>
      </x:c>
      <x:c r="K3470" s="19" t="n">
        <x:v>1</x:v>
      </x:c>
      <x:c r="L3470" s="24" t="n">
        <x:v>49.547</x:v>
      </x:c>
      <x:c r="M3470" s="26" t="n">
        <x:v>0.1</x:v>
      </x:c>
      <x:c r="N3470" s="24" t="n">
        <x:v>12</x:v>
      </x:c>
      <x:c r="O3470" s="28" t="n">
        <x:f>MIN(1,L3470/I3470)</x:f>
        <x:v>0.006193374999999999</x:v>
      </x:c>
      <x:c r="P3470" s="30" t="n">
        <x:f>O3470*J3470*(1+M3470)</x:f>
        <x:v>0.0068127125</x:v>
      </x:c>
      <x:c r="Q3470" s="30" t="n">
        <x:f>P3470*N3470</x:f>
        <x:v>0.08175255000000001</x:v>
      </x:c>
      <x:c r="R3470" s="19" t="str">
        <x:v>独立判定</x:v>
      </x:c>
    </x:row>
    <x:row r="3471" ht="19" customHeight="1">
      <x:c r="A3471" s="19" t="str">
        <x:v>D03467</x:v>
      </x:c>
      <x:c r="B3471" s="19" t="n">
        <x:v>7</x:v>
      </x:c>
      <x:c r="C3471" s="19" t="n">
        <x:v>3</x:v>
      </x:c>
      <x:c r="D3471" s="19" t="str">
        <x:v>C07-M033</x:v>
      </x:c>
      <x:c r="E3471" s="19" t="str">
        <x:v>祭坛霜钟僧</x:v>
      </x:c>
      <x:c r="F3471" s="19" t="str">
        <x:v>稀有</x:v>
      </x:c>
      <x:c r="G3471" s="19" t="str">
        <x:v>六神器公共池</x:v>
      </x:c>
      <x:c r="H3471" s="19" t="str">
        <x:v>POOL006</x:v>
      </x:c>
      <x:c r="I3471" s="22" t="n">
        <x:v>5000000</x:v>
      </x:c>
      <x:c r="J3471" s="22" t="n">
        <x:v>1</x:v>
      </x:c>
      <x:c r="K3471" s="19" t="n">
        <x:v>6</x:v>
      </x:c>
      <x:c r="L3471" s="24" t="n">
        <x:v>49.547</x:v>
      </x:c>
      <x:c r="M3471" s="26" t="n">
        <x:v>0.1</x:v>
      </x:c>
      <x:c r="N3471" s="24" t="n">
        <x:v>12</x:v>
      </x:c>
      <x:c r="O3471" s="28" t="n">
        <x:f>MIN(1,L3471/I3471)</x:f>
        <x:v>0.000009909399999999999</x:v>
      </x:c>
      <x:c r="P3471" s="30" t="n">
        <x:f>O3471*J3471*(1+M3471)</x:f>
        <x:v>0.000010900339999999999</x:v>
      </x:c>
      <x:c r="Q3471" s="30" t="n">
        <x:f>P3471*N3471</x:f>
        <x:v>0.00013080408</x:v>
      </x:c>
      <x:c r="R3471" s="19" t="str">
        <x:v>六选一；非6个独立爆率</x:v>
      </x:c>
    </x:row>
    <x:row r="3472" ht="19" customHeight="1">
      <x:c r="A3472" s="19" t="str">
        <x:v>D03468</x:v>
      </x:c>
      <x:c r="B3472" s="19" t="n">
        <x:v>7</x:v>
      </x:c>
      <x:c r="C3472" s="19" t="n">
        <x:v>3</x:v>
      </x:c>
      <x:c r="D3472" s="19" t="str">
        <x:v>C07-M034</x:v>
      </x:c>
      <x:c r="E3472" s="19" t="str">
        <x:v>圣所银角兽</x:v>
      </x:c>
      <x:c r="F3472" s="19" t="str">
        <x:v>稀有</x:v>
      </x:c>
      <x:c r="G3472" s="19" t="str">
        <x:v>自身专属</x:v>
      </x:c>
      <x:c r="H3472" s="19" t="str">
        <x:v>银角塔盾</x:v>
      </x:c>
      <x:c r="I3472" s="22" t="n">
        <x:v>1200</x:v>
      </x:c>
      <x:c r="J3472" s="22" t="n">
        <x:v>1</x:v>
      </x:c>
      <x:c r="K3472" s="19" t="n">
        <x:v>1</x:v>
      </x:c>
      <x:c r="L3472" s="24" t="n">
        <x:v>49.547</x:v>
      </x:c>
      <x:c r="M3472" s="26" t="n">
        <x:v>0.1</x:v>
      </x:c>
      <x:c r="N3472" s="24" t="n">
        <x:v>7.501372974420604</x:v>
      </x:c>
      <x:c r="O3472" s="28" t="n">
        <x:f>MIN(1,L3472/I3472)</x:f>
        <x:v>0.04128916666666666</x:v>
      </x:c>
      <x:c r="P3472" s="30" t="n">
        <x:f>O3472*J3472*(1+M3472)</x:f>
        <x:v>0.04541808333333333</x:v>
      </x:c>
      <x:c r="Q3472" s="30" t="n">
        <x:f>P3472*N3472</x:f>
        <x:v>0.3406979828666495</x:v>
      </x:c>
      <x:c r="R3472" s="19" t="str">
        <x:v>独立判定</x:v>
      </x:c>
    </x:row>
    <x:row r="3473" ht="19" customHeight="1">
      <x:c r="A3473" s="19" t="str">
        <x:v>D03469</x:v>
      </x:c>
      <x:c r="B3473" s="19" t="n">
        <x:v>7</x:v>
      </x:c>
      <x:c r="C3473" s="19" t="n">
        <x:v>3</x:v>
      </x:c>
      <x:c r="D3473" s="19" t="str">
        <x:v>C07-M034</x:v>
      </x:c>
      <x:c r="E3473" s="19" t="str">
        <x:v>圣所银角兽</x:v>
      </x:c>
      <x:c r="F3473" s="19" t="str">
        <x:v>稀有</x:v>
      </x:c>
      <x:c r="G3473" s="19" t="str">
        <x:v>材料独立候选</x:v>
      </x:c>
      <x:c r="H3473" s="19" t="str">
        <x:v>冻晶尘</x:v>
      </x:c>
      <x:c r="I3473" s="22" t="n">
        <x:v>800</x:v>
      </x:c>
      <x:c r="J3473" s="22" t="n">
        <x:v>15</x:v>
      </x:c>
      <x:c r="K3473" s="19" t="n">
        <x:v>1</x:v>
      </x:c>
      <x:c r="L3473" s="24" t="n">
        <x:v>49.547</x:v>
      </x:c>
      <x:c r="M3473" s="26" t="n">
        <x:v>0.1</x:v>
      </x:c>
      <x:c r="N3473" s="24" t="n">
        <x:v>7.501372974420604</x:v>
      </x:c>
      <x:c r="O3473" s="28" t="n">
        <x:f>MIN(1,L3473/I3473)</x:f>
        <x:v>0.061933749999999996</x:v>
      </x:c>
      <x:c r="P3473" s="30" t="n">
        <x:f>O3473*J3473*(1+M3473)</x:f>
        <x:v>1.021906875</x:v>
      </x:c>
      <x:c r="Q3473" s="30" t="n">
        <x:f>P3473*N3473</x:f>
        <x:v>7.665704614499614</x:v>
      </x:c>
      <x:c r="R3473" s="19" t="str">
        <x:v>独立判定</x:v>
      </x:c>
    </x:row>
    <x:row r="3474" ht="19" customHeight="1">
      <x:c r="A3474" s="19" t="str">
        <x:v>D03470</x:v>
      </x:c>
      <x:c r="B3474" s="19" t="n">
        <x:v>7</x:v>
      </x:c>
      <x:c r="C3474" s="19" t="n">
        <x:v>3</x:v>
      </x:c>
      <x:c r="D3474" s="19" t="str">
        <x:v>C07-M034</x:v>
      </x:c>
      <x:c r="E3474" s="19" t="str">
        <x:v>圣所银角兽</x:v>
      </x:c>
      <x:c r="F3474" s="19" t="str">
        <x:v>稀有</x:v>
      </x:c>
      <x:c r="G3474" s="19" t="str">
        <x:v>材料独立候选</x:v>
      </x:c>
      <x:c r="H3474" s="19" t="str">
        <x:v>白金纺线</x:v>
      </x:c>
      <x:c r="I3474" s="22" t="n">
        <x:v>1000</x:v>
      </x:c>
      <x:c r="J3474" s="22" t="n">
        <x:v>1</x:v>
      </x:c>
      <x:c r="K3474" s="19" t="n">
        <x:v>1</x:v>
      </x:c>
      <x:c r="L3474" s="24" t="n">
        <x:v>49.547</x:v>
      </x:c>
      <x:c r="M3474" s="26" t="n">
        <x:v>0.1</x:v>
      </x:c>
      <x:c r="N3474" s="24" t="n">
        <x:v>7.501372974420604</x:v>
      </x:c>
      <x:c r="O3474" s="28" t="n">
        <x:f>MIN(1,L3474/I3474)</x:f>
        <x:v>0.049546999999999994</x:v>
      </x:c>
      <x:c r="P3474" s="30" t="n">
        <x:f>O3474*J3474*(1+M3474)</x:f>
        <x:v>0.0545017</x:v>
      </x:c>
      <x:c r="Q3474" s="30" t="n">
        <x:f>P3474*N3474</x:f>
        <x:v>0.4088375794399794</x:v>
      </x:c>
      <x:c r="R3474" s="19" t="str">
        <x:v>独立判定</x:v>
      </x:c>
    </x:row>
    <x:row r="3475" ht="19" customHeight="1">
      <x:c r="A3475" s="19" t="str">
        <x:v>D03471</x:v>
      </x:c>
      <x:c r="B3475" s="19" t="n">
        <x:v>7</x:v>
      </x:c>
      <x:c r="C3475" s="19" t="n">
        <x:v>3</x:v>
      </x:c>
      <x:c r="D3475" s="19" t="str">
        <x:v>C07-M034</x:v>
      </x:c>
      <x:c r="E3475" s="19" t="str">
        <x:v>圣所银角兽</x:v>
      </x:c>
      <x:c r="F3475" s="19" t="str">
        <x:v>稀有</x:v>
      </x:c>
      <x:c r="G3475" s="19" t="str">
        <x:v>材料独立候选</x:v>
      </x:c>
      <x:c r="H3475" s="19" t="str">
        <x:v>冻原银角</x:v>
      </x:c>
      <x:c r="I3475" s="22" t="n">
        <x:v>1800</x:v>
      </x:c>
      <x:c r="J3475" s="22" t="n">
        <x:v>1</x:v>
      </x:c>
      <x:c r="K3475" s="19" t="n">
        <x:v>1</x:v>
      </x:c>
      <x:c r="L3475" s="24" t="n">
        <x:v>49.547</x:v>
      </x:c>
      <x:c r="M3475" s="26" t="n">
        <x:v>0.1</x:v>
      </x:c>
      <x:c r="N3475" s="24" t="n">
        <x:v>7.501372974420604</x:v>
      </x:c>
      <x:c r="O3475" s="28" t="n">
        <x:f>MIN(1,L3475/I3475)</x:f>
        <x:v>0.02752611111111111</x:v>
      </x:c>
      <x:c r="P3475" s="30" t="n">
        <x:f>O3475*J3475*(1+M3475)</x:f>
        <x:v>0.03027872222222222</x:v>
      </x:c>
      <x:c r="Q3475" s="30" t="n">
        <x:f>P3475*N3475</x:f>
        <x:v>0.22713198857776634</x:v>
      </x:c>
      <x:c r="R3475" s="19" t="str">
        <x:v>独立判定</x:v>
      </x:c>
    </x:row>
    <x:row r="3476" ht="19" customHeight="1">
      <x:c r="A3476" s="19" t="str">
        <x:v>D03472</x:v>
      </x:c>
      <x:c r="B3476" s="19" t="n">
        <x:v>7</x:v>
      </x:c>
      <x:c r="C3476" s="19" t="n">
        <x:v>3</x:v>
      </x:c>
      <x:c r="D3476" s="19" t="str">
        <x:v>C07-M034</x:v>
      </x:c>
      <x:c r="E3476" s="19" t="str">
        <x:v>圣所银角兽</x:v>
      </x:c>
      <x:c r="F3476" s="19" t="str">
        <x:v>稀有</x:v>
      </x:c>
      <x:c r="G3476" s="19" t="str">
        <x:v>材料独立候选</x:v>
      </x:c>
      <x:c r="H3476" s="19" t="str">
        <x:v>永霜朝圣痕</x:v>
      </x:c>
      <x:c r="I3476" s="22" t="n">
        <x:v>1500000</x:v>
      </x:c>
      <x:c r="J3476" s="22" t="n">
        <x:v>1</x:v>
      </x:c>
      <x:c r="K3476" s="19" t="n">
        <x:v>1</x:v>
      </x:c>
      <x:c r="L3476" s="24" t="n">
        <x:v>49.547</x:v>
      </x:c>
      <x:c r="M3476" s="26" t="n">
        <x:v>0.1</x:v>
      </x:c>
      <x:c r="N3476" s="24" t="n">
        <x:v>7.501372974420604</x:v>
      </x:c>
      <x:c r="O3476" s="28" t="n">
        <x:f>MIN(1,L3476/I3476)</x:f>
        <x:v>0.00003303133333333333</x:v>
      </x:c>
      <x:c r="P3476" s="30" t="n">
        <x:f>O3476*J3476*(1+M3476)</x:f>
        <x:v>0.00003633446666666667</x:v>
      </x:c>
      <x:c r="Q3476" s="30" t="n">
        <x:f>P3476*N3476</x:f>
        <x:v>0.00027255838629331965</x:v>
      </x:c>
      <x:c r="R3476" s="19" t="str">
        <x:v>独立判定</x:v>
      </x:c>
    </x:row>
    <x:row r="3477" ht="19" customHeight="1">
      <x:c r="A3477" s="19" t="str">
        <x:v>D03473</x:v>
      </x:c>
      <x:c r="B3477" s="19" t="n">
        <x:v>7</x:v>
      </x:c>
      <x:c r="C3477" s="19" t="n">
        <x:v>3</x:v>
      </x:c>
      <x:c r="D3477" s="19" t="str">
        <x:v>C07-M034</x:v>
      </x:c>
      <x:c r="E3477" s="19" t="str">
        <x:v>圣所银角兽</x:v>
      </x:c>
      <x:c r="F3477" s="19" t="str">
        <x:v>稀有</x:v>
      </x:c>
      <x:c r="G3477" s="19" t="str">
        <x:v>材料独立候选</x:v>
      </x:c>
      <x:c r="H3477" s="19" t="str">
        <x:v>黄金树芽</x:v>
      </x:c>
      <x:c r="I3477" s="22" t="n">
        <x:v>8000</x:v>
      </x:c>
      <x:c r="J3477" s="22" t="n">
        <x:v>1</x:v>
      </x:c>
      <x:c r="K3477" s="19" t="n">
        <x:v>1</x:v>
      </x:c>
      <x:c r="L3477" s="24" t="n">
        <x:v>49.547</x:v>
      </x:c>
      <x:c r="M3477" s="26" t="n">
        <x:v>0.1</x:v>
      </x:c>
      <x:c r="N3477" s="24" t="n">
        <x:v>7.501372974420604</x:v>
      </x:c>
      <x:c r="O3477" s="28" t="n">
        <x:f>MIN(1,L3477/I3477)</x:f>
        <x:v>0.006193374999999999</x:v>
      </x:c>
      <x:c r="P3477" s="30" t="n">
        <x:f>O3477*J3477*(1+M3477)</x:f>
        <x:v>0.0068127125</x:v>
      </x:c>
      <x:c r="Q3477" s="30" t="n">
        <x:f>P3477*N3477</x:f>
        <x:v>0.051104697429997424</x:v>
      </x:c>
      <x:c r="R3477" s="19" t="str">
        <x:v>独立判定</x:v>
      </x:c>
    </x:row>
    <x:row r="3478" ht="19" customHeight="1">
      <x:c r="A3478" s="19" t="str">
        <x:v>D03474</x:v>
      </x:c>
      <x:c r="B3478" s="19" t="n">
        <x:v>7</x:v>
      </x:c>
      <x:c r="C3478" s="19" t="n">
        <x:v>3</x:v>
      </x:c>
      <x:c r="D3478" s="19" t="str">
        <x:v>C07-M034</x:v>
      </x:c>
      <x:c r="E3478" s="19" t="str">
        <x:v>圣所银角兽</x:v>
      </x:c>
      <x:c r="F3478" s="19" t="str">
        <x:v>稀有</x:v>
      </x:c>
      <x:c r="G3478" s="19" t="str">
        <x:v>材料独立候选</x:v>
      </x:c>
      <x:c r="H3478" s="19" t="str">
        <x:v>野兽骨片</x:v>
      </x:c>
      <x:c r="I3478" s="22" t="n">
        <x:v>180</x:v>
      </x:c>
      <x:c r="J3478" s="22" t="n">
        <x:v>5</x:v>
      </x:c>
      <x:c r="K3478" s="19" t="n">
        <x:v>1</x:v>
      </x:c>
      <x:c r="L3478" s="24" t="n">
        <x:v>49.547</x:v>
      </x:c>
      <x:c r="M3478" s="26" t="n">
        <x:v>0.1</x:v>
      </x:c>
      <x:c r="N3478" s="24" t="n">
        <x:v>7.501372974420604</x:v>
      </x:c>
      <x:c r="O3478" s="28" t="n">
        <x:f>MIN(1,L3478/I3478)</x:f>
        <x:v>0.27526111111111107</x:v>
      </x:c>
      <x:c r="P3478" s="30" t="n">
        <x:f>O3478*J3478*(1+M3478)</x:f>
        <x:v>1.513936111111111</x:v>
      </x:c>
      <x:c r="Q3478" s="30" t="n">
        <x:f>P3478*N3478</x:f>
        <x:v>11.356599428888316</x:v>
      </x:c>
      <x:c r="R3478" s="19" t="str">
        <x:v>独立判定</x:v>
      </x:c>
    </x:row>
    <x:row r="3479" ht="19" customHeight="1">
      <x:c r="A3479" s="19" t="str">
        <x:v>D03475</x:v>
      </x:c>
      <x:c r="B3479" s="19" t="n">
        <x:v>7</x:v>
      </x:c>
      <x:c r="C3479" s="19" t="n">
        <x:v>3</x:v>
      </x:c>
      <x:c r="D3479" s="19" t="str">
        <x:v>C07-M034</x:v>
      </x:c>
      <x:c r="E3479" s="19" t="str">
        <x:v>圣所银角兽</x:v>
      </x:c>
      <x:c r="F3479" s="19" t="str">
        <x:v>稀有</x:v>
      </x:c>
      <x:c r="G3479" s="19" t="str">
        <x:v>材料独立候选</x:v>
      </x:c>
      <x:c r="H3479" s="19" t="str">
        <x:v>技能残页</x:v>
      </x:c>
      <x:c r="I3479" s="22" t="n">
        <x:v>1000</x:v>
      </x:c>
      <x:c r="J3479" s="22" t="n">
        <x:v>1</x:v>
      </x:c>
      <x:c r="K3479" s="19" t="n">
        <x:v>1</x:v>
      </x:c>
      <x:c r="L3479" s="24" t="n">
        <x:v>49.547</x:v>
      </x:c>
      <x:c r="M3479" s="26" t="n">
        <x:v>0.1</x:v>
      </x:c>
      <x:c r="N3479" s="24" t="n">
        <x:v>7.501372974420604</x:v>
      </x:c>
      <x:c r="O3479" s="28" t="n">
        <x:f>MIN(1,L3479/I3479)</x:f>
        <x:v>0.049546999999999994</x:v>
      </x:c>
      <x:c r="P3479" s="30" t="n">
        <x:f>O3479*J3479*(1+M3479)</x:f>
        <x:v>0.0545017</x:v>
      </x:c>
      <x:c r="Q3479" s="30" t="n">
        <x:f>P3479*N3479</x:f>
        <x:v>0.4088375794399794</x:v>
      </x:c>
      <x:c r="R3479" s="19" t="str">
        <x:v>独立判定</x:v>
      </x:c>
    </x:row>
    <x:row r="3480" ht="19" customHeight="1">
      <x:c r="A3480" s="19" t="str">
        <x:v>D03476</x:v>
      </x:c>
      <x:c r="B3480" s="19" t="n">
        <x:v>7</x:v>
      </x:c>
      <x:c r="C3480" s="19" t="n">
        <x:v>3</x:v>
      </x:c>
      <x:c r="D3480" s="19" t="str">
        <x:v>C07-M034</x:v>
      </x:c>
      <x:c r="E3480" s="19" t="str">
        <x:v>圣所银角兽</x:v>
      </x:c>
      <x:c r="F3480" s="19" t="str">
        <x:v>稀有</x:v>
      </x:c>
      <x:c r="G3480" s="19" t="str">
        <x:v>材料独立候选</x:v>
      </x:c>
      <x:c r="H3480" s="19" t="str">
        <x:v>小卢恩</x:v>
      </x:c>
      <x:c r="I3480" s="22" t="n">
        <x:v>8000</x:v>
      </x:c>
      <x:c r="J3480" s="22" t="n">
        <x:v>1</x:v>
      </x:c>
      <x:c r="K3480" s="19" t="n">
        <x:v>1</x:v>
      </x:c>
      <x:c r="L3480" s="24" t="n">
        <x:v>49.547</x:v>
      </x:c>
      <x:c r="M3480" s="26" t="n">
        <x:v>0.1</x:v>
      </x:c>
      <x:c r="N3480" s="24" t="n">
        <x:v>7.501372974420604</x:v>
      </x:c>
      <x:c r="O3480" s="28" t="n">
        <x:f>MIN(1,L3480/I3480)</x:f>
        <x:v>0.006193374999999999</x:v>
      </x:c>
      <x:c r="P3480" s="30" t="n">
        <x:f>O3480*J3480*(1+M3480)</x:f>
        <x:v>0.0068127125</x:v>
      </x:c>
      <x:c r="Q3480" s="30" t="n">
        <x:f>P3480*N3480</x:f>
        <x:v>0.051104697429997424</x:v>
      </x:c>
      <x:c r="R3480" s="19" t="str">
        <x:v>独立判定</x:v>
      </x:c>
    </x:row>
    <x:row r="3481" ht="19" customHeight="1">
      <x:c r="A3481" s="19" t="str">
        <x:v>D03477</x:v>
      </x:c>
      <x:c r="B3481" s="19" t="n">
        <x:v>7</x:v>
      </x:c>
      <x:c r="C3481" s="19" t="n">
        <x:v>3</x:v>
      </x:c>
      <x:c r="D3481" s="19" t="str">
        <x:v>C07-M034</x:v>
      </x:c>
      <x:c r="E3481" s="19" t="str">
        <x:v>圣所银角兽</x:v>
      </x:c>
      <x:c r="F3481" s="19" t="str">
        <x:v>稀有</x:v>
      </x:c>
      <x:c r="G3481" s="19" t="str">
        <x:v>六神器公共池</x:v>
      </x:c>
      <x:c r="H3481" s="19" t="str">
        <x:v>POOL006</x:v>
      </x:c>
      <x:c r="I3481" s="22" t="n">
        <x:v>5000000</x:v>
      </x:c>
      <x:c r="J3481" s="22" t="n">
        <x:v>1</x:v>
      </x:c>
      <x:c r="K3481" s="19" t="n">
        <x:v>6</x:v>
      </x:c>
      <x:c r="L3481" s="24" t="n">
        <x:v>49.547</x:v>
      </x:c>
      <x:c r="M3481" s="26" t="n">
        <x:v>0.1</x:v>
      </x:c>
      <x:c r="N3481" s="24" t="n">
        <x:v>7.501372974420604</x:v>
      </x:c>
      <x:c r="O3481" s="28" t="n">
        <x:f>MIN(1,L3481/I3481)</x:f>
        <x:v>0.000009909399999999999</x:v>
      </x:c>
      <x:c r="P3481" s="30" t="n">
        <x:f>O3481*J3481*(1+M3481)</x:f>
        <x:v>0.000010900339999999999</x:v>
      </x:c>
      <x:c r="Q3481" s="30" t="n">
        <x:f>P3481*N3481</x:f>
        <x:v>0.00008176751588799587</x:v>
      </x:c>
      <x:c r="R3481" s="19" t="str">
        <x:v>六选一；非6个独立爆率</x:v>
      </x:c>
    </x:row>
    <x:row r="3482" ht="19" customHeight="1">
      <x:c r="A3482" s="19" t="str">
        <x:v>D03478</x:v>
      </x:c>
      <x:c r="B3482" s="19" t="n">
        <x:v>7</x:v>
      </x:c>
      <x:c r="C3482" s="19" t="n">
        <x:v>3</x:v>
      </x:c>
      <x:c r="D3482" s="19" t="str">
        <x:v>C07-M035</x:v>
      </x:c>
      <x:c r="E3482" s="19" t="str">
        <x:v>冰祭审判者·诺薇</x:v>
      </x:c>
      <x:c r="F3482" s="19" t="str">
        <x:v>地图BOSS</x:v>
      </x:c>
      <x:c r="G3482" s="19" t="str">
        <x:v>自身专属</x:v>
      </x:c>
      <x:c r="H3482" s="19" t="str">
        <x:v>诺薇霜镰</x:v>
      </x:c>
      <x:c r="I3482" s="22" t="n">
        <x:v>250</x:v>
      </x:c>
      <x:c r="J3482" s="22" t="n">
        <x:v>1</x:v>
      </x:c>
      <x:c r="K3482" s="19" t="n">
        <x:v>1</x:v>
      </x:c>
      <x:c r="L3482" s="24" t="n">
        <x:v>49.547</x:v>
      </x:c>
      <x:c r="M3482" s="26" t="n">
        <x:v>0.1</x:v>
      </x:c>
      <x:c r="N3482" s="24" t="n">
        <x:v>2</x:v>
      </x:c>
      <x:c r="O3482" s="28" t="n">
        <x:f>MIN(1,L3482/I3482)</x:f>
        <x:v>0.19818799999999998</x:v>
      </x:c>
      <x:c r="P3482" s="30" t="n">
        <x:f>O3482*J3482*(1+M3482)</x:f>
        <x:v>0.2180068</x:v>
      </x:c>
      <x:c r="Q3482" s="30" t="n">
        <x:f>P3482*N3482</x:f>
        <x:v>0.4360136</x:v>
      </x:c>
      <x:c r="R3482" s="19" t="str">
        <x:v>独立判定</x:v>
      </x:c>
    </x:row>
    <x:row r="3483" ht="19" customHeight="1">
      <x:c r="A3483" s="19" t="str">
        <x:v>D03479</x:v>
      </x:c>
      <x:c r="B3483" s="19" t="n">
        <x:v>7</x:v>
      </x:c>
      <x:c r="C3483" s="19" t="n">
        <x:v>3</x:v>
      </x:c>
      <x:c r="D3483" s="19" t="str">
        <x:v>C07-M035</x:v>
      </x:c>
      <x:c r="E3483" s="19" t="str">
        <x:v>冰祭审判者·诺薇</x:v>
      </x:c>
      <x:c r="F3483" s="19" t="str">
        <x:v>地图BOSS</x:v>
      </x:c>
      <x:c r="G3483" s="19" t="str">
        <x:v>自身专属</x:v>
      </x:c>
      <x:c r="H3483" s="19" t="str">
        <x:v>永雪祈戒</x:v>
      </x:c>
      <x:c r="I3483" s="22" t="n">
        <x:v>250</x:v>
      </x:c>
      <x:c r="J3483" s="22" t="n">
        <x:v>1</x:v>
      </x:c>
      <x:c r="K3483" s="19" t="n">
        <x:v>1</x:v>
      </x:c>
      <x:c r="L3483" s="24" t="n">
        <x:v>49.547</x:v>
      </x:c>
      <x:c r="M3483" s="26" t="n">
        <x:v>0.1</x:v>
      </x:c>
      <x:c r="N3483" s="24" t="n">
        <x:v>2</x:v>
      </x:c>
      <x:c r="O3483" s="28" t="n">
        <x:f>MIN(1,L3483/I3483)</x:f>
        <x:v>0.19818799999999998</x:v>
      </x:c>
      <x:c r="P3483" s="30" t="n">
        <x:f>O3483*J3483*(1+M3483)</x:f>
        <x:v>0.2180068</x:v>
      </x:c>
      <x:c r="Q3483" s="30" t="n">
        <x:f>P3483*N3483</x:f>
        <x:v>0.4360136</x:v>
      </x:c>
      <x:c r="R3483" s="19" t="str">
        <x:v>独立判定</x:v>
      </x:c>
    </x:row>
    <x:row r="3484" ht="19" customHeight="1">
      <x:c r="A3484" s="19" t="str">
        <x:v>D03480</x:v>
      </x:c>
      <x:c r="B3484" s="19" t="n">
        <x:v>7</x:v>
      </x:c>
      <x:c r="C3484" s="19" t="n">
        <x:v>3</x:v>
      </x:c>
      <x:c r="D3484" s="19" t="str">
        <x:v>C07-M035</x:v>
      </x:c>
      <x:c r="E3484" s="19" t="str">
        <x:v>冰祭审判者·诺薇</x:v>
      </x:c>
      <x:c r="F3484" s="19" t="str">
        <x:v>地图BOSS</x:v>
      </x:c>
      <x:c r="G3484" s="19" t="str">
        <x:v>本图普通兼掉候选</x:v>
      </x:c>
      <x:c r="H3484" s="19" t="str">
        <x:v>POOL058</x:v>
      </x:c>
      <x:c r="I3484" s="22" t="n">
        <x:v>120</x:v>
      </x:c>
      <x:c r="J3484" s="22" t="n">
        <x:v>1</x:v>
      </x:c>
      <x:c r="K3484" s="19" t="n">
        <x:v>1</x:v>
      </x:c>
      <x:c r="L3484" s="24" t="n">
        <x:v>49.547</x:v>
      </x:c>
      <x:c r="M3484" s="26" t="n">
        <x:v>0.1</x:v>
      </x:c>
      <x:c r="N3484" s="24" t="n">
        <x:v>2</x:v>
      </x:c>
      <x:c r="O3484" s="28" t="n">
        <x:f>MIN(1,L3484/I3484)</x:f>
        <x:v>0.41289166666666666</x:v>
      </x:c>
      <x:c r="P3484" s="30" t="n">
        <x:f>O3484*J3484*(1+M3484)</x:f>
        <x:v>0.45418083333333337</x:v>
      </x:c>
      <x:c r="Q3484" s="30" t="n">
        <x:f>P3484*N3484</x:f>
        <x:v>0.9083616666666667</x:v>
      </x:c>
      <x:c r="R3484" s="19" t="str">
        <x:v>单池选一</x:v>
      </x:c>
    </x:row>
    <x:row r="3485" ht="19" customHeight="1">
      <x:c r="A3485" s="19" t="str">
        <x:v>D03481</x:v>
      </x:c>
      <x:c r="B3485" s="19" t="n">
        <x:v>7</x:v>
      </x:c>
      <x:c r="C3485" s="19" t="n">
        <x:v>3</x:v>
      </x:c>
      <x:c r="D3485" s="19" t="str">
        <x:v>C07-M035</x:v>
      </x:c>
      <x:c r="E3485" s="19" t="str">
        <x:v>冰祭审判者·诺薇</x:v>
      </x:c>
      <x:c r="F3485" s="19" t="str">
        <x:v>地图BOSS</x:v>
      </x:c>
      <x:c r="G3485" s="19" t="str">
        <x:v>材料独立候选</x:v>
      </x:c>
      <x:c r="H3485" s="19" t="str">
        <x:v>冻晶尘</x:v>
      </x:c>
      <x:c r="I3485" s="22" t="n">
        <x:v>400</x:v>
      </x:c>
      <x:c r="J3485" s="22" t="n">
        <x:v>30</x:v>
      </x:c>
      <x:c r="K3485" s="19" t="n">
        <x:v>1</x:v>
      </x:c>
      <x:c r="L3485" s="24" t="n">
        <x:v>49.547</x:v>
      </x:c>
      <x:c r="M3485" s="26" t="n">
        <x:v>0.1</x:v>
      </x:c>
      <x:c r="N3485" s="24" t="n">
        <x:v>2</x:v>
      </x:c>
      <x:c r="O3485" s="28" t="n">
        <x:f>MIN(1,L3485/I3485)</x:f>
        <x:v>0.12386749999999999</x:v>
      </x:c>
      <x:c r="P3485" s="30" t="n">
        <x:f>O3485*J3485*(1+M3485)</x:f>
        <x:v>4.0876275</x:v>
      </x:c>
      <x:c r="Q3485" s="30" t="n">
        <x:f>P3485*N3485</x:f>
        <x:v>8.175255</x:v>
      </x:c>
      <x:c r="R3485" s="19" t="str">
        <x:v>独立判定</x:v>
      </x:c>
    </x:row>
    <x:row r="3486" ht="19" customHeight="1">
      <x:c r="A3486" s="19" t="str">
        <x:v>D03482</x:v>
      </x:c>
      <x:c r="B3486" s="19" t="n">
        <x:v>7</x:v>
      </x:c>
      <x:c r="C3486" s="19" t="n">
        <x:v>3</x:v>
      </x:c>
      <x:c r="D3486" s="19" t="str">
        <x:v>C07-M035</x:v>
      </x:c>
      <x:c r="E3486" s="19" t="str">
        <x:v>冰祭审判者·诺薇</x:v>
      </x:c>
      <x:c r="F3486" s="19" t="str">
        <x:v>地图BOSS</x:v>
      </x:c>
      <x:c r="G3486" s="19" t="str">
        <x:v>材料独立候选</x:v>
      </x:c>
      <x:c r="H3486" s="19" t="str">
        <x:v>白金纺线</x:v>
      </x:c>
      <x:c r="I3486" s="22" t="n">
        <x:v>600</x:v>
      </x:c>
      <x:c r="J3486" s="22" t="n">
        <x:v>1</x:v>
      </x:c>
      <x:c r="K3486" s="19" t="n">
        <x:v>1</x:v>
      </x:c>
      <x:c r="L3486" s="24" t="n">
        <x:v>49.547</x:v>
      </x:c>
      <x:c r="M3486" s="26" t="n">
        <x:v>0.1</x:v>
      </x:c>
      <x:c r="N3486" s="24" t="n">
        <x:v>2</x:v>
      </x:c>
      <x:c r="O3486" s="28" t="n">
        <x:f>MIN(1,L3486/I3486)</x:f>
        <x:v>0.08257833333333332</x:v>
      </x:c>
      <x:c r="P3486" s="30" t="n">
        <x:f>O3486*J3486*(1+M3486)</x:f>
        <x:v>0.09083616666666666</x:v>
      </x:c>
      <x:c r="Q3486" s="30" t="n">
        <x:f>P3486*N3486</x:f>
        <x:v>0.18167233333333332</x:v>
      </x:c>
      <x:c r="R3486" s="19" t="str">
        <x:v>独立判定</x:v>
      </x:c>
    </x:row>
    <x:row r="3487" ht="19" customHeight="1">
      <x:c r="A3487" s="19" t="str">
        <x:v>D03483</x:v>
      </x:c>
      <x:c r="B3487" s="19" t="n">
        <x:v>7</x:v>
      </x:c>
      <x:c r="C3487" s="19" t="n">
        <x:v>3</x:v>
      </x:c>
      <x:c r="D3487" s="19" t="str">
        <x:v>C07-M035</x:v>
      </x:c>
      <x:c r="E3487" s="19" t="str">
        <x:v>冰祭审判者·诺薇</x:v>
      </x:c>
      <x:c r="F3487" s="19" t="str">
        <x:v>地图BOSS</x:v>
      </x:c>
      <x:c r="G3487" s="19" t="str">
        <x:v>材料独立候选</x:v>
      </x:c>
      <x:c r="H3487" s="19" t="str">
        <x:v>圣雪誓印</x:v>
      </x:c>
      <x:c r="I3487" s="22" t="n">
        <x:v>250</x:v>
      </x:c>
      <x:c r="J3487" s="22" t="n">
        <x:v>4</x:v>
      </x:c>
      <x:c r="K3487" s="19" t="n">
        <x:v>1</x:v>
      </x:c>
      <x:c r="L3487" s="24" t="n">
        <x:v>49.547</x:v>
      </x:c>
      <x:c r="M3487" s="26" t="n">
        <x:v>0.1</x:v>
      </x:c>
      <x:c r="N3487" s="24" t="n">
        <x:v>2</x:v>
      </x:c>
      <x:c r="O3487" s="28" t="n">
        <x:f>MIN(1,L3487/I3487)</x:f>
        <x:v>0.19818799999999998</x:v>
      </x:c>
      <x:c r="P3487" s="30" t="n">
        <x:f>O3487*J3487*(1+M3487)</x:f>
        <x:v>0.8720272</x:v>
      </x:c>
      <x:c r="Q3487" s="30" t="n">
        <x:f>P3487*N3487</x:f>
        <x:v>1.7440544</x:v>
      </x:c>
      <x:c r="R3487" s="19" t="str">
        <x:v>独立判定</x:v>
      </x:c>
    </x:row>
    <x:row r="3488" ht="19" customHeight="1">
      <x:c r="A3488" s="19" t="str">
        <x:v>D03484</x:v>
      </x:c>
      <x:c r="B3488" s="19" t="n">
        <x:v>7</x:v>
      </x:c>
      <x:c r="C3488" s="19" t="n">
        <x:v>3</x:v>
      </x:c>
      <x:c r="D3488" s="19" t="str">
        <x:v>C07-M035</x:v>
      </x:c>
      <x:c r="E3488" s="19" t="str">
        <x:v>冰祭审判者·诺薇</x:v>
      </x:c>
      <x:c r="F3488" s="19" t="str">
        <x:v>地图BOSS</x:v>
      </x:c>
      <x:c r="G3488" s="19" t="str">
        <x:v>材料独立候选</x:v>
      </x:c>
      <x:c r="H3488" s="19" t="str">
        <x:v>秘树霜芽</x:v>
      </x:c>
      <x:c r="I3488" s="22" t="n">
        <x:v>200</x:v>
      </x:c>
      <x:c r="J3488" s="22" t="n">
        <x:v>3</x:v>
      </x:c>
      <x:c r="K3488" s="19" t="n">
        <x:v>1</x:v>
      </x:c>
      <x:c r="L3488" s="24" t="n">
        <x:v>49.547</x:v>
      </x:c>
      <x:c r="M3488" s="26" t="n">
        <x:v>0.1</x:v>
      </x:c>
      <x:c r="N3488" s="24" t="n">
        <x:v>2</x:v>
      </x:c>
      <x:c r="O3488" s="28" t="n">
        <x:f>MIN(1,L3488/I3488)</x:f>
        <x:v>0.24773499999999998</x:v>
      </x:c>
      <x:c r="P3488" s="30" t="n">
        <x:f>O3488*J3488*(1+M3488)</x:f>
        <x:v>0.8175254999999999</x:v>
      </x:c>
      <x:c r="Q3488" s="30" t="n">
        <x:f>P3488*N3488</x:f>
        <x:v>1.6350509999999998</x:v>
      </x:c>
      <x:c r="R3488" s="19" t="str">
        <x:v>独立判定</x:v>
      </x:c>
    </x:row>
    <x:row r="3489" ht="19" customHeight="1">
      <x:c r="A3489" s="19" t="str">
        <x:v>D03485</x:v>
      </x:c>
      <x:c r="B3489" s="19" t="n">
        <x:v>7</x:v>
      </x:c>
      <x:c r="C3489" s="19" t="n">
        <x:v>3</x:v>
      </x:c>
      <x:c r="D3489" s="19" t="str">
        <x:v>C07-M035</x:v>
      </x:c>
      <x:c r="E3489" s="19" t="str">
        <x:v>冰祭审判者·诺薇</x:v>
      </x:c>
      <x:c r="F3489" s="19" t="str">
        <x:v>地图BOSS</x:v>
      </x:c>
      <x:c r="G3489" s="19" t="str">
        <x:v>材料独立候选</x:v>
      </x:c>
      <x:c r="H3489" s="19" t="str">
        <x:v>永霜朝圣痕</x:v>
      </x:c>
      <x:c r="I3489" s="22" t="n">
        <x:v>800000</x:v>
      </x:c>
      <x:c r="J3489" s="22" t="n">
        <x:v>1</x:v>
      </x:c>
      <x:c r="K3489" s="19" t="n">
        <x:v>1</x:v>
      </x:c>
      <x:c r="L3489" s="24" t="n">
        <x:v>49.547</x:v>
      </x:c>
      <x:c r="M3489" s="26" t="n">
        <x:v>0.1</x:v>
      </x:c>
      <x:c r="N3489" s="24" t="n">
        <x:v>2</x:v>
      </x:c>
      <x:c r="O3489" s="28" t="n">
        <x:f>MIN(1,L3489/I3489)</x:f>
        <x:v>0.00006193374999999999</x:v>
      </x:c>
      <x:c r="P3489" s="30" t="n">
        <x:f>O3489*J3489*(1+M3489)</x:f>
        <x:v>0.000068127125</x:v>
      </x:c>
      <x:c r="Q3489" s="30" t="n">
        <x:f>P3489*N3489</x:f>
        <x:v>0.00013625425</x:v>
      </x:c>
      <x:c r="R3489" s="19" t="str">
        <x:v>独立判定</x:v>
      </x:c>
    </x:row>
    <x:row r="3490" ht="19" customHeight="1">
      <x:c r="A3490" s="19" t="str">
        <x:v>D03486</x:v>
      </x:c>
      <x:c r="B3490" s="19" t="n">
        <x:v>7</x:v>
      </x:c>
      <x:c r="C3490" s="19" t="n">
        <x:v>3</x:v>
      </x:c>
      <x:c r="D3490" s="19" t="str">
        <x:v>C07-M035</x:v>
      </x:c>
      <x:c r="E3490" s="19" t="str">
        <x:v>冰祭审判者·诺薇</x:v>
      </x:c>
      <x:c r="F3490" s="19" t="str">
        <x:v>地图BOSS</x:v>
      </x:c>
      <x:c r="G3490" s="19" t="str">
        <x:v>材料独立候选</x:v>
      </x:c>
      <x:c r="H3490" s="19" t="str">
        <x:v>黄金树芽</x:v>
      </x:c>
      <x:c r="I3490" s="22" t="n">
        <x:v>4000</x:v>
      </x:c>
      <x:c r="J3490" s="22" t="n">
        <x:v>1</x:v>
      </x:c>
      <x:c r="K3490" s="19" t="n">
        <x:v>1</x:v>
      </x:c>
      <x:c r="L3490" s="24" t="n">
        <x:v>49.547</x:v>
      </x:c>
      <x:c r="M3490" s="26" t="n">
        <x:v>0.1</x:v>
      </x:c>
      <x:c r="N3490" s="24" t="n">
        <x:v>2</x:v>
      </x:c>
      <x:c r="O3490" s="28" t="n">
        <x:f>MIN(1,L3490/I3490)</x:f>
        <x:v>0.012386749999999998</x:v>
      </x:c>
      <x:c r="P3490" s="30" t="n">
        <x:f>O3490*J3490*(1+M3490)</x:f>
        <x:v>0.013625425</x:v>
      </x:c>
      <x:c r="Q3490" s="30" t="n">
        <x:f>P3490*N3490</x:f>
        <x:v>0.02725085</x:v>
      </x:c>
      <x:c r="R3490" s="19" t="str">
        <x:v>独立判定</x:v>
      </x:c>
    </x:row>
    <x:row r="3491" ht="19" customHeight="1">
      <x:c r="A3491" s="19" t="str">
        <x:v>D03487</x:v>
      </x:c>
      <x:c r="B3491" s="19" t="n">
        <x:v>7</x:v>
      </x:c>
      <x:c r="C3491" s="19" t="n">
        <x:v>3</x:v>
      </x:c>
      <x:c r="D3491" s="19" t="str">
        <x:v>C07-M035</x:v>
      </x:c>
      <x:c r="E3491" s="19" t="str">
        <x:v>冰祭审判者·诺薇</x:v>
      </x:c>
      <x:c r="F3491" s="19" t="str">
        <x:v>地图BOSS</x:v>
      </x:c>
      <x:c r="G3491" s="19" t="str">
        <x:v>材料独立候选</x:v>
      </x:c>
      <x:c r="H3491" s="19" t="str">
        <x:v>野兽骨片</x:v>
      </x:c>
      <x:c r="I3491" s="22" t="n">
        <x:v>80</x:v>
      </x:c>
      <x:c r="J3491" s="22" t="n">
        <x:v>5</x:v>
      </x:c>
      <x:c r="K3491" s="19" t="n">
        <x:v>1</x:v>
      </x:c>
      <x:c r="L3491" s="24" t="n">
        <x:v>49.547</x:v>
      </x:c>
      <x:c r="M3491" s="26" t="n">
        <x:v>0.1</x:v>
      </x:c>
      <x:c r="N3491" s="24" t="n">
        <x:v>2</x:v>
      </x:c>
      <x:c r="O3491" s="28" t="n">
        <x:f>MIN(1,L3491/I3491)</x:f>
        <x:v>0.6193375</x:v>
      </x:c>
      <x:c r="P3491" s="30" t="n">
        <x:f>O3491*J3491*(1+M3491)</x:f>
        <x:v>3.40635625</x:v>
      </x:c>
      <x:c r="Q3491" s="30" t="n">
        <x:f>P3491*N3491</x:f>
        <x:v>6.8127125</x:v>
      </x:c>
      <x:c r="R3491" s="19" t="str">
        <x:v>独立判定</x:v>
      </x:c>
    </x:row>
    <x:row r="3492" ht="19" customHeight="1">
      <x:c r="A3492" s="19" t="str">
        <x:v>D03488</x:v>
      </x:c>
      <x:c r="B3492" s="19" t="n">
        <x:v>7</x:v>
      </x:c>
      <x:c r="C3492" s="19" t="n">
        <x:v>3</x:v>
      </x:c>
      <x:c r="D3492" s="19" t="str">
        <x:v>C07-M035</x:v>
      </x:c>
      <x:c r="E3492" s="19" t="str">
        <x:v>冰祭审判者·诺薇</x:v>
      </x:c>
      <x:c r="F3492" s="19" t="str">
        <x:v>地图BOSS</x:v>
      </x:c>
      <x:c r="G3492" s="19" t="str">
        <x:v>材料独立候选</x:v>
      </x:c>
      <x:c r="H3492" s="19" t="str">
        <x:v>技能残页</x:v>
      </x:c>
      <x:c r="I3492" s="22" t="n">
        <x:v>500</x:v>
      </x:c>
      <x:c r="J3492" s="22" t="n">
        <x:v>1</x:v>
      </x:c>
      <x:c r="K3492" s="19" t="n">
        <x:v>1</x:v>
      </x:c>
      <x:c r="L3492" s="24" t="n">
        <x:v>49.547</x:v>
      </x:c>
      <x:c r="M3492" s="26" t="n">
        <x:v>0.1</x:v>
      </x:c>
      <x:c r="N3492" s="24" t="n">
        <x:v>2</x:v>
      </x:c>
      <x:c r="O3492" s="28" t="n">
        <x:f>MIN(1,L3492/I3492)</x:f>
        <x:v>0.09909399999999999</x:v>
      </x:c>
      <x:c r="P3492" s="30" t="n">
        <x:f>O3492*J3492*(1+M3492)</x:f>
        <x:v>0.1090034</x:v>
      </x:c>
      <x:c r="Q3492" s="30" t="n">
        <x:f>P3492*N3492</x:f>
        <x:v>0.2180068</x:v>
      </x:c>
      <x:c r="R3492" s="19" t="str">
        <x:v>独立判定</x:v>
      </x:c>
    </x:row>
    <x:row r="3493" ht="19" customHeight="1">
      <x:c r="A3493" s="19" t="str">
        <x:v>D03489</x:v>
      </x:c>
      <x:c r="B3493" s="19" t="n">
        <x:v>7</x:v>
      </x:c>
      <x:c r="C3493" s="19" t="n">
        <x:v>3</x:v>
      </x:c>
      <x:c r="D3493" s="19" t="str">
        <x:v>C07-M035</x:v>
      </x:c>
      <x:c r="E3493" s="19" t="str">
        <x:v>冰祭审判者·诺薇</x:v>
      </x:c>
      <x:c r="F3493" s="19" t="str">
        <x:v>地图BOSS</x:v>
      </x:c>
      <x:c r="G3493" s="19" t="str">
        <x:v>材料独立候选</x:v>
      </x:c>
      <x:c r="H3493" s="19" t="str">
        <x:v>宁姆格福誓页</x:v>
      </x:c>
      <x:c r="I3493" s="22" t="n">
        <x:v>600</x:v>
      </x:c>
      <x:c r="J3493" s="22" t="n">
        <x:v>1</x:v>
      </x:c>
      <x:c r="K3493" s="19" t="n">
        <x:v>1</x:v>
      </x:c>
      <x:c r="L3493" s="24" t="n">
        <x:v>49.547</x:v>
      </x:c>
      <x:c r="M3493" s="26" t="n">
        <x:v>0.1</x:v>
      </x:c>
      <x:c r="N3493" s="24" t="n">
        <x:v>2</x:v>
      </x:c>
      <x:c r="O3493" s="28" t="n">
        <x:f>MIN(1,L3493/I3493)</x:f>
        <x:v>0.08257833333333332</x:v>
      </x:c>
      <x:c r="P3493" s="30" t="n">
        <x:f>O3493*J3493*(1+M3493)</x:f>
        <x:v>0.09083616666666666</x:v>
      </x:c>
      <x:c r="Q3493" s="30" t="n">
        <x:f>P3493*N3493</x:f>
        <x:v>0.18167233333333332</x:v>
      </x:c>
      <x:c r="R3493" s="19" t="str">
        <x:v>独立判定</x:v>
      </x:c>
    </x:row>
    <x:row r="3494" ht="19" customHeight="1">
      <x:c r="A3494" s="19" t="str">
        <x:v>D03490</x:v>
      </x:c>
      <x:c r="B3494" s="19" t="n">
        <x:v>7</x:v>
      </x:c>
      <x:c r="C3494" s="19" t="n">
        <x:v>3</x:v>
      </x:c>
      <x:c r="D3494" s="19" t="str">
        <x:v>C07-M035</x:v>
      </x:c>
      <x:c r="E3494" s="19" t="str">
        <x:v>冰祭审判者·诺薇</x:v>
      </x:c>
      <x:c r="F3494" s="19" t="str">
        <x:v>地图BOSS</x:v>
      </x:c>
      <x:c r="G3494" s="19" t="str">
        <x:v>材料独立候选</x:v>
      </x:c>
      <x:c r="H3494" s="19" t="str">
        <x:v>小卢恩</x:v>
      </x:c>
      <x:c r="I3494" s="22" t="n">
        <x:v>5000</x:v>
      </x:c>
      <x:c r="J3494" s="22" t="n">
        <x:v>1</x:v>
      </x:c>
      <x:c r="K3494" s="19" t="n">
        <x:v>1</x:v>
      </x:c>
      <x:c r="L3494" s="24" t="n">
        <x:v>49.547</x:v>
      </x:c>
      <x:c r="M3494" s="26" t="n">
        <x:v>0.1</x:v>
      </x:c>
      <x:c r="N3494" s="24" t="n">
        <x:v>2</x:v>
      </x:c>
      <x:c r="O3494" s="28" t="n">
        <x:f>MIN(1,L3494/I3494)</x:f>
        <x:v>0.009909399999999999</x:v>
      </x:c>
      <x:c r="P3494" s="30" t="n">
        <x:f>O3494*J3494*(1+M3494)</x:f>
        <x:v>0.01090034</x:v>
      </x:c>
      <x:c r="Q3494" s="30" t="n">
        <x:f>P3494*N3494</x:f>
        <x:v>0.02180068</x:v>
      </x:c>
      <x:c r="R3494" s="19" t="str">
        <x:v>独立判定</x:v>
      </x:c>
    </x:row>
    <x:row r="3495" ht="19" customHeight="1">
      <x:c r="A3495" s="19" t="str">
        <x:v>D03491</x:v>
      </x:c>
      <x:c r="B3495" s="19" t="n">
        <x:v>7</x:v>
      </x:c>
      <x:c r="C3495" s="19" t="n">
        <x:v>3</x:v>
      </x:c>
      <x:c r="D3495" s="19" t="str">
        <x:v>C07-M035</x:v>
      </x:c>
      <x:c r="E3495" s="19" t="str">
        <x:v>冰祭审判者·诺薇</x:v>
      </x:c>
      <x:c r="F3495" s="19" t="str">
        <x:v>地图BOSS</x:v>
      </x:c>
      <x:c r="G3495" s="19" t="str">
        <x:v>材料独立候选</x:v>
      </x:c>
      <x:c r="H3495" s="19" t="str">
        <x:v>大卢恩</x:v>
      </x:c>
      <x:c r="I3495" s="22" t="n">
        <x:v>400</x:v>
      </x:c>
      <x:c r="J3495" s="22" t="n">
        <x:v>1</x:v>
      </x:c>
      <x:c r="K3495" s="19" t="n">
        <x:v>1</x:v>
      </x:c>
      <x:c r="L3495" s="24" t="n">
        <x:v>49.547</x:v>
      </x:c>
      <x:c r="M3495" s="26" t="n">
        <x:v>0.1</x:v>
      </x:c>
      <x:c r="N3495" s="24" t="n">
        <x:v>2</x:v>
      </x:c>
      <x:c r="O3495" s="28" t="n">
        <x:f>MIN(1,L3495/I3495)</x:f>
        <x:v>0.12386749999999999</x:v>
      </x:c>
      <x:c r="P3495" s="30" t="n">
        <x:f>O3495*J3495*(1+M3495)</x:f>
        <x:v>0.13625425</x:v>
      </x:c>
      <x:c r="Q3495" s="30" t="n">
        <x:f>P3495*N3495</x:f>
        <x:v>0.2725085</x:v>
      </x:c>
      <x:c r="R3495" s="19" t="str">
        <x:v>独立判定</x:v>
      </x:c>
    </x:row>
    <x:row r="3496" ht="19" customHeight="1">
      <x:c r="A3496" s="19" t="str">
        <x:v>D03492</x:v>
      </x:c>
      <x:c r="B3496" s="19" t="n">
        <x:v>7</x:v>
      </x:c>
      <x:c r="C3496" s="19" t="n">
        <x:v>3</x:v>
      </x:c>
      <x:c r="D3496" s="19" t="str">
        <x:v>C07-M035</x:v>
      </x:c>
      <x:c r="E3496" s="19" t="str">
        <x:v>冰祭审判者·诺薇</x:v>
      </x:c>
      <x:c r="F3496" s="19" t="str">
        <x:v>地图BOSS</x:v>
      </x:c>
      <x:c r="G3496" s="19" t="str">
        <x:v>六神器公共池</x:v>
      </x:c>
      <x:c r="H3496" s="19" t="str">
        <x:v>POOL006</x:v>
      </x:c>
      <x:c r="I3496" s="22" t="n">
        <x:v>200000</x:v>
      </x:c>
      <x:c r="J3496" s="22" t="n">
        <x:v>1</x:v>
      </x:c>
      <x:c r="K3496" s="19" t="n">
        <x:v>6</x:v>
      </x:c>
      <x:c r="L3496" s="24" t="n">
        <x:v>49.547</x:v>
      </x:c>
      <x:c r="M3496" s="26" t="n">
        <x:v>0.1</x:v>
      </x:c>
      <x:c r="N3496" s="24" t="n">
        <x:v>2</x:v>
      </x:c>
      <x:c r="O3496" s="28" t="n">
        <x:f>MIN(1,L3496/I3496)</x:f>
        <x:v>0.00024773499999999996</x:v>
      </x:c>
      <x:c r="P3496" s="30" t="n">
        <x:f>O3496*J3496*(1+M3496)</x:f>
        <x:v>0.0002725085</x:v>
      </x:c>
      <x:c r="Q3496" s="30" t="n">
        <x:f>P3496*N3496</x:f>
        <x:v>0.000545017</x:v>
      </x:c>
      <x:c r="R3496" s="19" t="str">
        <x:v>六选一；非6个独立爆率</x:v>
      </x:c>
    </x:row>
    <x:row r="3497" ht="19" customHeight="1">
      <x:c r="A3497" s="19" t="str">
        <x:v>D03493</x:v>
      </x:c>
      <x:c r="B3497" s="19" t="n">
        <x:v>7</x:v>
      </x:c>
      <x:c r="C3497" s="19" t="n">
        <x:v>3</x:v>
      </x:c>
      <x:c r="D3497" s="19" t="str">
        <x:v>C07-M036</x:v>
      </x:c>
      <x:c r="E3497" s="19" t="str">
        <x:v>极寒圣女·希尔达</x:v>
      </x:c>
      <x:c r="F3497" s="19" t="str">
        <x:v>地图BOSS</x:v>
      </x:c>
      <x:c r="G3497" s="19" t="str">
        <x:v>自身专属</x:v>
      </x:c>
      <x:c r="H3497" s="19" t="str">
        <x:v>希尔达圣冠</x:v>
      </x:c>
      <x:c r="I3497" s="22" t="n">
        <x:v>400</x:v>
      </x:c>
      <x:c r="J3497" s="22" t="n">
        <x:v>1</x:v>
      </x:c>
      <x:c r="K3497" s="19" t="n">
        <x:v>1</x:v>
      </x:c>
      <x:c r="L3497" s="24" t="n">
        <x:v>49.547</x:v>
      </x:c>
      <x:c r="M3497" s="26" t="n">
        <x:v>0.1</x:v>
      </x:c>
      <x:c r="N3497" s="24" t="n">
        <x:v>2</x:v>
      </x:c>
      <x:c r="O3497" s="28" t="n">
        <x:f>MIN(1,L3497/I3497)</x:f>
        <x:v>0.12386749999999999</x:v>
      </x:c>
      <x:c r="P3497" s="30" t="n">
        <x:f>O3497*J3497*(1+M3497)</x:f>
        <x:v>0.13625425</x:v>
      </x:c>
      <x:c r="Q3497" s="30" t="n">
        <x:f>P3497*N3497</x:f>
        <x:v>0.2725085</x:v>
      </x:c>
      <x:c r="R3497" s="19" t="str">
        <x:v>独立判定</x:v>
      </x:c>
    </x:row>
    <x:row r="3498" ht="19" customHeight="1">
      <x:c r="A3498" s="19" t="str">
        <x:v>D03494</x:v>
      </x:c>
      <x:c r="B3498" s="19" t="n">
        <x:v>7</x:v>
      </x:c>
      <x:c r="C3498" s="19" t="n">
        <x:v>3</x:v>
      </x:c>
      <x:c r="D3498" s="19" t="str">
        <x:v>C07-M036</x:v>
      </x:c>
      <x:c r="E3498" s="19" t="str">
        <x:v>极寒圣女·希尔达</x:v>
      </x:c>
      <x:c r="F3498" s="19" t="str">
        <x:v>地图BOSS</x:v>
      </x:c>
      <x:c r="G3498" s="19" t="str">
        <x:v>自身专属</x:v>
      </x:c>
      <x:c r="H3498" s="19" t="str">
        <x:v>长眠霜镯</x:v>
      </x:c>
      <x:c r="I3498" s="22" t="n">
        <x:v>400</x:v>
      </x:c>
      <x:c r="J3498" s="22" t="n">
        <x:v>1</x:v>
      </x:c>
      <x:c r="K3498" s="19" t="n">
        <x:v>1</x:v>
      </x:c>
      <x:c r="L3498" s="24" t="n">
        <x:v>49.547</x:v>
      </x:c>
      <x:c r="M3498" s="26" t="n">
        <x:v>0.1</x:v>
      </x:c>
      <x:c r="N3498" s="24" t="n">
        <x:v>2</x:v>
      </x:c>
      <x:c r="O3498" s="28" t="n">
        <x:f>MIN(1,L3498/I3498)</x:f>
        <x:v>0.12386749999999999</x:v>
      </x:c>
      <x:c r="P3498" s="30" t="n">
        <x:f>O3498*J3498*(1+M3498)</x:f>
        <x:v>0.13625425</x:v>
      </x:c>
      <x:c r="Q3498" s="30" t="n">
        <x:f>P3498*N3498</x:f>
        <x:v>0.2725085</x:v>
      </x:c>
      <x:c r="R3498" s="19" t="str">
        <x:v>独立判定</x:v>
      </x:c>
    </x:row>
    <x:row r="3499" ht="19" customHeight="1">
      <x:c r="A3499" s="19" t="str">
        <x:v>D03495</x:v>
      </x:c>
      <x:c r="B3499" s="19" t="n">
        <x:v>7</x:v>
      </x:c>
      <x:c r="C3499" s="19" t="n">
        <x:v>3</x:v>
      </x:c>
      <x:c r="D3499" s="19" t="str">
        <x:v>C07-M036</x:v>
      </x:c>
      <x:c r="E3499" s="19" t="str">
        <x:v>极寒圣女·希尔达</x:v>
      </x:c>
      <x:c r="F3499" s="19" t="str">
        <x:v>地图BOSS</x:v>
      </x:c>
      <x:c r="G3499" s="19" t="str">
        <x:v>自身专属</x:v>
      </x:c>
      <x:c r="H3499" s="19" t="str">
        <x:v>寒枝羊魂</x:v>
      </x:c>
      <x:c r="I3499" s="22" t="n">
        <x:v>400</x:v>
      </x:c>
      <x:c r="J3499" s="22" t="n">
        <x:v>1</x:v>
      </x:c>
      <x:c r="K3499" s="19" t="n">
        <x:v>1</x:v>
      </x:c>
      <x:c r="L3499" s="24" t="n">
        <x:v>49.547</x:v>
      </x:c>
      <x:c r="M3499" s="26" t="n">
        <x:v>0.1</x:v>
      </x:c>
      <x:c r="N3499" s="24" t="n">
        <x:v>2</x:v>
      </x:c>
      <x:c r="O3499" s="28" t="n">
        <x:f>MIN(1,L3499/I3499)</x:f>
        <x:v>0.12386749999999999</x:v>
      </x:c>
      <x:c r="P3499" s="30" t="n">
        <x:f>O3499*J3499*(1+M3499)</x:f>
        <x:v>0.13625425</x:v>
      </x:c>
      <x:c r="Q3499" s="30" t="n">
        <x:f>P3499*N3499</x:f>
        <x:v>0.2725085</x:v>
      </x:c>
      <x:c r="R3499" s="19" t="str">
        <x:v>独立判定</x:v>
      </x:c>
    </x:row>
    <x:row r="3500" ht="19" customHeight="1">
      <x:c r="A3500" s="19" t="str">
        <x:v>D03496</x:v>
      </x:c>
      <x:c r="B3500" s="19" t="n">
        <x:v>7</x:v>
      </x:c>
      <x:c r="C3500" s="19" t="n">
        <x:v>3</x:v>
      </x:c>
      <x:c r="D3500" s="19" t="str">
        <x:v>C07-M036</x:v>
      </x:c>
      <x:c r="E3500" s="19" t="str">
        <x:v>极寒圣女·希尔达</x:v>
      </x:c>
      <x:c r="F3500" s="19" t="str">
        <x:v>地图BOSS</x:v>
      </x:c>
      <x:c r="G3500" s="19" t="str">
        <x:v>本图普通兼掉候选</x:v>
      </x:c>
      <x:c r="H3500" s="19" t="str">
        <x:v>POOL059</x:v>
      </x:c>
      <x:c r="I3500" s="22" t="n">
        <x:v>120</x:v>
      </x:c>
      <x:c r="J3500" s="22" t="n">
        <x:v>1</x:v>
      </x:c>
      <x:c r="K3500" s="19" t="n">
        <x:v>1</x:v>
      </x:c>
      <x:c r="L3500" s="24" t="n">
        <x:v>49.547</x:v>
      </x:c>
      <x:c r="M3500" s="26" t="n">
        <x:v>0.1</x:v>
      </x:c>
      <x:c r="N3500" s="24" t="n">
        <x:v>2</x:v>
      </x:c>
      <x:c r="O3500" s="28" t="n">
        <x:f>MIN(1,L3500/I3500)</x:f>
        <x:v>0.41289166666666666</x:v>
      </x:c>
      <x:c r="P3500" s="30" t="n">
        <x:f>O3500*J3500*(1+M3500)</x:f>
        <x:v>0.45418083333333337</x:v>
      </x:c>
      <x:c r="Q3500" s="30" t="n">
        <x:f>P3500*N3500</x:f>
        <x:v>0.9083616666666667</x:v>
      </x:c>
      <x:c r="R3500" s="19" t="str">
        <x:v>单池选一</x:v>
      </x:c>
    </x:row>
    <x:row r="3501" ht="19" customHeight="1">
      <x:c r="A3501" s="19" t="str">
        <x:v>D03497</x:v>
      </x:c>
      <x:c r="B3501" s="19" t="n">
        <x:v>7</x:v>
      </x:c>
      <x:c r="C3501" s="19" t="n">
        <x:v>3</x:v>
      </x:c>
      <x:c r="D3501" s="19" t="str">
        <x:v>C07-M036</x:v>
      </x:c>
      <x:c r="E3501" s="19" t="str">
        <x:v>极寒圣女·希尔达</x:v>
      </x:c>
      <x:c r="F3501" s="19" t="str">
        <x:v>地图BOSS</x:v>
      </x:c>
      <x:c r="G3501" s="19" t="str">
        <x:v>材料独立候选</x:v>
      </x:c>
      <x:c r="H3501" s="19" t="str">
        <x:v>冻晶尘</x:v>
      </x:c>
      <x:c r="I3501" s="22" t="n">
        <x:v>400</x:v>
      </x:c>
      <x:c r="J3501" s="22" t="n">
        <x:v>30</x:v>
      </x:c>
      <x:c r="K3501" s="19" t="n">
        <x:v>1</x:v>
      </x:c>
      <x:c r="L3501" s="24" t="n">
        <x:v>49.547</x:v>
      </x:c>
      <x:c r="M3501" s="26" t="n">
        <x:v>0.1</x:v>
      </x:c>
      <x:c r="N3501" s="24" t="n">
        <x:v>2</x:v>
      </x:c>
      <x:c r="O3501" s="28" t="n">
        <x:f>MIN(1,L3501/I3501)</x:f>
        <x:v>0.12386749999999999</x:v>
      </x:c>
      <x:c r="P3501" s="30" t="n">
        <x:f>O3501*J3501*(1+M3501)</x:f>
        <x:v>4.0876275</x:v>
      </x:c>
      <x:c r="Q3501" s="30" t="n">
        <x:f>P3501*N3501</x:f>
        <x:v>8.175255</x:v>
      </x:c>
      <x:c r="R3501" s="19" t="str">
        <x:v>独立判定</x:v>
      </x:c>
    </x:row>
    <x:row r="3502" ht="19" customHeight="1">
      <x:c r="A3502" s="19" t="str">
        <x:v>D03498</x:v>
      </x:c>
      <x:c r="B3502" s="19" t="n">
        <x:v>7</x:v>
      </x:c>
      <x:c r="C3502" s="19" t="n">
        <x:v>3</x:v>
      </x:c>
      <x:c r="D3502" s="19" t="str">
        <x:v>C07-M036</x:v>
      </x:c>
      <x:c r="E3502" s="19" t="str">
        <x:v>极寒圣女·希尔达</x:v>
      </x:c>
      <x:c r="F3502" s="19" t="str">
        <x:v>地图BOSS</x:v>
      </x:c>
      <x:c r="G3502" s="19" t="str">
        <x:v>材料独立候选</x:v>
      </x:c>
      <x:c r="H3502" s="19" t="str">
        <x:v>白金纺线</x:v>
      </x:c>
      <x:c r="I3502" s="22" t="n">
        <x:v>600</x:v>
      </x:c>
      <x:c r="J3502" s="22" t="n">
        <x:v>1</x:v>
      </x:c>
      <x:c r="K3502" s="19" t="n">
        <x:v>1</x:v>
      </x:c>
      <x:c r="L3502" s="24" t="n">
        <x:v>49.547</x:v>
      </x:c>
      <x:c r="M3502" s="26" t="n">
        <x:v>0.1</x:v>
      </x:c>
      <x:c r="N3502" s="24" t="n">
        <x:v>2</x:v>
      </x:c>
      <x:c r="O3502" s="28" t="n">
        <x:f>MIN(1,L3502/I3502)</x:f>
        <x:v>0.08257833333333332</x:v>
      </x:c>
      <x:c r="P3502" s="30" t="n">
        <x:f>O3502*J3502*(1+M3502)</x:f>
        <x:v>0.09083616666666666</x:v>
      </x:c>
      <x:c r="Q3502" s="30" t="n">
        <x:f>P3502*N3502</x:f>
        <x:v>0.18167233333333332</x:v>
      </x:c>
      <x:c r="R3502" s="19" t="str">
        <x:v>独立判定</x:v>
      </x:c>
    </x:row>
    <x:row r="3503" ht="19" customHeight="1">
      <x:c r="A3503" s="19" t="str">
        <x:v>D03499</x:v>
      </x:c>
      <x:c r="B3503" s="19" t="n">
        <x:v>7</x:v>
      </x:c>
      <x:c r="C3503" s="19" t="n">
        <x:v>3</x:v>
      </x:c>
      <x:c r="D3503" s="19" t="str">
        <x:v>C07-M036</x:v>
      </x:c>
      <x:c r="E3503" s="19" t="str">
        <x:v>极寒圣女·希尔达</x:v>
      </x:c>
      <x:c r="F3503" s="19" t="str">
        <x:v>地图BOSS</x:v>
      </x:c>
      <x:c r="G3503" s="19" t="str">
        <x:v>材料独立候选</x:v>
      </x:c>
      <x:c r="H3503" s="19" t="str">
        <x:v>圣雪誓印</x:v>
      </x:c>
      <x:c r="I3503" s="22" t="n">
        <x:v>250</x:v>
      </x:c>
      <x:c r="J3503" s="22" t="n">
        <x:v>4</x:v>
      </x:c>
      <x:c r="K3503" s="19" t="n">
        <x:v>1</x:v>
      </x:c>
      <x:c r="L3503" s="24" t="n">
        <x:v>49.547</x:v>
      </x:c>
      <x:c r="M3503" s="26" t="n">
        <x:v>0.1</x:v>
      </x:c>
      <x:c r="N3503" s="24" t="n">
        <x:v>2</x:v>
      </x:c>
      <x:c r="O3503" s="28" t="n">
        <x:f>MIN(1,L3503/I3503)</x:f>
        <x:v>0.19818799999999998</x:v>
      </x:c>
      <x:c r="P3503" s="30" t="n">
        <x:f>O3503*J3503*(1+M3503)</x:f>
        <x:v>0.8720272</x:v>
      </x:c>
      <x:c r="Q3503" s="30" t="n">
        <x:f>P3503*N3503</x:f>
        <x:v>1.7440544</x:v>
      </x:c>
      <x:c r="R3503" s="19" t="str">
        <x:v>独立判定</x:v>
      </x:c>
    </x:row>
    <x:row r="3504" ht="19" customHeight="1">
      <x:c r="A3504" s="19" t="str">
        <x:v>D03500</x:v>
      </x:c>
      <x:c r="B3504" s="19" t="n">
        <x:v>7</x:v>
      </x:c>
      <x:c r="C3504" s="19" t="n">
        <x:v>3</x:v>
      </x:c>
      <x:c r="D3504" s="19" t="str">
        <x:v>C07-M036</x:v>
      </x:c>
      <x:c r="E3504" s="19" t="str">
        <x:v>极寒圣女·希尔达</x:v>
      </x:c>
      <x:c r="F3504" s="19" t="str">
        <x:v>地图BOSS</x:v>
      </x:c>
      <x:c r="G3504" s="19" t="str">
        <x:v>材料独立候选</x:v>
      </x:c>
      <x:c r="H3504" s="19" t="str">
        <x:v>秘树霜芽</x:v>
      </x:c>
      <x:c r="I3504" s="22" t="n">
        <x:v>200</x:v>
      </x:c>
      <x:c r="J3504" s="22" t="n">
        <x:v>3</x:v>
      </x:c>
      <x:c r="K3504" s="19" t="n">
        <x:v>1</x:v>
      </x:c>
      <x:c r="L3504" s="24" t="n">
        <x:v>49.547</x:v>
      </x:c>
      <x:c r="M3504" s="26" t="n">
        <x:v>0.1</x:v>
      </x:c>
      <x:c r="N3504" s="24" t="n">
        <x:v>2</x:v>
      </x:c>
      <x:c r="O3504" s="28" t="n">
        <x:f>MIN(1,L3504/I3504)</x:f>
        <x:v>0.24773499999999998</x:v>
      </x:c>
      <x:c r="P3504" s="30" t="n">
        <x:f>O3504*J3504*(1+M3504)</x:f>
        <x:v>0.8175254999999999</x:v>
      </x:c>
      <x:c r="Q3504" s="30" t="n">
        <x:f>P3504*N3504</x:f>
        <x:v>1.6350509999999998</x:v>
      </x:c>
      <x:c r="R3504" s="19" t="str">
        <x:v>独立判定</x:v>
      </x:c>
    </x:row>
    <x:row r="3505" ht="19" customHeight="1">
      <x:c r="A3505" s="19" t="str">
        <x:v>D03501</x:v>
      </x:c>
      <x:c r="B3505" s="19" t="n">
        <x:v>7</x:v>
      </x:c>
      <x:c r="C3505" s="19" t="n">
        <x:v>3</x:v>
      </x:c>
      <x:c r="D3505" s="19" t="str">
        <x:v>C07-M036</x:v>
      </x:c>
      <x:c r="E3505" s="19" t="str">
        <x:v>极寒圣女·希尔达</x:v>
      </x:c>
      <x:c r="F3505" s="19" t="str">
        <x:v>地图BOSS</x:v>
      </x:c>
      <x:c r="G3505" s="19" t="str">
        <x:v>材料独立候选</x:v>
      </x:c>
      <x:c r="H3505" s="19" t="str">
        <x:v>永霜朝圣痕</x:v>
      </x:c>
      <x:c r="I3505" s="22" t="n">
        <x:v>800000</x:v>
      </x:c>
      <x:c r="J3505" s="22" t="n">
        <x:v>1</x:v>
      </x:c>
      <x:c r="K3505" s="19" t="n">
        <x:v>1</x:v>
      </x:c>
      <x:c r="L3505" s="24" t="n">
        <x:v>49.547</x:v>
      </x:c>
      <x:c r="M3505" s="26" t="n">
        <x:v>0.1</x:v>
      </x:c>
      <x:c r="N3505" s="24" t="n">
        <x:v>2</x:v>
      </x:c>
      <x:c r="O3505" s="28" t="n">
        <x:f>MIN(1,L3505/I3505)</x:f>
        <x:v>0.00006193374999999999</x:v>
      </x:c>
      <x:c r="P3505" s="30" t="n">
        <x:f>O3505*J3505*(1+M3505)</x:f>
        <x:v>0.000068127125</x:v>
      </x:c>
      <x:c r="Q3505" s="30" t="n">
        <x:f>P3505*N3505</x:f>
        <x:v>0.00013625425</x:v>
      </x:c>
      <x:c r="R3505" s="19" t="str">
        <x:v>独立判定</x:v>
      </x:c>
    </x:row>
    <x:row r="3506" ht="19" customHeight="1">
      <x:c r="A3506" s="19" t="str">
        <x:v>D03502</x:v>
      </x:c>
      <x:c r="B3506" s="19" t="n">
        <x:v>7</x:v>
      </x:c>
      <x:c r="C3506" s="19" t="n">
        <x:v>3</x:v>
      </x:c>
      <x:c r="D3506" s="19" t="str">
        <x:v>C07-M036</x:v>
      </x:c>
      <x:c r="E3506" s="19" t="str">
        <x:v>极寒圣女·希尔达</x:v>
      </x:c>
      <x:c r="F3506" s="19" t="str">
        <x:v>地图BOSS</x:v>
      </x:c>
      <x:c r="G3506" s="19" t="str">
        <x:v>材料独立候选</x:v>
      </x:c>
      <x:c r="H3506" s="19" t="str">
        <x:v>黄金树芽</x:v>
      </x:c>
      <x:c r="I3506" s="22" t="n">
        <x:v>4000</x:v>
      </x:c>
      <x:c r="J3506" s="22" t="n">
        <x:v>1</x:v>
      </x:c>
      <x:c r="K3506" s="19" t="n">
        <x:v>1</x:v>
      </x:c>
      <x:c r="L3506" s="24" t="n">
        <x:v>49.547</x:v>
      </x:c>
      <x:c r="M3506" s="26" t="n">
        <x:v>0.1</x:v>
      </x:c>
      <x:c r="N3506" s="24" t="n">
        <x:v>2</x:v>
      </x:c>
      <x:c r="O3506" s="28" t="n">
        <x:f>MIN(1,L3506/I3506)</x:f>
        <x:v>0.012386749999999998</x:v>
      </x:c>
      <x:c r="P3506" s="30" t="n">
        <x:f>O3506*J3506*(1+M3506)</x:f>
        <x:v>0.013625425</x:v>
      </x:c>
      <x:c r="Q3506" s="30" t="n">
        <x:f>P3506*N3506</x:f>
        <x:v>0.02725085</x:v>
      </x:c>
      <x:c r="R3506" s="19" t="str">
        <x:v>独立判定</x:v>
      </x:c>
    </x:row>
    <x:row r="3507" ht="19" customHeight="1">
      <x:c r="A3507" s="19" t="str">
        <x:v>D03503</x:v>
      </x:c>
      <x:c r="B3507" s="19" t="n">
        <x:v>7</x:v>
      </x:c>
      <x:c r="C3507" s="19" t="n">
        <x:v>3</x:v>
      </x:c>
      <x:c r="D3507" s="19" t="str">
        <x:v>C07-M036</x:v>
      </x:c>
      <x:c r="E3507" s="19" t="str">
        <x:v>极寒圣女·希尔达</x:v>
      </x:c>
      <x:c r="F3507" s="19" t="str">
        <x:v>地图BOSS</x:v>
      </x:c>
      <x:c r="G3507" s="19" t="str">
        <x:v>材料独立候选</x:v>
      </x:c>
      <x:c r="H3507" s="19" t="str">
        <x:v>野兽骨片</x:v>
      </x:c>
      <x:c r="I3507" s="22" t="n">
        <x:v>80</x:v>
      </x:c>
      <x:c r="J3507" s="22" t="n">
        <x:v>5</x:v>
      </x:c>
      <x:c r="K3507" s="19" t="n">
        <x:v>1</x:v>
      </x:c>
      <x:c r="L3507" s="24" t="n">
        <x:v>49.547</x:v>
      </x:c>
      <x:c r="M3507" s="26" t="n">
        <x:v>0.1</x:v>
      </x:c>
      <x:c r="N3507" s="24" t="n">
        <x:v>2</x:v>
      </x:c>
      <x:c r="O3507" s="28" t="n">
        <x:f>MIN(1,L3507/I3507)</x:f>
        <x:v>0.6193375</x:v>
      </x:c>
      <x:c r="P3507" s="30" t="n">
        <x:f>O3507*J3507*(1+M3507)</x:f>
        <x:v>3.40635625</x:v>
      </x:c>
      <x:c r="Q3507" s="30" t="n">
        <x:f>P3507*N3507</x:f>
        <x:v>6.8127125</x:v>
      </x:c>
      <x:c r="R3507" s="19" t="str">
        <x:v>独立判定</x:v>
      </x:c>
    </x:row>
    <x:row r="3508" ht="19" customHeight="1">
      <x:c r="A3508" s="19" t="str">
        <x:v>D03504</x:v>
      </x:c>
      <x:c r="B3508" s="19" t="n">
        <x:v>7</x:v>
      </x:c>
      <x:c r="C3508" s="19" t="n">
        <x:v>3</x:v>
      </x:c>
      <x:c r="D3508" s="19" t="str">
        <x:v>C07-M036</x:v>
      </x:c>
      <x:c r="E3508" s="19" t="str">
        <x:v>极寒圣女·希尔达</x:v>
      </x:c>
      <x:c r="F3508" s="19" t="str">
        <x:v>地图BOSS</x:v>
      </x:c>
      <x:c r="G3508" s="19" t="str">
        <x:v>材料独立候选</x:v>
      </x:c>
      <x:c r="H3508" s="19" t="str">
        <x:v>技能残页</x:v>
      </x:c>
      <x:c r="I3508" s="22" t="n">
        <x:v>500</x:v>
      </x:c>
      <x:c r="J3508" s="22" t="n">
        <x:v>1</x:v>
      </x:c>
      <x:c r="K3508" s="19" t="n">
        <x:v>1</x:v>
      </x:c>
      <x:c r="L3508" s="24" t="n">
        <x:v>49.547</x:v>
      </x:c>
      <x:c r="M3508" s="26" t="n">
        <x:v>0.1</x:v>
      </x:c>
      <x:c r="N3508" s="24" t="n">
        <x:v>2</x:v>
      </x:c>
      <x:c r="O3508" s="28" t="n">
        <x:f>MIN(1,L3508/I3508)</x:f>
        <x:v>0.09909399999999999</x:v>
      </x:c>
      <x:c r="P3508" s="30" t="n">
        <x:f>O3508*J3508*(1+M3508)</x:f>
        <x:v>0.1090034</x:v>
      </x:c>
      <x:c r="Q3508" s="30" t="n">
        <x:f>P3508*N3508</x:f>
        <x:v>0.2180068</x:v>
      </x:c>
      <x:c r="R3508" s="19" t="str">
        <x:v>独立判定</x:v>
      </x:c>
    </x:row>
    <x:row r="3509" ht="19" customHeight="1">
      <x:c r="A3509" s="19" t="str">
        <x:v>D03505</x:v>
      </x:c>
      <x:c r="B3509" s="19" t="n">
        <x:v>7</x:v>
      </x:c>
      <x:c r="C3509" s="19" t="n">
        <x:v>3</x:v>
      </x:c>
      <x:c r="D3509" s="19" t="str">
        <x:v>C07-M036</x:v>
      </x:c>
      <x:c r="E3509" s="19" t="str">
        <x:v>极寒圣女·希尔达</x:v>
      </x:c>
      <x:c r="F3509" s="19" t="str">
        <x:v>地图BOSS</x:v>
      </x:c>
      <x:c r="G3509" s="19" t="str">
        <x:v>材料独立候选</x:v>
      </x:c>
      <x:c r="H3509" s="19" t="str">
        <x:v>宁姆格福誓页</x:v>
      </x:c>
      <x:c r="I3509" s="22" t="n">
        <x:v>600</x:v>
      </x:c>
      <x:c r="J3509" s="22" t="n">
        <x:v>1</x:v>
      </x:c>
      <x:c r="K3509" s="19" t="n">
        <x:v>1</x:v>
      </x:c>
      <x:c r="L3509" s="24" t="n">
        <x:v>49.547</x:v>
      </x:c>
      <x:c r="M3509" s="26" t="n">
        <x:v>0.1</x:v>
      </x:c>
      <x:c r="N3509" s="24" t="n">
        <x:v>2</x:v>
      </x:c>
      <x:c r="O3509" s="28" t="n">
        <x:f>MIN(1,L3509/I3509)</x:f>
        <x:v>0.08257833333333332</x:v>
      </x:c>
      <x:c r="P3509" s="30" t="n">
        <x:f>O3509*J3509*(1+M3509)</x:f>
        <x:v>0.09083616666666666</x:v>
      </x:c>
      <x:c r="Q3509" s="30" t="n">
        <x:f>P3509*N3509</x:f>
        <x:v>0.18167233333333332</x:v>
      </x:c>
      <x:c r="R3509" s="19" t="str">
        <x:v>独立判定</x:v>
      </x:c>
    </x:row>
    <x:row r="3510" ht="19" customHeight="1">
      <x:c r="A3510" s="19" t="str">
        <x:v>D03506</x:v>
      </x:c>
      <x:c r="B3510" s="19" t="n">
        <x:v>7</x:v>
      </x:c>
      <x:c r="C3510" s="19" t="n">
        <x:v>3</x:v>
      </x:c>
      <x:c r="D3510" s="19" t="str">
        <x:v>C07-M036</x:v>
      </x:c>
      <x:c r="E3510" s="19" t="str">
        <x:v>极寒圣女·希尔达</x:v>
      </x:c>
      <x:c r="F3510" s="19" t="str">
        <x:v>地图BOSS</x:v>
      </x:c>
      <x:c r="G3510" s="19" t="str">
        <x:v>材料独立候选</x:v>
      </x:c>
      <x:c r="H3510" s="19" t="str">
        <x:v>小卢恩</x:v>
      </x:c>
      <x:c r="I3510" s="22" t="n">
        <x:v>5000</x:v>
      </x:c>
      <x:c r="J3510" s="22" t="n">
        <x:v>1</x:v>
      </x:c>
      <x:c r="K3510" s="19" t="n">
        <x:v>1</x:v>
      </x:c>
      <x:c r="L3510" s="24" t="n">
        <x:v>49.547</x:v>
      </x:c>
      <x:c r="M3510" s="26" t="n">
        <x:v>0.1</x:v>
      </x:c>
      <x:c r="N3510" s="24" t="n">
        <x:v>2</x:v>
      </x:c>
      <x:c r="O3510" s="28" t="n">
        <x:f>MIN(1,L3510/I3510)</x:f>
        <x:v>0.009909399999999999</x:v>
      </x:c>
      <x:c r="P3510" s="30" t="n">
        <x:f>O3510*J3510*(1+M3510)</x:f>
        <x:v>0.01090034</x:v>
      </x:c>
      <x:c r="Q3510" s="30" t="n">
        <x:f>P3510*N3510</x:f>
        <x:v>0.02180068</x:v>
      </x:c>
      <x:c r="R3510" s="19" t="str">
        <x:v>独立判定</x:v>
      </x:c>
    </x:row>
    <x:row r="3511" ht="19" customHeight="1">
      <x:c r="A3511" s="19" t="str">
        <x:v>D03507</x:v>
      </x:c>
      <x:c r="B3511" s="19" t="n">
        <x:v>7</x:v>
      </x:c>
      <x:c r="C3511" s="19" t="n">
        <x:v>3</x:v>
      </x:c>
      <x:c r="D3511" s="19" t="str">
        <x:v>C07-M036</x:v>
      </x:c>
      <x:c r="E3511" s="19" t="str">
        <x:v>极寒圣女·希尔达</x:v>
      </x:c>
      <x:c r="F3511" s="19" t="str">
        <x:v>地图BOSS</x:v>
      </x:c>
      <x:c r="G3511" s="19" t="str">
        <x:v>材料独立候选</x:v>
      </x:c>
      <x:c r="H3511" s="19" t="str">
        <x:v>大卢恩</x:v>
      </x:c>
      <x:c r="I3511" s="22" t="n">
        <x:v>400</x:v>
      </x:c>
      <x:c r="J3511" s="22" t="n">
        <x:v>1</x:v>
      </x:c>
      <x:c r="K3511" s="19" t="n">
        <x:v>1</x:v>
      </x:c>
      <x:c r="L3511" s="24" t="n">
        <x:v>49.547</x:v>
      </x:c>
      <x:c r="M3511" s="26" t="n">
        <x:v>0.1</x:v>
      </x:c>
      <x:c r="N3511" s="24" t="n">
        <x:v>2</x:v>
      </x:c>
      <x:c r="O3511" s="28" t="n">
        <x:f>MIN(1,L3511/I3511)</x:f>
        <x:v>0.12386749999999999</x:v>
      </x:c>
      <x:c r="P3511" s="30" t="n">
        <x:f>O3511*J3511*(1+M3511)</x:f>
        <x:v>0.13625425</x:v>
      </x:c>
      <x:c r="Q3511" s="30" t="n">
        <x:f>P3511*N3511</x:f>
        <x:v>0.2725085</x:v>
      </x:c>
      <x:c r="R3511" s="19" t="str">
        <x:v>独立判定</x:v>
      </x:c>
    </x:row>
    <x:row r="3512" ht="19" customHeight="1">
      <x:c r="A3512" s="19" t="str">
        <x:v>D03508</x:v>
      </x:c>
      <x:c r="B3512" s="19" t="n">
        <x:v>7</x:v>
      </x:c>
      <x:c r="C3512" s="19" t="n">
        <x:v>3</x:v>
      </x:c>
      <x:c r="D3512" s="19" t="str">
        <x:v>C07-M036</x:v>
      </x:c>
      <x:c r="E3512" s="19" t="str">
        <x:v>极寒圣女·希尔达</x:v>
      </x:c>
      <x:c r="F3512" s="19" t="str">
        <x:v>地图BOSS</x:v>
      </x:c>
      <x:c r="G3512" s="19" t="str">
        <x:v>六神器公共池</x:v>
      </x:c>
      <x:c r="H3512" s="19" t="str">
        <x:v>POOL006</x:v>
      </x:c>
      <x:c r="I3512" s="22" t="n">
        <x:v>200000</x:v>
      </x:c>
      <x:c r="J3512" s="22" t="n">
        <x:v>1</x:v>
      </x:c>
      <x:c r="K3512" s="19" t="n">
        <x:v>6</x:v>
      </x:c>
      <x:c r="L3512" s="24" t="n">
        <x:v>49.547</x:v>
      </x:c>
      <x:c r="M3512" s="26" t="n">
        <x:v>0.1</x:v>
      </x:c>
      <x:c r="N3512" s="24" t="n">
        <x:v>2</x:v>
      </x:c>
      <x:c r="O3512" s="28" t="n">
        <x:f>MIN(1,L3512/I3512)</x:f>
        <x:v>0.00024773499999999996</x:v>
      </x:c>
      <x:c r="P3512" s="30" t="n">
        <x:f>O3512*J3512*(1+M3512)</x:f>
        <x:v>0.0002725085</x:v>
      </x:c>
      <x:c r="Q3512" s="30" t="n">
        <x:f>P3512*N3512</x:f>
        <x:v>0.000545017</x:v>
      </x:c>
      <x:c r="R3512" s="19" t="str">
        <x:v>六选一；非6个独立爆率</x:v>
      </x:c>
    </x:row>
    <x:row r="3513" ht="19" customHeight="1">
      <x:c r="A3513" s="19" t="str">
        <x:v>D03509</x:v>
      </x:c>
      <x:c r="B3513" s="19" t="n">
        <x:v>7</x:v>
      </x:c>
      <x:c r="C3513" s="19" t="n">
        <x:v>3</x:v>
      </x:c>
      <x:c r="D3513" s="19" t="str">
        <x:v>C07-M037</x:v>
      </x:c>
      <x:c r="E3513" s="19" t="str">
        <x:v>化圣霜王·埃琉斯</x:v>
      </x:c>
      <x:c r="F3513" s="19" t="str">
        <x:v>守关BOSS</x:v>
      </x:c>
      <x:c r="G3513" s="19" t="str">
        <x:v>自身专属</x:v>
      </x:c>
      <x:c r="H3513" s="19" t="str">
        <x:v>埃琉斯永霜铠</x:v>
      </x:c>
      <x:c r="I3513" s="22" t="n">
        <x:v>180</x:v>
      </x:c>
      <x:c r="J3513" s="22" t="n">
        <x:v>1</x:v>
      </x:c>
      <x:c r="K3513" s="19" t="n">
        <x:v>1</x:v>
      </x:c>
      <x:c r="L3513" s="24" t="n">
        <x:v>49.547</x:v>
      </x:c>
      <x:c r="M3513" s="26" t="n">
        <x:v>0.1</x:v>
      </x:c>
      <x:c r="N3513" s="24" t="n">
        <x:v>0</x:v>
      </x:c>
      <x:c r="O3513" s="28" t="n">
        <x:f>MIN(1,L3513/I3513)</x:f>
        <x:v>0.27526111111111107</x:v>
      </x:c>
      <x:c r="P3513" s="30" t="n">
        <x:f>O3513*J3513*(1+M3513)</x:f>
        <x:v>0.3027872222222222</x:v>
      </x:c>
      <x:c r="Q3513" s="30" t="n">
        <x:f>P3513*N3513</x:f>
        <x:v>0</x:v>
      </x:c>
      <x:c r="R3513" s="19" t="str">
        <x:v>独立判定</x:v>
      </x:c>
    </x:row>
    <x:row r="3514" ht="19" customHeight="1">
      <x:c r="A3514" s="19" t="str">
        <x:v>D03510</x:v>
      </x:c>
      <x:c r="B3514" s="19" t="n">
        <x:v>7</x:v>
      </x:c>
      <x:c r="C3514" s="19" t="n">
        <x:v>3</x:v>
      </x:c>
      <x:c r="D3514" s="19" t="str">
        <x:v>C07-M037</x:v>
      </x:c>
      <x:c r="E3514" s="19" t="str">
        <x:v>化圣霜王·埃琉斯</x:v>
      </x:c>
      <x:c r="F3514" s="19" t="str">
        <x:v>守关BOSS</x:v>
      </x:c>
      <x:c r="G3514" s="19" t="str">
        <x:v>自身专属</x:v>
      </x:c>
      <x:c r="H3514" s="19" t="str">
        <x:v>霜誓仪镰</x:v>
      </x:c>
      <x:c r="I3514" s="22" t="n">
        <x:v>180</x:v>
      </x:c>
      <x:c r="J3514" s="22" t="n">
        <x:v>1</x:v>
      </x:c>
      <x:c r="K3514" s="19" t="n">
        <x:v>1</x:v>
      </x:c>
      <x:c r="L3514" s="24" t="n">
        <x:v>49.547</x:v>
      </x:c>
      <x:c r="M3514" s="26" t="n">
        <x:v>0.1</x:v>
      </x:c>
      <x:c r="N3514" s="24" t="n">
        <x:v>0</x:v>
      </x:c>
      <x:c r="O3514" s="28" t="n">
        <x:f>MIN(1,L3514/I3514)</x:f>
        <x:v>0.27526111111111107</x:v>
      </x:c>
      <x:c r="P3514" s="30" t="n">
        <x:f>O3514*J3514*(1+M3514)</x:f>
        <x:v>0.3027872222222222</x:v>
      </x:c>
      <x:c r="Q3514" s="30" t="n">
        <x:f>P3514*N3514</x:f>
        <x:v>0</x:v>
      </x:c>
      <x:c r="R3514" s="19" t="str">
        <x:v>独立判定</x:v>
      </x:c>
    </x:row>
    <x:row r="3515" ht="19" customHeight="1">
      <x:c r="A3515" s="19" t="str">
        <x:v>D03511</x:v>
      </x:c>
      <x:c r="B3515" s="19" t="n">
        <x:v>7</x:v>
      </x:c>
      <x:c r="C3515" s="19" t="n">
        <x:v>3</x:v>
      </x:c>
      <x:c r="D3515" s="19" t="str">
        <x:v>C07-M037</x:v>
      </x:c>
      <x:c r="E3515" s="19" t="str">
        <x:v>化圣霜王·埃琉斯</x:v>
      </x:c>
      <x:c r="F3515" s="19" t="str">
        <x:v>守关BOSS</x:v>
      </x:c>
      <x:c r="G3515" s="19" t="str">
        <x:v>自身专属</x:v>
      </x:c>
      <x:c r="H3515" s="19" t="str">
        <x:v>朝圣雪衣</x:v>
      </x:c>
      <x:c r="I3515" s="22" t="n">
        <x:v>180</x:v>
      </x:c>
      <x:c r="J3515" s="22" t="n">
        <x:v>1</x:v>
      </x:c>
      <x:c r="K3515" s="19" t="n">
        <x:v>1</x:v>
      </x:c>
      <x:c r="L3515" s="24" t="n">
        <x:v>49.547</x:v>
      </x:c>
      <x:c r="M3515" s="26" t="n">
        <x:v>0.1</x:v>
      </x:c>
      <x:c r="N3515" s="24" t="n">
        <x:v>0</x:v>
      </x:c>
      <x:c r="O3515" s="28" t="n">
        <x:f>MIN(1,L3515/I3515)</x:f>
        <x:v>0.27526111111111107</x:v>
      </x:c>
      <x:c r="P3515" s="30" t="n">
        <x:f>O3515*J3515*(1+M3515)</x:f>
        <x:v>0.3027872222222222</x:v>
      </x:c>
      <x:c r="Q3515" s="30" t="n">
        <x:f>P3515*N3515</x:f>
        <x:v>0</x:v>
      </x:c>
      <x:c r="R3515" s="19" t="str">
        <x:v>独立判定</x:v>
      </x:c>
    </x:row>
    <x:row r="3516" ht="19" customHeight="1">
      <x:c r="A3516" s="19" t="str">
        <x:v>D03512</x:v>
      </x:c>
      <x:c r="B3516" s="19" t="n">
        <x:v>7</x:v>
      </x:c>
      <x:c r="C3516" s="19" t="n">
        <x:v>3</x:v>
      </x:c>
      <x:c r="D3516" s="19" t="str">
        <x:v>C07-M037</x:v>
      </x:c>
      <x:c r="E3516" s="19" t="str">
        <x:v>化圣霜王·埃琉斯</x:v>
      </x:c>
      <x:c r="F3516" s="19" t="str">
        <x:v>守关BOSS</x:v>
      </x:c>
      <x:c r="G3516" s="19" t="str">
        <x:v>本图普通兼掉候选</x:v>
      </x:c>
      <x:c r="H3516" s="19" t="str">
        <x:v>POOL059</x:v>
      </x:c>
      <x:c r="I3516" s="22" t="n">
        <x:v>120</x:v>
      </x:c>
      <x:c r="J3516" s="22" t="n">
        <x:v>1</x:v>
      </x:c>
      <x:c r="K3516" s="19" t="n">
        <x:v>1</x:v>
      </x:c>
      <x:c r="L3516" s="24" t="n">
        <x:v>49.547</x:v>
      </x:c>
      <x:c r="M3516" s="26" t="n">
        <x:v>0.1</x:v>
      </x:c>
      <x:c r="N3516" s="24" t="n">
        <x:v>0</x:v>
      </x:c>
      <x:c r="O3516" s="28" t="n">
        <x:f>MIN(1,L3516/I3516)</x:f>
        <x:v>0.41289166666666666</x:v>
      </x:c>
      <x:c r="P3516" s="30" t="n">
        <x:f>O3516*J3516*(1+M3516)</x:f>
        <x:v>0.45418083333333337</x:v>
      </x:c>
      <x:c r="Q3516" s="30" t="n">
        <x:f>P3516*N3516</x:f>
        <x:v>0</x:v>
      </x:c>
      <x:c r="R3516" s="19" t="str">
        <x:v>单池选一</x:v>
      </x:c>
    </x:row>
    <x:row r="3517" ht="19" customHeight="1">
      <x:c r="A3517" s="19" t="str">
        <x:v>D03513</x:v>
      </x:c>
      <x:c r="B3517" s="19" t="n">
        <x:v>7</x:v>
      </x:c>
      <x:c r="C3517" s="19" t="n">
        <x:v>3</x:v>
      </x:c>
      <x:c r="D3517" s="19" t="str">
        <x:v>C07-M037</x:v>
      </x:c>
      <x:c r="E3517" s="19" t="str">
        <x:v>化圣霜王·埃琉斯</x:v>
      </x:c>
      <x:c r="F3517" s="19" t="str">
        <x:v>守关BOSS</x:v>
      </x:c>
      <x:c r="G3517" s="19" t="str">
        <x:v>材料独立候选</x:v>
      </x:c>
      <x:c r="H3517" s="19" t="str">
        <x:v>冻晶尘</x:v>
      </x:c>
      <x:c r="I3517" s="22" t="n">
        <x:v>1</x:v>
      </x:c>
      <x:c r="J3517" s="22" t="n">
        <x:v>40</x:v>
      </x:c>
      <x:c r="K3517" s="19" t="n">
        <x:v>1</x:v>
      </x:c>
      <x:c r="L3517" s="24" t="n">
        <x:v>49.547</x:v>
      </x:c>
      <x:c r="M3517" s="26" t="n">
        <x:v>0.1</x:v>
      </x:c>
      <x:c r="N3517" s="24" t="n">
        <x:v>0</x:v>
      </x:c>
      <x:c r="O3517" s="28" t="n">
        <x:f>MIN(1,L3517/I3517)</x:f>
        <x:v>1</x:v>
      </x:c>
      <x:c r="P3517" s="30" t="n">
        <x:f>O3517*J3517*(1+M3517)</x:f>
        <x:v>44</x:v>
      </x:c>
      <x:c r="Q3517" s="30" t="n">
        <x:f>P3517*N3517</x:f>
        <x:v>0</x:v>
      </x:c>
      <x:c r="R3517" s="19" t="str">
        <x:v>独立判定</x:v>
      </x:c>
    </x:row>
    <x:row r="3518" ht="19" customHeight="1">
      <x:c r="A3518" s="19" t="str">
        <x:v>D03514</x:v>
      </x:c>
      <x:c r="B3518" s="19" t="n">
        <x:v>7</x:v>
      </x:c>
      <x:c r="C3518" s="19" t="n">
        <x:v>3</x:v>
      </x:c>
      <x:c r="D3518" s="19" t="str">
        <x:v>C07-M037</x:v>
      </x:c>
      <x:c r="E3518" s="19" t="str">
        <x:v>化圣霜王·埃琉斯</x:v>
      </x:c>
      <x:c r="F3518" s="19" t="str">
        <x:v>守关BOSS</x:v>
      </x:c>
      <x:c r="G3518" s="19" t="str">
        <x:v>材料独立候选</x:v>
      </x:c>
      <x:c r="H3518" s="19" t="str">
        <x:v>白金纺线</x:v>
      </x:c>
      <x:c r="I3518" s="22" t="n">
        <x:v>1</x:v>
      </x:c>
      <x:c r="J3518" s="22" t="n">
        <x:v>1</x:v>
      </x:c>
      <x:c r="K3518" s="19" t="n">
        <x:v>1</x:v>
      </x:c>
      <x:c r="L3518" s="24" t="n">
        <x:v>49.547</x:v>
      </x:c>
      <x:c r="M3518" s="26" t="n">
        <x:v>0.1</x:v>
      </x:c>
      <x:c r="N3518" s="24" t="n">
        <x:v>0</x:v>
      </x:c>
      <x:c r="O3518" s="28" t="n">
        <x:f>MIN(1,L3518/I3518)</x:f>
        <x:v>1</x:v>
      </x:c>
      <x:c r="P3518" s="30" t="n">
        <x:f>O3518*J3518*(1+M3518)</x:f>
        <x:v>1.1</x:v>
      </x:c>
      <x:c r="Q3518" s="30" t="n">
        <x:f>P3518*N3518</x:f>
        <x:v>0</x:v>
      </x:c>
      <x:c r="R3518" s="19" t="str">
        <x:v>独立判定</x:v>
      </x:c>
    </x:row>
    <x:row r="3519" ht="19" customHeight="1">
      <x:c r="A3519" s="19" t="str">
        <x:v>D03515</x:v>
      </x:c>
      <x:c r="B3519" s="19" t="n">
        <x:v>7</x:v>
      </x:c>
      <x:c r="C3519" s="19" t="n">
        <x:v>3</x:v>
      </x:c>
      <x:c r="D3519" s="19" t="str">
        <x:v>C07-M037</x:v>
      </x:c>
      <x:c r="E3519" s="19" t="str">
        <x:v>化圣霜王·埃琉斯</x:v>
      </x:c>
      <x:c r="F3519" s="19" t="str">
        <x:v>守关BOSS</x:v>
      </x:c>
      <x:c r="G3519" s="19" t="str">
        <x:v>材料独立候选</x:v>
      </x:c>
      <x:c r="H3519" s="19" t="str">
        <x:v>圣雪誓印</x:v>
      </x:c>
      <x:c r="I3519" s="22" t="n">
        <x:v>1</x:v>
      </x:c>
      <x:c r="J3519" s="22" t="n">
        <x:v>1</x:v>
      </x:c>
      <x:c r="K3519" s="19" t="n">
        <x:v>1</x:v>
      </x:c>
      <x:c r="L3519" s="24" t="n">
        <x:v>49.547</x:v>
      </x:c>
      <x:c r="M3519" s="26" t="n">
        <x:v>0.1</x:v>
      </x:c>
      <x:c r="N3519" s="24" t="n">
        <x:v>0</x:v>
      </x:c>
      <x:c r="O3519" s="28" t="n">
        <x:f>MIN(1,L3519/I3519)</x:f>
        <x:v>1</x:v>
      </x:c>
      <x:c r="P3519" s="30" t="n">
        <x:f>O3519*J3519*(1+M3519)</x:f>
        <x:v>1.1</x:v>
      </x:c>
      <x:c r="Q3519" s="30" t="n">
        <x:f>P3519*N3519</x:f>
        <x:v>0</x:v>
      </x:c>
      <x:c r="R3519" s="19" t="str">
        <x:v>独立判定</x:v>
      </x:c>
    </x:row>
    <x:row r="3520" ht="19" customHeight="1">
      <x:c r="A3520" s="19" t="str">
        <x:v>D03516</x:v>
      </x:c>
      <x:c r="B3520" s="19" t="n">
        <x:v>7</x:v>
      </x:c>
      <x:c r="C3520" s="19" t="n">
        <x:v>3</x:v>
      </x:c>
      <x:c r="D3520" s="19" t="str">
        <x:v>C07-M037</x:v>
      </x:c>
      <x:c r="E3520" s="19" t="str">
        <x:v>化圣霜王·埃琉斯</x:v>
      </x:c>
      <x:c r="F3520" s="19" t="str">
        <x:v>守关BOSS</x:v>
      </x:c>
      <x:c r="G3520" s="19" t="str">
        <x:v>材料独立候选</x:v>
      </x:c>
      <x:c r="H3520" s="19" t="str">
        <x:v>圣雪门楔</x:v>
      </x:c>
      <x:c r="I3520" s="22" t="n">
        <x:v>1</x:v>
      </x:c>
      <x:c r="J3520" s="22" t="n">
        <x:v>1</x:v>
      </x:c>
      <x:c r="K3520" s="19" t="n">
        <x:v>1</x:v>
      </x:c>
      <x:c r="L3520" s="24" t="n">
        <x:v>49.547</x:v>
      </x:c>
      <x:c r="M3520" s="26" t="n">
        <x:v>0.1</x:v>
      </x:c>
      <x:c r="N3520" s="24" t="n">
        <x:v>0</x:v>
      </x:c>
      <x:c r="O3520" s="28" t="n">
        <x:f>MIN(1,L3520/I3520)</x:f>
        <x:v>1</x:v>
      </x:c>
      <x:c r="P3520" s="30" t="n">
        <x:f>O3520*J3520*(1+M3520)</x:f>
        <x:v>1.1</x:v>
      </x:c>
      <x:c r="Q3520" s="30" t="n">
        <x:f>P3520*N3520</x:f>
        <x:v>0</x:v>
      </x:c>
      <x:c r="R3520" s="19" t="str">
        <x:v>独立判定</x:v>
      </x:c>
    </x:row>
    <x:row r="3521" ht="19" customHeight="1">
      <x:c r="A3521" s="19" t="str">
        <x:v>D03517</x:v>
      </x:c>
      <x:c r="B3521" s="19" t="n">
        <x:v>7</x:v>
      </x:c>
      <x:c r="C3521" s="19" t="n">
        <x:v>3</x:v>
      </x:c>
      <x:c r="D3521" s="19" t="str">
        <x:v>C07-M037</x:v>
      </x:c>
      <x:c r="E3521" s="19" t="str">
        <x:v>化圣霜王·埃琉斯</x:v>
      </x:c>
      <x:c r="F3521" s="19" t="str">
        <x:v>守关BOSS</x:v>
      </x:c>
      <x:c r="G3521" s="19" t="str">
        <x:v>材料独立候选</x:v>
      </x:c>
      <x:c r="H3521" s="19" t="str">
        <x:v>永霜朝圣痕</x:v>
      </x:c>
      <x:c r="I3521" s="22" t="n">
        <x:v>12000</x:v>
      </x:c>
      <x:c r="J3521" s="22" t="n">
        <x:v>1</x:v>
      </x:c>
      <x:c r="K3521" s="19" t="n">
        <x:v>1</x:v>
      </x:c>
      <x:c r="L3521" s="24" t="n">
        <x:v>49.547</x:v>
      </x:c>
      <x:c r="M3521" s="26" t="n">
        <x:v>0.1</x:v>
      </x:c>
      <x:c r="N3521" s="24" t="n">
        <x:v>0</x:v>
      </x:c>
      <x:c r="O3521" s="28" t="n">
        <x:f>MIN(1,L3521/I3521)</x:f>
        <x:v>0.004128916666666666</x:v>
      </x:c>
      <x:c r="P3521" s="30" t="n">
        <x:f>O3521*J3521*(1+M3521)</x:f>
        <x:v>0.004541808333333333</x:v>
      </x:c>
      <x:c r="Q3521" s="30" t="n">
        <x:f>P3521*N3521</x:f>
        <x:v>0</x:v>
      </x:c>
      <x:c r="R3521" s="19" t="str">
        <x:v>独立判定</x:v>
      </x:c>
    </x:row>
    <x:row r="3522" ht="19" customHeight="1">
      <x:c r="A3522" s="19" t="str">
        <x:v>D03518</x:v>
      </x:c>
      <x:c r="B3522" s="19" t="n">
        <x:v>7</x:v>
      </x:c>
      <x:c r="C3522" s="19" t="n">
        <x:v>3</x:v>
      </x:c>
      <x:c r="D3522" s="19" t="str">
        <x:v>C07-M037</x:v>
      </x:c>
      <x:c r="E3522" s="19" t="str">
        <x:v>化圣霜王·埃琉斯</x:v>
      </x:c>
      <x:c r="F3522" s="19" t="str">
        <x:v>守关BOSS</x:v>
      </x:c>
      <x:c r="G3522" s="19" t="str">
        <x:v>材料独立候选</x:v>
      </x:c>
      <x:c r="H3522" s="19" t="str">
        <x:v>黄金树芽</x:v>
      </x:c>
      <x:c r="I3522" s="22" t="n">
        <x:v>1</x:v>
      </x:c>
      <x:c r="J3522" s="22" t="n">
        <x:v>1</x:v>
      </x:c>
      <x:c r="K3522" s="19" t="n">
        <x:v>1</x:v>
      </x:c>
      <x:c r="L3522" s="24" t="n">
        <x:v>49.547</x:v>
      </x:c>
      <x:c r="M3522" s="26" t="n">
        <x:v>0.1</x:v>
      </x:c>
      <x:c r="N3522" s="24" t="n">
        <x:v>0</x:v>
      </x:c>
      <x:c r="O3522" s="28" t="n">
        <x:f>MIN(1,L3522/I3522)</x:f>
        <x:v>1</x:v>
      </x:c>
      <x:c r="P3522" s="30" t="n">
        <x:f>O3522*J3522*(1+M3522)</x:f>
        <x:v>1.1</x:v>
      </x:c>
      <x:c r="Q3522" s="30" t="n">
        <x:f>P3522*N3522</x:f>
        <x:v>0</x:v>
      </x:c>
      <x:c r="R3522" s="19" t="str">
        <x:v>独立判定</x:v>
      </x:c>
    </x:row>
    <x:row r="3523" ht="19" customHeight="1">
      <x:c r="A3523" s="19" t="str">
        <x:v>D03519</x:v>
      </x:c>
      <x:c r="B3523" s="19" t="n">
        <x:v>7</x:v>
      </x:c>
      <x:c r="C3523" s="19" t="n">
        <x:v>3</x:v>
      </x:c>
      <x:c r="D3523" s="19" t="str">
        <x:v>C07-M037</x:v>
      </x:c>
      <x:c r="E3523" s="19" t="str">
        <x:v>化圣霜王·埃琉斯</x:v>
      </x:c>
      <x:c r="F3523" s="19" t="str">
        <x:v>守关BOSS</x:v>
      </x:c>
      <x:c r="G3523" s="19" t="str">
        <x:v>六神器公共池</x:v>
      </x:c>
      <x:c r="H3523" s="19" t="str">
        <x:v>POOL006</x:v>
      </x:c>
      <x:c r="I3523" s="22" t="n">
        <x:v>40000</x:v>
      </x:c>
      <x:c r="J3523" s="22" t="n">
        <x:v>1</x:v>
      </x:c>
      <x:c r="K3523" s="19" t="n">
        <x:v>6</x:v>
      </x:c>
      <x:c r="L3523" s="24" t="n">
        <x:v>49.547</x:v>
      </x:c>
      <x:c r="M3523" s="26" t="n">
        <x:v>0.1</x:v>
      </x:c>
      <x:c r="N3523" s="24" t="n">
        <x:v>0</x:v>
      </x:c>
      <x:c r="O3523" s="28" t="n">
        <x:f>MIN(1,L3523/I3523)</x:f>
        <x:v>0.0012386749999999998</x:v>
      </x:c>
      <x:c r="P3523" s="30" t="n">
        <x:f>O3523*J3523*(1+M3523)</x:f>
        <x:v>0.0013625425</x:v>
      </x:c>
      <x:c r="Q3523" s="30" t="n">
        <x:f>P3523*N3523</x:f>
        <x:v>0</x:v>
      </x:c>
      <x:c r="R3523" s="19" t="str">
        <x:v>六选一；非6个独立爆率</x:v>
      </x:c>
    </x:row>
    <x:row r="3524" ht="19" customHeight="1">
      <x:c r="A3524" s="19" t="str">
        <x:v>D03520</x:v>
      </x:c>
      <x:c r="B3524" s="19" t="n">
        <x:v>8</x:v>
      </x:c>
      <x:c r="C3524" s="19" t="n">
        <x:v>1</x:v>
      </x:c>
      <x:c r="D3524" s="19" t="str">
        <x:v>C08-M001</x:v>
      </x:c>
      <x:c r="E3524" s="19" t="str">
        <x:v>霜蹄岩羊</x:v>
      </x:c>
      <x:c r="F3524" s="19" t="str">
        <x:v>普通</x:v>
      </x:c>
      <x:c r="G3524" s="19" t="str">
        <x:v>自身专属</x:v>
      </x:c>
      <x:c r="H3524" s="19" t="str">
        <x:v>霜蹄踏雪靴</x:v>
      </x:c>
      <x:c r="I3524" s="22" t="n">
        <x:v>5000</x:v>
      </x:c>
      <x:c r="J3524" s="22" t="n">
        <x:v>1</x:v>
      </x:c>
      <x:c r="K3524" s="19" t="n">
        <x:v>1</x:v>
      </x:c>
      <x:c r="L3524" s="24" t="n">
        <x:v>51.765</x:v>
      </x:c>
      <x:c r="M3524" s="26" t="n">
        <x:v>0.1</x:v>
      </x:c>
      <x:c r="N3524" s="24" t="n">
        <x:v>72</x:v>
      </x:c>
      <x:c r="O3524" s="28" t="n">
        <x:f>MIN(1,L3524/I3524)</x:f>
        <x:v>0.010353</x:v>
      </x:c>
      <x:c r="P3524" s="30" t="n">
        <x:f>O3524*J3524*(1+M3524)</x:f>
        <x:v>0.0113883</x:v>
      </x:c>
      <x:c r="Q3524" s="30" t="n">
        <x:f>P3524*N3524</x:f>
        <x:v>0.8199576000000001</x:v>
      </x:c>
      <x:c r="R3524" s="19" t="str">
        <x:v>独立判定</x:v>
      </x:c>
    </x:row>
    <x:row r="3525" ht="19" customHeight="1">
      <x:c r="A3525" s="19" t="str">
        <x:v>D03521</x:v>
      </x:c>
      <x:c r="B3525" s="19" t="n">
        <x:v>8</x:v>
      </x:c>
      <x:c r="C3525" s="19" t="n">
        <x:v>1</x:v>
      </x:c>
      <x:c r="D3525" s="19" t="str">
        <x:v>C08-M001</x:v>
      </x:c>
      <x:c r="E3525" s="19" t="str">
        <x:v>霜蹄岩羊</x:v>
      </x:c>
      <x:c r="F3525" s="19" t="str">
        <x:v>普通</x:v>
      </x:c>
      <x:c r="G3525" s="19" t="str">
        <x:v>材料独立候选</x:v>
      </x:c>
      <x:c r="H3525" s="19" t="str">
        <x:v>霜脊铁</x:v>
      </x:c>
      <x:c r="I3525" s="22" t="n">
        <x:v>1200</x:v>
      </x:c>
      <x:c r="J3525" s="22" t="n">
        <x:v>8</x:v>
      </x:c>
      <x:c r="K3525" s="19" t="n">
        <x:v>1</x:v>
      </x:c>
      <x:c r="L3525" s="24" t="n">
        <x:v>51.765</x:v>
      </x:c>
      <x:c r="M3525" s="26" t="n">
        <x:v>0.1</x:v>
      </x:c>
      <x:c r="N3525" s="24" t="n">
        <x:v>72</x:v>
      </x:c>
      <x:c r="O3525" s="28" t="n">
        <x:f>MIN(1,L3525/I3525)</x:f>
        <x:v>0.0431375</x:v>
      </x:c>
      <x:c r="P3525" s="30" t="n">
        <x:f>O3525*J3525*(1+M3525)</x:f>
        <x:v>0.37961000000000006</x:v>
      </x:c>
      <x:c r="Q3525" s="30" t="n">
        <x:f>P3525*N3525</x:f>
        <x:v>27.331920000000004</x:v>
      </x:c>
      <x:c r="R3525" s="19" t="str">
        <x:v>独立判定</x:v>
      </x:c>
    </x:row>
    <x:row r="3526" ht="19" customHeight="1">
      <x:c r="A3526" s="19" t="str">
        <x:v>D03522</x:v>
      </x:c>
      <x:c r="B3526" s="19" t="n">
        <x:v>8</x:v>
      </x:c>
      <x:c r="C3526" s="19" t="n">
        <x:v>1</x:v>
      </x:c>
      <x:c r="D3526" s="19" t="str">
        <x:v>C08-M001</x:v>
      </x:c>
      <x:c r="E3526" s="19" t="str">
        <x:v>霜蹄岩羊</x:v>
      </x:c>
      <x:c r="F3526" s="19" t="str">
        <x:v>普通</x:v>
      </x:c>
      <x:c r="G3526" s="19" t="str">
        <x:v>材料独立候选</x:v>
      </x:c>
      <x:c r="H3526" s="19" t="str">
        <x:v>登山铁楔</x:v>
      </x:c>
      <x:c r="I3526" s="22" t="n">
        <x:v>2000</x:v>
      </x:c>
      <x:c r="J3526" s="22" t="n">
        <x:v>1</x:v>
      </x:c>
      <x:c r="K3526" s="19" t="n">
        <x:v>1</x:v>
      </x:c>
      <x:c r="L3526" s="24" t="n">
        <x:v>51.765</x:v>
      </x:c>
      <x:c r="M3526" s="26" t="n">
        <x:v>0.1</x:v>
      </x:c>
      <x:c r="N3526" s="24" t="n">
        <x:v>72</x:v>
      </x:c>
      <x:c r="O3526" s="28" t="n">
        <x:f>MIN(1,L3526/I3526)</x:f>
        <x:v>0.0258825</x:v>
      </x:c>
      <x:c r="P3526" s="30" t="n">
        <x:f>O3526*J3526*(1+M3526)</x:f>
        <x:v>0.028470750000000003</x:v>
      </x:c>
      <x:c r="Q3526" s="30" t="n">
        <x:f>P3526*N3526</x:f>
        <x:v>2.049894</x:v>
      </x:c>
      <x:c r="R3526" s="19" t="str">
        <x:v>独立判定</x:v>
      </x:c>
    </x:row>
    <x:row r="3527" ht="19" customHeight="1">
      <x:c r="A3527" s="19" t="str">
        <x:v>D03523</x:v>
      </x:c>
      <x:c r="B3527" s="19" t="n">
        <x:v>8</x:v>
      </x:c>
      <x:c r="C3527" s="19" t="n">
        <x:v>1</x:v>
      </x:c>
      <x:c r="D3527" s="19" t="str">
        <x:v>C08-M001</x:v>
      </x:c>
      <x:c r="E3527" s="19" t="str">
        <x:v>霜蹄岩羊</x:v>
      </x:c>
      <x:c r="F3527" s="19" t="str">
        <x:v>普通</x:v>
      </x:c>
      <x:c r="G3527" s="19" t="str">
        <x:v>材料独立候选</x:v>
      </x:c>
      <x:c r="H3527" s="19" t="str">
        <x:v>穹霜碑珀</x:v>
      </x:c>
      <x:c r="I3527" s="22" t="n">
        <x:v>2500000</x:v>
      </x:c>
      <x:c r="J3527" s="22" t="n">
        <x:v>1</x:v>
      </x:c>
      <x:c r="K3527" s="19" t="n">
        <x:v>1</x:v>
      </x:c>
      <x:c r="L3527" s="24" t="n">
        <x:v>51.765</x:v>
      </x:c>
      <x:c r="M3527" s="26" t="n">
        <x:v>0.1</x:v>
      </x:c>
      <x:c r="N3527" s="24" t="n">
        <x:v>72</x:v>
      </x:c>
      <x:c r="O3527" s="28" t="n">
        <x:f>MIN(1,L3527/I3527)</x:f>
        <x:v>0.000020706</x:v>
      </x:c>
      <x:c r="P3527" s="30" t="n">
        <x:f>O3527*J3527*(1+M3527)</x:f>
        <x:v>0.000022776600000000005</x:v>
      </x:c>
      <x:c r="Q3527" s="30" t="n">
        <x:f>P3527*N3527</x:f>
        <x:v>0.0016399152000000003</x:v>
      </x:c>
      <x:c r="R3527" s="19" t="str">
        <x:v>独立判定</x:v>
      </x:c>
    </x:row>
    <x:row r="3528" ht="19" customHeight="1">
      <x:c r="A3528" s="19" t="str">
        <x:v>D03524</x:v>
      </x:c>
      <x:c r="B3528" s="19" t="n">
        <x:v>8</x:v>
      </x:c>
      <x:c r="C3528" s="19" t="n">
        <x:v>1</x:v>
      </x:c>
      <x:c r="D3528" s="19" t="str">
        <x:v>C08-M001</x:v>
      </x:c>
      <x:c r="E3528" s="19" t="str">
        <x:v>霜蹄岩羊</x:v>
      </x:c>
      <x:c r="F3528" s="19" t="str">
        <x:v>普通</x:v>
      </x:c>
      <x:c r="G3528" s="19" t="str">
        <x:v>材料独立候选</x:v>
      </x:c>
      <x:c r="H3528" s="19" t="str">
        <x:v>野兽骨片</x:v>
      </x:c>
      <x:c r="I3528" s="22" t="n">
        <x:v>250</x:v>
      </x:c>
      <x:c r="J3528" s="22" t="n">
        <x:v>5</x:v>
      </x:c>
      <x:c r="K3528" s="19" t="n">
        <x:v>1</x:v>
      </x:c>
      <x:c r="L3528" s="24" t="n">
        <x:v>51.765</x:v>
      </x:c>
      <x:c r="M3528" s="26" t="n">
        <x:v>0.1</x:v>
      </x:c>
      <x:c r="N3528" s="24" t="n">
        <x:v>72</x:v>
      </x:c>
      <x:c r="O3528" s="28" t="n">
        <x:f>MIN(1,L3528/I3528)</x:f>
        <x:v>0.20706</x:v>
      </x:c>
      <x:c r="P3528" s="30" t="n">
        <x:f>O3528*J3528*(1+M3528)</x:f>
        <x:v>1.13883</x:v>
      </x:c>
      <x:c r="Q3528" s="30" t="n">
        <x:f>P3528*N3528</x:f>
        <x:v>81.99576</x:v>
      </x:c>
      <x:c r="R3528" s="19" t="str">
        <x:v>独立判定</x:v>
      </x:c>
    </x:row>
    <x:row r="3529" ht="19" customHeight="1">
      <x:c r="A3529" s="19" t="str">
        <x:v>D03525</x:v>
      </x:c>
      <x:c r="B3529" s="19" t="n">
        <x:v>8</x:v>
      </x:c>
      <x:c r="C3529" s="19" t="n">
        <x:v>1</x:v>
      </x:c>
      <x:c r="D3529" s="19" t="str">
        <x:v>C08-M001</x:v>
      </x:c>
      <x:c r="E3529" s="19" t="str">
        <x:v>霜蹄岩羊</x:v>
      </x:c>
      <x:c r="F3529" s="19" t="str">
        <x:v>普通</x:v>
      </x:c>
      <x:c r="G3529" s="19" t="str">
        <x:v>材料独立候选</x:v>
      </x:c>
      <x:c r="H3529" s="19" t="str">
        <x:v>技能残页</x:v>
      </x:c>
      <x:c r="I3529" s="22" t="n">
        <x:v>2000</x:v>
      </x:c>
      <x:c r="J3529" s="22" t="n">
        <x:v>1</x:v>
      </x:c>
      <x:c r="K3529" s="19" t="n">
        <x:v>1</x:v>
      </x:c>
      <x:c r="L3529" s="24" t="n">
        <x:v>51.765</x:v>
      </x:c>
      <x:c r="M3529" s="26" t="n">
        <x:v>0.1</x:v>
      </x:c>
      <x:c r="N3529" s="24" t="n">
        <x:v>72</x:v>
      </x:c>
      <x:c r="O3529" s="28" t="n">
        <x:f>MIN(1,L3529/I3529)</x:f>
        <x:v>0.0258825</x:v>
      </x:c>
      <x:c r="P3529" s="30" t="n">
        <x:f>O3529*J3529*(1+M3529)</x:f>
        <x:v>0.028470750000000003</x:v>
      </x:c>
      <x:c r="Q3529" s="30" t="n">
        <x:f>P3529*N3529</x:f>
        <x:v>2.049894</x:v>
      </x:c>
      <x:c r="R3529" s="19" t="str">
        <x:v>独立判定</x:v>
      </x:c>
    </x:row>
    <x:row r="3530" ht="19" customHeight="1">
      <x:c r="A3530" s="19" t="str">
        <x:v>D03526</x:v>
      </x:c>
      <x:c r="B3530" s="19" t="n">
        <x:v>8</x:v>
      </x:c>
      <x:c r="C3530" s="19" t="n">
        <x:v>1</x:v>
      </x:c>
      <x:c r="D3530" s="19" t="str">
        <x:v>C08-M001</x:v>
      </x:c>
      <x:c r="E3530" s="19" t="str">
        <x:v>霜蹄岩羊</x:v>
      </x:c>
      <x:c r="F3530" s="19" t="str">
        <x:v>普通</x:v>
      </x:c>
      <x:c r="G3530" s="19" t="str">
        <x:v>材料独立候选</x:v>
      </x:c>
      <x:c r="H3530" s="19" t="str">
        <x:v>小卢恩</x:v>
      </x:c>
      <x:c r="I3530" s="22" t="n">
        <x:v>15000</x:v>
      </x:c>
      <x:c r="J3530" s="22" t="n">
        <x:v>1</x:v>
      </x:c>
      <x:c r="K3530" s="19" t="n">
        <x:v>1</x:v>
      </x:c>
      <x:c r="L3530" s="24" t="n">
        <x:v>51.765</x:v>
      </x:c>
      <x:c r="M3530" s="26" t="n">
        <x:v>0.1</x:v>
      </x:c>
      <x:c r="N3530" s="24" t="n">
        <x:v>72</x:v>
      </x:c>
      <x:c r="O3530" s="28" t="n">
        <x:f>MIN(1,L3530/I3530)</x:f>
        <x:v>0.003451</x:v>
      </x:c>
      <x:c r="P3530" s="30" t="n">
        <x:f>O3530*J3530*(1+M3530)</x:f>
        <x:v>0.0037961000000000006</x:v>
      </x:c>
      <x:c r="Q3530" s="30" t="n">
        <x:f>P3530*N3530</x:f>
        <x:v>0.27331920000000004</x:v>
      </x:c>
      <x:c r="R3530" s="19" t="str">
        <x:v>独立判定</x:v>
      </x:c>
    </x:row>
    <x:row r="3531" ht="19" customHeight="1">
      <x:c r="A3531" s="19" t="str">
        <x:v>D03527</x:v>
      </x:c>
      <x:c r="B3531" s="19" t="n">
        <x:v>8</x:v>
      </x:c>
      <x:c r="C3531" s="19" t="n">
        <x:v>1</x:v>
      </x:c>
      <x:c r="D3531" s="19" t="str">
        <x:v>C08-M001</x:v>
      </x:c>
      <x:c r="E3531" s="19" t="str">
        <x:v>霜蹄岩羊</x:v>
      </x:c>
      <x:c r="F3531" s="19" t="str">
        <x:v>普通</x:v>
      </x:c>
      <x:c r="G3531" s="19" t="str">
        <x:v>六神器公共池</x:v>
      </x:c>
      <x:c r="H3531" s="19" t="str">
        <x:v>POOL006</x:v>
      </x:c>
      <x:c r="I3531" s="22" t="n">
        <x:v>20000000</x:v>
      </x:c>
      <x:c r="J3531" s="22" t="n">
        <x:v>1</x:v>
      </x:c>
      <x:c r="K3531" s="19" t="n">
        <x:v>6</x:v>
      </x:c>
      <x:c r="L3531" s="24" t="n">
        <x:v>51.765</x:v>
      </x:c>
      <x:c r="M3531" s="26" t="n">
        <x:v>0.1</x:v>
      </x:c>
      <x:c r="N3531" s="24" t="n">
        <x:v>72</x:v>
      </x:c>
      <x:c r="O3531" s="28" t="n">
        <x:f>MIN(1,L3531/I3531)</x:f>
        <x:v>0.00000258825</x:v>
      </x:c>
      <x:c r="P3531" s="30" t="n">
        <x:f>O3531*J3531*(1+M3531)</x:f>
        <x:v>0.0000028470750000000006</x:v>
      </x:c>
      <x:c r="Q3531" s="30" t="n">
        <x:f>P3531*N3531</x:f>
        <x:v>0.00020498940000000004</x:v>
      </x:c>
      <x:c r="R3531" s="19" t="str">
        <x:v>六选一；非6个独立爆率</x:v>
      </x:c>
    </x:row>
    <x:row r="3532" ht="19" customHeight="1">
      <x:c r="A3532" s="19" t="str">
        <x:v>D03528</x:v>
      </x:c>
      <x:c r="B3532" s="19" t="n">
        <x:v>8</x:v>
      </x:c>
      <x:c r="C3532" s="19" t="n">
        <x:v>1</x:v>
      </x:c>
      <x:c r="D3532" s="19" t="str">
        <x:v>C08-M002</x:v>
      </x:c>
      <x:c r="E3532" s="19" t="str">
        <x:v>背冰拾荒者</x:v>
      </x:c>
      <x:c r="F3532" s="19" t="str">
        <x:v>普通</x:v>
      </x:c>
      <x:c r="G3532" s="19" t="str">
        <x:v>自身专属</x:v>
      </x:c>
      <x:c r="H3532" s="19" t="str">
        <x:v>拾荒冰镐</x:v>
      </x:c>
      <x:c r="I3532" s="22" t="n">
        <x:v>5000</x:v>
      </x:c>
      <x:c r="J3532" s="22" t="n">
        <x:v>1</x:v>
      </x:c>
      <x:c r="K3532" s="19" t="n">
        <x:v>1</x:v>
      </x:c>
      <x:c r="L3532" s="24" t="n">
        <x:v>51.765</x:v>
      </x:c>
      <x:c r="M3532" s="26" t="n">
        <x:v>0.1</x:v>
      </x:c>
      <x:c r="N3532" s="24" t="n">
        <x:v>72</x:v>
      </x:c>
      <x:c r="O3532" s="28" t="n">
        <x:f>MIN(1,L3532/I3532)</x:f>
        <x:v>0.010353</x:v>
      </x:c>
      <x:c r="P3532" s="30" t="n">
        <x:f>O3532*J3532*(1+M3532)</x:f>
        <x:v>0.0113883</x:v>
      </x:c>
      <x:c r="Q3532" s="30" t="n">
        <x:f>P3532*N3532</x:f>
        <x:v>0.8199576000000001</x:v>
      </x:c>
      <x:c r="R3532" s="19" t="str">
        <x:v>独立判定</x:v>
      </x:c>
    </x:row>
    <x:row r="3533" ht="19" customHeight="1">
      <x:c r="A3533" s="19" t="str">
        <x:v>D03529</x:v>
      </x:c>
      <x:c r="B3533" s="19" t="n">
        <x:v>8</x:v>
      </x:c>
      <x:c r="C3533" s="19" t="n">
        <x:v>1</x:v>
      </x:c>
      <x:c r="D3533" s="19" t="str">
        <x:v>C08-M002</x:v>
      </x:c>
      <x:c r="E3533" s="19" t="str">
        <x:v>背冰拾荒者</x:v>
      </x:c>
      <x:c r="F3533" s="19" t="str">
        <x:v>普通</x:v>
      </x:c>
      <x:c r="G3533" s="19" t="str">
        <x:v>材料独立候选</x:v>
      </x:c>
      <x:c r="H3533" s="19" t="str">
        <x:v>霜脊铁</x:v>
      </x:c>
      <x:c r="I3533" s="22" t="n">
        <x:v>1200</x:v>
      </x:c>
      <x:c r="J3533" s="22" t="n">
        <x:v>8</x:v>
      </x:c>
      <x:c r="K3533" s="19" t="n">
        <x:v>1</x:v>
      </x:c>
      <x:c r="L3533" s="24" t="n">
        <x:v>51.765</x:v>
      </x:c>
      <x:c r="M3533" s="26" t="n">
        <x:v>0.1</x:v>
      </x:c>
      <x:c r="N3533" s="24" t="n">
        <x:v>72</x:v>
      </x:c>
      <x:c r="O3533" s="28" t="n">
        <x:f>MIN(1,L3533/I3533)</x:f>
        <x:v>0.0431375</x:v>
      </x:c>
      <x:c r="P3533" s="30" t="n">
        <x:f>O3533*J3533*(1+M3533)</x:f>
        <x:v>0.37961000000000006</x:v>
      </x:c>
      <x:c r="Q3533" s="30" t="n">
        <x:f>P3533*N3533</x:f>
        <x:v>27.331920000000004</x:v>
      </x:c>
      <x:c r="R3533" s="19" t="str">
        <x:v>独立判定</x:v>
      </x:c>
    </x:row>
    <x:row r="3534" ht="19" customHeight="1">
      <x:c r="A3534" s="19" t="str">
        <x:v>D03530</x:v>
      </x:c>
      <x:c r="B3534" s="19" t="n">
        <x:v>8</x:v>
      </x:c>
      <x:c r="C3534" s="19" t="n">
        <x:v>1</x:v>
      </x:c>
      <x:c r="D3534" s="19" t="str">
        <x:v>C08-M002</x:v>
      </x:c>
      <x:c r="E3534" s="19" t="str">
        <x:v>背冰拾荒者</x:v>
      </x:c>
      <x:c r="F3534" s="19" t="str">
        <x:v>普通</x:v>
      </x:c>
      <x:c r="G3534" s="19" t="str">
        <x:v>材料独立候选</x:v>
      </x:c>
      <x:c r="H3534" s="19" t="str">
        <x:v>登山铁楔</x:v>
      </x:c>
      <x:c r="I3534" s="22" t="n">
        <x:v>2000</x:v>
      </x:c>
      <x:c r="J3534" s="22" t="n">
        <x:v>1</x:v>
      </x:c>
      <x:c r="K3534" s="19" t="n">
        <x:v>1</x:v>
      </x:c>
      <x:c r="L3534" s="24" t="n">
        <x:v>51.765</x:v>
      </x:c>
      <x:c r="M3534" s="26" t="n">
        <x:v>0.1</x:v>
      </x:c>
      <x:c r="N3534" s="24" t="n">
        <x:v>72</x:v>
      </x:c>
      <x:c r="O3534" s="28" t="n">
        <x:f>MIN(1,L3534/I3534)</x:f>
        <x:v>0.0258825</x:v>
      </x:c>
      <x:c r="P3534" s="30" t="n">
        <x:f>O3534*J3534*(1+M3534)</x:f>
        <x:v>0.028470750000000003</x:v>
      </x:c>
      <x:c r="Q3534" s="30" t="n">
        <x:f>P3534*N3534</x:f>
        <x:v>2.049894</x:v>
      </x:c>
      <x:c r="R3534" s="19" t="str">
        <x:v>独立判定</x:v>
      </x:c>
    </x:row>
    <x:row r="3535" ht="19" customHeight="1">
      <x:c r="A3535" s="19" t="str">
        <x:v>D03531</x:v>
      </x:c>
      <x:c r="B3535" s="19" t="n">
        <x:v>8</x:v>
      </x:c>
      <x:c r="C3535" s="19" t="n">
        <x:v>1</x:v>
      </x:c>
      <x:c r="D3535" s="19" t="str">
        <x:v>C08-M002</x:v>
      </x:c>
      <x:c r="E3535" s="19" t="str">
        <x:v>背冰拾荒者</x:v>
      </x:c>
      <x:c r="F3535" s="19" t="str">
        <x:v>普通</x:v>
      </x:c>
      <x:c r="G3535" s="19" t="str">
        <x:v>材料独立候选</x:v>
      </x:c>
      <x:c r="H3535" s="19" t="str">
        <x:v>穹霜碑珀</x:v>
      </x:c>
      <x:c r="I3535" s="22" t="n">
        <x:v>2500000</x:v>
      </x:c>
      <x:c r="J3535" s="22" t="n">
        <x:v>1</x:v>
      </x:c>
      <x:c r="K3535" s="19" t="n">
        <x:v>1</x:v>
      </x:c>
      <x:c r="L3535" s="24" t="n">
        <x:v>51.765</x:v>
      </x:c>
      <x:c r="M3535" s="26" t="n">
        <x:v>0.1</x:v>
      </x:c>
      <x:c r="N3535" s="24" t="n">
        <x:v>72</x:v>
      </x:c>
      <x:c r="O3535" s="28" t="n">
        <x:f>MIN(1,L3535/I3535)</x:f>
        <x:v>0.000020706</x:v>
      </x:c>
      <x:c r="P3535" s="30" t="n">
        <x:f>O3535*J3535*(1+M3535)</x:f>
        <x:v>0.000022776600000000005</x:v>
      </x:c>
      <x:c r="Q3535" s="30" t="n">
        <x:f>P3535*N3535</x:f>
        <x:v>0.0016399152000000003</x:v>
      </x:c>
      <x:c r="R3535" s="19" t="str">
        <x:v>独立判定</x:v>
      </x:c>
    </x:row>
    <x:row r="3536" ht="19" customHeight="1">
      <x:c r="A3536" s="19" t="str">
        <x:v>D03532</x:v>
      </x:c>
      <x:c r="B3536" s="19" t="n">
        <x:v>8</x:v>
      </x:c>
      <x:c r="C3536" s="19" t="n">
        <x:v>1</x:v>
      </x:c>
      <x:c r="D3536" s="19" t="str">
        <x:v>C08-M002</x:v>
      </x:c>
      <x:c r="E3536" s="19" t="str">
        <x:v>背冰拾荒者</x:v>
      </x:c>
      <x:c r="F3536" s="19" t="str">
        <x:v>普通</x:v>
      </x:c>
      <x:c r="G3536" s="19" t="str">
        <x:v>材料独立候选</x:v>
      </x:c>
      <x:c r="H3536" s="19" t="str">
        <x:v>野兽骨片</x:v>
      </x:c>
      <x:c r="I3536" s="22" t="n">
        <x:v>250</x:v>
      </x:c>
      <x:c r="J3536" s="22" t="n">
        <x:v>5</x:v>
      </x:c>
      <x:c r="K3536" s="19" t="n">
        <x:v>1</x:v>
      </x:c>
      <x:c r="L3536" s="24" t="n">
        <x:v>51.765</x:v>
      </x:c>
      <x:c r="M3536" s="26" t="n">
        <x:v>0.1</x:v>
      </x:c>
      <x:c r="N3536" s="24" t="n">
        <x:v>72</x:v>
      </x:c>
      <x:c r="O3536" s="28" t="n">
        <x:f>MIN(1,L3536/I3536)</x:f>
        <x:v>0.20706</x:v>
      </x:c>
      <x:c r="P3536" s="30" t="n">
        <x:f>O3536*J3536*(1+M3536)</x:f>
        <x:v>1.13883</x:v>
      </x:c>
      <x:c r="Q3536" s="30" t="n">
        <x:f>P3536*N3536</x:f>
        <x:v>81.99576</x:v>
      </x:c>
      <x:c r="R3536" s="19" t="str">
        <x:v>独立判定</x:v>
      </x:c>
    </x:row>
    <x:row r="3537" ht="19" customHeight="1">
      <x:c r="A3537" s="19" t="str">
        <x:v>D03533</x:v>
      </x:c>
      <x:c r="B3537" s="19" t="n">
        <x:v>8</x:v>
      </x:c>
      <x:c r="C3537" s="19" t="n">
        <x:v>1</x:v>
      </x:c>
      <x:c r="D3537" s="19" t="str">
        <x:v>C08-M002</x:v>
      </x:c>
      <x:c r="E3537" s="19" t="str">
        <x:v>背冰拾荒者</x:v>
      </x:c>
      <x:c r="F3537" s="19" t="str">
        <x:v>普通</x:v>
      </x:c>
      <x:c r="G3537" s="19" t="str">
        <x:v>材料独立候选</x:v>
      </x:c>
      <x:c r="H3537" s="19" t="str">
        <x:v>技能残页</x:v>
      </x:c>
      <x:c r="I3537" s="22" t="n">
        <x:v>2000</x:v>
      </x:c>
      <x:c r="J3537" s="22" t="n">
        <x:v>1</x:v>
      </x:c>
      <x:c r="K3537" s="19" t="n">
        <x:v>1</x:v>
      </x:c>
      <x:c r="L3537" s="24" t="n">
        <x:v>51.765</x:v>
      </x:c>
      <x:c r="M3537" s="26" t="n">
        <x:v>0.1</x:v>
      </x:c>
      <x:c r="N3537" s="24" t="n">
        <x:v>72</x:v>
      </x:c>
      <x:c r="O3537" s="28" t="n">
        <x:f>MIN(1,L3537/I3537)</x:f>
        <x:v>0.0258825</x:v>
      </x:c>
      <x:c r="P3537" s="30" t="n">
        <x:f>O3537*J3537*(1+M3537)</x:f>
        <x:v>0.028470750000000003</x:v>
      </x:c>
      <x:c r="Q3537" s="30" t="n">
        <x:f>P3537*N3537</x:f>
        <x:v>2.049894</x:v>
      </x:c>
      <x:c r="R3537" s="19" t="str">
        <x:v>独立判定</x:v>
      </x:c>
    </x:row>
    <x:row r="3538" ht="19" customHeight="1">
      <x:c r="A3538" s="19" t="str">
        <x:v>D03534</x:v>
      </x:c>
      <x:c r="B3538" s="19" t="n">
        <x:v>8</x:v>
      </x:c>
      <x:c r="C3538" s="19" t="n">
        <x:v>1</x:v>
      </x:c>
      <x:c r="D3538" s="19" t="str">
        <x:v>C08-M002</x:v>
      </x:c>
      <x:c r="E3538" s="19" t="str">
        <x:v>背冰拾荒者</x:v>
      </x:c>
      <x:c r="F3538" s="19" t="str">
        <x:v>普通</x:v>
      </x:c>
      <x:c r="G3538" s="19" t="str">
        <x:v>材料独立候选</x:v>
      </x:c>
      <x:c r="H3538" s="19" t="str">
        <x:v>小卢恩</x:v>
      </x:c>
      <x:c r="I3538" s="22" t="n">
        <x:v>15000</x:v>
      </x:c>
      <x:c r="J3538" s="22" t="n">
        <x:v>1</x:v>
      </x:c>
      <x:c r="K3538" s="19" t="n">
        <x:v>1</x:v>
      </x:c>
      <x:c r="L3538" s="24" t="n">
        <x:v>51.765</x:v>
      </x:c>
      <x:c r="M3538" s="26" t="n">
        <x:v>0.1</x:v>
      </x:c>
      <x:c r="N3538" s="24" t="n">
        <x:v>72</x:v>
      </x:c>
      <x:c r="O3538" s="28" t="n">
        <x:f>MIN(1,L3538/I3538)</x:f>
        <x:v>0.003451</x:v>
      </x:c>
      <x:c r="P3538" s="30" t="n">
        <x:f>O3538*J3538*(1+M3538)</x:f>
        <x:v>0.0037961000000000006</x:v>
      </x:c>
      <x:c r="Q3538" s="30" t="n">
        <x:f>P3538*N3538</x:f>
        <x:v>0.27331920000000004</x:v>
      </x:c>
      <x:c r="R3538" s="19" t="str">
        <x:v>独立判定</x:v>
      </x:c>
    </x:row>
    <x:row r="3539" ht="19" customHeight="1">
      <x:c r="A3539" s="19" t="str">
        <x:v>D03535</x:v>
      </x:c>
      <x:c r="B3539" s="19" t="n">
        <x:v>8</x:v>
      </x:c>
      <x:c r="C3539" s="19" t="n">
        <x:v>1</x:v>
      </x:c>
      <x:c r="D3539" s="19" t="str">
        <x:v>C08-M002</x:v>
      </x:c>
      <x:c r="E3539" s="19" t="str">
        <x:v>背冰拾荒者</x:v>
      </x:c>
      <x:c r="F3539" s="19" t="str">
        <x:v>普通</x:v>
      </x:c>
      <x:c r="G3539" s="19" t="str">
        <x:v>六神器公共池</x:v>
      </x:c>
      <x:c r="H3539" s="19" t="str">
        <x:v>POOL006</x:v>
      </x:c>
      <x:c r="I3539" s="22" t="n">
        <x:v>20000000</x:v>
      </x:c>
      <x:c r="J3539" s="22" t="n">
        <x:v>1</x:v>
      </x:c>
      <x:c r="K3539" s="19" t="n">
        <x:v>6</x:v>
      </x:c>
      <x:c r="L3539" s="24" t="n">
        <x:v>51.765</x:v>
      </x:c>
      <x:c r="M3539" s="26" t="n">
        <x:v>0.1</x:v>
      </x:c>
      <x:c r="N3539" s="24" t="n">
        <x:v>72</x:v>
      </x:c>
      <x:c r="O3539" s="28" t="n">
        <x:f>MIN(1,L3539/I3539)</x:f>
        <x:v>0.00000258825</x:v>
      </x:c>
      <x:c r="P3539" s="30" t="n">
        <x:f>O3539*J3539*(1+M3539)</x:f>
        <x:v>0.0000028470750000000006</x:v>
      </x:c>
      <x:c r="Q3539" s="30" t="n">
        <x:f>P3539*N3539</x:f>
        <x:v>0.00020498940000000004</x:v>
      </x:c>
      <x:c r="R3539" s="19" t="str">
        <x:v>六选一；非6个独立爆率</x:v>
      </x:c>
    </x:row>
    <x:row r="3540" ht="19" customHeight="1">
      <x:c r="A3540" s="19" t="str">
        <x:v>D03536</x:v>
      </x:c>
      <x:c r="B3540" s="19" t="n">
        <x:v>8</x:v>
      </x:c>
      <x:c r="C3540" s="19" t="n">
        <x:v>1</x:v>
      </x:c>
      <x:c r="D3540" s="19" t="str">
        <x:v>C08-M003</x:v>
      </x:c>
      <x:c r="E3540" s="19" t="str">
        <x:v>冰脊雪猿</x:v>
      </x:c>
      <x:c r="F3540" s="19" t="str">
        <x:v>普通</x:v>
      </x:c>
      <x:c r="G3540" s="19" t="str">
        <x:v>自身专属</x:v>
      </x:c>
      <x:c r="H3540" s="19" t="str">
        <x:v>雪猿鬃甲</x:v>
      </x:c>
      <x:c r="I3540" s="22" t="n">
        <x:v>5000</x:v>
      </x:c>
      <x:c r="J3540" s="22" t="n">
        <x:v>1</x:v>
      </x:c>
      <x:c r="K3540" s="19" t="n">
        <x:v>1</x:v>
      </x:c>
      <x:c r="L3540" s="24" t="n">
        <x:v>51.765</x:v>
      </x:c>
      <x:c r="M3540" s="26" t="n">
        <x:v>0.1</x:v>
      </x:c>
      <x:c r="N3540" s="24" t="n">
        <x:v>72</x:v>
      </x:c>
      <x:c r="O3540" s="28" t="n">
        <x:f>MIN(1,L3540/I3540)</x:f>
        <x:v>0.010353</x:v>
      </x:c>
      <x:c r="P3540" s="30" t="n">
        <x:f>O3540*J3540*(1+M3540)</x:f>
        <x:v>0.0113883</x:v>
      </x:c>
      <x:c r="Q3540" s="30" t="n">
        <x:f>P3540*N3540</x:f>
        <x:v>0.8199576000000001</x:v>
      </x:c>
      <x:c r="R3540" s="19" t="str">
        <x:v>独立判定</x:v>
      </x:c>
    </x:row>
    <x:row r="3541" ht="19" customHeight="1">
      <x:c r="A3541" s="19" t="str">
        <x:v>D03537</x:v>
      </x:c>
      <x:c r="B3541" s="19" t="n">
        <x:v>8</x:v>
      </x:c>
      <x:c r="C3541" s="19" t="n">
        <x:v>1</x:v>
      </x:c>
      <x:c r="D3541" s="19" t="str">
        <x:v>C08-M003</x:v>
      </x:c>
      <x:c r="E3541" s="19" t="str">
        <x:v>冰脊雪猿</x:v>
      </x:c>
      <x:c r="F3541" s="19" t="str">
        <x:v>普通</x:v>
      </x:c>
      <x:c r="G3541" s="19" t="str">
        <x:v>材料独立候选</x:v>
      </x:c>
      <x:c r="H3541" s="19" t="str">
        <x:v>霜脊铁</x:v>
      </x:c>
      <x:c r="I3541" s="22" t="n">
        <x:v>1200</x:v>
      </x:c>
      <x:c r="J3541" s="22" t="n">
        <x:v>8</x:v>
      </x:c>
      <x:c r="K3541" s="19" t="n">
        <x:v>1</x:v>
      </x:c>
      <x:c r="L3541" s="24" t="n">
        <x:v>51.765</x:v>
      </x:c>
      <x:c r="M3541" s="26" t="n">
        <x:v>0.1</x:v>
      </x:c>
      <x:c r="N3541" s="24" t="n">
        <x:v>72</x:v>
      </x:c>
      <x:c r="O3541" s="28" t="n">
        <x:f>MIN(1,L3541/I3541)</x:f>
        <x:v>0.0431375</x:v>
      </x:c>
      <x:c r="P3541" s="30" t="n">
        <x:f>O3541*J3541*(1+M3541)</x:f>
        <x:v>0.37961000000000006</x:v>
      </x:c>
      <x:c r="Q3541" s="30" t="n">
        <x:f>P3541*N3541</x:f>
        <x:v>27.331920000000004</x:v>
      </x:c>
      <x:c r="R3541" s="19" t="str">
        <x:v>独立判定</x:v>
      </x:c>
    </x:row>
    <x:row r="3542" ht="19" customHeight="1">
      <x:c r="A3542" s="19" t="str">
        <x:v>D03538</x:v>
      </x:c>
      <x:c r="B3542" s="19" t="n">
        <x:v>8</x:v>
      </x:c>
      <x:c r="C3542" s="19" t="n">
        <x:v>1</x:v>
      </x:c>
      <x:c r="D3542" s="19" t="str">
        <x:v>C08-M003</x:v>
      </x:c>
      <x:c r="E3542" s="19" t="str">
        <x:v>冰脊雪猿</x:v>
      </x:c>
      <x:c r="F3542" s="19" t="str">
        <x:v>普通</x:v>
      </x:c>
      <x:c r="G3542" s="19" t="str">
        <x:v>材料独立候选</x:v>
      </x:c>
      <x:c r="H3542" s="19" t="str">
        <x:v>登山铁楔</x:v>
      </x:c>
      <x:c r="I3542" s="22" t="n">
        <x:v>2000</x:v>
      </x:c>
      <x:c r="J3542" s="22" t="n">
        <x:v>1</x:v>
      </x:c>
      <x:c r="K3542" s="19" t="n">
        <x:v>1</x:v>
      </x:c>
      <x:c r="L3542" s="24" t="n">
        <x:v>51.765</x:v>
      </x:c>
      <x:c r="M3542" s="26" t="n">
        <x:v>0.1</x:v>
      </x:c>
      <x:c r="N3542" s="24" t="n">
        <x:v>72</x:v>
      </x:c>
      <x:c r="O3542" s="28" t="n">
        <x:f>MIN(1,L3542/I3542)</x:f>
        <x:v>0.0258825</x:v>
      </x:c>
      <x:c r="P3542" s="30" t="n">
        <x:f>O3542*J3542*(1+M3542)</x:f>
        <x:v>0.028470750000000003</x:v>
      </x:c>
      <x:c r="Q3542" s="30" t="n">
        <x:f>P3542*N3542</x:f>
        <x:v>2.049894</x:v>
      </x:c>
      <x:c r="R3542" s="19" t="str">
        <x:v>独立判定</x:v>
      </x:c>
    </x:row>
    <x:row r="3543" ht="19" customHeight="1">
      <x:c r="A3543" s="19" t="str">
        <x:v>D03539</x:v>
      </x:c>
      <x:c r="B3543" s="19" t="n">
        <x:v>8</x:v>
      </x:c>
      <x:c r="C3543" s="19" t="n">
        <x:v>1</x:v>
      </x:c>
      <x:c r="D3543" s="19" t="str">
        <x:v>C08-M003</x:v>
      </x:c>
      <x:c r="E3543" s="19" t="str">
        <x:v>冰脊雪猿</x:v>
      </x:c>
      <x:c r="F3543" s="19" t="str">
        <x:v>普通</x:v>
      </x:c>
      <x:c r="G3543" s="19" t="str">
        <x:v>材料独立候选</x:v>
      </x:c>
      <x:c r="H3543" s="19" t="str">
        <x:v>穹霜碑珀</x:v>
      </x:c>
      <x:c r="I3543" s="22" t="n">
        <x:v>2500000</x:v>
      </x:c>
      <x:c r="J3543" s="22" t="n">
        <x:v>1</x:v>
      </x:c>
      <x:c r="K3543" s="19" t="n">
        <x:v>1</x:v>
      </x:c>
      <x:c r="L3543" s="24" t="n">
        <x:v>51.765</x:v>
      </x:c>
      <x:c r="M3543" s="26" t="n">
        <x:v>0.1</x:v>
      </x:c>
      <x:c r="N3543" s="24" t="n">
        <x:v>72</x:v>
      </x:c>
      <x:c r="O3543" s="28" t="n">
        <x:f>MIN(1,L3543/I3543)</x:f>
        <x:v>0.000020706</x:v>
      </x:c>
      <x:c r="P3543" s="30" t="n">
        <x:f>O3543*J3543*(1+M3543)</x:f>
        <x:v>0.000022776600000000005</x:v>
      </x:c>
      <x:c r="Q3543" s="30" t="n">
        <x:f>P3543*N3543</x:f>
        <x:v>0.0016399152000000003</x:v>
      </x:c>
      <x:c r="R3543" s="19" t="str">
        <x:v>独立判定</x:v>
      </x:c>
    </x:row>
    <x:row r="3544" ht="19" customHeight="1">
      <x:c r="A3544" s="19" t="str">
        <x:v>D03540</x:v>
      </x:c>
      <x:c r="B3544" s="19" t="n">
        <x:v>8</x:v>
      </x:c>
      <x:c r="C3544" s="19" t="n">
        <x:v>1</x:v>
      </x:c>
      <x:c r="D3544" s="19" t="str">
        <x:v>C08-M003</x:v>
      </x:c>
      <x:c r="E3544" s="19" t="str">
        <x:v>冰脊雪猿</x:v>
      </x:c>
      <x:c r="F3544" s="19" t="str">
        <x:v>普通</x:v>
      </x:c>
      <x:c r="G3544" s="19" t="str">
        <x:v>材料独立候选</x:v>
      </x:c>
      <x:c r="H3544" s="19" t="str">
        <x:v>野兽骨片</x:v>
      </x:c>
      <x:c r="I3544" s="22" t="n">
        <x:v>250</x:v>
      </x:c>
      <x:c r="J3544" s="22" t="n">
        <x:v>5</x:v>
      </x:c>
      <x:c r="K3544" s="19" t="n">
        <x:v>1</x:v>
      </x:c>
      <x:c r="L3544" s="24" t="n">
        <x:v>51.765</x:v>
      </x:c>
      <x:c r="M3544" s="26" t="n">
        <x:v>0.1</x:v>
      </x:c>
      <x:c r="N3544" s="24" t="n">
        <x:v>72</x:v>
      </x:c>
      <x:c r="O3544" s="28" t="n">
        <x:f>MIN(1,L3544/I3544)</x:f>
        <x:v>0.20706</x:v>
      </x:c>
      <x:c r="P3544" s="30" t="n">
        <x:f>O3544*J3544*(1+M3544)</x:f>
        <x:v>1.13883</x:v>
      </x:c>
      <x:c r="Q3544" s="30" t="n">
        <x:f>P3544*N3544</x:f>
        <x:v>81.99576</x:v>
      </x:c>
      <x:c r="R3544" s="19" t="str">
        <x:v>独立判定</x:v>
      </x:c>
    </x:row>
    <x:row r="3545" ht="19" customHeight="1">
      <x:c r="A3545" s="19" t="str">
        <x:v>D03541</x:v>
      </x:c>
      <x:c r="B3545" s="19" t="n">
        <x:v>8</x:v>
      </x:c>
      <x:c r="C3545" s="19" t="n">
        <x:v>1</x:v>
      </x:c>
      <x:c r="D3545" s="19" t="str">
        <x:v>C08-M003</x:v>
      </x:c>
      <x:c r="E3545" s="19" t="str">
        <x:v>冰脊雪猿</x:v>
      </x:c>
      <x:c r="F3545" s="19" t="str">
        <x:v>普通</x:v>
      </x:c>
      <x:c r="G3545" s="19" t="str">
        <x:v>材料独立候选</x:v>
      </x:c>
      <x:c r="H3545" s="19" t="str">
        <x:v>技能残页</x:v>
      </x:c>
      <x:c r="I3545" s="22" t="n">
        <x:v>2000</x:v>
      </x:c>
      <x:c r="J3545" s="22" t="n">
        <x:v>1</x:v>
      </x:c>
      <x:c r="K3545" s="19" t="n">
        <x:v>1</x:v>
      </x:c>
      <x:c r="L3545" s="24" t="n">
        <x:v>51.765</x:v>
      </x:c>
      <x:c r="M3545" s="26" t="n">
        <x:v>0.1</x:v>
      </x:c>
      <x:c r="N3545" s="24" t="n">
        <x:v>72</x:v>
      </x:c>
      <x:c r="O3545" s="28" t="n">
        <x:f>MIN(1,L3545/I3545)</x:f>
        <x:v>0.0258825</x:v>
      </x:c>
      <x:c r="P3545" s="30" t="n">
        <x:f>O3545*J3545*(1+M3545)</x:f>
        <x:v>0.028470750000000003</x:v>
      </x:c>
      <x:c r="Q3545" s="30" t="n">
        <x:f>P3545*N3545</x:f>
        <x:v>2.049894</x:v>
      </x:c>
      <x:c r="R3545" s="19" t="str">
        <x:v>独立判定</x:v>
      </x:c>
    </x:row>
    <x:row r="3546" ht="19" customHeight="1">
      <x:c r="A3546" s="19" t="str">
        <x:v>D03542</x:v>
      </x:c>
      <x:c r="B3546" s="19" t="n">
        <x:v>8</x:v>
      </x:c>
      <x:c r="C3546" s="19" t="n">
        <x:v>1</x:v>
      </x:c>
      <x:c r="D3546" s="19" t="str">
        <x:v>C08-M003</x:v>
      </x:c>
      <x:c r="E3546" s="19" t="str">
        <x:v>冰脊雪猿</x:v>
      </x:c>
      <x:c r="F3546" s="19" t="str">
        <x:v>普通</x:v>
      </x:c>
      <x:c r="G3546" s="19" t="str">
        <x:v>材料独立候选</x:v>
      </x:c>
      <x:c r="H3546" s="19" t="str">
        <x:v>小卢恩</x:v>
      </x:c>
      <x:c r="I3546" s="22" t="n">
        <x:v>15000</x:v>
      </x:c>
      <x:c r="J3546" s="22" t="n">
        <x:v>1</x:v>
      </x:c>
      <x:c r="K3546" s="19" t="n">
        <x:v>1</x:v>
      </x:c>
      <x:c r="L3546" s="24" t="n">
        <x:v>51.765</x:v>
      </x:c>
      <x:c r="M3546" s="26" t="n">
        <x:v>0.1</x:v>
      </x:c>
      <x:c r="N3546" s="24" t="n">
        <x:v>72</x:v>
      </x:c>
      <x:c r="O3546" s="28" t="n">
        <x:f>MIN(1,L3546/I3546)</x:f>
        <x:v>0.003451</x:v>
      </x:c>
      <x:c r="P3546" s="30" t="n">
        <x:f>O3546*J3546*(1+M3546)</x:f>
        <x:v>0.0037961000000000006</x:v>
      </x:c>
      <x:c r="Q3546" s="30" t="n">
        <x:f>P3546*N3546</x:f>
        <x:v>0.27331920000000004</x:v>
      </x:c>
      <x:c r="R3546" s="19" t="str">
        <x:v>独立判定</x:v>
      </x:c>
    </x:row>
    <x:row r="3547" ht="19" customHeight="1">
      <x:c r="A3547" s="19" t="str">
        <x:v>D03543</x:v>
      </x:c>
      <x:c r="B3547" s="19" t="n">
        <x:v>8</x:v>
      </x:c>
      <x:c r="C3547" s="19" t="n">
        <x:v>1</x:v>
      </x:c>
      <x:c r="D3547" s="19" t="str">
        <x:v>C08-M003</x:v>
      </x:c>
      <x:c r="E3547" s="19" t="str">
        <x:v>冰脊雪猿</x:v>
      </x:c>
      <x:c r="F3547" s="19" t="str">
        <x:v>普通</x:v>
      </x:c>
      <x:c r="G3547" s="19" t="str">
        <x:v>六神器公共池</x:v>
      </x:c>
      <x:c r="H3547" s="19" t="str">
        <x:v>POOL006</x:v>
      </x:c>
      <x:c r="I3547" s="22" t="n">
        <x:v>20000000</x:v>
      </x:c>
      <x:c r="J3547" s="22" t="n">
        <x:v>1</x:v>
      </x:c>
      <x:c r="K3547" s="19" t="n">
        <x:v>6</x:v>
      </x:c>
      <x:c r="L3547" s="24" t="n">
        <x:v>51.765</x:v>
      </x:c>
      <x:c r="M3547" s="26" t="n">
        <x:v>0.1</x:v>
      </x:c>
      <x:c r="N3547" s="24" t="n">
        <x:v>72</x:v>
      </x:c>
      <x:c r="O3547" s="28" t="n">
        <x:f>MIN(1,L3547/I3547)</x:f>
        <x:v>0.00000258825</x:v>
      </x:c>
      <x:c r="P3547" s="30" t="n">
        <x:f>O3547*J3547*(1+M3547)</x:f>
        <x:v>0.0000028470750000000006</x:v>
      </x:c>
      <x:c r="Q3547" s="30" t="n">
        <x:f>P3547*N3547</x:f>
        <x:v>0.00020498940000000004</x:v>
      </x:c>
      <x:c r="R3547" s="19" t="str">
        <x:v>六选一；非6个独立爆率</x:v>
      </x:c>
    </x:row>
    <x:row r="3548" ht="19" customHeight="1">
      <x:c r="A3548" s="19" t="str">
        <x:v>D03544</x:v>
      </x:c>
      <x:c r="B3548" s="19" t="n">
        <x:v>8</x:v>
      </x:c>
      <x:c r="C3548" s="19" t="n">
        <x:v>1</x:v>
      </x:c>
      <x:c r="D3548" s="19" t="str">
        <x:v>C08-M004</x:v>
      </x:c>
      <x:c r="E3548" s="19" t="str">
        <x:v>古道冻骸</x:v>
      </x:c>
      <x:c r="F3548" s="19" t="str">
        <x:v>普通</x:v>
      </x:c>
      <x:c r="G3548" s="19" t="str">
        <x:v>自身专属</x:v>
      </x:c>
      <x:c r="H3548" s="19" t="str">
        <x:v>冻骨圆盾</x:v>
      </x:c>
      <x:c r="I3548" s="22" t="n">
        <x:v>5000</x:v>
      </x:c>
      <x:c r="J3548" s="22" t="n">
        <x:v>1</x:v>
      </x:c>
      <x:c r="K3548" s="19" t="n">
        <x:v>1</x:v>
      </x:c>
      <x:c r="L3548" s="24" t="n">
        <x:v>51.765</x:v>
      </x:c>
      <x:c r="M3548" s="26" t="n">
        <x:v>0.1</x:v>
      </x:c>
      <x:c r="N3548" s="24" t="n">
        <x:v>72</x:v>
      </x:c>
      <x:c r="O3548" s="28" t="n">
        <x:f>MIN(1,L3548/I3548)</x:f>
        <x:v>0.010353</x:v>
      </x:c>
      <x:c r="P3548" s="30" t="n">
        <x:f>O3548*J3548*(1+M3548)</x:f>
        <x:v>0.0113883</x:v>
      </x:c>
      <x:c r="Q3548" s="30" t="n">
        <x:f>P3548*N3548</x:f>
        <x:v>0.8199576000000001</x:v>
      </x:c>
      <x:c r="R3548" s="19" t="str">
        <x:v>独立判定</x:v>
      </x:c>
    </x:row>
    <x:row r="3549" ht="19" customHeight="1">
      <x:c r="A3549" s="19" t="str">
        <x:v>D03545</x:v>
      </x:c>
      <x:c r="B3549" s="19" t="n">
        <x:v>8</x:v>
      </x:c>
      <x:c r="C3549" s="19" t="n">
        <x:v>1</x:v>
      </x:c>
      <x:c r="D3549" s="19" t="str">
        <x:v>C08-M004</x:v>
      </x:c>
      <x:c r="E3549" s="19" t="str">
        <x:v>古道冻骸</x:v>
      </x:c>
      <x:c r="F3549" s="19" t="str">
        <x:v>普通</x:v>
      </x:c>
      <x:c r="G3549" s="19" t="str">
        <x:v>材料独立候选</x:v>
      </x:c>
      <x:c r="H3549" s="19" t="str">
        <x:v>霜脊铁</x:v>
      </x:c>
      <x:c r="I3549" s="22" t="n">
        <x:v>1200</x:v>
      </x:c>
      <x:c r="J3549" s="22" t="n">
        <x:v>8</x:v>
      </x:c>
      <x:c r="K3549" s="19" t="n">
        <x:v>1</x:v>
      </x:c>
      <x:c r="L3549" s="24" t="n">
        <x:v>51.765</x:v>
      </x:c>
      <x:c r="M3549" s="26" t="n">
        <x:v>0.1</x:v>
      </x:c>
      <x:c r="N3549" s="24" t="n">
        <x:v>72</x:v>
      </x:c>
      <x:c r="O3549" s="28" t="n">
        <x:f>MIN(1,L3549/I3549)</x:f>
        <x:v>0.0431375</x:v>
      </x:c>
      <x:c r="P3549" s="30" t="n">
        <x:f>O3549*J3549*(1+M3549)</x:f>
        <x:v>0.37961000000000006</x:v>
      </x:c>
      <x:c r="Q3549" s="30" t="n">
        <x:f>P3549*N3549</x:f>
        <x:v>27.331920000000004</x:v>
      </x:c>
      <x:c r="R3549" s="19" t="str">
        <x:v>独立判定</x:v>
      </x:c>
    </x:row>
    <x:row r="3550" ht="19" customHeight="1">
      <x:c r="A3550" s="19" t="str">
        <x:v>D03546</x:v>
      </x:c>
      <x:c r="B3550" s="19" t="n">
        <x:v>8</x:v>
      </x:c>
      <x:c r="C3550" s="19" t="n">
        <x:v>1</x:v>
      </x:c>
      <x:c r="D3550" s="19" t="str">
        <x:v>C08-M004</x:v>
      </x:c>
      <x:c r="E3550" s="19" t="str">
        <x:v>古道冻骸</x:v>
      </x:c>
      <x:c r="F3550" s="19" t="str">
        <x:v>普通</x:v>
      </x:c>
      <x:c r="G3550" s="19" t="str">
        <x:v>材料独立候选</x:v>
      </x:c>
      <x:c r="H3550" s="19" t="str">
        <x:v>登山铁楔</x:v>
      </x:c>
      <x:c r="I3550" s="22" t="n">
        <x:v>2000</x:v>
      </x:c>
      <x:c r="J3550" s="22" t="n">
        <x:v>1</x:v>
      </x:c>
      <x:c r="K3550" s="19" t="n">
        <x:v>1</x:v>
      </x:c>
      <x:c r="L3550" s="24" t="n">
        <x:v>51.765</x:v>
      </x:c>
      <x:c r="M3550" s="26" t="n">
        <x:v>0.1</x:v>
      </x:c>
      <x:c r="N3550" s="24" t="n">
        <x:v>72</x:v>
      </x:c>
      <x:c r="O3550" s="28" t="n">
        <x:f>MIN(1,L3550/I3550)</x:f>
        <x:v>0.0258825</x:v>
      </x:c>
      <x:c r="P3550" s="30" t="n">
        <x:f>O3550*J3550*(1+M3550)</x:f>
        <x:v>0.028470750000000003</x:v>
      </x:c>
      <x:c r="Q3550" s="30" t="n">
        <x:f>P3550*N3550</x:f>
        <x:v>2.049894</x:v>
      </x:c>
      <x:c r="R3550" s="19" t="str">
        <x:v>独立判定</x:v>
      </x:c>
    </x:row>
    <x:row r="3551" ht="19" customHeight="1">
      <x:c r="A3551" s="19" t="str">
        <x:v>D03547</x:v>
      </x:c>
      <x:c r="B3551" s="19" t="n">
        <x:v>8</x:v>
      </x:c>
      <x:c r="C3551" s="19" t="n">
        <x:v>1</x:v>
      </x:c>
      <x:c r="D3551" s="19" t="str">
        <x:v>C08-M004</x:v>
      </x:c>
      <x:c r="E3551" s="19" t="str">
        <x:v>古道冻骸</x:v>
      </x:c>
      <x:c r="F3551" s="19" t="str">
        <x:v>普通</x:v>
      </x:c>
      <x:c r="G3551" s="19" t="str">
        <x:v>材料独立候选</x:v>
      </x:c>
      <x:c r="H3551" s="19" t="str">
        <x:v>穹霜碑珀</x:v>
      </x:c>
      <x:c r="I3551" s="22" t="n">
        <x:v>2500000</x:v>
      </x:c>
      <x:c r="J3551" s="22" t="n">
        <x:v>1</x:v>
      </x:c>
      <x:c r="K3551" s="19" t="n">
        <x:v>1</x:v>
      </x:c>
      <x:c r="L3551" s="24" t="n">
        <x:v>51.765</x:v>
      </x:c>
      <x:c r="M3551" s="26" t="n">
        <x:v>0.1</x:v>
      </x:c>
      <x:c r="N3551" s="24" t="n">
        <x:v>72</x:v>
      </x:c>
      <x:c r="O3551" s="28" t="n">
        <x:f>MIN(1,L3551/I3551)</x:f>
        <x:v>0.000020706</x:v>
      </x:c>
      <x:c r="P3551" s="30" t="n">
        <x:f>O3551*J3551*(1+M3551)</x:f>
        <x:v>0.000022776600000000005</x:v>
      </x:c>
      <x:c r="Q3551" s="30" t="n">
        <x:f>P3551*N3551</x:f>
        <x:v>0.0016399152000000003</x:v>
      </x:c>
      <x:c r="R3551" s="19" t="str">
        <x:v>独立判定</x:v>
      </x:c>
    </x:row>
    <x:row r="3552" ht="19" customHeight="1">
      <x:c r="A3552" s="19" t="str">
        <x:v>D03548</x:v>
      </x:c>
      <x:c r="B3552" s="19" t="n">
        <x:v>8</x:v>
      </x:c>
      <x:c r="C3552" s="19" t="n">
        <x:v>1</x:v>
      </x:c>
      <x:c r="D3552" s="19" t="str">
        <x:v>C08-M004</x:v>
      </x:c>
      <x:c r="E3552" s="19" t="str">
        <x:v>古道冻骸</x:v>
      </x:c>
      <x:c r="F3552" s="19" t="str">
        <x:v>普通</x:v>
      </x:c>
      <x:c r="G3552" s="19" t="str">
        <x:v>材料独立候选</x:v>
      </x:c>
      <x:c r="H3552" s="19" t="str">
        <x:v>野兽骨片</x:v>
      </x:c>
      <x:c r="I3552" s="22" t="n">
        <x:v>250</x:v>
      </x:c>
      <x:c r="J3552" s="22" t="n">
        <x:v>5</x:v>
      </x:c>
      <x:c r="K3552" s="19" t="n">
        <x:v>1</x:v>
      </x:c>
      <x:c r="L3552" s="24" t="n">
        <x:v>51.765</x:v>
      </x:c>
      <x:c r="M3552" s="26" t="n">
        <x:v>0.1</x:v>
      </x:c>
      <x:c r="N3552" s="24" t="n">
        <x:v>72</x:v>
      </x:c>
      <x:c r="O3552" s="28" t="n">
        <x:f>MIN(1,L3552/I3552)</x:f>
        <x:v>0.20706</x:v>
      </x:c>
      <x:c r="P3552" s="30" t="n">
        <x:f>O3552*J3552*(1+M3552)</x:f>
        <x:v>1.13883</x:v>
      </x:c>
      <x:c r="Q3552" s="30" t="n">
        <x:f>P3552*N3552</x:f>
        <x:v>81.99576</x:v>
      </x:c>
      <x:c r="R3552" s="19" t="str">
        <x:v>独立判定</x:v>
      </x:c>
    </x:row>
    <x:row r="3553" ht="19" customHeight="1">
      <x:c r="A3553" s="19" t="str">
        <x:v>D03549</x:v>
      </x:c>
      <x:c r="B3553" s="19" t="n">
        <x:v>8</x:v>
      </x:c>
      <x:c r="C3553" s="19" t="n">
        <x:v>1</x:v>
      </x:c>
      <x:c r="D3553" s="19" t="str">
        <x:v>C08-M004</x:v>
      </x:c>
      <x:c r="E3553" s="19" t="str">
        <x:v>古道冻骸</x:v>
      </x:c>
      <x:c r="F3553" s="19" t="str">
        <x:v>普通</x:v>
      </x:c>
      <x:c r="G3553" s="19" t="str">
        <x:v>材料独立候选</x:v>
      </x:c>
      <x:c r="H3553" s="19" t="str">
        <x:v>技能残页</x:v>
      </x:c>
      <x:c r="I3553" s="22" t="n">
        <x:v>2000</x:v>
      </x:c>
      <x:c r="J3553" s="22" t="n">
        <x:v>1</x:v>
      </x:c>
      <x:c r="K3553" s="19" t="n">
        <x:v>1</x:v>
      </x:c>
      <x:c r="L3553" s="24" t="n">
        <x:v>51.765</x:v>
      </x:c>
      <x:c r="M3553" s="26" t="n">
        <x:v>0.1</x:v>
      </x:c>
      <x:c r="N3553" s="24" t="n">
        <x:v>72</x:v>
      </x:c>
      <x:c r="O3553" s="28" t="n">
        <x:f>MIN(1,L3553/I3553)</x:f>
        <x:v>0.0258825</x:v>
      </x:c>
      <x:c r="P3553" s="30" t="n">
        <x:f>O3553*J3553*(1+M3553)</x:f>
        <x:v>0.028470750000000003</x:v>
      </x:c>
      <x:c r="Q3553" s="30" t="n">
        <x:f>P3553*N3553</x:f>
        <x:v>2.049894</x:v>
      </x:c>
      <x:c r="R3553" s="19" t="str">
        <x:v>独立判定</x:v>
      </x:c>
    </x:row>
    <x:row r="3554" ht="19" customHeight="1">
      <x:c r="A3554" s="19" t="str">
        <x:v>D03550</x:v>
      </x:c>
      <x:c r="B3554" s="19" t="n">
        <x:v>8</x:v>
      </x:c>
      <x:c r="C3554" s="19" t="n">
        <x:v>1</x:v>
      </x:c>
      <x:c r="D3554" s="19" t="str">
        <x:v>C08-M004</x:v>
      </x:c>
      <x:c r="E3554" s="19" t="str">
        <x:v>古道冻骸</x:v>
      </x:c>
      <x:c r="F3554" s="19" t="str">
        <x:v>普通</x:v>
      </x:c>
      <x:c r="G3554" s="19" t="str">
        <x:v>材料独立候选</x:v>
      </x:c>
      <x:c r="H3554" s="19" t="str">
        <x:v>小卢恩</x:v>
      </x:c>
      <x:c r="I3554" s="22" t="n">
        <x:v>15000</x:v>
      </x:c>
      <x:c r="J3554" s="22" t="n">
        <x:v>1</x:v>
      </x:c>
      <x:c r="K3554" s="19" t="n">
        <x:v>1</x:v>
      </x:c>
      <x:c r="L3554" s="24" t="n">
        <x:v>51.765</x:v>
      </x:c>
      <x:c r="M3554" s="26" t="n">
        <x:v>0.1</x:v>
      </x:c>
      <x:c r="N3554" s="24" t="n">
        <x:v>72</x:v>
      </x:c>
      <x:c r="O3554" s="28" t="n">
        <x:f>MIN(1,L3554/I3554)</x:f>
        <x:v>0.003451</x:v>
      </x:c>
      <x:c r="P3554" s="30" t="n">
        <x:f>O3554*J3554*(1+M3554)</x:f>
        <x:v>0.0037961000000000006</x:v>
      </x:c>
      <x:c r="Q3554" s="30" t="n">
        <x:f>P3554*N3554</x:f>
        <x:v>0.27331920000000004</x:v>
      </x:c>
      <x:c r="R3554" s="19" t="str">
        <x:v>独立判定</x:v>
      </x:c>
    </x:row>
    <x:row r="3555" ht="19" customHeight="1">
      <x:c r="A3555" s="19" t="str">
        <x:v>D03551</x:v>
      </x:c>
      <x:c r="B3555" s="19" t="n">
        <x:v>8</x:v>
      </x:c>
      <x:c r="C3555" s="19" t="n">
        <x:v>1</x:v>
      </x:c>
      <x:c r="D3555" s="19" t="str">
        <x:v>C08-M004</x:v>
      </x:c>
      <x:c r="E3555" s="19" t="str">
        <x:v>古道冻骸</x:v>
      </x:c>
      <x:c r="F3555" s="19" t="str">
        <x:v>普通</x:v>
      </x:c>
      <x:c r="G3555" s="19" t="str">
        <x:v>六神器公共池</x:v>
      </x:c>
      <x:c r="H3555" s="19" t="str">
        <x:v>POOL006</x:v>
      </x:c>
      <x:c r="I3555" s="22" t="n">
        <x:v>20000000</x:v>
      </x:c>
      <x:c r="J3555" s="22" t="n">
        <x:v>1</x:v>
      </x:c>
      <x:c r="K3555" s="19" t="n">
        <x:v>6</x:v>
      </x:c>
      <x:c r="L3555" s="24" t="n">
        <x:v>51.765</x:v>
      </x:c>
      <x:c r="M3555" s="26" t="n">
        <x:v>0.1</x:v>
      </x:c>
      <x:c r="N3555" s="24" t="n">
        <x:v>72</x:v>
      </x:c>
      <x:c r="O3555" s="28" t="n">
        <x:f>MIN(1,L3555/I3555)</x:f>
        <x:v>0.00000258825</x:v>
      </x:c>
      <x:c r="P3555" s="30" t="n">
        <x:f>O3555*J3555*(1+M3555)</x:f>
        <x:v>0.0000028470750000000006</x:v>
      </x:c>
      <x:c r="Q3555" s="30" t="n">
        <x:f>P3555*N3555</x:f>
        <x:v>0.00020498940000000004</x:v>
      </x:c>
      <x:c r="R3555" s="19" t="str">
        <x:v>六选一；非6个独立爆率</x:v>
      </x:c>
    </x:row>
    <x:row r="3556" ht="19" customHeight="1">
      <x:c r="A3556" s="19" t="str">
        <x:v>D03552</x:v>
      </x:c>
      <x:c r="B3556" s="19" t="n">
        <x:v>8</x:v>
      </x:c>
      <x:c r="C3556" s="19" t="n">
        <x:v>1</x:v>
      </x:c>
      <x:c r="D3556" s="19" t="str">
        <x:v>C08-M005</x:v>
      </x:c>
      <x:c r="E3556" s="19" t="str">
        <x:v>暴雪青隼</x:v>
      </x:c>
      <x:c r="F3556" s="19" t="str">
        <x:v>普通</x:v>
      </x:c>
      <x:c r="G3556" s="19" t="str">
        <x:v>自身专属</x:v>
      </x:c>
      <x:c r="H3556" s="19" t="str">
        <x:v>青隼翎盔</x:v>
      </x:c>
      <x:c r="I3556" s="22" t="n">
        <x:v>5000</x:v>
      </x:c>
      <x:c r="J3556" s="22" t="n">
        <x:v>1</x:v>
      </x:c>
      <x:c r="K3556" s="19" t="n">
        <x:v>1</x:v>
      </x:c>
      <x:c r="L3556" s="24" t="n">
        <x:v>51.765</x:v>
      </x:c>
      <x:c r="M3556" s="26" t="n">
        <x:v>0.1</x:v>
      </x:c>
      <x:c r="N3556" s="24" t="n">
        <x:v>72</x:v>
      </x:c>
      <x:c r="O3556" s="28" t="n">
        <x:f>MIN(1,L3556/I3556)</x:f>
        <x:v>0.010353</x:v>
      </x:c>
      <x:c r="P3556" s="30" t="n">
        <x:f>O3556*J3556*(1+M3556)</x:f>
        <x:v>0.0113883</x:v>
      </x:c>
      <x:c r="Q3556" s="30" t="n">
        <x:f>P3556*N3556</x:f>
        <x:v>0.8199576000000001</x:v>
      </x:c>
      <x:c r="R3556" s="19" t="str">
        <x:v>独立判定</x:v>
      </x:c>
    </x:row>
    <x:row r="3557" ht="19" customHeight="1">
      <x:c r="A3557" s="19" t="str">
        <x:v>D03553</x:v>
      </x:c>
      <x:c r="B3557" s="19" t="n">
        <x:v>8</x:v>
      </x:c>
      <x:c r="C3557" s="19" t="n">
        <x:v>1</x:v>
      </x:c>
      <x:c r="D3557" s="19" t="str">
        <x:v>C08-M005</x:v>
      </x:c>
      <x:c r="E3557" s="19" t="str">
        <x:v>暴雪青隼</x:v>
      </x:c>
      <x:c r="F3557" s="19" t="str">
        <x:v>普通</x:v>
      </x:c>
      <x:c r="G3557" s="19" t="str">
        <x:v>材料独立候选</x:v>
      </x:c>
      <x:c r="H3557" s="19" t="str">
        <x:v>霜脊铁</x:v>
      </x:c>
      <x:c r="I3557" s="22" t="n">
        <x:v>1200</x:v>
      </x:c>
      <x:c r="J3557" s="22" t="n">
        <x:v>8</x:v>
      </x:c>
      <x:c r="K3557" s="19" t="n">
        <x:v>1</x:v>
      </x:c>
      <x:c r="L3557" s="24" t="n">
        <x:v>51.765</x:v>
      </x:c>
      <x:c r="M3557" s="26" t="n">
        <x:v>0.1</x:v>
      </x:c>
      <x:c r="N3557" s="24" t="n">
        <x:v>72</x:v>
      </x:c>
      <x:c r="O3557" s="28" t="n">
        <x:f>MIN(1,L3557/I3557)</x:f>
        <x:v>0.0431375</x:v>
      </x:c>
      <x:c r="P3557" s="30" t="n">
        <x:f>O3557*J3557*(1+M3557)</x:f>
        <x:v>0.37961000000000006</x:v>
      </x:c>
      <x:c r="Q3557" s="30" t="n">
        <x:f>P3557*N3557</x:f>
        <x:v>27.331920000000004</x:v>
      </x:c>
      <x:c r="R3557" s="19" t="str">
        <x:v>独立判定</x:v>
      </x:c>
    </x:row>
    <x:row r="3558" ht="19" customHeight="1">
      <x:c r="A3558" s="19" t="str">
        <x:v>D03554</x:v>
      </x:c>
      <x:c r="B3558" s="19" t="n">
        <x:v>8</x:v>
      </x:c>
      <x:c r="C3558" s="19" t="n">
        <x:v>1</x:v>
      </x:c>
      <x:c r="D3558" s="19" t="str">
        <x:v>C08-M005</x:v>
      </x:c>
      <x:c r="E3558" s="19" t="str">
        <x:v>暴雪青隼</x:v>
      </x:c>
      <x:c r="F3558" s="19" t="str">
        <x:v>普通</x:v>
      </x:c>
      <x:c r="G3558" s="19" t="str">
        <x:v>材料独立候选</x:v>
      </x:c>
      <x:c r="H3558" s="19" t="str">
        <x:v>登山铁楔</x:v>
      </x:c>
      <x:c r="I3558" s="22" t="n">
        <x:v>2000</x:v>
      </x:c>
      <x:c r="J3558" s="22" t="n">
        <x:v>1</x:v>
      </x:c>
      <x:c r="K3558" s="19" t="n">
        <x:v>1</x:v>
      </x:c>
      <x:c r="L3558" s="24" t="n">
        <x:v>51.765</x:v>
      </x:c>
      <x:c r="M3558" s="26" t="n">
        <x:v>0.1</x:v>
      </x:c>
      <x:c r="N3558" s="24" t="n">
        <x:v>72</x:v>
      </x:c>
      <x:c r="O3558" s="28" t="n">
        <x:f>MIN(1,L3558/I3558)</x:f>
        <x:v>0.0258825</x:v>
      </x:c>
      <x:c r="P3558" s="30" t="n">
        <x:f>O3558*J3558*(1+M3558)</x:f>
        <x:v>0.028470750000000003</x:v>
      </x:c>
      <x:c r="Q3558" s="30" t="n">
        <x:f>P3558*N3558</x:f>
        <x:v>2.049894</x:v>
      </x:c>
      <x:c r="R3558" s="19" t="str">
        <x:v>独立判定</x:v>
      </x:c>
    </x:row>
    <x:row r="3559" ht="19" customHeight="1">
      <x:c r="A3559" s="19" t="str">
        <x:v>D03555</x:v>
      </x:c>
      <x:c r="B3559" s="19" t="n">
        <x:v>8</x:v>
      </x:c>
      <x:c r="C3559" s="19" t="n">
        <x:v>1</x:v>
      </x:c>
      <x:c r="D3559" s="19" t="str">
        <x:v>C08-M005</x:v>
      </x:c>
      <x:c r="E3559" s="19" t="str">
        <x:v>暴雪青隼</x:v>
      </x:c>
      <x:c r="F3559" s="19" t="str">
        <x:v>普通</x:v>
      </x:c>
      <x:c r="G3559" s="19" t="str">
        <x:v>材料独立候选</x:v>
      </x:c>
      <x:c r="H3559" s="19" t="str">
        <x:v>穹霜碑珀</x:v>
      </x:c>
      <x:c r="I3559" s="22" t="n">
        <x:v>2500000</x:v>
      </x:c>
      <x:c r="J3559" s="22" t="n">
        <x:v>1</x:v>
      </x:c>
      <x:c r="K3559" s="19" t="n">
        <x:v>1</x:v>
      </x:c>
      <x:c r="L3559" s="24" t="n">
        <x:v>51.765</x:v>
      </x:c>
      <x:c r="M3559" s="26" t="n">
        <x:v>0.1</x:v>
      </x:c>
      <x:c r="N3559" s="24" t="n">
        <x:v>72</x:v>
      </x:c>
      <x:c r="O3559" s="28" t="n">
        <x:f>MIN(1,L3559/I3559)</x:f>
        <x:v>0.000020706</x:v>
      </x:c>
      <x:c r="P3559" s="30" t="n">
        <x:f>O3559*J3559*(1+M3559)</x:f>
        <x:v>0.000022776600000000005</x:v>
      </x:c>
      <x:c r="Q3559" s="30" t="n">
        <x:f>P3559*N3559</x:f>
        <x:v>0.0016399152000000003</x:v>
      </x:c>
      <x:c r="R3559" s="19" t="str">
        <x:v>独立判定</x:v>
      </x:c>
    </x:row>
    <x:row r="3560" ht="19" customHeight="1">
      <x:c r="A3560" s="19" t="str">
        <x:v>D03556</x:v>
      </x:c>
      <x:c r="B3560" s="19" t="n">
        <x:v>8</x:v>
      </x:c>
      <x:c r="C3560" s="19" t="n">
        <x:v>1</x:v>
      </x:c>
      <x:c r="D3560" s="19" t="str">
        <x:v>C08-M005</x:v>
      </x:c>
      <x:c r="E3560" s="19" t="str">
        <x:v>暴雪青隼</x:v>
      </x:c>
      <x:c r="F3560" s="19" t="str">
        <x:v>普通</x:v>
      </x:c>
      <x:c r="G3560" s="19" t="str">
        <x:v>材料独立候选</x:v>
      </x:c>
      <x:c r="H3560" s="19" t="str">
        <x:v>野兽骨片</x:v>
      </x:c>
      <x:c r="I3560" s="22" t="n">
        <x:v>250</x:v>
      </x:c>
      <x:c r="J3560" s="22" t="n">
        <x:v>5</x:v>
      </x:c>
      <x:c r="K3560" s="19" t="n">
        <x:v>1</x:v>
      </x:c>
      <x:c r="L3560" s="24" t="n">
        <x:v>51.765</x:v>
      </x:c>
      <x:c r="M3560" s="26" t="n">
        <x:v>0.1</x:v>
      </x:c>
      <x:c r="N3560" s="24" t="n">
        <x:v>72</x:v>
      </x:c>
      <x:c r="O3560" s="28" t="n">
        <x:f>MIN(1,L3560/I3560)</x:f>
        <x:v>0.20706</x:v>
      </x:c>
      <x:c r="P3560" s="30" t="n">
        <x:f>O3560*J3560*(1+M3560)</x:f>
        <x:v>1.13883</x:v>
      </x:c>
      <x:c r="Q3560" s="30" t="n">
        <x:f>P3560*N3560</x:f>
        <x:v>81.99576</x:v>
      </x:c>
      <x:c r="R3560" s="19" t="str">
        <x:v>独立判定</x:v>
      </x:c>
    </x:row>
    <x:row r="3561" ht="19" customHeight="1">
      <x:c r="A3561" s="19" t="str">
        <x:v>D03557</x:v>
      </x:c>
      <x:c r="B3561" s="19" t="n">
        <x:v>8</x:v>
      </x:c>
      <x:c r="C3561" s="19" t="n">
        <x:v>1</x:v>
      </x:c>
      <x:c r="D3561" s="19" t="str">
        <x:v>C08-M005</x:v>
      </x:c>
      <x:c r="E3561" s="19" t="str">
        <x:v>暴雪青隼</x:v>
      </x:c>
      <x:c r="F3561" s="19" t="str">
        <x:v>普通</x:v>
      </x:c>
      <x:c r="G3561" s="19" t="str">
        <x:v>材料独立候选</x:v>
      </x:c>
      <x:c r="H3561" s="19" t="str">
        <x:v>技能残页</x:v>
      </x:c>
      <x:c r="I3561" s="22" t="n">
        <x:v>2000</x:v>
      </x:c>
      <x:c r="J3561" s="22" t="n">
        <x:v>1</x:v>
      </x:c>
      <x:c r="K3561" s="19" t="n">
        <x:v>1</x:v>
      </x:c>
      <x:c r="L3561" s="24" t="n">
        <x:v>51.765</x:v>
      </x:c>
      <x:c r="M3561" s="26" t="n">
        <x:v>0.1</x:v>
      </x:c>
      <x:c r="N3561" s="24" t="n">
        <x:v>72</x:v>
      </x:c>
      <x:c r="O3561" s="28" t="n">
        <x:f>MIN(1,L3561/I3561)</x:f>
        <x:v>0.0258825</x:v>
      </x:c>
      <x:c r="P3561" s="30" t="n">
        <x:f>O3561*J3561*(1+M3561)</x:f>
        <x:v>0.028470750000000003</x:v>
      </x:c>
      <x:c r="Q3561" s="30" t="n">
        <x:f>P3561*N3561</x:f>
        <x:v>2.049894</x:v>
      </x:c>
      <x:c r="R3561" s="19" t="str">
        <x:v>独立判定</x:v>
      </x:c>
    </x:row>
    <x:row r="3562" ht="19" customHeight="1">
      <x:c r="A3562" s="19" t="str">
        <x:v>D03558</x:v>
      </x:c>
      <x:c r="B3562" s="19" t="n">
        <x:v>8</x:v>
      </x:c>
      <x:c r="C3562" s="19" t="n">
        <x:v>1</x:v>
      </x:c>
      <x:c r="D3562" s="19" t="str">
        <x:v>C08-M005</x:v>
      </x:c>
      <x:c r="E3562" s="19" t="str">
        <x:v>暴雪青隼</x:v>
      </x:c>
      <x:c r="F3562" s="19" t="str">
        <x:v>普通</x:v>
      </x:c>
      <x:c r="G3562" s="19" t="str">
        <x:v>材料独立候选</x:v>
      </x:c>
      <x:c r="H3562" s="19" t="str">
        <x:v>小卢恩</x:v>
      </x:c>
      <x:c r="I3562" s="22" t="n">
        <x:v>15000</x:v>
      </x:c>
      <x:c r="J3562" s="22" t="n">
        <x:v>1</x:v>
      </x:c>
      <x:c r="K3562" s="19" t="n">
        <x:v>1</x:v>
      </x:c>
      <x:c r="L3562" s="24" t="n">
        <x:v>51.765</x:v>
      </x:c>
      <x:c r="M3562" s="26" t="n">
        <x:v>0.1</x:v>
      </x:c>
      <x:c r="N3562" s="24" t="n">
        <x:v>72</x:v>
      </x:c>
      <x:c r="O3562" s="28" t="n">
        <x:f>MIN(1,L3562/I3562)</x:f>
        <x:v>0.003451</x:v>
      </x:c>
      <x:c r="P3562" s="30" t="n">
        <x:f>O3562*J3562*(1+M3562)</x:f>
        <x:v>0.0037961000000000006</x:v>
      </x:c>
      <x:c r="Q3562" s="30" t="n">
        <x:f>P3562*N3562</x:f>
        <x:v>0.27331920000000004</x:v>
      </x:c>
      <x:c r="R3562" s="19" t="str">
        <x:v>独立判定</x:v>
      </x:c>
    </x:row>
    <x:row r="3563" ht="19" customHeight="1">
      <x:c r="A3563" s="19" t="str">
        <x:v>D03559</x:v>
      </x:c>
      <x:c r="B3563" s="19" t="n">
        <x:v>8</x:v>
      </x:c>
      <x:c r="C3563" s="19" t="n">
        <x:v>1</x:v>
      </x:c>
      <x:c r="D3563" s="19" t="str">
        <x:v>C08-M005</x:v>
      </x:c>
      <x:c r="E3563" s="19" t="str">
        <x:v>暴雪青隼</x:v>
      </x:c>
      <x:c r="F3563" s="19" t="str">
        <x:v>普通</x:v>
      </x:c>
      <x:c r="G3563" s="19" t="str">
        <x:v>六神器公共池</x:v>
      </x:c>
      <x:c r="H3563" s="19" t="str">
        <x:v>POOL006</x:v>
      </x:c>
      <x:c r="I3563" s="22" t="n">
        <x:v>20000000</x:v>
      </x:c>
      <x:c r="J3563" s="22" t="n">
        <x:v>1</x:v>
      </x:c>
      <x:c r="K3563" s="19" t="n">
        <x:v>6</x:v>
      </x:c>
      <x:c r="L3563" s="24" t="n">
        <x:v>51.765</x:v>
      </x:c>
      <x:c r="M3563" s="26" t="n">
        <x:v>0.1</x:v>
      </x:c>
      <x:c r="N3563" s="24" t="n">
        <x:v>72</x:v>
      </x:c>
      <x:c r="O3563" s="28" t="n">
        <x:f>MIN(1,L3563/I3563)</x:f>
        <x:v>0.00000258825</x:v>
      </x:c>
      <x:c r="P3563" s="30" t="n">
        <x:f>O3563*J3563*(1+M3563)</x:f>
        <x:v>0.0000028470750000000006</x:v>
      </x:c>
      <x:c r="Q3563" s="30" t="n">
        <x:f>P3563*N3563</x:f>
        <x:v>0.00020498940000000004</x:v>
      </x:c>
      <x:c r="R3563" s="19" t="str">
        <x:v>六选一；非6个独立爆率</x:v>
      </x:c>
    </x:row>
    <x:row r="3564" ht="19" customHeight="1">
      <x:c r="A3564" s="19" t="str">
        <x:v>D03560</x:v>
      </x:c>
      <x:c r="B3564" s="19" t="n">
        <x:v>8</x:v>
      </x:c>
      <x:c r="C3564" s="19" t="n">
        <x:v>1</x:v>
      </x:c>
      <x:c r="D3564" s="19" t="str">
        <x:v>C08-M006</x:v>
      </x:c>
      <x:c r="E3564" s="19" t="str">
        <x:v>祭台霜烛灵</x:v>
      </x:c>
      <x:c r="F3564" s="19" t="str">
        <x:v>普通</x:v>
      </x:c>
      <x:c r="G3564" s="19" t="str">
        <x:v>自身专属</x:v>
      </x:c>
      <x:c r="H3564" s="19" t="str">
        <x:v>霜烛垂链</x:v>
      </x:c>
      <x:c r="I3564" s="22" t="n">
        <x:v>5000</x:v>
      </x:c>
      <x:c r="J3564" s="22" t="n">
        <x:v>1</x:v>
      </x:c>
      <x:c r="K3564" s="19" t="n">
        <x:v>1</x:v>
      </x:c>
      <x:c r="L3564" s="24" t="n">
        <x:v>51.765</x:v>
      </x:c>
      <x:c r="M3564" s="26" t="n">
        <x:v>0.1</x:v>
      </x:c>
      <x:c r="N3564" s="24" t="n">
        <x:v>72</x:v>
      </x:c>
      <x:c r="O3564" s="28" t="n">
        <x:f>MIN(1,L3564/I3564)</x:f>
        <x:v>0.010353</x:v>
      </x:c>
      <x:c r="P3564" s="30" t="n">
        <x:f>O3564*J3564*(1+M3564)</x:f>
        <x:v>0.0113883</x:v>
      </x:c>
      <x:c r="Q3564" s="30" t="n">
        <x:f>P3564*N3564</x:f>
        <x:v>0.8199576000000001</x:v>
      </x:c>
      <x:c r="R3564" s="19" t="str">
        <x:v>独立判定</x:v>
      </x:c>
    </x:row>
    <x:row r="3565" ht="19" customHeight="1">
      <x:c r="A3565" s="19" t="str">
        <x:v>D03561</x:v>
      </x:c>
      <x:c r="B3565" s="19" t="n">
        <x:v>8</x:v>
      </x:c>
      <x:c r="C3565" s="19" t="n">
        <x:v>1</x:v>
      </x:c>
      <x:c r="D3565" s="19" t="str">
        <x:v>C08-M006</x:v>
      </x:c>
      <x:c r="E3565" s="19" t="str">
        <x:v>祭台霜烛灵</x:v>
      </x:c>
      <x:c r="F3565" s="19" t="str">
        <x:v>普通</x:v>
      </x:c>
      <x:c r="G3565" s="19" t="str">
        <x:v>材料独立候选</x:v>
      </x:c>
      <x:c r="H3565" s="19" t="str">
        <x:v>霜脊铁</x:v>
      </x:c>
      <x:c r="I3565" s="22" t="n">
        <x:v>1200</x:v>
      </x:c>
      <x:c r="J3565" s="22" t="n">
        <x:v>8</x:v>
      </x:c>
      <x:c r="K3565" s="19" t="n">
        <x:v>1</x:v>
      </x:c>
      <x:c r="L3565" s="24" t="n">
        <x:v>51.765</x:v>
      </x:c>
      <x:c r="M3565" s="26" t="n">
        <x:v>0.1</x:v>
      </x:c>
      <x:c r="N3565" s="24" t="n">
        <x:v>72</x:v>
      </x:c>
      <x:c r="O3565" s="28" t="n">
        <x:f>MIN(1,L3565/I3565)</x:f>
        <x:v>0.0431375</x:v>
      </x:c>
      <x:c r="P3565" s="30" t="n">
        <x:f>O3565*J3565*(1+M3565)</x:f>
        <x:v>0.37961000000000006</x:v>
      </x:c>
      <x:c r="Q3565" s="30" t="n">
        <x:f>P3565*N3565</x:f>
        <x:v>27.331920000000004</x:v>
      </x:c>
      <x:c r="R3565" s="19" t="str">
        <x:v>独立判定</x:v>
      </x:c>
    </x:row>
    <x:row r="3566" ht="19" customHeight="1">
      <x:c r="A3566" s="19" t="str">
        <x:v>D03562</x:v>
      </x:c>
      <x:c r="B3566" s="19" t="n">
        <x:v>8</x:v>
      </x:c>
      <x:c r="C3566" s="19" t="n">
        <x:v>1</x:v>
      </x:c>
      <x:c r="D3566" s="19" t="str">
        <x:v>C08-M006</x:v>
      </x:c>
      <x:c r="E3566" s="19" t="str">
        <x:v>祭台霜烛灵</x:v>
      </x:c>
      <x:c r="F3566" s="19" t="str">
        <x:v>普通</x:v>
      </x:c>
      <x:c r="G3566" s="19" t="str">
        <x:v>材料独立候选</x:v>
      </x:c>
      <x:c r="H3566" s="19" t="str">
        <x:v>登山铁楔</x:v>
      </x:c>
      <x:c r="I3566" s="22" t="n">
        <x:v>2000</x:v>
      </x:c>
      <x:c r="J3566" s="22" t="n">
        <x:v>1</x:v>
      </x:c>
      <x:c r="K3566" s="19" t="n">
        <x:v>1</x:v>
      </x:c>
      <x:c r="L3566" s="24" t="n">
        <x:v>51.765</x:v>
      </x:c>
      <x:c r="M3566" s="26" t="n">
        <x:v>0.1</x:v>
      </x:c>
      <x:c r="N3566" s="24" t="n">
        <x:v>72</x:v>
      </x:c>
      <x:c r="O3566" s="28" t="n">
        <x:f>MIN(1,L3566/I3566)</x:f>
        <x:v>0.0258825</x:v>
      </x:c>
      <x:c r="P3566" s="30" t="n">
        <x:f>O3566*J3566*(1+M3566)</x:f>
        <x:v>0.028470750000000003</x:v>
      </x:c>
      <x:c r="Q3566" s="30" t="n">
        <x:f>P3566*N3566</x:f>
        <x:v>2.049894</x:v>
      </x:c>
      <x:c r="R3566" s="19" t="str">
        <x:v>独立判定</x:v>
      </x:c>
    </x:row>
    <x:row r="3567" ht="19" customHeight="1">
      <x:c r="A3567" s="19" t="str">
        <x:v>D03563</x:v>
      </x:c>
      <x:c r="B3567" s="19" t="n">
        <x:v>8</x:v>
      </x:c>
      <x:c r="C3567" s="19" t="n">
        <x:v>1</x:v>
      </x:c>
      <x:c r="D3567" s="19" t="str">
        <x:v>C08-M006</x:v>
      </x:c>
      <x:c r="E3567" s="19" t="str">
        <x:v>祭台霜烛灵</x:v>
      </x:c>
      <x:c r="F3567" s="19" t="str">
        <x:v>普通</x:v>
      </x:c>
      <x:c r="G3567" s="19" t="str">
        <x:v>材料独立候选</x:v>
      </x:c>
      <x:c r="H3567" s="19" t="str">
        <x:v>穹霜碑珀</x:v>
      </x:c>
      <x:c r="I3567" s="22" t="n">
        <x:v>2500000</x:v>
      </x:c>
      <x:c r="J3567" s="22" t="n">
        <x:v>1</x:v>
      </x:c>
      <x:c r="K3567" s="19" t="n">
        <x:v>1</x:v>
      </x:c>
      <x:c r="L3567" s="24" t="n">
        <x:v>51.765</x:v>
      </x:c>
      <x:c r="M3567" s="26" t="n">
        <x:v>0.1</x:v>
      </x:c>
      <x:c r="N3567" s="24" t="n">
        <x:v>72</x:v>
      </x:c>
      <x:c r="O3567" s="28" t="n">
        <x:f>MIN(1,L3567/I3567)</x:f>
        <x:v>0.000020706</x:v>
      </x:c>
      <x:c r="P3567" s="30" t="n">
        <x:f>O3567*J3567*(1+M3567)</x:f>
        <x:v>0.000022776600000000005</x:v>
      </x:c>
      <x:c r="Q3567" s="30" t="n">
        <x:f>P3567*N3567</x:f>
        <x:v>0.0016399152000000003</x:v>
      </x:c>
      <x:c r="R3567" s="19" t="str">
        <x:v>独立判定</x:v>
      </x:c>
    </x:row>
    <x:row r="3568" ht="19" customHeight="1">
      <x:c r="A3568" s="19" t="str">
        <x:v>D03564</x:v>
      </x:c>
      <x:c r="B3568" s="19" t="n">
        <x:v>8</x:v>
      </x:c>
      <x:c r="C3568" s="19" t="n">
        <x:v>1</x:v>
      </x:c>
      <x:c r="D3568" s="19" t="str">
        <x:v>C08-M006</x:v>
      </x:c>
      <x:c r="E3568" s="19" t="str">
        <x:v>祭台霜烛灵</x:v>
      </x:c>
      <x:c r="F3568" s="19" t="str">
        <x:v>普通</x:v>
      </x:c>
      <x:c r="G3568" s="19" t="str">
        <x:v>材料独立候选</x:v>
      </x:c>
      <x:c r="H3568" s="19" t="str">
        <x:v>野兽骨片</x:v>
      </x:c>
      <x:c r="I3568" s="22" t="n">
        <x:v>250</x:v>
      </x:c>
      <x:c r="J3568" s="22" t="n">
        <x:v>5</x:v>
      </x:c>
      <x:c r="K3568" s="19" t="n">
        <x:v>1</x:v>
      </x:c>
      <x:c r="L3568" s="24" t="n">
        <x:v>51.765</x:v>
      </x:c>
      <x:c r="M3568" s="26" t="n">
        <x:v>0.1</x:v>
      </x:c>
      <x:c r="N3568" s="24" t="n">
        <x:v>72</x:v>
      </x:c>
      <x:c r="O3568" s="28" t="n">
        <x:f>MIN(1,L3568/I3568)</x:f>
        <x:v>0.20706</x:v>
      </x:c>
      <x:c r="P3568" s="30" t="n">
        <x:f>O3568*J3568*(1+M3568)</x:f>
        <x:v>1.13883</x:v>
      </x:c>
      <x:c r="Q3568" s="30" t="n">
        <x:f>P3568*N3568</x:f>
        <x:v>81.99576</x:v>
      </x:c>
      <x:c r="R3568" s="19" t="str">
        <x:v>独立判定</x:v>
      </x:c>
    </x:row>
    <x:row r="3569" ht="19" customHeight="1">
      <x:c r="A3569" s="19" t="str">
        <x:v>D03565</x:v>
      </x:c>
      <x:c r="B3569" s="19" t="n">
        <x:v>8</x:v>
      </x:c>
      <x:c r="C3569" s="19" t="n">
        <x:v>1</x:v>
      </x:c>
      <x:c r="D3569" s="19" t="str">
        <x:v>C08-M006</x:v>
      </x:c>
      <x:c r="E3569" s="19" t="str">
        <x:v>祭台霜烛灵</x:v>
      </x:c>
      <x:c r="F3569" s="19" t="str">
        <x:v>普通</x:v>
      </x:c>
      <x:c r="G3569" s="19" t="str">
        <x:v>材料独立候选</x:v>
      </x:c>
      <x:c r="H3569" s="19" t="str">
        <x:v>技能残页</x:v>
      </x:c>
      <x:c r="I3569" s="22" t="n">
        <x:v>2000</x:v>
      </x:c>
      <x:c r="J3569" s="22" t="n">
        <x:v>1</x:v>
      </x:c>
      <x:c r="K3569" s="19" t="n">
        <x:v>1</x:v>
      </x:c>
      <x:c r="L3569" s="24" t="n">
        <x:v>51.765</x:v>
      </x:c>
      <x:c r="M3569" s="26" t="n">
        <x:v>0.1</x:v>
      </x:c>
      <x:c r="N3569" s="24" t="n">
        <x:v>72</x:v>
      </x:c>
      <x:c r="O3569" s="28" t="n">
        <x:f>MIN(1,L3569/I3569)</x:f>
        <x:v>0.0258825</x:v>
      </x:c>
      <x:c r="P3569" s="30" t="n">
        <x:f>O3569*J3569*(1+M3569)</x:f>
        <x:v>0.028470750000000003</x:v>
      </x:c>
      <x:c r="Q3569" s="30" t="n">
        <x:f>P3569*N3569</x:f>
        <x:v>2.049894</x:v>
      </x:c>
      <x:c r="R3569" s="19" t="str">
        <x:v>独立判定</x:v>
      </x:c>
    </x:row>
    <x:row r="3570" ht="19" customHeight="1">
      <x:c r="A3570" s="19" t="str">
        <x:v>D03566</x:v>
      </x:c>
      <x:c r="B3570" s="19" t="n">
        <x:v>8</x:v>
      </x:c>
      <x:c r="C3570" s="19" t="n">
        <x:v>1</x:v>
      </x:c>
      <x:c r="D3570" s="19" t="str">
        <x:v>C08-M006</x:v>
      </x:c>
      <x:c r="E3570" s="19" t="str">
        <x:v>祭台霜烛灵</x:v>
      </x:c>
      <x:c r="F3570" s="19" t="str">
        <x:v>普通</x:v>
      </x:c>
      <x:c r="G3570" s="19" t="str">
        <x:v>材料独立候选</x:v>
      </x:c>
      <x:c r="H3570" s="19" t="str">
        <x:v>小卢恩</x:v>
      </x:c>
      <x:c r="I3570" s="22" t="n">
        <x:v>15000</x:v>
      </x:c>
      <x:c r="J3570" s="22" t="n">
        <x:v>1</x:v>
      </x:c>
      <x:c r="K3570" s="19" t="n">
        <x:v>1</x:v>
      </x:c>
      <x:c r="L3570" s="24" t="n">
        <x:v>51.765</x:v>
      </x:c>
      <x:c r="M3570" s="26" t="n">
        <x:v>0.1</x:v>
      </x:c>
      <x:c r="N3570" s="24" t="n">
        <x:v>72</x:v>
      </x:c>
      <x:c r="O3570" s="28" t="n">
        <x:f>MIN(1,L3570/I3570)</x:f>
        <x:v>0.003451</x:v>
      </x:c>
      <x:c r="P3570" s="30" t="n">
        <x:f>O3570*J3570*(1+M3570)</x:f>
        <x:v>0.0037961000000000006</x:v>
      </x:c>
      <x:c r="Q3570" s="30" t="n">
        <x:f>P3570*N3570</x:f>
        <x:v>0.27331920000000004</x:v>
      </x:c>
      <x:c r="R3570" s="19" t="str">
        <x:v>独立判定</x:v>
      </x:c>
    </x:row>
    <x:row r="3571" ht="19" customHeight="1">
      <x:c r="A3571" s="19" t="str">
        <x:v>D03567</x:v>
      </x:c>
      <x:c r="B3571" s="19" t="n">
        <x:v>8</x:v>
      </x:c>
      <x:c r="C3571" s="19" t="n">
        <x:v>1</x:v>
      </x:c>
      <x:c r="D3571" s="19" t="str">
        <x:v>C08-M006</x:v>
      </x:c>
      <x:c r="E3571" s="19" t="str">
        <x:v>祭台霜烛灵</x:v>
      </x:c>
      <x:c r="F3571" s="19" t="str">
        <x:v>普通</x:v>
      </x:c>
      <x:c r="G3571" s="19" t="str">
        <x:v>六神器公共池</x:v>
      </x:c>
      <x:c r="H3571" s="19" t="str">
        <x:v>POOL006</x:v>
      </x:c>
      <x:c r="I3571" s="22" t="n">
        <x:v>20000000</x:v>
      </x:c>
      <x:c r="J3571" s="22" t="n">
        <x:v>1</x:v>
      </x:c>
      <x:c r="K3571" s="19" t="n">
        <x:v>6</x:v>
      </x:c>
      <x:c r="L3571" s="24" t="n">
        <x:v>51.765</x:v>
      </x:c>
      <x:c r="M3571" s="26" t="n">
        <x:v>0.1</x:v>
      </x:c>
      <x:c r="N3571" s="24" t="n">
        <x:v>72</x:v>
      </x:c>
      <x:c r="O3571" s="28" t="n">
        <x:f>MIN(1,L3571/I3571)</x:f>
        <x:v>0.00000258825</x:v>
      </x:c>
      <x:c r="P3571" s="30" t="n">
        <x:f>O3571*J3571*(1+M3571)</x:f>
        <x:v>0.0000028470750000000006</x:v>
      </x:c>
      <x:c r="Q3571" s="30" t="n">
        <x:f>P3571*N3571</x:f>
        <x:v>0.00020498940000000004</x:v>
      </x:c>
      <x:c r="R3571" s="19" t="str">
        <x:v>六选一；非6个独立爆率</x:v>
      </x:c>
    </x:row>
    <x:row r="3572" ht="19" customHeight="1">
      <x:c r="A3572" s="19" t="str">
        <x:v>D03568</x:v>
      </x:c>
      <x:c r="B3572" s="19" t="n">
        <x:v>8</x:v>
      </x:c>
      <x:c r="C3572" s="19" t="n">
        <x:v>1</x:v>
      </x:c>
      <x:c r="D3572" s="19" t="str">
        <x:v>C08-M007</x:v>
      </x:c>
      <x:c r="E3572" s="19" t="str">
        <x:v>雾凇引路人</x:v>
      </x:c>
      <x:c r="F3572" s="19" t="str">
        <x:v>稀有</x:v>
      </x:c>
      <x:c r="G3572" s="19" t="str">
        <x:v>自身专属</x:v>
      </x:c>
      <x:c r="H3572" s="19" t="str">
        <x:v>雾凇引路笠</x:v>
      </x:c>
      <x:c r="I3572" s="22" t="n">
        <x:v>1200</x:v>
      </x:c>
      <x:c r="J3572" s="22" t="n">
        <x:v>1</x:v>
      </x:c>
      <x:c r="K3572" s="19" t="n">
        <x:v>1</x:v>
      </x:c>
      <x:c r="L3572" s="24" t="n">
        <x:v>51.765</x:v>
      </x:c>
      <x:c r="M3572" s="26" t="n">
        <x:v>0.1</x:v>
      </x:c>
      <x:c r="N3572" s="24" t="n">
        <x:v>12</x:v>
      </x:c>
      <x:c r="O3572" s="28" t="n">
        <x:f>MIN(1,L3572/I3572)</x:f>
        <x:v>0.0431375</x:v>
      </x:c>
      <x:c r="P3572" s="30" t="n">
        <x:f>O3572*J3572*(1+M3572)</x:f>
        <x:v>0.04745125000000001</x:v>
      </x:c>
      <x:c r="Q3572" s="30" t="n">
        <x:f>P3572*N3572</x:f>
        <x:v>0.5694150000000001</x:v>
      </x:c>
      <x:c r="R3572" s="19" t="str">
        <x:v>独立判定</x:v>
      </x:c>
    </x:row>
    <x:row r="3573" ht="19" customHeight="1">
      <x:c r="A3573" s="19" t="str">
        <x:v>D03569</x:v>
      </x:c>
      <x:c r="B3573" s="19" t="n">
        <x:v>8</x:v>
      </x:c>
      <x:c r="C3573" s="19" t="n">
        <x:v>1</x:v>
      </x:c>
      <x:c r="D3573" s="19" t="str">
        <x:v>C08-M007</x:v>
      </x:c>
      <x:c r="E3573" s="19" t="str">
        <x:v>雾凇引路人</x:v>
      </x:c>
      <x:c r="F3573" s="19" t="str">
        <x:v>稀有</x:v>
      </x:c>
      <x:c r="G3573" s="19" t="str">
        <x:v>材料独立候选</x:v>
      </x:c>
      <x:c r="H3573" s="19" t="str">
        <x:v>霜脊铁</x:v>
      </x:c>
      <x:c r="I3573" s="22" t="n">
        <x:v>800</x:v>
      </x:c>
      <x:c r="J3573" s="22" t="n">
        <x:v>15</x:v>
      </x:c>
      <x:c r="K3573" s="19" t="n">
        <x:v>1</x:v>
      </x:c>
      <x:c r="L3573" s="24" t="n">
        <x:v>51.765</x:v>
      </x:c>
      <x:c r="M3573" s="26" t="n">
        <x:v>0.1</x:v>
      </x:c>
      <x:c r="N3573" s="24" t="n">
        <x:v>12</x:v>
      </x:c>
      <x:c r="O3573" s="28" t="n">
        <x:f>MIN(1,L3573/I3573)</x:f>
        <x:v>0.06470625</x:v>
      </x:c>
      <x:c r="P3573" s="30" t="n">
        <x:f>O3573*J3573*(1+M3573)</x:f>
        <x:v>1.0676531250000003</x:v>
      </x:c>
      <x:c r="Q3573" s="30" t="n">
        <x:f>P3573*N3573</x:f>
        <x:v>12.811837500000003</x:v>
      </x:c>
      <x:c r="R3573" s="19" t="str">
        <x:v>独立判定</x:v>
      </x:c>
    </x:row>
    <x:row r="3574" ht="19" customHeight="1">
      <x:c r="A3574" s="19" t="str">
        <x:v>D03570</x:v>
      </x:c>
      <x:c r="B3574" s="19" t="n">
        <x:v>8</x:v>
      </x:c>
      <x:c r="C3574" s="19" t="n">
        <x:v>1</x:v>
      </x:c>
      <x:c r="D3574" s="19" t="str">
        <x:v>C08-M007</x:v>
      </x:c>
      <x:c r="E3574" s="19" t="str">
        <x:v>雾凇引路人</x:v>
      </x:c>
      <x:c r="F3574" s="19" t="str">
        <x:v>稀有</x:v>
      </x:c>
      <x:c r="G3574" s="19" t="str">
        <x:v>材料独立候选</x:v>
      </x:c>
      <x:c r="H3574" s="19" t="str">
        <x:v>巨人火种</x:v>
      </x:c>
      <x:c r="I3574" s="22" t="n">
        <x:v>1200</x:v>
      </x:c>
      <x:c r="J3574" s="22" t="n">
        <x:v>1</x:v>
      </x:c>
      <x:c r="K3574" s="19" t="n">
        <x:v>1</x:v>
      </x:c>
      <x:c r="L3574" s="24" t="n">
        <x:v>51.765</x:v>
      </x:c>
      <x:c r="M3574" s="26" t="n">
        <x:v>0.1</x:v>
      </x:c>
      <x:c r="N3574" s="24" t="n">
        <x:v>12</x:v>
      </x:c>
      <x:c r="O3574" s="28" t="n">
        <x:f>MIN(1,L3574/I3574)</x:f>
        <x:v>0.0431375</x:v>
      </x:c>
      <x:c r="P3574" s="30" t="n">
        <x:f>O3574*J3574*(1+M3574)</x:f>
        <x:v>0.04745125000000001</x:v>
      </x:c>
      <x:c r="Q3574" s="30" t="n">
        <x:f>P3574*N3574</x:f>
        <x:v>0.5694150000000001</x:v>
      </x:c>
      <x:c r="R3574" s="19" t="str">
        <x:v>独立判定</x:v>
      </x:c>
    </x:row>
    <x:row r="3575" ht="19" customHeight="1">
      <x:c r="A3575" s="19" t="str">
        <x:v>D03571</x:v>
      </x:c>
      <x:c r="B3575" s="19" t="n">
        <x:v>8</x:v>
      </x:c>
      <x:c r="C3575" s="19" t="n">
        <x:v>1</x:v>
      </x:c>
      <x:c r="D3575" s="19" t="str">
        <x:v>C08-M007</x:v>
      </x:c>
      <x:c r="E3575" s="19" t="str">
        <x:v>雾凇引路人</x:v>
      </x:c>
      <x:c r="F3575" s="19" t="str">
        <x:v>稀有</x:v>
      </x:c>
      <x:c r="G3575" s="19" t="str">
        <x:v>材料独立候选</x:v>
      </x:c>
      <x:c r="H3575" s="19" t="str">
        <x:v>裂峰号角片</x:v>
      </x:c>
      <x:c r="I3575" s="22" t="n">
        <x:v>400</x:v>
      </x:c>
      <x:c r="J3575" s="22" t="n">
        <x:v>1</x:v>
      </x:c>
      <x:c r="K3575" s="19" t="n">
        <x:v>1</x:v>
      </x:c>
      <x:c r="L3575" s="24" t="n">
        <x:v>51.765</x:v>
      </x:c>
      <x:c r="M3575" s="26" t="n">
        <x:v>0.1</x:v>
      </x:c>
      <x:c r="N3575" s="24" t="n">
        <x:v>12</x:v>
      </x:c>
      <x:c r="O3575" s="28" t="n">
        <x:f>MIN(1,L3575/I3575)</x:f>
        <x:v>0.1294125</x:v>
      </x:c>
      <x:c r="P3575" s="30" t="n">
        <x:f>O3575*J3575*(1+M3575)</x:f>
        <x:v>0.14235375000000003</x:v>
      </x:c>
      <x:c r="Q3575" s="30" t="n">
        <x:f>P3575*N3575</x:f>
        <x:v>1.7082450000000002</x:v>
      </x:c>
      <x:c r="R3575" s="19" t="str">
        <x:v>独立判定</x:v>
      </x:c>
    </x:row>
    <x:row r="3576" ht="19" customHeight="1">
      <x:c r="A3576" s="19" t="str">
        <x:v>D03572</x:v>
      </x:c>
      <x:c r="B3576" s="19" t="n">
        <x:v>8</x:v>
      </x:c>
      <x:c r="C3576" s="19" t="n">
        <x:v>1</x:v>
      </x:c>
      <x:c r="D3576" s="19" t="str">
        <x:v>C08-M007</x:v>
      </x:c>
      <x:c r="E3576" s="19" t="str">
        <x:v>雾凇引路人</x:v>
      </x:c>
      <x:c r="F3576" s="19" t="str">
        <x:v>稀有</x:v>
      </x:c>
      <x:c r="G3576" s="19" t="str">
        <x:v>材料独立候选</x:v>
      </x:c>
      <x:c r="H3576" s="19" t="str">
        <x:v>穹霜碑珀</x:v>
      </x:c>
      <x:c r="I3576" s="22" t="n">
        <x:v>1500000</x:v>
      </x:c>
      <x:c r="J3576" s="22" t="n">
        <x:v>1</x:v>
      </x:c>
      <x:c r="K3576" s="19" t="n">
        <x:v>1</x:v>
      </x:c>
      <x:c r="L3576" s="24" t="n">
        <x:v>51.765</x:v>
      </x:c>
      <x:c r="M3576" s="26" t="n">
        <x:v>0.1</x:v>
      </x:c>
      <x:c r="N3576" s="24" t="n">
        <x:v>12</x:v>
      </x:c>
      <x:c r="O3576" s="28" t="n">
        <x:f>MIN(1,L3576/I3576)</x:f>
        <x:v>0.00003451</x:v>
      </x:c>
      <x:c r="P3576" s="30" t="n">
        <x:f>O3576*J3576*(1+M3576)</x:f>
        <x:v>0.000037961000000000005</x:v>
      </x:c>
      <x:c r="Q3576" s="30" t="n">
        <x:f>P3576*N3576</x:f>
        <x:v>0.00045553200000000003</x:v>
      </x:c>
      <x:c r="R3576" s="19" t="str">
        <x:v>独立判定</x:v>
      </x:c>
    </x:row>
    <x:row r="3577" ht="19" customHeight="1">
      <x:c r="A3577" s="19" t="str">
        <x:v>D03573</x:v>
      </x:c>
      <x:c r="B3577" s="19" t="n">
        <x:v>8</x:v>
      </x:c>
      <x:c r="C3577" s="19" t="n">
        <x:v>1</x:v>
      </x:c>
      <x:c r="D3577" s="19" t="str">
        <x:v>C08-M007</x:v>
      </x:c>
      <x:c r="E3577" s="19" t="str">
        <x:v>雾凇引路人</x:v>
      </x:c>
      <x:c r="F3577" s="19" t="str">
        <x:v>稀有</x:v>
      </x:c>
      <x:c r="G3577" s="19" t="str">
        <x:v>材料独立候选</x:v>
      </x:c>
      <x:c r="H3577" s="19" t="str">
        <x:v>黄金树芽</x:v>
      </x:c>
      <x:c r="I3577" s="22" t="n">
        <x:v>1500</x:v>
      </x:c>
      <x:c r="J3577" s="22" t="n">
        <x:v>1</x:v>
      </x:c>
      <x:c r="K3577" s="19" t="n">
        <x:v>1</x:v>
      </x:c>
      <x:c r="L3577" s="24" t="n">
        <x:v>51.765</x:v>
      </x:c>
      <x:c r="M3577" s="26" t="n">
        <x:v>0.1</x:v>
      </x:c>
      <x:c r="N3577" s="24" t="n">
        <x:v>12</x:v>
      </x:c>
      <x:c r="O3577" s="28" t="n">
        <x:f>MIN(1,L3577/I3577)</x:f>
        <x:v>0.03451</x:v>
      </x:c>
      <x:c r="P3577" s="30" t="n">
        <x:f>O3577*J3577*(1+M3577)</x:f>
        <x:v>0.037961</x:v>
      </x:c>
      <x:c r="Q3577" s="30" t="n">
        <x:f>P3577*N3577</x:f>
        <x:v>0.45553200000000005</x:v>
      </x:c>
      <x:c r="R3577" s="19" t="str">
        <x:v>独立判定</x:v>
      </x:c>
    </x:row>
    <x:row r="3578" ht="19" customHeight="1">
      <x:c r="A3578" s="19" t="str">
        <x:v>D03574</x:v>
      </x:c>
      <x:c r="B3578" s="19" t="n">
        <x:v>8</x:v>
      </x:c>
      <x:c r="C3578" s="19" t="n">
        <x:v>1</x:v>
      </x:c>
      <x:c r="D3578" s="19" t="str">
        <x:v>C08-M007</x:v>
      </x:c>
      <x:c r="E3578" s="19" t="str">
        <x:v>雾凇引路人</x:v>
      </x:c>
      <x:c r="F3578" s="19" t="str">
        <x:v>稀有</x:v>
      </x:c>
      <x:c r="G3578" s="19" t="str">
        <x:v>材料独立候选</x:v>
      </x:c>
      <x:c r="H3578" s="19" t="str">
        <x:v>野兽骨片</x:v>
      </x:c>
      <x:c r="I3578" s="22" t="n">
        <x:v>150</x:v>
      </x:c>
      <x:c r="J3578" s="22" t="n">
        <x:v>5</x:v>
      </x:c>
      <x:c r="K3578" s="19" t="n">
        <x:v>1</x:v>
      </x:c>
      <x:c r="L3578" s="24" t="n">
        <x:v>51.765</x:v>
      </x:c>
      <x:c r="M3578" s="26" t="n">
        <x:v>0.1</x:v>
      </x:c>
      <x:c r="N3578" s="24" t="n">
        <x:v>12</x:v>
      </x:c>
      <x:c r="O3578" s="28" t="n">
        <x:f>MIN(1,L3578/I3578)</x:f>
        <x:v>0.3451</x:v>
      </x:c>
      <x:c r="P3578" s="30" t="n">
        <x:f>O3578*J3578*(1+M3578)</x:f>
        <x:v>1.8980500000000002</x:v>
      </x:c>
      <x:c r="Q3578" s="30" t="n">
        <x:f>P3578*N3578</x:f>
        <x:v>22.776600000000002</x:v>
      </x:c>
      <x:c r="R3578" s="19" t="str">
        <x:v>独立判定</x:v>
      </x:c>
    </x:row>
    <x:row r="3579" ht="19" customHeight="1">
      <x:c r="A3579" s="19" t="str">
        <x:v>D03575</x:v>
      </x:c>
      <x:c r="B3579" s="19" t="n">
        <x:v>8</x:v>
      </x:c>
      <x:c r="C3579" s="19" t="n">
        <x:v>1</x:v>
      </x:c>
      <x:c r="D3579" s="19" t="str">
        <x:v>C08-M007</x:v>
      </x:c>
      <x:c r="E3579" s="19" t="str">
        <x:v>雾凇引路人</x:v>
      </x:c>
      <x:c r="F3579" s="19" t="str">
        <x:v>稀有</x:v>
      </x:c>
      <x:c r="G3579" s="19" t="str">
        <x:v>材料独立候选</x:v>
      </x:c>
      <x:c r="H3579" s="19" t="str">
        <x:v>技能残页</x:v>
      </x:c>
      <x:c r="I3579" s="22" t="n">
        <x:v>1200</x:v>
      </x:c>
      <x:c r="J3579" s="22" t="n">
        <x:v>1</x:v>
      </x:c>
      <x:c r="K3579" s="19" t="n">
        <x:v>1</x:v>
      </x:c>
      <x:c r="L3579" s="24" t="n">
        <x:v>51.765</x:v>
      </x:c>
      <x:c r="M3579" s="26" t="n">
        <x:v>0.1</x:v>
      </x:c>
      <x:c r="N3579" s="24" t="n">
        <x:v>12</x:v>
      </x:c>
      <x:c r="O3579" s="28" t="n">
        <x:f>MIN(1,L3579/I3579)</x:f>
        <x:v>0.0431375</x:v>
      </x:c>
      <x:c r="P3579" s="30" t="n">
        <x:f>O3579*J3579*(1+M3579)</x:f>
        <x:v>0.04745125000000001</x:v>
      </x:c>
      <x:c r="Q3579" s="30" t="n">
        <x:f>P3579*N3579</x:f>
        <x:v>0.5694150000000001</x:v>
      </x:c>
      <x:c r="R3579" s="19" t="str">
        <x:v>独立判定</x:v>
      </x:c>
    </x:row>
    <x:row r="3580" ht="19" customHeight="1">
      <x:c r="A3580" s="19" t="str">
        <x:v>D03576</x:v>
      </x:c>
      <x:c r="B3580" s="19" t="n">
        <x:v>8</x:v>
      </x:c>
      <x:c r="C3580" s="19" t="n">
        <x:v>1</x:v>
      </x:c>
      <x:c r="D3580" s="19" t="str">
        <x:v>C08-M007</x:v>
      </x:c>
      <x:c r="E3580" s="19" t="str">
        <x:v>雾凇引路人</x:v>
      </x:c>
      <x:c r="F3580" s="19" t="str">
        <x:v>稀有</x:v>
      </x:c>
      <x:c r="G3580" s="19" t="str">
        <x:v>材料独立候选</x:v>
      </x:c>
      <x:c r="H3580" s="19" t="str">
        <x:v>小卢恩</x:v>
      </x:c>
      <x:c r="I3580" s="22" t="n">
        <x:v>10000</x:v>
      </x:c>
      <x:c r="J3580" s="22" t="n">
        <x:v>1</x:v>
      </x:c>
      <x:c r="K3580" s="19" t="n">
        <x:v>1</x:v>
      </x:c>
      <x:c r="L3580" s="24" t="n">
        <x:v>51.765</x:v>
      </x:c>
      <x:c r="M3580" s="26" t="n">
        <x:v>0.1</x:v>
      </x:c>
      <x:c r="N3580" s="24" t="n">
        <x:v>12</x:v>
      </x:c>
      <x:c r="O3580" s="28" t="n">
        <x:f>MIN(1,L3580/I3580)</x:f>
        <x:v>0.0051765</x:v>
      </x:c>
      <x:c r="P3580" s="30" t="n">
        <x:f>O3580*J3580*(1+M3580)</x:f>
        <x:v>0.00569415</x:v>
      </x:c>
      <x:c r="Q3580" s="30" t="n">
        <x:f>P3580*N3580</x:f>
        <x:v>0.0683298</x:v>
      </x:c>
      <x:c r="R3580" s="19" t="str">
        <x:v>独立判定</x:v>
      </x:c>
    </x:row>
    <x:row r="3581" ht="19" customHeight="1">
      <x:c r="A3581" s="19" t="str">
        <x:v>D03577</x:v>
      </x:c>
      <x:c r="B3581" s="19" t="n">
        <x:v>8</x:v>
      </x:c>
      <x:c r="C3581" s="19" t="n">
        <x:v>1</x:v>
      </x:c>
      <x:c r="D3581" s="19" t="str">
        <x:v>C08-M007</x:v>
      </x:c>
      <x:c r="E3581" s="19" t="str">
        <x:v>雾凇引路人</x:v>
      </x:c>
      <x:c r="F3581" s="19" t="str">
        <x:v>稀有</x:v>
      </x:c>
      <x:c r="G3581" s="19" t="str">
        <x:v>六神器公共池</x:v>
      </x:c>
      <x:c r="H3581" s="19" t="str">
        <x:v>POOL006</x:v>
      </x:c>
      <x:c r="I3581" s="22" t="n">
        <x:v>5000000</x:v>
      </x:c>
      <x:c r="J3581" s="22" t="n">
        <x:v>1</x:v>
      </x:c>
      <x:c r="K3581" s="19" t="n">
        <x:v>6</x:v>
      </x:c>
      <x:c r="L3581" s="24" t="n">
        <x:v>51.765</x:v>
      </x:c>
      <x:c r="M3581" s="26" t="n">
        <x:v>0.1</x:v>
      </x:c>
      <x:c r="N3581" s="24" t="n">
        <x:v>12</x:v>
      </x:c>
      <x:c r="O3581" s="28" t="n">
        <x:f>MIN(1,L3581/I3581)</x:f>
        <x:v>0.000010353</x:v>
      </x:c>
      <x:c r="P3581" s="30" t="n">
        <x:f>O3581*J3581*(1+M3581)</x:f>
        <x:v>0.000011388300000000002</x:v>
      </x:c>
      <x:c r="Q3581" s="30" t="n">
        <x:f>P3581*N3581</x:f>
        <x:v>0.00013665960000000004</x:v>
      </x:c>
      <x:c r="R3581" s="19" t="str">
        <x:v>六选一；非6个独立爆率</x:v>
      </x:c>
    </x:row>
    <x:row r="3582" ht="19" customHeight="1">
      <x:c r="A3582" s="19" t="str">
        <x:v>D03578</x:v>
      </x:c>
      <x:c r="B3582" s="19" t="n">
        <x:v>8</x:v>
      </x:c>
      <x:c r="C3582" s="19" t="n">
        <x:v>1</x:v>
      </x:c>
      <x:c r="D3582" s="19" t="str">
        <x:v>C08-M008</x:v>
      </x:c>
      <x:c r="E3582" s="19" t="str">
        <x:v>冰脊驮碑兽</x:v>
      </x:c>
      <x:c r="F3582" s="19" t="str">
        <x:v>稀有</x:v>
      </x:c>
      <x:c r="G3582" s="19" t="str">
        <x:v>自身专属</x:v>
      </x:c>
      <x:c r="H3582" s="19" t="str">
        <x:v>驮碑束腰</x:v>
      </x:c>
      <x:c r="I3582" s="22" t="n">
        <x:v>1200</x:v>
      </x:c>
      <x:c r="J3582" s="22" t="n">
        <x:v>1</x:v>
      </x:c>
      <x:c r="K3582" s="19" t="n">
        <x:v>1</x:v>
      </x:c>
      <x:c r="L3582" s="24" t="n">
        <x:v>51.765</x:v>
      </x:c>
      <x:c r="M3582" s="26" t="n">
        <x:v>0.1</x:v>
      </x:c>
      <x:c r="N3582" s="24" t="n">
        <x:v>12</x:v>
      </x:c>
      <x:c r="O3582" s="28" t="n">
        <x:f>MIN(1,L3582/I3582)</x:f>
        <x:v>0.0431375</x:v>
      </x:c>
      <x:c r="P3582" s="30" t="n">
        <x:f>O3582*J3582*(1+M3582)</x:f>
        <x:v>0.04745125000000001</x:v>
      </x:c>
      <x:c r="Q3582" s="30" t="n">
        <x:f>P3582*N3582</x:f>
        <x:v>0.5694150000000001</x:v>
      </x:c>
      <x:c r="R3582" s="19" t="str">
        <x:v>独立判定</x:v>
      </x:c>
    </x:row>
    <x:row r="3583" ht="19" customHeight="1">
      <x:c r="A3583" s="19" t="str">
        <x:v>D03579</x:v>
      </x:c>
      <x:c r="B3583" s="19" t="n">
        <x:v>8</x:v>
      </x:c>
      <x:c r="C3583" s="19" t="n">
        <x:v>1</x:v>
      </x:c>
      <x:c r="D3583" s="19" t="str">
        <x:v>C08-M008</x:v>
      </x:c>
      <x:c r="E3583" s="19" t="str">
        <x:v>冰脊驮碑兽</x:v>
      </x:c>
      <x:c r="F3583" s="19" t="str">
        <x:v>稀有</x:v>
      </x:c>
      <x:c r="G3583" s="19" t="str">
        <x:v>材料独立候选</x:v>
      </x:c>
      <x:c r="H3583" s="19" t="str">
        <x:v>霜脊铁</x:v>
      </x:c>
      <x:c r="I3583" s="22" t="n">
        <x:v>800</x:v>
      </x:c>
      <x:c r="J3583" s="22" t="n">
        <x:v>15</x:v>
      </x:c>
      <x:c r="K3583" s="19" t="n">
        <x:v>1</x:v>
      </x:c>
      <x:c r="L3583" s="24" t="n">
        <x:v>51.765</x:v>
      </x:c>
      <x:c r="M3583" s="26" t="n">
        <x:v>0.1</x:v>
      </x:c>
      <x:c r="N3583" s="24" t="n">
        <x:v>12</x:v>
      </x:c>
      <x:c r="O3583" s="28" t="n">
        <x:f>MIN(1,L3583/I3583)</x:f>
        <x:v>0.06470625</x:v>
      </x:c>
      <x:c r="P3583" s="30" t="n">
        <x:f>O3583*J3583*(1+M3583)</x:f>
        <x:v>1.0676531250000003</x:v>
      </x:c>
      <x:c r="Q3583" s="30" t="n">
        <x:f>P3583*N3583</x:f>
        <x:v>12.811837500000003</x:v>
      </x:c>
      <x:c r="R3583" s="19" t="str">
        <x:v>独立判定</x:v>
      </x:c>
    </x:row>
    <x:row r="3584" ht="19" customHeight="1">
      <x:c r="A3584" s="19" t="str">
        <x:v>D03580</x:v>
      </x:c>
      <x:c r="B3584" s="19" t="n">
        <x:v>8</x:v>
      </x:c>
      <x:c r="C3584" s="19" t="n">
        <x:v>1</x:v>
      </x:c>
      <x:c r="D3584" s="19" t="str">
        <x:v>C08-M008</x:v>
      </x:c>
      <x:c r="E3584" s="19" t="str">
        <x:v>冰脊驮碑兽</x:v>
      </x:c>
      <x:c r="F3584" s="19" t="str">
        <x:v>稀有</x:v>
      </x:c>
      <x:c r="G3584" s="19" t="str">
        <x:v>材料独立候选</x:v>
      </x:c>
      <x:c r="H3584" s="19" t="str">
        <x:v>巨人火种</x:v>
      </x:c>
      <x:c r="I3584" s="22" t="n">
        <x:v>1200</x:v>
      </x:c>
      <x:c r="J3584" s="22" t="n">
        <x:v>1</x:v>
      </x:c>
      <x:c r="K3584" s="19" t="n">
        <x:v>1</x:v>
      </x:c>
      <x:c r="L3584" s="24" t="n">
        <x:v>51.765</x:v>
      </x:c>
      <x:c r="M3584" s="26" t="n">
        <x:v>0.1</x:v>
      </x:c>
      <x:c r="N3584" s="24" t="n">
        <x:v>12</x:v>
      </x:c>
      <x:c r="O3584" s="28" t="n">
        <x:f>MIN(1,L3584/I3584)</x:f>
        <x:v>0.0431375</x:v>
      </x:c>
      <x:c r="P3584" s="30" t="n">
        <x:f>O3584*J3584*(1+M3584)</x:f>
        <x:v>0.04745125000000001</x:v>
      </x:c>
      <x:c r="Q3584" s="30" t="n">
        <x:f>P3584*N3584</x:f>
        <x:v>0.5694150000000001</x:v>
      </x:c>
      <x:c r="R3584" s="19" t="str">
        <x:v>独立判定</x:v>
      </x:c>
    </x:row>
    <x:row r="3585" ht="19" customHeight="1">
      <x:c r="A3585" s="19" t="str">
        <x:v>D03581</x:v>
      </x:c>
      <x:c r="B3585" s="19" t="n">
        <x:v>8</x:v>
      </x:c>
      <x:c r="C3585" s="19" t="n">
        <x:v>1</x:v>
      </x:c>
      <x:c r="D3585" s="19" t="str">
        <x:v>C08-M008</x:v>
      </x:c>
      <x:c r="E3585" s="19" t="str">
        <x:v>冰脊驮碑兽</x:v>
      </x:c>
      <x:c r="F3585" s="19" t="str">
        <x:v>稀有</x:v>
      </x:c>
      <x:c r="G3585" s="19" t="str">
        <x:v>材料独立候选</x:v>
      </x:c>
      <x:c r="H3585" s="19" t="str">
        <x:v>裂峰号角片</x:v>
      </x:c>
      <x:c r="I3585" s="22" t="n">
        <x:v>400</x:v>
      </x:c>
      <x:c r="J3585" s="22" t="n">
        <x:v>1</x:v>
      </x:c>
      <x:c r="K3585" s="19" t="n">
        <x:v>1</x:v>
      </x:c>
      <x:c r="L3585" s="24" t="n">
        <x:v>51.765</x:v>
      </x:c>
      <x:c r="M3585" s="26" t="n">
        <x:v>0.1</x:v>
      </x:c>
      <x:c r="N3585" s="24" t="n">
        <x:v>12</x:v>
      </x:c>
      <x:c r="O3585" s="28" t="n">
        <x:f>MIN(1,L3585/I3585)</x:f>
        <x:v>0.1294125</x:v>
      </x:c>
      <x:c r="P3585" s="30" t="n">
        <x:f>O3585*J3585*(1+M3585)</x:f>
        <x:v>0.14235375000000003</x:v>
      </x:c>
      <x:c r="Q3585" s="30" t="n">
        <x:f>P3585*N3585</x:f>
        <x:v>1.7082450000000002</x:v>
      </x:c>
      <x:c r="R3585" s="19" t="str">
        <x:v>独立判定</x:v>
      </x:c>
    </x:row>
    <x:row r="3586" ht="19" customHeight="1">
      <x:c r="A3586" s="19" t="str">
        <x:v>D03582</x:v>
      </x:c>
      <x:c r="B3586" s="19" t="n">
        <x:v>8</x:v>
      </x:c>
      <x:c r="C3586" s="19" t="n">
        <x:v>1</x:v>
      </x:c>
      <x:c r="D3586" s="19" t="str">
        <x:v>C08-M008</x:v>
      </x:c>
      <x:c r="E3586" s="19" t="str">
        <x:v>冰脊驮碑兽</x:v>
      </x:c>
      <x:c r="F3586" s="19" t="str">
        <x:v>稀有</x:v>
      </x:c>
      <x:c r="G3586" s="19" t="str">
        <x:v>材料独立候选</x:v>
      </x:c>
      <x:c r="H3586" s="19" t="str">
        <x:v>穹霜碑珀</x:v>
      </x:c>
      <x:c r="I3586" s="22" t="n">
        <x:v>1500000</x:v>
      </x:c>
      <x:c r="J3586" s="22" t="n">
        <x:v>1</x:v>
      </x:c>
      <x:c r="K3586" s="19" t="n">
        <x:v>1</x:v>
      </x:c>
      <x:c r="L3586" s="24" t="n">
        <x:v>51.765</x:v>
      </x:c>
      <x:c r="M3586" s="26" t="n">
        <x:v>0.1</x:v>
      </x:c>
      <x:c r="N3586" s="24" t="n">
        <x:v>12</x:v>
      </x:c>
      <x:c r="O3586" s="28" t="n">
        <x:f>MIN(1,L3586/I3586)</x:f>
        <x:v>0.00003451</x:v>
      </x:c>
      <x:c r="P3586" s="30" t="n">
        <x:f>O3586*J3586*(1+M3586)</x:f>
        <x:v>0.000037961000000000005</x:v>
      </x:c>
      <x:c r="Q3586" s="30" t="n">
        <x:f>P3586*N3586</x:f>
        <x:v>0.00045553200000000003</x:v>
      </x:c>
      <x:c r="R3586" s="19" t="str">
        <x:v>独立判定</x:v>
      </x:c>
    </x:row>
    <x:row r="3587" ht="19" customHeight="1">
      <x:c r="A3587" s="19" t="str">
        <x:v>D03583</x:v>
      </x:c>
      <x:c r="B3587" s="19" t="n">
        <x:v>8</x:v>
      </x:c>
      <x:c r="C3587" s="19" t="n">
        <x:v>1</x:v>
      </x:c>
      <x:c r="D3587" s="19" t="str">
        <x:v>C08-M008</x:v>
      </x:c>
      <x:c r="E3587" s="19" t="str">
        <x:v>冰脊驮碑兽</x:v>
      </x:c>
      <x:c r="F3587" s="19" t="str">
        <x:v>稀有</x:v>
      </x:c>
      <x:c r="G3587" s="19" t="str">
        <x:v>材料独立候选</x:v>
      </x:c>
      <x:c r="H3587" s="19" t="str">
        <x:v>黄金树芽</x:v>
      </x:c>
      <x:c r="I3587" s="22" t="n">
        <x:v>1500</x:v>
      </x:c>
      <x:c r="J3587" s="22" t="n">
        <x:v>1</x:v>
      </x:c>
      <x:c r="K3587" s="19" t="n">
        <x:v>1</x:v>
      </x:c>
      <x:c r="L3587" s="24" t="n">
        <x:v>51.765</x:v>
      </x:c>
      <x:c r="M3587" s="26" t="n">
        <x:v>0.1</x:v>
      </x:c>
      <x:c r="N3587" s="24" t="n">
        <x:v>12</x:v>
      </x:c>
      <x:c r="O3587" s="28" t="n">
        <x:f>MIN(1,L3587/I3587)</x:f>
        <x:v>0.03451</x:v>
      </x:c>
      <x:c r="P3587" s="30" t="n">
        <x:f>O3587*J3587*(1+M3587)</x:f>
        <x:v>0.037961</x:v>
      </x:c>
      <x:c r="Q3587" s="30" t="n">
        <x:f>P3587*N3587</x:f>
        <x:v>0.45553200000000005</x:v>
      </x:c>
      <x:c r="R3587" s="19" t="str">
        <x:v>独立判定</x:v>
      </x:c>
    </x:row>
    <x:row r="3588" ht="19" customHeight="1">
      <x:c r="A3588" s="19" t="str">
        <x:v>D03584</x:v>
      </x:c>
      <x:c r="B3588" s="19" t="n">
        <x:v>8</x:v>
      </x:c>
      <x:c r="C3588" s="19" t="n">
        <x:v>1</x:v>
      </x:c>
      <x:c r="D3588" s="19" t="str">
        <x:v>C08-M008</x:v>
      </x:c>
      <x:c r="E3588" s="19" t="str">
        <x:v>冰脊驮碑兽</x:v>
      </x:c>
      <x:c r="F3588" s="19" t="str">
        <x:v>稀有</x:v>
      </x:c>
      <x:c r="G3588" s="19" t="str">
        <x:v>材料独立候选</x:v>
      </x:c>
      <x:c r="H3588" s="19" t="str">
        <x:v>野兽骨片</x:v>
      </x:c>
      <x:c r="I3588" s="22" t="n">
        <x:v>150</x:v>
      </x:c>
      <x:c r="J3588" s="22" t="n">
        <x:v>5</x:v>
      </x:c>
      <x:c r="K3588" s="19" t="n">
        <x:v>1</x:v>
      </x:c>
      <x:c r="L3588" s="24" t="n">
        <x:v>51.765</x:v>
      </x:c>
      <x:c r="M3588" s="26" t="n">
        <x:v>0.1</x:v>
      </x:c>
      <x:c r="N3588" s="24" t="n">
        <x:v>12</x:v>
      </x:c>
      <x:c r="O3588" s="28" t="n">
        <x:f>MIN(1,L3588/I3588)</x:f>
        <x:v>0.3451</x:v>
      </x:c>
      <x:c r="P3588" s="30" t="n">
        <x:f>O3588*J3588*(1+M3588)</x:f>
        <x:v>1.8980500000000002</x:v>
      </x:c>
      <x:c r="Q3588" s="30" t="n">
        <x:f>P3588*N3588</x:f>
        <x:v>22.776600000000002</x:v>
      </x:c>
      <x:c r="R3588" s="19" t="str">
        <x:v>独立判定</x:v>
      </x:c>
    </x:row>
    <x:row r="3589" ht="19" customHeight="1">
      <x:c r="A3589" s="19" t="str">
        <x:v>D03585</x:v>
      </x:c>
      <x:c r="B3589" s="19" t="n">
        <x:v>8</x:v>
      </x:c>
      <x:c r="C3589" s="19" t="n">
        <x:v>1</x:v>
      </x:c>
      <x:c r="D3589" s="19" t="str">
        <x:v>C08-M008</x:v>
      </x:c>
      <x:c r="E3589" s="19" t="str">
        <x:v>冰脊驮碑兽</x:v>
      </x:c>
      <x:c r="F3589" s="19" t="str">
        <x:v>稀有</x:v>
      </x:c>
      <x:c r="G3589" s="19" t="str">
        <x:v>材料独立候选</x:v>
      </x:c>
      <x:c r="H3589" s="19" t="str">
        <x:v>技能残页</x:v>
      </x:c>
      <x:c r="I3589" s="22" t="n">
        <x:v>1200</x:v>
      </x:c>
      <x:c r="J3589" s="22" t="n">
        <x:v>1</x:v>
      </x:c>
      <x:c r="K3589" s="19" t="n">
        <x:v>1</x:v>
      </x:c>
      <x:c r="L3589" s="24" t="n">
        <x:v>51.765</x:v>
      </x:c>
      <x:c r="M3589" s="26" t="n">
        <x:v>0.1</x:v>
      </x:c>
      <x:c r="N3589" s="24" t="n">
        <x:v>12</x:v>
      </x:c>
      <x:c r="O3589" s="28" t="n">
        <x:f>MIN(1,L3589/I3589)</x:f>
        <x:v>0.0431375</x:v>
      </x:c>
      <x:c r="P3589" s="30" t="n">
        <x:f>O3589*J3589*(1+M3589)</x:f>
        <x:v>0.04745125000000001</x:v>
      </x:c>
      <x:c r="Q3589" s="30" t="n">
        <x:f>P3589*N3589</x:f>
        <x:v>0.5694150000000001</x:v>
      </x:c>
      <x:c r="R3589" s="19" t="str">
        <x:v>独立判定</x:v>
      </x:c>
    </x:row>
    <x:row r="3590" ht="19" customHeight="1">
      <x:c r="A3590" s="19" t="str">
        <x:v>D03586</x:v>
      </x:c>
      <x:c r="B3590" s="19" t="n">
        <x:v>8</x:v>
      </x:c>
      <x:c r="C3590" s="19" t="n">
        <x:v>1</x:v>
      </x:c>
      <x:c r="D3590" s="19" t="str">
        <x:v>C08-M008</x:v>
      </x:c>
      <x:c r="E3590" s="19" t="str">
        <x:v>冰脊驮碑兽</x:v>
      </x:c>
      <x:c r="F3590" s="19" t="str">
        <x:v>稀有</x:v>
      </x:c>
      <x:c r="G3590" s="19" t="str">
        <x:v>材料独立候选</x:v>
      </x:c>
      <x:c r="H3590" s="19" t="str">
        <x:v>小卢恩</x:v>
      </x:c>
      <x:c r="I3590" s="22" t="n">
        <x:v>10000</x:v>
      </x:c>
      <x:c r="J3590" s="22" t="n">
        <x:v>1</x:v>
      </x:c>
      <x:c r="K3590" s="19" t="n">
        <x:v>1</x:v>
      </x:c>
      <x:c r="L3590" s="24" t="n">
        <x:v>51.765</x:v>
      </x:c>
      <x:c r="M3590" s="26" t="n">
        <x:v>0.1</x:v>
      </x:c>
      <x:c r="N3590" s="24" t="n">
        <x:v>12</x:v>
      </x:c>
      <x:c r="O3590" s="28" t="n">
        <x:f>MIN(1,L3590/I3590)</x:f>
        <x:v>0.0051765</x:v>
      </x:c>
      <x:c r="P3590" s="30" t="n">
        <x:f>O3590*J3590*(1+M3590)</x:f>
        <x:v>0.00569415</x:v>
      </x:c>
      <x:c r="Q3590" s="30" t="n">
        <x:f>P3590*N3590</x:f>
        <x:v>0.0683298</x:v>
      </x:c>
      <x:c r="R3590" s="19" t="str">
        <x:v>独立判定</x:v>
      </x:c>
    </x:row>
    <x:row r="3591" ht="19" customHeight="1">
      <x:c r="A3591" s="19" t="str">
        <x:v>D03587</x:v>
      </x:c>
      <x:c r="B3591" s="19" t="n">
        <x:v>8</x:v>
      </x:c>
      <x:c r="C3591" s="19" t="n">
        <x:v>1</x:v>
      </x:c>
      <x:c r="D3591" s="19" t="str">
        <x:v>C08-M008</x:v>
      </x:c>
      <x:c r="E3591" s="19" t="str">
        <x:v>冰脊驮碑兽</x:v>
      </x:c>
      <x:c r="F3591" s="19" t="str">
        <x:v>稀有</x:v>
      </x:c>
      <x:c r="G3591" s="19" t="str">
        <x:v>六神器公共池</x:v>
      </x:c>
      <x:c r="H3591" s="19" t="str">
        <x:v>POOL006</x:v>
      </x:c>
      <x:c r="I3591" s="22" t="n">
        <x:v>5000000</x:v>
      </x:c>
      <x:c r="J3591" s="22" t="n">
        <x:v>1</x:v>
      </x:c>
      <x:c r="K3591" s="19" t="n">
        <x:v>6</x:v>
      </x:c>
      <x:c r="L3591" s="24" t="n">
        <x:v>51.765</x:v>
      </x:c>
      <x:c r="M3591" s="26" t="n">
        <x:v>0.1</x:v>
      </x:c>
      <x:c r="N3591" s="24" t="n">
        <x:v>12</x:v>
      </x:c>
      <x:c r="O3591" s="28" t="n">
        <x:f>MIN(1,L3591/I3591)</x:f>
        <x:v>0.000010353</x:v>
      </x:c>
      <x:c r="P3591" s="30" t="n">
        <x:f>O3591*J3591*(1+M3591)</x:f>
        <x:v>0.000011388300000000002</x:v>
      </x:c>
      <x:c r="Q3591" s="30" t="n">
        <x:f>P3591*N3591</x:f>
        <x:v>0.00013665960000000004</x:v>
      </x:c>
      <x:c r="R3591" s="19" t="str">
        <x:v>六选一；非6个独立爆率</x:v>
      </x:c>
    </x:row>
    <x:row r="3592" ht="19" customHeight="1">
      <x:c r="A3592" s="19" t="str">
        <x:v>D03588</x:v>
      </x:c>
      <x:c r="B3592" s="19" t="n">
        <x:v>8</x:v>
      </x:c>
      <x:c r="C3592" s="19" t="n">
        <x:v>1</x:v>
      </x:c>
      <x:c r="D3592" s="19" t="str">
        <x:v>C08-M009</x:v>
      </x:c>
      <x:c r="E3592" s="19" t="str">
        <x:v>啸峰白魈</x:v>
      </x:c>
      <x:c r="F3592" s="19" t="str">
        <x:v>稀有</x:v>
      </x:c>
      <x:c r="G3592" s="19" t="str">
        <x:v>自身专属</x:v>
      </x:c>
      <x:c r="H3592" s="19" t="str">
        <x:v>白魈啸风镯</x:v>
      </x:c>
      <x:c r="I3592" s="22" t="n">
        <x:v>1200</x:v>
      </x:c>
      <x:c r="J3592" s="22" t="n">
        <x:v>1</x:v>
      </x:c>
      <x:c r="K3592" s="19" t="n">
        <x:v>1</x:v>
      </x:c>
      <x:c r="L3592" s="24" t="n">
        <x:v>51.765</x:v>
      </x:c>
      <x:c r="M3592" s="26" t="n">
        <x:v>0.1</x:v>
      </x:c>
      <x:c r="N3592" s="24" t="n">
        <x:v>12</x:v>
      </x:c>
      <x:c r="O3592" s="28" t="n">
        <x:f>MIN(1,L3592/I3592)</x:f>
        <x:v>0.0431375</x:v>
      </x:c>
      <x:c r="P3592" s="30" t="n">
        <x:f>O3592*J3592*(1+M3592)</x:f>
        <x:v>0.04745125000000001</x:v>
      </x:c>
      <x:c r="Q3592" s="30" t="n">
        <x:f>P3592*N3592</x:f>
        <x:v>0.5694150000000001</x:v>
      </x:c>
      <x:c r="R3592" s="19" t="str">
        <x:v>独立判定</x:v>
      </x:c>
    </x:row>
    <x:row r="3593" ht="19" customHeight="1">
      <x:c r="A3593" s="19" t="str">
        <x:v>D03589</x:v>
      </x:c>
      <x:c r="B3593" s="19" t="n">
        <x:v>8</x:v>
      </x:c>
      <x:c r="C3593" s="19" t="n">
        <x:v>1</x:v>
      </x:c>
      <x:c r="D3593" s="19" t="str">
        <x:v>C08-M009</x:v>
      </x:c>
      <x:c r="E3593" s="19" t="str">
        <x:v>啸峰白魈</x:v>
      </x:c>
      <x:c r="F3593" s="19" t="str">
        <x:v>稀有</x:v>
      </x:c>
      <x:c r="G3593" s="19" t="str">
        <x:v>材料独立候选</x:v>
      </x:c>
      <x:c r="H3593" s="19" t="str">
        <x:v>霜脊铁</x:v>
      </x:c>
      <x:c r="I3593" s="22" t="n">
        <x:v>800</x:v>
      </x:c>
      <x:c r="J3593" s="22" t="n">
        <x:v>15</x:v>
      </x:c>
      <x:c r="K3593" s="19" t="n">
        <x:v>1</x:v>
      </x:c>
      <x:c r="L3593" s="24" t="n">
        <x:v>51.765</x:v>
      </x:c>
      <x:c r="M3593" s="26" t="n">
        <x:v>0.1</x:v>
      </x:c>
      <x:c r="N3593" s="24" t="n">
        <x:v>12</x:v>
      </x:c>
      <x:c r="O3593" s="28" t="n">
        <x:f>MIN(1,L3593/I3593)</x:f>
        <x:v>0.06470625</x:v>
      </x:c>
      <x:c r="P3593" s="30" t="n">
        <x:f>O3593*J3593*(1+M3593)</x:f>
        <x:v>1.0676531250000003</x:v>
      </x:c>
      <x:c r="Q3593" s="30" t="n">
        <x:f>P3593*N3593</x:f>
        <x:v>12.811837500000003</x:v>
      </x:c>
      <x:c r="R3593" s="19" t="str">
        <x:v>独立判定</x:v>
      </x:c>
    </x:row>
    <x:row r="3594" ht="19" customHeight="1">
      <x:c r="A3594" s="19" t="str">
        <x:v>D03590</x:v>
      </x:c>
      <x:c r="B3594" s="19" t="n">
        <x:v>8</x:v>
      </x:c>
      <x:c r="C3594" s="19" t="n">
        <x:v>1</x:v>
      </x:c>
      <x:c r="D3594" s="19" t="str">
        <x:v>C08-M009</x:v>
      </x:c>
      <x:c r="E3594" s="19" t="str">
        <x:v>啸峰白魈</x:v>
      </x:c>
      <x:c r="F3594" s="19" t="str">
        <x:v>稀有</x:v>
      </x:c>
      <x:c r="G3594" s="19" t="str">
        <x:v>材料独立候选</x:v>
      </x:c>
      <x:c r="H3594" s="19" t="str">
        <x:v>巨人火种</x:v>
      </x:c>
      <x:c r="I3594" s="22" t="n">
        <x:v>1200</x:v>
      </x:c>
      <x:c r="J3594" s="22" t="n">
        <x:v>1</x:v>
      </x:c>
      <x:c r="K3594" s="19" t="n">
        <x:v>1</x:v>
      </x:c>
      <x:c r="L3594" s="24" t="n">
        <x:v>51.765</x:v>
      </x:c>
      <x:c r="M3594" s="26" t="n">
        <x:v>0.1</x:v>
      </x:c>
      <x:c r="N3594" s="24" t="n">
        <x:v>12</x:v>
      </x:c>
      <x:c r="O3594" s="28" t="n">
        <x:f>MIN(1,L3594/I3594)</x:f>
        <x:v>0.0431375</x:v>
      </x:c>
      <x:c r="P3594" s="30" t="n">
        <x:f>O3594*J3594*(1+M3594)</x:f>
        <x:v>0.04745125000000001</x:v>
      </x:c>
      <x:c r="Q3594" s="30" t="n">
        <x:f>P3594*N3594</x:f>
        <x:v>0.5694150000000001</x:v>
      </x:c>
      <x:c r="R3594" s="19" t="str">
        <x:v>独立判定</x:v>
      </x:c>
    </x:row>
    <x:row r="3595" ht="19" customHeight="1">
      <x:c r="A3595" s="19" t="str">
        <x:v>D03591</x:v>
      </x:c>
      <x:c r="B3595" s="19" t="n">
        <x:v>8</x:v>
      </x:c>
      <x:c r="C3595" s="19" t="n">
        <x:v>1</x:v>
      </x:c>
      <x:c r="D3595" s="19" t="str">
        <x:v>C08-M009</x:v>
      </x:c>
      <x:c r="E3595" s="19" t="str">
        <x:v>啸峰白魈</x:v>
      </x:c>
      <x:c r="F3595" s="19" t="str">
        <x:v>稀有</x:v>
      </x:c>
      <x:c r="G3595" s="19" t="str">
        <x:v>材料独立候选</x:v>
      </x:c>
      <x:c r="H3595" s="19" t="str">
        <x:v>裂峰号角片</x:v>
      </x:c>
      <x:c r="I3595" s="22" t="n">
        <x:v>400</x:v>
      </x:c>
      <x:c r="J3595" s="22" t="n">
        <x:v>1</x:v>
      </x:c>
      <x:c r="K3595" s="19" t="n">
        <x:v>1</x:v>
      </x:c>
      <x:c r="L3595" s="24" t="n">
        <x:v>51.765</x:v>
      </x:c>
      <x:c r="M3595" s="26" t="n">
        <x:v>0.1</x:v>
      </x:c>
      <x:c r="N3595" s="24" t="n">
        <x:v>12</x:v>
      </x:c>
      <x:c r="O3595" s="28" t="n">
        <x:f>MIN(1,L3595/I3595)</x:f>
        <x:v>0.1294125</x:v>
      </x:c>
      <x:c r="P3595" s="30" t="n">
        <x:f>O3595*J3595*(1+M3595)</x:f>
        <x:v>0.14235375000000003</x:v>
      </x:c>
      <x:c r="Q3595" s="30" t="n">
        <x:f>P3595*N3595</x:f>
        <x:v>1.7082450000000002</x:v>
      </x:c>
      <x:c r="R3595" s="19" t="str">
        <x:v>独立判定</x:v>
      </x:c>
    </x:row>
    <x:row r="3596" ht="19" customHeight="1">
      <x:c r="A3596" s="19" t="str">
        <x:v>D03592</x:v>
      </x:c>
      <x:c r="B3596" s="19" t="n">
        <x:v>8</x:v>
      </x:c>
      <x:c r="C3596" s="19" t="n">
        <x:v>1</x:v>
      </x:c>
      <x:c r="D3596" s="19" t="str">
        <x:v>C08-M009</x:v>
      </x:c>
      <x:c r="E3596" s="19" t="str">
        <x:v>啸峰白魈</x:v>
      </x:c>
      <x:c r="F3596" s="19" t="str">
        <x:v>稀有</x:v>
      </x:c>
      <x:c r="G3596" s="19" t="str">
        <x:v>材料独立候选</x:v>
      </x:c>
      <x:c r="H3596" s="19" t="str">
        <x:v>穹霜碑珀</x:v>
      </x:c>
      <x:c r="I3596" s="22" t="n">
        <x:v>1500000</x:v>
      </x:c>
      <x:c r="J3596" s="22" t="n">
        <x:v>1</x:v>
      </x:c>
      <x:c r="K3596" s="19" t="n">
        <x:v>1</x:v>
      </x:c>
      <x:c r="L3596" s="24" t="n">
        <x:v>51.765</x:v>
      </x:c>
      <x:c r="M3596" s="26" t="n">
        <x:v>0.1</x:v>
      </x:c>
      <x:c r="N3596" s="24" t="n">
        <x:v>12</x:v>
      </x:c>
      <x:c r="O3596" s="28" t="n">
        <x:f>MIN(1,L3596/I3596)</x:f>
        <x:v>0.00003451</x:v>
      </x:c>
      <x:c r="P3596" s="30" t="n">
        <x:f>O3596*J3596*(1+M3596)</x:f>
        <x:v>0.000037961000000000005</x:v>
      </x:c>
      <x:c r="Q3596" s="30" t="n">
        <x:f>P3596*N3596</x:f>
        <x:v>0.00045553200000000003</x:v>
      </x:c>
      <x:c r="R3596" s="19" t="str">
        <x:v>独立判定</x:v>
      </x:c>
    </x:row>
    <x:row r="3597" ht="19" customHeight="1">
      <x:c r="A3597" s="19" t="str">
        <x:v>D03593</x:v>
      </x:c>
      <x:c r="B3597" s="19" t="n">
        <x:v>8</x:v>
      </x:c>
      <x:c r="C3597" s="19" t="n">
        <x:v>1</x:v>
      </x:c>
      <x:c r="D3597" s="19" t="str">
        <x:v>C08-M009</x:v>
      </x:c>
      <x:c r="E3597" s="19" t="str">
        <x:v>啸峰白魈</x:v>
      </x:c>
      <x:c r="F3597" s="19" t="str">
        <x:v>稀有</x:v>
      </x:c>
      <x:c r="G3597" s="19" t="str">
        <x:v>材料独立候选</x:v>
      </x:c>
      <x:c r="H3597" s="19" t="str">
        <x:v>黄金树芽</x:v>
      </x:c>
      <x:c r="I3597" s="22" t="n">
        <x:v>1500</x:v>
      </x:c>
      <x:c r="J3597" s="22" t="n">
        <x:v>1</x:v>
      </x:c>
      <x:c r="K3597" s="19" t="n">
        <x:v>1</x:v>
      </x:c>
      <x:c r="L3597" s="24" t="n">
        <x:v>51.765</x:v>
      </x:c>
      <x:c r="M3597" s="26" t="n">
        <x:v>0.1</x:v>
      </x:c>
      <x:c r="N3597" s="24" t="n">
        <x:v>12</x:v>
      </x:c>
      <x:c r="O3597" s="28" t="n">
        <x:f>MIN(1,L3597/I3597)</x:f>
        <x:v>0.03451</x:v>
      </x:c>
      <x:c r="P3597" s="30" t="n">
        <x:f>O3597*J3597*(1+M3597)</x:f>
        <x:v>0.037961</x:v>
      </x:c>
      <x:c r="Q3597" s="30" t="n">
        <x:f>P3597*N3597</x:f>
        <x:v>0.45553200000000005</x:v>
      </x:c>
      <x:c r="R3597" s="19" t="str">
        <x:v>独立判定</x:v>
      </x:c>
    </x:row>
    <x:row r="3598" ht="19" customHeight="1">
      <x:c r="A3598" s="19" t="str">
        <x:v>D03594</x:v>
      </x:c>
      <x:c r="B3598" s="19" t="n">
        <x:v>8</x:v>
      </x:c>
      <x:c r="C3598" s="19" t="n">
        <x:v>1</x:v>
      </x:c>
      <x:c r="D3598" s="19" t="str">
        <x:v>C08-M009</x:v>
      </x:c>
      <x:c r="E3598" s="19" t="str">
        <x:v>啸峰白魈</x:v>
      </x:c>
      <x:c r="F3598" s="19" t="str">
        <x:v>稀有</x:v>
      </x:c>
      <x:c r="G3598" s="19" t="str">
        <x:v>材料独立候选</x:v>
      </x:c>
      <x:c r="H3598" s="19" t="str">
        <x:v>野兽骨片</x:v>
      </x:c>
      <x:c r="I3598" s="22" t="n">
        <x:v>150</x:v>
      </x:c>
      <x:c r="J3598" s="22" t="n">
        <x:v>5</x:v>
      </x:c>
      <x:c r="K3598" s="19" t="n">
        <x:v>1</x:v>
      </x:c>
      <x:c r="L3598" s="24" t="n">
        <x:v>51.765</x:v>
      </x:c>
      <x:c r="M3598" s="26" t="n">
        <x:v>0.1</x:v>
      </x:c>
      <x:c r="N3598" s="24" t="n">
        <x:v>12</x:v>
      </x:c>
      <x:c r="O3598" s="28" t="n">
        <x:f>MIN(1,L3598/I3598)</x:f>
        <x:v>0.3451</x:v>
      </x:c>
      <x:c r="P3598" s="30" t="n">
        <x:f>O3598*J3598*(1+M3598)</x:f>
        <x:v>1.8980500000000002</x:v>
      </x:c>
      <x:c r="Q3598" s="30" t="n">
        <x:f>P3598*N3598</x:f>
        <x:v>22.776600000000002</x:v>
      </x:c>
      <x:c r="R3598" s="19" t="str">
        <x:v>独立判定</x:v>
      </x:c>
    </x:row>
    <x:row r="3599" ht="19" customHeight="1">
      <x:c r="A3599" s="19" t="str">
        <x:v>D03595</x:v>
      </x:c>
      <x:c r="B3599" s="19" t="n">
        <x:v>8</x:v>
      </x:c>
      <x:c r="C3599" s="19" t="n">
        <x:v>1</x:v>
      </x:c>
      <x:c r="D3599" s="19" t="str">
        <x:v>C08-M009</x:v>
      </x:c>
      <x:c r="E3599" s="19" t="str">
        <x:v>啸峰白魈</x:v>
      </x:c>
      <x:c r="F3599" s="19" t="str">
        <x:v>稀有</x:v>
      </x:c>
      <x:c r="G3599" s="19" t="str">
        <x:v>材料独立候选</x:v>
      </x:c>
      <x:c r="H3599" s="19" t="str">
        <x:v>技能残页</x:v>
      </x:c>
      <x:c r="I3599" s="22" t="n">
        <x:v>1200</x:v>
      </x:c>
      <x:c r="J3599" s="22" t="n">
        <x:v>1</x:v>
      </x:c>
      <x:c r="K3599" s="19" t="n">
        <x:v>1</x:v>
      </x:c>
      <x:c r="L3599" s="24" t="n">
        <x:v>51.765</x:v>
      </x:c>
      <x:c r="M3599" s="26" t="n">
        <x:v>0.1</x:v>
      </x:c>
      <x:c r="N3599" s="24" t="n">
        <x:v>12</x:v>
      </x:c>
      <x:c r="O3599" s="28" t="n">
        <x:f>MIN(1,L3599/I3599)</x:f>
        <x:v>0.0431375</x:v>
      </x:c>
      <x:c r="P3599" s="30" t="n">
        <x:f>O3599*J3599*(1+M3599)</x:f>
        <x:v>0.04745125000000001</x:v>
      </x:c>
      <x:c r="Q3599" s="30" t="n">
        <x:f>P3599*N3599</x:f>
        <x:v>0.5694150000000001</x:v>
      </x:c>
      <x:c r="R3599" s="19" t="str">
        <x:v>独立判定</x:v>
      </x:c>
    </x:row>
    <x:row r="3600" ht="19" customHeight="1">
      <x:c r="A3600" s="19" t="str">
        <x:v>D03596</x:v>
      </x:c>
      <x:c r="B3600" s="19" t="n">
        <x:v>8</x:v>
      </x:c>
      <x:c r="C3600" s="19" t="n">
        <x:v>1</x:v>
      </x:c>
      <x:c r="D3600" s="19" t="str">
        <x:v>C08-M009</x:v>
      </x:c>
      <x:c r="E3600" s="19" t="str">
        <x:v>啸峰白魈</x:v>
      </x:c>
      <x:c r="F3600" s="19" t="str">
        <x:v>稀有</x:v>
      </x:c>
      <x:c r="G3600" s="19" t="str">
        <x:v>材料独立候选</x:v>
      </x:c>
      <x:c r="H3600" s="19" t="str">
        <x:v>小卢恩</x:v>
      </x:c>
      <x:c r="I3600" s="22" t="n">
        <x:v>10000</x:v>
      </x:c>
      <x:c r="J3600" s="22" t="n">
        <x:v>1</x:v>
      </x:c>
      <x:c r="K3600" s="19" t="n">
        <x:v>1</x:v>
      </x:c>
      <x:c r="L3600" s="24" t="n">
        <x:v>51.765</x:v>
      </x:c>
      <x:c r="M3600" s="26" t="n">
        <x:v>0.1</x:v>
      </x:c>
      <x:c r="N3600" s="24" t="n">
        <x:v>12</x:v>
      </x:c>
      <x:c r="O3600" s="28" t="n">
        <x:f>MIN(1,L3600/I3600)</x:f>
        <x:v>0.0051765</x:v>
      </x:c>
      <x:c r="P3600" s="30" t="n">
        <x:f>O3600*J3600*(1+M3600)</x:f>
        <x:v>0.00569415</x:v>
      </x:c>
      <x:c r="Q3600" s="30" t="n">
        <x:f>P3600*N3600</x:f>
        <x:v>0.0683298</x:v>
      </x:c>
      <x:c r="R3600" s="19" t="str">
        <x:v>独立判定</x:v>
      </x:c>
    </x:row>
    <x:row r="3601" ht="19" customHeight="1">
      <x:c r="A3601" s="19" t="str">
        <x:v>D03597</x:v>
      </x:c>
      <x:c r="B3601" s="19" t="n">
        <x:v>8</x:v>
      </x:c>
      <x:c r="C3601" s="19" t="n">
        <x:v>1</x:v>
      </x:c>
      <x:c r="D3601" s="19" t="str">
        <x:v>C08-M009</x:v>
      </x:c>
      <x:c r="E3601" s="19" t="str">
        <x:v>啸峰白魈</x:v>
      </x:c>
      <x:c r="F3601" s="19" t="str">
        <x:v>稀有</x:v>
      </x:c>
      <x:c r="G3601" s="19" t="str">
        <x:v>六神器公共池</x:v>
      </x:c>
      <x:c r="H3601" s="19" t="str">
        <x:v>POOL006</x:v>
      </x:c>
      <x:c r="I3601" s="22" t="n">
        <x:v>5000000</x:v>
      </x:c>
      <x:c r="J3601" s="22" t="n">
        <x:v>1</x:v>
      </x:c>
      <x:c r="K3601" s="19" t="n">
        <x:v>6</x:v>
      </x:c>
      <x:c r="L3601" s="24" t="n">
        <x:v>51.765</x:v>
      </x:c>
      <x:c r="M3601" s="26" t="n">
        <x:v>0.1</x:v>
      </x:c>
      <x:c r="N3601" s="24" t="n">
        <x:v>12</x:v>
      </x:c>
      <x:c r="O3601" s="28" t="n">
        <x:f>MIN(1,L3601/I3601)</x:f>
        <x:v>0.000010353</x:v>
      </x:c>
      <x:c r="P3601" s="30" t="n">
        <x:f>O3601*J3601*(1+M3601)</x:f>
        <x:v>0.000011388300000000002</x:v>
      </x:c>
      <x:c r="Q3601" s="30" t="n">
        <x:f>P3601*N3601</x:f>
        <x:v>0.00013665960000000004</x:v>
      </x:c>
      <x:c r="R3601" s="19" t="str">
        <x:v>六选一；非6个独立爆率</x:v>
      </x:c>
    </x:row>
    <x:row r="3602" ht="19" customHeight="1">
      <x:c r="A3602" s="19" t="str">
        <x:v>D03598</x:v>
      </x:c>
      <x:c r="B3602" s="19" t="n">
        <x:v>8</x:v>
      </x:c>
      <x:c r="C3602" s="19" t="n">
        <x:v>1</x:v>
      </x:c>
      <x:c r="D3602" s="19" t="str">
        <x:v>C08-M010</x:v>
      </x:c>
      <x:c r="E3602" s="19" t="str">
        <x:v>祭台封誓者</x:v>
      </x:c>
      <x:c r="F3602" s="19" t="str">
        <x:v>稀有</x:v>
      </x:c>
      <x:c r="G3602" s="19" t="str">
        <x:v>自身专属</x:v>
      </x:c>
      <x:c r="H3602" s="19" t="str">
        <x:v>封誓霜纹戒</x:v>
      </x:c>
      <x:c r="I3602" s="22" t="n">
        <x:v>1200</x:v>
      </x:c>
      <x:c r="J3602" s="22" t="n">
        <x:v>1</x:v>
      </x:c>
      <x:c r="K3602" s="19" t="n">
        <x:v>1</x:v>
      </x:c>
      <x:c r="L3602" s="24" t="n">
        <x:v>51.765</x:v>
      </x:c>
      <x:c r="M3602" s="26" t="n">
        <x:v>0.1</x:v>
      </x:c>
      <x:c r="N3602" s="24" t="n">
        <x:v>12</x:v>
      </x:c>
      <x:c r="O3602" s="28" t="n">
        <x:f>MIN(1,L3602/I3602)</x:f>
        <x:v>0.0431375</x:v>
      </x:c>
      <x:c r="P3602" s="30" t="n">
        <x:f>O3602*J3602*(1+M3602)</x:f>
        <x:v>0.04745125000000001</x:v>
      </x:c>
      <x:c r="Q3602" s="30" t="n">
        <x:f>P3602*N3602</x:f>
        <x:v>0.5694150000000001</x:v>
      </x:c>
      <x:c r="R3602" s="19" t="str">
        <x:v>独立判定</x:v>
      </x:c>
    </x:row>
    <x:row r="3603" ht="19" customHeight="1">
      <x:c r="A3603" s="19" t="str">
        <x:v>D03599</x:v>
      </x:c>
      <x:c r="B3603" s="19" t="n">
        <x:v>8</x:v>
      </x:c>
      <x:c r="C3603" s="19" t="n">
        <x:v>1</x:v>
      </x:c>
      <x:c r="D3603" s="19" t="str">
        <x:v>C08-M010</x:v>
      </x:c>
      <x:c r="E3603" s="19" t="str">
        <x:v>祭台封誓者</x:v>
      </x:c>
      <x:c r="F3603" s="19" t="str">
        <x:v>稀有</x:v>
      </x:c>
      <x:c r="G3603" s="19" t="str">
        <x:v>材料独立候选</x:v>
      </x:c>
      <x:c r="H3603" s="19" t="str">
        <x:v>霜脊铁</x:v>
      </x:c>
      <x:c r="I3603" s="22" t="n">
        <x:v>800</x:v>
      </x:c>
      <x:c r="J3603" s="22" t="n">
        <x:v>15</x:v>
      </x:c>
      <x:c r="K3603" s="19" t="n">
        <x:v>1</x:v>
      </x:c>
      <x:c r="L3603" s="24" t="n">
        <x:v>51.765</x:v>
      </x:c>
      <x:c r="M3603" s="26" t="n">
        <x:v>0.1</x:v>
      </x:c>
      <x:c r="N3603" s="24" t="n">
        <x:v>12</x:v>
      </x:c>
      <x:c r="O3603" s="28" t="n">
        <x:f>MIN(1,L3603/I3603)</x:f>
        <x:v>0.06470625</x:v>
      </x:c>
      <x:c r="P3603" s="30" t="n">
        <x:f>O3603*J3603*(1+M3603)</x:f>
        <x:v>1.0676531250000003</x:v>
      </x:c>
      <x:c r="Q3603" s="30" t="n">
        <x:f>P3603*N3603</x:f>
        <x:v>12.811837500000003</x:v>
      </x:c>
      <x:c r="R3603" s="19" t="str">
        <x:v>独立判定</x:v>
      </x:c>
    </x:row>
    <x:row r="3604" ht="19" customHeight="1">
      <x:c r="A3604" s="19" t="str">
        <x:v>D03600</x:v>
      </x:c>
      <x:c r="B3604" s="19" t="n">
        <x:v>8</x:v>
      </x:c>
      <x:c r="C3604" s="19" t="n">
        <x:v>1</x:v>
      </x:c>
      <x:c r="D3604" s="19" t="str">
        <x:v>C08-M010</x:v>
      </x:c>
      <x:c r="E3604" s="19" t="str">
        <x:v>祭台封誓者</x:v>
      </x:c>
      <x:c r="F3604" s="19" t="str">
        <x:v>稀有</x:v>
      </x:c>
      <x:c r="G3604" s="19" t="str">
        <x:v>材料独立候选</x:v>
      </x:c>
      <x:c r="H3604" s="19" t="str">
        <x:v>巨人火种</x:v>
      </x:c>
      <x:c r="I3604" s="22" t="n">
        <x:v>1200</x:v>
      </x:c>
      <x:c r="J3604" s="22" t="n">
        <x:v>1</x:v>
      </x:c>
      <x:c r="K3604" s="19" t="n">
        <x:v>1</x:v>
      </x:c>
      <x:c r="L3604" s="24" t="n">
        <x:v>51.765</x:v>
      </x:c>
      <x:c r="M3604" s="26" t="n">
        <x:v>0.1</x:v>
      </x:c>
      <x:c r="N3604" s="24" t="n">
        <x:v>12</x:v>
      </x:c>
      <x:c r="O3604" s="28" t="n">
        <x:f>MIN(1,L3604/I3604)</x:f>
        <x:v>0.0431375</x:v>
      </x:c>
      <x:c r="P3604" s="30" t="n">
        <x:f>O3604*J3604*(1+M3604)</x:f>
        <x:v>0.04745125000000001</x:v>
      </x:c>
      <x:c r="Q3604" s="30" t="n">
        <x:f>P3604*N3604</x:f>
        <x:v>0.5694150000000001</x:v>
      </x:c>
      <x:c r="R3604" s="19" t="str">
        <x:v>独立判定</x:v>
      </x:c>
    </x:row>
    <x:row r="3605" ht="19" customHeight="1">
      <x:c r="A3605" s="19" t="str">
        <x:v>D03601</x:v>
      </x:c>
      <x:c r="B3605" s="19" t="n">
        <x:v>8</x:v>
      </x:c>
      <x:c r="C3605" s="19" t="n">
        <x:v>1</x:v>
      </x:c>
      <x:c r="D3605" s="19" t="str">
        <x:v>C08-M010</x:v>
      </x:c>
      <x:c r="E3605" s="19" t="str">
        <x:v>祭台封誓者</x:v>
      </x:c>
      <x:c r="F3605" s="19" t="str">
        <x:v>稀有</x:v>
      </x:c>
      <x:c r="G3605" s="19" t="str">
        <x:v>材料独立候选</x:v>
      </x:c>
      <x:c r="H3605" s="19" t="str">
        <x:v>裂峰号角片</x:v>
      </x:c>
      <x:c r="I3605" s="22" t="n">
        <x:v>400</x:v>
      </x:c>
      <x:c r="J3605" s="22" t="n">
        <x:v>1</x:v>
      </x:c>
      <x:c r="K3605" s="19" t="n">
        <x:v>1</x:v>
      </x:c>
      <x:c r="L3605" s="24" t="n">
        <x:v>51.765</x:v>
      </x:c>
      <x:c r="M3605" s="26" t="n">
        <x:v>0.1</x:v>
      </x:c>
      <x:c r="N3605" s="24" t="n">
        <x:v>12</x:v>
      </x:c>
      <x:c r="O3605" s="28" t="n">
        <x:f>MIN(1,L3605/I3605)</x:f>
        <x:v>0.1294125</x:v>
      </x:c>
      <x:c r="P3605" s="30" t="n">
        <x:f>O3605*J3605*(1+M3605)</x:f>
        <x:v>0.14235375000000003</x:v>
      </x:c>
      <x:c r="Q3605" s="30" t="n">
        <x:f>P3605*N3605</x:f>
        <x:v>1.7082450000000002</x:v>
      </x:c>
      <x:c r="R3605" s="19" t="str">
        <x:v>独立判定</x:v>
      </x:c>
    </x:row>
    <x:row r="3606" ht="19" customHeight="1">
      <x:c r="A3606" s="19" t="str">
        <x:v>D03602</x:v>
      </x:c>
      <x:c r="B3606" s="19" t="n">
        <x:v>8</x:v>
      </x:c>
      <x:c r="C3606" s="19" t="n">
        <x:v>1</x:v>
      </x:c>
      <x:c r="D3606" s="19" t="str">
        <x:v>C08-M010</x:v>
      </x:c>
      <x:c r="E3606" s="19" t="str">
        <x:v>祭台封誓者</x:v>
      </x:c>
      <x:c r="F3606" s="19" t="str">
        <x:v>稀有</x:v>
      </x:c>
      <x:c r="G3606" s="19" t="str">
        <x:v>材料独立候选</x:v>
      </x:c>
      <x:c r="H3606" s="19" t="str">
        <x:v>穹霜碑珀</x:v>
      </x:c>
      <x:c r="I3606" s="22" t="n">
        <x:v>1500000</x:v>
      </x:c>
      <x:c r="J3606" s="22" t="n">
        <x:v>1</x:v>
      </x:c>
      <x:c r="K3606" s="19" t="n">
        <x:v>1</x:v>
      </x:c>
      <x:c r="L3606" s="24" t="n">
        <x:v>51.765</x:v>
      </x:c>
      <x:c r="M3606" s="26" t="n">
        <x:v>0.1</x:v>
      </x:c>
      <x:c r="N3606" s="24" t="n">
        <x:v>12</x:v>
      </x:c>
      <x:c r="O3606" s="28" t="n">
        <x:f>MIN(1,L3606/I3606)</x:f>
        <x:v>0.00003451</x:v>
      </x:c>
      <x:c r="P3606" s="30" t="n">
        <x:f>O3606*J3606*(1+M3606)</x:f>
        <x:v>0.000037961000000000005</x:v>
      </x:c>
      <x:c r="Q3606" s="30" t="n">
        <x:f>P3606*N3606</x:f>
        <x:v>0.00045553200000000003</x:v>
      </x:c>
      <x:c r="R3606" s="19" t="str">
        <x:v>独立判定</x:v>
      </x:c>
    </x:row>
    <x:row r="3607" ht="19" customHeight="1">
      <x:c r="A3607" s="19" t="str">
        <x:v>D03603</x:v>
      </x:c>
      <x:c r="B3607" s="19" t="n">
        <x:v>8</x:v>
      </x:c>
      <x:c r="C3607" s="19" t="n">
        <x:v>1</x:v>
      </x:c>
      <x:c r="D3607" s="19" t="str">
        <x:v>C08-M010</x:v>
      </x:c>
      <x:c r="E3607" s="19" t="str">
        <x:v>祭台封誓者</x:v>
      </x:c>
      <x:c r="F3607" s="19" t="str">
        <x:v>稀有</x:v>
      </x:c>
      <x:c r="G3607" s="19" t="str">
        <x:v>材料独立候选</x:v>
      </x:c>
      <x:c r="H3607" s="19" t="str">
        <x:v>黄金树芽</x:v>
      </x:c>
      <x:c r="I3607" s="22" t="n">
        <x:v>1500</x:v>
      </x:c>
      <x:c r="J3607" s="22" t="n">
        <x:v>1</x:v>
      </x:c>
      <x:c r="K3607" s="19" t="n">
        <x:v>1</x:v>
      </x:c>
      <x:c r="L3607" s="24" t="n">
        <x:v>51.765</x:v>
      </x:c>
      <x:c r="M3607" s="26" t="n">
        <x:v>0.1</x:v>
      </x:c>
      <x:c r="N3607" s="24" t="n">
        <x:v>12</x:v>
      </x:c>
      <x:c r="O3607" s="28" t="n">
        <x:f>MIN(1,L3607/I3607)</x:f>
        <x:v>0.03451</x:v>
      </x:c>
      <x:c r="P3607" s="30" t="n">
        <x:f>O3607*J3607*(1+M3607)</x:f>
        <x:v>0.037961</x:v>
      </x:c>
      <x:c r="Q3607" s="30" t="n">
        <x:f>P3607*N3607</x:f>
        <x:v>0.45553200000000005</x:v>
      </x:c>
      <x:c r="R3607" s="19" t="str">
        <x:v>独立判定</x:v>
      </x:c>
    </x:row>
    <x:row r="3608" ht="19" customHeight="1">
      <x:c r="A3608" s="19" t="str">
        <x:v>D03604</x:v>
      </x:c>
      <x:c r="B3608" s="19" t="n">
        <x:v>8</x:v>
      </x:c>
      <x:c r="C3608" s="19" t="n">
        <x:v>1</x:v>
      </x:c>
      <x:c r="D3608" s="19" t="str">
        <x:v>C08-M010</x:v>
      </x:c>
      <x:c r="E3608" s="19" t="str">
        <x:v>祭台封誓者</x:v>
      </x:c>
      <x:c r="F3608" s="19" t="str">
        <x:v>稀有</x:v>
      </x:c>
      <x:c r="G3608" s="19" t="str">
        <x:v>材料独立候选</x:v>
      </x:c>
      <x:c r="H3608" s="19" t="str">
        <x:v>野兽骨片</x:v>
      </x:c>
      <x:c r="I3608" s="22" t="n">
        <x:v>150</x:v>
      </x:c>
      <x:c r="J3608" s="22" t="n">
        <x:v>5</x:v>
      </x:c>
      <x:c r="K3608" s="19" t="n">
        <x:v>1</x:v>
      </x:c>
      <x:c r="L3608" s="24" t="n">
        <x:v>51.765</x:v>
      </x:c>
      <x:c r="M3608" s="26" t="n">
        <x:v>0.1</x:v>
      </x:c>
      <x:c r="N3608" s="24" t="n">
        <x:v>12</x:v>
      </x:c>
      <x:c r="O3608" s="28" t="n">
        <x:f>MIN(1,L3608/I3608)</x:f>
        <x:v>0.3451</x:v>
      </x:c>
      <x:c r="P3608" s="30" t="n">
        <x:f>O3608*J3608*(1+M3608)</x:f>
        <x:v>1.8980500000000002</x:v>
      </x:c>
      <x:c r="Q3608" s="30" t="n">
        <x:f>P3608*N3608</x:f>
        <x:v>22.776600000000002</x:v>
      </x:c>
      <x:c r="R3608" s="19" t="str">
        <x:v>独立判定</x:v>
      </x:c>
    </x:row>
    <x:row r="3609" ht="19" customHeight="1">
      <x:c r="A3609" s="19" t="str">
        <x:v>D03605</x:v>
      </x:c>
      <x:c r="B3609" s="19" t="n">
        <x:v>8</x:v>
      </x:c>
      <x:c r="C3609" s="19" t="n">
        <x:v>1</x:v>
      </x:c>
      <x:c r="D3609" s="19" t="str">
        <x:v>C08-M010</x:v>
      </x:c>
      <x:c r="E3609" s="19" t="str">
        <x:v>祭台封誓者</x:v>
      </x:c>
      <x:c r="F3609" s="19" t="str">
        <x:v>稀有</x:v>
      </x:c>
      <x:c r="G3609" s="19" t="str">
        <x:v>材料独立候选</x:v>
      </x:c>
      <x:c r="H3609" s="19" t="str">
        <x:v>技能残页</x:v>
      </x:c>
      <x:c r="I3609" s="22" t="n">
        <x:v>1200</x:v>
      </x:c>
      <x:c r="J3609" s="22" t="n">
        <x:v>1</x:v>
      </x:c>
      <x:c r="K3609" s="19" t="n">
        <x:v>1</x:v>
      </x:c>
      <x:c r="L3609" s="24" t="n">
        <x:v>51.765</x:v>
      </x:c>
      <x:c r="M3609" s="26" t="n">
        <x:v>0.1</x:v>
      </x:c>
      <x:c r="N3609" s="24" t="n">
        <x:v>12</x:v>
      </x:c>
      <x:c r="O3609" s="28" t="n">
        <x:f>MIN(1,L3609/I3609)</x:f>
        <x:v>0.0431375</x:v>
      </x:c>
      <x:c r="P3609" s="30" t="n">
        <x:f>O3609*J3609*(1+M3609)</x:f>
        <x:v>0.04745125000000001</x:v>
      </x:c>
      <x:c r="Q3609" s="30" t="n">
        <x:f>P3609*N3609</x:f>
        <x:v>0.5694150000000001</x:v>
      </x:c>
      <x:c r="R3609" s="19" t="str">
        <x:v>独立判定</x:v>
      </x:c>
    </x:row>
    <x:row r="3610" ht="19" customHeight="1">
      <x:c r="A3610" s="19" t="str">
        <x:v>D03606</x:v>
      </x:c>
      <x:c r="B3610" s="19" t="n">
        <x:v>8</x:v>
      </x:c>
      <x:c r="C3610" s="19" t="n">
        <x:v>1</x:v>
      </x:c>
      <x:c r="D3610" s="19" t="str">
        <x:v>C08-M010</x:v>
      </x:c>
      <x:c r="E3610" s="19" t="str">
        <x:v>祭台封誓者</x:v>
      </x:c>
      <x:c r="F3610" s="19" t="str">
        <x:v>稀有</x:v>
      </x:c>
      <x:c r="G3610" s="19" t="str">
        <x:v>材料独立候选</x:v>
      </x:c>
      <x:c r="H3610" s="19" t="str">
        <x:v>小卢恩</x:v>
      </x:c>
      <x:c r="I3610" s="22" t="n">
        <x:v>10000</x:v>
      </x:c>
      <x:c r="J3610" s="22" t="n">
        <x:v>1</x:v>
      </x:c>
      <x:c r="K3610" s="19" t="n">
        <x:v>1</x:v>
      </x:c>
      <x:c r="L3610" s="24" t="n">
        <x:v>51.765</x:v>
      </x:c>
      <x:c r="M3610" s="26" t="n">
        <x:v>0.1</x:v>
      </x:c>
      <x:c r="N3610" s="24" t="n">
        <x:v>12</x:v>
      </x:c>
      <x:c r="O3610" s="28" t="n">
        <x:f>MIN(1,L3610/I3610)</x:f>
        <x:v>0.0051765</x:v>
      </x:c>
      <x:c r="P3610" s="30" t="n">
        <x:f>O3610*J3610*(1+M3610)</x:f>
        <x:v>0.00569415</x:v>
      </x:c>
      <x:c r="Q3610" s="30" t="n">
        <x:f>P3610*N3610</x:f>
        <x:v>0.0683298</x:v>
      </x:c>
      <x:c r="R3610" s="19" t="str">
        <x:v>独立判定</x:v>
      </x:c>
    </x:row>
    <x:row r="3611" ht="19" customHeight="1">
      <x:c r="A3611" s="19" t="str">
        <x:v>D03607</x:v>
      </x:c>
      <x:c r="B3611" s="19" t="n">
        <x:v>8</x:v>
      </x:c>
      <x:c r="C3611" s="19" t="n">
        <x:v>1</x:v>
      </x:c>
      <x:c r="D3611" s="19" t="str">
        <x:v>C08-M010</x:v>
      </x:c>
      <x:c r="E3611" s="19" t="str">
        <x:v>祭台封誓者</x:v>
      </x:c>
      <x:c r="F3611" s="19" t="str">
        <x:v>稀有</x:v>
      </x:c>
      <x:c r="G3611" s="19" t="str">
        <x:v>六神器公共池</x:v>
      </x:c>
      <x:c r="H3611" s="19" t="str">
        <x:v>POOL006</x:v>
      </x:c>
      <x:c r="I3611" s="22" t="n">
        <x:v>5000000</x:v>
      </x:c>
      <x:c r="J3611" s="22" t="n">
        <x:v>1</x:v>
      </x:c>
      <x:c r="K3611" s="19" t="n">
        <x:v>6</x:v>
      </x:c>
      <x:c r="L3611" s="24" t="n">
        <x:v>51.765</x:v>
      </x:c>
      <x:c r="M3611" s="26" t="n">
        <x:v>0.1</x:v>
      </x:c>
      <x:c r="N3611" s="24" t="n">
        <x:v>12</x:v>
      </x:c>
      <x:c r="O3611" s="28" t="n">
        <x:f>MIN(1,L3611/I3611)</x:f>
        <x:v>0.000010353</x:v>
      </x:c>
      <x:c r="P3611" s="30" t="n">
        <x:f>O3611*J3611*(1+M3611)</x:f>
        <x:v>0.000011388300000000002</x:v>
      </x:c>
      <x:c r="Q3611" s="30" t="n">
        <x:f>P3611*N3611</x:f>
        <x:v>0.00013665960000000004</x:v>
      </x:c>
      <x:c r="R3611" s="19" t="str">
        <x:v>六选一；非6个独立爆率</x:v>
      </x:c>
    </x:row>
    <x:row r="3612" ht="19" customHeight="1">
      <x:c r="A3612" s="19" t="str">
        <x:v>D03608</x:v>
      </x:c>
      <x:c r="B3612" s="19" t="n">
        <x:v>8</x:v>
      </x:c>
      <x:c r="C3612" s="19" t="n">
        <x:v>1</x:v>
      </x:c>
      <x:c r="D3612" s="19" t="str">
        <x:v>C08-M011</x:v>
      </x:c>
      <x:c r="E3612" s="19" t="str">
        <x:v>雪崩号角·赫罗姆</x:v>
      </x:c>
      <x:c r="F3612" s="19" t="str">
        <x:v>地图BOSS</x:v>
      </x:c>
      <x:c r="G3612" s="19" t="str">
        <x:v>自身专属</x:v>
      </x:c>
      <x:c r="H3612" s="19" t="str">
        <x:v>赫罗姆凿峰槌</x:v>
      </x:c>
      <x:c r="I3612" s="22" t="n">
        <x:v>120</x:v>
      </x:c>
      <x:c r="J3612" s="22" t="n">
        <x:v>1</x:v>
      </x:c>
      <x:c r="K3612" s="19" t="n">
        <x:v>1</x:v>
      </x:c>
      <x:c r="L3612" s="24" t="n">
        <x:v>51.765</x:v>
      </x:c>
      <x:c r="M3612" s="26" t="n">
        <x:v>0.1</x:v>
      </x:c>
      <x:c r="N3612" s="24" t="n">
        <x:v>2</x:v>
      </x:c>
      <x:c r="O3612" s="28" t="n">
        <x:f>MIN(1,L3612/I3612)</x:f>
        <x:v>0.431375</x:v>
      </x:c>
      <x:c r="P3612" s="30" t="n">
        <x:f>O3612*J3612*(1+M3612)</x:f>
        <x:v>0.47451250000000006</x:v>
      </x:c>
      <x:c r="Q3612" s="30" t="n">
        <x:f>P3612*N3612</x:f>
        <x:v>0.9490250000000001</x:v>
      </x:c>
      <x:c r="R3612" s="19" t="str">
        <x:v>独立判定</x:v>
      </x:c>
    </x:row>
    <x:row r="3613" ht="19" customHeight="1">
      <x:c r="A3613" s="19" t="str">
        <x:v>D03609</x:v>
      </x:c>
      <x:c r="B3613" s="19" t="n">
        <x:v>8</x:v>
      </x:c>
      <x:c r="C3613" s="19" t="n">
        <x:v>1</x:v>
      </x:c>
      <x:c r="D3613" s="19" t="str">
        <x:v>C08-M011</x:v>
      </x:c>
      <x:c r="E3613" s="19" t="str">
        <x:v>雪崩号角·赫罗姆</x:v>
      </x:c>
      <x:c r="F3613" s="19" t="str">
        <x:v>地图BOSS</x:v>
      </x:c>
      <x:c r="G3613" s="19" t="str">
        <x:v>本图普通兼掉候选</x:v>
      </x:c>
      <x:c r="H3613" s="19" t="str">
        <x:v>POOL060</x:v>
      </x:c>
      <x:c r="I3613" s="22" t="n">
        <x:v>120</x:v>
      </x:c>
      <x:c r="J3613" s="22" t="n">
        <x:v>1</x:v>
      </x:c>
      <x:c r="K3613" s="19" t="n">
        <x:v>1</x:v>
      </x:c>
      <x:c r="L3613" s="24" t="n">
        <x:v>51.765</x:v>
      </x:c>
      <x:c r="M3613" s="26" t="n">
        <x:v>0.1</x:v>
      </x:c>
      <x:c r="N3613" s="24" t="n">
        <x:v>2</x:v>
      </x:c>
      <x:c r="O3613" s="28" t="n">
        <x:f>MIN(1,L3613/I3613)</x:f>
        <x:v>0.431375</x:v>
      </x:c>
      <x:c r="P3613" s="30" t="n">
        <x:f>O3613*J3613*(1+M3613)</x:f>
        <x:v>0.47451250000000006</x:v>
      </x:c>
      <x:c r="Q3613" s="30" t="n">
        <x:f>P3613*N3613</x:f>
        <x:v>0.9490250000000001</x:v>
      </x:c>
      <x:c r="R3613" s="19" t="str">
        <x:v>单池选一</x:v>
      </x:c>
    </x:row>
    <x:row r="3614" ht="19" customHeight="1">
      <x:c r="A3614" s="19" t="str">
        <x:v>D03610</x:v>
      </x:c>
      <x:c r="B3614" s="19" t="n">
        <x:v>8</x:v>
      </x:c>
      <x:c r="C3614" s="19" t="n">
        <x:v>1</x:v>
      </x:c>
      <x:c r="D3614" s="19" t="str">
        <x:v>C08-M011</x:v>
      </x:c>
      <x:c r="E3614" s="19" t="str">
        <x:v>雪崩号角·赫罗姆</x:v>
      </x:c>
      <x:c r="F3614" s="19" t="str">
        <x:v>地图BOSS</x:v>
      </x:c>
      <x:c r="G3614" s="19" t="str">
        <x:v>材料独立候选</x:v>
      </x:c>
      <x:c r="H3614" s="19" t="str">
        <x:v>霜脊铁</x:v>
      </x:c>
      <x:c r="I3614" s="22" t="n">
        <x:v>400</x:v>
      </x:c>
      <x:c r="J3614" s="22" t="n">
        <x:v>30</x:v>
      </x:c>
      <x:c r="K3614" s="19" t="n">
        <x:v>1</x:v>
      </x:c>
      <x:c r="L3614" s="24" t="n">
        <x:v>51.765</x:v>
      </x:c>
      <x:c r="M3614" s="26" t="n">
        <x:v>0.1</x:v>
      </x:c>
      <x:c r="N3614" s="24" t="n">
        <x:v>2</x:v>
      </x:c>
      <x:c r="O3614" s="28" t="n">
        <x:f>MIN(1,L3614/I3614)</x:f>
        <x:v>0.1294125</x:v>
      </x:c>
      <x:c r="P3614" s="30" t="n">
        <x:f>O3614*J3614*(1+M3614)</x:f>
        <x:v>4.270612500000001</x:v>
      </x:c>
      <x:c r="Q3614" s="30" t="n">
        <x:f>P3614*N3614</x:f>
        <x:v>8.541225000000003</x:v>
      </x:c>
      <x:c r="R3614" s="19" t="str">
        <x:v>独立判定</x:v>
      </x:c>
    </x:row>
    <x:row r="3615" ht="19" customHeight="1">
      <x:c r="A3615" s="19" t="str">
        <x:v>D03611</x:v>
      </x:c>
      <x:c r="B3615" s="19" t="n">
        <x:v>8</x:v>
      </x:c>
      <x:c r="C3615" s="19" t="n">
        <x:v>1</x:v>
      </x:c>
      <x:c r="D3615" s="19" t="str">
        <x:v>C08-M011</x:v>
      </x:c>
      <x:c r="E3615" s="19" t="str">
        <x:v>雪崩号角·赫罗姆</x:v>
      </x:c>
      <x:c r="F3615" s="19" t="str">
        <x:v>地图BOSS</x:v>
      </x:c>
      <x:c r="G3615" s="19" t="str">
        <x:v>材料独立候选</x:v>
      </x:c>
      <x:c r="H3615" s="19" t="str">
        <x:v>巨人火种</x:v>
      </x:c>
      <x:c r="I3615" s="22" t="n">
        <x:v>600</x:v>
      </x:c>
      <x:c r="J3615" s="22" t="n">
        <x:v>1</x:v>
      </x:c>
      <x:c r="K3615" s="19" t="n">
        <x:v>1</x:v>
      </x:c>
      <x:c r="L3615" s="24" t="n">
        <x:v>51.765</x:v>
      </x:c>
      <x:c r="M3615" s="26" t="n">
        <x:v>0.1</x:v>
      </x:c>
      <x:c r="N3615" s="24" t="n">
        <x:v>2</x:v>
      </x:c>
      <x:c r="O3615" s="28" t="n">
        <x:f>MIN(1,L3615/I3615)</x:f>
        <x:v>0.086275</x:v>
      </x:c>
      <x:c r="P3615" s="30" t="n">
        <x:f>O3615*J3615*(1+M3615)</x:f>
        <x:v>0.09490250000000001</x:v>
      </x:c>
      <x:c r="Q3615" s="30" t="n">
        <x:f>P3615*N3615</x:f>
        <x:v>0.18980500000000003</x:v>
      </x:c>
      <x:c r="R3615" s="19" t="str">
        <x:v>独立判定</x:v>
      </x:c>
    </x:row>
    <x:row r="3616" ht="19" customHeight="1">
      <x:c r="A3616" s="19" t="str">
        <x:v>D03612</x:v>
      </x:c>
      <x:c r="B3616" s="19" t="n">
        <x:v>8</x:v>
      </x:c>
      <x:c r="C3616" s="19" t="n">
        <x:v>1</x:v>
      </x:c>
      <x:c r="D3616" s="19" t="str">
        <x:v>C08-M011</x:v>
      </x:c>
      <x:c r="E3616" s="19" t="str">
        <x:v>雪崩号角·赫罗姆</x:v>
      </x:c>
      <x:c r="F3616" s="19" t="str">
        <x:v>地图BOSS</x:v>
      </x:c>
      <x:c r="G3616" s="19" t="str">
        <x:v>材料独立候选</x:v>
      </x:c>
      <x:c r="H3616" s="19" t="str">
        <x:v>巨人火印</x:v>
      </x:c>
      <x:c r="I3616" s="22" t="n">
        <x:v>200</x:v>
      </x:c>
      <x:c r="J3616" s="22" t="n">
        <x:v>4</x:v>
      </x:c>
      <x:c r="K3616" s="19" t="n">
        <x:v>1</x:v>
      </x:c>
      <x:c r="L3616" s="24" t="n">
        <x:v>51.765</x:v>
      </x:c>
      <x:c r="M3616" s="26" t="n">
        <x:v>0.1</x:v>
      </x:c>
      <x:c r="N3616" s="24" t="n">
        <x:v>2</x:v>
      </x:c>
      <x:c r="O3616" s="28" t="n">
        <x:f>MIN(1,L3616/I3616)</x:f>
        <x:v>0.258825</x:v>
      </x:c>
      <x:c r="P3616" s="30" t="n">
        <x:f>O3616*J3616*(1+M3616)</x:f>
        <x:v>1.1388300000000002</x:v>
      </x:c>
      <x:c r="Q3616" s="30" t="n">
        <x:f>P3616*N3616</x:f>
        <x:v>2.2776600000000005</x:v>
      </x:c>
      <x:c r="R3616" s="19" t="str">
        <x:v>独立判定</x:v>
      </x:c>
    </x:row>
    <x:row r="3617" ht="19" customHeight="1">
      <x:c r="A3617" s="19" t="str">
        <x:v>D03613</x:v>
      </x:c>
      <x:c r="B3617" s="19" t="n">
        <x:v>8</x:v>
      </x:c>
      <x:c r="C3617" s="19" t="n">
        <x:v>1</x:v>
      </x:c>
      <x:c r="D3617" s="19" t="str">
        <x:v>C08-M011</x:v>
      </x:c>
      <x:c r="E3617" s="19" t="str">
        <x:v>雪崩号角·赫罗姆</x:v>
      </x:c>
      <x:c r="F3617" s="19" t="str">
        <x:v>地图BOSS</x:v>
      </x:c>
      <x:c r="G3617" s="19" t="str">
        <x:v>材料独立候选</x:v>
      </x:c>
      <x:c r="H3617" s="19" t="str">
        <x:v>冰宫守门铃</x:v>
      </x:c>
      <x:c r="I3617" s="22" t="n">
        <x:v>300</x:v>
      </x:c>
      <x:c r="J3617" s="22" t="n">
        <x:v>2</x:v>
      </x:c>
      <x:c r="K3617" s="19" t="n">
        <x:v>1</x:v>
      </x:c>
      <x:c r="L3617" s="24" t="n">
        <x:v>51.765</x:v>
      </x:c>
      <x:c r="M3617" s="26" t="n">
        <x:v>0.1</x:v>
      </x:c>
      <x:c r="N3617" s="24" t="n">
        <x:v>2</x:v>
      </x:c>
      <x:c r="O3617" s="28" t="n">
        <x:f>MIN(1,L3617/I3617)</x:f>
        <x:v>0.17255</x:v>
      </x:c>
      <x:c r="P3617" s="30" t="n">
        <x:f>O3617*J3617*(1+M3617)</x:f>
        <x:v>0.37961000000000006</x:v>
      </x:c>
      <x:c r="Q3617" s="30" t="n">
        <x:f>P3617*N3617</x:f>
        <x:v>0.7592200000000001</x:v>
      </x:c>
      <x:c r="R3617" s="19" t="str">
        <x:v>独立判定</x:v>
      </x:c>
    </x:row>
    <x:row r="3618" ht="19" customHeight="1">
      <x:c r="A3618" s="19" t="str">
        <x:v>D03614</x:v>
      </x:c>
      <x:c r="B3618" s="19" t="n">
        <x:v>8</x:v>
      </x:c>
      <x:c r="C3618" s="19" t="n">
        <x:v>1</x:v>
      </x:c>
      <x:c r="D3618" s="19" t="str">
        <x:v>C08-M011</x:v>
      </x:c>
      <x:c r="E3618" s="19" t="str">
        <x:v>雪崩号角·赫罗姆</x:v>
      </x:c>
      <x:c r="F3618" s="19" t="str">
        <x:v>地图BOSS</x:v>
      </x:c>
      <x:c r="G3618" s="19" t="str">
        <x:v>材料独立候选</x:v>
      </x:c>
      <x:c r="H3618" s="19" t="str">
        <x:v>穹霜碑珀</x:v>
      </x:c>
      <x:c r="I3618" s="22" t="n">
        <x:v>800000</x:v>
      </x:c>
      <x:c r="J3618" s="22" t="n">
        <x:v>1</x:v>
      </x:c>
      <x:c r="K3618" s="19" t="n">
        <x:v>1</x:v>
      </x:c>
      <x:c r="L3618" s="24" t="n">
        <x:v>51.765</x:v>
      </x:c>
      <x:c r="M3618" s="26" t="n">
        <x:v>0.1</x:v>
      </x:c>
      <x:c r="N3618" s="24" t="n">
        <x:v>2</x:v>
      </x:c>
      <x:c r="O3618" s="28" t="n">
        <x:f>MIN(1,L3618/I3618)</x:f>
        <x:v>0.00006470625</x:v>
      </x:c>
      <x:c r="P3618" s="30" t="n">
        <x:f>O3618*J3618*(1+M3618)</x:f>
        <x:v>0.00007117687500000001</x:v>
      </x:c>
      <x:c r="Q3618" s="30" t="n">
        <x:f>P3618*N3618</x:f>
        <x:v>0.00014235375000000002</x:v>
      </x:c>
      <x:c r="R3618" s="19" t="str">
        <x:v>独立判定</x:v>
      </x:c>
    </x:row>
    <x:row r="3619" ht="19" customHeight="1">
      <x:c r="A3619" s="19" t="str">
        <x:v>D03615</x:v>
      </x:c>
      <x:c r="B3619" s="19" t="n">
        <x:v>8</x:v>
      </x:c>
      <x:c r="C3619" s="19" t="n">
        <x:v>1</x:v>
      </x:c>
      <x:c r="D3619" s="19" t="str">
        <x:v>C08-M011</x:v>
      </x:c>
      <x:c r="E3619" s="19" t="str">
        <x:v>雪崩号角·赫罗姆</x:v>
      </x:c>
      <x:c r="F3619" s="19" t="str">
        <x:v>地图BOSS</x:v>
      </x:c>
      <x:c r="G3619" s="19" t="str">
        <x:v>材料独立候选</x:v>
      </x:c>
      <x:c r="H3619" s="19" t="str">
        <x:v>黄金树芽</x:v>
      </x:c>
      <x:c r="I3619" s="22" t="n">
        <x:v>800</x:v>
      </x:c>
      <x:c r="J3619" s="22" t="n">
        <x:v>1</x:v>
      </x:c>
      <x:c r="K3619" s="19" t="n">
        <x:v>1</x:v>
      </x:c>
      <x:c r="L3619" s="24" t="n">
        <x:v>51.765</x:v>
      </x:c>
      <x:c r="M3619" s="26" t="n">
        <x:v>0.1</x:v>
      </x:c>
      <x:c r="N3619" s="24" t="n">
        <x:v>2</x:v>
      </x:c>
      <x:c r="O3619" s="28" t="n">
        <x:f>MIN(1,L3619/I3619)</x:f>
        <x:v>0.06470625</x:v>
      </x:c>
      <x:c r="P3619" s="30" t="n">
        <x:f>O3619*J3619*(1+M3619)</x:f>
        <x:v>0.07117687500000001</x:v>
      </x:c>
      <x:c r="Q3619" s="30" t="n">
        <x:f>P3619*N3619</x:f>
        <x:v>0.14235375000000003</x:v>
      </x:c>
      <x:c r="R3619" s="19" t="str">
        <x:v>独立判定</x:v>
      </x:c>
    </x:row>
    <x:row r="3620" ht="19" customHeight="1">
      <x:c r="A3620" s="19" t="str">
        <x:v>D03616</x:v>
      </x:c>
      <x:c r="B3620" s="19" t="n">
        <x:v>8</x:v>
      </x:c>
      <x:c r="C3620" s="19" t="n">
        <x:v>1</x:v>
      </x:c>
      <x:c r="D3620" s="19" t="str">
        <x:v>C08-M011</x:v>
      </x:c>
      <x:c r="E3620" s="19" t="str">
        <x:v>雪崩号角·赫罗姆</x:v>
      </x:c>
      <x:c r="F3620" s="19" t="str">
        <x:v>地图BOSS</x:v>
      </x:c>
      <x:c r="G3620" s="19" t="str">
        <x:v>材料独立候选</x:v>
      </x:c>
      <x:c r="H3620" s="19" t="str">
        <x:v>野兽骨片</x:v>
      </x:c>
      <x:c r="I3620" s="22" t="n">
        <x:v>80</x:v>
      </x:c>
      <x:c r="J3620" s="22" t="n">
        <x:v>5</x:v>
      </x:c>
      <x:c r="K3620" s="19" t="n">
        <x:v>1</x:v>
      </x:c>
      <x:c r="L3620" s="24" t="n">
        <x:v>51.765</x:v>
      </x:c>
      <x:c r="M3620" s="26" t="n">
        <x:v>0.1</x:v>
      </x:c>
      <x:c r="N3620" s="24" t="n">
        <x:v>2</x:v>
      </x:c>
      <x:c r="O3620" s="28" t="n">
        <x:f>MIN(1,L3620/I3620)</x:f>
        <x:v>0.6470625</x:v>
      </x:c>
      <x:c r="P3620" s="30" t="n">
        <x:f>O3620*J3620*(1+M3620)</x:f>
        <x:v>3.5588437500000003</x:v>
      </x:c>
      <x:c r="Q3620" s="30" t="n">
        <x:f>P3620*N3620</x:f>
        <x:v>7.117687500000001</x:v>
      </x:c>
      <x:c r="R3620" s="19" t="str">
        <x:v>独立判定</x:v>
      </x:c>
    </x:row>
    <x:row r="3621" ht="19" customHeight="1">
      <x:c r="A3621" s="19" t="str">
        <x:v>D03617</x:v>
      </x:c>
      <x:c r="B3621" s="19" t="n">
        <x:v>8</x:v>
      </x:c>
      <x:c r="C3621" s="19" t="n">
        <x:v>1</x:v>
      </x:c>
      <x:c r="D3621" s="19" t="str">
        <x:v>C08-M011</x:v>
      </x:c>
      <x:c r="E3621" s="19" t="str">
        <x:v>雪崩号角·赫罗姆</x:v>
      </x:c>
      <x:c r="F3621" s="19" t="str">
        <x:v>地图BOSS</x:v>
      </x:c>
      <x:c r="G3621" s="19" t="str">
        <x:v>材料独立候选</x:v>
      </x:c>
      <x:c r="H3621" s="19" t="str">
        <x:v>技能残页</x:v>
      </x:c>
      <x:c r="I3621" s="22" t="n">
        <x:v>600</x:v>
      </x:c>
      <x:c r="J3621" s="22" t="n">
        <x:v>1</x:v>
      </x:c>
      <x:c r="K3621" s="19" t="n">
        <x:v>1</x:v>
      </x:c>
      <x:c r="L3621" s="24" t="n">
        <x:v>51.765</x:v>
      </x:c>
      <x:c r="M3621" s="26" t="n">
        <x:v>0.1</x:v>
      </x:c>
      <x:c r="N3621" s="24" t="n">
        <x:v>2</x:v>
      </x:c>
      <x:c r="O3621" s="28" t="n">
        <x:f>MIN(1,L3621/I3621)</x:f>
        <x:v>0.086275</x:v>
      </x:c>
      <x:c r="P3621" s="30" t="n">
        <x:f>O3621*J3621*(1+M3621)</x:f>
        <x:v>0.09490250000000001</x:v>
      </x:c>
      <x:c r="Q3621" s="30" t="n">
        <x:f>P3621*N3621</x:f>
        <x:v>0.18980500000000003</x:v>
      </x:c>
      <x:c r="R3621" s="19" t="str">
        <x:v>独立判定</x:v>
      </x:c>
    </x:row>
    <x:row r="3622" ht="19" customHeight="1">
      <x:c r="A3622" s="19" t="str">
        <x:v>D03618</x:v>
      </x:c>
      <x:c r="B3622" s="19" t="n">
        <x:v>8</x:v>
      </x:c>
      <x:c r="C3622" s="19" t="n">
        <x:v>1</x:v>
      </x:c>
      <x:c r="D3622" s="19" t="str">
        <x:v>C08-M011</x:v>
      </x:c>
      <x:c r="E3622" s="19" t="str">
        <x:v>雪崩号角·赫罗姆</x:v>
      </x:c>
      <x:c r="F3622" s="19" t="str">
        <x:v>地图BOSS</x:v>
      </x:c>
      <x:c r="G3622" s="19" t="str">
        <x:v>材料独立候选</x:v>
      </x:c>
      <x:c r="H3622" s="19" t="str">
        <x:v>宁姆格福誓页</x:v>
      </x:c>
      <x:c r="I3622" s="22" t="n">
        <x:v>600</x:v>
      </x:c>
      <x:c r="J3622" s="22" t="n">
        <x:v>1</x:v>
      </x:c>
      <x:c r="K3622" s="19" t="n">
        <x:v>1</x:v>
      </x:c>
      <x:c r="L3622" s="24" t="n">
        <x:v>51.765</x:v>
      </x:c>
      <x:c r="M3622" s="26" t="n">
        <x:v>0.1</x:v>
      </x:c>
      <x:c r="N3622" s="24" t="n">
        <x:v>2</x:v>
      </x:c>
      <x:c r="O3622" s="28" t="n">
        <x:f>MIN(1,L3622/I3622)</x:f>
        <x:v>0.086275</x:v>
      </x:c>
      <x:c r="P3622" s="30" t="n">
        <x:f>O3622*J3622*(1+M3622)</x:f>
        <x:v>0.09490250000000001</x:v>
      </x:c>
      <x:c r="Q3622" s="30" t="n">
        <x:f>P3622*N3622</x:f>
        <x:v>0.18980500000000003</x:v>
      </x:c>
      <x:c r="R3622" s="19" t="str">
        <x:v>独立判定</x:v>
      </x:c>
    </x:row>
    <x:row r="3623" ht="19" customHeight="1">
      <x:c r="A3623" s="19" t="str">
        <x:v>D03619</x:v>
      </x:c>
      <x:c r="B3623" s="19" t="n">
        <x:v>8</x:v>
      </x:c>
      <x:c r="C3623" s="19" t="n">
        <x:v>1</x:v>
      </x:c>
      <x:c r="D3623" s="19" t="str">
        <x:v>C08-M011</x:v>
      </x:c>
      <x:c r="E3623" s="19" t="str">
        <x:v>雪崩号角·赫罗姆</x:v>
      </x:c>
      <x:c r="F3623" s="19" t="str">
        <x:v>地图BOSS</x:v>
      </x:c>
      <x:c r="G3623" s="19" t="str">
        <x:v>材料独立候选</x:v>
      </x:c>
      <x:c r="H3623" s="19" t="str">
        <x:v>小卢恩</x:v>
      </x:c>
      <x:c r="I3623" s="22" t="n">
        <x:v>5000</x:v>
      </x:c>
      <x:c r="J3623" s="22" t="n">
        <x:v>1</x:v>
      </x:c>
      <x:c r="K3623" s="19" t="n">
        <x:v>1</x:v>
      </x:c>
      <x:c r="L3623" s="24" t="n">
        <x:v>51.765</x:v>
      </x:c>
      <x:c r="M3623" s="26" t="n">
        <x:v>0.1</x:v>
      </x:c>
      <x:c r="N3623" s="24" t="n">
        <x:v>2</x:v>
      </x:c>
      <x:c r="O3623" s="28" t="n">
        <x:f>MIN(1,L3623/I3623)</x:f>
        <x:v>0.010353</x:v>
      </x:c>
      <x:c r="P3623" s="30" t="n">
        <x:f>O3623*J3623*(1+M3623)</x:f>
        <x:v>0.0113883</x:v>
      </x:c>
      <x:c r="Q3623" s="30" t="n">
        <x:f>P3623*N3623</x:f>
        <x:v>0.0227766</x:v>
      </x:c>
      <x:c r="R3623" s="19" t="str">
        <x:v>独立判定</x:v>
      </x:c>
    </x:row>
    <x:row r="3624" ht="19" customHeight="1">
      <x:c r="A3624" s="19" t="str">
        <x:v>D03620</x:v>
      </x:c>
      <x:c r="B3624" s="19" t="n">
        <x:v>8</x:v>
      </x:c>
      <x:c r="C3624" s="19" t="n">
        <x:v>1</x:v>
      </x:c>
      <x:c r="D3624" s="19" t="str">
        <x:v>C08-M011</x:v>
      </x:c>
      <x:c r="E3624" s="19" t="str">
        <x:v>雪崩号角·赫罗姆</x:v>
      </x:c>
      <x:c r="F3624" s="19" t="str">
        <x:v>地图BOSS</x:v>
      </x:c>
      <x:c r="G3624" s="19" t="str">
        <x:v>材料独立候选</x:v>
      </x:c>
      <x:c r="H3624" s="19" t="str">
        <x:v>大卢恩</x:v>
      </x:c>
      <x:c r="I3624" s="22" t="n">
        <x:v>500</x:v>
      </x:c>
      <x:c r="J3624" s="22" t="n">
        <x:v>1</x:v>
      </x:c>
      <x:c r="K3624" s="19" t="n">
        <x:v>1</x:v>
      </x:c>
      <x:c r="L3624" s="24" t="n">
        <x:v>51.765</x:v>
      </x:c>
      <x:c r="M3624" s="26" t="n">
        <x:v>0.1</x:v>
      </x:c>
      <x:c r="N3624" s="24" t="n">
        <x:v>2</x:v>
      </x:c>
      <x:c r="O3624" s="28" t="n">
        <x:f>MIN(1,L3624/I3624)</x:f>
        <x:v>0.10353</x:v>
      </x:c>
      <x:c r="P3624" s="30" t="n">
        <x:f>O3624*J3624*(1+M3624)</x:f>
        <x:v>0.11388300000000001</x:v>
      </x:c>
      <x:c r="Q3624" s="30" t="n">
        <x:f>P3624*N3624</x:f>
        <x:v>0.22776600000000002</x:v>
      </x:c>
      <x:c r="R3624" s="19" t="str">
        <x:v>独立判定</x:v>
      </x:c>
    </x:row>
    <x:row r="3625" ht="19" customHeight="1">
      <x:c r="A3625" s="19" t="str">
        <x:v>D03621</x:v>
      </x:c>
      <x:c r="B3625" s="19" t="n">
        <x:v>8</x:v>
      </x:c>
      <x:c r="C3625" s="19" t="n">
        <x:v>1</x:v>
      </x:c>
      <x:c r="D3625" s="19" t="str">
        <x:v>C08-M011</x:v>
      </x:c>
      <x:c r="E3625" s="19" t="str">
        <x:v>雪崩号角·赫罗姆</x:v>
      </x:c>
      <x:c r="F3625" s="19" t="str">
        <x:v>地图BOSS</x:v>
      </x:c>
      <x:c r="G3625" s="19" t="str">
        <x:v>材料独立候选</x:v>
      </x:c>
      <x:c r="H3625" s="19" t="str">
        <x:v>巨人熔火卢恩</x:v>
      </x:c>
      <x:c r="I3625" s="22" t="n">
        <x:v>250</x:v>
      </x:c>
      <x:c r="J3625" s="22" t="n">
        <x:v>20</x:v>
      </x:c>
      <x:c r="K3625" s="19" t="n">
        <x:v>1</x:v>
      </x:c>
      <x:c r="L3625" s="24" t="n">
        <x:v>51.765</x:v>
      </x:c>
      <x:c r="M3625" s="26" t="n">
        <x:v>0.1</x:v>
      </x:c>
      <x:c r="N3625" s="24" t="n">
        <x:v>2</x:v>
      </x:c>
      <x:c r="O3625" s="28" t="n">
        <x:f>MIN(1,L3625/I3625)</x:f>
        <x:v>0.20706</x:v>
      </x:c>
      <x:c r="P3625" s="30" t="n">
        <x:f>O3625*J3625*(1+M3625)</x:f>
        <x:v>4.55532</x:v>
      </x:c>
      <x:c r="Q3625" s="30" t="n">
        <x:f>P3625*N3625</x:f>
        <x:v>9.11064</x:v>
      </x:c>
      <x:c r="R3625" s="19" t="str">
        <x:v>独立判定</x:v>
      </x:c>
    </x:row>
    <x:row r="3626" ht="19" customHeight="1">
      <x:c r="A3626" s="19" t="str">
        <x:v>D03622</x:v>
      </x:c>
      <x:c r="B3626" s="19" t="n">
        <x:v>8</x:v>
      </x:c>
      <x:c r="C3626" s="19" t="n">
        <x:v>1</x:v>
      </x:c>
      <x:c r="D3626" s="19" t="str">
        <x:v>C08-M011</x:v>
      </x:c>
      <x:c r="E3626" s="19" t="str">
        <x:v>雪崩号角·赫罗姆</x:v>
      </x:c>
      <x:c r="F3626" s="19" t="str">
        <x:v>地图BOSS</x:v>
      </x:c>
      <x:c r="G3626" s="19" t="str">
        <x:v>六神器公共池</x:v>
      </x:c>
      <x:c r="H3626" s="19" t="str">
        <x:v>POOL006</x:v>
      </x:c>
      <x:c r="I3626" s="22" t="n">
        <x:v>200000</x:v>
      </x:c>
      <x:c r="J3626" s="22" t="n">
        <x:v>1</x:v>
      </x:c>
      <x:c r="K3626" s="19" t="n">
        <x:v>6</x:v>
      </x:c>
      <x:c r="L3626" s="24" t="n">
        <x:v>51.765</x:v>
      </x:c>
      <x:c r="M3626" s="26" t="n">
        <x:v>0.1</x:v>
      </x:c>
      <x:c r="N3626" s="24" t="n">
        <x:v>2</x:v>
      </x:c>
      <x:c r="O3626" s="28" t="n">
        <x:f>MIN(1,L3626/I3626)</x:f>
        <x:v>0.000258825</x:v>
      </x:c>
      <x:c r="P3626" s="30" t="n">
        <x:f>O3626*J3626*(1+M3626)</x:f>
        <x:v>0.00028470750000000005</x:v>
      </x:c>
      <x:c r="Q3626" s="30" t="n">
        <x:f>P3626*N3626</x:f>
        <x:v>0.0005694150000000001</x:v>
      </x:c>
      <x:c r="R3626" s="19" t="str">
        <x:v>六选一；非6个独立爆率</x:v>
      </x:c>
    </x:row>
    <x:row r="3627" ht="19" customHeight="1">
      <x:c r="A3627" s="19" t="str">
        <x:v>D03623</x:v>
      </x:c>
      <x:c r="B3627" s="19" t="n">
        <x:v>8</x:v>
      </x:c>
      <x:c r="C3627" s="19" t="n">
        <x:v>1</x:v>
      </x:c>
      <x:c r="D3627" s="19" t="str">
        <x:v>C08-M012</x:v>
      </x:c>
      <x:c r="E3627" s="19" t="str">
        <x:v>山巅霜祀·伊芙迦</x:v>
      </x:c>
      <x:c r="F3627" s="19" t="str">
        <x:v>地图BOSS</x:v>
      </x:c>
      <x:c r="G3627" s="19" t="str">
        <x:v>自身专属</x:v>
      </x:c>
      <x:c r="H3627" s="19" t="str">
        <x:v>伊芙迦霜祀衣</x:v>
      </x:c>
      <x:c r="I3627" s="22" t="n">
        <x:v>250</x:v>
      </x:c>
      <x:c r="J3627" s="22" t="n">
        <x:v>1</x:v>
      </x:c>
      <x:c r="K3627" s="19" t="n">
        <x:v>1</x:v>
      </x:c>
      <x:c r="L3627" s="24" t="n">
        <x:v>51.765</x:v>
      </x:c>
      <x:c r="M3627" s="26" t="n">
        <x:v>0.1</x:v>
      </x:c>
      <x:c r="N3627" s="24" t="n">
        <x:v>2</x:v>
      </x:c>
      <x:c r="O3627" s="28" t="n">
        <x:f>MIN(1,L3627/I3627)</x:f>
        <x:v>0.20706</x:v>
      </x:c>
      <x:c r="P3627" s="30" t="n">
        <x:f>O3627*J3627*(1+M3627)</x:f>
        <x:v>0.22776600000000002</x:v>
      </x:c>
      <x:c r="Q3627" s="30" t="n">
        <x:f>P3627*N3627</x:f>
        <x:v>0.45553200000000005</x:v>
      </x:c>
      <x:c r="R3627" s="19" t="str">
        <x:v>独立判定</x:v>
      </x:c>
    </x:row>
    <x:row r="3628" ht="19" customHeight="1">
      <x:c r="A3628" s="19" t="str">
        <x:v>D03624</x:v>
      </x:c>
      <x:c r="B3628" s="19" t="n">
        <x:v>8</x:v>
      </x:c>
      <x:c r="C3628" s="19" t="n">
        <x:v>1</x:v>
      </x:c>
      <x:c r="D3628" s="19" t="str">
        <x:v>C08-M012</x:v>
      </x:c>
      <x:c r="E3628" s="19" t="str">
        <x:v>山巅霜祀·伊芙迦</x:v>
      </x:c>
      <x:c r="F3628" s="19" t="str">
        <x:v>地图BOSS</x:v>
      </x:c>
      <x:c r="G3628" s="19" t="str">
        <x:v>自身专属</x:v>
      </x:c>
      <x:c r="H3628" s="19" t="str">
        <x:v>穹霜祷冠</x:v>
      </x:c>
      <x:c r="I3628" s="22" t="n">
        <x:v>250</x:v>
      </x:c>
      <x:c r="J3628" s="22" t="n">
        <x:v>1</x:v>
      </x:c>
      <x:c r="K3628" s="19" t="n">
        <x:v>1</x:v>
      </x:c>
      <x:c r="L3628" s="24" t="n">
        <x:v>51.765</x:v>
      </x:c>
      <x:c r="M3628" s="26" t="n">
        <x:v>0.1</x:v>
      </x:c>
      <x:c r="N3628" s="24" t="n">
        <x:v>2</x:v>
      </x:c>
      <x:c r="O3628" s="28" t="n">
        <x:f>MIN(1,L3628/I3628)</x:f>
        <x:v>0.20706</x:v>
      </x:c>
      <x:c r="P3628" s="30" t="n">
        <x:f>O3628*J3628*(1+M3628)</x:f>
        <x:v>0.22776600000000002</x:v>
      </x:c>
      <x:c r="Q3628" s="30" t="n">
        <x:f>P3628*N3628</x:f>
        <x:v>0.45553200000000005</x:v>
      </x:c>
      <x:c r="R3628" s="19" t="str">
        <x:v>独立判定</x:v>
      </x:c>
    </x:row>
    <x:row r="3629" ht="19" customHeight="1">
      <x:c r="A3629" s="19" t="str">
        <x:v>D03625</x:v>
      </x:c>
      <x:c r="B3629" s="19" t="n">
        <x:v>8</x:v>
      </x:c>
      <x:c r="C3629" s="19" t="n">
        <x:v>1</x:v>
      </x:c>
      <x:c r="D3629" s="19" t="str">
        <x:v>C08-M012</x:v>
      </x:c>
      <x:c r="E3629" s="19" t="str">
        <x:v>山巅霜祀·伊芙迦</x:v>
      </x:c>
      <x:c r="F3629" s="19" t="str">
        <x:v>地图BOSS</x:v>
      </x:c>
      <x:c r="G3629" s="19" t="str">
        <x:v>本图普通兼掉候选</x:v>
      </x:c>
      <x:c r="H3629" s="19" t="str">
        <x:v>POOL061</x:v>
      </x:c>
      <x:c r="I3629" s="22" t="n">
        <x:v>120</x:v>
      </x:c>
      <x:c r="J3629" s="22" t="n">
        <x:v>1</x:v>
      </x:c>
      <x:c r="K3629" s="19" t="n">
        <x:v>1</x:v>
      </x:c>
      <x:c r="L3629" s="24" t="n">
        <x:v>51.765</x:v>
      </x:c>
      <x:c r="M3629" s="26" t="n">
        <x:v>0.1</x:v>
      </x:c>
      <x:c r="N3629" s="24" t="n">
        <x:v>2</x:v>
      </x:c>
      <x:c r="O3629" s="28" t="n">
        <x:f>MIN(1,L3629/I3629)</x:f>
        <x:v>0.431375</x:v>
      </x:c>
      <x:c r="P3629" s="30" t="n">
        <x:f>O3629*J3629*(1+M3629)</x:f>
        <x:v>0.47451250000000006</x:v>
      </x:c>
      <x:c r="Q3629" s="30" t="n">
        <x:f>P3629*N3629</x:f>
        <x:v>0.9490250000000001</x:v>
      </x:c>
      <x:c r="R3629" s="19" t="str">
        <x:v>单池选一</x:v>
      </x:c>
    </x:row>
    <x:row r="3630" ht="19" customHeight="1">
      <x:c r="A3630" s="19" t="str">
        <x:v>D03626</x:v>
      </x:c>
      <x:c r="B3630" s="19" t="n">
        <x:v>8</x:v>
      </x:c>
      <x:c r="C3630" s="19" t="n">
        <x:v>1</x:v>
      </x:c>
      <x:c r="D3630" s="19" t="str">
        <x:v>C08-M012</x:v>
      </x:c>
      <x:c r="E3630" s="19" t="str">
        <x:v>山巅霜祀·伊芙迦</x:v>
      </x:c>
      <x:c r="F3630" s="19" t="str">
        <x:v>地图BOSS</x:v>
      </x:c>
      <x:c r="G3630" s="19" t="str">
        <x:v>材料独立候选</x:v>
      </x:c>
      <x:c r="H3630" s="19" t="str">
        <x:v>霜脊铁</x:v>
      </x:c>
      <x:c r="I3630" s="22" t="n">
        <x:v>400</x:v>
      </x:c>
      <x:c r="J3630" s="22" t="n">
        <x:v>30</x:v>
      </x:c>
      <x:c r="K3630" s="19" t="n">
        <x:v>1</x:v>
      </x:c>
      <x:c r="L3630" s="24" t="n">
        <x:v>51.765</x:v>
      </x:c>
      <x:c r="M3630" s="26" t="n">
        <x:v>0.1</x:v>
      </x:c>
      <x:c r="N3630" s="24" t="n">
        <x:v>2</x:v>
      </x:c>
      <x:c r="O3630" s="28" t="n">
        <x:f>MIN(1,L3630/I3630)</x:f>
        <x:v>0.1294125</x:v>
      </x:c>
      <x:c r="P3630" s="30" t="n">
        <x:f>O3630*J3630*(1+M3630)</x:f>
        <x:v>4.270612500000001</x:v>
      </x:c>
      <x:c r="Q3630" s="30" t="n">
        <x:f>P3630*N3630</x:f>
        <x:v>8.541225000000003</x:v>
      </x:c>
      <x:c r="R3630" s="19" t="str">
        <x:v>独立判定</x:v>
      </x:c>
    </x:row>
    <x:row r="3631" ht="19" customHeight="1">
      <x:c r="A3631" s="19" t="str">
        <x:v>D03627</x:v>
      </x:c>
      <x:c r="B3631" s="19" t="n">
        <x:v>8</x:v>
      </x:c>
      <x:c r="C3631" s="19" t="n">
        <x:v>1</x:v>
      </x:c>
      <x:c r="D3631" s="19" t="str">
        <x:v>C08-M012</x:v>
      </x:c>
      <x:c r="E3631" s="19" t="str">
        <x:v>山巅霜祀·伊芙迦</x:v>
      </x:c>
      <x:c r="F3631" s="19" t="str">
        <x:v>地图BOSS</x:v>
      </x:c>
      <x:c r="G3631" s="19" t="str">
        <x:v>材料独立候选</x:v>
      </x:c>
      <x:c r="H3631" s="19" t="str">
        <x:v>巨人火种</x:v>
      </x:c>
      <x:c r="I3631" s="22" t="n">
        <x:v>600</x:v>
      </x:c>
      <x:c r="J3631" s="22" t="n">
        <x:v>1</x:v>
      </x:c>
      <x:c r="K3631" s="19" t="n">
        <x:v>1</x:v>
      </x:c>
      <x:c r="L3631" s="24" t="n">
        <x:v>51.765</x:v>
      </x:c>
      <x:c r="M3631" s="26" t="n">
        <x:v>0.1</x:v>
      </x:c>
      <x:c r="N3631" s="24" t="n">
        <x:v>2</x:v>
      </x:c>
      <x:c r="O3631" s="28" t="n">
        <x:f>MIN(1,L3631/I3631)</x:f>
        <x:v>0.086275</x:v>
      </x:c>
      <x:c r="P3631" s="30" t="n">
        <x:f>O3631*J3631*(1+M3631)</x:f>
        <x:v>0.09490250000000001</x:v>
      </x:c>
      <x:c r="Q3631" s="30" t="n">
        <x:f>P3631*N3631</x:f>
        <x:v>0.18980500000000003</x:v>
      </x:c>
      <x:c r="R3631" s="19" t="str">
        <x:v>独立判定</x:v>
      </x:c>
    </x:row>
    <x:row r="3632" ht="19" customHeight="1">
      <x:c r="A3632" s="19" t="str">
        <x:v>D03628</x:v>
      </x:c>
      <x:c r="B3632" s="19" t="n">
        <x:v>8</x:v>
      </x:c>
      <x:c r="C3632" s="19" t="n">
        <x:v>1</x:v>
      </x:c>
      <x:c r="D3632" s="19" t="str">
        <x:v>C08-M012</x:v>
      </x:c>
      <x:c r="E3632" s="19" t="str">
        <x:v>山巅霜祀·伊芙迦</x:v>
      </x:c>
      <x:c r="F3632" s="19" t="str">
        <x:v>地图BOSS</x:v>
      </x:c>
      <x:c r="G3632" s="19" t="str">
        <x:v>材料独立候选</x:v>
      </x:c>
      <x:c r="H3632" s="19" t="str">
        <x:v>巨人火印</x:v>
      </x:c>
      <x:c r="I3632" s="22" t="n">
        <x:v>200</x:v>
      </x:c>
      <x:c r="J3632" s="22" t="n">
        <x:v>4</x:v>
      </x:c>
      <x:c r="K3632" s="19" t="n">
        <x:v>1</x:v>
      </x:c>
      <x:c r="L3632" s="24" t="n">
        <x:v>51.765</x:v>
      </x:c>
      <x:c r="M3632" s="26" t="n">
        <x:v>0.1</x:v>
      </x:c>
      <x:c r="N3632" s="24" t="n">
        <x:v>2</x:v>
      </x:c>
      <x:c r="O3632" s="28" t="n">
        <x:f>MIN(1,L3632/I3632)</x:f>
        <x:v>0.258825</x:v>
      </x:c>
      <x:c r="P3632" s="30" t="n">
        <x:f>O3632*J3632*(1+M3632)</x:f>
        <x:v>1.1388300000000002</x:v>
      </x:c>
      <x:c r="Q3632" s="30" t="n">
        <x:f>P3632*N3632</x:f>
        <x:v>2.2776600000000005</x:v>
      </x:c>
      <x:c r="R3632" s="19" t="str">
        <x:v>独立判定</x:v>
      </x:c>
    </x:row>
    <x:row r="3633" ht="19" customHeight="1">
      <x:c r="A3633" s="19" t="str">
        <x:v>D03629</x:v>
      </x:c>
      <x:c r="B3633" s="19" t="n">
        <x:v>8</x:v>
      </x:c>
      <x:c r="C3633" s="19" t="n">
        <x:v>1</x:v>
      </x:c>
      <x:c r="D3633" s="19" t="str">
        <x:v>C08-M012</x:v>
      </x:c>
      <x:c r="E3633" s="19" t="str">
        <x:v>山巅霜祀·伊芙迦</x:v>
      </x:c>
      <x:c r="F3633" s="19" t="str">
        <x:v>地图BOSS</x:v>
      </x:c>
      <x:c r="G3633" s="19" t="str">
        <x:v>材料独立候选</x:v>
      </x:c>
      <x:c r="H3633" s="19" t="str">
        <x:v>冰宫守门铃</x:v>
      </x:c>
      <x:c r="I3633" s="22" t="n">
        <x:v>300</x:v>
      </x:c>
      <x:c r="J3633" s="22" t="n">
        <x:v>2</x:v>
      </x:c>
      <x:c r="K3633" s="19" t="n">
        <x:v>1</x:v>
      </x:c>
      <x:c r="L3633" s="24" t="n">
        <x:v>51.765</x:v>
      </x:c>
      <x:c r="M3633" s="26" t="n">
        <x:v>0.1</x:v>
      </x:c>
      <x:c r="N3633" s="24" t="n">
        <x:v>2</x:v>
      </x:c>
      <x:c r="O3633" s="28" t="n">
        <x:f>MIN(1,L3633/I3633)</x:f>
        <x:v>0.17255</x:v>
      </x:c>
      <x:c r="P3633" s="30" t="n">
        <x:f>O3633*J3633*(1+M3633)</x:f>
        <x:v>0.37961000000000006</x:v>
      </x:c>
      <x:c r="Q3633" s="30" t="n">
        <x:f>P3633*N3633</x:f>
        <x:v>0.7592200000000001</x:v>
      </x:c>
      <x:c r="R3633" s="19" t="str">
        <x:v>独立判定</x:v>
      </x:c>
    </x:row>
    <x:row r="3634" ht="19" customHeight="1">
      <x:c r="A3634" s="19" t="str">
        <x:v>D03630</x:v>
      </x:c>
      <x:c r="B3634" s="19" t="n">
        <x:v>8</x:v>
      </x:c>
      <x:c r="C3634" s="19" t="n">
        <x:v>1</x:v>
      </x:c>
      <x:c r="D3634" s="19" t="str">
        <x:v>C08-M012</x:v>
      </x:c>
      <x:c r="E3634" s="19" t="str">
        <x:v>山巅霜祀·伊芙迦</x:v>
      </x:c>
      <x:c r="F3634" s="19" t="str">
        <x:v>地图BOSS</x:v>
      </x:c>
      <x:c r="G3634" s="19" t="str">
        <x:v>材料独立候选</x:v>
      </x:c>
      <x:c r="H3634" s="19" t="str">
        <x:v>穹霜碑珀</x:v>
      </x:c>
      <x:c r="I3634" s="22" t="n">
        <x:v>800000</x:v>
      </x:c>
      <x:c r="J3634" s="22" t="n">
        <x:v>1</x:v>
      </x:c>
      <x:c r="K3634" s="19" t="n">
        <x:v>1</x:v>
      </x:c>
      <x:c r="L3634" s="24" t="n">
        <x:v>51.765</x:v>
      </x:c>
      <x:c r="M3634" s="26" t="n">
        <x:v>0.1</x:v>
      </x:c>
      <x:c r="N3634" s="24" t="n">
        <x:v>2</x:v>
      </x:c>
      <x:c r="O3634" s="28" t="n">
        <x:f>MIN(1,L3634/I3634)</x:f>
        <x:v>0.00006470625</x:v>
      </x:c>
      <x:c r="P3634" s="30" t="n">
        <x:f>O3634*J3634*(1+M3634)</x:f>
        <x:v>0.00007117687500000001</x:v>
      </x:c>
      <x:c r="Q3634" s="30" t="n">
        <x:f>P3634*N3634</x:f>
        <x:v>0.00014235375000000002</x:v>
      </x:c>
      <x:c r="R3634" s="19" t="str">
        <x:v>独立判定</x:v>
      </x:c>
    </x:row>
    <x:row r="3635" ht="19" customHeight="1">
      <x:c r="A3635" s="19" t="str">
        <x:v>D03631</x:v>
      </x:c>
      <x:c r="B3635" s="19" t="n">
        <x:v>8</x:v>
      </x:c>
      <x:c r="C3635" s="19" t="n">
        <x:v>1</x:v>
      </x:c>
      <x:c r="D3635" s="19" t="str">
        <x:v>C08-M012</x:v>
      </x:c>
      <x:c r="E3635" s="19" t="str">
        <x:v>山巅霜祀·伊芙迦</x:v>
      </x:c>
      <x:c r="F3635" s="19" t="str">
        <x:v>地图BOSS</x:v>
      </x:c>
      <x:c r="G3635" s="19" t="str">
        <x:v>材料独立候选</x:v>
      </x:c>
      <x:c r="H3635" s="19" t="str">
        <x:v>黄金树芽</x:v>
      </x:c>
      <x:c r="I3635" s="22" t="n">
        <x:v>800</x:v>
      </x:c>
      <x:c r="J3635" s="22" t="n">
        <x:v>1</x:v>
      </x:c>
      <x:c r="K3635" s="19" t="n">
        <x:v>1</x:v>
      </x:c>
      <x:c r="L3635" s="24" t="n">
        <x:v>51.765</x:v>
      </x:c>
      <x:c r="M3635" s="26" t="n">
        <x:v>0.1</x:v>
      </x:c>
      <x:c r="N3635" s="24" t="n">
        <x:v>2</x:v>
      </x:c>
      <x:c r="O3635" s="28" t="n">
        <x:f>MIN(1,L3635/I3635)</x:f>
        <x:v>0.06470625</x:v>
      </x:c>
      <x:c r="P3635" s="30" t="n">
        <x:f>O3635*J3635*(1+M3635)</x:f>
        <x:v>0.07117687500000001</x:v>
      </x:c>
      <x:c r="Q3635" s="30" t="n">
        <x:f>P3635*N3635</x:f>
        <x:v>0.14235375000000003</x:v>
      </x:c>
      <x:c r="R3635" s="19" t="str">
        <x:v>独立判定</x:v>
      </x:c>
    </x:row>
    <x:row r="3636" ht="19" customHeight="1">
      <x:c r="A3636" s="19" t="str">
        <x:v>D03632</x:v>
      </x:c>
      <x:c r="B3636" s="19" t="n">
        <x:v>8</x:v>
      </x:c>
      <x:c r="C3636" s="19" t="n">
        <x:v>1</x:v>
      </x:c>
      <x:c r="D3636" s="19" t="str">
        <x:v>C08-M012</x:v>
      </x:c>
      <x:c r="E3636" s="19" t="str">
        <x:v>山巅霜祀·伊芙迦</x:v>
      </x:c>
      <x:c r="F3636" s="19" t="str">
        <x:v>地图BOSS</x:v>
      </x:c>
      <x:c r="G3636" s="19" t="str">
        <x:v>材料独立候选</x:v>
      </x:c>
      <x:c r="H3636" s="19" t="str">
        <x:v>野兽骨片</x:v>
      </x:c>
      <x:c r="I3636" s="22" t="n">
        <x:v>80</x:v>
      </x:c>
      <x:c r="J3636" s="22" t="n">
        <x:v>5</x:v>
      </x:c>
      <x:c r="K3636" s="19" t="n">
        <x:v>1</x:v>
      </x:c>
      <x:c r="L3636" s="24" t="n">
        <x:v>51.765</x:v>
      </x:c>
      <x:c r="M3636" s="26" t="n">
        <x:v>0.1</x:v>
      </x:c>
      <x:c r="N3636" s="24" t="n">
        <x:v>2</x:v>
      </x:c>
      <x:c r="O3636" s="28" t="n">
        <x:f>MIN(1,L3636/I3636)</x:f>
        <x:v>0.6470625</x:v>
      </x:c>
      <x:c r="P3636" s="30" t="n">
        <x:f>O3636*J3636*(1+M3636)</x:f>
        <x:v>3.5588437500000003</x:v>
      </x:c>
      <x:c r="Q3636" s="30" t="n">
        <x:f>P3636*N3636</x:f>
        <x:v>7.117687500000001</x:v>
      </x:c>
      <x:c r="R3636" s="19" t="str">
        <x:v>独立判定</x:v>
      </x:c>
    </x:row>
    <x:row r="3637" ht="19" customHeight="1">
      <x:c r="A3637" s="19" t="str">
        <x:v>D03633</x:v>
      </x:c>
      <x:c r="B3637" s="19" t="n">
        <x:v>8</x:v>
      </x:c>
      <x:c r="C3637" s="19" t="n">
        <x:v>1</x:v>
      </x:c>
      <x:c r="D3637" s="19" t="str">
        <x:v>C08-M012</x:v>
      </x:c>
      <x:c r="E3637" s="19" t="str">
        <x:v>山巅霜祀·伊芙迦</x:v>
      </x:c>
      <x:c r="F3637" s="19" t="str">
        <x:v>地图BOSS</x:v>
      </x:c>
      <x:c r="G3637" s="19" t="str">
        <x:v>材料独立候选</x:v>
      </x:c>
      <x:c r="H3637" s="19" t="str">
        <x:v>技能残页</x:v>
      </x:c>
      <x:c r="I3637" s="22" t="n">
        <x:v>600</x:v>
      </x:c>
      <x:c r="J3637" s="22" t="n">
        <x:v>1</x:v>
      </x:c>
      <x:c r="K3637" s="19" t="n">
        <x:v>1</x:v>
      </x:c>
      <x:c r="L3637" s="24" t="n">
        <x:v>51.765</x:v>
      </x:c>
      <x:c r="M3637" s="26" t="n">
        <x:v>0.1</x:v>
      </x:c>
      <x:c r="N3637" s="24" t="n">
        <x:v>2</x:v>
      </x:c>
      <x:c r="O3637" s="28" t="n">
        <x:f>MIN(1,L3637/I3637)</x:f>
        <x:v>0.086275</x:v>
      </x:c>
      <x:c r="P3637" s="30" t="n">
        <x:f>O3637*J3637*(1+M3637)</x:f>
        <x:v>0.09490250000000001</x:v>
      </x:c>
      <x:c r="Q3637" s="30" t="n">
        <x:f>P3637*N3637</x:f>
        <x:v>0.18980500000000003</x:v>
      </x:c>
      <x:c r="R3637" s="19" t="str">
        <x:v>独立判定</x:v>
      </x:c>
    </x:row>
    <x:row r="3638" ht="19" customHeight="1">
      <x:c r="A3638" s="19" t="str">
        <x:v>D03634</x:v>
      </x:c>
      <x:c r="B3638" s="19" t="n">
        <x:v>8</x:v>
      </x:c>
      <x:c r="C3638" s="19" t="n">
        <x:v>1</x:v>
      </x:c>
      <x:c r="D3638" s="19" t="str">
        <x:v>C08-M012</x:v>
      </x:c>
      <x:c r="E3638" s="19" t="str">
        <x:v>山巅霜祀·伊芙迦</x:v>
      </x:c>
      <x:c r="F3638" s="19" t="str">
        <x:v>地图BOSS</x:v>
      </x:c>
      <x:c r="G3638" s="19" t="str">
        <x:v>材料独立候选</x:v>
      </x:c>
      <x:c r="H3638" s="19" t="str">
        <x:v>宁姆格福誓页</x:v>
      </x:c>
      <x:c r="I3638" s="22" t="n">
        <x:v>600</x:v>
      </x:c>
      <x:c r="J3638" s="22" t="n">
        <x:v>1</x:v>
      </x:c>
      <x:c r="K3638" s="19" t="n">
        <x:v>1</x:v>
      </x:c>
      <x:c r="L3638" s="24" t="n">
        <x:v>51.765</x:v>
      </x:c>
      <x:c r="M3638" s="26" t="n">
        <x:v>0.1</x:v>
      </x:c>
      <x:c r="N3638" s="24" t="n">
        <x:v>2</x:v>
      </x:c>
      <x:c r="O3638" s="28" t="n">
        <x:f>MIN(1,L3638/I3638)</x:f>
        <x:v>0.086275</x:v>
      </x:c>
      <x:c r="P3638" s="30" t="n">
        <x:f>O3638*J3638*(1+M3638)</x:f>
        <x:v>0.09490250000000001</x:v>
      </x:c>
      <x:c r="Q3638" s="30" t="n">
        <x:f>P3638*N3638</x:f>
        <x:v>0.18980500000000003</x:v>
      </x:c>
      <x:c r="R3638" s="19" t="str">
        <x:v>独立判定</x:v>
      </x:c>
    </x:row>
    <x:row r="3639" ht="19" customHeight="1">
      <x:c r="A3639" s="19" t="str">
        <x:v>D03635</x:v>
      </x:c>
      <x:c r="B3639" s="19" t="n">
        <x:v>8</x:v>
      </x:c>
      <x:c r="C3639" s="19" t="n">
        <x:v>1</x:v>
      </x:c>
      <x:c r="D3639" s="19" t="str">
        <x:v>C08-M012</x:v>
      </x:c>
      <x:c r="E3639" s="19" t="str">
        <x:v>山巅霜祀·伊芙迦</x:v>
      </x:c>
      <x:c r="F3639" s="19" t="str">
        <x:v>地图BOSS</x:v>
      </x:c>
      <x:c r="G3639" s="19" t="str">
        <x:v>材料独立候选</x:v>
      </x:c>
      <x:c r="H3639" s="19" t="str">
        <x:v>小卢恩</x:v>
      </x:c>
      <x:c r="I3639" s="22" t="n">
        <x:v>5000</x:v>
      </x:c>
      <x:c r="J3639" s="22" t="n">
        <x:v>1</x:v>
      </x:c>
      <x:c r="K3639" s="19" t="n">
        <x:v>1</x:v>
      </x:c>
      <x:c r="L3639" s="24" t="n">
        <x:v>51.765</x:v>
      </x:c>
      <x:c r="M3639" s="26" t="n">
        <x:v>0.1</x:v>
      </x:c>
      <x:c r="N3639" s="24" t="n">
        <x:v>2</x:v>
      </x:c>
      <x:c r="O3639" s="28" t="n">
        <x:f>MIN(1,L3639/I3639)</x:f>
        <x:v>0.010353</x:v>
      </x:c>
      <x:c r="P3639" s="30" t="n">
        <x:f>O3639*J3639*(1+M3639)</x:f>
        <x:v>0.0113883</x:v>
      </x:c>
      <x:c r="Q3639" s="30" t="n">
        <x:f>P3639*N3639</x:f>
        <x:v>0.0227766</x:v>
      </x:c>
      <x:c r="R3639" s="19" t="str">
        <x:v>独立判定</x:v>
      </x:c>
    </x:row>
    <x:row r="3640" ht="19" customHeight="1">
      <x:c r="A3640" s="19" t="str">
        <x:v>D03636</x:v>
      </x:c>
      <x:c r="B3640" s="19" t="n">
        <x:v>8</x:v>
      </x:c>
      <x:c r="C3640" s="19" t="n">
        <x:v>1</x:v>
      </x:c>
      <x:c r="D3640" s="19" t="str">
        <x:v>C08-M012</x:v>
      </x:c>
      <x:c r="E3640" s="19" t="str">
        <x:v>山巅霜祀·伊芙迦</x:v>
      </x:c>
      <x:c r="F3640" s="19" t="str">
        <x:v>地图BOSS</x:v>
      </x:c>
      <x:c r="G3640" s="19" t="str">
        <x:v>材料独立候选</x:v>
      </x:c>
      <x:c r="H3640" s="19" t="str">
        <x:v>大卢恩</x:v>
      </x:c>
      <x:c r="I3640" s="22" t="n">
        <x:v>500</x:v>
      </x:c>
      <x:c r="J3640" s="22" t="n">
        <x:v>1</x:v>
      </x:c>
      <x:c r="K3640" s="19" t="n">
        <x:v>1</x:v>
      </x:c>
      <x:c r="L3640" s="24" t="n">
        <x:v>51.765</x:v>
      </x:c>
      <x:c r="M3640" s="26" t="n">
        <x:v>0.1</x:v>
      </x:c>
      <x:c r="N3640" s="24" t="n">
        <x:v>2</x:v>
      </x:c>
      <x:c r="O3640" s="28" t="n">
        <x:f>MIN(1,L3640/I3640)</x:f>
        <x:v>0.10353</x:v>
      </x:c>
      <x:c r="P3640" s="30" t="n">
        <x:f>O3640*J3640*(1+M3640)</x:f>
        <x:v>0.11388300000000001</x:v>
      </x:c>
      <x:c r="Q3640" s="30" t="n">
        <x:f>P3640*N3640</x:f>
        <x:v>0.22776600000000002</x:v>
      </x:c>
      <x:c r="R3640" s="19" t="str">
        <x:v>独立判定</x:v>
      </x:c>
    </x:row>
    <x:row r="3641" ht="19" customHeight="1">
      <x:c r="A3641" s="19" t="str">
        <x:v>D03637</x:v>
      </x:c>
      <x:c r="B3641" s="19" t="n">
        <x:v>8</x:v>
      </x:c>
      <x:c r="C3641" s="19" t="n">
        <x:v>1</x:v>
      </x:c>
      <x:c r="D3641" s="19" t="str">
        <x:v>C08-M012</x:v>
      </x:c>
      <x:c r="E3641" s="19" t="str">
        <x:v>山巅霜祀·伊芙迦</x:v>
      </x:c>
      <x:c r="F3641" s="19" t="str">
        <x:v>地图BOSS</x:v>
      </x:c>
      <x:c r="G3641" s="19" t="str">
        <x:v>材料独立候选</x:v>
      </x:c>
      <x:c r="H3641" s="19" t="str">
        <x:v>巨人熔火卢恩</x:v>
      </x:c>
      <x:c r="I3641" s="22" t="n">
        <x:v>250</x:v>
      </x:c>
      <x:c r="J3641" s="22" t="n">
        <x:v>20</x:v>
      </x:c>
      <x:c r="K3641" s="19" t="n">
        <x:v>1</x:v>
      </x:c>
      <x:c r="L3641" s="24" t="n">
        <x:v>51.765</x:v>
      </x:c>
      <x:c r="M3641" s="26" t="n">
        <x:v>0.1</x:v>
      </x:c>
      <x:c r="N3641" s="24" t="n">
        <x:v>2</x:v>
      </x:c>
      <x:c r="O3641" s="28" t="n">
        <x:f>MIN(1,L3641/I3641)</x:f>
        <x:v>0.20706</x:v>
      </x:c>
      <x:c r="P3641" s="30" t="n">
        <x:f>O3641*J3641*(1+M3641)</x:f>
        <x:v>4.55532</x:v>
      </x:c>
      <x:c r="Q3641" s="30" t="n">
        <x:f>P3641*N3641</x:f>
        <x:v>9.11064</x:v>
      </x:c>
      <x:c r="R3641" s="19" t="str">
        <x:v>独立判定</x:v>
      </x:c>
    </x:row>
    <x:row r="3642" ht="19" customHeight="1">
      <x:c r="A3642" s="19" t="str">
        <x:v>D03638</x:v>
      </x:c>
      <x:c r="B3642" s="19" t="n">
        <x:v>8</x:v>
      </x:c>
      <x:c r="C3642" s="19" t="n">
        <x:v>1</x:v>
      </x:c>
      <x:c r="D3642" s="19" t="str">
        <x:v>C08-M012</x:v>
      </x:c>
      <x:c r="E3642" s="19" t="str">
        <x:v>山巅霜祀·伊芙迦</x:v>
      </x:c>
      <x:c r="F3642" s="19" t="str">
        <x:v>地图BOSS</x:v>
      </x:c>
      <x:c r="G3642" s="19" t="str">
        <x:v>六神器公共池</x:v>
      </x:c>
      <x:c r="H3642" s="19" t="str">
        <x:v>POOL006</x:v>
      </x:c>
      <x:c r="I3642" s="22" t="n">
        <x:v>200000</x:v>
      </x:c>
      <x:c r="J3642" s="22" t="n">
        <x:v>1</x:v>
      </x:c>
      <x:c r="K3642" s="19" t="n">
        <x:v>6</x:v>
      </x:c>
      <x:c r="L3642" s="24" t="n">
        <x:v>51.765</x:v>
      </x:c>
      <x:c r="M3642" s="26" t="n">
        <x:v>0.1</x:v>
      </x:c>
      <x:c r="N3642" s="24" t="n">
        <x:v>2</x:v>
      </x:c>
      <x:c r="O3642" s="28" t="n">
        <x:f>MIN(1,L3642/I3642)</x:f>
        <x:v>0.000258825</x:v>
      </x:c>
      <x:c r="P3642" s="30" t="n">
        <x:f>O3642*J3642*(1+M3642)</x:f>
        <x:v>0.00028470750000000005</x:v>
      </x:c>
      <x:c r="Q3642" s="30" t="n">
        <x:f>P3642*N3642</x:f>
        <x:v>0.0005694150000000001</x:v>
      </x:c>
      <x:c r="R3642" s="19" t="str">
        <x:v>六选一；非6个独立爆率</x:v>
      </x:c>
    </x:row>
    <x:row r="3643" ht="19" customHeight="1">
      <x:c r="A3643" s="19" t="str">
        <x:v>D03639</x:v>
      </x:c>
      <x:c r="B3643" s="19" t="n">
        <x:v>8</x:v>
      </x:c>
      <x:c r="C3643" s="19" t="n">
        <x:v>2</x:v>
      </x:c>
      <x:c r="D3643" s="19" t="str">
        <x:v>C08-M013</x:v>
      </x:c>
      <x:c r="E3643" s="19" t="str">
        <x:v>断峰岩獾</x:v>
      </x:c>
      <x:c r="F3643" s="19" t="str">
        <x:v>普通</x:v>
      </x:c>
      <x:c r="G3643" s="19" t="str">
        <x:v>自身专属</x:v>
      </x:c>
      <x:c r="H3643" s="19" t="str">
        <x:v>岩獾碎石履</x:v>
      </x:c>
      <x:c r="I3643" s="22" t="n">
        <x:v>5000</x:v>
      </x:c>
      <x:c r="J3643" s="22" t="n">
        <x:v>1</x:v>
      </x:c>
      <x:c r="K3643" s="19" t="n">
        <x:v>1</x:v>
      </x:c>
      <x:c r="L3643" s="24" t="n">
        <x:v>51.765</x:v>
      </x:c>
      <x:c r="M3643" s="26" t="n">
        <x:v>0.1</x:v>
      </x:c>
      <x:c r="N3643" s="24" t="n">
        <x:v>72</x:v>
      </x:c>
      <x:c r="O3643" s="28" t="n">
        <x:f>MIN(1,L3643/I3643)</x:f>
        <x:v>0.010353</x:v>
      </x:c>
      <x:c r="P3643" s="30" t="n">
        <x:f>O3643*J3643*(1+M3643)</x:f>
        <x:v>0.0113883</x:v>
      </x:c>
      <x:c r="Q3643" s="30" t="n">
        <x:f>P3643*N3643</x:f>
        <x:v>0.8199576000000001</x:v>
      </x:c>
      <x:c r="R3643" s="19" t="str">
        <x:v>独立判定</x:v>
      </x:c>
    </x:row>
    <x:row r="3644" ht="19" customHeight="1">
      <x:c r="A3644" s="19" t="str">
        <x:v>D03640</x:v>
      </x:c>
      <x:c r="B3644" s="19" t="n">
        <x:v>8</x:v>
      </x:c>
      <x:c r="C3644" s="19" t="n">
        <x:v>2</x:v>
      </x:c>
      <x:c r="D3644" s="19" t="str">
        <x:v>C08-M013</x:v>
      </x:c>
      <x:c r="E3644" s="19" t="str">
        <x:v>断峰岩獾</x:v>
      </x:c>
      <x:c r="F3644" s="19" t="str">
        <x:v>普通</x:v>
      </x:c>
      <x:c r="G3644" s="19" t="str">
        <x:v>材料独立候选</x:v>
      </x:c>
      <x:c r="H3644" s="19" t="str">
        <x:v>霜脊铁</x:v>
      </x:c>
      <x:c r="I3644" s="22" t="n">
        <x:v>1200</x:v>
      </x:c>
      <x:c r="J3644" s="22" t="n">
        <x:v>8</x:v>
      </x:c>
      <x:c r="K3644" s="19" t="n">
        <x:v>1</x:v>
      </x:c>
      <x:c r="L3644" s="24" t="n">
        <x:v>51.765</x:v>
      </x:c>
      <x:c r="M3644" s="26" t="n">
        <x:v>0.1</x:v>
      </x:c>
      <x:c r="N3644" s="24" t="n">
        <x:v>72</x:v>
      </x:c>
      <x:c r="O3644" s="28" t="n">
        <x:f>MIN(1,L3644/I3644)</x:f>
        <x:v>0.0431375</x:v>
      </x:c>
      <x:c r="P3644" s="30" t="n">
        <x:f>O3644*J3644*(1+M3644)</x:f>
        <x:v>0.37961000000000006</x:v>
      </x:c>
      <x:c r="Q3644" s="30" t="n">
        <x:f>P3644*N3644</x:f>
        <x:v>27.331920000000004</x:v>
      </x:c>
      <x:c r="R3644" s="19" t="str">
        <x:v>独立判定</x:v>
      </x:c>
    </x:row>
    <x:row r="3645" ht="19" customHeight="1">
      <x:c r="A3645" s="19" t="str">
        <x:v>D03641</x:v>
      </x:c>
      <x:c r="B3645" s="19" t="n">
        <x:v>8</x:v>
      </x:c>
      <x:c r="C3645" s="19" t="n">
        <x:v>2</x:v>
      </x:c>
      <x:c r="D3645" s="19" t="str">
        <x:v>C08-M013</x:v>
      </x:c>
      <x:c r="E3645" s="19" t="str">
        <x:v>断峰岩獾</x:v>
      </x:c>
      <x:c r="F3645" s="19" t="str">
        <x:v>普通</x:v>
      </x:c>
      <x:c r="G3645" s="19" t="str">
        <x:v>材料独立候选</x:v>
      </x:c>
      <x:c r="H3645" s="19" t="str">
        <x:v>登山铁楔</x:v>
      </x:c>
      <x:c r="I3645" s="22" t="n">
        <x:v>2000</x:v>
      </x:c>
      <x:c r="J3645" s="22" t="n">
        <x:v>1</x:v>
      </x:c>
      <x:c r="K3645" s="19" t="n">
        <x:v>1</x:v>
      </x:c>
      <x:c r="L3645" s="24" t="n">
        <x:v>51.765</x:v>
      </x:c>
      <x:c r="M3645" s="26" t="n">
        <x:v>0.1</x:v>
      </x:c>
      <x:c r="N3645" s="24" t="n">
        <x:v>72</x:v>
      </x:c>
      <x:c r="O3645" s="28" t="n">
        <x:f>MIN(1,L3645/I3645)</x:f>
        <x:v>0.0258825</x:v>
      </x:c>
      <x:c r="P3645" s="30" t="n">
        <x:f>O3645*J3645*(1+M3645)</x:f>
        <x:v>0.028470750000000003</x:v>
      </x:c>
      <x:c r="Q3645" s="30" t="n">
        <x:f>P3645*N3645</x:f>
        <x:v>2.049894</x:v>
      </x:c>
      <x:c r="R3645" s="19" t="str">
        <x:v>独立判定</x:v>
      </x:c>
    </x:row>
    <x:row r="3646" ht="19" customHeight="1">
      <x:c r="A3646" s="19" t="str">
        <x:v>D03642</x:v>
      </x:c>
      <x:c r="B3646" s="19" t="n">
        <x:v>8</x:v>
      </x:c>
      <x:c r="C3646" s="19" t="n">
        <x:v>2</x:v>
      </x:c>
      <x:c r="D3646" s="19" t="str">
        <x:v>C08-M013</x:v>
      </x:c>
      <x:c r="E3646" s="19" t="str">
        <x:v>断峰岩獾</x:v>
      </x:c>
      <x:c r="F3646" s="19" t="str">
        <x:v>普通</x:v>
      </x:c>
      <x:c r="G3646" s="19" t="str">
        <x:v>材料独立候选</x:v>
      </x:c>
      <x:c r="H3646" s="19" t="str">
        <x:v>穹霜碑珀</x:v>
      </x:c>
      <x:c r="I3646" s="22" t="n">
        <x:v>2500000</x:v>
      </x:c>
      <x:c r="J3646" s="22" t="n">
        <x:v>1</x:v>
      </x:c>
      <x:c r="K3646" s="19" t="n">
        <x:v>1</x:v>
      </x:c>
      <x:c r="L3646" s="24" t="n">
        <x:v>51.765</x:v>
      </x:c>
      <x:c r="M3646" s="26" t="n">
        <x:v>0.1</x:v>
      </x:c>
      <x:c r="N3646" s="24" t="n">
        <x:v>72</x:v>
      </x:c>
      <x:c r="O3646" s="28" t="n">
        <x:f>MIN(1,L3646/I3646)</x:f>
        <x:v>0.000020706</x:v>
      </x:c>
      <x:c r="P3646" s="30" t="n">
        <x:f>O3646*J3646*(1+M3646)</x:f>
        <x:v>0.000022776600000000005</x:v>
      </x:c>
      <x:c r="Q3646" s="30" t="n">
        <x:f>P3646*N3646</x:f>
        <x:v>0.0016399152000000003</x:v>
      </x:c>
      <x:c r="R3646" s="19" t="str">
        <x:v>独立判定</x:v>
      </x:c>
    </x:row>
    <x:row r="3647" ht="19" customHeight="1">
      <x:c r="A3647" s="19" t="str">
        <x:v>D03643</x:v>
      </x:c>
      <x:c r="B3647" s="19" t="n">
        <x:v>8</x:v>
      </x:c>
      <x:c r="C3647" s="19" t="n">
        <x:v>2</x:v>
      </x:c>
      <x:c r="D3647" s="19" t="str">
        <x:v>C08-M013</x:v>
      </x:c>
      <x:c r="E3647" s="19" t="str">
        <x:v>断峰岩獾</x:v>
      </x:c>
      <x:c r="F3647" s="19" t="str">
        <x:v>普通</x:v>
      </x:c>
      <x:c r="G3647" s="19" t="str">
        <x:v>材料独立候选</x:v>
      </x:c>
      <x:c r="H3647" s="19" t="str">
        <x:v>野兽骨片</x:v>
      </x:c>
      <x:c r="I3647" s="22" t="n">
        <x:v>250</x:v>
      </x:c>
      <x:c r="J3647" s="22" t="n">
        <x:v>5</x:v>
      </x:c>
      <x:c r="K3647" s="19" t="n">
        <x:v>1</x:v>
      </x:c>
      <x:c r="L3647" s="24" t="n">
        <x:v>51.765</x:v>
      </x:c>
      <x:c r="M3647" s="26" t="n">
        <x:v>0.1</x:v>
      </x:c>
      <x:c r="N3647" s="24" t="n">
        <x:v>72</x:v>
      </x:c>
      <x:c r="O3647" s="28" t="n">
        <x:f>MIN(1,L3647/I3647)</x:f>
        <x:v>0.20706</x:v>
      </x:c>
      <x:c r="P3647" s="30" t="n">
        <x:f>O3647*J3647*(1+M3647)</x:f>
        <x:v>1.13883</x:v>
      </x:c>
      <x:c r="Q3647" s="30" t="n">
        <x:f>P3647*N3647</x:f>
        <x:v>81.99576</x:v>
      </x:c>
      <x:c r="R3647" s="19" t="str">
        <x:v>独立判定</x:v>
      </x:c>
    </x:row>
    <x:row r="3648" ht="19" customHeight="1">
      <x:c r="A3648" s="19" t="str">
        <x:v>D03644</x:v>
      </x:c>
      <x:c r="B3648" s="19" t="n">
        <x:v>8</x:v>
      </x:c>
      <x:c r="C3648" s="19" t="n">
        <x:v>2</x:v>
      </x:c>
      <x:c r="D3648" s="19" t="str">
        <x:v>C08-M013</x:v>
      </x:c>
      <x:c r="E3648" s="19" t="str">
        <x:v>断峰岩獾</x:v>
      </x:c>
      <x:c r="F3648" s="19" t="str">
        <x:v>普通</x:v>
      </x:c>
      <x:c r="G3648" s="19" t="str">
        <x:v>材料独立候选</x:v>
      </x:c>
      <x:c r="H3648" s="19" t="str">
        <x:v>技能残页</x:v>
      </x:c>
      <x:c r="I3648" s="22" t="n">
        <x:v>2000</x:v>
      </x:c>
      <x:c r="J3648" s="22" t="n">
        <x:v>1</x:v>
      </x:c>
      <x:c r="K3648" s="19" t="n">
        <x:v>1</x:v>
      </x:c>
      <x:c r="L3648" s="24" t="n">
        <x:v>51.765</x:v>
      </x:c>
      <x:c r="M3648" s="26" t="n">
        <x:v>0.1</x:v>
      </x:c>
      <x:c r="N3648" s="24" t="n">
        <x:v>72</x:v>
      </x:c>
      <x:c r="O3648" s="28" t="n">
        <x:f>MIN(1,L3648/I3648)</x:f>
        <x:v>0.0258825</x:v>
      </x:c>
      <x:c r="P3648" s="30" t="n">
        <x:f>O3648*J3648*(1+M3648)</x:f>
        <x:v>0.028470750000000003</x:v>
      </x:c>
      <x:c r="Q3648" s="30" t="n">
        <x:f>P3648*N3648</x:f>
        <x:v>2.049894</x:v>
      </x:c>
      <x:c r="R3648" s="19" t="str">
        <x:v>独立判定</x:v>
      </x:c>
    </x:row>
    <x:row r="3649" ht="19" customHeight="1">
      <x:c r="A3649" s="19" t="str">
        <x:v>D03645</x:v>
      </x:c>
      <x:c r="B3649" s="19" t="n">
        <x:v>8</x:v>
      </x:c>
      <x:c r="C3649" s="19" t="n">
        <x:v>2</x:v>
      </x:c>
      <x:c r="D3649" s="19" t="str">
        <x:v>C08-M013</x:v>
      </x:c>
      <x:c r="E3649" s="19" t="str">
        <x:v>断峰岩獾</x:v>
      </x:c>
      <x:c r="F3649" s="19" t="str">
        <x:v>普通</x:v>
      </x:c>
      <x:c r="G3649" s="19" t="str">
        <x:v>材料独立候选</x:v>
      </x:c>
      <x:c r="H3649" s="19" t="str">
        <x:v>小卢恩</x:v>
      </x:c>
      <x:c r="I3649" s="22" t="n">
        <x:v>15000</x:v>
      </x:c>
      <x:c r="J3649" s="22" t="n">
        <x:v>1</x:v>
      </x:c>
      <x:c r="K3649" s="19" t="n">
        <x:v>1</x:v>
      </x:c>
      <x:c r="L3649" s="24" t="n">
        <x:v>51.765</x:v>
      </x:c>
      <x:c r="M3649" s="26" t="n">
        <x:v>0.1</x:v>
      </x:c>
      <x:c r="N3649" s="24" t="n">
        <x:v>72</x:v>
      </x:c>
      <x:c r="O3649" s="28" t="n">
        <x:f>MIN(1,L3649/I3649)</x:f>
        <x:v>0.003451</x:v>
      </x:c>
      <x:c r="P3649" s="30" t="n">
        <x:f>O3649*J3649*(1+M3649)</x:f>
        <x:v>0.0037961000000000006</x:v>
      </x:c>
      <x:c r="Q3649" s="30" t="n">
        <x:f>P3649*N3649</x:f>
        <x:v>0.27331920000000004</x:v>
      </x:c>
      <x:c r="R3649" s="19" t="str">
        <x:v>独立判定</x:v>
      </x:c>
    </x:row>
    <x:row r="3650" ht="19" customHeight="1">
      <x:c r="A3650" s="19" t="str">
        <x:v>D03646</x:v>
      </x:c>
      <x:c r="B3650" s="19" t="n">
        <x:v>8</x:v>
      </x:c>
      <x:c r="C3650" s="19" t="n">
        <x:v>2</x:v>
      </x:c>
      <x:c r="D3650" s="19" t="str">
        <x:v>C08-M013</x:v>
      </x:c>
      <x:c r="E3650" s="19" t="str">
        <x:v>断峰岩獾</x:v>
      </x:c>
      <x:c r="F3650" s="19" t="str">
        <x:v>普通</x:v>
      </x:c>
      <x:c r="G3650" s="19" t="str">
        <x:v>六神器公共池</x:v>
      </x:c>
      <x:c r="H3650" s="19" t="str">
        <x:v>POOL006</x:v>
      </x:c>
      <x:c r="I3650" s="22" t="n">
        <x:v>20000000</x:v>
      </x:c>
      <x:c r="J3650" s="22" t="n">
        <x:v>1</x:v>
      </x:c>
      <x:c r="K3650" s="19" t="n">
        <x:v>6</x:v>
      </x:c>
      <x:c r="L3650" s="24" t="n">
        <x:v>51.765</x:v>
      </x:c>
      <x:c r="M3650" s="26" t="n">
        <x:v>0.1</x:v>
      </x:c>
      <x:c r="N3650" s="24" t="n">
        <x:v>72</x:v>
      </x:c>
      <x:c r="O3650" s="28" t="n">
        <x:f>MIN(1,L3650/I3650)</x:f>
        <x:v>0.00000258825</x:v>
      </x:c>
      <x:c r="P3650" s="30" t="n">
        <x:f>O3650*J3650*(1+M3650)</x:f>
        <x:v>0.0000028470750000000006</x:v>
      </x:c>
      <x:c r="Q3650" s="30" t="n">
        <x:f>P3650*N3650</x:f>
        <x:v>0.00020498940000000004</x:v>
      </x:c>
      <x:c r="R3650" s="19" t="str">
        <x:v>六选一；非6个独立爆率</x:v>
      </x:c>
    </x:row>
    <x:row r="3651" ht="19" customHeight="1">
      <x:c r="A3651" s="19" t="str">
        <x:v>D03647</x:v>
      </x:c>
      <x:c r="B3651" s="19" t="n">
        <x:v>8</x:v>
      </x:c>
      <x:c r="C3651" s="19" t="n">
        <x:v>2</x:v>
      </x:c>
      <x:c r="D3651" s="19" t="str">
        <x:v>C08-M014</x:v>
      </x:c>
      <x:c r="E3651" s="19" t="str">
        <x:v>负霜矿奴</x:v>
      </x:c>
      <x:c r="F3651" s="19" t="str">
        <x:v>普通</x:v>
      </x:c>
      <x:c r="G3651" s="19" t="str">
        <x:v>自身专属</x:v>
      </x:c>
      <x:c r="H3651" s="19" t="str">
        <x:v>负霜钉腰带</x:v>
      </x:c>
      <x:c r="I3651" s="22" t="n">
        <x:v>5000</x:v>
      </x:c>
      <x:c r="J3651" s="22" t="n">
        <x:v>1</x:v>
      </x:c>
      <x:c r="K3651" s="19" t="n">
        <x:v>1</x:v>
      </x:c>
      <x:c r="L3651" s="24" t="n">
        <x:v>51.765</x:v>
      </x:c>
      <x:c r="M3651" s="26" t="n">
        <x:v>0.1</x:v>
      </x:c>
      <x:c r="N3651" s="24" t="n">
        <x:v>72</x:v>
      </x:c>
      <x:c r="O3651" s="28" t="n">
        <x:f>MIN(1,L3651/I3651)</x:f>
        <x:v>0.010353</x:v>
      </x:c>
      <x:c r="P3651" s="30" t="n">
        <x:f>O3651*J3651*(1+M3651)</x:f>
        <x:v>0.0113883</x:v>
      </x:c>
      <x:c r="Q3651" s="30" t="n">
        <x:f>P3651*N3651</x:f>
        <x:v>0.8199576000000001</x:v>
      </x:c>
      <x:c r="R3651" s="19" t="str">
        <x:v>独立判定</x:v>
      </x:c>
    </x:row>
    <x:row r="3652" ht="19" customHeight="1">
      <x:c r="A3652" s="19" t="str">
        <x:v>D03648</x:v>
      </x:c>
      <x:c r="B3652" s="19" t="n">
        <x:v>8</x:v>
      </x:c>
      <x:c r="C3652" s="19" t="n">
        <x:v>2</x:v>
      </x:c>
      <x:c r="D3652" s="19" t="str">
        <x:v>C08-M014</x:v>
      </x:c>
      <x:c r="E3652" s="19" t="str">
        <x:v>负霜矿奴</x:v>
      </x:c>
      <x:c r="F3652" s="19" t="str">
        <x:v>普通</x:v>
      </x:c>
      <x:c r="G3652" s="19" t="str">
        <x:v>材料独立候选</x:v>
      </x:c>
      <x:c r="H3652" s="19" t="str">
        <x:v>霜脊铁</x:v>
      </x:c>
      <x:c r="I3652" s="22" t="n">
        <x:v>1200</x:v>
      </x:c>
      <x:c r="J3652" s="22" t="n">
        <x:v>8</x:v>
      </x:c>
      <x:c r="K3652" s="19" t="n">
        <x:v>1</x:v>
      </x:c>
      <x:c r="L3652" s="24" t="n">
        <x:v>51.765</x:v>
      </x:c>
      <x:c r="M3652" s="26" t="n">
        <x:v>0.1</x:v>
      </x:c>
      <x:c r="N3652" s="24" t="n">
        <x:v>72</x:v>
      </x:c>
      <x:c r="O3652" s="28" t="n">
        <x:f>MIN(1,L3652/I3652)</x:f>
        <x:v>0.0431375</x:v>
      </x:c>
      <x:c r="P3652" s="30" t="n">
        <x:f>O3652*J3652*(1+M3652)</x:f>
        <x:v>0.37961000000000006</x:v>
      </x:c>
      <x:c r="Q3652" s="30" t="n">
        <x:f>P3652*N3652</x:f>
        <x:v>27.331920000000004</x:v>
      </x:c>
      <x:c r="R3652" s="19" t="str">
        <x:v>独立判定</x:v>
      </x:c>
    </x:row>
    <x:row r="3653" ht="19" customHeight="1">
      <x:c r="A3653" s="19" t="str">
        <x:v>D03649</x:v>
      </x:c>
      <x:c r="B3653" s="19" t="n">
        <x:v>8</x:v>
      </x:c>
      <x:c r="C3653" s="19" t="n">
        <x:v>2</x:v>
      </x:c>
      <x:c r="D3653" s="19" t="str">
        <x:v>C08-M014</x:v>
      </x:c>
      <x:c r="E3653" s="19" t="str">
        <x:v>负霜矿奴</x:v>
      </x:c>
      <x:c r="F3653" s="19" t="str">
        <x:v>普通</x:v>
      </x:c>
      <x:c r="G3653" s="19" t="str">
        <x:v>材料独立候选</x:v>
      </x:c>
      <x:c r="H3653" s="19" t="str">
        <x:v>登山铁楔</x:v>
      </x:c>
      <x:c r="I3653" s="22" t="n">
        <x:v>2000</x:v>
      </x:c>
      <x:c r="J3653" s="22" t="n">
        <x:v>1</x:v>
      </x:c>
      <x:c r="K3653" s="19" t="n">
        <x:v>1</x:v>
      </x:c>
      <x:c r="L3653" s="24" t="n">
        <x:v>51.765</x:v>
      </x:c>
      <x:c r="M3653" s="26" t="n">
        <x:v>0.1</x:v>
      </x:c>
      <x:c r="N3653" s="24" t="n">
        <x:v>72</x:v>
      </x:c>
      <x:c r="O3653" s="28" t="n">
        <x:f>MIN(1,L3653/I3653)</x:f>
        <x:v>0.0258825</x:v>
      </x:c>
      <x:c r="P3653" s="30" t="n">
        <x:f>O3653*J3653*(1+M3653)</x:f>
        <x:v>0.028470750000000003</x:v>
      </x:c>
      <x:c r="Q3653" s="30" t="n">
        <x:f>P3653*N3653</x:f>
        <x:v>2.049894</x:v>
      </x:c>
      <x:c r="R3653" s="19" t="str">
        <x:v>独立判定</x:v>
      </x:c>
    </x:row>
    <x:row r="3654" ht="19" customHeight="1">
      <x:c r="A3654" s="19" t="str">
        <x:v>D03650</x:v>
      </x:c>
      <x:c r="B3654" s="19" t="n">
        <x:v>8</x:v>
      </x:c>
      <x:c r="C3654" s="19" t="n">
        <x:v>2</x:v>
      </x:c>
      <x:c r="D3654" s="19" t="str">
        <x:v>C08-M014</x:v>
      </x:c>
      <x:c r="E3654" s="19" t="str">
        <x:v>负霜矿奴</x:v>
      </x:c>
      <x:c r="F3654" s="19" t="str">
        <x:v>普通</x:v>
      </x:c>
      <x:c r="G3654" s="19" t="str">
        <x:v>材料独立候选</x:v>
      </x:c>
      <x:c r="H3654" s="19" t="str">
        <x:v>穹霜碑珀</x:v>
      </x:c>
      <x:c r="I3654" s="22" t="n">
        <x:v>2500000</x:v>
      </x:c>
      <x:c r="J3654" s="22" t="n">
        <x:v>1</x:v>
      </x:c>
      <x:c r="K3654" s="19" t="n">
        <x:v>1</x:v>
      </x:c>
      <x:c r="L3654" s="24" t="n">
        <x:v>51.765</x:v>
      </x:c>
      <x:c r="M3654" s="26" t="n">
        <x:v>0.1</x:v>
      </x:c>
      <x:c r="N3654" s="24" t="n">
        <x:v>72</x:v>
      </x:c>
      <x:c r="O3654" s="28" t="n">
        <x:f>MIN(1,L3654/I3654)</x:f>
        <x:v>0.000020706</x:v>
      </x:c>
      <x:c r="P3654" s="30" t="n">
        <x:f>O3654*J3654*(1+M3654)</x:f>
        <x:v>0.000022776600000000005</x:v>
      </x:c>
      <x:c r="Q3654" s="30" t="n">
        <x:f>P3654*N3654</x:f>
        <x:v>0.0016399152000000003</x:v>
      </x:c>
      <x:c r="R3654" s="19" t="str">
        <x:v>独立判定</x:v>
      </x:c>
    </x:row>
    <x:row r="3655" ht="19" customHeight="1">
      <x:c r="A3655" s="19" t="str">
        <x:v>D03651</x:v>
      </x:c>
      <x:c r="B3655" s="19" t="n">
        <x:v>8</x:v>
      </x:c>
      <x:c r="C3655" s="19" t="n">
        <x:v>2</x:v>
      </x:c>
      <x:c r="D3655" s="19" t="str">
        <x:v>C08-M014</x:v>
      </x:c>
      <x:c r="E3655" s="19" t="str">
        <x:v>负霜矿奴</x:v>
      </x:c>
      <x:c r="F3655" s="19" t="str">
        <x:v>普通</x:v>
      </x:c>
      <x:c r="G3655" s="19" t="str">
        <x:v>材料独立候选</x:v>
      </x:c>
      <x:c r="H3655" s="19" t="str">
        <x:v>野兽骨片</x:v>
      </x:c>
      <x:c r="I3655" s="22" t="n">
        <x:v>250</x:v>
      </x:c>
      <x:c r="J3655" s="22" t="n">
        <x:v>5</x:v>
      </x:c>
      <x:c r="K3655" s="19" t="n">
        <x:v>1</x:v>
      </x:c>
      <x:c r="L3655" s="24" t="n">
        <x:v>51.765</x:v>
      </x:c>
      <x:c r="M3655" s="26" t="n">
        <x:v>0.1</x:v>
      </x:c>
      <x:c r="N3655" s="24" t="n">
        <x:v>72</x:v>
      </x:c>
      <x:c r="O3655" s="28" t="n">
        <x:f>MIN(1,L3655/I3655)</x:f>
        <x:v>0.20706</x:v>
      </x:c>
      <x:c r="P3655" s="30" t="n">
        <x:f>O3655*J3655*(1+M3655)</x:f>
        <x:v>1.13883</x:v>
      </x:c>
      <x:c r="Q3655" s="30" t="n">
        <x:f>P3655*N3655</x:f>
        <x:v>81.99576</x:v>
      </x:c>
      <x:c r="R3655" s="19" t="str">
        <x:v>独立判定</x:v>
      </x:c>
    </x:row>
    <x:row r="3656" ht="19" customHeight="1">
      <x:c r="A3656" s="19" t="str">
        <x:v>D03652</x:v>
      </x:c>
      <x:c r="B3656" s="19" t="n">
        <x:v>8</x:v>
      </x:c>
      <x:c r="C3656" s="19" t="n">
        <x:v>2</x:v>
      </x:c>
      <x:c r="D3656" s="19" t="str">
        <x:v>C08-M014</x:v>
      </x:c>
      <x:c r="E3656" s="19" t="str">
        <x:v>负霜矿奴</x:v>
      </x:c>
      <x:c r="F3656" s="19" t="str">
        <x:v>普通</x:v>
      </x:c>
      <x:c r="G3656" s="19" t="str">
        <x:v>材料独立候选</x:v>
      </x:c>
      <x:c r="H3656" s="19" t="str">
        <x:v>技能残页</x:v>
      </x:c>
      <x:c r="I3656" s="22" t="n">
        <x:v>2000</x:v>
      </x:c>
      <x:c r="J3656" s="22" t="n">
        <x:v>1</x:v>
      </x:c>
      <x:c r="K3656" s="19" t="n">
        <x:v>1</x:v>
      </x:c>
      <x:c r="L3656" s="24" t="n">
        <x:v>51.765</x:v>
      </x:c>
      <x:c r="M3656" s="26" t="n">
        <x:v>0.1</x:v>
      </x:c>
      <x:c r="N3656" s="24" t="n">
        <x:v>72</x:v>
      </x:c>
      <x:c r="O3656" s="28" t="n">
        <x:f>MIN(1,L3656/I3656)</x:f>
        <x:v>0.0258825</x:v>
      </x:c>
      <x:c r="P3656" s="30" t="n">
        <x:f>O3656*J3656*(1+M3656)</x:f>
        <x:v>0.028470750000000003</x:v>
      </x:c>
      <x:c r="Q3656" s="30" t="n">
        <x:f>P3656*N3656</x:f>
        <x:v>2.049894</x:v>
      </x:c>
      <x:c r="R3656" s="19" t="str">
        <x:v>独立判定</x:v>
      </x:c>
    </x:row>
    <x:row r="3657" ht="19" customHeight="1">
      <x:c r="A3657" s="19" t="str">
        <x:v>D03653</x:v>
      </x:c>
      <x:c r="B3657" s="19" t="n">
        <x:v>8</x:v>
      </x:c>
      <x:c r="C3657" s="19" t="n">
        <x:v>2</x:v>
      </x:c>
      <x:c r="D3657" s="19" t="str">
        <x:v>C08-M014</x:v>
      </x:c>
      <x:c r="E3657" s="19" t="str">
        <x:v>负霜矿奴</x:v>
      </x:c>
      <x:c r="F3657" s="19" t="str">
        <x:v>普通</x:v>
      </x:c>
      <x:c r="G3657" s="19" t="str">
        <x:v>材料独立候选</x:v>
      </x:c>
      <x:c r="H3657" s="19" t="str">
        <x:v>小卢恩</x:v>
      </x:c>
      <x:c r="I3657" s="22" t="n">
        <x:v>15000</x:v>
      </x:c>
      <x:c r="J3657" s="22" t="n">
        <x:v>1</x:v>
      </x:c>
      <x:c r="K3657" s="19" t="n">
        <x:v>1</x:v>
      </x:c>
      <x:c r="L3657" s="24" t="n">
        <x:v>51.765</x:v>
      </x:c>
      <x:c r="M3657" s="26" t="n">
        <x:v>0.1</x:v>
      </x:c>
      <x:c r="N3657" s="24" t="n">
        <x:v>72</x:v>
      </x:c>
      <x:c r="O3657" s="28" t="n">
        <x:f>MIN(1,L3657/I3657)</x:f>
        <x:v>0.003451</x:v>
      </x:c>
      <x:c r="P3657" s="30" t="n">
        <x:f>O3657*J3657*(1+M3657)</x:f>
        <x:v>0.0037961000000000006</x:v>
      </x:c>
      <x:c r="Q3657" s="30" t="n">
        <x:f>P3657*N3657</x:f>
        <x:v>0.27331920000000004</x:v>
      </x:c>
      <x:c r="R3657" s="19" t="str">
        <x:v>独立判定</x:v>
      </x:c>
    </x:row>
    <x:row r="3658" ht="19" customHeight="1">
      <x:c r="A3658" s="19" t="str">
        <x:v>D03654</x:v>
      </x:c>
      <x:c r="B3658" s="19" t="n">
        <x:v>8</x:v>
      </x:c>
      <x:c r="C3658" s="19" t="n">
        <x:v>2</x:v>
      </x:c>
      <x:c r="D3658" s="19" t="str">
        <x:v>C08-M014</x:v>
      </x:c>
      <x:c r="E3658" s="19" t="str">
        <x:v>负霜矿奴</x:v>
      </x:c>
      <x:c r="F3658" s="19" t="str">
        <x:v>普通</x:v>
      </x:c>
      <x:c r="G3658" s="19" t="str">
        <x:v>六神器公共池</x:v>
      </x:c>
      <x:c r="H3658" s="19" t="str">
        <x:v>POOL006</x:v>
      </x:c>
      <x:c r="I3658" s="22" t="n">
        <x:v>20000000</x:v>
      </x:c>
      <x:c r="J3658" s="22" t="n">
        <x:v>1</x:v>
      </x:c>
      <x:c r="K3658" s="19" t="n">
        <x:v>6</x:v>
      </x:c>
      <x:c r="L3658" s="24" t="n">
        <x:v>51.765</x:v>
      </x:c>
      <x:c r="M3658" s="26" t="n">
        <x:v>0.1</x:v>
      </x:c>
      <x:c r="N3658" s="24" t="n">
        <x:v>72</x:v>
      </x:c>
      <x:c r="O3658" s="28" t="n">
        <x:f>MIN(1,L3658/I3658)</x:f>
        <x:v>0.00000258825</x:v>
      </x:c>
      <x:c r="P3658" s="30" t="n">
        <x:f>O3658*J3658*(1+M3658)</x:f>
        <x:v>0.0000028470750000000006</x:v>
      </x:c>
      <x:c r="Q3658" s="30" t="n">
        <x:f>P3658*N3658</x:f>
        <x:v>0.00020498940000000004</x:v>
      </x:c>
      <x:c r="R3658" s="19" t="str">
        <x:v>六选一；非6个独立爆率</x:v>
      </x:c>
    </x:row>
    <x:row r="3659" ht="19" customHeight="1">
      <x:c r="A3659" s="19" t="str">
        <x:v>D03655</x:v>
      </x:c>
      <x:c r="B3659" s="19" t="n">
        <x:v>8</x:v>
      </x:c>
      <x:c r="C3659" s="19" t="n">
        <x:v>2</x:v>
      </x:c>
      <x:c r="D3659" s="19" t="str">
        <x:v>C08-M015</x:v>
      </x:c>
      <x:c r="E3659" s="19" t="str">
        <x:v>碎冰桥弩卒</x:v>
      </x:c>
      <x:c r="F3659" s="19" t="str">
        <x:v>普通</x:v>
      </x:c>
      <x:c r="G3659" s="19" t="str">
        <x:v>自身专属</x:v>
      </x:c>
      <x:c r="H3659" s="19" t="str">
        <x:v>桥卒破冰弩</x:v>
      </x:c>
      <x:c r="I3659" s="22" t="n">
        <x:v>5000</x:v>
      </x:c>
      <x:c r="J3659" s="22" t="n">
        <x:v>1</x:v>
      </x:c>
      <x:c r="K3659" s="19" t="n">
        <x:v>1</x:v>
      </x:c>
      <x:c r="L3659" s="24" t="n">
        <x:v>51.765</x:v>
      </x:c>
      <x:c r="M3659" s="26" t="n">
        <x:v>0.1</x:v>
      </x:c>
      <x:c r="N3659" s="24" t="n">
        <x:v>72</x:v>
      </x:c>
      <x:c r="O3659" s="28" t="n">
        <x:f>MIN(1,L3659/I3659)</x:f>
        <x:v>0.010353</x:v>
      </x:c>
      <x:c r="P3659" s="30" t="n">
        <x:f>O3659*J3659*(1+M3659)</x:f>
        <x:v>0.0113883</x:v>
      </x:c>
      <x:c r="Q3659" s="30" t="n">
        <x:f>P3659*N3659</x:f>
        <x:v>0.8199576000000001</x:v>
      </x:c>
      <x:c r="R3659" s="19" t="str">
        <x:v>独立判定</x:v>
      </x:c>
    </x:row>
    <x:row r="3660" ht="19" customHeight="1">
      <x:c r="A3660" s="19" t="str">
        <x:v>D03656</x:v>
      </x:c>
      <x:c r="B3660" s="19" t="n">
        <x:v>8</x:v>
      </x:c>
      <x:c r="C3660" s="19" t="n">
        <x:v>2</x:v>
      </x:c>
      <x:c r="D3660" s="19" t="str">
        <x:v>C08-M015</x:v>
      </x:c>
      <x:c r="E3660" s="19" t="str">
        <x:v>碎冰桥弩卒</x:v>
      </x:c>
      <x:c r="F3660" s="19" t="str">
        <x:v>普通</x:v>
      </x:c>
      <x:c r="G3660" s="19" t="str">
        <x:v>材料独立候选</x:v>
      </x:c>
      <x:c r="H3660" s="19" t="str">
        <x:v>霜脊铁</x:v>
      </x:c>
      <x:c r="I3660" s="22" t="n">
        <x:v>1200</x:v>
      </x:c>
      <x:c r="J3660" s="22" t="n">
        <x:v>8</x:v>
      </x:c>
      <x:c r="K3660" s="19" t="n">
        <x:v>1</x:v>
      </x:c>
      <x:c r="L3660" s="24" t="n">
        <x:v>51.765</x:v>
      </x:c>
      <x:c r="M3660" s="26" t="n">
        <x:v>0.1</x:v>
      </x:c>
      <x:c r="N3660" s="24" t="n">
        <x:v>72</x:v>
      </x:c>
      <x:c r="O3660" s="28" t="n">
        <x:f>MIN(1,L3660/I3660)</x:f>
        <x:v>0.0431375</x:v>
      </x:c>
      <x:c r="P3660" s="30" t="n">
        <x:f>O3660*J3660*(1+M3660)</x:f>
        <x:v>0.37961000000000006</x:v>
      </x:c>
      <x:c r="Q3660" s="30" t="n">
        <x:f>P3660*N3660</x:f>
        <x:v>27.331920000000004</x:v>
      </x:c>
      <x:c r="R3660" s="19" t="str">
        <x:v>独立判定</x:v>
      </x:c>
    </x:row>
    <x:row r="3661" ht="19" customHeight="1">
      <x:c r="A3661" s="19" t="str">
        <x:v>D03657</x:v>
      </x:c>
      <x:c r="B3661" s="19" t="n">
        <x:v>8</x:v>
      </x:c>
      <x:c r="C3661" s="19" t="n">
        <x:v>2</x:v>
      </x:c>
      <x:c r="D3661" s="19" t="str">
        <x:v>C08-M015</x:v>
      </x:c>
      <x:c r="E3661" s="19" t="str">
        <x:v>碎冰桥弩卒</x:v>
      </x:c>
      <x:c r="F3661" s="19" t="str">
        <x:v>普通</x:v>
      </x:c>
      <x:c r="G3661" s="19" t="str">
        <x:v>材料独立候选</x:v>
      </x:c>
      <x:c r="H3661" s="19" t="str">
        <x:v>登山铁楔</x:v>
      </x:c>
      <x:c r="I3661" s="22" t="n">
        <x:v>2000</x:v>
      </x:c>
      <x:c r="J3661" s="22" t="n">
        <x:v>1</x:v>
      </x:c>
      <x:c r="K3661" s="19" t="n">
        <x:v>1</x:v>
      </x:c>
      <x:c r="L3661" s="24" t="n">
        <x:v>51.765</x:v>
      </x:c>
      <x:c r="M3661" s="26" t="n">
        <x:v>0.1</x:v>
      </x:c>
      <x:c r="N3661" s="24" t="n">
        <x:v>72</x:v>
      </x:c>
      <x:c r="O3661" s="28" t="n">
        <x:f>MIN(1,L3661/I3661)</x:f>
        <x:v>0.0258825</x:v>
      </x:c>
      <x:c r="P3661" s="30" t="n">
        <x:f>O3661*J3661*(1+M3661)</x:f>
        <x:v>0.028470750000000003</x:v>
      </x:c>
      <x:c r="Q3661" s="30" t="n">
        <x:f>P3661*N3661</x:f>
        <x:v>2.049894</x:v>
      </x:c>
      <x:c r="R3661" s="19" t="str">
        <x:v>独立判定</x:v>
      </x:c>
    </x:row>
    <x:row r="3662" ht="19" customHeight="1">
      <x:c r="A3662" s="19" t="str">
        <x:v>D03658</x:v>
      </x:c>
      <x:c r="B3662" s="19" t="n">
        <x:v>8</x:v>
      </x:c>
      <x:c r="C3662" s="19" t="n">
        <x:v>2</x:v>
      </x:c>
      <x:c r="D3662" s="19" t="str">
        <x:v>C08-M015</x:v>
      </x:c>
      <x:c r="E3662" s="19" t="str">
        <x:v>碎冰桥弩卒</x:v>
      </x:c>
      <x:c r="F3662" s="19" t="str">
        <x:v>普通</x:v>
      </x:c>
      <x:c r="G3662" s="19" t="str">
        <x:v>材料独立候选</x:v>
      </x:c>
      <x:c r="H3662" s="19" t="str">
        <x:v>穹霜碑珀</x:v>
      </x:c>
      <x:c r="I3662" s="22" t="n">
        <x:v>2500000</x:v>
      </x:c>
      <x:c r="J3662" s="22" t="n">
        <x:v>1</x:v>
      </x:c>
      <x:c r="K3662" s="19" t="n">
        <x:v>1</x:v>
      </x:c>
      <x:c r="L3662" s="24" t="n">
        <x:v>51.765</x:v>
      </x:c>
      <x:c r="M3662" s="26" t="n">
        <x:v>0.1</x:v>
      </x:c>
      <x:c r="N3662" s="24" t="n">
        <x:v>72</x:v>
      </x:c>
      <x:c r="O3662" s="28" t="n">
        <x:f>MIN(1,L3662/I3662)</x:f>
        <x:v>0.000020706</x:v>
      </x:c>
      <x:c r="P3662" s="30" t="n">
        <x:f>O3662*J3662*(1+M3662)</x:f>
        <x:v>0.000022776600000000005</x:v>
      </x:c>
      <x:c r="Q3662" s="30" t="n">
        <x:f>P3662*N3662</x:f>
        <x:v>0.0016399152000000003</x:v>
      </x:c>
      <x:c r="R3662" s="19" t="str">
        <x:v>独立判定</x:v>
      </x:c>
    </x:row>
    <x:row r="3663" ht="19" customHeight="1">
      <x:c r="A3663" s="19" t="str">
        <x:v>D03659</x:v>
      </x:c>
      <x:c r="B3663" s="19" t="n">
        <x:v>8</x:v>
      </x:c>
      <x:c r="C3663" s="19" t="n">
        <x:v>2</x:v>
      </x:c>
      <x:c r="D3663" s="19" t="str">
        <x:v>C08-M015</x:v>
      </x:c>
      <x:c r="E3663" s="19" t="str">
        <x:v>碎冰桥弩卒</x:v>
      </x:c>
      <x:c r="F3663" s="19" t="str">
        <x:v>普通</x:v>
      </x:c>
      <x:c r="G3663" s="19" t="str">
        <x:v>材料独立候选</x:v>
      </x:c>
      <x:c r="H3663" s="19" t="str">
        <x:v>野兽骨片</x:v>
      </x:c>
      <x:c r="I3663" s="22" t="n">
        <x:v>250</x:v>
      </x:c>
      <x:c r="J3663" s="22" t="n">
        <x:v>5</x:v>
      </x:c>
      <x:c r="K3663" s="19" t="n">
        <x:v>1</x:v>
      </x:c>
      <x:c r="L3663" s="24" t="n">
        <x:v>51.765</x:v>
      </x:c>
      <x:c r="M3663" s="26" t="n">
        <x:v>0.1</x:v>
      </x:c>
      <x:c r="N3663" s="24" t="n">
        <x:v>72</x:v>
      </x:c>
      <x:c r="O3663" s="28" t="n">
        <x:f>MIN(1,L3663/I3663)</x:f>
        <x:v>0.20706</x:v>
      </x:c>
      <x:c r="P3663" s="30" t="n">
        <x:f>O3663*J3663*(1+M3663)</x:f>
        <x:v>1.13883</x:v>
      </x:c>
      <x:c r="Q3663" s="30" t="n">
        <x:f>P3663*N3663</x:f>
        <x:v>81.99576</x:v>
      </x:c>
      <x:c r="R3663" s="19" t="str">
        <x:v>独立判定</x:v>
      </x:c>
    </x:row>
    <x:row r="3664" ht="19" customHeight="1">
      <x:c r="A3664" s="19" t="str">
        <x:v>D03660</x:v>
      </x:c>
      <x:c r="B3664" s="19" t="n">
        <x:v>8</x:v>
      </x:c>
      <x:c r="C3664" s="19" t="n">
        <x:v>2</x:v>
      </x:c>
      <x:c r="D3664" s="19" t="str">
        <x:v>C08-M015</x:v>
      </x:c>
      <x:c r="E3664" s="19" t="str">
        <x:v>碎冰桥弩卒</x:v>
      </x:c>
      <x:c r="F3664" s="19" t="str">
        <x:v>普通</x:v>
      </x:c>
      <x:c r="G3664" s="19" t="str">
        <x:v>材料独立候选</x:v>
      </x:c>
      <x:c r="H3664" s="19" t="str">
        <x:v>技能残页</x:v>
      </x:c>
      <x:c r="I3664" s="22" t="n">
        <x:v>2000</x:v>
      </x:c>
      <x:c r="J3664" s="22" t="n">
        <x:v>1</x:v>
      </x:c>
      <x:c r="K3664" s="19" t="n">
        <x:v>1</x:v>
      </x:c>
      <x:c r="L3664" s="24" t="n">
        <x:v>51.765</x:v>
      </x:c>
      <x:c r="M3664" s="26" t="n">
        <x:v>0.1</x:v>
      </x:c>
      <x:c r="N3664" s="24" t="n">
        <x:v>72</x:v>
      </x:c>
      <x:c r="O3664" s="28" t="n">
        <x:f>MIN(1,L3664/I3664)</x:f>
        <x:v>0.0258825</x:v>
      </x:c>
      <x:c r="P3664" s="30" t="n">
        <x:f>O3664*J3664*(1+M3664)</x:f>
        <x:v>0.028470750000000003</x:v>
      </x:c>
      <x:c r="Q3664" s="30" t="n">
        <x:f>P3664*N3664</x:f>
        <x:v>2.049894</x:v>
      </x:c>
      <x:c r="R3664" s="19" t="str">
        <x:v>独立判定</x:v>
      </x:c>
    </x:row>
    <x:row r="3665" ht="19" customHeight="1">
      <x:c r="A3665" s="19" t="str">
        <x:v>D03661</x:v>
      </x:c>
      <x:c r="B3665" s="19" t="n">
        <x:v>8</x:v>
      </x:c>
      <x:c r="C3665" s="19" t="n">
        <x:v>2</x:v>
      </x:c>
      <x:c r="D3665" s="19" t="str">
        <x:v>C08-M015</x:v>
      </x:c>
      <x:c r="E3665" s="19" t="str">
        <x:v>碎冰桥弩卒</x:v>
      </x:c>
      <x:c r="F3665" s="19" t="str">
        <x:v>普通</x:v>
      </x:c>
      <x:c r="G3665" s="19" t="str">
        <x:v>材料独立候选</x:v>
      </x:c>
      <x:c r="H3665" s="19" t="str">
        <x:v>小卢恩</x:v>
      </x:c>
      <x:c r="I3665" s="22" t="n">
        <x:v>15000</x:v>
      </x:c>
      <x:c r="J3665" s="22" t="n">
        <x:v>1</x:v>
      </x:c>
      <x:c r="K3665" s="19" t="n">
        <x:v>1</x:v>
      </x:c>
      <x:c r="L3665" s="24" t="n">
        <x:v>51.765</x:v>
      </x:c>
      <x:c r="M3665" s="26" t="n">
        <x:v>0.1</x:v>
      </x:c>
      <x:c r="N3665" s="24" t="n">
        <x:v>72</x:v>
      </x:c>
      <x:c r="O3665" s="28" t="n">
        <x:f>MIN(1,L3665/I3665)</x:f>
        <x:v>0.003451</x:v>
      </x:c>
      <x:c r="P3665" s="30" t="n">
        <x:f>O3665*J3665*(1+M3665)</x:f>
        <x:v>0.0037961000000000006</x:v>
      </x:c>
      <x:c r="Q3665" s="30" t="n">
        <x:f>P3665*N3665</x:f>
        <x:v>0.27331920000000004</x:v>
      </x:c>
      <x:c r="R3665" s="19" t="str">
        <x:v>独立判定</x:v>
      </x:c>
    </x:row>
    <x:row r="3666" ht="19" customHeight="1">
      <x:c r="A3666" s="19" t="str">
        <x:v>D03662</x:v>
      </x:c>
      <x:c r="B3666" s="19" t="n">
        <x:v>8</x:v>
      </x:c>
      <x:c r="C3666" s="19" t="n">
        <x:v>2</x:v>
      </x:c>
      <x:c r="D3666" s="19" t="str">
        <x:v>C08-M015</x:v>
      </x:c>
      <x:c r="E3666" s="19" t="str">
        <x:v>碎冰桥弩卒</x:v>
      </x:c>
      <x:c r="F3666" s="19" t="str">
        <x:v>普通</x:v>
      </x:c>
      <x:c r="G3666" s="19" t="str">
        <x:v>六神器公共池</x:v>
      </x:c>
      <x:c r="H3666" s="19" t="str">
        <x:v>POOL006</x:v>
      </x:c>
      <x:c r="I3666" s="22" t="n">
        <x:v>20000000</x:v>
      </x:c>
      <x:c r="J3666" s="22" t="n">
        <x:v>1</x:v>
      </x:c>
      <x:c r="K3666" s="19" t="n">
        <x:v>6</x:v>
      </x:c>
      <x:c r="L3666" s="24" t="n">
        <x:v>51.765</x:v>
      </x:c>
      <x:c r="M3666" s="26" t="n">
        <x:v>0.1</x:v>
      </x:c>
      <x:c r="N3666" s="24" t="n">
        <x:v>72</x:v>
      </x:c>
      <x:c r="O3666" s="28" t="n">
        <x:f>MIN(1,L3666/I3666)</x:f>
        <x:v>0.00000258825</x:v>
      </x:c>
      <x:c r="P3666" s="30" t="n">
        <x:f>O3666*J3666*(1+M3666)</x:f>
        <x:v>0.0000028470750000000006</x:v>
      </x:c>
      <x:c r="Q3666" s="30" t="n">
        <x:f>P3666*N3666</x:f>
        <x:v>0.00020498940000000004</x:v>
      </x:c>
      <x:c r="R3666" s="19" t="str">
        <x:v>六选一；非6个独立爆率</x:v>
      </x:c>
    </x:row>
    <x:row r="3667" ht="19" customHeight="1">
      <x:c r="A3667" s="19" t="str">
        <x:v>D03663</x:v>
      </x:c>
      <x:c r="B3667" s="19" t="n">
        <x:v>8</x:v>
      </x:c>
      <x:c r="C3667" s="19" t="n">
        <x:v>2</x:v>
      </x:c>
      <x:c r="D3667" s="19" t="str">
        <x:v>C08-M016</x:v>
      </x:c>
      <x:c r="E3667" s="19" t="str">
        <x:v>天桥冰甲虫</x:v>
      </x:c>
      <x:c r="F3667" s="19" t="str">
        <x:v>普通</x:v>
      </x:c>
      <x:c r="G3667" s="19" t="str">
        <x:v>自身专属</x:v>
      </x:c>
      <x:c r="H3667" s="19" t="str">
        <x:v>冰甲棱盾</x:v>
      </x:c>
      <x:c r="I3667" s="22" t="n">
        <x:v>5000</x:v>
      </x:c>
      <x:c r="J3667" s="22" t="n">
        <x:v>1</x:v>
      </x:c>
      <x:c r="K3667" s="19" t="n">
        <x:v>1</x:v>
      </x:c>
      <x:c r="L3667" s="24" t="n">
        <x:v>51.765</x:v>
      </x:c>
      <x:c r="M3667" s="26" t="n">
        <x:v>0.1</x:v>
      </x:c>
      <x:c r="N3667" s="24" t="n">
        <x:v>72</x:v>
      </x:c>
      <x:c r="O3667" s="28" t="n">
        <x:f>MIN(1,L3667/I3667)</x:f>
        <x:v>0.010353</x:v>
      </x:c>
      <x:c r="P3667" s="30" t="n">
        <x:f>O3667*J3667*(1+M3667)</x:f>
        <x:v>0.0113883</x:v>
      </x:c>
      <x:c r="Q3667" s="30" t="n">
        <x:f>P3667*N3667</x:f>
        <x:v>0.8199576000000001</x:v>
      </x:c>
      <x:c r="R3667" s="19" t="str">
        <x:v>独立判定</x:v>
      </x:c>
    </x:row>
    <x:row r="3668" ht="19" customHeight="1">
      <x:c r="A3668" s="19" t="str">
        <x:v>D03664</x:v>
      </x:c>
      <x:c r="B3668" s="19" t="n">
        <x:v>8</x:v>
      </x:c>
      <x:c r="C3668" s="19" t="n">
        <x:v>2</x:v>
      </x:c>
      <x:c r="D3668" s="19" t="str">
        <x:v>C08-M016</x:v>
      </x:c>
      <x:c r="E3668" s="19" t="str">
        <x:v>天桥冰甲虫</x:v>
      </x:c>
      <x:c r="F3668" s="19" t="str">
        <x:v>普通</x:v>
      </x:c>
      <x:c r="G3668" s="19" t="str">
        <x:v>材料独立候选</x:v>
      </x:c>
      <x:c r="H3668" s="19" t="str">
        <x:v>霜脊铁</x:v>
      </x:c>
      <x:c r="I3668" s="22" t="n">
        <x:v>1200</x:v>
      </x:c>
      <x:c r="J3668" s="22" t="n">
        <x:v>8</x:v>
      </x:c>
      <x:c r="K3668" s="19" t="n">
        <x:v>1</x:v>
      </x:c>
      <x:c r="L3668" s="24" t="n">
        <x:v>51.765</x:v>
      </x:c>
      <x:c r="M3668" s="26" t="n">
        <x:v>0.1</x:v>
      </x:c>
      <x:c r="N3668" s="24" t="n">
        <x:v>72</x:v>
      </x:c>
      <x:c r="O3668" s="28" t="n">
        <x:f>MIN(1,L3668/I3668)</x:f>
        <x:v>0.0431375</x:v>
      </x:c>
      <x:c r="P3668" s="30" t="n">
        <x:f>O3668*J3668*(1+M3668)</x:f>
        <x:v>0.37961000000000006</x:v>
      </x:c>
      <x:c r="Q3668" s="30" t="n">
        <x:f>P3668*N3668</x:f>
        <x:v>27.331920000000004</x:v>
      </x:c>
      <x:c r="R3668" s="19" t="str">
        <x:v>独立判定</x:v>
      </x:c>
    </x:row>
    <x:row r="3669" ht="19" customHeight="1">
      <x:c r="A3669" s="19" t="str">
        <x:v>D03665</x:v>
      </x:c>
      <x:c r="B3669" s="19" t="n">
        <x:v>8</x:v>
      </x:c>
      <x:c r="C3669" s="19" t="n">
        <x:v>2</x:v>
      </x:c>
      <x:c r="D3669" s="19" t="str">
        <x:v>C08-M016</x:v>
      </x:c>
      <x:c r="E3669" s="19" t="str">
        <x:v>天桥冰甲虫</x:v>
      </x:c>
      <x:c r="F3669" s="19" t="str">
        <x:v>普通</x:v>
      </x:c>
      <x:c r="G3669" s="19" t="str">
        <x:v>材料独立候选</x:v>
      </x:c>
      <x:c r="H3669" s="19" t="str">
        <x:v>登山铁楔</x:v>
      </x:c>
      <x:c r="I3669" s="22" t="n">
        <x:v>2000</x:v>
      </x:c>
      <x:c r="J3669" s="22" t="n">
        <x:v>1</x:v>
      </x:c>
      <x:c r="K3669" s="19" t="n">
        <x:v>1</x:v>
      </x:c>
      <x:c r="L3669" s="24" t="n">
        <x:v>51.765</x:v>
      </x:c>
      <x:c r="M3669" s="26" t="n">
        <x:v>0.1</x:v>
      </x:c>
      <x:c r="N3669" s="24" t="n">
        <x:v>72</x:v>
      </x:c>
      <x:c r="O3669" s="28" t="n">
        <x:f>MIN(1,L3669/I3669)</x:f>
        <x:v>0.0258825</x:v>
      </x:c>
      <x:c r="P3669" s="30" t="n">
        <x:f>O3669*J3669*(1+M3669)</x:f>
        <x:v>0.028470750000000003</x:v>
      </x:c>
      <x:c r="Q3669" s="30" t="n">
        <x:f>P3669*N3669</x:f>
        <x:v>2.049894</x:v>
      </x:c>
      <x:c r="R3669" s="19" t="str">
        <x:v>独立判定</x:v>
      </x:c>
    </x:row>
    <x:row r="3670" ht="19" customHeight="1">
      <x:c r="A3670" s="19" t="str">
        <x:v>D03666</x:v>
      </x:c>
      <x:c r="B3670" s="19" t="n">
        <x:v>8</x:v>
      </x:c>
      <x:c r="C3670" s="19" t="n">
        <x:v>2</x:v>
      </x:c>
      <x:c r="D3670" s="19" t="str">
        <x:v>C08-M016</x:v>
      </x:c>
      <x:c r="E3670" s="19" t="str">
        <x:v>天桥冰甲虫</x:v>
      </x:c>
      <x:c r="F3670" s="19" t="str">
        <x:v>普通</x:v>
      </x:c>
      <x:c r="G3670" s="19" t="str">
        <x:v>材料独立候选</x:v>
      </x:c>
      <x:c r="H3670" s="19" t="str">
        <x:v>穹霜碑珀</x:v>
      </x:c>
      <x:c r="I3670" s="22" t="n">
        <x:v>2500000</x:v>
      </x:c>
      <x:c r="J3670" s="22" t="n">
        <x:v>1</x:v>
      </x:c>
      <x:c r="K3670" s="19" t="n">
        <x:v>1</x:v>
      </x:c>
      <x:c r="L3670" s="24" t="n">
        <x:v>51.765</x:v>
      </x:c>
      <x:c r="M3670" s="26" t="n">
        <x:v>0.1</x:v>
      </x:c>
      <x:c r="N3670" s="24" t="n">
        <x:v>72</x:v>
      </x:c>
      <x:c r="O3670" s="28" t="n">
        <x:f>MIN(1,L3670/I3670)</x:f>
        <x:v>0.000020706</x:v>
      </x:c>
      <x:c r="P3670" s="30" t="n">
        <x:f>O3670*J3670*(1+M3670)</x:f>
        <x:v>0.000022776600000000005</x:v>
      </x:c>
      <x:c r="Q3670" s="30" t="n">
        <x:f>P3670*N3670</x:f>
        <x:v>0.0016399152000000003</x:v>
      </x:c>
      <x:c r="R3670" s="19" t="str">
        <x:v>独立判定</x:v>
      </x:c>
    </x:row>
    <x:row r="3671" ht="19" customHeight="1">
      <x:c r="A3671" s="19" t="str">
        <x:v>D03667</x:v>
      </x:c>
      <x:c r="B3671" s="19" t="n">
        <x:v>8</x:v>
      </x:c>
      <x:c r="C3671" s="19" t="n">
        <x:v>2</x:v>
      </x:c>
      <x:c r="D3671" s="19" t="str">
        <x:v>C08-M016</x:v>
      </x:c>
      <x:c r="E3671" s="19" t="str">
        <x:v>天桥冰甲虫</x:v>
      </x:c>
      <x:c r="F3671" s="19" t="str">
        <x:v>普通</x:v>
      </x:c>
      <x:c r="G3671" s="19" t="str">
        <x:v>材料独立候选</x:v>
      </x:c>
      <x:c r="H3671" s="19" t="str">
        <x:v>野兽骨片</x:v>
      </x:c>
      <x:c r="I3671" s="22" t="n">
        <x:v>250</x:v>
      </x:c>
      <x:c r="J3671" s="22" t="n">
        <x:v>5</x:v>
      </x:c>
      <x:c r="K3671" s="19" t="n">
        <x:v>1</x:v>
      </x:c>
      <x:c r="L3671" s="24" t="n">
        <x:v>51.765</x:v>
      </x:c>
      <x:c r="M3671" s="26" t="n">
        <x:v>0.1</x:v>
      </x:c>
      <x:c r="N3671" s="24" t="n">
        <x:v>72</x:v>
      </x:c>
      <x:c r="O3671" s="28" t="n">
        <x:f>MIN(1,L3671/I3671)</x:f>
        <x:v>0.20706</x:v>
      </x:c>
      <x:c r="P3671" s="30" t="n">
        <x:f>O3671*J3671*(1+M3671)</x:f>
        <x:v>1.13883</x:v>
      </x:c>
      <x:c r="Q3671" s="30" t="n">
        <x:f>P3671*N3671</x:f>
        <x:v>81.99576</x:v>
      </x:c>
      <x:c r="R3671" s="19" t="str">
        <x:v>独立判定</x:v>
      </x:c>
    </x:row>
    <x:row r="3672" ht="19" customHeight="1">
      <x:c r="A3672" s="19" t="str">
        <x:v>D03668</x:v>
      </x:c>
      <x:c r="B3672" s="19" t="n">
        <x:v>8</x:v>
      </x:c>
      <x:c r="C3672" s="19" t="n">
        <x:v>2</x:v>
      </x:c>
      <x:c r="D3672" s="19" t="str">
        <x:v>C08-M016</x:v>
      </x:c>
      <x:c r="E3672" s="19" t="str">
        <x:v>天桥冰甲虫</x:v>
      </x:c>
      <x:c r="F3672" s="19" t="str">
        <x:v>普通</x:v>
      </x:c>
      <x:c r="G3672" s="19" t="str">
        <x:v>材料独立候选</x:v>
      </x:c>
      <x:c r="H3672" s="19" t="str">
        <x:v>技能残页</x:v>
      </x:c>
      <x:c r="I3672" s="22" t="n">
        <x:v>2000</x:v>
      </x:c>
      <x:c r="J3672" s="22" t="n">
        <x:v>1</x:v>
      </x:c>
      <x:c r="K3672" s="19" t="n">
        <x:v>1</x:v>
      </x:c>
      <x:c r="L3672" s="24" t="n">
        <x:v>51.765</x:v>
      </x:c>
      <x:c r="M3672" s="26" t="n">
        <x:v>0.1</x:v>
      </x:c>
      <x:c r="N3672" s="24" t="n">
        <x:v>72</x:v>
      </x:c>
      <x:c r="O3672" s="28" t="n">
        <x:f>MIN(1,L3672/I3672)</x:f>
        <x:v>0.0258825</x:v>
      </x:c>
      <x:c r="P3672" s="30" t="n">
        <x:f>O3672*J3672*(1+M3672)</x:f>
        <x:v>0.028470750000000003</x:v>
      </x:c>
      <x:c r="Q3672" s="30" t="n">
        <x:f>P3672*N3672</x:f>
        <x:v>2.049894</x:v>
      </x:c>
      <x:c r="R3672" s="19" t="str">
        <x:v>独立判定</x:v>
      </x:c>
    </x:row>
    <x:row r="3673" ht="19" customHeight="1">
      <x:c r="A3673" s="19" t="str">
        <x:v>D03669</x:v>
      </x:c>
      <x:c r="B3673" s="19" t="n">
        <x:v>8</x:v>
      </x:c>
      <x:c r="C3673" s="19" t="n">
        <x:v>2</x:v>
      </x:c>
      <x:c r="D3673" s="19" t="str">
        <x:v>C08-M016</x:v>
      </x:c>
      <x:c r="E3673" s="19" t="str">
        <x:v>天桥冰甲虫</x:v>
      </x:c>
      <x:c r="F3673" s="19" t="str">
        <x:v>普通</x:v>
      </x:c>
      <x:c r="G3673" s="19" t="str">
        <x:v>材料独立候选</x:v>
      </x:c>
      <x:c r="H3673" s="19" t="str">
        <x:v>小卢恩</x:v>
      </x:c>
      <x:c r="I3673" s="22" t="n">
        <x:v>15000</x:v>
      </x:c>
      <x:c r="J3673" s="22" t="n">
        <x:v>1</x:v>
      </x:c>
      <x:c r="K3673" s="19" t="n">
        <x:v>1</x:v>
      </x:c>
      <x:c r="L3673" s="24" t="n">
        <x:v>51.765</x:v>
      </x:c>
      <x:c r="M3673" s="26" t="n">
        <x:v>0.1</x:v>
      </x:c>
      <x:c r="N3673" s="24" t="n">
        <x:v>72</x:v>
      </x:c>
      <x:c r="O3673" s="28" t="n">
        <x:f>MIN(1,L3673/I3673)</x:f>
        <x:v>0.003451</x:v>
      </x:c>
      <x:c r="P3673" s="30" t="n">
        <x:f>O3673*J3673*(1+M3673)</x:f>
        <x:v>0.0037961000000000006</x:v>
      </x:c>
      <x:c r="Q3673" s="30" t="n">
        <x:f>P3673*N3673</x:f>
        <x:v>0.27331920000000004</x:v>
      </x:c>
      <x:c r="R3673" s="19" t="str">
        <x:v>独立判定</x:v>
      </x:c>
    </x:row>
    <x:row r="3674" ht="19" customHeight="1">
      <x:c r="A3674" s="19" t="str">
        <x:v>D03670</x:v>
      </x:c>
      <x:c r="B3674" s="19" t="n">
        <x:v>8</x:v>
      </x:c>
      <x:c r="C3674" s="19" t="n">
        <x:v>2</x:v>
      </x:c>
      <x:c r="D3674" s="19" t="str">
        <x:v>C08-M016</x:v>
      </x:c>
      <x:c r="E3674" s="19" t="str">
        <x:v>天桥冰甲虫</x:v>
      </x:c>
      <x:c r="F3674" s="19" t="str">
        <x:v>普通</x:v>
      </x:c>
      <x:c r="G3674" s="19" t="str">
        <x:v>六神器公共池</x:v>
      </x:c>
      <x:c r="H3674" s="19" t="str">
        <x:v>POOL006</x:v>
      </x:c>
      <x:c r="I3674" s="22" t="n">
        <x:v>20000000</x:v>
      </x:c>
      <x:c r="J3674" s="22" t="n">
        <x:v>1</x:v>
      </x:c>
      <x:c r="K3674" s="19" t="n">
        <x:v>6</x:v>
      </x:c>
      <x:c r="L3674" s="24" t="n">
        <x:v>51.765</x:v>
      </x:c>
      <x:c r="M3674" s="26" t="n">
        <x:v>0.1</x:v>
      </x:c>
      <x:c r="N3674" s="24" t="n">
        <x:v>72</x:v>
      </x:c>
      <x:c r="O3674" s="28" t="n">
        <x:f>MIN(1,L3674/I3674)</x:f>
        <x:v>0.00000258825</x:v>
      </x:c>
      <x:c r="P3674" s="30" t="n">
        <x:f>O3674*J3674*(1+M3674)</x:f>
        <x:v>0.0000028470750000000006</x:v>
      </x:c>
      <x:c r="Q3674" s="30" t="n">
        <x:f>P3674*N3674</x:f>
        <x:v>0.00020498940000000004</x:v>
      </x:c>
      <x:c r="R3674" s="19" t="str">
        <x:v>六选一；非6个独立爆率</x:v>
      </x:c>
    </x:row>
    <x:row r="3675" ht="19" customHeight="1">
      <x:c r="A3675" s="19" t="str">
        <x:v>D03671</x:v>
      </x:c>
      <x:c r="B3675" s="19" t="n">
        <x:v>8</x:v>
      </x:c>
      <x:c r="C3675" s="19" t="n">
        <x:v>2</x:v>
      </x:c>
      <x:c r="D3675" s="19" t="str">
        <x:v>C08-M017</x:v>
      </x:c>
      <x:c r="E3675" s="19" t="str">
        <x:v>裂谷寒翼蝠</x:v>
      </x:c>
      <x:c r="F3675" s="19" t="str">
        <x:v>普通</x:v>
      </x:c>
      <x:c r="G3675" s="19" t="str">
        <x:v>自身专属</x:v>
      </x:c>
      <x:c r="H3675" s="19" t="str">
        <x:v>寒翼听风坠</x:v>
      </x:c>
      <x:c r="I3675" s="22" t="n">
        <x:v>5000</x:v>
      </x:c>
      <x:c r="J3675" s="22" t="n">
        <x:v>1</x:v>
      </x:c>
      <x:c r="K3675" s="19" t="n">
        <x:v>1</x:v>
      </x:c>
      <x:c r="L3675" s="24" t="n">
        <x:v>51.765</x:v>
      </x:c>
      <x:c r="M3675" s="26" t="n">
        <x:v>0.1</x:v>
      </x:c>
      <x:c r="N3675" s="24" t="n">
        <x:v>72</x:v>
      </x:c>
      <x:c r="O3675" s="28" t="n">
        <x:f>MIN(1,L3675/I3675)</x:f>
        <x:v>0.010353</x:v>
      </x:c>
      <x:c r="P3675" s="30" t="n">
        <x:f>O3675*J3675*(1+M3675)</x:f>
        <x:v>0.0113883</x:v>
      </x:c>
      <x:c r="Q3675" s="30" t="n">
        <x:f>P3675*N3675</x:f>
        <x:v>0.8199576000000001</x:v>
      </x:c>
      <x:c r="R3675" s="19" t="str">
        <x:v>独立判定</x:v>
      </x:c>
    </x:row>
    <x:row r="3676" ht="19" customHeight="1">
      <x:c r="A3676" s="19" t="str">
        <x:v>D03672</x:v>
      </x:c>
      <x:c r="B3676" s="19" t="n">
        <x:v>8</x:v>
      </x:c>
      <x:c r="C3676" s="19" t="n">
        <x:v>2</x:v>
      </x:c>
      <x:c r="D3676" s="19" t="str">
        <x:v>C08-M017</x:v>
      </x:c>
      <x:c r="E3676" s="19" t="str">
        <x:v>裂谷寒翼蝠</x:v>
      </x:c>
      <x:c r="F3676" s="19" t="str">
        <x:v>普通</x:v>
      </x:c>
      <x:c r="G3676" s="19" t="str">
        <x:v>材料独立候选</x:v>
      </x:c>
      <x:c r="H3676" s="19" t="str">
        <x:v>霜脊铁</x:v>
      </x:c>
      <x:c r="I3676" s="22" t="n">
        <x:v>1200</x:v>
      </x:c>
      <x:c r="J3676" s="22" t="n">
        <x:v>8</x:v>
      </x:c>
      <x:c r="K3676" s="19" t="n">
        <x:v>1</x:v>
      </x:c>
      <x:c r="L3676" s="24" t="n">
        <x:v>51.765</x:v>
      </x:c>
      <x:c r="M3676" s="26" t="n">
        <x:v>0.1</x:v>
      </x:c>
      <x:c r="N3676" s="24" t="n">
        <x:v>72</x:v>
      </x:c>
      <x:c r="O3676" s="28" t="n">
        <x:f>MIN(1,L3676/I3676)</x:f>
        <x:v>0.0431375</x:v>
      </x:c>
      <x:c r="P3676" s="30" t="n">
        <x:f>O3676*J3676*(1+M3676)</x:f>
        <x:v>0.37961000000000006</x:v>
      </x:c>
      <x:c r="Q3676" s="30" t="n">
        <x:f>P3676*N3676</x:f>
        <x:v>27.331920000000004</x:v>
      </x:c>
      <x:c r="R3676" s="19" t="str">
        <x:v>独立判定</x:v>
      </x:c>
    </x:row>
    <x:row r="3677" ht="19" customHeight="1">
      <x:c r="A3677" s="19" t="str">
        <x:v>D03673</x:v>
      </x:c>
      <x:c r="B3677" s="19" t="n">
        <x:v>8</x:v>
      </x:c>
      <x:c r="C3677" s="19" t="n">
        <x:v>2</x:v>
      </x:c>
      <x:c r="D3677" s="19" t="str">
        <x:v>C08-M017</x:v>
      </x:c>
      <x:c r="E3677" s="19" t="str">
        <x:v>裂谷寒翼蝠</x:v>
      </x:c>
      <x:c r="F3677" s="19" t="str">
        <x:v>普通</x:v>
      </x:c>
      <x:c r="G3677" s="19" t="str">
        <x:v>材料独立候选</x:v>
      </x:c>
      <x:c r="H3677" s="19" t="str">
        <x:v>登山铁楔</x:v>
      </x:c>
      <x:c r="I3677" s="22" t="n">
        <x:v>2000</x:v>
      </x:c>
      <x:c r="J3677" s="22" t="n">
        <x:v>1</x:v>
      </x:c>
      <x:c r="K3677" s="19" t="n">
        <x:v>1</x:v>
      </x:c>
      <x:c r="L3677" s="24" t="n">
        <x:v>51.765</x:v>
      </x:c>
      <x:c r="M3677" s="26" t="n">
        <x:v>0.1</x:v>
      </x:c>
      <x:c r="N3677" s="24" t="n">
        <x:v>72</x:v>
      </x:c>
      <x:c r="O3677" s="28" t="n">
        <x:f>MIN(1,L3677/I3677)</x:f>
        <x:v>0.0258825</x:v>
      </x:c>
      <x:c r="P3677" s="30" t="n">
        <x:f>O3677*J3677*(1+M3677)</x:f>
        <x:v>0.028470750000000003</x:v>
      </x:c>
      <x:c r="Q3677" s="30" t="n">
        <x:f>P3677*N3677</x:f>
        <x:v>2.049894</x:v>
      </x:c>
      <x:c r="R3677" s="19" t="str">
        <x:v>独立判定</x:v>
      </x:c>
    </x:row>
    <x:row r="3678" ht="19" customHeight="1">
      <x:c r="A3678" s="19" t="str">
        <x:v>D03674</x:v>
      </x:c>
      <x:c r="B3678" s="19" t="n">
        <x:v>8</x:v>
      </x:c>
      <x:c r="C3678" s="19" t="n">
        <x:v>2</x:v>
      </x:c>
      <x:c r="D3678" s="19" t="str">
        <x:v>C08-M017</x:v>
      </x:c>
      <x:c r="E3678" s="19" t="str">
        <x:v>裂谷寒翼蝠</x:v>
      </x:c>
      <x:c r="F3678" s="19" t="str">
        <x:v>普通</x:v>
      </x:c>
      <x:c r="G3678" s="19" t="str">
        <x:v>材料独立候选</x:v>
      </x:c>
      <x:c r="H3678" s="19" t="str">
        <x:v>穹霜碑珀</x:v>
      </x:c>
      <x:c r="I3678" s="22" t="n">
        <x:v>2500000</x:v>
      </x:c>
      <x:c r="J3678" s="22" t="n">
        <x:v>1</x:v>
      </x:c>
      <x:c r="K3678" s="19" t="n">
        <x:v>1</x:v>
      </x:c>
      <x:c r="L3678" s="24" t="n">
        <x:v>51.765</x:v>
      </x:c>
      <x:c r="M3678" s="26" t="n">
        <x:v>0.1</x:v>
      </x:c>
      <x:c r="N3678" s="24" t="n">
        <x:v>72</x:v>
      </x:c>
      <x:c r="O3678" s="28" t="n">
        <x:f>MIN(1,L3678/I3678)</x:f>
        <x:v>0.000020706</x:v>
      </x:c>
      <x:c r="P3678" s="30" t="n">
        <x:f>O3678*J3678*(1+M3678)</x:f>
        <x:v>0.000022776600000000005</x:v>
      </x:c>
      <x:c r="Q3678" s="30" t="n">
        <x:f>P3678*N3678</x:f>
        <x:v>0.0016399152000000003</x:v>
      </x:c>
      <x:c r="R3678" s="19" t="str">
        <x:v>独立判定</x:v>
      </x:c>
    </x:row>
    <x:row r="3679" ht="19" customHeight="1">
      <x:c r="A3679" s="19" t="str">
        <x:v>D03675</x:v>
      </x:c>
      <x:c r="B3679" s="19" t="n">
        <x:v>8</x:v>
      </x:c>
      <x:c r="C3679" s="19" t="n">
        <x:v>2</x:v>
      </x:c>
      <x:c r="D3679" s="19" t="str">
        <x:v>C08-M017</x:v>
      </x:c>
      <x:c r="E3679" s="19" t="str">
        <x:v>裂谷寒翼蝠</x:v>
      </x:c>
      <x:c r="F3679" s="19" t="str">
        <x:v>普通</x:v>
      </x:c>
      <x:c r="G3679" s="19" t="str">
        <x:v>材料独立候选</x:v>
      </x:c>
      <x:c r="H3679" s="19" t="str">
        <x:v>野兽骨片</x:v>
      </x:c>
      <x:c r="I3679" s="22" t="n">
        <x:v>250</x:v>
      </x:c>
      <x:c r="J3679" s="22" t="n">
        <x:v>5</x:v>
      </x:c>
      <x:c r="K3679" s="19" t="n">
        <x:v>1</x:v>
      </x:c>
      <x:c r="L3679" s="24" t="n">
        <x:v>51.765</x:v>
      </x:c>
      <x:c r="M3679" s="26" t="n">
        <x:v>0.1</x:v>
      </x:c>
      <x:c r="N3679" s="24" t="n">
        <x:v>72</x:v>
      </x:c>
      <x:c r="O3679" s="28" t="n">
        <x:f>MIN(1,L3679/I3679)</x:f>
        <x:v>0.20706</x:v>
      </x:c>
      <x:c r="P3679" s="30" t="n">
        <x:f>O3679*J3679*(1+M3679)</x:f>
        <x:v>1.13883</x:v>
      </x:c>
      <x:c r="Q3679" s="30" t="n">
        <x:f>P3679*N3679</x:f>
        <x:v>81.99576</x:v>
      </x:c>
      <x:c r="R3679" s="19" t="str">
        <x:v>独立判定</x:v>
      </x:c>
    </x:row>
    <x:row r="3680" ht="19" customHeight="1">
      <x:c r="A3680" s="19" t="str">
        <x:v>D03676</x:v>
      </x:c>
      <x:c r="B3680" s="19" t="n">
        <x:v>8</x:v>
      </x:c>
      <x:c r="C3680" s="19" t="n">
        <x:v>2</x:v>
      </x:c>
      <x:c r="D3680" s="19" t="str">
        <x:v>C08-M017</x:v>
      </x:c>
      <x:c r="E3680" s="19" t="str">
        <x:v>裂谷寒翼蝠</x:v>
      </x:c>
      <x:c r="F3680" s="19" t="str">
        <x:v>普通</x:v>
      </x:c>
      <x:c r="G3680" s="19" t="str">
        <x:v>材料独立候选</x:v>
      </x:c>
      <x:c r="H3680" s="19" t="str">
        <x:v>技能残页</x:v>
      </x:c>
      <x:c r="I3680" s="22" t="n">
        <x:v>2000</x:v>
      </x:c>
      <x:c r="J3680" s="22" t="n">
        <x:v>1</x:v>
      </x:c>
      <x:c r="K3680" s="19" t="n">
        <x:v>1</x:v>
      </x:c>
      <x:c r="L3680" s="24" t="n">
        <x:v>51.765</x:v>
      </x:c>
      <x:c r="M3680" s="26" t="n">
        <x:v>0.1</x:v>
      </x:c>
      <x:c r="N3680" s="24" t="n">
        <x:v>72</x:v>
      </x:c>
      <x:c r="O3680" s="28" t="n">
        <x:f>MIN(1,L3680/I3680)</x:f>
        <x:v>0.0258825</x:v>
      </x:c>
      <x:c r="P3680" s="30" t="n">
        <x:f>O3680*J3680*(1+M3680)</x:f>
        <x:v>0.028470750000000003</x:v>
      </x:c>
      <x:c r="Q3680" s="30" t="n">
        <x:f>P3680*N3680</x:f>
        <x:v>2.049894</x:v>
      </x:c>
      <x:c r="R3680" s="19" t="str">
        <x:v>独立判定</x:v>
      </x:c>
    </x:row>
    <x:row r="3681" ht="19" customHeight="1">
      <x:c r="A3681" s="19" t="str">
        <x:v>D03677</x:v>
      </x:c>
      <x:c r="B3681" s="19" t="n">
        <x:v>8</x:v>
      </x:c>
      <x:c r="C3681" s="19" t="n">
        <x:v>2</x:v>
      </x:c>
      <x:c r="D3681" s="19" t="str">
        <x:v>C08-M017</x:v>
      </x:c>
      <x:c r="E3681" s="19" t="str">
        <x:v>裂谷寒翼蝠</x:v>
      </x:c>
      <x:c r="F3681" s="19" t="str">
        <x:v>普通</x:v>
      </x:c>
      <x:c r="G3681" s="19" t="str">
        <x:v>材料独立候选</x:v>
      </x:c>
      <x:c r="H3681" s="19" t="str">
        <x:v>小卢恩</x:v>
      </x:c>
      <x:c r="I3681" s="22" t="n">
        <x:v>15000</x:v>
      </x:c>
      <x:c r="J3681" s="22" t="n">
        <x:v>1</x:v>
      </x:c>
      <x:c r="K3681" s="19" t="n">
        <x:v>1</x:v>
      </x:c>
      <x:c r="L3681" s="24" t="n">
        <x:v>51.765</x:v>
      </x:c>
      <x:c r="M3681" s="26" t="n">
        <x:v>0.1</x:v>
      </x:c>
      <x:c r="N3681" s="24" t="n">
        <x:v>72</x:v>
      </x:c>
      <x:c r="O3681" s="28" t="n">
        <x:f>MIN(1,L3681/I3681)</x:f>
        <x:v>0.003451</x:v>
      </x:c>
      <x:c r="P3681" s="30" t="n">
        <x:f>O3681*J3681*(1+M3681)</x:f>
        <x:v>0.0037961000000000006</x:v>
      </x:c>
      <x:c r="Q3681" s="30" t="n">
        <x:f>P3681*N3681</x:f>
        <x:v>0.27331920000000004</x:v>
      </x:c>
      <x:c r="R3681" s="19" t="str">
        <x:v>独立判定</x:v>
      </x:c>
    </x:row>
    <x:row r="3682" ht="19" customHeight="1">
      <x:c r="A3682" s="19" t="str">
        <x:v>D03678</x:v>
      </x:c>
      <x:c r="B3682" s="19" t="n">
        <x:v>8</x:v>
      </x:c>
      <x:c r="C3682" s="19" t="n">
        <x:v>2</x:v>
      </x:c>
      <x:c r="D3682" s="19" t="str">
        <x:v>C08-M017</x:v>
      </x:c>
      <x:c r="E3682" s="19" t="str">
        <x:v>裂谷寒翼蝠</x:v>
      </x:c>
      <x:c r="F3682" s="19" t="str">
        <x:v>普通</x:v>
      </x:c>
      <x:c r="G3682" s="19" t="str">
        <x:v>六神器公共池</x:v>
      </x:c>
      <x:c r="H3682" s="19" t="str">
        <x:v>POOL006</x:v>
      </x:c>
      <x:c r="I3682" s="22" t="n">
        <x:v>20000000</x:v>
      </x:c>
      <x:c r="J3682" s="22" t="n">
        <x:v>1</x:v>
      </x:c>
      <x:c r="K3682" s="19" t="n">
        <x:v>6</x:v>
      </x:c>
      <x:c r="L3682" s="24" t="n">
        <x:v>51.765</x:v>
      </x:c>
      <x:c r="M3682" s="26" t="n">
        <x:v>0.1</x:v>
      </x:c>
      <x:c r="N3682" s="24" t="n">
        <x:v>72</x:v>
      </x:c>
      <x:c r="O3682" s="28" t="n">
        <x:f>MIN(1,L3682/I3682)</x:f>
        <x:v>0.00000258825</x:v>
      </x:c>
      <x:c r="P3682" s="30" t="n">
        <x:f>O3682*J3682*(1+M3682)</x:f>
        <x:v>0.0000028470750000000006</x:v>
      </x:c>
      <x:c r="Q3682" s="30" t="n">
        <x:f>P3682*N3682</x:f>
        <x:v>0.00020498940000000004</x:v>
      </x:c>
      <x:c r="R3682" s="19" t="str">
        <x:v>六选一；非6个独立爆率</x:v>
      </x:c>
    </x:row>
    <x:row r="3683" ht="19" customHeight="1">
      <x:c r="A3683" s="19" t="str">
        <x:v>D03679</x:v>
      </x:c>
      <x:c r="B3683" s="19" t="n">
        <x:v>8</x:v>
      </x:c>
      <x:c r="C3683" s="19" t="n">
        <x:v>2</x:v>
      </x:c>
      <x:c r="D3683" s="19" t="str">
        <x:v>C08-M018</x:v>
      </x:c>
      <x:c r="E3683" s="19" t="str">
        <x:v>祭场残斧魂</x:v>
      </x:c>
      <x:c r="F3683" s="19" t="str">
        <x:v>普通</x:v>
      </x:c>
      <x:c r="G3683" s="19" t="str">
        <x:v>自身专属</x:v>
      </x:c>
      <x:c r="H3683" s="19" t="str">
        <x:v>残斧魂腕环</x:v>
      </x:c>
      <x:c r="I3683" s="22" t="n">
        <x:v>5000</x:v>
      </x:c>
      <x:c r="J3683" s="22" t="n">
        <x:v>1</x:v>
      </x:c>
      <x:c r="K3683" s="19" t="n">
        <x:v>1</x:v>
      </x:c>
      <x:c r="L3683" s="24" t="n">
        <x:v>51.765</x:v>
      </x:c>
      <x:c r="M3683" s="26" t="n">
        <x:v>0.1</x:v>
      </x:c>
      <x:c r="N3683" s="24" t="n">
        <x:v>72</x:v>
      </x:c>
      <x:c r="O3683" s="28" t="n">
        <x:f>MIN(1,L3683/I3683)</x:f>
        <x:v>0.010353</x:v>
      </x:c>
      <x:c r="P3683" s="30" t="n">
        <x:f>O3683*J3683*(1+M3683)</x:f>
        <x:v>0.0113883</x:v>
      </x:c>
      <x:c r="Q3683" s="30" t="n">
        <x:f>P3683*N3683</x:f>
        <x:v>0.8199576000000001</x:v>
      </x:c>
      <x:c r="R3683" s="19" t="str">
        <x:v>独立判定</x:v>
      </x:c>
    </x:row>
    <x:row r="3684" ht="19" customHeight="1">
      <x:c r="A3684" s="19" t="str">
        <x:v>D03680</x:v>
      </x:c>
      <x:c r="B3684" s="19" t="n">
        <x:v>8</x:v>
      </x:c>
      <x:c r="C3684" s="19" t="n">
        <x:v>2</x:v>
      </x:c>
      <x:c r="D3684" s="19" t="str">
        <x:v>C08-M018</x:v>
      </x:c>
      <x:c r="E3684" s="19" t="str">
        <x:v>祭场残斧魂</x:v>
      </x:c>
      <x:c r="F3684" s="19" t="str">
        <x:v>普通</x:v>
      </x:c>
      <x:c r="G3684" s="19" t="str">
        <x:v>材料独立候选</x:v>
      </x:c>
      <x:c r="H3684" s="19" t="str">
        <x:v>霜脊铁</x:v>
      </x:c>
      <x:c r="I3684" s="22" t="n">
        <x:v>1200</x:v>
      </x:c>
      <x:c r="J3684" s="22" t="n">
        <x:v>8</x:v>
      </x:c>
      <x:c r="K3684" s="19" t="n">
        <x:v>1</x:v>
      </x:c>
      <x:c r="L3684" s="24" t="n">
        <x:v>51.765</x:v>
      </x:c>
      <x:c r="M3684" s="26" t="n">
        <x:v>0.1</x:v>
      </x:c>
      <x:c r="N3684" s="24" t="n">
        <x:v>72</x:v>
      </x:c>
      <x:c r="O3684" s="28" t="n">
        <x:f>MIN(1,L3684/I3684)</x:f>
        <x:v>0.0431375</x:v>
      </x:c>
      <x:c r="P3684" s="30" t="n">
        <x:f>O3684*J3684*(1+M3684)</x:f>
        <x:v>0.37961000000000006</x:v>
      </x:c>
      <x:c r="Q3684" s="30" t="n">
        <x:f>P3684*N3684</x:f>
        <x:v>27.331920000000004</x:v>
      </x:c>
      <x:c r="R3684" s="19" t="str">
        <x:v>独立判定</x:v>
      </x:c>
    </x:row>
    <x:row r="3685" ht="19" customHeight="1">
      <x:c r="A3685" s="19" t="str">
        <x:v>D03681</x:v>
      </x:c>
      <x:c r="B3685" s="19" t="n">
        <x:v>8</x:v>
      </x:c>
      <x:c r="C3685" s="19" t="n">
        <x:v>2</x:v>
      </x:c>
      <x:c r="D3685" s="19" t="str">
        <x:v>C08-M018</x:v>
      </x:c>
      <x:c r="E3685" s="19" t="str">
        <x:v>祭场残斧魂</x:v>
      </x:c>
      <x:c r="F3685" s="19" t="str">
        <x:v>普通</x:v>
      </x:c>
      <x:c r="G3685" s="19" t="str">
        <x:v>材料独立候选</x:v>
      </x:c>
      <x:c r="H3685" s="19" t="str">
        <x:v>登山铁楔</x:v>
      </x:c>
      <x:c r="I3685" s="22" t="n">
        <x:v>2000</x:v>
      </x:c>
      <x:c r="J3685" s="22" t="n">
        <x:v>1</x:v>
      </x:c>
      <x:c r="K3685" s="19" t="n">
        <x:v>1</x:v>
      </x:c>
      <x:c r="L3685" s="24" t="n">
        <x:v>51.765</x:v>
      </x:c>
      <x:c r="M3685" s="26" t="n">
        <x:v>0.1</x:v>
      </x:c>
      <x:c r="N3685" s="24" t="n">
        <x:v>72</x:v>
      </x:c>
      <x:c r="O3685" s="28" t="n">
        <x:f>MIN(1,L3685/I3685)</x:f>
        <x:v>0.0258825</x:v>
      </x:c>
      <x:c r="P3685" s="30" t="n">
        <x:f>O3685*J3685*(1+M3685)</x:f>
        <x:v>0.028470750000000003</x:v>
      </x:c>
      <x:c r="Q3685" s="30" t="n">
        <x:f>P3685*N3685</x:f>
        <x:v>2.049894</x:v>
      </x:c>
      <x:c r="R3685" s="19" t="str">
        <x:v>独立判定</x:v>
      </x:c>
    </x:row>
    <x:row r="3686" ht="19" customHeight="1">
      <x:c r="A3686" s="19" t="str">
        <x:v>D03682</x:v>
      </x:c>
      <x:c r="B3686" s="19" t="n">
        <x:v>8</x:v>
      </x:c>
      <x:c r="C3686" s="19" t="n">
        <x:v>2</x:v>
      </x:c>
      <x:c r="D3686" s="19" t="str">
        <x:v>C08-M018</x:v>
      </x:c>
      <x:c r="E3686" s="19" t="str">
        <x:v>祭场残斧魂</x:v>
      </x:c>
      <x:c r="F3686" s="19" t="str">
        <x:v>普通</x:v>
      </x:c>
      <x:c r="G3686" s="19" t="str">
        <x:v>材料独立候选</x:v>
      </x:c>
      <x:c r="H3686" s="19" t="str">
        <x:v>穹霜碑珀</x:v>
      </x:c>
      <x:c r="I3686" s="22" t="n">
        <x:v>2500000</x:v>
      </x:c>
      <x:c r="J3686" s="22" t="n">
        <x:v>1</x:v>
      </x:c>
      <x:c r="K3686" s="19" t="n">
        <x:v>1</x:v>
      </x:c>
      <x:c r="L3686" s="24" t="n">
        <x:v>51.765</x:v>
      </x:c>
      <x:c r="M3686" s="26" t="n">
        <x:v>0.1</x:v>
      </x:c>
      <x:c r="N3686" s="24" t="n">
        <x:v>72</x:v>
      </x:c>
      <x:c r="O3686" s="28" t="n">
        <x:f>MIN(1,L3686/I3686)</x:f>
        <x:v>0.000020706</x:v>
      </x:c>
      <x:c r="P3686" s="30" t="n">
        <x:f>O3686*J3686*(1+M3686)</x:f>
        <x:v>0.000022776600000000005</x:v>
      </x:c>
      <x:c r="Q3686" s="30" t="n">
        <x:f>P3686*N3686</x:f>
        <x:v>0.0016399152000000003</x:v>
      </x:c>
      <x:c r="R3686" s="19" t="str">
        <x:v>独立判定</x:v>
      </x:c>
    </x:row>
    <x:row r="3687" ht="19" customHeight="1">
      <x:c r="A3687" s="19" t="str">
        <x:v>D03683</x:v>
      </x:c>
      <x:c r="B3687" s="19" t="n">
        <x:v>8</x:v>
      </x:c>
      <x:c r="C3687" s="19" t="n">
        <x:v>2</x:v>
      </x:c>
      <x:c r="D3687" s="19" t="str">
        <x:v>C08-M018</x:v>
      </x:c>
      <x:c r="E3687" s="19" t="str">
        <x:v>祭场残斧魂</x:v>
      </x:c>
      <x:c r="F3687" s="19" t="str">
        <x:v>普通</x:v>
      </x:c>
      <x:c r="G3687" s="19" t="str">
        <x:v>材料独立候选</x:v>
      </x:c>
      <x:c r="H3687" s="19" t="str">
        <x:v>野兽骨片</x:v>
      </x:c>
      <x:c r="I3687" s="22" t="n">
        <x:v>250</x:v>
      </x:c>
      <x:c r="J3687" s="22" t="n">
        <x:v>5</x:v>
      </x:c>
      <x:c r="K3687" s="19" t="n">
        <x:v>1</x:v>
      </x:c>
      <x:c r="L3687" s="24" t="n">
        <x:v>51.765</x:v>
      </x:c>
      <x:c r="M3687" s="26" t="n">
        <x:v>0.1</x:v>
      </x:c>
      <x:c r="N3687" s="24" t="n">
        <x:v>72</x:v>
      </x:c>
      <x:c r="O3687" s="28" t="n">
        <x:f>MIN(1,L3687/I3687)</x:f>
        <x:v>0.20706</x:v>
      </x:c>
      <x:c r="P3687" s="30" t="n">
        <x:f>O3687*J3687*(1+M3687)</x:f>
        <x:v>1.13883</x:v>
      </x:c>
      <x:c r="Q3687" s="30" t="n">
        <x:f>P3687*N3687</x:f>
        <x:v>81.99576</x:v>
      </x:c>
      <x:c r="R3687" s="19" t="str">
        <x:v>独立判定</x:v>
      </x:c>
    </x:row>
    <x:row r="3688" ht="19" customHeight="1">
      <x:c r="A3688" s="19" t="str">
        <x:v>D03684</x:v>
      </x:c>
      <x:c r="B3688" s="19" t="n">
        <x:v>8</x:v>
      </x:c>
      <x:c r="C3688" s="19" t="n">
        <x:v>2</x:v>
      </x:c>
      <x:c r="D3688" s="19" t="str">
        <x:v>C08-M018</x:v>
      </x:c>
      <x:c r="E3688" s="19" t="str">
        <x:v>祭场残斧魂</x:v>
      </x:c>
      <x:c r="F3688" s="19" t="str">
        <x:v>普通</x:v>
      </x:c>
      <x:c r="G3688" s="19" t="str">
        <x:v>材料独立候选</x:v>
      </x:c>
      <x:c r="H3688" s="19" t="str">
        <x:v>技能残页</x:v>
      </x:c>
      <x:c r="I3688" s="22" t="n">
        <x:v>2000</x:v>
      </x:c>
      <x:c r="J3688" s="22" t="n">
        <x:v>1</x:v>
      </x:c>
      <x:c r="K3688" s="19" t="n">
        <x:v>1</x:v>
      </x:c>
      <x:c r="L3688" s="24" t="n">
        <x:v>51.765</x:v>
      </x:c>
      <x:c r="M3688" s="26" t="n">
        <x:v>0.1</x:v>
      </x:c>
      <x:c r="N3688" s="24" t="n">
        <x:v>72</x:v>
      </x:c>
      <x:c r="O3688" s="28" t="n">
        <x:f>MIN(1,L3688/I3688)</x:f>
        <x:v>0.0258825</x:v>
      </x:c>
      <x:c r="P3688" s="30" t="n">
        <x:f>O3688*J3688*(1+M3688)</x:f>
        <x:v>0.028470750000000003</x:v>
      </x:c>
      <x:c r="Q3688" s="30" t="n">
        <x:f>P3688*N3688</x:f>
        <x:v>2.049894</x:v>
      </x:c>
      <x:c r="R3688" s="19" t="str">
        <x:v>独立判定</x:v>
      </x:c>
    </x:row>
    <x:row r="3689" ht="19" customHeight="1">
      <x:c r="A3689" s="19" t="str">
        <x:v>D03685</x:v>
      </x:c>
      <x:c r="B3689" s="19" t="n">
        <x:v>8</x:v>
      </x:c>
      <x:c r="C3689" s="19" t="n">
        <x:v>2</x:v>
      </x:c>
      <x:c r="D3689" s="19" t="str">
        <x:v>C08-M018</x:v>
      </x:c>
      <x:c r="E3689" s="19" t="str">
        <x:v>祭场残斧魂</x:v>
      </x:c>
      <x:c r="F3689" s="19" t="str">
        <x:v>普通</x:v>
      </x:c>
      <x:c r="G3689" s="19" t="str">
        <x:v>材料独立候选</x:v>
      </x:c>
      <x:c r="H3689" s="19" t="str">
        <x:v>小卢恩</x:v>
      </x:c>
      <x:c r="I3689" s="22" t="n">
        <x:v>15000</x:v>
      </x:c>
      <x:c r="J3689" s="22" t="n">
        <x:v>1</x:v>
      </x:c>
      <x:c r="K3689" s="19" t="n">
        <x:v>1</x:v>
      </x:c>
      <x:c r="L3689" s="24" t="n">
        <x:v>51.765</x:v>
      </x:c>
      <x:c r="M3689" s="26" t="n">
        <x:v>0.1</x:v>
      </x:c>
      <x:c r="N3689" s="24" t="n">
        <x:v>72</x:v>
      </x:c>
      <x:c r="O3689" s="28" t="n">
        <x:f>MIN(1,L3689/I3689)</x:f>
        <x:v>0.003451</x:v>
      </x:c>
      <x:c r="P3689" s="30" t="n">
        <x:f>O3689*J3689*(1+M3689)</x:f>
        <x:v>0.0037961000000000006</x:v>
      </x:c>
      <x:c r="Q3689" s="30" t="n">
        <x:f>P3689*N3689</x:f>
        <x:v>0.27331920000000004</x:v>
      </x:c>
      <x:c r="R3689" s="19" t="str">
        <x:v>独立判定</x:v>
      </x:c>
    </x:row>
    <x:row r="3690" ht="19" customHeight="1">
      <x:c r="A3690" s="19" t="str">
        <x:v>D03686</x:v>
      </x:c>
      <x:c r="B3690" s="19" t="n">
        <x:v>8</x:v>
      </x:c>
      <x:c r="C3690" s="19" t="n">
        <x:v>2</x:v>
      </x:c>
      <x:c r="D3690" s="19" t="str">
        <x:v>C08-M018</x:v>
      </x:c>
      <x:c r="E3690" s="19" t="str">
        <x:v>祭场残斧魂</x:v>
      </x:c>
      <x:c r="F3690" s="19" t="str">
        <x:v>普通</x:v>
      </x:c>
      <x:c r="G3690" s="19" t="str">
        <x:v>六神器公共池</x:v>
      </x:c>
      <x:c r="H3690" s="19" t="str">
        <x:v>POOL006</x:v>
      </x:c>
      <x:c r="I3690" s="22" t="n">
        <x:v>20000000</x:v>
      </x:c>
      <x:c r="J3690" s="22" t="n">
        <x:v>1</x:v>
      </x:c>
      <x:c r="K3690" s="19" t="n">
        <x:v>6</x:v>
      </x:c>
      <x:c r="L3690" s="24" t="n">
        <x:v>51.765</x:v>
      </x:c>
      <x:c r="M3690" s="26" t="n">
        <x:v>0.1</x:v>
      </x:c>
      <x:c r="N3690" s="24" t="n">
        <x:v>72</x:v>
      </x:c>
      <x:c r="O3690" s="28" t="n">
        <x:f>MIN(1,L3690/I3690)</x:f>
        <x:v>0.00000258825</x:v>
      </x:c>
      <x:c r="P3690" s="30" t="n">
        <x:f>O3690*J3690*(1+M3690)</x:f>
        <x:v>0.0000028470750000000006</x:v>
      </x:c>
      <x:c r="Q3690" s="30" t="n">
        <x:f>P3690*N3690</x:f>
        <x:v>0.00020498940000000004</x:v>
      </x:c>
      <x:c r="R3690" s="19" t="str">
        <x:v>六选一；非6个独立爆率</x:v>
      </x:c>
    </x:row>
    <x:row r="3691" ht="19" customHeight="1">
      <x:c r="A3691" s="19" t="str">
        <x:v>D03687</x:v>
      </x:c>
      <x:c r="B3691" s="19" t="n">
        <x:v>8</x:v>
      </x:c>
      <x:c r="C3691" s="19" t="n">
        <x:v>2</x:v>
      </x:c>
      <x:c r="D3691" s="19" t="str">
        <x:v>C08-M019</x:v>
      </x:c>
      <x:c r="E3691" s="19" t="str">
        <x:v>断冰猎旗手</x:v>
      </x:c>
      <x:c r="F3691" s="19" t="str">
        <x:v>稀有</x:v>
      </x:c>
      <x:c r="G3691" s="19" t="str">
        <x:v>自身专属</x:v>
      </x:c>
      <x:c r="H3691" s="19" t="str">
        <x:v>猎旗霜披</x:v>
      </x:c>
      <x:c r="I3691" s="22" t="n">
        <x:v>1200</x:v>
      </x:c>
      <x:c r="J3691" s="22" t="n">
        <x:v>1</x:v>
      </x:c>
      <x:c r="K3691" s="19" t="n">
        <x:v>1</x:v>
      </x:c>
      <x:c r="L3691" s="24" t="n">
        <x:v>51.765</x:v>
      </x:c>
      <x:c r="M3691" s="26" t="n">
        <x:v>0.1</x:v>
      </x:c>
      <x:c r="N3691" s="24" t="n">
        <x:v>12</x:v>
      </x:c>
      <x:c r="O3691" s="28" t="n">
        <x:f>MIN(1,L3691/I3691)</x:f>
        <x:v>0.0431375</x:v>
      </x:c>
      <x:c r="P3691" s="30" t="n">
        <x:f>O3691*J3691*(1+M3691)</x:f>
        <x:v>0.04745125000000001</x:v>
      </x:c>
      <x:c r="Q3691" s="30" t="n">
        <x:f>P3691*N3691</x:f>
        <x:v>0.5694150000000001</x:v>
      </x:c>
      <x:c r="R3691" s="19" t="str">
        <x:v>独立判定</x:v>
      </x:c>
    </x:row>
    <x:row r="3692" ht="19" customHeight="1">
      <x:c r="A3692" s="19" t="str">
        <x:v>D03688</x:v>
      </x:c>
      <x:c r="B3692" s="19" t="n">
        <x:v>8</x:v>
      </x:c>
      <x:c r="C3692" s="19" t="n">
        <x:v>2</x:v>
      </x:c>
      <x:c r="D3692" s="19" t="str">
        <x:v>C08-M019</x:v>
      </x:c>
      <x:c r="E3692" s="19" t="str">
        <x:v>断冰猎旗手</x:v>
      </x:c>
      <x:c r="F3692" s="19" t="str">
        <x:v>稀有</x:v>
      </x:c>
      <x:c r="G3692" s="19" t="str">
        <x:v>材料独立候选</x:v>
      </x:c>
      <x:c r="H3692" s="19" t="str">
        <x:v>霜脊铁</x:v>
      </x:c>
      <x:c r="I3692" s="22" t="n">
        <x:v>800</x:v>
      </x:c>
      <x:c r="J3692" s="22" t="n">
        <x:v>15</x:v>
      </x:c>
      <x:c r="K3692" s="19" t="n">
        <x:v>1</x:v>
      </x:c>
      <x:c r="L3692" s="24" t="n">
        <x:v>51.765</x:v>
      </x:c>
      <x:c r="M3692" s="26" t="n">
        <x:v>0.1</x:v>
      </x:c>
      <x:c r="N3692" s="24" t="n">
        <x:v>12</x:v>
      </x:c>
      <x:c r="O3692" s="28" t="n">
        <x:f>MIN(1,L3692/I3692)</x:f>
        <x:v>0.06470625</x:v>
      </x:c>
      <x:c r="P3692" s="30" t="n">
        <x:f>O3692*J3692*(1+M3692)</x:f>
        <x:v>1.0676531250000003</x:v>
      </x:c>
      <x:c r="Q3692" s="30" t="n">
        <x:f>P3692*N3692</x:f>
        <x:v>12.811837500000003</x:v>
      </x:c>
      <x:c r="R3692" s="19" t="str">
        <x:v>独立判定</x:v>
      </x:c>
    </x:row>
    <x:row r="3693" ht="19" customHeight="1">
      <x:c r="A3693" s="19" t="str">
        <x:v>D03689</x:v>
      </x:c>
      <x:c r="B3693" s="19" t="n">
        <x:v>8</x:v>
      </x:c>
      <x:c r="C3693" s="19" t="n">
        <x:v>2</x:v>
      </x:c>
      <x:c r="D3693" s="19" t="str">
        <x:v>C08-M019</x:v>
      </x:c>
      <x:c r="E3693" s="19" t="str">
        <x:v>断冰猎旗手</x:v>
      </x:c>
      <x:c r="F3693" s="19" t="str">
        <x:v>稀有</x:v>
      </x:c>
      <x:c r="G3693" s="19" t="str">
        <x:v>材料独立候选</x:v>
      </x:c>
      <x:c r="H3693" s="19" t="str">
        <x:v>巨人火种</x:v>
      </x:c>
      <x:c r="I3693" s="22" t="n">
        <x:v>1200</x:v>
      </x:c>
      <x:c r="J3693" s="22" t="n">
        <x:v>1</x:v>
      </x:c>
      <x:c r="K3693" s="19" t="n">
        <x:v>1</x:v>
      </x:c>
      <x:c r="L3693" s="24" t="n">
        <x:v>51.765</x:v>
      </x:c>
      <x:c r="M3693" s="26" t="n">
        <x:v>0.1</x:v>
      </x:c>
      <x:c r="N3693" s="24" t="n">
        <x:v>12</x:v>
      </x:c>
      <x:c r="O3693" s="28" t="n">
        <x:f>MIN(1,L3693/I3693)</x:f>
        <x:v>0.0431375</x:v>
      </x:c>
      <x:c r="P3693" s="30" t="n">
        <x:f>O3693*J3693*(1+M3693)</x:f>
        <x:v>0.04745125000000001</x:v>
      </x:c>
      <x:c r="Q3693" s="30" t="n">
        <x:f>P3693*N3693</x:f>
        <x:v>0.5694150000000001</x:v>
      </x:c>
      <x:c r="R3693" s="19" t="str">
        <x:v>独立判定</x:v>
      </x:c>
    </x:row>
    <x:row r="3694" ht="19" customHeight="1">
      <x:c r="A3694" s="19" t="str">
        <x:v>D03690</x:v>
      </x:c>
      <x:c r="B3694" s="19" t="n">
        <x:v>8</x:v>
      </x:c>
      <x:c r="C3694" s="19" t="n">
        <x:v>2</x:v>
      </x:c>
      <x:c r="D3694" s="19" t="str">
        <x:v>C08-M019</x:v>
      </x:c>
      <x:c r="E3694" s="19" t="str">
        <x:v>断冰猎旗手</x:v>
      </x:c>
      <x:c r="F3694" s="19" t="str">
        <x:v>稀有</x:v>
      </x:c>
      <x:c r="G3694" s="19" t="str">
        <x:v>材料独立候选</x:v>
      </x:c>
      <x:c r="H3694" s="19" t="str">
        <x:v>裂峰号角片</x:v>
      </x:c>
      <x:c r="I3694" s="22" t="n">
        <x:v>400</x:v>
      </x:c>
      <x:c r="J3694" s="22" t="n">
        <x:v>1</x:v>
      </x:c>
      <x:c r="K3694" s="19" t="n">
        <x:v>1</x:v>
      </x:c>
      <x:c r="L3694" s="24" t="n">
        <x:v>51.765</x:v>
      </x:c>
      <x:c r="M3694" s="26" t="n">
        <x:v>0.1</x:v>
      </x:c>
      <x:c r="N3694" s="24" t="n">
        <x:v>12</x:v>
      </x:c>
      <x:c r="O3694" s="28" t="n">
        <x:f>MIN(1,L3694/I3694)</x:f>
        <x:v>0.1294125</x:v>
      </x:c>
      <x:c r="P3694" s="30" t="n">
        <x:f>O3694*J3694*(1+M3694)</x:f>
        <x:v>0.14235375000000003</x:v>
      </x:c>
      <x:c r="Q3694" s="30" t="n">
        <x:f>P3694*N3694</x:f>
        <x:v>1.7082450000000002</x:v>
      </x:c>
      <x:c r="R3694" s="19" t="str">
        <x:v>独立判定</x:v>
      </x:c>
    </x:row>
    <x:row r="3695" ht="19" customHeight="1">
      <x:c r="A3695" s="19" t="str">
        <x:v>D03691</x:v>
      </x:c>
      <x:c r="B3695" s="19" t="n">
        <x:v>8</x:v>
      </x:c>
      <x:c r="C3695" s="19" t="n">
        <x:v>2</x:v>
      </x:c>
      <x:c r="D3695" s="19" t="str">
        <x:v>C08-M019</x:v>
      </x:c>
      <x:c r="E3695" s="19" t="str">
        <x:v>断冰猎旗手</x:v>
      </x:c>
      <x:c r="F3695" s="19" t="str">
        <x:v>稀有</x:v>
      </x:c>
      <x:c r="G3695" s="19" t="str">
        <x:v>材料独立候选</x:v>
      </x:c>
      <x:c r="H3695" s="19" t="str">
        <x:v>穹霜碑珀</x:v>
      </x:c>
      <x:c r="I3695" s="22" t="n">
        <x:v>1500000</x:v>
      </x:c>
      <x:c r="J3695" s="22" t="n">
        <x:v>1</x:v>
      </x:c>
      <x:c r="K3695" s="19" t="n">
        <x:v>1</x:v>
      </x:c>
      <x:c r="L3695" s="24" t="n">
        <x:v>51.765</x:v>
      </x:c>
      <x:c r="M3695" s="26" t="n">
        <x:v>0.1</x:v>
      </x:c>
      <x:c r="N3695" s="24" t="n">
        <x:v>12</x:v>
      </x:c>
      <x:c r="O3695" s="28" t="n">
        <x:f>MIN(1,L3695/I3695)</x:f>
        <x:v>0.00003451</x:v>
      </x:c>
      <x:c r="P3695" s="30" t="n">
        <x:f>O3695*J3695*(1+M3695)</x:f>
        <x:v>0.000037961000000000005</x:v>
      </x:c>
      <x:c r="Q3695" s="30" t="n">
        <x:f>P3695*N3695</x:f>
        <x:v>0.00045553200000000003</x:v>
      </x:c>
      <x:c r="R3695" s="19" t="str">
        <x:v>独立判定</x:v>
      </x:c>
    </x:row>
    <x:row r="3696" ht="19" customHeight="1">
      <x:c r="A3696" s="19" t="str">
        <x:v>D03692</x:v>
      </x:c>
      <x:c r="B3696" s="19" t="n">
        <x:v>8</x:v>
      </x:c>
      <x:c r="C3696" s="19" t="n">
        <x:v>2</x:v>
      </x:c>
      <x:c r="D3696" s="19" t="str">
        <x:v>C08-M019</x:v>
      </x:c>
      <x:c r="E3696" s="19" t="str">
        <x:v>断冰猎旗手</x:v>
      </x:c>
      <x:c r="F3696" s="19" t="str">
        <x:v>稀有</x:v>
      </x:c>
      <x:c r="G3696" s="19" t="str">
        <x:v>材料独立候选</x:v>
      </x:c>
      <x:c r="H3696" s="19" t="str">
        <x:v>黄金树芽</x:v>
      </x:c>
      <x:c r="I3696" s="22" t="n">
        <x:v>1500</x:v>
      </x:c>
      <x:c r="J3696" s="22" t="n">
        <x:v>1</x:v>
      </x:c>
      <x:c r="K3696" s="19" t="n">
        <x:v>1</x:v>
      </x:c>
      <x:c r="L3696" s="24" t="n">
        <x:v>51.765</x:v>
      </x:c>
      <x:c r="M3696" s="26" t="n">
        <x:v>0.1</x:v>
      </x:c>
      <x:c r="N3696" s="24" t="n">
        <x:v>12</x:v>
      </x:c>
      <x:c r="O3696" s="28" t="n">
        <x:f>MIN(1,L3696/I3696)</x:f>
        <x:v>0.03451</x:v>
      </x:c>
      <x:c r="P3696" s="30" t="n">
        <x:f>O3696*J3696*(1+M3696)</x:f>
        <x:v>0.037961</x:v>
      </x:c>
      <x:c r="Q3696" s="30" t="n">
        <x:f>P3696*N3696</x:f>
        <x:v>0.45553200000000005</x:v>
      </x:c>
      <x:c r="R3696" s="19" t="str">
        <x:v>独立判定</x:v>
      </x:c>
    </x:row>
    <x:row r="3697" ht="19" customHeight="1">
      <x:c r="A3697" s="19" t="str">
        <x:v>D03693</x:v>
      </x:c>
      <x:c r="B3697" s="19" t="n">
        <x:v>8</x:v>
      </x:c>
      <x:c r="C3697" s="19" t="n">
        <x:v>2</x:v>
      </x:c>
      <x:c r="D3697" s="19" t="str">
        <x:v>C08-M019</x:v>
      </x:c>
      <x:c r="E3697" s="19" t="str">
        <x:v>断冰猎旗手</x:v>
      </x:c>
      <x:c r="F3697" s="19" t="str">
        <x:v>稀有</x:v>
      </x:c>
      <x:c r="G3697" s="19" t="str">
        <x:v>材料独立候选</x:v>
      </x:c>
      <x:c r="H3697" s="19" t="str">
        <x:v>野兽骨片</x:v>
      </x:c>
      <x:c r="I3697" s="22" t="n">
        <x:v>150</x:v>
      </x:c>
      <x:c r="J3697" s="22" t="n">
        <x:v>5</x:v>
      </x:c>
      <x:c r="K3697" s="19" t="n">
        <x:v>1</x:v>
      </x:c>
      <x:c r="L3697" s="24" t="n">
        <x:v>51.765</x:v>
      </x:c>
      <x:c r="M3697" s="26" t="n">
        <x:v>0.1</x:v>
      </x:c>
      <x:c r="N3697" s="24" t="n">
        <x:v>12</x:v>
      </x:c>
      <x:c r="O3697" s="28" t="n">
        <x:f>MIN(1,L3697/I3697)</x:f>
        <x:v>0.3451</x:v>
      </x:c>
      <x:c r="P3697" s="30" t="n">
        <x:f>O3697*J3697*(1+M3697)</x:f>
        <x:v>1.8980500000000002</x:v>
      </x:c>
      <x:c r="Q3697" s="30" t="n">
        <x:f>P3697*N3697</x:f>
        <x:v>22.776600000000002</x:v>
      </x:c>
      <x:c r="R3697" s="19" t="str">
        <x:v>独立判定</x:v>
      </x:c>
    </x:row>
    <x:row r="3698" ht="19" customHeight="1">
      <x:c r="A3698" s="19" t="str">
        <x:v>D03694</x:v>
      </x:c>
      <x:c r="B3698" s="19" t="n">
        <x:v>8</x:v>
      </x:c>
      <x:c r="C3698" s="19" t="n">
        <x:v>2</x:v>
      </x:c>
      <x:c r="D3698" s="19" t="str">
        <x:v>C08-M019</x:v>
      </x:c>
      <x:c r="E3698" s="19" t="str">
        <x:v>断冰猎旗手</x:v>
      </x:c>
      <x:c r="F3698" s="19" t="str">
        <x:v>稀有</x:v>
      </x:c>
      <x:c r="G3698" s="19" t="str">
        <x:v>材料独立候选</x:v>
      </x:c>
      <x:c r="H3698" s="19" t="str">
        <x:v>技能残页</x:v>
      </x:c>
      <x:c r="I3698" s="22" t="n">
        <x:v>1200</x:v>
      </x:c>
      <x:c r="J3698" s="22" t="n">
        <x:v>1</x:v>
      </x:c>
      <x:c r="K3698" s="19" t="n">
        <x:v>1</x:v>
      </x:c>
      <x:c r="L3698" s="24" t="n">
        <x:v>51.765</x:v>
      </x:c>
      <x:c r="M3698" s="26" t="n">
        <x:v>0.1</x:v>
      </x:c>
      <x:c r="N3698" s="24" t="n">
        <x:v>12</x:v>
      </x:c>
      <x:c r="O3698" s="28" t="n">
        <x:f>MIN(1,L3698/I3698)</x:f>
        <x:v>0.0431375</x:v>
      </x:c>
      <x:c r="P3698" s="30" t="n">
        <x:f>O3698*J3698*(1+M3698)</x:f>
        <x:v>0.04745125000000001</x:v>
      </x:c>
      <x:c r="Q3698" s="30" t="n">
        <x:f>P3698*N3698</x:f>
        <x:v>0.5694150000000001</x:v>
      </x:c>
      <x:c r="R3698" s="19" t="str">
        <x:v>独立判定</x:v>
      </x:c>
    </x:row>
    <x:row r="3699" ht="19" customHeight="1">
      <x:c r="A3699" s="19" t="str">
        <x:v>D03695</x:v>
      </x:c>
      <x:c r="B3699" s="19" t="n">
        <x:v>8</x:v>
      </x:c>
      <x:c r="C3699" s="19" t="n">
        <x:v>2</x:v>
      </x:c>
      <x:c r="D3699" s="19" t="str">
        <x:v>C08-M019</x:v>
      </x:c>
      <x:c r="E3699" s="19" t="str">
        <x:v>断冰猎旗手</x:v>
      </x:c>
      <x:c r="F3699" s="19" t="str">
        <x:v>稀有</x:v>
      </x:c>
      <x:c r="G3699" s="19" t="str">
        <x:v>材料独立候选</x:v>
      </x:c>
      <x:c r="H3699" s="19" t="str">
        <x:v>小卢恩</x:v>
      </x:c>
      <x:c r="I3699" s="22" t="n">
        <x:v>10000</x:v>
      </x:c>
      <x:c r="J3699" s="22" t="n">
        <x:v>1</x:v>
      </x:c>
      <x:c r="K3699" s="19" t="n">
        <x:v>1</x:v>
      </x:c>
      <x:c r="L3699" s="24" t="n">
        <x:v>51.765</x:v>
      </x:c>
      <x:c r="M3699" s="26" t="n">
        <x:v>0.1</x:v>
      </x:c>
      <x:c r="N3699" s="24" t="n">
        <x:v>12</x:v>
      </x:c>
      <x:c r="O3699" s="28" t="n">
        <x:f>MIN(1,L3699/I3699)</x:f>
        <x:v>0.0051765</x:v>
      </x:c>
      <x:c r="P3699" s="30" t="n">
        <x:f>O3699*J3699*(1+M3699)</x:f>
        <x:v>0.00569415</x:v>
      </x:c>
      <x:c r="Q3699" s="30" t="n">
        <x:f>P3699*N3699</x:f>
        <x:v>0.0683298</x:v>
      </x:c>
      <x:c r="R3699" s="19" t="str">
        <x:v>独立判定</x:v>
      </x:c>
    </x:row>
    <x:row r="3700" ht="19" customHeight="1">
      <x:c r="A3700" s="19" t="str">
        <x:v>D03696</x:v>
      </x:c>
      <x:c r="B3700" s="19" t="n">
        <x:v>8</x:v>
      </x:c>
      <x:c r="C3700" s="19" t="n">
        <x:v>2</x:v>
      </x:c>
      <x:c r="D3700" s="19" t="str">
        <x:v>C08-M019</x:v>
      </x:c>
      <x:c r="E3700" s="19" t="str">
        <x:v>断冰猎旗手</x:v>
      </x:c>
      <x:c r="F3700" s="19" t="str">
        <x:v>稀有</x:v>
      </x:c>
      <x:c r="G3700" s="19" t="str">
        <x:v>六神器公共池</x:v>
      </x:c>
      <x:c r="H3700" s="19" t="str">
        <x:v>POOL006</x:v>
      </x:c>
      <x:c r="I3700" s="22" t="n">
        <x:v>5000000</x:v>
      </x:c>
      <x:c r="J3700" s="22" t="n">
        <x:v>1</x:v>
      </x:c>
      <x:c r="K3700" s="19" t="n">
        <x:v>6</x:v>
      </x:c>
      <x:c r="L3700" s="24" t="n">
        <x:v>51.765</x:v>
      </x:c>
      <x:c r="M3700" s="26" t="n">
        <x:v>0.1</x:v>
      </x:c>
      <x:c r="N3700" s="24" t="n">
        <x:v>12</x:v>
      </x:c>
      <x:c r="O3700" s="28" t="n">
        <x:f>MIN(1,L3700/I3700)</x:f>
        <x:v>0.000010353</x:v>
      </x:c>
      <x:c r="P3700" s="30" t="n">
        <x:f>O3700*J3700*(1+M3700)</x:f>
        <x:v>0.000011388300000000002</x:v>
      </x:c>
      <x:c r="Q3700" s="30" t="n">
        <x:f>P3700*N3700</x:f>
        <x:v>0.00013665960000000004</x:v>
      </x:c>
      <x:c r="R3700" s="19" t="str">
        <x:v>六选一；非6个独立爆率</x:v>
      </x:c>
    </x:row>
    <x:row r="3701" ht="19" customHeight="1">
      <x:c r="A3701" s="19" t="str">
        <x:v>D03697</x:v>
      </x:c>
      <x:c r="B3701" s="19" t="n">
        <x:v>8</x:v>
      </x:c>
      <x:c r="C3701" s="19" t="n">
        <x:v>2</x:v>
      </x:c>
      <x:c r="D3701" s="19" t="str">
        <x:v>C08-M020</x:v>
      </x:c>
      <x:c r="E3701" s="19" t="str">
        <x:v>天桥踏索客</x:v>
      </x:c>
      <x:c r="F3701" s="19" t="str">
        <x:v>稀有</x:v>
      </x:c>
      <x:c r="G3701" s="19" t="str">
        <x:v>自身专属</x:v>
      </x:c>
      <x:c r="H3701" s="19" t="str">
        <x:v>踏索雪笠</x:v>
      </x:c>
      <x:c r="I3701" s="22" t="n">
        <x:v>1200</x:v>
      </x:c>
      <x:c r="J3701" s="22" t="n">
        <x:v>1</x:v>
      </x:c>
      <x:c r="K3701" s="19" t="n">
        <x:v>1</x:v>
      </x:c>
      <x:c r="L3701" s="24" t="n">
        <x:v>51.765</x:v>
      </x:c>
      <x:c r="M3701" s="26" t="n">
        <x:v>0.1</x:v>
      </x:c>
      <x:c r="N3701" s="24" t="n">
        <x:v>12</x:v>
      </x:c>
      <x:c r="O3701" s="28" t="n">
        <x:f>MIN(1,L3701/I3701)</x:f>
        <x:v>0.0431375</x:v>
      </x:c>
      <x:c r="P3701" s="30" t="n">
        <x:f>O3701*J3701*(1+M3701)</x:f>
        <x:v>0.04745125000000001</x:v>
      </x:c>
      <x:c r="Q3701" s="30" t="n">
        <x:f>P3701*N3701</x:f>
        <x:v>0.5694150000000001</x:v>
      </x:c>
      <x:c r="R3701" s="19" t="str">
        <x:v>独立判定</x:v>
      </x:c>
    </x:row>
    <x:row r="3702" ht="19" customHeight="1">
      <x:c r="A3702" s="19" t="str">
        <x:v>D03698</x:v>
      </x:c>
      <x:c r="B3702" s="19" t="n">
        <x:v>8</x:v>
      </x:c>
      <x:c r="C3702" s="19" t="n">
        <x:v>2</x:v>
      </x:c>
      <x:c r="D3702" s="19" t="str">
        <x:v>C08-M020</x:v>
      </x:c>
      <x:c r="E3702" s="19" t="str">
        <x:v>天桥踏索客</x:v>
      </x:c>
      <x:c r="F3702" s="19" t="str">
        <x:v>稀有</x:v>
      </x:c>
      <x:c r="G3702" s="19" t="str">
        <x:v>材料独立候选</x:v>
      </x:c>
      <x:c r="H3702" s="19" t="str">
        <x:v>霜脊铁</x:v>
      </x:c>
      <x:c r="I3702" s="22" t="n">
        <x:v>800</x:v>
      </x:c>
      <x:c r="J3702" s="22" t="n">
        <x:v>15</x:v>
      </x:c>
      <x:c r="K3702" s="19" t="n">
        <x:v>1</x:v>
      </x:c>
      <x:c r="L3702" s="24" t="n">
        <x:v>51.765</x:v>
      </x:c>
      <x:c r="M3702" s="26" t="n">
        <x:v>0.1</x:v>
      </x:c>
      <x:c r="N3702" s="24" t="n">
        <x:v>12</x:v>
      </x:c>
      <x:c r="O3702" s="28" t="n">
        <x:f>MIN(1,L3702/I3702)</x:f>
        <x:v>0.06470625</x:v>
      </x:c>
      <x:c r="P3702" s="30" t="n">
        <x:f>O3702*J3702*(1+M3702)</x:f>
        <x:v>1.0676531250000003</x:v>
      </x:c>
      <x:c r="Q3702" s="30" t="n">
        <x:f>P3702*N3702</x:f>
        <x:v>12.811837500000003</x:v>
      </x:c>
      <x:c r="R3702" s="19" t="str">
        <x:v>独立判定</x:v>
      </x:c>
    </x:row>
    <x:row r="3703" ht="19" customHeight="1">
      <x:c r="A3703" s="19" t="str">
        <x:v>D03699</x:v>
      </x:c>
      <x:c r="B3703" s="19" t="n">
        <x:v>8</x:v>
      </x:c>
      <x:c r="C3703" s="19" t="n">
        <x:v>2</x:v>
      </x:c>
      <x:c r="D3703" s="19" t="str">
        <x:v>C08-M020</x:v>
      </x:c>
      <x:c r="E3703" s="19" t="str">
        <x:v>天桥踏索客</x:v>
      </x:c>
      <x:c r="F3703" s="19" t="str">
        <x:v>稀有</x:v>
      </x:c>
      <x:c r="G3703" s="19" t="str">
        <x:v>材料独立候选</x:v>
      </x:c>
      <x:c r="H3703" s="19" t="str">
        <x:v>巨人火种</x:v>
      </x:c>
      <x:c r="I3703" s="22" t="n">
        <x:v>1200</x:v>
      </x:c>
      <x:c r="J3703" s="22" t="n">
        <x:v>1</x:v>
      </x:c>
      <x:c r="K3703" s="19" t="n">
        <x:v>1</x:v>
      </x:c>
      <x:c r="L3703" s="24" t="n">
        <x:v>51.765</x:v>
      </x:c>
      <x:c r="M3703" s="26" t="n">
        <x:v>0.1</x:v>
      </x:c>
      <x:c r="N3703" s="24" t="n">
        <x:v>12</x:v>
      </x:c>
      <x:c r="O3703" s="28" t="n">
        <x:f>MIN(1,L3703/I3703)</x:f>
        <x:v>0.0431375</x:v>
      </x:c>
      <x:c r="P3703" s="30" t="n">
        <x:f>O3703*J3703*(1+M3703)</x:f>
        <x:v>0.04745125000000001</x:v>
      </x:c>
      <x:c r="Q3703" s="30" t="n">
        <x:f>P3703*N3703</x:f>
        <x:v>0.5694150000000001</x:v>
      </x:c>
      <x:c r="R3703" s="19" t="str">
        <x:v>独立判定</x:v>
      </x:c>
    </x:row>
    <x:row r="3704" ht="19" customHeight="1">
      <x:c r="A3704" s="19" t="str">
        <x:v>D03700</x:v>
      </x:c>
      <x:c r="B3704" s="19" t="n">
        <x:v>8</x:v>
      </x:c>
      <x:c r="C3704" s="19" t="n">
        <x:v>2</x:v>
      </x:c>
      <x:c r="D3704" s="19" t="str">
        <x:v>C08-M020</x:v>
      </x:c>
      <x:c r="E3704" s="19" t="str">
        <x:v>天桥踏索客</x:v>
      </x:c>
      <x:c r="F3704" s="19" t="str">
        <x:v>稀有</x:v>
      </x:c>
      <x:c r="G3704" s="19" t="str">
        <x:v>材料独立候选</x:v>
      </x:c>
      <x:c r="H3704" s="19" t="str">
        <x:v>裂峰号角片</x:v>
      </x:c>
      <x:c r="I3704" s="22" t="n">
        <x:v>400</x:v>
      </x:c>
      <x:c r="J3704" s="22" t="n">
        <x:v>1</x:v>
      </x:c>
      <x:c r="K3704" s="19" t="n">
        <x:v>1</x:v>
      </x:c>
      <x:c r="L3704" s="24" t="n">
        <x:v>51.765</x:v>
      </x:c>
      <x:c r="M3704" s="26" t="n">
        <x:v>0.1</x:v>
      </x:c>
      <x:c r="N3704" s="24" t="n">
        <x:v>12</x:v>
      </x:c>
      <x:c r="O3704" s="28" t="n">
        <x:f>MIN(1,L3704/I3704)</x:f>
        <x:v>0.1294125</x:v>
      </x:c>
      <x:c r="P3704" s="30" t="n">
        <x:f>O3704*J3704*(1+M3704)</x:f>
        <x:v>0.14235375000000003</x:v>
      </x:c>
      <x:c r="Q3704" s="30" t="n">
        <x:f>P3704*N3704</x:f>
        <x:v>1.7082450000000002</x:v>
      </x:c>
      <x:c r="R3704" s="19" t="str">
        <x:v>独立判定</x:v>
      </x:c>
    </x:row>
    <x:row r="3705" ht="19" customHeight="1">
      <x:c r="A3705" s="19" t="str">
        <x:v>D03701</x:v>
      </x:c>
      <x:c r="B3705" s="19" t="n">
        <x:v>8</x:v>
      </x:c>
      <x:c r="C3705" s="19" t="n">
        <x:v>2</x:v>
      </x:c>
      <x:c r="D3705" s="19" t="str">
        <x:v>C08-M020</x:v>
      </x:c>
      <x:c r="E3705" s="19" t="str">
        <x:v>天桥踏索客</x:v>
      </x:c>
      <x:c r="F3705" s="19" t="str">
        <x:v>稀有</x:v>
      </x:c>
      <x:c r="G3705" s="19" t="str">
        <x:v>材料独立候选</x:v>
      </x:c>
      <x:c r="H3705" s="19" t="str">
        <x:v>穹霜碑珀</x:v>
      </x:c>
      <x:c r="I3705" s="22" t="n">
        <x:v>1500000</x:v>
      </x:c>
      <x:c r="J3705" s="22" t="n">
        <x:v>1</x:v>
      </x:c>
      <x:c r="K3705" s="19" t="n">
        <x:v>1</x:v>
      </x:c>
      <x:c r="L3705" s="24" t="n">
        <x:v>51.765</x:v>
      </x:c>
      <x:c r="M3705" s="26" t="n">
        <x:v>0.1</x:v>
      </x:c>
      <x:c r="N3705" s="24" t="n">
        <x:v>12</x:v>
      </x:c>
      <x:c r="O3705" s="28" t="n">
        <x:f>MIN(1,L3705/I3705)</x:f>
        <x:v>0.00003451</x:v>
      </x:c>
      <x:c r="P3705" s="30" t="n">
        <x:f>O3705*J3705*(1+M3705)</x:f>
        <x:v>0.000037961000000000005</x:v>
      </x:c>
      <x:c r="Q3705" s="30" t="n">
        <x:f>P3705*N3705</x:f>
        <x:v>0.00045553200000000003</x:v>
      </x:c>
      <x:c r="R3705" s="19" t="str">
        <x:v>独立判定</x:v>
      </x:c>
    </x:row>
    <x:row r="3706" ht="19" customHeight="1">
      <x:c r="A3706" s="19" t="str">
        <x:v>D03702</x:v>
      </x:c>
      <x:c r="B3706" s="19" t="n">
        <x:v>8</x:v>
      </x:c>
      <x:c r="C3706" s="19" t="n">
        <x:v>2</x:v>
      </x:c>
      <x:c r="D3706" s="19" t="str">
        <x:v>C08-M020</x:v>
      </x:c>
      <x:c r="E3706" s="19" t="str">
        <x:v>天桥踏索客</x:v>
      </x:c>
      <x:c r="F3706" s="19" t="str">
        <x:v>稀有</x:v>
      </x:c>
      <x:c r="G3706" s="19" t="str">
        <x:v>材料独立候选</x:v>
      </x:c>
      <x:c r="H3706" s="19" t="str">
        <x:v>黄金树芽</x:v>
      </x:c>
      <x:c r="I3706" s="22" t="n">
        <x:v>1500</x:v>
      </x:c>
      <x:c r="J3706" s="22" t="n">
        <x:v>1</x:v>
      </x:c>
      <x:c r="K3706" s="19" t="n">
        <x:v>1</x:v>
      </x:c>
      <x:c r="L3706" s="24" t="n">
        <x:v>51.765</x:v>
      </x:c>
      <x:c r="M3706" s="26" t="n">
        <x:v>0.1</x:v>
      </x:c>
      <x:c r="N3706" s="24" t="n">
        <x:v>12</x:v>
      </x:c>
      <x:c r="O3706" s="28" t="n">
        <x:f>MIN(1,L3706/I3706)</x:f>
        <x:v>0.03451</x:v>
      </x:c>
      <x:c r="P3706" s="30" t="n">
        <x:f>O3706*J3706*(1+M3706)</x:f>
        <x:v>0.037961</x:v>
      </x:c>
      <x:c r="Q3706" s="30" t="n">
        <x:f>P3706*N3706</x:f>
        <x:v>0.45553200000000005</x:v>
      </x:c>
      <x:c r="R3706" s="19" t="str">
        <x:v>独立判定</x:v>
      </x:c>
    </x:row>
    <x:row r="3707" ht="19" customHeight="1">
      <x:c r="A3707" s="19" t="str">
        <x:v>D03703</x:v>
      </x:c>
      <x:c r="B3707" s="19" t="n">
        <x:v>8</x:v>
      </x:c>
      <x:c r="C3707" s="19" t="n">
        <x:v>2</x:v>
      </x:c>
      <x:c r="D3707" s="19" t="str">
        <x:v>C08-M020</x:v>
      </x:c>
      <x:c r="E3707" s="19" t="str">
        <x:v>天桥踏索客</x:v>
      </x:c>
      <x:c r="F3707" s="19" t="str">
        <x:v>稀有</x:v>
      </x:c>
      <x:c r="G3707" s="19" t="str">
        <x:v>材料独立候选</x:v>
      </x:c>
      <x:c r="H3707" s="19" t="str">
        <x:v>野兽骨片</x:v>
      </x:c>
      <x:c r="I3707" s="22" t="n">
        <x:v>150</x:v>
      </x:c>
      <x:c r="J3707" s="22" t="n">
        <x:v>5</x:v>
      </x:c>
      <x:c r="K3707" s="19" t="n">
        <x:v>1</x:v>
      </x:c>
      <x:c r="L3707" s="24" t="n">
        <x:v>51.765</x:v>
      </x:c>
      <x:c r="M3707" s="26" t="n">
        <x:v>0.1</x:v>
      </x:c>
      <x:c r="N3707" s="24" t="n">
        <x:v>12</x:v>
      </x:c>
      <x:c r="O3707" s="28" t="n">
        <x:f>MIN(1,L3707/I3707)</x:f>
        <x:v>0.3451</x:v>
      </x:c>
      <x:c r="P3707" s="30" t="n">
        <x:f>O3707*J3707*(1+M3707)</x:f>
        <x:v>1.8980500000000002</x:v>
      </x:c>
      <x:c r="Q3707" s="30" t="n">
        <x:f>P3707*N3707</x:f>
        <x:v>22.776600000000002</x:v>
      </x:c>
      <x:c r="R3707" s="19" t="str">
        <x:v>独立判定</x:v>
      </x:c>
    </x:row>
    <x:row r="3708" ht="19" customHeight="1">
      <x:c r="A3708" s="19" t="str">
        <x:v>D03704</x:v>
      </x:c>
      <x:c r="B3708" s="19" t="n">
        <x:v>8</x:v>
      </x:c>
      <x:c r="C3708" s="19" t="n">
        <x:v>2</x:v>
      </x:c>
      <x:c r="D3708" s="19" t="str">
        <x:v>C08-M020</x:v>
      </x:c>
      <x:c r="E3708" s="19" t="str">
        <x:v>天桥踏索客</x:v>
      </x:c>
      <x:c r="F3708" s="19" t="str">
        <x:v>稀有</x:v>
      </x:c>
      <x:c r="G3708" s="19" t="str">
        <x:v>材料独立候选</x:v>
      </x:c>
      <x:c r="H3708" s="19" t="str">
        <x:v>技能残页</x:v>
      </x:c>
      <x:c r="I3708" s="22" t="n">
        <x:v>1200</x:v>
      </x:c>
      <x:c r="J3708" s="22" t="n">
        <x:v>1</x:v>
      </x:c>
      <x:c r="K3708" s="19" t="n">
        <x:v>1</x:v>
      </x:c>
      <x:c r="L3708" s="24" t="n">
        <x:v>51.765</x:v>
      </x:c>
      <x:c r="M3708" s="26" t="n">
        <x:v>0.1</x:v>
      </x:c>
      <x:c r="N3708" s="24" t="n">
        <x:v>12</x:v>
      </x:c>
      <x:c r="O3708" s="28" t="n">
        <x:f>MIN(1,L3708/I3708)</x:f>
        <x:v>0.0431375</x:v>
      </x:c>
      <x:c r="P3708" s="30" t="n">
        <x:f>O3708*J3708*(1+M3708)</x:f>
        <x:v>0.04745125000000001</x:v>
      </x:c>
      <x:c r="Q3708" s="30" t="n">
        <x:f>P3708*N3708</x:f>
        <x:v>0.5694150000000001</x:v>
      </x:c>
      <x:c r="R3708" s="19" t="str">
        <x:v>独立判定</x:v>
      </x:c>
    </x:row>
    <x:row r="3709" ht="19" customHeight="1">
      <x:c r="A3709" s="19" t="str">
        <x:v>D03705</x:v>
      </x:c>
      <x:c r="B3709" s="19" t="n">
        <x:v>8</x:v>
      </x:c>
      <x:c r="C3709" s="19" t="n">
        <x:v>2</x:v>
      </x:c>
      <x:c r="D3709" s="19" t="str">
        <x:v>C08-M020</x:v>
      </x:c>
      <x:c r="E3709" s="19" t="str">
        <x:v>天桥踏索客</x:v>
      </x:c>
      <x:c r="F3709" s="19" t="str">
        <x:v>稀有</x:v>
      </x:c>
      <x:c r="G3709" s="19" t="str">
        <x:v>材料独立候选</x:v>
      </x:c>
      <x:c r="H3709" s="19" t="str">
        <x:v>小卢恩</x:v>
      </x:c>
      <x:c r="I3709" s="22" t="n">
        <x:v>10000</x:v>
      </x:c>
      <x:c r="J3709" s="22" t="n">
        <x:v>1</x:v>
      </x:c>
      <x:c r="K3709" s="19" t="n">
        <x:v>1</x:v>
      </x:c>
      <x:c r="L3709" s="24" t="n">
        <x:v>51.765</x:v>
      </x:c>
      <x:c r="M3709" s="26" t="n">
        <x:v>0.1</x:v>
      </x:c>
      <x:c r="N3709" s="24" t="n">
        <x:v>12</x:v>
      </x:c>
      <x:c r="O3709" s="28" t="n">
        <x:f>MIN(1,L3709/I3709)</x:f>
        <x:v>0.0051765</x:v>
      </x:c>
      <x:c r="P3709" s="30" t="n">
        <x:f>O3709*J3709*(1+M3709)</x:f>
        <x:v>0.00569415</x:v>
      </x:c>
      <x:c r="Q3709" s="30" t="n">
        <x:f>P3709*N3709</x:f>
        <x:v>0.0683298</x:v>
      </x:c>
      <x:c r="R3709" s="19" t="str">
        <x:v>独立判定</x:v>
      </x:c>
    </x:row>
    <x:row r="3710" ht="19" customHeight="1">
      <x:c r="A3710" s="19" t="str">
        <x:v>D03706</x:v>
      </x:c>
      <x:c r="B3710" s="19" t="n">
        <x:v>8</x:v>
      </x:c>
      <x:c r="C3710" s="19" t="n">
        <x:v>2</x:v>
      </x:c>
      <x:c r="D3710" s="19" t="str">
        <x:v>C08-M020</x:v>
      </x:c>
      <x:c r="E3710" s="19" t="str">
        <x:v>天桥踏索客</x:v>
      </x:c>
      <x:c r="F3710" s="19" t="str">
        <x:v>稀有</x:v>
      </x:c>
      <x:c r="G3710" s="19" t="str">
        <x:v>六神器公共池</x:v>
      </x:c>
      <x:c r="H3710" s="19" t="str">
        <x:v>POOL006</x:v>
      </x:c>
      <x:c r="I3710" s="22" t="n">
        <x:v>5000000</x:v>
      </x:c>
      <x:c r="J3710" s="22" t="n">
        <x:v>1</x:v>
      </x:c>
      <x:c r="K3710" s="19" t="n">
        <x:v>6</x:v>
      </x:c>
      <x:c r="L3710" s="24" t="n">
        <x:v>51.765</x:v>
      </x:c>
      <x:c r="M3710" s="26" t="n">
        <x:v>0.1</x:v>
      </x:c>
      <x:c r="N3710" s="24" t="n">
        <x:v>12</x:v>
      </x:c>
      <x:c r="O3710" s="28" t="n">
        <x:f>MIN(1,L3710/I3710)</x:f>
        <x:v>0.000010353</x:v>
      </x:c>
      <x:c r="P3710" s="30" t="n">
        <x:f>O3710*J3710*(1+M3710)</x:f>
        <x:v>0.000011388300000000002</x:v>
      </x:c>
      <x:c r="Q3710" s="30" t="n">
        <x:f>P3710*N3710</x:f>
        <x:v>0.00013665960000000004</x:v>
      </x:c>
      <x:c r="R3710" s="19" t="str">
        <x:v>六选一；非6个独立爆率</x:v>
      </x:c>
    </x:row>
    <x:row r="3711" ht="19" customHeight="1">
      <x:c r="A3711" s="19" t="str">
        <x:v>D03707</x:v>
      </x:c>
      <x:c r="B3711" s="19" t="n">
        <x:v>8</x:v>
      </x:c>
      <x:c r="C3711" s="19" t="n">
        <x:v>2</x:v>
      </x:c>
      <x:c r="D3711" s="19" t="str">
        <x:v>C08-M021</x:v>
      </x:c>
      <x:c r="E3711" s="19" t="str">
        <x:v>裂谷雪嚎兽</x:v>
      </x:c>
      <x:c r="F3711" s="19" t="str">
        <x:v>稀有</x:v>
      </x:c>
      <x:c r="G3711" s="19" t="str">
        <x:v>自身专属</x:v>
      </x:c>
      <x:c r="H3711" s="19" t="str">
        <x:v>雪嚎裂角盔</x:v>
      </x:c>
      <x:c r="I3711" s="22" t="n">
        <x:v>1200</x:v>
      </x:c>
      <x:c r="J3711" s="22" t="n">
        <x:v>1</x:v>
      </x:c>
      <x:c r="K3711" s="19" t="n">
        <x:v>1</x:v>
      </x:c>
      <x:c r="L3711" s="24" t="n">
        <x:v>51.765</x:v>
      </x:c>
      <x:c r="M3711" s="26" t="n">
        <x:v>0.1</x:v>
      </x:c>
      <x:c r="N3711" s="24" t="n">
        <x:v>12</x:v>
      </x:c>
      <x:c r="O3711" s="28" t="n">
        <x:f>MIN(1,L3711/I3711)</x:f>
        <x:v>0.0431375</x:v>
      </x:c>
      <x:c r="P3711" s="30" t="n">
        <x:f>O3711*J3711*(1+M3711)</x:f>
        <x:v>0.04745125000000001</x:v>
      </x:c>
      <x:c r="Q3711" s="30" t="n">
        <x:f>P3711*N3711</x:f>
        <x:v>0.5694150000000001</x:v>
      </x:c>
      <x:c r="R3711" s="19" t="str">
        <x:v>独立判定</x:v>
      </x:c>
    </x:row>
    <x:row r="3712" ht="19" customHeight="1">
      <x:c r="A3712" s="19" t="str">
        <x:v>D03708</x:v>
      </x:c>
      <x:c r="B3712" s="19" t="n">
        <x:v>8</x:v>
      </x:c>
      <x:c r="C3712" s="19" t="n">
        <x:v>2</x:v>
      </x:c>
      <x:c r="D3712" s="19" t="str">
        <x:v>C08-M021</x:v>
      </x:c>
      <x:c r="E3712" s="19" t="str">
        <x:v>裂谷雪嚎兽</x:v>
      </x:c>
      <x:c r="F3712" s="19" t="str">
        <x:v>稀有</x:v>
      </x:c>
      <x:c r="G3712" s="19" t="str">
        <x:v>材料独立候选</x:v>
      </x:c>
      <x:c r="H3712" s="19" t="str">
        <x:v>霜脊铁</x:v>
      </x:c>
      <x:c r="I3712" s="22" t="n">
        <x:v>800</x:v>
      </x:c>
      <x:c r="J3712" s="22" t="n">
        <x:v>15</x:v>
      </x:c>
      <x:c r="K3712" s="19" t="n">
        <x:v>1</x:v>
      </x:c>
      <x:c r="L3712" s="24" t="n">
        <x:v>51.765</x:v>
      </x:c>
      <x:c r="M3712" s="26" t="n">
        <x:v>0.1</x:v>
      </x:c>
      <x:c r="N3712" s="24" t="n">
        <x:v>12</x:v>
      </x:c>
      <x:c r="O3712" s="28" t="n">
        <x:f>MIN(1,L3712/I3712)</x:f>
        <x:v>0.06470625</x:v>
      </x:c>
      <x:c r="P3712" s="30" t="n">
        <x:f>O3712*J3712*(1+M3712)</x:f>
        <x:v>1.0676531250000003</x:v>
      </x:c>
      <x:c r="Q3712" s="30" t="n">
        <x:f>P3712*N3712</x:f>
        <x:v>12.811837500000003</x:v>
      </x:c>
      <x:c r="R3712" s="19" t="str">
        <x:v>独立判定</x:v>
      </x:c>
    </x:row>
    <x:row r="3713" ht="19" customHeight="1">
      <x:c r="A3713" s="19" t="str">
        <x:v>D03709</x:v>
      </x:c>
      <x:c r="B3713" s="19" t="n">
        <x:v>8</x:v>
      </x:c>
      <x:c r="C3713" s="19" t="n">
        <x:v>2</x:v>
      </x:c>
      <x:c r="D3713" s="19" t="str">
        <x:v>C08-M021</x:v>
      </x:c>
      <x:c r="E3713" s="19" t="str">
        <x:v>裂谷雪嚎兽</x:v>
      </x:c>
      <x:c r="F3713" s="19" t="str">
        <x:v>稀有</x:v>
      </x:c>
      <x:c r="G3713" s="19" t="str">
        <x:v>材料独立候选</x:v>
      </x:c>
      <x:c r="H3713" s="19" t="str">
        <x:v>巨人火种</x:v>
      </x:c>
      <x:c r="I3713" s="22" t="n">
        <x:v>1200</x:v>
      </x:c>
      <x:c r="J3713" s="22" t="n">
        <x:v>1</x:v>
      </x:c>
      <x:c r="K3713" s="19" t="n">
        <x:v>1</x:v>
      </x:c>
      <x:c r="L3713" s="24" t="n">
        <x:v>51.765</x:v>
      </x:c>
      <x:c r="M3713" s="26" t="n">
        <x:v>0.1</x:v>
      </x:c>
      <x:c r="N3713" s="24" t="n">
        <x:v>12</x:v>
      </x:c>
      <x:c r="O3713" s="28" t="n">
        <x:f>MIN(1,L3713/I3713)</x:f>
        <x:v>0.0431375</x:v>
      </x:c>
      <x:c r="P3713" s="30" t="n">
        <x:f>O3713*J3713*(1+M3713)</x:f>
        <x:v>0.04745125000000001</x:v>
      </x:c>
      <x:c r="Q3713" s="30" t="n">
        <x:f>P3713*N3713</x:f>
        <x:v>0.5694150000000001</x:v>
      </x:c>
      <x:c r="R3713" s="19" t="str">
        <x:v>独立判定</x:v>
      </x:c>
    </x:row>
    <x:row r="3714" ht="19" customHeight="1">
      <x:c r="A3714" s="19" t="str">
        <x:v>D03710</x:v>
      </x:c>
      <x:c r="B3714" s="19" t="n">
        <x:v>8</x:v>
      </x:c>
      <x:c r="C3714" s="19" t="n">
        <x:v>2</x:v>
      </x:c>
      <x:c r="D3714" s="19" t="str">
        <x:v>C08-M021</x:v>
      </x:c>
      <x:c r="E3714" s="19" t="str">
        <x:v>裂谷雪嚎兽</x:v>
      </x:c>
      <x:c r="F3714" s="19" t="str">
        <x:v>稀有</x:v>
      </x:c>
      <x:c r="G3714" s="19" t="str">
        <x:v>材料独立候选</x:v>
      </x:c>
      <x:c r="H3714" s="19" t="str">
        <x:v>裂峰号角片</x:v>
      </x:c>
      <x:c r="I3714" s="22" t="n">
        <x:v>400</x:v>
      </x:c>
      <x:c r="J3714" s="22" t="n">
        <x:v>1</x:v>
      </x:c>
      <x:c r="K3714" s="19" t="n">
        <x:v>1</x:v>
      </x:c>
      <x:c r="L3714" s="24" t="n">
        <x:v>51.765</x:v>
      </x:c>
      <x:c r="M3714" s="26" t="n">
        <x:v>0.1</x:v>
      </x:c>
      <x:c r="N3714" s="24" t="n">
        <x:v>12</x:v>
      </x:c>
      <x:c r="O3714" s="28" t="n">
        <x:f>MIN(1,L3714/I3714)</x:f>
        <x:v>0.1294125</x:v>
      </x:c>
      <x:c r="P3714" s="30" t="n">
        <x:f>O3714*J3714*(1+M3714)</x:f>
        <x:v>0.14235375000000003</x:v>
      </x:c>
      <x:c r="Q3714" s="30" t="n">
        <x:f>P3714*N3714</x:f>
        <x:v>1.7082450000000002</x:v>
      </x:c>
      <x:c r="R3714" s="19" t="str">
        <x:v>独立判定</x:v>
      </x:c>
    </x:row>
    <x:row r="3715" ht="19" customHeight="1">
      <x:c r="A3715" s="19" t="str">
        <x:v>D03711</x:v>
      </x:c>
      <x:c r="B3715" s="19" t="n">
        <x:v>8</x:v>
      </x:c>
      <x:c r="C3715" s="19" t="n">
        <x:v>2</x:v>
      </x:c>
      <x:c r="D3715" s="19" t="str">
        <x:v>C08-M021</x:v>
      </x:c>
      <x:c r="E3715" s="19" t="str">
        <x:v>裂谷雪嚎兽</x:v>
      </x:c>
      <x:c r="F3715" s="19" t="str">
        <x:v>稀有</x:v>
      </x:c>
      <x:c r="G3715" s="19" t="str">
        <x:v>材料独立候选</x:v>
      </x:c>
      <x:c r="H3715" s="19" t="str">
        <x:v>穹霜碑珀</x:v>
      </x:c>
      <x:c r="I3715" s="22" t="n">
        <x:v>1500000</x:v>
      </x:c>
      <x:c r="J3715" s="22" t="n">
        <x:v>1</x:v>
      </x:c>
      <x:c r="K3715" s="19" t="n">
        <x:v>1</x:v>
      </x:c>
      <x:c r="L3715" s="24" t="n">
        <x:v>51.765</x:v>
      </x:c>
      <x:c r="M3715" s="26" t="n">
        <x:v>0.1</x:v>
      </x:c>
      <x:c r="N3715" s="24" t="n">
        <x:v>12</x:v>
      </x:c>
      <x:c r="O3715" s="28" t="n">
        <x:f>MIN(1,L3715/I3715)</x:f>
        <x:v>0.00003451</x:v>
      </x:c>
      <x:c r="P3715" s="30" t="n">
        <x:f>O3715*J3715*(1+M3715)</x:f>
        <x:v>0.000037961000000000005</x:v>
      </x:c>
      <x:c r="Q3715" s="30" t="n">
        <x:f>P3715*N3715</x:f>
        <x:v>0.00045553200000000003</x:v>
      </x:c>
      <x:c r="R3715" s="19" t="str">
        <x:v>独立判定</x:v>
      </x:c>
    </x:row>
    <x:row r="3716" ht="19" customHeight="1">
      <x:c r="A3716" s="19" t="str">
        <x:v>D03712</x:v>
      </x:c>
      <x:c r="B3716" s="19" t="n">
        <x:v>8</x:v>
      </x:c>
      <x:c r="C3716" s="19" t="n">
        <x:v>2</x:v>
      </x:c>
      <x:c r="D3716" s="19" t="str">
        <x:v>C08-M021</x:v>
      </x:c>
      <x:c r="E3716" s="19" t="str">
        <x:v>裂谷雪嚎兽</x:v>
      </x:c>
      <x:c r="F3716" s="19" t="str">
        <x:v>稀有</x:v>
      </x:c>
      <x:c r="G3716" s="19" t="str">
        <x:v>材料独立候选</x:v>
      </x:c>
      <x:c r="H3716" s="19" t="str">
        <x:v>黄金树芽</x:v>
      </x:c>
      <x:c r="I3716" s="22" t="n">
        <x:v>1500</x:v>
      </x:c>
      <x:c r="J3716" s="22" t="n">
        <x:v>1</x:v>
      </x:c>
      <x:c r="K3716" s="19" t="n">
        <x:v>1</x:v>
      </x:c>
      <x:c r="L3716" s="24" t="n">
        <x:v>51.765</x:v>
      </x:c>
      <x:c r="M3716" s="26" t="n">
        <x:v>0.1</x:v>
      </x:c>
      <x:c r="N3716" s="24" t="n">
        <x:v>12</x:v>
      </x:c>
      <x:c r="O3716" s="28" t="n">
        <x:f>MIN(1,L3716/I3716)</x:f>
        <x:v>0.03451</x:v>
      </x:c>
      <x:c r="P3716" s="30" t="n">
        <x:f>O3716*J3716*(1+M3716)</x:f>
        <x:v>0.037961</x:v>
      </x:c>
      <x:c r="Q3716" s="30" t="n">
        <x:f>P3716*N3716</x:f>
        <x:v>0.45553200000000005</x:v>
      </x:c>
      <x:c r="R3716" s="19" t="str">
        <x:v>独立判定</x:v>
      </x:c>
    </x:row>
    <x:row r="3717" ht="19" customHeight="1">
      <x:c r="A3717" s="19" t="str">
        <x:v>D03713</x:v>
      </x:c>
      <x:c r="B3717" s="19" t="n">
        <x:v>8</x:v>
      </x:c>
      <x:c r="C3717" s="19" t="n">
        <x:v>2</x:v>
      </x:c>
      <x:c r="D3717" s="19" t="str">
        <x:v>C08-M021</x:v>
      </x:c>
      <x:c r="E3717" s="19" t="str">
        <x:v>裂谷雪嚎兽</x:v>
      </x:c>
      <x:c r="F3717" s="19" t="str">
        <x:v>稀有</x:v>
      </x:c>
      <x:c r="G3717" s="19" t="str">
        <x:v>材料独立候选</x:v>
      </x:c>
      <x:c r="H3717" s="19" t="str">
        <x:v>野兽骨片</x:v>
      </x:c>
      <x:c r="I3717" s="22" t="n">
        <x:v>150</x:v>
      </x:c>
      <x:c r="J3717" s="22" t="n">
        <x:v>5</x:v>
      </x:c>
      <x:c r="K3717" s="19" t="n">
        <x:v>1</x:v>
      </x:c>
      <x:c r="L3717" s="24" t="n">
        <x:v>51.765</x:v>
      </x:c>
      <x:c r="M3717" s="26" t="n">
        <x:v>0.1</x:v>
      </x:c>
      <x:c r="N3717" s="24" t="n">
        <x:v>12</x:v>
      </x:c>
      <x:c r="O3717" s="28" t="n">
        <x:f>MIN(1,L3717/I3717)</x:f>
        <x:v>0.3451</x:v>
      </x:c>
      <x:c r="P3717" s="30" t="n">
        <x:f>O3717*J3717*(1+M3717)</x:f>
        <x:v>1.8980500000000002</x:v>
      </x:c>
      <x:c r="Q3717" s="30" t="n">
        <x:f>P3717*N3717</x:f>
        <x:v>22.776600000000002</x:v>
      </x:c>
      <x:c r="R3717" s="19" t="str">
        <x:v>独立判定</x:v>
      </x:c>
    </x:row>
    <x:row r="3718" ht="19" customHeight="1">
      <x:c r="A3718" s="19" t="str">
        <x:v>D03714</x:v>
      </x:c>
      <x:c r="B3718" s="19" t="n">
        <x:v>8</x:v>
      </x:c>
      <x:c r="C3718" s="19" t="n">
        <x:v>2</x:v>
      </x:c>
      <x:c r="D3718" s="19" t="str">
        <x:v>C08-M021</x:v>
      </x:c>
      <x:c r="E3718" s="19" t="str">
        <x:v>裂谷雪嚎兽</x:v>
      </x:c>
      <x:c r="F3718" s="19" t="str">
        <x:v>稀有</x:v>
      </x:c>
      <x:c r="G3718" s="19" t="str">
        <x:v>材料独立候选</x:v>
      </x:c>
      <x:c r="H3718" s="19" t="str">
        <x:v>技能残页</x:v>
      </x:c>
      <x:c r="I3718" s="22" t="n">
        <x:v>1200</x:v>
      </x:c>
      <x:c r="J3718" s="22" t="n">
        <x:v>1</x:v>
      </x:c>
      <x:c r="K3718" s="19" t="n">
        <x:v>1</x:v>
      </x:c>
      <x:c r="L3718" s="24" t="n">
        <x:v>51.765</x:v>
      </x:c>
      <x:c r="M3718" s="26" t="n">
        <x:v>0.1</x:v>
      </x:c>
      <x:c r="N3718" s="24" t="n">
        <x:v>12</x:v>
      </x:c>
      <x:c r="O3718" s="28" t="n">
        <x:f>MIN(1,L3718/I3718)</x:f>
        <x:v>0.0431375</x:v>
      </x:c>
      <x:c r="P3718" s="30" t="n">
        <x:f>O3718*J3718*(1+M3718)</x:f>
        <x:v>0.04745125000000001</x:v>
      </x:c>
      <x:c r="Q3718" s="30" t="n">
        <x:f>P3718*N3718</x:f>
        <x:v>0.5694150000000001</x:v>
      </x:c>
      <x:c r="R3718" s="19" t="str">
        <x:v>独立判定</x:v>
      </x:c>
    </x:row>
    <x:row r="3719" ht="19" customHeight="1">
      <x:c r="A3719" s="19" t="str">
        <x:v>D03715</x:v>
      </x:c>
      <x:c r="B3719" s="19" t="n">
        <x:v>8</x:v>
      </x:c>
      <x:c r="C3719" s="19" t="n">
        <x:v>2</x:v>
      </x:c>
      <x:c r="D3719" s="19" t="str">
        <x:v>C08-M021</x:v>
      </x:c>
      <x:c r="E3719" s="19" t="str">
        <x:v>裂谷雪嚎兽</x:v>
      </x:c>
      <x:c r="F3719" s="19" t="str">
        <x:v>稀有</x:v>
      </x:c>
      <x:c r="G3719" s="19" t="str">
        <x:v>材料独立候选</x:v>
      </x:c>
      <x:c r="H3719" s="19" t="str">
        <x:v>小卢恩</x:v>
      </x:c>
      <x:c r="I3719" s="22" t="n">
        <x:v>10000</x:v>
      </x:c>
      <x:c r="J3719" s="22" t="n">
        <x:v>1</x:v>
      </x:c>
      <x:c r="K3719" s="19" t="n">
        <x:v>1</x:v>
      </x:c>
      <x:c r="L3719" s="24" t="n">
        <x:v>51.765</x:v>
      </x:c>
      <x:c r="M3719" s="26" t="n">
        <x:v>0.1</x:v>
      </x:c>
      <x:c r="N3719" s="24" t="n">
        <x:v>12</x:v>
      </x:c>
      <x:c r="O3719" s="28" t="n">
        <x:f>MIN(1,L3719/I3719)</x:f>
        <x:v>0.0051765</x:v>
      </x:c>
      <x:c r="P3719" s="30" t="n">
        <x:f>O3719*J3719*(1+M3719)</x:f>
        <x:v>0.00569415</x:v>
      </x:c>
      <x:c r="Q3719" s="30" t="n">
        <x:f>P3719*N3719</x:f>
        <x:v>0.0683298</x:v>
      </x:c>
      <x:c r="R3719" s="19" t="str">
        <x:v>独立判定</x:v>
      </x:c>
    </x:row>
    <x:row r="3720" ht="19" customHeight="1">
      <x:c r="A3720" s="19" t="str">
        <x:v>D03716</x:v>
      </x:c>
      <x:c r="B3720" s="19" t="n">
        <x:v>8</x:v>
      </x:c>
      <x:c r="C3720" s="19" t="n">
        <x:v>2</x:v>
      </x:c>
      <x:c r="D3720" s="19" t="str">
        <x:v>C08-M021</x:v>
      </x:c>
      <x:c r="E3720" s="19" t="str">
        <x:v>裂谷雪嚎兽</x:v>
      </x:c>
      <x:c r="F3720" s="19" t="str">
        <x:v>稀有</x:v>
      </x:c>
      <x:c r="G3720" s="19" t="str">
        <x:v>六神器公共池</x:v>
      </x:c>
      <x:c r="H3720" s="19" t="str">
        <x:v>POOL006</x:v>
      </x:c>
      <x:c r="I3720" s="22" t="n">
        <x:v>5000000</x:v>
      </x:c>
      <x:c r="J3720" s="22" t="n">
        <x:v>1</x:v>
      </x:c>
      <x:c r="K3720" s="19" t="n">
        <x:v>6</x:v>
      </x:c>
      <x:c r="L3720" s="24" t="n">
        <x:v>51.765</x:v>
      </x:c>
      <x:c r="M3720" s="26" t="n">
        <x:v>0.1</x:v>
      </x:c>
      <x:c r="N3720" s="24" t="n">
        <x:v>12</x:v>
      </x:c>
      <x:c r="O3720" s="28" t="n">
        <x:f>MIN(1,L3720/I3720)</x:f>
        <x:v>0.000010353</x:v>
      </x:c>
      <x:c r="P3720" s="30" t="n">
        <x:f>O3720*J3720*(1+M3720)</x:f>
        <x:v>0.000011388300000000002</x:v>
      </x:c>
      <x:c r="Q3720" s="30" t="n">
        <x:f>P3720*N3720</x:f>
        <x:v>0.00013665960000000004</x:v>
      </x:c>
      <x:c r="R3720" s="19" t="str">
        <x:v>六选一；非6个独立爆率</x:v>
      </x:c>
    </x:row>
    <x:row r="3721" ht="19" customHeight="1">
      <x:c r="A3721" s="19" t="str">
        <x:v>D03717</x:v>
      </x:c>
      <x:c r="B3721" s="19" t="n">
        <x:v>8</x:v>
      </x:c>
      <x:c r="C3721" s="19" t="n">
        <x:v>2</x:v>
      </x:c>
      <x:c r="D3721" s="19" t="str">
        <x:v>C08-M022</x:v>
      </x:c>
      <x:c r="E3721" s="19" t="str">
        <x:v>祭场缄誓巫</x:v>
      </x:c>
      <x:c r="F3721" s="19" t="str">
        <x:v>稀有</x:v>
      </x:c>
      <x:c r="G3721" s="19" t="str">
        <x:v>自身专属</x:v>
      </x:c>
      <x:c r="H3721" s="19" t="str">
        <x:v>缄誓寒铁戒</x:v>
      </x:c>
      <x:c r="I3721" s="22" t="n">
        <x:v>1200</x:v>
      </x:c>
      <x:c r="J3721" s="22" t="n">
        <x:v>1</x:v>
      </x:c>
      <x:c r="K3721" s="19" t="n">
        <x:v>1</x:v>
      </x:c>
      <x:c r="L3721" s="24" t="n">
        <x:v>51.765</x:v>
      </x:c>
      <x:c r="M3721" s="26" t="n">
        <x:v>0.1</x:v>
      </x:c>
      <x:c r="N3721" s="24" t="n">
        <x:v>12</x:v>
      </x:c>
      <x:c r="O3721" s="28" t="n">
        <x:f>MIN(1,L3721/I3721)</x:f>
        <x:v>0.0431375</x:v>
      </x:c>
      <x:c r="P3721" s="30" t="n">
        <x:f>O3721*J3721*(1+M3721)</x:f>
        <x:v>0.04745125000000001</x:v>
      </x:c>
      <x:c r="Q3721" s="30" t="n">
        <x:f>P3721*N3721</x:f>
        <x:v>0.5694150000000001</x:v>
      </x:c>
      <x:c r="R3721" s="19" t="str">
        <x:v>独立判定</x:v>
      </x:c>
    </x:row>
    <x:row r="3722" ht="19" customHeight="1">
      <x:c r="A3722" s="19" t="str">
        <x:v>D03718</x:v>
      </x:c>
      <x:c r="B3722" s="19" t="n">
        <x:v>8</x:v>
      </x:c>
      <x:c r="C3722" s="19" t="n">
        <x:v>2</x:v>
      </x:c>
      <x:c r="D3722" s="19" t="str">
        <x:v>C08-M022</x:v>
      </x:c>
      <x:c r="E3722" s="19" t="str">
        <x:v>祭场缄誓巫</x:v>
      </x:c>
      <x:c r="F3722" s="19" t="str">
        <x:v>稀有</x:v>
      </x:c>
      <x:c r="G3722" s="19" t="str">
        <x:v>材料独立候选</x:v>
      </x:c>
      <x:c r="H3722" s="19" t="str">
        <x:v>霜脊铁</x:v>
      </x:c>
      <x:c r="I3722" s="22" t="n">
        <x:v>800</x:v>
      </x:c>
      <x:c r="J3722" s="22" t="n">
        <x:v>15</x:v>
      </x:c>
      <x:c r="K3722" s="19" t="n">
        <x:v>1</x:v>
      </x:c>
      <x:c r="L3722" s="24" t="n">
        <x:v>51.765</x:v>
      </x:c>
      <x:c r="M3722" s="26" t="n">
        <x:v>0.1</x:v>
      </x:c>
      <x:c r="N3722" s="24" t="n">
        <x:v>12</x:v>
      </x:c>
      <x:c r="O3722" s="28" t="n">
        <x:f>MIN(1,L3722/I3722)</x:f>
        <x:v>0.06470625</x:v>
      </x:c>
      <x:c r="P3722" s="30" t="n">
        <x:f>O3722*J3722*(1+M3722)</x:f>
        <x:v>1.0676531250000003</x:v>
      </x:c>
      <x:c r="Q3722" s="30" t="n">
        <x:f>P3722*N3722</x:f>
        <x:v>12.811837500000003</x:v>
      </x:c>
      <x:c r="R3722" s="19" t="str">
        <x:v>独立判定</x:v>
      </x:c>
    </x:row>
    <x:row r="3723" ht="19" customHeight="1">
      <x:c r="A3723" s="19" t="str">
        <x:v>D03719</x:v>
      </x:c>
      <x:c r="B3723" s="19" t="n">
        <x:v>8</x:v>
      </x:c>
      <x:c r="C3723" s="19" t="n">
        <x:v>2</x:v>
      </x:c>
      <x:c r="D3723" s="19" t="str">
        <x:v>C08-M022</x:v>
      </x:c>
      <x:c r="E3723" s="19" t="str">
        <x:v>祭场缄誓巫</x:v>
      </x:c>
      <x:c r="F3723" s="19" t="str">
        <x:v>稀有</x:v>
      </x:c>
      <x:c r="G3723" s="19" t="str">
        <x:v>材料独立候选</x:v>
      </x:c>
      <x:c r="H3723" s="19" t="str">
        <x:v>巨人火种</x:v>
      </x:c>
      <x:c r="I3723" s="22" t="n">
        <x:v>1200</x:v>
      </x:c>
      <x:c r="J3723" s="22" t="n">
        <x:v>1</x:v>
      </x:c>
      <x:c r="K3723" s="19" t="n">
        <x:v>1</x:v>
      </x:c>
      <x:c r="L3723" s="24" t="n">
        <x:v>51.765</x:v>
      </x:c>
      <x:c r="M3723" s="26" t="n">
        <x:v>0.1</x:v>
      </x:c>
      <x:c r="N3723" s="24" t="n">
        <x:v>12</x:v>
      </x:c>
      <x:c r="O3723" s="28" t="n">
        <x:f>MIN(1,L3723/I3723)</x:f>
        <x:v>0.0431375</x:v>
      </x:c>
      <x:c r="P3723" s="30" t="n">
        <x:f>O3723*J3723*(1+M3723)</x:f>
        <x:v>0.04745125000000001</x:v>
      </x:c>
      <x:c r="Q3723" s="30" t="n">
        <x:f>P3723*N3723</x:f>
        <x:v>0.5694150000000001</x:v>
      </x:c>
      <x:c r="R3723" s="19" t="str">
        <x:v>独立判定</x:v>
      </x:c>
    </x:row>
    <x:row r="3724" ht="19" customHeight="1">
      <x:c r="A3724" s="19" t="str">
        <x:v>D03720</x:v>
      </x:c>
      <x:c r="B3724" s="19" t="n">
        <x:v>8</x:v>
      </x:c>
      <x:c r="C3724" s="19" t="n">
        <x:v>2</x:v>
      </x:c>
      <x:c r="D3724" s="19" t="str">
        <x:v>C08-M022</x:v>
      </x:c>
      <x:c r="E3724" s="19" t="str">
        <x:v>祭场缄誓巫</x:v>
      </x:c>
      <x:c r="F3724" s="19" t="str">
        <x:v>稀有</x:v>
      </x:c>
      <x:c r="G3724" s="19" t="str">
        <x:v>材料独立候选</x:v>
      </x:c>
      <x:c r="H3724" s="19" t="str">
        <x:v>裂峰号角片</x:v>
      </x:c>
      <x:c r="I3724" s="22" t="n">
        <x:v>400</x:v>
      </x:c>
      <x:c r="J3724" s="22" t="n">
        <x:v>1</x:v>
      </x:c>
      <x:c r="K3724" s="19" t="n">
        <x:v>1</x:v>
      </x:c>
      <x:c r="L3724" s="24" t="n">
        <x:v>51.765</x:v>
      </x:c>
      <x:c r="M3724" s="26" t="n">
        <x:v>0.1</x:v>
      </x:c>
      <x:c r="N3724" s="24" t="n">
        <x:v>12</x:v>
      </x:c>
      <x:c r="O3724" s="28" t="n">
        <x:f>MIN(1,L3724/I3724)</x:f>
        <x:v>0.1294125</x:v>
      </x:c>
      <x:c r="P3724" s="30" t="n">
        <x:f>O3724*J3724*(1+M3724)</x:f>
        <x:v>0.14235375000000003</x:v>
      </x:c>
      <x:c r="Q3724" s="30" t="n">
        <x:f>P3724*N3724</x:f>
        <x:v>1.7082450000000002</x:v>
      </x:c>
      <x:c r="R3724" s="19" t="str">
        <x:v>独立判定</x:v>
      </x:c>
    </x:row>
    <x:row r="3725" ht="19" customHeight="1">
      <x:c r="A3725" s="19" t="str">
        <x:v>D03721</x:v>
      </x:c>
      <x:c r="B3725" s="19" t="n">
        <x:v>8</x:v>
      </x:c>
      <x:c r="C3725" s="19" t="n">
        <x:v>2</x:v>
      </x:c>
      <x:c r="D3725" s="19" t="str">
        <x:v>C08-M022</x:v>
      </x:c>
      <x:c r="E3725" s="19" t="str">
        <x:v>祭场缄誓巫</x:v>
      </x:c>
      <x:c r="F3725" s="19" t="str">
        <x:v>稀有</x:v>
      </x:c>
      <x:c r="G3725" s="19" t="str">
        <x:v>材料独立候选</x:v>
      </x:c>
      <x:c r="H3725" s="19" t="str">
        <x:v>穹霜碑珀</x:v>
      </x:c>
      <x:c r="I3725" s="22" t="n">
        <x:v>1500000</x:v>
      </x:c>
      <x:c r="J3725" s="22" t="n">
        <x:v>1</x:v>
      </x:c>
      <x:c r="K3725" s="19" t="n">
        <x:v>1</x:v>
      </x:c>
      <x:c r="L3725" s="24" t="n">
        <x:v>51.765</x:v>
      </x:c>
      <x:c r="M3725" s="26" t="n">
        <x:v>0.1</x:v>
      </x:c>
      <x:c r="N3725" s="24" t="n">
        <x:v>12</x:v>
      </x:c>
      <x:c r="O3725" s="28" t="n">
        <x:f>MIN(1,L3725/I3725)</x:f>
        <x:v>0.00003451</x:v>
      </x:c>
      <x:c r="P3725" s="30" t="n">
        <x:f>O3725*J3725*(1+M3725)</x:f>
        <x:v>0.000037961000000000005</x:v>
      </x:c>
      <x:c r="Q3725" s="30" t="n">
        <x:f>P3725*N3725</x:f>
        <x:v>0.00045553200000000003</x:v>
      </x:c>
      <x:c r="R3725" s="19" t="str">
        <x:v>独立判定</x:v>
      </x:c>
    </x:row>
    <x:row r="3726" ht="19" customHeight="1">
      <x:c r="A3726" s="19" t="str">
        <x:v>D03722</x:v>
      </x:c>
      <x:c r="B3726" s="19" t="n">
        <x:v>8</x:v>
      </x:c>
      <x:c r="C3726" s="19" t="n">
        <x:v>2</x:v>
      </x:c>
      <x:c r="D3726" s="19" t="str">
        <x:v>C08-M022</x:v>
      </x:c>
      <x:c r="E3726" s="19" t="str">
        <x:v>祭场缄誓巫</x:v>
      </x:c>
      <x:c r="F3726" s="19" t="str">
        <x:v>稀有</x:v>
      </x:c>
      <x:c r="G3726" s="19" t="str">
        <x:v>材料独立候选</x:v>
      </x:c>
      <x:c r="H3726" s="19" t="str">
        <x:v>黄金树芽</x:v>
      </x:c>
      <x:c r="I3726" s="22" t="n">
        <x:v>1500</x:v>
      </x:c>
      <x:c r="J3726" s="22" t="n">
        <x:v>1</x:v>
      </x:c>
      <x:c r="K3726" s="19" t="n">
        <x:v>1</x:v>
      </x:c>
      <x:c r="L3726" s="24" t="n">
        <x:v>51.765</x:v>
      </x:c>
      <x:c r="M3726" s="26" t="n">
        <x:v>0.1</x:v>
      </x:c>
      <x:c r="N3726" s="24" t="n">
        <x:v>12</x:v>
      </x:c>
      <x:c r="O3726" s="28" t="n">
        <x:f>MIN(1,L3726/I3726)</x:f>
        <x:v>0.03451</x:v>
      </x:c>
      <x:c r="P3726" s="30" t="n">
        <x:f>O3726*J3726*(1+M3726)</x:f>
        <x:v>0.037961</x:v>
      </x:c>
      <x:c r="Q3726" s="30" t="n">
        <x:f>P3726*N3726</x:f>
        <x:v>0.45553200000000005</x:v>
      </x:c>
      <x:c r="R3726" s="19" t="str">
        <x:v>独立判定</x:v>
      </x:c>
    </x:row>
    <x:row r="3727" ht="19" customHeight="1">
      <x:c r="A3727" s="19" t="str">
        <x:v>D03723</x:v>
      </x:c>
      <x:c r="B3727" s="19" t="n">
        <x:v>8</x:v>
      </x:c>
      <x:c r="C3727" s="19" t="n">
        <x:v>2</x:v>
      </x:c>
      <x:c r="D3727" s="19" t="str">
        <x:v>C08-M022</x:v>
      </x:c>
      <x:c r="E3727" s="19" t="str">
        <x:v>祭场缄誓巫</x:v>
      </x:c>
      <x:c r="F3727" s="19" t="str">
        <x:v>稀有</x:v>
      </x:c>
      <x:c r="G3727" s="19" t="str">
        <x:v>材料独立候选</x:v>
      </x:c>
      <x:c r="H3727" s="19" t="str">
        <x:v>野兽骨片</x:v>
      </x:c>
      <x:c r="I3727" s="22" t="n">
        <x:v>150</x:v>
      </x:c>
      <x:c r="J3727" s="22" t="n">
        <x:v>5</x:v>
      </x:c>
      <x:c r="K3727" s="19" t="n">
        <x:v>1</x:v>
      </x:c>
      <x:c r="L3727" s="24" t="n">
        <x:v>51.765</x:v>
      </x:c>
      <x:c r="M3727" s="26" t="n">
        <x:v>0.1</x:v>
      </x:c>
      <x:c r="N3727" s="24" t="n">
        <x:v>12</x:v>
      </x:c>
      <x:c r="O3727" s="28" t="n">
        <x:f>MIN(1,L3727/I3727)</x:f>
        <x:v>0.3451</x:v>
      </x:c>
      <x:c r="P3727" s="30" t="n">
        <x:f>O3727*J3727*(1+M3727)</x:f>
        <x:v>1.8980500000000002</x:v>
      </x:c>
      <x:c r="Q3727" s="30" t="n">
        <x:f>P3727*N3727</x:f>
        <x:v>22.776600000000002</x:v>
      </x:c>
      <x:c r="R3727" s="19" t="str">
        <x:v>独立判定</x:v>
      </x:c>
    </x:row>
    <x:row r="3728" ht="19" customHeight="1">
      <x:c r="A3728" s="19" t="str">
        <x:v>D03724</x:v>
      </x:c>
      <x:c r="B3728" s="19" t="n">
        <x:v>8</x:v>
      </x:c>
      <x:c r="C3728" s="19" t="n">
        <x:v>2</x:v>
      </x:c>
      <x:c r="D3728" s="19" t="str">
        <x:v>C08-M022</x:v>
      </x:c>
      <x:c r="E3728" s="19" t="str">
        <x:v>祭场缄誓巫</x:v>
      </x:c>
      <x:c r="F3728" s="19" t="str">
        <x:v>稀有</x:v>
      </x:c>
      <x:c r="G3728" s="19" t="str">
        <x:v>材料独立候选</x:v>
      </x:c>
      <x:c r="H3728" s="19" t="str">
        <x:v>技能残页</x:v>
      </x:c>
      <x:c r="I3728" s="22" t="n">
        <x:v>1200</x:v>
      </x:c>
      <x:c r="J3728" s="22" t="n">
        <x:v>1</x:v>
      </x:c>
      <x:c r="K3728" s="19" t="n">
        <x:v>1</x:v>
      </x:c>
      <x:c r="L3728" s="24" t="n">
        <x:v>51.765</x:v>
      </x:c>
      <x:c r="M3728" s="26" t="n">
        <x:v>0.1</x:v>
      </x:c>
      <x:c r="N3728" s="24" t="n">
        <x:v>12</x:v>
      </x:c>
      <x:c r="O3728" s="28" t="n">
        <x:f>MIN(1,L3728/I3728)</x:f>
        <x:v>0.0431375</x:v>
      </x:c>
      <x:c r="P3728" s="30" t="n">
        <x:f>O3728*J3728*(1+M3728)</x:f>
        <x:v>0.04745125000000001</x:v>
      </x:c>
      <x:c r="Q3728" s="30" t="n">
        <x:f>P3728*N3728</x:f>
        <x:v>0.5694150000000001</x:v>
      </x:c>
      <x:c r="R3728" s="19" t="str">
        <x:v>独立判定</x:v>
      </x:c>
    </x:row>
    <x:row r="3729" ht="19" customHeight="1">
      <x:c r="A3729" s="19" t="str">
        <x:v>D03725</x:v>
      </x:c>
      <x:c r="B3729" s="19" t="n">
        <x:v>8</x:v>
      </x:c>
      <x:c r="C3729" s="19" t="n">
        <x:v>2</x:v>
      </x:c>
      <x:c r="D3729" s="19" t="str">
        <x:v>C08-M022</x:v>
      </x:c>
      <x:c r="E3729" s="19" t="str">
        <x:v>祭场缄誓巫</x:v>
      </x:c>
      <x:c r="F3729" s="19" t="str">
        <x:v>稀有</x:v>
      </x:c>
      <x:c r="G3729" s="19" t="str">
        <x:v>材料独立候选</x:v>
      </x:c>
      <x:c r="H3729" s="19" t="str">
        <x:v>小卢恩</x:v>
      </x:c>
      <x:c r="I3729" s="22" t="n">
        <x:v>10000</x:v>
      </x:c>
      <x:c r="J3729" s="22" t="n">
        <x:v>1</x:v>
      </x:c>
      <x:c r="K3729" s="19" t="n">
        <x:v>1</x:v>
      </x:c>
      <x:c r="L3729" s="24" t="n">
        <x:v>51.765</x:v>
      </x:c>
      <x:c r="M3729" s="26" t="n">
        <x:v>0.1</x:v>
      </x:c>
      <x:c r="N3729" s="24" t="n">
        <x:v>12</x:v>
      </x:c>
      <x:c r="O3729" s="28" t="n">
        <x:f>MIN(1,L3729/I3729)</x:f>
        <x:v>0.0051765</x:v>
      </x:c>
      <x:c r="P3729" s="30" t="n">
        <x:f>O3729*J3729*(1+M3729)</x:f>
        <x:v>0.00569415</x:v>
      </x:c>
      <x:c r="Q3729" s="30" t="n">
        <x:f>P3729*N3729</x:f>
        <x:v>0.0683298</x:v>
      </x:c>
      <x:c r="R3729" s="19" t="str">
        <x:v>独立判定</x:v>
      </x:c>
    </x:row>
    <x:row r="3730" ht="19" customHeight="1">
      <x:c r="A3730" s="19" t="str">
        <x:v>D03726</x:v>
      </x:c>
      <x:c r="B3730" s="19" t="n">
        <x:v>8</x:v>
      </x:c>
      <x:c r="C3730" s="19" t="n">
        <x:v>2</x:v>
      </x:c>
      <x:c r="D3730" s="19" t="str">
        <x:v>C08-M022</x:v>
      </x:c>
      <x:c r="E3730" s="19" t="str">
        <x:v>祭场缄誓巫</x:v>
      </x:c>
      <x:c r="F3730" s="19" t="str">
        <x:v>稀有</x:v>
      </x:c>
      <x:c r="G3730" s="19" t="str">
        <x:v>六神器公共池</x:v>
      </x:c>
      <x:c r="H3730" s="19" t="str">
        <x:v>POOL006</x:v>
      </x:c>
      <x:c r="I3730" s="22" t="n">
        <x:v>5000000</x:v>
      </x:c>
      <x:c r="J3730" s="22" t="n">
        <x:v>1</x:v>
      </x:c>
      <x:c r="K3730" s="19" t="n">
        <x:v>6</x:v>
      </x:c>
      <x:c r="L3730" s="24" t="n">
        <x:v>51.765</x:v>
      </x:c>
      <x:c r="M3730" s="26" t="n">
        <x:v>0.1</x:v>
      </x:c>
      <x:c r="N3730" s="24" t="n">
        <x:v>12</x:v>
      </x:c>
      <x:c r="O3730" s="28" t="n">
        <x:f>MIN(1,L3730/I3730)</x:f>
        <x:v>0.000010353</x:v>
      </x:c>
      <x:c r="P3730" s="30" t="n">
        <x:f>O3730*J3730*(1+M3730)</x:f>
        <x:v>0.000011388300000000002</x:v>
      </x:c>
      <x:c r="Q3730" s="30" t="n">
        <x:f>P3730*N3730</x:f>
        <x:v>0.00013665960000000004</x:v>
      </x:c>
      <x:c r="R3730" s="19" t="str">
        <x:v>六选一；非6个独立爆率</x:v>
      </x:c>
    </x:row>
    <x:row r="3731" ht="19" customHeight="1">
      <x:c r="A3731" s="19" t="str">
        <x:v>D03727</x:v>
      </x:c>
      <x:c r="B3731" s="19" t="n">
        <x:v>8</x:v>
      </x:c>
      <x:c r="C3731" s="19" t="n">
        <x:v>2</x:v>
      </x:c>
      <x:c r="D3731" s="19" t="str">
        <x:v>C08-M023</x:v>
      </x:c>
      <x:c r="E3731" s="19" t="str">
        <x:v>裂谷锻峰侯·德鲁伽</x:v>
      </x:c>
      <x:c r="F3731" s="19" t="str">
        <x:v>地图BOSS</x:v>
      </x:c>
      <x:c r="G3731" s="19" t="str">
        <x:v>自身专属</x:v>
      </x:c>
      <x:c r="H3731" s="19" t="str">
        <x:v>德鲁伽裂峰斧</x:v>
      </x:c>
      <x:c r="I3731" s="22" t="n">
        <x:v>120</x:v>
      </x:c>
      <x:c r="J3731" s="22" t="n">
        <x:v>1</x:v>
      </x:c>
      <x:c r="K3731" s="19" t="n">
        <x:v>1</x:v>
      </x:c>
      <x:c r="L3731" s="24" t="n">
        <x:v>51.765</x:v>
      </x:c>
      <x:c r="M3731" s="26" t="n">
        <x:v>0.1</x:v>
      </x:c>
      <x:c r="N3731" s="24" t="n">
        <x:v>2</x:v>
      </x:c>
      <x:c r="O3731" s="28" t="n">
        <x:f>MIN(1,L3731/I3731)</x:f>
        <x:v>0.431375</x:v>
      </x:c>
      <x:c r="P3731" s="30" t="n">
        <x:f>O3731*J3731*(1+M3731)</x:f>
        <x:v>0.47451250000000006</x:v>
      </x:c>
      <x:c r="Q3731" s="30" t="n">
        <x:f>P3731*N3731</x:f>
        <x:v>0.9490250000000001</x:v>
      </x:c>
      <x:c r="R3731" s="19" t="str">
        <x:v>独立判定</x:v>
      </x:c>
    </x:row>
    <x:row r="3732" ht="19" customHeight="1">
      <x:c r="A3732" s="19" t="str">
        <x:v>D03728</x:v>
      </x:c>
      <x:c r="B3732" s="19" t="n">
        <x:v>8</x:v>
      </x:c>
      <x:c r="C3732" s="19" t="n">
        <x:v>2</x:v>
      </x:c>
      <x:c r="D3732" s="19" t="str">
        <x:v>C08-M023</x:v>
      </x:c>
      <x:c r="E3732" s="19" t="str">
        <x:v>裂谷锻峰侯·德鲁伽</x:v>
      </x:c>
      <x:c r="F3732" s="19" t="str">
        <x:v>地图BOSS</x:v>
      </x:c>
      <x:c r="G3732" s="19" t="str">
        <x:v>本图普通兼掉候选</x:v>
      </x:c>
      <x:c r="H3732" s="19" t="str">
        <x:v>POOL062</x:v>
      </x:c>
      <x:c r="I3732" s="22" t="n">
        <x:v>120</x:v>
      </x:c>
      <x:c r="J3732" s="22" t="n">
        <x:v>1</x:v>
      </x:c>
      <x:c r="K3732" s="19" t="n">
        <x:v>1</x:v>
      </x:c>
      <x:c r="L3732" s="24" t="n">
        <x:v>51.765</x:v>
      </x:c>
      <x:c r="M3732" s="26" t="n">
        <x:v>0.1</x:v>
      </x:c>
      <x:c r="N3732" s="24" t="n">
        <x:v>2</x:v>
      </x:c>
      <x:c r="O3732" s="28" t="n">
        <x:f>MIN(1,L3732/I3732)</x:f>
        <x:v>0.431375</x:v>
      </x:c>
      <x:c r="P3732" s="30" t="n">
        <x:f>O3732*J3732*(1+M3732)</x:f>
        <x:v>0.47451250000000006</x:v>
      </x:c>
      <x:c r="Q3732" s="30" t="n">
        <x:f>P3732*N3732</x:f>
        <x:v>0.9490250000000001</x:v>
      </x:c>
      <x:c r="R3732" s="19" t="str">
        <x:v>单池选一</x:v>
      </x:c>
    </x:row>
    <x:row r="3733" ht="19" customHeight="1">
      <x:c r="A3733" s="19" t="str">
        <x:v>D03729</x:v>
      </x:c>
      <x:c r="B3733" s="19" t="n">
        <x:v>8</x:v>
      </x:c>
      <x:c r="C3733" s="19" t="n">
        <x:v>2</x:v>
      </x:c>
      <x:c r="D3733" s="19" t="str">
        <x:v>C08-M023</x:v>
      </x:c>
      <x:c r="E3733" s="19" t="str">
        <x:v>裂谷锻峰侯·德鲁伽</x:v>
      </x:c>
      <x:c r="F3733" s="19" t="str">
        <x:v>地图BOSS</x:v>
      </x:c>
      <x:c r="G3733" s="19" t="str">
        <x:v>材料独立候选</x:v>
      </x:c>
      <x:c r="H3733" s="19" t="str">
        <x:v>霜脊铁</x:v>
      </x:c>
      <x:c r="I3733" s="22" t="n">
        <x:v>400</x:v>
      </x:c>
      <x:c r="J3733" s="22" t="n">
        <x:v>30</x:v>
      </x:c>
      <x:c r="K3733" s="19" t="n">
        <x:v>1</x:v>
      </x:c>
      <x:c r="L3733" s="24" t="n">
        <x:v>51.765</x:v>
      </x:c>
      <x:c r="M3733" s="26" t="n">
        <x:v>0.1</x:v>
      </x:c>
      <x:c r="N3733" s="24" t="n">
        <x:v>2</x:v>
      </x:c>
      <x:c r="O3733" s="28" t="n">
        <x:f>MIN(1,L3733/I3733)</x:f>
        <x:v>0.1294125</x:v>
      </x:c>
      <x:c r="P3733" s="30" t="n">
        <x:f>O3733*J3733*(1+M3733)</x:f>
        <x:v>4.270612500000001</x:v>
      </x:c>
      <x:c r="Q3733" s="30" t="n">
        <x:f>P3733*N3733</x:f>
        <x:v>8.541225000000003</x:v>
      </x:c>
      <x:c r="R3733" s="19" t="str">
        <x:v>独立判定</x:v>
      </x:c>
    </x:row>
    <x:row r="3734" ht="19" customHeight="1">
      <x:c r="A3734" s="19" t="str">
        <x:v>D03730</x:v>
      </x:c>
      <x:c r="B3734" s="19" t="n">
        <x:v>8</x:v>
      </x:c>
      <x:c r="C3734" s="19" t="n">
        <x:v>2</x:v>
      </x:c>
      <x:c r="D3734" s="19" t="str">
        <x:v>C08-M023</x:v>
      </x:c>
      <x:c r="E3734" s="19" t="str">
        <x:v>裂谷锻峰侯·德鲁伽</x:v>
      </x:c>
      <x:c r="F3734" s="19" t="str">
        <x:v>地图BOSS</x:v>
      </x:c>
      <x:c r="G3734" s="19" t="str">
        <x:v>材料独立候选</x:v>
      </x:c>
      <x:c r="H3734" s="19" t="str">
        <x:v>巨人火种</x:v>
      </x:c>
      <x:c r="I3734" s="22" t="n">
        <x:v>600</x:v>
      </x:c>
      <x:c r="J3734" s="22" t="n">
        <x:v>1</x:v>
      </x:c>
      <x:c r="K3734" s="19" t="n">
        <x:v>1</x:v>
      </x:c>
      <x:c r="L3734" s="24" t="n">
        <x:v>51.765</x:v>
      </x:c>
      <x:c r="M3734" s="26" t="n">
        <x:v>0.1</x:v>
      </x:c>
      <x:c r="N3734" s="24" t="n">
        <x:v>2</x:v>
      </x:c>
      <x:c r="O3734" s="28" t="n">
        <x:f>MIN(1,L3734/I3734)</x:f>
        <x:v>0.086275</x:v>
      </x:c>
      <x:c r="P3734" s="30" t="n">
        <x:f>O3734*J3734*(1+M3734)</x:f>
        <x:v>0.09490250000000001</x:v>
      </x:c>
      <x:c r="Q3734" s="30" t="n">
        <x:f>P3734*N3734</x:f>
        <x:v>0.18980500000000003</x:v>
      </x:c>
      <x:c r="R3734" s="19" t="str">
        <x:v>独立判定</x:v>
      </x:c>
    </x:row>
    <x:row r="3735" ht="19" customHeight="1">
      <x:c r="A3735" s="19" t="str">
        <x:v>D03731</x:v>
      </x:c>
      <x:c r="B3735" s="19" t="n">
        <x:v>8</x:v>
      </x:c>
      <x:c r="C3735" s="19" t="n">
        <x:v>2</x:v>
      </x:c>
      <x:c r="D3735" s="19" t="str">
        <x:v>C08-M023</x:v>
      </x:c>
      <x:c r="E3735" s="19" t="str">
        <x:v>裂谷锻峰侯·德鲁伽</x:v>
      </x:c>
      <x:c r="F3735" s="19" t="str">
        <x:v>地图BOSS</x:v>
      </x:c>
      <x:c r="G3735" s="19" t="str">
        <x:v>材料独立候选</x:v>
      </x:c>
      <x:c r="H3735" s="19" t="str">
        <x:v>巨人火印</x:v>
      </x:c>
      <x:c r="I3735" s="22" t="n">
        <x:v>200</x:v>
      </x:c>
      <x:c r="J3735" s="22" t="n">
        <x:v>4</x:v>
      </x:c>
      <x:c r="K3735" s="19" t="n">
        <x:v>1</x:v>
      </x:c>
      <x:c r="L3735" s="24" t="n">
        <x:v>51.765</x:v>
      </x:c>
      <x:c r="M3735" s="26" t="n">
        <x:v>0.1</x:v>
      </x:c>
      <x:c r="N3735" s="24" t="n">
        <x:v>2</x:v>
      </x:c>
      <x:c r="O3735" s="28" t="n">
        <x:f>MIN(1,L3735/I3735)</x:f>
        <x:v>0.258825</x:v>
      </x:c>
      <x:c r="P3735" s="30" t="n">
        <x:f>O3735*J3735*(1+M3735)</x:f>
        <x:v>1.1388300000000002</x:v>
      </x:c>
      <x:c r="Q3735" s="30" t="n">
        <x:f>P3735*N3735</x:f>
        <x:v>2.2776600000000005</x:v>
      </x:c>
      <x:c r="R3735" s="19" t="str">
        <x:v>独立判定</x:v>
      </x:c>
    </x:row>
    <x:row r="3736" ht="19" customHeight="1">
      <x:c r="A3736" s="19" t="str">
        <x:v>D03732</x:v>
      </x:c>
      <x:c r="B3736" s="19" t="n">
        <x:v>8</x:v>
      </x:c>
      <x:c r="C3736" s="19" t="n">
        <x:v>2</x:v>
      </x:c>
      <x:c r="D3736" s="19" t="str">
        <x:v>C08-M023</x:v>
      </x:c>
      <x:c r="E3736" s="19" t="str">
        <x:v>裂谷锻峰侯·德鲁伽</x:v>
      </x:c>
      <x:c r="F3736" s="19" t="str">
        <x:v>地图BOSS</x:v>
      </x:c>
      <x:c r="G3736" s="19" t="str">
        <x:v>材料独立候选</x:v>
      </x:c>
      <x:c r="H3736" s="19" t="str">
        <x:v>冰宫守门铃</x:v>
      </x:c>
      <x:c r="I3736" s="22" t="n">
        <x:v>300</x:v>
      </x:c>
      <x:c r="J3736" s="22" t="n">
        <x:v>2</x:v>
      </x:c>
      <x:c r="K3736" s="19" t="n">
        <x:v>1</x:v>
      </x:c>
      <x:c r="L3736" s="24" t="n">
        <x:v>51.765</x:v>
      </x:c>
      <x:c r="M3736" s="26" t="n">
        <x:v>0.1</x:v>
      </x:c>
      <x:c r="N3736" s="24" t="n">
        <x:v>2</x:v>
      </x:c>
      <x:c r="O3736" s="28" t="n">
        <x:f>MIN(1,L3736/I3736)</x:f>
        <x:v>0.17255</x:v>
      </x:c>
      <x:c r="P3736" s="30" t="n">
        <x:f>O3736*J3736*(1+M3736)</x:f>
        <x:v>0.37961000000000006</x:v>
      </x:c>
      <x:c r="Q3736" s="30" t="n">
        <x:f>P3736*N3736</x:f>
        <x:v>0.7592200000000001</x:v>
      </x:c>
      <x:c r="R3736" s="19" t="str">
        <x:v>独立判定</x:v>
      </x:c>
    </x:row>
    <x:row r="3737" ht="19" customHeight="1">
      <x:c r="A3737" s="19" t="str">
        <x:v>D03733</x:v>
      </x:c>
      <x:c r="B3737" s="19" t="n">
        <x:v>8</x:v>
      </x:c>
      <x:c r="C3737" s="19" t="n">
        <x:v>2</x:v>
      </x:c>
      <x:c r="D3737" s="19" t="str">
        <x:v>C08-M023</x:v>
      </x:c>
      <x:c r="E3737" s="19" t="str">
        <x:v>裂谷锻峰侯·德鲁伽</x:v>
      </x:c>
      <x:c r="F3737" s="19" t="str">
        <x:v>地图BOSS</x:v>
      </x:c>
      <x:c r="G3737" s="19" t="str">
        <x:v>材料独立候选</x:v>
      </x:c>
      <x:c r="H3737" s="19" t="str">
        <x:v>穹霜碑珀</x:v>
      </x:c>
      <x:c r="I3737" s="22" t="n">
        <x:v>800000</x:v>
      </x:c>
      <x:c r="J3737" s="22" t="n">
        <x:v>1</x:v>
      </x:c>
      <x:c r="K3737" s="19" t="n">
        <x:v>1</x:v>
      </x:c>
      <x:c r="L3737" s="24" t="n">
        <x:v>51.765</x:v>
      </x:c>
      <x:c r="M3737" s="26" t="n">
        <x:v>0.1</x:v>
      </x:c>
      <x:c r="N3737" s="24" t="n">
        <x:v>2</x:v>
      </x:c>
      <x:c r="O3737" s="28" t="n">
        <x:f>MIN(1,L3737/I3737)</x:f>
        <x:v>0.00006470625</x:v>
      </x:c>
      <x:c r="P3737" s="30" t="n">
        <x:f>O3737*J3737*(1+M3737)</x:f>
        <x:v>0.00007117687500000001</x:v>
      </x:c>
      <x:c r="Q3737" s="30" t="n">
        <x:f>P3737*N3737</x:f>
        <x:v>0.00014235375000000002</x:v>
      </x:c>
      <x:c r="R3737" s="19" t="str">
        <x:v>独立判定</x:v>
      </x:c>
    </x:row>
    <x:row r="3738" ht="19" customHeight="1">
      <x:c r="A3738" s="19" t="str">
        <x:v>D03734</x:v>
      </x:c>
      <x:c r="B3738" s="19" t="n">
        <x:v>8</x:v>
      </x:c>
      <x:c r="C3738" s="19" t="n">
        <x:v>2</x:v>
      </x:c>
      <x:c r="D3738" s="19" t="str">
        <x:v>C08-M023</x:v>
      </x:c>
      <x:c r="E3738" s="19" t="str">
        <x:v>裂谷锻峰侯·德鲁伽</x:v>
      </x:c>
      <x:c r="F3738" s="19" t="str">
        <x:v>地图BOSS</x:v>
      </x:c>
      <x:c r="G3738" s="19" t="str">
        <x:v>材料独立候选</x:v>
      </x:c>
      <x:c r="H3738" s="19" t="str">
        <x:v>黄金树芽</x:v>
      </x:c>
      <x:c r="I3738" s="22" t="n">
        <x:v>800</x:v>
      </x:c>
      <x:c r="J3738" s="22" t="n">
        <x:v>1</x:v>
      </x:c>
      <x:c r="K3738" s="19" t="n">
        <x:v>1</x:v>
      </x:c>
      <x:c r="L3738" s="24" t="n">
        <x:v>51.765</x:v>
      </x:c>
      <x:c r="M3738" s="26" t="n">
        <x:v>0.1</x:v>
      </x:c>
      <x:c r="N3738" s="24" t="n">
        <x:v>2</x:v>
      </x:c>
      <x:c r="O3738" s="28" t="n">
        <x:f>MIN(1,L3738/I3738)</x:f>
        <x:v>0.06470625</x:v>
      </x:c>
      <x:c r="P3738" s="30" t="n">
        <x:f>O3738*J3738*(1+M3738)</x:f>
        <x:v>0.07117687500000001</x:v>
      </x:c>
      <x:c r="Q3738" s="30" t="n">
        <x:f>P3738*N3738</x:f>
        <x:v>0.14235375000000003</x:v>
      </x:c>
      <x:c r="R3738" s="19" t="str">
        <x:v>独立判定</x:v>
      </x:c>
    </x:row>
    <x:row r="3739" ht="19" customHeight="1">
      <x:c r="A3739" s="19" t="str">
        <x:v>D03735</x:v>
      </x:c>
      <x:c r="B3739" s="19" t="n">
        <x:v>8</x:v>
      </x:c>
      <x:c r="C3739" s="19" t="n">
        <x:v>2</x:v>
      </x:c>
      <x:c r="D3739" s="19" t="str">
        <x:v>C08-M023</x:v>
      </x:c>
      <x:c r="E3739" s="19" t="str">
        <x:v>裂谷锻峰侯·德鲁伽</x:v>
      </x:c>
      <x:c r="F3739" s="19" t="str">
        <x:v>地图BOSS</x:v>
      </x:c>
      <x:c r="G3739" s="19" t="str">
        <x:v>材料独立候选</x:v>
      </x:c>
      <x:c r="H3739" s="19" t="str">
        <x:v>野兽骨片</x:v>
      </x:c>
      <x:c r="I3739" s="22" t="n">
        <x:v>80</x:v>
      </x:c>
      <x:c r="J3739" s="22" t="n">
        <x:v>5</x:v>
      </x:c>
      <x:c r="K3739" s="19" t="n">
        <x:v>1</x:v>
      </x:c>
      <x:c r="L3739" s="24" t="n">
        <x:v>51.765</x:v>
      </x:c>
      <x:c r="M3739" s="26" t="n">
        <x:v>0.1</x:v>
      </x:c>
      <x:c r="N3739" s="24" t="n">
        <x:v>2</x:v>
      </x:c>
      <x:c r="O3739" s="28" t="n">
        <x:f>MIN(1,L3739/I3739)</x:f>
        <x:v>0.6470625</x:v>
      </x:c>
      <x:c r="P3739" s="30" t="n">
        <x:f>O3739*J3739*(1+M3739)</x:f>
        <x:v>3.5588437500000003</x:v>
      </x:c>
      <x:c r="Q3739" s="30" t="n">
        <x:f>P3739*N3739</x:f>
        <x:v>7.117687500000001</x:v>
      </x:c>
      <x:c r="R3739" s="19" t="str">
        <x:v>独立判定</x:v>
      </x:c>
    </x:row>
    <x:row r="3740" ht="19" customHeight="1">
      <x:c r="A3740" s="19" t="str">
        <x:v>D03736</x:v>
      </x:c>
      <x:c r="B3740" s="19" t="n">
        <x:v>8</x:v>
      </x:c>
      <x:c r="C3740" s="19" t="n">
        <x:v>2</x:v>
      </x:c>
      <x:c r="D3740" s="19" t="str">
        <x:v>C08-M023</x:v>
      </x:c>
      <x:c r="E3740" s="19" t="str">
        <x:v>裂谷锻峰侯·德鲁伽</x:v>
      </x:c>
      <x:c r="F3740" s="19" t="str">
        <x:v>地图BOSS</x:v>
      </x:c>
      <x:c r="G3740" s="19" t="str">
        <x:v>材料独立候选</x:v>
      </x:c>
      <x:c r="H3740" s="19" t="str">
        <x:v>技能残页</x:v>
      </x:c>
      <x:c r="I3740" s="22" t="n">
        <x:v>600</x:v>
      </x:c>
      <x:c r="J3740" s="22" t="n">
        <x:v>1</x:v>
      </x:c>
      <x:c r="K3740" s="19" t="n">
        <x:v>1</x:v>
      </x:c>
      <x:c r="L3740" s="24" t="n">
        <x:v>51.765</x:v>
      </x:c>
      <x:c r="M3740" s="26" t="n">
        <x:v>0.1</x:v>
      </x:c>
      <x:c r="N3740" s="24" t="n">
        <x:v>2</x:v>
      </x:c>
      <x:c r="O3740" s="28" t="n">
        <x:f>MIN(1,L3740/I3740)</x:f>
        <x:v>0.086275</x:v>
      </x:c>
      <x:c r="P3740" s="30" t="n">
        <x:f>O3740*J3740*(1+M3740)</x:f>
        <x:v>0.09490250000000001</x:v>
      </x:c>
      <x:c r="Q3740" s="30" t="n">
        <x:f>P3740*N3740</x:f>
        <x:v>0.18980500000000003</x:v>
      </x:c>
      <x:c r="R3740" s="19" t="str">
        <x:v>独立判定</x:v>
      </x:c>
    </x:row>
    <x:row r="3741" ht="19" customHeight="1">
      <x:c r="A3741" s="19" t="str">
        <x:v>D03737</x:v>
      </x:c>
      <x:c r="B3741" s="19" t="n">
        <x:v>8</x:v>
      </x:c>
      <x:c r="C3741" s="19" t="n">
        <x:v>2</x:v>
      </x:c>
      <x:c r="D3741" s="19" t="str">
        <x:v>C08-M023</x:v>
      </x:c>
      <x:c r="E3741" s="19" t="str">
        <x:v>裂谷锻峰侯·德鲁伽</x:v>
      </x:c>
      <x:c r="F3741" s="19" t="str">
        <x:v>地图BOSS</x:v>
      </x:c>
      <x:c r="G3741" s="19" t="str">
        <x:v>材料独立候选</x:v>
      </x:c>
      <x:c r="H3741" s="19" t="str">
        <x:v>宁姆格福誓页</x:v>
      </x:c>
      <x:c r="I3741" s="22" t="n">
        <x:v>600</x:v>
      </x:c>
      <x:c r="J3741" s="22" t="n">
        <x:v>1</x:v>
      </x:c>
      <x:c r="K3741" s="19" t="n">
        <x:v>1</x:v>
      </x:c>
      <x:c r="L3741" s="24" t="n">
        <x:v>51.765</x:v>
      </x:c>
      <x:c r="M3741" s="26" t="n">
        <x:v>0.1</x:v>
      </x:c>
      <x:c r="N3741" s="24" t="n">
        <x:v>2</x:v>
      </x:c>
      <x:c r="O3741" s="28" t="n">
        <x:f>MIN(1,L3741/I3741)</x:f>
        <x:v>0.086275</x:v>
      </x:c>
      <x:c r="P3741" s="30" t="n">
        <x:f>O3741*J3741*(1+M3741)</x:f>
        <x:v>0.09490250000000001</x:v>
      </x:c>
      <x:c r="Q3741" s="30" t="n">
        <x:f>P3741*N3741</x:f>
        <x:v>0.18980500000000003</x:v>
      </x:c>
      <x:c r="R3741" s="19" t="str">
        <x:v>独立判定</x:v>
      </x:c>
    </x:row>
    <x:row r="3742" ht="19" customHeight="1">
      <x:c r="A3742" s="19" t="str">
        <x:v>D03738</x:v>
      </x:c>
      <x:c r="B3742" s="19" t="n">
        <x:v>8</x:v>
      </x:c>
      <x:c r="C3742" s="19" t="n">
        <x:v>2</x:v>
      </x:c>
      <x:c r="D3742" s="19" t="str">
        <x:v>C08-M023</x:v>
      </x:c>
      <x:c r="E3742" s="19" t="str">
        <x:v>裂谷锻峰侯·德鲁伽</x:v>
      </x:c>
      <x:c r="F3742" s="19" t="str">
        <x:v>地图BOSS</x:v>
      </x:c>
      <x:c r="G3742" s="19" t="str">
        <x:v>材料独立候选</x:v>
      </x:c>
      <x:c r="H3742" s="19" t="str">
        <x:v>小卢恩</x:v>
      </x:c>
      <x:c r="I3742" s="22" t="n">
        <x:v>5000</x:v>
      </x:c>
      <x:c r="J3742" s="22" t="n">
        <x:v>1</x:v>
      </x:c>
      <x:c r="K3742" s="19" t="n">
        <x:v>1</x:v>
      </x:c>
      <x:c r="L3742" s="24" t="n">
        <x:v>51.765</x:v>
      </x:c>
      <x:c r="M3742" s="26" t="n">
        <x:v>0.1</x:v>
      </x:c>
      <x:c r="N3742" s="24" t="n">
        <x:v>2</x:v>
      </x:c>
      <x:c r="O3742" s="28" t="n">
        <x:f>MIN(1,L3742/I3742)</x:f>
        <x:v>0.010353</x:v>
      </x:c>
      <x:c r="P3742" s="30" t="n">
        <x:f>O3742*J3742*(1+M3742)</x:f>
        <x:v>0.0113883</x:v>
      </x:c>
      <x:c r="Q3742" s="30" t="n">
        <x:f>P3742*N3742</x:f>
        <x:v>0.0227766</x:v>
      </x:c>
      <x:c r="R3742" s="19" t="str">
        <x:v>独立判定</x:v>
      </x:c>
    </x:row>
    <x:row r="3743" ht="19" customHeight="1">
      <x:c r="A3743" s="19" t="str">
        <x:v>D03739</x:v>
      </x:c>
      <x:c r="B3743" s="19" t="n">
        <x:v>8</x:v>
      </x:c>
      <x:c r="C3743" s="19" t="n">
        <x:v>2</x:v>
      </x:c>
      <x:c r="D3743" s="19" t="str">
        <x:v>C08-M023</x:v>
      </x:c>
      <x:c r="E3743" s="19" t="str">
        <x:v>裂谷锻峰侯·德鲁伽</x:v>
      </x:c>
      <x:c r="F3743" s="19" t="str">
        <x:v>地图BOSS</x:v>
      </x:c>
      <x:c r="G3743" s="19" t="str">
        <x:v>材料独立候选</x:v>
      </x:c>
      <x:c r="H3743" s="19" t="str">
        <x:v>大卢恩</x:v>
      </x:c>
      <x:c r="I3743" s="22" t="n">
        <x:v>500</x:v>
      </x:c>
      <x:c r="J3743" s="22" t="n">
        <x:v>1</x:v>
      </x:c>
      <x:c r="K3743" s="19" t="n">
        <x:v>1</x:v>
      </x:c>
      <x:c r="L3743" s="24" t="n">
        <x:v>51.765</x:v>
      </x:c>
      <x:c r="M3743" s="26" t="n">
        <x:v>0.1</x:v>
      </x:c>
      <x:c r="N3743" s="24" t="n">
        <x:v>2</x:v>
      </x:c>
      <x:c r="O3743" s="28" t="n">
        <x:f>MIN(1,L3743/I3743)</x:f>
        <x:v>0.10353</x:v>
      </x:c>
      <x:c r="P3743" s="30" t="n">
        <x:f>O3743*J3743*(1+M3743)</x:f>
        <x:v>0.11388300000000001</x:v>
      </x:c>
      <x:c r="Q3743" s="30" t="n">
        <x:f>P3743*N3743</x:f>
        <x:v>0.22776600000000002</x:v>
      </x:c>
      <x:c r="R3743" s="19" t="str">
        <x:v>独立判定</x:v>
      </x:c>
    </x:row>
    <x:row r="3744" ht="19" customHeight="1">
      <x:c r="A3744" s="19" t="str">
        <x:v>D03740</x:v>
      </x:c>
      <x:c r="B3744" s="19" t="n">
        <x:v>8</x:v>
      </x:c>
      <x:c r="C3744" s="19" t="n">
        <x:v>2</x:v>
      </x:c>
      <x:c r="D3744" s="19" t="str">
        <x:v>C08-M023</x:v>
      </x:c>
      <x:c r="E3744" s="19" t="str">
        <x:v>裂谷锻峰侯·德鲁伽</x:v>
      </x:c>
      <x:c r="F3744" s="19" t="str">
        <x:v>地图BOSS</x:v>
      </x:c>
      <x:c r="G3744" s="19" t="str">
        <x:v>材料独立候选</x:v>
      </x:c>
      <x:c r="H3744" s="19" t="str">
        <x:v>巨人熔火卢恩</x:v>
      </x:c>
      <x:c r="I3744" s="22" t="n">
        <x:v>250</x:v>
      </x:c>
      <x:c r="J3744" s="22" t="n">
        <x:v>20</x:v>
      </x:c>
      <x:c r="K3744" s="19" t="n">
        <x:v>1</x:v>
      </x:c>
      <x:c r="L3744" s="24" t="n">
        <x:v>51.765</x:v>
      </x:c>
      <x:c r="M3744" s="26" t="n">
        <x:v>0.1</x:v>
      </x:c>
      <x:c r="N3744" s="24" t="n">
        <x:v>2</x:v>
      </x:c>
      <x:c r="O3744" s="28" t="n">
        <x:f>MIN(1,L3744/I3744)</x:f>
        <x:v>0.20706</x:v>
      </x:c>
      <x:c r="P3744" s="30" t="n">
        <x:f>O3744*J3744*(1+M3744)</x:f>
        <x:v>4.55532</x:v>
      </x:c>
      <x:c r="Q3744" s="30" t="n">
        <x:f>P3744*N3744</x:f>
        <x:v>9.11064</x:v>
      </x:c>
      <x:c r="R3744" s="19" t="str">
        <x:v>独立判定</x:v>
      </x:c>
    </x:row>
    <x:row r="3745" ht="19" customHeight="1">
      <x:c r="A3745" s="19" t="str">
        <x:v>D03741</x:v>
      </x:c>
      <x:c r="B3745" s="19" t="n">
        <x:v>8</x:v>
      </x:c>
      <x:c r="C3745" s="19" t="n">
        <x:v>2</x:v>
      </x:c>
      <x:c r="D3745" s="19" t="str">
        <x:v>C08-M023</x:v>
      </x:c>
      <x:c r="E3745" s="19" t="str">
        <x:v>裂谷锻峰侯·德鲁伽</x:v>
      </x:c>
      <x:c r="F3745" s="19" t="str">
        <x:v>地图BOSS</x:v>
      </x:c>
      <x:c r="G3745" s="19" t="str">
        <x:v>六神器公共池</x:v>
      </x:c>
      <x:c r="H3745" s="19" t="str">
        <x:v>POOL006</x:v>
      </x:c>
      <x:c r="I3745" s="22" t="n">
        <x:v>200000</x:v>
      </x:c>
      <x:c r="J3745" s="22" t="n">
        <x:v>1</x:v>
      </x:c>
      <x:c r="K3745" s="19" t="n">
        <x:v>6</x:v>
      </x:c>
      <x:c r="L3745" s="24" t="n">
        <x:v>51.765</x:v>
      </x:c>
      <x:c r="M3745" s="26" t="n">
        <x:v>0.1</x:v>
      </x:c>
      <x:c r="N3745" s="24" t="n">
        <x:v>2</x:v>
      </x:c>
      <x:c r="O3745" s="28" t="n">
        <x:f>MIN(1,L3745/I3745)</x:f>
        <x:v>0.000258825</x:v>
      </x:c>
      <x:c r="P3745" s="30" t="n">
        <x:f>O3745*J3745*(1+M3745)</x:f>
        <x:v>0.00028470750000000005</x:v>
      </x:c>
      <x:c r="Q3745" s="30" t="n">
        <x:f>P3745*N3745</x:f>
        <x:v>0.0005694150000000001</x:v>
      </x:c>
      <x:c r="R3745" s="19" t="str">
        <x:v>六选一；非6个独立爆率</x:v>
      </x:c>
    </x:row>
    <x:row r="3746" ht="19" customHeight="1">
      <x:c r="A3746" s="19" t="str">
        <x:v>D03742</x:v>
      </x:c>
      <x:c r="B3746" s="19" t="n">
        <x:v>8</x:v>
      </x:c>
      <x:c r="C3746" s="19" t="n">
        <x:v>2</x:v>
      </x:c>
      <x:c r="D3746" s="19" t="str">
        <x:v>C08-M024</x:v>
      </x:c>
      <x:c r="E3746" s="19" t="str">
        <x:v>断峰献祭者·维瑟娅</x:v>
      </x:c>
      <x:c r="F3746" s="19" t="str">
        <x:v>地图BOSS</x:v>
      </x:c>
      <x:c r="G3746" s="19" t="str">
        <x:v>自身专属</x:v>
      </x:c>
      <x:c r="H3746" s="19" t="str">
        <x:v>维瑟娅霜祭衣</x:v>
      </x:c>
      <x:c r="I3746" s="22" t="n">
        <x:v>250</x:v>
      </x:c>
      <x:c r="J3746" s="22" t="n">
        <x:v>1</x:v>
      </x:c>
      <x:c r="K3746" s="19" t="n">
        <x:v>1</x:v>
      </x:c>
      <x:c r="L3746" s="24" t="n">
        <x:v>51.765</x:v>
      </x:c>
      <x:c r="M3746" s="26" t="n">
        <x:v>0.1</x:v>
      </x:c>
      <x:c r="N3746" s="24" t="n">
        <x:v>2</x:v>
      </x:c>
      <x:c r="O3746" s="28" t="n">
        <x:f>MIN(1,L3746/I3746)</x:f>
        <x:v>0.20706</x:v>
      </x:c>
      <x:c r="P3746" s="30" t="n">
        <x:f>O3746*J3746*(1+M3746)</x:f>
        <x:v>0.22776600000000002</x:v>
      </x:c>
      <x:c r="Q3746" s="30" t="n">
        <x:f>P3746*N3746</x:f>
        <x:v>0.45553200000000005</x:v>
      </x:c>
      <x:c r="R3746" s="19" t="str">
        <x:v>独立判定</x:v>
      </x:c>
    </x:row>
    <x:row r="3747" ht="19" customHeight="1">
      <x:c r="A3747" s="19" t="str">
        <x:v>D03743</x:v>
      </x:c>
      <x:c r="B3747" s="19" t="n">
        <x:v>8</x:v>
      </x:c>
      <x:c r="C3747" s="19" t="n">
        <x:v>2</x:v>
      </x:c>
      <x:c r="D3747" s="19" t="str">
        <x:v>C08-M024</x:v>
      </x:c>
      <x:c r="E3747" s="19" t="str">
        <x:v>断峰献祭者·维瑟娅</x:v>
      </x:c>
      <x:c r="F3747" s="19" t="str">
        <x:v>地图BOSS</x:v>
      </x:c>
      <x:c r="G3747" s="19" t="str">
        <x:v>自身专属</x:v>
      </x:c>
      <x:c r="H3747" s="19" t="str">
        <x:v>冰宫残铃</x:v>
      </x:c>
      <x:c r="I3747" s="22" t="n">
        <x:v>250</x:v>
      </x:c>
      <x:c r="J3747" s="22" t="n">
        <x:v>1</x:v>
      </x:c>
      <x:c r="K3747" s="19" t="n">
        <x:v>1</x:v>
      </x:c>
      <x:c r="L3747" s="24" t="n">
        <x:v>51.765</x:v>
      </x:c>
      <x:c r="M3747" s="26" t="n">
        <x:v>0.1</x:v>
      </x:c>
      <x:c r="N3747" s="24" t="n">
        <x:v>2</x:v>
      </x:c>
      <x:c r="O3747" s="28" t="n">
        <x:f>MIN(1,L3747/I3747)</x:f>
        <x:v>0.20706</x:v>
      </x:c>
      <x:c r="P3747" s="30" t="n">
        <x:f>O3747*J3747*(1+M3747)</x:f>
        <x:v>0.22776600000000002</x:v>
      </x:c>
      <x:c r="Q3747" s="30" t="n">
        <x:f>P3747*N3747</x:f>
        <x:v>0.45553200000000005</x:v>
      </x:c>
      <x:c r="R3747" s="19" t="str">
        <x:v>独立判定</x:v>
      </x:c>
    </x:row>
    <x:row r="3748" ht="19" customHeight="1">
      <x:c r="A3748" s="19" t="str">
        <x:v>D03744</x:v>
      </x:c>
      <x:c r="B3748" s="19" t="n">
        <x:v>8</x:v>
      </x:c>
      <x:c r="C3748" s="19" t="n">
        <x:v>2</x:v>
      </x:c>
      <x:c r="D3748" s="19" t="str">
        <x:v>C08-M024</x:v>
      </x:c>
      <x:c r="E3748" s="19" t="str">
        <x:v>断峰献祭者·维瑟娅</x:v>
      </x:c>
      <x:c r="F3748" s="19" t="str">
        <x:v>地图BOSS</x:v>
      </x:c>
      <x:c r="G3748" s="19" t="str">
        <x:v>本图普通兼掉候选</x:v>
      </x:c>
      <x:c r="H3748" s="19" t="str">
        <x:v>POOL063</x:v>
      </x:c>
      <x:c r="I3748" s="22" t="n">
        <x:v>120</x:v>
      </x:c>
      <x:c r="J3748" s="22" t="n">
        <x:v>1</x:v>
      </x:c>
      <x:c r="K3748" s="19" t="n">
        <x:v>1</x:v>
      </x:c>
      <x:c r="L3748" s="24" t="n">
        <x:v>51.765</x:v>
      </x:c>
      <x:c r="M3748" s="26" t="n">
        <x:v>0.1</x:v>
      </x:c>
      <x:c r="N3748" s="24" t="n">
        <x:v>2</x:v>
      </x:c>
      <x:c r="O3748" s="28" t="n">
        <x:f>MIN(1,L3748/I3748)</x:f>
        <x:v>0.431375</x:v>
      </x:c>
      <x:c r="P3748" s="30" t="n">
        <x:f>O3748*J3748*(1+M3748)</x:f>
        <x:v>0.47451250000000006</x:v>
      </x:c>
      <x:c r="Q3748" s="30" t="n">
        <x:f>P3748*N3748</x:f>
        <x:v>0.9490250000000001</x:v>
      </x:c>
      <x:c r="R3748" s="19" t="str">
        <x:v>单池选一</x:v>
      </x:c>
    </x:row>
    <x:row r="3749" ht="19" customHeight="1">
      <x:c r="A3749" s="19" t="str">
        <x:v>D03745</x:v>
      </x:c>
      <x:c r="B3749" s="19" t="n">
        <x:v>8</x:v>
      </x:c>
      <x:c r="C3749" s="19" t="n">
        <x:v>2</x:v>
      </x:c>
      <x:c r="D3749" s="19" t="str">
        <x:v>C08-M024</x:v>
      </x:c>
      <x:c r="E3749" s="19" t="str">
        <x:v>断峰献祭者·维瑟娅</x:v>
      </x:c>
      <x:c r="F3749" s="19" t="str">
        <x:v>地图BOSS</x:v>
      </x:c>
      <x:c r="G3749" s="19" t="str">
        <x:v>材料独立候选</x:v>
      </x:c>
      <x:c r="H3749" s="19" t="str">
        <x:v>霜脊铁</x:v>
      </x:c>
      <x:c r="I3749" s="22" t="n">
        <x:v>400</x:v>
      </x:c>
      <x:c r="J3749" s="22" t="n">
        <x:v>30</x:v>
      </x:c>
      <x:c r="K3749" s="19" t="n">
        <x:v>1</x:v>
      </x:c>
      <x:c r="L3749" s="24" t="n">
        <x:v>51.765</x:v>
      </x:c>
      <x:c r="M3749" s="26" t="n">
        <x:v>0.1</x:v>
      </x:c>
      <x:c r="N3749" s="24" t="n">
        <x:v>2</x:v>
      </x:c>
      <x:c r="O3749" s="28" t="n">
        <x:f>MIN(1,L3749/I3749)</x:f>
        <x:v>0.1294125</x:v>
      </x:c>
      <x:c r="P3749" s="30" t="n">
        <x:f>O3749*J3749*(1+M3749)</x:f>
        <x:v>4.270612500000001</x:v>
      </x:c>
      <x:c r="Q3749" s="30" t="n">
        <x:f>P3749*N3749</x:f>
        <x:v>8.541225000000003</x:v>
      </x:c>
      <x:c r="R3749" s="19" t="str">
        <x:v>独立判定</x:v>
      </x:c>
    </x:row>
    <x:row r="3750" ht="19" customHeight="1">
      <x:c r="A3750" s="19" t="str">
        <x:v>D03746</x:v>
      </x:c>
      <x:c r="B3750" s="19" t="n">
        <x:v>8</x:v>
      </x:c>
      <x:c r="C3750" s="19" t="n">
        <x:v>2</x:v>
      </x:c>
      <x:c r="D3750" s="19" t="str">
        <x:v>C08-M024</x:v>
      </x:c>
      <x:c r="E3750" s="19" t="str">
        <x:v>断峰献祭者·维瑟娅</x:v>
      </x:c>
      <x:c r="F3750" s="19" t="str">
        <x:v>地图BOSS</x:v>
      </x:c>
      <x:c r="G3750" s="19" t="str">
        <x:v>材料独立候选</x:v>
      </x:c>
      <x:c r="H3750" s="19" t="str">
        <x:v>巨人火种</x:v>
      </x:c>
      <x:c r="I3750" s="22" t="n">
        <x:v>600</x:v>
      </x:c>
      <x:c r="J3750" s="22" t="n">
        <x:v>1</x:v>
      </x:c>
      <x:c r="K3750" s="19" t="n">
        <x:v>1</x:v>
      </x:c>
      <x:c r="L3750" s="24" t="n">
        <x:v>51.765</x:v>
      </x:c>
      <x:c r="M3750" s="26" t="n">
        <x:v>0.1</x:v>
      </x:c>
      <x:c r="N3750" s="24" t="n">
        <x:v>2</x:v>
      </x:c>
      <x:c r="O3750" s="28" t="n">
        <x:f>MIN(1,L3750/I3750)</x:f>
        <x:v>0.086275</x:v>
      </x:c>
      <x:c r="P3750" s="30" t="n">
        <x:f>O3750*J3750*(1+M3750)</x:f>
        <x:v>0.09490250000000001</x:v>
      </x:c>
      <x:c r="Q3750" s="30" t="n">
        <x:f>P3750*N3750</x:f>
        <x:v>0.18980500000000003</x:v>
      </x:c>
      <x:c r="R3750" s="19" t="str">
        <x:v>独立判定</x:v>
      </x:c>
    </x:row>
    <x:row r="3751" ht="19" customHeight="1">
      <x:c r="A3751" s="19" t="str">
        <x:v>D03747</x:v>
      </x:c>
      <x:c r="B3751" s="19" t="n">
        <x:v>8</x:v>
      </x:c>
      <x:c r="C3751" s="19" t="n">
        <x:v>2</x:v>
      </x:c>
      <x:c r="D3751" s="19" t="str">
        <x:v>C08-M024</x:v>
      </x:c>
      <x:c r="E3751" s="19" t="str">
        <x:v>断峰献祭者·维瑟娅</x:v>
      </x:c>
      <x:c r="F3751" s="19" t="str">
        <x:v>地图BOSS</x:v>
      </x:c>
      <x:c r="G3751" s="19" t="str">
        <x:v>材料独立候选</x:v>
      </x:c>
      <x:c r="H3751" s="19" t="str">
        <x:v>巨人火印</x:v>
      </x:c>
      <x:c r="I3751" s="22" t="n">
        <x:v>200</x:v>
      </x:c>
      <x:c r="J3751" s="22" t="n">
        <x:v>4</x:v>
      </x:c>
      <x:c r="K3751" s="19" t="n">
        <x:v>1</x:v>
      </x:c>
      <x:c r="L3751" s="24" t="n">
        <x:v>51.765</x:v>
      </x:c>
      <x:c r="M3751" s="26" t="n">
        <x:v>0.1</x:v>
      </x:c>
      <x:c r="N3751" s="24" t="n">
        <x:v>2</x:v>
      </x:c>
      <x:c r="O3751" s="28" t="n">
        <x:f>MIN(1,L3751/I3751)</x:f>
        <x:v>0.258825</x:v>
      </x:c>
      <x:c r="P3751" s="30" t="n">
        <x:f>O3751*J3751*(1+M3751)</x:f>
        <x:v>1.1388300000000002</x:v>
      </x:c>
      <x:c r="Q3751" s="30" t="n">
        <x:f>P3751*N3751</x:f>
        <x:v>2.2776600000000005</x:v>
      </x:c>
      <x:c r="R3751" s="19" t="str">
        <x:v>独立判定</x:v>
      </x:c>
    </x:row>
    <x:row r="3752" ht="19" customHeight="1">
      <x:c r="A3752" s="19" t="str">
        <x:v>D03748</x:v>
      </x:c>
      <x:c r="B3752" s="19" t="n">
        <x:v>8</x:v>
      </x:c>
      <x:c r="C3752" s="19" t="n">
        <x:v>2</x:v>
      </x:c>
      <x:c r="D3752" s="19" t="str">
        <x:v>C08-M024</x:v>
      </x:c>
      <x:c r="E3752" s="19" t="str">
        <x:v>断峰献祭者·维瑟娅</x:v>
      </x:c>
      <x:c r="F3752" s="19" t="str">
        <x:v>地图BOSS</x:v>
      </x:c>
      <x:c r="G3752" s="19" t="str">
        <x:v>材料独立候选</x:v>
      </x:c>
      <x:c r="H3752" s="19" t="str">
        <x:v>冰宫守门铃</x:v>
      </x:c>
      <x:c r="I3752" s="22" t="n">
        <x:v>300</x:v>
      </x:c>
      <x:c r="J3752" s="22" t="n">
        <x:v>2</x:v>
      </x:c>
      <x:c r="K3752" s="19" t="n">
        <x:v>1</x:v>
      </x:c>
      <x:c r="L3752" s="24" t="n">
        <x:v>51.765</x:v>
      </x:c>
      <x:c r="M3752" s="26" t="n">
        <x:v>0.1</x:v>
      </x:c>
      <x:c r="N3752" s="24" t="n">
        <x:v>2</x:v>
      </x:c>
      <x:c r="O3752" s="28" t="n">
        <x:f>MIN(1,L3752/I3752)</x:f>
        <x:v>0.17255</x:v>
      </x:c>
      <x:c r="P3752" s="30" t="n">
        <x:f>O3752*J3752*(1+M3752)</x:f>
        <x:v>0.37961000000000006</x:v>
      </x:c>
      <x:c r="Q3752" s="30" t="n">
        <x:f>P3752*N3752</x:f>
        <x:v>0.7592200000000001</x:v>
      </x:c>
      <x:c r="R3752" s="19" t="str">
        <x:v>独立判定</x:v>
      </x:c>
    </x:row>
    <x:row r="3753" ht="19" customHeight="1">
      <x:c r="A3753" s="19" t="str">
        <x:v>D03749</x:v>
      </x:c>
      <x:c r="B3753" s="19" t="n">
        <x:v>8</x:v>
      </x:c>
      <x:c r="C3753" s="19" t="n">
        <x:v>2</x:v>
      </x:c>
      <x:c r="D3753" s="19" t="str">
        <x:v>C08-M024</x:v>
      </x:c>
      <x:c r="E3753" s="19" t="str">
        <x:v>断峰献祭者·维瑟娅</x:v>
      </x:c>
      <x:c r="F3753" s="19" t="str">
        <x:v>地图BOSS</x:v>
      </x:c>
      <x:c r="G3753" s="19" t="str">
        <x:v>材料独立候选</x:v>
      </x:c>
      <x:c r="H3753" s="19" t="str">
        <x:v>穹霜碑珀</x:v>
      </x:c>
      <x:c r="I3753" s="22" t="n">
        <x:v>800000</x:v>
      </x:c>
      <x:c r="J3753" s="22" t="n">
        <x:v>1</x:v>
      </x:c>
      <x:c r="K3753" s="19" t="n">
        <x:v>1</x:v>
      </x:c>
      <x:c r="L3753" s="24" t="n">
        <x:v>51.765</x:v>
      </x:c>
      <x:c r="M3753" s="26" t="n">
        <x:v>0.1</x:v>
      </x:c>
      <x:c r="N3753" s="24" t="n">
        <x:v>2</x:v>
      </x:c>
      <x:c r="O3753" s="28" t="n">
        <x:f>MIN(1,L3753/I3753)</x:f>
        <x:v>0.00006470625</x:v>
      </x:c>
      <x:c r="P3753" s="30" t="n">
        <x:f>O3753*J3753*(1+M3753)</x:f>
        <x:v>0.00007117687500000001</x:v>
      </x:c>
      <x:c r="Q3753" s="30" t="n">
        <x:f>P3753*N3753</x:f>
        <x:v>0.00014235375000000002</x:v>
      </x:c>
      <x:c r="R3753" s="19" t="str">
        <x:v>独立判定</x:v>
      </x:c>
    </x:row>
    <x:row r="3754" ht="19" customHeight="1">
      <x:c r="A3754" s="19" t="str">
        <x:v>D03750</x:v>
      </x:c>
      <x:c r="B3754" s="19" t="n">
        <x:v>8</x:v>
      </x:c>
      <x:c r="C3754" s="19" t="n">
        <x:v>2</x:v>
      </x:c>
      <x:c r="D3754" s="19" t="str">
        <x:v>C08-M024</x:v>
      </x:c>
      <x:c r="E3754" s="19" t="str">
        <x:v>断峰献祭者·维瑟娅</x:v>
      </x:c>
      <x:c r="F3754" s="19" t="str">
        <x:v>地图BOSS</x:v>
      </x:c>
      <x:c r="G3754" s="19" t="str">
        <x:v>材料独立候选</x:v>
      </x:c>
      <x:c r="H3754" s="19" t="str">
        <x:v>黄金树芽</x:v>
      </x:c>
      <x:c r="I3754" s="22" t="n">
        <x:v>800</x:v>
      </x:c>
      <x:c r="J3754" s="22" t="n">
        <x:v>1</x:v>
      </x:c>
      <x:c r="K3754" s="19" t="n">
        <x:v>1</x:v>
      </x:c>
      <x:c r="L3754" s="24" t="n">
        <x:v>51.765</x:v>
      </x:c>
      <x:c r="M3754" s="26" t="n">
        <x:v>0.1</x:v>
      </x:c>
      <x:c r="N3754" s="24" t="n">
        <x:v>2</x:v>
      </x:c>
      <x:c r="O3754" s="28" t="n">
        <x:f>MIN(1,L3754/I3754)</x:f>
        <x:v>0.06470625</x:v>
      </x:c>
      <x:c r="P3754" s="30" t="n">
        <x:f>O3754*J3754*(1+M3754)</x:f>
        <x:v>0.07117687500000001</x:v>
      </x:c>
      <x:c r="Q3754" s="30" t="n">
        <x:f>P3754*N3754</x:f>
        <x:v>0.14235375000000003</x:v>
      </x:c>
      <x:c r="R3754" s="19" t="str">
        <x:v>独立判定</x:v>
      </x:c>
    </x:row>
    <x:row r="3755" ht="19" customHeight="1">
      <x:c r="A3755" s="19" t="str">
        <x:v>D03751</x:v>
      </x:c>
      <x:c r="B3755" s="19" t="n">
        <x:v>8</x:v>
      </x:c>
      <x:c r="C3755" s="19" t="n">
        <x:v>2</x:v>
      </x:c>
      <x:c r="D3755" s="19" t="str">
        <x:v>C08-M024</x:v>
      </x:c>
      <x:c r="E3755" s="19" t="str">
        <x:v>断峰献祭者·维瑟娅</x:v>
      </x:c>
      <x:c r="F3755" s="19" t="str">
        <x:v>地图BOSS</x:v>
      </x:c>
      <x:c r="G3755" s="19" t="str">
        <x:v>材料独立候选</x:v>
      </x:c>
      <x:c r="H3755" s="19" t="str">
        <x:v>野兽骨片</x:v>
      </x:c>
      <x:c r="I3755" s="22" t="n">
        <x:v>80</x:v>
      </x:c>
      <x:c r="J3755" s="22" t="n">
        <x:v>5</x:v>
      </x:c>
      <x:c r="K3755" s="19" t="n">
        <x:v>1</x:v>
      </x:c>
      <x:c r="L3755" s="24" t="n">
        <x:v>51.765</x:v>
      </x:c>
      <x:c r="M3755" s="26" t="n">
        <x:v>0.1</x:v>
      </x:c>
      <x:c r="N3755" s="24" t="n">
        <x:v>2</x:v>
      </x:c>
      <x:c r="O3755" s="28" t="n">
        <x:f>MIN(1,L3755/I3755)</x:f>
        <x:v>0.6470625</x:v>
      </x:c>
      <x:c r="P3755" s="30" t="n">
        <x:f>O3755*J3755*(1+M3755)</x:f>
        <x:v>3.5588437500000003</x:v>
      </x:c>
      <x:c r="Q3755" s="30" t="n">
        <x:f>P3755*N3755</x:f>
        <x:v>7.117687500000001</x:v>
      </x:c>
      <x:c r="R3755" s="19" t="str">
        <x:v>独立判定</x:v>
      </x:c>
    </x:row>
    <x:row r="3756" ht="19" customHeight="1">
      <x:c r="A3756" s="19" t="str">
        <x:v>D03752</x:v>
      </x:c>
      <x:c r="B3756" s="19" t="n">
        <x:v>8</x:v>
      </x:c>
      <x:c r="C3756" s="19" t="n">
        <x:v>2</x:v>
      </x:c>
      <x:c r="D3756" s="19" t="str">
        <x:v>C08-M024</x:v>
      </x:c>
      <x:c r="E3756" s="19" t="str">
        <x:v>断峰献祭者·维瑟娅</x:v>
      </x:c>
      <x:c r="F3756" s="19" t="str">
        <x:v>地图BOSS</x:v>
      </x:c>
      <x:c r="G3756" s="19" t="str">
        <x:v>材料独立候选</x:v>
      </x:c>
      <x:c r="H3756" s="19" t="str">
        <x:v>技能残页</x:v>
      </x:c>
      <x:c r="I3756" s="22" t="n">
        <x:v>600</x:v>
      </x:c>
      <x:c r="J3756" s="22" t="n">
        <x:v>1</x:v>
      </x:c>
      <x:c r="K3756" s="19" t="n">
        <x:v>1</x:v>
      </x:c>
      <x:c r="L3756" s="24" t="n">
        <x:v>51.765</x:v>
      </x:c>
      <x:c r="M3756" s="26" t="n">
        <x:v>0.1</x:v>
      </x:c>
      <x:c r="N3756" s="24" t="n">
        <x:v>2</x:v>
      </x:c>
      <x:c r="O3756" s="28" t="n">
        <x:f>MIN(1,L3756/I3756)</x:f>
        <x:v>0.086275</x:v>
      </x:c>
      <x:c r="P3756" s="30" t="n">
        <x:f>O3756*J3756*(1+M3756)</x:f>
        <x:v>0.09490250000000001</x:v>
      </x:c>
      <x:c r="Q3756" s="30" t="n">
        <x:f>P3756*N3756</x:f>
        <x:v>0.18980500000000003</x:v>
      </x:c>
      <x:c r="R3756" s="19" t="str">
        <x:v>独立判定</x:v>
      </x:c>
    </x:row>
    <x:row r="3757" ht="19" customHeight="1">
      <x:c r="A3757" s="19" t="str">
        <x:v>D03753</x:v>
      </x:c>
      <x:c r="B3757" s="19" t="n">
        <x:v>8</x:v>
      </x:c>
      <x:c r="C3757" s="19" t="n">
        <x:v>2</x:v>
      </x:c>
      <x:c r="D3757" s="19" t="str">
        <x:v>C08-M024</x:v>
      </x:c>
      <x:c r="E3757" s="19" t="str">
        <x:v>断峰献祭者·维瑟娅</x:v>
      </x:c>
      <x:c r="F3757" s="19" t="str">
        <x:v>地图BOSS</x:v>
      </x:c>
      <x:c r="G3757" s="19" t="str">
        <x:v>材料独立候选</x:v>
      </x:c>
      <x:c r="H3757" s="19" t="str">
        <x:v>宁姆格福誓页</x:v>
      </x:c>
      <x:c r="I3757" s="22" t="n">
        <x:v>600</x:v>
      </x:c>
      <x:c r="J3757" s="22" t="n">
        <x:v>1</x:v>
      </x:c>
      <x:c r="K3757" s="19" t="n">
        <x:v>1</x:v>
      </x:c>
      <x:c r="L3757" s="24" t="n">
        <x:v>51.765</x:v>
      </x:c>
      <x:c r="M3757" s="26" t="n">
        <x:v>0.1</x:v>
      </x:c>
      <x:c r="N3757" s="24" t="n">
        <x:v>2</x:v>
      </x:c>
      <x:c r="O3757" s="28" t="n">
        <x:f>MIN(1,L3757/I3757)</x:f>
        <x:v>0.086275</x:v>
      </x:c>
      <x:c r="P3757" s="30" t="n">
        <x:f>O3757*J3757*(1+M3757)</x:f>
        <x:v>0.09490250000000001</x:v>
      </x:c>
      <x:c r="Q3757" s="30" t="n">
        <x:f>P3757*N3757</x:f>
        <x:v>0.18980500000000003</x:v>
      </x:c>
      <x:c r="R3757" s="19" t="str">
        <x:v>独立判定</x:v>
      </x:c>
    </x:row>
    <x:row r="3758" ht="19" customHeight="1">
      <x:c r="A3758" s="19" t="str">
        <x:v>D03754</x:v>
      </x:c>
      <x:c r="B3758" s="19" t="n">
        <x:v>8</x:v>
      </x:c>
      <x:c r="C3758" s="19" t="n">
        <x:v>2</x:v>
      </x:c>
      <x:c r="D3758" s="19" t="str">
        <x:v>C08-M024</x:v>
      </x:c>
      <x:c r="E3758" s="19" t="str">
        <x:v>断峰献祭者·维瑟娅</x:v>
      </x:c>
      <x:c r="F3758" s="19" t="str">
        <x:v>地图BOSS</x:v>
      </x:c>
      <x:c r="G3758" s="19" t="str">
        <x:v>材料独立候选</x:v>
      </x:c>
      <x:c r="H3758" s="19" t="str">
        <x:v>小卢恩</x:v>
      </x:c>
      <x:c r="I3758" s="22" t="n">
        <x:v>5000</x:v>
      </x:c>
      <x:c r="J3758" s="22" t="n">
        <x:v>1</x:v>
      </x:c>
      <x:c r="K3758" s="19" t="n">
        <x:v>1</x:v>
      </x:c>
      <x:c r="L3758" s="24" t="n">
        <x:v>51.765</x:v>
      </x:c>
      <x:c r="M3758" s="26" t="n">
        <x:v>0.1</x:v>
      </x:c>
      <x:c r="N3758" s="24" t="n">
        <x:v>2</x:v>
      </x:c>
      <x:c r="O3758" s="28" t="n">
        <x:f>MIN(1,L3758/I3758)</x:f>
        <x:v>0.010353</x:v>
      </x:c>
      <x:c r="P3758" s="30" t="n">
        <x:f>O3758*J3758*(1+M3758)</x:f>
        <x:v>0.0113883</x:v>
      </x:c>
      <x:c r="Q3758" s="30" t="n">
        <x:f>P3758*N3758</x:f>
        <x:v>0.0227766</x:v>
      </x:c>
      <x:c r="R3758" s="19" t="str">
        <x:v>独立判定</x:v>
      </x:c>
    </x:row>
    <x:row r="3759" ht="19" customHeight="1">
      <x:c r="A3759" s="19" t="str">
        <x:v>D03755</x:v>
      </x:c>
      <x:c r="B3759" s="19" t="n">
        <x:v>8</x:v>
      </x:c>
      <x:c r="C3759" s="19" t="n">
        <x:v>2</x:v>
      </x:c>
      <x:c r="D3759" s="19" t="str">
        <x:v>C08-M024</x:v>
      </x:c>
      <x:c r="E3759" s="19" t="str">
        <x:v>断峰献祭者·维瑟娅</x:v>
      </x:c>
      <x:c r="F3759" s="19" t="str">
        <x:v>地图BOSS</x:v>
      </x:c>
      <x:c r="G3759" s="19" t="str">
        <x:v>材料独立候选</x:v>
      </x:c>
      <x:c r="H3759" s="19" t="str">
        <x:v>大卢恩</x:v>
      </x:c>
      <x:c r="I3759" s="22" t="n">
        <x:v>500</x:v>
      </x:c>
      <x:c r="J3759" s="22" t="n">
        <x:v>1</x:v>
      </x:c>
      <x:c r="K3759" s="19" t="n">
        <x:v>1</x:v>
      </x:c>
      <x:c r="L3759" s="24" t="n">
        <x:v>51.765</x:v>
      </x:c>
      <x:c r="M3759" s="26" t="n">
        <x:v>0.1</x:v>
      </x:c>
      <x:c r="N3759" s="24" t="n">
        <x:v>2</x:v>
      </x:c>
      <x:c r="O3759" s="28" t="n">
        <x:f>MIN(1,L3759/I3759)</x:f>
        <x:v>0.10353</x:v>
      </x:c>
      <x:c r="P3759" s="30" t="n">
        <x:f>O3759*J3759*(1+M3759)</x:f>
        <x:v>0.11388300000000001</x:v>
      </x:c>
      <x:c r="Q3759" s="30" t="n">
        <x:f>P3759*N3759</x:f>
        <x:v>0.22776600000000002</x:v>
      </x:c>
      <x:c r="R3759" s="19" t="str">
        <x:v>独立判定</x:v>
      </x:c>
    </x:row>
    <x:row r="3760" ht="19" customHeight="1">
      <x:c r="A3760" s="19" t="str">
        <x:v>D03756</x:v>
      </x:c>
      <x:c r="B3760" s="19" t="n">
        <x:v>8</x:v>
      </x:c>
      <x:c r="C3760" s="19" t="n">
        <x:v>2</x:v>
      </x:c>
      <x:c r="D3760" s="19" t="str">
        <x:v>C08-M024</x:v>
      </x:c>
      <x:c r="E3760" s="19" t="str">
        <x:v>断峰献祭者·维瑟娅</x:v>
      </x:c>
      <x:c r="F3760" s="19" t="str">
        <x:v>地图BOSS</x:v>
      </x:c>
      <x:c r="G3760" s="19" t="str">
        <x:v>材料独立候选</x:v>
      </x:c>
      <x:c r="H3760" s="19" t="str">
        <x:v>巨人熔火卢恩</x:v>
      </x:c>
      <x:c r="I3760" s="22" t="n">
        <x:v>250</x:v>
      </x:c>
      <x:c r="J3760" s="22" t="n">
        <x:v>20</x:v>
      </x:c>
      <x:c r="K3760" s="19" t="n">
        <x:v>1</x:v>
      </x:c>
      <x:c r="L3760" s="24" t="n">
        <x:v>51.765</x:v>
      </x:c>
      <x:c r="M3760" s="26" t="n">
        <x:v>0.1</x:v>
      </x:c>
      <x:c r="N3760" s="24" t="n">
        <x:v>2</x:v>
      </x:c>
      <x:c r="O3760" s="28" t="n">
        <x:f>MIN(1,L3760/I3760)</x:f>
        <x:v>0.20706</x:v>
      </x:c>
      <x:c r="P3760" s="30" t="n">
        <x:f>O3760*J3760*(1+M3760)</x:f>
        <x:v>4.55532</x:v>
      </x:c>
      <x:c r="Q3760" s="30" t="n">
        <x:f>P3760*N3760</x:f>
        <x:v>9.11064</x:v>
      </x:c>
      <x:c r="R3760" s="19" t="str">
        <x:v>独立判定</x:v>
      </x:c>
    </x:row>
    <x:row r="3761" ht="19" customHeight="1">
      <x:c r="A3761" s="19" t="str">
        <x:v>D03757</x:v>
      </x:c>
      <x:c r="B3761" s="19" t="n">
        <x:v>8</x:v>
      </x:c>
      <x:c r="C3761" s="19" t="n">
        <x:v>2</x:v>
      </x:c>
      <x:c r="D3761" s="19" t="str">
        <x:v>C08-M024</x:v>
      </x:c>
      <x:c r="E3761" s="19" t="str">
        <x:v>断峰献祭者·维瑟娅</x:v>
      </x:c>
      <x:c r="F3761" s="19" t="str">
        <x:v>地图BOSS</x:v>
      </x:c>
      <x:c r="G3761" s="19" t="str">
        <x:v>六神器公共池</x:v>
      </x:c>
      <x:c r="H3761" s="19" t="str">
        <x:v>POOL006</x:v>
      </x:c>
      <x:c r="I3761" s="22" t="n">
        <x:v>200000</x:v>
      </x:c>
      <x:c r="J3761" s="22" t="n">
        <x:v>1</x:v>
      </x:c>
      <x:c r="K3761" s="19" t="n">
        <x:v>6</x:v>
      </x:c>
      <x:c r="L3761" s="24" t="n">
        <x:v>51.765</x:v>
      </x:c>
      <x:c r="M3761" s="26" t="n">
        <x:v>0.1</x:v>
      </x:c>
      <x:c r="N3761" s="24" t="n">
        <x:v>2</x:v>
      </x:c>
      <x:c r="O3761" s="28" t="n">
        <x:f>MIN(1,L3761/I3761)</x:f>
        <x:v>0.000258825</x:v>
      </x:c>
      <x:c r="P3761" s="30" t="n">
        <x:f>O3761*J3761*(1+M3761)</x:f>
        <x:v>0.00028470750000000005</x:v>
      </x:c>
      <x:c r="Q3761" s="30" t="n">
        <x:f>P3761*N3761</x:f>
        <x:v>0.0005694150000000001</x:v>
      </x:c>
      <x:c r="R3761" s="19" t="str">
        <x:v>六选一；非6个独立爆率</x:v>
      </x:c>
    </x:row>
    <x:row r="3762" ht="19" customHeight="1">
      <x:c r="A3762" s="19" t="str">
        <x:v>D03758</x:v>
      </x:c>
      <x:c r="B3762" s="19" t="n">
        <x:v>8</x:v>
      </x:c>
      <x:c r="C3762" s="19" t="n">
        <x:v>3</x:v>
      </x:c>
      <x:c r="D3762" s="19" t="str">
        <x:v>C08-M025</x:v>
      </x:c>
      <x:c r="E3762" s="19" t="str">
        <x:v>冰宫雪鸦</x:v>
      </x:c>
      <x:c r="F3762" s="19" t="str">
        <x:v>普通</x:v>
      </x:c>
      <x:c r="G3762" s="19" t="str">
        <x:v>自身专属</x:v>
      </x:c>
      <x:c r="H3762" s="19" t="str">
        <x:v>雪鸦冰喙坠</x:v>
      </x:c>
      <x:c r="I3762" s="22" t="n">
        <x:v>6000</x:v>
      </x:c>
      <x:c r="J3762" s="22" t="n">
        <x:v>1</x:v>
      </x:c>
      <x:c r="K3762" s="19" t="n">
        <x:v>1</x:v>
      </x:c>
      <x:c r="L3762" s="24" t="n">
        <x:v>55.335</x:v>
      </x:c>
      <x:c r="M3762" s="26" t="n">
        <x:v>0.1</x:v>
      </x:c>
      <x:c r="N3762" s="24" t="n">
        <x:v>72</x:v>
      </x:c>
      <x:c r="O3762" s="28" t="n">
        <x:f>MIN(1,L3762/I3762)</x:f>
        <x:v>0.0092225</x:v>
      </x:c>
      <x:c r="P3762" s="30" t="n">
        <x:f>O3762*J3762*(1+M3762)</x:f>
        <x:v>0.010144750000000001</x:v>
      </x:c>
      <x:c r="Q3762" s="30" t="n">
        <x:f>P3762*N3762</x:f>
        <x:v>0.7304220000000001</x:v>
      </x:c>
      <x:c r="R3762" s="19" t="str">
        <x:v>独立判定</x:v>
      </x:c>
    </x:row>
    <x:row r="3763" ht="19" customHeight="1">
      <x:c r="A3763" s="19" t="str">
        <x:v>D03759</x:v>
      </x:c>
      <x:c r="B3763" s="19" t="n">
        <x:v>8</x:v>
      </x:c>
      <x:c r="C3763" s="19" t="n">
        <x:v>3</x:v>
      </x:c>
      <x:c r="D3763" s="19" t="str">
        <x:v>C08-M025</x:v>
      </x:c>
      <x:c r="E3763" s="19" t="str">
        <x:v>冰宫雪鸦</x:v>
      </x:c>
      <x:c r="F3763" s="19" t="str">
        <x:v>普通</x:v>
      </x:c>
      <x:c r="G3763" s="19" t="str">
        <x:v>材料独立候选</x:v>
      </x:c>
      <x:c r="H3763" s="19" t="str">
        <x:v>霜脊铁</x:v>
      </x:c>
      <x:c r="I3763" s="22" t="n">
        <x:v>1200</x:v>
      </x:c>
      <x:c r="J3763" s="22" t="n">
        <x:v>8</x:v>
      </x:c>
      <x:c r="K3763" s="19" t="n">
        <x:v>1</x:v>
      </x:c>
      <x:c r="L3763" s="24" t="n">
        <x:v>55.335</x:v>
      </x:c>
      <x:c r="M3763" s="26" t="n">
        <x:v>0.1</x:v>
      </x:c>
      <x:c r="N3763" s="24" t="n">
        <x:v>72</x:v>
      </x:c>
      <x:c r="O3763" s="28" t="n">
        <x:f>MIN(1,L3763/I3763)</x:f>
        <x:v>0.0461125</x:v>
      </x:c>
      <x:c r="P3763" s="30" t="n">
        <x:f>O3763*J3763*(1+M3763)</x:f>
        <x:v>0.40579000000000004</x:v>
      </x:c>
      <x:c r="Q3763" s="30" t="n">
        <x:f>P3763*N3763</x:f>
        <x:v>29.216880000000003</x:v>
      </x:c>
      <x:c r="R3763" s="19" t="str">
        <x:v>独立判定</x:v>
      </x:c>
    </x:row>
    <x:row r="3764" ht="19" customHeight="1">
      <x:c r="A3764" s="19" t="str">
        <x:v>D03760</x:v>
      </x:c>
      <x:c r="B3764" s="19" t="n">
        <x:v>8</x:v>
      </x:c>
      <x:c r="C3764" s="19" t="n">
        <x:v>3</x:v>
      </x:c>
      <x:c r="D3764" s="19" t="str">
        <x:v>C08-M025</x:v>
      </x:c>
      <x:c r="E3764" s="19" t="str">
        <x:v>冰宫雪鸦</x:v>
      </x:c>
      <x:c r="F3764" s="19" t="str">
        <x:v>普通</x:v>
      </x:c>
      <x:c r="G3764" s="19" t="str">
        <x:v>材料独立候选</x:v>
      </x:c>
      <x:c r="H3764" s="19" t="str">
        <x:v>登山铁楔</x:v>
      </x:c>
      <x:c r="I3764" s="22" t="n">
        <x:v>2500</x:v>
      </x:c>
      <x:c r="J3764" s="22" t="n">
        <x:v>1</x:v>
      </x:c>
      <x:c r="K3764" s="19" t="n">
        <x:v>1</x:v>
      </x:c>
      <x:c r="L3764" s="24" t="n">
        <x:v>55.335</x:v>
      </x:c>
      <x:c r="M3764" s="26" t="n">
        <x:v>0.1</x:v>
      </x:c>
      <x:c r="N3764" s="24" t="n">
        <x:v>72</x:v>
      </x:c>
      <x:c r="O3764" s="28" t="n">
        <x:f>MIN(1,L3764/I3764)</x:f>
        <x:v>0.022134</x:v>
      </x:c>
      <x:c r="P3764" s="30" t="n">
        <x:f>O3764*J3764*(1+M3764)</x:f>
        <x:v>0.0243474</x:v>
      </x:c>
      <x:c r="Q3764" s="30" t="n">
        <x:f>P3764*N3764</x:f>
        <x:v>1.7530128</x:v>
      </x:c>
      <x:c r="R3764" s="19" t="str">
        <x:v>独立判定</x:v>
      </x:c>
    </x:row>
    <x:row r="3765" ht="19" customHeight="1">
      <x:c r="A3765" s="19" t="str">
        <x:v>D03761</x:v>
      </x:c>
      <x:c r="B3765" s="19" t="n">
        <x:v>8</x:v>
      </x:c>
      <x:c r="C3765" s="19" t="n">
        <x:v>3</x:v>
      </x:c>
      <x:c r="D3765" s="19" t="str">
        <x:v>C08-M025</x:v>
      </x:c>
      <x:c r="E3765" s="19" t="str">
        <x:v>冰宫雪鸦</x:v>
      </x:c>
      <x:c r="F3765" s="19" t="str">
        <x:v>普通</x:v>
      </x:c>
      <x:c r="G3765" s="19" t="str">
        <x:v>材料独立候选</x:v>
      </x:c>
      <x:c r="H3765" s="19" t="str">
        <x:v>穹霜碑珀</x:v>
      </x:c>
      <x:c r="I3765" s="22" t="n">
        <x:v>2500000</x:v>
      </x:c>
      <x:c r="J3765" s="22" t="n">
        <x:v>1</x:v>
      </x:c>
      <x:c r="K3765" s="19" t="n">
        <x:v>1</x:v>
      </x:c>
      <x:c r="L3765" s="24" t="n">
        <x:v>55.335</x:v>
      </x:c>
      <x:c r="M3765" s="26" t="n">
        <x:v>0.1</x:v>
      </x:c>
      <x:c r="N3765" s="24" t="n">
        <x:v>72</x:v>
      </x:c>
      <x:c r="O3765" s="28" t="n">
        <x:f>MIN(1,L3765/I3765)</x:f>
        <x:v>0.000022134000000000002</x:v>
      </x:c>
      <x:c r="P3765" s="30" t="n">
        <x:f>O3765*J3765*(1+M3765)</x:f>
        <x:v>0.000024347400000000003</x:v>
      </x:c>
      <x:c r="Q3765" s="30" t="n">
        <x:f>P3765*N3765</x:f>
        <x:v>0.0017530128000000002</x:v>
      </x:c>
      <x:c r="R3765" s="19" t="str">
        <x:v>独立判定</x:v>
      </x:c>
    </x:row>
    <x:row r="3766" ht="19" customHeight="1">
      <x:c r="A3766" s="19" t="str">
        <x:v>D03762</x:v>
      </x:c>
      <x:c r="B3766" s="19" t="n">
        <x:v>8</x:v>
      </x:c>
      <x:c r="C3766" s="19" t="n">
        <x:v>3</x:v>
      </x:c>
      <x:c r="D3766" s="19" t="str">
        <x:v>C08-M025</x:v>
      </x:c>
      <x:c r="E3766" s="19" t="str">
        <x:v>冰宫雪鸦</x:v>
      </x:c>
      <x:c r="F3766" s="19" t="str">
        <x:v>普通</x:v>
      </x:c>
      <x:c r="G3766" s="19" t="str">
        <x:v>材料独立候选</x:v>
      </x:c>
      <x:c r="H3766" s="19" t="str">
        <x:v>野兽骨片</x:v>
      </x:c>
      <x:c r="I3766" s="22" t="n">
        <x:v>250</x:v>
      </x:c>
      <x:c r="J3766" s="22" t="n">
        <x:v>5</x:v>
      </x:c>
      <x:c r="K3766" s="19" t="n">
        <x:v>1</x:v>
      </x:c>
      <x:c r="L3766" s="24" t="n">
        <x:v>55.335</x:v>
      </x:c>
      <x:c r="M3766" s="26" t="n">
        <x:v>0.1</x:v>
      </x:c>
      <x:c r="N3766" s="24" t="n">
        <x:v>72</x:v>
      </x:c>
      <x:c r="O3766" s="28" t="n">
        <x:f>MIN(1,L3766/I3766)</x:f>
        <x:v>0.22134</x:v>
      </x:c>
      <x:c r="P3766" s="30" t="n">
        <x:f>O3766*J3766*(1+M3766)</x:f>
        <x:v>1.21737</x:v>
      </x:c>
      <x:c r="Q3766" s="30" t="n">
        <x:f>P3766*N3766</x:f>
        <x:v>87.65064000000001</x:v>
      </x:c>
      <x:c r="R3766" s="19" t="str">
        <x:v>独立判定</x:v>
      </x:c>
    </x:row>
    <x:row r="3767" ht="19" customHeight="1">
      <x:c r="A3767" s="19" t="str">
        <x:v>D03763</x:v>
      </x:c>
      <x:c r="B3767" s="19" t="n">
        <x:v>8</x:v>
      </x:c>
      <x:c r="C3767" s="19" t="n">
        <x:v>3</x:v>
      </x:c>
      <x:c r="D3767" s="19" t="str">
        <x:v>C08-M025</x:v>
      </x:c>
      <x:c r="E3767" s="19" t="str">
        <x:v>冰宫雪鸦</x:v>
      </x:c>
      <x:c r="F3767" s="19" t="str">
        <x:v>普通</x:v>
      </x:c>
      <x:c r="G3767" s="19" t="str">
        <x:v>材料独立候选</x:v>
      </x:c>
      <x:c r="H3767" s="19" t="str">
        <x:v>技能残页</x:v>
      </x:c>
      <x:c r="I3767" s="22" t="n">
        <x:v>2000</x:v>
      </x:c>
      <x:c r="J3767" s="22" t="n">
        <x:v>1</x:v>
      </x:c>
      <x:c r="K3767" s="19" t="n">
        <x:v>1</x:v>
      </x:c>
      <x:c r="L3767" s="24" t="n">
        <x:v>55.335</x:v>
      </x:c>
      <x:c r="M3767" s="26" t="n">
        <x:v>0.1</x:v>
      </x:c>
      <x:c r="N3767" s="24" t="n">
        <x:v>72</x:v>
      </x:c>
      <x:c r="O3767" s="28" t="n">
        <x:f>MIN(1,L3767/I3767)</x:f>
        <x:v>0.0276675</x:v>
      </x:c>
      <x:c r="P3767" s="30" t="n">
        <x:f>O3767*J3767*(1+M3767)</x:f>
        <x:v>0.030434250000000003</x:v>
      </x:c>
      <x:c r="Q3767" s="30" t="n">
        <x:f>P3767*N3767</x:f>
        <x:v>2.191266</x:v>
      </x:c>
      <x:c r="R3767" s="19" t="str">
        <x:v>独立判定</x:v>
      </x:c>
    </x:row>
    <x:row r="3768" ht="19" customHeight="1">
      <x:c r="A3768" s="19" t="str">
        <x:v>D03764</x:v>
      </x:c>
      <x:c r="B3768" s="19" t="n">
        <x:v>8</x:v>
      </x:c>
      <x:c r="C3768" s="19" t="n">
        <x:v>3</x:v>
      </x:c>
      <x:c r="D3768" s="19" t="str">
        <x:v>C08-M025</x:v>
      </x:c>
      <x:c r="E3768" s="19" t="str">
        <x:v>冰宫雪鸦</x:v>
      </x:c>
      <x:c r="F3768" s="19" t="str">
        <x:v>普通</x:v>
      </x:c>
      <x:c r="G3768" s="19" t="str">
        <x:v>材料独立候选</x:v>
      </x:c>
      <x:c r="H3768" s="19" t="str">
        <x:v>小卢恩</x:v>
      </x:c>
      <x:c r="I3768" s="22" t="n">
        <x:v>15000</x:v>
      </x:c>
      <x:c r="J3768" s="22" t="n">
        <x:v>1</x:v>
      </x:c>
      <x:c r="K3768" s="19" t="n">
        <x:v>1</x:v>
      </x:c>
      <x:c r="L3768" s="24" t="n">
        <x:v>55.335</x:v>
      </x:c>
      <x:c r="M3768" s="26" t="n">
        <x:v>0.1</x:v>
      </x:c>
      <x:c r="N3768" s="24" t="n">
        <x:v>72</x:v>
      </x:c>
      <x:c r="O3768" s="28" t="n">
        <x:f>MIN(1,L3768/I3768)</x:f>
        <x:v>0.003689</x:v>
      </x:c>
      <x:c r="P3768" s="30" t="n">
        <x:f>O3768*J3768*(1+M3768)</x:f>
        <x:v>0.004057900000000001</x:v>
      </x:c>
      <x:c r="Q3768" s="30" t="n">
        <x:f>P3768*N3768</x:f>
        <x:v>0.29216880000000006</x:v>
      </x:c>
      <x:c r="R3768" s="19" t="str">
        <x:v>独立判定</x:v>
      </x:c>
    </x:row>
    <x:row r="3769" ht="19" customHeight="1">
      <x:c r="A3769" s="19" t="str">
        <x:v>D03765</x:v>
      </x:c>
      <x:c r="B3769" s="19" t="n">
        <x:v>8</x:v>
      </x:c>
      <x:c r="C3769" s="19" t="n">
        <x:v>3</x:v>
      </x:c>
      <x:c r="D3769" s="19" t="str">
        <x:v>C08-M025</x:v>
      </x:c>
      <x:c r="E3769" s="19" t="str">
        <x:v>冰宫雪鸦</x:v>
      </x:c>
      <x:c r="F3769" s="19" t="str">
        <x:v>普通</x:v>
      </x:c>
      <x:c r="G3769" s="19" t="str">
        <x:v>六神器公共池</x:v>
      </x:c>
      <x:c r="H3769" s="19" t="str">
        <x:v>POOL006</x:v>
      </x:c>
      <x:c r="I3769" s="22" t="n">
        <x:v>20000000</x:v>
      </x:c>
      <x:c r="J3769" s="22" t="n">
        <x:v>1</x:v>
      </x:c>
      <x:c r="K3769" s="19" t="n">
        <x:v>6</x:v>
      </x:c>
      <x:c r="L3769" s="24" t="n">
        <x:v>55.335</x:v>
      </x:c>
      <x:c r="M3769" s="26" t="n">
        <x:v>0.1</x:v>
      </x:c>
      <x:c r="N3769" s="24" t="n">
        <x:v>72</x:v>
      </x:c>
      <x:c r="O3769" s="28" t="n">
        <x:f>MIN(1,L3769/I3769)</x:f>
        <x:v>0.0000027667500000000002</x:v>
      </x:c>
      <x:c r="P3769" s="30" t="n">
        <x:f>O3769*J3769*(1+M3769)</x:f>
        <x:v>0.0000030434250000000004</x:v>
      </x:c>
      <x:c r="Q3769" s="30" t="n">
        <x:f>P3769*N3769</x:f>
        <x:v>0.00021912660000000003</x:v>
      </x:c>
      <x:c r="R3769" s="19" t="str">
        <x:v>六选一；非6个独立爆率</x:v>
      </x:c>
    </x:row>
    <x:row r="3770" ht="19" customHeight="1">
      <x:c r="A3770" s="19" t="str">
        <x:v>D03766</x:v>
      </x:c>
      <x:c r="B3770" s="19" t="n">
        <x:v>8</x:v>
      </x:c>
      <x:c r="C3770" s="19" t="n">
        <x:v>3</x:v>
      </x:c>
      <x:c r="D3770" s="19" t="str">
        <x:v>C08-M026</x:v>
      </x:c>
      <x:c r="E3770" s="19" t="str">
        <x:v>御阶铲雪仆</x:v>
      </x:c>
      <x:c r="F3770" s="19" t="str">
        <x:v>普通</x:v>
      </x:c>
      <x:c r="G3770" s="19" t="str">
        <x:v>自身专属</x:v>
      </x:c>
      <x:c r="H3770" s="19" t="str">
        <x:v>御阶雪铲</x:v>
      </x:c>
      <x:c r="I3770" s="22" t="n">
        <x:v>6000</x:v>
      </x:c>
      <x:c r="J3770" s="22" t="n">
        <x:v>1</x:v>
      </x:c>
      <x:c r="K3770" s="19" t="n">
        <x:v>1</x:v>
      </x:c>
      <x:c r="L3770" s="24" t="n">
        <x:v>55.335</x:v>
      </x:c>
      <x:c r="M3770" s="26" t="n">
        <x:v>0.1</x:v>
      </x:c>
      <x:c r="N3770" s="24" t="n">
        <x:v>72</x:v>
      </x:c>
      <x:c r="O3770" s="28" t="n">
        <x:f>MIN(1,L3770/I3770)</x:f>
        <x:v>0.0092225</x:v>
      </x:c>
      <x:c r="P3770" s="30" t="n">
        <x:f>O3770*J3770*(1+M3770)</x:f>
        <x:v>0.010144750000000001</x:v>
      </x:c>
      <x:c r="Q3770" s="30" t="n">
        <x:f>P3770*N3770</x:f>
        <x:v>0.7304220000000001</x:v>
      </x:c>
      <x:c r="R3770" s="19" t="str">
        <x:v>独立判定</x:v>
      </x:c>
    </x:row>
    <x:row r="3771" ht="19" customHeight="1">
      <x:c r="A3771" s="19" t="str">
        <x:v>D03767</x:v>
      </x:c>
      <x:c r="B3771" s="19" t="n">
        <x:v>8</x:v>
      </x:c>
      <x:c r="C3771" s="19" t="n">
        <x:v>3</x:v>
      </x:c>
      <x:c r="D3771" s="19" t="str">
        <x:v>C08-M026</x:v>
      </x:c>
      <x:c r="E3771" s="19" t="str">
        <x:v>御阶铲雪仆</x:v>
      </x:c>
      <x:c r="F3771" s="19" t="str">
        <x:v>普通</x:v>
      </x:c>
      <x:c r="G3771" s="19" t="str">
        <x:v>材料独立候选</x:v>
      </x:c>
      <x:c r="H3771" s="19" t="str">
        <x:v>霜脊铁</x:v>
      </x:c>
      <x:c r="I3771" s="22" t="n">
        <x:v>1200</x:v>
      </x:c>
      <x:c r="J3771" s="22" t="n">
        <x:v>8</x:v>
      </x:c>
      <x:c r="K3771" s="19" t="n">
        <x:v>1</x:v>
      </x:c>
      <x:c r="L3771" s="24" t="n">
        <x:v>55.335</x:v>
      </x:c>
      <x:c r="M3771" s="26" t="n">
        <x:v>0.1</x:v>
      </x:c>
      <x:c r="N3771" s="24" t="n">
        <x:v>72</x:v>
      </x:c>
      <x:c r="O3771" s="28" t="n">
        <x:f>MIN(1,L3771/I3771)</x:f>
        <x:v>0.0461125</x:v>
      </x:c>
      <x:c r="P3771" s="30" t="n">
        <x:f>O3771*J3771*(1+M3771)</x:f>
        <x:v>0.40579000000000004</x:v>
      </x:c>
      <x:c r="Q3771" s="30" t="n">
        <x:f>P3771*N3771</x:f>
        <x:v>29.216880000000003</x:v>
      </x:c>
      <x:c r="R3771" s="19" t="str">
        <x:v>独立判定</x:v>
      </x:c>
    </x:row>
    <x:row r="3772" ht="19" customHeight="1">
      <x:c r="A3772" s="19" t="str">
        <x:v>D03768</x:v>
      </x:c>
      <x:c r="B3772" s="19" t="n">
        <x:v>8</x:v>
      </x:c>
      <x:c r="C3772" s="19" t="n">
        <x:v>3</x:v>
      </x:c>
      <x:c r="D3772" s="19" t="str">
        <x:v>C08-M026</x:v>
      </x:c>
      <x:c r="E3772" s="19" t="str">
        <x:v>御阶铲雪仆</x:v>
      </x:c>
      <x:c r="F3772" s="19" t="str">
        <x:v>普通</x:v>
      </x:c>
      <x:c r="G3772" s="19" t="str">
        <x:v>材料独立候选</x:v>
      </x:c>
      <x:c r="H3772" s="19" t="str">
        <x:v>登山铁楔</x:v>
      </x:c>
      <x:c r="I3772" s="22" t="n">
        <x:v>2500</x:v>
      </x:c>
      <x:c r="J3772" s="22" t="n">
        <x:v>1</x:v>
      </x:c>
      <x:c r="K3772" s="19" t="n">
        <x:v>1</x:v>
      </x:c>
      <x:c r="L3772" s="24" t="n">
        <x:v>55.335</x:v>
      </x:c>
      <x:c r="M3772" s="26" t="n">
        <x:v>0.1</x:v>
      </x:c>
      <x:c r="N3772" s="24" t="n">
        <x:v>72</x:v>
      </x:c>
      <x:c r="O3772" s="28" t="n">
        <x:f>MIN(1,L3772/I3772)</x:f>
        <x:v>0.022134</x:v>
      </x:c>
      <x:c r="P3772" s="30" t="n">
        <x:f>O3772*J3772*(1+M3772)</x:f>
        <x:v>0.0243474</x:v>
      </x:c>
      <x:c r="Q3772" s="30" t="n">
        <x:f>P3772*N3772</x:f>
        <x:v>1.7530128</x:v>
      </x:c>
      <x:c r="R3772" s="19" t="str">
        <x:v>独立判定</x:v>
      </x:c>
    </x:row>
    <x:row r="3773" ht="19" customHeight="1">
      <x:c r="A3773" s="19" t="str">
        <x:v>D03769</x:v>
      </x:c>
      <x:c r="B3773" s="19" t="n">
        <x:v>8</x:v>
      </x:c>
      <x:c r="C3773" s="19" t="n">
        <x:v>3</x:v>
      </x:c>
      <x:c r="D3773" s="19" t="str">
        <x:v>C08-M026</x:v>
      </x:c>
      <x:c r="E3773" s="19" t="str">
        <x:v>御阶铲雪仆</x:v>
      </x:c>
      <x:c r="F3773" s="19" t="str">
        <x:v>普通</x:v>
      </x:c>
      <x:c r="G3773" s="19" t="str">
        <x:v>材料独立候选</x:v>
      </x:c>
      <x:c r="H3773" s="19" t="str">
        <x:v>穹霜碑珀</x:v>
      </x:c>
      <x:c r="I3773" s="22" t="n">
        <x:v>2500000</x:v>
      </x:c>
      <x:c r="J3773" s="22" t="n">
        <x:v>1</x:v>
      </x:c>
      <x:c r="K3773" s="19" t="n">
        <x:v>1</x:v>
      </x:c>
      <x:c r="L3773" s="24" t="n">
        <x:v>55.335</x:v>
      </x:c>
      <x:c r="M3773" s="26" t="n">
        <x:v>0.1</x:v>
      </x:c>
      <x:c r="N3773" s="24" t="n">
        <x:v>72</x:v>
      </x:c>
      <x:c r="O3773" s="28" t="n">
        <x:f>MIN(1,L3773/I3773)</x:f>
        <x:v>0.000022134000000000002</x:v>
      </x:c>
      <x:c r="P3773" s="30" t="n">
        <x:f>O3773*J3773*(1+M3773)</x:f>
        <x:v>0.000024347400000000003</x:v>
      </x:c>
      <x:c r="Q3773" s="30" t="n">
        <x:f>P3773*N3773</x:f>
        <x:v>0.0017530128000000002</x:v>
      </x:c>
      <x:c r="R3773" s="19" t="str">
        <x:v>独立判定</x:v>
      </x:c>
    </x:row>
    <x:row r="3774" ht="19" customHeight="1">
      <x:c r="A3774" s="19" t="str">
        <x:v>D03770</x:v>
      </x:c>
      <x:c r="B3774" s="19" t="n">
        <x:v>8</x:v>
      </x:c>
      <x:c r="C3774" s="19" t="n">
        <x:v>3</x:v>
      </x:c>
      <x:c r="D3774" s="19" t="str">
        <x:v>C08-M026</x:v>
      </x:c>
      <x:c r="E3774" s="19" t="str">
        <x:v>御阶铲雪仆</x:v>
      </x:c>
      <x:c r="F3774" s="19" t="str">
        <x:v>普通</x:v>
      </x:c>
      <x:c r="G3774" s="19" t="str">
        <x:v>材料独立候选</x:v>
      </x:c>
      <x:c r="H3774" s="19" t="str">
        <x:v>野兽骨片</x:v>
      </x:c>
      <x:c r="I3774" s="22" t="n">
        <x:v>250</x:v>
      </x:c>
      <x:c r="J3774" s="22" t="n">
        <x:v>5</x:v>
      </x:c>
      <x:c r="K3774" s="19" t="n">
        <x:v>1</x:v>
      </x:c>
      <x:c r="L3774" s="24" t="n">
        <x:v>55.335</x:v>
      </x:c>
      <x:c r="M3774" s="26" t="n">
        <x:v>0.1</x:v>
      </x:c>
      <x:c r="N3774" s="24" t="n">
        <x:v>72</x:v>
      </x:c>
      <x:c r="O3774" s="28" t="n">
        <x:f>MIN(1,L3774/I3774)</x:f>
        <x:v>0.22134</x:v>
      </x:c>
      <x:c r="P3774" s="30" t="n">
        <x:f>O3774*J3774*(1+M3774)</x:f>
        <x:v>1.21737</x:v>
      </x:c>
      <x:c r="Q3774" s="30" t="n">
        <x:f>P3774*N3774</x:f>
        <x:v>87.65064000000001</x:v>
      </x:c>
      <x:c r="R3774" s="19" t="str">
        <x:v>独立判定</x:v>
      </x:c>
    </x:row>
    <x:row r="3775" ht="19" customHeight="1">
      <x:c r="A3775" s="19" t="str">
        <x:v>D03771</x:v>
      </x:c>
      <x:c r="B3775" s="19" t="n">
        <x:v>8</x:v>
      </x:c>
      <x:c r="C3775" s="19" t="n">
        <x:v>3</x:v>
      </x:c>
      <x:c r="D3775" s="19" t="str">
        <x:v>C08-M026</x:v>
      </x:c>
      <x:c r="E3775" s="19" t="str">
        <x:v>御阶铲雪仆</x:v>
      </x:c>
      <x:c r="F3775" s="19" t="str">
        <x:v>普通</x:v>
      </x:c>
      <x:c r="G3775" s="19" t="str">
        <x:v>材料独立候选</x:v>
      </x:c>
      <x:c r="H3775" s="19" t="str">
        <x:v>技能残页</x:v>
      </x:c>
      <x:c r="I3775" s="22" t="n">
        <x:v>2000</x:v>
      </x:c>
      <x:c r="J3775" s="22" t="n">
        <x:v>1</x:v>
      </x:c>
      <x:c r="K3775" s="19" t="n">
        <x:v>1</x:v>
      </x:c>
      <x:c r="L3775" s="24" t="n">
        <x:v>55.335</x:v>
      </x:c>
      <x:c r="M3775" s="26" t="n">
        <x:v>0.1</x:v>
      </x:c>
      <x:c r="N3775" s="24" t="n">
        <x:v>72</x:v>
      </x:c>
      <x:c r="O3775" s="28" t="n">
        <x:f>MIN(1,L3775/I3775)</x:f>
        <x:v>0.0276675</x:v>
      </x:c>
      <x:c r="P3775" s="30" t="n">
        <x:f>O3775*J3775*(1+M3775)</x:f>
        <x:v>0.030434250000000003</x:v>
      </x:c>
      <x:c r="Q3775" s="30" t="n">
        <x:f>P3775*N3775</x:f>
        <x:v>2.191266</x:v>
      </x:c>
      <x:c r="R3775" s="19" t="str">
        <x:v>独立判定</x:v>
      </x:c>
    </x:row>
    <x:row r="3776" ht="19" customHeight="1">
      <x:c r="A3776" s="19" t="str">
        <x:v>D03772</x:v>
      </x:c>
      <x:c r="B3776" s="19" t="n">
        <x:v>8</x:v>
      </x:c>
      <x:c r="C3776" s="19" t="n">
        <x:v>3</x:v>
      </x:c>
      <x:c r="D3776" s="19" t="str">
        <x:v>C08-M026</x:v>
      </x:c>
      <x:c r="E3776" s="19" t="str">
        <x:v>御阶铲雪仆</x:v>
      </x:c>
      <x:c r="F3776" s="19" t="str">
        <x:v>普通</x:v>
      </x:c>
      <x:c r="G3776" s="19" t="str">
        <x:v>材料独立候选</x:v>
      </x:c>
      <x:c r="H3776" s="19" t="str">
        <x:v>小卢恩</x:v>
      </x:c>
      <x:c r="I3776" s="22" t="n">
        <x:v>15000</x:v>
      </x:c>
      <x:c r="J3776" s="22" t="n">
        <x:v>1</x:v>
      </x:c>
      <x:c r="K3776" s="19" t="n">
        <x:v>1</x:v>
      </x:c>
      <x:c r="L3776" s="24" t="n">
        <x:v>55.335</x:v>
      </x:c>
      <x:c r="M3776" s="26" t="n">
        <x:v>0.1</x:v>
      </x:c>
      <x:c r="N3776" s="24" t="n">
        <x:v>72</x:v>
      </x:c>
      <x:c r="O3776" s="28" t="n">
        <x:f>MIN(1,L3776/I3776)</x:f>
        <x:v>0.003689</x:v>
      </x:c>
      <x:c r="P3776" s="30" t="n">
        <x:f>O3776*J3776*(1+M3776)</x:f>
        <x:v>0.004057900000000001</x:v>
      </x:c>
      <x:c r="Q3776" s="30" t="n">
        <x:f>P3776*N3776</x:f>
        <x:v>0.29216880000000006</x:v>
      </x:c>
      <x:c r="R3776" s="19" t="str">
        <x:v>独立判定</x:v>
      </x:c>
    </x:row>
    <x:row r="3777" ht="19" customHeight="1">
      <x:c r="A3777" s="19" t="str">
        <x:v>D03773</x:v>
      </x:c>
      <x:c r="B3777" s="19" t="n">
        <x:v>8</x:v>
      </x:c>
      <x:c r="C3777" s="19" t="n">
        <x:v>3</x:v>
      </x:c>
      <x:c r="D3777" s="19" t="str">
        <x:v>C08-M026</x:v>
      </x:c>
      <x:c r="E3777" s="19" t="str">
        <x:v>御阶铲雪仆</x:v>
      </x:c>
      <x:c r="F3777" s="19" t="str">
        <x:v>普通</x:v>
      </x:c>
      <x:c r="G3777" s="19" t="str">
        <x:v>六神器公共池</x:v>
      </x:c>
      <x:c r="H3777" s="19" t="str">
        <x:v>POOL006</x:v>
      </x:c>
      <x:c r="I3777" s="22" t="n">
        <x:v>20000000</x:v>
      </x:c>
      <x:c r="J3777" s="22" t="n">
        <x:v>1</x:v>
      </x:c>
      <x:c r="K3777" s="19" t="n">
        <x:v>6</x:v>
      </x:c>
      <x:c r="L3777" s="24" t="n">
        <x:v>55.335</x:v>
      </x:c>
      <x:c r="M3777" s="26" t="n">
        <x:v>0.1</x:v>
      </x:c>
      <x:c r="N3777" s="24" t="n">
        <x:v>72</x:v>
      </x:c>
      <x:c r="O3777" s="28" t="n">
        <x:f>MIN(1,L3777/I3777)</x:f>
        <x:v>0.0000027667500000000002</x:v>
      </x:c>
      <x:c r="P3777" s="30" t="n">
        <x:f>O3777*J3777*(1+M3777)</x:f>
        <x:v>0.0000030434250000000004</x:v>
      </x:c>
      <x:c r="Q3777" s="30" t="n">
        <x:f>P3777*N3777</x:f>
        <x:v>0.00021912660000000003</x:v>
      </x:c>
      <x:c r="R3777" s="19" t="str">
        <x:v>六选一；非6个独立爆率</x:v>
      </x:c>
    </x:row>
    <x:row r="3778" ht="19" customHeight="1">
      <x:c r="A3778" s="19" t="str">
        <x:v>D03774</x:v>
      </x:c>
      <x:c r="B3778" s="19" t="n">
        <x:v>8</x:v>
      </x:c>
      <x:c r="C3778" s="19" t="n">
        <x:v>3</x:v>
      </x:c>
      <x:c r="D3778" s="19" t="str">
        <x:v>C08-M027</x:v>
      </x:c>
      <x:c r="E3778" s="19" t="str">
        <x:v>外廊冰枪卫</x:v>
      </x:c>
      <x:c r="F3778" s="19" t="str">
        <x:v>普通</x:v>
      </x:c>
      <x:c r="G3778" s="19" t="str">
        <x:v>自身专属</x:v>
      </x:c>
      <x:c r="H3778" s="19" t="str">
        <x:v>外廊纹冰盾</x:v>
      </x:c>
      <x:c r="I3778" s="22" t="n">
        <x:v>6000</x:v>
      </x:c>
      <x:c r="J3778" s="22" t="n">
        <x:v>1</x:v>
      </x:c>
      <x:c r="K3778" s="19" t="n">
        <x:v>1</x:v>
      </x:c>
      <x:c r="L3778" s="24" t="n">
        <x:v>55.335</x:v>
      </x:c>
      <x:c r="M3778" s="26" t="n">
        <x:v>0.1</x:v>
      </x:c>
      <x:c r="N3778" s="24" t="n">
        <x:v>72</x:v>
      </x:c>
      <x:c r="O3778" s="28" t="n">
        <x:f>MIN(1,L3778/I3778)</x:f>
        <x:v>0.0092225</x:v>
      </x:c>
      <x:c r="P3778" s="30" t="n">
        <x:f>O3778*J3778*(1+M3778)</x:f>
        <x:v>0.010144750000000001</x:v>
      </x:c>
      <x:c r="Q3778" s="30" t="n">
        <x:f>P3778*N3778</x:f>
        <x:v>0.7304220000000001</x:v>
      </x:c>
      <x:c r="R3778" s="19" t="str">
        <x:v>独立判定</x:v>
      </x:c>
    </x:row>
    <x:row r="3779" ht="19" customHeight="1">
      <x:c r="A3779" s="19" t="str">
        <x:v>D03775</x:v>
      </x:c>
      <x:c r="B3779" s="19" t="n">
        <x:v>8</x:v>
      </x:c>
      <x:c r="C3779" s="19" t="n">
        <x:v>3</x:v>
      </x:c>
      <x:c r="D3779" s="19" t="str">
        <x:v>C08-M027</x:v>
      </x:c>
      <x:c r="E3779" s="19" t="str">
        <x:v>外廊冰枪卫</x:v>
      </x:c>
      <x:c r="F3779" s="19" t="str">
        <x:v>普通</x:v>
      </x:c>
      <x:c r="G3779" s="19" t="str">
        <x:v>材料独立候选</x:v>
      </x:c>
      <x:c r="H3779" s="19" t="str">
        <x:v>霜脊铁</x:v>
      </x:c>
      <x:c r="I3779" s="22" t="n">
        <x:v>1200</x:v>
      </x:c>
      <x:c r="J3779" s="22" t="n">
        <x:v>8</x:v>
      </x:c>
      <x:c r="K3779" s="19" t="n">
        <x:v>1</x:v>
      </x:c>
      <x:c r="L3779" s="24" t="n">
        <x:v>55.335</x:v>
      </x:c>
      <x:c r="M3779" s="26" t="n">
        <x:v>0.1</x:v>
      </x:c>
      <x:c r="N3779" s="24" t="n">
        <x:v>72</x:v>
      </x:c>
      <x:c r="O3779" s="28" t="n">
        <x:f>MIN(1,L3779/I3779)</x:f>
        <x:v>0.0461125</x:v>
      </x:c>
      <x:c r="P3779" s="30" t="n">
        <x:f>O3779*J3779*(1+M3779)</x:f>
        <x:v>0.40579000000000004</x:v>
      </x:c>
      <x:c r="Q3779" s="30" t="n">
        <x:f>P3779*N3779</x:f>
        <x:v>29.216880000000003</x:v>
      </x:c>
      <x:c r="R3779" s="19" t="str">
        <x:v>独立判定</x:v>
      </x:c>
    </x:row>
    <x:row r="3780" ht="19" customHeight="1">
      <x:c r="A3780" s="19" t="str">
        <x:v>D03776</x:v>
      </x:c>
      <x:c r="B3780" s="19" t="n">
        <x:v>8</x:v>
      </x:c>
      <x:c r="C3780" s="19" t="n">
        <x:v>3</x:v>
      </x:c>
      <x:c r="D3780" s="19" t="str">
        <x:v>C08-M027</x:v>
      </x:c>
      <x:c r="E3780" s="19" t="str">
        <x:v>外廊冰枪卫</x:v>
      </x:c>
      <x:c r="F3780" s="19" t="str">
        <x:v>普通</x:v>
      </x:c>
      <x:c r="G3780" s="19" t="str">
        <x:v>材料独立候选</x:v>
      </x:c>
      <x:c r="H3780" s="19" t="str">
        <x:v>登山铁楔</x:v>
      </x:c>
      <x:c r="I3780" s="22" t="n">
        <x:v>2500</x:v>
      </x:c>
      <x:c r="J3780" s="22" t="n">
        <x:v>1</x:v>
      </x:c>
      <x:c r="K3780" s="19" t="n">
        <x:v>1</x:v>
      </x:c>
      <x:c r="L3780" s="24" t="n">
        <x:v>55.335</x:v>
      </x:c>
      <x:c r="M3780" s="26" t="n">
        <x:v>0.1</x:v>
      </x:c>
      <x:c r="N3780" s="24" t="n">
        <x:v>72</x:v>
      </x:c>
      <x:c r="O3780" s="28" t="n">
        <x:f>MIN(1,L3780/I3780)</x:f>
        <x:v>0.022134</x:v>
      </x:c>
      <x:c r="P3780" s="30" t="n">
        <x:f>O3780*J3780*(1+M3780)</x:f>
        <x:v>0.0243474</x:v>
      </x:c>
      <x:c r="Q3780" s="30" t="n">
        <x:f>P3780*N3780</x:f>
        <x:v>1.7530128</x:v>
      </x:c>
      <x:c r="R3780" s="19" t="str">
        <x:v>独立判定</x:v>
      </x:c>
    </x:row>
    <x:row r="3781" ht="19" customHeight="1">
      <x:c r="A3781" s="19" t="str">
        <x:v>D03777</x:v>
      </x:c>
      <x:c r="B3781" s="19" t="n">
        <x:v>8</x:v>
      </x:c>
      <x:c r="C3781" s="19" t="n">
        <x:v>3</x:v>
      </x:c>
      <x:c r="D3781" s="19" t="str">
        <x:v>C08-M027</x:v>
      </x:c>
      <x:c r="E3781" s="19" t="str">
        <x:v>外廊冰枪卫</x:v>
      </x:c>
      <x:c r="F3781" s="19" t="str">
        <x:v>普通</x:v>
      </x:c>
      <x:c r="G3781" s="19" t="str">
        <x:v>材料独立候选</x:v>
      </x:c>
      <x:c r="H3781" s="19" t="str">
        <x:v>穹霜碑珀</x:v>
      </x:c>
      <x:c r="I3781" s="22" t="n">
        <x:v>2500000</x:v>
      </x:c>
      <x:c r="J3781" s="22" t="n">
        <x:v>1</x:v>
      </x:c>
      <x:c r="K3781" s="19" t="n">
        <x:v>1</x:v>
      </x:c>
      <x:c r="L3781" s="24" t="n">
        <x:v>55.335</x:v>
      </x:c>
      <x:c r="M3781" s="26" t="n">
        <x:v>0.1</x:v>
      </x:c>
      <x:c r="N3781" s="24" t="n">
        <x:v>72</x:v>
      </x:c>
      <x:c r="O3781" s="28" t="n">
        <x:f>MIN(1,L3781/I3781)</x:f>
        <x:v>0.000022134000000000002</x:v>
      </x:c>
      <x:c r="P3781" s="30" t="n">
        <x:f>O3781*J3781*(1+M3781)</x:f>
        <x:v>0.000024347400000000003</x:v>
      </x:c>
      <x:c r="Q3781" s="30" t="n">
        <x:f>P3781*N3781</x:f>
        <x:v>0.0017530128000000002</x:v>
      </x:c>
      <x:c r="R3781" s="19" t="str">
        <x:v>独立判定</x:v>
      </x:c>
    </x:row>
    <x:row r="3782" ht="19" customHeight="1">
      <x:c r="A3782" s="19" t="str">
        <x:v>D03778</x:v>
      </x:c>
      <x:c r="B3782" s="19" t="n">
        <x:v>8</x:v>
      </x:c>
      <x:c r="C3782" s="19" t="n">
        <x:v>3</x:v>
      </x:c>
      <x:c r="D3782" s="19" t="str">
        <x:v>C08-M027</x:v>
      </x:c>
      <x:c r="E3782" s="19" t="str">
        <x:v>外廊冰枪卫</x:v>
      </x:c>
      <x:c r="F3782" s="19" t="str">
        <x:v>普通</x:v>
      </x:c>
      <x:c r="G3782" s="19" t="str">
        <x:v>材料独立候选</x:v>
      </x:c>
      <x:c r="H3782" s="19" t="str">
        <x:v>野兽骨片</x:v>
      </x:c>
      <x:c r="I3782" s="22" t="n">
        <x:v>250</x:v>
      </x:c>
      <x:c r="J3782" s="22" t="n">
        <x:v>5</x:v>
      </x:c>
      <x:c r="K3782" s="19" t="n">
        <x:v>1</x:v>
      </x:c>
      <x:c r="L3782" s="24" t="n">
        <x:v>55.335</x:v>
      </x:c>
      <x:c r="M3782" s="26" t="n">
        <x:v>0.1</x:v>
      </x:c>
      <x:c r="N3782" s="24" t="n">
        <x:v>72</x:v>
      </x:c>
      <x:c r="O3782" s="28" t="n">
        <x:f>MIN(1,L3782/I3782)</x:f>
        <x:v>0.22134</x:v>
      </x:c>
      <x:c r="P3782" s="30" t="n">
        <x:f>O3782*J3782*(1+M3782)</x:f>
        <x:v>1.21737</x:v>
      </x:c>
      <x:c r="Q3782" s="30" t="n">
        <x:f>P3782*N3782</x:f>
        <x:v>87.65064000000001</x:v>
      </x:c>
      <x:c r="R3782" s="19" t="str">
        <x:v>独立判定</x:v>
      </x:c>
    </x:row>
    <x:row r="3783" ht="19" customHeight="1">
      <x:c r="A3783" s="19" t="str">
        <x:v>D03779</x:v>
      </x:c>
      <x:c r="B3783" s="19" t="n">
        <x:v>8</x:v>
      </x:c>
      <x:c r="C3783" s="19" t="n">
        <x:v>3</x:v>
      </x:c>
      <x:c r="D3783" s="19" t="str">
        <x:v>C08-M027</x:v>
      </x:c>
      <x:c r="E3783" s="19" t="str">
        <x:v>外廊冰枪卫</x:v>
      </x:c>
      <x:c r="F3783" s="19" t="str">
        <x:v>普通</x:v>
      </x:c>
      <x:c r="G3783" s="19" t="str">
        <x:v>材料独立候选</x:v>
      </x:c>
      <x:c r="H3783" s="19" t="str">
        <x:v>技能残页</x:v>
      </x:c>
      <x:c r="I3783" s="22" t="n">
        <x:v>2000</x:v>
      </x:c>
      <x:c r="J3783" s="22" t="n">
        <x:v>1</x:v>
      </x:c>
      <x:c r="K3783" s="19" t="n">
        <x:v>1</x:v>
      </x:c>
      <x:c r="L3783" s="24" t="n">
        <x:v>55.335</x:v>
      </x:c>
      <x:c r="M3783" s="26" t="n">
        <x:v>0.1</x:v>
      </x:c>
      <x:c r="N3783" s="24" t="n">
        <x:v>72</x:v>
      </x:c>
      <x:c r="O3783" s="28" t="n">
        <x:f>MIN(1,L3783/I3783)</x:f>
        <x:v>0.0276675</x:v>
      </x:c>
      <x:c r="P3783" s="30" t="n">
        <x:f>O3783*J3783*(1+M3783)</x:f>
        <x:v>0.030434250000000003</x:v>
      </x:c>
      <x:c r="Q3783" s="30" t="n">
        <x:f>P3783*N3783</x:f>
        <x:v>2.191266</x:v>
      </x:c>
      <x:c r="R3783" s="19" t="str">
        <x:v>独立判定</x:v>
      </x:c>
    </x:row>
    <x:row r="3784" ht="19" customHeight="1">
      <x:c r="A3784" s="19" t="str">
        <x:v>D03780</x:v>
      </x:c>
      <x:c r="B3784" s="19" t="n">
        <x:v>8</x:v>
      </x:c>
      <x:c r="C3784" s="19" t="n">
        <x:v>3</x:v>
      </x:c>
      <x:c r="D3784" s="19" t="str">
        <x:v>C08-M027</x:v>
      </x:c>
      <x:c r="E3784" s="19" t="str">
        <x:v>外廊冰枪卫</x:v>
      </x:c>
      <x:c r="F3784" s="19" t="str">
        <x:v>普通</x:v>
      </x:c>
      <x:c r="G3784" s="19" t="str">
        <x:v>材料独立候选</x:v>
      </x:c>
      <x:c r="H3784" s="19" t="str">
        <x:v>小卢恩</x:v>
      </x:c>
      <x:c r="I3784" s="22" t="n">
        <x:v>15000</x:v>
      </x:c>
      <x:c r="J3784" s="22" t="n">
        <x:v>1</x:v>
      </x:c>
      <x:c r="K3784" s="19" t="n">
        <x:v>1</x:v>
      </x:c>
      <x:c r="L3784" s="24" t="n">
        <x:v>55.335</x:v>
      </x:c>
      <x:c r="M3784" s="26" t="n">
        <x:v>0.1</x:v>
      </x:c>
      <x:c r="N3784" s="24" t="n">
        <x:v>72</x:v>
      </x:c>
      <x:c r="O3784" s="28" t="n">
        <x:f>MIN(1,L3784/I3784)</x:f>
        <x:v>0.003689</x:v>
      </x:c>
      <x:c r="P3784" s="30" t="n">
        <x:f>O3784*J3784*(1+M3784)</x:f>
        <x:v>0.004057900000000001</x:v>
      </x:c>
      <x:c r="Q3784" s="30" t="n">
        <x:f>P3784*N3784</x:f>
        <x:v>0.29216880000000006</x:v>
      </x:c>
      <x:c r="R3784" s="19" t="str">
        <x:v>独立判定</x:v>
      </x:c>
    </x:row>
    <x:row r="3785" ht="19" customHeight="1">
      <x:c r="A3785" s="19" t="str">
        <x:v>D03781</x:v>
      </x:c>
      <x:c r="B3785" s="19" t="n">
        <x:v>8</x:v>
      </x:c>
      <x:c r="C3785" s="19" t="n">
        <x:v>3</x:v>
      </x:c>
      <x:c r="D3785" s="19" t="str">
        <x:v>C08-M027</x:v>
      </x:c>
      <x:c r="E3785" s="19" t="str">
        <x:v>外廊冰枪卫</x:v>
      </x:c>
      <x:c r="F3785" s="19" t="str">
        <x:v>普通</x:v>
      </x:c>
      <x:c r="G3785" s="19" t="str">
        <x:v>六神器公共池</x:v>
      </x:c>
      <x:c r="H3785" s="19" t="str">
        <x:v>POOL006</x:v>
      </x:c>
      <x:c r="I3785" s="22" t="n">
        <x:v>20000000</x:v>
      </x:c>
      <x:c r="J3785" s="22" t="n">
        <x:v>1</x:v>
      </x:c>
      <x:c r="K3785" s="19" t="n">
        <x:v>6</x:v>
      </x:c>
      <x:c r="L3785" s="24" t="n">
        <x:v>55.335</x:v>
      </x:c>
      <x:c r="M3785" s="26" t="n">
        <x:v>0.1</x:v>
      </x:c>
      <x:c r="N3785" s="24" t="n">
        <x:v>72</x:v>
      </x:c>
      <x:c r="O3785" s="28" t="n">
        <x:f>MIN(1,L3785/I3785)</x:f>
        <x:v>0.0000027667500000000002</x:v>
      </x:c>
      <x:c r="P3785" s="30" t="n">
        <x:f>O3785*J3785*(1+M3785)</x:f>
        <x:v>0.0000030434250000000004</x:v>
      </x:c>
      <x:c r="Q3785" s="30" t="n">
        <x:f>P3785*N3785</x:f>
        <x:v>0.00021912660000000003</x:v>
      </x:c>
      <x:c r="R3785" s="19" t="str">
        <x:v>六选一；非6个独立爆率</x:v>
      </x:c>
    </x:row>
    <x:row r="3786" ht="19" customHeight="1">
      <x:c r="A3786" s="19" t="str">
        <x:v>D03782</x:v>
      </x:c>
      <x:c r="B3786" s="19" t="n">
        <x:v>8</x:v>
      </x:c>
      <x:c r="C3786" s="19" t="n">
        <x:v>3</x:v>
      </x:c>
      <x:c r="D3786" s="19" t="str">
        <x:v>C08-M028</x:v>
      </x:c>
      <x:c r="E3786" s="19" t="str">
        <x:v>内廷霜纱侍女</x:v>
      </x:c>
      <x:c r="F3786" s="19" t="str">
        <x:v>普通</x:v>
      </x:c>
      <x:c r="G3786" s="19" t="str">
        <x:v>自身专属</x:v>
      </x:c>
      <x:c r="H3786" s="19" t="str">
        <x:v>霜纱侍衣</x:v>
      </x:c>
      <x:c r="I3786" s="22" t="n">
        <x:v>6000</x:v>
      </x:c>
      <x:c r="J3786" s="22" t="n">
        <x:v>1</x:v>
      </x:c>
      <x:c r="K3786" s="19" t="n">
        <x:v>1</x:v>
      </x:c>
      <x:c r="L3786" s="24" t="n">
        <x:v>55.335</x:v>
      </x:c>
      <x:c r="M3786" s="26" t="n">
        <x:v>0.1</x:v>
      </x:c>
      <x:c r="N3786" s="24" t="n">
        <x:v>72</x:v>
      </x:c>
      <x:c r="O3786" s="28" t="n">
        <x:f>MIN(1,L3786/I3786)</x:f>
        <x:v>0.0092225</x:v>
      </x:c>
      <x:c r="P3786" s="30" t="n">
        <x:f>O3786*J3786*(1+M3786)</x:f>
        <x:v>0.010144750000000001</x:v>
      </x:c>
      <x:c r="Q3786" s="30" t="n">
        <x:f>P3786*N3786</x:f>
        <x:v>0.7304220000000001</x:v>
      </x:c>
      <x:c r="R3786" s="19" t="str">
        <x:v>独立判定</x:v>
      </x:c>
    </x:row>
    <x:row r="3787" ht="19" customHeight="1">
      <x:c r="A3787" s="19" t="str">
        <x:v>D03783</x:v>
      </x:c>
      <x:c r="B3787" s="19" t="n">
        <x:v>8</x:v>
      </x:c>
      <x:c r="C3787" s="19" t="n">
        <x:v>3</x:v>
      </x:c>
      <x:c r="D3787" s="19" t="str">
        <x:v>C08-M028</x:v>
      </x:c>
      <x:c r="E3787" s="19" t="str">
        <x:v>内廷霜纱侍女</x:v>
      </x:c>
      <x:c r="F3787" s="19" t="str">
        <x:v>普通</x:v>
      </x:c>
      <x:c r="G3787" s="19" t="str">
        <x:v>材料独立候选</x:v>
      </x:c>
      <x:c r="H3787" s="19" t="str">
        <x:v>霜脊铁</x:v>
      </x:c>
      <x:c r="I3787" s="22" t="n">
        <x:v>1200</x:v>
      </x:c>
      <x:c r="J3787" s="22" t="n">
        <x:v>8</x:v>
      </x:c>
      <x:c r="K3787" s="19" t="n">
        <x:v>1</x:v>
      </x:c>
      <x:c r="L3787" s="24" t="n">
        <x:v>55.335</x:v>
      </x:c>
      <x:c r="M3787" s="26" t="n">
        <x:v>0.1</x:v>
      </x:c>
      <x:c r="N3787" s="24" t="n">
        <x:v>72</x:v>
      </x:c>
      <x:c r="O3787" s="28" t="n">
        <x:f>MIN(1,L3787/I3787)</x:f>
        <x:v>0.0461125</x:v>
      </x:c>
      <x:c r="P3787" s="30" t="n">
        <x:f>O3787*J3787*(1+M3787)</x:f>
        <x:v>0.40579000000000004</x:v>
      </x:c>
      <x:c r="Q3787" s="30" t="n">
        <x:f>P3787*N3787</x:f>
        <x:v>29.216880000000003</x:v>
      </x:c>
      <x:c r="R3787" s="19" t="str">
        <x:v>独立判定</x:v>
      </x:c>
    </x:row>
    <x:row r="3788" ht="19" customHeight="1">
      <x:c r="A3788" s="19" t="str">
        <x:v>D03784</x:v>
      </x:c>
      <x:c r="B3788" s="19" t="n">
        <x:v>8</x:v>
      </x:c>
      <x:c r="C3788" s="19" t="n">
        <x:v>3</x:v>
      </x:c>
      <x:c r="D3788" s="19" t="str">
        <x:v>C08-M028</x:v>
      </x:c>
      <x:c r="E3788" s="19" t="str">
        <x:v>内廷霜纱侍女</x:v>
      </x:c>
      <x:c r="F3788" s="19" t="str">
        <x:v>普通</x:v>
      </x:c>
      <x:c r="G3788" s="19" t="str">
        <x:v>材料独立候选</x:v>
      </x:c>
      <x:c r="H3788" s="19" t="str">
        <x:v>登山铁楔</x:v>
      </x:c>
      <x:c r="I3788" s="22" t="n">
        <x:v>2500</x:v>
      </x:c>
      <x:c r="J3788" s="22" t="n">
        <x:v>1</x:v>
      </x:c>
      <x:c r="K3788" s="19" t="n">
        <x:v>1</x:v>
      </x:c>
      <x:c r="L3788" s="24" t="n">
        <x:v>55.335</x:v>
      </x:c>
      <x:c r="M3788" s="26" t="n">
        <x:v>0.1</x:v>
      </x:c>
      <x:c r="N3788" s="24" t="n">
        <x:v>72</x:v>
      </x:c>
      <x:c r="O3788" s="28" t="n">
        <x:f>MIN(1,L3788/I3788)</x:f>
        <x:v>0.022134</x:v>
      </x:c>
      <x:c r="P3788" s="30" t="n">
        <x:f>O3788*J3788*(1+M3788)</x:f>
        <x:v>0.0243474</x:v>
      </x:c>
      <x:c r="Q3788" s="30" t="n">
        <x:f>P3788*N3788</x:f>
        <x:v>1.7530128</x:v>
      </x:c>
      <x:c r="R3788" s="19" t="str">
        <x:v>独立判定</x:v>
      </x:c>
    </x:row>
    <x:row r="3789" ht="19" customHeight="1">
      <x:c r="A3789" s="19" t="str">
        <x:v>D03785</x:v>
      </x:c>
      <x:c r="B3789" s="19" t="n">
        <x:v>8</x:v>
      </x:c>
      <x:c r="C3789" s="19" t="n">
        <x:v>3</x:v>
      </x:c>
      <x:c r="D3789" s="19" t="str">
        <x:v>C08-M028</x:v>
      </x:c>
      <x:c r="E3789" s="19" t="str">
        <x:v>内廷霜纱侍女</x:v>
      </x:c>
      <x:c r="F3789" s="19" t="str">
        <x:v>普通</x:v>
      </x:c>
      <x:c r="G3789" s="19" t="str">
        <x:v>材料独立候选</x:v>
      </x:c>
      <x:c r="H3789" s="19" t="str">
        <x:v>穹霜碑珀</x:v>
      </x:c>
      <x:c r="I3789" s="22" t="n">
        <x:v>2500000</x:v>
      </x:c>
      <x:c r="J3789" s="22" t="n">
        <x:v>1</x:v>
      </x:c>
      <x:c r="K3789" s="19" t="n">
        <x:v>1</x:v>
      </x:c>
      <x:c r="L3789" s="24" t="n">
        <x:v>55.335</x:v>
      </x:c>
      <x:c r="M3789" s="26" t="n">
        <x:v>0.1</x:v>
      </x:c>
      <x:c r="N3789" s="24" t="n">
        <x:v>72</x:v>
      </x:c>
      <x:c r="O3789" s="28" t="n">
        <x:f>MIN(1,L3789/I3789)</x:f>
        <x:v>0.000022134000000000002</x:v>
      </x:c>
      <x:c r="P3789" s="30" t="n">
        <x:f>O3789*J3789*(1+M3789)</x:f>
        <x:v>0.000024347400000000003</x:v>
      </x:c>
      <x:c r="Q3789" s="30" t="n">
        <x:f>P3789*N3789</x:f>
        <x:v>0.0017530128000000002</x:v>
      </x:c>
      <x:c r="R3789" s="19" t="str">
        <x:v>独立判定</x:v>
      </x:c>
    </x:row>
    <x:row r="3790" ht="19" customHeight="1">
      <x:c r="A3790" s="19" t="str">
        <x:v>D03786</x:v>
      </x:c>
      <x:c r="B3790" s="19" t="n">
        <x:v>8</x:v>
      </x:c>
      <x:c r="C3790" s="19" t="n">
        <x:v>3</x:v>
      </x:c>
      <x:c r="D3790" s="19" t="str">
        <x:v>C08-M028</x:v>
      </x:c>
      <x:c r="E3790" s="19" t="str">
        <x:v>内廷霜纱侍女</x:v>
      </x:c>
      <x:c r="F3790" s="19" t="str">
        <x:v>普通</x:v>
      </x:c>
      <x:c r="G3790" s="19" t="str">
        <x:v>材料独立候选</x:v>
      </x:c>
      <x:c r="H3790" s="19" t="str">
        <x:v>野兽骨片</x:v>
      </x:c>
      <x:c r="I3790" s="22" t="n">
        <x:v>250</x:v>
      </x:c>
      <x:c r="J3790" s="22" t="n">
        <x:v>5</x:v>
      </x:c>
      <x:c r="K3790" s="19" t="n">
        <x:v>1</x:v>
      </x:c>
      <x:c r="L3790" s="24" t="n">
        <x:v>55.335</x:v>
      </x:c>
      <x:c r="M3790" s="26" t="n">
        <x:v>0.1</x:v>
      </x:c>
      <x:c r="N3790" s="24" t="n">
        <x:v>72</x:v>
      </x:c>
      <x:c r="O3790" s="28" t="n">
        <x:f>MIN(1,L3790/I3790)</x:f>
        <x:v>0.22134</x:v>
      </x:c>
      <x:c r="P3790" s="30" t="n">
        <x:f>O3790*J3790*(1+M3790)</x:f>
        <x:v>1.21737</x:v>
      </x:c>
      <x:c r="Q3790" s="30" t="n">
        <x:f>P3790*N3790</x:f>
        <x:v>87.65064000000001</x:v>
      </x:c>
      <x:c r="R3790" s="19" t="str">
        <x:v>独立判定</x:v>
      </x:c>
    </x:row>
    <x:row r="3791" ht="19" customHeight="1">
      <x:c r="A3791" s="19" t="str">
        <x:v>D03787</x:v>
      </x:c>
      <x:c r="B3791" s="19" t="n">
        <x:v>8</x:v>
      </x:c>
      <x:c r="C3791" s="19" t="n">
        <x:v>3</x:v>
      </x:c>
      <x:c r="D3791" s="19" t="str">
        <x:v>C08-M028</x:v>
      </x:c>
      <x:c r="E3791" s="19" t="str">
        <x:v>内廷霜纱侍女</x:v>
      </x:c>
      <x:c r="F3791" s="19" t="str">
        <x:v>普通</x:v>
      </x:c>
      <x:c r="G3791" s="19" t="str">
        <x:v>材料独立候选</x:v>
      </x:c>
      <x:c r="H3791" s="19" t="str">
        <x:v>技能残页</x:v>
      </x:c>
      <x:c r="I3791" s="22" t="n">
        <x:v>2000</x:v>
      </x:c>
      <x:c r="J3791" s="22" t="n">
        <x:v>1</x:v>
      </x:c>
      <x:c r="K3791" s="19" t="n">
        <x:v>1</x:v>
      </x:c>
      <x:c r="L3791" s="24" t="n">
        <x:v>55.335</x:v>
      </x:c>
      <x:c r="M3791" s="26" t="n">
        <x:v>0.1</x:v>
      </x:c>
      <x:c r="N3791" s="24" t="n">
        <x:v>72</x:v>
      </x:c>
      <x:c r="O3791" s="28" t="n">
        <x:f>MIN(1,L3791/I3791)</x:f>
        <x:v>0.0276675</x:v>
      </x:c>
      <x:c r="P3791" s="30" t="n">
        <x:f>O3791*J3791*(1+M3791)</x:f>
        <x:v>0.030434250000000003</x:v>
      </x:c>
      <x:c r="Q3791" s="30" t="n">
        <x:f>P3791*N3791</x:f>
        <x:v>2.191266</x:v>
      </x:c>
      <x:c r="R3791" s="19" t="str">
        <x:v>独立判定</x:v>
      </x:c>
    </x:row>
    <x:row r="3792" ht="19" customHeight="1">
      <x:c r="A3792" s="19" t="str">
        <x:v>D03788</x:v>
      </x:c>
      <x:c r="B3792" s="19" t="n">
        <x:v>8</x:v>
      </x:c>
      <x:c r="C3792" s="19" t="n">
        <x:v>3</x:v>
      </x:c>
      <x:c r="D3792" s="19" t="str">
        <x:v>C08-M028</x:v>
      </x:c>
      <x:c r="E3792" s="19" t="str">
        <x:v>内廷霜纱侍女</x:v>
      </x:c>
      <x:c r="F3792" s="19" t="str">
        <x:v>普通</x:v>
      </x:c>
      <x:c r="G3792" s="19" t="str">
        <x:v>材料独立候选</x:v>
      </x:c>
      <x:c r="H3792" s="19" t="str">
        <x:v>小卢恩</x:v>
      </x:c>
      <x:c r="I3792" s="22" t="n">
        <x:v>15000</x:v>
      </x:c>
      <x:c r="J3792" s="22" t="n">
        <x:v>1</x:v>
      </x:c>
      <x:c r="K3792" s="19" t="n">
        <x:v>1</x:v>
      </x:c>
      <x:c r="L3792" s="24" t="n">
        <x:v>55.335</x:v>
      </x:c>
      <x:c r="M3792" s="26" t="n">
        <x:v>0.1</x:v>
      </x:c>
      <x:c r="N3792" s="24" t="n">
        <x:v>72</x:v>
      </x:c>
      <x:c r="O3792" s="28" t="n">
        <x:f>MIN(1,L3792/I3792)</x:f>
        <x:v>0.003689</x:v>
      </x:c>
      <x:c r="P3792" s="30" t="n">
        <x:f>O3792*J3792*(1+M3792)</x:f>
        <x:v>0.004057900000000001</x:v>
      </x:c>
      <x:c r="Q3792" s="30" t="n">
        <x:f>P3792*N3792</x:f>
        <x:v>0.29216880000000006</x:v>
      </x:c>
      <x:c r="R3792" s="19" t="str">
        <x:v>独立判定</x:v>
      </x:c>
    </x:row>
    <x:row r="3793" ht="19" customHeight="1">
      <x:c r="A3793" s="19" t="str">
        <x:v>D03789</x:v>
      </x:c>
      <x:c r="B3793" s="19" t="n">
        <x:v>8</x:v>
      </x:c>
      <x:c r="C3793" s="19" t="n">
        <x:v>3</x:v>
      </x:c>
      <x:c r="D3793" s="19" t="str">
        <x:v>C08-M028</x:v>
      </x:c>
      <x:c r="E3793" s="19" t="str">
        <x:v>内廷霜纱侍女</x:v>
      </x:c>
      <x:c r="F3793" s="19" t="str">
        <x:v>普通</x:v>
      </x:c>
      <x:c r="G3793" s="19" t="str">
        <x:v>六神器公共池</x:v>
      </x:c>
      <x:c r="H3793" s="19" t="str">
        <x:v>POOL006</x:v>
      </x:c>
      <x:c r="I3793" s="22" t="n">
        <x:v>20000000</x:v>
      </x:c>
      <x:c r="J3793" s="22" t="n">
        <x:v>1</x:v>
      </x:c>
      <x:c r="K3793" s="19" t="n">
        <x:v>6</x:v>
      </x:c>
      <x:c r="L3793" s="24" t="n">
        <x:v>55.335</x:v>
      </x:c>
      <x:c r="M3793" s="26" t="n">
        <x:v>0.1</x:v>
      </x:c>
      <x:c r="N3793" s="24" t="n">
        <x:v>72</x:v>
      </x:c>
      <x:c r="O3793" s="28" t="n">
        <x:f>MIN(1,L3793/I3793)</x:f>
        <x:v>0.0000027667500000000002</x:v>
      </x:c>
      <x:c r="P3793" s="30" t="n">
        <x:f>O3793*J3793*(1+M3793)</x:f>
        <x:v>0.0000030434250000000004</x:v>
      </x:c>
      <x:c r="Q3793" s="30" t="n">
        <x:f>P3793*N3793</x:f>
        <x:v>0.00021912660000000003</x:v>
      </x:c>
      <x:c r="R3793" s="19" t="str">
        <x:v>六选一；非6个独立爆率</x:v>
      </x:c>
    </x:row>
    <x:row r="3794" ht="19" customHeight="1">
      <x:c r="A3794" s="19" t="str">
        <x:v>D03790</x:v>
      </x:c>
      <x:c r="B3794" s="19" t="n">
        <x:v>8</x:v>
      </x:c>
      <x:c r="C3794" s="19" t="n">
        <x:v>3</x:v>
      </x:c>
      <x:c r="D3794" s="19" t="str">
        <x:v>C08-M029</x:v>
      </x:c>
      <x:c r="E3794" s="19" t="str">
        <x:v>议殿石髯书记</x:v>
      </x:c>
      <x:c r="F3794" s="19" t="str">
        <x:v>普通</x:v>
      </x:c>
      <x:c r="G3794" s="19" t="str">
        <x:v>自身专属</x:v>
      </x:c>
      <x:c r="H3794" s="19" t="str">
        <x:v>石髯记事镯</x:v>
      </x:c>
      <x:c r="I3794" s="22" t="n">
        <x:v>6000</x:v>
      </x:c>
      <x:c r="J3794" s="22" t="n">
        <x:v>1</x:v>
      </x:c>
      <x:c r="K3794" s="19" t="n">
        <x:v>1</x:v>
      </x:c>
      <x:c r="L3794" s="24" t="n">
        <x:v>55.335</x:v>
      </x:c>
      <x:c r="M3794" s="26" t="n">
        <x:v>0.1</x:v>
      </x:c>
      <x:c r="N3794" s="24" t="n">
        <x:v>72</x:v>
      </x:c>
      <x:c r="O3794" s="28" t="n">
        <x:f>MIN(1,L3794/I3794)</x:f>
        <x:v>0.0092225</x:v>
      </x:c>
      <x:c r="P3794" s="30" t="n">
        <x:f>O3794*J3794*(1+M3794)</x:f>
        <x:v>0.010144750000000001</x:v>
      </x:c>
      <x:c r="Q3794" s="30" t="n">
        <x:f>P3794*N3794</x:f>
        <x:v>0.7304220000000001</x:v>
      </x:c>
      <x:c r="R3794" s="19" t="str">
        <x:v>独立判定</x:v>
      </x:c>
    </x:row>
    <x:row r="3795" ht="19" customHeight="1">
      <x:c r="A3795" s="19" t="str">
        <x:v>D03791</x:v>
      </x:c>
      <x:c r="B3795" s="19" t="n">
        <x:v>8</x:v>
      </x:c>
      <x:c r="C3795" s="19" t="n">
        <x:v>3</x:v>
      </x:c>
      <x:c r="D3795" s="19" t="str">
        <x:v>C08-M029</x:v>
      </x:c>
      <x:c r="E3795" s="19" t="str">
        <x:v>议殿石髯书记</x:v>
      </x:c>
      <x:c r="F3795" s="19" t="str">
        <x:v>普通</x:v>
      </x:c>
      <x:c r="G3795" s="19" t="str">
        <x:v>材料独立候选</x:v>
      </x:c>
      <x:c r="H3795" s="19" t="str">
        <x:v>霜脊铁</x:v>
      </x:c>
      <x:c r="I3795" s="22" t="n">
        <x:v>1200</x:v>
      </x:c>
      <x:c r="J3795" s="22" t="n">
        <x:v>8</x:v>
      </x:c>
      <x:c r="K3795" s="19" t="n">
        <x:v>1</x:v>
      </x:c>
      <x:c r="L3795" s="24" t="n">
        <x:v>55.335</x:v>
      </x:c>
      <x:c r="M3795" s="26" t="n">
        <x:v>0.1</x:v>
      </x:c>
      <x:c r="N3795" s="24" t="n">
        <x:v>72</x:v>
      </x:c>
      <x:c r="O3795" s="28" t="n">
        <x:f>MIN(1,L3795/I3795)</x:f>
        <x:v>0.0461125</x:v>
      </x:c>
      <x:c r="P3795" s="30" t="n">
        <x:f>O3795*J3795*(1+M3795)</x:f>
        <x:v>0.40579000000000004</x:v>
      </x:c>
      <x:c r="Q3795" s="30" t="n">
        <x:f>P3795*N3795</x:f>
        <x:v>29.216880000000003</x:v>
      </x:c>
      <x:c r="R3795" s="19" t="str">
        <x:v>独立判定</x:v>
      </x:c>
    </x:row>
    <x:row r="3796" ht="19" customHeight="1">
      <x:c r="A3796" s="19" t="str">
        <x:v>D03792</x:v>
      </x:c>
      <x:c r="B3796" s="19" t="n">
        <x:v>8</x:v>
      </x:c>
      <x:c r="C3796" s="19" t="n">
        <x:v>3</x:v>
      </x:c>
      <x:c r="D3796" s="19" t="str">
        <x:v>C08-M029</x:v>
      </x:c>
      <x:c r="E3796" s="19" t="str">
        <x:v>议殿石髯书记</x:v>
      </x:c>
      <x:c r="F3796" s="19" t="str">
        <x:v>普通</x:v>
      </x:c>
      <x:c r="G3796" s="19" t="str">
        <x:v>材料独立候选</x:v>
      </x:c>
      <x:c r="H3796" s="19" t="str">
        <x:v>登山铁楔</x:v>
      </x:c>
      <x:c r="I3796" s="22" t="n">
        <x:v>2500</x:v>
      </x:c>
      <x:c r="J3796" s="22" t="n">
        <x:v>1</x:v>
      </x:c>
      <x:c r="K3796" s="19" t="n">
        <x:v>1</x:v>
      </x:c>
      <x:c r="L3796" s="24" t="n">
        <x:v>55.335</x:v>
      </x:c>
      <x:c r="M3796" s="26" t="n">
        <x:v>0.1</x:v>
      </x:c>
      <x:c r="N3796" s="24" t="n">
        <x:v>72</x:v>
      </x:c>
      <x:c r="O3796" s="28" t="n">
        <x:f>MIN(1,L3796/I3796)</x:f>
        <x:v>0.022134</x:v>
      </x:c>
      <x:c r="P3796" s="30" t="n">
        <x:f>O3796*J3796*(1+M3796)</x:f>
        <x:v>0.0243474</x:v>
      </x:c>
      <x:c r="Q3796" s="30" t="n">
        <x:f>P3796*N3796</x:f>
        <x:v>1.7530128</x:v>
      </x:c>
      <x:c r="R3796" s="19" t="str">
        <x:v>独立判定</x:v>
      </x:c>
    </x:row>
    <x:row r="3797" ht="19" customHeight="1">
      <x:c r="A3797" s="19" t="str">
        <x:v>D03793</x:v>
      </x:c>
      <x:c r="B3797" s="19" t="n">
        <x:v>8</x:v>
      </x:c>
      <x:c r="C3797" s="19" t="n">
        <x:v>3</x:v>
      </x:c>
      <x:c r="D3797" s="19" t="str">
        <x:v>C08-M029</x:v>
      </x:c>
      <x:c r="E3797" s="19" t="str">
        <x:v>议殿石髯书记</x:v>
      </x:c>
      <x:c r="F3797" s="19" t="str">
        <x:v>普通</x:v>
      </x:c>
      <x:c r="G3797" s="19" t="str">
        <x:v>材料独立候选</x:v>
      </x:c>
      <x:c r="H3797" s="19" t="str">
        <x:v>穹霜碑珀</x:v>
      </x:c>
      <x:c r="I3797" s="22" t="n">
        <x:v>2500000</x:v>
      </x:c>
      <x:c r="J3797" s="22" t="n">
        <x:v>1</x:v>
      </x:c>
      <x:c r="K3797" s="19" t="n">
        <x:v>1</x:v>
      </x:c>
      <x:c r="L3797" s="24" t="n">
        <x:v>55.335</x:v>
      </x:c>
      <x:c r="M3797" s="26" t="n">
        <x:v>0.1</x:v>
      </x:c>
      <x:c r="N3797" s="24" t="n">
        <x:v>72</x:v>
      </x:c>
      <x:c r="O3797" s="28" t="n">
        <x:f>MIN(1,L3797/I3797)</x:f>
        <x:v>0.000022134000000000002</x:v>
      </x:c>
      <x:c r="P3797" s="30" t="n">
        <x:f>O3797*J3797*(1+M3797)</x:f>
        <x:v>0.000024347400000000003</x:v>
      </x:c>
      <x:c r="Q3797" s="30" t="n">
        <x:f>P3797*N3797</x:f>
        <x:v>0.0017530128000000002</x:v>
      </x:c>
      <x:c r="R3797" s="19" t="str">
        <x:v>独立判定</x:v>
      </x:c>
    </x:row>
    <x:row r="3798" ht="19" customHeight="1">
      <x:c r="A3798" s="19" t="str">
        <x:v>D03794</x:v>
      </x:c>
      <x:c r="B3798" s="19" t="n">
        <x:v>8</x:v>
      </x:c>
      <x:c r="C3798" s="19" t="n">
        <x:v>3</x:v>
      </x:c>
      <x:c r="D3798" s="19" t="str">
        <x:v>C08-M029</x:v>
      </x:c>
      <x:c r="E3798" s="19" t="str">
        <x:v>议殿石髯书记</x:v>
      </x:c>
      <x:c r="F3798" s="19" t="str">
        <x:v>普通</x:v>
      </x:c>
      <x:c r="G3798" s="19" t="str">
        <x:v>材料独立候选</x:v>
      </x:c>
      <x:c r="H3798" s="19" t="str">
        <x:v>野兽骨片</x:v>
      </x:c>
      <x:c r="I3798" s="22" t="n">
        <x:v>250</x:v>
      </x:c>
      <x:c r="J3798" s="22" t="n">
        <x:v>5</x:v>
      </x:c>
      <x:c r="K3798" s="19" t="n">
        <x:v>1</x:v>
      </x:c>
      <x:c r="L3798" s="24" t="n">
        <x:v>55.335</x:v>
      </x:c>
      <x:c r="M3798" s="26" t="n">
        <x:v>0.1</x:v>
      </x:c>
      <x:c r="N3798" s="24" t="n">
        <x:v>72</x:v>
      </x:c>
      <x:c r="O3798" s="28" t="n">
        <x:f>MIN(1,L3798/I3798)</x:f>
        <x:v>0.22134</x:v>
      </x:c>
      <x:c r="P3798" s="30" t="n">
        <x:f>O3798*J3798*(1+M3798)</x:f>
        <x:v>1.21737</x:v>
      </x:c>
      <x:c r="Q3798" s="30" t="n">
        <x:f>P3798*N3798</x:f>
        <x:v>87.65064000000001</x:v>
      </x:c>
      <x:c r="R3798" s="19" t="str">
        <x:v>独立判定</x:v>
      </x:c>
    </x:row>
    <x:row r="3799" ht="19" customHeight="1">
      <x:c r="A3799" s="19" t="str">
        <x:v>D03795</x:v>
      </x:c>
      <x:c r="B3799" s="19" t="n">
        <x:v>8</x:v>
      </x:c>
      <x:c r="C3799" s="19" t="n">
        <x:v>3</x:v>
      </x:c>
      <x:c r="D3799" s="19" t="str">
        <x:v>C08-M029</x:v>
      </x:c>
      <x:c r="E3799" s="19" t="str">
        <x:v>议殿石髯书记</x:v>
      </x:c>
      <x:c r="F3799" s="19" t="str">
        <x:v>普通</x:v>
      </x:c>
      <x:c r="G3799" s="19" t="str">
        <x:v>材料独立候选</x:v>
      </x:c>
      <x:c r="H3799" s="19" t="str">
        <x:v>技能残页</x:v>
      </x:c>
      <x:c r="I3799" s="22" t="n">
        <x:v>2000</x:v>
      </x:c>
      <x:c r="J3799" s="22" t="n">
        <x:v>1</x:v>
      </x:c>
      <x:c r="K3799" s="19" t="n">
        <x:v>1</x:v>
      </x:c>
      <x:c r="L3799" s="24" t="n">
        <x:v>55.335</x:v>
      </x:c>
      <x:c r="M3799" s="26" t="n">
        <x:v>0.1</x:v>
      </x:c>
      <x:c r="N3799" s="24" t="n">
        <x:v>72</x:v>
      </x:c>
      <x:c r="O3799" s="28" t="n">
        <x:f>MIN(1,L3799/I3799)</x:f>
        <x:v>0.0276675</x:v>
      </x:c>
      <x:c r="P3799" s="30" t="n">
        <x:f>O3799*J3799*(1+M3799)</x:f>
        <x:v>0.030434250000000003</x:v>
      </x:c>
      <x:c r="Q3799" s="30" t="n">
        <x:f>P3799*N3799</x:f>
        <x:v>2.191266</x:v>
      </x:c>
      <x:c r="R3799" s="19" t="str">
        <x:v>独立判定</x:v>
      </x:c>
    </x:row>
    <x:row r="3800" ht="19" customHeight="1">
      <x:c r="A3800" s="19" t="str">
        <x:v>D03796</x:v>
      </x:c>
      <x:c r="B3800" s="19" t="n">
        <x:v>8</x:v>
      </x:c>
      <x:c r="C3800" s="19" t="n">
        <x:v>3</x:v>
      </x:c>
      <x:c r="D3800" s="19" t="str">
        <x:v>C08-M029</x:v>
      </x:c>
      <x:c r="E3800" s="19" t="str">
        <x:v>议殿石髯书记</x:v>
      </x:c>
      <x:c r="F3800" s="19" t="str">
        <x:v>普通</x:v>
      </x:c>
      <x:c r="G3800" s="19" t="str">
        <x:v>材料独立候选</x:v>
      </x:c>
      <x:c r="H3800" s="19" t="str">
        <x:v>小卢恩</x:v>
      </x:c>
      <x:c r="I3800" s="22" t="n">
        <x:v>15000</x:v>
      </x:c>
      <x:c r="J3800" s="22" t="n">
        <x:v>1</x:v>
      </x:c>
      <x:c r="K3800" s="19" t="n">
        <x:v>1</x:v>
      </x:c>
      <x:c r="L3800" s="24" t="n">
        <x:v>55.335</x:v>
      </x:c>
      <x:c r="M3800" s="26" t="n">
        <x:v>0.1</x:v>
      </x:c>
      <x:c r="N3800" s="24" t="n">
        <x:v>72</x:v>
      </x:c>
      <x:c r="O3800" s="28" t="n">
        <x:f>MIN(1,L3800/I3800)</x:f>
        <x:v>0.003689</x:v>
      </x:c>
      <x:c r="P3800" s="30" t="n">
        <x:f>O3800*J3800*(1+M3800)</x:f>
        <x:v>0.004057900000000001</x:v>
      </x:c>
      <x:c r="Q3800" s="30" t="n">
        <x:f>P3800*N3800</x:f>
        <x:v>0.29216880000000006</x:v>
      </x:c>
      <x:c r="R3800" s="19" t="str">
        <x:v>独立判定</x:v>
      </x:c>
    </x:row>
    <x:row r="3801" ht="19" customHeight="1">
      <x:c r="A3801" s="19" t="str">
        <x:v>D03797</x:v>
      </x:c>
      <x:c r="B3801" s="19" t="n">
        <x:v>8</x:v>
      </x:c>
      <x:c r="C3801" s="19" t="n">
        <x:v>3</x:v>
      </x:c>
      <x:c r="D3801" s="19" t="str">
        <x:v>C08-M029</x:v>
      </x:c>
      <x:c r="E3801" s="19" t="str">
        <x:v>议殿石髯书记</x:v>
      </x:c>
      <x:c r="F3801" s="19" t="str">
        <x:v>普通</x:v>
      </x:c>
      <x:c r="G3801" s="19" t="str">
        <x:v>六神器公共池</x:v>
      </x:c>
      <x:c r="H3801" s="19" t="str">
        <x:v>POOL006</x:v>
      </x:c>
      <x:c r="I3801" s="22" t="n">
        <x:v>20000000</x:v>
      </x:c>
      <x:c r="J3801" s="22" t="n">
        <x:v>1</x:v>
      </x:c>
      <x:c r="K3801" s="19" t="n">
        <x:v>6</x:v>
      </x:c>
      <x:c r="L3801" s="24" t="n">
        <x:v>55.335</x:v>
      </x:c>
      <x:c r="M3801" s="26" t="n">
        <x:v>0.1</x:v>
      </x:c>
      <x:c r="N3801" s="24" t="n">
        <x:v>72</x:v>
      </x:c>
      <x:c r="O3801" s="28" t="n">
        <x:f>MIN(1,L3801/I3801)</x:f>
        <x:v>0.0000027667500000000002</x:v>
      </x:c>
      <x:c r="P3801" s="30" t="n">
        <x:f>O3801*J3801*(1+M3801)</x:f>
        <x:v>0.0000030434250000000004</x:v>
      </x:c>
      <x:c r="Q3801" s="30" t="n">
        <x:f>P3801*N3801</x:f>
        <x:v>0.00021912660000000003</x:v>
      </x:c>
      <x:c r="R3801" s="19" t="str">
        <x:v>六选一；非6个独立爆率</x:v>
      </x:c>
    </x:row>
    <x:row r="3802" ht="19" customHeight="1">
      <x:c r="A3802" s="19" t="str">
        <x:v>D03798</x:v>
      </x:c>
      <x:c r="B3802" s="19" t="n">
        <x:v>8</x:v>
      </x:c>
      <x:c r="C3802" s="19" t="n">
        <x:v>3</x:v>
      </x:c>
      <x:c r="D3802" s="19" t="str">
        <x:v>C08-M030</x:v>
      </x:c>
      <x:c r="E3802" s="19" t="str">
        <x:v>王座寒灯侍</x:v>
      </x:c>
      <x:c r="F3802" s="19" t="str">
        <x:v>普通</x:v>
      </x:c>
      <x:c r="G3802" s="19" t="str">
        <x:v>自身专属</x:v>
      </x:c>
      <x:c r="H3802" s="19" t="str">
        <x:v>寒灯侍履</x:v>
      </x:c>
      <x:c r="I3802" s="22" t="n">
        <x:v>6000</x:v>
      </x:c>
      <x:c r="J3802" s="22" t="n">
        <x:v>1</x:v>
      </x:c>
      <x:c r="K3802" s="19" t="n">
        <x:v>1</x:v>
      </x:c>
      <x:c r="L3802" s="24" t="n">
        <x:v>55.335</x:v>
      </x:c>
      <x:c r="M3802" s="26" t="n">
        <x:v>0.1</x:v>
      </x:c>
      <x:c r="N3802" s="24" t="n">
        <x:v>72</x:v>
      </x:c>
      <x:c r="O3802" s="28" t="n">
        <x:f>MIN(1,L3802/I3802)</x:f>
        <x:v>0.0092225</x:v>
      </x:c>
      <x:c r="P3802" s="30" t="n">
        <x:f>O3802*J3802*(1+M3802)</x:f>
        <x:v>0.010144750000000001</x:v>
      </x:c>
      <x:c r="Q3802" s="30" t="n">
        <x:f>P3802*N3802</x:f>
        <x:v>0.7304220000000001</x:v>
      </x:c>
      <x:c r="R3802" s="19" t="str">
        <x:v>独立判定</x:v>
      </x:c>
    </x:row>
    <x:row r="3803" ht="19" customHeight="1">
      <x:c r="A3803" s="19" t="str">
        <x:v>D03799</x:v>
      </x:c>
      <x:c r="B3803" s="19" t="n">
        <x:v>8</x:v>
      </x:c>
      <x:c r="C3803" s="19" t="n">
        <x:v>3</x:v>
      </x:c>
      <x:c r="D3803" s="19" t="str">
        <x:v>C08-M030</x:v>
      </x:c>
      <x:c r="E3803" s="19" t="str">
        <x:v>王座寒灯侍</x:v>
      </x:c>
      <x:c r="F3803" s="19" t="str">
        <x:v>普通</x:v>
      </x:c>
      <x:c r="G3803" s="19" t="str">
        <x:v>材料独立候选</x:v>
      </x:c>
      <x:c r="H3803" s="19" t="str">
        <x:v>霜脊铁</x:v>
      </x:c>
      <x:c r="I3803" s="22" t="n">
        <x:v>1200</x:v>
      </x:c>
      <x:c r="J3803" s="22" t="n">
        <x:v>8</x:v>
      </x:c>
      <x:c r="K3803" s="19" t="n">
        <x:v>1</x:v>
      </x:c>
      <x:c r="L3803" s="24" t="n">
        <x:v>55.335</x:v>
      </x:c>
      <x:c r="M3803" s="26" t="n">
        <x:v>0.1</x:v>
      </x:c>
      <x:c r="N3803" s="24" t="n">
        <x:v>72</x:v>
      </x:c>
      <x:c r="O3803" s="28" t="n">
        <x:f>MIN(1,L3803/I3803)</x:f>
        <x:v>0.0461125</x:v>
      </x:c>
      <x:c r="P3803" s="30" t="n">
        <x:f>O3803*J3803*(1+M3803)</x:f>
        <x:v>0.40579000000000004</x:v>
      </x:c>
      <x:c r="Q3803" s="30" t="n">
        <x:f>P3803*N3803</x:f>
        <x:v>29.216880000000003</x:v>
      </x:c>
      <x:c r="R3803" s="19" t="str">
        <x:v>独立判定</x:v>
      </x:c>
    </x:row>
    <x:row r="3804" ht="19" customHeight="1">
      <x:c r="A3804" s="19" t="str">
        <x:v>D03800</x:v>
      </x:c>
      <x:c r="B3804" s="19" t="n">
        <x:v>8</x:v>
      </x:c>
      <x:c r="C3804" s="19" t="n">
        <x:v>3</x:v>
      </x:c>
      <x:c r="D3804" s="19" t="str">
        <x:v>C08-M030</x:v>
      </x:c>
      <x:c r="E3804" s="19" t="str">
        <x:v>王座寒灯侍</x:v>
      </x:c>
      <x:c r="F3804" s="19" t="str">
        <x:v>普通</x:v>
      </x:c>
      <x:c r="G3804" s="19" t="str">
        <x:v>材料独立候选</x:v>
      </x:c>
      <x:c r="H3804" s="19" t="str">
        <x:v>登山铁楔</x:v>
      </x:c>
      <x:c r="I3804" s="22" t="n">
        <x:v>2500</x:v>
      </x:c>
      <x:c r="J3804" s="22" t="n">
        <x:v>1</x:v>
      </x:c>
      <x:c r="K3804" s="19" t="n">
        <x:v>1</x:v>
      </x:c>
      <x:c r="L3804" s="24" t="n">
        <x:v>55.335</x:v>
      </x:c>
      <x:c r="M3804" s="26" t="n">
        <x:v>0.1</x:v>
      </x:c>
      <x:c r="N3804" s="24" t="n">
        <x:v>72</x:v>
      </x:c>
      <x:c r="O3804" s="28" t="n">
        <x:f>MIN(1,L3804/I3804)</x:f>
        <x:v>0.022134</x:v>
      </x:c>
      <x:c r="P3804" s="30" t="n">
        <x:f>O3804*J3804*(1+M3804)</x:f>
        <x:v>0.0243474</x:v>
      </x:c>
      <x:c r="Q3804" s="30" t="n">
        <x:f>P3804*N3804</x:f>
        <x:v>1.7530128</x:v>
      </x:c>
      <x:c r="R3804" s="19" t="str">
        <x:v>独立判定</x:v>
      </x:c>
    </x:row>
    <x:row r="3805" ht="19" customHeight="1">
      <x:c r="A3805" s="19" t="str">
        <x:v>D03801</x:v>
      </x:c>
      <x:c r="B3805" s="19" t="n">
        <x:v>8</x:v>
      </x:c>
      <x:c r="C3805" s="19" t="n">
        <x:v>3</x:v>
      </x:c>
      <x:c r="D3805" s="19" t="str">
        <x:v>C08-M030</x:v>
      </x:c>
      <x:c r="E3805" s="19" t="str">
        <x:v>王座寒灯侍</x:v>
      </x:c>
      <x:c r="F3805" s="19" t="str">
        <x:v>普通</x:v>
      </x:c>
      <x:c r="G3805" s="19" t="str">
        <x:v>材料独立候选</x:v>
      </x:c>
      <x:c r="H3805" s="19" t="str">
        <x:v>穹霜碑珀</x:v>
      </x:c>
      <x:c r="I3805" s="22" t="n">
        <x:v>2500000</x:v>
      </x:c>
      <x:c r="J3805" s="22" t="n">
        <x:v>1</x:v>
      </x:c>
      <x:c r="K3805" s="19" t="n">
        <x:v>1</x:v>
      </x:c>
      <x:c r="L3805" s="24" t="n">
        <x:v>55.335</x:v>
      </x:c>
      <x:c r="M3805" s="26" t="n">
        <x:v>0.1</x:v>
      </x:c>
      <x:c r="N3805" s="24" t="n">
        <x:v>72</x:v>
      </x:c>
      <x:c r="O3805" s="28" t="n">
        <x:f>MIN(1,L3805/I3805)</x:f>
        <x:v>0.000022134000000000002</x:v>
      </x:c>
      <x:c r="P3805" s="30" t="n">
        <x:f>O3805*J3805*(1+M3805)</x:f>
        <x:v>0.000024347400000000003</x:v>
      </x:c>
      <x:c r="Q3805" s="30" t="n">
        <x:f>P3805*N3805</x:f>
        <x:v>0.0017530128000000002</x:v>
      </x:c>
      <x:c r="R3805" s="19" t="str">
        <x:v>独立判定</x:v>
      </x:c>
    </x:row>
    <x:row r="3806" ht="19" customHeight="1">
      <x:c r="A3806" s="19" t="str">
        <x:v>D03802</x:v>
      </x:c>
      <x:c r="B3806" s="19" t="n">
        <x:v>8</x:v>
      </x:c>
      <x:c r="C3806" s="19" t="n">
        <x:v>3</x:v>
      </x:c>
      <x:c r="D3806" s="19" t="str">
        <x:v>C08-M030</x:v>
      </x:c>
      <x:c r="E3806" s="19" t="str">
        <x:v>王座寒灯侍</x:v>
      </x:c>
      <x:c r="F3806" s="19" t="str">
        <x:v>普通</x:v>
      </x:c>
      <x:c r="G3806" s="19" t="str">
        <x:v>材料独立候选</x:v>
      </x:c>
      <x:c r="H3806" s="19" t="str">
        <x:v>野兽骨片</x:v>
      </x:c>
      <x:c r="I3806" s="22" t="n">
        <x:v>250</x:v>
      </x:c>
      <x:c r="J3806" s="22" t="n">
        <x:v>5</x:v>
      </x:c>
      <x:c r="K3806" s="19" t="n">
        <x:v>1</x:v>
      </x:c>
      <x:c r="L3806" s="24" t="n">
        <x:v>55.335</x:v>
      </x:c>
      <x:c r="M3806" s="26" t="n">
        <x:v>0.1</x:v>
      </x:c>
      <x:c r="N3806" s="24" t="n">
        <x:v>72</x:v>
      </x:c>
      <x:c r="O3806" s="28" t="n">
        <x:f>MIN(1,L3806/I3806)</x:f>
        <x:v>0.22134</x:v>
      </x:c>
      <x:c r="P3806" s="30" t="n">
        <x:f>O3806*J3806*(1+M3806)</x:f>
        <x:v>1.21737</x:v>
      </x:c>
      <x:c r="Q3806" s="30" t="n">
        <x:f>P3806*N3806</x:f>
        <x:v>87.65064000000001</x:v>
      </x:c>
      <x:c r="R3806" s="19" t="str">
        <x:v>独立判定</x:v>
      </x:c>
    </x:row>
    <x:row r="3807" ht="19" customHeight="1">
      <x:c r="A3807" s="19" t="str">
        <x:v>D03803</x:v>
      </x:c>
      <x:c r="B3807" s="19" t="n">
        <x:v>8</x:v>
      </x:c>
      <x:c r="C3807" s="19" t="n">
        <x:v>3</x:v>
      </x:c>
      <x:c r="D3807" s="19" t="str">
        <x:v>C08-M030</x:v>
      </x:c>
      <x:c r="E3807" s="19" t="str">
        <x:v>王座寒灯侍</x:v>
      </x:c>
      <x:c r="F3807" s="19" t="str">
        <x:v>普通</x:v>
      </x:c>
      <x:c r="G3807" s="19" t="str">
        <x:v>材料独立候选</x:v>
      </x:c>
      <x:c r="H3807" s="19" t="str">
        <x:v>技能残页</x:v>
      </x:c>
      <x:c r="I3807" s="22" t="n">
        <x:v>2000</x:v>
      </x:c>
      <x:c r="J3807" s="22" t="n">
        <x:v>1</x:v>
      </x:c>
      <x:c r="K3807" s="19" t="n">
        <x:v>1</x:v>
      </x:c>
      <x:c r="L3807" s="24" t="n">
        <x:v>55.335</x:v>
      </x:c>
      <x:c r="M3807" s="26" t="n">
        <x:v>0.1</x:v>
      </x:c>
      <x:c r="N3807" s="24" t="n">
        <x:v>72</x:v>
      </x:c>
      <x:c r="O3807" s="28" t="n">
        <x:f>MIN(1,L3807/I3807)</x:f>
        <x:v>0.0276675</x:v>
      </x:c>
      <x:c r="P3807" s="30" t="n">
        <x:f>O3807*J3807*(1+M3807)</x:f>
        <x:v>0.030434250000000003</x:v>
      </x:c>
      <x:c r="Q3807" s="30" t="n">
        <x:f>P3807*N3807</x:f>
        <x:v>2.191266</x:v>
      </x:c>
      <x:c r="R3807" s="19" t="str">
        <x:v>独立判定</x:v>
      </x:c>
    </x:row>
    <x:row r="3808" ht="19" customHeight="1">
      <x:c r="A3808" s="19" t="str">
        <x:v>D03804</x:v>
      </x:c>
      <x:c r="B3808" s="19" t="n">
        <x:v>8</x:v>
      </x:c>
      <x:c r="C3808" s="19" t="n">
        <x:v>3</x:v>
      </x:c>
      <x:c r="D3808" s="19" t="str">
        <x:v>C08-M030</x:v>
      </x:c>
      <x:c r="E3808" s="19" t="str">
        <x:v>王座寒灯侍</x:v>
      </x:c>
      <x:c r="F3808" s="19" t="str">
        <x:v>普通</x:v>
      </x:c>
      <x:c r="G3808" s="19" t="str">
        <x:v>材料独立候选</x:v>
      </x:c>
      <x:c r="H3808" s="19" t="str">
        <x:v>小卢恩</x:v>
      </x:c>
      <x:c r="I3808" s="22" t="n">
        <x:v>15000</x:v>
      </x:c>
      <x:c r="J3808" s="22" t="n">
        <x:v>1</x:v>
      </x:c>
      <x:c r="K3808" s="19" t="n">
        <x:v>1</x:v>
      </x:c>
      <x:c r="L3808" s="24" t="n">
        <x:v>55.335</x:v>
      </x:c>
      <x:c r="M3808" s="26" t="n">
        <x:v>0.1</x:v>
      </x:c>
      <x:c r="N3808" s="24" t="n">
        <x:v>72</x:v>
      </x:c>
      <x:c r="O3808" s="28" t="n">
        <x:f>MIN(1,L3808/I3808)</x:f>
        <x:v>0.003689</x:v>
      </x:c>
      <x:c r="P3808" s="30" t="n">
        <x:f>O3808*J3808*(1+M3808)</x:f>
        <x:v>0.004057900000000001</x:v>
      </x:c>
      <x:c r="Q3808" s="30" t="n">
        <x:f>P3808*N3808</x:f>
        <x:v>0.29216880000000006</x:v>
      </x:c>
      <x:c r="R3808" s="19" t="str">
        <x:v>独立判定</x:v>
      </x:c>
    </x:row>
    <x:row r="3809" ht="19" customHeight="1">
      <x:c r="A3809" s="19" t="str">
        <x:v>D03805</x:v>
      </x:c>
      <x:c r="B3809" s="19" t="n">
        <x:v>8</x:v>
      </x:c>
      <x:c r="C3809" s="19" t="n">
        <x:v>3</x:v>
      </x:c>
      <x:c r="D3809" s="19" t="str">
        <x:v>C08-M030</x:v>
      </x:c>
      <x:c r="E3809" s="19" t="str">
        <x:v>王座寒灯侍</x:v>
      </x:c>
      <x:c r="F3809" s="19" t="str">
        <x:v>普通</x:v>
      </x:c>
      <x:c r="G3809" s="19" t="str">
        <x:v>六神器公共池</x:v>
      </x:c>
      <x:c r="H3809" s="19" t="str">
        <x:v>POOL006</x:v>
      </x:c>
      <x:c r="I3809" s="22" t="n">
        <x:v>20000000</x:v>
      </x:c>
      <x:c r="J3809" s="22" t="n">
        <x:v>1</x:v>
      </x:c>
      <x:c r="K3809" s="19" t="n">
        <x:v>6</x:v>
      </x:c>
      <x:c r="L3809" s="24" t="n">
        <x:v>55.335</x:v>
      </x:c>
      <x:c r="M3809" s="26" t="n">
        <x:v>0.1</x:v>
      </x:c>
      <x:c r="N3809" s="24" t="n">
        <x:v>72</x:v>
      </x:c>
      <x:c r="O3809" s="28" t="n">
        <x:f>MIN(1,L3809/I3809)</x:f>
        <x:v>0.0000027667500000000002</x:v>
      </x:c>
      <x:c r="P3809" s="30" t="n">
        <x:f>O3809*J3809*(1+M3809)</x:f>
        <x:v>0.0000030434250000000004</x:v>
      </x:c>
      <x:c r="Q3809" s="30" t="n">
        <x:f>P3809*N3809</x:f>
        <x:v>0.00021912660000000003</x:v>
      </x:c>
      <x:c r="R3809" s="19" t="str">
        <x:v>六选一；非6个独立爆率</x:v>
      </x:c>
    </x:row>
    <x:row r="3810" ht="19" customHeight="1">
      <x:c r="A3810" s="19" t="str">
        <x:v>D03806</x:v>
      </x:c>
      <x:c r="B3810" s="19" t="n">
        <x:v>8</x:v>
      </x:c>
      <x:c r="C3810" s="19" t="n">
        <x:v>3</x:v>
      </x:c>
      <x:c r="D3810" s="19" t="str">
        <x:v>C08-M031</x:v>
      </x:c>
      <x:c r="E3810" s="19" t="str">
        <x:v>外廊镜甲将</x:v>
      </x:c>
      <x:c r="F3810" s="19" t="str">
        <x:v>稀有</x:v>
      </x:c>
      <x:c r="G3810" s="19" t="str">
        <x:v>自身专属</x:v>
      </x:c>
      <x:c r="H3810" s="19" t="str">
        <x:v>镜甲将军盔</x:v>
      </x:c>
      <x:c r="I3810" s="22" t="n">
        <x:v>1500</x:v>
      </x:c>
      <x:c r="J3810" s="22" t="n">
        <x:v>1</x:v>
      </x:c>
      <x:c r="K3810" s="19" t="n">
        <x:v>1</x:v>
      </x:c>
      <x:c r="L3810" s="24" t="n">
        <x:v>55.335</x:v>
      </x:c>
      <x:c r="M3810" s="26" t="n">
        <x:v>0.1</x:v>
      </x:c>
      <x:c r="N3810" s="24" t="n">
        <x:v>12</x:v>
      </x:c>
      <x:c r="O3810" s="28" t="n">
        <x:f>MIN(1,L3810/I3810)</x:f>
        <x:v>0.03689</x:v>
      </x:c>
      <x:c r="P3810" s="30" t="n">
        <x:f>O3810*J3810*(1+M3810)</x:f>
        <x:v>0.040579000000000004</x:v>
      </x:c>
      <x:c r="Q3810" s="30" t="n">
        <x:f>P3810*N3810</x:f>
        <x:v>0.48694800000000005</x:v>
      </x:c>
      <x:c r="R3810" s="19" t="str">
        <x:v>独立判定</x:v>
      </x:c>
    </x:row>
    <x:row r="3811" ht="19" customHeight="1">
      <x:c r="A3811" s="19" t="str">
        <x:v>D03807</x:v>
      </x:c>
      <x:c r="B3811" s="19" t="n">
        <x:v>8</x:v>
      </x:c>
      <x:c r="C3811" s="19" t="n">
        <x:v>3</x:v>
      </x:c>
      <x:c r="D3811" s="19" t="str">
        <x:v>C08-M031</x:v>
      </x:c>
      <x:c r="E3811" s="19" t="str">
        <x:v>外廊镜甲将</x:v>
      </x:c>
      <x:c r="F3811" s="19" t="str">
        <x:v>稀有</x:v>
      </x:c>
      <x:c r="G3811" s="19" t="str">
        <x:v>材料独立候选</x:v>
      </x:c>
      <x:c r="H3811" s="19" t="str">
        <x:v>霜脊铁</x:v>
      </x:c>
      <x:c r="I3811" s="22" t="n">
        <x:v>800</x:v>
      </x:c>
      <x:c r="J3811" s="22" t="n">
        <x:v>15</x:v>
      </x:c>
      <x:c r="K3811" s="19" t="n">
        <x:v>1</x:v>
      </x:c>
      <x:c r="L3811" s="24" t="n">
        <x:v>55.335</x:v>
      </x:c>
      <x:c r="M3811" s="26" t="n">
        <x:v>0.1</x:v>
      </x:c>
      <x:c r="N3811" s="24" t="n">
        <x:v>12</x:v>
      </x:c>
      <x:c r="O3811" s="28" t="n">
        <x:f>MIN(1,L3811/I3811)</x:f>
        <x:v>0.06916875</x:v>
      </x:c>
      <x:c r="P3811" s="30" t="n">
        <x:f>O3811*J3811*(1+M3811)</x:f>
        <x:v>1.1412843750000001</x:v>
      </x:c>
      <x:c r="Q3811" s="30" t="n">
        <x:f>P3811*N3811</x:f>
        <x:v>13.695412500000002</x:v>
      </x:c>
      <x:c r="R3811" s="19" t="str">
        <x:v>独立判定</x:v>
      </x:c>
    </x:row>
    <x:row r="3812" ht="19" customHeight="1">
      <x:c r="A3812" s="19" t="str">
        <x:v>D03808</x:v>
      </x:c>
      <x:c r="B3812" s="19" t="n">
        <x:v>8</x:v>
      </x:c>
      <x:c r="C3812" s="19" t="n">
        <x:v>3</x:v>
      </x:c>
      <x:c r="D3812" s="19" t="str">
        <x:v>C08-M031</x:v>
      </x:c>
      <x:c r="E3812" s="19" t="str">
        <x:v>外廊镜甲将</x:v>
      </x:c>
      <x:c r="F3812" s="19" t="str">
        <x:v>稀有</x:v>
      </x:c>
      <x:c r="G3812" s="19" t="str">
        <x:v>材料独立候选</x:v>
      </x:c>
      <x:c r="H3812" s="19" t="str">
        <x:v>巨人火种</x:v>
      </x:c>
      <x:c r="I3812" s="22" t="n">
        <x:v>1200</x:v>
      </x:c>
      <x:c r="J3812" s="22" t="n">
        <x:v>1</x:v>
      </x:c>
      <x:c r="K3812" s="19" t="n">
        <x:v>1</x:v>
      </x:c>
      <x:c r="L3812" s="24" t="n">
        <x:v>55.335</x:v>
      </x:c>
      <x:c r="M3812" s="26" t="n">
        <x:v>0.1</x:v>
      </x:c>
      <x:c r="N3812" s="24" t="n">
        <x:v>12</x:v>
      </x:c>
      <x:c r="O3812" s="28" t="n">
        <x:f>MIN(1,L3812/I3812)</x:f>
        <x:v>0.0461125</x:v>
      </x:c>
      <x:c r="P3812" s="30" t="n">
        <x:f>O3812*J3812*(1+M3812)</x:f>
        <x:v>0.050723750000000005</x:v>
      </x:c>
      <x:c r="Q3812" s="30" t="n">
        <x:f>P3812*N3812</x:f>
        <x:v>0.608685</x:v>
      </x:c>
      <x:c r="R3812" s="19" t="str">
        <x:v>独立判定</x:v>
      </x:c>
    </x:row>
    <x:row r="3813" ht="19" customHeight="1">
      <x:c r="A3813" s="19" t="str">
        <x:v>D03809</x:v>
      </x:c>
      <x:c r="B3813" s="19" t="n">
        <x:v>8</x:v>
      </x:c>
      <x:c r="C3813" s="19" t="n">
        <x:v>3</x:v>
      </x:c>
      <x:c r="D3813" s="19" t="str">
        <x:v>C08-M031</x:v>
      </x:c>
      <x:c r="E3813" s="19" t="str">
        <x:v>外廊镜甲将</x:v>
      </x:c>
      <x:c r="F3813" s="19" t="str">
        <x:v>稀有</x:v>
      </x:c>
      <x:c r="G3813" s="19" t="str">
        <x:v>材料独立候选</x:v>
      </x:c>
      <x:c r="H3813" s="19" t="str">
        <x:v>裂峰号角片</x:v>
      </x:c>
      <x:c r="I3813" s="22" t="n">
        <x:v>500</x:v>
      </x:c>
      <x:c r="J3813" s="22" t="n">
        <x:v>1</x:v>
      </x:c>
      <x:c r="K3813" s="19" t="n">
        <x:v>1</x:v>
      </x:c>
      <x:c r="L3813" s="24" t="n">
        <x:v>55.335</x:v>
      </x:c>
      <x:c r="M3813" s="26" t="n">
        <x:v>0.1</x:v>
      </x:c>
      <x:c r="N3813" s="24" t="n">
        <x:v>12</x:v>
      </x:c>
      <x:c r="O3813" s="28" t="n">
        <x:f>MIN(1,L3813/I3813)</x:f>
        <x:v>0.11067</x:v>
      </x:c>
      <x:c r="P3813" s="30" t="n">
        <x:f>O3813*J3813*(1+M3813)</x:f>
        <x:v>0.12173700000000001</x:v>
      </x:c>
      <x:c r="Q3813" s="30" t="n">
        <x:f>P3813*N3813</x:f>
        <x:v>1.4608440000000003</x:v>
      </x:c>
      <x:c r="R3813" s="19" t="str">
        <x:v>独立判定</x:v>
      </x:c>
    </x:row>
    <x:row r="3814" ht="19" customHeight="1">
      <x:c r="A3814" s="19" t="str">
        <x:v>D03810</x:v>
      </x:c>
      <x:c r="B3814" s="19" t="n">
        <x:v>8</x:v>
      </x:c>
      <x:c r="C3814" s="19" t="n">
        <x:v>3</x:v>
      </x:c>
      <x:c r="D3814" s="19" t="str">
        <x:v>C08-M031</x:v>
      </x:c>
      <x:c r="E3814" s="19" t="str">
        <x:v>外廊镜甲将</x:v>
      </x:c>
      <x:c r="F3814" s="19" t="str">
        <x:v>稀有</x:v>
      </x:c>
      <x:c r="G3814" s="19" t="str">
        <x:v>材料独立候选</x:v>
      </x:c>
      <x:c r="H3814" s="19" t="str">
        <x:v>穹霜碑珀</x:v>
      </x:c>
      <x:c r="I3814" s="22" t="n">
        <x:v>1500000</x:v>
      </x:c>
      <x:c r="J3814" s="22" t="n">
        <x:v>1</x:v>
      </x:c>
      <x:c r="K3814" s="19" t="n">
        <x:v>1</x:v>
      </x:c>
      <x:c r="L3814" s="24" t="n">
        <x:v>55.335</x:v>
      </x:c>
      <x:c r="M3814" s="26" t="n">
        <x:v>0.1</x:v>
      </x:c>
      <x:c r="N3814" s="24" t="n">
        <x:v>12</x:v>
      </x:c>
      <x:c r="O3814" s="28" t="n">
        <x:f>MIN(1,L3814/I3814)</x:f>
        <x:v>0.00003689</x:v>
      </x:c>
      <x:c r="P3814" s="30" t="n">
        <x:f>O3814*J3814*(1+M3814)</x:f>
        <x:v>0.000040579000000000006</x:v>
      </x:c>
      <x:c r="Q3814" s="30" t="n">
        <x:f>P3814*N3814</x:f>
        <x:v>0.00048694800000000007</x:v>
      </x:c>
      <x:c r="R3814" s="19" t="str">
        <x:v>独立判定</x:v>
      </x:c>
    </x:row>
    <x:row r="3815" ht="19" customHeight="1">
      <x:c r="A3815" s="19" t="str">
        <x:v>D03811</x:v>
      </x:c>
      <x:c r="B3815" s="19" t="n">
        <x:v>8</x:v>
      </x:c>
      <x:c r="C3815" s="19" t="n">
        <x:v>3</x:v>
      </x:c>
      <x:c r="D3815" s="19" t="str">
        <x:v>C08-M031</x:v>
      </x:c>
      <x:c r="E3815" s="19" t="str">
        <x:v>外廊镜甲将</x:v>
      </x:c>
      <x:c r="F3815" s="19" t="str">
        <x:v>稀有</x:v>
      </x:c>
      <x:c r="G3815" s="19" t="str">
        <x:v>材料独立候选</x:v>
      </x:c>
      <x:c r="H3815" s="19" t="str">
        <x:v>黄金树芽</x:v>
      </x:c>
      <x:c r="I3815" s="22" t="n">
        <x:v>1800</x:v>
      </x:c>
      <x:c r="J3815" s="22" t="n">
        <x:v>1</x:v>
      </x:c>
      <x:c r="K3815" s="19" t="n">
        <x:v>1</x:v>
      </x:c>
      <x:c r="L3815" s="24" t="n">
        <x:v>55.335</x:v>
      </x:c>
      <x:c r="M3815" s="26" t="n">
        <x:v>0.1</x:v>
      </x:c>
      <x:c r="N3815" s="24" t="n">
        <x:v>12</x:v>
      </x:c>
      <x:c r="O3815" s="28" t="n">
        <x:f>MIN(1,L3815/I3815)</x:f>
        <x:v>0.030741666666666667</x:v>
      </x:c>
      <x:c r="P3815" s="30" t="n">
        <x:f>O3815*J3815*(1+M3815)</x:f>
        <x:v>0.03381583333333334</x:v>
      </x:c>
      <x:c r="Q3815" s="30" t="n">
        <x:f>P3815*N3815</x:f>
        <x:v>0.40579000000000004</x:v>
      </x:c>
      <x:c r="R3815" s="19" t="str">
        <x:v>独立判定</x:v>
      </x:c>
    </x:row>
    <x:row r="3816" ht="19" customHeight="1">
      <x:c r="A3816" s="19" t="str">
        <x:v>D03812</x:v>
      </x:c>
      <x:c r="B3816" s="19" t="n">
        <x:v>8</x:v>
      </x:c>
      <x:c r="C3816" s="19" t="n">
        <x:v>3</x:v>
      </x:c>
      <x:c r="D3816" s="19" t="str">
        <x:v>C08-M031</x:v>
      </x:c>
      <x:c r="E3816" s="19" t="str">
        <x:v>外廊镜甲将</x:v>
      </x:c>
      <x:c r="F3816" s="19" t="str">
        <x:v>稀有</x:v>
      </x:c>
      <x:c r="G3816" s="19" t="str">
        <x:v>材料独立候选</x:v>
      </x:c>
      <x:c r="H3816" s="19" t="str">
        <x:v>野兽骨片</x:v>
      </x:c>
      <x:c r="I3816" s="22" t="n">
        <x:v>150</x:v>
      </x:c>
      <x:c r="J3816" s="22" t="n">
        <x:v>5</x:v>
      </x:c>
      <x:c r="K3816" s="19" t="n">
        <x:v>1</x:v>
      </x:c>
      <x:c r="L3816" s="24" t="n">
        <x:v>55.335</x:v>
      </x:c>
      <x:c r="M3816" s="26" t="n">
        <x:v>0.1</x:v>
      </x:c>
      <x:c r="N3816" s="24" t="n">
        <x:v>12</x:v>
      </x:c>
      <x:c r="O3816" s="28" t="n">
        <x:f>MIN(1,L3816/I3816)</x:f>
        <x:v>0.3689</x:v>
      </x:c>
      <x:c r="P3816" s="30" t="n">
        <x:f>O3816*J3816*(1+M3816)</x:f>
        <x:v>2.02895</x:v>
      </x:c>
      <x:c r="Q3816" s="30" t="n">
        <x:f>P3816*N3816</x:f>
        <x:v>24.3474</x:v>
      </x:c>
      <x:c r="R3816" s="19" t="str">
        <x:v>独立判定</x:v>
      </x:c>
    </x:row>
    <x:row r="3817" ht="19" customHeight="1">
      <x:c r="A3817" s="19" t="str">
        <x:v>D03813</x:v>
      </x:c>
      <x:c r="B3817" s="19" t="n">
        <x:v>8</x:v>
      </x:c>
      <x:c r="C3817" s="19" t="n">
        <x:v>3</x:v>
      </x:c>
      <x:c r="D3817" s="19" t="str">
        <x:v>C08-M031</x:v>
      </x:c>
      <x:c r="E3817" s="19" t="str">
        <x:v>外廊镜甲将</x:v>
      </x:c>
      <x:c r="F3817" s="19" t="str">
        <x:v>稀有</x:v>
      </x:c>
      <x:c r="G3817" s="19" t="str">
        <x:v>材料独立候选</x:v>
      </x:c>
      <x:c r="H3817" s="19" t="str">
        <x:v>技能残页</x:v>
      </x:c>
      <x:c r="I3817" s="22" t="n">
        <x:v>1200</x:v>
      </x:c>
      <x:c r="J3817" s="22" t="n">
        <x:v>1</x:v>
      </x:c>
      <x:c r="K3817" s="19" t="n">
        <x:v>1</x:v>
      </x:c>
      <x:c r="L3817" s="24" t="n">
        <x:v>55.335</x:v>
      </x:c>
      <x:c r="M3817" s="26" t="n">
        <x:v>0.1</x:v>
      </x:c>
      <x:c r="N3817" s="24" t="n">
        <x:v>12</x:v>
      </x:c>
      <x:c r="O3817" s="28" t="n">
        <x:f>MIN(1,L3817/I3817)</x:f>
        <x:v>0.0461125</x:v>
      </x:c>
      <x:c r="P3817" s="30" t="n">
        <x:f>O3817*J3817*(1+M3817)</x:f>
        <x:v>0.050723750000000005</x:v>
      </x:c>
      <x:c r="Q3817" s="30" t="n">
        <x:f>P3817*N3817</x:f>
        <x:v>0.608685</x:v>
      </x:c>
      <x:c r="R3817" s="19" t="str">
        <x:v>独立判定</x:v>
      </x:c>
    </x:row>
    <x:row r="3818" ht="19" customHeight="1">
      <x:c r="A3818" s="19" t="str">
        <x:v>D03814</x:v>
      </x:c>
      <x:c r="B3818" s="19" t="n">
        <x:v>8</x:v>
      </x:c>
      <x:c r="C3818" s="19" t="n">
        <x:v>3</x:v>
      </x:c>
      <x:c r="D3818" s="19" t="str">
        <x:v>C08-M031</x:v>
      </x:c>
      <x:c r="E3818" s="19" t="str">
        <x:v>外廊镜甲将</x:v>
      </x:c>
      <x:c r="F3818" s="19" t="str">
        <x:v>稀有</x:v>
      </x:c>
      <x:c r="G3818" s="19" t="str">
        <x:v>材料独立候选</x:v>
      </x:c>
      <x:c r="H3818" s="19" t="str">
        <x:v>小卢恩</x:v>
      </x:c>
      <x:c r="I3818" s="22" t="n">
        <x:v>10000</x:v>
      </x:c>
      <x:c r="J3818" s="22" t="n">
        <x:v>1</x:v>
      </x:c>
      <x:c r="K3818" s="19" t="n">
        <x:v>1</x:v>
      </x:c>
      <x:c r="L3818" s="24" t="n">
        <x:v>55.335</x:v>
      </x:c>
      <x:c r="M3818" s="26" t="n">
        <x:v>0.1</x:v>
      </x:c>
      <x:c r="N3818" s="24" t="n">
        <x:v>12</x:v>
      </x:c>
      <x:c r="O3818" s="28" t="n">
        <x:f>MIN(1,L3818/I3818)</x:f>
        <x:v>0.0055335</x:v>
      </x:c>
      <x:c r="P3818" s="30" t="n">
        <x:f>O3818*J3818*(1+M3818)</x:f>
        <x:v>0.00608685</x:v>
      </x:c>
      <x:c r="Q3818" s="30" t="n">
        <x:f>P3818*N3818</x:f>
        <x:v>0.0730422</x:v>
      </x:c>
      <x:c r="R3818" s="19" t="str">
        <x:v>独立判定</x:v>
      </x:c>
    </x:row>
    <x:row r="3819" ht="19" customHeight="1">
      <x:c r="A3819" s="19" t="str">
        <x:v>D03815</x:v>
      </x:c>
      <x:c r="B3819" s="19" t="n">
        <x:v>8</x:v>
      </x:c>
      <x:c r="C3819" s="19" t="n">
        <x:v>3</x:v>
      </x:c>
      <x:c r="D3819" s="19" t="str">
        <x:v>C08-M031</x:v>
      </x:c>
      <x:c r="E3819" s="19" t="str">
        <x:v>外廊镜甲将</x:v>
      </x:c>
      <x:c r="F3819" s="19" t="str">
        <x:v>稀有</x:v>
      </x:c>
      <x:c r="G3819" s="19" t="str">
        <x:v>六神器公共池</x:v>
      </x:c>
      <x:c r="H3819" s="19" t="str">
        <x:v>POOL006</x:v>
      </x:c>
      <x:c r="I3819" s="22" t="n">
        <x:v>5000000</x:v>
      </x:c>
      <x:c r="J3819" s="22" t="n">
        <x:v>1</x:v>
      </x:c>
      <x:c r="K3819" s="19" t="n">
        <x:v>6</x:v>
      </x:c>
      <x:c r="L3819" s="24" t="n">
        <x:v>55.335</x:v>
      </x:c>
      <x:c r="M3819" s="26" t="n">
        <x:v>0.1</x:v>
      </x:c>
      <x:c r="N3819" s="24" t="n">
        <x:v>12</x:v>
      </x:c>
      <x:c r="O3819" s="28" t="n">
        <x:f>MIN(1,L3819/I3819)</x:f>
        <x:v>0.000011067000000000001</x:v>
      </x:c>
      <x:c r="P3819" s="30" t="n">
        <x:f>O3819*J3819*(1+M3819)</x:f>
        <x:v>0.000012173700000000002</x:v>
      </x:c>
      <x:c r="Q3819" s="30" t="n">
        <x:f>P3819*N3819</x:f>
        <x:v>0.00014608440000000002</x:v>
      </x:c>
      <x:c r="R3819" s="19" t="str">
        <x:v>六选一；非6个独立爆率</x:v>
      </x:c>
    </x:row>
    <x:row r="3820" ht="19" customHeight="1">
      <x:c r="A3820" s="19" t="str">
        <x:v>D03816</x:v>
      </x:c>
      <x:c r="B3820" s="19" t="n">
        <x:v>8</x:v>
      </x:c>
      <x:c r="C3820" s="19" t="n">
        <x:v>3</x:v>
      </x:c>
      <x:c r="D3820" s="19" t="str">
        <x:v>C08-M032</x:v>
      </x:c>
      <x:c r="E3820" s="19" t="str">
        <x:v>内廷缄声女官</x:v>
      </x:c>
      <x:c r="F3820" s="19" t="str">
        <x:v>稀有</x:v>
      </x:c>
      <x:c r="G3820" s="19" t="str">
        <x:v>自身专属</x:v>
      </x:c>
      <x:c r="H3820" s="19" t="str">
        <x:v>缄声霜帘笠</x:v>
      </x:c>
      <x:c r="I3820" s="22" t="n">
        <x:v>1500</x:v>
      </x:c>
      <x:c r="J3820" s="22" t="n">
        <x:v>1</x:v>
      </x:c>
      <x:c r="K3820" s="19" t="n">
        <x:v>1</x:v>
      </x:c>
      <x:c r="L3820" s="24" t="n">
        <x:v>55.335</x:v>
      </x:c>
      <x:c r="M3820" s="26" t="n">
        <x:v>0.1</x:v>
      </x:c>
      <x:c r="N3820" s="24" t="n">
        <x:v>12</x:v>
      </x:c>
      <x:c r="O3820" s="28" t="n">
        <x:f>MIN(1,L3820/I3820)</x:f>
        <x:v>0.03689</x:v>
      </x:c>
      <x:c r="P3820" s="30" t="n">
        <x:f>O3820*J3820*(1+M3820)</x:f>
        <x:v>0.040579000000000004</x:v>
      </x:c>
      <x:c r="Q3820" s="30" t="n">
        <x:f>P3820*N3820</x:f>
        <x:v>0.48694800000000005</x:v>
      </x:c>
      <x:c r="R3820" s="19" t="str">
        <x:v>独立判定</x:v>
      </x:c>
    </x:row>
    <x:row r="3821" ht="19" customHeight="1">
      <x:c r="A3821" s="19" t="str">
        <x:v>D03817</x:v>
      </x:c>
      <x:c r="B3821" s="19" t="n">
        <x:v>8</x:v>
      </x:c>
      <x:c r="C3821" s="19" t="n">
        <x:v>3</x:v>
      </x:c>
      <x:c r="D3821" s="19" t="str">
        <x:v>C08-M032</x:v>
      </x:c>
      <x:c r="E3821" s="19" t="str">
        <x:v>内廷缄声女官</x:v>
      </x:c>
      <x:c r="F3821" s="19" t="str">
        <x:v>稀有</x:v>
      </x:c>
      <x:c r="G3821" s="19" t="str">
        <x:v>材料独立候选</x:v>
      </x:c>
      <x:c r="H3821" s="19" t="str">
        <x:v>霜脊铁</x:v>
      </x:c>
      <x:c r="I3821" s="22" t="n">
        <x:v>800</x:v>
      </x:c>
      <x:c r="J3821" s="22" t="n">
        <x:v>15</x:v>
      </x:c>
      <x:c r="K3821" s="19" t="n">
        <x:v>1</x:v>
      </x:c>
      <x:c r="L3821" s="24" t="n">
        <x:v>55.335</x:v>
      </x:c>
      <x:c r="M3821" s="26" t="n">
        <x:v>0.1</x:v>
      </x:c>
      <x:c r="N3821" s="24" t="n">
        <x:v>12</x:v>
      </x:c>
      <x:c r="O3821" s="28" t="n">
        <x:f>MIN(1,L3821/I3821)</x:f>
        <x:v>0.06916875</x:v>
      </x:c>
      <x:c r="P3821" s="30" t="n">
        <x:f>O3821*J3821*(1+M3821)</x:f>
        <x:v>1.1412843750000001</x:v>
      </x:c>
      <x:c r="Q3821" s="30" t="n">
        <x:f>P3821*N3821</x:f>
        <x:v>13.695412500000002</x:v>
      </x:c>
      <x:c r="R3821" s="19" t="str">
        <x:v>独立判定</x:v>
      </x:c>
    </x:row>
    <x:row r="3822" ht="19" customHeight="1">
      <x:c r="A3822" s="19" t="str">
        <x:v>D03818</x:v>
      </x:c>
      <x:c r="B3822" s="19" t="n">
        <x:v>8</x:v>
      </x:c>
      <x:c r="C3822" s="19" t="n">
        <x:v>3</x:v>
      </x:c>
      <x:c r="D3822" s="19" t="str">
        <x:v>C08-M032</x:v>
      </x:c>
      <x:c r="E3822" s="19" t="str">
        <x:v>内廷缄声女官</x:v>
      </x:c>
      <x:c r="F3822" s="19" t="str">
        <x:v>稀有</x:v>
      </x:c>
      <x:c r="G3822" s="19" t="str">
        <x:v>材料独立候选</x:v>
      </x:c>
      <x:c r="H3822" s="19" t="str">
        <x:v>巨人火种</x:v>
      </x:c>
      <x:c r="I3822" s="22" t="n">
        <x:v>1200</x:v>
      </x:c>
      <x:c r="J3822" s="22" t="n">
        <x:v>1</x:v>
      </x:c>
      <x:c r="K3822" s="19" t="n">
        <x:v>1</x:v>
      </x:c>
      <x:c r="L3822" s="24" t="n">
        <x:v>55.335</x:v>
      </x:c>
      <x:c r="M3822" s="26" t="n">
        <x:v>0.1</x:v>
      </x:c>
      <x:c r="N3822" s="24" t="n">
        <x:v>12</x:v>
      </x:c>
      <x:c r="O3822" s="28" t="n">
        <x:f>MIN(1,L3822/I3822)</x:f>
        <x:v>0.0461125</x:v>
      </x:c>
      <x:c r="P3822" s="30" t="n">
        <x:f>O3822*J3822*(1+M3822)</x:f>
        <x:v>0.050723750000000005</x:v>
      </x:c>
      <x:c r="Q3822" s="30" t="n">
        <x:f>P3822*N3822</x:f>
        <x:v>0.608685</x:v>
      </x:c>
      <x:c r="R3822" s="19" t="str">
        <x:v>独立判定</x:v>
      </x:c>
    </x:row>
    <x:row r="3823" ht="19" customHeight="1">
      <x:c r="A3823" s="19" t="str">
        <x:v>D03819</x:v>
      </x:c>
      <x:c r="B3823" s="19" t="n">
        <x:v>8</x:v>
      </x:c>
      <x:c r="C3823" s="19" t="n">
        <x:v>3</x:v>
      </x:c>
      <x:c r="D3823" s="19" t="str">
        <x:v>C08-M032</x:v>
      </x:c>
      <x:c r="E3823" s="19" t="str">
        <x:v>内廷缄声女官</x:v>
      </x:c>
      <x:c r="F3823" s="19" t="str">
        <x:v>稀有</x:v>
      </x:c>
      <x:c r="G3823" s="19" t="str">
        <x:v>材料独立候选</x:v>
      </x:c>
      <x:c r="H3823" s="19" t="str">
        <x:v>裂峰号角片</x:v>
      </x:c>
      <x:c r="I3823" s="22" t="n">
        <x:v>500</x:v>
      </x:c>
      <x:c r="J3823" s="22" t="n">
        <x:v>1</x:v>
      </x:c>
      <x:c r="K3823" s="19" t="n">
        <x:v>1</x:v>
      </x:c>
      <x:c r="L3823" s="24" t="n">
        <x:v>55.335</x:v>
      </x:c>
      <x:c r="M3823" s="26" t="n">
        <x:v>0.1</x:v>
      </x:c>
      <x:c r="N3823" s="24" t="n">
        <x:v>12</x:v>
      </x:c>
      <x:c r="O3823" s="28" t="n">
        <x:f>MIN(1,L3823/I3823)</x:f>
        <x:v>0.11067</x:v>
      </x:c>
      <x:c r="P3823" s="30" t="n">
        <x:f>O3823*J3823*(1+M3823)</x:f>
        <x:v>0.12173700000000001</x:v>
      </x:c>
      <x:c r="Q3823" s="30" t="n">
        <x:f>P3823*N3823</x:f>
        <x:v>1.4608440000000003</x:v>
      </x:c>
      <x:c r="R3823" s="19" t="str">
        <x:v>独立判定</x:v>
      </x:c>
    </x:row>
    <x:row r="3824" ht="19" customHeight="1">
      <x:c r="A3824" s="19" t="str">
        <x:v>D03820</x:v>
      </x:c>
      <x:c r="B3824" s="19" t="n">
        <x:v>8</x:v>
      </x:c>
      <x:c r="C3824" s="19" t="n">
        <x:v>3</x:v>
      </x:c>
      <x:c r="D3824" s="19" t="str">
        <x:v>C08-M032</x:v>
      </x:c>
      <x:c r="E3824" s="19" t="str">
        <x:v>内廷缄声女官</x:v>
      </x:c>
      <x:c r="F3824" s="19" t="str">
        <x:v>稀有</x:v>
      </x:c>
      <x:c r="G3824" s="19" t="str">
        <x:v>材料独立候选</x:v>
      </x:c>
      <x:c r="H3824" s="19" t="str">
        <x:v>穹霜碑珀</x:v>
      </x:c>
      <x:c r="I3824" s="22" t="n">
        <x:v>1500000</x:v>
      </x:c>
      <x:c r="J3824" s="22" t="n">
        <x:v>1</x:v>
      </x:c>
      <x:c r="K3824" s="19" t="n">
        <x:v>1</x:v>
      </x:c>
      <x:c r="L3824" s="24" t="n">
        <x:v>55.335</x:v>
      </x:c>
      <x:c r="M3824" s="26" t="n">
        <x:v>0.1</x:v>
      </x:c>
      <x:c r="N3824" s="24" t="n">
        <x:v>12</x:v>
      </x:c>
      <x:c r="O3824" s="28" t="n">
        <x:f>MIN(1,L3824/I3824)</x:f>
        <x:v>0.00003689</x:v>
      </x:c>
      <x:c r="P3824" s="30" t="n">
        <x:f>O3824*J3824*(1+M3824)</x:f>
        <x:v>0.000040579000000000006</x:v>
      </x:c>
      <x:c r="Q3824" s="30" t="n">
        <x:f>P3824*N3824</x:f>
        <x:v>0.00048694800000000007</x:v>
      </x:c>
      <x:c r="R3824" s="19" t="str">
        <x:v>独立判定</x:v>
      </x:c>
    </x:row>
    <x:row r="3825" ht="19" customHeight="1">
      <x:c r="A3825" s="19" t="str">
        <x:v>D03821</x:v>
      </x:c>
      <x:c r="B3825" s="19" t="n">
        <x:v>8</x:v>
      </x:c>
      <x:c r="C3825" s="19" t="n">
        <x:v>3</x:v>
      </x:c>
      <x:c r="D3825" s="19" t="str">
        <x:v>C08-M032</x:v>
      </x:c>
      <x:c r="E3825" s="19" t="str">
        <x:v>内廷缄声女官</x:v>
      </x:c>
      <x:c r="F3825" s="19" t="str">
        <x:v>稀有</x:v>
      </x:c>
      <x:c r="G3825" s="19" t="str">
        <x:v>材料独立候选</x:v>
      </x:c>
      <x:c r="H3825" s="19" t="str">
        <x:v>黄金树芽</x:v>
      </x:c>
      <x:c r="I3825" s="22" t="n">
        <x:v>1800</x:v>
      </x:c>
      <x:c r="J3825" s="22" t="n">
        <x:v>1</x:v>
      </x:c>
      <x:c r="K3825" s="19" t="n">
        <x:v>1</x:v>
      </x:c>
      <x:c r="L3825" s="24" t="n">
        <x:v>55.335</x:v>
      </x:c>
      <x:c r="M3825" s="26" t="n">
        <x:v>0.1</x:v>
      </x:c>
      <x:c r="N3825" s="24" t="n">
        <x:v>12</x:v>
      </x:c>
      <x:c r="O3825" s="28" t="n">
        <x:f>MIN(1,L3825/I3825)</x:f>
        <x:v>0.030741666666666667</x:v>
      </x:c>
      <x:c r="P3825" s="30" t="n">
        <x:f>O3825*J3825*(1+M3825)</x:f>
        <x:v>0.03381583333333334</x:v>
      </x:c>
      <x:c r="Q3825" s="30" t="n">
        <x:f>P3825*N3825</x:f>
        <x:v>0.40579000000000004</x:v>
      </x:c>
      <x:c r="R3825" s="19" t="str">
        <x:v>独立判定</x:v>
      </x:c>
    </x:row>
    <x:row r="3826" ht="19" customHeight="1">
      <x:c r="A3826" s="19" t="str">
        <x:v>D03822</x:v>
      </x:c>
      <x:c r="B3826" s="19" t="n">
        <x:v>8</x:v>
      </x:c>
      <x:c r="C3826" s="19" t="n">
        <x:v>3</x:v>
      </x:c>
      <x:c r="D3826" s="19" t="str">
        <x:v>C08-M032</x:v>
      </x:c>
      <x:c r="E3826" s="19" t="str">
        <x:v>内廷缄声女官</x:v>
      </x:c>
      <x:c r="F3826" s="19" t="str">
        <x:v>稀有</x:v>
      </x:c>
      <x:c r="G3826" s="19" t="str">
        <x:v>材料独立候选</x:v>
      </x:c>
      <x:c r="H3826" s="19" t="str">
        <x:v>野兽骨片</x:v>
      </x:c>
      <x:c r="I3826" s="22" t="n">
        <x:v>150</x:v>
      </x:c>
      <x:c r="J3826" s="22" t="n">
        <x:v>5</x:v>
      </x:c>
      <x:c r="K3826" s="19" t="n">
        <x:v>1</x:v>
      </x:c>
      <x:c r="L3826" s="24" t="n">
        <x:v>55.335</x:v>
      </x:c>
      <x:c r="M3826" s="26" t="n">
        <x:v>0.1</x:v>
      </x:c>
      <x:c r="N3826" s="24" t="n">
        <x:v>12</x:v>
      </x:c>
      <x:c r="O3826" s="28" t="n">
        <x:f>MIN(1,L3826/I3826)</x:f>
        <x:v>0.3689</x:v>
      </x:c>
      <x:c r="P3826" s="30" t="n">
        <x:f>O3826*J3826*(1+M3826)</x:f>
        <x:v>2.02895</x:v>
      </x:c>
      <x:c r="Q3826" s="30" t="n">
        <x:f>P3826*N3826</x:f>
        <x:v>24.3474</x:v>
      </x:c>
      <x:c r="R3826" s="19" t="str">
        <x:v>独立判定</x:v>
      </x:c>
    </x:row>
    <x:row r="3827" ht="19" customHeight="1">
      <x:c r="A3827" s="19" t="str">
        <x:v>D03823</x:v>
      </x:c>
      <x:c r="B3827" s="19" t="n">
        <x:v>8</x:v>
      </x:c>
      <x:c r="C3827" s="19" t="n">
        <x:v>3</x:v>
      </x:c>
      <x:c r="D3827" s="19" t="str">
        <x:v>C08-M032</x:v>
      </x:c>
      <x:c r="E3827" s="19" t="str">
        <x:v>内廷缄声女官</x:v>
      </x:c>
      <x:c r="F3827" s="19" t="str">
        <x:v>稀有</x:v>
      </x:c>
      <x:c r="G3827" s="19" t="str">
        <x:v>材料独立候选</x:v>
      </x:c>
      <x:c r="H3827" s="19" t="str">
        <x:v>技能残页</x:v>
      </x:c>
      <x:c r="I3827" s="22" t="n">
        <x:v>1200</x:v>
      </x:c>
      <x:c r="J3827" s="22" t="n">
        <x:v>1</x:v>
      </x:c>
      <x:c r="K3827" s="19" t="n">
        <x:v>1</x:v>
      </x:c>
      <x:c r="L3827" s="24" t="n">
        <x:v>55.335</x:v>
      </x:c>
      <x:c r="M3827" s="26" t="n">
        <x:v>0.1</x:v>
      </x:c>
      <x:c r="N3827" s="24" t="n">
        <x:v>12</x:v>
      </x:c>
      <x:c r="O3827" s="28" t="n">
        <x:f>MIN(1,L3827/I3827)</x:f>
        <x:v>0.0461125</x:v>
      </x:c>
      <x:c r="P3827" s="30" t="n">
        <x:f>O3827*J3827*(1+M3827)</x:f>
        <x:v>0.050723750000000005</x:v>
      </x:c>
      <x:c r="Q3827" s="30" t="n">
        <x:f>P3827*N3827</x:f>
        <x:v>0.608685</x:v>
      </x:c>
      <x:c r="R3827" s="19" t="str">
        <x:v>独立判定</x:v>
      </x:c>
    </x:row>
    <x:row r="3828" ht="19" customHeight="1">
      <x:c r="A3828" s="19" t="str">
        <x:v>D03824</x:v>
      </x:c>
      <x:c r="B3828" s="19" t="n">
        <x:v>8</x:v>
      </x:c>
      <x:c r="C3828" s="19" t="n">
        <x:v>3</x:v>
      </x:c>
      <x:c r="D3828" s="19" t="str">
        <x:v>C08-M032</x:v>
      </x:c>
      <x:c r="E3828" s="19" t="str">
        <x:v>内廷缄声女官</x:v>
      </x:c>
      <x:c r="F3828" s="19" t="str">
        <x:v>稀有</x:v>
      </x:c>
      <x:c r="G3828" s="19" t="str">
        <x:v>材料独立候选</x:v>
      </x:c>
      <x:c r="H3828" s="19" t="str">
        <x:v>小卢恩</x:v>
      </x:c>
      <x:c r="I3828" s="22" t="n">
        <x:v>10000</x:v>
      </x:c>
      <x:c r="J3828" s="22" t="n">
        <x:v>1</x:v>
      </x:c>
      <x:c r="K3828" s="19" t="n">
        <x:v>1</x:v>
      </x:c>
      <x:c r="L3828" s="24" t="n">
        <x:v>55.335</x:v>
      </x:c>
      <x:c r="M3828" s="26" t="n">
        <x:v>0.1</x:v>
      </x:c>
      <x:c r="N3828" s="24" t="n">
        <x:v>12</x:v>
      </x:c>
      <x:c r="O3828" s="28" t="n">
        <x:f>MIN(1,L3828/I3828)</x:f>
        <x:v>0.0055335</x:v>
      </x:c>
      <x:c r="P3828" s="30" t="n">
        <x:f>O3828*J3828*(1+M3828)</x:f>
        <x:v>0.00608685</x:v>
      </x:c>
      <x:c r="Q3828" s="30" t="n">
        <x:f>P3828*N3828</x:f>
        <x:v>0.0730422</x:v>
      </x:c>
      <x:c r="R3828" s="19" t="str">
        <x:v>独立判定</x:v>
      </x:c>
    </x:row>
    <x:row r="3829" ht="19" customHeight="1">
      <x:c r="A3829" s="19" t="str">
        <x:v>D03825</x:v>
      </x:c>
      <x:c r="B3829" s="19" t="n">
        <x:v>8</x:v>
      </x:c>
      <x:c r="C3829" s="19" t="n">
        <x:v>3</x:v>
      </x:c>
      <x:c r="D3829" s="19" t="str">
        <x:v>C08-M032</x:v>
      </x:c>
      <x:c r="E3829" s="19" t="str">
        <x:v>内廷缄声女官</x:v>
      </x:c>
      <x:c r="F3829" s="19" t="str">
        <x:v>稀有</x:v>
      </x:c>
      <x:c r="G3829" s="19" t="str">
        <x:v>六神器公共池</x:v>
      </x:c>
      <x:c r="H3829" s="19" t="str">
        <x:v>POOL006</x:v>
      </x:c>
      <x:c r="I3829" s="22" t="n">
        <x:v>5000000</x:v>
      </x:c>
      <x:c r="J3829" s="22" t="n">
        <x:v>1</x:v>
      </x:c>
      <x:c r="K3829" s="19" t="n">
        <x:v>6</x:v>
      </x:c>
      <x:c r="L3829" s="24" t="n">
        <x:v>55.335</x:v>
      </x:c>
      <x:c r="M3829" s="26" t="n">
        <x:v>0.1</x:v>
      </x:c>
      <x:c r="N3829" s="24" t="n">
        <x:v>12</x:v>
      </x:c>
      <x:c r="O3829" s="28" t="n">
        <x:f>MIN(1,L3829/I3829)</x:f>
        <x:v>0.000011067000000000001</x:v>
      </x:c>
      <x:c r="P3829" s="30" t="n">
        <x:f>O3829*J3829*(1+M3829)</x:f>
        <x:v>0.000012173700000000002</x:v>
      </x:c>
      <x:c r="Q3829" s="30" t="n">
        <x:f>P3829*N3829</x:f>
        <x:v>0.00014608440000000002</x:v>
      </x:c>
      <x:c r="R3829" s="19" t="str">
        <x:v>六选一；非6个独立爆率</x:v>
      </x:c>
    </x:row>
    <x:row r="3830" ht="19" customHeight="1">
      <x:c r="A3830" s="19" t="str">
        <x:v>D03826</x:v>
      </x:c>
      <x:c r="B3830" s="19" t="n">
        <x:v>8</x:v>
      </x:c>
      <x:c r="C3830" s="19" t="n">
        <x:v>3</x:v>
      </x:c>
      <x:c r="D3830" s="19" t="str">
        <x:v>C08-M033</x:v>
      </x:c>
      <x:c r="E3830" s="19" t="str">
        <x:v>议殿古律巨人</x:v>
      </x:c>
      <x:c r="F3830" s="19" t="str">
        <x:v>稀有</x:v>
      </x:c>
      <x:c r="G3830" s="19" t="str">
        <x:v>自身专属</x:v>
      </x:c>
      <x:c r="H3830" s="19" t="str">
        <x:v>古律铭板带</x:v>
      </x:c>
      <x:c r="I3830" s="22" t="n">
        <x:v>1500</x:v>
      </x:c>
      <x:c r="J3830" s="22" t="n">
        <x:v>1</x:v>
      </x:c>
      <x:c r="K3830" s="19" t="n">
        <x:v>1</x:v>
      </x:c>
      <x:c r="L3830" s="24" t="n">
        <x:v>55.335</x:v>
      </x:c>
      <x:c r="M3830" s="26" t="n">
        <x:v>0.1</x:v>
      </x:c>
      <x:c r="N3830" s="24" t="n">
        <x:v>12</x:v>
      </x:c>
      <x:c r="O3830" s="28" t="n">
        <x:f>MIN(1,L3830/I3830)</x:f>
        <x:v>0.03689</x:v>
      </x:c>
      <x:c r="P3830" s="30" t="n">
        <x:f>O3830*J3830*(1+M3830)</x:f>
        <x:v>0.040579000000000004</x:v>
      </x:c>
      <x:c r="Q3830" s="30" t="n">
        <x:f>P3830*N3830</x:f>
        <x:v>0.48694800000000005</x:v>
      </x:c>
      <x:c r="R3830" s="19" t="str">
        <x:v>独立判定</x:v>
      </x:c>
    </x:row>
    <x:row r="3831" ht="19" customHeight="1">
      <x:c r="A3831" s="19" t="str">
        <x:v>D03827</x:v>
      </x:c>
      <x:c r="B3831" s="19" t="n">
        <x:v>8</x:v>
      </x:c>
      <x:c r="C3831" s="19" t="n">
        <x:v>3</x:v>
      </x:c>
      <x:c r="D3831" s="19" t="str">
        <x:v>C08-M033</x:v>
      </x:c>
      <x:c r="E3831" s="19" t="str">
        <x:v>议殿古律巨人</x:v>
      </x:c>
      <x:c r="F3831" s="19" t="str">
        <x:v>稀有</x:v>
      </x:c>
      <x:c r="G3831" s="19" t="str">
        <x:v>材料独立候选</x:v>
      </x:c>
      <x:c r="H3831" s="19" t="str">
        <x:v>霜脊铁</x:v>
      </x:c>
      <x:c r="I3831" s="22" t="n">
        <x:v>800</x:v>
      </x:c>
      <x:c r="J3831" s="22" t="n">
        <x:v>15</x:v>
      </x:c>
      <x:c r="K3831" s="19" t="n">
        <x:v>1</x:v>
      </x:c>
      <x:c r="L3831" s="24" t="n">
        <x:v>55.335</x:v>
      </x:c>
      <x:c r="M3831" s="26" t="n">
        <x:v>0.1</x:v>
      </x:c>
      <x:c r="N3831" s="24" t="n">
        <x:v>12</x:v>
      </x:c>
      <x:c r="O3831" s="28" t="n">
        <x:f>MIN(1,L3831/I3831)</x:f>
        <x:v>0.06916875</x:v>
      </x:c>
      <x:c r="P3831" s="30" t="n">
        <x:f>O3831*J3831*(1+M3831)</x:f>
        <x:v>1.1412843750000001</x:v>
      </x:c>
      <x:c r="Q3831" s="30" t="n">
        <x:f>P3831*N3831</x:f>
        <x:v>13.695412500000002</x:v>
      </x:c>
      <x:c r="R3831" s="19" t="str">
        <x:v>独立判定</x:v>
      </x:c>
    </x:row>
    <x:row r="3832" ht="19" customHeight="1">
      <x:c r="A3832" s="19" t="str">
        <x:v>D03828</x:v>
      </x:c>
      <x:c r="B3832" s="19" t="n">
        <x:v>8</x:v>
      </x:c>
      <x:c r="C3832" s="19" t="n">
        <x:v>3</x:v>
      </x:c>
      <x:c r="D3832" s="19" t="str">
        <x:v>C08-M033</x:v>
      </x:c>
      <x:c r="E3832" s="19" t="str">
        <x:v>议殿古律巨人</x:v>
      </x:c>
      <x:c r="F3832" s="19" t="str">
        <x:v>稀有</x:v>
      </x:c>
      <x:c r="G3832" s="19" t="str">
        <x:v>材料独立候选</x:v>
      </x:c>
      <x:c r="H3832" s="19" t="str">
        <x:v>巨人火种</x:v>
      </x:c>
      <x:c r="I3832" s="22" t="n">
        <x:v>1200</x:v>
      </x:c>
      <x:c r="J3832" s="22" t="n">
        <x:v>1</x:v>
      </x:c>
      <x:c r="K3832" s="19" t="n">
        <x:v>1</x:v>
      </x:c>
      <x:c r="L3832" s="24" t="n">
        <x:v>55.335</x:v>
      </x:c>
      <x:c r="M3832" s="26" t="n">
        <x:v>0.1</x:v>
      </x:c>
      <x:c r="N3832" s="24" t="n">
        <x:v>12</x:v>
      </x:c>
      <x:c r="O3832" s="28" t="n">
        <x:f>MIN(1,L3832/I3832)</x:f>
        <x:v>0.0461125</x:v>
      </x:c>
      <x:c r="P3832" s="30" t="n">
        <x:f>O3832*J3832*(1+M3832)</x:f>
        <x:v>0.050723750000000005</x:v>
      </x:c>
      <x:c r="Q3832" s="30" t="n">
        <x:f>P3832*N3832</x:f>
        <x:v>0.608685</x:v>
      </x:c>
      <x:c r="R3832" s="19" t="str">
        <x:v>独立判定</x:v>
      </x:c>
    </x:row>
    <x:row r="3833" ht="19" customHeight="1">
      <x:c r="A3833" s="19" t="str">
        <x:v>D03829</x:v>
      </x:c>
      <x:c r="B3833" s="19" t="n">
        <x:v>8</x:v>
      </x:c>
      <x:c r="C3833" s="19" t="n">
        <x:v>3</x:v>
      </x:c>
      <x:c r="D3833" s="19" t="str">
        <x:v>C08-M033</x:v>
      </x:c>
      <x:c r="E3833" s="19" t="str">
        <x:v>议殿古律巨人</x:v>
      </x:c>
      <x:c r="F3833" s="19" t="str">
        <x:v>稀有</x:v>
      </x:c>
      <x:c r="G3833" s="19" t="str">
        <x:v>材料独立候选</x:v>
      </x:c>
      <x:c r="H3833" s="19" t="str">
        <x:v>裂峰号角片</x:v>
      </x:c>
      <x:c r="I3833" s="22" t="n">
        <x:v>500</x:v>
      </x:c>
      <x:c r="J3833" s="22" t="n">
        <x:v>1</x:v>
      </x:c>
      <x:c r="K3833" s="19" t="n">
        <x:v>1</x:v>
      </x:c>
      <x:c r="L3833" s="24" t="n">
        <x:v>55.335</x:v>
      </x:c>
      <x:c r="M3833" s="26" t="n">
        <x:v>0.1</x:v>
      </x:c>
      <x:c r="N3833" s="24" t="n">
        <x:v>12</x:v>
      </x:c>
      <x:c r="O3833" s="28" t="n">
        <x:f>MIN(1,L3833/I3833)</x:f>
        <x:v>0.11067</x:v>
      </x:c>
      <x:c r="P3833" s="30" t="n">
        <x:f>O3833*J3833*(1+M3833)</x:f>
        <x:v>0.12173700000000001</x:v>
      </x:c>
      <x:c r="Q3833" s="30" t="n">
        <x:f>P3833*N3833</x:f>
        <x:v>1.4608440000000003</x:v>
      </x:c>
      <x:c r="R3833" s="19" t="str">
        <x:v>独立判定</x:v>
      </x:c>
    </x:row>
    <x:row r="3834" ht="19" customHeight="1">
      <x:c r="A3834" s="19" t="str">
        <x:v>D03830</x:v>
      </x:c>
      <x:c r="B3834" s="19" t="n">
        <x:v>8</x:v>
      </x:c>
      <x:c r="C3834" s="19" t="n">
        <x:v>3</x:v>
      </x:c>
      <x:c r="D3834" s="19" t="str">
        <x:v>C08-M033</x:v>
      </x:c>
      <x:c r="E3834" s="19" t="str">
        <x:v>议殿古律巨人</x:v>
      </x:c>
      <x:c r="F3834" s="19" t="str">
        <x:v>稀有</x:v>
      </x:c>
      <x:c r="G3834" s="19" t="str">
        <x:v>材料独立候选</x:v>
      </x:c>
      <x:c r="H3834" s="19" t="str">
        <x:v>穹霜碑珀</x:v>
      </x:c>
      <x:c r="I3834" s="22" t="n">
        <x:v>1500000</x:v>
      </x:c>
      <x:c r="J3834" s="22" t="n">
        <x:v>1</x:v>
      </x:c>
      <x:c r="K3834" s="19" t="n">
        <x:v>1</x:v>
      </x:c>
      <x:c r="L3834" s="24" t="n">
        <x:v>55.335</x:v>
      </x:c>
      <x:c r="M3834" s="26" t="n">
        <x:v>0.1</x:v>
      </x:c>
      <x:c r="N3834" s="24" t="n">
        <x:v>12</x:v>
      </x:c>
      <x:c r="O3834" s="28" t="n">
        <x:f>MIN(1,L3834/I3834)</x:f>
        <x:v>0.00003689</x:v>
      </x:c>
      <x:c r="P3834" s="30" t="n">
        <x:f>O3834*J3834*(1+M3834)</x:f>
        <x:v>0.000040579000000000006</x:v>
      </x:c>
      <x:c r="Q3834" s="30" t="n">
        <x:f>P3834*N3834</x:f>
        <x:v>0.00048694800000000007</x:v>
      </x:c>
      <x:c r="R3834" s="19" t="str">
        <x:v>独立判定</x:v>
      </x:c>
    </x:row>
    <x:row r="3835" ht="19" customHeight="1">
      <x:c r="A3835" s="19" t="str">
        <x:v>D03831</x:v>
      </x:c>
      <x:c r="B3835" s="19" t="n">
        <x:v>8</x:v>
      </x:c>
      <x:c r="C3835" s="19" t="n">
        <x:v>3</x:v>
      </x:c>
      <x:c r="D3835" s="19" t="str">
        <x:v>C08-M033</x:v>
      </x:c>
      <x:c r="E3835" s="19" t="str">
        <x:v>议殿古律巨人</x:v>
      </x:c>
      <x:c r="F3835" s="19" t="str">
        <x:v>稀有</x:v>
      </x:c>
      <x:c r="G3835" s="19" t="str">
        <x:v>材料独立候选</x:v>
      </x:c>
      <x:c r="H3835" s="19" t="str">
        <x:v>黄金树芽</x:v>
      </x:c>
      <x:c r="I3835" s="22" t="n">
        <x:v>1800</x:v>
      </x:c>
      <x:c r="J3835" s="22" t="n">
        <x:v>1</x:v>
      </x:c>
      <x:c r="K3835" s="19" t="n">
        <x:v>1</x:v>
      </x:c>
      <x:c r="L3835" s="24" t="n">
        <x:v>55.335</x:v>
      </x:c>
      <x:c r="M3835" s="26" t="n">
        <x:v>0.1</x:v>
      </x:c>
      <x:c r="N3835" s="24" t="n">
        <x:v>12</x:v>
      </x:c>
      <x:c r="O3835" s="28" t="n">
        <x:f>MIN(1,L3835/I3835)</x:f>
        <x:v>0.030741666666666667</x:v>
      </x:c>
      <x:c r="P3835" s="30" t="n">
        <x:f>O3835*J3835*(1+M3835)</x:f>
        <x:v>0.03381583333333334</x:v>
      </x:c>
      <x:c r="Q3835" s="30" t="n">
        <x:f>P3835*N3835</x:f>
        <x:v>0.40579000000000004</x:v>
      </x:c>
      <x:c r="R3835" s="19" t="str">
        <x:v>独立判定</x:v>
      </x:c>
    </x:row>
    <x:row r="3836" ht="19" customHeight="1">
      <x:c r="A3836" s="19" t="str">
        <x:v>D03832</x:v>
      </x:c>
      <x:c r="B3836" s="19" t="n">
        <x:v>8</x:v>
      </x:c>
      <x:c r="C3836" s="19" t="n">
        <x:v>3</x:v>
      </x:c>
      <x:c r="D3836" s="19" t="str">
        <x:v>C08-M033</x:v>
      </x:c>
      <x:c r="E3836" s="19" t="str">
        <x:v>议殿古律巨人</x:v>
      </x:c>
      <x:c r="F3836" s="19" t="str">
        <x:v>稀有</x:v>
      </x:c>
      <x:c r="G3836" s="19" t="str">
        <x:v>材料独立候选</x:v>
      </x:c>
      <x:c r="H3836" s="19" t="str">
        <x:v>野兽骨片</x:v>
      </x:c>
      <x:c r="I3836" s="22" t="n">
        <x:v>150</x:v>
      </x:c>
      <x:c r="J3836" s="22" t="n">
        <x:v>5</x:v>
      </x:c>
      <x:c r="K3836" s="19" t="n">
        <x:v>1</x:v>
      </x:c>
      <x:c r="L3836" s="24" t="n">
        <x:v>55.335</x:v>
      </x:c>
      <x:c r="M3836" s="26" t="n">
        <x:v>0.1</x:v>
      </x:c>
      <x:c r="N3836" s="24" t="n">
        <x:v>12</x:v>
      </x:c>
      <x:c r="O3836" s="28" t="n">
        <x:f>MIN(1,L3836/I3836)</x:f>
        <x:v>0.3689</x:v>
      </x:c>
      <x:c r="P3836" s="30" t="n">
        <x:f>O3836*J3836*(1+M3836)</x:f>
        <x:v>2.02895</x:v>
      </x:c>
      <x:c r="Q3836" s="30" t="n">
        <x:f>P3836*N3836</x:f>
        <x:v>24.3474</x:v>
      </x:c>
      <x:c r="R3836" s="19" t="str">
        <x:v>独立判定</x:v>
      </x:c>
    </x:row>
    <x:row r="3837" ht="19" customHeight="1">
      <x:c r="A3837" s="19" t="str">
        <x:v>D03833</x:v>
      </x:c>
      <x:c r="B3837" s="19" t="n">
        <x:v>8</x:v>
      </x:c>
      <x:c r="C3837" s="19" t="n">
        <x:v>3</x:v>
      </x:c>
      <x:c r="D3837" s="19" t="str">
        <x:v>C08-M033</x:v>
      </x:c>
      <x:c r="E3837" s="19" t="str">
        <x:v>议殿古律巨人</x:v>
      </x:c>
      <x:c r="F3837" s="19" t="str">
        <x:v>稀有</x:v>
      </x:c>
      <x:c r="G3837" s="19" t="str">
        <x:v>材料独立候选</x:v>
      </x:c>
      <x:c r="H3837" s="19" t="str">
        <x:v>技能残页</x:v>
      </x:c>
      <x:c r="I3837" s="22" t="n">
        <x:v>1200</x:v>
      </x:c>
      <x:c r="J3837" s="22" t="n">
        <x:v>1</x:v>
      </x:c>
      <x:c r="K3837" s="19" t="n">
        <x:v>1</x:v>
      </x:c>
      <x:c r="L3837" s="24" t="n">
        <x:v>55.335</x:v>
      </x:c>
      <x:c r="M3837" s="26" t="n">
        <x:v>0.1</x:v>
      </x:c>
      <x:c r="N3837" s="24" t="n">
        <x:v>12</x:v>
      </x:c>
      <x:c r="O3837" s="28" t="n">
        <x:f>MIN(1,L3837/I3837)</x:f>
        <x:v>0.0461125</x:v>
      </x:c>
      <x:c r="P3837" s="30" t="n">
        <x:f>O3837*J3837*(1+M3837)</x:f>
        <x:v>0.050723750000000005</x:v>
      </x:c>
      <x:c r="Q3837" s="30" t="n">
        <x:f>P3837*N3837</x:f>
        <x:v>0.608685</x:v>
      </x:c>
      <x:c r="R3837" s="19" t="str">
        <x:v>独立判定</x:v>
      </x:c>
    </x:row>
    <x:row r="3838" ht="19" customHeight="1">
      <x:c r="A3838" s="19" t="str">
        <x:v>D03834</x:v>
      </x:c>
      <x:c r="B3838" s="19" t="n">
        <x:v>8</x:v>
      </x:c>
      <x:c r="C3838" s="19" t="n">
        <x:v>3</x:v>
      </x:c>
      <x:c r="D3838" s="19" t="str">
        <x:v>C08-M033</x:v>
      </x:c>
      <x:c r="E3838" s="19" t="str">
        <x:v>议殿古律巨人</x:v>
      </x:c>
      <x:c r="F3838" s="19" t="str">
        <x:v>稀有</x:v>
      </x:c>
      <x:c r="G3838" s="19" t="str">
        <x:v>材料独立候选</x:v>
      </x:c>
      <x:c r="H3838" s="19" t="str">
        <x:v>小卢恩</x:v>
      </x:c>
      <x:c r="I3838" s="22" t="n">
        <x:v>10000</x:v>
      </x:c>
      <x:c r="J3838" s="22" t="n">
        <x:v>1</x:v>
      </x:c>
      <x:c r="K3838" s="19" t="n">
        <x:v>1</x:v>
      </x:c>
      <x:c r="L3838" s="24" t="n">
        <x:v>55.335</x:v>
      </x:c>
      <x:c r="M3838" s="26" t="n">
        <x:v>0.1</x:v>
      </x:c>
      <x:c r="N3838" s="24" t="n">
        <x:v>12</x:v>
      </x:c>
      <x:c r="O3838" s="28" t="n">
        <x:f>MIN(1,L3838/I3838)</x:f>
        <x:v>0.0055335</x:v>
      </x:c>
      <x:c r="P3838" s="30" t="n">
        <x:f>O3838*J3838*(1+M3838)</x:f>
        <x:v>0.00608685</x:v>
      </x:c>
      <x:c r="Q3838" s="30" t="n">
        <x:f>P3838*N3838</x:f>
        <x:v>0.0730422</x:v>
      </x:c>
      <x:c r="R3838" s="19" t="str">
        <x:v>独立判定</x:v>
      </x:c>
    </x:row>
    <x:row r="3839" ht="19" customHeight="1">
      <x:c r="A3839" s="19" t="str">
        <x:v>D03835</x:v>
      </x:c>
      <x:c r="B3839" s="19" t="n">
        <x:v>8</x:v>
      </x:c>
      <x:c r="C3839" s="19" t="n">
        <x:v>3</x:v>
      </x:c>
      <x:c r="D3839" s="19" t="str">
        <x:v>C08-M033</x:v>
      </x:c>
      <x:c r="E3839" s="19" t="str">
        <x:v>议殿古律巨人</x:v>
      </x:c>
      <x:c r="F3839" s="19" t="str">
        <x:v>稀有</x:v>
      </x:c>
      <x:c r="G3839" s="19" t="str">
        <x:v>六神器公共池</x:v>
      </x:c>
      <x:c r="H3839" s="19" t="str">
        <x:v>POOL006</x:v>
      </x:c>
      <x:c r="I3839" s="22" t="n">
        <x:v>5000000</x:v>
      </x:c>
      <x:c r="J3839" s="22" t="n">
        <x:v>1</x:v>
      </x:c>
      <x:c r="K3839" s="19" t="n">
        <x:v>6</x:v>
      </x:c>
      <x:c r="L3839" s="24" t="n">
        <x:v>55.335</x:v>
      </x:c>
      <x:c r="M3839" s="26" t="n">
        <x:v>0.1</x:v>
      </x:c>
      <x:c r="N3839" s="24" t="n">
        <x:v>12</x:v>
      </x:c>
      <x:c r="O3839" s="28" t="n">
        <x:f>MIN(1,L3839/I3839)</x:f>
        <x:v>0.000011067000000000001</x:v>
      </x:c>
      <x:c r="P3839" s="30" t="n">
        <x:f>O3839*J3839*(1+M3839)</x:f>
        <x:v>0.000012173700000000002</x:v>
      </x:c>
      <x:c r="Q3839" s="30" t="n">
        <x:f>P3839*N3839</x:f>
        <x:v>0.00014608440000000002</x:v>
      </x:c>
      <x:c r="R3839" s="19" t="str">
        <x:v>六选一；非6个独立爆率</x:v>
      </x:c>
    </x:row>
    <x:row r="3840" ht="19" customHeight="1">
      <x:c r="A3840" s="19" t="str">
        <x:v>D03836</x:v>
      </x:c>
      <x:c r="B3840" s="19" t="n">
        <x:v>8</x:v>
      </x:c>
      <x:c r="C3840" s="19" t="n">
        <x:v>3</x:v>
      </x:c>
      <x:c r="D3840" s="19" t="str">
        <x:v>C08-M034</x:v>
      </x:c>
      <x:c r="E3840" s="19" t="str">
        <x:v>王座霜冠司礼</x:v>
      </x:c>
      <x:c r="F3840" s="19" t="str">
        <x:v>稀有</x:v>
      </x:c>
      <x:c r="G3840" s="19" t="str">
        <x:v>自身专属</x:v>
      </x:c>
      <x:c r="H3840" s="19" t="str">
        <x:v>霜冠司礼戒</x:v>
      </x:c>
      <x:c r="I3840" s="22" t="n">
        <x:v>1500</x:v>
      </x:c>
      <x:c r="J3840" s="22" t="n">
        <x:v>1</x:v>
      </x:c>
      <x:c r="K3840" s="19" t="n">
        <x:v>1</x:v>
      </x:c>
      <x:c r="L3840" s="24" t="n">
        <x:v>55.335</x:v>
      </x:c>
      <x:c r="M3840" s="26" t="n">
        <x:v>0.1</x:v>
      </x:c>
      <x:c r="N3840" s="24" t="n">
        <x:v>12</x:v>
      </x:c>
      <x:c r="O3840" s="28" t="n">
        <x:f>MIN(1,L3840/I3840)</x:f>
        <x:v>0.03689</x:v>
      </x:c>
      <x:c r="P3840" s="30" t="n">
        <x:f>O3840*J3840*(1+M3840)</x:f>
        <x:v>0.040579000000000004</x:v>
      </x:c>
      <x:c r="Q3840" s="30" t="n">
        <x:f>P3840*N3840</x:f>
        <x:v>0.48694800000000005</x:v>
      </x:c>
      <x:c r="R3840" s="19" t="str">
        <x:v>独立判定</x:v>
      </x:c>
    </x:row>
    <x:row r="3841" ht="19" customHeight="1">
      <x:c r="A3841" s="19" t="str">
        <x:v>D03837</x:v>
      </x:c>
      <x:c r="B3841" s="19" t="n">
        <x:v>8</x:v>
      </x:c>
      <x:c r="C3841" s="19" t="n">
        <x:v>3</x:v>
      </x:c>
      <x:c r="D3841" s="19" t="str">
        <x:v>C08-M034</x:v>
      </x:c>
      <x:c r="E3841" s="19" t="str">
        <x:v>王座霜冠司礼</x:v>
      </x:c>
      <x:c r="F3841" s="19" t="str">
        <x:v>稀有</x:v>
      </x:c>
      <x:c r="G3841" s="19" t="str">
        <x:v>材料独立候选</x:v>
      </x:c>
      <x:c r="H3841" s="19" t="str">
        <x:v>霜脊铁</x:v>
      </x:c>
      <x:c r="I3841" s="22" t="n">
        <x:v>800</x:v>
      </x:c>
      <x:c r="J3841" s="22" t="n">
        <x:v>15</x:v>
      </x:c>
      <x:c r="K3841" s="19" t="n">
        <x:v>1</x:v>
      </x:c>
      <x:c r="L3841" s="24" t="n">
        <x:v>55.335</x:v>
      </x:c>
      <x:c r="M3841" s="26" t="n">
        <x:v>0.1</x:v>
      </x:c>
      <x:c r="N3841" s="24" t="n">
        <x:v>12</x:v>
      </x:c>
      <x:c r="O3841" s="28" t="n">
        <x:f>MIN(1,L3841/I3841)</x:f>
        <x:v>0.06916875</x:v>
      </x:c>
      <x:c r="P3841" s="30" t="n">
        <x:f>O3841*J3841*(1+M3841)</x:f>
        <x:v>1.1412843750000001</x:v>
      </x:c>
      <x:c r="Q3841" s="30" t="n">
        <x:f>P3841*N3841</x:f>
        <x:v>13.695412500000002</x:v>
      </x:c>
      <x:c r="R3841" s="19" t="str">
        <x:v>独立判定</x:v>
      </x:c>
    </x:row>
    <x:row r="3842" ht="19" customHeight="1">
      <x:c r="A3842" s="19" t="str">
        <x:v>D03838</x:v>
      </x:c>
      <x:c r="B3842" s="19" t="n">
        <x:v>8</x:v>
      </x:c>
      <x:c r="C3842" s="19" t="n">
        <x:v>3</x:v>
      </x:c>
      <x:c r="D3842" s="19" t="str">
        <x:v>C08-M034</x:v>
      </x:c>
      <x:c r="E3842" s="19" t="str">
        <x:v>王座霜冠司礼</x:v>
      </x:c>
      <x:c r="F3842" s="19" t="str">
        <x:v>稀有</x:v>
      </x:c>
      <x:c r="G3842" s="19" t="str">
        <x:v>材料独立候选</x:v>
      </x:c>
      <x:c r="H3842" s="19" t="str">
        <x:v>巨人火种</x:v>
      </x:c>
      <x:c r="I3842" s="22" t="n">
        <x:v>1200</x:v>
      </x:c>
      <x:c r="J3842" s="22" t="n">
        <x:v>1</x:v>
      </x:c>
      <x:c r="K3842" s="19" t="n">
        <x:v>1</x:v>
      </x:c>
      <x:c r="L3842" s="24" t="n">
        <x:v>55.335</x:v>
      </x:c>
      <x:c r="M3842" s="26" t="n">
        <x:v>0.1</x:v>
      </x:c>
      <x:c r="N3842" s="24" t="n">
        <x:v>12</x:v>
      </x:c>
      <x:c r="O3842" s="28" t="n">
        <x:f>MIN(1,L3842/I3842)</x:f>
        <x:v>0.0461125</x:v>
      </x:c>
      <x:c r="P3842" s="30" t="n">
        <x:f>O3842*J3842*(1+M3842)</x:f>
        <x:v>0.050723750000000005</x:v>
      </x:c>
      <x:c r="Q3842" s="30" t="n">
        <x:f>P3842*N3842</x:f>
        <x:v>0.608685</x:v>
      </x:c>
      <x:c r="R3842" s="19" t="str">
        <x:v>独立判定</x:v>
      </x:c>
    </x:row>
    <x:row r="3843" ht="19" customHeight="1">
      <x:c r="A3843" s="19" t="str">
        <x:v>D03839</x:v>
      </x:c>
      <x:c r="B3843" s="19" t="n">
        <x:v>8</x:v>
      </x:c>
      <x:c r="C3843" s="19" t="n">
        <x:v>3</x:v>
      </x:c>
      <x:c r="D3843" s="19" t="str">
        <x:v>C08-M034</x:v>
      </x:c>
      <x:c r="E3843" s="19" t="str">
        <x:v>王座霜冠司礼</x:v>
      </x:c>
      <x:c r="F3843" s="19" t="str">
        <x:v>稀有</x:v>
      </x:c>
      <x:c r="G3843" s="19" t="str">
        <x:v>材料独立候选</x:v>
      </x:c>
      <x:c r="H3843" s="19" t="str">
        <x:v>裂峰号角片</x:v>
      </x:c>
      <x:c r="I3843" s="22" t="n">
        <x:v>500</x:v>
      </x:c>
      <x:c r="J3843" s="22" t="n">
        <x:v>1</x:v>
      </x:c>
      <x:c r="K3843" s="19" t="n">
        <x:v>1</x:v>
      </x:c>
      <x:c r="L3843" s="24" t="n">
        <x:v>55.335</x:v>
      </x:c>
      <x:c r="M3843" s="26" t="n">
        <x:v>0.1</x:v>
      </x:c>
      <x:c r="N3843" s="24" t="n">
        <x:v>12</x:v>
      </x:c>
      <x:c r="O3843" s="28" t="n">
        <x:f>MIN(1,L3843/I3843)</x:f>
        <x:v>0.11067</x:v>
      </x:c>
      <x:c r="P3843" s="30" t="n">
        <x:f>O3843*J3843*(1+M3843)</x:f>
        <x:v>0.12173700000000001</x:v>
      </x:c>
      <x:c r="Q3843" s="30" t="n">
        <x:f>P3843*N3843</x:f>
        <x:v>1.4608440000000003</x:v>
      </x:c>
      <x:c r="R3843" s="19" t="str">
        <x:v>独立判定</x:v>
      </x:c>
    </x:row>
    <x:row r="3844" ht="19" customHeight="1">
      <x:c r="A3844" s="19" t="str">
        <x:v>D03840</x:v>
      </x:c>
      <x:c r="B3844" s="19" t="n">
        <x:v>8</x:v>
      </x:c>
      <x:c r="C3844" s="19" t="n">
        <x:v>3</x:v>
      </x:c>
      <x:c r="D3844" s="19" t="str">
        <x:v>C08-M034</x:v>
      </x:c>
      <x:c r="E3844" s="19" t="str">
        <x:v>王座霜冠司礼</x:v>
      </x:c>
      <x:c r="F3844" s="19" t="str">
        <x:v>稀有</x:v>
      </x:c>
      <x:c r="G3844" s="19" t="str">
        <x:v>材料独立候选</x:v>
      </x:c>
      <x:c r="H3844" s="19" t="str">
        <x:v>穹霜碑珀</x:v>
      </x:c>
      <x:c r="I3844" s="22" t="n">
        <x:v>1500000</x:v>
      </x:c>
      <x:c r="J3844" s="22" t="n">
        <x:v>1</x:v>
      </x:c>
      <x:c r="K3844" s="19" t="n">
        <x:v>1</x:v>
      </x:c>
      <x:c r="L3844" s="24" t="n">
        <x:v>55.335</x:v>
      </x:c>
      <x:c r="M3844" s="26" t="n">
        <x:v>0.1</x:v>
      </x:c>
      <x:c r="N3844" s="24" t="n">
        <x:v>12</x:v>
      </x:c>
      <x:c r="O3844" s="28" t="n">
        <x:f>MIN(1,L3844/I3844)</x:f>
        <x:v>0.00003689</x:v>
      </x:c>
      <x:c r="P3844" s="30" t="n">
        <x:f>O3844*J3844*(1+M3844)</x:f>
        <x:v>0.000040579000000000006</x:v>
      </x:c>
      <x:c r="Q3844" s="30" t="n">
        <x:f>P3844*N3844</x:f>
        <x:v>0.00048694800000000007</x:v>
      </x:c>
      <x:c r="R3844" s="19" t="str">
        <x:v>独立判定</x:v>
      </x:c>
    </x:row>
    <x:row r="3845" ht="19" customHeight="1">
      <x:c r="A3845" s="19" t="str">
        <x:v>D03841</x:v>
      </x:c>
      <x:c r="B3845" s="19" t="n">
        <x:v>8</x:v>
      </x:c>
      <x:c r="C3845" s="19" t="n">
        <x:v>3</x:v>
      </x:c>
      <x:c r="D3845" s="19" t="str">
        <x:v>C08-M034</x:v>
      </x:c>
      <x:c r="E3845" s="19" t="str">
        <x:v>王座霜冠司礼</x:v>
      </x:c>
      <x:c r="F3845" s="19" t="str">
        <x:v>稀有</x:v>
      </x:c>
      <x:c r="G3845" s="19" t="str">
        <x:v>材料独立候选</x:v>
      </x:c>
      <x:c r="H3845" s="19" t="str">
        <x:v>黄金树芽</x:v>
      </x:c>
      <x:c r="I3845" s="22" t="n">
        <x:v>1800</x:v>
      </x:c>
      <x:c r="J3845" s="22" t="n">
        <x:v>1</x:v>
      </x:c>
      <x:c r="K3845" s="19" t="n">
        <x:v>1</x:v>
      </x:c>
      <x:c r="L3845" s="24" t="n">
        <x:v>55.335</x:v>
      </x:c>
      <x:c r="M3845" s="26" t="n">
        <x:v>0.1</x:v>
      </x:c>
      <x:c r="N3845" s="24" t="n">
        <x:v>12</x:v>
      </x:c>
      <x:c r="O3845" s="28" t="n">
        <x:f>MIN(1,L3845/I3845)</x:f>
        <x:v>0.030741666666666667</x:v>
      </x:c>
      <x:c r="P3845" s="30" t="n">
        <x:f>O3845*J3845*(1+M3845)</x:f>
        <x:v>0.03381583333333334</x:v>
      </x:c>
      <x:c r="Q3845" s="30" t="n">
        <x:f>P3845*N3845</x:f>
        <x:v>0.40579000000000004</x:v>
      </x:c>
      <x:c r="R3845" s="19" t="str">
        <x:v>独立判定</x:v>
      </x:c>
    </x:row>
    <x:row r="3846" ht="19" customHeight="1">
      <x:c r="A3846" s="19" t="str">
        <x:v>D03842</x:v>
      </x:c>
      <x:c r="B3846" s="19" t="n">
        <x:v>8</x:v>
      </x:c>
      <x:c r="C3846" s="19" t="n">
        <x:v>3</x:v>
      </x:c>
      <x:c r="D3846" s="19" t="str">
        <x:v>C08-M034</x:v>
      </x:c>
      <x:c r="E3846" s="19" t="str">
        <x:v>王座霜冠司礼</x:v>
      </x:c>
      <x:c r="F3846" s="19" t="str">
        <x:v>稀有</x:v>
      </x:c>
      <x:c r="G3846" s="19" t="str">
        <x:v>材料独立候选</x:v>
      </x:c>
      <x:c r="H3846" s="19" t="str">
        <x:v>野兽骨片</x:v>
      </x:c>
      <x:c r="I3846" s="22" t="n">
        <x:v>150</x:v>
      </x:c>
      <x:c r="J3846" s="22" t="n">
        <x:v>5</x:v>
      </x:c>
      <x:c r="K3846" s="19" t="n">
        <x:v>1</x:v>
      </x:c>
      <x:c r="L3846" s="24" t="n">
        <x:v>55.335</x:v>
      </x:c>
      <x:c r="M3846" s="26" t="n">
        <x:v>0.1</x:v>
      </x:c>
      <x:c r="N3846" s="24" t="n">
        <x:v>12</x:v>
      </x:c>
      <x:c r="O3846" s="28" t="n">
        <x:f>MIN(1,L3846/I3846)</x:f>
        <x:v>0.3689</x:v>
      </x:c>
      <x:c r="P3846" s="30" t="n">
        <x:f>O3846*J3846*(1+M3846)</x:f>
        <x:v>2.02895</x:v>
      </x:c>
      <x:c r="Q3846" s="30" t="n">
        <x:f>P3846*N3846</x:f>
        <x:v>24.3474</x:v>
      </x:c>
      <x:c r="R3846" s="19" t="str">
        <x:v>独立判定</x:v>
      </x:c>
    </x:row>
    <x:row r="3847" ht="19" customHeight="1">
      <x:c r="A3847" s="19" t="str">
        <x:v>D03843</x:v>
      </x:c>
      <x:c r="B3847" s="19" t="n">
        <x:v>8</x:v>
      </x:c>
      <x:c r="C3847" s="19" t="n">
        <x:v>3</x:v>
      </x:c>
      <x:c r="D3847" s="19" t="str">
        <x:v>C08-M034</x:v>
      </x:c>
      <x:c r="E3847" s="19" t="str">
        <x:v>王座霜冠司礼</x:v>
      </x:c>
      <x:c r="F3847" s="19" t="str">
        <x:v>稀有</x:v>
      </x:c>
      <x:c r="G3847" s="19" t="str">
        <x:v>材料独立候选</x:v>
      </x:c>
      <x:c r="H3847" s="19" t="str">
        <x:v>技能残页</x:v>
      </x:c>
      <x:c r="I3847" s="22" t="n">
        <x:v>1200</x:v>
      </x:c>
      <x:c r="J3847" s="22" t="n">
        <x:v>1</x:v>
      </x:c>
      <x:c r="K3847" s="19" t="n">
        <x:v>1</x:v>
      </x:c>
      <x:c r="L3847" s="24" t="n">
        <x:v>55.335</x:v>
      </x:c>
      <x:c r="M3847" s="26" t="n">
        <x:v>0.1</x:v>
      </x:c>
      <x:c r="N3847" s="24" t="n">
        <x:v>12</x:v>
      </x:c>
      <x:c r="O3847" s="28" t="n">
        <x:f>MIN(1,L3847/I3847)</x:f>
        <x:v>0.0461125</x:v>
      </x:c>
      <x:c r="P3847" s="30" t="n">
        <x:f>O3847*J3847*(1+M3847)</x:f>
        <x:v>0.050723750000000005</x:v>
      </x:c>
      <x:c r="Q3847" s="30" t="n">
        <x:f>P3847*N3847</x:f>
        <x:v>0.608685</x:v>
      </x:c>
      <x:c r="R3847" s="19" t="str">
        <x:v>独立判定</x:v>
      </x:c>
    </x:row>
    <x:row r="3848" ht="19" customHeight="1">
      <x:c r="A3848" s="19" t="str">
        <x:v>D03844</x:v>
      </x:c>
      <x:c r="B3848" s="19" t="n">
        <x:v>8</x:v>
      </x:c>
      <x:c r="C3848" s="19" t="n">
        <x:v>3</x:v>
      </x:c>
      <x:c r="D3848" s="19" t="str">
        <x:v>C08-M034</x:v>
      </x:c>
      <x:c r="E3848" s="19" t="str">
        <x:v>王座霜冠司礼</x:v>
      </x:c>
      <x:c r="F3848" s="19" t="str">
        <x:v>稀有</x:v>
      </x:c>
      <x:c r="G3848" s="19" t="str">
        <x:v>材料独立候选</x:v>
      </x:c>
      <x:c r="H3848" s="19" t="str">
        <x:v>小卢恩</x:v>
      </x:c>
      <x:c r="I3848" s="22" t="n">
        <x:v>10000</x:v>
      </x:c>
      <x:c r="J3848" s="22" t="n">
        <x:v>1</x:v>
      </x:c>
      <x:c r="K3848" s="19" t="n">
        <x:v>1</x:v>
      </x:c>
      <x:c r="L3848" s="24" t="n">
        <x:v>55.335</x:v>
      </x:c>
      <x:c r="M3848" s="26" t="n">
        <x:v>0.1</x:v>
      </x:c>
      <x:c r="N3848" s="24" t="n">
        <x:v>12</x:v>
      </x:c>
      <x:c r="O3848" s="28" t="n">
        <x:f>MIN(1,L3848/I3848)</x:f>
        <x:v>0.0055335</x:v>
      </x:c>
      <x:c r="P3848" s="30" t="n">
        <x:f>O3848*J3848*(1+M3848)</x:f>
        <x:v>0.00608685</x:v>
      </x:c>
      <x:c r="Q3848" s="30" t="n">
        <x:f>P3848*N3848</x:f>
        <x:v>0.0730422</x:v>
      </x:c>
      <x:c r="R3848" s="19" t="str">
        <x:v>独立判定</x:v>
      </x:c>
    </x:row>
    <x:row r="3849" ht="19" customHeight="1">
      <x:c r="A3849" s="19" t="str">
        <x:v>D03845</x:v>
      </x:c>
      <x:c r="B3849" s="19" t="n">
        <x:v>8</x:v>
      </x:c>
      <x:c r="C3849" s="19" t="n">
        <x:v>3</x:v>
      </x:c>
      <x:c r="D3849" s="19" t="str">
        <x:v>C08-M034</x:v>
      </x:c>
      <x:c r="E3849" s="19" t="str">
        <x:v>王座霜冠司礼</x:v>
      </x:c>
      <x:c r="F3849" s="19" t="str">
        <x:v>稀有</x:v>
      </x:c>
      <x:c r="G3849" s="19" t="str">
        <x:v>六神器公共池</x:v>
      </x:c>
      <x:c r="H3849" s="19" t="str">
        <x:v>POOL006</x:v>
      </x:c>
      <x:c r="I3849" s="22" t="n">
        <x:v>5000000</x:v>
      </x:c>
      <x:c r="J3849" s="22" t="n">
        <x:v>1</x:v>
      </x:c>
      <x:c r="K3849" s="19" t="n">
        <x:v>6</x:v>
      </x:c>
      <x:c r="L3849" s="24" t="n">
        <x:v>55.335</x:v>
      </x:c>
      <x:c r="M3849" s="26" t="n">
        <x:v>0.1</x:v>
      </x:c>
      <x:c r="N3849" s="24" t="n">
        <x:v>12</x:v>
      </x:c>
      <x:c r="O3849" s="28" t="n">
        <x:f>MIN(1,L3849/I3849)</x:f>
        <x:v>0.000011067000000000001</x:v>
      </x:c>
      <x:c r="P3849" s="30" t="n">
        <x:f>O3849*J3849*(1+M3849)</x:f>
        <x:v>0.000012173700000000002</x:v>
      </x:c>
      <x:c r="Q3849" s="30" t="n">
        <x:f>P3849*N3849</x:f>
        <x:v>0.00014608440000000002</x:v>
      </x:c>
      <x:c r="R3849" s="19" t="str">
        <x:v>六选一；非6个独立爆率</x:v>
      </x:c>
    </x:row>
    <x:row r="3850" ht="19" customHeight="1">
      <x:c r="A3850" s="19" t="str">
        <x:v>D03846</x:v>
      </x:c>
      <x:c r="B3850" s="19" t="n">
        <x:v>8</x:v>
      </x:c>
      <x:c r="C3850" s="19" t="n">
        <x:v>3</x:v>
      </x:c>
      <x:c r="D3850" s="19" t="str">
        <x:v>C08-M035</x:v>
      </x:c>
      <x:c r="E3850" s="19" t="str">
        <x:v>议殿白髯公·沃尔格</x:v>
      </x:c>
      <x:c r="F3850" s="19" t="str">
        <x:v>地图BOSS</x:v>
      </x:c>
      <x:c r="G3850" s="19" t="str">
        <x:v>自身专属</x:v>
      </x:c>
      <x:c r="H3850" s="19" t="str">
        <x:v>沃尔格廷议杖</x:v>
      </x:c>
      <x:c r="I3850" s="22" t="n">
        <x:v>150</x:v>
      </x:c>
      <x:c r="J3850" s="22" t="n">
        <x:v>1</x:v>
      </x:c>
      <x:c r="K3850" s="19" t="n">
        <x:v>1</x:v>
      </x:c>
      <x:c r="L3850" s="24" t="n">
        <x:v>55.335</x:v>
      </x:c>
      <x:c r="M3850" s="26" t="n">
        <x:v>0.1</x:v>
      </x:c>
      <x:c r="N3850" s="24" t="n">
        <x:v>2</x:v>
      </x:c>
      <x:c r="O3850" s="28" t="n">
        <x:f>MIN(1,L3850/I3850)</x:f>
        <x:v>0.3689</x:v>
      </x:c>
      <x:c r="P3850" s="30" t="n">
        <x:f>O3850*J3850*(1+M3850)</x:f>
        <x:v>0.40579000000000004</x:v>
      </x:c>
      <x:c r="Q3850" s="30" t="n">
        <x:f>P3850*N3850</x:f>
        <x:v>0.8115800000000001</x:v>
      </x:c>
      <x:c r="R3850" s="19" t="str">
        <x:v>独立判定</x:v>
      </x:c>
    </x:row>
    <x:row r="3851" ht="19" customHeight="1">
      <x:c r="A3851" s="19" t="str">
        <x:v>D03847</x:v>
      </x:c>
      <x:c r="B3851" s="19" t="n">
        <x:v>8</x:v>
      </x:c>
      <x:c r="C3851" s="19" t="n">
        <x:v>3</x:v>
      </x:c>
      <x:c r="D3851" s="19" t="str">
        <x:v>C08-M035</x:v>
      </x:c>
      <x:c r="E3851" s="19" t="str">
        <x:v>议殿白髯公·沃尔格</x:v>
      </x:c>
      <x:c r="F3851" s="19" t="str">
        <x:v>地图BOSS</x:v>
      </x:c>
      <x:c r="G3851" s="19" t="str">
        <x:v>本图普通兼掉候选</x:v>
      </x:c>
      <x:c r="H3851" s="19" t="str">
        <x:v>POOL064</x:v>
      </x:c>
      <x:c r="I3851" s="22" t="n">
        <x:v>150</x:v>
      </x:c>
      <x:c r="J3851" s="22" t="n">
        <x:v>1</x:v>
      </x:c>
      <x:c r="K3851" s="19" t="n">
        <x:v>1</x:v>
      </x:c>
      <x:c r="L3851" s="24" t="n">
        <x:v>55.335</x:v>
      </x:c>
      <x:c r="M3851" s="26" t="n">
        <x:v>0.1</x:v>
      </x:c>
      <x:c r="N3851" s="24" t="n">
        <x:v>2</x:v>
      </x:c>
      <x:c r="O3851" s="28" t="n">
        <x:f>MIN(1,L3851/I3851)</x:f>
        <x:v>0.3689</x:v>
      </x:c>
      <x:c r="P3851" s="30" t="n">
        <x:f>O3851*J3851*(1+M3851)</x:f>
        <x:v>0.40579000000000004</x:v>
      </x:c>
      <x:c r="Q3851" s="30" t="n">
        <x:f>P3851*N3851</x:f>
        <x:v>0.8115800000000001</x:v>
      </x:c>
      <x:c r="R3851" s="19" t="str">
        <x:v>单池选一</x:v>
      </x:c>
    </x:row>
    <x:row r="3852" ht="19" customHeight="1">
      <x:c r="A3852" s="19" t="str">
        <x:v>D03848</x:v>
      </x:c>
      <x:c r="B3852" s="19" t="n">
        <x:v>8</x:v>
      </x:c>
      <x:c r="C3852" s="19" t="n">
        <x:v>3</x:v>
      </x:c>
      <x:c r="D3852" s="19" t="str">
        <x:v>C08-M035</x:v>
      </x:c>
      <x:c r="E3852" s="19" t="str">
        <x:v>议殿白髯公·沃尔格</x:v>
      </x:c>
      <x:c r="F3852" s="19" t="str">
        <x:v>地图BOSS</x:v>
      </x:c>
      <x:c r="G3852" s="19" t="str">
        <x:v>材料独立候选</x:v>
      </x:c>
      <x:c r="H3852" s="19" t="str">
        <x:v>霜脊铁</x:v>
      </x:c>
      <x:c r="I3852" s="22" t="n">
        <x:v>400</x:v>
      </x:c>
      <x:c r="J3852" s="22" t="n">
        <x:v>30</x:v>
      </x:c>
      <x:c r="K3852" s="19" t="n">
        <x:v>1</x:v>
      </x:c>
      <x:c r="L3852" s="24" t="n">
        <x:v>55.335</x:v>
      </x:c>
      <x:c r="M3852" s="26" t="n">
        <x:v>0.1</x:v>
      </x:c>
      <x:c r="N3852" s="24" t="n">
        <x:v>2</x:v>
      </x:c>
      <x:c r="O3852" s="28" t="n">
        <x:f>MIN(1,L3852/I3852)</x:f>
        <x:v>0.1383375</x:v>
      </x:c>
      <x:c r="P3852" s="30" t="n">
        <x:f>O3852*J3852*(1+M3852)</x:f>
        <x:v>4.5651375000000005</x:v>
      </x:c>
      <x:c r="Q3852" s="30" t="n">
        <x:f>P3852*N3852</x:f>
        <x:v>9.130275000000001</x:v>
      </x:c>
      <x:c r="R3852" s="19" t="str">
        <x:v>独立判定</x:v>
      </x:c>
    </x:row>
    <x:row r="3853" ht="19" customHeight="1">
      <x:c r="A3853" s="19" t="str">
        <x:v>D03849</x:v>
      </x:c>
      <x:c r="B3853" s="19" t="n">
        <x:v>8</x:v>
      </x:c>
      <x:c r="C3853" s="19" t="n">
        <x:v>3</x:v>
      </x:c>
      <x:c r="D3853" s="19" t="str">
        <x:v>C08-M035</x:v>
      </x:c>
      <x:c r="E3853" s="19" t="str">
        <x:v>议殿白髯公·沃尔格</x:v>
      </x:c>
      <x:c r="F3853" s="19" t="str">
        <x:v>地图BOSS</x:v>
      </x:c>
      <x:c r="G3853" s="19" t="str">
        <x:v>材料独立候选</x:v>
      </x:c>
      <x:c r="H3853" s="19" t="str">
        <x:v>巨人火种</x:v>
      </x:c>
      <x:c r="I3853" s="22" t="n">
        <x:v>800</x:v>
      </x:c>
      <x:c r="J3853" s="22" t="n">
        <x:v>1</x:v>
      </x:c>
      <x:c r="K3853" s="19" t="n">
        <x:v>1</x:v>
      </x:c>
      <x:c r="L3853" s="24" t="n">
        <x:v>55.335</x:v>
      </x:c>
      <x:c r="M3853" s="26" t="n">
        <x:v>0.1</x:v>
      </x:c>
      <x:c r="N3853" s="24" t="n">
        <x:v>2</x:v>
      </x:c>
      <x:c r="O3853" s="28" t="n">
        <x:f>MIN(1,L3853/I3853)</x:f>
        <x:v>0.06916875</x:v>
      </x:c>
      <x:c r="P3853" s="30" t="n">
        <x:f>O3853*J3853*(1+M3853)</x:f>
        <x:v>0.076085625</x:v>
      </x:c>
      <x:c r="Q3853" s="30" t="n">
        <x:f>P3853*N3853</x:f>
        <x:v>0.15217125</x:v>
      </x:c>
      <x:c r="R3853" s="19" t="str">
        <x:v>独立判定</x:v>
      </x:c>
    </x:row>
    <x:row r="3854" ht="19" customHeight="1">
      <x:c r="A3854" s="19" t="str">
        <x:v>D03850</x:v>
      </x:c>
      <x:c r="B3854" s="19" t="n">
        <x:v>8</x:v>
      </x:c>
      <x:c r="C3854" s="19" t="n">
        <x:v>3</x:v>
      </x:c>
      <x:c r="D3854" s="19" t="str">
        <x:v>C08-M035</x:v>
      </x:c>
      <x:c r="E3854" s="19" t="str">
        <x:v>议殿白髯公·沃尔格</x:v>
      </x:c>
      <x:c r="F3854" s="19" t="str">
        <x:v>地图BOSS</x:v>
      </x:c>
      <x:c r="G3854" s="19" t="str">
        <x:v>材料独立候选</x:v>
      </x:c>
      <x:c r="H3854" s="19" t="str">
        <x:v>巨人火印</x:v>
      </x:c>
      <x:c r="I3854" s="22" t="n">
        <x:v>250</x:v>
      </x:c>
      <x:c r="J3854" s="22" t="n">
        <x:v>4</x:v>
      </x:c>
      <x:c r="K3854" s="19" t="n">
        <x:v>1</x:v>
      </x:c>
      <x:c r="L3854" s="24" t="n">
        <x:v>55.335</x:v>
      </x:c>
      <x:c r="M3854" s="26" t="n">
        <x:v>0.1</x:v>
      </x:c>
      <x:c r="N3854" s="24" t="n">
        <x:v>2</x:v>
      </x:c>
      <x:c r="O3854" s="28" t="n">
        <x:f>MIN(1,L3854/I3854)</x:f>
        <x:v>0.22134</x:v>
      </x:c>
      <x:c r="P3854" s="30" t="n">
        <x:f>O3854*J3854*(1+M3854)</x:f>
        <x:v>0.9738960000000001</x:v>
      </x:c>
      <x:c r="Q3854" s="30" t="n">
        <x:f>P3854*N3854</x:f>
        <x:v>1.9477920000000002</x:v>
      </x:c>
      <x:c r="R3854" s="19" t="str">
        <x:v>独立判定</x:v>
      </x:c>
    </x:row>
    <x:row r="3855" ht="19" customHeight="1">
      <x:c r="A3855" s="19" t="str">
        <x:v>D03851</x:v>
      </x:c>
      <x:c r="B3855" s="19" t="n">
        <x:v>8</x:v>
      </x:c>
      <x:c r="C3855" s="19" t="n">
        <x:v>3</x:v>
      </x:c>
      <x:c r="D3855" s="19" t="str">
        <x:v>C08-M035</x:v>
      </x:c>
      <x:c r="E3855" s="19" t="str">
        <x:v>议殿白髯公·沃尔格</x:v>
      </x:c>
      <x:c r="F3855" s="19" t="str">
        <x:v>地图BOSS</x:v>
      </x:c>
      <x:c r="G3855" s="19" t="str">
        <x:v>材料独立候选</x:v>
      </x:c>
      <x:c r="H3855" s="19" t="str">
        <x:v>冰宫守门铃</x:v>
      </x:c>
      <x:c r="I3855" s="22" t="n">
        <x:v>300</x:v>
      </x:c>
      <x:c r="J3855" s="22" t="n">
        <x:v>2</x:v>
      </x:c>
      <x:c r="K3855" s="19" t="n">
        <x:v>1</x:v>
      </x:c>
      <x:c r="L3855" s="24" t="n">
        <x:v>55.335</x:v>
      </x:c>
      <x:c r="M3855" s="26" t="n">
        <x:v>0.1</x:v>
      </x:c>
      <x:c r="N3855" s="24" t="n">
        <x:v>2</x:v>
      </x:c>
      <x:c r="O3855" s="28" t="n">
        <x:f>MIN(1,L3855/I3855)</x:f>
        <x:v>0.18445</x:v>
      </x:c>
      <x:c r="P3855" s="30" t="n">
        <x:f>O3855*J3855*(1+M3855)</x:f>
        <x:v>0.40579000000000004</x:v>
      </x:c>
      <x:c r="Q3855" s="30" t="n">
        <x:f>P3855*N3855</x:f>
        <x:v>0.8115800000000001</x:v>
      </x:c>
      <x:c r="R3855" s="19" t="str">
        <x:v>独立判定</x:v>
      </x:c>
    </x:row>
    <x:row r="3856" ht="19" customHeight="1">
      <x:c r="A3856" s="19" t="str">
        <x:v>D03852</x:v>
      </x:c>
      <x:c r="B3856" s="19" t="n">
        <x:v>8</x:v>
      </x:c>
      <x:c r="C3856" s="19" t="n">
        <x:v>3</x:v>
      </x:c>
      <x:c r="D3856" s="19" t="str">
        <x:v>C08-M035</x:v>
      </x:c>
      <x:c r="E3856" s="19" t="str">
        <x:v>议殿白髯公·沃尔格</x:v>
      </x:c>
      <x:c r="F3856" s="19" t="str">
        <x:v>地图BOSS</x:v>
      </x:c>
      <x:c r="G3856" s="19" t="str">
        <x:v>材料独立候选</x:v>
      </x:c>
      <x:c r="H3856" s="19" t="str">
        <x:v>穹霜碑珀</x:v>
      </x:c>
      <x:c r="I3856" s="22" t="n">
        <x:v>800000</x:v>
      </x:c>
      <x:c r="J3856" s="22" t="n">
        <x:v>1</x:v>
      </x:c>
      <x:c r="K3856" s="19" t="n">
        <x:v>1</x:v>
      </x:c>
      <x:c r="L3856" s="24" t="n">
        <x:v>55.335</x:v>
      </x:c>
      <x:c r="M3856" s="26" t="n">
        <x:v>0.1</x:v>
      </x:c>
      <x:c r="N3856" s="24" t="n">
        <x:v>2</x:v>
      </x:c>
      <x:c r="O3856" s="28" t="n">
        <x:f>MIN(1,L3856/I3856)</x:f>
        <x:v>0.00006916875</x:v>
      </x:c>
      <x:c r="P3856" s="30" t="n">
        <x:f>O3856*J3856*(1+M3856)</x:f>
        <x:v>0.000076085625</x:v>
      </x:c>
      <x:c r="Q3856" s="30" t="n">
        <x:f>P3856*N3856</x:f>
        <x:v>0.00015217125</x:v>
      </x:c>
      <x:c r="R3856" s="19" t="str">
        <x:v>独立判定</x:v>
      </x:c>
    </x:row>
    <x:row r="3857" ht="19" customHeight="1">
      <x:c r="A3857" s="19" t="str">
        <x:v>D03853</x:v>
      </x:c>
      <x:c r="B3857" s="19" t="n">
        <x:v>8</x:v>
      </x:c>
      <x:c r="C3857" s="19" t="n">
        <x:v>3</x:v>
      </x:c>
      <x:c r="D3857" s="19" t="str">
        <x:v>C08-M035</x:v>
      </x:c>
      <x:c r="E3857" s="19" t="str">
        <x:v>议殿白髯公·沃尔格</x:v>
      </x:c>
      <x:c r="F3857" s="19" t="str">
        <x:v>地图BOSS</x:v>
      </x:c>
      <x:c r="G3857" s="19" t="str">
        <x:v>材料独立候选</x:v>
      </x:c>
      <x:c r="H3857" s="19" t="str">
        <x:v>黄金树芽</x:v>
      </x:c>
      <x:c r="I3857" s="22" t="n">
        <x:v>1000</x:v>
      </x:c>
      <x:c r="J3857" s="22" t="n">
        <x:v>1</x:v>
      </x:c>
      <x:c r="K3857" s="19" t="n">
        <x:v>1</x:v>
      </x:c>
      <x:c r="L3857" s="24" t="n">
        <x:v>55.335</x:v>
      </x:c>
      <x:c r="M3857" s="26" t="n">
        <x:v>0.1</x:v>
      </x:c>
      <x:c r="N3857" s="24" t="n">
        <x:v>2</x:v>
      </x:c>
      <x:c r="O3857" s="28" t="n">
        <x:f>MIN(1,L3857/I3857)</x:f>
        <x:v>0.055335</x:v>
      </x:c>
      <x:c r="P3857" s="30" t="n">
        <x:f>O3857*J3857*(1+M3857)</x:f>
        <x:v>0.060868500000000006</x:v>
      </x:c>
      <x:c r="Q3857" s="30" t="n">
        <x:f>P3857*N3857</x:f>
        <x:v>0.12173700000000001</x:v>
      </x:c>
      <x:c r="R3857" s="19" t="str">
        <x:v>独立判定</x:v>
      </x:c>
    </x:row>
    <x:row r="3858" ht="19" customHeight="1">
      <x:c r="A3858" s="19" t="str">
        <x:v>D03854</x:v>
      </x:c>
      <x:c r="B3858" s="19" t="n">
        <x:v>8</x:v>
      </x:c>
      <x:c r="C3858" s="19" t="n">
        <x:v>3</x:v>
      </x:c>
      <x:c r="D3858" s="19" t="str">
        <x:v>C08-M035</x:v>
      </x:c>
      <x:c r="E3858" s="19" t="str">
        <x:v>议殿白髯公·沃尔格</x:v>
      </x:c>
      <x:c r="F3858" s="19" t="str">
        <x:v>地图BOSS</x:v>
      </x:c>
      <x:c r="G3858" s="19" t="str">
        <x:v>材料独立候选</x:v>
      </x:c>
      <x:c r="H3858" s="19" t="str">
        <x:v>野兽骨片</x:v>
      </x:c>
      <x:c r="I3858" s="22" t="n">
        <x:v>80</x:v>
      </x:c>
      <x:c r="J3858" s="22" t="n">
        <x:v>5</x:v>
      </x:c>
      <x:c r="K3858" s="19" t="n">
        <x:v>1</x:v>
      </x:c>
      <x:c r="L3858" s="24" t="n">
        <x:v>55.335</x:v>
      </x:c>
      <x:c r="M3858" s="26" t="n">
        <x:v>0.1</x:v>
      </x:c>
      <x:c r="N3858" s="24" t="n">
        <x:v>2</x:v>
      </x:c>
      <x:c r="O3858" s="28" t="n">
        <x:f>MIN(1,L3858/I3858)</x:f>
        <x:v>0.6916875</x:v>
      </x:c>
      <x:c r="P3858" s="30" t="n">
        <x:f>O3858*J3858*(1+M3858)</x:f>
        <x:v>3.8042812500000003</x:v>
      </x:c>
      <x:c r="Q3858" s="30" t="n">
        <x:f>P3858*N3858</x:f>
        <x:v>7.608562500000001</x:v>
      </x:c>
      <x:c r="R3858" s="19" t="str">
        <x:v>独立判定</x:v>
      </x:c>
    </x:row>
    <x:row r="3859" ht="19" customHeight="1">
      <x:c r="A3859" s="19" t="str">
        <x:v>D03855</x:v>
      </x:c>
      <x:c r="B3859" s="19" t="n">
        <x:v>8</x:v>
      </x:c>
      <x:c r="C3859" s="19" t="n">
        <x:v>3</x:v>
      </x:c>
      <x:c r="D3859" s="19" t="str">
        <x:v>C08-M035</x:v>
      </x:c>
      <x:c r="E3859" s="19" t="str">
        <x:v>议殿白髯公·沃尔格</x:v>
      </x:c>
      <x:c r="F3859" s="19" t="str">
        <x:v>地图BOSS</x:v>
      </x:c>
      <x:c r="G3859" s="19" t="str">
        <x:v>材料独立候选</x:v>
      </x:c>
      <x:c r="H3859" s="19" t="str">
        <x:v>技能残页</x:v>
      </x:c>
      <x:c r="I3859" s="22" t="n">
        <x:v>800</x:v>
      </x:c>
      <x:c r="J3859" s="22" t="n">
        <x:v>1</x:v>
      </x:c>
      <x:c r="K3859" s="19" t="n">
        <x:v>1</x:v>
      </x:c>
      <x:c r="L3859" s="24" t="n">
        <x:v>55.335</x:v>
      </x:c>
      <x:c r="M3859" s="26" t="n">
        <x:v>0.1</x:v>
      </x:c>
      <x:c r="N3859" s="24" t="n">
        <x:v>2</x:v>
      </x:c>
      <x:c r="O3859" s="28" t="n">
        <x:f>MIN(1,L3859/I3859)</x:f>
        <x:v>0.06916875</x:v>
      </x:c>
      <x:c r="P3859" s="30" t="n">
        <x:f>O3859*J3859*(1+M3859)</x:f>
        <x:v>0.076085625</x:v>
      </x:c>
      <x:c r="Q3859" s="30" t="n">
        <x:f>P3859*N3859</x:f>
        <x:v>0.15217125</x:v>
      </x:c>
      <x:c r="R3859" s="19" t="str">
        <x:v>独立判定</x:v>
      </x:c>
    </x:row>
    <x:row r="3860" ht="19" customHeight="1">
      <x:c r="A3860" s="19" t="str">
        <x:v>D03856</x:v>
      </x:c>
      <x:c r="B3860" s="19" t="n">
        <x:v>8</x:v>
      </x:c>
      <x:c r="C3860" s="19" t="n">
        <x:v>3</x:v>
      </x:c>
      <x:c r="D3860" s="19" t="str">
        <x:v>C08-M035</x:v>
      </x:c>
      <x:c r="E3860" s="19" t="str">
        <x:v>议殿白髯公·沃尔格</x:v>
      </x:c>
      <x:c r="F3860" s="19" t="str">
        <x:v>地图BOSS</x:v>
      </x:c>
      <x:c r="G3860" s="19" t="str">
        <x:v>材料独立候选</x:v>
      </x:c>
      <x:c r="H3860" s="19" t="str">
        <x:v>宁姆格福誓页</x:v>
      </x:c>
      <x:c r="I3860" s="22" t="n">
        <x:v>800</x:v>
      </x:c>
      <x:c r="J3860" s="22" t="n">
        <x:v>1</x:v>
      </x:c>
      <x:c r="K3860" s="19" t="n">
        <x:v>1</x:v>
      </x:c>
      <x:c r="L3860" s="24" t="n">
        <x:v>55.335</x:v>
      </x:c>
      <x:c r="M3860" s="26" t="n">
        <x:v>0.1</x:v>
      </x:c>
      <x:c r="N3860" s="24" t="n">
        <x:v>2</x:v>
      </x:c>
      <x:c r="O3860" s="28" t="n">
        <x:f>MIN(1,L3860/I3860)</x:f>
        <x:v>0.06916875</x:v>
      </x:c>
      <x:c r="P3860" s="30" t="n">
        <x:f>O3860*J3860*(1+M3860)</x:f>
        <x:v>0.076085625</x:v>
      </x:c>
      <x:c r="Q3860" s="30" t="n">
        <x:f>P3860*N3860</x:f>
        <x:v>0.15217125</x:v>
      </x:c>
      <x:c r="R3860" s="19" t="str">
        <x:v>独立判定</x:v>
      </x:c>
    </x:row>
    <x:row r="3861" ht="19" customHeight="1">
      <x:c r="A3861" s="19" t="str">
        <x:v>D03857</x:v>
      </x:c>
      <x:c r="B3861" s="19" t="n">
        <x:v>8</x:v>
      </x:c>
      <x:c r="C3861" s="19" t="n">
        <x:v>3</x:v>
      </x:c>
      <x:c r="D3861" s="19" t="str">
        <x:v>C08-M035</x:v>
      </x:c>
      <x:c r="E3861" s="19" t="str">
        <x:v>议殿白髯公·沃尔格</x:v>
      </x:c>
      <x:c r="F3861" s="19" t="str">
        <x:v>地图BOSS</x:v>
      </x:c>
      <x:c r="G3861" s="19" t="str">
        <x:v>材料独立候选</x:v>
      </x:c>
      <x:c r="H3861" s="19" t="str">
        <x:v>小卢恩</x:v>
      </x:c>
      <x:c r="I3861" s="22" t="n">
        <x:v>5000</x:v>
      </x:c>
      <x:c r="J3861" s="22" t="n">
        <x:v>1</x:v>
      </x:c>
      <x:c r="K3861" s="19" t="n">
        <x:v>1</x:v>
      </x:c>
      <x:c r="L3861" s="24" t="n">
        <x:v>55.335</x:v>
      </x:c>
      <x:c r="M3861" s="26" t="n">
        <x:v>0.1</x:v>
      </x:c>
      <x:c r="N3861" s="24" t="n">
        <x:v>2</x:v>
      </x:c>
      <x:c r="O3861" s="28" t="n">
        <x:f>MIN(1,L3861/I3861)</x:f>
        <x:v>0.011067</x:v>
      </x:c>
      <x:c r="P3861" s="30" t="n">
        <x:f>O3861*J3861*(1+M3861)</x:f>
        <x:v>0.0121737</x:v>
      </x:c>
      <x:c r="Q3861" s="30" t="n">
        <x:f>P3861*N3861</x:f>
        <x:v>0.0243474</x:v>
      </x:c>
      <x:c r="R3861" s="19" t="str">
        <x:v>独立判定</x:v>
      </x:c>
    </x:row>
    <x:row r="3862" ht="19" customHeight="1">
      <x:c r="A3862" s="19" t="str">
        <x:v>D03858</x:v>
      </x:c>
      <x:c r="B3862" s="19" t="n">
        <x:v>8</x:v>
      </x:c>
      <x:c r="C3862" s="19" t="n">
        <x:v>3</x:v>
      </x:c>
      <x:c r="D3862" s="19" t="str">
        <x:v>C08-M035</x:v>
      </x:c>
      <x:c r="E3862" s="19" t="str">
        <x:v>议殿白髯公·沃尔格</x:v>
      </x:c>
      <x:c r="F3862" s="19" t="str">
        <x:v>地图BOSS</x:v>
      </x:c>
      <x:c r="G3862" s="19" t="str">
        <x:v>材料独立候选</x:v>
      </x:c>
      <x:c r="H3862" s="19" t="str">
        <x:v>大卢恩</x:v>
      </x:c>
      <x:c r="I3862" s="22" t="n">
        <x:v>500</x:v>
      </x:c>
      <x:c r="J3862" s="22" t="n">
        <x:v>1</x:v>
      </x:c>
      <x:c r="K3862" s="19" t="n">
        <x:v>1</x:v>
      </x:c>
      <x:c r="L3862" s="24" t="n">
        <x:v>55.335</x:v>
      </x:c>
      <x:c r="M3862" s="26" t="n">
        <x:v>0.1</x:v>
      </x:c>
      <x:c r="N3862" s="24" t="n">
        <x:v>2</x:v>
      </x:c>
      <x:c r="O3862" s="28" t="n">
        <x:f>MIN(1,L3862/I3862)</x:f>
        <x:v>0.11067</x:v>
      </x:c>
      <x:c r="P3862" s="30" t="n">
        <x:f>O3862*J3862*(1+M3862)</x:f>
        <x:v>0.12173700000000001</x:v>
      </x:c>
      <x:c r="Q3862" s="30" t="n">
        <x:f>P3862*N3862</x:f>
        <x:v>0.24347400000000002</x:v>
      </x:c>
      <x:c r="R3862" s="19" t="str">
        <x:v>独立判定</x:v>
      </x:c>
    </x:row>
    <x:row r="3863" ht="19" customHeight="1">
      <x:c r="A3863" s="19" t="str">
        <x:v>D03859</x:v>
      </x:c>
      <x:c r="B3863" s="19" t="n">
        <x:v>8</x:v>
      </x:c>
      <x:c r="C3863" s="19" t="n">
        <x:v>3</x:v>
      </x:c>
      <x:c r="D3863" s="19" t="str">
        <x:v>C08-M035</x:v>
      </x:c>
      <x:c r="E3863" s="19" t="str">
        <x:v>议殿白髯公·沃尔格</x:v>
      </x:c>
      <x:c r="F3863" s="19" t="str">
        <x:v>地图BOSS</x:v>
      </x:c>
      <x:c r="G3863" s="19" t="str">
        <x:v>材料独立候选</x:v>
      </x:c>
      <x:c r="H3863" s="19" t="str">
        <x:v>巨人熔火卢恩</x:v>
      </x:c>
      <x:c r="I3863" s="22" t="n">
        <x:v>250</x:v>
      </x:c>
      <x:c r="J3863" s="22" t="n">
        <x:v>20</x:v>
      </x:c>
      <x:c r="K3863" s="19" t="n">
        <x:v>1</x:v>
      </x:c>
      <x:c r="L3863" s="24" t="n">
        <x:v>55.335</x:v>
      </x:c>
      <x:c r="M3863" s="26" t="n">
        <x:v>0.1</x:v>
      </x:c>
      <x:c r="N3863" s="24" t="n">
        <x:v>2</x:v>
      </x:c>
      <x:c r="O3863" s="28" t="n">
        <x:f>MIN(1,L3863/I3863)</x:f>
        <x:v>0.22134</x:v>
      </x:c>
      <x:c r="P3863" s="30" t="n">
        <x:f>O3863*J3863*(1+M3863)</x:f>
        <x:v>4.86948</x:v>
      </x:c>
      <x:c r="Q3863" s="30" t="n">
        <x:f>P3863*N3863</x:f>
        <x:v>9.73896</x:v>
      </x:c>
      <x:c r="R3863" s="19" t="str">
        <x:v>独立判定</x:v>
      </x:c>
    </x:row>
    <x:row r="3864" ht="19" customHeight="1">
      <x:c r="A3864" s="19" t="str">
        <x:v>D03860</x:v>
      </x:c>
      <x:c r="B3864" s="19" t="n">
        <x:v>8</x:v>
      </x:c>
      <x:c r="C3864" s="19" t="n">
        <x:v>3</x:v>
      </x:c>
      <x:c r="D3864" s="19" t="str">
        <x:v>C08-M035</x:v>
      </x:c>
      <x:c r="E3864" s="19" t="str">
        <x:v>议殿白髯公·沃尔格</x:v>
      </x:c>
      <x:c r="F3864" s="19" t="str">
        <x:v>地图BOSS</x:v>
      </x:c>
      <x:c r="G3864" s="19" t="str">
        <x:v>六神器公共池</x:v>
      </x:c>
      <x:c r="H3864" s="19" t="str">
        <x:v>POOL006</x:v>
      </x:c>
      <x:c r="I3864" s="22" t="n">
        <x:v>200000</x:v>
      </x:c>
      <x:c r="J3864" s="22" t="n">
        <x:v>1</x:v>
      </x:c>
      <x:c r="K3864" s="19" t="n">
        <x:v>6</x:v>
      </x:c>
      <x:c r="L3864" s="24" t="n">
        <x:v>55.335</x:v>
      </x:c>
      <x:c r="M3864" s="26" t="n">
        <x:v>0.1</x:v>
      </x:c>
      <x:c r="N3864" s="24" t="n">
        <x:v>2</x:v>
      </x:c>
      <x:c r="O3864" s="28" t="n">
        <x:f>MIN(1,L3864/I3864)</x:f>
        <x:v>0.000276675</x:v>
      </x:c>
      <x:c r="P3864" s="30" t="n">
        <x:f>O3864*J3864*(1+M3864)</x:f>
        <x:v>0.0003043425</x:v>
      </x:c>
      <x:c r="Q3864" s="30" t="n">
        <x:f>P3864*N3864</x:f>
        <x:v>0.000608685</x:v>
      </x:c>
      <x:c r="R3864" s="19" t="str">
        <x:v>六选一；非6个独立爆率</x:v>
      </x:c>
    </x:row>
    <x:row r="3865" ht="19" customHeight="1">
      <x:c r="A3865" s="19" t="str">
        <x:v>D03861</x:v>
      </x:c>
      <x:c r="B3865" s="19" t="n">
        <x:v>8</x:v>
      </x:c>
      <x:c r="C3865" s="19" t="n">
        <x:v>3</x:v>
      </x:c>
      <x:c r="D3865" s="19" t="str">
        <x:v>C08-M036</x:v>
      </x:c>
      <x:c r="E3865" s="19" t="str">
        <x:v>冰宫摄政后·伊瑟芮</x:v>
      </x:c>
      <x:c r="F3865" s="19" t="str">
        <x:v>地图BOSS</x:v>
      </x:c>
      <x:c r="G3865" s="19" t="str">
        <x:v>自身专属</x:v>
      </x:c>
      <x:c r="H3865" s="19" t="str">
        <x:v>伊瑟芮冰绡袍</x:v>
      </x:c>
      <x:c r="I3865" s="22" t="n">
        <x:v>300</x:v>
      </x:c>
      <x:c r="J3865" s="22" t="n">
        <x:v>1</x:v>
      </x:c>
      <x:c r="K3865" s="19" t="n">
        <x:v>1</x:v>
      </x:c>
      <x:c r="L3865" s="24" t="n">
        <x:v>55.335</x:v>
      </x:c>
      <x:c r="M3865" s="26" t="n">
        <x:v>0.1</x:v>
      </x:c>
      <x:c r="N3865" s="24" t="n">
        <x:v>2</x:v>
      </x:c>
      <x:c r="O3865" s="28" t="n">
        <x:f>MIN(1,L3865/I3865)</x:f>
        <x:v>0.18445</x:v>
      </x:c>
      <x:c r="P3865" s="30" t="n">
        <x:f>O3865*J3865*(1+M3865)</x:f>
        <x:v>0.20289500000000002</x:v>
      </x:c>
      <x:c r="Q3865" s="30" t="n">
        <x:f>P3865*N3865</x:f>
        <x:v>0.40579000000000004</x:v>
      </x:c>
      <x:c r="R3865" s="19" t="str">
        <x:v>独立判定</x:v>
      </x:c>
    </x:row>
    <x:row r="3866" ht="19" customHeight="1">
      <x:c r="A3866" s="19" t="str">
        <x:v>D03862</x:v>
      </x:c>
      <x:c r="B3866" s="19" t="n">
        <x:v>8</x:v>
      </x:c>
      <x:c r="C3866" s="19" t="n">
        <x:v>3</x:v>
      </x:c>
      <x:c r="D3866" s="19" t="str">
        <x:v>C08-M036</x:v>
      </x:c>
      <x:c r="E3866" s="19" t="str">
        <x:v>冰宫摄政后·伊瑟芮</x:v>
      </x:c>
      <x:c r="F3866" s="19" t="str">
        <x:v>地图BOSS</x:v>
      </x:c>
      <x:c r="G3866" s="19" t="str">
        <x:v>自身专属</x:v>
      </x:c>
      <x:c r="H3866" s="19" t="str">
        <x:v>炉心锁镯</x:v>
      </x:c>
      <x:c r="I3866" s="22" t="n">
        <x:v>300</x:v>
      </x:c>
      <x:c r="J3866" s="22" t="n">
        <x:v>1</x:v>
      </x:c>
      <x:c r="K3866" s="19" t="n">
        <x:v>1</x:v>
      </x:c>
      <x:c r="L3866" s="24" t="n">
        <x:v>55.335</x:v>
      </x:c>
      <x:c r="M3866" s="26" t="n">
        <x:v>0.1</x:v>
      </x:c>
      <x:c r="N3866" s="24" t="n">
        <x:v>2</x:v>
      </x:c>
      <x:c r="O3866" s="28" t="n">
        <x:f>MIN(1,L3866/I3866)</x:f>
        <x:v>0.18445</x:v>
      </x:c>
      <x:c r="P3866" s="30" t="n">
        <x:f>O3866*J3866*(1+M3866)</x:f>
        <x:v>0.20289500000000002</x:v>
      </x:c>
      <x:c r="Q3866" s="30" t="n">
        <x:f>P3866*N3866</x:f>
        <x:v>0.40579000000000004</x:v>
      </x:c>
      <x:c r="R3866" s="19" t="str">
        <x:v>独立判定</x:v>
      </x:c>
    </x:row>
    <x:row r="3867" ht="19" customHeight="1">
      <x:c r="A3867" s="19" t="str">
        <x:v>D03863</x:v>
      </x:c>
      <x:c r="B3867" s="19" t="n">
        <x:v>8</x:v>
      </x:c>
      <x:c r="C3867" s="19" t="n">
        <x:v>3</x:v>
      </x:c>
      <x:c r="D3867" s="19" t="str">
        <x:v>C08-M036</x:v>
      </x:c>
      <x:c r="E3867" s="19" t="str">
        <x:v>冰宫摄政后·伊瑟芮</x:v>
      </x:c>
      <x:c r="F3867" s="19" t="str">
        <x:v>地图BOSS</x:v>
      </x:c>
      <x:c r="G3867" s="19" t="str">
        <x:v>本图普通兼掉候选</x:v>
      </x:c>
      <x:c r="H3867" s="19" t="str">
        <x:v>POOL065</x:v>
      </x:c>
      <x:c r="I3867" s="22" t="n">
        <x:v>150</x:v>
      </x:c>
      <x:c r="J3867" s="22" t="n">
        <x:v>1</x:v>
      </x:c>
      <x:c r="K3867" s="19" t="n">
        <x:v>1</x:v>
      </x:c>
      <x:c r="L3867" s="24" t="n">
        <x:v>55.335</x:v>
      </x:c>
      <x:c r="M3867" s="26" t="n">
        <x:v>0.1</x:v>
      </x:c>
      <x:c r="N3867" s="24" t="n">
        <x:v>2</x:v>
      </x:c>
      <x:c r="O3867" s="28" t="n">
        <x:f>MIN(1,L3867/I3867)</x:f>
        <x:v>0.3689</x:v>
      </x:c>
      <x:c r="P3867" s="30" t="n">
        <x:f>O3867*J3867*(1+M3867)</x:f>
        <x:v>0.40579000000000004</x:v>
      </x:c>
      <x:c r="Q3867" s="30" t="n">
        <x:f>P3867*N3867</x:f>
        <x:v>0.8115800000000001</x:v>
      </x:c>
      <x:c r="R3867" s="19" t="str">
        <x:v>单池选一</x:v>
      </x:c>
    </x:row>
    <x:row r="3868" ht="19" customHeight="1">
      <x:c r="A3868" s="19" t="str">
        <x:v>D03864</x:v>
      </x:c>
      <x:c r="B3868" s="19" t="n">
        <x:v>8</x:v>
      </x:c>
      <x:c r="C3868" s="19" t="n">
        <x:v>3</x:v>
      </x:c>
      <x:c r="D3868" s="19" t="str">
        <x:v>C08-M036</x:v>
      </x:c>
      <x:c r="E3868" s="19" t="str">
        <x:v>冰宫摄政后·伊瑟芮</x:v>
      </x:c>
      <x:c r="F3868" s="19" t="str">
        <x:v>地图BOSS</x:v>
      </x:c>
      <x:c r="G3868" s="19" t="str">
        <x:v>材料独立候选</x:v>
      </x:c>
      <x:c r="H3868" s="19" t="str">
        <x:v>霜脊铁</x:v>
      </x:c>
      <x:c r="I3868" s="22" t="n">
        <x:v>400</x:v>
      </x:c>
      <x:c r="J3868" s="22" t="n">
        <x:v>30</x:v>
      </x:c>
      <x:c r="K3868" s="19" t="n">
        <x:v>1</x:v>
      </x:c>
      <x:c r="L3868" s="24" t="n">
        <x:v>55.335</x:v>
      </x:c>
      <x:c r="M3868" s="26" t="n">
        <x:v>0.1</x:v>
      </x:c>
      <x:c r="N3868" s="24" t="n">
        <x:v>2</x:v>
      </x:c>
      <x:c r="O3868" s="28" t="n">
        <x:f>MIN(1,L3868/I3868)</x:f>
        <x:v>0.1383375</x:v>
      </x:c>
      <x:c r="P3868" s="30" t="n">
        <x:f>O3868*J3868*(1+M3868)</x:f>
        <x:v>4.5651375000000005</x:v>
      </x:c>
      <x:c r="Q3868" s="30" t="n">
        <x:f>P3868*N3868</x:f>
        <x:v>9.130275000000001</x:v>
      </x:c>
      <x:c r="R3868" s="19" t="str">
        <x:v>独立判定</x:v>
      </x:c>
    </x:row>
    <x:row r="3869" ht="19" customHeight="1">
      <x:c r="A3869" s="19" t="str">
        <x:v>D03865</x:v>
      </x:c>
      <x:c r="B3869" s="19" t="n">
        <x:v>8</x:v>
      </x:c>
      <x:c r="C3869" s="19" t="n">
        <x:v>3</x:v>
      </x:c>
      <x:c r="D3869" s="19" t="str">
        <x:v>C08-M036</x:v>
      </x:c>
      <x:c r="E3869" s="19" t="str">
        <x:v>冰宫摄政后·伊瑟芮</x:v>
      </x:c>
      <x:c r="F3869" s="19" t="str">
        <x:v>地图BOSS</x:v>
      </x:c>
      <x:c r="G3869" s="19" t="str">
        <x:v>材料独立候选</x:v>
      </x:c>
      <x:c r="H3869" s="19" t="str">
        <x:v>巨人火种</x:v>
      </x:c>
      <x:c r="I3869" s="22" t="n">
        <x:v>800</x:v>
      </x:c>
      <x:c r="J3869" s="22" t="n">
        <x:v>1</x:v>
      </x:c>
      <x:c r="K3869" s="19" t="n">
        <x:v>1</x:v>
      </x:c>
      <x:c r="L3869" s="24" t="n">
        <x:v>55.335</x:v>
      </x:c>
      <x:c r="M3869" s="26" t="n">
        <x:v>0.1</x:v>
      </x:c>
      <x:c r="N3869" s="24" t="n">
        <x:v>2</x:v>
      </x:c>
      <x:c r="O3869" s="28" t="n">
        <x:f>MIN(1,L3869/I3869)</x:f>
        <x:v>0.06916875</x:v>
      </x:c>
      <x:c r="P3869" s="30" t="n">
        <x:f>O3869*J3869*(1+M3869)</x:f>
        <x:v>0.076085625</x:v>
      </x:c>
      <x:c r="Q3869" s="30" t="n">
        <x:f>P3869*N3869</x:f>
        <x:v>0.15217125</x:v>
      </x:c>
      <x:c r="R3869" s="19" t="str">
        <x:v>独立判定</x:v>
      </x:c>
    </x:row>
    <x:row r="3870" ht="19" customHeight="1">
      <x:c r="A3870" s="19" t="str">
        <x:v>D03866</x:v>
      </x:c>
      <x:c r="B3870" s="19" t="n">
        <x:v>8</x:v>
      </x:c>
      <x:c r="C3870" s="19" t="n">
        <x:v>3</x:v>
      </x:c>
      <x:c r="D3870" s="19" t="str">
        <x:v>C08-M036</x:v>
      </x:c>
      <x:c r="E3870" s="19" t="str">
        <x:v>冰宫摄政后·伊瑟芮</x:v>
      </x:c>
      <x:c r="F3870" s="19" t="str">
        <x:v>地图BOSS</x:v>
      </x:c>
      <x:c r="G3870" s="19" t="str">
        <x:v>材料独立候选</x:v>
      </x:c>
      <x:c r="H3870" s="19" t="str">
        <x:v>巨人火印</x:v>
      </x:c>
      <x:c r="I3870" s="22" t="n">
        <x:v>250</x:v>
      </x:c>
      <x:c r="J3870" s="22" t="n">
        <x:v>4</x:v>
      </x:c>
      <x:c r="K3870" s="19" t="n">
        <x:v>1</x:v>
      </x:c>
      <x:c r="L3870" s="24" t="n">
        <x:v>55.335</x:v>
      </x:c>
      <x:c r="M3870" s="26" t="n">
        <x:v>0.1</x:v>
      </x:c>
      <x:c r="N3870" s="24" t="n">
        <x:v>2</x:v>
      </x:c>
      <x:c r="O3870" s="28" t="n">
        <x:f>MIN(1,L3870/I3870)</x:f>
        <x:v>0.22134</x:v>
      </x:c>
      <x:c r="P3870" s="30" t="n">
        <x:f>O3870*J3870*(1+M3870)</x:f>
        <x:v>0.9738960000000001</x:v>
      </x:c>
      <x:c r="Q3870" s="30" t="n">
        <x:f>P3870*N3870</x:f>
        <x:v>1.9477920000000002</x:v>
      </x:c>
      <x:c r="R3870" s="19" t="str">
        <x:v>独立判定</x:v>
      </x:c>
    </x:row>
    <x:row r="3871" ht="19" customHeight="1">
      <x:c r="A3871" s="19" t="str">
        <x:v>D03867</x:v>
      </x:c>
      <x:c r="B3871" s="19" t="n">
        <x:v>8</x:v>
      </x:c>
      <x:c r="C3871" s="19" t="n">
        <x:v>3</x:v>
      </x:c>
      <x:c r="D3871" s="19" t="str">
        <x:v>C08-M036</x:v>
      </x:c>
      <x:c r="E3871" s="19" t="str">
        <x:v>冰宫摄政后·伊瑟芮</x:v>
      </x:c>
      <x:c r="F3871" s="19" t="str">
        <x:v>地图BOSS</x:v>
      </x:c>
      <x:c r="G3871" s="19" t="str">
        <x:v>材料独立候选</x:v>
      </x:c>
      <x:c r="H3871" s="19" t="str">
        <x:v>冰宫守门铃</x:v>
      </x:c>
      <x:c r="I3871" s="22" t="n">
        <x:v>300</x:v>
      </x:c>
      <x:c r="J3871" s="22" t="n">
        <x:v>2</x:v>
      </x:c>
      <x:c r="K3871" s="19" t="n">
        <x:v>1</x:v>
      </x:c>
      <x:c r="L3871" s="24" t="n">
        <x:v>55.335</x:v>
      </x:c>
      <x:c r="M3871" s="26" t="n">
        <x:v>0.1</x:v>
      </x:c>
      <x:c r="N3871" s="24" t="n">
        <x:v>2</x:v>
      </x:c>
      <x:c r="O3871" s="28" t="n">
        <x:f>MIN(1,L3871/I3871)</x:f>
        <x:v>0.18445</x:v>
      </x:c>
      <x:c r="P3871" s="30" t="n">
        <x:f>O3871*J3871*(1+M3871)</x:f>
        <x:v>0.40579000000000004</x:v>
      </x:c>
      <x:c r="Q3871" s="30" t="n">
        <x:f>P3871*N3871</x:f>
        <x:v>0.8115800000000001</x:v>
      </x:c>
      <x:c r="R3871" s="19" t="str">
        <x:v>独立判定</x:v>
      </x:c>
    </x:row>
    <x:row r="3872" ht="19" customHeight="1">
      <x:c r="A3872" s="19" t="str">
        <x:v>D03868</x:v>
      </x:c>
      <x:c r="B3872" s="19" t="n">
        <x:v>8</x:v>
      </x:c>
      <x:c r="C3872" s="19" t="n">
        <x:v>3</x:v>
      </x:c>
      <x:c r="D3872" s="19" t="str">
        <x:v>C08-M036</x:v>
      </x:c>
      <x:c r="E3872" s="19" t="str">
        <x:v>冰宫摄政后·伊瑟芮</x:v>
      </x:c>
      <x:c r="F3872" s="19" t="str">
        <x:v>地图BOSS</x:v>
      </x:c>
      <x:c r="G3872" s="19" t="str">
        <x:v>材料独立候选</x:v>
      </x:c>
      <x:c r="H3872" s="19" t="str">
        <x:v>穹霜碑珀</x:v>
      </x:c>
      <x:c r="I3872" s="22" t="n">
        <x:v>800000</x:v>
      </x:c>
      <x:c r="J3872" s="22" t="n">
        <x:v>1</x:v>
      </x:c>
      <x:c r="K3872" s="19" t="n">
        <x:v>1</x:v>
      </x:c>
      <x:c r="L3872" s="24" t="n">
        <x:v>55.335</x:v>
      </x:c>
      <x:c r="M3872" s="26" t="n">
        <x:v>0.1</x:v>
      </x:c>
      <x:c r="N3872" s="24" t="n">
        <x:v>2</x:v>
      </x:c>
      <x:c r="O3872" s="28" t="n">
        <x:f>MIN(1,L3872/I3872)</x:f>
        <x:v>0.00006916875</x:v>
      </x:c>
      <x:c r="P3872" s="30" t="n">
        <x:f>O3872*J3872*(1+M3872)</x:f>
        <x:v>0.000076085625</x:v>
      </x:c>
      <x:c r="Q3872" s="30" t="n">
        <x:f>P3872*N3872</x:f>
        <x:v>0.00015217125</x:v>
      </x:c>
      <x:c r="R3872" s="19" t="str">
        <x:v>独立判定</x:v>
      </x:c>
    </x:row>
    <x:row r="3873" ht="19" customHeight="1">
      <x:c r="A3873" s="19" t="str">
        <x:v>D03869</x:v>
      </x:c>
      <x:c r="B3873" s="19" t="n">
        <x:v>8</x:v>
      </x:c>
      <x:c r="C3873" s="19" t="n">
        <x:v>3</x:v>
      </x:c>
      <x:c r="D3873" s="19" t="str">
        <x:v>C08-M036</x:v>
      </x:c>
      <x:c r="E3873" s="19" t="str">
        <x:v>冰宫摄政后·伊瑟芮</x:v>
      </x:c>
      <x:c r="F3873" s="19" t="str">
        <x:v>地图BOSS</x:v>
      </x:c>
      <x:c r="G3873" s="19" t="str">
        <x:v>材料独立候选</x:v>
      </x:c>
      <x:c r="H3873" s="19" t="str">
        <x:v>黄金树芽</x:v>
      </x:c>
      <x:c r="I3873" s="22" t="n">
        <x:v>1000</x:v>
      </x:c>
      <x:c r="J3873" s="22" t="n">
        <x:v>1</x:v>
      </x:c>
      <x:c r="K3873" s="19" t="n">
        <x:v>1</x:v>
      </x:c>
      <x:c r="L3873" s="24" t="n">
        <x:v>55.335</x:v>
      </x:c>
      <x:c r="M3873" s="26" t="n">
        <x:v>0.1</x:v>
      </x:c>
      <x:c r="N3873" s="24" t="n">
        <x:v>2</x:v>
      </x:c>
      <x:c r="O3873" s="28" t="n">
        <x:f>MIN(1,L3873/I3873)</x:f>
        <x:v>0.055335</x:v>
      </x:c>
      <x:c r="P3873" s="30" t="n">
        <x:f>O3873*J3873*(1+M3873)</x:f>
        <x:v>0.060868500000000006</x:v>
      </x:c>
      <x:c r="Q3873" s="30" t="n">
        <x:f>P3873*N3873</x:f>
        <x:v>0.12173700000000001</x:v>
      </x:c>
      <x:c r="R3873" s="19" t="str">
        <x:v>独立判定</x:v>
      </x:c>
    </x:row>
    <x:row r="3874" ht="19" customHeight="1">
      <x:c r="A3874" s="19" t="str">
        <x:v>D03870</x:v>
      </x:c>
      <x:c r="B3874" s="19" t="n">
        <x:v>8</x:v>
      </x:c>
      <x:c r="C3874" s="19" t="n">
        <x:v>3</x:v>
      </x:c>
      <x:c r="D3874" s="19" t="str">
        <x:v>C08-M036</x:v>
      </x:c>
      <x:c r="E3874" s="19" t="str">
        <x:v>冰宫摄政后·伊瑟芮</x:v>
      </x:c>
      <x:c r="F3874" s="19" t="str">
        <x:v>地图BOSS</x:v>
      </x:c>
      <x:c r="G3874" s="19" t="str">
        <x:v>材料独立候选</x:v>
      </x:c>
      <x:c r="H3874" s="19" t="str">
        <x:v>野兽骨片</x:v>
      </x:c>
      <x:c r="I3874" s="22" t="n">
        <x:v>80</x:v>
      </x:c>
      <x:c r="J3874" s="22" t="n">
        <x:v>5</x:v>
      </x:c>
      <x:c r="K3874" s="19" t="n">
        <x:v>1</x:v>
      </x:c>
      <x:c r="L3874" s="24" t="n">
        <x:v>55.335</x:v>
      </x:c>
      <x:c r="M3874" s="26" t="n">
        <x:v>0.1</x:v>
      </x:c>
      <x:c r="N3874" s="24" t="n">
        <x:v>2</x:v>
      </x:c>
      <x:c r="O3874" s="28" t="n">
        <x:f>MIN(1,L3874/I3874)</x:f>
        <x:v>0.6916875</x:v>
      </x:c>
      <x:c r="P3874" s="30" t="n">
        <x:f>O3874*J3874*(1+M3874)</x:f>
        <x:v>3.8042812500000003</x:v>
      </x:c>
      <x:c r="Q3874" s="30" t="n">
        <x:f>P3874*N3874</x:f>
        <x:v>7.608562500000001</x:v>
      </x:c>
      <x:c r="R3874" s="19" t="str">
        <x:v>独立判定</x:v>
      </x:c>
    </x:row>
    <x:row r="3875" ht="19" customHeight="1">
      <x:c r="A3875" s="19" t="str">
        <x:v>D03871</x:v>
      </x:c>
      <x:c r="B3875" s="19" t="n">
        <x:v>8</x:v>
      </x:c>
      <x:c r="C3875" s="19" t="n">
        <x:v>3</x:v>
      </x:c>
      <x:c r="D3875" s="19" t="str">
        <x:v>C08-M036</x:v>
      </x:c>
      <x:c r="E3875" s="19" t="str">
        <x:v>冰宫摄政后·伊瑟芮</x:v>
      </x:c>
      <x:c r="F3875" s="19" t="str">
        <x:v>地图BOSS</x:v>
      </x:c>
      <x:c r="G3875" s="19" t="str">
        <x:v>材料独立候选</x:v>
      </x:c>
      <x:c r="H3875" s="19" t="str">
        <x:v>技能残页</x:v>
      </x:c>
      <x:c r="I3875" s="22" t="n">
        <x:v>800</x:v>
      </x:c>
      <x:c r="J3875" s="22" t="n">
        <x:v>1</x:v>
      </x:c>
      <x:c r="K3875" s="19" t="n">
        <x:v>1</x:v>
      </x:c>
      <x:c r="L3875" s="24" t="n">
        <x:v>55.335</x:v>
      </x:c>
      <x:c r="M3875" s="26" t="n">
        <x:v>0.1</x:v>
      </x:c>
      <x:c r="N3875" s="24" t="n">
        <x:v>2</x:v>
      </x:c>
      <x:c r="O3875" s="28" t="n">
        <x:f>MIN(1,L3875/I3875)</x:f>
        <x:v>0.06916875</x:v>
      </x:c>
      <x:c r="P3875" s="30" t="n">
        <x:f>O3875*J3875*(1+M3875)</x:f>
        <x:v>0.076085625</x:v>
      </x:c>
      <x:c r="Q3875" s="30" t="n">
        <x:f>P3875*N3875</x:f>
        <x:v>0.15217125</x:v>
      </x:c>
      <x:c r="R3875" s="19" t="str">
        <x:v>独立判定</x:v>
      </x:c>
    </x:row>
    <x:row r="3876" ht="19" customHeight="1">
      <x:c r="A3876" s="19" t="str">
        <x:v>D03872</x:v>
      </x:c>
      <x:c r="B3876" s="19" t="n">
        <x:v>8</x:v>
      </x:c>
      <x:c r="C3876" s="19" t="n">
        <x:v>3</x:v>
      </x:c>
      <x:c r="D3876" s="19" t="str">
        <x:v>C08-M036</x:v>
      </x:c>
      <x:c r="E3876" s="19" t="str">
        <x:v>冰宫摄政后·伊瑟芮</x:v>
      </x:c>
      <x:c r="F3876" s="19" t="str">
        <x:v>地图BOSS</x:v>
      </x:c>
      <x:c r="G3876" s="19" t="str">
        <x:v>材料独立候选</x:v>
      </x:c>
      <x:c r="H3876" s="19" t="str">
        <x:v>宁姆格福誓页</x:v>
      </x:c>
      <x:c r="I3876" s="22" t="n">
        <x:v>800</x:v>
      </x:c>
      <x:c r="J3876" s="22" t="n">
        <x:v>1</x:v>
      </x:c>
      <x:c r="K3876" s="19" t="n">
        <x:v>1</x:v>
      </x:c>
      <x:c r="L3876" s="24" t="n">
        <x:v>55.335</x:v>
      </x:c>
      <x:c r="M3876" s="26" t="n">
        <x:v>0.1</x:v>
      </x:c>
      <x:c r="N3876" s="24" t="n">
        <x:v>2</x:v>
      </x:c>
      <x:c r="O3876" s="28" t="n">
        <x:f>MIN(1,L3876/I3876)</x:f>
        <x:v>0.06916875</x:v>
      </x:c>
      <x:c r="P3876" s="30" t="n">
        <x:f>O3876*J3876*(1+M3876)</x:f>
        <x:v>0.076085625</x:v>
      </x:c>
      <x:c r="Q3876" s="30" t="n">
        <x:f>P3876*N3876</x:f>
        <x:v>0.15217125</x:v>
      </x:c>
      <x:c r="R3876" s="19" t="str">
        <x:v>独立判定</x:v>
      </x:c>
    </x:row>
    <x:row r="3877" ht="19" customHeight="1">
      <x:c r="A3877" s="19" t="str">
        <x:v>D03873</x:v>
      </x:c>
      <x:c r="B3877" s="19" t="n">
        <x:v>8</x:v>
      </x:c>
      <x:c r="C3877" s="19" t="n">
        <x:v>3</x:v>
      </x:c>
      <x:c r="D3877" s="19" t="str">
        <x:v>C08-M036</x:v>
      </x:c>
      <x:c r="E3877" s="19" t="str">
        <x:v>冰宫摄政后·伊瑟芮</x:v>
      </x:c>
      <x:c r="F3877" s="19" t="str">
        <x:v>地图BOSS</x:v>
      </x:c>
      <x:c r="G3877" s="19" t="str">
        <x:v>材料独立候选</x:v>
      </x:c>
      <x:c r="H3877" s="19" t="str">
        <x:v>小卢恩</x:v>
      </x:c>
      <x:c r="I3877" s="22" t="n">
        <x:v>5000</x:v>
      </x:c>
      <x:c r="J3877" s="22" t="n">
        <x:v>1</x:v>
      </x:c>
      <x:c r="K3877" s="19" t="n">
        <x:v>1</x:v>
      </x:c>
      <x:c r="L3877" s="24" t="n">
        <x:v>55.335</x:v>
      </x:c>
      <x:c r="M3877" s="26" t="n">
        <x:v>0.1</x:v>
      </x:c>
      <x:c r="N3877" s="24" t="n">
        <x:v>2</x:v>
      </x:c>
      <x:c r="O3877" s="28" t="n">
        <x:f>MIN(1,L3877/I3877)</x:f>
        <x:v>0.011067</x:v>
      </x:c>
      <x:c r="P3877" s="30" t="n">
        <x:f>O3877*J3877*(1+M3877)</x:f>
        <x:v>0.0121737</x:v>
      </x:c>
      <x:c r="Q3877" s="30" t="n">
        <x:f>P3877*N3877</x:f>
        <x:v>0.0243474</x:v>
      </x:c>
      <x:c r="R3877" s="19" t="str">
        <x:v>独立判定</x:v>
      </x:c>
    </x:row>
    <x:row r="3878" ht="19" customHeight="1">
      <x:c r="A3878" s="19" t="str">
        <x:v>D03874</x:v>
      </x:c>
      <x:c r="B3878" s="19" t="n">
        <x:v>8</x:v>
      </x:c>
      <x:c r="C3878" s="19" t="n">
        <x:v>3</x:v>
      </x:c>
      <x:c r="D3878" s="19" t="str">
        <x:v>C08-M036</x:v>
      </x:c>
      <x:c r="E3878" s="19" t="str">
        <x:v>冰宫摄政后·伊瑟芮</x:v>
      </x:c>
      <x:c r="F3878" s="19" t="str">
        <x:v>地图BOSS</x:v>
      </x:c>
      <x:c r="G3878" s="19" t="str">
        <x:v>材料独立候选</x:v>
      </x:c>
      <x:c r="H3878" s="19" t="str">
        <x:v>大卢恩</x:v>
      </x:c>
      <x:c r="I3878" s="22" t="n">
        <x:v>500</x:v>
      </x:c>
      <x:c r="J3878" s="22" t="n">
        <x:v>1</x:v>
      </x:c>
      <x:c r="K3878" s="19" t="n">
        <x:v>1</x:v>
      </x:c>
      <x:c r="L3878" s="24" t="n">
        <x:v>55.335</x:v>
      </x:c>
      <x:c r="M3878" s="26" t="n">
        <x:v>0.1</x:v>
      </x:c>
      <x:c r="N3878" s="24" t="n">
        <x:v>2</x:v>
      </x:c>
      <x:c r="O3878" s="28" t="n">
        <x:f>MIN(1,L3878/I3878)</x:f>
        <x:v>0.11067</x:v>
      </x:c>
      <x:c r="P3878" s="30" t="n">
        <x:f>O3878*J3878*(1+M3878)</x:f>
        <x:v>0.12173700000000001</x:v>
      </x:c>
      <x:c r="Q3878" s="30" t="n">
        <x:f>P3878*N3878</x:f>
        <x:v>0.24347400000000002</x:v>
      </x:c>
      <x:c r="R3878" s="19" t="str">
        <x:v>独立判定</x:v>
      </x:c>
    </x:row>
    <x:row r="3879" ht="19" customHeight="1">
      <x:c r="A3879" s="19" t="str">
        <x:v>D03875</x:v>
      </x:c>
      <x:c r="B3879" s="19" t="n">
        <x:v>8</x:v>
      </x:c>
      <x:c r="C3879" s="19" t="n">
        <x:v>3</x:v>
      </x:c>
      <x:c r="D3879" s="19" t="str">
        <x:v>C08-M036</x:v>
      </x:c>
      <x:c r="E3879" s="19" t="str">
        <x:v>冰宫摄政后·伊瑟芮</x:v>
      </x:c>
      <x:c r="F3879" s="19" t="str">
        <x:v>地图BOSS</x:v>
      </x:c>
      <x:c r="G3879" s="19" t="str">
        <x:v>材料独立候选</x:v>
      </x:c>
      <x:c r="H3879" s="19" t="str">
        <x:v>巨人熔火卢恩</x:v>
      </x:c>
      <x:c r="I3879" s="22" t="n">
        <x:v>250</x:v>
      </x:c>
      <x:c r="J3879" s="22" t="n">
        <x:v>20</x:v>
      </x:c>
      <x:c r="K3879" s="19" t="n">
        <x:v>1</x:v>
      </x:c>
      <x:c r="L3879" s="24" t="n">
        <x:v>55.335</x:v>
      </x:c>
      <x:c r="M3879" s="26" t="n">
        <x:v>0.1</x:v>
      </x:c>
      <x:c r="N3879" s="24" t="n">
        <x:v>2</x:v>
      </x:c>
      <x:c r="O3879" s="28" t="n">
        <x:f>MIN(1,L3879/I3879)</x:f>
        <x:v>0.22134</x:v>
      </x:c>
      <x:c r="P3879" s="30" t="n">
        <x:f>O3879*J3879*(1+M3879)</x:f>
        <x:v>4.86948</x:v>
      </x:c>
      <x:c r="Q3879" s="30" t="n">
        <x:f>P3879*N3879</x:f>
        <x:v>9.73896</x:v>
      </x:c>
      <x:c r="R3879" s="19" t="str">
        <x:v>独立判定</x:v>
      </x:c>
    </x:row>
    <x:row r="3880" ht="19" customHeight="1">
      <x:c r="A3880" s="19" t="str">
        <x:v>D03876</x:v>
      </x:c>
      <x:c r="B3880" s="19" t="n">
        <x:v>8</x:v>
      </x:c>
      <x:c r="C3880" s="19" t="n">
        <x:v>3</x:v>
      </x:c>
      <x:c r="D3880" s="19" t="str">
        <x:v>C08-M036</x:v>
      </x:c>
      <x:c r="E3880" s="19" t="str">
        <x:v>冰宫摄政后·伊瑟芮</x:v>
      </x:c>
      <x:c r="F3880" s="19" t="str">
        <x:v>地图BOSS</x:v>
      </x:c>
      <x:c r="G3880" s="19" t="str">
        <x:v>六神器公共池</x:v>
      </x:c>
      <x:c r="H3880" s="19" t="str">
        <x:v>POOL006</x:v>
      </x:c>
      <x:c r="I3880" s="22" t="n">
        <x:v>200000</x:v>
      </x:c>
      <x:c r="J3880" s="22" t="n">
        <x:v>1</x:v>
      </x:c>
      <x:c r="K3880" s="19" t="n">
        <x:v>6</x:v>
      </x:c>
      <x:c r="L3880" s="24" t="n">
        <x:v>55.335</x:v>
      </x:c>
      <x:c r="M3880" s="26" t="n">
        <x:v>0.1</x:v>
      </x:c>
      <x:c r="N3880" s="24" t="n">
        <x:v>2</x:v>
      </x:c>
      <x:c r="O3880" s="28" t="n">
        <x:f>MIN(1,L3880/I3880)</x:f>
        <x:v>0.000276675</x:v>
      </x:c>
      <x:c r="P3880" s="30" t="n">
        <x:f>O3880*J3880*(1+M3880)</x:f>
        <x:v>0.0003043425</x:v>
      </x:c>
      <x:c r="Q3880" s="30" t="n">
        <x:f>P3880*N3880</x:f>
        <x:v>0.000608685</x:v>
      </x:c>
      <x:c r="R3880" s="19" t="str">
        <x:v>六选一；非6个独立爆率</x:v>
      </x:c>
    </x:row>
    <x:row r="3881" ht="19" customHeight="1">
      <x:c r="A3881" s="19" t="str">
        <x:v>D03877</x:v>
      </x:c>
      <x:c r="B3881" s="19" t="n">
        <x:v>8</x:v>
      </x:c>
      <x:c r="C3881" s="19" t="n">
        <x:v>4</x:v>
      </x:c>
      <x:c r="D3881" s="19" t="str">
        <x:v>C08-M037</x:v>
      </x:c>
      <x:c r="E3881" s="19" t="str">
        <x:v>王庭铸霜卫</x:v>
      </x:c>
      <x:c r="F3881" s="19" t="str">
        <x:v>普通</x:v>
      </x:c>
      <x:c r="G3881" s="19" t="str">
        <x:v>自身专属</x:v>
      </x:c>
      <x:c r="H3881" s="19" t="str">
        <x:v>铸霜庭卫戟</x:v>
      </x:c>
      <x:c r="I3881" s="22" t="n">
        <x:v>6000</x:v>
      </x:c>
      <x:c r="J3881" s="22" t="n">
        <x:v>1</x:v>
      </x:c>
      <x:c r="K3881" s="19" t="n">
        <x:v>1</x:v>
      </x:c>
      <x:c r="L3881" s="24" t="n">
        <x:v>62.474999999999994</x:v>
      </x:c>
      <x:c r="M3881" s="26" t="n">
        <x:v>0.1</x:v>
      </x:c>
      <x:c r="N3881" s="24" t="n">
        <x:v>72</x:v>
      </x:c>
      <x:c r="O3881" s="28" t="n">
        <x:f>MIN(1,L3881/I3881)</x:f>
        <x:v>0.0104125</x:v>
      </x:c>
      <x:c r="P3881" s="30" t="n">
        <x:f>O3881*J3881*(1+M3881)</x:f>
        <x:v>0.01145375</x:v>
      </x:c>
      <x:c r="Q3881" s="30" t="n">
        <x:f>P3881*N3881</x:f>
        <x:v>0.82467</x:v>
      </x:c>
      <x:c r="R3881" s="19" t="str">
        <x:v>独立判定</x:v>
      </x:c>
    </x:row>
    <x:row r="3882" ht="19" customHeight="1">
      <x:c r="A3882" s="19" t="str">
        <x:v>D03878</x:v>
      </x:c>
      <x:c r="B3882" s="19" t="n">
        <x:v>8</x:v>
      </x:c>
      <x:c r="C3882" s="19" t="n">
        <x:v>4</x:v>
      </x:c>
      <x:c r="D3882" s="19" t="str">
        <x:v>C08-M037</x:v>
      </x:c>
      <x:c r="E3882" s="19" t="str">
        <x:v>王庭铸霜卫</x:v>
      </x:c>
      <x:c r="F3882" s="19" t="str">
        <x:v>普通</x:v>
      </x:c>
      <x:c r="G3882" s="19" t="str">
        <x:v>材料独立候选</x:v>
      </x:c>
      <x:c r="H3882" s="19" t="str">
        <x:v>霜脊铁</x:v>
      </x:c>
      <x:c r="I3882" s="22" t="n">
        <x:v>1500</x:v>
      </x:c>
      <x:c r="J3882" s="22" t="n">
        <x:v>8</x:v>
      </x:c>
      <x:c r="K3882" s="19" t="n">
        <x:v>1</x:v>
      </x:c>
      <x:c r="L3882" s="24" t="n">
        <x:v>62.474999999999994</x:v>
      </x:c>
      <x:c r="M3882" s="26" t="n">
        <x:v>0.1</x:v>
      </x:c>
      <x:c r="N3882" s="24" t="n">
        <x:v>72</x:v>
      </x:c>
      <x:c r="O3882" s="28" t="n">
        <x:f>MIN(1,L3882/I3882)</x:f>
        <x:v>0.04165</x:v>
      </x:c>
      <x:c r="P3882" s="30" t="n">
        <x:f>O3882*J3882*(1+M3882)</x:f>
        <x:v>0.36652</x:v>
      </x:c>
      <x:c r="Q3882" s="30" t="n">
        <x:f>P3882*N3882</x:f>
        <x:v>26.38944</x:v>
      </x:c>
      <x:c r="R3882" s="19" t="str">
        <x:v>独立判定</x:v>
      </x:c>
    </x:row>
    <x:row r="3883" ht="19" customHeight="1">
      <x:c r="A3883" s="19" t="str">
        <x:v>D03879</x:v>
      </x:c>
      <x:c r="B3883" s="19" t="n">
        <x:v>8</x:v>
      </x:c>
      <x:c r="C3883" s="19" t="n">
        <x:v>4</x:v>
      </x:c>
      <x:c r="D3883" s="19" t="str">
        <x:v>C08-M037</x:v>
      </x:c>
      <x:c r="E3883" s="19" t="str">
        <x:v>王庭铸霜卫</x:v>
      </x:c>
      <x:c r="F3883" s="19" t="str">
        <x:v>普通</x:v>
      </x:c>
      <x:c r="G3883" s="19" t="str">
        <x:v>材料独立候选</x:v>
      </x:c>
      <x:c r="H3883" s="19" t="str">
        <x:v>登山铁楔</x:v>
      </x:c>
      <x:c r="I3883" s="22" t="n">
        <x:v>2500</x:v>
      </x:c>
      <x:c r="J3883" s="22" t="n">
        <x:v>1</x:v>
      </x:c>
      <x:c r="K3883" s="19" t="n">
        <x:v>1</x:v>
      </x:c>
      <x:c r="L3883" s="24" t="n">
        <x:v>62.474999999999994</x:v>
      </x:c>
      <x:c r="M3883" s="26" t="n">
        <x:v>0.1</x:v>
      </x:c>
      <x:c r="N3883" s="24" t="n">
        <x:v>72</x:v>
      </x:c>
      <x:c r="O3883" s="28" t="n">
        <x:f>MIN(1,L3883/I3883)</x:f>
        <x:v>0.02499</x:v>
      </x:c>
      <x:c r="P3883" s="30" t="n">
        <x:f>O3883*J3883*(1+M3883)</x:f>
        <x:v>0.027489</x:v>
      </x:c>
      <x:c r="Q3883" s="30" t="n">
        <x:f>P3883*N3883</x:f>
        <x:v>1.9792079999999999</x:v>
      </x:c>
      <x:c r="R3883" s="19" t="str">
        <x:v>独立判定</x:v>
      </x:c>
    </x:row>
    <x:row r="3884" ht="19" customHeight="1">
      <x:c r="A3884" s="19" t="str">
        <x:v>D03880</x:v>
      </x:c>
      <x:c r="B3884" s="19" t="n">
        <x:v>8</x:v>
      </x:c>
      <x:c r="C3884" s="19" t="n">
        <x:v>4</x:v>
      </x:c>
      <x:c r="D3884" s="19" t="str">
        <x:v>C08-M037</x:v>
      </x:c>
      <x:c r="E3884" s="19" t="str">
        <x:v>王庭铸霜卫</x:v>
      </x:c>
      <x:c r="F3884" s="19" t="str">
        <x:v>普通</x:v>
      </x:c>
      <x:c r="G3884" s="19" t="str">
        <x:v>材料独立候选</x:v>
      </x:c>
      <x:c r="H3884" s="19" t="str">
        <x:v>穹霜碑珀</x:v>
      </x:c>
      <x:c r="I3884" s="22" t="n">
        <x:v>3000000</x:v>
      </x:c>
      <x:c r="J3884" s="22" t="n">
        <x:v>1</x:v>
      </x:c>
      <x:c r="K3884" s="19" t="n">
        <x:v>1</x:v>
      </x:c>
      <x:c r="L3884" s="24" t="n">
        <x:v>62.474999999999994</x:v>
      </x:c>
      <x:c r="M3884" s="26" t="n">
        <x:v>0.1</x:v>
      </x:c>
      <x:c r="N3884" s="24" t="n">
        <x:v>72</x:v>
      </x:c>
      <x:c r="O3884" s="28" t="n">
        <x:f>MIN(1,L3884/I3884)</x:f>
        <x:v>0.000020824999999999998</x:v>
      </x:c>
      <x:c r="P3884" s="30" t="n">
        <x:f>O3884*J3884*(1+M3884)</x:f>
        <x:v>0.0000229075</x:v>
      </x:c>
      <x:c r="Q3884" s="30" t="n">
        <x:f>P3884*N3884</x:f>
        <x:v>0.00164934</x:v>
      </x:c>
      <x:c r="R3884" s="19" t="str">
        <x:v>独立判定</x:v>
      </x:c>
    </x:row>
    <x:row r="3885" ht="19" customHeight="1">
      <x:c r="A3885" s="19" t="str">
        <x:v>D03881</x:v>
      </x:c>
      <x:c r="B3885" s="19" t="n">
        <x:v>8</x:v>
      </x:c>
      <x:c r="C3885" s="19" t="n">
        <x:v>4</x:v>
      </x:c>
      <x:c r="D3885" s="19" t="str">
        <x:v>C08-M037</x:v>
      </x:c>
      <x:c r="E3885" s="19" t="str">
        <x:v>王庭铸霜卫</x:v>
      </x:c>
      <x:c r="F3885" s="19" t="str">
        <x:v>普通</x:v>
      </x:c>
      <x:c r="G3885" s="19" t="str">
        <x:v>材料独立候选</x:v>
      </x:c>
      <x:c r="H3885" s="19" t="str">
        <x:v>野兽骨片</x:v>
      </x:c>
      <x:c r="I3885" s="22" t="n">
        <x:v>300</x:v>
      </x:c>
      <x:c r="J3885" s="22" t="n">
        <x:v>5</x:v>
      </x:c>
      <x:c r="K3885" s="19" t="n">
        <x:v>1</x:v>
      </x:c>
      <x:c r="L3885" s="24" t="n">
        <x:v>62.474999999999994</x:v>
      </x:c>
      <x:c r="M3885" s="26" t="n">
        <x:v>0.1</x:v>
      </x:c>
      <x:c r="N3885" s="24" t="n">
        <x:v>72</x:v>
      </x:c>
      <x:c r="O3885" s="28" t="n">
        <x:f>MIN(1,L3885/I3885)</x:f>
        <x:v>0.20825</x:v>
      </x:c>
      <x:c r="P3885" s="30" t="n">
        <x:f>O3885*J3885*(1+M3885)</x:f>
        <x:v>1.145375</x:v>
      </x:c>
      <x:c r="Q3885" s="30" t="n">
        <x:f>P3885*N3885</x:f>
        <x:v>82.467</x:v>
      </x:c>
      <x:c r="R3885" s="19" t="str">
        <x:v>独立判定</x:v>
      </x:c>
    </x:row>
    <x:row r="3886" ht="19" customHeight="1">
      <x:c r="A3886" s="19" t="str">
        <x:v>D03882</x:v>
      </x:c>
      <x:c r="B3886" s="19" t="n">
        <x:v>8</x:v>
      </x:c>
      <x:c r="C3886" s="19" t="n">
        <x:v>4</x:v>
      </x:c>
      <x:c r="D3886" s="19" t="str">
        <x:v>C08-M037</x:v>
      </x:c>
      <x:c r="E3886" s="19" t="str">
        <x:v>王庭铸霜卫</x:v>
      </x:c>
      <x:c r="F3886" s="19" t="str">
        <x:v>普通</x:v>
      </x:c>
      <x:c r="G3886" s="19" t="str">
        <x:v>材料独立候选</x:v>
      </x:c>
      <x:c r="H3886" s="19" t="str">
        <x:v>技能残页</x:v>
      </x:c>
      <x:c r="I3886" s="22" t="n">
        <x:v>2500</x:v>
      </x:c>
      <x:c r="J3886" s="22" t="n">
        <x:v>1</x:v>
      </x:c>
      <x:c r="K3886" s="19" t="n">
        <x:v>1</x:v>
      </x:c>
      <x:c r="L3886" s="24" t="n">
        <x:v>62.474999999999994</x:v>
      </x:c>
      <x:c r="M3886" s="26" t="n">
        <x:v>0.1</x:v>
      </x:c>
      <x:c r="N3886" s="24" t="n">
        <x:v>72</x:v>
      </x:c>
      <x:c r="O3886" s="28" t="n">
        <x:f>MIN(1,L3886/I3886)</x:f>
        <x:v>0.02499</x:v>
      </x:c>
      <x:c r="P3886" s="30" t="n">
        <x:f>O3886*J3886*(1+M3886)</x:f>
        <x:v>0.027489</x:v>
      </x:c>
      <x:c r="Q3886" s="30" t="n">
        <x:f>P3886*N3886</x:f>
        <x:v>1.9792079999999999</x:v>
      </x:c>
      <x:c r="R3886" s="19" t="str">
        <x:v>独立判定</x:v>
      </x:c>
    </x:row>
    <x:row r="3887" ht="19" customHeight="1">
      <x:c r="A3887" s="19" t="str">
        <x:v>D03883</x:v>
      </x:c>
      <x:c r="B3887" s="19" t="n">
        <x:v>8</x:v>
      </x:c>
      <x:c r="C3887" s="19" t="n">
        <x:v>4</x:v>
      </x:c>
      <x:c r="D3887" s="19" t="str">
        <x:v>C08-M037</x:v>
      </x:c>
      <x:c r="E3887" s="19" t="str">
        <x:v>王庭铸霜卫</x:v>
      </x:c>
      <x:c r="F3887" s="19" t="str">
        <x:v>普通</x:v>
      </x:c>
      <x:c r="G3887" s="19" t="str">
        <x:v>材料独立候选</x:v>
      </x:c>
      <x:c r="H3887" s="19" t="str">
        <x:v>小卢恩</x:v>
      </x:c>
      <x:c r="I3887" s="22" t="n">
        <x:v>18000</x:v>
      </x:c>
      <x:c r="J3887" s="22" t="n">
        <x:v>1</x:v>
      </x:c>
      <x:c r="K3887" s="19" t="n">
        <x:v>1</x:v>
      </x:c>
      <x:c r="L3887" s="24" t="n">
        <x:v>62.474999999999994</x:v>
      </x:c>
      <x:c r="M3887" s="26" t="n">
        <x:v>0.1</x:v>
      </x:c>
      <x:c r="N3887" s="24" t="n">
        <x:v>72</x:v>
      </x:c>
      <x:c r="O3887" s="28" t="n">
        <x:f>MIN(1,L3887/I3887)</x:f>
        <x:v>0.003470833333333333</x:v>
      </x:c>
      <x:c r="P3887" s="30" t="n">
        <x:f>O3887*J3887*(1+M3887)</x:f>
        <x:v>0.003817916666666667</x:v>
      </x:c>
      <x:c r="Q3887" s="30" t="n">
        <x:f>P3887*N3887</x:f>
        <x:v>0.27489</x:v>
      </x:c>
      <x:c r="R3887" s="19" t="str">
        <x:v>独立判定</x:v>
      </x:c>
    </x:row>
    <x:row r="3888" ht="19" customHeight="1">
      <x:c r="A3888" s="19" t="str">
        <x:v>D03884</x:v>
      </x:c>
      <x:c r="B3888" s="19" t="n">
        <x:v>8</x:v>
      </x:c>
      <x:c r="C3888" s="19" t="n">
        <x:v>4</x:v>
      </x:c>
      <x:c r="D3888" s="19" t="str">
        <x:v>C08-M037</x:v>
      </x:c>
      <x:c r="E3888" s="19" t="str">
        <x:v>王庭铸霜卫</x:v>
      </x:c>
      <x:c r="F3888" s="19" t="str">
        <x:v>普通</x:v>
      </x:c>
      <x:c r="G3888" s="19" t="str">
        <x:v>六神器公共池</x:v>
      </x:c>
      <x:c r="H3888" s="19" t="str">
        <x:v>POOL006</x:v>
      </x:c>
      <x:c r="I3888" s="22" t="n">
        <x:v>20000000</x:v>
      </x:c>
      <x:c r="J3888" s="22" t="n">
        <x:v>1</x:v>
      </x:c>
      <x:c r="K3888" s="19" t="n">
        <x:v>6</x:v>
      </x:c>
      <x:c r="L3888" s="24" t="n">
        <x:v>62.474999999999994</x:v>
      </x:c>
      <x:c r="M3888" s="26" t="n">
        <x:v>0.1</x:v>
      </x:c>
      <x:c r="N3888" s="24" t="n">
        <x:v>72</x:v>
      </x:c>
      <x:c r="O3888" s="28" t="n">
        <x:f>MIN(1,L3888/I3888)</x:f>
        <x:v>0.0000031237499999999995</x:v>
      </x:c>
      <x:c r="P3888" s="30" t="n">
        <x:f>O3888*J3888*(1+M3888)</x:f>
        <x:v>0.0000034361249999999996</x:v>
      </x:c>
      <x:c r="Q3888" s="30" t="n">
        <x:f>P3888*N3888</x:f>
        <x:v>0.00024740099999999996</x:v>
      </x:c>
      <x:c r="R3888" s="19" t="str">
        <x:v>六选一；非6个独立爆率</x:v>
      </x:c>
    </x:row>
    <x:row r="3889" ht="19" customHeight="1">
      <x:c r="A3889" s="19" t="str">
        <x:v>D03885</x:v>
      </x:c>
      <x:c r="B3889" s="19" t="n">
        <x:v>8</x:v>
      </x:c>
      <x:c r="C3889" s="19" t="n">
        <x:v>4</x:v>
      </x:c>
      <x:c r="D3889" s="19" t="str">
        <x:v>C08-M038</x:v>
      </x:c>
      <x:c r="E3889" s="19" t="str">
        <x:v>庭阶雪鬃獒</x:v>
      </x:c>
      <x:c r="F3889" s="19" t="str">
        <x:v>普通</x:v>
      </x:c>
      <x:c r="G3889" s="19" t="str">
        <x:v>自身专属</x:v>
      </x:c>
      <x:c r="H3889" s="19" t="str">
        <x:v>雪鬃獒踏靴</x:v>
      </x:c>
      <x:c r="I3889" s="22" t="n">
        <x:v>6000</x:v>
      </x:c>
      <x:c r="J3889" s="22" t="n">
        <x:v>1</x:v>
      </x:c>
      <x:c r="K3889" s="19" t="n">
        <x:v>1</x:v>
      </x:c>
      <x:c r="L3889" s="24" t="n">
        <x:v>62.474999999999994</x:v>
      </x:c>
      <x:c r="M3889" s="26" t="n">
        <x:v>0.1</x:v>
      </x:c>
      <x:c r="N3889" s="24" t="n">
        <x:v>72</x:v>
      </x:c>
      <x:c r="O3889" s="28" t="n">
        <x:f>MIN(1,L3889/I3889)</x:f>
        <x:v>0.0104125</x:v>
      </x:c>
      <x:c r="P3889" s="30" t="n">
        <x:f>O3889*J3889*(1+M3889)</x:f>
        <x:v>0.01145375</x:v>
      </x:c>
      <x:c r="Q3889" s="30" t="n">
        <x:f>P3889*N3889</x:f>
        <x:v>0.82467</x:v>
      </x:c>
      <x:c r="R3889" s="19" t="str">
        <x:v>独立判定</x:v>
      </x:c>
    </x:row>
    <x:row r="3890" ht="19" customHeight="1">
      <x:c r="A3890" s="19" t="str">
        <x:v>D03886</x:v>
      </x:c>
      <x:c r="B3890" s="19" t="n">
        <x:v>8</x:v>
      </x:c>
      <x:c r="C3890" s="19" t="n">
        <x:v>4</x:v>
      </x:c>
      <x:c r="D3890" s="19" t="str">
        <x:v>C08-M038</x:v>
      </x:c>
      <x:c r="E3890" s="19" t="str">
        <x:v>庭阶雪鬃獒</x:v>
      </x:c>
      <x:c r="F3890" s="19" t="str">
        <x:v>普通</x:v>
      </x:c>
      <x:c r="G3890" s="19" t="str">
        <x:v>材料独立候选</x:v>
      </x:c>
      <x:c r="H3890" s="19" t="str">
        <x:v>霜脊铁</x:v>
      </x:c>
      <x:c r="I3890" s="22" t="n">
        <x:v>1500</x:v>
      </x:c>
      <x:c r="J3890" s="22" t="n">
        <x:v>8</x:v>
      </x:c>
      <x:c r="K3890" s="19" t="n">
        <x:v>1</x:v>
      </x:c>
      <x:c r="L3890" s="24" t="n">
        <x:v>62.474999999999994</x:v>
      </x:c>
      <x:c r="M3890" s="26" t="n">
        <x:v>0.1</x:v>
      </x:c>
      <x:c r="N3890" s="24" t="n">
        <x:v>72</x:v>
      </x:c>
      <x:c r="O3890" s="28" t="n">
        <x:f>MIN(1,L3890/I3890)</x:f>
        <x:v>0.04165</x:v>
      </x:c>
      <x:c r="P3890" s="30" t="n">
        <x:f>O3890*J3890*(1+M3890)</x:f>
        <x:v>0.36652</x:v>
      </x:c>
      <x:c r="Q3890" s="30" t="n">
        <x:f>P3890*N3890</x:f>
        <x:v>26.38944</x:v>
      </x:c>
      <x:c r="R3890" s="19" t="str">
        <x:v>独立判定</x:v>
      </x:c>
    </x:row>
    <x:row r="3891" ht="19" customHeight="1">
      <x:c r="A3891" s="19" t="str">
        <x:v>D03887</x:v>
      </x:c>
      <x:c r="B3891" s="19" t="n">
        <x:v>8</x:v>
      </x:c>
      <x:c r="C3891" s="19" t="n">
        <x:v>4</x:v>
      </x:c>
      <x:c r="D3891" s="19" t="str">
        <x:v>C08-M038</x:v>
      </x:c>
      <x:c r="E3891" s="19" t="str">
        <x:v>庭阶雪鬃獒</x:v>
      </x:c>
      <x:c r="F3891" s="19" t="str">
        <x:v>普通</x:v>
      </x:c>
      <x:c r="G3891" s="19" t="str">
        <x:v>材料独立候选</x:v>
      </x:c>
      <x:c r="H3891" s="19" t="str">
        <x:v>登山铁楔</x:v>
      </x:c>
      <x:c r="I3891" s="22" t="n">
        <x:v>2500</x:v>
      </x:c>
      <x:c r="J3891" s="22" t="n">
        <x:v>1</x:v>
      </x:c>
      <x:c r="K3891" s="19" t="n">
        <x:v>1</x:v>
      </x:c>
      <x:c r="L3891" s="24" t="n">
        <x:v>62.474999999999994</x:v>
      </x:c>
      <x:c r="M3891" s="26" t="n">
        <x:v>0.1</x:v>
      </x:c>
      <x:c r="N3891" s="24" t="n">
        <x:v>72</x:v>
      </x:c>
      <x:c r="O3891" s="28" t="n">
        <x:f>MIN(1,L3891/I3891)</x:f>
        <x:v>0.02499</x:v>
      </x:c>
      <x:c r="P3891" s="30" t="n">
        <x:f>O3891*J3891*(1+M3891)</x:f>
        <x:v>0.027489</x:v>
      </x:c>
      <x:c r="Q3891" s="30" t="n">
        <x:f>P3891*N3891</x:f>
        <x:v>1.9792079999999999</x:v>
      </x:c>
      <x:c r="R3891" s="19" t="str">
        <x:v>独立判定</x:v>
      </x:c>
    </x:row>
    <x:row r="3892" ht="19" customHeight="1">
      <x:c r="A3892" s="19" t="str">
        <x:v>D03888</x:v>
      </x:c>
      <x:c r="B3892" s="19" t="n">
        <x:v>8</x:v>
      </x:c>
      <x:c r="C3892" s="19" t="n">
        <x:v>4</x:v>
      </x:c>
      <x:c r="D3892" s="19" t="str">
        <x:v>C08-M038</x:v>
      </x:c>
      <x:c r="E3892" s="19" t="str">
        <x:v>庭阶雪鬃獒</x:v>
      </x:c>
      <x:c r="F3892" s="19" t="str">
        <x:v>普通</x:v>
      </x:c>
      <x:c r="G3892" s="19" t="str">
        <x:v>材料独立候选</x:v>
      </x:c>
      <x:c r="H3892" s="19" t="str">
        <x:v>穹霜碑珀</x:v>
      </x:c>
      <x:c r="I3892" s="22" t="n">
        <x:v>3000000</x:v>
      </x:c>
      <x:c r="J3892" s="22" t="n">
        <x:v>1</x:v>
      </x:c>
      <x:c r="K3892" s="19" t="n">
        <x:v>1</x:v>
      </x:c>
      <x:c r="L3892" s="24" t="n">
        <x:v>62.474999999999994</x:v>
      </x:c>
      <x:c r="M3892" s="26" t="n">
        <x:v>0.1</x:v>
      </x:c>
      <x:c r="N3892" s="24" t="n">
        <x:v>72</x:v>
      </x:c>
      <x:c r="O3892" s="28" t="n">
        <x:f>MIN(1,L3892/I3892)</x:f>
        <x:v>0.000020824999999999998</x:v>
      </x:c>
      <x:c r="P3892" s="30" t="n">
        <x:f>O3892*J3892*(1+M3892)</x:f>
        <x:v>0.0000229075</x:v>
      </x:c>
      <x:c r="Q3892" s="30" t="n">
        <x:f>P3892*N3892</x:f>
        <x:v>0.00164934</x:v>
      </x:c>
      <x:c r="R3892" s="19" t="str">
        <x:v>独立判定</x:v>
      </x:c>
    </x:row>
    <x:row r="3893" ht="19" customHeight="1">
      <x:c r="A3893" s="19" t="str">
        <x:v>D03889</x:v>
      </x:c>
      <x:c r="B3893" s="19" t="n">
        <x:v>8</x:v>
      </x:c>
      <x:c r="C3893" s="19" t="n">
        <x:v>4</x:v>
      </x:c>
      <x:c r="D3893" s="19" t="str">
        <x:v>C08-M038</x:v>
      </x:c>
      <x:c r="E3893" s="19" t="str">
        <x:v>庭阶雪鬃獒</x:v>
      </x:c>
      <x:c r="F3893" s="19" t="str">
        <x:v>普通</x:v>
      </x:c>
      <x:c r="G3893" s="19" t="str">
        <x:v>材料独立候选</x:v>
      </x:c>
      <x:c r="H3893" s="19" t="str">
        <x:v>野兽骨片</x:v>
      </x:c>
      <x:c r="I3893" s="22" t="n">
        <x:v>300</x:v>
      </x:c>
      <x:c r="J3893" s="22" t="n">
        <x:v>5</x:v>
      </x:c>
      <x:c r="K3893" s="19" t="n">
        <x:v>1</x:v>
      </x:c>
      <x:c r="L3893" s="24" t="n">
        <x:v>62.474999999999994</x:v>
      </x:c>
      <x:c r="M3893" s="26" t="n">
        <x:v>0.1</x:v>
      </x:c>
      <x:c r="N3893" s="24" t="n">
        <x:v>72</x:v>
      </x:c>
      <x:c r="O3893" s="28" t="n">
        <x:f>MIN(1,L3893/I3893)</x:f>
        <x:v>0.20825</x:v>
      </x:c>
      <x:c r="P3893" s="30" t="n">
        <x:f>O3893*J3893*(1+M3893)</x:f>
        <x:v>1.145375</x:v>
      </x:c>
      <x:c r="Q3893" s="30" t="n">
        <x:f>P3893*N3893</x:f>
        <x:v>82.467</x:v>
      </x:c>
      <x:c r="R3893" s="19" t="str">
        <x:v>独立判定</x:v>
      </x:c>
    </x:row>
    <x:row r="3894" ht="19" customHeight="1">
      <x:c r="A3894" s="19" t="str">
        <x:v>D03890</x:v>
      </x:c>
      <x:c r="B3894" s="19" t="n">
        <x:v>8</x:v>
      </x:c>
      <x:c r="C3894" s="19" t="n">
        <x:v>4</x:v>
      </x:c>
      <x:c r="D3894" s="19" t="str">
        <x:v>C08-M038</x:v>
      </x:c>
      <x:c r="E3894" s="19" t="str">
        <x:v>庭阶雪鬃獒</x:v>
      </x:c>
      <x:c r="F3894" s="19" t="str">
        <x:v>普通</x:v>
      </x:c>
      <x:c r="G3894" s="19" t="str">
        <x:v>材料独立候选</x:v>
      </x:c>
      <x:c r="H3894" s="19" t="str">
        <x:v>技能残页</x:v>
      </x:c>
      <x:c r="I3894" s="22" t="n">
        <x:v>2500</x:v>
      </x:c>
      <x:c r="J3894" s="22" t="n">
        <x:v>1</x:v>
      </x:c>
      <x:c r="K3894" s="19" t="n">
        <x:v>1</x:v>
      </x:c>
      <x:c r="L3894" s="24" t="n">
        <x:v>62.474999999999994</x:v>
      </x:c>
      <x:c r="M3894" s="26" t="n">
        <x:v>0.1</x:v>
      </x:c>
      <x:c r="N3894" s="24" t="n">
        <x:v>72</x:v>
      </x:c>
      <x:c r="O3894" s="28" t="n">
        <x:f>MIN(1,L3894/I3894)</x:f>
        <x:v>0.02499</x:v>
      </x:c>
      <x:c r="P3894" s="30" t="n">
        <x:f>O3894*J3894*(1+M3894)</x:f>
        <x:v>0.027489</x:v>
      </x:c>
      <x:c r="Q3894" s="30" t="n">
        <x:f>P3894*N3894</x:f>
        <x:v>1.9792079999999999</x:v>
      </x:c>
      <x:c r="R3894" s="19" t="str">
        <x:v>独立判定</x:v>
      </x:c>
    </x:row>
    <x:row r="3895" ht="19" customHeight="1">
      <x:c r="A3895" s="19" t="str">
        <x:v>D03891</x:v>
      </x:c>
      <x:c r="B3895" s="19" t="n">
        <x:v>8</x:v>
      </x:c>
      <x:c r="C3895" s="19" t="n">
        <x:v>4</x:v>
      </x:c>
      <x:c r="D3895" s="19" t="str">
        <x:v>C08-M038</x:v>
      </x:c>
      <x:c r="E3895" s="19" t="str">
        <x:v>庭阶雪鬃獒</x:v>
      </x:c>
      <x:c r="F3895" s="19" t="str">
        <x:v>普通</x:v>
      </x:c>
      <x:c r="G3895" s="19" t="str">
        <x:v>材料独立候选</x:v>
      </x:c>
      <x:c r="H3895" s="19" t="str">
        <x:v>小卢恩</x:v>
      </x:c>
      <x:c r="I3895" s="22" t="n">
        <x:v>18000</x:v>
      </x:c>
      <x:c r="J3895" s="22" t="n">
        <x:v>1</x:v>
      </x:c>
      <x:c r="K3895" s="19" t="n">
        <x:v>1</x:v>
      </x:c>
      <x:c r="L3895" s="24" t="n">
        <x:v>62.474999999999994</x:v>
      </x:c>
      <x:c r="M3895" s="26" t="n">
        <x:v>0.1</x:v>
      </x:c>
      <x:c r="N3895" s="24" t="n">
        <x:v>72</x:v>
      </x:c>
      <x:c r="O3895" s="28" t="n">
        <x:f>MIN(1,L3895/I3895)</x:f>
        <x:v>0.003470833333333333</x:v>
      </x:c>
      <x:c r="P3895" s="30" t="n">
        <x:f>O3895*J3895*(1+M3895)</x:f>
        <x:v>0.003817916666666667</x:v>
      </x:c>
      <x:c r="Q3895" s="30" t="n">
        <x:f>P3895*N3895</x:f>
        <x:v>0.27489</x:v>
      </x:c>
      <x:c r="R3895" s="19" t="str">
        <x:v>独立判定</x:v>
      </x:c>
    </x:row>
    <x:row r="3896" ht="19" customHeight="1">
      <x:c r="A3896" s="19" t="str">
        <x:v>D03892</x:v>
      </x:c>
      <x:c r="B3896" s="19" t="n">
        <x:v>8</x:v>
      </x:c>
      <x:c r="C3896" s="19" t="n">
        <x:v>4</x:v>
      </x:c>
      <x:c r="D3896" s="19" t="str">
        <x:v>C08-M038</x:v>
      </x:c>
      <x:c r="E3896" s="19" t="str">
        <x:v>庭阶雪鬃獒</x:v>
      </x:c>
      <x:c r="F3896" s="19" t="str">
        <x:v>普通</x:v>
      </x:c>
      <x:c r="G3896" s="19" t="str">
        <x:v>六神器公共池</x:v>
      </x:c>
      <x:c r="H3896" s="19" t="str">
        <x:v>POOL006</x:v>
      </x:c>
      <x:c r="I3896" s="22" t="n">
        <x:v>20000000</x:v>
      </x:c>
      <x:c r="J3896" s="22" t="n">
        <x:v>1</x:v>
      </x:c>
      <x:c r="K3896" s="19" t="n">
        <x:v>6</x:v>
      </x:c>
      <x:c r="L3896" s="24" t="n">
        <x:v>62.474999999999994</x:v>
      </x:c>
      <x:c r="M3896" s="26" t="n">
        <x:v>0.1</x:v>
      </x:c>
      <x:c r="N3896" s="24" t="n">
        <x:v>72</x:v>
      </x:c>
      <x:c r="O3896" s="28" t="n">
        <x:f>MIN(1,L3896/I3896)</x:f>
        <x:v>0.0000031237499999999995</x:v>
      </x:c>
      <x:c r="P3896" s="30" t="n">
        <x:f>O3896*J3896*(1+M3896)</x:f>
        <x:v>0.0000034361249999999996</x:v>
      </x:c>
      <x:c r="Q3896" s="30" t="n">
        <x:f>P3896*N3896</x:f>
        <x:v>0.00024740099999999996</x:v>
      </x:c>
      <x:c r="R3896" s="19" t="str">
        <x:v>六选一；非6个独立爆率</x:v>
      </x:c>
    </x:row>
    <x:row r="3897" ht="19" customHeight="1">
      <x:c r="A3897" s="19" t="str">
        <x:v>D03893</x:v>
      </x:c>
      <x:c r="B3897" s="19" t="n">
        <x:v>8</x:v>
      </x:c>
      <x:c r="C3897" s="19" t="n">
        <x:v>4</x:v>
      </x:c>
      <x:c r="D3897" s="19" t="str">
        <x:v>C08-M039</x:v>
      </x:c>
      <x:c r="E3897" s="19" t="str">
        <x:v>内宫白毡侍</x:v>
      </x:c>
      <x:c r="F3897" s="19" t="str">
        <x:v>普通</x:v>
      </x:c>
      <x:c r="G3897" s="19" t="str">
        <x:v>自身专属</x:v>
      </x:c>
      <x:c r="H3897" s="19" t="str">
        <x:v>白毡宫衣</x:v>
      </x:c>
      <x:c r="I3897" s="22" t="n">
        <x:v>6000</x:v>
      </x:c>
      <x:c r="J3897" s="22" t="n">
        <x:v>1</x:v>
      </x:c>
      <x:c r="K3897" s="19" t="n">
        <x:v>1</x:v>
      </x:c>
      <x:c r="L3897" s="24" t="n">
        <x:v>62.474999999999994</x:v>
      </x:c>
      <x:c r="M3897" s="26" t="n">
        <x:v>0.1</x:v>
      </x:c>
      <x:c r="N3897" s="24" t="n">
        <x:v>72</x:v>
      </x:c>
      <x:c r="O3897" s="28" t="n">
        <x:f>MIN(1,L3897/I3897)</x:f>
        <x:v>0.0104125</x:v>
      </x:c>
      <x:c r="P3897" s="30" t="n">
        <x:f>O3897*J3897*(1+M3897)</x:f>
        <x:v>0.01145375</x:v>
      </x:c>
      <x:c r="Q3897" s="30" t="n">
        <x:f>P3897*N3897</x:f>
        <x:v>0.82467</x:v>
      </x:c>
      <x:c r="R3897" s="19" t="str">
        <x:v>独立判定</x:v>
      </x:c>
    </x:row>
    <x:row r="3898" ht="19" customHeight="1">
      <x:c r="A3898" s="19" t="str">
        <x:v>D03894</x:v>
      </x:c>
      <x:c r="B3898" s="19" t="n">
        <x:v>8</x:v>
      </x:c>
      <x:c r="C3898" s="19" t="n">
        <x:v>4</x:v>
      </x:c>
      <x:c r="D3898" s="19" t="str">
        <x:v>C08-M039</x:v>
      </x:c>
      <x:c r="E3898" s="19" t="str">
        <x:v>内宫白毡侍</x:v>
      </x:c>
      <x:c r="F3898" s="19" t="str">
        <x:v>普通</x:v>
      </x:c>
      <x:c r="G3898" s="19" t="str">
        <x:v>材料独立候选</x:v>
      </x:c>
      <x:c r="H3898" s="19" t="str">
        <x:v>霜脊铁</x:v>
      </x:c>
      <x:c r="I3898" s="22" t="n">
        <x:v>1500</x:v>
      </x:c>
      <x:c r="J3898" s="22" t="n">
        <x:v>8</x:v>
      </x:c>
      <x:c r="K3898" s="19" t="n">
        <x:v>1</x:v>
      </x:c>
      <x:c r="L3898" s="24" t="n">
        <x:v>62.474999999999994</x:v>
      </x:c>
      <x:c r="M3898" s="26" t="n">
        <x:v>0.1</x:v>
      </x:c>
      <x:c r="N3898" s="24" t="n">
        <x:v>72</x:v>
      </x:c>
      <x:c r="O3898" s="28" t="n">
        <x:f>MIN(1,L3898/I3898)</x:f>
        <x:v>0.04165</x:v>
      </x:c>
      <x:c r="P3898" s="30" t="n">
        <x:f>O3898*J3898*(1+M3898)</x:f>
        <x:v>0.36652</x:v>
      </x:c>
      <x:c r="Q3898" s="30" t="n">
        <x:f>P3898*N3898</x:f>
        <x:v>26.38944</x:v>
      </x:c>
      <x:c r="R3898" s="19" t="str">
        <x:v>独立判定</x:v>
      </x:c>
    </x:row>
    <x:row r="3899" ht="19" customHeight="1">
      <x:c r="A3899" s="19" t="str">
        <x:v>D03895</x:v>
      </x:c>
      <x:c r="B3899" s="19" t="n">
        <x:v>8</x:v>
      </x:c>
      <x:c r="C3899" s="19" t="n">
        <x:v>4</x:v>
      </x:c>
      <x:c r="D3899" s="19" t="str">
        <x:v>C08-M039</x:v>
      </x:c>
      <x:c r="E3899" s="19" t="str">
        <x:v>内宫白毡侍</x:v>
      </x:c>
      <x:c r="F3899" s="19" t="str">
        <x:v>普通</x:v>
      </x:c>
      <x:c r="G3899" s="19" t="str">
        <x:v>材料独立候选</x:v>
      </x:c>
      <x:c r="H3899" s="19" t="str">
        <x:v>登山铁楔</x:v>
      </x:c>
      <x:c r="I3899" s="22" t="n">
        <x:v>2500</x:v>
      </x:c>
      <x:c r="J3899" s="22" t="n">
        <x:v>1</x:v>
      </x:c>
      <x:c r="K3899" s="19" t="n">
        <x:v>1</x:v>
      </x:c>
      <x:c r="L3899" s="24" t="n">
        <x:v>62.474999999999994</x:v>
      </x:c>
      <x:c r="M3899" s="26" t="n">
        <x:v>0.1</x:v>
      </x:c>
      <x:c r="N3899" s="24" t="n">
        <x:v>72</x:v>
      </x:c>
      <x:c r="O3899" s="28" t="n">
        <x:f>MIN(1,L3899/I3899)</x:f>
        <x:v>0.02499</x:v>
      </x:c>
      <x:c r="P3899" s="30" t="n">
        <x:f>O3899*J3899*(1+M3899)</x:f>
        <x:v>0.027489</x:v>
      </x:c>
      <x:c r="Q3899" s="30" t="n">
        <x:f>P3899*N3899</x:f>
        <x:v>1.9792079999999999</x:v>
      </x:c>
      <x:c r="R3899" s="19" t="str">
        <x:v>独立判定</x:v>
      </x:c>
    </x:row>
    <x:row r="3900" ht="19" customHeight="1">
      <x:c r="A3900" s="19" t="str">
        <x:v>D03896</x:v>
      </x:c>
      <x:c r="B3900" s="19" t="n">
        <x:v>8</x:v>
      </x:c>
      <x:c r="C3900" s="19" t="n">
        <x:v>4</x:v>
      </x:c>
      <x:c r="D3900" s="19" t="str">
        <x:v>C08-M039</x:v>
      </x:c>
      <x:c r="E3900" s="19" t="str">
        <x:v>内宫白毡侍</x:v>
      </x:c>
      <x:c r="F3900" s="19" t="str">
        <x:v>普通</x:v>
      </x:c>
      <x:c r="G3900" s="19" t="str">
        <x:v>材料独立候选</x:v>
      </x:c>
      <x:c r="H3900" s="19" t="str">
        <x:v>穹霜碑珀</x:v>
      </x:c>
      <x:c r="I3900" s="22" t="n">
        <x:v>3000000</x:v>
      </x:c>
      <x:c r="J3900" s="22" t="n">
        <x:v>1</x:v>
      </x:c>
      <x:c r="K3900" s="19" t="n">
        <x:v>1</x:v>
      </x:c>
      <x:c r="L3900" s="24" t="n">
        <x:v>62.474999999999994</x:v>
      </x:c>
      <x:c r="M3900" s="26" t="n">
        <x:v>0.1</x:v>
      </x:c>
      <x:c r="N3900" s="24" t="n">
        <x:v>72</x:v>
      </x:c>
      <x:c r="O3900" s="28" t="n">
        <x:f>MIN(1,L3900/I3900)</x:f>
        <x:v>0.000020824999999999998</x:v>
      </x:c>
      <x:c r="P3900" s="30" t="n">
        <x:f>O3900*J3900*(1+M3900)</x:f>
        <x:v>0.0000229075</x:v>
      </x:c>
      <x:c r="Q3900" s="30" t="n">
        <x:f>P3900*N3900</x:f>
        <x:v>0.00164934</x:v>
      </x:c>
      <x:c r="R3900" s="19" t="str">
        <x:v>独立判定</x:v>
      </x:c>
    </x:row>
    <x:row r="3901" ht="19" customHeight="1">
      <x:c r="A3901" s="19" t="str">
        <x:v>D03897</x:v>
      </x:c>
      <x:c r="B3901" s="19" t="n">
        <x:v>8</x:v>
      </x:c>
      <x:c r="C3901" s="19" t="n">
        <x:v>4</x:v>
      </x:c>
      <x:c r="D3901" s="19" t="str">
        <x:v>C08-M039</x:v>
      </x:c>
      <x:c r="E3901" s="19" t="str">
        <x:v>内宫白毡侍</x:v>
      </x:c>
      <x:c r="F3901" s="19" t="str">
        <x:v>普通</x:v>
      </x:c>
      <x:c r="G3901" s="19" t="str">
        <x:v>材料独立候选</x:v>
      </x:c>
      <x:c r="H3901" s="19" t="str">
        <x:v>野兽骨片</x:v>
      </x:c>
      <x:c r="I3901" s="22" t="n">
        <x:v>300</x:v>
      </x:c>
      <x:c r="J3901" s="22" t="n">
        <x:v>5</x:v>
      </x:c>
      <x:c r="K3901" s="19" t="n">
        <x:v>1</x:v>
      </x:c>
      <x:c r="L3901" s="24" t="n">
        <x:v>62.474999999999994</x:v>
      </x:c>
      <x:c r="M3901" s="26" t="n">
        <x:v>0.1</x:v>
      </x:c>
      <x:c r="N3901" s="24" t="n">
        <x:v>72</x:v>
      </x:c>
      <x:c r="O3901" s="28" t="n">
        <x:f>MIN(1,L3901/I3901)</x:f>
        <x:v>0.20825</x:v>
      </x:c>
      <x:c r="P3901" s="30" t="n">
        <x:f>O3901*J3901*(1+M3901)</x:f>
        <x:v>1.145375</x:v>
      </x:c>
      <x:c r="Q3901" s="30" t="n">
        <x:f>P3901*N3901</x:f>
        <x:v>82.467</x:v>
      </x:c>
      <x:c r="R3901" s="19" t="str">
        <x:v>独立判定</x:v>
      </x:c>
    </x:row>
    <x:row r="3902" ht="19" customHeight="1">
      <x:c r="A3902" s="19" t="str">
        <x:v>D03898</x:v>
      </x:c>
      <x:c r="B3902" s="19" t="n">
        <x:v>8</x:v>
      </x:c>
      <x:c r="C3902" s="19" t="n">
        <x:v>4</x:v>
      </x:c>
      <x:c r="D3902" s="19" t="str">
        <x:v>C08-M039</x:v>
      </x:c>
      <x:c r="E3902" s="19" t="str">
        <x:v>内宫白毡侍</x:v>
      </x:c>
      <x:c r="F3902" s="19" t="str">
        <x:v>普通</x:v>
      </x:c>
      <x:c r="G3902" s="19" t="str">
        <x:v>材料独立候选</x:v>
      </x:c>
      <x:c r="H3902" s="19" t="str">
        <x:v>技能残页</x:v>
      </x:c>
      <x:c r="I3902" s="22" t="n">
        <x:v>2500</x:v>
      </x:c>
      <x:c r="J3902" s="22" t="n">
        <x:v>1</x:v>
      </x:c>
      <x:c r="K3902" s="19" t="n">
        <x:v>1</x:v>
      </x:c>
      <x:c r="L3902" s="24" t="n">
        <x:v>62.474999999999994</x:v>
      </x:c>
      <x:c r="M3902" s="26" t="n">
        <x:v>0.1</x:v>
      </x:c>
      <x:c r="N3902" s="24" t="n">
        <x:v>72</x:v>
      </x:c>
      <x:c r="O3902" s="28" t="n">
        <x:f>MIN(1,L3902/I3902)</x:f>
        <x:v>0.02499</x:v>
      </x:c>
      <x:c r="P3902" s="30" t="n">
        <x:f>O3902*J3902*(1+M3902)</x:f>
        <x:v>0.027489</x:v>
      </x:c>
      <x:c r="Q3902" s="30" t="n">
        <x:f>P3902*N3902</x:f>
        <x:v>1.9792079999999999</x:v>
      </x:c>
      <x:c r="R3902" s="19" t="str">
        <x:v>独立判定</x:v>
      </x:c>
    </x:row>
    <x:row r="3903" ht="19" customHeight="1">
      <x:c r="A3903" s="19" t="str">
        <x:v>D03899</x:v>
      </x:c>
      <x:c r="B3903" s="19" t="n">
        <x:v>8</x:v>
      </x:c>
      <x:c r="C3903" s="19" t="n">
        <x:v>4</x:v>
      </x:c>
      <x:c r="D3903" s="19" t="str">
        <x:v>C08-M039</x:v>
      </x:c>
      <x:c r="E3903" s="19" t="str">
        <x:v>内宫白毡侍</x:v>
      </x:c>
      <x:c r="F3903" s="19" t="str">
        <x:v>普通</x:v>
      </x:c>
      <x:c r="G3903" s="19" t="str">
        <x:v>材料独立候选</x:v>
      </x:c>
      <x:c r="H3903" s="19" t="str">
        <x:v>小卢恩</x:v>
      </x:c>
      <x:c r="I3903" s="22" t="n">
        <x:v>18000</x:v>
      </x:c>
      <x:c r="J3903" s="22" t="n">
        <x:v>1</x:v>
      </x:c>
      <x:c r="K3903" s="19" t="n">
        <x:v>1</x:v>
      </x:c>
      <x:c r="L3903" s="24" t="n">
        <x:v>62.474999999999994</x:v>
      </x:c>
      <x:c r="M3903" s="26" t="n">
        <x:v>0.1</x:v>
      </x:c>
      <x:c r="N3903" s="24" t="n">
        <x:v>72</x:v>
      </x:c>
      <x:c r="O3903" s="28" t="n">
        <x:f>MIN(1,L3903/I3903)</x:f>
        <x:v>0.003470833333333333</x:v>
      </x:c>
      <x:c r="P3903" s="30" t="n">
        <x:f>O3903*J3903*(1+M3903)</x:f>
        <x:v>0.003817916666666667</x:v>
      </x:c>
      <x:c r="Q3903" s="30" t="n">
        <x:f>P3903*N3903</x:f>
        <x:v>0.27489</x:v>
      </x:c>
      <x:c r="R3903" s="19" t="str">
        <x:v>独立判定</x:v>
      </x:c>
    </x:row>
    <x:row r="3904" ht="19" customHeight="1">
      <x:c r="A3904" s="19" t="str">
        <x:v>D03900</x:v>
      </x:c>
      <x:c r="B3904" s="19" t="n">
        <x:v>8</x:v>
      </x:c>
      <x:c r="C3904" s="19" t="n">
        <x:v>4</x:v>
      </x:c>
      <x:c r="D3904" s="19" t="str">
        <x:v>C08-M039</x:v>
      </x:c>
      <x:c r="E3904" s="19" t="str">
        <x:v>内宫白毡侍</x:v>
      </x:c>
      <x:c r="F3904" s="19" t="str">
        <x:v>普通</x:v>
      </x:c>
      <x:c r="G3904" s="19" t="str">
        <x:v>六神器公共池</x:v>
      </x:c>
      <x:c r="H3904" s="19" t="str">
        <x:v>POOL006</x:v>
      </x:c>
      <x:c r="I3904" s="22" t="n">
        <x:v>20000000</x:v>
      </x:c>
      <x:c r="J3904" s="22" t="n">
        <x:v>1</x:v>
      </x:c>
      <x:c r="K3904" s="19" t="n">
        <x:v>6</x:v>
      </x:c>
      <x:c r="L3904" s="24" t="n">
        <x:v>62.474999999999994</x:v>
      </x:c>
      <x:c r="M3904" s="26" t="n">
        <x:v>0.1</x:v>
      </x:c>
      <x:c r="N3904" s="24" t="n">
        <x:v>72</x:v>
      </x:c>
      <x:c r="O3904" s="28" t="n">
        <x:f>MIN(1,L3904/I3904)</x:f>
        <x:v>0.0000031237499999999995</x:v>
      </x:c>
      <x:c r="P3904" s="30" t="n">
        <x:f>O3904*J3904*(1+M3904)</x:f>
        <x:v>0.0000034361249999999996</x:v>
      </x:c>
      <x:c r="Q3904" s="30" t="n">
        <x:f>P3904*N3904</x:f>
        <x:v>0.00024740099999999996</x:v>
      </x:c>
      <x:c r="R3904" s="19" t="str">
        <x:v>六选一；非6个独立爆率</x:v>
      </x:c>
    </x:row>
    <x:row r="3905" ht="19" customHeight="1">
      <x:c r="A3905" s="19" t="str">
        <x:v>D03901</x:v>
      </x:c>
      <x:c r="B3905" s="19" t="n">
        <x:v>8</x:v>
      </x:c>
      <x:c r="C3905" s="19" t="n">
        <x:v>4</x:v>
      </x:c>
      <x:c r="D3905" s="19" t="str">
        <x:v>C08-M040</x:v>
      </x:c>
      <x:c r="E3905" s="19" t="str">
        <x:v>雪域巡烛官</x:v>
      </x:c>
      <x:c r="F3905" s="19" t="str">
        <x:v>普通</x:v>
      </x:c>
      <x:c r="G3905" s="19" t="str">
        <x:v>自身专属</x:v>
      </x:c>
      <x:c r="H3905" s="19" t="str">
        <x:v>巡烛官灯坠</x:v>
      </x:c>
      <x:c r="I3905" s="22" t="n">
        <x:v>6000</x:v>
      </x:c>
      <x:c r="J3905" s="22" t="n">
        <x:v>1</x:v>
      </x:c>
      <x:c r="K3905" s="19" t="n">
        <x:v>1</x:v>
      </x:c>
      <x:c r="L3905" s="24" t="n">
        <x:v>62.474999999999994</x:v>
      </x:c>
      <x:c r="M3905" s="26" t="n">
        <x:v>0.1</x:v>
      </x:c>
      <x:c r="N3905" s="24" t="n">
        <x:v>72</x:v>
      </x:c>
      <x:c r="O3905" s="28" t="n">
        <x:f>MIN(1,L3905/I3905)</x:f>
        <x:v>0.0104125</x:v>
      </x:c>
      <x:c r="P3905" s="30" t="n">
        <x:f>O3905*J3905*(1+M3905)</x:f>
        <x:v>0.01145375</x:v>
      </x:c>
      <x:c r="Q3905" s="30" t="n">
        <x:f>P3905*N3905</x:f>
        <x:v>0.82467</x:v>
      </x:c>
      <x:c r="R3905" s="19" t="str">
        <x:v>独立判定</x:v>
      </x:c>
    </x:row>
    <x:row r="3906" ht="19" customHeight="1">
      <x:c r="A3906" s="19" t="str">
        <x:v>D03902</x:v>
      </x:c>
      <x:c r="B3906" s="19" t="n">
        <x:v>8</x:v>
      </x:c>
      <x:c r="C3906" s="19" t="n">
        <x:v>4</x:v>
      </x:c>
      <x:c r="D3906" s="19" t="str">
        <x:v>C08-M040</x:v>
      </x:c>
      <x:c r="E3906" s="19" t="str">
        <x:v>雪域巡烛官</x:v>
      </x:c>
      <x:c r="F3906" s="19" t="str">
        <x:v>普通</x:v>
      </x:c>
      <x:c r="G3906" s="19" t="str">
        <x:v>材料独立候选</x:v>
      </x:c>
      <x:c r="H3906" s="19" t="str">
        <x:v>霜脊铁</x:v>
      </x:c>
      <x:c r="I3906" s="22" t="n">
        <x:v>1500</x:v>
      </x:c>
      <x:c r="J3906" s="22" t="n">
        <x:v>8</x:v>
      </x:c>
      <x:c r="K3906" s="19" t="n">
        <x:v>1</x:v>
      </x:c>
      <x:c r="L3906" s="24" t="n">
        <x:v>62.474999999999994</x:v>
      </x:c>
      <x:c r="M3906" s="26" t="n">
        <x:v>0.1</x:v>
      </x:c>
      <x:c r="N3906" s="24" t="n">
        <x:v>72</x:v>
      </x:c>
      <x:c r="O3906" s="28" t="n">
        <x:f>MIN(1,L3906/I3906)</x:f>
        <x:v>0.04165</x:v>
      </x:c>
      <x:c r="P3906" s="30" t="n">
        <x:f>O3906*J3906*(1+M3906)</x:f>
        <x:v>0.36652</x:v>
      </x:c>
      <x:c r="Q3906" s="30" t="n">
        <x:f>P3906*N3906</x:f>
        <x:v>26.38944</x:v>
      </x:c>
      <x:c r="R3906" s="19" t="str">
        <x:v>独立判定</x:v>
      </x:c>
    </x:row>
    <x:row r="3907" ht="19" customHeight="1">
      <x:c r="A3907" s="19" t="str">
        <x:v>D03903</x:v>
      </x:c>
      <x:c r="B3907" s="19" t="n">
        <x:v>8</x:v>
      </x:c>
      <x:c r="C3907" s="19" t="n">
        <x:v>4</x:v>
      </x:c>
      <x:c r="D3907" s="19" t="str">
        <x:v>C08-M040</x:v>
      </x:c>
      <x:c r="E3907" s="19" t="str">
        <x:v>雪域巡烛官</x:v>
      </x:c>
      <x:c r="F3907" s="19" t="str">
        <x:v>普通</x:v>
      </x:c>
      <x:c r="G3907" s="19" t="str">
        <x:v>材料独立候选</x:v>
      </x:c>
      <x:c r="H3907" s="19" t="str">
        <x:v>登山铁楔</x:v>
      </x:c>
      <x:c r="I3907" s="22" t="n">
        <x:v>2500</x:v>
      </x:c>
      <x:c r="J3907" s="22" t="n">
        <x:v>1</x:v>
      </x:c>
      <x:c r="K3907" s="19" t="n">
        <x:v>1</x:v>
      </x:c>
      <x:c r="L3907" s="24" t="n">
        <x:v>62.474999999999994</x:v>
      </x:c>
      <x:c r="M3907" s="26" t="n">
        <x:v>0.1</x:v>
      </x:c>
      <x:c r="N3907" s="24" t="n">
        <x:v>72</x:v>
      </x:c>
      <x:c r="O3907" s="28" t="n">
        <x:f>MIN(1,L3907/I3907)</x:f>
        <x:v>0.02499</x:v>
      </x:c>
      <x:c r="P3907" s="30" t="n">
        <x:f>O3907*J3907*(1+M3907)</x:f>
        <x:v>0.027489</x:v>
      </x:c>
      <x:c r="Q3907" s="30" t="n">
        <x:f>P3907*N3907</x:f>
        <x:v>1.9792079999999999</x:v>
      </x:c>
      <x:c r="R3907" s="19" t="str">
        <x:v>独立判定</x:v>
      </x:c>
    </x:row>
    <x:row r="3908" ht="19" customHeight="1">
      <x:c r="A3908" s="19" t="str">
        <x:v>D03904</x:v>
      </x:c>
      <x:c r="B3908" s="19" t="n">
        <x:v>8</x:v>
      </x:c>
      <x:c r="C3908" s="19" t="n">
        <x:v>4</x:v>
      </x:c>
      <x:c r="D3908" s="19" t="str">
        <x:v>C08-M040</x:v>
      </x:c>
      <x:c r="E3908" s="19" t="str">
        <x:v>雪域巡烛官</x:v>
      </x:c>
      <x:c r="F3908" s="19" t="str">
        <x:v>普通</x:v>
      </x:c>
      <x:c r="G3908" s="19" t="str">
        <x:v>材料独立候选</x:v>
      </x:c>
      <x:c r="H3908" s="19" t="str">
        <x:v>穹霜碑珀</x:v>
      </x:c>
      <x:c r="I3908" s="22" t="n">
        <x:v>3000000</x:v>
      </x:c>
      <x:c r="J3908" s="22" t="n">
        <x:v>1</x:v>
      </x:c>
      <x:c r="K3908" s="19" t="n">
        <x:v>1</x:v>
      </x:c>
      <x:c r="L3908" s="24" t="n">
        <x:v>62.474999999999994</x:v>
      </x:c>
      <x:c r="M3908" s="26" t="n">
        <x:v>0.1</x:v>
      </x:c>
      <x:c r="N3908" s="24" t="n">
        <x:v>72</x:v>
      </x:c>
      <x:c r="O3908" s="28" t="n">
        <x:f>MIN(1,L3908/I3908)</x:f>
        <x:v>0.000020824999999999998</x:v>
      </x:c>
      <x:c r="P3908" s="30" t="n">
        <x:f>O3908*J3908*(1+M3908)</x:f>
        <x:v>0.0000229075</x:v>
      </x:c>
      <x:c r="Q3908" s="30" t="n">
        <x:f>P3908*N3908</x:f>
        <x:v>0.00164934</x:v>
      </x:c>
      <x:c r="R3908" s="19" t="str">
        <x:v>独立判定</x:v>
      </x:c>
    </x:row>
    <x:row r="3909" ht="19" customHeight="1">
      <x:c r="A3909" s="19" t="str">
        <x:v>D03905</x:v>
      </x:c>
      <x:c r="B3909" s="19" t="n">
        <x:v>8</x:v>
      </x:c>
      <x:c r="C3909" s="19" t="n">
        <x:v>4</x:v>
      </x:c>
      <x:c r="D3909" s="19" t="str">
        <x:v>C08-M040</x:v>
      </x:c>
      <x:c r="E3909" s="19" t="str">
        <x:v>雪域巡烛官</x:v>
      </x:c>
      <x:c r="F3909" s="19" t="str">
        <x:v>普通</x:v>
      </x:c>
      <x:c r="G3909" s="19" t="str">
        <x:v>材料独立候选</x:v>
      </x:c>
      <x:c r="H3909" s="19" t="str">
        <x:v>野兽骨片</x:v>
      </x:c>
      <x:c r="I3909" s="22" t="n">
        <x:v>300</x:v>
      </x:c>
      <x:c r="J3909" s="22" t="n">
        <x:v>5</x:v>
      </x:c>
      <x:c r="K3909" s="19" t="n">
        <x:v>1</x:v>
      </x:c>
      <x:c r="L3909" s="24" t="n">
        <x:v>62.474999999999994</x:v>
      </x:c>
      <x:c r="M3909" s="26" t="n">
        <x:v>0.1</x:v>
      </x:c>
      <x:c r="N3909" s="24" t="n">
        <x:v>72</x:v>
      </x:c>
      <x:c r="O3909" s="28" t="n">
        <x:f>MIN(1,L3909/I3909)</x:f>
        <x:v>0.20825</x:v>
      </x:c>
      <x:c r="P3909" s="30" t="n">
        <x:f>O3909*J3909*(1+M3909)</x:f>
        <x:v>1.145375</x:v>
      </x:c>
      <x:c r="Q3909" s="30" t="n">
        <x:f>P3909*N3909</x:f>
        <x:v>82.467</x:v>
      </x:c>
      <x:c r="R3909" s="19" t="str">
        <x:v>独立判定</x:v>
      </x:c>
    </x:row>
    <x:row r="3910" ht="19" customHeight="1">
      <x:c r="A3910" s="19" t="str">
        <x:v>D03906</x:v>
      </x:c>
      <x:c r="B3910" s="19" t="n">
        <x:v>8</x:v>
      </x:c>
      <x:c r="C3910" s="19" t="n">
        <x:v>4</x:v>
      </x:c>
      <x:c r="D3910" s="19" t="str">
        <x:v>C08-M040</x:v>
      </x:c>
      <x:c r="E3910" s="19" t="str">
        <x:v>雪域巡烛官</x:v>
      </x:c>
      <x:c r="F3910" s="19" t="str">
        <x:v>普通</x:v>
      </x:c>
      <x:c r="G3910" s="19" t="str">
        <x:v>材料独立候选</x:v>
      </x:c>
      <x:c r="H3910" s="19" t="str">
        <x:v>技能残页</x:v>
      </x:c>
      <x:c r="I3910" s="22" t="n">
        <x:v>2500</x:v>
      </x:c>
      <x:c r="J3910" s="22" t="n">
        <x:v>1</x:v>
      </x:c>
      <x:c r="K3910" s="19" t="n">
        <x:v>1</x:v>
      </x:c>
      <x:c r="L3910" s="24" t="n">
        <x:v>62.474999999999994</x:v>
      </x:c>
      <x:c r="M3910" s="26" t="n">
        <x:v>0.1</x:v>
      </x:c>
      <x:c r="N3910" s="24" t="n">
        <x:v>72</x:v>
      </x:c>
      <x:c r="O3910" s="28" t="n">
        <x:f>MIN(1,L3910/I3910)</x:f>
        <x:v>0.02499</x:v>
      </x:c>
      <x:c r="P3910" s="30" t="n">
        <x:f>O3910*J3910*(1+M3910)</x:f>
        <x:v>0.027489</x:v>
      </x:c>
      <x:c r="Q3910" s="30" t="n">
        <x:f>P3910*N3910</x:f>
        <x:v>1.9792079999999999</x:v>
      </x:c>
      <x:c r="R3910" s="19" t="str">
        <x:v>独立判定</x:v>
      </x:c>
    </x:row>
    <x:row r="3911" ht="19" customHeight="1">
      <x:c r="A3911" s="19" t="str">
        <x:v>D03907</x:v>
      </x:c>
      <x:c r="B3911" s="19" t="n">
        <x:v>8</x:v>
      </x:c>
      <x:c r="C3911" s="19" t="n">
        <x:v>4</x:v>
      </x:c>
      <x:c r="D3911" s="19" t="str">
        <x:v>C08-M040</x:v>
      </x:c>
      <x:c r="E3911" s="19" t="str">
        <x:v>雪域巡烛官</x:v>
      </x:c>
      <x:c r="F3911" s="19" t="str">
        <x:v>普通</x:v>
      </x:c>
      <x:c r="G3911" s="19" t="str">
        <x:v>材料独立候选</x:v>
      </x:c>
      <x:c r="H3911" s="19" t="str">
        <x:v>小卢恩</x:v>
      </x:c>
      <x:c r="I3911" s="22" t="n">
        <x:v>18000</x:v>
      </x:c>
      <x:c r="J3911" s="22" t="n">
        <x:v>1</x:v>
      </x:c>
      <x:c r="K3911" s="19" t="n">
        <x:v>1</x:v>
      </x:c>
      <x:c r="L3911" s="24" t="n">
        <x:v>62.474999999999994</x:v>
      </x:c>
      <x:c r="M3911" s="26" t="n">
        <x:v>0.1</x:v>
      </x:c>
      <x:c r="N3911" s="24" t="n">
        <x:v>72</x:v>
      </x:c>
      <x:c r="O3911" s="28" t="n">
        <x:f>MIN(1,L3911/I3911)</x:f>
        <x:v>0.003470833333333333</x:v>
      </x:c>
      <x:c r="P3911" s="30" t="n">
        <x:f>O3911*J3911*(1+M3911)</x:f>
        <x:v>0.003817916666666667</x:v>
      </x:c>
      <x:c r="Q3911" s="30" t="n">
        <x:f>P3911*N3911</x:f>
        <x:v>0.27489</x:v>
      </x:c>
      <x:c r="R3911" s="19" t="str">
        <x:v>独立判定</x:v>
      </x:c>
    </x:row>
    <x:row r="3912" ht="19" customHeight="1">
      <x:c r="A3912" s="19" t="str">
        <x:v>D03908</x:v>
      </x:c>
      <x:c r="B3912" s="19" t="n">
        <x:v>8</x:v>
      </x:c>
      <x:c r="C3912" s="19" t="n">
        <x:v>4</x:v>
      </x:c>
      <x:c r="D3912" s="19" t="str">
        <x:v>C08-M040</x:v>
      </x:c>
      <x:c r="E3912" s="19" t="str">
        <x:v>雪域巡烛官</x:v>
      </x:c>
      <x:c r="F3912" s="19" t="str">
        <x:v>普通</x:v>
      </x:c>
      <x:c r="G3912" s="19" t="str">
        <x:v>六神器公共池</x:v>
      </x:c>
      <x:c r="H3912" s="19" t="str">
        <x:v>POOL006</x:v>
      </x:c>
      <x:c r="I3912" s="22" t="n">
        <x:v>20000000</x:v>
      </x:c>
      <x:c r="J3912" s="22" t="n">
        <x:v>1</x:v>
      </x:c>
      <x:c r="K3912" s="19" t="n">
        <x:v>6</x:v>
      </x:c>
      <x:c r="L3912" s="24" t="n">
        <x:v>62.474999999999994</x:v>
      </x:c>
      <x:c r="M3912" s="26" t="n">
        <x:v>0.1</x:v>
      </x:c>
      <x:c r="N3912" s="24" t="n">
        <x:v>72</x:v>
      </x:c>
      <x:c r="O3912" s="28" t="n">
        <x:f>MIN(1,L3912/I3912)</x:f>
        <x:v>0.0000031237499999999995</x:v>
      </x:c>
      <x:c r="P3912" s="30" t="n">
        <x:f>O3912*J3912*(1+M3912)</x:f>
        <x:v>0.0000034361249999999996</x:v>
      </x:c>
      <x:c r="Q3912" s="30" t="n">
        <x:f>P3912*N3912</x:f>
        <x:v>0.00024740099999999996</x:v>
      </x:c>
      <x:c r="R3912" s="19" t="str">
        <x:v>六选一；非6个独立爆率</x:v>
      </x:c>
    </x:row>
    <x:row r="3913" ht="19" customHeight="1">
      <x:c r="A3913" s="19" t="str">
        <x:v>D03909</x:v>
      </x:c>
      <x:c r="B3913" s="19" t="n">
        <x:v>8</x:v>
      </x:c>
      <x:c r="C3913" s="19" t="n">
        <x:v>4</x:v>
      </x:c>
      <x:c r="D3913" s="19" t="str">
        <x:v>C08-M041</x:v>
      </x:c>
      <x:c r="E3913" s="19" t="str">
        <x:v>王座负碑巨人</x:v>
      </x:c>
      <x:c r="F3913" s="19" t="str">
        <x:v>普通</x:v>
      </x:c>
      <x:c r="G3913" s="19" t="str">
        <x:v>自身专属</x:v>
      </x:c>
      <x:c r="H3913" s="19" t="str">
        <x:v>负碑王座盾</x:v>
      </x:c>
      <x:c r="I3913" s="22" t="n">
        <x:v>6000</x:v>
      </x:c>
      <x:c r="J3913" s="22" t="n">
        <x:v>1</x:v>
      </x:c>
      <x:c r="K3913" s="19" t="n">
        <x:v>1</x:v>
      </x:c>
      <x:c r="L3913" s="24" t="n">
        <x:v>62.474999999999994</x:v>
      </x:c>
      <x:c r="M3913" s="26" t="n">
        <x:v>0.1</x:v>
      </x:c>
      <x:c r="N3913" s="24" t="n">
        <x:v>72</x:v>
      </x:c>
      <x:c r="O3913" s="28" t="n">
        <x:f>MIN(1,L3913/I3913)</x:f>
        <x:v>0.0104125</x:v>
      </x:c>
      <x:c r="P3913" s="30" t="n">
        <x:f>O3913*J3913*(1+M3913)</x:f>
        <x:v>0.01145375</x:v>
      </x:c>
      <x:c r="Q3913" s="30" t="n">
        <x:f>P3913*N3913</x:f>
        <x:v>0.82467</x:v>
      </x:c>
      <x:c r="R3913" s="19" t="str">
        <x:v>独立判定</x:v>
      </x:c>
    </x:row>
    <x:row r="3914" ht="19" customHeight="1">
      <x:c r="A3914" s="19" t="str">
        <x:v>D03910</x:v>
      </x:c>
      <x:c r="B3914" s="19" t="n">
        <x:v>8</x:v>
      </x:c>
      <x:c r="C3914" s="19" t="n">
        <x:v>4</x:v>
      </x:c>
      <x:c r="D3914" s="19" t="str">
        <x:v>C08-M041</x:v>
      </x:c>
      <x:c r="E3914" s="19" t="str">
        <x:v>王座负碑巨人</x:v>
      </x:c>
      <x:c r="F3914" s="19" t="str">
        <x:v>普通</x:v>
      </x:c>
      <x:c r="G3914" s="19" t="str">
        <x:v>材料独立候选</x:v>
      </x:c>
      <x:c r="H3914" s="19" t="str">
        <x:v>霜脊铁</x:v>
      </x:c>
      <x:c r="I3914" s="22" t="n">
        <x:v>1500</x:v>
      </x:c>
      <x:c r="J3914" s="22" t="n">
        <x:v>8</x:v>
      </x:c>
      <x:c r="K3914" s="19" t="n">
        <x:v>1</x:v>
      </x:c>
      <x:c r="L3914" s="24" t="n">
        <x:v>62.474999999999994</x:v>
      </x:c>
      <x:c r="M3914" s="26" t="n">
        <x:v>0.1</x:v>
      </x:c>
      <x:c r="N3914" s="24" t="n">
        <x:v>72</x:v>
      </x:c>
      <x:c r="O3914" s="28" t="n">
        <x:f>MIN(1,L3914/I3914)</x:f>
        <x:v>0.04165</x:v>
      </x:c>
      <x:c r="P3914" s="30" t="n">
        <x:f>O3914*J3914*(1+M3914)</x:f>
        <x:v>0.36652</x:v>
      </x:c>
      <x:c r="Q3914" s="30" t="n">
        <x:f>P3914*N3914</x:f>
        <x:v>26.38944</x:v>
      </x:c>
      <x:c r="R3914" s="19" t="str">
        <x:v>独立判定</x:v>
      </x:c>
    </x:row>
    <x:row r="3915" ht="19" customHeight="1">
      <x:c r="A3915" s="19" t="str">
        <x:v>D03911</x:v>
      </x:c>
      <x:c r="B3915" s="19" t="n">
        <x:v>8</x:v>
      </x:c>
      <x:c r="C3915" s="19" t="n">
        <x:v>4</x:v>
      </x:c>
      <x:c r="D3915" s="19" t="str">
        <x:v>C08-M041</x:v>
      </x:c>
      <x:c r="E3915" s="19" t="str">
        <x:v>王座负碑巨人</x:v>
      </x:c>
      <x:c r="F3915" s="19" t="str">
        <x:v>普通</x:v>
      </x:c>
      <x:c r="G3915" s="19" t="str">
        <x:v>材料独立候选</x:v>
      </x:c>
      <x:c r="H3915" s="19" t="str">
        <x:v>登山铁楔</x:v>
      </x:c>
      <x:c r="I3915" s="22" t="n">
        <x:v>2500</x:v>
      </x:c>
      <x:c r="J3915" s="22" t="n">
        <x:v>1</x:v>
      </x:c>
      <x:c r="K3915" s="19" t="n">
        <x:v>1</x:v>
      </x:c>
      <x:c r="L3915" s="24" t="n">
        <x:v>62.474999999999994</x:v>
      </x:c>
      <x:c r="M3915" s="26" t="n">
        <x:v>0.1</x:v>
      </x:c>
      <x:c r="N3915" s="24" t="n">
        <x:v>72</x:v>
      </x:c>
      <x:c r="O3915" s="28" t="n">
        <x:f>MIN(1,L3915/I3915)</x:f>
        <x:v>0.02499</x:v>
      </x:c>
      <x:c r="P3915" s="30" t="n">
        <x:f>O3915*J3915*(1+M3915)</x:f>
        <x:v>0.027489</x:v>
      </x:c>
      <x:c r="Q3915" s="30" t="n">
        <x:f>P3915*N3915</x:f>
        <x:v>1.9792079999999999</x:v>
      </x:c>
      <x:c r="R3915" s="19" t="str">
        <x:v>独立判定</x:v>
      </x:c>
    </x:row>
    <x:row r="3916" ht="19" customHeight="1">
      <x:c r="A3916" s="19" t="str">
        <x:v>D03912</x:v>
      </x:c>
      <x:c r="B3916" s="19" t="n">
        <x:v>8</x:v>
      </x:c>
      <x:c r="C3916" s="19" t="n">
        <x:v>4</x:v>
      </x:c>
      <x:c r="D3916" s="19" t="str">
        <x:v>C08-M041</x:v>
      </x:c>
      <x:c r="E3916" s="19" t="str">
        <x:v>王座负碑巨人</x:v>
      </x:c>
      <x:c r="F3916" s="19" t="str">
        <x:v>普通</x:v>
      </x:c>
      <x:c r="G3916" s="19" t="str">
        <x:v>材料独立候选</x:v>
      </x:c>
      <x:c r="H3916" s="19" t="str">
        <x:v>穹霜碑珀</x:v>
      </x:c>
      <x:c r="I3916" s="22" t="n">
        <x:v>3000000</x:v>
      </x:c>
      <x:c r="J3916" s="22" t="n">
        <x:v>1</x:v>
      </x:c>
      <x:c r="K3916" s="19" t="n">
        <x:v>1</x:v>
      </x:c>
      <x:c r="L3916" s="24" t="n">
        <x:v>62.474999999999994</x:v>
      </x:c>
      <x:c r="M3916" s="26" t="n">
        <x:v>0.1</x:v>
      </x:c>
      <x:c r="N3916" s="24" t="n">
        <x:v>72</x:v>
      </x:c>
      <x:c r="O3916" s="28" t="n">
        <x:f>MIN(1,L3916/I3916)</x:f>
        <x:v>0.000020824999999999998</x:v>
      </x:c>
      <x:c r="P3916" s="30" t="n">
        <x:f>O3916*J3916*(1+M3916)</x:f>
        <x:v>0.0000229075</x:v>
      </x:c>
      <x:c r="Q3916" s="30" t="n">
        <x:f>P3916*N3916</x:f>
        <x:v>0.00164934</x:v>
      </x:c>
      <x:c r="R3916" s="19" t="str">
        <x:v>独立判定</x:v>
      </x:c>
    </x:row>
    <x:row r="3917" ht="19" customHeight="1">
      <x:c r="A3917" s="19" t="str">
        <x:v>D03913</x:v>
      </x:c>
      <x:c r="B3917" s="19" t="n">
        <x:v>8</x:v>
      </x:c>
      <x:c r="C3917" s="19" t="n">
        <x:v>4</x:v>
      </x:c>
      <x:c r="D3917" s="19" t="str">
        <x:v>C08-M041</x:v>
      </x:c>
      <x:c r="E3917" s="19" t="str">
        <x:v>王座负碑巨人</x:v>
      </x:c>
      <x:c r="F3917" s="19" t="str">
        <x:v>普通</x:v>
      </x:c>
      <x:c r="G3917" s="19" t="str">
        <x:v>材料独立候选</x:v>
      </x:c>
      <x:c r="H3917" s="19" t="str">
        <x:v>野兽骨片</x:v>
      </x:c>
      <x:c r="I3917" s="22" t="n">
        <x:v>300</x:v>
      </x:c>
      <x:c r="J3917" s="22" t="n">
        <x:v>5</x:v>
      </x:c>
      <x:c r="K3917" s="19" t="n">
        <x:v>1</x:v>
      </x:c>
      <x:c r="L3917" s="24" t="n">
        <x:v>62.474999999999994</x:v>
      </x:c>
      <x:c r="M3917" s="26" t="n">
        <x:v>0.1</x:v>
      </x:c>
      <x:c r="N3917" s="24" t="n">
        <x:v>72</x:v>
      </x:c>
      <x:c r="O3917" s="28" t="n">
        <x:f>MIN(1,L3917/I3917)</x:f>
        <x:v>0.20825</x:v>
      </x:c>
      <x:c r="P3917" s="30" t="n">
        <x:f>O3917*J3917*(1+M3917)</x:f>
        <x:v>1.145375</x:v>
      </x:c>
      <x:c r="Q3917" s="30" t="n">
        <x:f>P3917*N3917</x:f>
        <x:v>82.467</x:v>
      </x:c>
      <x:c r="R3917" s="19" t="str">
        <x:v>独立判定</x:v>
      </x:c>
    </x:row>
    <x:row r="3918" ht="19" customHeight="1">
      <x:c r="A3918" s="19" t="str">
        <x:v>D03914</x:v>
      </x:c>
      <x:c r="B3918" s="19" t="n">
        <x:v>8</x:v>
      </x:c>
      <x:c r="C3918" s="19" t="n">
        <x:v>4</x:v>
      </x:c>
      <x:c r="D3918" s="19" t="str">
        <x:v>C08-M041</x:v>
      </x:c>
      <x:c r="E3918" s="19" t="str">
        <x:v>王座负碑巨人</x:v>
      </x:c>
      <x:c r="F3918" s="19" t="str">
        <x:v>普通</x:v>
      </x:c>
      <x:c r="G3918" s="19" t="str">
        <x:v>材料独立候选</x:v>
      </x:c>
      <x:c r="H3918" s="19" t="str">
        <x:v>技能残页</x:v>
      </x:c>
      <x:c r="I3918" s="22" t="n">
        <x:v>2500</x:v>
      </x:c>
      <x:c r="J3918" s="22" t="n">
        <x:v>1</x:v>
      </x:c>
      <x:c r="K3918" s="19" t="n">
        <x:v>1</x:v>
      </x:c>
      <x:c r="L3918" s="24" t="n">
        <x:v>62.474999999999994</x:v>
      </x:c>
      <x:c r="M3918" s="26" t="n">
        <x:v>0.1</x:v>
      </x:c>
      <x:c r="N3918" s="24" t="n">
        <x:v>72</x:v>
      </x:c>
      <x:c r="O3918" s="28" t="n">
        <x:f>MIN(1,L3918/I3918)</x:f>
        <x:v>0.02499</x:v>
      </x:c>
      <x:c r="P3918" s="30" t="n">
        <x:f>O3918*J3918*(1+M3918)</x:f>
        <x:v>0.027489</x:v>
      </x:c>
      <x:c r="Q3918" s="30" t="n">
        <x:f>P3918*N3918</x:f>
        <x:v>1.9792079999999999</x:v>
      </x:c>
      <x:c r="R3918" s="19" t="str">
        <x:v>独立判定</x:v>
      </x:c>
    </x:row>
    <x:row r="3919" ht="19" customHeight="1">
      <x:c r="A3919" s="19" t="str">
        <x:v>D03915</x:v>
      </x:c>
      <x:c r="B3919" s="19" t="n">
        <x:v>8</x:v>
      </x:c>
      <x:c r="C3919" s="19" t="n">
        <x:v>4</x:v>
      </x:c>
      <x:c r="D3919" s="19" t="str">
        <x:v>C08-M041</x:v>
      </x:c>
      <x:c r="E3919" s="19" t="str">
        <x:v>王座负碑巨人</x:v>
      </x:c>
      <x:c r="F3919" s="19" t="str">
        <x:v>普通</x:v>
      </x:c>
      <x:c r="G3919" s="19" t="str">
        <x:v>材料独立候选</x:v>
      </x:c>
      <x:c r="H3919" s="19" t="str">
        <x:v>小卢恩</x:v>
      </x:c>
      <x:c r="I3919" s="22" t="n">
        <x:v>18000</x:v>
      </x:c>
      <x:c r="J3919" s="22" t="n">
        <x:v>1</x:v>
      </x:c>
      <x:c r="K3919" s="19" t="n">
        <x:v>1</x:v>
      </x:c>
      <x:c r="L3919" s="24" t="n">
        <x:v>62.474999999999994</x:v>
      </x:c>
      <x:c r="M3919" s="26" t="n">
        <x:v>0.1</x:v>
      </x:c>
      <x:c r="N3919" s="24" t="n">
        <x:v>72</x:v>
      </x:c>
      <x:c r="O3919" s="28" t="n">
        <x:f>MIN(1,L3919/I3919)</x:f>
        <x:v>0.003470833333333333</x:v>
      </x:c>
      <x:c r="P3919" s="30" t="n">
        <x:f>O3919*J3919*(1+M3919)</x:f>
        <x:v>0.003817916666666667</x:v>
      </x:c>
      <x:c r="Q3919" s="30" t="n">
        <x:f>P3919*N3919</x:f>
        <x:v>0.27489</x:v>
      </x:c>
      <x:c r="R3919" s="19" t="str">
        <x:v>独立判定</x:v>
      </x:c>
    </x:row>
    <x:row r="3920" ht="19" customHeight="1">
      <x:c r="A3920" s="19" t="str">
        <x:v>D03916</x:v>
      </x:c>
      <x:c r="B3920" s="19" t="n">
        <x:v>8</x:v>
      </x:c>
      <x:c r="C3920" s="19" t="n">
        <x:v>4</x:v>
      </x:c>
      <x:c r="D3920" s="19" t="str">
        <x:v>C08-M041</x:v>
      </x:c>
      <x:c r="E3920" s="19" t="str">
        <x:v>王座负碑巨人</x:v>
      </x:c>
      <x:c r="F3920" s="19" t="str">
        <x:v>普通</x:v>
      </x:c>
      <x:c r="G3920" s="19" t="str">
        <x:v>六神器公共池</x:v>
      </x:c>
      <x:c r="H3920" s="19" t="str">
        <x:v>POOL006</x:v>
      </x:c>
      <x:c r="I3920" s="22" t="n">
        <x:v>20000000</x:v>
      </x:c>
      <x:c r="J3920" s="22" t="n">
        <x:v>1</x:v>
      </x:c>
      <x:c r="K3920" s="19" t="n">
        <x:v>6</x:v>
      </x:c>
      <x:c r="L3920" s="24" t="n">
        <x:v>62.474999999999994</x:v>
      </x:c>
      <x:c r="M3920" s="26" t="n">
        <x:v>0.1</x:v>
      </x:c>
      <x:c r="N3920" s="24" t="n">
        <x:v>72</x:v>
      </x:c>
      <x:c r="O3920" s="28" t="n">
        <x:f>MIN(1,L3920/I3920)</x:f>
        <x:v>0.0000031237499999999995</x:v>
      </x:c>
      <x:c r="P3920" s="30" t="n">
        <x:f>O3920*J3920*(1+M3920)</x:f>
        <x:v>0.0000034361249999999996</x:v>
      </x:c>
      <x:c r="Q3920" s="30" t="n">
        <x:f>P3920*N3920</x:f>
        <x:v>0.00024740099999999996</x:v>
      </x:c>
      <x:c r="R3920" s="19" t="str">
        <x:v>六选一；非6个独立爆率</x:v>
      </x:c>
    </x:row>
    <x:row r="3921" ht="19" customHeight="1">
      <x:c r="A3921" s="19" t="str">
        <x:v>D03917</x:v>
      </x:c>
      <x:c r="B3921" s="19" t="n">
        <x:v>8</x:v>
      </x:c>
      <x:c r="C3921" s="19" t="n">
        <x:v>4</x:v>
      </x:c>
      <x:c r="D3921" s="19" t="str">
        <x:v>C08-M042</x:v>
      </x:c>
      <x:c r="E3921" s="19" t="str">
        <x:v>王座冰铃童</x:v>
      </x:c>
      <x:c r="F3921" s="19" t="str">
        <x:v>普通</x:v>
      </x:c>
      <x:c r="G3921" s="19" t="str">
        <x:v>自身专属</x:v>
      </x:c>
      <x:c r="H3921" s="19" t="str">
        <x:v>冰铃童腕镯</x:v>
      </x:c>
      <x:c r="I3921" s="22" t="n">
        <x:v>6000</x:v>
      </x:c>
      <x:c r="J3921" s="22" t="n">
        <x:v>1</x:v>
      </x:c>
      <x:c r="K3921" s="19" t="n">
        <x:v>1</x:v>
      </x:c>
      <x:c r="L3921" s="24" t="n">
        <x:v>62.474999999999994</x:v>
      </x:c>
      <x:c r="M3921" s="26" t="n">
        <x:v>0.1</x:v>
      </x:c>
      <x:c r="N3921" s="24" t="n">
        <x:v>72</x:v>
      </x:c>
      <x:c r="O3921" s="28" t="n">
        <x:f>MIN(1,L3921/I3921)</x:f>
        <x:v>0.0104125</x:v>
      </x:c>
      <x:c r="P3921" s="30" t="n">
        <x:f>O3921*J3921*(1+M3921)</x:f>
        <x:v>0.01145375</x:v>
      </x:c>
      <x:c r="Q3921" s="30" t="n">
        <x:f>P3921*N3921</x:f>
        <x:v>0.82467</x:v>
      </x:c>
      <x:c r="R3921" s="19" t="str">
        <x:v>独立判定</x:v>
      </x:c>
    </x:row>
    <x:row r="3922" ht="19" customHeight="1">
      <x:c r="A3922" s="19" t="str">
        <x:v>D03918</x:v>
      </x:c>
      <x:c r="B3922" s="19" t="n">
        <x:v>8</x:v>
      </x:c>
      <x:c r="C3922" s="19" t="n">
        <x:v>4</x:v>
      </x:c>
      <x:c r="D3922" s="19" t="str">
        <x:v>C08-M042</x:v>
      </x:c>
      <x:c r="E3922" s="19" t="str">
        <x:v>王座冰铃童</x:v>
      </x:c>
      <x:c r="F3922" s="19" t="str">
        <x:v>普通</x:v>
      </x:c>
      <x:c r="G3922" s="19" t="str">
        <x:v>材料独立候选</x:v>
      </x:c>
      <x:c r="H3922" s="19" t="str">
        <x:v>霜脊铁</x:v>
      </x:c>
      <x:c r="I3922" s="22" t="n">
        <x:v>1500</x:v>
      </x:c>
      <x:c r="J3922" s="22" t="n">
        <x:v>8</x:v>
      </x:c>
      <x:c r="K3922" s="19" t="n">
        <x:v>1</x:v>
      </x:c>
      <x:c r="L3922" s="24" t="n">
        <x:v>62.474999999999994</x:v>
      </x:c>
      <x:c r="M3922" s="26" t="n">
        <x:v>0.1</x:v>
      </x:c>
      <x:c r="N3922" s="24" t="n">
        <x:v>72</x:v>
      </x:c>
      <x:c r="O3922" s="28" t="n">
        <x:f>MIN(1,L3922/I3922)</x:f>
        <x:v>0.04165</x:v>
      </x:c>
      <x:c r="P3922" s="30" t="n">
        <x:f>O3922*J3922*(1+M3922)</x:f>
        <x:v>0.36652</x:v>
      </x:c>
      <x:c r="Q3922" s="30" t="n">
        <x:f>P3922*N3922</x:f>
        <x:v>26.38944</x:v>
      </x:c>
      <x:c r="R3922" s="19" t="str">
        <x:v>独立判定</x:v>
      </x:c>
    </x:row>
    <x:row r="3923" ht="19" customHeight="1">
      <x:c r="A3923" s="19" t="str">
        <x:v>D03919</x:v>
      </x:c>
      <x:c r="B3923" s="19" t="n">
        <x:v>8</x:v>
      </x:c>
      <x:c r="C3923" s="19" t="n">
        <x:v>4</x:v>
      </x:c>
      <x:c r="D3923" s="19" t="str">
        <x:v>C08-M042</x:v>
      </x:c>
      <x:c r="E3923" s="19" t="str">
        <x:v>王座冰铃童</x:v>
      </x:c>
      <x:c r="F3923" s="19" t="str">
        <x:v>普通</x:v>
      </x:c>
      <x:c r="G3923" s="19" t="str">
        <x:v>材料独立候选</x:v>
      </x:c>
      <x:c r="H3923" s="19" t="str">
        <x:v>登山铁楔</x:v>
      </x:c>
      <x:c r="I3923" s="22" t="n">
        <x:v>2500</x:v>
      </x:c>
      <x:c r="J3923" s="22" t="n">
        <x:v>1</x:v>
      </x:c>
      <x:c r="K3923" s="19" t="n">
        <x:v>1</x:v>
      </x:c>
      <x:c r="L3923" s="24" t="n">
        <x:v>62.474999999999994</x:v>
      </x:c>
      <x:c r="M3923" s="26" t="n">
        <x:v>0.1</x:v>
      </x:c>
      <x:c r="N3923" s="24" t="n">
        <x:v>72</x:v>
      </x:c>
      <x:c r="O3923" s="28" t="n">
        <x:f>MIN(1,L3923/I3923)</x:f>
        <x:v>0.02499</x:v>
      </x:c>
      <x:c r="P3923" s="30" t="n">
        <x:f>O3923*J3923*(1+M3923)</x:f>
        <x:v>0.027489</x:v>
      </x:c>
      <x:c r="Q3923" s="30" t="n">
        <x:f>P3923*N3923</x:f>
        <x:v>1.9792079999999999</x:v>
      </x:c>
      <x:c r="R3923" s="19" t="str">
        <x:v>独立判定</x:v>
      </x:c>
    </x:row>
    <x:row r="3924" ht="19" customHeight="1">
      <x:c r="A3924" s="19" t="str">
        <x:v>D03920</x:v>
      </x:c>
      <x:c r="B3924" s="19" t="n">
        <x:v>8</x:v>
      </x:c>
      <x:c r="C3924" s="19" t="n">
        <x:v>4</x:v>
      </x:c>
      <x:c r="D3924" s="19" t="str">
        <x:v>C08-M042</x:v>
      </x:c>
      <x:c r="E3924" s="19" t="str">
        <x:v>王座冰铃童</x:v>
      </x:c>
      <x:c r="F3924" s="19" t="str">
        <x:v>普通</x:v>
      </x:c>
      <x:c r="G3924" s="19" t="str">
        <x:v>材料独立候选</x:v>
      </x:c>
      <x:c r="H3924" s="19" t="str">
        <x:v>穹霜碑珀</x:v>
      </x:c>
      <x:c r="I3924" s="22" t="n">
        <x:v>3000000</x:v>
      </x:c>
      <x:c r="J3924" s="22" t="n">
        <x:v>1</x:v>
      </x:c>
      <x:c r="K3924" s="19" t="n">
        <x:v>1</x:v>
      </x:c>
      <x:c r="L3924" s="24" t="n">
        <x:v>62.474999999999994</x:v>
      </x:c>
      <x:c r="M3924" s="26" t="n">
        <x:v>0.1</x:v>
      </x:c>
      <x:c r="N3924" s="24" t="n">
        <x:v>72</x:v>
      </x:c>
      <x:c r="O3924" s="28" t="n">
        <x:f>MIN(1,L3924/I3924)</x:f>
        <x:v>0.000020824999999999998</x:v>
      </x:c>
      <x:c r="P3924" s="30" t="n">
        <x:f>O3924*J3924*(1+M3924)</x:f>
        <x:v>0.0000229075</x:v>
      </x:c>
      <x:c r="Q3924" s="30" t="n">
        <x:f>P3924*N3924</x:f>
        <x:v>0.00164934</x:v>
      </x:c>
      <x:c r="R3924" s="19" t="str">
        <x:v>独立判定</x:v>
      </x:c>
    </x:row>
    <x:row r="3925" ht="19" customHeight="1">
      <x:c r="A3925" s="19" t="str">
        <x:v>D03921</x:v>
      </x:c>
      <x:c r="B3925" s="19" t="n">
        <x:v>8</x:v>
      </x:c>
      <x:c r="C3925" s="19" t="n">
        <x:v>4</x:v>
      </x:c>
      <x:c r="D3925" s="19" t="str">
        <x:v>C08-M042</x:v>
      </x:c>
      <x:c r="E3925" s="19" t="str">
        <x:v>王座冰铃童</x:v>
      </x:c>
      <x:c r="F3925" s="19" t="str">
        <x:v>普通</x:v>
      </x:c>
      <x:c r="G3925" s="19" t="str">
        <x:v>材料独立候选</x:v>
      </x:c>
      <x:c r="H3925" s="19" t="str">
        <x:v>野兽骨片</x:v>
      </x:c>
      <x:c r="I3925" s="22" t="n">
        <x:v>300</x:v>
      </x:c>
      <x:c r="J3925" s="22" t="n">
        <x:v>5</x:v>
      </x:c>
      <x:c r="K3925" s="19" t="n">
        <x:v>1</x:v>
      </x:c>
      <x:c r="L3925" s="24" t="n">
        <x:v>62.474999999999994</x:v>
      </x:c>
      <x:c r="M3925" s="26" t="n">
        <x:v>0.1</x:v>
      </x:c>
      <x:c r="N3925" s="24" t="n">
        <x:v>72</x:v>
      </x:c>
      <x:c r="O3925" s="28" t="n">
        <x:f>MIN(1,L3925/I3925)</x:f>
        <x:v>0.20825</x:v>
      </x:c>
      <x:c r="P3925" s="30" t="n">
        <x:f>O3925*J3925*(1+M3925)</x:f>
        <x:v>1.145375</x:v>
      </x:c>
      <x:c r="Q3925" s="30" t="n">
        <x:f>P3925*N3925</x:f>
        <x:v>82.467</x:v>
      </x:c>
      <x:c r="R3925" s="19" t="str">
        <x:v>独立判定</x:v>
      </x:c>
    </x:row>
    <x:row r="3926" ht="19" customHeight="1">
      <x:c r="A3926" s="19" t="str">
        <x:v>D03922</x:v>
      </x:c>
      <x:c r="B3926" s="19" t="n">
        <x:v>8</x:v>
      </x:c>
      <x:c r="C3926" s="19" t="n">
        <x:v>4</x:v>
      </x:c>
      <x:c r="D3926" s="19" t="str">
        <x:v>C08-M042</x:v>
      </x:c>
      <x:c r="E3926" s="19" t="str">
        <x:v>王座冰铃童</x:v>
      </x:c>
      <x:c r="F3926" s="19" t="str">
        <x:v>普通</x:v>
      </x:c>
      <x:c r="G3926" s="19" t="str">
        <x:v>材料独立候选</x:v>
      </x:c>
      <x:c r="H3926" s="19" t="str">
        <x:v>技能残页</x:v>
      </x:c>
      <x:c r="I3926" s="22" t="n">
        <x:v>2500</x:v>
      </x:c>
      <x:c r="J3926" s="22" t="n">
        <x:v>1</x:v>
      </x:c>
      <x:c r="K3926" s="19" t="n">
        <x:v>1</x:v>
      </x:c>
      <x:c r="L3926" s="24" t="n">
        <x:v>62.474999999999994</x:v>
      </x:c>
      <x:c r="M3926" s="26" t="n">
        <x:v>0.1</x:v>
      </x:c>
      <x:c r="N3926" s="24" t="n">
        <x:v>72</x:v>
      </x:c>
      <x:c r="O3926" s="28" t="n">
        <x:f>MIN(1,L3926/I3926)</x:f>
        <x:v>0.02499</x:v>
      </x:c>
      <x:c r="P3926" s="30" t="n">
        <x:f>O3926*J3926*(1+M3926)</x:f>
        <x:v>0.027489</x:v>
      </x:c>
      <x:c r="Q3926" s="30" t="n">
        <x:f>P3926*N3926</x:f>
        <x:v>1.9792079999999999</x:v>
      </x:c>
      <x:c r="R3926" s="19" t="str">
        <x:v>独立判定</x:v>
      </x:c>
    </x:row>
    <x:row r="3927" ht="19" customHeight="1">
      <x:c r="A3927" s="19" t="str">
        <x:v>D03923</x:v>
      </x:c>
      <x:c r="B3927" s="19" t="n">
        <x:v>8</x:v>
      </x:c>
      <x:c r="C3927" s="19" t="n">
        <x:v>4</x:v>
      </x:c>
      <x:c r="D3927" s="19" t="str">
        <x:v>C08-M042</x:v>
      </x:c>
      <x:c r="E3927" s="19" t="str">
        <x:v>王座冰铃童</x:v>
      </x:c>
      <x:c r="F3927" s="19" t="str">
        <x:v>普通</x:v>
      </x:c>
      <x:c r="G3927" s="19" t="str">
        <x:v>材料独立候选</x:v>
      </x:c>
      <x:c r="H3927" s="19" t="str">
        <x:v>小卢恩</x:v>
      </x:c>
      <x:c r="I3927" s="22" t="n">
        <x:v>18000</x:v>
      </x:c>
      <x:c r="J3927" s="22" t="n">
        <x:v>1</x:v>
      </x:c>
      <x:c r="K3927" s="19" t="n">
        <x:v>1</x:v>
      </x:c>
      <x:c r="L3927" s="24" t="n">
        <x:v>62.474999999999994</x:v>
      </x:c>
      <x:c r="M3927" s="26" t="n">
        <x:v>0.1</x:v>
      </x:c>
      <x:c r="N3927" s="24" t="n">
        <x:v>72</x:v>
      </x:c>
      <x:c r="O3927" s="28" t="n">
        <x:f>MIN(1,L3927/I3927)</x:f>
        <x:v>0.003470833333333333</x:v>
      </x:c>
      <x:c r="P3927" s="30" t="n">
        <x:f>O3927*J3927*(1+M3927)</x:f>
        <x:v>0.003817916666666667</x:v>
      </x:c>
      <x:c r="Q3927" s="30" t="n">
        <x:f>P3927*N3927</x:f>
        <x:v>0.27489</x:v>
      </x:c>
      <x:c r="R3927" s="19" t="str">
        <x:v>独立判定</x:v>
      </x:c>
    </x:row>
    <x:row r="3928" ht="19" customHeight="1">
      <x:c r="A3928" s="19" t="str">
        <x:v>D03924</x:v>
      </x:c>
      <x:c r="B3928" s="19" t="n">
        <x:v>8</x:v>
      </x:c>
      <x:c r="C3928" s="19" t="n">
        <x:v>4</x:v>
      </x:c>
      <x:c r="D3928" s="19" t="str">
        <x:v>C08-M042</x:v>
      </x:c>
      <x:c r="E3928" s="19" t="str">
        <x:v>王座冰铃童</x:v>
      </x:c>
      <x:c r="F3928" s="19" t="str">
        <x:v>普通</x:v>
      </x:c>
      <x:c r="G3928" s="19" t="str">
        <x:v>六神器公共池</x:v>
      </x:c>
      <x:c r="H3928" s="19" t="str">
        <x:v>POOL006</x:v>
      </x:c>
      <x:c r="I3928" s="22" t="n">
        <x:v>20000000</x:v>
      </x:c>
      <x:c r="J3928" s="22" t="n">
        <x:v>1</x:v>
      </x:c>
      <x:c r="K3928" s="19" t="n">
        <x:v>6</x:v>
      </x:c>
      <x:c r="L3928" s="24" t="n">
        <x:v>62.474999999999994</x:v>
      </x:c>
      <x:c r="M3928" s="26" t="n">
        <x:v>0.1</x:v>
      </x:c>
      <x:c r="N3928" s="24" t="n">
        <x:v>72</x:v>
      </x:c>
      <x:c r="O3928" s="28" t="n">
        <x:f>MIN(1,L3928/I3928)</x:f>
        <x:v>0.0000031237499999999995</x:v>
      </x:c>
      <x:c r="P3928" s="30" t="n">
        <x:f>O3928*J3928*(1+M3928)</x:f>
        <x:v>0.0000034361249999999996</x:v>
      </x:c>
      <x:c r="Q3928" s="30" t="n">
        <x:f>P3928*N3928</x:f>
        <x:v>0.00024740099999999996</x:v>
      </x:c>
      <x:c r="R3928" s="19" t="str">
        <x:v>六选一；非6个独立爆率</x:v>
      </x:c>
    </x:row>
    <x:row r="3929" ht="19" customHeight="1">
      <x:c r="A3929" s="19" t="str">
        <x:v>D03925</x:v>
      </x:c>
      <x:c r="B3929" s="19" t="n">
        <x:v>8</x:v>
      </x:c>
      <x:c r="C3929" s="19" t="n">
        <x:v>4</x:v>
      </x:c>
      <x:c r="D3929" s="19" t="str">
        <x:v>C08-M043</x:v>
      </x:c>
      <x:c r="E3929" s="19" t="str">
        <x:v>觐庭裂盔侯</x:v>
      </x:c>
      <x:c r="F3929" s="19" t="str">
        <x:v>稀有</x:v>
      </x:c>
      <x:c r="G3929" s="19" t="str">
        <x:v>自身专属</x:v>
      </x:c>
      <x:c r="H3929" s="19" t="str">
        <x:v>觐庭裂纹盔</x:v>
      </x:c>
      <x:c r="I3929" s="22" t="n">
        <x:v>1500</x:v>
      </x:c>
      <x:c r="J3929" s="22" t="n">
        <x:v>1</x:v>
      </x:c>
      <x:c r="K3929" s="19" t="n">
        <x:v>1</x:v>
      </x:c>
      <x:c r="L3929" s="24" t="n">
        <x:v>62.474999999999994</x:v>
      </x:c>
      <x:c r="M3929" s="26" t="n">
        <x:v>0.1</x:v>
      </x:c>
      <x:c r="N3929" s="24" t="n">
        <x:v>12</x:v>
      </x:c>
      <x:c r="O3929" s="28" t="n">
        <x:f>MIN(1,L3929/I3929)</x:f>
        <x:v>0.04165</x:v>
      </x:c>
      <x:c r="P3929" s="30" t="n">
        <x:f>O3929*J3929*(1+M3929)</x:f>
        <x:v>0.045815</x:v>
      </x:c>
      <x:c r="Q3929" s="30" t="n">
        <x:f>P3929*N3929</x:f>
        <x:v>0.54978</x:v>
      </x:c>
      <x:c r="R3929" s="19" t="str">
        <x:v>独立判定</x:v>
      </x:c>
    </x:row>
    <x:row r="3930" ht="19" customHeight="1">
      <x:c r="A3930" s="19" t="str">
        <x:v>D03926</x:v>
      </x:c>
      <x:c r="B3930" s="19" t="n">
        <x:v>8</x:v>
      </x:c>
      <x:c r="C3930" s="19" t="n">
        <x:v>4</x:v>
      </x:c>
      <x:c r="D3930" s="19" t="str">
        <x:v>C08-M043</x:v>
      </x:c>
      <x:c r="E3930" s="19" t="str">
        <x:v>觐庭裂盔侯</x:v>
      </x:c>
      <x:c r="F3930" s="19" t="str">
        <x:v>稀有</x:v>
      </x:c>
      <x:c r="G3930" s="19" t="str">
        <x:v>材料独立候选</x:v>
      </x:c>
      <x:c r="H3930" s="19" t="str">
        <x:v>霜脊铁</x:v>
      </x:c>
      <x:c r="I3930" s="22" t="n">
        <x:v>1000</x:v>
      </x:c>
      <x:c r="J3930" s="22" t="n">
        <x:v>15</x:v>
      </x:c>
      <x:c r="K3930" s="19" t="n">
        <x:v>1</x:v>
      </x:c>
      <x:c r="L3930" s="24" t="n">
        <x:v>62.474999999999994</x:v>
      </x:c>
      <x:c r="M3930" s="26" t="n">
        <x:v>0.1</x:v>
      </x:c>
      <x:c r="N3930" s="24" t="n">
        <x:v>12</x:v>
      </x:c>
      <x:c r="O3930" s="28" t="n">
        <x:f>MIN(1,L3930/I3930)</x:f>
        <x:v>0.062474999999999996</x:v>
      </x:c>
      <x:c r="P3930" s="30" t="n">
        <x:f>O3930*J3930*(1+M3930)</x:f>
        <x:v>1.0308375</x:v>
      </x:c>
      <x:c r="Q3930" s="30" t="n">
        <x:f>P3930*N3930</x:f>
        <x:v>12.37005</x:v>
      </x:c>
      <x:c r="R3930" s="19" t="str">
        <x:v>独立判定</x:v>
      </x:c>
    </x:row>
    <x:row r="3931" ht="19" customHeight="1">
      <x:c r="A3931" s="19" t="str">
        <x:v>D03927</x:v>
      </x:c>
      <x:c r="B3931" s="19" t="n">
        <x:v>8</x:v>
      </x:c>
      <x:c r="C3931" s="19" t="n">
        <x:v>4</x:v>
      </x:c>
      <x:c r="D3931" s="19" t="str">
        <x:v>C08-M043</x:v>
      </x:c>
      <x:c r="E3931" s="19" t="str">
        <x:v>觐庭裂盔侯</x:v>
      </x:c>
      <x:c r="F3931" s="19" t="str">
        <x:v>稀有</x:v>
      </x:c>
      <x:c r="G3931" s="19" t="str">
        <x:v>材料独立候选</x:v>
      </x:c>
      <x:c r="H3931" s="19" t="str">
        <x:v>巨人火种</x:v>
      </x:c>
      <x:c r="I3931" s="22" t="n">
        <x:v>1500</x:v>
      </x:c>
      <x:c r="J3931" s="22" t="n">
        <x:v>1</x:v>
      </x:c>
      <x:c r="K3931" s="19" t="n">
        <x:v>1</x:v>
      </x:c>
      <x:c r="L3931" s="24" t="n">
        <x:v>62.474999999999994</x:v>
      </x:c>
      <x:c r="M3931" s="26" t="n">
        <x:v>0.1</x:v>
      </x:c>
      <x:c r="N3931" s="24" t="n">
        <x:v>12</x:v>
      </x:c>
      <x:c r="O3931" s="28" t="n">
        <x:f>MIN(1,L3931/I3931)</x:f>
        <x:v>0.04165</x:v>
      </x:c>
      <x:c r="P3931" s="30" t="n">
        <x:f>O3931*J3931*(1+M3931)</x:f>
        <x:v>0.045815</x:v>
      </x:c>
      <x:c r="Q3931" s="30" t="n">
        <x:f>P3931*N3931</x:f>
        <x:v>0.54978</x:v>
      </x:c>
      <x:c r="R3931" s="19" t="str">
        <x:v>独立判定</x:v>
      </x:c>
    </x:row>
    <x:row r="3932" ht="19" customHeight="1">
      <x:c r="A3932" s="19" t="str">
        <x:v>D03928</x:v>
      </x:c>
      <x:c r="B3932" s="19" t="n">
        <x:v>8</x:v>
      </x:c>
      <x:c r="C3932" s="19" t="n">
        <x:v>4</x:v>
      </x:c>
      <x:c r="D3932" s="19" t="str">
        <x:v>C08-M043</x:v>
      </x:c>
      <x:c r="E3932" s="19" t="str">
        <x:v>觐庭裂盔侯</x:v>
      </x:c>
      <x:c r="F3932" s="19" t="str">
        <x:v>稀有</x:v>
      </x:c>
      <x:c r="G3932" s="19" t="str">
        <x:v>材料独立候选</x:v>
      </x:c>
      <x:c r="H3932" s="19" t="str">
        <x:v>裂峰号角片</x:v>
      </x:c>
      <x:c r="I3932" s="22" t="n">
        <x:v>500</x:v>
      </x:c>
      <x:c r="J3932" s="22" t="n">
        <x:v>1</x:v>
      </x:c>
      <x:c r="K3932" s="19" t="n">
        <x:v>1</x:v>
      </x:c>
      <x:c r="L3932" s="24" t="n">
        <x:v>62.474999999999994</x:v>
      </x:c>
      <x:c r="M3932" s="26" t="n">
        <x:v>0.1</x:v>
      </x:c>
      <x:c r="N3932" s="24" t="n">
        <x:v>12</x:v>
      </x:c>
      <x:c r="O3932" s="28" t="n">
        <x:f>MIN(1,L3932/I3932)</x:f>
        <x:v>0.12494999999999999</x:v>
      </x:c>
      <x:c r="P3932" s="30" t="n">
        <x:f>O3932*J3932*(1+M3932)</x:f>
        <x:v>0.137445</x:v>
      </x:c>
      <x:c r="Q3932" s="30" t="n">
        <x:f>P3932*N3932</x:f>
        <x:v>1.64934</x:v>
      </x:c>
      <x:c r="R3932" s="19" t="str">
        <x:v>独立判定</x:v>
      </x:c>
    </x:row>
    <x:row r="3933" ht="19" customHeight="1">
      <x:c r="A3933" s="19" t="str">
        <x:v>D03929</x:v>
      </x:c>
      <x:c r="B3933" s="19" t="n">
        <x:v>8</x:v>
      </x:c>
      <x:c r="C3933" s="19" t="n">
        <x:v>4</x:v>
      </x:c>
      <x:c r="D3933" s="19" t="str">
        <x:v>C08-M043</x:v>
      </x:c>
      <x:c r="E3933" s="19" t="str">
        <x:v>觐庭裂盔侯</x:v>
      </x:c>
      <x:c r="F3933" s="19" t="str">
        <x:v>稀有</x:v>
      </x:c>
      <x:c r="G3933" s="19" t="str">
        <x:v>材料独立候选</x:v>
      </x:c>
      <x:c r="H3933" s="19" t="str">
        <x:v>穹霜碑珀</x:v>
      </x:c>
      <x:c r="I3933" s="22" t="n">
        <x:v>1800000</x:v>
      </x:c>
      <x:c r="J3933" s="22" t="n">
        <x:v>1</x:v>
      </x:c>
      <x:c r="K3933" s="19" t="n">
        <x:v>1</x:v>
      </x:c>
      <x:c r="L3933" s="24" t="n">
        <x:v>62.474999999999994</x:v>
      </x:c>
      <x:c r="M3933" s="26" t="n">
        <x:v>0.1</x:v>
      </x:c>
      <x:c r="N3933" s="24" t="n">
        <x:v>12</x:v>
      </x:c>
      <x:c r="O3933" s="28" t="n">
        <x:f>MIN(1,L3933/I3933)</x:f>
        <x:v>0.00003470833333333333</x:v>
      </x:c>
      <x:c r="P3933" s="30" t="n">
        <x:f>O3933*J3933*(1+M3933)</x:f>
        <x:v>0.00003817916666666666</x:v>
      </x:c>
      <x:c r="Q3933" s="30" t="n">
        <x:f>P3933*N3933</x:f>
        <x:v>0.00045814999999999994</x:v>
      </x:c>
      <x:c r="R3933" s="19" t="str">
        <x:v>独立判定</x:v>
      </x:c>
    </x:row>
    <x:row r="3934" ht="19" customHeight="1">
      <x:c r="A3934" s="19" t="str">
        <x:v>D03930</x:v>
      </x:c>
      <x:c r="B3934" s="19" t="n">
        <x:v>8</x:v>
      </x:c>
      <x:c r="C3934" s="19" t="n">
        <x:v>4</x:v>
      </x:c>
      <x:c r="D3934" s="19" t="str">
        <x:v>C08-M043</x:v>
      </x:c>
      <x:c r="E3934" s="19" t="str">
        <x:v>觐庭裂盔侯</x:v>
      </x:c>
      <x:c r="F3934" s="19" t="str">
        <x:v>稀有</x:v>
      </x:c>
      <x:c r="G3934" s="19" t="str">
        <x:v>材料独立候选</x:v>
      </x:c>
      <x:c r="H3934" s="19" t="str">
        <x:v>黄金树芽</x:v>
      </x:c>
      <x:c r="I3934" s="22" t="n">
        <x:v>2000</x:v>
      </x:c>
      <x:c r="J3934" s="22" t="n">
        <x:v>1</x:v>
      </x:c>
      <x:c r="K3934" s="19" t="n">
        <x:v>1</x:v>
      </x:c>
      <x:c r="L3934" s="24" t="n">
        <x:v>62.474999999999994</x:v>
      </x:c>
      <x:c r="M3934" s="26" t="n">
        <x:v>0.1</x:v>
      </x:c>
      <x:c r="N3934" s="24" t="n">
        <x:v>12</x:v>
      </x:c>
      <x:c r="O3934" s="28" t="n">
        <x:f>MIN(1,L3934/I3934)</x:f>
        <x:v>0.031237499999999998</x:v>
      </x:c>
      <x:c r="P3934" s="30" t="n">
        <x:f>O3934*J3934*(1+M3934)</x:f>
        <x:v>0.03436125</x:v>
      </x:c>
      <x:c r="Q3934" s="30" t="n">
        <x:f>P3934*N3934</x:f>
        <x:v>0.412335</x:v>
      </x:c>
      <x:c r="R3934" s="19" t="str">
        <x:v>独立判定</x:v>
      </x:c>
    </x:row>
    <x:row r="3935" ht="19" customHeight="1">
      <x:c r="A3935" s="19" t="str">
        <x:v>D03931</x:v>
      </x:c>
      <x:c r="B3935" s="19" t="n">
        <x:v>8</x:v>
      </x:c>
      <x:c r="C3935" s="19" t="n">
        <x:v>4</x:v>
      </x:c>
      <x:c r="D3935" s="19" t="str">
        <x:v>C08-M043</x:v>
      </x:c>
      <x:c r="E3935" s="19" t="str">
        <x:v>觐庭裂盔侯</x:v>
      </x:c>
      <x:c r="F3935" s="19" t="str">
        <x:v>稀有</x:v>
      </x:c>
      <x:c r="G3935" s="19" t="str">
        <x:v>材料独立候选</x:v>
      </x:c>
      <x:c r="H3935" s="19" t="str">
        <x:v>野兽骨片</x:v>
      </x:c>
      <x:c r="I3935" s="22" t="n">
        <x:v>180</x:v>
      </x:c>
      <x:c r="J3935" s="22" t="n">
        <x:v>5</x:v>
      </x:c>
      <x:c r="K3935" s="19" t="n">
        <x:v>1</x:v>
      </x:c>
      <x:c r="L3935" s="24" t="n">
        <x:v>62.474999999999994</x:v>
      </x:c>
      <x:c r="M3935" s="26" t="n">
        <x:v>0.1</x:v>
      </x:c>
      <x:c r="N3935" s="24" t="n">
        <x:v>12</x:v>
      </x:c>
      <x:c r="O3935" s="28" t="n">
        <x:f>MIN(1,L3935/I3935)</x:f>
        <x:v>0.3470833333333333</x:v>
      </x:c>
      <x:c r="P3935" s="30" t="n">
        <x:f>O3935*J3935*(1+M3935)</x:f>
        <x:v>1.9089583333333333</x:v>
      </x:c>
      <x:c r="Q3935" s="30" t="n">
        <x:f>P3935*N3935</x:f>
        <x:v>22.9075</x:v>
      </x:c>
      <x:c r="R3935" s="19" t="str">
        <x:v>独立判定</x:v>
      </x:c>
    </x:row>
    <x:row r="3936" ht="19" customHeight="1">
      <x:c r="A3936" s="19" t="str">
        <x:v>D03932</x:v>
      </x:c>
      <x:c r="B3936" s="19" t="n">
        <x:v>8</x:v>
      </x:c>
      <x:c r="C3936" s="19" t="n">
        <x:v>4</x:v>
      </x:c>
      <x:c r="D3936" s="19" t="str">
        <x:v>C08-M043</x:v>
      </x:c>
      <x:c r="E3936" s="19" t="str">
        <x:v>觐庭裂盔侯</x:v>
      </x:c>
      <x:c r="F3936" s="19" t="str">
        <x:v>稀有</x:v>
      </x:c>
      <x:c r="G3936" s="19" t="str">
        <x:v>材料独立候选</x:v>
      </x:c>
      <x:c r="H3936" s="19" t="str">
        <x:v>技能残页</x:v>
      </x:c>
      <x:c r="I3936" s="22" t="n">
        <x:v>1500</x:v>
      </x:c>
      <x:c r="J3936" s="22" t="n">
        <x:v>1</x:v>
      </x:c>
      <x:c r="K3936" s="19" t="n">
        <x:v>1</x:v>
      </x:c>
      <x:c r="L3936" s="24" t="n">
        <x:v>62.474999999999994</x:v>
      </x:c>
      <x:c r="M3936" s="26" t="n">
        <x:v>0.1</x:v>
      </x:c>
      <x:c r="N3936" s="24" t="n">
        <x:v>12</x:v>
      </x:c>
      <x:c r="O3936" s="28" t="n">
        <x:f>MIN(1,L3936/I3936)</x:f>
        <x:v>0.04165</x:v>
      </x:c>
      <x:c r="P3936" s="30" t="n">
        <x:f>O3936*J3936*(1+M3936)</x:f>
        <x:v>0.045815</x:v>
      </x:c>
      <x:c r="Q3936" s="30" t="n">
        <x:f>P3936*N3936</x:f>
        <x:v>0.54978</x:v>
      </x:c>
      <x:c r="R3936" s="19" t="str">
        <x:v>独立判定</x:v>
      </x:c>
    </x:row>
    <x:row r="3937" ht="19" customHeight="1">
      <x:c r="A3937" s="19" t="str">
        <x:v>D03933</x:v>
      </x:c>
      <x:c r="B3937" s="19" t="n">
        <x:v>8</x:v>
      </x:c>
      <x:c r="C3937" s="19" t="n">
        <x:v>4</x:v>
      </x:c>
      <x:c r="D3937" s="19" t="str">
        <x:v>C08-M043</x:v>
      </x:c>
      <x:c r="E3937" s="19" t="str">
        <x:v>觐庭裂盔侯</x:v>
      </x:c>
      <x:c r="F3937" s="19" t="str">
        <x:v>稀有</x:v>
      </x:c>
      <x:c r="G3937" s="19" t="str">
        <x:v>材料独立候选</x:v>
      </x:c>
      <x:c r="H3937" s="19" t="str">
        <x:v>小卢恩</x:v>
      </x:c>
      <x:c r="I3937" s="22" t="n">
        <x:v>12000</x:v>
      </x:c>
      <x:c r="J3937" s="22" t="n">
        <x:v>1</x:v>
      </x:c>
      <x:c r="K3937" s="19" t="n">
        <x:v>1</x:v>
      </x:c>
      <x:c r="L3937" s="24" t="n">
        <x:v>62.474999999999994</x:v>
      </x:c>
      <x:c r="M3937" s="26" t="n">
        <x:v>0.1</x:v>
      </x:c>
      <x:c r="N3937" s="24" t="n">
        <x:v>12</x:v>
      </x:c>
      <x:c r="O3937" s="28" t="n">
        <x:f>MIN(1,L3937/I3937)</x:f>
        <x:v>0.00520625</x:v>
      </x:c>
      <x:c r="P3937" s="30" t="n">
        <x:f>O3937*J3937*(1+M3937)</x:f>
        <x:v>0.005726875</x:v>
      </x:c>
      <x:c r="Q3937" s="30" t="n">
        <x:f>P3937*N3937</x:f>
        <x:v>0.0687225</x:v>
      </x:c>
      <x:c r="R3937" s="19" t="str">
        <x:v>独立判定</x:v>
      </x:c>
    </x:row>
    <x:row r="3938" ht="19" customHeight="1">
      <x:c r="A3938" s="19" t="str">
        <x:v>D03934</x:v>
      </x:c>
      <x:c r="B3938" s="19" t="n">
        <x:v>8</x:v>
      </x:c>
      <x:c r="C3938" s="19" t="n">
        <x:v>4</x:v>
      </x:c>
      <x:c r="D3938" s="19" t="str">
        <x:v>C08-M043</x:v>
      </x:c>
      <x:c r="E3938" s="19" t="str">
        <x:v>觐庭裂盔侯</x:v>
      </x:c>
      <x:c r="F3938" s="19" t="str">
        <x:v>稀有</x:v>
      </x:c>
      <x:c r="G3938" s="19" t="str">
        <x:v>六神器公共池</x:v>
      </x:c>
      <x:c r="H3938" s="19" t="str">
        <x:v>POOL006</x:v>
      </x:c>
      <x:c r="I3938" s="22" t="n">
        <x:v>5000000</x:v>
      </x:c>
      <x:c r="J3938" s="22" t="n">
        <x:v>1</x:v>
      </x:c>
      <x:c r="K3938" s="19" t="n">
        <x:v>6</x:v>
      </x:c>
      <x:c r="L3938" s="24" t="n">
        <x:v>62.474999999999994</x:v>
      </x:c>
      <x:c r="M3938" s="26" t="n">
        <x:v>0.1</x:v>
      </x:c>
      <x:c r="N3938" s="24" t="n">
        <x:v>12</x:v>
      </x:c>
      <x:c r="O3938" s="28" t="n">
        <x:f>MIN(1,L3938/I3938)</x:f>
        <x:v>0.000012494999999999998</x:v>
      </x:c>
      <x:c r="P3938" s="30" t="n">
        <x:f>O3938*J3938*(1+M3938)</x:f>
        <x:v>0.000013744499999999999</x:v>
      </x:c>
      <x:c r="Q3938" s="30" t="n">
        <x:f>P3938*N3938</x:f>
        <x:v>0.000164934</x:v>
      </x:c>
      <x:c r="R3938" s="19" t="str">
        <x:v>六选一；非6个独立爆率</x:v>
      </x:c>
    </x:row>
    <x:row r="3939" ht="19" customHeight="1">
      <x:c r="A3939" s="19" t="str">
        <x:v>D03935</x:v>
      </x:c>
      <x:c r="B3939" s="19" t="n">
        <x:v>8</x:v>
      </x:c>
      <x:c r="C3939" s="19" t="n">
        <x:v>4</x:v>
      </x:c>
      <x:c r="D3939" s="19" t="str">
        <x:v>C08-M044</x:v>
      </x:c>
      <x:c r="E3939" s="19" t="str">
        <x:v>内宫织雪妪</x:v>
      </x:c>
      <x:c r="F3939" s="19" t="str">
        <x:v>稀有</x:v>
      </x:c>
      <x:c r="G3939" s="19" t="str">
        <x:v>自身专属</x:v>
      </x:c>
      <x:c r="H3939" s="19" t="str">
        <x:v>织雪白绒笠</x:v>
      </x:c>
      <x:c r="I3939" s="22" t="n">
        <x:v>1500</x:v>
      </x:c>
      <x:c r="J3939" s="22" t="n">
        <x:v>1</x:v>
      </x:c>
      <x:c r="K3939" s="19" t="n">
        <x:v>1</x:v>
      </x:c>
      <x:c r="L3939" s="24" t="n">
        <x:v>62.474999999999994</x:v>
      </x:c>
      <x:c r="M3939" s="26" t="n">
        <x:v>0.1</x:v>
      </x:c>
      <x:c r="N3939" s="24" t="n">
        <x:v>12</x:v>
      </x:c>
      <x:c r="O3939" s="28" t="n">
        <x:f>MIN(1,L3939/I3939)</x:f>
        <x:v>0.04165</x:v>
      </x:c>
      <x:c r="P3939" s="30" t="n">
        <x:f>O3939*J3939*(1+M3939)</x:f>
        <x:v>0.045815</x:v>
      </x:c>
      <x:c r="Q3939" s="30" t="n">
        <x:f>P3939*N3939</x:f>
        <x:v>0.54978</x:v>
      </x:c>
      <x:c r="R3939" s="19" t="str">
        <x:v>独立判定</x:v>
      </x:c>
    </x:row>
    <x:row r="3940" ht="19" customHeight="1">
      <x:c r="A3940" s="19" t="str">
        <x:v>D03936</x:v>
      </x:c>
      <x:c r="B3940" s="19" t="n">
        <x:v>8</x:v>
      </x:c>
      <x:c r="C3940" s="19" t="n">
        <x:v>4</x:v>
      </x:c>
      <x:c r="D3940" s="19" t="str">
        <x:v>C08-M044</x:v>
      </x:c>
      <x:c r="E3940" s="19" t="str">
        <x:v>内宫织雪妪</x:v>
      </x:c>
      <x:c r="F3940" s="19" t="str">
        <x:v>稀有</x:v>
      </x:c>
      <x:c r="G3940" s="19" t="str">
        <x:v>材料独立候选</x:v>
      </x:c>
      <x:c r="H3940" s="19" t="str">
        <x:v>霜脊铁</x:v>
      </x:c>
      <x:c r="I3940" s="22" t="n">
        <x:v>1000</x:v>
      </x:c>
      <x:c r="J3940" s="22" t="n">
        <x:v>15</x:v>
      </x:c>
      <x:c r="K3940" s="19" t="n">
        <x:v>1</x:v>
      </x:c>
      <x:c r="L3940" s="24" t="n">
        <x:v>62.474999999999994</x:v>
      </x:c>
      <x:c r="M3940" s="26" t="n">
        <x:v>0.1</x:v>
      </x:c>
      <x:c r="N3940" s="24" t="n">
        <x:v>12</x:v>
      </x:c>
      <x:c r="O3940" s="28" t="n">
        <x:f>MIN(1,L3940/I3940)</x:f>
        <x:v>0.062474999999999996</x:v>
      </x:c>
      <x:c r="P3940" s="30" t="n">
        <x:f>O3940*J3940*(1+M3940)</x:f>
        <x:v>1.0308375</x:v>
      </x:c>
      <x:c r="Q3940" s="30" t="n">
        <x:f>P3940*N3940</x:f>
        <x:v>12.37005</x:v>
      </x:c>
      <x:c r="R3940" s="19" t="str">
        <x:v>独立判定</x:v>
      </x:c>
    </x:row>
    <x:row r="3941" ht="19" customHeight="1">
      <x:c r="A3941" s="19" t="str">
        <x:v>D03937</x:v>
      </x:c>
      <x:c r="B3941" s="19" t="n">
        <x:v>8</x:v>
      </x:c>
      <x:c r="C3941" s="19" t="n">
        <x:v>4</x:v>
      </x:c>
      <x:c r="D3941" s="19" t="str">
        <x:v>C08-M044</x:v>
      </x:c>
      <x:c r="E3941" s="19" t="str">
        <x:v>内宫织雪妪</x:v>
      </x:c>
      <x:c r="F3941" s="19" t="str">
        <x:v>稀有</x:v>
      </x:c>
      <x:c r="G3941" s="19" t="str">
        <x:v>材料独立候选</x:v>
      </x:c>
      <x:c r="H3941" s="19" t="str">
        <x:v>巨人火种</x:v>
      </x:c>
      <x:c r="I3941" s="22" t="n">
        <x:v>1500</x:v>
      </x:c>
      <x:c r="J3941" s="22" t="n">
        <x:v>1</x:v>
      </x:c>
      <x:c r="K3941" s="19" t="n">
        <x:v>1</x:v>
      </x:c>
      <x:c r="L3941" s="24" t="n">
        <x:v>62.474999999999994</x:v>
      </x:c>
      <x:c r="M3941" s="26" t="n">
        <x:v>0.1</x:v>
      </x:c>
      <x:c r="N3941" s="24" t="n">
        <x:v>12</x:v>
      </x:c>
      <x:c r="O3941" s="28" t="n">
        <x:f>MIN(1,L3941/I3941)</x:f>
        <x:v>0.04165</x:v>
      </x:c>
      <x:c r="P3941" s="30" t="n">
        <x:f>O3941*J3941*(1+M3941)</x:f>
        <x:v>0.045815</x:v>
      </x:c>
      <x:c r="Q3941" s="30" t="n">
        <x:f>P3941*N3941</x:f>
        <x:v>0.54978</x:v>
      </x:c>
      <x:c r="R3941" s="19" t="str">
        <x:v>独立判定</x:v>
      </x:c>
    </x:row>
    <x:row r="3942" ht="19" customHeight="1">
      <x:c r="A3942" s="19" t="str">
        <x:v>D03938</x:v>
      </x:c>
      <x:c r="B3942" s="19" t="n">
        <x:v>8</x:v>
      </x:c>
      <x:c r="C3942" s="19" t="n">
        <x:v>4</x:v>
      </x:c>
      <x:c r="D3942" s="19" t="str">
        <x:v>C08-M044</x:v>
      </x:c>
      <x:c r="E3942" s="19" t="str">
        <x:v>内宫织雪妪</x:v>
      </x:c>
      <x:c r="F3942" s="19" t="str">
        <x:v>稀有</x:v>
      </x:c>
      <x:c r="G3942" s="19" t="str">
        <x:v>材料独立候选</x:v>
      </x:c>
      <x:c r="H3942" s="19" t="str">
        <x:v>裂峰号角片</x:v>
      </x:c>
      <x:c r="I3942" s="22" t="n">
        <x:v>500</x:v>
      </x:c>
      <x:c r="J3942" s="22" t="n">
        <x:v>1</x:v>
      </x:c>
      <x:c r="K3942" s="19" t="n">
        <x:v>1</x:v>
      </x:c>
      <x:c r="L3942" s="24" t="n">
        <x:v>62.474999999999994</x:v>
      </x:c>
      <x:c r="M3942" s="26" t="n">
        <x:v>0.1</x:v>
      </x:c>
      <x:c r="N3942" s="24" t="n">
        <x:v>12</x:v>
      </x:c>
      <x:c r="O3942" s="28" t="n">
        <x:f>MIN(1,L3942/I3942)</x:f>
        <x:v>0.12494999999999999</x:v>
      </x:c>
      <x:c r="P3942" s="30" t="n">
        <x:f>O3942*J3942*(1+M3942)</x:f>
        <x:v>0.137445</x:v>
      </x:c>
      <x:c r="Q3942" s="30" t="n">
        <x:f>P3942*N3942</x:f>
        <x:v>1.64934</x:v>
      </x:c>
      <x:c r="R3942" s="19" t="str">
        <x:v>独立判定</x:v>
      </x:c>
    </x:row>
    <x:row r="3943" ht="19" customHeight="1">
      <x:c r="A3943" s="19" t="str">
        <x:v>D03939</x:v>
      </x:c>
      <x:c r="B3943" s="19" t="n">
        <x:v>8</x:v>
      </x:c>
      <x:c r="C3943" s="19" t="n">
        <x:v>4</x:v>
      </x:c>
      <x:c r="D3943" s="19" t="str">
        <x:v>C08-M044</x:v>
      </x:c>
      <x:c r="E3943" s="19" t="str">
        <x:v>内宫织雪妪</x:v>
      </x:c>
      <x:c r="F3943" s="19" t="str">
        <x:v>稀有</x:v>
      </x:c>
      <x:c r="G3943" s="19" t="str">
        <x:v>材料独立候选</x:v>
      </x:c>
      <x:c r="H3943" s="19" t="str">
        <x:v>穹霜碑珀</x:v>
      </x:c>
      <x:c r="I3943" s="22" t="n">
        <x:v>1800000</x:v>
      </x:c>
      <x:c r="J3943" s="22" t="n">
        <x:v>1</x:v>
      </x:c>
      <x:c r="K3943" s="19" t="n">
        <x:v>1</x:v>
      </x:c>
      <x:c r="L3943" s="24" t="n">
        <x:v>62.474999999999994</x:v>
      </x:c>
      <x:c r="M3943" s="26" t="n">
        <x:v>0.1</x:v>
      </x:c>
      <x:c r="N3943" s="24" t="n">
        <x:v>12</x:v>
      </x:c>
      <x:c r="O3943" s="28" t="n">
        <x:f>MIN(1,L3943/I3943)</x:f>
        <x:v>0.00003470833333333333</x:v>
      </x:c>
      <x:c r="P3943" s="30" t="n">
        <x:f>O3943*J3943*(1+M3943)</x:f>
        <x:v>0.00003817916666666666</x:v>
      </x:c>
      <x:c r="Q3943" s="30" t="n">
        <x:f>P3943*N3943</x:f>
        <x:v>0.00045814999999999994</x:v>
      </x:c>
      <x:c r="R3943" s="19" t="str">
        <x:v>独立判定</x:v>
      </x:c>
    </x:row>
    <x:row r="3944" ht="19" customHeight="1">
      <x:c r="A3944" s="19" t="str">
        <x:v>D03940</x:v>
      </x:c>
      <x:c r="B3944" s="19" t="n">
        <x:v>8</x:v>
      </x:c>
      <x:c r="C3944" s="19" t="n">
        <x:v>4</x:v>
      </x:c>
      <x:c r="D3944" s="19" t="str">
        <x:v>C08-M044</x:v>
      </x:c>
      <x:c r="E3944" s="19" t="str">
        <x:v>内宫织雪妪</x:v>
      </x:c>
      <x:c r="F3944" s="19" t="str">
        <x:v>稀有</x:v>
      </x:c>
      <x:c r="G3944" s="19" t="str">
        <x:v>材料独立候选</x:v>
      </x:c>
      <x:c r="H3944" s="19" t="str">
        <x:v>黄金树芽</x:v>
      </x:c>
      <x:c r="I3944" s="22" t="n">
        <x:v>2000</x:v>
      </x:c>
      <x:c r="J3944" s="22" t="n">
        <x:v>1</x:v>
      </x:c>
      <x:c r="K3944" s="19" t="n">
        <x:v>1</x:v>
      </x:c>
      <x:c r="L3944" s="24" t="n">
        <x:v>62.474999999999994</x:v>
      </x:c>
      <x:c r="M3944" s="26" t="n">
        <x:v>0.1</x:v>
      </x:c>
      <x:c r="N3944" s="24" t="n">
        <x:v>12</x:v>
      </x:c>
      <x:c r="O3944" s="28" t="n">
        <x:f>MIN(1,L3944/I3944)</x:f>
        <x:v>0.031237499999999998</x:v>
      </x:c>
      <x:c r="P3944" s="30" t="n">
        <x:f>O3944*J3944*(1+M3944)</x:f>
        <x:v>0.03436125</x:v>
      </x:c>
      <x:c r="Q3944" s="30" t="n">
        <x:f>P3944*N3944</x:f>
        <x:v>0.412335</x:v>
      </x:c>
      <x:c r="R3944" s="19" t="str">
        <x:v>独立判定</x:v>
      </x:c>
    </x:row>
    <x:row r="3945" ht="19" customHeight="1">
      <x:c r="A3945" s="19" t="str">
        <x:v>D03941</x:v>
      </x:c>
      <x:c r="B3945" s="19" t="n">
        <x:v>8</x:v>
      </x:c>
      <x:c r="C3945" s="19" t="n">
        <x:v>4</x:v>
      </x:c>
      <x:c r="D3945" s="19" t="str">
        <x:v>C08-M044</x:v>
      </x:c>
      <x:c r="E3945" s="19" t="str">
        <x:v>内宫织雪妪</x:v>
      </x:c>
      <x:c r="F3945" s="19" t="str">
        <x:v>稀有</x:v>
      </x:c>
      <x:c r="G3945" s="19" t="str">
        <x:v>材料独立候选</x:v>
      </x:c>
      <x:c r="H3945" s="19" t="str">
        <x:v>野兽骨片</x:v>
      </x:c>
      <x:c r="I3945" s="22" t="n">
        <x:v>180</x:v>
      </x:c>
      <x:c r="J3945" s="22" t="n">
        <x:v>5</x:v>
      </x:c>
      <x:c r="K3945" s="19" t="n">
        <x:v>1</x:v>
      </x:c>
      <x:c r="L3945" s="24" t="n">
        <x:v>62.474999999999994</x:v>
      </x:c>
      <x:c r="M3945" s="26" t="n">
        <x:v>0.1</x:v>
      </x:c>
      <x:c r="N3945" s="24" t="n">
        <x:v>12</x:v>
      </x:c>
      <x:c r="O3945" s="28" t="n">
        <x:f>MIN(1,L3945/I3945)</x:f>
        <x:v>0.3470833333333333</x:v>
      </x:c>
      <x:c r="P3945" s="30" t="n">
        <x:f>O3945*J3945*(1+M3945)</x:f>
        <x:v>1.9089583333333333</x:v>
      </x:c>
      <x:c r="Q3945" s="30" t="n">
        <x:f>P3945*N3945</x:f>
        <x:v>22.9075</x:v>
      </x:c>
      <x:c r="R3945" s="19" t="str">
        <x:v>独立判定</x:v>
      </x:c>
    </x:row>
    <x:row r="3946" ht="19" customHeight="1">
      <x:c r="A3946" s="19" t="str">
        <x:v>D03942</x:v>
      </x:c>
      <x:c r="B3946" s="19" t="n">
        <x:v>8</x:v>
      </x:c>
      <x:c r="C3946" s="19" t="n">
        <x:v>4</x:v>
      </x:c>
      <x:c r="D3946" s="19" t="str">
        <x:v>C08-M044</x:v>
      </x:c>
      <x:c r="E3946" s="19" t="str">
        <x:v>内宫织雪妪</x:v>
      </x:c>
      <x:c r="F3946" s="19" t="str">
        <x:v>稀有</x:v>
      </x:c>
      <x:c r="G3946" s="19" t="str">
        <x:v>材料独立候选</x:v>
      </x:c>
      <x:c r="H3946" s="19" t="str">
        <x:v>技能残页</x:v>
      </x:c>
      <x:c r="I3946" s="22" t="n">
        <x:v>1500</x:v>
      </x:c>
      <x:c r="J3946" s="22" t="n">
        <x:v>1</x:v>
      </x:c>
      <x:c r="K3946" s="19" t="n">
        <x:v>1</x:v>
      </x:c>
      <x:c r="L3946" s="24" t="n">
        <x:v>62.474999999999994</x:v>
      </x:c>
      <x:c r="M3946" s="26" t="n">
        <x:v>0.1</x:v>
      </x:c>
      <x:c r="N3946" s="24" t="n">
        <x:v>12</x:v>
      </x:c>
      <x:c r="O3946" s="28" t="n">
        <x:f>MIN(1,L3946/I3946)</x:f>
        <x:v>0.04165</x:v>
      </x:c>
      <x:c r="P3946" s="30" t="n">
        <x:f>O3946*J3946*(1+M3946)</x:f>
        <x:v>0.045815</x:v>
      </x:c>
      <x:c r="Q3946" s="30" t="n">
        <x:f>P3946*N3946</x:f>
        <x:v>0.54978</x:v>
      </x:c>
      <x:c r="R3946" s="19" t="str">
        <x:v>独立判定</x:v>
      </x:c>
    </x:row>
    <x:row r="3947" ht="19" customHeight="1">
      <x:c r="A3947" s="19" t="str">
        <x:v>D03943</x:v>
      </x:c>
      <x:c r="B3947" s="19" t="n">
        <x:v>8</x:v>
      </x:c>
      <x:c r="C3947" s="19" t="n">
        <x:v>4</x:v>
      </x:c>
      <x:c r="D3947" s="19" t="str">
        <x:v>C08-M044</x:v>
      </x:c>
      <x:c r="E3947" s="19" t="str">
        <x:v>内宫织雪妪</x:v>
      </x:c>
      <x:c r="F3947" s="19" t="str">
        <x:v>稀有</x:v>
      </x:c>
      <x:c r="G3947" s="19" t="str">
        <x:v>材料独立候选</x:v>
      </x:c>
      <x:c r="H3947" s="19" t="str">
        <x:v>小卢恩</x:v>
      </x:c>
      <x:c r="I3947" s="22" t="n">
        <x:v>12000</x:v>
      </x:c>
      <x:c r="J3947" s="22" t="n">
        <x:v>1</x:v>
      </x:c>
      <x:c r="K3947" s="19" t="n">
        <x:v>1</x:v>
      </x:c>
      <x:c r="L3947" s="24" t="n">
        <x:v>62.474999999999994</x:v>
      </x:c>
      <x:c r="M3947" s="26" t="n">
        <x:v>0.1</x:v>
      </x:c>
      <x:c r="N3947" s="24" t="n">
        <x:v>12</x:v>
      </x:c>
      <x:c r="O3947" s="28" t="n">
        <x:f>MIN(1,L3947/I3947)</x:f>
        <x:v>0.00520625</x:v>
      </x:c>
      <x:c r="P3947" s="30" t="n">
        <x:f>O3947*J3947*(1+M3947)</x:f>
        <x:v>0.005726875</x:v>
      </x:c>
      <x:c r="Q3947" s="30" t="n">
        <x:f>P3947*N3947</x:f>
        <x:v>0.0687225</x:v>
      </x:c>
      <x:c r="R3947" s="19" t="str">
        <x:v>独立判定</x:v>
      </x:c>
    </x:row>
    <x:row r="3948" ht="19" customHeight="1">
      <x:c r="A3948" s="19" t="str">
        <x:v>D03944</x:v>
      </x:c>
      <x:c r="B3948" s="19" t="n">
        <x:v>8</x:v>
      </x:c>
      <x:c r="C3948" s="19" t="n">
        <x:v>4</x:v>
      </x:c>
      <x:c r="D3948" s="19" t="str">
        <x:v>C08-M044</x:v>
      </x:c>
      <x:c r="E3948" s="19" t="str">
        <x:v>内宫织雪妪</x:v>
      </x:c>
      <x:c r="F3948" s="19" t="str">
        <x:v>稀有</x:v>
      </x:c>
      <x:c r="G3948" s="19" t="str">
        <x:v>六神器公共池</x:v>
      </x:c>
      <x:c r="H3948" s="19" t="str">
        <x:v>POOL006</x:v>
      </x:c>
      <x:c r="I3948" s="22" t="n">
        <x:v>5000000</x:v>
      </x:c>
      <x:c r="J3948" s="22" t="n">
        <x:v>1</x:v>
      </x:c>
      <x:c r="K3948" s="19" t="n">
        <x:v>6</x:v>
      </x:c>
      <x:c r="L3948" s="24" t="n">
        <x:v>62.474999999999994</x:v>
      </x:c>
      <x:c r="M3948" s="26" t="n">
        <x:v>0.1</x:v>
      </x:c>
      <x:c r="N3948" s="24" t="n">
        <x:v>12</x:v>
      </x:c>
      <x:c r="O3948" s="28" t="n">
        <x:f>MIN(1,L3948/I3948)</x:f>
        <x:v>0.000012494999999999998</x:v>
      </x:c>
      <x:c r="P3948" s="30" t="n">
        <x:f>O3948*J3948*(1+M3948)</x:f>
        <x:v>0.000013744499999999999</x:v>
      </x:c>
      <x:c r="Q3948" s="30" t="n">
        <x:f>P3948*N3948</x:f>
        <x:v>0.000164934</x:v>
      </x:c>
      <x:c r="R3948" s="19" t="str">
        <x:v>六选一；非6个独立爆率</x:v>
      </x:c>
    </x:row>
    <x:row r="3949" ht="19" customHeight="1">
      <x:c r="A3949" s="19" t="str">
        <x:v>D03945</x:v>
      </x:c>
      <x:c r="B3949" s="19" t="n">
        <x:v>8</x:v>
      </x:c>
      <x:c r="C3949" s="19" t="n">
        <x:v>4</x:v>
      </x:c>
      <x:c r="D3949" s="19" t="str">
        <x:v>C08-M045</x:v>
      </x:c>
      <x:c r="E3949" s="19" t="str">
        <x:v>雪域封门将</x:v>
      </x:c>
      <x:c r="F3949" s="19" t="str">
        <x:v>稀有</x:v>
      </x:c>
      <x:c r="G3949" s="19" t="str">
        <x:v>自身专属</x:v>
      </x:c>
      <x:c r="H3949" s="19" t="str">
        <x:v>封门玄冰带</x:v>
      </x:c>
      <x:c r="I3949" s="22" t="n">
        <x:v>1500</x:v>
      </x:c>
      <x:c r="J3949" s="22" t="n">
        <x:v>1</x:v>
      </x:c>
      <x:c r="K3949" s="19" t="n">
        <x:v>1</x:v>
      </x:c>
      <x:c r="L3949" s="24" t="n">
        <x:v>62.474999999999994</x:v>
      </x:c>
      <x:c r="M3949" s="26" t="n">
        <x:v>0.1</x:v>
      </x:c>
      <x:c r="N3949" s="24" t="n">
        <x:v>12</x:v>
      </x:c>
      <x:c r="O3949" s="28" t="n">
        <x:f>MIN(1,L3949/I3949)</x:f>
        <x:v>0.04165</x:v>
      </x:c>
      <x:c r="P3949" s="30" t="n">
        <x:f>O3949*J3949*(1+M3949)</x:f>
        <x:v>0.045815</x:v>
      </x:c>
      <x:c r="Q3949" s="30" t="n">
        <x:f>P3949*N3949</x:f>
        <x:v>0.54978</x:v>
      </x:c>
      <x:c r="R3949" s="19" t="str">
        <x:v>独立判定</x:v>
      </x:c>
    </x:row>
    <x:row r="3950" ht="19" customHeight="1">
      <x:c r="A3950" s="19" t="str">
        <x:v>D03946</x:v>
      </x:c>
      <x:c r="B3950" s="19" t="n">
        <x:v>8</x:v>
      </x:c>
      <x:c r="C3950" s="19" t="n">
        <x:v>4</x:v>
      </x:c>
      <x:c r="D3950" s="19" t="str">
        <x:v>C08-M045</x:v>
      </x:c>
      <x:c r="E3950" s="19" t="str">
        <x:v>雪域封门将</x:v>
      </x:c>
      <x:c r="F3950" s="19" t="str">
        <x:v>稀有</x:v>
      </x:c>
      <x:c r="G3950" s="19" t="str">
        <x:v>材料独立候选</x:v>
      </x:c>
      <x:c r="H3950" s="19" t="str">
        <x:v>霜脊铁</x:v>
      </x:c>
      <x:c r="I3950" s="22" t="n">
        <x:v>1000</x:v>
      </x:c>
      <x:c r="J3950" s="22" t="n">
        <x:v>15</x:v>
      </x:c>
      <x:c r="K3950" s="19" t="n">
        <x:v>1</x:v>
      </x:c>
      <x:c r="L3950" s="24" t="n">
        <x:v>62.474999999999994</x:v>
      </x:c>
      <x:c r="M3950" s="26" t="n">
        <x:v>0.1</x:v>
      </x:c>
      <x:c r="N3950" s="24" t="n">
        <x:v>12</x:v>
      </x:c>
      <x:c r="O3950" s="28" t="n">
        <x:f>MIN(1,L3950/I3950)</x:f>
        <x:v>0.062474999999999996</x:v>
      </x:c>
      <x:c r="P3950" s="30" t="n">
        <x:f>O3950*J3950*(1+M3950)</x:f>
        <x:v>1.0308375</x:v>
      </x:c>
      <x:c r="Q3950" s="30" t="n">
        <x:f>P3950*N3950</x:f>
        <x:v>12.37005</x:v>
      </x:c>
      <x:c r="R3950" s="19" t="str">
        <x:v>独立判定</x:v>
      </x:c>
    </x:row>
    <x:row r="3951" ht="19" customHeight="1">
      <x:c r="A3951" s="19" t="str">
        <x:v>D03947</x:v>
      </x:c>
      <x:c r="B3951" s="19" t="n">
        <x:v>8</x:v>
      </x:c>
      <x:c r="C3951" s="19" t="n">
        <x:v>4</x:v>
      </x:c>
      <x:c r="D3951" s="19" t="str">
        <x:v>C08-M045</x:v>
      </x:c>
      <x:c r="E3951" s="19" t="str">
        <x:v>雪域封门将</x:v>
      </x:c>
      <x:c r="F3951" s="19" t="str">
        <x:v>稀有</x:v>
      </x:c>
      <x:c r="G3951" s="19" t="str">
        <x:v>材料独立候选</x:v>
      </x:c>
      <x:c r="H3951" s="19" t="str">
        <x:v>巨人火种</x:v>
      </x:c>
      <x:c r="I3951" s="22" t="n">
        <x:v>1500</x:v>
      </x:c>
      <x:c r="J3951" s="22" t="n">
        <x:v>1</x:v>
      </x:c>
      <x:c r="K3951" s="19" t="n">
        <x:v>1</x:v>
      </x:c>
      <x:c r="L3951" s="24" t="n">
        <x:v>62.474999999999994</x:v>
      </x:c>
      <x:c r="M3951" s="26" t="n">
        <x:v>0.1</x:v>
      </x:c>
      <x:c r="N3951" s="24" t="n">
        <x:v>12</x:v>
      </x:c>
      <x:c r="O3951" s="28" t="n">
        <x:f>MIN(1,L3951/I3951)</x:f>
        <x:v>0.04165</x:v>
      </x:c>
      <x:c r="P3951" s="30" t="n">
        <x:f>O3951*J3951*(1+M3951)</x:f>
        <x:v>0.045815</x:v>
      </x:c>
      <x:c r="Q3951" s="30" t="n">
        <x:f>P3951*N3951</x:f>
        <x:v>0.54978</x:v>
      </x:c>
      <x:c r="R3951" s="19" t="str">
        <x:v>独立判定</x:v>
      </x:c>
    </x:row>
    <x:row r="3952" ht="19" customHeight="1">
      <x:c r="A3952" s="19" t="str">
        <x:v>D03948</x:v>
      </x:c>
      <x:c r="B3952" s="19" t="n">
        <x:v>8</x:v>
      </x:c>
      <x:c r="C3952" s="19" t="n">
        <x:v>4</x:v>
      </x:c>
      <x:c r="D3952" s="19" t="str">
        <x:v>C08-M045</x:v>
      </x:c>
      <x:c r="E3952" s="19" t="str">
        <x:v>雪域封门将</x:v>
      </x:c>
      <x:c r="F3952" s="19" t="str">
        <x:v>稀有</x:v>
      </x:c>
      <x:c r="G3952" s="19" t="str">
        <x:v>材料独立候选</x:v>
      </x:c>
      <x:c r="H3952" s="19" t="str">
        <x:v>裂峰号角片</x:v>
      </x:c>
      <x:c r="I3952" s="22" t="n">
        <x:v>500</x:v>
      </x:c>
      <x:c r="J3952" s="22" t="n">
        <x:v>1</x:v>
      </x:c>
      <x:c r="K3952" s="19" t="n">
        <x:v>1</x:v>
      </x:c>
      <x:c r="L3952" s="24" t="n">
        <x:v>62.474999999999994</x:v>
      </x:c>
      <x:c r="M3952" s="26" t="n">
        <x:v>0.1</x:v>
      </x:c>
      <x:c r="N3952" s="24" t="n">
        <x:v>12</x:v>
      </x:c>
      <x:c r="O3952" s="28" t="n">
        <x:f>MIN(1,L3952/I3952)</x:f>
        <x:v>0.12494999999999999</x:v>
      </x:c>
      <x:c r="P3952" s="30" t="n">
        <x:f>O3952*J3952*(1+M3952)</x:f>
        <x:v>0.137445</x:v>
      </x:c>
      <x:c r="Q3952" s="30" t="n">
        <x:f>P3952*N3952</x:f>
        <x:v>1.64934</x:v>
      </x:c>
      <x:c r="R3952" s="19" t="str">
        <x:v>独立判定</x:v>
      </x:c>
    </x:row>
    <x:row r="3953" ht="19" customHeight="1">
      <x:c r="A3953" s="19" t="str">
        <x:v>D03949</x:v>
      </x:c>
      <x:c r="B3953" s="19" t="n">
        <x:v>8</x:v>
      </x:c>
      <x:c r="C3953" s="19" t="n">
        <x:v>4</x:v>
      </x:c>
      <x:c r="D3953" s="19" t="str">
        <x:v>C08-M045</x:v>
      </x:c>
      <x:c r="E3953" s="19" t="str">
        <x:v>雪域封门将</x:v>
      </x:c>
      <x:c r="F3953" s="19" t="str">
        <x:v>稀有</x:v>
      </x:c>
      <x:c r="G3953" s="19" t="str">
        <x:v>材料独立候选</x:v>
      </x:c>
      <x:c r="H3953" s="19" t="str">
        <x:v>穹霜碑珀</x:v>
      </x:c>
      <x:c r="I3953" s="22" t="n">
        <x:v>1800000</x:v>
      </x:c>
      <x:c r="J3953" s="22" t="n">
        <x:v>1</x:v>
      </x:c>
      <x:c r="K3953" s="19" t="n">
        <x:v>1</x:v>
      </x:c>
      <x:c r="L3953" s="24" t="n">
        <x:v>62.474999999999994</x:v>
      </x:c>
      <x:c r="M3953" s="26" t="n">
        <x:v>0.1</x:v>
      </x:c>
      <x:c r="N3953" s="24" t="n">
        <x:v>12</x:v>
      </x:c>
      <x:c r="O3953" s="28" t="n">
        <x:f>MIN(1,L3953/I3953)</x:f>
        <x:v>0.00003470833333333333</x:v>
      </x:c>
      <x:c r="P3953" s="30" t="n">
        <x:f>O3953*J3953*(1+M3953)</x:f>
        <x:v>0.00003817916666666666</x:v>
      </x:c>
      <x:c r="Q3953" s="30" t="n">
        <x:f>P3953*N3953</x:f>
        <x:v>0.00045814999999999994</x:v>
      </x:c>
      <x:c r="R3953" s="19" t="str">
        <x:v>独立判定</x:v>
      </x:c>
    </x:row>
    <x:row r="3954" ht="19" customHeight="1">
      <x:c r="A3954" s="19" t="str">
        <x:v>D03950</x:v>
      </x:c>
      <x:c r="B3954" s="19" t="n">
        <x:v>8</x:v>
      </x:c>
      <x:c r="C3954" s="19" t="n">
        <x:v>4</x:v>
      </x:c>
      <x:c r="D3954" s="19" t="str">
        <x:v>C08-M045</x:v>
      </x:c>
      <x:c r="E3954" s="19" t="str">
        <x:v>雪域封门将</x:v>
      </x:c>
      <x:c r="F3954" s="19" t="str">
        <x:v>稀有</x:v>
      </x:c>
      <x:c r="G3954" s="19" t="str">
        <x:v>材料独立候选</x:v>
      </x:c>
      <x:c r="H3954" s="19" t="str">
        <x:v>黄金树芽</x:v>
      </x:c>
      <x:c r="I3954" s="22" t="n">
        <x:v>2000</x:v>
      </x:c>
      <x:c r="J3954" s="22" t="n">
        <x:v>1</x:v>
      </x:c>
      <x:c r="K3954" s="19" t="n">
        <x:v>1</x:v>
      </x:c>
      <x:c r="L3954" s="24" t="n">
        <x:v>62.474999999999994</x:v>
      </x:c>
      <x:c r="M3954" s="26" t="n">
        <x:v>0.1</x:v>
      </x:c>
      <x:c r="N3954" s="24" t="n">
        <x:v>12</x:v>
      </x:c>
      <x:c r="O3954" s="28" t="n">
        <x:f>MIN(1,L3954/I3954)</x:f>
        <x:v>0.031237499999999998</x:v>
      </x:c>
      <x:c r="P3954" s="30" t="n">
        <x:f>O3954*J3954*(1+M3954)</x:f>
        <x:v>0.03436125</x:v>
      </x:c>
      <x:c r="Q3954" s="30" t="n">
        <x:f>P3954*N3954</x:f>
        <x:v>0.412335</x:v>
      </x:c>
      <x:c r="R3954" s="19" t="str">
        <x:v>独立判定</x:v>
      </x:c>
    </x:row>
    <x:row r="3955" ht="19" customHeight="1">
      <x:c r="A3955" s="19" t="str">
        <x:v>D03951</x:v>
      </x:c>
      <x:c r="B3955" s="19" t="n">
        <x:v>8</x:v>
      </x:c>
      <x:c r="C3955" s="19" t="n">
        <x:v>4</x:v>
      </x:c>
      <x:c r="D3955" s="19" t="str">
        <x:v>C08-M045</x:v>
      </x:c>
      <x:c r="E3955" s="19" t="str">
        <x:v>雪域封门将</x:v>
      </x:c>
      <x:c r="F3955" s="19" t="str">
        <x:v>稀有</x:v>
      </x:c>
      <x:c r="G3955" s="19" t="str">
        <x:v>材料独立候选</x:v>
      </x:c>
      <x:c r="H3955" s="19" t="str">
        <x:v>野兽骨片</x:v>
      </x:c>
      <x:c r="I3955" s="22" t="n">
        <x:v>180</x:v>
      </x:c>
      <x:c r="J3955" s="22" t="n">
        <x:v>5</x:v>
      </x:c>
      <x:c r="K3955" s="19" t="n">
        <x:v>1</x:v>
      </x:c>
      <x:c r="L3955" s="24" t="n">
        <x:v>62.474999999999994</x:v>
      </x:c>
      <x:c r="M3955" s="26" t="n">
        <x:v>0.1</x:v>
      </x:c>
      <x:c r="N3955" s="24" t="n">
        <x:v>12</x:v>
      </x:c>
      <x:c r="O3955" s="28" t="n">
        <x:f>MIN(1,L3955/I3955)</x:f>
        <x:v>0.3470833333333333</x:v>
      </x:c>
      <x:c r="P3955" s="30" t="n">
        <x:f>O3955*J3955*(1+M3955)</x:f>
        <x:v>1.9089583333333333</x:v>
      </x:c>
      <x:c r="Q3955" s="30" t="n">
        <x:f>P3955*N3955</x:f>
        <x:v>22.9075</x:v>
      </x:c>
      <x:c r="R3955" s="19" t="str">
        <x:v>独立判定</x:v>
      </x:c>
    </x:row>
    <x:row r="3956" ht="19" customHeight="1">
      <x:c r="A3956" s="19" t="str">
        <x:v>D03952</x:v>
      </x:c>
      <x:c r="B3956" s="19" t="n">
        <x:v>8</x:v>
      </x:c>
      <x:c r="C3956" s="19" t="n">
        <x:v>4</x:v>
      </x:c>
      <x:c r="D3956" s="19" t="str">
        <x:v>C08-M045</x:v>
      </x:c>
      <x:c r="E3956" s="19" t="str">
        <x:v>雪域封门将</x:v>
      </x:c>
      <x:c r="F3956" s="19" t="str">
        <x:v>稀有</x:v>
      </x:c>
      <x:c r="G3956" s="19" t="str">
        <x:v>材料独立候选</x:v>
      </x:c>
      <x:c r="H3956" s="19" t="str">
        <x:v>技能残页</x:v>
      </x:c>
      <x:c r="I3956" s="22" t="n">
        <x:v>1500</x:v>
      </x:c>
      <x:c r="J3956" s="22" t="n">
        <x:v>1</x:v>
      </x:c>
      <x:c r="K3956" s="19" t="n">
        <x:v>1</x:v>
      </x:c>
      <x:c r="L3956" s="24" t="n">
        <x:v>62.474999999999994</x:v>
      </x:c>
      <x:c r="M3956" s="26" t="n">
        <x:v>0.1</x:v>
      </x:c>
      <x:c r="N3956" s="24" t="n">
        <x:v>12</x:v>
      </x:c>
      <x:c r="O3956" s="28" t="n">
        <x:f>MIN(1,L3956/I3956)</x:f>
        <x:v>0.04165</x:v>
      </x:c>
      <x:c r="P3956" s="30" t="n">
        <x:f>O3956*J3956*(1+M3956)</x:f>
        <x:v>0.045815</x:v>
      </x:c>
      <x:c r="Q3956" s="30" t="n">
        <x:f>P3956*N3956</x:f>
        <x:v>0.54978</x:v>
      </x:c>
      <x:c r="R3956" s="19" t="str">
        <x:v>独立判定</x:v>
      </x:c>
    </x:row>
    <x:row r="3957" ht="19" customHeight="1">
      <x:c r="A3957" s="19" t="str">
        <x:v>D03953</x:v>
      </x:c>
      <x:c r="B3957" s="19" t="n">
        <x:v>8</x:v>
      </x:c>
      <x:c r="C3957" s="19" t="n">
        <x:v>4</x:v>
      </x:c>
      <x:c r="D3957" s="19" t="str">
        <x:v>C08-M045</x:v>
      </x:c>
      <x:c r="E3957" s="19" t="str">
        <x:v>雪域封门将</x:v>
      </x:c>
      <x:c r="F3957" s="19" t="str">
        <x:v>稀有</x:v>
      </x:c>
      <x:c r="G3957" s="19" t="str">
        <x:v>材料独立候选</x:v>
      </x:c>
      <x:c r="H3957" s="19" t="str">
        <x:v>小卢恩</x:v>
      </x:c>
      <x:c r="I3957" s="22" t="n">
        <x:v>12000</x:v>
      </x:c>
      <x:c r="J3957" s="22" t="n">
        <x:v>1</x:v>
      </x:c>
      <x:c r="K3957" s="19" t="n">
        <x:v>1</x:v>
      </x:c>
      <x:c r="L3957" s="24" t="n">
        <x:v>62.474999999999994</x:v>
      </x:c>
      <x:c r="M3957" s="26" t="n">
        <x:v>0.1</x:v>
      </x:c>
      <x:c r="N3957" s="24" t="n">
        <x:v>12</x:v>
      </x:c>
      <x:c r="O3957" s="28" t="n">
        <x:f>MIN(1,L3957/I3957)</x:f>
        <x:v>0.00520625</x:v>
      </x:c>
      <x:c r="P3957" s="30" t="n">
        <x:f>O3957*J3957*(1+M3957)</x:f>
        <x:v>0.005726875</x:v>
      </x:c>
      <x:c r="Q3957" s="30" t="n">
        <x:f>P3957*N3957</x:f>
        <x:v>0.0687225</x:v>
      </x:c>
      <x:c r="R3957" s="19" t="str">
        <x:v>独立判定</x:v>
      </x:c>
    </x:row>
    <x:row r="3958" ht="19" customHeight="1">
      <x:c r="A3958" s="19" t="str">
        <x:v>D03954</x:v>
      </x:c>
      <x:c r="B3958" s="19" t="n">
        <x:v>8</x:v>
      </x:c>
      <x:c r="C3958" s="19" t="n">
        <x:v>4</x:v>
      </x:c>
      <x:c r="D3958" s="19" t="str">
        <x:v>C08-M045</x:v>
      </x:c>
      <x:c r="E3958" s="19" t="str">
        <x:v>雪域封门将</x:v>
      </x:c>
      <x:c r="F3958" s="19" t="str">
        <x:v>稀有</x:v>
      </x:c>
      <x:c r="G3958" s="19" t="str">
        <x:v>六神器公共池</x:v>
      </x:c>
      <x:c r="H3958" s="19" t="str">
        <x:v>POOL006</x:v>
      </x:c>
      <x:c r="I3958" s="22" t="n">
        <x:v>5000000</x:v>
      </x:c>
      <x:c r="J3958" s="22" t="n">
        <x:v>1</x:v>
      </x:c>
      <x:c r="K3958" s="19" t="n">
        <x:v>6</x:v>
      </x:c>
      <x:c r="L3958" s="24" t="n">
        <x:v>62.474999999999994</x:v>
      </x:c>
      <x:c r="M3958" s="26" t="n">
        <x:v>0.1</x:v>
      </x:c>
      <x:c r="N3958" s="24" t="n">
        <x:v>12</x:v>
      </x:c>
      <x:c r="O3958" s="28" t="n">
        <x:f>MIN(1,L3958/I3958)</x:f>
        <x:v>0.000012494999999999998</x:v>
      </x:c>
      <x:c r="P3958" s="30" t="n">
        <x:f>O3958*J3958*(1+M3958)</x:f>
        <x:v>0.000013744499999999999</x:v>
      </x:c>
      <x:c r="Q3958" s="30" t="n">
        <x:f>P3958*N3958</x:f>
        <x:v>0.000164934</x:v>
      </x:c>
      <x:c r="R3958" s="19" t="str">
        <x:v>六选一；非6个独立爆率</x:v>
      </x:c>
    </x:row>
    <x:row r="3959" ht="19" customHeight="1">
      <x:c r="A3959" s="19" t="str">
        <x:v>D03955</x:v>
      </x:c>
      <x:c r="B3959" s="19" t="n">
        <x:v>8</x:v>
      </x:c>
      <x:c r="C3959" s="19" t="n">
        <x:v>4</x:v>
      </x:c>
      <x:c r="D3959" s="19" t="str">
        <x:v>C08-M046</x:v>
      </x:c>
      <x:c r="E3959" s="19" t="str">
        <x:v>王座守梦巫</x:v>
      </x:c>
      <x:c r="F3959" s="19" t="str">
        <x:v>稀有</x:v>
      </x:c>
      <x:c r="G3959" s="19" t="str">
        <x:v>自身专属</x:v>
      </x:c>
      <x:c r="H3959" s="19" t="str">
        <x:v>守梦霜瞳戒</x:v>
      </x:c>
      <x:c r="I3959" s="22" t="n">
        <x:v>1500</x:v>
      </x:c>
      <x:c r="J3959" s="22" t="n">
        <x:v>1</x:v>
      </x:c>
      <x:c r="K3959" s="19" t="n">
        <x:v>1</x:v>
      </x:c>
      <x:c r="L3959" s="24" t="n">
        <x:v>62.474999999999994</x:v>
      </x:c>
      <x:c r="M3959" s="26" t="n">
        <x:v>0.1</x:v>
      </x:c>
      <x:c r="N3959" s="24" t="n">
        <x:v>12</x:v>
      </x:c>
      <x:c r="O3959" s="28" t="n">
        <x:f>MIN(1,L3959/I3959)</x:f>
        <x:v>0.04165</x:v>
      </x:c>
      <x:c r="P3959" s="30" t="n">
        <x:f>O3959*J3959*(1+M3959)</x:f>
        <x:v>0.045815</x:v>
      </x:c>
      <x:c r="Q3959" s="30" t="n">
        <x:f>P3959*N3959</x:f>
        <x:v>0.54978</x:v>
      </x:c>
      <x:c r="R3959" s="19" t="str">
        <x:v>独立判定</x:v>
      </x:c>
    </x:row>
    <x:row r="3960" ht="19" customHeight="1">
      <x:c r="A3960" s="19" t="str">
        <x:v>D03956</x:v>
      </x:c>
      <x:c r="B3960" s="19" t="n">
        <x:v>8</x:v>
      </x:c>
      <x:c r="C3960" s="19" t="n">
        <x:v>4</x:v>
      </x:c>
      <x:c r="D3960" s="19" t="str">
        <x:v>C08-M046</x:v>
      </x:c>
      <x:c r="E3960" s="19" t="str">
        <x:v>王座守梦巫</x:v>
      </x:c>
      <x:c r="F3960" s="19" t="str">
        <x:v>稀有</x:v>
      </x:c>
      <x:c r="G3960" s="19" t="str">
        <x:v>材料独立候选</x:v>
      </x:c>
      <x:c r="H3960" s="19" t="str">
        <x:v>霜脊铁</x:v>
      </x:c>
      <x:c r="I3960" s="22" t="n">
        <x:v>1000</x:v>
      </x:c>
      <x:c r="J3960" s="22" t="n">
        <x:v>15</x:v>
      </x:c>
      <x:c r="K3960" s="19" t="n">
        <x:v>1</x:v>
      </x:c>
      <x:c r="L3960" s="24" t="n">
        <x:v>62.474999999999994</x:v>
      </x:c>
      <x:c r="M3960" s="26" t="n">
        <x:v>0.1</x:v>
      </x:c>
      <x:c r="N3960" s="24" t="n">
        <x:v>12</x:v>
      </x:c>
      <x:c r="O3960" s="28" t="n">
        <x:f>MIN(1,L3960/I3960)</x:f>
        <x:v>0.062474999999999996</x:v>
      </x:c>
      <x:c r="P3960" s="30" t="n">
        <x:f>O3960*J3960*(1+M3960)</x:f>
        <x:v>1.0308375</x:v>
      </x:c>
      <x:c r="Q3960" s="30" t="n">
        <x:f>P3960*N3960</x:f>
        <x:v>12.37005</x:v>
      </x:c>
      <x:c r="R3960" s="19" t="str">
        <x:v>独立判定</x:v>
      </x:c>
    </x:row>
    <x:row r="3961" ht="19" customHeight="1">
      <x:c r="A3961" s="19" t="str">
        <x:v>D03957</x:v>
      </x:c>
      <x:c r="B3961" s="19" t="n">
        <x:v>8</x:v>
      </x:c>
      <x:c r="C3961" s="19" t="n">
        <x:v>4</x:v>
      </x:c>
      <x:c r="D3961" s="19" t="str">
        <x:v>C08-M046</x:v>
      </x:c>
      <x:c r="E3961" s="19" t="str">
        <x:v>王座守梦巫</x:v>
      </x:c>
      <x:c r="F3961" s="19" t="str">
        <x:v>稀有</x:v>
      </x:c>
      <x:c r="G3961" s="19" t="str">
        <x:v>材料独立候选</x:v>
      </x:c>
      <x:c r="H3961" s="19" t="str">
        <x:v>巨人火种</x:v>
      </x:c>
      <x:c r="I3961" s="22" t="n">
        <x:v>1500</x:v>
      </x:c>
      <x:c r="J3961" s="22" t="n">
        <x:v>1</x:v>
      </x:c>
      <x:c r="K3961" s="19" t="n">
        <x:v>1</x:v>
      </x:c>
      <x:c r="L3961" s="24" t="n">
        <x:v>62.474999999999994</x:v>
      </x:c>
      <x:c r="M3961" s="26" t="n">
        <x:v>0.1</x:v>
      </x:c>
      <x:c r="N3961" s="24" t="n">
        <x:v>12</x:v>
      </x:c>
      <x:c r="O3961" s="28" t="n">
        <x:f>MIN(1,L3961/I3961)</x:f>
        <x:v>0.04165</x:v>
      </x:c>
      <x:c r="P3961" s="30" t="n">
        <x:f>O3961*J3961*(1+M3961)</x:f>
        <x:v>0.045815</x:v>
      </x:c>
      <x:c r="Q3961" s="30" t="n">
        <x:f>P3961*N3961</x:f>
        <x:v>0.54978</x:v>
      </x:c>
      <x:c r="R3961" s="19" t="str">
        <x:v>独立判定</x:v>
      </x:c>
    </x:row>
    <x:row r="3962" ht="19" customHeight="1">
      <x:c r="A3962" s="19" t="str">
        <x:v>D03958</x:v>
      </x:c>
      <x:c r="B3962" s="19" t="n">
        <x:v>8</x:v>
      </x:c>
      <x:c r="C3962" s="19" t="n">
        <x:v>4</x:v>
      </x:c>
      <x:c r="D3962" s="19" t="str">
        <x:v>C08-M046</x:v>
      </x:c>
      <x:c r="E3962" s="19" t="str">
        <x:v>王座守梦巫</x:v>
      </x:c>
      <x:c r="F3962" s="19" t="str">
        <x:v>稀有</x:v>
      </x:c>
      <x:c r="G3962" s="19" t="str">
        <x:v>材料独立候选</x:v>
      </x:c>
      <x:c r="H3962" s="19" t="str">
        <x:v>裂峰号角片</x:v>
      </x:c>
      <x:c r="I3962" s="22" t="n">
        <x:v>500</x:v>
      </x:c>
      <x:c r="J3962" s="22" t="n">
        <x:v>1</x:v>
      </x:c>
      <x:c r="K3962" s="19" t="n">
        <x:v>1</x:v>
      </x:c>
      <x:c r="L3962" s="24" t="n">
        <x:v>62.474999999999994</x:v>
      </x:c>
      <x:c r="M3962" s="26" t="n">
        <x:v>0.1</x:v>
      </x:c>
      <x:c r="N3962" s="24" t="n">
        <x:v>12</x:v>
      </x:c>
      <x:c r="O3962" s="28" t="n">
        <x:f>MIN(1,L3962/I3962)</x:f>
        <x:v>0.12494999999999999</x:v>
      </x:c>
      <x:c r="P3962" s="30" t="n">
        <x:f>O3962*J3962*(1+M3962)</x:f>
        <x:v>0.137445</x:v>
      </x:c>
      <x:c r="Q3962" s="30" t="n">
        <x:f>P3962*N3962</x:f>
        <x:v>1.64934</x:v>
      </x:c>
      <x:c r="R3962" s="19" t="str">
        <x:v>独立判定</x:v>
      </x:c>
    </x:row>
    <x:row r="3963" ht="19" customHeight="1">
      <x:c r="A3963" s="19" t="str">
        <x:v>D03959</x:v>
      </x:c>
      <x:c r="B3963" s="19" t="n">
        <x:v>8</x:v>
      </x:c>
      <x:c r="C3963" s="19" t="n">
        <x:v>4</x:v>
      </x:c>
      <x:c r="D3963" s="19" t="str">
        <x:v>C08-M046</x:v>
      </x:c>
      <x:c r="E3963" s="19" t="str">
        <x:v>王座守梦巫</x:v>
      </x:c>
      <x:c r="F3963" s="19" t="str">
        <x:v>稀有</x:v>
      </x:c>
      <x:c r="G3963" s="19" t="str">
        <x:v>材料独立候选</x:v>
      </x:c>
      <x:c r="H3963" s="19" t="str">
        <x:v>穹霜碑珀</x:v>
      </x:c>
      <x:c r="I3963" s="22" t="n">
        <x:v>1800000</x:v>
      </x:c>
      <x:c r="J3963" s="22" t="n">
        <x:v>1</x:v>
      </x:c>
      <x:c r="K3963" s="19" t="n">
        <x:v>1</x:v>
      </x:c>
      <x:c r="L3963" s="24" t="n">
        <x:v>62.474999999999994</x:v>
      </x:c>
      <x:c r="M3963" s="26" t="n">
        <x:v>0.1</x:v>
      </x:c>
      <x:c r="N3963" s="24" t="n">
        <x:v>12</x:v>
      </x:c>
      <x:c r="O3963" s="28" t="n">
        <x:f>MIN(1,L3963/I3963)</x:f>
        <x:v>0.00003470833333333333</x:v>
      </x:c>
      <x:c r="P3963" s="30" t="n">
        <x:f>O3963*J3963*(1+M3963)</x:f>
        <x:v>0.00003817916666666666</x:v>
      </x:c>
      <x:c r="Q3963" s="30" t="n">
        <x:f>P3963*N3963</x:f>
        <x:v>0.00045814999999999994</x:v>
      </x:c>
      <x:c r="R3963" s="19" t="str">
        <x:v>独立判定</x:v>
      </x:c>
    </x:row>
    <x:row r="3964" ht="19" customHeight="1">
      <x:c r="A3964" s="19" t="str">
        <x:v>D03960</x:v>
      </x:c>
      <x:c r="B3964" s="19" t="n">
        <x:v>8</x:v>
      </x:c>
      <x:c r="C3964" s="19" t="n">
        <x:v>4</x:v>
      </x:c>
      <x:c r="D3964" s="19" t="str">
        <x:v>C08-M046</x:v>
      </x:c>
      <x:c r="E3964" s="19" t="str">
        <x:v>王座守梦巫</x:v>
      </x:c>
      <x:c r="F3964" s="19" t="str">
        <x:v>稀有</x:v>
      </x:c>
      <x:c r="G3964" s="19" t="str">
        <x:v>材料独立候选</x:v>
      </x:c>
      <x:c r="H3964" s="19" t="str">
        <x:v>黄金树芽</x:v>
      </x:c>
      <x:c r="I3964" s="22" t="n">
        <x:v>2000</x:v>
      </x:c>
      <x:c r="J3964" s="22" t="n">
        <x:v>1</x:v>
      </x:c>
      <x:c r="K3964" s="19" t="n">
        <x:v>1</x:v>
      </x:c>
      <x:c r="L3964" s="24" t="n">
        <x:v>62.474999999999994</x:v>
      </x:c>
      <x:c r="M3964" s="26" t="n">
        <x:v>0.1</x:v>
      </x:c>
      <x:c r="N3964" s="24" t="n">
        <x:v>12</x:v>
      </x:c>
      <x:c r="O3964" s="28" t="n">
        <x:f>MIN(1,L3964/I3964)</x:f>
        <x:v>0.031237499999999998</x:v>
      </x:c>
      <x:c r="P3964" s="30" t="n">
        <x:f>O3964*J3964*(1+M3964)</x:f>
        <x:v>0.03436125</x:v>
      </x:c>
      <x:c r="Q3964" s="30" t="n">
        <x:f>P3964*N3964</x:f>
        <x:v>0.412335</x:v>
      </x:c>
      <x:c r="R3964" s="19" t="str">
        <x:v>独立判定</x:v>
      </x:c>
    </x:row>
    <x:row r="3965" ht="19" customHeight="1">
      <x:c r="A3965" s="19" t="str">
        <x:v>D03961</x:v>
      </x:c>
      <x:c r="B3965" s="19" t="n">
        <x:v>8</x:v>
      </x:c>
      <x:c r="C3965" s="19" t="n">
        <x:v>4</x:v>
      </x:c>
      <x:c r="D3965" s="19" t="str">
        <x:v>C08-M046</x:v>
      </x:c>
      <x:c r="E3965" s="19" t="str">
        <x:v>王座守梦巫</x:v>
      </x:c>
      <x:c r="F3965" s="19" t="str">
        <x:v>稀有</x:v>
      </x:c>
      <x:c r="G3965" s="19" t="str">
        <x:v>材料独立候选</x:v>
      </x:c>
      <x:c r="H3965" s="19" t="str">
        <x:v>野兽骨片</x:v>
      </x:c>
      <x:c r="I3965" s="22" t="n">
        <x:v>180</x:v>
      </x:c>
      <x:c r="J3965" s="22" t="n">
        <x:v>5</x:v>
      </x:c>
      <x:c r="K3965" s="19" t="n">
        <x:v>1</x:v>
      </x:c>
      <x:c r="L3965" s="24" t="n">
        <x:v>62.474999999999994</x:v>
      </x:c>
      <x:c r="M3965" s="26" t="n">
        <x:v>0.1</x:v>
      </x:c>
      <x:c r="N3965" s="24" t="n">
        <x:v>12</x:v>
      </x:c>
      <x:c r="O3965" s="28" t="n">
        <x:f>MIN(1,L3965/I3965)</x:f>
        <x:v>0.3470833333333333</x:v>
      </x:c>
      <x:c r="P3965" s="30" t="n">
        <x:f>O3965*J3965*(1+M3965)</x:f>
        <x:v>1.9089583333333333</x:v>
      </x:c>
      <x:c r="Q3965" s="30" t="n">
        <x:f>P3965*N3965</x:f>
        <x:v>22.9075</x:v>
      </x:c>
      <x:c r="R3965" s="19" t="str">
        <x:v>独立判定</x:v>
      </x:c>
    </x:row>
    <x:row r="3966" ht="19" customHeight="1">
      <x:c r="A3966" s="19" t="str">
        <x:v>D03962</x:v>
      </x:c>
      <x:c r="B3966" s="19" t="n">
        <x:v>8</x:v>
      </x:c>
      <x:c r="C3966" s="19" t="n">
        <x:v>4</x:v>
      </x:c>
      <x:c r="D3966" s="19" t="str">
        <x:v>C08-M046</x:v>
      </x:c>
      <x:c r="E3966" s="19" t="str">
        <x:v>王座守梦巫</x:v>
      </x:c>
      <x:c r="F3966" s="19" t="str">
        <x:v>稀有</x:v>
      </x:c>
      <x:c r="G3966" s="19" t="str">
        <x:v>材料独立候选</x:v>
      </x:c>
      <x:c r="H3966" s="19" t="str">
        <x:v>技能残页</x:v>
      </x:c>
      <x:c r="I3966" s="22" t="n">
        <x:v>1500</x:v>
      </x:c>
      <x:c r="J3966" s="22" t="n">
        <x:v>1</x:v>
      </x:c>
      <x:c r="K3966" s="19" t="n">
        <x:v>1</x:v>
      </x:c>
      <x:c r="L3966" s="24" t="n">
        <x:v>62.474999999999994</x:v>
      </x:c>
      <x:c r="M3966" s="26" t="n">
        <x:v>0.1</x:v>
      </x:c>
      <x:c r="N3966" s="24" t="n">
        <x:v>12</x:v>
      </x:c>
      <x:c r="O3966" s="28" t="n">
        <x:f>MIN(1,L3966/I3966)</x:f>
        <x:v>0.04165</x:v>
      </x:c>
      <x:c r="P3966" s="30" t="n">
        <x:f>O3966*J3966*(1+M3966)</x:f>
        <x:v>0.045815</x:v>
      </x:c>
      <x:c r="Q3966" s="30" t="n">
        <x:f>P3966*N3966</x:f>
        <x:v>0.54978</x:v>
      </x:c>
      <x:c r="R3966" s="19" t="str">
        <x:v>独立判定</x:v>
      </x:c>
    </x:row>
    <x:row r="3967" ht="19" customHeight="1">
      <x:c r="A3967" s="19" t="str">
        <x:v>D03963</x:v>
      </x:c>
      <x:c r="B3967" s="19" t="n">
        <x:v>8</x:v>
      </x:c>
      <x:c r="C3967" s="19" t="n">
        <x:v>4</x:v>
      </x:c>
      <x:c r="D3967" s="19" t="str">
        <x:v>C08-M046</x:v>
      </x:c>
      <x:c r="E3967" s="19" t="str">
        <x:v>王座守梦巫</x:v>
      </x:c>
      <x:c r="F3967" s="19" t="str">
        <x:v>稀有</x:v>
      </x:c>
      <x:c r="G3967" s="19" t="str">
        <x:v>材料独立候选</x:v>
      </x:c>
      <x:c r="H3967" s="19" t="str">
        <x:v>小卢恩</x:v>
      </x:c>
      <x:c r="I3967" s="22" t="n">
        <x:v>12000</x:v>
      </x:c>
      <x:c r="J3967" s="22" t="n">
        <x:v>1</x:v>
      </x:c>
      <x:c r="K3967" s="19" t="n">
        <x:v>1</x:v>
      </x:c>
      <x:c r="L3967" s="24" t="n">
        <x:v>62.474999999999994</x:v>
      </x:c>
      <x:c r="M3967" s="26" t="n">
        <x:v>0.1</x:v>
      </x:c>
      <x:c r="N3967" s="24" t="n">
        <x:v>12</x:v>
      </x:c>
      <x:c r="O3967" s="28" t="n">
        <x:f>MIN(1,L3967/I3967)</x:f>
        <x:v>0.00520625</x:v>
      </x:c>
      <x:c r="P3967" s="30" t="n">
        <x:f>O3967*J3967*(1+M3967)</x:f>
        <x:v>0.005726875</x:v>
      </x:c>
      <x:c r="Q3967" s="30" t="n">
        <x:f>P3967*N3967</x:f>
        <x:v>0.0687225</x:v>
      </x:c>
      <x:c r="R3967" s="19" t="str">
        <x:v>独立判定</x:v>
      </x:c>
    </x:row>
    <x:row r="3968" ht="19" customHeight="1">
      <x:c r="A3968" s="19" t="str">
        <x:v>D03964</x:v>
      </x:c>
      <x:c r="B3968" s="19" t="n">
        <x:v>8</x:v>
      </x:c>
      <x:c r="C3968" s="19" t="n">
        <x:v>4</x:v>
      </x:c>
      <x:c r="D3968" s="19" t="str">
        <x:v>C08-M046</x:v>
      </x:c>
      <x:c r="E3968" s="19" t="str">
        <x:v>王座守梦巫</x:v>
      </x:c>
      <x:c r="F3968" s="19" t="str">
        <x:v>稀有</x:v>
      </x:c>
      <x:c r="G3968" s="19" t="str">
        <x:v>六神器公共池</x:v>
      </x:c>
      <x:c r="H3968" s="19" t="str">
        <x:v>POOL006</x:v>
      </x:c>
      <x:c r="I3968" s="22" t="n">
        <x:v>5000000</x:v>
      </x:c>
      <x:c r="J3968" s="22" t="n">
        <x:v>1</x:v>
      </x:c>
      <x:c r="K3968" s="19" t="n">
        <x:v>6</x:v>
      </x:c>
      <x:c r="L3968" s="24" t="n">
        <x:v>62.474999999999994</x:v>
      </x:c>
      <x:c r="M3968" s="26" t="n">
        <x:v>0.1</x:v>
      </x:c>
      <x:c r="N3968" s="24" t="n">
        <x:v>12</x:v>
      </x:c>
      <x:c r="O3968" s="28" t="n">
        <x:f>MIN(1,L3968/I3968)</x:f>
        <x:v>0.000012494999999999998</x:v>
      </x:c>
      <x:c r="P3968" s="30" t="n">
        <x:f>O3968*J3968*(1+M3968)</x:f>
        <x:v>0.000013744499999999999</x:v>
      </x:c>
      <x:c r="Q3968" s="30" t="n">
        <x:f>P3968*N3968</x:f>
        <x:v>0.000164934</x:v>
      </x:c>
      <x:c r="R3968" s="19" t="str">
        <x:v>六选一；非6个独立爆率</x:v>
      </x:c>
    </x:row>
    <x:row r="3969" ht="19" customHeight="1">
      <x:c r="A3969" s="19" t="str">
        <x:v>D03965</x:v>
      </x:c>
      <x:c r="B3969" s="19" t="n">
        <x:v>8</x:v>
      </x:c>
      <x:c r="C3969" s="19" t="n">
        <x:v>4</x:v>
      </x:c>
      <x:c r="D3969" s="19" t="str">
        <x:v>C08-M047</x:v>
      </x:c>
      <x:c r="E3969" s="19" t="str">
        <x:v>内宫冬眠王·格罗尔</x:v>
      </x:c>
      <x:c r="F3969" s="19" t="str">
        <x:v>地图BOSS</x:v>
      </x:c>
      <x:c r="G3969" s="19" t="str">
        <x:v>自身专属</x:v>
      </x:c>
      <x:c r="H3969" s="19" t="str">
        <x:v>格罗尔冬眠刃</x:v>
      </x:c>
      <x:c r="I3969" s="22" t="n">
        <x:v>300</x:v>
      </x:c>
      <x:c r="J3969" s="22" t="n">
        <x:v>1</x:v>
      </x:c>
      <x:c r="K3969" s="19" t="n">
        <x:v>1</x:v>
      </x:c>
      <x:c r="L3969" s="24" t="n">
        <x:v>62.474999999999994</x:v>
      </x:c>
      <x:c r="M3969" s="26" t="n">
        <x:v>0.1</x:v>
      </x:c>
      <x:c r="N3969" s="24" t="n">
        <x:v>2</x:v>
      </x:c>
      <x:c r="O3969" s="28" t="n">
        <x:f>MIN(1,L3969/I3969)</x:f>
        <x:v>0.20825</x:v>
      </x:c>
      <x:c r="P3969" s="30" t="n">
        <x:f>O3969*J3969*(1+M3969)</x:f>
        <x:v>0.229075</x:v>
      </x:c>
      <x:c r="Q3969" s="30" t="n">
        <x:f>P3969*N3969</x:f>
        <x:v>0.45815</x:v>
      </x:c>
      <x:c r="R3969" s="19" t="str">
        <x:v>独立判定</x:v>
      </x:c>
    </x:row>
    <x:row r="3970" ht="19" customHeight="1">
      <x:c r="A3970" s="19" t="str">
        <x:v>D03966</x:v>
      </x:c>
      <x:c r="B3970" s="19" t="n">
        <x:v>8</x:v>
      </x:c>
      <x:c r="C3970" s="19" t="n">
        <x:v>4</x:v>
      </x:c>
      <x:c r="D3970" s="19" t="str">
        <x:v>C08-M047</x:v>
      </x:c>
      <x:c r="E3970" s="19" t="str">
        <x:v>内宫冬眠王·格罗尔</x:v>
      </x:c>
      <x:c r="F3970" s="19" t="str">
        <x:v>地图BOSS</x:v>
      </x:c>
      <x:c r="G3970" s="19" t="str">
        <x:v>自身专属</x:v>
      </x:c>
      <x:c r="H3970" s="19" t="str">
        <x:v>终冬戒印</x:v>
      </x:c>
      <x:c r="I3970" s="22" t="n">
        <x:v>300</x:v>
      </x:c>
      <x:c r="J3970" s="22" t="n">
        <x:v>1</x:v>
      </x:c>
      <x:c r="K3970" s="19" t="n">
        <x:v>1</x:v>
      </x:c>
      <x:c r="L3970" s="24" t="n">
        <x:v>62.474999999999994</x:v>
      </x:c>
      <x:c r="M3970" s="26" t="n">
        <x:v>0.1</x:v>
      </x:c>
      <x:c r="N3970" s="24" t="n">
        <x:v>2</x:v>
      </x:c>
      <x:c r="O3970" s="28" t="n">
        <x:f>MIN(1,L3970/I3970)</x:f>
        <x:v>0.20825</x:v>
      </x:c>
      <x:c r="P3970" s="30" t="n">
        <x:f>O3970*J3970*(1+M3970)</x:f>
        <x:v>0.229075</x:v>
      </x:c>
      <x:c r="Q3970" s="30" t="n">
        <x:f>P3970*N3970</x:f>
        <x:v>0.45815</x:v>
      </x:c>
      <x:c r="R3970" s="19" t="str">
        <x:v>独立判定</x:v>
      </x:c>
    </x:row>
    <x:row r="3971" ht="19" customHeight="1">
      <x:c r="A3971" s="19" t="str">
        <x:v>D03967</x:v>
      </x:c>
      <x:c r="B3971" s="19" t="n">
        <x:v>8</x:v>
      </x:c>
      <x:c r="C3971" s="19" t="n">
        <x:v>4</x:v>
      </x:c>
      <x:c r="D3971" s="19" t="str">
        <x:v>C08-M047</x:v>
      </x:c>
      <x:c r="E3971" s="19" t="str">
        <x:v>内宫冬眠王·格罗尔</x:v>
      </x:c>
      <x:c r="F3971" s="19" t="str">
        <x:v>地图BOSS</x:v>
      </x:c>
      <x:c r="G3971" s="19" t="str">
        <x:v>本图普通兼掉候选</x:v>
      </x:c>
      <x:c r="H3971" s="19" t="str">
        <x:v>POOL066</x:v>
      </x:c>
      <x:c r="I3971" s="22" t="n">
        <x:v>150</x:v>
      </x:c>
      <x:c r="J3971" s="22" t="n">
        <x:v>1</x:v>
      </x:c>
      <x:c r="K3971" s="19" t="n">
        <x:v>2</x:v>
      </x:c>
      <x:c r="L3971" s="24" t="n">
        <x:v>62.474999999999994</x:v>
      </x:c>
      <x:c r="M3971" s="26" t="n">
        <x:v>0.1</x:v>
      </x:c>
      <x:c r="N3971" s="24" t="n">
        <x:v>2</x:v>
      </x:c>
      <x:c r="O3971" s="28" t="n">
        <x:f>MIN(1,L3971/I3971)</x:f>
        <x:v>0.4165</x:v>
      </x:c>
      <x:c r="P3971" s="30" t="n">
        <x:f>O3971*J3971*(1+M3971)</x:f>
        <x:v>0.45815</x:v>
      </x:c>
      <x:c r="Q3971" s="30" t="n">
        <x:f>P3971*N3971</x:f>
        <x:v>0.9163</x:v>
      </x:c>
      <x:c r="R3971" s="19" t="str">
        <x:v>单池选一</x:v>
      </x:c>
    </x:row>
    <x:row r="3972" ht="19" customHeight="1">
      <x:c r="A3972" s="19" t="str">
        <x:v>D03968</x:v>
      </x:c>
      <x:c r="B3972" s="19" t="n">
        <x:v>8</x:v>
      </x:c>
      <x:c r="C3972" s="19" t="n">
        <x:v>4</x:v>
      </x:c>
      <x:c r="D3972" s="19" t="str">
        <x:v>C08-M047</x:v>
      </x:c>
      <x:c r="E3972" s="19" t="str">
        <x:v>内宫冬眠王·格罗尔</x:v>
      </x:c>
      <x:c r="F3972" s="19" t="str">
        <x:v>地图BOSS</x:v>
      </x:c>
      <x:c r="G3972" s="19" t="str">
        <x:v>材料独立候选</x:v>
      </x:c>
      <x:c r="H3972" s="19" t="str">
        <x:v>霜脊铁</x:v>
      </x:c>
      <x:c r="I3972" s="22" t="n">
        <x:v>500</x:v>
      </x:c>
      <x:c r="J3972" s="22" t="n">
        <x:v>30</x:v>
      </x:c>
      <x:c r="K3972" s="19" t="n">
        <x:v>1</x:v>
      </x:c>
      <x:c r="L3972" s="24" t="n">
        <x:v>62.474999999999994</x:v>
      </x:c>
      <x:c r="M3972" s="26" t="n">
        <x:v>0.1</x:v>
      </x:c>
      <x:c r="N3972" s="24" t="n">
        <x:v>2</x:v>
      </x:c>
      <x:c r="O3972" s="28" t="n">
        <x:f>MIN(1,L3972/I3972)</x:f>
        <x:v>0.12494999999999999</x:v>
      </x:c>
      <x:c r="P3972" s="30" t="n">
        <x:f>O3972*J3972*(1+M3972)</x:f>
        <x:v>4.12335</x:v>
      </x:c>
      <x:c r="Q3972" s="30" t="n">
        <x:f>P3972*N3972</x:f>
        <x:v>8.2467</x:v>
      </x:c>
      <x:c r="R3972" s="19" t="str">
        <x:v>独立判定</x:v>
      </x:c>
    </x:row>
    <x:row r="3973" ht="19" customHeight="1">
      <x:c r="A3973" s="19" t="str">
        <x:v>D03969</x:v>
      </x:c>
      <x:c r="B3973" s="19" t="n">
        <x:v>8</x:v>
      </x:c>
      <x:c r="C3973" s="19" t="n">
        <x:v>4</x:v>
      </x:c>
      <x:c r="D3973" s="19" t="str">
        <x:v>C08-M047</x:v>
      </x:c>
      <x:c r="E3973" s="19" t="str">
        <x:v>内宫冬眠王·格罗尔</x:v>
      </x:c>
      <x:c r="F3973" s="19" t="str">
        <x:v>地图BOSS</x:v>
      </x:c>
      <x:c r="G3973" s="19" t="str">
        <x:v>材料独立候选</x:v>
      </x:c>
      <x:c r="H3973" s="19" t="str">
        <x:v>巨人火种</x:v>
      </x:c>
      <x:c r="I3973" s="22" t="n">
        <x:v>800</x:v>
      </x:c>
      <x:c r="J3973" s="22" t="n">
        <x:v>1</x:v>
      </x:c>
      <x:c r="K3973" s="19" t="n">
        <x:v>1</x:v>
      </x:c>
      <x:c r="L3973" s="24" t="n">
        <x:v>62.474999999999994</x:v>
      </x:c>
      <x:c r="M3973" s="26" t="n">
        <x:v>0.1</x:v>
      </x:c>
      <x:c r="N3973" s="24" t="n">
        <x:v>2</x:v>
      </x:c>
      <x:c r="O3973" s="28" t="n">
        <x:f>MIN(1,L3973/I3973)</x:f>
        <x:v>0.07809374999999999</x:v>
      </x:c>
      <x:c r="P3973" s="30" t="n">
        <x:f>O3973*J3973*(1+M3973)</x:f>
        <x:v>0.085903125</x:v>
      </x:c>
      <x:c r="Q3973" s="30" t="n">
        <x:f>P3973*N3973</x:f>
        <x:v>0.17180625</x:v>
      </x:c>
      <x:c r="R3973" s="19" t="str">
        <x:v>独立判定</x:v>
      </x:c>
    </x:row>
    <x:row r="3974" ht="19" customHeight="1">
      <x:c r="A3974" s="19" t="str">
        <x:v>D03970</x:v>
      </x:c>
      <x:c r="B3974" s="19" t="n">
        <x:v>8</x:v>
      </x:c>
      <x:c r="C3974" s="19" t="n">
        <x:v>4</x:v>
      </x:c>
      <x:c r="D3974" s="19" t="str">
        <x:v>C08-M047</x:v>
      </x:c>
      <x:c r="E3974" s="19" t="str">
        <x:v>内宫冬眠王·格罗尔</x:v>
      </x:c>
      <x:c r="F3974" s="19" t="str">
        <x:v>地图BOSS</x:v>
      </x:c>
      <x:c r="G3974" s="19" t="str">
        <x:v>材料独立候选</x:v>
      </x:c>
      <x:c r="H3974" s="19" t="str">
        <x:v>巨人火印</x:v>
      </x:c>
      <x:c r="I3974" s="22" t="n">
        <x:v>250</x:v>
      </x:c>
      <x:c r="J3974" s="22" t="n">
        <x:v>4</x:v>
      </x:c>
      <x:c r="K3974" s="19" t="n">
        <x:v>1</x:v>
      </x:c>
      <x:c r="L3974" s="24" t="n">
        <x:v>62.474999999999994</x:v>
      </x:c>
      <x:c r="M3974" s="26" t="n">
        <x:v>0.1</x:v>
      </x:c>
      <x:c r="N3974" s="24" t="n">
        <x:v>2</x:v>
      </x:c>
      <x:c r="O3974" s="28" t="n">
        <x:f>MIN(1,L3974/I3974)</x:f>
        <x:v>0.24989999999999998</x:v>
      </x:c>
      <x:c r="P3974" s="30" t="n">
        <x:f>O3974*J3974*(1+M3974)</x:f>
        <x:v>1.09956</x:v>
      </x:c>
      <x:c r="Q3974" s="30" t="n">
        <x:f>P3974*N3974</x:f>
        <x:v>2.19912</x:v>
      </x:c>
      <x:c r="R3974" s="19" t="str">
        <x:v>独立判定</x:v>
      </x:c>
    </x:row>
    <x:row r="3975" ht="19" customHeight="1">
      <x:c r="A3975" s="19" t="str">
        <x:v>D03971</x:v>
      </x:c>
      <x:c r="B3975" s="19" t="n">
        <x:v>8</x:v>
      </x:c>
      <x:c r="C3975" s="19" t="n">
        <x:v>4</x:v>
      </x:c>
      <x:c r="D3975" s="19" t="str">
        <x:v>C08-M047</x:v>
      </x:c>
      <x:c r="E3975" s="19" t="str">
        <x:v>内宫冬眠王·格罗尔</x:v>
      </x:c>
      <x:c r="F3975" s="19" t="str">
        <x:v>地图BOSS</x:v>
      </x:c>
      <x:c r="G3975" s="19" t="str">
        <x:v>材料独立候选</x:v>
      </x:c>
      <x:c r="H3975" s="19" t="str">
        <x:v>冰宫守门铃</x:v>
      </x:c>
      <x:c r="I3975" s="22" t="n">
        <x:v>400</x:v>
      </x:c>
      <x:c r="J3975" s="22" t="n">
        <x:v>2</x:v>
      </x:c>
      <x:c r="K3975" s="19" t="n">
        <x:v>1</x:v>
      </x:c>
      <x:c r="L3975" s="24" t="n">
        <x:v>62.474999999999994</x:v>
      </x:c>
      <x:c r="M3975" s="26" t="n">
        <x:v>0.1</x:v>
      </x:c>
      <x:c r="N3975" s="24" t="n">
        <x:v>2</x:v>
      </x:c>
      <x:c r="O3975" s="28" t="n">
        <x:f>MIN(1,L3975/I3975)</x:f>
        <x:v>0.15618749999999998</x:v>
      </x:c>
      <x:c r="P3975" s="30" t="n">
        <x:f>O3975*J3975*(1+M3975)</x:f>
        <x:v>0.3436125</x:v>
      </x:c>
      <x:c r="Q3975" s="30" t="n">
        <x:f>P3975*N3975</x:f>
        <x:v>0.687225</x:v>
      </x:c>
      <x:c r="R3975" s="19" t="str">
        <x:v>独立判定</x:v>
      </x:c>
    </x:row>
    <x:row r="3976" ht="19" customHeight="1">
      <x:c r="A3976" s="19" t="str">
        <x:v>D03972</x:v>
      </x:c>
      <x:c r="B3976" s="19" t="n">
        <x:v>8</x:v>
      </x:c>
      <x:c r="C3976" s="19" t="n">
        <x:v>4</x:v>
      </x:c>
      <x:c r="D3976" s="19" t="str">
        <x:v>C08-M047</x:v>
      </x:c>
      <x:c r="E3976" s="19" t="str">
        <x:v>内宫冬眠王·格罗尔</x:v>
      </x:c>
      <x:c r="F3976" s="19" t="str">
        <x:v>地图BOSS</x:v>
      </x:c>
      <x:c r="G3976" s="19" t="str">
        <x:v>材料独立候选</x:v>
      </x:c>
      <x:c r="H3976" s="19" t="str">
        <x:v>穹霜碑珀</x:v>
      </x:c>
      <x:c r="I3976" s="22" t="n">
        <x:v>1000000</x:v>
      </x:c>
      <x:c r="J3976" s="22" t="n">
        <x:v>1</x:v>
      </x:c>
      <x:c r="K3976" s="19" t="n">
        <x:v>1</x:v>
      </x:c>
      <x:c r="L3976" s="24" t="n">
        <x:v>62.474999999999994</x:v>
      </x:c>
      <x:c r="M3976" s="26" t="n">
        <x:v>0.1</x:v>
      </x:c>
      <x:c r="N3976" s="24" t="n">
        <x:v>2</x:v>
      </x:c>
      <x:c r="O3976" s="28" t="n">
        <x:f>MIN(1,L3976/I3976)</x:f>
        <x:v>0.000062475</x:v>
      </x:c>
      <x:c r="P3976" s="30" t="n">
        <x:f>O3976*J3976*(1+M3976)</x:f>
        <x:v>0.0000687225</x:v>
      </x:c>
      <x:c r="Q3976" s="30" t="n">
        <x:f>P3976*N3976</x:f>
        <x:v>0.000137445</x:v>
      </x:c>
      <x:c r="R3976" s="19" t="str">
        <x:v>独立判定</x:v>
      </x:c>
    </x:row>
    <x:row r="3977" ht="19" customHeight="1">
      <x:c r="A3977" s="19" t="str">
        <x:v>D03973</x:v>
      </x:c>
      <x:c r="B3977" s="19" t="n">
        <x:v>8</x:v>
      </x:c>
      <x:c r="C3977" s="19" t="n">
        <x:v>4</x:v>
      </x:c>
      <x:c r="D3977" s="19" t="str">
        <x:v>C08-M047</x:v>
      </x:c>
      <x:c r="E3977" s="19" t="str">
        <x:v>内宫冬眠王·格罗尔</x:v>
      </x:c>
      <x:c r="F3977" s="19" t="str">
        <x:v>地图BOSS</x:v>
      </x:c>
      <x:c r="G3977" s="19" t="str">
        <x:v>材料独立候选</x:v>
      </x:c>
      <x:c r="H3977" s="19" t="str">
        <x:v>黄金树芽</x:v>
      </x:c>
      <x:c r="I3977" s="22" t="n">
        <x:v>1000</x:v>
      </x:c>
      <x:c r="J3977" s="22" t="n">
        <x:v>1</x:v>
      </x:c>
      <x:c r="K3977" s="19" t="n">
        <x:v>1</x:v>
      </x:c>
      <x:c r="L3977" s="24" t="n">
        <x:v>62.474999999999994</x:v>
      </x:c>
      <x:c r="M3977" s="26" t="n">
        <x:v>0.1</x:v>
      </x:c>
      <x:c r="N3977" s="24" t="n">
        <x:v>2</x:v>
      </x:c>
      <x:c r="O3977" s="28" t="n">
        <x:f>MIN(1,L3977/I3977)</x:f>
        <x:v>0.062474999999999996</x:v>
      </x:c>
      <x:c r="P3977" s="30" t="n">
        <x:f>O3977*J3977*(1+M3977)</x:f>
        <x:v>0.0687225</x:v>
      </x:c>
      <x:c r="Q3977" s="30" t="n">
        <x:f>P3977*N3977</x:f>
        <x:v>0.137445</x:v>
      </x:c>
      <x:c r="R3977" s="19" t="str">
        <x:v>独立判定</x:v>
      </x:c>
    </x:row>
    <x:row r="3978" ht="19" customHeight="1">
      <x:c r="A3978" s="19" t="str">
        <x:v>D03974</x:v>
      </x:c>
      <x:c r="B3978" s="19" t="n">
        <x:v>8</x:v>
      </x:c>
      <x:c r="C3978" s="19" t="n">
        <x:v>4</x:v>
      </x:c>
      <x:c r="D3978" s="19" t="str">
        <x:v>C08-M047</x:v>
      </x:c>
      <x:c r="E3978" s="19" t="str">
        <x:v>内宫冬眠王·格罗尔</x:v>
      </x:c>
      <x:c r="F3978" s="19" t="str">
        <x:v>地图BOSS</x:v>
      </x:c>
      <x:c r="G3978" s="19" t="str">
        <x:v>材料独立候选</x:v>
      </x:c>
      <x:c r="H3978" s="19" t="str">
        <x:v>野兽骨片</x:v>
      </x:c>
      <x:c r="I3978" s="22" t="n">
        <x:v>100</x:v>
      </x:c>
      <x:c r="J3978" s="22" t="n">
        <x:v>5</x:v>
      </x:c>
      <x:c r="K3978" s="19" t="n">
        <x:v>1</x:v>
      </x:c>
      <x:c r="L3978" s="24" t="n">
        <x:v>62.474999999999994</x:v>
      </x:c>
      <x:c r="M3978" s="26" t="n">
        <x:v>0.1</x:v>
      </x:c>
      <x:c r="N3978" s="24" t="n">
        <x:v>2</x:v>
      </x:c>
      <x:c r="O3978" s="28" t="n">
        <x:f>MIN(1,L3978/I3978)</x:f>
        <x:v>0.6247499999999999</x:v>
      </x:c>
      <x:c r="P3978" s="30" t="n">
        <x:f>O3978*J3978*(1+M3978)</x:f>
        <x:v>3.4361249999999997</x:v>
      </x:c>
      <x:c r="Q3978" s="30" t="n">
        <x:f>P3978*N3978</x:f>
        <x:v>6.872249999999999</x:v>
      </x:c>
      <x:c r="R3978" s="19" t="str">
        <x:v>独立判定</x:v>
      </x:c>
    </x:row>
    <x:row r="3979" ht="19" customHeight="1">
      <x:c r="A3979" s="19" t="str">
        <x:v>D03975</x:v>
      </x:c>
      <x:c r="B3979" s="19" t="n">
        <x:v>8</x:v>
      </x:c>
      <x:c r="C3979" s="19" t="n">
        <x:v>4</x:v>
      </x:c>
      <x:c r="D3979" s="19" t="str">
        <x:v>C08-M047</x:v>
      </x:c>
      <x:c r="E3979" s="19" t="str">
        <x:v>内宫冬眠王·格罗尔</x:v>
      </x:c>
      <x:c r="F3979" s="19" t="str">
        <x:v>地图BOSS</x:v>
      </x:c>
      <x:c r="G3979" s="19" t="str">
        <x:v>材料独立候选</x:v>
      </x:c>
      <x:c r="H3979" s="19" t="str">
        <x:v>技能残页</x:v>
      </x:c>
      <x:c r="I3979" s="22" t="n">
        <x:v>800</x:v>
      </x:c>
      <x:c r="J3979" s="22" t="n">
        <x:v>1</x:v>
      </x:c>
      <x:c r="K3979" s="19" t="n">
        <x:v>1</x:v>
      </x:c>
      <x:c r="L3979" s="24" t="n">
        <x:v>62.474999999999994</x:v>
      </x:c>
      <x:c r="M3979" s="26" t="n">
        <x:v>0.1</x:v>
      </x:c>
      <x:c r="N3979" s="24" t="n">
        <x:v>2</x:v>
      </x:c>
      <x:c r="O3979" s="28" t="n">
        <x:f>MIN(1,L3979/I3979)</x:f>
        <x:v>0.07809374999999999</x:v>
      </x:c>
      <x:c r="P3979" s="30" t="n">
        <x:f>O3979*J3979*(1+M3979)</x:f>
        <x:v>0.085903125</x:v>
      </x:c>
      <x:c r="Q3979" s="30" t="n">
        <x:f>P3979*N3979</x:f>
        <x:v>0.17180625</x:v>
      </x:c>
      <x:c r="R3979" s="19" t="str">
        <x:v>独立判定</x:v>
      </x:c>
    </x:row>
    <x:row r="3980" ht="19" customHeight="1">
      <x:c r="A3980" s="19" t="str">
        <x:v>D03976</x:v>
      </x:c>
      <x:c r="B3980" s="19" t="n">
        <x:v>8</x:v>
      </x:c>
      <x:c r="C3980" s="19" t="n">
        <x:v>4</x:v>
      </x:c>
      <x:c r="D3980" s="19" t="str">
        <x:v>C08-M047</x:v>
      </x:c>
      <x:c r="E3980" s="19" t="str">
        <x:v>内宫冬眠王·格罗尔</x:v>
      </x:c>
      <x:c r="F3980" s="19" t="str">
        <x:v>地图BOSS</x:v>
      </x:c>
      <x:c r="G3980" s="19" t="str">
        <x:v>材料独立候选</x:v>
      </x:c>
      <x:c r="H3980" s="19" t="str">
        <x:v>宁姆格福誓页</x:v>
      </x:c>
      <x:c r="I3980" s="22" t="n">
        <x:v>800</x:v>
      </x:c>
      <x:c r="J3980" s="22" t="n">
        <x:v>1</x:v>
      </x:c>
      <x:c r="K3980" s="19" t="n">
        <x:v>1</x:v>
      </x:c>
      <x:c r="L3980" s="24" t="n">
        <x:v>62.474999999999994</x:v>
      </x:c>
      <x:c r="M3980" s="26" t="n">
        <x:v>0.1</x:v>
      </x:c>
      <x:c r="N3980" s="24" t="n">
        <x:v>2</x:v>
      </x:c>
      <x:c r="O3980" s="28" t="n">
        <x:f>MIN(1,L3980/I3980)</x:f>
        <x:v>0.07809374999999999</x:v>
      </x:c>
      <x:c r="P3980" s="30" t="n">
        <x:f>O3980*J3980*(1+M3980)</x:f>
        <x:v>0.085903125</x:v>
      </x:c>
      <x:c r="Q3980" s="30" t="n">
        <x:f>P3980*N3980</x:f>
        <x:v>0.17180625</x:v>
      </x:c>
      <x:c r="R3980" s="19" t="str">
        <x:v>独立判定</x:v>
      </x:c>
    </x:row>
    <x:row r="3981" ht="19" customHeight="1">
      <x:c r="A3981" s="19" t="str">
        <x:v>D03977</x:v>
      </x:c>
      <x:c r="B3981" s="19" t="n">
        <x:v>8</x:v>
      </x:c>
      <x:c r="C3981" s="19" t="n">
        <x:v>4</x:v>
      </x:c>
      <x:c r="D3981" s="19" t="str">
        <x:v>C08-M047</x:v>
      </x:c>
      <x:c r="E3981" s="19" t="str">
        <x:v>内宫冬眠王·格罗尔</x:v>
      </x:c>
      <x:c r="F3981" s="19" t="str">
        <x:v>地图BOSS</x:v>
      </x:c>
      <x:c r="G3981" s="19" t="str">
        <x:v>材料独立候选</x:v>
      </x:c>
      <x:c r="H3981" s="19" t="str">
        <x:v>小卢恩</x:v>
      </x:c>
      <x:c r="I3981" s="22" t="n">
        <x:v>6000</x:v>
      </x:c>
      <x:c r="J3981" s="22" t="n">
        <x:v>1</x:v>
      </x:c>
      <x:c r="K3981" s="19" t="n">
        <x:v>1</x:v>
      </x:c>
      <x:c r="L3981" s="24" t="n">
        <x:v>62.474999999999994</x:v>
      </x:c>
      <x:c r="M3981" s="26" t="n">
        <x:v>0.1</x:v>
      </x:c>
      <x:c r="N3981" s="24" t="n">
        <x:v>2</x:v>
      </x:c>
      <x:c r="O3981" s="28" t="n">
        <x:f>MIN(1,L3981/I3981)</x:f>
        <x:v>0.0104125</x:v>
      </x:c>
      <x:c r="P3981" s="30" t="n">
        <x:f>O3981*J3981*(1+M3981)</x:f>
        <x:v>0.01145375</x:v>
      </x:c>
      <x:c r="Q3981" s="30" t="n">
        <x:f>P3981*N3981</x:f>
        <x:v>0.0229075</x:v>
      </x:c>
      <x:c r="R3981" s="19" t="str">
        <x:v>独立判定</x:v>
      </x:c>
    </x:row>
    <x:row r="3982" ht="19" customHeight="1">
      <x:c r="A3982" s="19" t="str">
        <x:v>D03978</x:v>
      </x:c>
      <x:c r="B3982" s="19" t="n">
        <x:v>8</x:v>
      </x:c>
      <x:c r="C3982" s="19" t="n">
        <x:v>4</x:v>
      </x:c>
      <x:c r="D3982" s="19" t="str">
        <x:v>C08-M047</x:v>
      </x:c>
      <x:c r="E3982" s="19" t="str">
        <x:v>内宫冬眠王·格罗尔</x:v>
      </x:c>
      <x:c r="F3982" s="19" t="str">
        <x:v>地图BOSS</x:v>
      </x:c>
      <x:c r="G3982" s="19" t="str">
        <x:v>材料独立候选</x:v>
      </x:c>
      <x:c r="H3982" s="19" t="str">
        <x:v>大卢恩</x:v>
      </x:c>
      <x:c r="I3982" s="22" t="n">
        <x:v>600</x:v>
      </x:c>
      <x:c r="J3982" s="22" t="n">
        <x:v>1</x:v>
      </x:c>
      <x:c r="K3982" s="19" t="n">
        <x:v>1</x:v>
      </x:c>
      <x:c r="L3982" s="24" t="n">
        <x:v>62.474999999999994</x:v>
      </x:c>
      <x:c r="M3982" s="26" t="n">
        <x:v>0.1</x:v>
      </x:c>
      <x:c r="N3982" s="24" t="n">
        <x:v>2</x:v>
      </x:c>
      <x:c r="O3982" s="28" t="n">
        <x:f>MIN(1,L3982/I3982)</x:f>
        <x:v>0.104125</x:v>
      </x:c>
      <x:c r="P3982" s="30" t="n">
        <x:f>O3982*J3982*(1+M3982)</x:f>
        <x:v>0.1145375</x:v>
      </x:c>
      <x:c r="Q3982" s="30" t="n">
        <x:f>P3982*N3982</x:f>
        <x:v>0.229075</x:v>
      </x:c>
      <x:c r="R3982" s="19" t="str">
        <x:v>独立判定</x:v>
      </x:c>
    </x:row>
    <x:row r="3983" ht="19" customHeight="1">
      <x:c r="A3983" s="19" t="str">
        <x:v>D03979</x:v>
      </x:c>
      <x:c r="B3983" s="19" t="n">
        <x:v>8</x:v>
      </x:c>
      <x:c r="C3983" s="19" t="n">
        <x:v>4</x:v>
      </x:c>
      <x:c r="D3983" s="19" t="str">
        <x:v>C08-M047</x:v>
      </x:c>
      <x:c r="E3983" s="19" t="str">
        <x:v>内宫冬眠王·格罗尔</x:v>
      </x:c>
      <x:c r="F3983" s="19" t="str">
        <x:v>地图BOSS</x:v>
      </x:c>
      <x:c r="G3983" s="19" t="str">
        <x:v>材料独立候选</x:v>
      </x:c>
      <x:c r="H3983" s="19" t="str">
        <x:v>巨人熔火卢恩</x:v>
      </x:c>
      <x:c r="I3983" s="22" t="n">
        <x:v>300</x:v>
      </x:c>
      <x:c r="J3983" s="22" t="n">
        <x:v>20</x:v>
      </x:c>
      <x:c r="K3983" s="19" t="n">
        <x:v>1</x:v>
      </x:c>
      <x:c r="L3983" s="24" t="n">
        <x:v>62.474999999999994</x:v>
      </x:c>
      <x:c r="M3983" s="26" t="n">
        <x:v>0.1</x:v>
      </x:c>
      <x:c r="N3983" s="24" t="n">
        <x:v>2</x:v>
      </x:c>
      <x:c r="O3983" s="28" t="n">
        <x:f>MIN(1,L3983/I3983)</x:f>
        <x:v>0.20825</x:v>
      </x:c>
      <x:c r="P3983" s="30" t="n">
        <x:f>O3983*J3983*(1+M3983)</x:f>
        <x:v>4.5815</x:v>
      </x:c>
      <x:c r="Q3983" s="30" t="n">
        <x:f>P3983*N3983</x:f>
        <x:v>9.163</x:v>
      </x:c>
      <x:c r="R3983" s="19" t="str">
        <x:v>独立判定</x:v>
      </x:c>
    </x:row>
    <x:row r="3984" ht="19" customHeight="1">
      <x:c r="A3984" s="19" t="str">
        <x:v>D03980</x:v>
      </x:c>
      <x:c r="B3984" s="19" t="n">
        <x:v>8</x:v>
      </x:c>
      <x:c r="C3984" s="19" t="n">
        <x:v>4</x:v>
      </x:c>
      <x:c r="D3984" s="19" t="str">
        <x:v>C08-M047</x:v>
      </x:c>
      <x:c r="E3984" s="19" t="str">
        <x:v>内宫冬眠王·格罗尔</x:v>
      </x:c>
      <x:c r="F3984" s="19" t="str">
        <x:v>地图BOSS</x:v>
      </x:c>
      <x:c r="G3984" s="19" t="str">
        <x:v>六神器公共池</x:v>
      </x:c>
      <x:c r="H3984" s="19" t="str">
        <x:v>POOL006</x:v>
      </x:c>
      <x:c r="I3984" s="22" t="n">
        <x:v>200000</x:v>
      </x:c>
      <x:c r="J3984" s="22" t="n">
        <x:v>1</x:v>
      </x:c>
      <x:c r="K3984" s="19" t="n">
        <x:v>6</x:v>
      </x:c>
      <x:c r="L3984" s="24" t="n">
        <x:v>62.474999999999994</x:v>
      </x:c>
      <x:c r="M3984" s="26" t="n">
        <x:v>0.1</x:v>
      </x:c>
      <x:c r="N3984" s="24" t="n">
        <x:v>2</x:v>
      </x:c>
      <x:c r="O3984" s="28" t="n">
        <x:f>MIN(1,L3984/I3984)</x:f>
        <x:v>0.000312375</x:v>
      </x:c>
      <x:c r="P3984" s="30" t="n">
        <x:f>O3984*J3984*(1+M3984)</x:f>
        <x:v>0.00034361250000000004</x:v>
      </x:c>
      <x:c r="Q3984" s="30" t="n">
        <x:f>P3984*N3984</x:f>
        <x:v>0.0006872250000000001</x:v>
      </x:c>
      <x:c r="R3984" s="19" t="str">
        <x:v>六选一；非6个独立爆率</x:v>
      </x:c>
    </x:row>
    <x:row r="3985" ht="19" customHeight="1">
      <x:c r="A3985" s="19" t="str">
        <x:v>D03981</x:v>
      </x:c>
      <x:c r="B3985" s="19" t="n">
        <x:v>8</x:v>
      </x:c>
      <x:c r="C3985" s="19" t="n">
        <x:v>4</x:v>
      </x:c>
      <x:c r="D3985" s="19" t="str">
        <x:v>C08-M048</x:v>
      </x:c>
      <x:c r="E3985" s="19" t="str">
        <x:v>巨人女王·赫芮迦</x:v>
      </x:c>
      <x:c r="F3985" s="19" t="str">
        <x:v>地图BOSS</x:v>
      </x:c>
      <x:c r="G3985" s="19" t="str">
        <x:v>自身专属</x:v>
      </x:c>
      <x:c r="H3985" s="19" t="str">
        <x:v>赫芮迦穹霜王衣</x:v>
      </x:c>
      <x:c r="I3985" s="22" t="n">
        <x:v>300</x:v>
      </x:c>
      <x:c r="J3985" s="22" t="n">
        <x:v>1</x:v>
      </x:c>
      <x:c r="K3985" s="19" t="n">
        <x:v>1</x:v>
      </x:c>
      <x:c r="L3985" s="24" t="n">
        <x:v>62.474999999999994</x:v>
      </x:c>
      <x:c r="M3985" s="26" t="n">
        <x:v>0.1</x:v>
      </x:c>
      <x:c r="N3985" s="24" t="n">
        <x:v>2</x:v>
      </x:c>
      <x:c r="O3985" s="28" t="n">
        <x:f>MIN(1,L3985/I3985)</x:f>
        <x:v>0.20825</x:v>
      </x:c>
      <x:c r="P3985" s="30" t="n">
        <x:f>O3985*J3985*(1+M3985)</x:f>
        <x:v>0.229075</x:v>
      </x:c>
      <x:c r="Q3985" s="30" t="n">
        <x:f>P3985*N3985</x:f>
        <x:v>0.45815</x:v>
      </x:c>
      <x:c r="R3985" s="19" t="str">
        <x:v>独立判定</x:v>
      </x:c>
    </x:row>
    <x:row r="3986" ht="19" customHeight="1">
      <x:c r="A3986" s="19" t="str">
        <x:v>D03982</x:v>
      </x:c>
      <x:c r="B3986" s="19" t="n">
        <x:v>8</x:v>
      </x:c>
      <x:c r="C3986" s="19" t="n">
        <x:v>4</x:v>
      </x:c>
      <x:c r="D3986" s="19" t="str">
        <x:v>C08-M048</x:v>
      </x:c>
      <x:c r="E3986" s="19" t="str">
        <x:v>巨人女王·赫芮迦</x:v>
      </x:c>
      <x:c r="F3986" s="19" t="str">
        <x:v>地图BOSS</x:v>
      </x:c>
      <x:c r="G3986" s="19" t="str">
        <x:v>自身专属</x:v>
      </x:c>
      <x:c r="H3986" s="19" t="str">
        <x:v>踏霜天驹</x:v>
      </x:c>
      <x:c r="I3986" s="22" t="n">
        <x:v>300</x:v>
      </x:c>
      <x:c r="J3986" s="22" t="n">
        <x:v>1</x:v>
      </x:c>
      <x:c r="K3986" s="19" t="n">
        <x:v>1</x:v>
      </x:c>
      <x:c r="L3986" s="24" t="n">
        <x:v>62.474999999999994</x:v>
      </x:c>
      <x:c r="M3986" s="26" t="n">
        <x:v>0.1</x:v>
      </x:c>
      <x:c r="N3986" s="24" t="n">
        <x:v>2</x:v>
      </x:c>
      <x:c r="O3986" s="28" t="n">
        <x:f>MIN(1,L3986/I3986)</x:f>
        <x:v>0.20825</x:v>
      </x:c>
      <x:c r="P3986" s="30" t="n">
        <x:f>O3986*J3986*(1+M3986)</x:f>
        <x:v>0.229075</x:v>
      </x:c>
      <x:c r="Q3986" s="30" t="n">
        <x:f>P3986*N3986</x:f>
        <x:v>0.45815</x:v>
      </x:c>
      <x:c r="R3986" s="19" t="str">
        <x:v>独立判定</x:v>
      </x:c>
    </x:row>
    <x:row r="3987" ht="19" customHeight="1">
      <x:c r="A3987" s="19" t="str">
        <x:v>D03983</x:v>
      </x:c>
      <x:c r="B3987" s="19" t="n">
        <x:v>8</x:v>
      </x:c>
      <x:c r="C3987" s="19" t="n">
        <x:v>4</x:v>
      </x:c>
      <x:c r="D3987" s="19" t="str">
        <x:v>C08-M048</x:v>
      </x:c>
      <x:c r="E3987" s="19" t="str">
        <x:v>巨人女王·赫芮迦</x:v>
      </x:c>
      <x:c r="F3987" s="19" t="str">
        <x:v>地图BOSS</x:v>
      </x:c>
      <x:c r="G3987" s="19" t="str">
        <x:v>本图普通兼掉候选</x:v>
      </x:c>
      <x:c r="H3987" s="19" t="str">
        <x:v>POOL067</x:v>
      </x:c>
      <x:c r="I3987" s="22" t="n">
        <x:v>150</x:v>
      </x:c>
      <x:c r="J3987" s="22" t="n">
        <x:v>1</x:v>
      </x:c>
      <x:c r="K3987" s="19" t="n">
        <x:v>2</x:v>
      </x:c>
      <x:c r="L3987" s="24" t="n">
        <x:v>62.474999999999994</x:v>
      </x:c>
      <x:c r="M3987" s="26" t="n">
        <x:v>0.1</x:v>
      </x:c>
      <x:c r="N3987" s="24" t="n">
        <x:v>2</x:v>
      </x:c>
      <x:c r="O3987" s="28" t="n">
        <x:f>MIN(1,L3987/I3987)</x:f>
        <x:v>0.4165</x:v>
      </x:c>
      <x:c r="P3987" s="30" t="n">
        <x:f>O3987*J3987*(1+M3987)</x:f>
        <x:v>0.45815</x:v>
      </x:c>
      <x:c r="Q3987" s="30" t="n">
        <x:f>P3987*N3987</x:f>
        <x:v>0.9163</x:v>
      </x:c>
      <x:c r="R3987" s="19" t="str">
        <x:v>单池选一</x:v>
      </x:c>
    </x:row>
    <x:row r="3988" ht="19" customHeight="1">
      <x:c r="A3988" s="19" t="str">
        <x:v>D03984</x:v>
      </x:c>
      <x:c r="B3988" s="19" t="n">
        <x:v>8</x:v>
      </x:c>
      <x:c r="C3988" s="19" t="n">
        <x:v>4</x:v>
      </x:c>
      <x:c r="D3988" s="19" t="str">
        <x:v>C08-M048</x:v>
      </x:c>
      <x:c r="E3988" s="19" t="str">
        <x:v>巨人女王·赫芮迦</x:v>
      </x:c>
      <x:c r="F3988" s="19" t="str">
        <x:v>地图BOSS</x:v>
      </x:c>
      <x:c r="G3988" s="19" t="str">
        <x:v>材料独立候选</x:v>
      </x:c>
      <x:c r="H3988" s="19" t="str">
        <x:v>霜脊铁</x:v>
      </x:c>
      <x:c r="I3988" s="22" t="n">
        <x:v>500</x:v>
      </x:c>
      <x:c r="J3988" s="22" t="n">
        <x:v>30</x:v>
      </x:c>
      <x:c r="K3988" s="19" t="n">
        <x:v>1</x:v>
      </x:c>
      <x:c r="L3988" s="24" t="n">
        <x:v>62.474999999999994</x:v>
      </x:c>
      <x:c r="M3988" s="26" t="n">
        <x:v>0.1</x:v>
      </x:c>
      <x:c r="N3988" s="24" t="n">
        <x:v>2</x:v>
      </x:c>
      <x:c r="O3988" s="28" t="n">
        <x:f>MIN(1,L3988/I3988)</x:f>
        <x:v>0.12494999999999999</x:v>
      </x:c>
      <x:c r="P3988" s="30" t="n">
        <x:f>O3988*J3988*(1+M3988)</x:f>
        <x:v>4.12335</x:v>
      </x:c>
      <x:c r="Q3988" s="30" t="n">
        <x:f>P3988*N3988</x:f>
        <x:v>8.2467</x:v>
      </x:c>
      <x:c r="R3988" s="19" t="str">
        <x:v>独立判定</x:v>
      </x:c>
    </x:row>
    <x:row r="3989" ht="19" customHeight="1">
      <x:c r="A3989" s="19" t="str">
        <x:v>D03985</x:v>
      </x:c>
      <x:c r="B3989" s="19" t="n">
        <x:v>8</x:v>
      </x:c>
      <x:c r="C3989" s="19" t="n">
        <x:v>4</x:v>
      </x:c>
      <x:c r="D3989" s="19" t="str">
        <x:v>C08-M048</x:v>
      </x:c>
      <x:c r="E3989" s="19" t="str">
        <x:v>巨人女王·赫芮迦</x:v>
      </x:c>
      <x:c r="F3989" s="19" t="str">
        <x:v>地图BOSS</x:v>
      </x:c>
      <x:c r="G3989" s="19" t="str">
        <x:v>材料独立候选</x:v>
      </x:c>
      <x:c r="H3989" s="19" t="str">
        <x:v>巨人火种</x:v>
      </x:c>
      <x:c r="I3989" s="22" t="n">
        <x:v>800</x:v>
      </x:c>
      <x:c r="J3989" s="22" t="n">
        <x:v>1</x:v>
      </x:c>
      <x:c r="K3989" s="19" t="n">
        <x:v>1</x:v>
      </x:c>
      <x:c r="L3989" s="24" t="n">
        <x:v>62.474999999999994</x:v>
      </x:c>
      <x:c r="M3989" s="26" t="n">
        <x:v>0.1</x:v>
      </x:c>
      <x:c r="N3989" s="24" t="n">
        <x:v>2</x:v>
      </x:c>
      <x:c r="O3989" s="28" t="n">
        <x:f>MIN(1,L3989/I3989)</x:f>
        <x:v>0.07809374999999999</x:v>
      </x:c>
      <x:c r="P3989" s="30" t="n">
        <x:f>O3989*J3989*(1+M3989)</x:f>
        <x:v>0.085903125</x:v>
      </x:c>
      <x:c r="Q3989" s="30" t="n">
        <x:f>P3989*N3989</x:f>
        <x:v>0.17180625</x:v>
      </x:c>
      <x:c r="R3989" s="19" t="str">
        <x:v>独立判定</x:v>
      </x:c>
    </x:row>
    <x:row r="3990" ht="19" customHeight="1">
      <x:c r="A3990" s="19" t="str">
        <x:v>D03986</x:v>
      </x:c>
      <x:c r="B3990" s="19" t="n">
        <x:v>8</x:v>
      </x:c>
      <x:c r="C3990" s="19" t="n">
        <x:v>4</x:v>
      </x:c>
      <x:c r="D3990" s="19" t="str">
        <x:v>C08-M048</x:v>
      </x:c>
      <x:c r="E3990" s="19" t="str">
        <x:v>巨人女王·赫芮迦</x:v>
      </x:c>
      <x:c r="F3990" s="19" t="str">
        <x:v>地图BOSS</x:v>
      </x:c>
      <x:c r="G3990" s="19" t="str">
        <x:v>材料独立候选</x:v>
      </x:c>
      <x:c r="H3990" s="19" t="str">
        <x:v>巨人火印</x:v>
      </x:c>
      <x:c r="I3990" s="22" t="n">
        <x:v>250</x:v>
      </x:c>
      <x:c r="J3990" s="22" t="n">
        <x:v>4</x:v>
      </x:c>
      <x:c r="K3990" s="19" t="n">
        <x:v>1</x:v>
      </x:c>
      <x:c r="L3990" s="24" t="n">
        <x:v>62.474999999999994</x:v>
      </x:c>
      <x:c r="M3990" s="26" t="n">
        <x:v>0.1</x:v>
      </x:c>
      <x:c r="N3990" s="24" t="n">
        <x:v>2</x:v>
      </x:c>
      <x:c r="O3990" s="28" t="n">
        <x:f>MIN(1,L3990/I3990)</x:f>
        <x:v>0.24989999999999998</x:v>
      </x:c>
      <x:c r="P3990" s="30" t="n">
        <x:f>O3990*J3990*(1+M3990)</x:f>
        <x:v>1.09956</x:v>
      </x:c>
      <x:c r="Q3990" s="30" t="n">
        <x:f>P3990*N3990</x:f>
        <x:v>2.19912</x:v>
      </x:c>
      <x:c r="R3990" s="19" t="str">
        <x:v>独立判定</x:v>
      </x:c>
    </x:row>
    <x:row r="3991" ht="19" customHeight="1">
      <x:c r="A3991" s="19" t="str">
        <x:v>D03987</x:v>
      </x:c>
      <x:c r="B3991" s="19" t="n">
        <x:v>8</x:v>
      </x:c>
      <x:c r="C3991" s="19" t="n">
        <x:v>4</x:v>
      </x:c>
      <x:c r="D3991" s="19" t="str">
        <x:v>C08-M048</x:v>
      </x:c>
      <x:c r="E3991" s="19" t="str">
        <x:v>巨人女王·赫芮迦</x:v>
      </x:c>
      <x:c r="F3991" s="19" t="str">
        <x:v>地图BOSS</x:v>
      </x:c>
      <x:c r="G3991" s="19" t="str">
        <x:v>材料独立候选</x:v>
      </x:c>
      <x:c r="H3991" s="19" t="str">
        <x:v>冰宫守门铃</x:v>
      </x:c>
      <x:c r="I3991" s="22" t="n">
        <x:v>400</x:v>
      </x:c>
      <x:c r="J3991" s="22" t="n">
        <x:v>2</x:v>
      </x:c>
      <x:c r="K3991" s="19" t="n">
        <x:v>1</x:v>
      </x:c>
      <x:c r="L3991" s="24" t="n">
        <x:v>62.474999999999994</x:v>
      </x:c>
      <x:c r="M3991" s="26" t="n">
        <x:v>0.1</x:v>
      </x:c>
      <x:c r="N3991" s="24" t="n">
        <x:v>2</x:v>
      </x:c>
      <x:c r="O3991" s="28" t="n">
        <x:f>MIN(1,L3991/I3991)</x:f>
        <x:v>0.15618749999999998</x:v>
      </x:c>
      <x:c r="P3991" s="30" t="n">
        <x:f>O3991*J3991*(1+M3991)</x:f>
        <x:v>0.3436125</x:v>
      </x:c>
      <x:c r="Q3991" s="30" t="n">
        <x:f>P3991*N3991</x:f>
        <x:v>0.687225</x:v>
      </x:c>
      <x:c r="R3991" s="19" t="str">
        <x:v>独立判定</x:v>
      </x:c>
    </x:row>
    <x:row r="3992" ht="19" customHeight="1">
      <x:c r="A3992" s="19" t="str">
        <x:v>D03988</x:v>
      </x:c>
      <x:c r="B3992" s="19" t="n">
        <x:v>8</x:v>
      </x:c>
      <x:c r="C3992" s="19" t="n">
        <x:v>4</x:v>
      </x:c>
      <x:c r="D3992" s="19" t="str">
        <x:v>C08-M048</x:v>
      </x:c>
      <x:c r="E3992" s="19" t="str">
        <x:v>巨人女王·赫芮迦</x:v>
      </x:c>
      <x:c r="F3992" s="19" t="str">
        <x:v>地图BOSS</x:v>
      </x:c>
      <x:c r="G3992" s="19" t="str">
        <x:v>材料独立候选</x:v>
      </x:c>
      <x:c r="H3992" s="19" t="str">
        <x:v>穹霜碑珀</x:v>
      </x:c>
      <x:c r="I3992" s="22" t="n">
        <x:v>1000000</x:v>
      </x:c>
      <x:c r="J3992" s="22" t="n">
        <x:v>1</x:v>
      </x:c>
      <x:c r="K3992" s="19" t="n">
        <x:v>1</x:v>
      </x:c>
      <x:c r="L3992" s="24" t="n">
        <x:v>62.474999999999994</x:v>
      </x:c>
      <x:c r="M3992" s="26" t="n">
        <x:v>0.1</x:v>
      </x:c>
      <x:c r="N3992" s="24" t="n">
        <x:v>2</x:v>
      </x:c>
      <x:c r="O3992" s="28" t="n">
        <x:f>MIN(1,L3992/I3992)</x:f>
        <x:v>0.000062475</x:v>
      </x:c>
      <x:c r="P3992" s="30" t="n">
        <x:f>O3992*J3992*(1+M3992)</x:f>
        <x:v>0.0000687225</x:v>
      </x:c>
      <x:c r="Q3992" s="30" t="n">
        <x:f>P3992*N3992</x:f>
        <x:v>0.000137445</x:v>
      </x:c>
      <x:c r="R3992" s="19" t="str">
        <x:v>独立判定</x:v>
      </x:c>
    </x:row>
    <x:row r="3993" ht="19" customHeight="1">
      <x:c r="A3993" s="19" t="str">
        <x:v>D03989</x:v>
      </x:c>
      <x:c r="B3993" s="19" t="n">
        <x:v>8</x:v>
      </x:c>
      <x:c r="C3993" s="19" t="n">
        <x:v>4</x:v>
      </x:c>
      <x:c r="D3993" s="19" t="str">
        <x:v>C08-M048</x:v>
      </x:c>
      <x:c r="E3993" s="19" t="str">
        <x:v>巨人女王·赫芮迦</x:v>
      </x:c>
      <x:c r="F3993" s="19" t="str">
        <x:v>地图BOSS</x:v>
      </x:c>
      <x:c r="G3993" s="19" t="str">
        <x:v>材料独立候选</x:v>
      </x:c>
      <x:c r="H3993" s="19" t="str">
        <x:v>黄金树芽</x:v>
      </x:c>
      <x:c r="I3993" s="22" t="n">
        <x:v>1000</x:v>
      </x:c>
      <x:c r="J3993" s="22" t="n">
        <x:v>1</x:v>
      </x:c>
      <x:c r="K3993" s="19" t="n">
        <x:v>1</x:v>
      </x:c>
      <x:c r="L3993" s="24" t="n">
        <x:v>62.474999999999994</x:v>
      </x:c>
      <x:c r="M3993" s="26" t="n">
        <x:v>0.1</x:v>
      </x:c>
      <x:c r="N3993" s="24" t="n">
        <x:v>2</x:v>
      </x:c>
      <x:c r="O3993" s="28" t="n">
        <x:f>MIN(1,L3993/I3993)</x:f>
        <x:v>0.062474999999999996</x:v>
      </x:c>
      <x:c r="P3993" s="30" t="n">
        <x:f>O3993*J3993*(1+M3993)</x:f>
        <x:v>0.0687225</x:v>
      </x:c>
      <x:c r="Q3993" s="30" t="n">
        <x:f>P3993*N3993</x:f>
        <x:v>0.137445</x:v>
      </x:c>
      <x:c r="R3993" s="19" t="str">
        <x:v>独立判定</x:v>
      </x:c>
    </x:row>
    <x:row r="3994" ht="19" customHeight="1">
      <x:c r="A3994" s="19" t="str">
        <x:v>D03990</x:v>
      </x:c>
      <x:c r="B3994" s="19" t="n">
        <x:v>8</x:v>
      </x:c>
      <x:c r="C3994" s="19" t="n">
        <x:v>4</x:v>
      </x:c>
      <x:c r="D3994" s="19" t="str">
        <x:v>C08-M048</x:v>
      </x:c>
      <x:c r="E3994" s="19" t="str">
        <x:v>巨人女王·赫芮迦</x:v>
      </x:c>
      <x:c r="F3994" s="19" t="str">
        <x:v>地图BOSS</x:v>
      </x:c>
      <x:c r="G3994" s="19" t="str">
        <x:v>材料独立候选</x:v>
      </x:c>
      <x:c r="H3994" s="19" t="str">
        <x:v>野兽骨片</x:v>
      </x:c>
      <x:c r="I3994" s="22" t="n">
        <x:v>100</x:v>
      </x:c>
      <x:c r="J3994" s="22" t="n">
        <x:v>5</x:v>
      </x:c>
      <x:c r="K3994" s="19" t="n">
        <x:v>1</x:v>
      </x:c>
      <x:c r="L3994" s="24" t="n">
        <x:v>62.474999999999994</x:v>
      </x:c>
      <x:c r="M3994" s="26" t="n">
        <x:v>0.1</x:v>
      </x:c>
      <x:c r="N3994" s="24" t="n">
        <x:v>2</x:v>
      </x:c>
      <x:c r="O3994" s="28" t="n">
        <x:f>MIN(1,L3994/I3994)</x:f>
        <x:v>0.6247499999999999</x:v>
      </x:c>
      <x:c r="P3994" s="30" t="n">
        <x:f>O3994*J3994*(1+M3994)</x:f>
        <x:v>3.4361249999999997</x:v>
      </x:c>
      <x:c r="Q3994" s="30" t="n">
        <x:f>P3994*N3994</x:f>
        <x:v>6.872249999999999</x:v>
      </x:c>
      <x:c r="R3994" s="19" t="str">
        <x:v>独立判定</x:v>
      </x:c>
    </x:row>
    <x:row r="3995" ht="19" customHeight="1">
      <x:c r="A3995" s="19" t="str">
        <x:v>D03991</x:v>
      </x:c>
      <x:c r="B3995" s="19" t="n">
        <x:v>8</x:v>
      </x:c>
      <x:c r="C3995" s="19" t="n">
        <x:v>4</x:v>
      </x:c>
      <x:c r="D3995" s="19" t="str">
        <x:v>C08-M048</x:v>
      </x:c>
      <x:c r="E3995" s="19" t="str">
        <x:v>巨人女王·赫芮迦</x:v>
      </x:c>
      <x:c r="F3995" s="19" t="str">
        <x:v>地图BOSS</x:v>
      </x:c>
      <x:c r="G3995" s="19" t="str">
        <x:v>材料独立候选</x:v>
      </x:c>
      <x:c r="H3995" s="19" t="str">
        <x:v>技能残页</x:v>
      </x:c>
      <x:c r="I3995" s="22" t="n">
        <x:v>800</x:v>
      </x:c>
      <x:c r="J3995" s="22" t="n">
        <x:v>1</x:v>
      </x:c>
      <x:c r="K3995" s="19" t="n">
        <x:v>1</x:v>
      </x:c>
      <x:c r="L3995" s="24" t="n">
        <x:v>62.474999999999994</x:v>
      </x:c>
      <x:c r="M3995" s="26" t="n">
        <x:v>0.1</x:v>
      </x:c>
      <x:c r="N3995" s="24" t="n">
        <x:v>2</x:v>
      </x:c>
      <x:c r="O3995" s="28" t="n">
        <x:f>MIN(1,L3995/I3995)</x:f>
        <x:v>0.07809374999999999</x:v>
      </x:c>
      <x:c r="P3995" s="30" t="n">
        <x:f>O3995*J3995*(1+M3995)</x:f>
        <x:v>0.085903125</x:v>
      </x:c>
      <x:c r="Q3995" s="30" t="n">
        <x:f>P3995*N3995</x:f>
        <x:v>0.17180625</x:v>
      </x:c>
      <x:c r="R3995" s="19" t="str">
        <x:v>独立判定</x:v>
      </x:c>
    </x:row>
    <x:row r="3996" ht="19" customHeight="1">
      <x:c r="A3996" s="19" t="str">
        <x:v>D03992</x:v>
      </x:c>
      <x:c r="B3996" s="19" t="n">
        <x:v>8</x:v>
      </x:c>
      <x:c r="C3996" s="19" t="n">
        <x:v>4</x:v>
      </x:c>
      <x:c r="D3996" s="19" t="str">
        <x:v>C08-M048</x:v>
      </x:c>
      <x:c r="E3996" s="19" t="str">
        <x:v>巨人女王·赫芮迦</x:v>
      </x:c>
      <x:c r="F3996" s="19" t="str">
        <x:v>地图BOSS</x:v>
      </x:c>
      <x:c r="G3996" s="19" t="str">
        <x:v>材料独立候选</x:v>
      </x:c>
      <x:c r="H3996" s="19" t="str">
        <x:v>宁姆格福誓页</x:v>
      </x:c>
      <x:c r="I3996" s="22" t="n">
        <x:v>800</x:v>
      </x:c>
      <x:c r="J3996" s="22" t="n">
        <x:v>1</x:v>
      </x:c>
      <x:c r="K3996" s="19" t="n">
        <x:v>1</x:v>
      </x:c>
      <x:c r="L3996" s="24" t="n">
        <x:v>62.474999999999994</x:v>
      </x:c>
      <x:c r="M3996" s="26" t="n">
        <x:v>0.1</x:v>
      </x:c>
      <x:c r="N3996" s="24" t="n">
        <x:v>2</x:v>
      </x:c>
      <x:c r="O3996" s="28" t="n">
        <x:f>MIN(1,L3996/I3996)</x:f>
        <x:v>0.07809374999999999</x:v>
      </x:c>
      <x:c r="P3996" s="30" t="n">
        <x:f>O3996*J3996*(1+M3996)</x:f>
        <x:v>0.085903125</x:v>
      </x:c>
      <x:c r="Q3996" s="30" t="n">
        <x:f>P3996*N3996</x:f>
        <x:v>0.17180625</x:v>
      </x:c>
      <x:c r="R3996" s="19" t="str">
        <x:v>独立判定</x:v>
      </x:c>
    </x:row>
    <x:row r="3997" ht="19" customHeight="1">
      <x:c r="A3997" s="19" t="str">
        <x:v>D03993</x:v>
      </x:c>
      <x:c r="B3997" s="19" t="n">
        <x:v>8</x:v>
      </x:c>
      <x:c r="C3997" s="19" t="n">
        <x:v>4</x:v>
      </x:c>
      <x:c r="D3997" s="19" t="str">
        <x:v>C08-M048</x:v>
      </x:c>
      <x:c r="E3997" s="19" t="str">
        <x:v>巨人女王·赫芮迦</x:v>
      </x:c>
      <x:c r="F3997" s="19" t="str">
        <x:v>地图BOSS</x:v>
      </x:c>
      <x:c r="G3997" s="19" t="str">
        <x:v>材料独立候选</x:v>
      </x:c>
      <x:c r="H3997" s="19" t="str">
        <x:v>小卢恩</x:v>
      </x:c>
      <x:c r="I3997" s="22" t="n">
        <x:v>6000</x:v>
      </x:c>
      <x:c r="J3997" s="22" t="n">
        <x:v>1</x:v>
      </x:c>
      <x:c r="K3997" s="19" t="n">
        <x:v>1</x:v>
      </x:c>
      <x:c r="L3997" s="24" t="n">
        <x:v>62.474999999999994</x:v>
      </x:c>
      <x:c r="M3997" s="26" t="n">
        <x:v>0.1</x:v>
      </x:c>
      <x:c r="N3997" s="24" t="n">
        <x:v>2</x:v>
      </x:c>
      <x:c r="O3997" s="28" t="n">
        <x:f>MIN(1,L3997/I3997)</x:f>
        <x:v>0.0104125</x:v>
      </x:c>
      <x:c r="P3997" s="30" t="n">
        <x:f>O3997*J3997*(1+M3997)</x:f>
        <x:v>0.01145375</x:v>
      </x:c>
      <x:c r="Q3997" s="30" t="n">
        <x:f>P3997*N3997</x:f>
        <x:v>0.0229075</x:v>
      </x:c>
      <x:c r="R3997" s="19" t="str">
        <x:v>独立判定</x:v>
      </x:c>
    </x:row>
    <x:row r="3998" ht="19" customHeight="1">
      <x:c r="A3998" s="19" t="str">
        <x:v>D03994</x:v>
      </x:c>
      <x:c r="B3998" s="19" t="n">
        <x:v>8</x:v>
      </x:c>
      <x:c r="C3998" s="19" t="n">
        <x:v>4</x:v>
      </x:c>
      <x:c r="D3998" s="19" t="str">
        <x:v>C08-M048</x:v>
      </x:c>
      <x:c r="E3998" s="19" t="str">
        <x:v>巨人女王·赫芮迦</x:v>
      </x:c>
      <x:c r="F3998" s="19" t="str">
        <x:v>地图BOSS</x:v>
      </x:c>
      <x:c r="G3998" s="19" t="str">
        <x:v>材料独立候选</x:v>
      </x:c>
      <x:c r="H3998" s="19" t="str">
        <x:v>大卢恩</x:v>
      </x:c>
      <x:c r="I3998" s="22" t="n">
        <x:v>600</x:v>
      </x:c>
      <x:c r="J3998" s="22" t="n">
        <x:v>1</x:v>
      </x:c>
      <x:c r="K3998" s="19" t="n">
        <x:v>1</x:v>
      </x:c>
      <x:c r="L3998" s="24" t="n">
        <x:v>62.474999999999994</x:v>
      </x:c>
      <x:c r="M3998" s="26" t="n">
        <x:v>0.1</x:v>
      </x:c>
      <x:c r="N3998" s="24" t="n">
        <x:v>2</x:v>
      </x:c>
      <x:c r="O3998" s="28" t="n">
        <x:f>MIN(1,L3998/I3998)</x:f>
        <x:v>0.104125</x:v>
      </x:c>
      <x:c r="P3998" s="30" t="n">
        <x:f>O3998*J3998*(1+M3998)</x:f>
        <x:v>0.1145375</x:v>
      </x:c>
      <x:c r="Q3998" s="30" t="n">
        <x:f>P3998*N3998</x:f>
        <x:v>0.229075</x:v>
      </x:c>
      <x:c r="R3998" s="19" t="str">
        <x:v>独立判定</x:v>
      </x:c>
    </x:row>
    <x:row r="3999" ht="19" customHeight="1">
      <x:c r="A3999" s="19" t="str">
        <x:v>D03995</x:v>
      </x:c>
      <x:c r="B3999" s="19" t="n">
        <x:v>8</x:v>
      </x:c>
      <x:c r="C3999" s="19" t="n">
        <x:v>4</x:v>
      </x:c>
      <x:c r="D3999" s="19" t="str">
        <x:v>C08-M048</x:v>
      </x:c>
      <x:c r="E3999" s="19" t="str">
        <x:v>巨人女王·赫芮迦</x:v>
      </x:c>
      <x:c r="F3999" s="19" t="str">
        <x:v>地图BOSS</x:v>
      </x:c>
      <x:c r="G3999" s="19" t="str">
        <x:v>材料独立候选</x:v>
      </x:c>
      <x:c r="H3999" s="19" t="str">
        <x:v>巨人熔火卢恩</x:v>
      </x:c>
      <x:c r="I3999" s="22" t="n">
        <x:v>300</x:v>
      </x:c>
      <x:c r="J3999" s="22" t="n">
        <x:v>20</x:v>
      </x:c>
      <x:c r="K3999" s="19" t="n">
        <x:v>1</x:v>
      </x:c>
      <x:c r="L3999" s="24" t="n">
        <x:v>62.474999999999994</x:v>
      </x:c>
      <x:c r="M3999" s="26" t="n">
        <x:v>0.1</x:v>
      </x:c>
      <x:c r="N3999" s="24" t="n">
        <x:v>2</x:v>
      </x:c>
      <x:c r="O3999" s="28" t="n">
        <x:f>MIN(1,L3999/I3999)</x:f>
        <x:v>0.20825</x:v>
      </x:c>
      <x:c r="P3999" s="30" t="n">
        <x:f>O3999*J3999*(1+M3999)</x:f>
        <x:v>4.5815</x:v>
      </x:c>
      <x:c r="Q3999" s="30" t="n">
        <x:f>P3999*N3999</x:f>
        <x:v>9.163</x:v>
      </x:c>
      <x:c r="R3999" s="19" t="str">
        <x:v>独立判定</x:v>
      </x:c>
    </x:row>
    <x:row r="4000" ht="19" customHeight="1">
      <x:c r="A4000" s="19" t="str">
        <x:v>D03996</x:v>
      </x:c>
      <x:c r="B4000" s="19" t="n">
        <x:v>8</x:v>
      </x:c>
      <x:c r="C4000" s="19" t="n">
        <x:v>4</x:v>
      </x:c>
      <x:c r="D4000" s="19" t="str">
        <x:v>C08-M048</x:v>
      </x:c>
      <x:c r="E4000" s="19" t="str">
        <x:v>巨人女王·赫芮迦</x:v>
      </x:c>
      <x:c r="F4000" s="19" t="str">
        <x:v>地图BOSS</x:v>
      </x:c>
      <x:c r="G4000" s="19" t="str">
        <x:v>六神器公共池</x:v>
      </x:c>
      <x:c r="H4000" s="19" t="str">
        <x:v>POOL006</x:v>
      </x:c>
      <x:c r="I4000" s="22" t="n">
        <x:v>200000</x:v>
      </x:c>
      <x:c r="J4000" s="22" t="n">
        <x:v>1</x:v>
      </x:c>
      <x:c r="K4000" s="19" t="n">
        <x:v>6</x:v>
      </x:c>
      <x:c r="L4000" s="24" t="n">
        <x:v>62.474999999999994</x:v>
      </x:c>
      <x:c r="M4000" s="26" t="n">
        <x:v>0.1</x:v>
      </x:c>
      <x:c r="N4000" s="24" t="n">
        <x:v>2</x:v>
      </x:c>
      <x:c r="O4000" s="28" t="n">
        <x:f>MIN(1,L4000/I4000)</x:f>
        <x:v>0.000312375</x:v>
      </x:c>
      <x:c r="P4000" s="30" t="n">
        <x:f>O4000*J4000*(1+M4000)</x:f>
        <x:v>0.00034361250000000004</x:v>
      </x:c>
      <x:c r="Q4000" s="30" t="n">
        <x:f>P4000*N4000</x:f>
        <x:v>0.0006872250000000001</x:v>
      </x:c>
      <x:c r="R4000" s="19" t="str">
        <x:v>六选一；非6个独立爆率</x:v>
      </x:c>
    </x:row>
    <x:row r="4001" ht="19" customHeight="1">
      <x:c r="A4001" s="19" t="str">
        <x:v>D03997</x:v>
      </x:c>
      <x:c r="B4001" s="19" t="n">
        <x:v>8</x:v>
      </x:c>
      <x:c r="C4001" s="19" t="n">
        <x:v>4</x:v>
      </x:c>
      <x:c r="D4001" s="19" t="str">
        <x:v>C08-M049</x:v>
      </x:c>
      <x:c r="E4001" s="19" t="str">
        <x:v>吞日霜王·乌尔迈</x:v>
      </x:c>
      <x:c r="F4001" s="19" t="str">
        <x:v>守关BOSS</x:v>
      </x:c>
      <x:c r="G4001" s="19" t="str">
        <x:v>自身专属</x:v>
      </x:c>
      <x:c r="H4001" s="19" t="str">
        <x:v>乌尔迈吞日巨剑</x:v>
      </x:c>
      <x:c r="I4001" s="22" t="n">
        <x:v>200</x:v>
      </x:c>
      <x:c r="J4001" s="22" t="n">
        <x:v>1</x:v>
      </x:c>
      <x:c r="K4001" s="19" t="n">
        <x:v>1</x:v>
      </x:c>
      <x:c r="L4001" s="24" t="n">
        <x:v>62.474999999999994</x:v>
      </x:c>
      <x:c r="M4001" s="26" t="n">
        <x:v>0.1</x:v>
      </x:c>
      <x:c r="N4001" s="24" t="n">
        <x:v>0</x:v>
      </x:c>
      <x:c r="O4001" s="28" t="n">
        <x:f>MIN(1,L4001/I4001)</x:f>
        <x:v>0.31237499999999996</x:v>
      </x:c>
      <x:c r="P4001" s="30" t="n">
        <x:f>O4001*J4001*(1+M4001)</x:f>
        <x:v>0.3436125</x:v>
      </x:c>
      <x:c r="Q4001" s="30" t="n">
        <x:f>P4001*N4001</x:f>
        <x:v>0</x:v>
      </x:c>
      <x:c r="R4001" s="19" t="str">
        <x:v>独立判定</x:v>
      </x:c>
    </x:row>
    <x:row r="4002" ht="19" customHeight="1">
      <x:c r="A4002" s="19" t="str">
        <x:v>D03998</x:v>
      </x:c>
      <x:c r="B4002" s="19" t="n">
        <x:v>8</x:v>
      </x:c>
      <x:c r="C4002" s="19" t="n">
        <x:v>4</x:v>
      </x:c>
      <x:c r="D4002" s="19" t="str">
        <x:v>C08-M049</x:v>
      </x:c>
      <x:c r="E4002" s="19" t="str">
        <x:v>吞日霜王·乌尔迈</x:v>
      </x:c>
      <x:c r="F4002" s="19" t="str">
        <x:v>守关BOSS</x:v>
      </x:c>
      <x:c r="G4002" s="19" t="str">
        <x:v>自身专属</x:v>
      </x:c>
      <x:c r="H4002" s="19" t="str">
        <x:v>吞日礼戟</x:v>
      </x:c>
      <x:c r="I4002" s="22" t="n">
        <x:v>200</x:v>
      </x:c>
      <x:c r="J4002" s="22" t="n">
        <x:v>1</x:v>
      </x:c>
      <x:c r="K4002" s="19" t="n">
        <x:v>1</x:v>
      </x:c>
      <x:c r="L4002" s="24" t="n">
        <x:v>62.474999999999994</x:v>
      </x:c>
      <x:c r="M4002" s="26" t="n">
        <x:v>0.1</x:v>
      </x:c>
      <x:c r="N4002" s="24" t="n">
        <x:v>0</x:v>
      </x:c>
      <x:c r="O4002" s="28" t="n">
        <x:f>MIN(1,L4002/I4002)</x:f>
        <x:v>0.31237499999999996</x:v>
      </x:c>
      <x:c r="P4002" s="30" t="n">
        <x:f>O4002*J4002*(1+M4002)</x:f>
        <x:v>0.3436125</x:v>
      </x:c>
      <x:c r="Q4002" s="30" t="n">
        <x:f>P4002*N4002</x:f>
        <x:v>0</x:v>
      </x:c>
      <x:c r="R4002" s="19" t="str">
        <x:v>独立判定</x:v>
      </x:c>
    </x:row>
    <x:row r="4003" ht="19" customHeight="1">
      <x:c r="A4003" s="19" t="str">
        <x:v>D03999</x:v>
      </x:c>
      <x:c r="B4003" s="19" t="n">
        <x:v>8</x:v>
      </x:c>
      <x:c r="C4003" s="19" t="n">
        <x:v>4</x:v>
      </x:c>
      <x:c r="D4003" s="19" t="str">
        <x:v>C08-M049</x:v>
      </x:c>
      <x:c r="E4003" s="19" t="str">
        <x:v>吞日霜王·乌尔迈</x:v>
      </x:c>
      <x:c r="F4003" s="19" t="str">
        <x:v>守关BOSS</x:v>
      </x:c>
      <x:c r="G4003" s="19" t="str">
        <x:v>自身专属</x:v>
      </x:c>
      <x:c r="H4003" s="19" t="str">
        <x:v>熔雪王袍</x:v>
      </x:c>
      <x:c r="I4003" s="22" t="n">
        <x:v>200</x:v>
      </x:c>
      <x:c r="J4003" s="22" t="n">
        <x:v>1</x:v>
      </x:c>
      <x:c r="K4003" s="19" t="n">
        <x:v>1</x:v>
      </x:c>
      <x:c r="L4003" s="24" t="n">
        <x:v>62.474999999999994</x:v>
      </x:c>
      <x:c r="M4003" s="26" t="n">
        <x:v>0.1</x:v>
      </x:c>
      <x:c r="N4003" s="24" t="n">
        <x:v>0</x:v>
      </x:c>
      <x:c r="O4003" s="28" t="n">
        <x:f>MIN(1,L4003/I4003)</x:f>
        <x:v>0.31237499999999996</x:v>
      </x:c>
      <x:c r="P4003" s="30" t="n">
        <x:f>O4003*J4003*(1+M4003)</x:f>
        <x:v>0.3436125</x:v>
      </x:c>
      <x:c r="Q4003" s="30" t="n">
        <x:f>P4003*N4003</x:f>
        <x:v>0</x:v>
      </x:c>
      <x:c r="R4003" s="19" t="str">
        <x:v>独立判定</x:v>
      </x:c>
    </x:row>
    <x:row r="4004" ht="19" customHeight="1">
      <x:c r="A4004" s="19" t="str">
        <x:v>D04000</x:v>
      </x:c>
      <x:c r="B4004" s="19" t="n">
        <x:v>8</x:v>
      </x:c>
      <x:c r="C4004" s="19" t="n">
        <x:v>4</x:v>
      </x:c>
      <x:c r="D4004" s="19" t="str">
        <x:v>C08-M049</x:v>
      </x:c>
      <x:c r="E4004" s="19" t="str">
        <x:v>吞日霜王·乌尔迈</x:v>
      </x:c>
      <x:c r="F4004" s="19" t="str">
        <x:v>守关BOSS</x:v>
      </x:c>
      <x:c r="G4004" s="19" t="str">
        <x:v>本图普通兼掉候选</x:v>
      </x:c>
      <x:c r="H4004" s="19" t="str">
        <x:v>POOL067</x:v>
      </x:c>
      <x:c r="I4004" s="22" t="n">
        <x:v>150</x:v>
      </x:c>
      <x:c r="J4004" s="22" t="n">
        <x:v>1</x:v>
      </x:c>
      <x:c r="K4004" s="19" t="n">
        <x:v>2</x:v>
      </x:c>
      <x:c r="L4004" s="24" t="n">
        <x:v>62.474999999999994</x:v>
      </x:c>
      <x:c r="M4004" s="26" t="n">
        <x:v>0.1</x:v>
      </x:c>
      <x:c r="N4004" s="24" t="n">
        <x:v>0</x:v>
      </x:c>
      <x:c r="O4004" s="28" t="n">
        <x:f>MIN(1,L4004/I4004)</x:f>
        <x:v>0.4165</x:v>
      </x:c>
      <x:c r="P4004" s="30" t="n">
        <x:f>O4004*J4004*(1+M4004)</x:f>
        <x:v>0.45815</x:v>
      </x:c>
      <x:c r="Q4004" s="30" t="n">
        <x:f>P4004*N4004</x:f>
        <x:v>0</x:v>
      </x:c>
      <x:c r="R4004" s="19" t="str">
        <x:v>单池选一</x:v>
      </x:c>
    </x:row>
    <x:row r="4005" ht="19" customHeight="1">
      <x:c r="A4005" s="19" t="str">
        <x:v>D04001</x:v>
      </x:c>
      <x:c r="B4005" s="19" t="n">
        <x:v>8</x:v>
      </x:c>
      <x:c r="C4005" s="19" t="n">
        <x:v>4</x:v>
      </x:c>
      <x:c r="D4005" s="19" t="str">
        <x:v>C08-M049</x:v>
      </x:c>
      <x:c r="E4005" s="19" t="str">
        <x:v>吞日霜王·乌尔迈</x:v>
      </x:c>
      <x:c r="F4005" s="19" t="str">
        <x:v>守关BOSS</x:v>
      </x:c>
      <x:c r="G4005" s="19" t="str">
        <x:v>材料独立候选</x:v>
      </x:c>
      <x:c r="H4005" s="19" t="str">
        <x:v>霜脊铁</x:v>
      </x:c>
      <x:c r="I4005" s="22" t="n">
        <x:v>1</x:v>
      </x:c>
      <x:c r="J4005" s="22" t="n">
        <x:v>40</x:v>
      </x:c>
      <x:c r="K4005" s="19" t="n">
        <x:v>1</x:v>
      </x:c>
      <x:c r="L4005" s="24" t="n">
        <x:v>62.474999999999994</x:v>
      </x:c>
      <x:c r="M4005" s="26" t="n">
        <x:v>0.1</x:v>
      </x:c>
      <x:c r="N4005" s="24" t="n">
        <x:v>0</x:v>
      </x:c>
      <x:c r="O4005" s="28" t="n">
        <x:f>MIN(1,L4005/I4005)</x:f>
        <x:v>1</x:v>
      </x:c>
      <x:c r="P4005" s="30" t="n">
        <x:f>O4005*J4005*(1+M4005)</x:f>
        <x:v>44</x:v>
      </x:c>
      <x:c r="Q4005" s="30" t="n">
        <x:f>P4005*N4005</x:f>
        <x:v>0</x:v>
      </x:c>
      <x:c r="R4005" s="19" t="str">
        <x:v>独立判定</x:v>
      </x:c>
    </x:row>
    <x:row r="4006" ht="19" customHeight="1">
      <x:c r="A4006" s="19" t="str">
        <x:v>D04002</x:v>
      </x:c>
      <x:c r="B4006" s="19" t="n">
        <x:v>8</x:v>
      </x:c>
      <x:c r="C4006" s="19" t="n">
        <x:v>4</x:v>
      </x:c>
      <x:c r="D4006" s="19" t="str">
        <x:v>C08-M049</x:v>
      </x:c>
      <x:c r="E4006" s="19" t="str">
        <x:v>吞日霜王·乌尔迈</x:v>
      </x:c>
      <x:c r="F4006" s="19" t="str">
        <x:v>守关BOSS</x:v>
      </x:c>
      <x:c r="G4006" s="19" t="str">
        <x:v>材料独立候选</x:v>
      </x:c>
      <x:c r="H4006" s="19" t="str">
        <x:v>巨人火种</x:v>
      </x:c>
      <x:c r="I4006" s="22" t="n">
        <x:v>1</x:v>
      </x:c>
      <x:c r="J4006" s="22" t="n">
        <x:v>1</x:v>
      </x:c>
      <x:c r="K4006" s="19" t="n">
        <x:v>1</x:v>
      </x:c>
      <x:c r="L4006" s="24" t="n">
        <x:v>62.474999999999994</x:v>
      </x:c>
      <x:c r="M4006" s="26" t="n">
        <x:v>0.1</x:v>
      </x:c>
      <x:c r="N4006" s="24" t="n">
        <x:v>0</x:v>
      </x:c>
      <x:c r="O4006" s="28" t="n">
        <x:f>MIN(1,L4006/I4006)</x:f>
        <x:v>1</x:v>
      </x:c>
      <x:c r="P4006" s="30" t="n">
        <x:f>O4006*J4006*(1+M4006)</x:f>
        <x:v>1.1</x:v>
      </x:c>
      <x:c r="Q4006" s="30" t="n">
        <x:f>P4006*N4006</x:f>
        <x:v>0</x:v>
      </x:c>
      <x:c r="R4006" s="19" t="str">
        <x:v>独立判定</x:v>
      </x:c>
    </x:row>
    <x:row r="4007" ht="19" customHeight="1">
      <x:c r="A4007" s="19" t="str">
        <x:v>D04003</x:v>
      </x:c>
      <x:c r="B4007" s="19" t="n">
        <x:v>8</x:v>
      </x:c>
      <x:c r="C4007" s="19" t="n">
        <x:v>4</x:v>
      </x:c>
      <x:c r="D4007" s="19" t="str">
        <x:v>C08-M049</x:v>
      </x:c>
      <x:c r="E4007" s="19" t="str">
        <x:v>吞日霜王·乌尔迈</x:v>
      </x:c>
      <x:c r="F4007" s="19" t="str">
        <x:v>守关BOSS</x:v>
      </x:c>
      <x:c r="G4007" s="19" t="str">
        <x:v>材料独立候选</x:v>
      </x:c>
      <x:c r="H4007" s="19" t="str">
        <x:v>巨人火印</x:v>
      </x:c>
      <x:c r="I4007" s="22" t="n">
        <x:v>1</x:v>
      </x:c>
      <x:c r="J4007" s="22" t="n">
        <x:v>1</x:v>
      </x:c>
      <x:c r="K4007" s="19" t="n">
        <x:v>1</x:v>
      </x:c>
      <x:c r="L4007" s="24" t="n">
        <x:v>62.474999999999994</x:v>
      </x:c>
      <x:c r="M4007" s="26" t="n">
        <x:v>0.1</x:v>
      </x:c>
      <x:c r="N4007" s="24" t="n">
        <x:v>0</x:v>
      </x:c>
      <x:c r="O4007" s="28" t="n">
        <x:f>MIN(1,L4007/I4007)</x:f>
        <x:v>1</x:v>
      </x:c>
      <x:c r="P4007" s="30" t="n">
        <x:f>O4007*J4007*(1+M4007)</x:f>
        <x:v>1.1</x:v>
      </x:c>
      <x:c r="Q4007" s="30" t="n">
        <x:f>P4007*N4007</x:f>
        <x:v>0</x:v>
      </x:c>
      <x:c r="R4007" s="19" t="str">
        <x:v>独立判定</x:v>
      </x:c>
    </x:row>
    <x:row r="4008" ht="19" customHeight="1">
      <x:c r="A4008" s="19" t="str">
        <x:v>D04004</x:v>
      </x:c>
      <x:c r="B4008" s="19" t="n">
        <x:v>8</x:v>
      </x:c>
      <x:c r="C4008" s="19" t="n">
        <x:v>4</x:v>
      </x:c>
      <x:c r="D4008" s="19" t="str">
        <x:v>C08-M049</x:v>
      </x:c>
      <x:c r="E4008" s="19" t="str">
        <x:v>吞日霜王·乌尔迈</x:v>
      </x:c>
      <x:c r="F4008" s="19" t="str">
        <x:v>守关BOSS</x:v>
      </x:c>
      <x:c r="G4008" s="19" t="str">
        <x:v>材料独立候选</x:v>
      </x:c>
      <x:c r="H4008" s="19" t="str">
        <x:v>王庭炉冠</x:v>
      </x:c>
      <x:c r="I4008" s="22" t="n">
        <x:v>1</x:v>
      </x:c>
      <x:c r="J4008" s="22" t="n">
        <x:v>1</x:v>
      </x:c>
      <x:c r="K4008" s="19" t="n">
        <x:v>1</x:v>
      </x:c>
      <x:c r="L4008" s="24" t="n">
        <x:v>62.474999999999994</x:v>
      </x:c>
      <x:c r="M4008" s="26" t="n">
        <x:v>0.1</x:v>
      </x:c>
      <x:c r="N4008" s="24" t="n">
        <x:v>0</x:v>
      </x:c>
      <x:c r="O4008" s="28" t="n">
        <x:f>MIN(1,L4008/I4008)</x:f>
        <x:v>1</x:v>
      </x:c>
      <x:c r="P4008" s="30" t="n">
        <x:f>O4008*J4008*(1+M4008)</x:f>
        <x:v>1.1</x:v>
      </x:c>
      <x:c r="Q4008" s="30" t="n">
        <x:f>P4008*N4008</x:f>
        <x:v>0</x:v>
      </x:c>
      <x:c r="R4008" s="19" t="str">
        <x:v>独立判定</x:v>
      </x:c>
    </x:row>
    <x:row r="4009" ht="19" customHeight="1">
      <x:c r="A4009" s="19" t="str">
        <x:v>D04005</x:v>
      </x:c>
      <x:c r="B4009" s="19" t="n">
        <x:v>8</x:v>
      </x:c>
      <x:c r="C4009" s="19" t="n">
        <x:v>4</x:v>
      </x:c>
      <x:c r="D4009" s="19" t="str">
        <x:v>C08-M049</x:v>
      </x:c>
      <x:c r="E4009" s="19" t="str">
        <x:v>吞日霜王·乌尔迈</x:v>
      </x:c>
      <x:c r="F4009" s="19" t="str">
        <x:v>守关BOSS</x:v>
      </x:c>
      <x:c r="G4009" s="19" t="str">
        <x:v>材料独立候选</x:v>
      </x:c>
      <x:c r="H4009" s="19" t="str">
        <x:v>穹霜碑珀</x:v>
      </x:c>
      <x:c r="I4009" s="22" t="n">
        <x:v>15000</x:v>
      </x:c>
      <x:c r="J4009" s="22" t="n">
        <x:v>1</x:v>
      </x:c>
      <x:c r="K4009" s="19" t="n">
        <x:v>1</x:v>
      </x:c>
      <x:c r="L4009" s="24" t="n">
        <x:v>62.474999999999994</x:v>
      </x:c>
      <x:c r="M4009" s="26" t="n">
        <x:v>0.1</x:v>
      </x:c>
      <x:c r="N4009" s="24" t="n">
        <x:v>0</x:v>
      </x:c>
      <x:c r="O4009" s="28" t="n">
        <x:f>MIN(1,L4009/I4009)</x:f>
        <x:v>0.004164999999999999</x:v>
      </x:c>
      <x:c r="P4009" s="30" t="n">
        <x:f>O4009*J4009*(1+M4009)</x:f>
        <x:v>0.0045815</x:v>
      </x:c>
      <x:c r="Q4009" s="30" t="n">
        <x:f>P4009*N4009</x:f>
        <x:v>0</x:v>
      </x:c>
      <x:c r="R4009" s="19" t="str">
        <x:v>独立判定</x:v>
      </x:c>
    </x:row>
    <x:row r="4010" ht="19" customHeight="1">
      <x:c r="A4010" s="19" t="str">
        <x:v>D04006</x:v>
      </x:c>
      <x:c r="B4010" s="19" t="n">
        <x:v>8</x:v>
      </x:c>
      <x:c r="C4010" s="19" t="n">
        <x:v>4</x:v>
      </x:c>
      <x:c r="D4010" s="19" t="str">
        <x:v>C08-M049</x:v>
      </x:c>
      <x:c r="E4010" s="19" t="str">
        <x:v>吞日霜王·乌尔迈</x:v>
      </x:c>
      <x:c r="F4010" s="19" t="str">
        <x:v>守关BOSS</x:v>
      </x:c>
      <x:c r="G4010" s="19" t="str">
        <x:v>材料独立候选</x:v>
      </x:c>
      <x:c r="H4010" s="19" t="str">
        <x:v>黄金树芽</x:v>
      </x:c>
      <x:c r="I4010" s="22" t="n">
        <x:v>1</x:v>
      </x:c>
      <x:c r="J4010" s="22" t="n">
        <x:v>1</x:v>
      </x:c>
      <x:c r="K4010" s="19" t="n">
        <x:v>1</x:v>
      </x:c>
      <x:c r="L4010" s="24" t="n">
        <x:v>62.474999999999994</x:v>
      </x:c>
      <x:c r="M4010" s="26" t="n">
        <x:v>0.1</x:v>
      </x:c>
      <x:c r="N4010" s="24" t="n">
        <x:v>0</x:v>
      </x:c>
      <x:c r="O4010" s="28" t="n">
        <x:f>MIN(1,L4010/I4010)</x:f>
        <x:v>1</x:v>
      </x:c>
      <x:c r="P4010" s="30" t="n">
        <x:f>O4010*J4010*(1+M4010)</x:f>
        <x:v>1.1</x:v>
      </x:c>
      <x:c r="Q4010" s="30" t="n">
        <x:f>P4010*N4010</x:f>
        <x:v>0</x:v>
      </x:c>
      <x:c r="R4010" s="19" t="str">
        <x:v>独立判定</x:v>
      </x:c>
    </x:row>
    <x:row r="4011" ht="19" customHeight="1">
      <x:c r="A4011" s="19" t="str">
        <x:v>D04007</x:v>
      </x:c>
      <x:c r="B4011" s="19" t="n">
        <x:v>8</x:v>
      </x:c>
      <x:c r="C4011" s="19" t="n">
        <x:v>4</x:v>
      </x:c>
      <x:c r="D4011" s="19" t="str">
        <x:v>C08-M049</x:v>
      </x:c>
      <x:c r="E4011" s="19" t="str">
        <x:v>吞日霜王·乌尔迈</x:v>
      </x:c>
      <x:c r="F4011" s="19" t="str">
        <x:v>守关BOSS</x:v>
      </x:c>
      <x:c r="G4011" s="19" t="str">
        <x:v>六神器公共池</x:v>
      </x:c>
      <x:c r="H4011" s="19" t="str">
        <x:v>POOL006</x:v>
      </x:c>
      <x:c r="I4011" s="22" t="n">
        <x:v>40000</x:v>
      </x:c>
      <x:c r="J4011" s="22" t="n">
        <x:v>1</x:v>
      </x:c>
      <x:c r="K4011" s="19" t="n">
        <x:v>6</x:v>
      </x:c>
      <x:c r="L4011" s="24" t="n">
        <x:v>62.474999999999994</x:v>
      </x:c>
      <x:c r="M4011" s="26" t="n">
        <x:v>0.1</x:v>
      </x:c>
      <x:c r="N4011" s="24" t="n">
        <x:v>0</x:v>
      </x:c>
      <x:c r="O4011" s="28" t="n">
        <x:f>MIN(1,L4011/I4011)</x:f>
        <x:v>0.001561875</x:v>
      </x:c>
      <x:c r="P4011" s="30" t="n">
        <x:f>O4011*J4011*(1+M4011)</x:f>
        <x:v>0.0017180625</x:v>
      </x:c>
      <x:c r="Q4011" s="30" t="n">
        <x:f>P4011*N4011</x:f>
        <x:v>0</x:v>
      </x:c>
      <x:c r="R4011" s="19" t="str">
        <x:v>六选一；非6个独立爆率</x:v>
      </x:c>
    </x:row>
    <x:row r="4012" ht="19" customHeight="1">
      <x:c r="A4012" s="19" t="str">
        <x:v>D04008</x:v>
      </x:c>
      <x:c r="B4012" s="19" t="n">
        <x:v>9</x:v>
      </x:c>
      <x:c r="C4012" s="19" t="n">
        <x:v>1</x:v>
      </x:c>
      <x:c r="D4012" s="19" t="str">
        <x:v>C09-M001</x:v>
      </x:c>
      <x:c r="E4012" s="19" t="str">
        <x:v>金叶角鹿</x:v>
      </x:c>
      <x:c r="F4012" s="19" t="str">
        <x:v>普通</x:v>
      </x:c>
      <x:c r="G4012" s="19" t="str">
        <x:v>自身专属</x:v>
      </x:c>
      <x:c r="H4012" s="19" t="str">
        <x:v>角鹿逐叶履</x:v>
      </x:c>
      <x:c r="I4012" s="22" t="n">
        <x:v>8000</x:v>
      </x:c>
      <x:c r="J4012" s="22" t="n">
        <x:v>1</x:v>
      </x:c>
      <x:c r="K4012" s="19" t="n">
        <x:v>1</x:v>
      </x:c>
      <x:c r="L4012" s="24" t="n">
        <x:v>62.474999999999994</x:v>
      </x:c>
      <x:c r="M4012" s="26" t="n">
        <x:v>0.1</x:v>
      </x:c>
      <x:c r="N4012" s="24" t="n">
        <x:v>72</x:v>
      </x:c>
      <x:c r="O4012" s="28" t="n">
        <x:f>MIN(1,L4012/I4012)</x:f>
        <x:v>0.0078093749999999995</x:v>
      </x:c>
      <x:c r="P4012" s="30" t="n">
        <x:f>O4012*J4012*(1+M4012)</x:f>
        <x:v>0.0085903125</x:v>
      </x:c>
      <x:c r="Q4012" s="30" t="n">
        <x:f>P4012*N4012</x:f>
        <x:v>0.6185025000000001</x:v>
      </x:c>
      <x:c r="R4012" s="19" t="str">
        <x:v>独立判定</x:v>
      </x:c>
    </x:row>
    <x:row r="4013" ht="19" customHeight="1">
      <x:c r="A4013" s="19" t="str">
        <x:v>D04009</x:v>
      </x:c>
      <x:c r="B4013" s="19" t="n">
        <x:v>9</x:v>
      </x:c>
      <x:c r="C4013" s="19" t="n">
        <x:v>1</x:v>
      </x:c>
      <x:c r="D4013" s="19" t="str">
        <x:v>C09-M001</x:v>
      </x:c>
      <x:c r="E4013" s="19" t="str">
        <x:v>金叶角鹿</x:v>
      </x:c>
      <x:c r="F4013" s="19" t="str">
        <x:v>普通</x:v>
      </x:c>
      <x:c r="G4013" s="19" t="str">
        <x:v>材料独立候选</x:v>
      </x:c>
      <x:c r="H4013" s="19" t="str">
        <x:v>黄金叶脉</x:v>
      </x:c>
      <x:c r="I4013" s="22" t="n">
        <x:v>1500</x:v>
      </x:c>
      <x:c r="J4013" s="22" t="n">
        <x:v>8</x:v>
      </x:c>
      <x:c r="K4013" s="19" t="n">
        <x:v>1</x:v>
      </x:c>
      <x:c r="L4013" s="24" t="n">
        <x:v>62.474999999999994</x:v>
      </x:c>
      <x:c r="M4013" s="26" t="n">
        <x:v>0.1</x:v>
      </x:c>
      <x:c r="N4013" s="24" t="n">
        <x:v>72</x:v>
      </x:c>
      <x:c r="O4013" s="28" t="n">
        <x:f>MIN(1,L4013/I4013)</x:f>
        <x:v>0.04165</x:v>
      </x:c>
      <x:c r="P4013" s="30" t="n">
        <x:f>O4013*J4013*(1+M4013)</x:f>
        <x:v>0.36652</x:v>
      </x:c>
      <x:c r="Q4013" s="30" t="n">
        <x:f>P4013*N4013</x:f>
        <x:v>26.38944</x:v>
      </x:c>
      <x:c r="R4013" s="19" t="str">
        <x:v>独立判定</x:v>
      </x:c>
    </x:row>
    <x:row r="4014" ht="19" customHeight="1">
      <x:c r="A4014" s="19" t="str">
        <x:v>D04010</x:v>
      </x:c>
      <x:c r="B4014" s="19" t="n">
        <x:v>9</x:v>
      </x:c>
      <x:c r="C4014" s="19" t="n">
        <x:v>1</x:v>
      </x:c>
      <x:c r="D4014" s="19" t="str">
        <x:v>C09-M001</x:v>
      </x:c>
      <x:c r="E4014" s="19" t="str">
        <x:v>金叶角鹿</x:v>
      </x:c>
      <x:c r="F4014" s="19" t="str">
        <x:v>普通</x:v>
      </x:c>
      <x:c r="G4014" s="19" t="str">
        <x:v>材料独立候选</x:v>
      </x:c>
      <x:c r="H4014" s="19" t="str">
        <x:v>金叶驿票</x:v>
      </x:c>
      <x:c r="I4014" s="22" t="n">
        <x:v>18000</x:v>
      </x:c>
      <x:c r="J4014" s="22" t="n">
        <x:v>1</x:v>
      </x:c>
      <x:c r="K4014" s="19" t="n">
        <x:v>1</x:v>
      </x:c>
      <x:c r="L4014" s="24" t="n">
        <x:v>62.474999999999994</x:v>
      </x:c>
      <x:c r="M4014" s="26" t="n">
        <x:v>0.1</x:v>
      </x:c>
      <x:c r="N4014" s="24" t="n">
        <x:v>72</x:v>
      </x:c>
      <x:c r="O4014" s="28" t="n">
        <x:f>MIN(1,L4014/I4014)</x:f>
        <x:v>0.003470833333333333</x:v>
      </x:c>
      <x:c r="P4014" s="30" t="n">
        <x:f>O4014*J4014*(1+M4014)</x:f>
        <x:v>0.003817916666666667</x:v>
      </x:c>
      <x:c r="Q4014" s="30" t="n">
        <x:f>P4014*N4014</x:f>
        <x:v>0.27489</x:v>
      </x:c>
      <x:c r="R4014" s="19" t="str">
        <x:v>独立判定</x:v>
      </x:c>
    </x:row>
    <x:row r="4015" ht="19" customHeight="1">
      <x:c r="A4015" s="19" t="str">
        <x:v>D04011</x:v>
      </x:c>
      <x:c r="B4015" s="19" t="n">
        <x:v>9</x:v>
      </x:c>
      <x:c r="C4015" s="19" t="n">
        <x:v>1</x:v>
      </x:c>
      <x:c r="D4015" s="19" t="str">
        <x:v>C09-M001</x:v>
      </x:c>
      <x:c r="E4015" s="19" t="str">
        <x:v>金叶角鹿</x:v>
      </x:c>
      <x:c r="F4015" s="19" t="str">
        <x:v>普通</x:v>
      </x:c>
      <x:c r="G4015" s="19" t="str">
        <x:v>材料独立候选</x:v>
      </x:c>
      <x:c r="H4015" s="19" t="str">
        <x:v>古坛鎏叶髓</x:v>
      </x:c>
      <x:c r="I4015" s="22" t="n">
        <x:v>3000000</x:v>
      </x:c>
      <x:c r="J4015" s="22" t="n">
        <x:v>1</x:v>
      </x:c>
      <x:c r="K4015" s="19" t="n">
        <x:v>1</x:v>
      </x:c>
      <x:c r="L4015" s="24" t="n">
        <x:v>62.474999999999994</x:v>
      </x:c>
      <x:c r="M4015" s="26" t="n">
        <x:v>0.1</x:v>
      </x:c>
      <x:c r="N4015" s="24" t="n">
        <x:v>72</x:v>
      </x:c>
      <x:c r="O4015" s="28" t="n">
        <x:f>MIN(1,L4015/I4015)</x:f>
        <x:v>0.000020824999999999998</x:v>
      </x:c>
      <x:c r="P4015" s="30" t="n">
        <x:f>O4015*J4015*(1+M4015)</x:f>
        <x:v>0.0000229075</x:v>
      </x:c>
      <x:c r="Q4015" s="30" t="n">
        <x:f>P4015*N4015</x:f>
        <x:v>0.00164934</x:v>
      </x:c>
      <x:c r="R4015" s="19" t="str">
        <x:v>独立判定</x:v>
      </x:c>
    </x:row>
    <x:row r="4016" ht="19" customHeight="1">
      <x:c r="A4016" s="19" t="str">
        <x:v>D04012</x:v>
      </x:c>
      <x:c r="B4016" s="19" t="n">
        <x:v>9</x:v>
      </x:c>
      <x:c r="C4016" s="19" t="n">
        <x:v>1</x:v>
      </x:c>
      <x:c r="D4016" s="19" t="str">
        <x:v>C09-M001</x:v>
      </x:c>
      <x:c r="E4016" s="19" t="str">
        <x:v>金叶角鹿</x:v>
      </x:c>
      <x:c r="F4016" s="19" t="str">
        <x:v>普通</x:v>
      </x:c>
      <x:c r="G4016" s="19" t="str">
        <x:v>材料独立候选</x:v>
      </x:c>
      <x:c r="H4016" s="19" t="str">
        <x:v>野兽骨片</x:v>
      </x:c>
      <x:c r="I4016" s="22" t="n">
        <x:v>300</x:v>
      </x:c>
      <x:c r="J4016" s="22" t="n">
        <x:v>5</x:v>
      </x:c>
      <x:c r="K4016" s="19" t="n">
        <x:v>1</x:v>
      </x:c>
      <x:c r="L4016" s="24" t="n">
        <x:v>62.474999999999994</x:v>
      </x:c>
      <x:c r="M4016" s="26" t="n">
        <x:v>0.1</x:v>
      </x:c>
      <x:c r="N4016" s="24" t="n">
        <x:v>72</x:v>
      </x:c>
      <x:c r="O4016" s="28" t="n">
        <x:f>MIN(1,L4016/I4016)</x:f>
        <x:v>0.20825</x:v>
      </x:c>
      <x:c r="P4016" s="30" t="n">
        <x:f>O4016*J4016*(1+M4016)</x:f>
        <x:v>1.145375</x:v>
      </x:c>
      <x:c r="Q4016" s="30" t="n">
        <x:f>P4016*N4016</x:f>
        <x:v>82.467</x:v>
      </x:c>
      <x:c r="R4016" s="19" t="str">
        <x:v>独立判定</x:v>
      </x:c>
    </x:row>
    <x:row r="4017" ht="19" customHeight="1">
      <x:c r="A4017" s="19" t="str">
        <x:v>D04013</x:v>
      </x:c>
      <x:c r="B4017" s="19" t="n">
        <x:v>9</x:v>
      </x:c>
      <x:c r="C4017" s="19" t="n">
        <x:v>1</x:v>
      </x:c>
      <x:c r="D4017" s="19" t="str">
        <x:v>C09-M001</x:v>
      </x:c>
      <x:c r="E4017" s="19" t="str">
        <x:v>金叶角鹿</x:v>
      </x:c>
      <x:c r="F4017" s="19" t="str">
        <x:v>普通</x:v>
      </x:c>
      <x:c r="G4017" s="19" t="str">
        <x:v>材料独立候选</x:v>
      </x:c>
      <x:c r="H4017" s="19" t="str">
        <x:v>技能残页</x:v>
      </x:c>
      <x:c r="I4017" s="22" t="n">
        <x:v>2500</x:v>
      </x:c>
      <x:c r="J4017" s="22" t="n">
        <x:v>1</x:v>
      </x:c>
      <x:c r="K4017" s="19" t="n">
        <x:v>1</x:v>
      </x:c>
      <x:c r="L4017" s="24" t="n">
        <x:v>62.474999999999994</x:v>
      </x:c>
      <x:c r="M4017" s="26" t="n">
        <x:v>0.1</x:v>
      </x:c>
      <x:c r="N4017" s="24" t="n">
        <x:v>72</x:v>
      </x:c>
      <x:c r="O4017" s="28" t="n">
        <x:f>MIN(1,L4017/I4017)</x:f>
        <x:v>0.02499</x:v>
      </x:c>
      <x:c r="P4017" s="30" t="n">
        <x:f>O4017*J4017*(1+M4017)</x:f>
        <x:v>0.027489</x:v>
      </x:c>
      <x:c r="Q4017" s="30" t="n">
        <x:f>P4017*N4017</x:f>
        <x:v>1.9792079999999999</x:v>
      </x:c>
      <x:c r="R4017" s="19" t="str">
        <x:v>独立判定</x:v>
      </x:c>
    </x:row>
    <x:row r="4018" ht="19" customHeight="1">
      <x:c r="A4018" s="19" t="str">
        <x:v>D04014</x:v>
      </x:c>
      <x:c r="B4018" s="19" t="n">
        <x:v>9</x:v>
      </x:c>
      <x:c r="C4018" s="19" t="n">
        <x:v>1</x:v>
      </x:c>
      <x:c r="D4018" s="19" t="str">
        <x:v>C09-M001</x:v>
      </x:c>
      <x:c r="E4018" s="19" t="str">
        <x:v>金叶角鹿</x:v>
      </x:c>
      <x:c r="F4018" s="19" t="str">
        <x:v>普通</x:v>
      </x:c>
      <x:c r="G4018" s="19" t="str">
        <x:v>材料独立候选</x:v>
      </x:c>
      <x:c r="H4018" s="19" t="str">
        <x:v>小卢恩</x:v>
      </x:c>
      <x:c r="I4018" s="22" t="n">
        <x:v>18000</x:v>
      </x:c>
      <x:c r="J4018" s="22" t="n">
        <x:v>1</x:v>
      </x:c>
      <x:c r="K4018" s="19" t="n">
        <x:v>1</x:v>
      </x:c>
      <x:c r="L4018" s="24" t="n">
        <x:v>62.474999999999994</x:v>
      </x:c>
      <x:c r="M4018" s="26" t="n">
        <x:v>0.1</x:v>
      </x:c>
      <x:c r="N4018" s="24" t="n">
        <x:v>72</x:v>
      </x:c>
      <x:c r="O4018" s="28" t="n">
        <x:f>MIN(1,L4018/I4018)</x:f>
        <x:v>0.003470833333333333</x:v>
      </x:c>
      <x:c r="P4018" s="30" t="n">
        <x:f>O4018*J4018*(1+M4018)</x:f>
        <x:v>0.003817916666666667</x:v>
      </x:c>
      <x:c r="Q4018" s="30" t="n">
        <x:f>P4018*N4018</x:f>
        <x:v>0.27489</x:v>
      </x:c>
      <x:c r="R4018" s="19" t="str">
        <x:v>独立判定</x:v>
      </x:c>
    </x:row>
    <x:row r="4019" ht="19" customHeight="1">
      <x:c r="A4019" s="19" t="str">
        <x:v>D04015</x:v>
      </x:c>
      <x:c r="B4019" s="19" t="n">
        <x:v>9</x:v>
      </x:c>
      <x:c r="C4019" s="19" t="n">
        <x:v>1</x:v>
      </x:c>
      <x:c r="D4019" s="19" t="str">
        <x:v>C09-M001</x:v>
      </x:c>
      <x:c r="E4019" s="19" t="str">
        <x:v>金叶角鹿</x:v>
      </x:c>
      <x:c r="F4019" s="19" t="str">
        <x:v>普通</x:v>
      </x:c>
      <x:c r="G4019" s="19" t="str">
        <x:v>六神器公共池</x:v>
      </x:c>
      <x:c r="H4019" s="19" t="str">
        <x:v>POOL006</x:v>
      </x:c>
      <x:c r="I4019" s="22" t="n">
        <x:v>20000000</x:v>
      </x:c>
      <x:c r="J4019" s="22" t="n">
        <x:v>1</x:v>
      </x:c>
      <x:c r="K4019" s="19" t="n">
        <x:v>6</x:v>
      </x:c>
      <x:c r="L4019" s="24" t="n">
        <x:v>62.474999999999994</x:v>
      </x:c>
      <x:c r="M4019" s="26" t="n">
        <x:v>0.1</x:v>
      </x:c>
      <x:c r="N4019" s="24" t="n">
        <x:v>72</x:v>
      </x:c>
      <x:c r="O4019" s="28" t="n">
        <x:f>MIN(1,L4019/I4019)</x:f>
        <x:v>0.0000031237499999999995</x:v>
      </x:c>
      <x:c r="P4019" s="30" t="n">
        <x:f>O4019*J4019*(1+M4019)</x:f>
        <x:v>0.0000034361249999999996</x:v>
      </x:c>
      <x:c r="Q4019" s="30" t="n">
        <x:f>P4019*N4019</x:f>
        <x:v>0.00024740099999999996</x:v>
      </x:c>
      <x:c r="R4019" s="19" t="str">
        <x:v>六选一；非6个独立爆率</x:v>
      </x:c>
    </x:row>
    <x:row r="4020" ht="19" customHeight="1">
      <x:c r="A4020" s="19" t="str">
        <x:v>D04016</x:v>
      </x:c>
      <x:c r="B4020" s="19" t="n">
        <x:v>9</x:v>
      </x:c>
      <x:c r="C4020" s="19" t="n">
        <x:v>1</x:v>
      </x:c>
      <x:c r="D4020" s="19" t="str">
        <x:v>C09-M002</x:v>
      </x:c>
      <x:c r="E4020" s="19" t="str">
        <x:v>拾穗旅盗</x:v>
      </x:c>
      <x:c r="F4020" s="19" t="str">
        <x:v>普通</x:v>
      </x:c>
      <x:c r="G4020" s="19" t="str">
        <x:v>自身专属</x:v>
      </x:c>
      <x:c r="H4020" s="19" t="str">
        <x:v>拾穗弯刃</x:v>
      </x:c>
      <x:c r="I4020" s="22" t="n">
        <x:v>8000</x:v>
      </x:c>
      <x:c r="J4020" s="22" t="n">
        <x:v>1</x:v>
      </x:c>
      <x:c r="K4020" s="19" t="n">
        <x:v>1</x:v>
      </x:c>
      <x:c r="L4020" s="24" t="n">
        <x:v>62.474999999999994</x:v>
      </x:c>
      <x:c r="M4020" s="26" t="n">
        <x:v>0.1</x:v>
      </x:c>
      <x:c r="N4020" s="24" t="n">
        <x:v>72</x:v>
      </x:c>
      <x:c r="O4020" s="28" t="n">
        <x:f>MIN(1,L4020/I4020)</x:f>
        <x:v>0.0078093749999999995</x:v>
      </x:c>
      <x:c r="P4020" s="30" t="n">
        <x:f>O4020*J4020*(1+M4020)</x:f>
        <x:v>0.0085903125</x:v>
      </x:c>
      <x:c r="Q4020" s="30" t="n">
        <x:f>P4020*N4020</x:f>
        <x:v>0.6185025000000001</x:v>
      </x:c>
      <x:c r="R4020" s="19" t="str">
        <x:v>独立判定</x:v>
      </x:c>
    </x:row>
    <x:row r="4021" ht="19" customHeight="1">
      <x:c r="A4021" s="19" t="str">
        <x:v>D04017</x:v>
      </x:c>
      <x:c r="B4021" s="19" t="n">
        <x:v>9</x:v>
      </x:c>
      <x:c r="C4021" s="19" t="n">
        <x:v>1</x:v>
      </x:c>
      <x:c r="D4021" s="19" t="str">
        <x:v>C09-M002</x:v>
      </x:c>
      <x:c r="E4021" s="19" t="str">
        <x:v>拾穗旅盗</x:v>
      </x:c>
      <x:c r="F4021" s="19" t="str">
        <x:v>普通</x:v>
      </x:c>
      <x:c r="G4021" s="19" t="str">
        <x:v>材料独立候选</x:v>
      </x:c>
      <x:c r="H4021" s="19" t="str">
        <x:v>黄金叶脉</x:v>
      </x:c>
      <x:c r="I4021" s="22" t="n">
        <x:v>1500</x:v>
      </x:c>
      <x:c r="J4021" s="22" t="n">
        <x:v>8</x:v>
      </x:c>
      <x:c r="K4021" s="19" t="n">
        <x:v>1</x:v>
      </x:c>
      <x:c r="L4021" s="24" t="n">
        <x:v>62.474999999999994</x:v>
      </x:c>
      <x:c r="M4021" s="26" t="n">
        <x:v>0.1</x:v>
      </x:c>
      <x:c r="N4021" s="24" t="n">
        <x:v>72</x:v>
      </x:c>
      <x:c r="O4021" s="28" t="n">
        <x:f>MIN(1,L4021/I4021)</x:f>
        <x:v>0.04165</x:v>
      </x:c>
      <x:c r="P4021" s="30" t="n">
        <x:f>O4021*J4021*(1+M4021)</x:f>
        <x:v>0.36652</x:v>
      </x:c>
      <x:c r="Q4021" s="30" t="n">
        <x:f>P4021*N4021</x:f>
        <x:v>26.38944</x:v>
      </x:c>
      <x:c r="R4021" s="19" t="str">
        <x:v>独立判定</x:v>
      </x:c>
    </x:row>
    <x:row r="4022" ht="19" customHeight="1">
      <x:c r="A4022" s="19" t="str">
        <x:v>D04018</x:v>
      </x:c>
      <x:c r="B4022" s="19" t="n">
        <x:v>9</x:v>
      </x:c>
      <x:c r="C4022" s="19" t="n">
        <x:v>1</x:v>
      </x:c>
      <x:c r="D4022" s="19" t="str">
        <x:v>C09-M002</x:v>
      </x:c>
      <x:c r="E4022" s="19" t="str">
        <x:v>拾穗旅盗</x:v>
      </x:c>
      <x:c r="F4022" s="19" t="str">
        <x:v>普通</x:v>
      </x:c>
      <x:c r="G4022" s="19" t="str">
        <x:v>材料独立候选</x:v>
      </x:c>
      <x:c r="H4022" s="19" t="str">
        <x:v>金叶驿票</x:v>
      </x:c>
      <x:c r="I4022" s="22" t="n">
        <x:v>18000</x:v>
      </x:c>
      <x:c r="J4022" s="22" t="n">
        <x:v>1</x:v>
      </x:c>
      <x:c r="K4022" s="19" t="n">
        <x:v>1</x:v>
      </x:c>
      <x:c r="L4022" s="24" t="n">
        <x:v>62.474999999999994</x:v>
      </x:c>
      <x:c r="M4022" s="26" t="n">
        <x:v>0.1</x:v>
      </x:c>
      <x:c r="N4022" s="24" t="n">
        <x:v>72</x:v>
      </x:c>
      <x:c r="O4022" s="28" t="n">
        <x:f>MIN(1,L4022/I4022)</x:f>
        <x:v>0.003470833333333333</x:v>
      </x:c>
      <x:c r="P4022" s="30" t="n">
        <x:f>O4022*J4022*(1+M4022)</x:f>
        <x:v>0.003817916666666667</x:v>
      </x:c>
      <x:c r="Q4022" s="30" t="n">
        <x:f>P4022*N4022</x:f>
        <x:v>0.27489</x:v>
      </x:c>
      <x:c r="R4022" s="19" t="str">
        <x:v>独立判定</x:v>
      </x:c>
    </x:row>
    <x:row r="4023" ht="19" customHeight="1">
      <x:c r="A4023" s="19" t="str">
        <x:v>D04019</x:v>
      </x:c>
      <x:c r="B4023" s="19" t="n">
        <x:v>9</x:v>
      </x:c>
      <x:c r="C4023" s="19" t="n">
        <x:v>1</x:v>
      </x:c>
      <x:c r="D4023" s="19" t="str">
        <x:v>C09-M002</x:v>
      </x:c>
      <x:c r="E4023" s="19" t="str">
        <x:v>拾穗旅盗</x:v>
      </x:c>
      <x:c r="F4023" s="19" t="str">
        <x:v>普通</x:v>
      </x:c>
      <x:c r="G4023" s="19" t="str">
        <x:v>材料独立候选</x:v>
      </x:c>
      <x:c r="H4023" s="19" t="str">
        <x:v>古坛鎏叶髓</x:v>
      </x:c>
      <x:c r="I4023" s="22" t="n">
        <x:v>3000000</x:v>
      </x:c>
      <x:c r="J4023" s="22" t="n">
        <x:v>1</x:v>
      </x:c>
      <x:c r="K4023" s="19" t="n">
        <x:v>1</x:v>
      </x:c>
      <x:c r="L4023" s="24" t="n">
        <x:v>62.474999999999994</x:v>
      </x:c>
      <x:c r="M4023" s="26" t="n">
        <x:v>0.1</x:v>
      </x:c>
      <x:c r="N4023" s="24" t="n">
        <x:v>72</x:v>
      </x:c>
      <x:c r="O4023" s="28" t="n">
        <x:f>MIN(1,L4023/I4023)</x:f>
        <x:v>0.000020824999999999998</x:v>
      </x:c>
      <x:c r="P4023" s="30" t="n">
        <x:f>O4023*J4023*(1+M4023)</x:f>
        <x:v>0.0000229075</x:v>
      </x:c>
      <x:c r="Q4023" s="30" t="n">
        <x:f>P4023*N4023</x:f>
        <x:v>0.00164934</x:v>
      </x:c>
      <x:c r="R4023" s="19" t="str">
        <x:v>独立判定</x:v>
      </x:c>
    </x:row>
    <x:row r="4024" ht="19" customHeight="1">
      <x:c r="A4024" s="19" t="str">
        <x:v>D04020</x:v>
      </x:c>
      <x:c r="B4024" s="19" t="n">
        <x:v>9</x:v>
      </x:c>
      <x:c r="C4024" s="19" t="n">
        <x:v>1</x:v>
      </x:c>
      <x:c r="D4024" s="19" t="str">
        <x:v>C09-M002</x:v>
      </x:c>
      <x:c r="E4024" s="19" t="str">
        <x:v>拾穗旅盗</x:v>
      </x:c>
      <x:c r="F4024" s="19" t="str">
        <x:v>普通</x:v>
      </x:c>
      <x:c r="G4024" s="19" t="str">
        <x:v>材料独立候选</x:v>
      </x:c>
      <x:c r="H4024" s="19" t="str">
        <x:v>野兽骨片</x:v>
      </x:c>
      <x:c r="I4024" s="22" t="n">
        <x:v>300</x:v>
      </x:c>
      <x:c r="J4024" s="22" t="n">
        <x:v>5</x:v>
      </x:c>
      <x:c r="K4024" s="19" t="n">
        <x:v>1</x:v>
      </x:c>
      <x:c r="L4024" s="24" t="n">
        <x:v>62.474999999999994</x:v>
      </x:c>
      <x:c r="M4024" s="26" t="n">
        <x:v>0.1</x:v>
      </x:c>
      <x:c r="N4024" s="24" t="n">
        <x:v>72</x:v>
      </x:c>
      <x:c r="O4024" s="28" t="n">
        <x:f>MIN(1,L4024/I4024)</x:f>
        <x:v>0.20825</x:v>
      </x:c>
      <x:c r="P4024" s="30" t="n">
        <x:f>O4024*J4024*(1+M4024)</x:f>
        <x:v>1.145375</x:v>
      </x:c>
      <x:c r="Q4024" s="30" t="n">
        <x:f>P4024*N4024</x:f>
        <x:v>82.467</x:v>
      </x:c>
      <x:c r="R4024" s="19" t="str">
        <x:v>独立判定</x:v>
      </x:c>
    </x:row>
    <x:row r="4025" ht="19" customHeight="1">
      <x:c r="A4025" s="19" t="str">
        <x:v>D04021</x:v>
      </x:c>
      <x:c r="B4025" s="19" t="n">
        <x:v>9</x:v>
      </x:c>
      <x:c r="C4025" s="19" t="n">
        <x:v>1</x:v>
      </x:c>
      <x:c r="D4025" s="19" t="str">
        <x:v>C09-M002</x:v>
      </x:c>
      <x:c r="E4025" s="19" t="str">
        <x:v>拾穗旅盗</x:v>
      </x:c>
      <x:c r="F4025" s="19" t="str">
        <x:v>普通</x:v>
      </x:c>
      <x:c r="G4025" s="19" t="str">
        <x:v>材料独立候选</x:v>
      </x:c>
      <x:c r="H4025" s="19" t="str">
        <x:v>技能残页</x:v>
      </x:c>
      <x:c r="I4025" s="22" t="n">
        <x:v>2500</x:v>
      </x:c>
      <x:c r="J4025" s="22" t="n">
        <x:v>1</x:v>
      </x:c>
      <x:c r="K4025" s="19" t="n">
        <x:v>1</x:v>
      </x:c>
      <x:c r="L4025" s="24" t="n">
        <x:v>62.474999999999994</x:v>
      </x:c>
      <x:c r="M4025" s="26" t="n">
        <x:v>0.1</x:v>
      </x:c>
      <x:c r="N4025" s="24" t="n">
        <x:v>72</x:v>
      </x:c>
      <x:c r="O4025" s="28" t="n">
        <x:f>MIN(1,L4025/I4025)</x:f>
        <x:v>0.02499</x:v>
      </x:c>
      <x:c r="P4025" s="30" t="n">
        <x:f>O4025*J4025*(1+M4025)</x:f>
        <x:v>0.027489</x:v>
      </x:c>
      <x:c r="Q4025" s="30" t="n">
        <x:f>P4025*N4025</x:f>
        <x:v>1.9792079999999999</x:v>
      </x:c>
      <x:c r="R4025" s="19" t="str">
        <x:v>独立判定</x:v>
      </x:c>
    </x:row>
    <x:row r="4026" ht="19" customHeight="1">
      <x:c r="A4026" s="19" t="str">
        <x:v>D04022</x:v>
      </x:c>
      <x:c r="B4026" s="19" t="n">
        <x:v>9</x:v>
      </x:c>
      <x:c r="C4026" s="19" t="n">
        <x:v>1</x:v>
      </x:c>
      <x:c r="D4026" s="19" t="str">
        <x:v>C09-M002</x:v>
      </x:c>
      <x:c r="E4026" s="19" t="str">
        <x:v>拾穗旅盗</x:v>
      </x:c>
      <x:c r="F4026" s="19" t="str">
        <x:v>普通</x:v>
      </x:c>
      <x:c r="G4026" s="19" t="str">
        <x:v>材料独立候选</x:v>
      </x:c>
      <x:c r="H4026" s="19" t="str">
        <x:v>小卢恩</x:v>
      </x:c>
      <x:c r="I4026" s="22" t="n">
        <x:v>18000</x:v>
      </x:c>
      <x:c r="J4026" s="22" t="n">
        <x:v>1</x:v>
      </x:c>
      <x:c r="K4026" s="19" t="n">
        <x:v>1</x:v>
      </x:c>
      <x:c r="L4026" s="24" t="n">
        <x:v>62.474999999999994</x:v>
      </x:c>
      <x:c r="M4026" s="26" t="n">
        <x:v>0.1</x:v>
      </x:c>
      <x:c r="N4026" s="24" t="n">
        <x:v>72</x:v>
      </x:c>
      <x:c r="O4026" s="28" t="n">
        <x:f>MIN(1,L4026/I4026)</x:f>
        <x:v>0.003470833333333333</x:v>
      </x:c>
      <x:c r="P4026" s="30" t="n">
        <x:f>O4026*J4026*(1+M4026)</x:f>
        <x:v>0.003817916666666667</x:v>
      </x:c>
      <x:c r="Q4026" s="30" t="n">
        <x:f>P4026*N4026</x:f>
        <x:v>0.27489</x:v>
      </x:c>
      <x:c r="R4026" s="19" t="str">
        <x:v>独立判定</x:v>
      </x:c>
    </x:row>
    <x:row r="4027" ht="19" customHeight="1">
      <x:c r="A4027" s="19" t="str">
        <x:v>D04023</x:v>
      </x:c>
      <x:c r="B4027" s="19" t="n">
        <x:v>9</x:v>
      </x:c>
      <x:c r="C4027" s="19" t="n">
        <x:v>1</x:v>
      </x:c>
      <x:c r="D4027" s="19" t="str">
        <x:v>C09-M002</x:v>
      </x:c>
      <x:c r="E4027" s="19" t="str">
        <x:v>拾穗旅盗</x:v>
      </x:c>
      <x:c r="F4027" s="19" t="str">
        <x:v>普通</x:v>
      </x:c>
      <x:c r="G4027" s="19" t="str">
        <x:v>六神器公共池</x:v>
      </x:c>
      <x:c r="H4027" s="19" t="str">
        <x:v>POOL006</x:v>
      </x:c>
      <x:c r="I4027" s="22" t="n">
        <x:v>20000000</x:v>
      </x:c>
      <x:c r="J4027" s="22" t="n">
        <x:v>1</x:v>
      </x:c>
      <x:c r="K4027" s="19" t="n">
        <x:v>6</x:v>
      </x:c>
      <x:c r="L4027" s="24" t="n">
        <x:v>62.474999999999994</x:v>
      </x:c>
      <x:c r="M4027" s="26" t="n">
        <x:v>0.1</x:v>
      </x:c>
      <x:c r="N4027" s="24" t="n">
        <x:v>72</x:v>
      </x:c>
      <x:c r="O4027" s="28" t="n">
        <x:f>MIN(1,L4027/I4027)</x:f>
        <x:v>0.0000031237499999999995</x:v>
      </x:c>
      <x:c r="P4027" s="30" t="n">
        <x:f>O4027*J4027*(1+M4027)</x:f>
        <x:v>0.0000034361249999999996</x:v>
      </x:c>
      <x:c r="Q4027" s="30" t="n">
        <x:f>P4027*N4027</x:f>
        <x:v>0.00024740099999999996</x:v>
      </x:c>
      <x:c r="R4027" s="19" t="str">
        <x:v>六选一；非6个独立爆率</x:v>
      </x:c>
    </x:row>
    <x:row r="4028" ht="19" customHeight="1">
      <x:c r="A4028" s="19" t="str">
        <x:v>D04024</x:v>
      </x:c>
      <x:c r="B4028" s="19" t="n">
        <x:v>9</x:v>
      </x:c>
      <x:c r="C4028" s="19" t="n">
        <x:v>1</x:v>
      </x:c>
      <x:c r="D4028" s="19" t="str">
        <x:v>C09-M003</x:v>
      </x:c>
      <x:c r="E4028" s="19" t="str">
        <x:v>秋风驿卒</x:v>
      </x:c>
      <x:c r="F4028" s="19" t="str">
        <x:v>普通</x:v>
      </x:c>
      <x:c r="G4028" s="19" t="str">
        <x:v>自身专属</x:v>
      </x:c>
      <x:c r="H4028" s="19" t="str">
        <x:v>驿卒挡风盔</x:v>
      </x:c>
      <x:c r="I4028" s="22" t="n">
        <x:v>8000</x:v>
      </x:c>
      <x:c r="J4028" s="22" t="n">
        <x:v>1</x:v>
      </x:c>
      <x:c r="K4028" s="19" t="n">
        <x:v>1</x:v>
      </x:c>
      <x:c r="L4028" s="24" t="n">
        <x:v>62.474999999999994</x:v>
      </x:c>
      <x:c r="M4028" s="26" t="n">
        <x:v>0.1</x:v>
      </x:c>
      <x:c r="N4028" s="24" t="n">
        <x:v>72</x:v>
      </x:c>
      <x:c r="O4028" s="28" t="n">
        <x:f>MIN(1,L4028/I4028)</x:f>
        <x:v>0.0078093749999999995</x:v>
      </x:c>
      <x:c r="P4028" s="30" t="n">
        <x:f>O4028*J4028*(1+M4028)</x:f>
        <x:v>0.0085903125</x:v>
      </x:c>
      <x:c r="Q4028" s="30" t="n">
        <x:f>P4028*N4028</x:f>
        <x:v>0.6185025000000001</x:v>
      </x:c>
      <x:c r="R4028" s="19" t="str">
        <x:v>独立判定</x:v>
      </x:c>
    </x:row>
    <x:row r="4029" ht="19" customHeight="1">
      <x:c r="A4029" s="19" t="str">
        <x:v>D04025</x:v>
      </x:c>
      <x:c r="B4029" s="19" t="n">
        <x:v>9</x:v>
      </x:c>
      <x:c r="C4029" s="19" t="n">
        <x:v>1</x:v>
      </x:c>
      <x:c r="D4029" s="19" t="str">
        <x:v>C09-M003</x:v>
      </x:c>
      <x:c r="E4029" s="19" t="str">
        <x:v>秋风驿卒</x:v>
      </x:c>
      <x:c r="F4029" s="19" t="str">
        <x:v>普通</x:v>
      </x:c>
      <x:c r="G4029" s="19" t="str">
        <x:v>材料独立候选</x:v>
      </x:c>
      <x:c r="H4029" s="19" t="str">
        <x:v>黄金叶脉</x:v>
      </x:c>
      <x:c r="I4029" s="22" t="n">
        <x:v>1500</x:v>
      </x:c>
      <x:c r="J4029" s="22" t="n">
        <x:v>8</x:v>
      </x:c>
      <x:c r="K4029" s="19" t="n">
        <x:v>1</x:v>
      </x:c>
      <x:c r="L4029" s="24" t="n">
        <x:v>62.474999999999994</x:v>
      </x:c>
      <x:c r="M4029" s="26" t="n">
        <x:v>0.1</x:v>
      </x:c>
      <x:c r="N4029" s="24" t="n">
        <x:v>72</x:v>
      </x:c>
      <x:c r="O4029" s="28" t="n">
        <x:f>MIN(1,L4029/I4029)</x:f>
        <x:v>0.04165</x:v>
      </x:c>
      <x:c r="P4029" s="30" t="n">
        <x:f>O4029*J4029*(1+M4029)</x:f>
        <x:v>0.36652</x:v>
      </x:c>
      <x:c r="Q4029" s="30" t="n">
        <x:f>P4029*N4029</x:f>
        <x:v>26.38944</x:v>
      </x:c>
      <x:c r="R4029" s="19" t="str">
        <x:v>独立判定</x:v>
      </x:c>
    </x:row>
    <x:row r="4030" ht="19" customHeight="1">
      <x:c r="A4030" s="19" t="str">
        <x:v>D04026</x:v>
      </x:c>
      <x:c r="B4030" s="19" t="n">
        <x:v>9</x:v>
      </x:c>
      <x:c r="C4030" s="19" t="n">
        <x:v>1</x:v>
      </x:c>
      <x:c r="D4030" s="19" t="str">
        <x:v>C09-M003</x:v>
      </x:c>
      <x:c r="E4030" s="19" t="str">
        <x:v>秋风驿卒</x:v>
      </x:c>
      <x:c r="F4030" s="19" t="str">
        <x:v>普通</x:v>
      </x:c>
      <x:c r="G4030" s="19" t="str">
        <x:v>材料独立候选</x:v>
      </x:c>
      <x:c r="H4030" s="19" t="str">
        <x:v>金叶驿票</x:v>
      </x:c>
      <x:c r="I4030" s="22" t="n">
        <x:v>18000</x:v>
      </x:c>
      <x:c r="J4030" s="22" t="n">
        <x:v>1</x:v>
      </x:c>
      <x:c r="K4030" s="19" t="n">
        <x:v>1</x:v>
      </x:c>
      <x:c r="L4030" s="24" t="n">
        <x:v>62.474999999999994</x:v>
      </x:c>
      <x:c r="M4030" s="26" t="n">
        <x:v>0.1</x:v>
      </x:c>
      <x:c r="N4030" s="24" t="n">
        <x:v>72</x:v>
      </x:c>
      <x:c r="O4030" s="28" t="n">
        <x:f>MIN(1,L4030/I4030)</x:f>
        <x:v>0.003470833333333333</x:v>
      </x:c>
      <x:c r="P4030" s="30" t="n">
        <x:f>O4030*J4030*(1+M4030)</x:f>
        <x:v>0.003817916666666667</x:v>
      </x:c>
      <x:c r="Q4030" s="30" t="n">
        <x:f>P4030*N4030</x:f>
        <x:v>0.27489</x:v>
      </x:c>
      <x:c r="R4030" s="19" t="str">
        <x:v>独立判定</x:v>
      </x:c>
    </x:row>
    <x:row r="4031" ht="19" customHeight="1">
      <x:c r="A4031" s="19" t="str">
        <x:v>D04027</x:v>
      </x:c>
      <x:c r="B4031" s="19" t="n">
        <x:v>9</x:v>
      </x:c>
      <x:c r="C4031" s="19" t="n">
        <x:v>1</x:v>
      </x:c>
      <x:c r="D4031" s="19" t="str">
        <x:v>C09-M003</x:v>
      </x:c>
      <x:c r="E4031" s="19" t="str">
        <x:v>秋风驿卒</x:v>
      </x:c>
      <x:c r="F4031" s="19" t="str">
        <x:v>普通</x:v>
      </x:c>
      <x:c r="G4031" s="19" t="str">
        <x:v>材料独立候选</x:v>
      </x:c>
      <x:c r="H4031" s="19" t="str">
        <x:v>古坛鎏叶髓</x:v>
      </x:c>
      <x:c r="I4031" s="22" t="n">
        <x:v>3000000</x:v>
      </x:c>
      <x:c r="J4031" s="22" t="n">
        <x:v>1</x:v>
      </x:c>
      <x:c r="K4031" s="19" t="n">
        <x:v>1</x:v>
      </x:c>
      <x:c r="L4031" s="24" t="n">
        <x:v>62.474999999999994</x:v>
      </x:c>
      <x:c r="M4031" s="26" t="n">
        <x:v>0.1</x:v>
      </x:c>
      <x:c r="N4031" s="24" t="n">
        <x:v>72</x:v>
      </x:c>
      <x:c r="O4031" s="28" t="n">
        <x:f>MIN(1,L4031/I4031)</x:f>
        <x:v>0.000020824999999999998</x:v>
      </x:c>
      <x:c r="P4031" s="30" t="n">
        <x:f>O4031*J4031*(1+M4031)</x:f>
        <x:v>0.0000229075</x:v>
      </x:c>
      <x:c r="Q4031" s="30" t="n">
        <x:f>P4031*N4031</x:f>
        <x:v>0.00164934</x:v>
      </x:c>
      <x:c r="R4031" s="19" t="str">
        <x:v>独立判定</x:v>
      </x:c>
    </x:row>
    <x:row r="4032" ht="19" customHeight="1">
      <x:c r="A4032" s="19" t="str">
        <x:v>D04028</x:v>
      </x:c>
      <x:c r="B4032" s="19" t="n">
        <x:v>9</x:v>
      </x:c>
      <x:c r="C4032" s="19" t="n">
        <x:v>1</x:v>
      </x:c>
      <x:c r="D4032" s="19" t="str">
        <x:v>C09-M003</x:v>
      </x:c>
      <x:c r="E4032" s="19" t="str">
        <x:v>秋风驿卒</x:v>
      </x:c>
      <x:c r="F4032" s="19" t="str">
        <x:v>普通</x:v>
      </x:c>
      <x:c r="G4032" s="19" t="str">
        <x:v>材料独立候选</x:v>
      </x:c>
      <x:c r="H4032" s="19" t="str">
        <x:v>野兽骨片</x:v>
      </x:c>
      <x:c r="I4032" s="22" t="n">
        <x:v>300</x:v>
      </x:c>
      <x:c r="J4032" s="22" t="n">
        <x:v>5</x:v>
      </x:c>
      <x:c r="K4032" s="19" t="n">
        <x:v>1</x:v>
      </x:c>
      <x:c r="L4032" s="24" t="n">
        <x:v>62.474999999999994</x:v>
      </x:c>
      <x:c r="M4032" s="26" t="n">
        <x:v>0.1</x:v>
      </x:c>
      <x:c r="N4032" s="24" t="n">
        <x:v>72</x:v>
      </x:c>
      <x:c r="O4032" s="28" t="n">
        <x:f>MIN(1,L4032/I4032)</x:f>
        <x:v>0.20825</x:v>
      </x:c>
      <x:c r="P4032" s="30" t="n">
        <x:f>O4032*J4032*(1+M4032)</x:f>
        <x:v>1.145375</x:v>
      </x:c>
      <x:c r="Q4032" s="30" t="n">
        <x:f>P4032*N4032</x:f>
        <x:v>82.467</x:v>
      </x:c>
      <x:c r="R4032" s="19" t="str">
        <x:v>独立判定</x:v>
      </x:c>
    </x:row>
    <x:row r="4033" ht="19" customHeight="1">
      <x:c r="A4033" s="19" t="str">
        <x:v>D04029</x:v>
      </x:c>
      <x:c r="B4033" s="19" t="n">
        <x:v>9</x:v>
      </x:c>
      <x:c r="C4033" s="19" t="n">
        <x:v>1</x:v>
      </x:c>
      <x:c r="D4033" s="19" t="str">
        <x:v>C09-M003</x:v>
      </x:c>
      <x:c r="E4033" s="19" t="str">
        <x:v>秋风驿卒</x:v>
      </x:c>
      <x:c r="F4033" s="19" t="str">
        <x:v>普通</x:v>
      </x:c>
      <x:c r="G4033" s="19" t="str">
        <x:v>材料独立候选</x:v>
      </x:c>
      <x:c r="H4033" s="19" t="str">
        <x:v>技能残页</x:v>
      </x:c>
      <x:c r="I4033" s="22" t="n">
        <x:v>2500</x:v>
      </x:c>
      <x:c r="J4033" s="22" t="n">
        <x:v>1</x:v>
      </x:c>
      <x:c r="K4033" s="19" t="n">
        <x:v>1</x:v>
      </x:c>
      <x:c r="L4033" s="24" t="n">
        <x:v>62.474999999999994</x:v>
      </x:c>
      <x:c r="M4033" s="26" t="n">
        <x:v>0.1</x:v>
      </x:c>
      <x:c r="N4033" s="24" t="n">
        <x:v>72</x:v>
      </x:c>
      <x:c r="O4033" s="28" t="n">
        <x:f>MIN(1,L4033/I4033)</x:f>
        <x:v>0.02499</x:v>
      </x:c>
      <x:c r="P4033" s="30" t="n">
        <x:f>O4033*J4033*(1+M4033)</x:f>
        <x:v>0.027489</x:v>
      </x:c>
      <x:c r="Q4033" s="30" t="n">
        <x:f>P4033*N4033</x:f>
        <x:v>1.9792079999999999</x:v>
      </x:c>
      <x:c r="R4033" s="19" t="str">
        <x:v>独立判定</x:v>
      </x:c>
    </x:row>
    <x:row r="4034" ht="19" customHeight="1">
      <x:c r="A4034" s="19" t="str">
        <x:v>D04030</x:v>
      </x:c>
      <x:c r="B4034" s="19" t="n">
        <x:v>9</x:v>
      </x:c>
      <x:c r="C4034" s="19" t="n">
        <x:v>1</x:v>
      </x:c>
      <x:c r="D4034" s="19" t="str">
        <x:v>C09-M003</x:v>
      </x:c>
      <x:c r="E4034" s="19" t="str">
        <x:v>秋风驿卒</x:v>
      </x:c>
      <x:c r="F4034" s="19" t="str">
        <x:v>普通</x:v>
      </x:c>
      <x:c r="G4034" s="19" t="str">
        <x:v>材料独立候选</x:v>
      </x:c>
      <x:c r="H4034" s="19" t="str">
        <x:v>小卢恩</x:v>
      </x:c>
      <x:c r="I4034" s="22" t="n">
        <x:v>18000</x:v>
      </x:c>
      <x:c r="J4034" s="22" t="n">
        <x:v>1</x:v>
      </x:c>
      <x:c r="K4034" s="19" t="n">
        <x:v>1</x:v>
      </x:c>
      <x:c r="L4034" s="24" t="n">
        <x:v>62.474999999999994</x:v>
      </x:c>
      <x:c r="M4034" s="26" t="n">
        <x:v>0.1</x:v>
      </x:c>
      <x:c r="N4034" s="24" t="n">
        <x:v>72</x:v>
      </x:c>
      <x:c r="O4034" s="28" t="n">
        <x:f>MIN(1,L4034/I4034)</x:f>
        <x:v>0.003470833333333333</x:v>
      </x:c>
      <x:c r="P4034" s="30" t="n">
        <x:f>O4034*J4034*(1+M4034)</x:f>
        <x:v>0.003817916666666667</x:v>
      </x:c>
      <x:c r="Q4034" s="30" t="n">
        <x:f>P4034*N4034</x:f>
        <x:v>0.27489</x:v>
      </x:c>
      <x:c r="R4034" s="19" t="str">
        <x:v>独立判定</x:v>
      </x:c>
    </x:row>
    <x:row r="4035" ht="19" customHeight="1">
      <x:c r="A4035" s="19" t="str">
        <x:v>D04031</x:v>
      </x:c>
      <x:c r="B4035" s="19" t="n">
        <x:v>9</x:v>
      </x:c>
      <x:c r="C4035" s="19" t="n">
        <x:v>1</x:v>
      </x:c>
      <x:c r="D4035" s="19" t="str">
        <x:v>C09-M003</x:v>
      </x:c>
      <x:c r="E4035" s="19" t="str">
        <x:v>秋风驿卒</x:v>
      </x:c>
      <x:c r="F4035" s="19" t="str">
        <x:v>普通</x:v>
      </x:c>
      <x:c r="G4035" s="19" t="str">
        <x:v>六神器公共池</x:v>
      </x:c>
      <x:c r="H4035" s="19" t="str">
        <x:v>POOL006</x:v>
      </x:c>
      <x:c r="I4035" s="22" t="n">
        <x:v>20000000</x:v>
      </x:c>
      <x:c r="J4035" s="22" t="n">
        <x:v>1</x:v>
      </x:c>
      <x:c r="K4035" s="19" t="n">
        <x:v>6</x:v>
      </x:c>
      <x:c r="L4035" s="24" t="n">
        <x:v>62.474999999999994</x:v>
      </x:c>
      <x:c r="M4035" s="26" t="n">
        <x:v>0.1</x:v>
      </x:c>
      <x:c r="N4035" s="24" t="n">
        <x:v>72</x:v>
      </x:c>
      <x:c r="O4035" s="28" t="n">
        <x:f>MIN(1,L4035/I4035)</x:f>
        <x:v>0.0000031237499999999995</x:v>
      </x:c>
      <x:c r="P4035" s="30" t="n">
        <x:f>O4035*J4035*(1+M4035)</x:f>
        <x:v>0.0000034361249999999996</x:v>
      </x:c>
      <x:c r="Q4035" s="30" t="n">
        <x:f>P4035*N4035</x:f>
        <x:v>0.00024740099999999996</x:v>
      </x:c>
      <x:c r="R4035" s="19" t="str">
        <x:v>六选一；非6个独立爆率</x:v>
      </x:c>
    </x:row>
    <x:row r="4036" ht="19" customHeight="1">
      <x:c r="A4036" s="19" t="str">
        <x:v>D04032</x:v>
      </x:c>
      <x:c r="B4036" s="19" t="n">
        <x:v>9</x:v>
      </x:c>
      <x:c r="C4036" s="19" t="n">
        <x:v>1</x:v>
      </x:c>
      <x:c r="D4036" s="19" t="str">
        <x:v>C09-M004</x:v>
      </x:c>
      <x:c r="E4036" s="19" t="str">
        <x:v>驿路驮甲虫</x:v>
      </x:c>
      <x:c r="F4036" s="19" t="str">
        <x:v>普通</x:v>
      </x:c>
      <x:c r="G4036" s="19" t="str">
        <x:v>自身专属</x:v>
      </x:c>
      <x:c r="H4036" s="19" t="str">
        <x:v>驮甲叶纹盾</x:v>
      </x:c>
      <x:c r="I4036" s="22" t="n">
        <x:v>8000</x:v>
      </x:c>
      <x:c r="J4036" s="22" t="n">
        <x:v>1</x:v>
      </x:c>
      <x:c r="K4036" s="19" t="n">
        <x:v>1</x:v>
      </x:c>
      <x:c r="L4036" s="24" t="n">
        <x:v>62.474999999999994</x:v>
      </x:c>
      <x:c r="M4036" s="26" t="n">
        <x:v>0.1</x:v>
      </x:c>
      <x:c r="N4036" s="24" t="n">
        <x:v>72</x:v>
      </x:c>
      <x:c r="O4036" s="28" t="n">
        <x:f>MIN(1,L4036/I4036)</x:f>
        <x:v>0.0078093749999999995</x:v>
      </x:c>
      <x:c r="P4036" s="30" t="n">
        <x:f>O4036*J4036*(1+M4036)</x:f>
        <x:v>0.0085903125</x:v>
      </x:c>
      <x:c r="Q4036" s="30" t="n">
        <x:f>P4036*N4036</x:f>
        <x:v>0.6185025000000001</x:v>
      </x:c>
      <x:c r="R4036" s="19" t="str">
        <x:v>独立判定</x:v>
      </x:c>
    </x:row>
    <x:row r="4037" ht="19" customHeight="1">
      <x:c r="A4037" s="19" t="str">
        <x:v>D04033</x:v>
      </x:c>
      <x:c r="B4037" s="19" t="n">
        <x:v>9</x:v>
      </x:c>
      <x:c r="C4037" s="19" t="n">
        <x:v>1</x:v>
      </x:c>
      <x:c r="D4037" s="19" t="str">
        <x:v>C09-M004</x:v>
      </x:c>
      <x:c r="E4037" s="19" t="str">
        <x:v>驿路驮甲虫</x:v>
      </x:c>
      <x:c r="F4037" s="19" t="str">
        <x:v>普通</x:v>
      </x:c>
      <x:c r="G4037" s="19" t="str">
        <x:v>材料独立候选</x:v>
      </x:c>
      <x:c r="H4037" s="19" t="str">
        <x:v>黄金叶脉</x:v>
      </x:c>
      <x:c r="I4037" s="22" t="n">
        <x:v>1500</x:v>
      </x:c>
      <x:c r="J4037" s="22" t="n">
        <x:v>8</x:v>
      </x:c>
      <x:c r="K4037" s="19" t="n">
        <x:v>1</x:v>
      </x:c>
      <x:c r="L4037" s="24" t="n">
        <x:v>62.474999999999994</x:v>
      </x:c>
      <x:c r="M4037" s="26" t="n">
        <x:v>0.1</x:v>
      </x:c>
      <x:c r="N4037" s="24" t="n">
        <x:v>72</x:v>
      </x:c>
      <x:c r="O4037" s="28" t="n">
        <x:f>MIN(1,L4037/I4037)</x:f>
        <x:v>0.04165</x:v>
      </x:c>
      <x:c r="P4037" s="30" t="n">
        <x:f>O4037*J4037*(1+M4037)</x:f>
        <x:v>0.36652</x:v>
      </x:c>
      <x:c r="Q4037" s="30" t="n">
        <x:f>P4037*N4037</x:f>
        <x:v>26.38944</x:v>
      </x:c>
      <x:c r="R4037" s="19" t="str">
        <x:v>独立判定</x:v>
      </x:c>
    </x:row>
    <x:row r="4038" ht="19" customHeight="1">
      <x:c r="A4038" s="19" t="str">
        <x:v>D04034</x:v>
      </x:c>
      <x:c r="B4038" s="19" t="n">
        <x:v>9</x:v>
      </x:c>
      <x:c r="C4038" s="19" t="n">
        <x:v>1</x:v>
      </x:c>
      <x:c r="D4038" s="19" t="str">
        <x:v>C09-M004</x:v>
      </x:c>
      <x:c r="E4038" s="19" t="str">
        <x:v>驿路驮甲虫</x:v>
      </x:c>
      <x:c r="F4038" s="19" t="str">
        <x:v>普通</x:v>
      </x:c>
      <x:c r="G4038" s="19" t="str">
        <x:v>材料独立候选</x:v>
      </x:c>
      <x:c r="H4038" s="19" t="str">
        <x:v>金叶驿票</x:v>
      </x:c>
      <x:c r="I4038" s="22" t="n">
        <x:v>18000</x:v>
      </x:c>
      <x:c r="J4038" s="22" t="n">
        <x:v>1</x:v>
      </x:c>
      <x:c r="K4038" s="19" t="n">
        <x:v>1</x:v>
      </x:c>
      <x:c r="L4038" s="24" t="n">
        <x:v>62.474999999999994</x:v>
      </x:c>
      <x:c r="M4038" s="26" t="n">
        <x:v>0.1</x:v>
      </x:c>
      <x:c r="N4038" s="24" t="n">
        <x:v>72</x:v>
      </x:c>
      <x:c r="O4038" s="28" t="n">
        <x:f>MIN(1,L4038/I4038)</x:f>
        <x:v>0.003470833333333333</x:v>
      </x:c>
      <x:c r="P4038" s="30" t="n">
        <x:f>O4038*J4038*(1+M4038)</x:f>
        <x:v>0.003817916666666667</x:v>
      </x:c>
      <x:c r="Q4038" s="30" t="n">
        <x:f>P4038*N4038</x:f>
        <x:v>0.27489</x:v>
      </x:c>
      <x:c r="R4038" s="19" t="str">
        <x:v>独立判定</x:v>
      </x:c>
    </x:row>
    <x:row r="4039" ht="19" customHeight="1">
      <x:c r="A4039" s="19" t="str">
        <x:v>D04035</x:v>
      </x:c>
      <x:c r="B4039" s="19" t="n">
        <x:v>9</x:v>
      </x:c>
      <x:c r="C4039" s="19" t="n">
        <x:v>1</x:v>
      </x:c>
      <x:c r="D4039" s="19" t="str">
        <x:v>C09-M004</x:v>
      </x:c>
      <x:c r="E4039" s="19" t="str">
        <x:v>驿路驮甲虫</x:v>
      </x:c>
      <x:c r="F4039" s="19" t="str">
        <x:v>普通</x:v>
      </x:c>
      <x:c r="G4039" s="19" t="str">
        <x:v>材料独立候选</x:v>
      </x:c>
      <x:c r="H4039" s="19" t="str">
        <x:v>古坛鎏叶髓</x:v>
      </x:c>
      <x:c r="I4039" s="22" t="n">
        <x:v>3000000</x:v>
      </x:c>
      <x:c r="J4039" s="22" t="n">
        <x:v>1</x:v>
      </x:c>
      <x:c r="K4039" s="19" t="n">
        <x:v>1</x:v>
      </x:c>
      <x:c r="L4039" s="24" t="n">
        <x:v>62.474999999999994</x:v>
      </x:c>
      <x:c r="M4039" s="26" t="n">
        <x:v>0.1</x:v>
      </x:c>
      <x:c r="N4039" s="24" t="n">
        <x:v>72</x:v>
      </x:c>
      <x:c r="O4039" s="28" t="n">
        <x:f>MIN(1,L4039/I4039)</x:f>
        <x:v>0.000020824999999999998</x:v>
      </x:c>
      <x:c r="P4039" s="30" t="n">
        <x:f>O4039*J4039*(1+M4039)</x:f>
        <x:v>0.0000229075</x:v>
      </x:c>
      <x:c r="Q4039" s="30" t="n">
        <x:f>P4039*N4039</x:f>
        <x:v>0.00164934</x:v>
      </x:c>
      <x:c r="R4039" s="19" t="str">
        <x:v>独立判定</x:v>
      </x:c>
    </x:row>
    <x:row r="4040" ht="19" customHeight="1">
      <x:c r="A4040" s="19" t="str">
        <x:v>D04036</x:v>
      </x:c>
      <x:c r="B4040" s="19" t="n">
        <x:v>9</x:v>
      </x:c>
      <x:c r="C4040" s="19" t="n">
        <x:v>1</x:v>
      </x:c>
      <x:c r="D4040" s="19" t="str">
        <x:v>C09-M004</x:v>
      </x:c>
      <x:c r="E4040" s="19" t="str">
        <x:v>驿路驮甲虫</x:v>
      </x:c>
      <x:c r="F4040" s="19" t="str">
        <x:v>普通</x:v>
      </x:c>
      <x:c r="G4040" s="19" t="str">
        <x:v>材料独立候选</x:v>
      </x:c>
      <x:c r="H4040" s="19" t="str">
        <x:v>野兽骨片</x:v>
      </x:c>
      <x:c r="I4040" s="22" t="n">
        <x:v>300</x:v>
      </x:c>
      <x:c r="J4040" s="22" t="n">
        <x:v>5</x:v>
      </x:c>
      <x:c r="K4040" s="19" t="n">
        <x:v>1</x:v>
      </x:c>
      <x:c r="L4040" s="24" t="n">
        <x:v>62.474999999999994</x:v>
      </x:c>
      <x:c r="M4040" s="26" t="n">
        <x:v>0.1</x:v>
      </x:c>
      <x:c r="N4040" s="24" t="n">
        <x:v>72</x:v>
      </x:c>
      <x:c r="O4040" s="28" t="n">
        <x:f>MIN(1,L4040/I4040)</x:f>
        <x:v>0.20825</x:v>
      </x:c>
      <x:c r="P4040" s="30" t="n">
        <x:f>O4040*J4040*(1+M4040)</x:f>
        <x:v>1.145375</x:v>
      </x:c>
      <x:c r="Q4040" s="30" t="n">
        <x:f>P4040*N4040</x:f>
        <x:v>82.467</x:v>
      </x:c>
      <x:c r="R4040" s="19" t="str">
        <x:v>独立判定</x:v>
      </x:c>
    </x:row>
    <x:row r="4041" ht="19" customHeight="1">
      <x:c r="A4041" s="19" t="str">
        <x:v>D04037</x:v>
      </x:c>
      <x:c r="B4041" s="19" t="n">
        <x:v>9</x:v>
      </x:c>
      <x:c r="C4041" s="19" t="n">
        <x:v>1</x:v>
      </x:c>
      <x:c r="D4041" s="19" t="str">
        <x:v>C09-M004</x:v>
      </x:c>
      <x:c r="E4041" s="19" t="str">
        <x:v>驿路驮甲虫</x:v>
      </x:c>
      <x:c r="F4041" s="19" t="str">
        <x:v>普通</x:v>
      </x:c>
      <x:c r="G4041" s="19" t="str">
        <x:v>材料独立候选</x:v>
      </x:c>
      <x:c r="H4041" s="19" t="str">
        <x:v>技能残页</x:v>
      </x:c>
      <x:c r="I4041" s="22" t="n">
        <x:v>2500</x:v>
      </x:c>
      <x:c r="J4041" s="22" t="n">
        <x:v>1</x:v>
      </x:c>
      <x:c r="K4041" s="19" t="n">
        <x:v>1</x:v>
      </x:c>
      <x:c r="L4041" s="24" t="n">
        <x:v>62.474999999999994</x:v>
      </x:c>
      <x:c r="M4041" s="26" t="n">
        <x:v>0.1</x:v>
      </x:c>
      <x:c r="N4041" s="24" t="n">
        <x:v>72</x:v>
      </x:c>
      <x:c r="O4041" s="28" t="n">
        <x:f>MIN(1,L4041/I4041)</x:f>
        <x:v>0.02499</x:v>
      </x:c>
      <x:c r="P4041" s="30" t="n">
        <x:f>O4041*J4041*(1+M4041)</x:f>
        <x:v>0.027489</x:v>
      </x:c>
      <x:c r="Q4041" s="30" t="n">
        <x:f>P4041*N4041</x:f>
        <x:v>1.9792079999999999</x:v>
      </x:c>
      <x:c r="R4041" s="19" t="str">
        <x:v>独立判定</x:v>
      </x:c>
    </x:row>
    <x:row r="4042" ht="19" customHeight="1">
      <x:c r="A4042" s="19" t="str">
        <x:v>D04038</x:v>
      </x:c>
      <x:c r="B4042" s="19" t="n">
        <x:v>9</x:v>
      </x:c>
      <x:c r="C4042" s="19" t="n">
        <x:v>1</x:v>
      </x:c>
      <x:c r="D4042" s="19" t="str">
        <x:v>C09-M004</x:v>
      </x:c>
      <x:c r="E4042" s="19" t="str">
        <x:v>驿路驮甲虫</x:v>
      </x:c>
      <x:c r="F4042" s="19" t="str">
        <x:v>普通</x:v>
      </x:c>
      <x:c r="G4042" s="19" t="str">
        <x:v>材料独立候选</x:v>
      </x:c>
      <x:c r="H4042" s="19" t="str">
        <x:v>小卢恩</x:v>
      </x:c>
      <x:c r="I4042" s="22" t="n">
        <x:v>18000</x:v>
      </x:c>
      <x:c r="J4042" s="22" t="n">
        <x:v>1</x:v>
      </x:c>
      <x:c r="K4042" s="19" t="n">
        <x:v>1</x:v>
      </x:c>
      <x:c r="L4042" s="24" t="n">
        <x:v>62.474999999999994</x:v>
      </x:c>
      <x:c r="M4042" s="26" t="n">
        <x:v>0.1</x:v>
      </x:c>
      <x:c r="N4042" s="24" t="n">
        <x:v>72</x:v>
      </x:c>
      <x:c r="O4042" s="28" t="n">
        <x:f>MIN(1,L4042/I4042)</x:f>
        <x:v>0.003470833333333333</x:v>
      </x:c>
      <x:c r="P4042" s="30" t="n">
        <x:f>O4042*J4042*(1+M4042)</x:f>
        <x:v>0.003817916666666667</x:v>
      </x:c>
      <x:c r="Q4042" s="30" t="n">
        <x:f>P4042*N4042</x:f>
        <x:v>0.27489</x:v>
      </x:c>
      <x:c r="R4042" s="19" t="str">
        <x:v>独立判定</x:v>
      </x:c>
    </x:row>
    <x:row r="4043" ht="19" customHeight="1">
      <x:c r="A4043" s="19" t="str">
        <x:v>D04039</x:v>
      </x:c>
      <x:c r="B4043" s="19" t="n">
        <x:v>9</x:v>
      </x:c>
      <x:c r="C4043" s="19" t="n">
        <x:v>1</x:v>
      </x:c>
      <x:c r="D4043" s="19" t="str">
        <x:v>C09-M004</x:v>
      </x:c>
      <x:c r="E4043" s="19" t="str">
        <x:v>驿路驮甲虫</x:v>
      </x:c>
      <x:c r="F4043" s="19" t="str">
        <x:v>普通</x:v>
      </x:c>
      <x:c r="G4043" s="19" t="str">
        <x:v>六神器公共池</x:v>
      </x:c>
      <x:c r="H4043" s="19" t="str">
        <x:v>POOL006</x:v>
      </x:c>
      <x:c r="I4043" s="22" t="n">
        <x:v>20000000</x:v>
      </x:c>
      <x:c r="J4043" s="22" t="n">
        <x:v>1</x:v>
      </x:c>
      <x:c r="K4043" s="19" t="n">
        <x:v>6</x:v>
      </x:c>
      <x:c r="L4043" s="24" t="n">
        <x:v>62.474999999999994</x:v>
      </x:c>
      <x:c r="M4043" s="26" t="n">
        <x:v>0.1</x:v>
      </x:c>
      <x:c r="N4043" s="24" t="n">
        <x:v>72</x:v>
      </x:c>
      <x:c r="O4043" s="28" t="n">
        <x:f>MIN(1,L4043/I4043)</x:f>
        <x:v>0.0000031237499999999995</x:v>
      </x:c>
      <x:c r="P4043" s="30" t="n">
        <x:f>O4043*J4043*(1+M4043)</x:f>
        <x:v>0.0000034361249999999996</x:v>
      </x:c>
      <x:c r="Q4043" s="30" t="n">
        <x:f>P4043*N4043</x:f>
        <x:v>0.00024740099999999996</x:v>
      </x:c>
      <x:c r="R4043" s="19" t="str">
        <x:v>六选一；非6个独立爆率</x:v>
      </x:c>
    </x:row>
    <x:row r="4044" ht="19" customHeight="1">
      <x:c r="A4044" s="19" t="str">
        <x:v>D04040</x:v>
      </x:c>
      <x:c r="B4044" s="19" t="n">
        <x:v>9</x:v>
      </x:c>
      <x:c r="C4044" s="19" t="n">
        <x:v>1</x:v>
      </x:c>
      <x:c r="D4044" s="19" t="str">
        <x:v>C09-M005</x:v>
      </x:c>
      <x:c r="E4044" s="19" t="str">
        <x:v>陵园鎏苔像</x:v>
      </x:c>
      <x:c r="F4044" s="19" t="str">
        <x:v>普通</x:v>
      </x:c>
      <x:c r="G4044" s="19" t="str">
        <x:v>自身专属</x:v>
      </x:c>
      <x:c r="H4044" s="19" t="str">
        <x:v>鎏苔守陵衣</x:v>
      </x:c>
      <x:c r="I4044" s="22" t="n">
        <x:v>8000</x:v>
      </x:c>
      <x:c r="J4044" s="22" t="n">
        <x:v>1</x:v>
      </x:c>
      <x:c r="K4044" s="19" t="n">
        <x:v>1</x:v>
      </x:c>
      <x:c r="L4044" s="24" t="n">
        <x:v>62.474999999999994</x:v>
      </x:c>
      <x:c r="M4044" s="26" t="n">
        <x:v>0.1</x:v>
      </x:c>
      <x:c r="N4044" s="24" t="n">
        <x:v>72</x:v>
      </x:c>
      <x:c r="O4044" s="28" t="n">
        <x:f>MIN(1,L4044/I4044)</x:f>
        <x:v>0.0078093749999999995</x:v>
      </x:c>
      <x:c r="P4044" s="30" t="n">
        <x:f>O4044*J4044*(1+M4044)</x:f>
        <x:v>0.0085903125</x:v>
      </x:c>
      <x:c r="Q4044" s="30" t="n">
        <x:f>P4044*N4044</x:f>
        <x:v>0.6185025000000001</x:v>
      </x:c>
      <x:c r="R4044" s="19" t="str">
        <x:v>独立判定</x:v>
      </x:c>
    </x:row>
    <x:row r="4045" ht="19" customHeight="1">
      <x:c r="A4045" s="19" t="str">
        <x:v>D04041</x:v>
      </x:c>
      <x:c r="B4045" s="19" t="n">
        <x:v>9</x:v>
      </x:c>
      <x:c r="C4045" s="19" t="n">
        <x:v>1</x:v>
      </x:c>
      <x:c r="D4045" s="19" t="str">
        <x:v>C09-M005</x:v>
      </x:c>
      <x:c r="E4045" s="19" t="str">
        <x:v>陵园鎏苔像</x:v>
      </x:c>
      <x:c r="F4045" s="19" t="str">
        <x:v>普通</x:v>
      </x:c>
      <x:c r="G4045" s="19" t="str">
        <x:v>材料独立候选</x:v>
      </x:c>
      <x:c r="H4045" s="19" t="str">
        <x:v>黄金叶脉</x:v>
      </x:c>
      <x:c r="I4045" s="22" t="n">
        <x:v>1500</x:v>
      </x:c>
      <x:c r="J4045" s="22" t="n">
        <x:v>8</x:v>
      </x:c>
      <x:c r="K4045" s="19" t="n">
        <x:v>1</x:v>
      </x:c>
      <x:c r="L4045" s="24" t="n">
        <x:v>62.474999999999994</x:v>
      </x:c>
      <x:c r="M4045" s="26" t="n">
        <x:v>0.1</x:v>
      </x:c>
      <x:c r="N4045" s="24" t="n">
        <x:v>72</x:v>
      </x:c>
      <x:c r="O4045" s="28" t="n">
        <x:f>MIN(1,L4045/I4045)</x:f>
        <x:v>0.04165</x:v>
      </x:c>
      <x:c r="P4045" s="30" t="n">
        <x:f>O4045*J4045*(1+M4045)</x:f>
        <x:v>0.36652</x:v>
      </x:c>
      <x:c r="Q4045" s="30" t="n">
        <x:f>P4045*N4045</x:f>
        <x:v>26.38944</x:v>
      </x:c>
      <x:c r="R4045" s="19" t="str">
        <x:v>独立判定</x:v>
      </x:c>
    </x:row>
    <x:row r="4046" ht="19" customHeight="1">
      <x:c r="A4046" s="19" t="str">
        <x:v>D04042</x:v>
      </x:c>
      <x:c r="B4046" s="19" t="n">
        <x:v>9</x:v>
      </x:c>
      <x:c r="C4046" s="19" t="n">
        <x:v>1</x:v>
      </x:c>
      <x:c r="D4046" s="19" t="str">
        <x:v>C09-M005</x:v>
      </x:c>
      <x:c r="E4046" s="19" t="str">
        <x:v>陵园鎏苔像</x:v>
      </x:c>
      <x:c r="F4046" s="19" t="str">
        <x:v>普通</x:v>
      </x:c>
      <x:c r="G4046" s="19" t="str">
        <x:v>材料独立候选</x:v>
      </x:c>
      <x:c r="H4046" s="19" t="str">
        <x:v>金叶驿票</x:v>
      </x:c>
      <x:c r="I4046" s="22" t="n">
        <x:v>18000</x:v>
      </x:c>
      <x:c r="J4046" s="22" t="n">
        <x:v>1</x:v>
      </x:c>
      <x:c r="K4046" s="19" t="n">
        <x:v>1</x:v>
      </x:c>
      <x:c r="L4046" s="24" t="n">
        <x:v>62.474999999999994</x:v>
      </x:c>
      <x:c r="M4046" s="26" t="n">
        <x:v>0.1</x:v>
      </x:c>
      <x:c r="N4046" s="24" t="n">
        <x:v>72</x:v>
      </x:c>
      <x:c r="O4046" s="28" t="n">
        <x:f>MIN(1,L4046/I4046)</x:f>
        <x:v>0.003470833333333333</x:v>
      </x:c>
      <x:c r="P4046" s="30" t="n">
        <x:f>O4046*J4046*(1+M4046)</x:f>
        <x:v>0.003817916666666667</x:v>
      </x:c>
      <x:c r="Q4046" s="30" t="n">
        <x:f>P4046*N4046</x:f>
        <x:v>0.27489</x:v>
      </x:c>
      <x:c r="R4046" s="19" t="str">
        <x:v>独立判定</x:v>
      </x:c>
    </x:row>
    <x:row r="4047" ht="19" customHeight="1">
      <x:c r="A4047" s="19" t="str">
        <x:v>D04043</x:v>
      </x:c>
      <x:c r="B4047" s="19" t="n">
        <x:v>9</x:v>
      </x:c>
      <x:c r="C4047" s="19" t="n">
        <x:v>1</x:v>
      </x:c>
      <x:c r="D4047" s="19" t="str">
        <x:v>C09-M005</x:v>
      </x:c>
      <x:c r="E4047" s="19" t="str">
        <x:v>陵园鎏苔像</x:v>
      </x:c>
      <x:c r="F4047" s="19" t="str">
        <x:v>普通</x:v>
      </x:c>
      <x:c r="G4047" s="19" t="str">
        <x:v>材料独立候选</x:v>
      </x:c>
      <x:c r="H4047" s="19" t="str">
        <x:v>古坛鎏叶髓</x:v>
      </x:c>
      <x:c r="I4047" s="22" t="n">
        <x:v>3000000</x:v>
      </x:c>
      <x:c r="J4047" s="22" t="n">
        <x:v>1</x:v>
      </x:c>
      <x:c r="K4047" s="19" t="n">
        <x:v>1</x:v>
      </x:c>
      <x:c r="L4047" s="24" t="n">
        <x:v>62.474999999999994</x:v>
      </x:c>
      <x:c r="M4047" s="26" t="n">
        <x:v>0.1</x:v>
      </x:c>
      <x:c r="N4047" s="24" t="n">
        <x:v>72</x:v>
      </x:c>
      <x:c r="O4047" s="28" t="n">
        <x:f>MIN(1,L4047/I4047)</x:f>
        <x:v>0.000020824999999999998</x:v>
      </x:c>
      <x:c r="P4047" s="30" t="n">
        <x:f>O4047*J4047*(1+M4047)</x:f>
        <x:v>0.0000229075</x:v>
      </x:c>
      <x:c r="Q4047" s="30" t="n">
        <x:f>P4047*N4047</x:f>
        <x:v>0.00164934</x:v>
      </x:c>
      <x:c r="R4047" s="19" t="str">
        <x:v>独立判定</x:v>
      </x:c>
    </x:row>
    <x:row r="4048" ht="19" customHeight="1">
      <x:c r="A4048" s="19" t="str">
        <x:v>D04044</x:v>
      </x:c>
      <x:c r="B4048" s="19" t="n">
        <x:v>9</x:v>
      </x:c>
      <x:c r="C4048" s="19" t="n">
        <x:v>1</x:v>
      </x:c>
      <x:c r="D4048" s="19" t="str">
        <x:v>C09-M005</x:v>
      </x:c>
      <x:c r="E4048" s="19" t="str">
        <x:v>陵园鎏苔像</x:v>
      </x:c>
      <x:c r="F4048" s="19" t="str">
        <x:v>普通</x:v>
      </x:c>
      <x:c r="G4048" s="19" t="str">
        <x:v>材料独立候选</x:v>
      </x:c>
      <x:c r="H4048" s="19" t="str">
        <x:v>野兽骨片</x:v>
      </x:c>
      <x:c r="I4048" s="22" t="n">
        <x:v>300</x:v>
      </x:c>
      <x:c r="J4048" s="22" t="n">
        <x:v>5</x:v>
      </x:c>
      <x:c r="K4048" s="19" t="n">
        <x:v>1</x:v>
      </x:c>
      <x:c r="L4048" s="24" t="n">
        <x:v>62.474999999999994</x:v>
      </x:c>
      <x:c r="M4048" s="26" t="n">
        <x:v>0.1</x:v>
      </x:c>
      <x:c r="N4048" s="24" t="n">
        <x:v>72</x:v>
      </x:c>
      <x:c r="O4048" s="28" t="n">
        <x:f>MIN(1,L4048/I4048)</x:f>
        <x:v>0.20825</x:v>
      </x:c>
      <x:c r="P4048" s="30" t="n">
        <x:f>O4048*J4048*(1+M4048)</x:f>
        <x:v>1.145375</x:v>
      </x:c>
      <x:c r="Q4048" s="30" t="n">
        <x:f>P4048*N4048</x:f>
        <x:v>82.467</x:v>
      </x:c>
      <x:c r="R4048" s="19" t="str">
        <x:v>独立判定</x:v>
      </x:c>
    </x:row>
    <x:row r="4049" ht="19" customHeight="1">
      <x:c r="A4049" s="19" t="str">
        <x:v>D04045</x:v>
      </x:c>
      <x:c r="B4049" s="19" t="n">
        <x:v>9</x:v>
      </x:c>
      <x:c r="C4049" s="19" t="n">
        <x:v>1</x:v>
      </x:c>
      <x:c r="D4049" s="19" t="str">
        <x:v>C09-M005</x:v>
      </x:c>
      <x:c r="E4049" s="19" t="str">
        <x:v>陵园鎏苔像</x:v>
      </x:c>
      <x:c r="F4049" s="19" t="str">
        <x:v>普通</x:v>
      </x:c>
      <x:c r="G4049" s="19" t="str">
        <x:v>材料独立候选</x:v>
      </x:c>
      <x:c r="H4049" s="19" t="str">
        <x:v>技能残页</x:v>
      </x:c>
      <x:c r="I4049" s="22" t="n">
        <x:v>2500</x:v>
      </x:c>
      <x:c r="J4049" s="22" t="n">
        <x:v>1</x:v>
      </x:c>
      <x:c r="K4049" s="19" t="n">
        <x:v>1</x:v>
      </x:c>
      <x:c r="L4049" s="24" t="n">
        <x:v>62.474999999999994</x:v>
      </x:c>
      <x:c r="M4049" s="26" t="n">
        <x:v>0.1</x:v>
      </x:c>
      <x:c r="N4049" s="24" t="n">
        <x:v>72</x:v>
      </x:c>
      <x:c r="O4049" s="28" t="n">
        <x:f>MIN(1,L4049/I4049)</x:f>
        <x:v>0.02499</x:v>
      </x:c>
      <x:c r="P4049" s="30" t="n">
        <x:f>O4049*J4049*(1+M4049)</x:f>
        <x:v>0.027489</x:v>
      </x:c>
      <x:c r="Q4049" s="30" t="n">
        <x:f>P4049*N4049</x:f>
        <x:v>1.9792079999999999</x:v>
      </x:c>
      <x:c r="R4049" s="19" t="str">
        <x:v>独立判定</x:v>
      </x:c>
    </x:row>
    <x:row r="4050" ht="19" customHeight="1">
      <x:c r="A4050" s="19" t="str">
        <x:v>D04046</x:v>
      </x:c>
      <x:c r="B4050" s="19" t="n">
        <x:v>9</x:v>
      </x:c>
      <x:c r="C4050" s="19" t="n">
        <x:v>1</x:v>
      </x:c>
      <x:c r="D4050" s="19" t="str">
        <x:v>C09-M005</x:v>
      </x:c>
      <x:c r="E4050" s="19" t="str">
        <x:v>陵园鎏苔像</x:v>
      </x:c>
      <x:c r="F4050" s="19" t="str">
        <x:v>普通</x:v>
      </x:c>
      <x:c r="G4050" s="19" t="str">
        <x:v>材料独立候选</x:v>
      </x:c>
      <x:c r="H4050" s="19" t="str">
        <x:v>小卢恩</x:v>
      </x:c>
      <x:c r="I4050" s="22" t="n">
        <x:v>18000</x:v>
      </x:c>
      <x:c r="J4050" s="22" t="n">
        <x:v>1</x:v>
      </x:c>
      <x:c r="K4050" s="19" t="n">
        <x:v>1</x:v>
      </x:c>
      <x:c r="L4050" s="24" t="n">
        <x:v>62.474999999999994</x:v>
      </x:c>
      <x:c r="M4050" s="26" t="n">
        <x:v>0.1</x:v>
      </x:c>
      <x:c r="N4050" s="24" t="n">
        <x:v>72</x:v>
      </x:c>
      <x:c r="O4050" s="28" t="n">
        <x:f>MIN(1,L4050/I4050)</x:f>
        <x:v>0.003470833333333333</x:v>
      </x:c>
      <x:c r="P4050" s="30" t="n">
        <x:f>O4050*J4050*(1+M4050)</x:f>
        <x:v>0.003817916666666667</x:v>
      </x:c>
      <x:c r="Q4050" s="30" t="n">
        <x:f>P4050*N4050</x:f>
        <x:v>0.27489</x:v>
      </x:c>
      <x:c r="R4050" s="19" t="str">
        <x:v>独立判定</x:v>
      </x:c>
    </x:row>
    <x:row r="4051" ht="19" customHeight="1">
      <x:c r="A4051" s="19" t="str">
        <x:v>D04047</x:v>
      </x:c>
      <x:c r="B4051" s="19" t="n">
        <x:v>9</x:v>
      </x:c>
      <x:c r="C4051" s="19" t="n">
        <x:v>1</x:v>
      </x:c>
      <x:c r="D4051" s="19" t="str">
        <x:v>C09-M005</x:v>
      </x:c>
      <x:c r="E4051" s="19" t="str">
        <x:v>陵园鎏苔像</x:v>
      </x:c>
      <x:c r="F4051" s="19" t="str">
        <x:v>普通</x:v>
      </x:c>
      <x:c r="G4051" s="19" t="str">
        <x:v>六神器公共池</x:v>
      </x:c>
      <x:c r="H4051" s="19" t="str">
        <x:v>POOL006</x:v>
      </x:c>
      <x:c r="I4051" s="22" t="n">
        <x:v>20000000</x:v>
      </x:c>
      <x:c r="J4051" s="22" t="n">
        <x:v>1</x:v>
      </x:c>
      <x:c r="K4051" s="19" t="n">
        <x:v>6</x:v>
      </x:c>
      <x:c r="L4051" s="24" t="n">
        <x:v>62.474999999999994</x:v>
      </x:c>
      <x:c r="M4051" s="26" t="n">
        <x:v>0.1</x:v>
      </x:c>
      <x:c r="N4051" s="24" t="n">
        <x:v>72</x:v>
      </x:c>
      <x:c r="O4051" s="28" t="n">
        <x:f>MIN(1,L4051/I4051)</x:f>
        <x:v>0.0000031237499999999995</x:v>
      </x:c>
      <x:c r="P4051" s="30" t="n">
        <x:f>O4051*J4051*(1+M4051)</x:f>
        <x:v>0.0000034361249999999996</x:v>
      </x:c>
      <x:c r="Q4051" s="30" t="n">
        <x:f>P4051*N4051</x:f>
        <x:v>0.00024740099999999996</x:v>
      </x:c>
      <x:c r="R4051" s="19" t="str">
        <x:v>六选一；非6个独立爆率</x:v>
      </x:c>
    </x:row>
    <x:row r="4052" ht="19" customHeight="1">
      <x:c r="A4052" s="19" t="str">
        <x:v>D04048</x:v>
      </x:c>
      <x:c r="B4052" s="19" t="n">
        <x:v>9</x:v>
      </x:c>
      <x:c r="C4052" s="19" t="n">
        <x:v>1</x:v>
      </x:c>
      <x:c r="D4052" s="19" t="str">
        <x:v>C09-M006</x:v>
      </x:c>
      <x:c r="E4052" s="19" t="str">
        <x:v>祭坛衔烛鸦</x:v>
      </x:c>
      <x:c r="F4052" s="19" t="str">
        <x:v>普通</x:v>
      </x:c>
      <x:c r="G4052" s="19" t="str">
        <x:v>自身专属</x:v>
      </x:c>
      <x:c r="H4052" s="19" t="str">
        <x:v>衔烛鸦羽坠</x:v>
      </x:c>
      <x:c r="I4052" s="22" t="n">
        <x:v>8000</x:v>
      </x:c>
      <x:c r="J4052" s="22" t="n">
        <x:v>1</x:v>
      </x:c>
      <x:c r="K4052" s="19" t="n">
        <x:v>1</x:v>
      </x:c>
      <x:c r="L4052" s="24" t="n">
        <x:v>62.474999999999994</x:v>
      </x:c>
      <x:c r="M4052" s="26" t="n">
        <x:v>0.1</x:v>
      </x:c>
      <x:c r="N4052" s="24" t="n">
        <x:v>72</x:v>
      </x:c>
      <x:c r="O4052" s="28" t="n">
        <x:f>MIN(1,L4052/I4052)</x:f>
        <x:v>0.0078093749999999995</x:v>
      </x:c>
      <x:c r="P4052" s="30" t="n">
        <x:f>O4052*J4052*(1+M4052)</x:f>
        <x:v>0.0085903125</x:v>
      </x:c>
      <x:c r="Q4052" s="30" t="n">
        <x:f>P4052*N4052</x:f>
        <x:v>0.6185025000000001</x:v>
      </x:c>
      <x:c r="R4052" s="19" t="str">
        <x:v>独立判定</x:v>
      </x:c>
    </x:row>
    <x:row r="4053" ht="19" customHeight="1">
      <x:c r="A4053" s="19" t="str">
        <x:v>D04049</x:v>
      </x:c>
      <x:c r="B4053" s="19" t="n">
        <x:v>9</x:v>
      </x:c>
      <x:c r="C4053" s="19" t="n">
        <x:v>1</x:v>
      </x:c>
      <x:c r="D4053" s="19" t="str">
        <x:v>C09-M006</x:v>
      </x:c>
      <x:c r="E4053" s="19" t="str">
        <x:v>祭坛衔烛鸦</x:v>
      </x:c>
      <x:c r="F4053" s="19" t="str">
        <x:v>普通</x:v>
      </x:c>
      <x:c r="G4053" s="19" t="str">
        <x:v>材料独立候选</x:v>
      </x:c>
      <x:c r="H4053" s="19" t="str">
        <x:v>黄金叶脉</x:v>
      </x:c>
      <x:c r="I4053" s="22" t="n">
        <x:v>1500</x:v>
      </x:c>
      <x:c r="J4053" s="22" t="n">
        <x:v>8</x:v>
      </x:c>
      <x:c r="K4053" s="19" t="n">
        <x:v>1</x:v>
      </x:c>
      <x:c r="L4053" s="24" t="n">
        <x:v>62.474999999999994</x:v>
      </x:c>
      <x:c r="M4053" s="26" t="n">
        <x:v>0.1</x:v>
      </x:c>
      <x:c r="N4053" s="24" t="n">
        <x:v>72</x:v>
      </x:c>
      <x:c r="O4053" s="28" t="n">
        <x:f>MIN(1,L4053/I4053)</x:f>
        <x:v>0.04165</x:v>
      </x:c>
      <x:c r="P4053" s="30" t="n">
        <x:f>O4053*J4053*(1+M4053)</x:f>
        <x:v>0.36652</x:v>
      </x:c>
      <x:c r="Q4053" s="30" t="n">
        <x:f>P4053*N4053</x:f>
        <x:v>26.38944</x:v>
      </x:c>
      <x:c r="R4053" s="19" t="str">
        <x:v>独立判定</x:v>
      </x:c>
    </x:row>
    <x:row r="4054" ht="19" customHeight="1">
      <x:c r="A4054" s="19" t="str">
        <x:v>D04050</x:v>
      </x:c>
      <x:c r="B4054" s="19" t="n">
        <x:v>9</x:v>
      </x:c>
      <x:c r="C4054" s="19" t="n">
        <x:v>1</x:v>
      </x:c>
      <x:c r="D4054" s="19" t="str">
        <x:v>C09-M006</x:v>
      </x:c>
      <x:c r="E4054" s="19" t="str">
        <x:v>祭坛衔烛鸦</x:v>
      </x:c>
      <x:c r="F4054" s="19" t="str">
        <x:v>普通</x:v>
      </x:c>
      <x:c r="G4054" s="19" t="str">
        <x:v>材料独立候选</x:v>
      </x:c>
      <x:c r="H4054" s="19" t="str">
        <x:v>金叶驿票</x:v>
      </x:c>
      <x:c r="I4054" s="22" t="n">
        <x:v>18000</x:v>
      </x:c>
      <x:c r="J4054" s="22" t="n">
        <x:v>1</x:v>
      </x:c>
      <x:c r="K4054" s="19" t="n">
        <x:v>1</x:v>
      </x:c>
      <x:c r="L4054" s="24" t="n">
        <x:v>62.474999999999994</x:v>
      </x:c>
      <x:c r="M4054" s="26" t="n">
        <x:v>0.1</x:v>
      </x:c>
      <x:c r="N4054" s="24" t="n">
        <x:v>72</x:v>
      </x:c>
      <x:c r="O4054" s="28" t="n">
        <x:f>MIN(1,L4054/I4054)</x:f>
        <x:v>0.003470833333333333</x:v>
      </x:c>
      <x:c r="P4054" s="30" t="n">
        <x:f>O4054*J4054*(1+M4054)</x:f>
        <x:v>0.003817916666666667</x:v>
      </x:c>
      <x:c r="Q4054" s="30" t="n">
        <x:f>P4054*N4054</x:f>
        <x:v>0.27489</x:v>
      </x:c>
      <x:c r="R4054" s="19" t="str">
        <x:v>独立判定</x:v>
      </x:c>
    </x:row>
    <x:row r="4055" ht="19" customHeight="1">
      <x:c r="A4055" s="19" t="str">
        <x:v>D04051</x:v>
      </x:c>
      <x:c r="B4055" s="19" t="n">
        <x:v>9</x:v>
      </x:c>
      <x:c r="C4055" s="19" t="n">
        <x:v>1</x:v>
      </x:c>
      <x:c r="D4055" s="19" t="str">
        <x:v>C09-M006</x:v>
      </x:c>
      <x:c r="E4055" s="19" t="str">
        <x:v>祭坛衔烛鸦</x:v>
      </x:c>
      <x:c r="F4055" s="19" t="str">
        <x:v>普通</x:v>
      </x:c>
      <x:c r="G4055" s="19" t="str">
        <x:v>材料独立候选</x:v>
      </x:c>
      <x:c r="H4055" s="19" t="str">
        <x:v>古坛鎏叶髓</x:v>
      </x:c>
      <x:c r="I4055" s="22" t="n">
        <x:v>3000000</x:v>
      </x:c>
      <x:c r="J4055" s="22" t="n">
        <x:v>1</x:v>
      </x:c>
      <x:c r="K4055" s="19" t="n">
        <x:v>1</x:v>
      </x:c>
      <x:c r="L4055" s="24" t="n">
        <x:v>62.474999999999994</x:v>
      </x:c>
      <x:c r="M4055" s="26" t="n">
        <x:v>0.1</x:v>
      </x:c>
      <x:c r="N4055" s="24" t="n">
        <x:v>72</x:v>
      </x:c>
      <x:c r="O4055" s="28" t="n">
        <x:f>MIN(1,L4055/I4055)</x:f>
        <x:v>0.000020824999999999998</x:v>
      </x:c>
      <x:c r="P4055" s="30" t="n">
        <x:f>O4055*J4055*(1+M4055)</x:f>
        <x:v>0.0000229075</x:v>
      </x:c>
      <x:c r="Q4055" s="30" t="n">
        <x:f>P4055*N4055</x:f>
        <x:v>0.00164934</x:v>
      </x:c>
      <x:c r="R4055" s="19" t="str">
        <x:v>独立判定</x:v>
      </x:c>
    </x:row>
    <x:row r="4056" ht="19" customHeight="1">
      <x:c r="A4056" s="19" t="str">
        <x:v>D04052</x:v>
      </x:c>
      <x:c r="B4056" s="19" t="n">
        <x:v>9</x:v>
      </x:c>
      <x:c r="C4056" s="19" t="n">
        <x:v>1</x:v>
      </x:c>
      <x:c r="D4056" s="19" t="str">
        <x:v>C09-M006</x:v>
      </x:c>
      <x:c r="E4056" s="19" t="str">
        <x:v>祭坛衔烛鸦</x:v>
      </x:c>
      <x:c r="F4056" s="19" t="str">
        <x:v>普通</x:v>
      </x:c>
      <x:c r="G4056" s="19" t="str">
        <x:v>材料独立候选</x:v>
      </x:c>
      <x:c r="H4056" s="19" t="str">
        <x:v>野兽骨片</x:v>
      </x:c>
      <x:c r="I4056" s="22" t="n">
        <x:v>300</x:v>
      </x:c>
      <x:c r="J4056" s="22" t="n">
        <x:v>5</x:v>
      </x:c>
      <x:c r="K4056" s="19" t="n">
        <x:v>1</x:v>
      </x:c>
      <x:c r="L4056" s="24" t="n">
        <x:v>62.474999999999994</x:v>
      </x:c>
      <x:c r="M4056" s="26" t="n">
        <x:v>0.1</x:v>
      </x:c>
      <x:c r="N4056" s="24" t="n">
        <x:v>72</x:v>
      </x:c>
      <x:c r="O4056" s="28" t="n">
        <x:f>MIN(1,L4056/I4056)</x:f>
        <x:v>0.20825</x:v>
      </x:c>
      <x:c r="P4056" s="30" t="n">
        <x:f>O4056*J4056*(1+M4056)</x:f>
        <x:v>1.145375</x:v>
      </x:c>
      <x:c r="Q4056" s="30" t="n">
        <x:f>P4056*N4056</x:f>
        <x:v>82.467</x:v>
      </x:c>
      <x:c r="R4056" s="19" t="str">
        <x:v>独立判定</x:v>
      </x:c>
    </x:row>
    <x:row r="4057" ht="19" customHeight="1">
      <x:c r="A4057" s="19" t="str">
        <x:v>D04053</x:v>
      </x:c>
      <x:c r="B4057" s="19" t="n">
        <x:v>9</x:v>
      </x:c>
      <x:c r="C4057" s="19" t="n">
        <x:v>1</x:v>
      </x:c>
      <x:c r="D4057" s="19" t="str">
        <x:v>C09-M006</x:v>
      </x:c>
      <x:c r="E4057" s="19" t="str">
        <x:v>祭坛衔烛鸦</x:v>
      </x:c>
      <x:c r="F4057" s="19" t="str">
        <x:v>普通</x:v>
      </x:c>
      <x:c r="G4057" s="19" t="str">
        <x:v>材料独立候选</x:v>
      </x:c>
      <x:c r="H4057" s="19" t="str">
        <x:v>技能残页</x:v>
      </x:c>
      <x:c r="I4057" s="22" t="n">
        <x:v>2500</x:v>
      </x:c>
      <x:c r="J4057" s="22" t="n">
        <x:v>1</x:v>
      </x:c>
      <x:c r="K4057" s="19" t="n">
        <x:v>1</x:v>
      </x:c>
      <x:c r="L4057" s="24" t="n">
        <x:v>62.474999999999994</x:v>
      </x:c>
      <x:c r="M4057" s="26" t="n">
        <x:v>0.1</x:v>
      </x:c>
      <x:c r="N4057" s="24" t="n">
        <x:v>72</x:v>
      </x:c>
      <x:c r="O4057" s="28" t="n">
        <x:f>MIN(1,L4057/I4057)</x:f>
        <x:v>0.02499</x:v>
      </x:c>
      <x:c r="P4057" s="30" t="n">
        <x:f>O4057*J4057*(1+M4057)</x:f>
        <x:v>0.027489</x:v>
      </x:c>
      <x:c r="Q4057" s="30" t="n">
        <x:f>P4057*N4057</x:f>
        <x:v>1.9792079999999999</x:v>
      </x:c>
      <x:c r="R4057" s="19" t="str">
        <x:v>独立判定</x:v>
      </x:c>
    </x:row>
    <x:row r="4058" ht="19" customHeight="1">
      <x:c r="A4058" s="19" t="str">
        <x:v>D04054</x:v>
      </x:c>
      <x:c r="B4058" s="19" t="n">
        <x:v>9</x:v>
      </x:c>
      <x:c r="C4058" s="19" t="n">
        <x:v>1</x:v>
      </x:c>
      <x:c r="D4058" s="19" t="str">
        <x:v>C09-M006</x:v>
      </x:c>
      <x:c r="E4058" s="19" t="str">
        <x:v>祭坛衔烛鸦</x:v>
      </x:c>
      <x:c r="F4058" s="19" t="str">
        <x:v>普通</x:v>
      </x:c>
      <x:c r="G4058" s="19" t="str">
        <x:v>材料独立候选</x:v>
      </x:c>
      <x:c r="H4058" s="19" t="str">
        <x:v>小卢恩</x:v>
      </x:c>
      <x:c r="I4058" s="22" t="n">
        <x:v>18000</x:v>
      </x:c>
      <x:c r="J4058" s="22" t="n">
        <x:v>1</x:v>
      </x:c>
      <x:c r="K4058" s="19" t="n">
        <x:v>1</x:v>
      </x:c>
      <x:c r="L4058" s="24" t="n">
        <x:v>62.474999999999994</x:v>
      </x:c>
      <x:c r="M4058" s="26" t="n">
        <x:v>0.1</x:v>
      </x:c>
      <x:c r="N4058" s="24" t="n">
        <x:v>72</x:v>
      </x:c>
      <x:c r="O4058" s="28" t="n">
        <x:f>MIN(1,L4058/I4058)</x:f>
        <x:v>0.003470833333333333</x:v>
      </x:c>
      <x:c r="P4058" s="30" t="n">
        <x:f>O4058*J4058*(1+M4058)</x:f>
        <x:v>0.003817916666666667</x:v>
      </x:c>
      <x:c r="Q4058" s="30" t="n">
        <x:f>P4058*N4058</x:f>
        <x:v>0.27489</x:v>
      </x:c>
      <x:c r="R4058" s="19" t="str">
        <x:v>独立判定</x:v>
      </x:c>
    </x:row>
    <x:row r="4059" ht="19" customHeight="1">
      <x:c r="A4059" s="19" t="str">
        <x:v>D04055</x:v>
      </x:c>
      <x:c r="B4059" s="19" t="n">
        <x:v>9</x:v>
      </x:c>
      <x:c r="C4059" s="19" t="n">
        <x:v>1</x:v>
      </x:c>
      <x:c r="D4059" s="19" t="str">
        <x:v>C09-M006</x:v>
      </x:c>
      <x:c r="E4059" s="19" t="str">
        <x:v>祭坛衔烛鸦</x:v>
      </x:c>
      <x:c r="F4059" s="19" t="str">
        <x:v>普通</x:v>
      </x:c>
      <x:c r="G4059" s="19" t="str">
        <x:v>六神器公共池</x:v>
      </x:c>
      <x:c r="H4059" s="19" t="str">
        <x:v>POOL006</x:v>
      </x:c>
      <x:c r="I4059" s="22" t="n">
        <x:v>20000000</x:v>
      </x:c>
      <x:c r="J4059" s="22" t="n">
        <x:v>1</x:v>
      </x:c>
      <x:c r="K4059" s="19" t="n">
        <x:v>6</x:v>
      </x:c>
      <x:c r="L4059" s="24" t="n">
        <x:v>62.474999999999994</x:v>
      </x:c>
      <x:c r="M4059" s="26" t="n">
        <x:v>0.1</x:v>
      </x:c>
      <x:c r="N4059" s="24" t="n">
        <x:v>72</x:v>
      </x:c>
      <x:c r="O4059" s="28" t="n">
        <x:f>MIN(1,L4059/I4059)</x:f>
        <x:v>0.0000031237499999999995</x:v>
      </x:c>
      <x:c r="P4059" s="30" t="n">
        <x:f>O4059*J4059*(1+M4059)</x:f>
        <x:v>0.0000034361249999999996</x:v>
      </x:c>
      <x:c r="Q4059" s="30" t="n">
        <x:f>P4059*N4059</x:f>
        <x:v>0.00024740099999999996</x:v>
      </x:c>
      <x:c r="R4059" s="19" t="str">
        <x:v>六选一；非6个独立爆率</x:v>
      </x:c>
    </x:row>
    <x:row r="4060" ht="19" customHeight="1">
      <x:c r="A4060" s="19" t="str">
        <x:v>D04056</x:v>
      </x:c>
      <x:c r="B4060" s="19" t="n">
        <x:v>9</x:v>
      </x:c>
      <x:c r="C4060" s="19" t="n">
        <x:v>1</x:v>
      </x:c>
      <x:c r="D4060" s="19" t="str">
        <x:v>C09-M007</x:v>
      </x:c>
      <x:c r="E4060" s="19" t="str">
        <x:v>落叶占路僧</x:v>
      </x:c>
      <x:c r="F4060" s="19" t="str">
        <x:v>稀有</x:v>
      </x:c>
      <x:c r="G4060" s="19" t="str">
        <x:v>自身专属</x:v>
      </x:c>
      <x:c r="H4060" s="19" t="str">
        <x:v>占路秋叶笠</x:v>
      </x:c>
      <x:c r="I4060" s="22" t="n">
        <x:v>1800</x:v>
      </x:c>
      <x:c r="J4060" s="22" t="n">
        <x:v>1</x:v>
      </x:c>
      <x:c r="K4060" s="19" t="n">
        <x:v>1</x:v>
      </x:c>
      <x:c r="L4060" s="24" t="n">
        <x:v>62.474999999999994</x:v>
      </x:c>
      <x:c r="M4060" s="26" t="n">
        <x:v>0.1</x:v>
      </x:c>
      <x:c r="N4060" s="24" t="n">
        <x:v>12</x:v>
      </x:c>
      <x:c r="O4060" s="28" t="n">
        <x:f>MIN(1,L4060/I4060)</x:f>
        <x:v>0.03470833333333333</x:v>
      </x:c>
      <x:c r="P4060" s="30" t="n">
        <x:f>O4060*J4060*(1+M4060)</x:f>
        <x:v>0.03817916666666666</x:v>
      </x:c>
      <x:c r="Q4060" s="30" t="n">
        <x:f>P4060*N4060</x:f>
        <x:v>0.45814999999999995</x:v>
      </x:c>
      <x:c r="R4060" s="19" t="str">
        <x:v>独立判定</x:v>
      </x:c>
    </x:row>
    <x:row r="4061" ht="19" customHeight="1">
      <x:c r="A4061" s="19" t="str">
        <x:v>D04057</x:v>
      </x:c>
      <x:c r="B4061" s="19" t="n">
        <x:v>9</x:v>
      </x:c>
      <x:c r="C4061" s="19" t="n">
        <x:v>1</x:v>
      </x:c>
      <x:c r="D4061" s="19" t="str">
        <x:v>C09-M007</x:v>
      </x:c>
      <x:c r="E4061" s="19" t="str">
        <x:v>落叶占路僧</x:v>
      </x:c>
      <x:c r="F4061" s="19" t="str">
        <x:v>稀有</x:v>
      </x:c>
      <x:c r="G4061" s="19" t="str">
        <x:v>材料独立候选</x:v>
      </x:c>
      <x:c r="H4061" s="19" t="str">
        <x:v>黄金叶脉</x:v>
      </x:c>
      <x:c r="I4061" s="22" t="n">
        <x:v>1000</x:v>
      </x:c>
      <x:c r="J4061" s="22" t="n">
        <x:v>15</x:v>
      </x:c>
      <x:c r="K4061" s="19" t="n">
        <x:v>1</x:v>
      </x:c>
      <x:c r="L4061" s="24" t="n">
        <x:v>62.474999999999994</x:v>
      </x:c>
      <x:c r="M4061" s="26" t="n">
        <x:v>0.1</x:v>
      </x:c>
      <x:c r="N4061" s="24" t="n">
        <x:v>12</x:v>
      </x:c>
      <x:c r="O4061" s="28" t="n">
        <x:f>MIN(1,L4061/I4061)</x:f>
        <x:v>0.062474999999999996</x:v>
      </x:c>
      <x:c r="P4061" s="30" t="n">
        <x:f>O4061*J4061*(1+M4061)</x:f>
        <x:v>1.0308375</x:v>
      </x:c>
      <x:c r="Q4061" s="30" t="n">
        <x:f>P4061*N4061</x:f>
        <x:v>12.37005</x:v>
      </x:c>
      <x:c r="R4061" s="19" t="str">
        <x:v>独立判定</x:v>
      </x:c>
    </x:row>
    <x:row r="4062" ht="19" customHeight="1">
      <x:c r="A4062" s="19" t="str">
        <x:v>D04058</x:v>
      </x:c>
      <x:c r="B4062" s="19" t="n">
        <x:v>9</x:v>
      </x:c>
      <x:c r="C4062" s="19" t="n">
        <x:v>1</x:v>
      </x:c>
      <x:c r="D4062" s="19" t="str">
        <x:v>C09-M007</x:v>
      </x:c>
      <x:c r="E4062" s="19" t="str">
        <x:v>落叶占路僧</x:v>
      </x:c>
      <x:c r="F4062" s="19" t="str">
        <x:v>稀有</x:v>
      </x:c>
      <x:c r="G4062" s="19" t="str">
        <x:v>材料独立候选</x:v>
      </x:c>
      <x:c r="H4062" s="19" t="str">
        <x:v>古王律页</x:v>
      </x:c>
      <x:c r="I4062" s="22" t="n">
        <x:v>1000</x:v>
      </x:c>
      <x:c r="J4062" s="22" t="n">
        <x:v>1</x:v>
      </x:c>
      <x:c r="K4062" s="19" t="n">
        <x:v>1</x:v>
      </x:c>
      <x:c r="L4062" s="24" t="n">
        <x:v>62.474999999999994</x:v>
      </x:c>
      <x:c r="M4062" s="26" t="n">
        <x:v>0.1</x:v>
      </x:c>
      <x:c r="N4062" s="24" t="n">
        <x:v>12</x:v>
      </x:c>
      <x:c r="O4062" s="28" t="n">
        <x:f>MIN(1,L4062/I4062)</x:f>
        <x:v>0.062474999999999996</x:v>
      </x:c>
      <x:c r="P4062" s="30" t="n">
        <x:f>O4062*J4062*(1+M4062)</x:f>
        <x:v>0.0687225</x:v>
      </x:c>
      <x:c r="Q4062" s="30" t="n">
        <x:f>P4062*N4062</x:f>
        <x:v>0.82467</x:v>
      </x:c>
      <x:c r="R4062" s="19" t="str">
        <x:v>独立判定</x:v>
      </x:c>
    </x:row>
    <x:row r="4063" ht="19" customHeight="1">
      <x:c r="A4063" s="19" t="str">
        <x:v>D04059</x:v>
      </x:c>
      <x:c r="B4063" s="19" t="n">
        <x:v>9</x:v>
      </x:c>
      <x:c r="C4063" s="19" t="n">
        <x:v>1</x:v>
      </x:c>
      <x:c r="D4063" s="19" t="str">
        <x:v>C09-M007</x:v>
      </x:c>
      <x:c r="E4063" s="19" t="str">
        <x:v>落叶占路僧</x:v>
      </x:c>
      <x:c r="F4063" s="19" t="str">
        <x:v>稀有</x:v>
      </x:c>
      <x:c r="G4063" s="19" t="str">
        <x:v>材料独立候选</x:v>
      </x:c>
      <x:c r="H4063" s="19" t="str">
        <x:v>矿脉灯芯</x:v>
      </x:c>
      <x:c r="I4063" s="22" t="n">
        <x:v>5000</x:v>
      </x:c>
      <x:c r="J4063" s="22" t="n">
        <x:v>1</x:v>
      </x:c>
      <x:c r="K4063" s="19" t="n">
        <x:v>1</x:v>
      </x:c>
      <x:c r="L4063" s="24" t="n">
        <x:v>62.474999999999994</x:v>
      </x:c>
      <x:c r="M4063" s="26" t="n">
        <x:v>0.1</x:v>
      </x:c>
      <x:c r="N4063" s="24" t="n">
        <x:v>12</x:v>
      </x:c>
      <x:c r="O4063" s="28" t="n">
        <x:f>MIN(1,L4063/I4063)</x:f>
        <x:v>0.012495</x:v>
      </x:c>
      <x:c r="P4063" s="30" t="n">
        <x:f>O4063*J4063*(1+M4063)</x:f>
        <x:v>0.0137445</x:v>
      </x:c>
      <x:c r="Q4063" s="30" t="n">
        <x:f>P4063*N4063</x:f>
        <x:v>0.164934</x:v>
      </x:c>
      <x:c r="R4063" s="19" t="str">
        <x:v>独立判定</x:v>
      </x:c>
    </x:row>
    <x:row r="4064" ht="19" customHeight="1">
      <x:c r="A4064" s="19" t="str">
        <x:v>D04060</x:v>
      </x:c>
      <x:c r="B4064" s="19" t="n">
        <x:v>9</x:v>
      </x:c>
      <x:c r="C4064" s="19" t="n">
        <x:v>1</x:v>
      </x:c>
      <x:c r="D4064" s="19" t="str">
        <x:v>C09-M007</x:v>
      </x:c>
      <x:c r="E4064" s="19" t="str">
        <x:v>落叶占路僧</x:v>
      </x:c>
      <x:c r="F4064" s="19" t="str">
        <x:v>稀有</x:v>
      </x:c>
      <x:c r="G4064" s="19" t="str">
        <x:v>材料独立候选</x:v>
      </x:c>
      <x:c r="H4064" s="19" t="str">
        <x:v>古坛鎏叶髓</x:v>
      </x:c>
      <x:c r="I4064" s="22" t="n">
        <x:v>1800000</x:v>
      </x:c>
      <x:c r="J4064" s="22" t="n">
        <x:v>1</x:v>
      </x:c>
      <x:c r="K4064" s="19" t="n">
        <x:v>1</x:v>
      </x:c>
      <x:c r="L4064" s="24" t="n">
        <x:v>62.474999999999994</x:v>
      </x:c>
      <x:c r="M4064" s="26" t="n">
        <x:v>0.1</x:v>
      </x:c>
      <x:c r="N4064" s="24" t="n">
        <x:v>12</x:v>
      </x:c>
      <x:c r="O4064" s="28" t="n">
        <x:f>MIN(1,L4064/I4064)</x:f>
        <x:v>0.00003470833333333333</x:v>
      </x:c>
      <x:c r="P4064" s="30" t="n">
        <x:f>O4064*J4064*(1+M4064)</x:f>
        <x:v>0.00003817916666666666</x:v>
      </x:c>
      <x:c r="Q4064" s="30" t="n">
        <x:f>P4064*N4064</x:f>
        <x:v>0.00045814999999999994</x:v>
      </x:c>
      <x:c r="R4064" s="19" t="str">
        <x:v>独立判定</x:v>
      </x:c>
    </x:row>
    <x:row r="4065" ht="19" customHeight="1">
      <x:c r="A4065" s="19" t="str">
        <x:v>D04061</x:v>
      </x:c>
      <x:c r="B4065" s="19" t="n">
        <x:v>9</x:v>
      </x:c>
      <x:c r="C4065" s="19" t="n">
        <x:v>1</x:v>
      </x:c>
      <x:c r="D4065" s="19" t="str">
        <x:v>C09-M007</x:v>
      </x:c>
      <x:c r="E4065" s="19" t="str">
        <x:v>落叶占路僧</x:v>
      </x:c>
      <x:c r="F4065" s="19" t="str">
        <x:v>稀有</x:v>
      </x:c>
      <x:c r="G4065" s="19" t="str">
        <x:v>材料独立候选</x:v>
      </x:c>
      <x:c r="H4065" s="19" t="str">
        <x:v>黄金树芽</x:v>
      </x:c>
      <x:c r="I4065" s="22" t="n">
        <x:v>12000</x:v>
      </x:c>
      <x:c r="J4065" s="22" t="n">
        <x:v>1</x:v>
      </x:c>
      <x:c r="K4065" s="19" t="n">
        <x:v>1</x:v>
      </x:c>
      <x:c r="L4065" s="24" t="n">
        <x:v>62.474999999999994</x:v>
      </x:c>
      <x:c r="M4065" s="26" t="n">
        <x:v>0.1</x:v>
      </x:c>
      <x:c r="N4065" s="24" t="n">
        <x:v>12</x:v>
      </x:c>
      <x:c r="O4065" s="28" t="n">
        <x:f>MIN(1,L4065/I4065)</x:f>
        <x:v>0.00520625</x:v>
      </x:c>
      <x:c r="P4065" s="30" t="n">
        <x:f>O4065*J4065*(1+M4065)</x:f>
        <x:v>0.005726875</x:v>
      </x:c>
      <x:c r="Q4065" s="30" t="n">
        <x:f>P4065*N4065</x:f>
        <x:v>0.0687225</x:v>
      </x:c>
      <x:c r="R4065" s="19" t="str">
        <x:v>独立判定</x:v>
      </x:c>
    </x:row>
    <x:row r="4066" ht="19" customHeight="1">
      <x:c r="A4066" s="19" t="str">
        <x:v>D04062</x:v>
      </x:c>
      <x:c r="B4066" s="19" t="n">
        <x:v>9</x:v>
      </x:c>
      <x:c r="C4066" s="19" t="n">
        <x:v>1</x:v>
      </x:c>
      <x:c r="D4066" s="19" t="str">
        <x:v>C09-M007</x:v>
      </x:c>
      <x:c r="E4066" s="19" t="str">
        <x:v>落叶占路僧</x:v>
      </x:c>
      <x:c r="F4066" s="19" t="str">
        <x:v>稀有</x:v>
      </x:c>
      <x:c r="G4066" s="19" t="str">
        <x:v>材料独立候选</x:v>
      </x:c>
      <x:c r="H4066" s="19" t="str">
        <x:v>野兽骨片</x:v>
      </x:c>
      <x:c r="I4066" s="22" t="n">
        <x:v>200</x:v>
      </x:c>
      <x:c r="J4066" s="22" t="n">
        <x:v>5</x:v>
      </x:c>
      <x:c r="K4066" s="19" t="n">
        <x:v>1</x:v>
      </x:c>
      <x:c r="L4066" s="24" t="n">
        <x:v>62.474999999999994</x:v>
      </x:c>
      <x:c r="M4066" s="26" t="n">
        <x:v>0.1</x:v>
      </x:c>
      <x:c r="N4066" s="24" t="n">
        <x:v>12</x:v>
      </x:c>
      <x:c r="O4066" s="28" t="n">
        <x:f>MIN(1,L4066/I4066)</x:f>
        <x:v>0.31237499999999996</x:v>
      </x:c>
      <x:c r="P4066" s="30" t="n">
        <x:f>O4066*J4066*(1+M4066)</x:f>
        <x:v>1.7180624999999998</x:v>
      </x:c>
      <x:c r="Q4066" s="30" t="n">
        <x:f>P4066*N4066</x:f>
        <x:v>20.616749999999996</x:v>
      </x:c>
      <x:c r="R4066" s="19" t="str">
        <x:v>独立判定</x:v>
      </x:c>
    </x:row>
    <x:row r="4067" ht="19" customHeight="1">
      <x:c r="A4067" s="19" t="str">
        <x:v>D04063</x:v>
      </x:c>
      <x:c r="B4067" s="19" t="n">
        <x:v>9</x:v>
      </x:c>
      <x:c r="C4067" s="19" t="n">
        <x:v>1</x:v>
      </x:c>
      <x:c r="D4067" s="19" t="str">
        <x:v>C09-M007</x:v>
      </x:c>
      <x:c r="E4067" s="19" t="str">
        <x:v>落叶占路僧</x:v>
      </x:c>
      <x:c r="F4067" s="19" t="str">
        <x:v>稀有</x:v>
      </x:c>
      <x:c r="G4067" s="19" t="str">
        <x:v>材料独立候选</x:v>
      </x:c>
      <x:c r="H4067" s="19" t="str">
        <x:v>技能残页</x:v>
      </x:c>
      <x:c r="I4067" s="22" t="n">
        <x:v>1800</x:v>
      </x:c>
      <x:c r="J4067" s="22" t="n">
        <x:v>1</x:v>
      </x:c>
      <x:c r="K4067" s="19" t="n">
        <x:v>1</x:v>
      </x:c>
      <x:c r="L4067" s="24" t="n">
        <x:v>62.474999999999994</x:v>
      </x:c>
      <x:c r="M4067" s="26" t="n">
        <x:v>0.1</x:v>
      </x:c>
      <x:c r="N4067" s="24" t="n">
        <x:v>12</x:v>
      </x:c>
      <x:c r="O4067" s="28" t="n">
        <x:f>MIN(1,L4067/I4067)</x:f>
        <x:v>0.03470833333333333</x:v>
      </x:c>
      <x:c r="P4067" s="30" t="n">
        <x:f>O4067*J4067*(1+M4067)</x:f>
        <x:v>0.03817916666666666</x:v>
      </x:c>
      <x:c r="Q4067" s="30" t="n">
        <x:f>P4067*N4067</x:f>
        <x:v>0.45814999999999995</x:v>
      </x:c>
      <x:c r="R4067" s="19" t="str">
        <x:v>独立判定</x:v>
      </x:c>
    </x:row>
    <x:row r="4068" ht="19" customHeight="1">
      <x:c r="A4068" s="19" t="str">
        <x:v>D04064</x:v>
      </x:c>
      <x:c r="B4068" s="19" t="n">
        <x:v>9</x:v>
      </x:c>
      <x:c r="C4068" s="19" t="n">
        <x:v>1</x:v>
      </x:c>
      <x:c r="D4068" s="19" t="str">
        <x:v>C09-M007</x:v>
      </x:c>
      <x:c r="E4068" s="19" t="str">
        <x:v>落叶占路僧</x:v>
      </x:c>
      <x:c r="F4068" s="19" t="str">
        <x:v>稀有</x:v>
      </x:c>
      <x:c r="G4068" s="19" t="str">
        <x:v>材料独立候选</x:v>
      </x:c>
      <x:c r="H4068" s="19" t="str">
        <x:v>小卢恩</x:v>
      </x:c>
      <x:c r="I4068" s="22" t="n">
        <x:v>12000</x:v>
      </x:c>
      <x:c r="J4068" s="22" t="n">
        <x:v>1</x:v>
      </x:c>
      <x:c r="K4068" s="19" t="n">
        <x:v>1</x:v>
      </x:c>
      <x:c r="L4068" s="24" t="n">
        <x:v>62.474999999999994</x:v>
      </x:c>
      <x:c r="M4068" s="26" t="n">
        <x:v>0.1</x:v>
      </x:c>
      <x:c r="N4068" s="24" t="n">
        <x:v>12</x:v>
      </x:c>
      <x:c r="O4068" s="28" t="n">
        <x:f>MIN(1,L4068/I4068)</x:f>
        <x:v>0.00520625</x:v>
      </x:c>
      <x:c r="P4068" s="30" t="n">
        <x:f>O4068*J4068*(1+M4068)</x:f>
        <x:v>0.005726875</x:v>
      </x:c>
      <x:c r="Q4068" s="30" t="n">
        <x:f>P4068*N4068</x:f>
        <x:v>0.0687225</x:v>
      </x:c>
      <x:c r="R4068" s="19" t="str">
        <x:v>独立判定</x:v>
      </x:c>
    </x:row>
    <x:row r="4069" ht="19" customHeight="1">
      <x:c r="A4069" s="19" t="str">
        <x:v>D04065</x:v>
      </x:c>
      <x:c r="B4069" s="19" t="n">
        <x:v>9</x:v>
      </x:c>
      <x:c r="C4069" s="19" t="n">
        <x:v>1</x:v>
      </x:c>
      <x:c r="D4069" s="19" t="str">
        <x:v>C09-M007</x:v>
      </x:c>
      <x:c r="E4069" s="19" t="str">
        <x:v>落叶占路僧</x:v>
      </x:c>
      <x:c r="F4069" s="19" t="str">
        <x:v>稀有</x:v>
      </x:c>
      <x:c r="G4069" s="19" t="str">
        <x:v>六神器公共池</x:v>
      </x:c>
      <x:c r="H4069" s="19" t="str">
        <x:v>POOL006</x:v>
      </x:c>
      <x:c r="I4069" s="22" t="n">
        <x:v>5000000</x:v>
      </x:c>
      <x:c r="J4069" s="22" t="n">
        <x:v>1</x:v>
      </x:c>
      <x:c r="K4069" s="19" t="n">
        <x:v>6</x:v>
      </x:c>
      <x:c r="L4069" s="24" t="n">
        <x:v>62.474999999999994</x:v>
      </x:c>
      <x:c r="M4069" s="26" t="n">
        <x:v>0.1</x:v>
      </x:c>
      <x:c r="N4069" s="24" t="n">
        <x:v>12</x:v>
      </x:c>
      <x:c r="O4069" s="28" t="n">
        <x:f>MIN(1,L4069/I4069)</x:f>
        <x:v>0.000012494999999999998</x:v>
      </x:c>
      <x:c r="P4069" s="30" t="n">
        <x:f>O4069*J4069*(1+M4069)</x:f>
        <x:v>0.000013744499999999999</x:v>
      </x:c>
      <x:c r="Q4069" s="30" t="n">
        <x:f>P4069*N4069</x:f>
        <x:v>0.000164934</x:v>
      </x:c>
      <x:c r="R4069" s="19" t="str">
        <x:v>六选一；非6个独立爆率</x:v>
      </x:c>
    </x:row>
    <x:row r="4070" ht="19" customHeight="1">
      <x:c r="A4070" s="19" t="str">
        <x:v>D04066</x:v>
      </x:c>
      <x:c r="B4070" s="19" t="n">
        <x:v>9</x:v>
      </x:c>
      <x:c r="C4070" s="19" t="n">
        <x:v>1</x:v>
      </x:c>
      <x:c r="D4070" s="19" t="str">
        <x:v>C09-M008</x:v>
      </x:c>
      <x:c r="E4070" s="19" t="str">
        <x:v>逆风驿骑</x:v>
      </x:c>
      <x:c r="F4070" s="19" t="str">
        <x:v>稀有</x:v>
      </x:c>
      <x:c r="G4070" s="19" t="str">
        <x:v>自身专属</x:v>
      </x:c>
      <x:c r="H4070" s="19" t="str">
        <x:v>逆风驿骑带</x:v>
      </x:c>
      <x:c r="I4070" s="22" t="n">
        <x:v>1800</x:v>
      </x:c>
      <x:c r="J4070" s="22" t="n">
        <x:v>1</x:v>
      </x:c>
      <x:c r="K4070" s="19" t="n">
        <x:v>1</x:v>
      </x:c>
      <x:c r="L4070" s="24" t="n">
        <x:v>62.474999999999994</x:v>
      </x:c>
      <x:c r="M4070" s="26" t="n">
        <x:v>0.1</x:v>
      </x:c>
      <x:c r="N4070" s="24" t="n">
        <x:v>12</x:v>
      </x:c>
      <x:c r="O4070" s="28" t="n">
        <x:f>MIN(1,L4070/I4070)</x:f>
        <x:v>0.03470833333333333</x:v>
      </x:c>
      <x:c r="P4070" s="30" t="n">
        <x:f>O4070*J4070*(1+M4070)</x:f>
        <x:v>0.03817916666666666</x:v>
      </x:c>
      <x:c r="Q4070" s="30" t="n">
        <x:f>P4070*N4070</x:f>
        <x:v>0.45814999999999995</x:v>
      </x:c>
      <x:c r="R4070" s="19" t="str">
        <x:v>独立判定</x:v>
      </x:c>
    </x:row>
    <x:row r="4071" ht="19" customHeight="1">
      <x:c r="A4071" s="19" t="str">
        <x:v>D04067</x:v>
      </x:c>
      <x:c r="B4071" s="19" t="n">
        <x:v>9</x:v>
      </x:c>
      <x:c r="C4071" s="19" t="n">
        <x:v>1</x:v>
      </x:c>
      <x:c r="D4071" s="19" t="str">
        <x:v>C09-M008</x:v>
      </x:c>
      <x:c r="E4071" s="19" t="str">
        <x:v>逆风驿骑</x:v>
      </x:c>
      <x:c r="F4071" s="19" t="str">
        <x:v>稀有</x:v>
      </x:c>
      <x:c r="G4071" s="19" t="str">
        <x:v>材料独立候选</x:v>
      </x:c>
      <x:c r="H4071" s="19" t="str">
        <x:v>黄金叶脉</x:v>
      </x:c>
      <x:c r="I4071" s="22" t="n">
        <x:v>1000</x:v>
      </x:c>
      <x:c r="J4071" s="22" t="n">
        <x:v>15</x:v>
      </x:c>
      <x:c r="K4071" s="19" t="n">
        <x:v>1</x:v>
      </x:c>
      <x:c r="L4071" s="24" t="n">
        <x:v>62.474999999999994</x:v>
      </x:c>
      <x:c r="M4071" s="26" t="n">
        <x:v>0.1</x:v>
      </x:c>
      <x:c r="N4071" s="24" t="n">
        <x:v>12</x:v>
      </x:c>
      <x:c r="O4071" s="28" t="n">
        <x:f>MIN(1,L4071/I4071)</x:f>
        <x:v>0.062474999999999996</x:v>
      </x:c>
      <x:c r="P4071" s="30" t="n">
        <x:f>O4071*J4071*(1+M4071)</x:f>
        <x:v>1.0308375</x:v>
      </x:c>
      <x:c r="Q4071" s="30" t="n">
        <x:f>P4071*N4071</x:f>
        <x:v>12.37005</x:v>
      </x:c>
      <x:c r="R4071" s="19" t="str">
        <x:v>独立判定</x:v>
      </x:c>
    </x:row>
    <x:row r="4072" ht="19" customHeight="1">
      <x:c r="A4072" s="19" t="str">
        <x:v>D04068</x:v>
      </x:c>
      <x:c r="B4072" s="19" t="n">
        <x:v>9</x:v>
      </x:c>
      <x:c r="C4072" s="19" t="n">
        <x:v>1</x:v>
      </x:c>
      <x:c r="D4072" s="19" t="str">
        <x:v>C09-M008</x:v>
      </x:c>
      <x:c r="E4072" s="19" t="str">
        <x:v>逆风驿骑</x:v>
      </x:c>
      <x:c r="F4072" s="19" t="str">
        <x:v>稀有</x:v>
      </x:c>
      <x:c r="G4072" s="19" t="str">
        <x:v>材料独立候选</x:v>
      </x:c>
      <x:c r="H4072" s="19" t="str">
        <x:v>古王律页</x:v>
      </x:c>
      <x:c r="I4072" s="22" t="n">
        <x:v>1000</x:v>
      </x:c>
      <x:c r="J4072" s="22" t="n">
        <x:v>1</x:v>
      </x:c>
      <x:c r="K4072" s="19" t="n">
        <x:v>1</x:v>
      </x:c>
      <x:c r="L4072" s="24" t="n">
        <x:v>62.474999999999994</x:v>
      </x:c>
      <x:c r="M4072" s="26" t="n">
        <x:v>0.1</x:v>
      </x:c>
      <x:c r="N4072" s="24" t="n">
        <x:v>12</x:v>
      </x:c>
      <x:c r="O4072" s="28" t="n">
        <x:f>MIN(1,L4072/I4072)</x:f>
        <x:v>0.062474999999999996</x:v>
      </x:c>
      <x:c r="P4072" s="30" t="n">
        <x:f>O4072*J4072*(1+M4072)</x:f>
        <x:v>0.0687225</x:v>
      </x:c>
      <x:c r="Q4072" s="30" t="n">
        <x:f>P4072*N4072</x:f>
        <x:v>0.82467</x:v>
      </x:c>
      <x:c r="R4072" s="19" t="str">
        <x:v>独立判定</x:v>
      </x:c>
    </x:row>
    <x:row r="4073" ht="19" customHeight="1">
      <x:c r="A4073" s="19" t="str">
        <x:v>D04069</x:v>
      </x:c>
      <x:c r="B4073" s="19" t="n">
        <x:v>9</x:v>
      </x:c>
      <x:c r="C4073" s="19" t="n">
        <x:v>1</x:v>
      </x:c>
      <x:c r="D4073" s="19" t="str">
        <x:v>C09-M008</x:v>
      </x:c>
      <x:c r="E4073" s="19" t="str">
        <x:v>逆风驿骑</x:v>
      </x:c>
      <x:c r="F4073" s="19" t="str">
        <x:v>稀有</x:v>
      </x:c>
      <x:c r="G4073" s="19" t="str">
        <x:v>材料独立候选</x:v>
      </x:c>
      <x:c r="H4073" s="19" t="str">
        <x:v>矿脉灯芯</x:v>
      </x:c>
      <x:c r="I4073" s="22" t="n">
        <x:v>5000</x:v>
      </x:c>
      <x:c r="J4073" s="22" t="n">
        <x:v>1</x:v>
      </x:c>
      <x:c r="K4073" s="19" t="n">
        <x:v>1</x:v>
      </x:c>
      <x:c r="L4073" s="24" t="n">
        <x:v>62.474999999999994</x:v>
      </x:c>
      <x:c r="M4073" s="26" t="n">
        <x:v>0.1</x:v>
      </x:c>
      <x:c r="N4073" s="24" t="n">
        <x:v>12</x:v>
      </x:c>
      <x:c r="O4073" s="28" t="n">
        <x:f>MIN(1,L4073/I4073)</x:f>
        <x:v>0.012495</x:v>
      </x:c>
      <x:c r="P4073" s="30" t="n">
        <x:f>O4073*J4073*(1+M4073)</x:f>
        <x:v>0.0137445</x:v>
      </x:c>
      <x:c r="Q4073" s="30" t="n">
        <x:f>P4073*N4073</x:f>
        <x:v>0.164934</x:v>
      </x:c>
      <x:c r="R4073" s="19" t="str">
        <x:v>独立判定</x:v>
      </x:c>
    </x:row>
    <x:row r="4074" ht="19" customHeight="1">
      <x:c r="A4074" s="19" t="str">
        <x:v>D04070</x:v>
      </x:c>
      <x:c r="B4074" s="19" t="n">
        <x:v>9</x:v>
      </x:c>
      <x:c r="C4074" s="19" t="n">
        <x:v>1</x:v>
      </x:c>
      <x:c r="D4074" s="19" t="str">
        <x:v>C09-M008</x:v>
      </x:c>
      <x:c r="E4074" s="19" t="str">
        <x:v>逆风驿骑</x:v>
      </x:c>
      <x:c r="F4074" s="19" t="str">
        <x:v>稀有</x:v>
      </x:c>
      <x:c r="G4074" s="19" t="str">
        <x:v>材料独立候选</x:v>
      </x:c>
      <x:c r="H4074" s="19" t="str">
        <x:v>古坛鎏叶髓</x:v>
      </x:c>
      <x:c r="I4074" s="22" t="n">
        <x:v>1800000</x:v>
      </x:c>
      <x:c r="J4074" s="22" t="n">
        <x:v>1</x:v>
      </x:c>
      <x:c r="K4074" s="19" t="n">
        <x:v>1</x:v>
      </x:c>
      <x:c r="L4074" s="24" t="n">
        <x:v>62.474999999999994</x:v>
      </x:c>
      <x:c r="M4074" s="26" t="n">
        <x:v>0.1</x:v>
      </x:c>
      <x:c r="N4074" s="24" t="n">
        <x:v>12</x:v>
      </x:c>
      <x:c r="O4074" s="28" t="n">
        <x:f>MIN(1,L4074/I4074)</x:f>
        <x:v>0.00003470833333333333</x:v>
      </x:c>
      <x:c r="P4074" s="30" t="n">
        <x:f>O4074*J4074*(1+M4074)</x:f>
        <x:v>0.00003817916666666666</x:v>
      </x:c>
      <x:c r="Q4074" s="30" t="n">
        <x:f>P4074*N4074</x:f>
        <x:v>0.00045814999999999994</x:v>
      </x:c>
      <x:c r="R4074" s="19" t="str">
        <x:v>独立判定</x:v>
      </x:c>
    </x:row>
    <x:row r="4075" ht="19" customHeight="1">
      <x:c r="A4075" s="19" t="str">
        <x:v>D04071</x:v>
      </x:c>
      <x:c r="B4075" s="19" t="n">
        <x:v>9</x:v>
      </x:c>
      <x:c r="C4075" s="19" t="n">
        <x:v>1</x:v>
      </x:c>
      <x:c r="D4075" s="19" t="str">
        <x:v>C09-M008</x:v>
      </x:c>
      <x:c r="E4075" s="19" t="str">
        <x:v>逆风驿骑</x:v>
      </x:c>
      <x:c r="F4075" s="19" t="str">
        <x:v>稀有</x:v>
      </x:c>
      <x:c r="G4075" s="19" t="str">
        <x:v>材料独立候选</x:v>
      </x:c>
      <x:c r="H4075" s="19" t="str">
        <x:v>黄金树芽</x:v>
      </x:c>
      <x:c r="I4075" s="22" t="n">
        <x:v>12000</x:v>
      </x:c>
      <x:c r="J4075" s="22" t="n">
        <x:v>1</x:v>
      </x:c>
      <x:c r="K4075" s="19" t="n">
        <x:v>1</x:v>
      </x:c>
      <x:c r="L4075" s="24" t="n">
        <x:v>62.474999999999994</x:v>
      </x:c>
      <x:c r="M4075" s="26" t="n">
        <x:v>0.1</x:v>
      </x:c>
      <x:c r="N4075" s="24" t="n">
        <x:v>12</x:v>
      </x:c>
      <x:c r="O4075" s="28" t="n">
        <x:f>MIN(1,L4075/I4075)</x:f>
        <x:v>0.00520625</x:v>
      </x:c>
      <x:c r="P4075" s="30" t="n">
        <x:f>O4075*J4075*(1+M4075)</x:f>
        <x:v>0.005726875</x:v>
      </x:c>
      <x:c r="Q4075" s="30" t="n">
        <x:f>P4075*N4075</x:f>
        <x:v>0.0687225</x:v>
      </x:c>
      <x:c r="R4075" s="19" t="str">
        <x:v>独立判定</x:v>
      </x:c>
    </x:row>
    <x:row r="4076" ht="19" customHeight="1">
      <x:c r="A4076" s="19" t="str">
        <x:v>D04072</x:v>
      </x:c>
      <x:c r="B4076" s="19" t="n">
        <x:v>9</x:v>
      </x:c>
      <x:c r="C4076" s="19" t="n">
        <x:v>1</x:v>
      </x:c>
      <x:c r="D4076" s="19" t="str">
        <x:v>C09-M008</x:v>
      </x:c>
      <x:c r="E4076" s="19" t="str">
        <x:v>逆风驿骑</x:v>
      </x:c>
      <x:c r="F4076" s="19" t="str">
        <x:v>稀有</x:v>
      </x:c>
      <x:c r="G4076" s="19" t="str">
        <x:v>材料独立候选</x:v>
      </x:c>
      <x:c r="H4076" s="19" t="str">
        <x:v>野兽骨片</x:v>
      </x:c>
      <x:c r="I4076" s="22" t="n">
        <x:v>200</x:v>
      </x:c>
      <x:c r="J4076" s="22" t="n">
        <x:v>5</x:v>
      </x:c>
      <x:c r="K4076" s="19" t="n">
        <x:v>1</x:v>
      </x:c>
      <x:c r="L4076" s="24" t="n">
        <x:v>62.474999999999994</x:v>
      </x:c>
      <x:c r="M4076" s="26" t="n">
        <x:v>0.1</x:v>
      </x:c>
      <x:c r="N4076" s="24" t="n">
        <x:v>12</x:v>
      </x:c>
      <x:c r="O4076" s="28" t="n">
        <x:f>MIN(1,L4076/I4076)</x:f>
        <x:v>0.31237499999999996</x:v>
      </x:c>
      <x:c r="P4076" s="30" t="n">
        <x:f>O4076*J4076*(1+M4076)</x:f>
        <x:v>1.7180624999999998</x:v>
      </x:c>
      <x:c r="Q4076" s="30" t="n">
        <x:f>P4076*N4076</x:f>
        <x:v>20.616749999999996</x:v>
      </x:c>
      <x:c r="R4076" s="19" t="str">
        <x:v>独立判定</x:v>
      </x:c>
    </x:row>
    <x:row r="4077" ht="19" customHeight="1">
      <x:c r="A4077" s="19" t="str">
        <x:v>D04073</x:v>
      </x:c>
      <x:c r="B4077" s="19" t="n">
        <x:v>9</x:v>
      </x:c>
      <x:c r="C4077" s="19" t="n">
        <x:v>1</x:v>
      </x:c>
      <x:c r="D4077" s="19" t="str">
        <x:v>C09-M008</x:v>
      </x:c>
      <x:c r="E4077" s="19" t="str">
        <x:v>逆风驿骑</x:v>
      </x:c>
      <x:c r="F4077" s="19" t="str">
        <x:v>稀有</x:v>
      </x:c>
      <x:c r="G4077" s="19" t="str">
        <x:v>材料独立候选</x:v>
      </x:c>
      <x:c r="H4077" s="19" t="str">
        <x:v>技能残页</x:v>
      </x:c>
      <x:c r="I4077" s="22" t="n">
        <x:v>1800</x:v>
      </x:c>
      <x:c r="J4077" s="22" t="n">
        <x:v>1</x:v>
      </x:c>
      <x:c r="K4077" s="19" t="n">
        <x:v>1</x:v>
      </x:c>
      <x:c r="L4077" s="24" t="n">
        <x:v>62.474999999999994</x:v>
      </x:c>
      <x:c r="M4077" s="26" t="n">
        <x:v>0.1</x:v>
      </x:c>
      <x:c r="N4077" s="24" t="n">
        <x:v>12</x:v>
      </x:c>
      <x:c r="O4077" s="28" t="n">
        <x:f>MIN(1,L4077/I4077)</x:f>
        <x:v>0.03470833333333333</x:v>
      </x:c>
      <x:c r="P4077" s="30" t="n">
        <x:f>O4077*J4077*(1+M4077)</x:f>
        <x:v>0.03817916666666666</x:v>
      </x:c>
      <x:c r="Q4077" s="30" t="n">
        <x:f>P4077*N4077</x:f>
        <x:v>0.45814999999999995</x:v>
      </x:c>
      <x:c r="R4077" s="19" t="str">
        <x:v>独立判定</x:v>
      </x:c>
    </x:row>
    <x:row r="4078" ht="19" customHeight="1">
      <x:c r="A4078" s="19" t="str">
        <x:v>D04074</x:v>
      </x:c>
      <x:c r="B4078" s="19" t="n">
        <x:v>9</x:v>
      </x:c>
      <x:c r="C4078" s="19" t="n">
        <x:v>1</x:v>
      </x:c>
      <x:c r="D4078" s="19" t="str">
        <x:v>C09-M008</x:v>
      </x:c>
      <x:c r="E4078" s="19" t="str">
        <x:v>逆风驿骑</x:v>
      </x:c>
      <x:c r="F4078" s="19" t="str">
        <x:v>稀有</x:v>
      </x:c>
      <x:c r="G4078" s="19" t="str">
        <x:v>材料独立候选</x:v>
      </x:c>
      <x:c r="H4078" s="19" t="str">
        <x:v>小卢恩</x:v>
      </x:c>
      <x:c r="I4078" s="22" t="n">
        <x:v>12000</x:v>
      </x:c>
      <x:c r="J4078" s="22" t="n">
        <x:v>1</x:v>
      </x:c>
      <x:c r="K4078" s="19" t="n">
        <x:v>1</x:v>
      </x:c>
      <x:c r="L4078" s="24" t="n">
        <x:v>62.474999999999994</x:v>
      </x:c>
      <x:c r="M4078" s="26" t="n">
        <x:v>0.1</x:v>
      </x:c>
      <x:c r="N4078" s="24" t="n">
        <x:v>12</x:v>
      </x:c>
      <x:c r="O4078" s="28" t="n">
        <x:f>MIN(1,L4078/I4078)</x:f>
        <x:v>0.00520625</x:v>
      </x:c>
      <x:c r="P4078" s="30" t="n">
        <x:f>O4078*J4078*(1+M4078)</x:f>
        <x:v>0.005726875</x:v>
      </x:c>
      <x:c r="Q4078" s="30" t="n">
        <x:f>P4078*N4078</x:f>
        <x:v>0.0687225</x:v>
      </x:c>
      <x:c r="R4078" s="19" t="str">
        <x:v>独立判定</x:v>
      </x:c>
    </x:row>
    <x:row r="4079" ht="19" customHeight="1">
      <x:c r="A4079" s="19" t="str">
        <x:v>D04075</x:v>
      </x:c>
      <x:c r="B4079" s="19" t="n">
        <x:v>9</x:v>
      </x:c>
      <x:c r="C4079" s="19" t="n">
        <x:v>1</x:v>
      </x:c>
      <x:c r="D4079" s="19" t="str">
        <x:v>C09-M008</x:v>
      </x:c>
      <x:c r="E4079" s="19" t="str">
        <x:v>逆风驿骑</x:v>
      </x:c>
      <x:c r="F4079" s="19" t="str">
        <x:v>稀有</x:v>
      </x:c>
      <x:c r="G4079" s="19" t="str">
        <x:v>六神器公共池</x:v>
      </x:c>
      <x:c r="H4079" s="19" t="str">
        <x:v>POOL006</x:v>
      </x:c>
      <x:c r="I4079" s="22" t="n">
        <x:v>5000000</x:v>
      </x:c>
      <x:c r="J4079" s="22" t="n">
        <x:v>1</x:v>
      </x:c>
      <x:c r="K4079" s="19" t="n">
        <x:v>6</x:v>
      </x:c>
      <x:c r="L4079" s="24" t="n">
        <x:v>62.474999999999994</x:v>
      </x:c>
      <x:c r="M4079" s="26" t="n">
        <x:v>0.1</x:v>
      </x:c>
      <x:c r="N4079" s="24" t="n">
        <x:v>12</x:v>
      </x:c>
      <x:c r="O4079" s="28" t="n">
        <x:f>MIN(1,L4079/I4079)</x:f>
        <x:v>0.000012494999999999998</x:v>
      </x:c>
      <x:c r="P4079" s="30" t="n">
        <x:f>O4079*J4079*(1+M4079)</x:f>
        <x:v>0.000013744499999999999</x:v>
      </x:c>
      <x:c r="Q4079" s="30" t="n">
        <x:f>P4079*N4079</x:f>
        <x:v>0.000164934</x:v>
      </x:c>
      <x:c r="R4079" s="19" t="str">
        <x:v>六选一；非6个独立爆率</x:v>
      </x:c>
    </x:row>
    <x:row r="4080" ht="19" customHeight="1">
      <x:c r="A4080" s="19" t="str">
        <x:v>D04076</x:v>
      </x:c>
      <x:c r="B4080" s="19" t="n">
        <x:v>9</x:v>
      </x:c>
      <x:c r="C4080" s="19" t="n">
        <x:v>1</x:v>
      </x:c>
      <x:c r="D4080" s="19" t="str">
        <x:v>C09-M009</x:v>
      </x:c>
      <x:c r="E4080" s="19" t="str">
        <x:v>守陵金颚兽</x:v>
      </x:c>
      <x:c r="F4080" s="19" t="str">
        <x:v>稀有</x:v>
      </x:c>
      <x:c r="G4080" s="19" t="str">
        <x:v>自身专属</x:v>
      </x:c>
      <x:c r="H4080" s="19" t="str">
        <x:v>金颚守陵镯</x:v>
      </x:c>
      <x:c r="I4080" s="22" t="n">
        <x:v>1800</x:v>
      </x:c>
      <x:c r="J4080" s="22" t="n">
        <x:v>1</x:v>
      </x:c>
      <x:c r="K4080" s="19" t="n">
        <x:v>1</x:v>
      </x:c>
      <x:c r="L4080" s="24" t="n">
        <x:v>62.474999999999994</x:v>
      </x:c>
      <x:c r="M4080" s="26" t="n">
        <x:v>0.1</x:v>
      </x:c>
      <x:c r="N4080" s="24" t="n">
        <x:v>12</x:v>
      </x:c>
      <x:c r="O4080" s="28" t="n">
        <x:f>MIN(1,L4080/I4080)</x:f>
        <x:v>0.03470833333333333</x:v>
      </x:c>
      <x:c r="P4080" s="30" t="n">
        <x:f>O4080*J4080*(1+M4080)</x:f>
        <x:v>0.03817916666666666</x:v>
      </x:c>
      <x:c r="Q4080" s="30" t="n">
        <x:f>P4080*N4080</x:f>
        <x:v>0.45814999999999995</x:v>
      </x:c>
      <x:c r="R4080" s="19" t="str">
        <x:v>独立判定</x:v>
      </x:c>
    </x:row>
    <x:row r="4081" ht="19" customHeight="1">
      <x:c r="A4081" s="19" t="str">
        <x:v>D04077</x:v>
      </x:c>
      <x:c r="B4081" s="19" t="n">
        <x:v>9</x:v>
      </x:c>
      <x:c r="C4081" s="19" t="n">
        <x:v>1</x:v>
      </x:c>
      <x:c r="D4081" s="19" t="str">
        <x:v>C09-M009</x:v>
      </x:c>
      <x:c r="E4081" s="19" t="str">
        <x:v>守陵金颚兽</x:v>
      </x:c>
      <x:c r="F4081" s="19" t="str">
        <x:v>稀有</x:v>
      </x:c>
      <x:c r="G4081" s="19" t="str">
        <x:v>材料独立候选</x:v>
      </x:c>
      <x:c r="H4081" s="19" t="str">
        <x:v>黄金叶脉</x:v>
      </x:c>
      <x:c r="I4081" s="22" t="n">
        <x:v>1000</x:v>
      </x:c>
      <x:c r="J4081" s="22" t="n">
        <x:v>15</x:v>
      </x:c>
      <x:c r="K4081" s="19" t="n">
        <x:v>1</x:v>
      </x:c>
      <x:c r="L4081" s="24" t="n">
        <x:v>62.474999999999994</x:v>
      </x:c>
      <x:c r="M4081" s="26" t="n">
        <x:v>0.1</x:v>
      </x:c>
      <x:c r="N4081" s="24" t="n">
        <x:v>12</x:v>
      </x:c>
      <x:c r="O4081" s="28" t="n">
        <x:f>MIN(1,L4081/I4081)</x:f>
        <x:v>0.062474999999999996</x:v>
      </x:c>
      <x:c r="P4081" s="30" t="n">
        <x:f>O4081*J4081*(1+M4081)</x:f>
        <x:v>1.0308375</x:v>
      </x:c>
      <x:c r="Q4081" s="30" t="n">
        <x:f>P4081*N4081</x:f>
        <x:v>12.37005</x:v>
      </x:c>
      <x:c r="R4081" s="19" t="str">
        <x:v>独立判定</x:v>
      </x:c>
    </x:row>
    <x:row r="4082" ht="19" customHeight="1">
      <x:c r="A4082" s="19" t="str">
        <x:v>D04078</x:v>
      </x:c>
      <x:c r="B4082" s="19" t="n">
        <x:v>9</x:v>
      </x:c>
      <x:c r="C4082" s="19" t="n">
        <x:v>1</x:v>
      </x:c>
      <x:c r="D4082" s="19" t="str">
        <x:v>C09-M009</x:v>
      </x:c>
      <x:c r="E4082" s="19" t="str">
        <x:v>守陵金颚兽</x:v>
      </x:c>
      <x:c r="F4082" s="19" t="str">
        <x:v>稀有</x:v>
      </x:c>
      <x:c r="G4082" s="19" t="str">
        <x:v>材料独立候选</x:v>
      </x:c>
      <x:c r="H4082" s="19" t="str">
        <x:v>古王律页</x:v>
      </x:c>
      <x:c r="I4082" s="22" t="n">
        <x:v>1000</x:v>
      </x:c>
      <x:c r="J4082" s="22" t="n">
        <x:v>1</x:v>
      </x:c>
      <x:c r="K4082" s="19" t="n">
        <x:v>1</x:v>
      </x:c>
      <x:c r="L4082" s="24" t="n">
        <x:v>62.474999999999994</x:v>
      </x:c>
      <x:c r="M4082" s="26" t="n">
        <x:v>0.1</x:v>
      </x:c>
      <x:c r="N4082" s="24" t="n">
        <x:v>12</x:v>
      </x:c>
      <x:c r="O4082" s="28" t="n">
        <x:f>MIN(1,L4082/I4082)</x:f>
        <x:v>0.062474999999999996</x:v>
      </x:c>
      <x:c r="P4082" s="30" t="n">
        <x:f>O4082*J4082*(1+M4082)</x:f>
        <x:v>0.0687225</x:v>
      </x:c>
      <x:c r="Q4082" s="30" t="n">
        <x:f>P4082*N4082</x:f>
        <x:v>0.82467</x:v>
      </x:c>
      <x:c r="R4082" s="19" t="str">
        <x:v>独立判定</x:v>
      </x:c>
    </x:row>
    <x:row r="4083" ht="19" customHeight="1">
      <x:c r="A4083" s="19" t="str">
        <x:v>D04079</x:v>
      </x:c>
      <x:c r="B4083" s="19" t="n">
        <x:v>9</x:v>
      </x:c>
      <x:c r="C4083" s="19" t="n">
        <x:v>1</x:v>
      </x:c>
      <x:c r="D4083" s="19" t="str">
        <x:v>C09-M009</x:v>
      </x:c>
      <x:c r="E4083" s="19" t="str">
        <x:v>守陵金颚兽</x:v>
      </x:c>
      <x:c r="F4083" s="19" t="str">
        <x:v>稀有</x:v>
      </x:c>
      <x:c r="G4083" s="19" t="str">
        <x:v>材料独立候选</x:v>
      </x:c>
      <x:c r="H4083" s="19" t="str">
        <x:v>矿脉灯芯</x:v>
      </x:c>
      <x:c r="I4083" s="22" t="n">
        <x:v>5000</x:v>
      </x:c>
      <x:c r="J4083" s="22" t="n">
        <x:v>1</x:v>
      </x:c>
      <x:c r="K4083" s="19" t="n">
        <x:v>1</x:v>
      </x:c>
      <x:c r="L4083" s="24" t="n">
        <x:v>62.474999999999994</x:v>
      </x:c>
      <x:c r="M4083" s="26" t="n">
        <x:v>0.1</x:v>
      </x:c>
      <x:c r="N4083" s="24" t="n">
        <x:v>12</x:v>
      </x:c>
      <x:c r="O4083" s="28" t="n">
        <x:f>MIN(1,L4083/I4083)</x:f>
        <x:v>0.012495</x:v>
      </x:c>
      <x:c r="P4083" s="30" t="n">
        <x:f>O4083*J4083*(1+M4083)</x:f>
        <x:v>0.0137445</x:v>
      </x:c>
      <x:c r="Q4083" s="30" t="n">
        <x:f>P4083*N4083</x:f>
        <x:v>0.164934</x:v>
      </x:c>
      <x:c r="R4083" s="19" t="str">
        <x:v>独立判定</x:v>
      </x:c>
    </x:row>
    <x:row r="4084" ht="19" customHeight="1">
      <x:c r="A4084" s="19" t="str">
        <x:v>D04080</x:v>
      </x:c>
      <x:c r="B4084" s="19" t="n">
        <x:v>9</x:v>
      </x:c>
      <x:c r="C4084" s="19" t="n">
        <x:v>1</x:v>
      </x:c>
      <x:c r="D4084" s="19" t="str">
        <x:v>C09-M009</x:v>
      </x:c>
      <x:c r="E4084" s="19" t="str">
        <x:v>守陵金颚兽</x:v>
      </x:c>
      <x:c r="F4084" s="19" t="str">
        <x:v>稀有</x:v>
      </x:c>
      <x:c r="G4084" s="19" t="str">
        <x:v>材料独立候选</x:v>
      </x:c>
      <x:c r="H4084" s="19" t="str">
        <x:v>古坛鎏叶髓</x:v>
      </x:c>
      <x:c r="I4084" s="22" t="n">
        <x:v>1800000</x:v>
      </x:c>
      <x:c r="J4084" s="22" t="n">
        <x:v>1</x:v>
      </x:c>
      <x:c r="K4084" s="19" t="n">
        <x:v>1</x:v>
      </x:c>
      <x:c r="L4084" s="24" t="n">
        <x:v>62.474999999999994</x:v>
      </x:c>
      <x:c r="M4084" s="26" t="n">
        <x:v>0.1</x:v>
      </x:c>
      <x:c r="N4084" s="24" t="n">
        <x:v>12</x:v>
      </x:c>
      <x:c r="O4084" s="28" t="n">
        <x:f>MIN(1,L4084/I4084)</x:f>
        <x:v>0.00003470833333333333</x:v>
      </x:c>
      <x:c r="P4084" s="30" t="n">
        <x:f>O4084*J4084*(1+M4084)</x:f>
        <x:v>0.00003817916666666666</x:v>
      </x:c>
      <x:c r="Q4084" s="30" t="n">
        <x:f>P4084*N4084</x:f>
        <x:v>0.00045814999999999994</x:v>
      </x:c>
      <x:c r="R4084" s="19" t="str">
        <x:v>独立判定</x:v>
      </x:c>
    </x:row>
    <x:row r="4085" ht="19" customHeight="1">
      <x:c r="A4085" s="19" t="str">
        <x:v>D04081</x:v>
      </x:c>
      <x:c r="B4085" s="19" t="n">
        <x:v>9</x:v>
      </x:c>
      <x:c r="C4085" s="19" t="n">
        <x:v>1</x:v>
      </x:c>
      <x:c r="D4085" s="19" t="str">
        <x:v>C09-M009</x:v>
      </x:c>
      <x:c r="E4085" s="19" t="str">
        <x:v>守陵金颚兽</x:v>
      </x:c>
      <x:c r="F4085" s="19" t="str">
        <x:v>稀有</x:v>
      </x:c>
      <x:c r="G4085" s="19" t="str">
        <x:v>材料独立候选</x:v>
      </x:c>
      <x:c r="H4085" s="19" t="str">
        <x:v>黄金树芽</x:v>
      </x:c>
      <x:c r="I4085" s="22" t="n">
        <x:v>12000</x:v>
      </x:c>
      <x:c r="J4085" s="22" t="n">
        <x:v>1</x:v>
      </x:c>
      <x:c r="K4085" s="19" t="n">
        <x:v>1</x:v>
      </x:c>
      <x:c r="L4085" s="24" t="n">
        <x:v>62.474999999999994</x:v>
      </x:c>
      <x:c r="M4085" s="26" t="n">
        <x:v>0.1</x:v>
      </x:c>
      <x:c r="N4085" s="24" t="n">
        <x:v>12</x:v>
      </x:c>
      <x:c r="O4085" s="28" t="n">
        <x:f>MIN(1,L4085/I4085)</x:f>
        <x:v>0.00520625</x:v>
      </x:c>
      <x:c r="P4085" s="30" t="n">
        <x:f>O4085*J4085*(1+M4085)</x:f>
        <x:v>0.005726875</x:v>
      </x:c>
      <x:c r="Q4085" s="30" t="n">
        <x:f>P4085*N4085</x:f>
        <x:v>0.0687225</x:v>
      </x:c>
      <x:c r="R4085" s="19" t="str">
        <x:v>独立判定</x:v>
      </x:c>
    </x:row>
    <x:row r="4086" ht="19" customHeight="1">
      <x:c r="A4086" s="19" t="str">
        <x:v>D04082</x:v>
      </x:c>
      <x:c r="B4086" s="19" t="n">
        <x:v>9</x:v>
      </x:c>
      <x:c r="C4086" s="19" t="n">
        <x:v>1</x:v>
      </x:c>
      <x:c r="D4086" s="19" t="str">
        <x:v>C09-M009</x:v>
      </x:c>
      <x:c r="E4086" s="19" t="str">
        <x:v>守陵金颚兽</x:v>
      </x:c>
      <x:c r="F4086" s="19" t="str">
        <x:v>稀有</x:v>
      </x:c>
      <x:c r="G4086" s="19" t="str">
        <x:v>材料独立候选</x:v>
      </x:c>
      <x:c r="H4086" s="19" t="str">
        <x:v>野兽骨片</x:v>
      </x:c>
      <x:c r="I4086" s="22" t="n">
        <x:v>200</x:v>
      </x:c>
      <x:c r="J4086" s="22" t="n">
        <x:v>5</x:v>
      </x:c>
      <x:c r="K4086" s="19" t="n">
        <x:v>1</x:v>
      </x:c>
      <x:c r="L4086" s="24" t="n">
        <x:v>62.474999999999994</x:v>
      </x:c>
      <x:c r="M4086" s="26" t="n">
        <x:v>0.1</x:v>
      </x:c>
      <x:c r="N4086" s="24" t="n">
        <x:v>12</x:v>
      </x:c>
      <x:c r="O4086" s="28" t="n">
        <x:f>MIN(1,L4086/I4086)</x:f>
        <x:v>0.31237499999999996</x:v>
      </x:c>
      <x:c r="P4086" s="30" t="n">
        <x:f>O4086*J4086*(1+M4086)</x:f>
        <x:v>1.7180624999999998</x:v>
      </x:c>
      <x:c r="Q4086" s="30" t="n">
        <x:f>P4086*N4086</x:f>
        <x:v>20.616749999999996</x:v>
      </x:c>
      <x:c r="R4086" s="19" t="str">
        <x:v>独立判定</x:v>
      </x:c>
    </x:row>
    <x:row r="4087" ht="19" customHeight="1">
      <x:c r="A4087" s="19" t="str">
        <x:v>D04083</x:v>
      </x:c>
      <x:c r="B4087" s="19" t="n">
        <x:v>9</x:v>
      </x:c>
      <x:c r="C4087" s="19" t="n">
        <x:v>1</x:v>
      </x:c>
      <x:c r="D4087" s="19" t="str">
        <x:v>C09-M009</x:v>
      </x:c>
      <x:c r="E4087" s="19" t="str">
        <x:v>守陵金颚兽</x:v>
      </x:c>
      <x:c r="F4087" s="19" t="str">
        <x:v>稀有</x:v>
      </x:c>
      <x:c r="G4087" s="19" t="str">
        <x:v>材料独立候选</x:v>
      </x:c>
      <x:c r="H4087" s="19" t="str">
        <x:v>技能残页</x:v>
      </x:c>
      <x:c r="I4087" s="22" t="n">
        <x:v>1800</x:v>
      </x:c>
      <x:c r="J4087" s="22" t="n">
        <x:v>1</x:v>
      </x:c>
      <x:c r="K4087" s="19" t="n">
        <x:v>1</x:v>
      </x:c>
      <x:c r="L4087" s="24" t="n">
        <x:v>62.474999999999994</x:v>
      </x:c>
      <x:c r="M4087" s="26" t="n">
        <x:v>0.1</x:v>
      </x:c>
      <x:c r="N4087" s="24" t="n">
        <x:v>12</x:v>
      </x:c>
      <x:c r="O4087" s="28" t="n">
        <x:f>MIN(1,L4087/I4087)</x:f>
        <x:v>0.03470833333333333</x:v>
      </x:c>
      <x:c r="P4087" s="30" t="n">
        <x:f>O4087*J4087*(1+M4087)</x:f>
        <x:v>0.03817916666666666</x:v>
      </x:c>
      <x:c r="Q4087" s="30" t="n">
        <x:f>P4087*N4087</x:f>
        <x:v>0.45814999999999995</x:v>
      </x:c>
      <x:c r="R4087" s="19" t="str">
        <x:v>独立判定</x:v>
      </x:c>
    </x:row>
    <x:row r="4088" ht="19" customHeight="1">
      <x:c r="A4088" s="19" t="str">
        <x:v>D04084</x:v>
      </x:c>
      <x:c r="B4088" s="19" t="n">
        <x:v>9</x:v>
      </x:c>
      <x:c r="C4088" s="19" t="n">
        <x:v>1</x:v>
      </x:c>
      <x:c r="D4088" s="19" t="str">
        <x:v>C09-M009</x:v>
      </x:c>
      <x:c r="E4088" s="19" t="str">
        <x:v>守陵金颚兽</x:v>
      </x:c>
      <x:c r="F4088" s="19" t="str">
        <x:v>稀有</x:v>
      </x:c>
      <x:c r="G4088" s="19" t="str">
        <x:v>材料独立候选</x:v>
      </x:c>
      <x:c r="H4088" s="19" t="str">
        <x:v>小卢恩</x:v>
      </x:c>
      <x:c r="I4088" s="22" t="n">
        <x:v>12000</x:v>
      </x:c>
      <x:c r="J4088" s="22" t="n">
        <x:v>1</x:v>
      </x:c>
      <x:c r="K4088" s="19" t="n">
        <x:v>1</x:v>
      </x:c>
      <x:c r="L4088" s="24" t="n">
        <x:v>62.474999999999994</x:v>
      </x:c>
      <x:c r="M4088" s="26" t="n">
        <x:v>0.1</x:v>
      </x:c>
      <x:c r="N4088" s="24" t="n">
        <x:v>12</x:v>
      </x:c>
      <x:c r="O4088" s="28" t="n">
        <x:f>MIN(1,L4088/I4088)</x:f>
        <x:v>0.00520625</x:v>
      </x:c>
      <x:c r="P4088" s="30" t="n">
        <x:f>O4088*J4088*(1+M4088)</x:f>
        <x:v>0.005726875</x:v>
      </x:c>
      <x:c r="Q4088" s="30" t="n">
        <x:f>P4088*N4088</x:f>
        <x:v>0.0687225</x:v>
      </x:c>
      <x:c r="R4088" s="19" t="str">
        <x:v>独立判定</x:v>
      </x:c>
    </x:row>
    <x:row r="4089" ht="19" customHeight="1">
      <x:c r="A4089" s="19" t="str">
        <x:v>D04085</x:v>
      </x:c>
      <x:c r="B4089" s="19" t="n">
        <x:v>9</x:v>
      </x:c>
      <x:c r="C4089" s="19" t="n">
        <x:v>1</x:v>
      </x:c>
      <x:c r="D4089" s="19" t="str">
        <x:v>C09-M009</x:v>
      </x:c>
      <x:c r="E4089" s="19" t="str">
        <x:v>守陵金颚兽</x:v>
      </x:c>
      <x:c r="F4089" s="19" t="str">
        <x:v>稀有</x:v>
      </x:c>
      <x:c r="G4089" s="19" t="str">
        <x:v>六神器公共池</x:v>
      </x:c>
      <x:c r="H4089" s="19" t="str">
        <x:v>POOL006</x:v>
      </x:c>
      <x:c r="I4089" s="22" t="n">
        <x:v>5000000</x:v>
      </x:c>
      <x:c r="J4089" s="22" t="n">
        <x:v>1</x:v>
      </x:c>
      <x:c r="K4089" s="19" t="n">
        <x:v>6</x:v>
      </x:c>
      <x:c r="L4089" s="24" t="n">
        <x:v>62.474999999999994</x:v>
      </x:c>
      <x:c r="M4089" s="26" t="n">
        <x:v>0.1</x:v>
      </x:c>
      <x:c r="N4089" s="24" t="n">
        <x:v>12</x:v>
      </x:c>
      <x:c r="O4089" s="28" t="n">
        <x:f>MIN(1,L4089/I4089)</x:f>
        <x:v>0.000012494999999999998</x:v>
      </x:c>
      <x:c r="P4089" s="30" t="n">
        <x:f>O4089*J4089*(1+M4089)</x:f>
        <x:v>0.000013744499999999999</x:v>
      </x:c>
      <x:c r="Q4089" s="30" t="n">
        <x:f>P4089*N4089</x:f>
        <x:v>0.000164934</x:v>
      </x:c>
      <x:c r="R4089" s="19" t="str">
        <x:v>六选一；非6个独立爆率</x:v>
      </x:c>
    </x:row>
    <x:row r="4090" ht="19" customHeight="1">
      <x:c r="A4090" s="19" t="str">
        <x:v>D04086</x:v>
      </x:c>
      <x:c r="B4090" s="19" t="n">
        <x:v>9</x:v>
      </x:c>
      <x:c r="C4090" s="19" t="n">
        <x:v>1</x:v>
      </x:c>
      <x:c r="D4090" s="19" t="str">
        <x:v>C09-M010</x:v>
      </x:c>
      <x:c r="E4090" s="19" t="str">
        <x:v>古王献梦者</x:v>
      </x:c>
      <x:c r="F4090" s="19" t="str">
        <x:v>稀有</x:v>
      </x:c>
      <x:c r="G4090" s="19" t="str">
        <x:v>自身专属</x:v>
      </x:c>
      <x:c r="H4090" s="19" t="str">
        <x:v>献梦琥金戒</x:v>
      </x:c>
      <x:c r="I4090" s="22" t="n">
        <x:v>1800</x:v>
      </x:c>
      <x:c r="J4090" s="22" t="n">
        <x:v>1</x:v>
      </x:c>
      <x:c r="K4090" s="19" t="n">
        <x:v>1</x:v>
      </x:c>
      <x:c r="L4090" s="24" t="n">
        <x:v>62.474999999999994</x:v>
      </x:c>
      <x:c r="M4090" s="26" t="n">
        <x:v>0.1</x:v>
      </x:c>
      <x:c r="N4090" s="24" t="n">
        <x:v>12</x:v>
      </x:c>
      <x:c r="O4090" s="28" t="n">
        <x:f>MIN(1,L4090/I4090)</x:f>
        <x:v>0.03470833333333333</x:v>
      </x:c>
      <x:c r="P4090" s="30" t="n">
        <x:f>O4090*J4090*(1+M4090)</x:f>
        <x:v>0.03817916666666666</x:v>
      </x:c>
      <x:c r="Q4090" s="30" t="n">
        <x:f>P4090*N4090</x:f>
        <x:v>0.45814999999999995</x:v>
      </x:c>
      <x:c r="R4090" s="19" t="str">
        <x:v>独立判定</x:v>
      </x:c>
    </x:row>
    <x:row r="4091" ht="19" customHeight="1">
      <x:c r="A4091" s="19" t="str">
        <x:v>D04087</x:v>
      </x:c>
      <x:c r="B4091" s="19" t="n">
        <x:v>9</x:v>
      </x:c>
      <x:c r="C4091" s="19" t="n">
        <x:v>1</x:v>
      </x:c>
      <x:c r="D4091" s="19" t="str">
        <x:v>C09-M010</x:v>
      </x:c>
      <x:c r="E4091" s="19" t="str">
        <x:v>古王献梦者</x:v>
      </x:c>
      <x:c r="F4091" s="19" t="str">
        <x:v>稀有</x:v>
      </x:c>
      <x:c r="G4091" s="19" t="str">
        <x:v>材料独立候选</x:v>
      </x:c>
      <x:c r="H4091" s="19" t="str">
        <x:v>黄金叶脉</x:v>
      </x:c>
      <x:c r="I4091" s="22" t="n">
        <x:v>1000</x:v>
      </x:c>
      <x:c r="J4091" s="22" t="n">
        <x:v>15</x:v>
      </x:c>
      <x:c r="K4091" s="19" t="n">
        <x:v>1</x:v>
      </x:c>
      <x:c r="L4091" s="24" t="n">
        <x:v>62.474999999999994</x:v>
      </x:c>
      <x:c r="M4091" s="26" t="n">
        <x:v>0.1</x:v>
      </x:c>
      <x:c r="N4091" s="24" t="n">
        <x:v>12</x:v>
      </x:c>
      <x:c r="O4091" s="28" t="n">
        <x:f>MIN(1,L4091/I4091)</x:f>
        <x:v>0.062474999999999996</x:v>
      </x:c>
      <x:c r="P4091" s="30" t="n">
        <x:f>O4091*J4091*(1+M4091)</x:f>
        <x:v>1.0308375</x:v>
      </x:c>
      <x:c r="Q4091" s="30" t="n">
        <x:f>P4091*N4091</x:f>
        <x:v>12.37005</x:v>
      </x:c>
      <x:c r="R4091" s="19" t="str">
        <x:v>独立判定</x:v>
      </x:c>
    </x:row>
    <x:row r="4092" ht="19" customHeight="1">
      <x:c r="A4092" s="19" t="str">
        <x:v>D04088</x:v>
      </x:c>
      <x:c r="B4092" s="19" t="n">
        <x:v>9</x:v>
      </x:c>
      <x:c r="C4092" s="19" t="n">
        <x:v>1</x:v>
      </x:c>
      <x:c r="D4092" s="19" t="str">
        <x:v>C09-M010</x:v>
      </x:c>
      <x:c r="E4092" s="19" t="str">
        <x:v>古王献梦者</x:v>
      </x:c>
      <x:c r="F4092" s="19" t="str">
        <x:v>稀有</x:v>
      </x:c>
      <x:c r="G4092" s="19" t="str">
        <x:v>材料独立候选</x:v>
      </x:c>
      <x:c r="H4092" s="19" t="str">
        <x:v>古王律页</x:v>
      </x:c>
      <x:c r="I4092" s="22" t="n">
        <x:v>1000</x:v>
      </x:c>
      <x:c r="J4092" s="22" t="n">
        <x:v>1</x:v>
      </x:c>
      <x:c r="K4092" s="19" t="n">
        <x:v>1</x:v>
      </x:c>
      <x:c r="L4092" s="24" t="n">
        <x:v>62.474999999999994</x:v>
      </x:c>
      <x:c r="M4092" s="26" t="n">
        <x:v>0.1</x:v>
      </x:c>
      <x:c r="N4092" s="24" t="n">
        <x:v>12</x:v>
      </x:c>
      <x:c r="O4092" s="28" t="n">
        <x:f>MIN(1,L4092/I4092)</x:f>
        <x:v>0.062474999999999996</x:v>
      </x:c>
      <x:c r="P4092" s="30" t="n">
        <x:f>O4092*J4092*(1+M4092)</x:f>
        <x:v>0.0687225</x:v>
      </x:c>
      <x:c r="Q4092" s="30" t="n">
        <x:f>P4092*N4092</x:f>
        <x:v>0.82467</x:v>
      </x:c>
      <x:c r="R4092" s="19" t="str">
        <x:v>独立判定</x:v>
      </x:c>
    </x:row>
    <x:row r="4093" ht="19" customHeight="1">
      <x:c r="A4093" s="19" t="str">
        <x:v>D04089</x:v>
      </x:c>
      <x:c r="B4093" s="19" t="n">
        <x:v>9</x:v>
      </x:c>
      <x:c r="C4093" s="19" t="n">
        <x:v>1</x:v>
      </x:c>
      <x:c r="D4093" s="19" t="str">
        <x:v>C09-M010</x:v>
      </x:c>
      <x:c r="E4093" s="19" t="str">
        <x:v>古王献梦者</x:v>
      </x:c>
      <x:c r="F4093" s="19" t="str">
        <x:v>稀有</x:v>
      </x:c>
      <x:c r="G4093" s="19" t="str">
        <x:v>材料独立候选</x:v>
      </x:c>
      <x:c r="H4093" s="19" t="str">
        <x:v>矿脉灯芯</x:v>
      </x:c>
      <x:c r="I4093" s="22" t="n">
        <x:v>5000</x:v>
      </x:c>
      <x:c r="J4093" s="22" t="n">
        <x:v>1</x:v>
      </x:c>
      <x:c r="K4093" s="19" t="n">
        <x:v>1</x:v>
      </x:c>
      <x:c r="L4093" s="24" t="n">
        <x:v>62.474999999999994</x:v>
      </x:c>
      <x:c r="M4093" s="26" t="n">
        <x:v>0.1</x:v>
      </x:c>
      <x:c r="N4093" s="24" t="n">
        <x:v>12</x:v>
      </x:c>
      <x:c r="O4093" s="28" t="n">
        <x:f>MIN(1,L4093/I4093)</x:f>
        <x:v>0.012495</x:v>
      </x:c>
      <x:c r="P4093" s="30" t="n">
        <x:f>O4093*J4093*(1+M4093)</x:f>
        <x:v>0.0137445</x:v>
      </x:c>
      <x:c r="Q4093" s="30" t="n">
        <x:f>P4093*N4093</x:f>
        <x:v>0.164934</x:v>
      </x:c>
      <x:c r="R4093" s="19" t="str">
        <x:v>独立判定</x:v>
      </x:c>
    </x:row>
    <x:row r="4094" ht="19" customHeight="1">
      <x:c r="A4094" s="19" t="str">
        <x:v>D04090</x:v>
      </x:c>
      <x:c r="B4094" s="19" t="n">
        <x:v>9</x:v>
      </x:c>
      <x:c r="C4094" s="19" t="n">
        <x:v>1</x:v>
      </x:c>
      <x:c r="D4094" s="19" t="str">
        <x:v>C09-M010</x:v>
      </x:c>
      <x:c r="E4094" s="19" t="str">
        <x:v>古王献梦者</x:v>
      </x:c>
      <x:c r="F4094" s="19" t="str">
        <x:v>稀有</x:v>
      </x:c>
      <x:c r="G4094" s="19" t="str">
        <x:v>材料独立候选</x:v>
      </x:c>
      <x:c r="H4094" s="19" t="str">
        <x:v>古坛鎏叶髓</x:v>
      </x:c>
      <x:c r="I4094" s="22" t="n">
        <x:v>1800000</x:v>
      </x:c>
      <x:c r="J4094" s="22" t="n">
        <x:v>1</x:v>
      </x:c>
      <x:c r="K4094" s="19" t="n">
        <x:v>1</x:v>
      </x:c>
      <x:c r="L4094" s="24" t="n">
        <x:v>62.474999999999994</x:v>
      </x:c>
      <x:c r="M4094" s="26" t="n">
        <x:v>0.1</x:v>
      </x:c>
      <x:c r="N4094" s="24" t="n">
        <x:v>12</x:v>
      </x:c>
      <x:c r="O4094" s="28" t="n">
        <x:f>MIN(1,L4094/I4094)</x:f>
        <x:v>0.00003470833333333333</x:v>
      </x:c>
      <x:c r="P4094" s="30" t="n">
        <x:f>O4094*J4094*(1+M4094)</x:f>
        <x:v>0.00003817916666666666</x:v>
      </x:c>
      <x:c r="Q4094" s="30" t="n">
        <x:f>P4094*N4094</x:f>
        <x:v>0.00045814999999999994</x:v>
      </x:c>
      <x:c r="R4094" s="19" t="str">
        <x:v>独立判定</x:v>
      </x:c>
    </x:row>
    <x:row r="4095" ht="19" customHeight="1">
      <x:c r="A4095" s="19" t="str">
        <x:v>D04091</x:v>
      </x:c>
      <x:c r="B4095" s="19" t="n">
        <x:v>9</x:v>
      </x:c>
      <x:c r="C4095" s="19" t="n">
        <x:v>1</x:v>
      </x:c>
      <x:c r="D4095" s="19" t="str">
        <x:v>C09-M010</x:v>
      </x:c>
      <x:c r="E4095" s="19" t="str">
        <x:v>古王献梦者</x:v>
      </x:c>
      <x:c r="F4095" s="19" t="str">
        <x:v>稀有</x:v>
      </x:c>
      <x:c r="G4095" s="19" t="str">
        <x:v>材料独立候选</x:v>
      </x:c>
      <x:c r="H4095" s="19" t="str">
        <x:v>黄金树芽</x:v>
      </x:c>
      <x:c r="I4095" s="22" t="n">
        <x:v>12000</x:v>
      </x:c>
      <x:c r="J4095" s="22" t="n">
        <x:v>1</x:v>
      </x:c>
      <x:c r="K4095" s="19" t="n">
        <x:v>1</x:v>
      </x:c>
      <x:c r="L4095" s="24" t="n">
        <x:v>62.474999999999994</x:v>
      </x:c>
      <x:c r="M4095" s="26" t="n">
        <x:v>0.1</x:v>
      </x:c>
      <x:c r="N4095" s="24" t="n">
        <x:v>12</x:v>
      </x:c>
      <x:c r="O4095" s="28" t="n">
        <x:f>MIN(1,L4095/I4095)</x:f>
        <x:v>0.00520625</x:v>
      </x:c>
      <x:c r="P4095" s="30" t="n">
        <x:f>O4095*J4095*(1+M4095)</x:f>
        <x:v>0.005726875</x:v>
      </x:c>
      <x:c r="Q4095" s="30" t="n">
        <x:f>P4095*N4095</x:f>
        <x:v>0.0687225</x:v>
      </x:c>
      <x:c r="R4095" s="19" t="str">
        <x:v>独立判定</x:v>
      </x:c>
    </x:row>
    <x:row r="4096" ht="19" customHeight="1">
      <x:c r="A4096" s="19" t="str">
        <x:v>D04092</x:v>
      </x:c>
      <x:c r="B4096" s="19" t="n">
        <x:v>9</x:v>
      </x:c>
      <x:c r="C4096" s="19" t="n">
        <x:v>1</x:v>
      </x:c>
      <x:c r="D4096" s="19" t="str">
        <x:v>C09-M010</x:v>
      </x:c>
      <x:c r="E4096" s="19" t="str">
        <x:v>古王献梦者</x:v>
      </x:c>
      <x:c r="F4096" s="19" t="str">
        <x:v>稀有</x:v>
      </x:c>
      <x:c r="G4096" s="19" t="str">
        <x:v>材料独立候选</x:v>
      </x:c>
      <x:c r="H4096" s="19" t="str">
        <x:v>野兽骨片</x:v>
      </x:c>
      <x:c r="I4096" s="22" t="n">
        <x:v>200</x:v>
      </x:c>
      <x:c r="J4096" s="22" t="n">
        <x:v>5</x:v>
      </x:c>
      <x:c r="K4096" s="19" t="n">
        <x:v>1</x:v>
      </x:c>
      <x:c r="L4096" s="24" t="n">
        <x:v>62.474999999999994</x:v>
      </x:c>
      <x:c r="M4096" s="26" t="n">
        <x:v>0.1</x:v>
      </x:c>
      <x:c r="N4096" s="24" t="n">
        <x:v>12</x:v>
      </x:c>
      <x:c r="O4096" s="28" t="n">
        <x:f>MIN(1,L4096/I4096)</x:f>
        <x:v>0.31237499999999996</x:v>
      </x:c>
      <x:c r="P4096" s="30" t="n">
        <x:f>O4096*J4096*(1+M4096)</x:f>
        <x:v>1.7180624999999998</x:v>
      </x:c>
      <x:c r="Q4096" s="30" t="n">
        <x:f>P4096*N4096</x:f>
        <x:v>20.616749999999996</x:v>
      </x:c>
      <x:c r="R4096" s="19" t="str">
        <x:v>独立判定</x:v>
      </x:c>
    </x:row>
    <x:row r="4097" ht="19" customHeight="1">
      <x:c r="A4097" s="19" t="str">
        <x:v>D04093</x:v>
      </x:c>
      <x:c r="B4097" s="19" t="n">
        <x:v>9</x:v>
      </x:c>
      <x:c r="C4097" s="19" t="n">
        <x:v>1</x:v>
      </x:c>
      <x:c r="D4097" s="19" t="str">
        <x:v>C09-M010</x:v>
      </x:c>
      <x:c r="E4097" s="19" t="str">
        <x:v>古王献梦者</x:v>
      </x:c>
      <x:c r="F4097" s="19" t="str">
        <x:v>稀有</x:v>
      </x:c>
      <x:c r="G4097" s="19" t="str">
        <x:v>材料独立候选</x:v>
      </x:c>
      <x:c r="H4097" s="19" t="str">
        <x:v>技能残页</x:v>
      </x:c>
      <x:c r="I4097" s="22" t="n">
        <x:v>1800</x:v>
      </x:c>
      <x:c r="J4097" s="22" t="n">
        <x:v>1</x:v>
      </x:c>
      <x:c r="K4097" s="19" t="n">
        <x:v>1</x:v>
      </x:c>
      <x:c r="L4097" s="24" t="n">
        <x:v>62.474999999999994</x:v>
      </x:c>
      <x:c r="M4097" s="26" t="n">
        <x:v>0.1</x:v>
      </x:c>
      <x:c r="N4097" s="24" t="n">
        <x:v>12</x:v>
      </x:c>
      <x:c r="O4097" s="28" t="n">
        <x:f>MIN(1,L4097/I4097)</x:f>
        <x:v>0.03470833333333333</x:v>
      </x:c>
      <x:c r="P4097" s="30" t="n">
        <x:f>O4097*J4097*(1+M4097)</x:f>
        <x:v>0.03817916666666666</x:v>
      </x:c>
      <x:c r="Q4097" s="30" t="n">
        <x:f>P4097*N4097</x:f>
        <x:v>0.45814999999999995</x:v>
      </x:c>
      <x:c r="R4097" s="19" t="str">
        <x:v>独立判定</x:v>
      </x:c>
    </x:row>
    <x:row r="4098" ht="19" customHeight="1">
      <x:c r="A4098" s="19" t="str">
        <x:v>D04094</x:v>
      </x:c>
      <x:c r="B4098" s="19" t="n">
        <x:v>9</x:v>
      </x:c>
      <x:c r="C4098" s="19" t="n">
        <x:v>1</x:v>
      </x:c>
      <x:c r="D4098" s="19" t="str">
        <x:v>C09-M010</x:v>
      </x:c>
      <x:c r="E4098" s="19" t="str">
        <x:v>古王献梦者</x:v>
      </x:c>
      <x:c r="F4098" s="19" t="str">
        <x:v>稀有</x:v>
      </x:c>
      <x:c r="G4098" s="19" t="str">
        <x:v>材料独立候选</x:v>
      </x:c>
      <x:c r="H4098" s="19" t="str">
        <x:v>小卢恩</x:v>
      </x:c>
      <x:c r="I4098" s="22" t="n">
        <x:v>12000</x:v>
      </x:c>
      <x:c r="J4098" s="22" t="n">
        <x:v>1</x:v>
      </x:c>
      <x:c r="K4098" s="19" t="n">
        <x:v>1</x:v>
      </x:c>
      <x:c r="L4098" s="24" t="n">
        <x:v>62.474999999999994</x:v>
      </x:c>
      <x:c r="M4098" s="26" t="n">
        <x:v>0.1</x:v>
      </x:c>
      <x:c r="N4098" s="24" t="n">
        <x:v>12</x:v>
      </x:c>
      <x:c r="O4098" s="28" t="n">
        <x:f>MIN(1,L4098/I4098)</x:f>
        <x:v>0.00520625</x:v>
      </x:c>
      <x:c r="P4098" s="30" t="n">
        <x:f>O4098*J4098*(1+M4098)</x:f>
        <x:v>0.005726875</x:v>
      </x:c>
      <x:c r="Q4098" s="30" t="n">
        <x:f>P4098*N4098</x:f>
        <x:v>0.0687225</x:v>
      </x:c>
      <x:c r="R4098" s="19" t="str">
        <x:v>独立判定</x:v>
      </x:c>
    </x:row>
    <x:row r="4099" ht="19" customHeight="1">
      <x:c r="A4099" s="19" t="str">
        <x:v>D04095</x:v>
      </x:c>
      <x:c r="B4099" s="19" t="n">
        <x:v>9</x:v>
      </x:c>
      <x:c r="C4099" s="19" t="n">
        <x:v>1</x:v>
      </x:c>
      <x:c r="D4099" s="19" t="str">
        <x:v>C09-M010</x:v>
      </x:c>
      <x:c r="E4099" s="19" t="str">
        <x:v>古王献梦者</x:v>
      </x:c>
      <x:c r="F4099" s="19" t="str">
        <x:v>稀有</x:v>
      </x:c>
      <x:c r="G4099" s="19" t="str">
        <x:v>六神器公共池</x:v>
      </x:c>
      <x:c r="H4099" s="19" t="str">
        <x:v>POOL006</x:v>
      </x:c>
      <x:c r="I4099" s="22" t="n">
        <x:v>5000000</x:v>
      </x:c>
      <x:c r="J4099" s="22" t="n">
        <x:v>1</x:v>
      </x:c>
      <x:c r="K4099" s="19" t="n">
        <x:v>6</x:v>
      </x:c>
      <x:c r="L4099" s="24" t="n">
        <x:v>62.474999999999994</x:v>
      </x:c>
      <x:c r="M4099" s="26" t="n">
        <x:v>0.1</x:v>
      </x:c>
      <x:c r="N4099" s="24" t="n">
        <x:v>12</x:v>
      </x:c>
      <x:c r="O4099" s="28" t="n">
        <x:f>MIN(1,L4099/I4099)</x:f>
        <x:v>0.000012494999999999998</x:v>
      </x:c>
      <x:c r="P4099" s="30" t="n">
        <x:f>O4099*J4099*(1+M4099)</x:f>
        <x:v>0.000013744499999999999</x:v>
      </x:c>
      <x:c r="Q4099" s="30" t="n">
        <x:f>P4099*N4099</x:f>
        <x:v>0.000164934</x:v>
      </x:c>
      <x:c r="R4099" s="19" t="str">
        <x:v>六选一；非6个独立爆率</x:v>
      </x:c>
    </x:row>
    <x:row r="4100" ht="19" customHeight="1">
      <x:c r="A4100" s="19" t="str">
        <x:v>D04096</x:v>
      </x:c>
      <x:c r="B4100" s="19" t="n">
        <x:v>9</x:v>
      </x:c>
      <x:c r="C4100" s="19" t="n">
        <x:v>1</x:v>
      </x:c>
      <x:c r="D4100" s="19" t="str">
        <x:v>C09-M011</x:v>
      </x:c>
      <x:c r="E4100" s="19" t="str">
        <x:v>陵园摘冠侯·阿维恩</x:v>
      </x:c>
      <x:c r="F4100" s="19" t="str">
        <x:v>地图BOSS</x:v>
      </x:c>
      <x:c r="G4100" s="19" t="str">
        <x:v>自身专属</x:v>
      </x:c>
      <x:c r="H4100" s="19" t="str">
        <x:v>阿维恩摘冠剑</x:v>
      </x:c>
      <x:c r="I4100" s="22" t="n">
        <x:v>150</x:v>
      </x:c>
      <x:c r="J4100" s="22" t="n">
        <x:v>1</x:v>
      </x:c>
      <x:c r="K4100" s="19" t="n">
        <x:v>1</x:v>
      </x:c>
      <x:c r="L4100" s="24" t="n">
        <x:v>62.474999999999994</x:v>
      </x:c>
      <x:c r="M4100" s="26" t="n">
        <x:v>0.1</x:v>
      </x:c>
      <x:c r="N4100" s="24" t="n">
        <x:v>2</x:v>
      </x:c>
      <x:c r="O4100" s="28" t="n">
        <x:f>MIN(1,L4100/I4100)</x:f>
        <x:v>0.4165</x:v>
      </x:c>
      <x:c r="P4100" s="30" t="n">
        <x:f>O4100*J4100*(1+M4100)</x:f>
        <x:v>0.45815</x:v>
      </x:c>
      <x:c r="Q4100" s="30" t="n">
        <x:f>P4100*N4100</x:f>
        <x:v>0.9163</x:v>
      </x:c>
      <x:c r="R4100" s="19" t="str">
        <x:v>独立判定</x:v>
      </x:c>
    </x:row>
    <x:row r="4101" ht="19" customHeight="1">
      <x:c r="A4101" s="19" t="str">
        <x:v>D04097</x:v>
      </x:c>
      <x:c r="B4101" s="19" t="n">
        <x:v>9</x:v>
      </x:c>
      <x:c r="C4101" s="19" t="n">
        <x:v>1</x:v>
      </x:c>
      <x:c r="D4101" s="19" t="str">
        <x:v>C09-M011</x:v>
      </x:c>
      <x:c r="E4101" s="19" t="str">
        <x:v>陵园摘冠侯·阿维恩</x:v>
      </x:c>
      <x:c r="F4101" s="19" t="str">
        <x:v>地图BOSS</x:v>
      </x:c>
      <x:c r="G4101" s="19" t="str">
        <x:v>本图普通兼掉候选</x:v>
      </x:c>
      <x:c r="H4101" s="19" t="str">
        <x:v>POOL068</x:v>
      </x:c>
      <x:c r="I4101" s="22" t="n">
        <x:v>150</x:v>
      </x:c>
      <x:c r="J4101" s="22" t="n">
        <x:v>1</x:v>
      </x:c>
      <x:c r="K4101" s="19" t="n">
        <x:v>1</x:v>
      </x:c>
      <x:c r="L4101" s="24" t="n">
        <x:v>62.474999999999994</x:v>
      </x:c>
      <x:c r="M4101" s="26" t="n">
        <x:v>0.1</x:v>
      </x:c>
      <x:c r="N4101" s="24" t="n">
        <x:v>2</x:v>
      </x:c>
      <x:c r="O4101" s="28" t="n">
        <x:f>MIN(1,L4101/I4101)</x:f>
        <x:v>0.4165</x:v>
      </x:c>
      <x:c r="P4101" s="30" t="n">
        <x:f>O4101*J4101*(1+M4101)</x:f>
        <x:v>0.45815</x:v>
      </x:c>
      <x:c r="Q4101" s="30" t="n">
        <x:f>P4101*N4101</x:f>
        <x:v>0.9163</x:v>
      </x:c>
      <x:c r="R4101" s="19" t="str">
        <x:v>单池选一</x:v>
      </x:c>
    </x:row>
    <x:row r="4102" ht="19" customHeight="1">
      <x:c r="A4102" s="19" t="str">
        <x:v>D04098</x:v>
      </x:c>
      <x:c r="B4102" s="19" t="n">
        <x:v>9</x:v>
      </x:c>
      <x:c r="C4102" s="19" t="n">
        <x:v>1</x:v>
      </x:c>
      <x:c r="D4102" s="19" t="str">
        <x:v>C09-M011</x:v>
      </x:c>
      <x:c r="E4102" s="19" t="str">
        <x:v>陵园摘冠侯·阿维恩</x:v>
      </x:c>
      <x:c r="F4102" s="19" t="str">
        <x:v>地图BOSS</x:v>
      </x:c>
      <x:c r="G4102" s="19" t="str">
        <x:v>材料独立候选</x:v>
      </x:c>
      <x:c r="H4102" s="19" t="str">
        <x:v>黄金叶脉</x:v>
      </x:c>
      <x:c r="I4102" s="22" t="n">
        <x:v>500</x:v>
      </x:c>
      <x:c r="J4102" s="22" t="n">
        <x:v>30</x:v>
      </x:c>
      <x:c r="K4102" s="19" t="n">
        <x:v>1</x:v>
      </x:c>
      <x:c r="L4102" s="24" t="n">
        <x:v>62.474999999999994</x:v>
      </x:c>
      <x:c r="M4102" s="26" t="n">
        <x:v>0.1</x:v>
      </x:c>
      <x:c r="N4102" s="24" t="n">
        <x:v>2</x:v>
      </x:c>
      <x:c r="O4102" s="28" t="n">
        <x:f>MIN(1,L4102/I4102)</x:f>
        <x:v>0.12494999999999999</x:v>
      </x:c>
      <x:c r="P4102" s="30" t="n">
        <x:f>O4102*J4102*(1+M4102)</x:f>
        <x:v>4.12335</x:v>
      </x:c>
      <x:c r="Q4102" s="30" t="n">
        <x:f>P4102*N4102</x:f>
        <x:v>8.2467</x:v>
      </x:c>
      <x:c r="R4102" s="19" t="str">
        <x:v>独立判定</x:v>
      </x:c>
    </x:row>
    <x:row r="4103" ht="19" customHeight="1">
      <x:c r="A4103" s="19" t="str">
        <x:v>D04099</x:v>
      </x:c>
      <x:c r="B4103" s="19" t="n">
        <x:v>9</x:v>
      </x:c>
      <x:c r="C4103" s="19" t="n">
        <x:v>1</x:v>
      </x:c>
      <x:c r="D4103" s="19" t="str">
        <x:v>C09-M011</x:v>
      </x:c>
      <x:c r="E4103" s="19" t="str">
        <x:v>陵园摘冠侯·阿维恩</x:v>
      </x:c>
      <x:c r="F4103" s="19" t="str">
        <x:v>地图BOSS</x:v>
      </x:c>
      <x:c r="G4103" s="19" t="str">
        <x:v>材料独立候选</x:v>
      </x:c>
      <x:c r="H4103" s="19" t="str">
        <x:v>古王律页</x:v>
      </x:c>
      <x:c r="I4103" s="22" t="n">
        <x:v>500</x:v>
      </x:c>
      <x:c r="J4103" s="22" t="n">
        <x:v>1</x:v>
      </x:c>
      <x:c r="K4103" s="19" t="n">
        <x:v>1</x:v>
      </x:c>
      <x:c r="L4103" s="24" t="n">
        <x:v>62.474999999999994</x:v>
      </x:c>
      <x:c r="M4103" s="26" t="n">
        <x:v>0.1</x:v>
      </x:c>
      <x:c r="N4103" s="24" t="n">
        <x:v>2</x:v>
      </x:c>
      <x:c r="O4103" s="28" t="n">
        <x:f>MIN(1,L4103/I4103)</x:f>
        <x:v>0.12494999999999999</x:v>
      </x:c>
      <x:c r="P4103" s="30" t="n">
        <x:f>O4103*J4103*(1+M4103)</x:f>
        <x:v>0.137445</x:v>
      </x:c>
      <x:c r="Q4103" s="30" t="n">
        <x:f>P4103*N4103</x:f>
        <x:v>0.27489</x:v>
      </x:c>
      <x:c r="R4103" s="19" t="str">
        <x:v>独立判定</x:v>
      </x:c>
    </x:row>
    <x:row r="4104" ht="19" customHeight="1">
      <x:c r="A4104" s="19" t="str">
        <x:v>D04100</x:v>
      </x:c>
      <x:c r="B4104" s="19" t="n">
        <x:v>9</x:v>
      </x:c>
      <x:c r="C4104" s="19" t="n">
        <x:v>1</x:v>
      </x:c>
      <x:c r="D4104" s="19" t="str">
        <x:v>C09-M011</x:v>
      </x:c>
      <x:c r="E4104" s="19" t="str">
        <x:v>陵园摘冠侯·阿维恩</x:v>
      </x:c>
      <x:c r="F4104" s="19" t="str">
        <x:v>地图BOSS</x:v>
      </x:c>
      <x:c r="G4104" s="19" t="str">
        <x:v>材料独立候选</x:v>
      </x:c>
      <x:c r="H4104" s="19" t="str">
        <x:v>黄金律印</x:v>
      </x:c>
      <x:c r="I4104" s="22" t="n">
        <x:v>300</x:v>
      </x:c>
      <x:c r="J4104" s="22" t="n">
        <x:v>7</x:v>
      </x:c>
      <x:c r="K4104" s="19" t="n">
        <x:v>1</x:v>
      </x:c>
      <x:c r="L4104" s="24" t="n">
        <x:v>62.474999999999994</x:v>
      </x:c>
      <x:c r="M4104" s="26" t="n">
        <x:v>0.1</x:v>
      </x:c>
      <x:c r="N4104" s="24" t="n">
        <x:v>2</x:v>
      </x:c>
      <x:c r="O4104" s="28" t="n">
        <x:f>MIN(1,L4104/I4104)</x:f>
        <x:v>0.20825</x:v>
      </x:c>
      <x:c r="P4104" s="30" t="n">
        <x:f>O4104*J4104*(1+M4104)</x:f>
        <x:v>1.603525</x:v>
      </x:c>
      <x:c r="Q4104" s="30" t="n">
        <x:f>P4104*N4104</x:f>
        <x:v>3.20705</x:v>
      </x:c>
      <x:c r="R4104" s="19" t="str">
        <x:v>独立判定</x:v>
      </x:c>
    </x:row>
    <x:row r="4105" ht="19" customHeight="1">
      <x:c r="A4105" s="19" t="str">
        <x:v>D04101</x:v>
      </x:c>
      <x:c r="B4105" s="19" t="n">
        <x:v>9</x:v>
      </x:c>
      <x:c r="C4105" s="19" t="n">
        <x:v>1</x:v>
      </x:c>
      <x:c r="D4105" s="19" t="str">
        <x:v>C09-M011</x:v>
      </x:c>
      <x:c r="E4105" s="19" t="str">
        <x:v>陵园摘冠侯·阿维恩</x:v>
      </x:c>
      <x:c r="F4105" s="19" t="str">
        <x:v>地图BOSS</x:v>
      </x:c>
      <x:c r="G4105" s="19" t="str">
        <x:v>材料独立候选</x:v>
      </x:c>
      <x:c r="H4105" s="19" t="str">
        <x:v>裁文蜡封</x:v>
      </x:c>
      <x:c r="I4105" s="22" t="n">
        <x:v>250</x:v>
      </x:c>
      <x:c r="J4105" s="22" t="n">
        <x:v>3</x:v>
      </x:c>
      <x:c r="K4105" s="19" t="n">
        <x:v>1</x:v>
      </x:c>
      <x:c r="L4105" s="24" t="n">
        <x:v>62.474999999999994</x:v>
      </x:c>
      <x:c r="M4105" s="26" t="n">
        <x:v>0.1</x:v>
      </x:c>
      <x:c r="N4105" s="24" t="n">
        <x:v>2</x:v>
      </x:c>
      <x:c r="O4105" s="28" t="n">
        <x:f>MIN(1,L4105/I4105)</x:f>
        <x:v>0.24989999999999998</x:v>
      </x:c>
      <x:c r="P4105" s="30" t="n">
        <x:f>O4105*J4105*(1+M4105)</x:f>
        <x:v>0.82467</x:v>
      </x:c>
      <x:c r="Q4105" s="30" t="n">
        <x:f>P4105*N4105</x:f>
        <x:v>1.64934</x:v>
      </x:c>
      <x:c r="R4105" s="19" t="str">
        <x:v>独立判定</x:v>
      </x:c>
    </x:row>
    <x:row r="4106" ht="19" customHeight="1">
      <x:c r="A4106" s="19" t="str">
        <x:v>D04102</x:v>
      </x:c>
      <x:c r="B4106" s="19" t="n">
        <x:v>9</x:v>
      </x:c>
      <x:c r="C4106" s="19" t="n">
        <x:v>1</x:v>
      </x:c>
      <x:c r="D4106" s="19" t="str">
        <x:v>C09-M011</x:v>
      </x:c>
      <x:c r="E4106" s="19" t="str">
        <x:v>陵园摘冠侯·阿维恩</x:v>
      </x:c>
      <x:c r="F4106" s="19" t="str">
        <x:v>地图BOSS</x:v>
      </x:c>
      <x:c r="G4106" s="19" t="str">
        <x:v>材料独立候选</x:v>
      </x:c>
      <x:c r="H4106" s="19" t="str">
        <x:v>古坛鎏叶髓</x:v>
      </x:c>
      <x:c r="I4106" s="22" t="n">
        <x:v>1000000</x:v>
      </x:c>
      <x:c r="J4106" s="22" t="n">
        <x:v>1</x:v>
      </x:c>
      <x:c r="K4106" s="19" t="n">
        <x:v>1</x:v>
      </x:c>
      <x:c r="L4106" s="24" t="n">
        <x:v>62.474999999999994</x:v>
      </x:c>
      <x:c r="M4106" s="26" t="n">
        <x:v>0.1</x:v>
      </x:c>
      <x:c r="N4106" s="24" t="n">
        <x:v>2</x:v>
      </x:c>
      <x:c r="O4106" s="28" t="n">
        <x:f>MIN(1,L4106/I4106)</x:f>
        <x:v>0.000062475</x:v>
      </x:c>
      <x:c r="P4106" s="30" t="n">
        <x:f>O4106*J4106*(1+M4106)</x:f>
        <x:v>0.0000687225</x:v>
      </x:c>
      <x:c r="Q4106" s="30" t="n">
        <x:f>P4106*N4106</x:f>
        <x:v>0.000137445</x:v>
      </x:c>
      <x:c r="R4106" s="19" t="str">
        <x:v>独立判定</x:v>
      </x:c>
    </x:row>
    <x:row r="4107" ht="19" customHeight="1">
      <x:c r="A4107" s="19" t="str">
        <x:v>D04103</x:v>
      </x:c>
      <x:c r="B4107" s="19" t="n">
        <x:v>9</x:v>
      </x:c>
      <x:c r="C4107" s="19" t="n">
        <x:v>1</x:v>
      </x:c>
      <x:c r="D4107" s="19" t="str">
        <x:v>C09-M011</x:v>
      </x:c>
      <x:c r="E4107" s="19" t="str">
        <x:v>陵园摘冠侯·阿维恩</x:v>
      </x:c>
      <x:c r="F4107" s="19" t="str">
        <x:v>地图BOSS</x:v>
      </x:c>
      <x:c r="G4107" s="19" t="str">
        <x:v>材料独立候选</x:v>
      </x:c>
      <x:c r="H4107" s="19" t="str">
        <x:v>黄金树芽</x:v>
      </x:c>
      <x:c r="I4107" s="22" t="n">
        <x:v>8000</x:v>
      </x:c>
      <x:c r="J4107" s="22" t="n">
        <x:v>1</x:v>
      </x:c>
      <x:c r="K4107" s="19" t="n">
        <x:v>1</x:v>
      </x:c>
      <x:c r="L4107" s="24" t="n">
        <x:v>62.474999999999994</x:v>
      </x:c>
      <x:c r="M4107" s="26" t="n">
        <x:v>0.1</x:v>
      </x:c>
      <x:c r="N4107" s="24" t="n">
        <x:v>2</x:v>
      </x:c>
      <x:c r="O4107" s="28" t="n">
        <x:f>MIN(1,L4107/I4107)</x:f>
        <x:v>0.0078093749999999995</x:v>
      </x:c>
      <x:c r="P4107" s="30" t="n">
        <x:f>O4107*J4107*(1+M4107)</x:f>
        <x:v>0.0085903125</x:v>
      </x:c>
      <x:c r="Q4107" s="30" t="n">
        <x:f>P4107*N4107</x:f>
        <x:v>0.017180625</x:v>
      </x:c>
      <x:c r="R4107" s="19" t="str">
        <x:v>独立判定</x:v>
      </x:c>
    </x:row>
    <x:row r="4108" ht="19" customHeight="1">
      <x:c r="A4108" s="19" t="str">
        <x:v>D04104</x:v>
      </x:c>
      <x:c r="B4108" s="19" t="n">
        <x:v>9</x:v>
      </x:c>
      <x:c r="C4108" s="19" t="n">
        <x:v>1</x:v>
      </x:c>
      <x:c r="D4108" s="19" t="str">
        <x:v>C09-M011</x:v>
      </x:c>
      <x:c r="E4108" s="19" t="str">
        <x:v>陵园摘冠侯·阿维恩</x:v>
      </x:c>
      <x:c r="F4108" s="19" t="str">
        <x:v>地图BOSS</x:v>
      </x:c>
      <x:c r="G4108" s="19" t="str">
        <x:v>材料独立候选</x:v>
      </x:c>
      <x:c r="H4108" s="19" t="str">
        <x:v>野兽骨片</x:v>
      </x:c>
      <x:c r="I4108" s="22" t="n">
        <x:v>100</x:v>
      </x:c>
      <x:c r="J4108" s="22" t="n">
        <x:v>5</x:v>
      </x:c>
      <x:c r="K4108" s="19" t="n">
        <x:v>1</x:v>
      </x:c>
      <x:c r="L4108" s="24" t="n">
        <x:v>62.474999999999994</x:v>
      </x:c>
      <x:c r="M4108" s="26" t="n">
        <x:v>0.1</x:v>
      </x:c>
      <x:c r="N4108" s="24" t="n">
        <x:v>2</x:v>
      </x:c>
      <x:c r="O4108" s="28" t="n">
        <x:f>MIN(1,L4108/I4108)</x:f>
        <x:v>0.6247499999999999</x:v>
      </x:c>
      <x:c r="P4108" s="30" t="n">
        <x:f>O4108*J4108*(1+M4108)</x:f>
        <x:v>3.4361249999999997</x:v>
      </x:c>
      <x:c r="Q4108" s="30" t="n">
        <x:f>P4108*N4108</x:f>
        <x:v>6.872249999999999</x:v>
      </x:c>
      <x:c r="R4108" s="19" t="str">
        <x:v>独立判定</x:v>
      </x:c>
    </x:row>
    <x:row r="4109" ht="19" customHeight="1">
      <x:c r="A4109" s="19" t="str">
        <x:v>D04105</x:v>
      </x:c>
      <x:c r="B4109" s="19" t="n">
        <x:v>9</x:v>
      </x:c>
      <x:c r="C4109" s="19" t="n">
        <x:v>1</x:v>
      </x:c>
      <x:c r="D4109" s="19" t="str">
        <x:v>C09-M011</x:v>
      </x:c>
      <x:c r="E4109" s="19" t="str">
        <x:v>陵园摘冠侯·阿维恩</x:v>
      </x:c>
      <x:c r="F4109" s="19" t="str">
        <x:v>地图BOSS</x:v>
      </x:c>
      <x:c r="G4109" s="19" t="str">
        <x:v>材料独立候选</x:v>
      </x:c>
      <x:c r="H4109" s="19" t="str">
        <x:v>技能残页</x:v>
      </x:c>
      <x:c r="I4109" s="22" t="n">
        <x:v>800</x:v>
      </x:c>
      <x:c r="J4109" s="22" t="n">
        <x:v>1</x:v>
      </x:c>
      <x:c r="K4109" s="19" t="n">
        <x:v>1</x:v>
      </x:c>
      <x:c r="L4109" s="24" t="n">
        <x:v>62.474999999999994</x:v>
      </x:c>
      <x:c r="M4109" s="26" t="n">
        <x:v>0.1</x:v>
      </x:c>
      <x:c r="N4109" s="24" t="n">
        <x:v>2</x:v>
      </x:c>
      <x:c r="O4109" s="28" t="n">
        <x:f>MIN(1,L4109/I4109)</x:f>
        <x:v>0.07809374999999999</x:v>
      </x:c>
      <x:c r="P4109" s="30" t="n">
        <x:f>O4109*J4109*(1+M4109)</x:f>
        <x:v>0.085903125</x:v>
      </x:c>
      <x:c r="Q4109" s="30" t="n">
        <x:f>P4109*N4109</x:f>
        <x:v>0.17180625</x:v>
      </x:c>
      <x:c r="R4109" s="19" t="str">
        <x:v>独立判定</x:v>
      </x:c>
    </x:row>
    <x:row r="4110" ht="19" customHeight="1">
      <x:c r="A4110" s="19" t="str">
        <x:v>D04106</x:v>
      </x:c>
      <x:c r="B4110" s="19" t="n">
        <x:v>9</x:v>
      </x:c>
      <x:c r="C4110" s="19" t="n">
        <x:v>1</x:v>
      </x:c>
      <x:c r="D4110" s="19" t="str">
        <x:v>C09-M011</x:v>
      </x:c>
      <x:c r="E4110" s="19" t="str">
        <x:v>陵园摘冠侯·阿维恩</x:v>
      </x:c>
      <x:c r="F4110" s="19" t="str">
        <x:v>地图BOSS</x:v>
      </x:c>
      <x:c r="G4110" s="19" t="str">
        <x:v>材料独立候选</x:v>
      </x:c>
      <x:c r="H4110" s="19" t="str">
        <x:v>宁姆格福誓页</x:v>
      </x:c>
      <x:c r="I4110" s="22" t="n">
        <x:v>800</x:v>
      </x:c>
      <x:c r="J4110" s="22" t="n">
        <x:v>1</x:v>
      </x:c>
      <x:c r="K4110" s="19" t="n">
        <x:v>1</x:v>
      </x:c>
      <x:c r="L4110" s="24" t="n">
        <x:v>62.474999999999994</x:v>
      </x:c>
      <x:c r="M4110" s="26" t="n">
        <x:v>0.1</x:v>
      </x:c>
      <x:c r="N4110" s="24" t="n">
        <x:v>2</x:v>
      </x:c>
      <x:c r="O4110" s="28" t="n">
        <x:f>MIN(1,L4110/I4110)</x:f>
        <x:v>0.07809374999999999</x:v>
      </x:c>
      <x:c r="P4110" s="30" t="n">
        <x:f>O4110*J4110*(1+M4110)</x:f>
        <x:v>0.085903125</x:v>
      </x:c>
      <x:c r="Q4110" s="30" t="n">
        <x:f>P4110*N4110</x:f>
        <x:v>0.17180625</x:v>
      </x:c>
      <x:c r="R4110" s="19" t="str">
        <x:v>独立判定</x:v>
      </x:c>
    </x:row>
    <x:row r="4111" ht="19" customHeight="1">
      <x:c r="A4111" s="19" t="str">
        <x:v>D04107</x:v>
      </x:c>
      <x:c r="B4111" s="19" t="n">
        <x:v>9</x:v>
      </x:c>
      <x:c r="C4111" s="19" t="n">
        <x:v>1</x:v>
      </x:c>
      <x:c r="D4111" s="19" t="str">
        <x:v>C09-M011</x:v>
      </x:c>
      <x:c r="E4111" s="19" t="str">
        <x:v>陵园摘冠侯·阿维恩</x:v>
      </x:c>
      <x:c r="F4111" s="19" t="str">
        <x:v>地图BOSS</x:v>
      </x:c>
      <x:c r="G4111" s="19" t="str">
        <x:v>材料独立候选</x:v>
      </x:c>
      <x:c r="H4111" s="19" t="str">
        <x:v>小卢恩</x:v>
      </x:c>
      <x:c r="I4111" s="22" t="n">
        <x:v>6000</x:v>
      </x:c>
      <x:c r="J4111" s="22" t="n">
        <x:v>1</x:v>
      </x:c>
      <x:c r="K4111" s="19" t="n">
        <x:v>1</x:v>
      </x:c>
      <x:c r="L4111" s="24" t="n">
        <x:v>62.474999999999994</x:v>
      </x:c>
      <x:c r="M4111" s="26" t="n">
        <x:v>0.1</x:v>
      </x:c>
      <x:c r="N4111" s="24" t="n">
        <x:v>2</x:v>
      </x:c>
      <x:c r="O4111" s="28" t="n">
        <x:f>MIN(1,L4111/I4111)</x:f>
        <x:v>0.0104125</x:v>
      </x:c>
      <x:c r="P4111" s="30" t="n">
        <x:f>O4111*J4111*(1+M4111)</x:f>
        <x:v>0.01145375</x:v>
      </x:c>
      <x:c r="Q4111" s="30" t="n">
        <x:f>P4111*N4111</x:f>
        <x:v>0.0229075</x:v>
      </x:c>
      <x:c r="R4111" s="19" t="str">
        <x:v>独立判定</x:v>
      </x:c>
    </x:row>
    <x:row r="4112" ht="19" customHeight="1">
      <x:c r="A4112" s="19" t="str">
        <x:v>D04108</x:v>
      </x:c>
      <x:c r="B4112" s="19" t="n">
        <x:v>9</x:v>
      </x:c>
      <x:c r="C4112" s="19" t="n">
        <x:v>1</x:v>
      </x:c>
      <x:c r="D4112" s="19" t="str">
        <x:v>C09-M011</x:v>
      </x:c>
      <x:c r="E4112" s="19" t="str">
        <x:v>陵园摘冠侯·阿维恩</x:v>
      </x:c>
      <x:c r="F4112" s="19" t="str">
        <x:v>地图BOSS</x:v>
      </x:c>
      <x:c r="G4112" s="19" t="str">
        <x:v>材料独立候选</x:v>
      </x:c>
      <x:c r="H4112" s="19" t="str">
        <x:v>大卢恩</x:v>
      </x:c>
      <x:c r="I4112" s="22" t="n">
        <x:v>600</x:v>
      </x:c>
      <x:c r="J4112" s="22" t="n">
        <x:v>1</x:v>
      </x:c>
      <x:c r="K4112" s="19" t="n">
        <x:v>1</x:v>
      </x:c>
      <x:c r="L4112" s="24" t="n">
        <x:v>62.474999999999994</x:v>
      </x:c>
      <x:c r="M4112" s="26" t="n">
        <x:v>0.1</x:v>
      </x:c>
      <x:c r="N4112" s="24" t="n">
        <x:v>2</x:v>
      </x:c>
      <x:c r="O4112" s="28" t="n">
        <x:f>MIN(1,L4112/I4112)</x:f>
        <x:v>0.104125</x:v>
      </x:c>
      <x:c r="P4112" s="30" t="n">
        <x:f>O4112*J4112*(1+M4112)</x:f>
        <x:v>0.1145375</x:v>
      </x:c>
      <x:c r="Q4112" s="30" t="n">
        <x:f>P4112*N4112</x:f>
        <x:v>0.229075</x:v>
      </x:c>
      <x:c r="R4112" s="19" t="str">
        <x:v>独立判定</x:v>
      </x:c>
    </x:row>
    <x:row r="4113" ht="19" customHeight="1">
      <x:c r="A4113" s="19" t="str">
        <x:v>D04109</x:v>
      </x:c>
      <x:c r="B4113" s="19" t="n">
        <x:v>9</x:v>
      </x:c>
      <x:c r="C4113" s="19" t="n">
        <x:v>1</x:v>
      </x:c>
      <x:c r="D4113" s="19" t="str">
        <x:v>C09-M011</x:v>
      </x:c>
      <x:c r="E4113" s="19" t="str">
        <x:v>陵园摘冠侯·阿维恩</x:v>
      </x:c>
      <x:c r="F4113" s="19" t="str">
        <x:v>地图BOSS</x:v>
      </x:c>
      <x:c r="G4113" s="19" t="str">
        <x:v>材料独立候选</x:v>
      </x:c>
      <x:c r="H4113" s="19" t="str">
        <x:v>巨人熔火卢恩</x:v>
      </x:c>
      <x:c r="I4113" s="22" t="n">
        <x:v>800</x:v>
      </x:c>
      <x:c r="J4113" s="22" t="n">
        <x:v>1</x:v>
      </x:c>
      <x:c r="K4113" s="19" t="n">
        <x:v>1</x:v>
      </x:c>
      <x:c r="L4113" s="24" t="n">
        <x:v>62.474999999999994</x:v>
      </x:c>
      <x:c r="M4113" s="26" t="n">
        <x:v>0.1</x:v>
      </x:c>
      <x:c r="N4113" s="24" t="n">
        <x:v>2</x:v>
      </x:c>
      <x:c r="O4113" s="28" t="n">
        <x:f>MIN(1,L4113/I4113)</x:f>
        <x:v>0.07809374999999999</x:v>
      </x:c>
      <x:c r="P4113" s="30" t="n">
        <x:f>O4113*J4113*(1+M4113)</x:f>
        <x:v>0.085903125</x:v>
      </x:c>
      <x:c r="Q4113" s="30" t="n">
        <x:f>P4113*N4113</x:f>
        <x:v>0.17180625</x:v>
      </x:c>
      <x:c r="R4113" s="19" t="str">
        <x:v>独立判定</x:v>
      </x:c>
    </x:row>
    <x:row r="4114" ht="19" customHeight="1">
      <x:c r="A4114" s="19" t="str">
        <x:v>D04110</x:v>
      </x:c>
      <x:c r="B4114" s="19" t="n">
        <x:v>9</x:v>
      </x:c>
      <x:c r="C4114" s="19" t="n">
        <x:v>1</x:v>
      </x:c>
      <x:c r="D4114" s="19" t="str">
        <x:v>C09-M011</x:v>
      </x:c>
      <x:c r="E4114" s="19" t="str">
        <x:v>陵园摘冠侯·阿维恩</x:v>
      </x:c>
      <x:c r="F4114" s="19" t="str">
        <x:v>地图BOSS</x:v>
      </x:c>
      <x:c r="G4114" s="19" t="str">
        <x:v>六神器公共池</x:v>
      </x:c>
      <x:c r="H4114" s="19" t="str">
        <x:v>POOL006</x:v>
      </x:c>
      <x:c r="I4114" s="22" t="n">
        <x:v>200000</x:v>
      </x:c>
      <x:c r="J4114" s="22" t="n">
        <x:v>1</x:v>
      </x:c>
      <x:c r="K4114" s="19" t="n">
        <x:v>6</x:v>
      </x:c>
      <x:c r="L4114" s="24" t="n">
        <x:v>62.474999999999994</x:v>
      </x:c>
      <x:c r="M4114" s="26" t="n">
        <x:v>0.1</x:v>
      </x:c>
      <x:c r="N4114" s="24" t="n">
        <x:v>2</x:v>
      </x:c>
      <x:c r="O4114" s="28" t="n">
        <x:f>MIN(1,L4114/I4114)</x:f>
        <x:v>0.000312375</x:v>
      </x:c>
      <x:c r="P4114" s="30" t="n">
        <x:f>O4114*J4114*(1+M4114)</x:f>
        <x:v>0.00034361250000000004</x:v>
      </x:c>
      <x:c r="Q4114" s="30" t="n">
        <x:f>P4114*N4114</x:f>
        <x:v>0.0006872250000000001</x:v>
      </x:c>
      <x:c r="R4114" s="19" t="str">
        <x:v>六选一；非6个独立爆率</x:v>
      </x:c>
    </x:row>
    <x:row r="4115" ht="19" customHeight="1">
      <x:c r="A4115" s="19" t="str">
        <x:v>D04111</x:v>
      </x:c>
      <x:c r="B4115" s="19" t="n">
        <x:v>9</x:v>
      </x:c>
      <x:c r="C4115" s="19" t="n">
        <x:v>1</x:v>
      </x:c>
      <x:c r="D4115" s="19" t="str">
        <x:v>C09-M012</x:v>
      </x:c>
      <x:c r="E4115" s="19" t="str">
        <x:v>金叶祭王·萨鲁恩</x:v>
      </x:c>
      <x:c r="F4115" s="19" t="str">
        <x:v>地图BOSS</x:v>
      </x:c>
      <x:c r="G4115" s="19" t="str">
        <x:v>自身专属</x:v>
      </x:c>
      <x:c r="H4115" s="19" t="str">
        <x:v>萨鲁恩金叶祭衣</x:v>
      </x:c>
      <x:c r="I4115" s="22" t="n">
        <x:v>300</x:v>
      </x:c>
      <x:c r="J4115" s="22" t="n">
        <x:v>1</x:v>
      </x:c>
      <x:c r="K4115" s="19" t="n">
        <x:v>1</x:v>
      </x:c>
      <x:c r="L4115" s="24" t="n">
        <x:v>62.474999999999994</x:v>
      </x:c>
      <x:c r="M4115" s="26" t="n">
        <x:v>0.1</x:v>
      </x:c>
      <x:c r="N4115" s="24" t="n">
        <x:v>2</x:v>
      </x:c>
      <x:c r="O4115" s="28" t="n">
        <x:f>MIN(1,L4115/I4115)</x:f>
        <x:v>0.20825</x:v>
      </x:c>
      <x:c r="P4115" s="30" t="n">
        <x:f>O4115*J4115*(1+M4115)</x:f>
        <x:v>0.229075</x:v>
      </x:c>
      <x:c r="Q4115" s="30" t="n">
        <x:f>P4115*N4115</x:f>
        <x:v>0.45815</x:v>
      </x:c>
      <x:c r="R4115" s="19" t="str">
        <x:v>独立判定</x:v>
      </x:c>
    </x:row>
    <x:row r="4116" ht="19" customHeight="1">
      <x:c r="A4116" s="19" t="str">
        <x:v>D04112</x:v>
      </x:c>
      <x:c r="B4116" s="19" t="n">
        <x:v>9</x:v>
      </x:c>
      <x:c r="C4116" s="19" t="n">
        <x:v>1</x:v>
      </x:c>
      <x:c r="D4116" s="19" t="str">
        <x:v>C09-M012</x:v>
      </x:c>
      <x:c r="E4116" s="19" t="str">
        <x:v>金叶祭王·萨鲁恩</x:v>
      </x:c>
      <x:c r="F4116" s="19" t="str">
        <x:v>地图BOSS</x:v>
      </x:c>
      <x:c r="G4116" s="19" t="str">
        <x:v>自身专属</x:v>
      </x:c>
      <x:c r="H4116" s="19" t="str">
        <x:v>高原日冠</x:v>
      </x:c>
      <x:c r="I4116" s="22" t="n">
        <x:v>300</x:v>
      </x:c>
      <x:c r="J4116" s="22" t="n">
        <x:v>1</x:v>
      </x:c>
      <x:c r="K4116" s="19" t="n">
        <x:v>1</x:v>
      </x:c>
      <x:c r="L4116" s="24" t="n">
        <x:v>62.474999999999994</x:v>
      </x:c>
      <x:c r="M4116" s="26" t="n">
        <x:v>0.1</x:v>
      </x:c>
      <x:c r="N4116" s="24" t="n">
        <x:v>2</x:v>
      </x:c>
      <x:c r="O4116" s="28" t="n">
        <x:f>MIN(1,L4116/I4116)</x:f>
        <x:v>0.20825</x:v>
      </x:c>
      <x:c r="P4116" s="30" t="n">
        <x:f>O4116*J4116*(1+M4116)</x:f>
        <x:v>0.229075</x:v>
      </x:c>
      <x:c r="Q4116" s="30" t="n">
        <x:f>P4116*N4116</x:f>
        <x:v>0.45815</x:v>
      </x:c>
      <x:c r="R4116" s="19" t="str">
        <x:v>独立判定</x:v>
      </x:c>
    </x:row>
    <x:row r="4117" ht="19" customHeight="1">
      <x:c r="A4117" s="19" t="str">
        <x:v>D04113</x:v>
      </x:c>
      <x:c r="B4117" s="19" t="n">
        <x:v>9</x:v>
      </x:c>
      <x:c r="C4117" s="19" t="n">
        <x:v>1</x:v>
      </x:c>
      <x:c r="D4117" s="19" t="str">
        <x:v>C09-M012</x:v>
      </x:c>
      <x:c r="E4117" s="19" t="str">
        <x:v>金叶祭王·萨鲁恩</x:v>
      </x:c>
      <x:c r="F4117" s="19" t="str">
        <x:v>地图BOSS</x:v>
      </x:c>
      <x:c r="G4117" s="19" t="str">
        <x:v>本图普通兼掉候选</x:v>
      </x:c>
      <x:c r="H4117" s="19" t="str">
        <x:v>POOL069</x:v>
      </x:c>
      <x:c r="I4117" s="22" t="n">
        <x:v>150</x:v>
      </x:c>
      <x:c r="J4117" s="22" t="n">
        <x:v>1</x:v>
      </x:c>
      <x:c r="K4117" s="19" t="n">
        <x:v>1</x:v>
      </x:c>
      <x:c r="L4117" s="24" t="n">
        <x:v>62.474999999999994</x:v>
      </x:c>
      <x:c r="M4117" s="26" t="n">
        <x:v>0.1</x:v>
      </x:c>
      <x:c r="N4117" s="24" t="n">
        <x:v>2</x:v>
      </x:c>
      <x:c r="O4117" s="28" t="n">
        <x:f>MIN(1,L4117/I4117)</x:f>
        <x:v>0.4165</x:v>
      </x:c>
      <x:c r="P4117" s="30" t="n">
        <x:f>O4117*J4117*(1+M4117)</x:f>
        <x:v>0.45815</x:v>
      </x:c>
      <x:c r="Q4117" s="30" t="n">
        <x:f>P4117*N4117</x:f>
        <x:v>0.9163</x:v>
      </x:c>
      <x:c r="R4117" s="19" t="str">
        <x:v>单池选一</x:v>
      </x:c>
    </x:row>
    <x:row r="4118" ht="19" customHeight="1">
      <x:c r="A4118" s="19" t="str">
        <x:v>D04114</x:v>
      </x:c>
      <x:c r="B4118" s="19" t="n">
        <x:v>9</x:v>
      </x:c>
      <x:c r="C4118" s="19" t="n">
        <x:v>1</x:v>
      </x:c>
      <x:c r="D4118" s="19" t="str">
        <x:v>C09-M012</x:v>
      </x:c>
      <x:c r="E4118" s="19" t="str">
        <x:v>金叶祭王·萨鲁恩</x:v>
      </x:c>
      <x:c r="F4118" s="19" t="str">
        <x:v>地图BOSS</x:v>
      </x:c>
      <x:c r="G4118" s="19" t="str">
        <x:v>材料独立候选</x:v>
      </x:c>
      <x:c r="H4118" s="19" t="str">
        <x:v>黄金叶脉</x:v>
      </x:c>
      <x:c r="I4118" s="22" t="n">
        <x:v>500</x:v>
      </x:c>
      <x:c r="J4118" s="22" t="n">
        <x:v>30</x:v>
      </x:c>
      <x:c r="K4118" s="19" t="n">
        <x:v>1</x:v>
      </x:c>
      <x:c r="L4118" s="24" t="n">
        <x:v>62.474999999999994</x:v>
      </x:c>
      <x:c r="M4118" s="26" t="n">
        <x:v>0.1</x:v>
      </x:c>
      <x:c r="N4118" s="24" t="n">
        <x:v>2</x:v>
      </x:c>
      <x:c r="O4118" s="28" t="n">
        <x:f>MIN(1,L4118/I4118)</x:f>
        <x:v>0.12494999999999999</x:v>
      </x:c>
      <x:c r="P4118" s="30" t="n">
        <x:f>O4118*J4118*(1+M4118)</x:f>
        <x:v>4.12335</x:v>
      </x:c>
      <x:c r="Q4118" s="30" t="n">
        <x:f>P4118*N4118</x:f>
        <x:v>8.2467</x:v>
      </x:c>
      <x:c r="R4118" s="19" t="str">
        <x:v>独立判定</x:v>
      </x:c>
    </x:row>
    <x:row r="4119" ht="19" customHeight="1">
      <x:c r="A4119" s="19" t="str">
        <x:v>D04115</x:v>
      </x:c>
      <x:c r="B4119" s="19" t="n">
        <x:v>9</x:v>
      </x:c>
      <x:c r="C4119" s="19" t="n">
        <x:v>1</x:v>
      </x:c>
      <x:c r="D4119" s="19" t="str">
        <x:v>C09-M012</x:v>
      </x:c>
      <x:c r="E4119" s="19" t="str">
        <x:v>金叶祭王·萨鲁恩</x:v>
      </x:c>
      <x:c r="F4119" s="19" t="str">
        <x:v>地图BOSS</x:v>
      </x:c>
      <x:c r="G4119" s="19" t="str">
        <x:v>材料独立候选</x:v>
      </x:c>
      <x:c r="H4119" s="19" t="str">
        <x:v>古王律页</x:v>
      </x:c>
      <x:c r="I4119" s="22" t="n">
        <x:v>500</x:v>
      </x:c>
      <x:c r="J4119" s="22" t="n">
        <x:v>1</x:v>
      </x:c>
      <x:c r="K4119" s="19" t="n">
        <x:v>1</x:v>
      </x:c>
      <x:c r="L4119" s="24" t="n">
        <x:v>62.474999999999994</x:v>
      </x:c>
      <x:c r="M4119" s="26" t="n">
        <x:v>0.1</x:v>
      </x:c>
      <x:c r="N4119" s="24" t="n">
        <x:v>2</x:v>
      </x:c>
      <x:c r="O4119" s="28" t="n">
        <x:f>MIN(1,L4119/I4119)</x:f>
        <x:v>0.12494999999999999</x:v>
      </x:c>
      <x:c r="P4119" s="30" t="n">
        <x:f>O4119*J4119*(1+M4119)</x:f>
        <x:v>0.137445</x:v>
      </x:c>
      <x:c r="Q4119" s="30" t="n">
        <x:f>P4119*N4119</x:f>
        <x:v>0.27489</x:v>
      </x:c>
      <x:c r="R4119" s="19" t="str">
        <x:v>独立判定</x:v>
      </x:c>
    </x:row>
    <x:row r="4120" ht="19" customHeight="1">
      <x:c r="A4120" s="19" t="str">
        <x:v>D04116</x:v>
      </x:c>
      <x:c r="B4120" s="19" t="n">
        <x:v>9</x:v>
      </x:c>
      <x:c r="C4120" s="19" t="n">
        <x:v>1</x:v>
      </x:c>
      <x:c r="D4120" s="19" t="str">
        <x:v>C09-M012</x:v>
      </x:c>
      <x:c r="E4120" s="19" t="str">
        <x:v>金叶祭王·萨鲁恩</x:v>
      </x:c>
      <x:c r="F4120" s="19" t="str">
        <x:v>地图BOSS</x:v>
      </x:c>
      <x:c r="G4120" s="19" t="str">
        <x:v>材料独立候选</x:v>
      </x:c>
      <x:c r="H4120" s="19" t="str">
        <x:v>黄金律印</x:v>
      </x:c>
      <x:c r="I4120" s="22" t="n">
        <x:v>300</x:v>
      </x:c>
      <x:c r="J4120" s="22" t="n">
        <x:v>7</x:v>
      </x:c>
      <x:c r="K4120" s="19" t="n">
        <x:v>1</x:v>
      </x:c>
      <x:c r="L4120" s="24" t="n">
        <x:v>62.474999999999994</x:v>
      </x:c>
      <x:c r="M4120" s="26" t="n">
        <x:v>0.1</x:v>
      </x:c>
      <x:c r="N4120" s="24" t="n">
        <x:v>2</x:v>
      </x:c>
      <x:c r="O4120" s="28" t="n">
        <x:f>MIN(1,L4120/I4120)</x:f>
        <x:v>0.20825</x:v>
      </x:c>
      <x:c r="P4120" s="30" t="n">
        <x:f>O4120*J4120*(1+M4120)</x:f>
        <x:v>1.603525</x:v>
      </x:c>
      <x:c r="Q4120" s="30" t="n">
        <x:f>P4120*N4120</x:f>
        <x:v>3.20705</x:v>
      </x:c>
      <x:c r="R4120" s="19" t="str">
        <x:v>独立判定</x:v>
      </x:c>
    </x:row>
    <x:row r="4121" ht="19" customHeight="1">
      <x:c r="A4121" s="19" t="str">
        <x:v>D04117</x:v>
      </x:c>
      <x:c r="B4121" s="19" t="n">
        <x:v>9</x:v>
      </x:c>
      <x:c r="C4121" s="19" t="n">
        <x:v>1</x:v>
      </x:c>
      <x:c r="D4121" s="19" t="str">
        <x:v>C09-M012</x:v>
      </x:c>
      <x:c r="E4121" s="19" t="str">
        <x:v>金叶祭王·萨鲁恩</x:v>
      </x:c>
      <x:c r="F4121" s="19" t="str">
        <x:v>地图BOSS</x:v>
      </x:c>
      <x:c r="G4121" s="19" t="str">
        <x:v>材料独立候选</x:v>
      </x:c>
      <x:c r="H4121" s="19" t="str">
        <x:v>裁文蜡封</x:v>
      </x:c>
      <x:c r="I4121" s="22" t="n">
        <x:v>250</x:v>
      </x:c>
      <x:c r="J4121" s="22" t="n">
        <x:v>3</x:v>
      </x:c>
      <x:c r="K4121" s="19" t="n">
        <x:v>1</x:v>
      </x:c>
      <x:c r="L4121" s="24" t="n">
        <x:v>62.474999999999994</x:v>
      </x:c>
      <x:c r="M4121" s="26" t="n">
        <x:v>0.1</x:v>
      </x:c>
      <x:c r="N4121" s="24" t="n">
        <x:v>2</x:v>
      </x:c>
      <x:c r="O4121" s="28" t="n">
        <x:f>MIN(1,L4121/I4121)</x:f>
        <x:v>0.24989999999999998</x:v>
      </x:c>
      <x:c r="P4121" s="30" t="n">
        <x:f>O4121*J4121*(1+M4121)</x:f>
        <x:v>0.82467</x:v>
      </x:c>
      <x:c r="Q4121" s="30" t="n">
        <x:f>P4121*N4121</x:f>
        <x:v>1.64934</x:v>
      </x:c>
      <x:c r="R4121" s="19" t="str">
        <x:v>独立判定</x:v>
      </x:c>
    </x:row>
    <x:row r="4122" ht="19" customHeight="1">
      <x:c r="A4122" s="19" t="str">
        <x:v>D04118</x:v>
      </x:c>
      <x:c r="B4122" s="19" t="n">
        <x:v>9</x:v>
      </x:c>
      <x:c r="C4122" s="19" t="n">
        <x:v>1</x:v>
      </x:c>
      <x:c r="D4122" s="19" t="str">
        <x:v>C09-M012</x:v>
      </x:c>
      <x:c r="E4122" s="19" t="str">
        <x:v>金叶祭王·萨鲁恩</x:v>
      </x:c>
      <x:c r="F4122" s="19" t="str">
        <x:v>地图BOSS</x:v>
      </x:c>
      <x:c r="G4122" s="19" t="str">
        <x:v>材料独立候选</x:v>
      </x:c>
      <x:c r="H4122" s="19" t="str">
        <x:v>古坛鎏叶髓</x:v>
      </x:c>
      <x:c r="I4122" s="22" t="n">
        <x:v>1000000</x:v>
      </x:c>
      <x:c r="J4122" s="22" t="n">
        <x:v>1</x:v>
      </x:c>
      <x:c r="K4122" s="19" t="n">
        <x:v>1</x:v>
      </x:c>
      <x:c r="L4122" s="24" t="n">
        <x:v>62.474999999999994</x:v>
      </x:c>
      <x:c r="M4122" s="26" t="n">
        <x:v>0.1</x:v>
      </x:c>
      <x:c r="N4122" s="24" t="n">
        <x:v>2</x:v>
      </x:c>
      <x:c r="O4122" s="28" t="n">
        <x:f>MIN(1,L4122/I4122)</x:f>
        <x:v>0.000062475</x:v>
      </x:c>
      <x:c r="P4122" s="30" t="n">
        <x:f>O4122*J4122*(1+M4122)</x:f>
        <x:v>0.0000687225</x:v>
      </x:c>
      <x:c r="Q4122" s="30" t="n">
        <x:f>P4122*N4122</x:f>
        <x:v>0.000137445</x:v>
      </x:c>
      <x:c r="R4122" s="19" t="str">
        <x:v>独立判定</x:v>
      </x:c>
    </x:row>
    <x:row r="4123" ht="19" customHeight="1">
      <x:c r="A4123" s="19" t="str">
        <x:v>D04119</x:v>
      </x:c>
      <x:c r="B4123" s="19" t="n">
        <x:v>9</x:v>
      </x:c>
      <x:c r="C4123" s="19" t="n">
        <x:v>1</x:v>
      </x:c>
      <x:c r="D4123" s="19" t="str">
        <x:v>C09-M012</x:v>
      </x:c>
      <x:c r="E4123" s="19" t="str">
        <x:v>金叶祭王·萨鲁恩</x:v>
      </x:c>
      <x:c r="F4123" s="19" t="str">
        <x:v>地图BOSS</x:v>
      </x:c>
      <x:c r="G4123" s="19" t="str">
        <x:v>材料独立候选</x:v>
      </x:c>
      <x:c r="H4123" s="19" t="str">
        <x:v>黄金树芽</x:v>
      </x:c>
      <x:c r="I4123" s="22" t="n">
        <x:v>8000</x:v>
      </x:c>
      <x:c r="J4123" s="22" t="n">
        <x:v>1</x:v>
      </x:c>
      <x:c r="K4123" s="19" t="n">
        <x:v>1</x:v>
      </x:c>
      <x:c r="L4123" s="24" t="n">
        <x:v>62.474999999999994</x:v>
      </x:c>
      <x:c r="M4123" s="26" t="n">
        <x:v>0.1</x:v>
      </x:c>
      <x:c r="N4123" s="24" t="n">
        <x:v>2</x:v>
      </x:c>
      <x:c r="O4123" s="28" t="n">
        <x:f>MIN(1,L4123/I4123)</x:f>
        <x:v>0.0078093749999999995</x:v>
      </x:c>
      <x:c r="P4123" s="30" t="n">
        <x:f>O4123*J4123*(1+M4123)</x:f>
        <x:v>0.0085903125</x:v>
      </x:c>
      <x:c r="Q4123" s="30" t="n">
        <x:f>P4123*N4123</x:f>
        <x:v>0.017180625</x:v>
      </x:c>
      <x:c r="R4123" s="19" t="str">
        <x:v>独立判定</x:v>
      </x:c>
    </x:row>
    <x:row r="4124" ht="19" customHeight="1">
      <x:c r="A4124" s="19" t="str">
        <x:v>D04120</x:v>
      </x:c>
      <x:c r="B4124" s="19" t="n">
        <x:v>9</x:v>
      </x:c>
      <x:c r="C4124" s="19" t="n">
        <x:v>1</x:v>
      </x:c>
      <x:c r="D4124" s="19" t="str">
        <x:v>C09-M012</x:v>
      </x:c>
      <x:c r="E4124" s="19" t="str">
        <x:v>金叶祭王·萨鲁恩</x:v>
      </x:c>
      <x:c r="F4124" s="19" t="str">
        <x:v>地图BOSS</x:v>
      </x:c>
      <x:c r="G4124" s="19" t="str">
        <x:v>材料独立候选</x:v>
      </x:c>
      <x:c r="H4124" s="19" t="str">
        <x:v>野兽骨片</x:v>
      </x:c>
      <x:c r="I4124" s="22" t="n">
        <x:v>100</x:v>
      </x:c>
      <x:c r="J4124" s="22" t="n">
        <x:v>5</x:v>
      </x:c>
      <x:c r="K4124" s="19" t="n">
        <x:v>1</x:v>
      </x:c>
      <x:c r="L4124" s="24" t="n">
        <x:v>62.474999999999994</x:v>
      </x:c>
      <x:c r="M4124" s="26" t="n">
        <x:v>0.1</x:v>
      </x:c>
      <x:c r="N4124" s="24" t="n">
        <x:v>2</x:v>
      </x:c>
      <x:c r="O4124" s="28" t="n">
        <x:f>MIN(1,L4124/I4124)</x:f>
        <x:v>0.6247499999999999</x:v>
      </x:c>
      <x:c r="P4124" s="30" t="n">
        <x:f>O4124*J4124*(1+M4124)</x:f>
        <x:v>3.4361249999999997</x:v>
      </x:c>
      <x:c r="Q4124" s="30" t="n">
        <x:f>P4124*N4124</x:f>
        <x:v>6.872249999999999</x:v>
      </x:c>
      <x:c r="R4124" s="19" t="str">
        <x:v>独立判定</x:v>
      </x:c>
    </x:row>
    <x:row r="4125" ht="19" customHeight="1">
      <x:c r="A4125" s="19" t="str">
        <x:v>D04121</x:v>
      </x:c>
      <x:c r="B4125" s="19" t="n">
        <x:v>9</x:v>
      </x:c>
      <x:c r="C4125" s="19" t="n">
        <x:v>1</x:v>
      </x:c>
      <x:c r="D4125" s="19" t="str">
        <x:v>C09-M012</x:v>
      </x:c>
      <x:c r="E4125" s="19" t="str">
        <x:v>金叶祭王·萨鲁恩</x:v>
      </x:c>
      <x:c r="F4125" s="19" t="str">
        <x:v>地图BOSS</x:v>
      </x:c>
      <x:c r="G4125" s="19" t="str">
        <x:v>材料独立候选</x:v>
      </x:c>
      <x:c r="H4125" s="19" t="str">
        <x:v>技能残页</x:v>
      </x:c>
      <x:c r="I4125" s="22" t="n">
        <x:v>800</x:v>
      </x:c>
      <x:c r="J4125" s="22" t="n">
        <x:v>1</x:v>
      </x:c>
      <x:c r="K4125" s="19" t="n">
        <x:v>1</x:v>
      </x:c>
      <x:c r="L4125" s="24" t="n">
        <x:v>62.474999999999994</x:v>
      </x:c>
      <x:c r="M4125" s="26" t="n">
        <x:v>0.1</x:v>
      </x:c>
      <x:c r="N4125" s="24" t="n">
        <x:v>2</x:v>
      </x:c>
      <x:c r="O4125" s="28" t="n">
        <x:f>MIN(1,L4125/I4125)</x:f>
        <x:v>0.07809374999999999</x:v>
      </x:c>
      <x:c r="P4125" s="30" t="n">
        <x:f>O4125*J4125*(1+M4125)</x:f>
        <x:v>0.085903125</x:v>
      </x:c>
      <x:c r="Q4125" s="30" t="n">
        <x:f>P4125*N4125</x:f>
        <x:v>0.17180625</x:v>
      </x:c>
      <x:c r="R4125" s="19" t="str">
        <x:v>独立判定</x:v>
      </x:c>
    </x:row>
    <x:row r="4126" ht="19" customHeight="1">
      <x:c r="A4126" s="19" t="str">
        <x:v>D04122</x:v>
      </x:c>
      <x:c r="B4126" s="19" t="n">
        <x:v>9</x:v>
      </x:c>
      <x:c r="C4126" s="19" t="n">
        <x:v>1</x:v>
      </x:c>
      <x:c r="D4126" s="19" t="str">
        <x:v>C09-M012</x:v>
      </x:c>
      <x:c r="E4126" s="19" t="str">
        <x:v>金叶祭王·萨鲁恩</x:v>
      </x:c>
      <x:c r="F4126" s="19" t="str">
        <x:v>地图BOSS</x:v>
      </x:c>
      <x:c r="G4126" s="19" t="str">
        <x:v>材料独立候选</x:v>
      </x:c>
      <x:c r="H4126" s="19" t="str">
        <x:v>宁姆格福誓页</x:v>
      </x:c>
      <x:c r="I4126" s="22" t="n">
        <x:v>800</x:v>
      </x:c>
      <x:c r="J4126" s="22" t="n">
        <x:v>1</x:v>
      </x:c>
      <x:c r="K4126" s="19" t="n">
        <x:v>1</x:v>
      </x:c>
      <x:c r="L4126" s="24" t="n">
        <x:v>62.474999999999994</x:v>
      </x:c>
      <x:c r="M4126" s="26" t="n">
        <x:v>0.1</x:v>
      </x:c>
      <x:c r="N4126" s="24" t="n">
        <x:v>2</x:v>
      </x:c>
      <x:c r="O4126" s="28" t="n">
        <x:f>MIN(1,L4126/I4126)</x:f>
        <x:v>0.07809374999999999</x:v>
      </x:c>
      <x:c r="P4126" s="30" t="n">
        <x:f>O4126*J4126*(1+M4126)</x:f>
        <x:v>0.085903125</x:v>
      </x:c>
      <x:c r="Q4126" s="30" t="n">
        <x:f>P4126*N4126</x:f>
        <x:v>0.17180625</x:v>
      </x:c>
      <x:c r="R4126" s="19" t="str">
        <x:v>独立判定</x:v>
      </x:c>
    </x:row>
    <x:row r="4127" ht="19" customHeight="1">
      <x:c r="A4127" s="19" t="str">
        <x:v>D04123</x:v>
      </x:c>
      <x:c r="B4127" s="19" t="n">
        <x:v>9</x:v>
      </x:c>
      <x:c r="C4127" s="19" t="n">
        <x:v>1</x:v>
      </x:c>
      <x:c r="D4127" s="19" t="str">
        <x:v>C09-M012</x:v>
      </x:c>
      <x:c r="E4127" s="19" t="str">
        <x:v>金叶祭王·萨鲁恩</x:v>
      </x:c>
      <x:c r="F4127" s="19" t="str">
        <x:v>地图BOSS</x:v>
      </x:c>
      <x:c r="G4127" s="19" t="str">
        <x:v>材料独立候选</x:v>
      </x:c>
      <x:c r="H4127" s="19" t="str">
        <x:v>小卢恩</x:v>
      </x:c>
      <x:c r="I4127" s="22" t="n">
        <x:v>6000</x:v>
      </x:c>
      <x:c r="J4127" s="22" t="n">
        <x:v>1</x:v>
      </x:c>
      <x:c r="K4127" s="19" t="n">
        <x:v>1</x:v>
      </x:c>
      <x:c r="L4127" s="24" t="n">
        <x:v>62.474999999999994</x:v>
      </x:c>
      <x:c r="M4127" s="26" t="n">
        <x:v>0.1</x:v>
      </x:c>
      <x:c r="N4127" s="24" t="n">
        <x:v>2</x:v>
      </x:c>
      <x:c r="O4127" s="28" t="n">
        <x:f>MIN(1,L4127/I4127)</x:f>
        <x:v>0.0104125</x:v>
      </x:c>
      <x:c r="P4127" s="30" t="n">
        <x:f>O4127*J4127*(1+M4127)</x:f>
        <x:v>0.01145375</x:v>
      </x:c>
      <x:c r="Q4127" s="30" t="n">
        <x:f>P4127*N4127</x:f>
        <x:v>0.0229075</x:v>
      </x:c>
      <x:c r="R4127" s="19" t="str">
        <x:v>独立判定</x:v>
      </x:c>
    </x:row>
    <x:row r="4128" ht="19" customHeight="1">
      <x:c r="A4128" s="19" t="str">
        <x:v>D04124</x:v>
      </x:c>
      <x:c r="B4128" s="19" t="n">
        <x:v>9</x:v>
      </x:c>
      <x:c r="C4128" s="19" t="n">
        <x:v>1</x:v>
      </x:c>
      <x:c r="D4128" s="19" t="str">
        <x:v>C09-M012</x:v>
      </x:c>
      <x:c r="E4128" s="19" t="str">
        <x:v>金叶祭王·萨鲁恩</x:v>
      </x:c>
      <x:c r="F4128" s="19" t="str">
        <x:v>地图BOSS</x:v>
      </x:c>
      <x:c r="G4128" s="19" t="str">
        <x:v>材料独立候选</x:v>
      </x:c>
      <x:c r="H4128" s="19" t="str">
        <x:v>大卢恩</x:v>
      </x:c>
      <x:c r="I4128" s="22" t="n">
        <x:v>600</x:v>
      </x:c>
      <x:c r="J4128" s="22" t="n">
        <x:v>1</x:v>
      </x:c>
      <x:c r="K4128" s="19" t="n">
        <x:v>1</x:v>
      </x:c>
      <x:c r="L4128" s="24" t="n">
        <x:v>62.474999999999994</x:v>
      </x:c>
      <x:c r="M4128" s="26" t="n">
        <x:v>0.1</x:v>
      </x:c>
      <x:c r="N4128" s="24" t="n">
        <x:v>2</x:v>
      </x:c>
      <x:c r="O4128" s="28" t="n">
        <x:f>MIN(1,L4128/I4128)</x:f>
        <x:v>0.104125</x:v>
      </x:c>
      <x:c r="P4128" s="30" t="n">
        <x:f>O4128*J4128*(1+M4128)</x:f>
        <x:v>0.1145375</x:v>
      </x:c>
      <x:c r="Q4128" s="30" t="n">
        <x:f>P4128*N4128</x:f>
        <x:v>0.229075</x:v>
      </x:c>
      <x:c r="R4128" s="19" t="str">
        <x:v>独立判定</x:v>
      </x:c>
    </x:row>
    <x:row r="4129" ht="19" customHeight="1">
      <x:c r="A4129" s="19" t="str">
        <x:v>D04125</x:v>
      </x:c>
      <x:c r="B4129" s="19" t="n">
        <x:v>9</x:v>
      </x:c>
      <x:c r="C4129" s="19" t="n">
        <x:v>1</x:v>
      </x:c>
      <x:c r="D4129" s="19" t="str">
        <x:v>C09-M012</x:v>
      </x:c>
      <x:c r="E4129" s="19" t="str">
        <x:v>金叶祭王·萨鲁恩</x:v>
      </x:c>
      <x:c r="F4129" s="19" t="str">
        <x:v>地图BOSS</x:v>
      </x:c>
      <x:c r="G4129" s="19" t="str">
        <x:v>材料独立候选</x:v>
      </x:c>
      <x:c r="H4129" s="19" t="str">
        <x:v>巨人熔火卢恩</x:v>
      </x:c>
      <x:c r="I4129" s="22" t="n">
        <x:v>800</x:v>
      </x:c>
      <x:c r="J4129" s="22" t="n">
        <x:v>1</x:v>
      </x:c>
      <x:c r="K4129" s="19" t="n">
        <x:v>1</x:v>
      </x:c>
      <x:c r="L4129" s="24" t="n">
        <x:v>62.474999999999994</x:v>
      </x:c>
      <x:c r="M4129" s="26" t="n">
        <x:v>0.1</x:v>
      </x:c>
      <x:c r="N4129" s="24" t="n">
        <x:v>2</x:v>
      </x:c>
      <x:c r="O4129" s="28" t="n">
        <x:f>MIN(1,L4129/I4129)</x:f>
        <x:v>0.07809374999999999</x:v>
      </x:c>
      <x:c r="P4129" s="30" t="n">
        <x:f>O4129*J4129*(1+M4129)</x:f>
        <x:v>0.085903125</x:v>
      </x:c>
      <x:c r="Q4129" s="30" t="n">
        <x:f>P4129*N4129</x:f>
        <x:v>0.17180625</x:v>
      </x:c>
      <x:c r="R4129" s="19" t="str">
        <x:v>独立判定</x:v>
      </x:c>
    </x:row>
    <x:row r="4130" ht="19" customHeight="1">
      <x:c r="A4130" s="19" t="str">
        <x:v>D04126</x:v>
      </x:c>
      <x:c r="B4130" s="19" t="n">
        <x:v>9</x:v>
      </x:c>
      <x:c r="C4130" s="19" t="n">
        <x:v>1</x:v>
      </x:c>
      <x:c r="D4130" s="19" t="str">
        <x:v>C09-M012</x:v>
      </x:c>
      <x:c r="E4130" s="19" t="str">
        <x:v>金叶祭王·萨鲁恩</x:v>
      </x:c>
      <x:c r="F4130" s="19" t="str">
        <x:v>地图BOSS</x:v>
      </x:c>
      <x:c r="G4130" s="19" t="str">
        <x:v>六神器公共池</x:v>
      </x:c>
      <x:c r="H4130" s="19" t="str">
        <x:v>POOL006</x:v>
      </x:c>
      <x:c r="I4130" s="22" t="n">
        <x:v>200000</x:v>
      </x:c>
      <x:c r="J4130" s="22" t="n">
        <x:v>1</x:v>
      </x:c>
      <x:c r="K4130" s="19" t="n">
        <x:v>6</x:v>
      </x:c>
      <x:c r="L4130" s="24" t="n">
        <x:v>62.474999999999994</x:v>
      </x:c>
      <x:c r="M4130" s="26" t="n">
        <x:v>0.1</x:v>
      </x:c>
      <x:c r="N4130" s="24" t="n">
        <x:v>2</x:v>
      </x:c>
      <x:c r="O4130" s="28" t="n">
        <x:f>MIN(1,L4130/I4130)</x:f>
        <x:v>0.000312375</x:v>
      </x:c>
      <x:c r="P4130" s="30" t="n">
        <x:f>O4130*J4130*(1+M4130)</x:f>
        <x:v>0.00034361250000000004</x:v>
      </x:c>
      <x:c r="Q4130" s="30" t="n">
        <x:f>P4130*N4130</x:f>
        <x:v>0.0006872250000000001</x:v>
      </x:c>
      <x:c r="R4130" s="19" t="str">
        <x:v>六选一；非6个独立爆率</x:v>
      </x:c>
    </x:row>
    <x:row r="4131" ht="19" customHeight="1">
      <x:c r="A4131" s="19" t="str">
        <x:v>D04127</x:v>
      </x:c>
      <x:c r="B4131" s="19" t="n">
        <x:v>9</x:v>
      </x:c>
      <x:c r="C4131" s="19" t="n">
        <x:v>2</x:v>
      </x:c>
      <x:c r="D4131" s="19" t="str">
        <x:v>C09-M013</x:v>
      </x:c>
      <x:c r="E4131" s="19" t="str">
        <x:v>矿脉啮岩鼠</x:v>
      </x:c>
      <x:c r="F4131" s="19" t="str">
        <x:v>普通</x:v>
      </x:c>
      <x:c r="G4131" s="19" t="str">
        <x:v>自身专属</x:v>
      </x:c>
      <x:c r="H4131" s="19" t="str">
        <x:v>啮岩鼠爪靴</x:v>
      </x:c>
      <x:c r="I4131" s="22" t="n">
        <x:v>6000</x:v>
      </x:c>
      <x:c r="J4131" s="22" t="n">
        <x:v>1</x:v>
      </x:c>
      <x:c r="K4131" s="19" t="n">
        <x:v>1</x:v>
      </x:c>
      <x:c r="L4131" s="24" t="n">
        <x:v>59.123</x:v>
      </x:c>
      <x:c r="M4131" s="26" t="n">
        <x:v>0.1</x:v>
      </x:c>
      <x:c r="N4131" s="24" t="n">
        <x:v>72</x:v>
      </x:c>
      <x:c r="O4131" s="28" t="n">
        <x:f>MIN(1,L4131/I4131)</x:f>
        <x:v>0.009853833333333333</x:v>
      </x:c>
      <x:c r="P4131" s="30" t="n">
        <x:f>O4131*J4131*(1+M4131)</x:f>
        <x:v>0.010839216666666667</x:v>
      </x:c>
      <x:c r="Q4131" s="30" t="n">
        <x:f>P4131*N4131</x:f>
        <x:v>0.7804236</x:v>
      </x:c>
      <x:c r="R4131" s="19" t="str">
        <x:v>独立判定</x:v>
      </x:c>
    </x:row>
    <x:row r="4132" ht="19" customHeight="1">
      <x:c r="A4132" s="19" t="str">
        <x:v>D04128</x:v>
      </x:c>
      <x:c r="B4132" s="19" t="n">
        <x:v>9</x:v>
      </x:c>
      <x:c r="C4132" s="19" t="n">
        <x:v>2</x:v>
      </x:c>
      <x:c r="D4132" s="19" t="str">
        <x:v>C09-M013</x:v>
      </x:c>
      <x:c r="E4132" s="19" t="str">
        <x:v>矿脉啮岩鼠</x:v>
      </x:c>
      <x:c r="F4132" s="19" t="str">
        <x:v>普通</x:v>
      </x:c>
      <x:c r="G4132" s="19" t="str">
        <x:v>材料独立候选</x:v>
      </x:c>
      <x:c r="H4132" s="19" t="str">
        <x:v>黄金叶脉</x:v>
      </x:c>
      <x:c r="I4132" s="22" t="n">
        <x:v>1500</x:v>
      </x:c>
      <x:c r="J4132" s="22" t="n">
        <x:v>8</x:v>
      </x:c>
      <x:c r="K4132" s="19" t="n">
        <x:v>1</x:v>
      </x:c>
      <x:c r="L4132" s="24" t="n">
        <x:v>59.123</x:v>
      </x:c>
      <x:c r="M4132" s="26" t="n">
        <x:v>0.1</x:v>
      </x:c>
      <x:c r="N4132" s="24" t="n">
        <x:v>72</x:v>
      </x:c>
      <x:c r="O4132" s="28" t="n">
        <x:f>MIN(1,L4132/I4132)</x:f>
        <x:v>0.03941533333333333</x:v>
      </x:c>
      <x:c r="P4132" s="30" t="n">
        <x:f>O4132*J4132*(1+M4132)</x:f>
        <x:v>0.34685493333333334</x:v>
      </x:c>
      <x:c r="Q4132" s="30" t="n">
        <x:f>P4132*N4132</x:f>
        <x:v>24.9735552</x:v>
      </x:c>
      <x:c r="R4132" s="19" t="str">
        <x:v>独立判定</x:v>
      </x:c>
    </x:row>
    <x:row r="4133" ht="19" customHeight="1">
      <x:c r="A4133" s="19" t="str">
        <x:v>D04129</x:v>
      </x:c>
      <x:c r="B4133" s="19" t="n">
        <x:v>9</x:v>
      </x:c>
      <x:c r="C4133" s="19" t="n">
        <x:v>2</x:v>
      </x:c>
      <x:c r="D4133" s="19" t="str">
        <x:v>C09-M013</x:v>
      </x:c>
      <x:c r="E4133" s="19" t="str">
        <x:v>矿脉啮岩鼠</x:v>
      </x:c>
      <x:c r="F4133" s="19" t="str">
        <x:v>普通</x:v>
      </x:c>
      <x:c r="G4133" s="19" t="str">
        <x:v>材料独立候选</x:v>
      </x:c>
      <x:c r="H4133" s="19" t="str">
        <x:v>金叶驿票</x:v>
      </x:c>
      <x:c r="I4133" s="22" t="n">
        <x:v>15000</x:v>
      </x:c>
      <x:c r="J4133" s="22" t="n">
        <x:v>1</x:v>
      </x:c>
      <x:c r="K4133" s="19" t="n">
        <x:v>1</x:v>
      </x:c>
      <x:c r="L4133" s="24" t="n">
        <x:v>59.123</x:v>
      </x:c>
      <x:c r="M4133" s="26" t="n">
        <x:v>0.1</x:v>
      </x:c>
      <x:c r="N4133" s="24" t="n">
        <x:v>72</x:v>
      </x:c>
      <x:c r="O4133" s="28" t="n">
        <x:f>MIN(1,L4133/I4133)</x:f>
        <x:v>0.003941533333333333</x:v>
      </x:c>
      <x:c r="P4133" s="30" t="n">
        <x:f>O4133*J4133*(1+M4133)</x:f>
        <x:v>0.004335686666666666</x:v>
      </x:c>
      <x:c r="Q4133" s="30" t="n">
        <x:f>P4133*N4133</x:f>
        <x:v>0.31216943999999996</x:v>
      </x:c>
      <x:c r="R4133" s="19" t="str">
        <x:v>独立判定</x:v>
      </x:c>
    </x:row>
    <x:row r="4134" ht="19" customHeight="1">
      <x:c r="A4134" s="19" t="str">
        <x:v>D04130</x:v>
      </x:c>
      <x:c r="B4134" s="19" t="n">
        <x:v>9</x:v>
      </x:c>
      <x:c r="C4134" s="19" t="n">
        <x:v>2</x:v>
      </x:c>
      <x:c r="D4134" s="19" t="str">
        <x:v>C09-M013</x:v>
      </x:c>
      <x:c r="E4134" s="19" t="str">
        <x:v>矿脉啮岩鼠</x:v>
      </x:c>
      <x:c r="F4134" s="19" t="str">
        <x:v>普通</x:v>
      </x:c>
      <x:c r="G4134" s="19" t="str">
        <x:v>材料独立候选</x:v>
      </x:c>
      <x:c r="H4134" s="19" t="str">
        <x:v>古坛鎏叶髓</x:v>
      </x:c>
      <x:c r="I4134" s="22" t="n">
        <x:v>2500000</x:v>
      </x:c>
      <x:c r="J4134" s="22" t="n">
        <x:v>1</x:v>
      </x:c>
      <x:c r="K4134" s="19" t="n">
        <x:v>1</x:v>
      </x:c>
      <x:c r="L4134" s="24" t="n">
        <x:v>59.123</x:v>
      </x:c>
      <x:c r="M4134" s="26" t="n">
        <x:v>0.1</x:v>
      </x:c>
      <x:c r="N4134" s="24" t="n">
        <x:v>72</x:v>
      </x:c>
      <x:c r="O4134" s="28" t="n">
        <x:f>MIN(1,L4134/I4134)</x:f>
        <x:v>0.0000236492</x:v>
      </x:c>
      <x:c r="P4134" s="30" t="n">
        <x:f>O4134*J4134*(1+M4134)</x:f>
        <x:v>0.000026014120000000004</x:v>
      </x:c>
      <x:c r="Q4134" s="30" t="n">
        <x:f>P4134*N4134</x:f>
        <x:v>0.0018730166400000002</x:v>
      </x:c>
      <x:c r="R4134" s="19" t="str">
        <x:v>独立判定</x:v>
      </x:c>
    </x:row>
    <x:row r="4135" ht="19" customHeight="1">
      <x:c r="A4135" s="19" t="str">
        <x:v>D04131</x:v>
      </x:c>
      <x:c r="B4135" s="19" t="n">
        <x:v>9</x:v>
      </x:c>
      <x:c r="C4135" s="19" t="n">
        <x:v>2</x:v>
      </x:c>
      <x:c r="D4135" s="19" t="str">
        <x:v>C09-M013</x:v>
      </x:c>
      <x:c r="E4135" s="19" t="str">
        <x:v>矿脉啮岩鼠</x:v>
      </x:c>
      <x:c r="F4135" s="19" t="str">
        <x:v>普通</x:v>
      </x:c>
      <x:c r="G4135" s="19" t="str">
        <x:v>材料独立候选</x:v>
      </x:c>
      <x:c r="H4135" s="19" t="str">
        <x:v>野兽骨片</x:v>
      </x:c>
      <x:c r="I4135" s="22" t="n">
        <x:v>300</x:v>
      </x:c>
      <x:c r="J4135" s="22" t="n">
        <x:v>5</x:v>
      </x:c>
      <x:c r="K4135" s="19" t="n">
        <x:v>1</x:v>
      </x:c>
      <x:c r="L4135" s="24" t="n">
        <x:v>59.123</x:v>
      </x:c>
      <x:c r="M4135" s="26" t="n">
        <x:v>0.1</x:v>
      </x:c>
      <x:c r="N4135" s="24" t="n">
        <x:v>72</x:v>
      </x:c>
      <x:c r="O4135" s="28" t="n">
        <x:f>MIN(1,L4135/I4135)</x:f>
        <x:v>0.19707666666666665</x:v>
      </x:c>
      <x:c r="P4135" s="30" t="n">
        <x:f>O4135*J4135*(1+M4135)</x:f>
        <x:v>1.0839216666666667</x:v>
      </x:c>
      <x:c r="Q4135" s="30" t="n">
        <x:f>P4135*N4135</x:f>
        <x:v>78.04236</x:v>
      </x:c>
      <x:c r="R4135" s="19" t="str">
        <x:v>独立判定</x:v>
      </x:c>
    </x:row>
    <x:row r="4136" ht="19" customHeight="1">
      <x:c r="A4136" s="19" t="str">
        <x:v>D04132</x:v>
      </x:c>
      <x:c r="B4136" s="19" t="n">
        <x:v>9</x:v>
      </x:c>
      <x:c r="C4136" s="19" t="n">
        <x:v>2</x:v>
      </x:c>
      <x:c r="D4136" s="19" t="str">
        <x:v>C09-M013</x:v>
      </x:c>
      <x:c r="E4136" s="19" t="str">
        <x:v>矿脉啮岩鼠</x:v>
      </x:c>
      <x:c r="F4136" s="19" t="str">
        <x:v>普通</x:v>
      </x:c>
      <x:c r="G4136" s="19" t="str">
        <x:v>材料独立候选</x:v>
      </x:c>
      <x:c r="H4136" s="19" t="str">
        <x:v>技能残页</x:v>
      </x:c>
      <x:c r="I4136" s="22" t="n">
        <x:v>2500</x:v>
      </x:c>
      <x:c r="J4136" s="22" t="n">
        <x:v>1</x:v>
      </x:c>
      <x:c r="K4136" s="19" t="n">
        <x:v>1</x:v>
      </x:c>
      <x:c r="L4136" s="24" t="n">
        <x:v>59.123</x:v>
      </x:c>
      <x:c r="M4136" s="26" t="n">
        <x:v>0.1</x:v>
      </x:c>
      <x:c r="N4136" s="24" t="n">
        <x:v>72</x:v>
      </x:c>
      <x:c r="O4136" s="28" t="n">
        <x:f>MIN(1,L4136/I4136)</x:f>
        <x:v>0.0236492</x:v>
      </x:c>
      <x:c r="P4136" s="30" t="n">
        <x:f>O4136*J4136*(1+M4136)</x:f>
        <x:v>0.02601412</x:v>
      </x:c>
      <x:c r="Q4136" s="30" t="n">
        <x:f>P4136*N4136</x:f>
        <x:v>1.8730166400000001</x:v>
      </x:c>
      <x:c r="R4136" s="19" t="str">
        <x:v>独立判定</x:v>
      </x:c>
    </x:row>
    <x:row r="4137" ht="19" customHeight="1">
      <x:c r="A4137" s="19" t="str">
        <x:v>D04133</x:v>
      </x:c>
      <x:c r="B4137" s="19" t="n">
        <x:v>9</x:v>
      </x:c>
      <x:c r="C4137" s="19" t="n">
        <x:v>2</x:v>
      </x:c>
      <x:c r="D4137" s="19" t="str">
        <x:v>C09-M013</x:v>
      </x:c>
      <x:c r="E4137" s="19" t="str">
        <x:v>矿脉啮岩鼠</x:v>
      </x:c>
      <x:c r="F4137" s="19" t="str">
        <x:v>普通</x:v>
      </x:c>
      <x:c r="G4137" s="19" t="str">
        <x:v>材料独立候选</x:v>
      </x:c>
      <x:c r="H4137" s="19" t="str">
        <x:v>小卢恩</x:v>
      </x:c>
      <x:c r="I4137" s="22" t="n">
        <x:v>18000</x:v>
      </x:c>
      <x:c r="J4137" s="22" t="n">
        <x:v>1</x:v>
      </x:c>
      <x:c r="K4137" s="19" t="n">
        <x:v>1</x:v>
      </x:c>
      <x:c r="L4137" s="24" t="n">
        <x:v>59.123</x:v>
      </x:c>
      <x:c r="M4137" s="26" t="n">
        <x:v>0.1</x:v>
      </x:c>
      <x:c r="N4137" s="24" t="n">
        <x:v>72</x:v>
      </x:c>
      <x:c r="O4137" s="28" t="n">
        <x:f>MIN(1,L4137/I4137)</x:f>
        <x:v>0.003284611111111111</x:v>
      </x:c>
      <x:c r="P4137" s="30" t="n">
        <x:f>O4137*J4137*(1+M4137)</x:f>
        <x:v>0.0036130722222222226</x:v>
      </x:c>
      <x:c r="Q4137" s="30" t="n">
        <x:f>P4137*N4137</x:f>
        <x:v>0.2601412</x:v>
      </x:c>
      <x:c r="R4137" s="19" t="str">
        <x:v>独立判定</x:v>
      </x:c>
    </x:row>
    <x:row r="4138" ht="19" customHeight="1">
      <x:c r="A4138" s="19" t="str">
        <x:v>D04134</x:v>
      </x:c>
      <x:c r="B4138" s="19" t="n">
        <x:v>9</x:v>
      </x:c>
      <x:c r="C4138" s="19" t="n">
        <x:v>2</x:v>
      </x:c>
      <x:c r="D4138" s="19" t="str">
        <x:v>C09-M013</x:v>
      </x:c>
      <x:c r="E4138" s="19" t="str">
        <x:v>矿脉啮岩鼠</x:v>
      </x:c>
      <x:c r="F4138" s="19" t="str">
        <x:v>普通</x:v>
      </x:c>
      <x:c r="G4138" s="19" t="str">
        <x:v>六神器公共池</x:v>
      </x:c>
      <x:c r="H4138" s="19" t="str">
        <x:v>POOL006</x:v>
      </x:c>
      <x:c r="I4138" s="22" t="n">
        <x:v>20000000</x:v>
      </x:c>
      <x:c r="J4138" s="22" t="n">
        <x:v>1</x:v>
      </x:c>
      <x:c r="K4138" s="19" t="n">
        <x:v>6</x:v>
      </x:c>
      <x:c r="L4138" s="24" t="n">
        <x:v>59.123</x:v>
      </x:c>
      <x:c r="M4138" s="26" t="n">
        <x:v>0.1</x:v>
      </x:c>
      <x:c r="N4138" s="24" t="n">
        <x:v>72</x:v>
      </x:c>
      <x:c r="O4138" s="28" t="n">
        <x:f>MIN(1,L4138/I4138)</x:f>
        <x:v>0.00000295615</x:v>
      </x:c>
      <x:c r="P4138" s="30" t="n">
        <x:f>O4138*J4138*(1+M4138)</x:f>
        <x:v>0.0000032517650000000005</x:v>
      </x:c>
      <x:c r="Q4138" s="30" t="n">
        <x:f>P4138*N4138</x:f>
        <x:v>0.00023412708000000002</x:v>
      </x:c>
      <x:c r="R4138" s="19" t="str">
        <x:v>六选一；非6个独立爆率</x:v>
      </x:c>
    </x:row>
    <x:row r="4139" ht="19" customHeight="1">
      <x:c r="A4139" s="19" t="str">
        <x:v>D04135</x:v>
      </x:c>
      <x:c r="B4139" s="19" t="n">
        <x:v>9</x:v>
      </x:c>
      <x:c r="C4139" s="19" t="n">
        <x:v>2</x:v>
      </x:c>
      <x:c r="D4139" s="19" t="str">
        <x:v>C09-M014</x:v>
      </x:c>
      <x:c r="E4139" s="19" t="str">
        <x:v>高原探脉客</x:v>
      </x:c>
      <x:c r="F4139" s="19" t="str">
        <x:v>普通</x:v>
      </x:c>
      <x:c r="G4139" s="19" t="str">
        <x:v>自身专属</x:v>
      </x:c>
      <x:c r="H4139" s="19" t="str">
        <x:v>探脉听石坠</x:v>
      </x:c>
      <x:c r="I4139" s="22" t="n">
        <x:v>6000</x:v>
      </x:c>
      <x:c r="J4139" s="22" t="n">
        <x:v>1</x:v>
      </x:c>
      <x:c r="K4139" s="19" t="n">
        <x:v>1</x:v>
      </x:c>
      <x:c r="L4139" s="24" t="n">
        <x:v>59.123</x:v>
      </x:c>
      <x:c r="M4139" s="26" t="n">
        <x:v>0.1</x:v>
      </x:c>
      <x:c r="N4139" s="24" t="n">
        <x:v>72</x:v>
      </x:c>
      <x:c r="O4139" s="28" t="n">
        <x:f>MIN(1,L4139/I4139)</x:f>
        <x:v>0.009853833333333333</x:v>
      </x:c>
      <x:c r="P4139" s="30" t="n">
        <x:f>O4139*J4139*(1+M4139)</x:f>
        <x:v>0.010839216666666667</x:v>
      </x:c>
      <x:c r="Q4139" s="30" t="n">
        <x:f>P4139*N4139</x:f>
        <x:v>0.7804236</x:v>
      </x:c>
      <x:c r="R4139" s="19" t="str">
        <x:v>独立判定</x:v>
      </x:c>
    </x:row>
    <x:row r="4140" ht="19" customHeight="1">
      <x:c r="A4140" s="19" t="str">
        <x:v>D04136</x:v>
      </x:c>
      <x:c r="B4140" s="19" t="n">
        <x:v>9</x:v>
      </x:c>
      <x:c r="C4140" s="19" t="n">
        <x:v>2</x:v>
      </x:c>
      <x:c r="D4140" s="19" t="str">
        <x:v>C09-M014</x:v>
      </x:c>
      <x:c r="E4140" s="19" t="str">
        <x:v>高原探脉客</x:v>
      </x:c>
      <x:c r="F4140" s="19" t="str">
        <x:v>普通</x:v>
      </x:c>
      <x:c r="G4140" s="19" t="str">
        <x:v>材料独立候选</x:v>
      </x:c>
      <x:c r="H4140" s="19" t="str">
        <x:v>黄金叶脉</x:v>
      </x:c>
      <x:c r="I4140" s="22" t="n">
        <x:v>1500</x:v>
      </x:c>
      <x:c r="J4140" s="22" t="n">
        <x:v>8</x:v>
      </x:c>
      <x:c r="K4140" s="19" t="n">
        <x:v>1</x:v>
      </x:c>
      <x:c r="L4140" s="24" t="n">
        <x:v>59.123</x:v>
      </x:c>
      <x:c r="M4140" s="26" t="n">
        <x:v>0.1</x:v>
      </x:c>
      <x:c r="N4140" s="24" t="n">
        <x:v>72</x:v>
      </x:c>
      <x:c r="O4140" s="28" t="n">
        <x:f>MIN(1,L4140/I4140)</x:f>
        <x:v>0.03941533333333333</x:v>
      </x:c>
      <x:c r="P4140" s="30" t="n">
        <x:f>O4140*J4140*(1+M4140)</x:f>
        <x:v>0.34685493333333334</x:v>
      </x:c>
      <x:c r="Q4140" s="30" t="n">
        <x:f>P4140*N4140</x:f>
        <x:v>24.9735552</x:v>
      </x:c>
      <x:c r="R4140" s="19" t="str">
        <x:v>独立判定</x:v>
      </x:c>
    </x:row>
    <x:row r="4141" ht="19" customHeight="1">
      <x:c r="A4141" s="19" t="str">
        <x:v>D04137</x:v>
      </x:c>
      <x:c r="B4141" s="19" t="n">
        <x:v>9</x:v>
      </x:c>
      <x:c r="C4141" s="19" t="n">
        <x:v>2</x:v>
      </x:c>
      <x:c r="D4141" s="19" t="str">
        <x:v>C09-M014</x:v>
      </x:c>
      <x:c r="E4141" s="19" t="str">
        <x:v>高原探脉客</x:v>
      </x:c>
      <x:c r="F4141" s="19" t="str">
        <x:v>普通</x:v>
      </x:c>
      <x:c r="G4141" s="19" t="str">
        <x:v>材料独立候选</x:v>
      </x:c>
      <x:c r="H4141" s="19" t="str">
        <x:v>金叶驿票</x:v>
      </x:c>
      <x:c r="I4141" s="22" t="n">
        <x:v>15000</x:v>
      </x:c>
      <x:c r="J4141" s="22" t="n">
        <x:v>1</x:v>
      </x:c>
      <x:c r="K4141" s="19" t="n">
        <x:v>1</x:v>
      </x:c>
      <x:c r="L4141" s="24" t="n">
        <x:v>59.123</x:v>
      </x:c>
      <x:c r="M4141" s="26" t="n">
        <x:v>0.1</x:v>
      </x:c>
      <x:c r="N4141" s="24" t="n">
        <x:v>72</x:v>
      </x:c>
      <x:c r="O4141" s="28" t="n">
        <x:f>MIN(1,L4141/I4141)</x:f>
        <x:v>0.003941533333333333</x:v>
      </x:c>
      <x:c r="P4141" s="30" t="n">
        <x:f>O4141*J4141*(1+M4141)</x:f>
        <x:v>0.004335686666666666</x:v>
      </x:c>
      <x:c r="Q4141" s="30" t="n">
        <x:f>P4141*N4141</x:f>
        <x:v>0.31216943999999996</x:v>
      </x:c>
      <x:c r="R4141" s="19" t="str">
        <x:v>独立判定</x:v>
      </x:c>
    </x:row>
    <x:row r="4142" ht="19" customHeight="1">
      <x:c r="A4142" s="19" t="str">
        <x:v>D04138</x:v>
      </x:c>
      <x:c r="B4142" s="19" t="n">
        <x:v>9</x:v>
      </x:c>
      <x:c r="C4142" s="19" t="n">
        <x:v>2</x:v>
      </x:c>
      <x:c r="D4142" s="19" t="str">
        <x:v>C09-M014</x:v>
      </x:c>
      <x:c r="E4142" s="19" t="str">
        <x:v>高原探脉客</x:v>
      </x:c>
      <x:c r="F4142" s="19" t="str">
        <x:v>普通</x:v>
      </x:c>
      <x:c r="G4142" s="19" t="str">
        <x:v>材料独立候选</x:v>
      </x:c>
      <x:c r="H4142" s="19" t="str">
        <x:v>古坛鎏叶髓</x:v>
      </x:c>
      <x:c r="I4142" s="22" t="n">
        <x:v>2500000</x:v>
      </x:c>
      <x:c r="J4142" s="22" t="n">
        <x:v>1</x:v>
      </x:c>
      <x:c r="K4142" s="19" t="n">
        <x:v>1</x:v>
      </x:c>
      <x:c r="L4142" s="24" t="n">
        <x:v>59.123</x:v>
      </x:c>
      <x:c r="M4142" s="26" t="n">
        <x:v>0.1</x:v>
      </x:c>
      <x:c r="N4142" s="24" t="n">
        <x:v>72</x:v>
      </x:c>
      <x:c r="O4142" s="28" t="n">
        <x:f>MIN(1,L4142/I4142)</x:f>
        <x:v>0.0000236492</x:v>
      </x:c>
      <x:c r="P4142" s="30" t="n">
        <x:f>O4142*J4142*(1+M4142)</x:f>
        <x:v>0.000026014120000000004</x:v>
      </x:c>
      <x:c r="Q4142" s="30" t="n">
        <x:f>P4142*N4142</x:f>
        <x:v>0.0018730166400000002</x:v>
      </x:c>
      <x:c r="R4142" s="19" t="str">
        <x:v>独立判定</x:v>
      </x:c>
    </x:row>
    <x:row r="4143" ht="19" customHeight="1">
      <x:c r="A4143" s="19" t="str">
        <x:v>D04139</x:v>
      </x:c>
      <x:c r="B4143" s="19" t="n">
        <x:v>9</x:v>
      </x:c>
      <x:c r="C4143" s="19" t="n">
        <x:v>2</x:v>
      </x:c>
      <x:c r="D4143" s="19" t="str">
        <x:v>C09-M014</x:v>
      </x:c>
      <x:c r="E4143" s="19" t="str">
        <x:v>高原探脉客</x:v>
      </x:c>
      <x:c r="F4143" s="19" t="str">
        <x:v>普通</x:v>
      </x:c>
      <x:c r="G4143" s="19" t="str">
        <x:v>材料独立候选</x:v>
      </x:c>
      <x:c r="H4143" s="19" t="str">
        <x:v>野兽骨片</x:v>
      </x:c>
      <x:c r="I4143" s="22" t="n">
        <x:v>300</x:v>
      </x:c>
      <x:c r="J4143" s="22" t="n">
        <x:v>5</x:v>
      </x:c>
      <x:c r="K4143" s="19" t="n">
        <x:v>1</x:v>
      </x:c>
      <x:c r="L4143" s="24" t="n">
        <x:v>59.123</x:v>
      </x:c>
      <x:c r="M4143" s="26" t="n">
        <x:v>0.1</x:v>
      </x:c>
      <x:c r="N4143" s="24" t="n">
        <x:v>72</x:v>
      </x:c>
      <x:c r="O4143" s="28" t="n">
        <x:f>MIN(1,L4143/I4143)</x:f>
        <x:v>0.19707666666666665</x:v>
      </x:c>
      <x:c r="P4143" s="30" t="n">
        <x:f>O4143*J4143*(1+M4143)</x:f>
        <x:v>1.0839216666666667</x:v>
      </x:c>
      <x:c r="Q4143" s="30" t="n">
        <x:f>P4143*N4143</x:f>
        <x:v>78.04236</x:v>
      </x:c>
      <x:c r="R4143" s="19" t="str">
        <x:v>独立判定</x:v>
      </x:c>
    </x:row>
    <x:row r="4144" ht="19" customHeight="1">
      <x:c r="A4144" s="19" t="str">
        <x:v>D04140</x:v>
      </x:c>
      <x:c r="B4144" s="19" t="n">
        <x:v>9</x:v>
      </x:c>
      <x:c r="C4144" s="19" t="n">
        <x:v>2</x:v>
      </x:c>
      <x:c r="D4144" s="19" t="str">
        <x:v>C09-M014</x:v>
      </x:c>
      <x:c r="E4144" s="19" t="str">
        <x:v>高原探脉客</x:v>
      </x:c>
      <x:c r="F4144" s="19" t="str">
        <x:v>普通</x:v>
      </x:c>
      <x:c r="G4144" s="19" t="str">
        <x:v>材料独立候选</x:v>
      </x:c>
      <x:c r="H4144" s="19" t="str">
        <x:v>技能残页</x:v>
      </x:c>
      <x:c r="I4144" s="22" t="n">
        <x:v>2500</x:v>
      </x:c>
      <x:c r="J4144" s="22" t="n">
        <x:v>1</x:v>
      </x:c>
      <x:c r="K4144" s="19" t="n">
        <x:v>1</x:v>
      </x:c>
      <x:c r="L4144" s="24" t="n">
        <x:v>59.123</x:v>
      </x:c>
      <x:c r="M4144" s="26" t="n">
        <x:v>0.1</x:v>
      </x:c>
      <x:c r="N4144" s="24" t="n">
        <x:v>72</x:v>
      </x:c>
      <x:c r="O4144" s="28" t="n">
        <x:f>MIN(1,L4144/I4144)</x:f>
        <x:v>0.0236492</x:v>
      </x:c>
      <x:c r="P4144" s="30" t="n">
        <x:f>O4144*J4144*(1+M4144)</x:f>
        <x:v>0.02601412</x:v>
      </x:c>
      <x:c r="Q4144" s="30" t="n">
        <x:f>P4144*N4144</x:f>
        <x:v>1.8730166400000001</x:v>
      </x:c>
      <x:c r="R4144" s="19" t="str">
        <x:v>独立判定</x:v>
      </x:c>
    </x:row>
    <x:row r="4145" ht="19" customHeight="1">
      <x:c r="A4145" s="19" t="str">
        <x:v>D04141</x:v>
      </x:c>
      <x:c r="B4145" s="19" t="n">
        <x:v>9</x:v>
      </x:c>
      <x:c r="C4145" s="19" t="n">
        <x:v>2</x:v>
      </x:c>
      <x:c r="D4145" s="19" t="str">
        <x:v>C09-M014</x:v>
      </x:c>
      <x:c r="E4145" s="19" t="str">
        <x:v>高原探脉客</x:v>
      </x:c>
      <x:c r="F4145" s="19" t="str">
        <x:v>普通</x:v>
      </x:c>
      <x:c r="G4145" s="19" t="str">
        <x:v>材料独立候选</x:v>
      </x:c>
      <x:c r="H4145" s="19" t="str">
        <x:v>小卢恩</x:v>
      </x:c>
      <x:c r="I4145" s="22" t="n">
        <x:v>18000</x:v>
      </x:c>
      <x:c r="J4145" s="22" t="n">
        <x:v>1</x:v>
      </x:c>
      <x:c r="K4145" s="19" t="n">
        <x:v>1</x:v>
      </x:c>
      <x:c r="L4145" s="24" t="n">
        <x:v>59.123</x:v>
      </x:c>
      <x:c r="M4145" s="26" t="n">
        <x:v>0.1</x:v>
      </x:c>
      <x:c r="N4145" s="24" t="n">
        <x:v>72</x:v>
      </x:c>
      <x:c r="O4145" s="28" t="n">
        <x:f>MIN(1,L4145/I4145)</x:f>
        <x:v>0.003284611111111111</x:v>
      </x:c>
      <x:c r="P4145" s="30" t="n">
        <x:f>O4145*J4145*(1+M4145)</x:f>
        <x:v>0.0036130722222222226</x:v>
      </x:c>
      <x:c r="Q4145" s="30" t="n">
        <x:f>P4145*N4145</x:f>
        <x:v>0.2601412</x:v>
      </x:c>
      <x:c r="R4145" s="19" t="str">
        <x:v>独立判定</x:v>
      </x:c>
    </x:row>
    <x:row r="4146" ht="19" customHeight="1">
      <x:c r="A4146" s="19" t="str">
        <x:v>D04142</x:v>
      </x:c>
      <x:c r="B4146" s="19" t="n">
        <x:v>9</x:v>
      </x:c>
      <x:c r="C4146" s="19" t="n">
        <x:v>2</x:v>
      </x:c>
      <x:c r="D4146" s="19" t="str">
        <x:v>C09-M014</x:v>
      </x:c>
      <x:c r="E4146" s="19" t="str">
        <x:v>高原探脉客</x:v>
      </x:c>
      <x:c r="F4146" s="19" t="str">
        <x:v>普通</x:v>
      </x:c>
      <x:c r="G4146" s="19" t="str">
        <x:v>六神器公共池</x:v>
      </x:c>
      <x:c r="H4146" s="19" t="str">
        <x:v>POOL006</x:v>
      </x:c>
      <x:c r="I4146" s="22" t="n">
        <x:v>20000000</x:v>
      </x:c>
      <x:c r="J4146" s="22" t="n">
        <x:v>1</x:v>
      </x:c>
      <x:c r="K4146" s="19" t="n">
        <x:v>6</x:v>
      </x:c>
      <x:c r="L4146" s="24" t="n">
        <x:v>59.123</x:v>
      </x:c>
      <x:c r="M4146" s="26" t="n">
        <x:v>0.1</x:v>
      </x:c>
      <x:c r="N4146" s="24" t="n">
        <x:v>72</x:v>
      </x:c>
      <x:c r="O4146" s="28" t="n">
        <x:f>MIN(1,L4146/I4146)</x:f>
        <x:v>0.00000295615</x:v>
      </x:c>
      <x:c r="P4146" s="30" t="n">
        <x:f>O4146*J4146*(1+M4146)</x:f>
        <x:v>0.0000032517650000000005</x:v>
      </x:c>
      <x:c r="Q4146" s="30" t="n">
        <x:f>P4146*N4146</x:f>
        <x:v>0.00023412708000000002</x:v>
      </x:c>
      <x:c r="R4146" s="19" t="str">
        <x:v>六选一；非6个独立爆率</x:v>
      </x:c>
    </x:row>
    <x:row r="4147" ht="19" customHeight="1">
      <x:c r="A4147" s="19" t="str">
        <x:v>D04143</x:v>
      </x:c>
      <x:c r="B4147" s="19" t="n">
        <x:v>9</x:v>
      </x:c>
      <x:c r="C4147" s="19" t="n">
        <x:v>2</x:v>
      </x:c>
      <x:c r="D4147" s="19" t="str">
        <x:v>C09-M015</x:v>
      </x:c>
      <x:c r="E4147" s="19" t="str">
        <x:v>黄金矿道凿工</x:v>
      </x:c>
      <x:c r="F4147" s="19" t="str">
        <x:v>普通</x:v>
      </x:c>
      <x:c r="G4147" s="19" t="str">
        <x:v>自身专属</x:v>
      </x:c>
      <x:c r="H4147" s="19" t="str">
        <x:v>凿工尖喙镐</x:v>
      </x:c>
      <x:c r="I4147" s="22" t="n">
        <x:v>6000</x:v>
      </x:c>
      <x:c r="J4147" s="22" t="n">
        <x:v>1</x:v>
      </x:c>
      <x:c r="K4147" s="19" t="n">
        <x:v>1</x:v>
      </x:c>
      <x:c r="L4147" s="24" t="n">
        <x:v>59.123</x:v>
      </x:c>
      <x:c r="M4147" s="26" t="n">
        <x:v>0.1</x:v>
      </x:c>
      <x:c r="N4147" s="24" t="n">
        <x:v>72</x:v>
      </x:c>
      <x:c r="O4147" s="28" t="n">
        <x:f>MIN(1,L4147/I4147)</x:f>
        <x:v>0.009853833333333333</x:v>
      </x:c>
      <x:c r="P4147" s="30" t="n">
        <x:f>O4147*J4147*(1+M4147)</x:f>
        <x:v>0.010839216666666667</x:v>
      </x:c>
      <x:c r="Q4147" s="30" t="n">
        <x:f>P4147*N4147</x:f>
        <x:v>0.7804236</x:v>
      </x:c>
      <x:c r="R4147" s="19" t="str">
        <x:v>独立判定</x:v>
      </x:c>
    </x:row>
    <x:row r="4148" ht="19" customHeight="1">
      <x:c r="A4148" s="19" t="str">
        <x:v>D04144</x:v>
      </x:c>
      <x:c r="B4148" s="19" t="n">
        <x:v>9</x:v>
      </x:c>
      <x:c r="C4148" s="19" t="n">
        <x:v>2</x:v>
      </x:c>
      <x:c r="D4148" s="19" t="str">
        <x:v>C09-M015</x:v>
      </x:c>
      <x:c r="E4148" s="19" t="str">
        <x:v>黄金矿道凿工</x:v>
      </x:c>
      <x:c r="F4148" s="19" t="str">
        <x:v>普通</x:v>
      </x:c>
      <x:c r="G4148" s="19" t="str">
        <x:v>材料独立候选</x:v>
      </x:c>
      <x:c r="H4148" s="19" t="str">
        <x:v>黄金叶脉</x:v>
      </x:c>
      <x:c r="I4148" s="22" t="n">
        <x:v>1500</x:v>
      </x:c>
      <x:c r="J4148" s="22" t="n">
        <x:v>8</x:v>
      </x:c>
      <x:c r="K4148" s="19" t="n">
        <x:v>1</x:v>
      </x:c>
      <x:c r="L4148" s="24" t="n">
        <x:v>59.123</x:v>
      </x:c>
      <x:c r="M4148" s="26" t="n">
        <x:v>0.1</x:v>
      </x:c>
      <x:c r="N4148" s="24" t="n">
        <x:v>72</x:v>
      </x:c>
      <x:c r="O4148" s="28" t="n">
        <x:f>MIN(1,L4148/I4148)</x:f>
        <x:v>0.03941533333333333</x:v>
      </x:c>
      <x:c r="P4148" s="30" t="n">
        <x:f>O4148*J4148*(1+M4148)</x:f>
        <x:v>0.34685493333333334</x:v>
      </x:c>
      <x:c r="Q4148" s="30" t="n">
        <x:f>P4148*N4148</x:f>
        <x:v>24.9735552</x:v>
      </x:c>
      <x:c r="R4148" s="19" t="str">
        <x:v>独立判定</x:v>
      </x:c>
    </x:row>
    <x:row r="4149" ht="19" customHeight="1">
      <x:c r="A4149" s="19" t="str">
        <x:v>D04145</x:v>
      </x:c>
      <x:c r="B4149" s="19" t="n">
        <x:v>9</x:v>
      </x:c>
      <x:c r="C4149" s="19" t="n">
        <x:v>2</x:v>
      </x:c>
      <x:c r="D4149" s="19" t="str">
        <x:v>C09-M015</x:v>
      </x:c>
      <x:c r="E4149" s="19" t="str">
        <x:v>黄金矿道凿工</x:v>
      </x:c>
      <x:c r="F4149" s="19" t="str">
        <x:v>普通</x:v>
      </x:c>
      <x:c r="G4149" s="19" t="str">
        <x:v>材料独立候选</x:v>
      </x:c>
      <x:c r="H4149" s="19" t="str">
        <x:v>金叶驿票</x:v>
      </x:c>
      <x:c r="I4149" s="22" t="n">
        <x:v>15000</x:v>
      </x:c>
      <x:c r="J4149" s="22" t="n">
        <x:v>1</x:v>
      </x:c>
      <x:c r="K4149" s="19" t="n">
        <x:v>1</x:v>
      </x:c>
      <x:c r="L4149" s="24" t="n">
        <x:v>59.123</x:v>
      </x:c>
      <x:c r="M4149" s="26" t="n">
        <x:v>0.1</x:v>
      </x:c>
      <x:c r="N4149" s="24" t="n">
        <x:v>72</x:v>
      </x:c>
      <x:c r="O4149" s="28" t="n">
        <x:f>MIN(1,L4149/I4149)</x:f>
        <x:v>0.003941533333333333</x:v>
      </x:c>
      <x:c r="P4149" s="30" t="n">
        <x:f>O4149*J4149*(1+M4149)</x:f>
        <x:v>0.004335686666666666</x:v>
      </x:c>
      <x:c r="Q4149" s="30" t="n">
        <x:f>P4149*N4149</x:f>
        <x:v>0.31216943999999996</x:v>
      </x:c>
      <x:c r="R4149" s="19" t="str">
        <x:v>独立判定</x:v>
      </x:c>
    </x:row>
    <x:row r="4150" ht="19" customHeight="1">
      <x:c r="A4150" s="19" t="str">
        <x:v>D04146</x:v>
      </x:c>
      <x:c r="B4150" s="19" t="n">
        <x:v>9</x:v>
      </x:c>
      <x:c r="C4150" s="19" t="n">
        <x:v>2</x:v>
      </x:c>
      <x:c r="D4150" s="19" t="str">
        <x:v>C09-M015</x:v>
      </x:c>
      <x:c r="E4150" s="19" t="str">
        <x:v>黄金矿道凿工</x:v>
      </x:c>
      <x:c r="F4150" s="19" t="str">
        <x:v>普通</x:v>
      </x:c>
      <x:c r="G4150" s="19" t="str">
        <x:v>材料独立候选</x:v>
      </x:c>
      <x:c r="H4150" s="19" t="str">
        <x:v>古坛鎏叶髓</x:v>
      </x:c>
      <x:c r="I4150" s="22" t="n">
        <x:v>2500000</x:v>
      </x:c>
      <x:c r="J4150" s="22" t="n">
        <x:v>1</x:v>
      </x:c>
      <x:c r="K4150" s="19" t="n">
        <x:v>1</x:v>
      </x:c>
      <x:c r="L4150" s="24" t="n">
        <x:v>59.123</x:v>
      </x:c>
      <x:c r="M4150" s="26" t="n">
        <x:v>0.1</x:v>
      </x:c>
      <x:c r="N4150" s="24" t="n">
        <x:v>72</x:v>
      </x:c>
      <x:c r="O4150" s="28" t="n">
        <x:f>MIN(1,L4150/I4150)</x:f>
        <x:v>0.0000236492</x:v>
      </x:c>
      <x:c r="P4150" s="30" t="n">
        <x:f>O4150*J4150*(1+M4150)</x:f>
        <x:v>0.000026014120000000004</x:v>
      </x:c>
      <x:c r="Q4150" s="30" t="n">
        <x:f>P4150*N4150</x:f>
        <x:v>0.0018730166400000002</x:v>
      </x:c>
      <x:c r="R4150" s="19" t="str">
        <x:v>独立判定</x:v>
      </x:c>
    </x:row>
    <x:row r="4151" ht="19" customHeight="1">
      <x:c r="A4151" s="19" t="str">
        <x:v>D04147</x:v>
      </x:c>
      <x:c r="B4151" s="19" t="n">
        <x:v>9</x:v>
      </x:c>
      <x:c r="C4151" s="19" t="n">
        <x:v>2</x:v>
      </x:c>
      <x:c r="D4151" s="19" t="str">
        <x:v>C09-M015</x:v>
      </x:c>
      <x:c r="E4151" s="19" t="str">
        <x:v>黄金矿道凿工</x:v>
      </x:c>
      <x:c r="F4151" s="19" t="str">
        <x:v>普通</x:v>
      </x:c>
      <x:c r="G4151" s="19" t="str">
        <x:v>材料独立候选</x:v>
      </x:c>
      <x:c r="H4151" s="19" t="str">
        <x:v>野兽骨片</x:v>
      </x:c>
      <x:c r="I4151" s="22" t="n">
        <x:v>300</x:v>
      </x:c>
      <x:c r="J4151" s="22" t="n">
        <x:v>5</x:v>
      </x:c>
      <x:c r="K4151" s="19" t="n">
        <x:v>1</x:v>
      </x:c>
      <x:c r="L4151" s="24" t="n">
        <x:v>59.123</x:v>
      </x:c>
      <x:c r="M4151" s="26" t="n">
        <x:v>0.1</x:v>
      </x:c>
      <x:c r="N4151" s="24" t="n">
        <x:v>72</x:v>
      </x:c>
      <x:c r="O4151" s="28" t="n">
        <x:f>MIN(1,L4151/I4151)</x:f>
        <x:v>0.19707666666666665</x:v>
      </x:c>
      <x:c r="P4151" s="30" t="n">
        <x:f>O4151*J4151*(1+M4151)</x:f>
        <x:v>1.0839216666666667</x:v>
      </x:c>
      <x:c r="Q4151" s="30" t="n">
        <x:f>P4151*N4151</x:f>
        <x:v>78.04236</x:v>
      </x:c>
      <x:c r="R4151" s="19" t="str">
        <x:v>独立判定</x:v>
      </x:c>
    </x:row>
    <x:row r="4152" ht="19" customHeight="1">
      <x:c r="A4152" s="19" t="str">
        <x:v>D04148</x:v>
      </x:c>
      <x:c r="B4152" s="19" t="n">
        <x:v>9</x:v>
      </x:c>
      <x:c r="C4152" s="19" t="n">
        <x:v>2</x:v>
      </x:c>
      <x:c r="D4152" s="19" t="str">
        <x:v>C09-M015</x:v>
      </x:c>
      <x:c r="E4152" s="19" t="str">
        <x:v>黄金矿道凿工</x:v>
      </x:c>
      <x:c r="F4152" s="19" t="str">
        <x:v>普通</x:v>
      </x:c>
      <x:c r="G4152" s="19" t="str">
        <x:v>材料独立候选</x:v>
      </x:c>
      <x:c r="H4152" s="19" t="str">
        <x:v>技能残页</x:v>
      </x:c>
      <x:c r="I4152" s="22" t="n">
        <x:v>2500</x:v>
      </x:c>
      <x:c r="J4152" s="22" t="n">
        <x:v>1</x:v>
      </x:c>
      <x:c r="K4152" s="19" t="n">
        <x:v>1</x:v>
      </x:c>
      <x:c r="L4152" s="24" t="n">
        <x:v>59.123</x:v>
      </x:c>
      <x:c r="M4152" s="26" t="n">
        <x:v>0.1</x:v>
      </x:c>
      <x:c r="N4152" s="24" t="n">
        <x:v>72</x:v>
      </x:c>
      <x:c r="O4152" s="28" t="n">
        <x:f>MIN(1,L4152/I4152)</x:f>
        <x:v>0.0236492</x:v>
      </x:c>
      <x:c r="P4152" s="30" t="n">
        <x:f>O4152*J4152*(1+M4152)</x:f>
        <x:v>0.02601412</x:v>
      </x:c>
      <x:c r="Q4152" s="30" t="n">
        <x:f>P4152*N4152</x:f>
        <x:v>1.8730166400000001</x:v>
      </x:c>
      <x:c r="R4152" s="19" t="str">
        <x:v>独立判定</x:v>
      </x:c>
    </x:row>
    <x:row r="4153" ht="19" customHeight="1">
      <x:c r="A4153" s="19" t="str">
        <x:v>D04149</x:v>
      </x:c>
      <x:c r="B4153" s="19" t="n">
        <x:v>9</x:v>
      </x:c>
      <x:c r="C4153" s="19" t="n">
        <x:v>2</x:v>
      </x:c>
      <x:c r="D4153" s="19" t="str">
        <x:v>C09-M015</x:v>
      </x:c>
      <x:c r="E4153" s="19" t="str">
        <x:v>黄金矿道凿工</x:v>
      </x:c>
      <x:c r="F4153" s="19" t="str">
        <x:v>普通</x:v>
      </x:c>
      <x:c r="G4153" s="19" t="str">
        <x:v>材料独立候选</x:v>
      </x:c>
      <x:c r="H4153" s="19" t="str">
        <x:v>小卢恩</x:v>
      </x:c>
      <x:c r="I4153" s="22" t="n">
        <x:v>18000</x:v>
      </x:c>
      <x:c r="J4153" s="22" t="n">
        <x:v>1</x:v>
      </x:c>
      <x:c r="K4153" s="19" t="n">
        <x:v>1</x:v>
      </x:c>
      <x:c r="L4153" s="24" t="n">
        <x:v>59.123</x:v>
      </x:c>
      <x:c r="M4153" s="26" t="n">
        <x:v>0.1</x:v>
      </x:c>
      <x:c r="N4153" s="24" t="n">
        <x:v>72</x:v>
      </x:c>
      <x:c r="O4153" s="28" t="n">
        <x:f>MIN(1,L4153/I4153)</x:f>
        <x:v>0.003284611111111111</x:v>
      </x:c>
      <x:c r="P4153" s="30" t="n">
        <x:f>O4153*J4153*(1+M4153)</x:f>
        <x:v>0.0036130722222222226</x:v>
      </x:c>
      <x:c r="Q4153" s="30" t="n">
        <x:f>P4153*N4153</x:f>
        <x:v>0.2601412</x:v>
      </x:c>
      <x:c r="R4153" s="19" t="str">
        <x:v>独立判定</x:v>
      </x:c>
    </x:row>
    <x:row r="4154" ht="19" customHeight="1">
      <x:c r="A4154" s="19" t="str">
        <x:v>D04150</x:v>
      </x:c>
      <x:c r="B4154" s="19" t="n">
        <x:v>9</x:v>
      </x:c>
      <x:c r="C4154" s="19" t="n">
        <x:v>2</x:v>
      </x:c>
      <x:c r="D4154" s="19" t="str">
        <x:v>C09-M015</x:v>
      </x:c>
      <x:c r="E4154" s="19" t="str">
        <x:v>黄金矿道凿工</x:v>
      </x:c>
      <x:c r="F4154" s="19" t="str">
        <x:v>普通</x:v>
      </x:c>
      <x:c r="G4154" s="19" t="str">
        <x:v>六神器公共池</x:v>
      </x:c>
      <x:c r="H4154" s="19" t="str">
        <x:v>POOL006</x:v>
      </x:c>
      <x:c r="I4154" s="22" t="n">
        <x:v>20000000</x:v>
      </x:c>
      <x:c r="J4154" s="22" t="n">
        <x:v>1</x:v>
      </x:c>
      <x:c r="K4154" s="19" t="n">
        <x:v>6</x:v>
      </x:c>
      <x:c r="L4154" s="24" t="n">
        <x:v>59.123</x:v>
      </x:c>
      <x:c r="M4154" s="26" t="n">
        <x:v>0.1</x:v>
      </x:c>
      <x:c r="N4154" s="24" t="n">
        <x:v>72</x:v>
      </x:c>
      <x:c r="O4154" s="28" t="n">
        <x:f>MIN(1,L4154/I4154)</x:f>
        <x:v>0.00000295615</x:v>
      </x:c>
      <x:c r="P4154" s="30" t="n">
        <x:f>O4154*J4154*(1+M4154)</x:f>
        <x:v>0.0000032517650000000005</x:v>
      </x:c>
      <x:c r="Q4154" s="30" t="n">
        <x:f>P4154*N4154</x:f>
        <x:v>0.00023412708000000002</x:v>
      </x:c>
      <x:c r="R4154" s="19" t="str">
        <x:v>六选一；非6个独立爆率</x:v>
      </x:c>
    </x:row>
    <x:row r="4155" ht="19" customHeight="1">
      <x:c r="A4155" s="19" t="str">
        <x:v>D04151</x:v>
      </x:c>
      <x:c r="B4155" s="19" t="n">
        <x:v>9</x:v>
      </x:c>
      <x:c r="C4155" s="19" t="n">
        <x:v>2</x:v>
      </x:c>
      <x:c r="D4155" s="19" t="str">
        <x:v>C09-M016</x:v>
      </x:c>
      <x:c r="E4155" s="19" t="str">
        <x:v>旧营提灯尸</x:v>
      </x:c>
      <x:c r="F4155" s="19" t="str">
        <x:v>普通</x:v>
      </x:c>
      <x:c r="G4155" s="19" t="str">
        <x:v>自身专属</x:v>
      </x:c>
      <x:c r="H4155" s="19" t="str">
        <x:v>提灯旧毡笠</x:v>
      </x:c>
      <x:c r="I4155" s="22" t="n">
        <x:v>6000</x:v>
      </x:c>
      <x:c r="J4155" s="22" t="n">
        <x:v>1</x:v>
      </x:c>
      <x:c r="K4155" s="19" t="n">
        <x:v>1</x:v>
      </x:c>
      <x:c r="L4155" s="24" t="n">
        <x:v>59.123</x:v>
      </x:c>
      <x:c r="M4155" s="26" t="n">
        <x:v>0.1</x:v>
      </x:c>
      <x:c r="N4155" s="24" t="n">
        <x:v>72</x:v>
      </x:c>
      <x:c r="O4155" s="28" t="n">
        <x:f>MIN(1,L4155/I4155)</x:f>
        <x:v>0.009853833333333333</x:v>
      </x:c>
      <x:c r="P4155" s="30" t="n">
        <x:f>O4155*J4155*(1+M4155)</x:f>
        <x:v>0.010839216666666667</x:v>
      </x:c>
      <x:c r="Q4155" s="30" t="n">
        <x:f>P4155*N4155</x:f>
        <x:v>0.7804236</x:v>
      </x:c>
      <x:c r="R4155" s="19" t="str">
        <x:v>独立判定</x:v>
      </x:c>
    </x:row>
    <x:row r="4156" ht="19" customHeight="1">
      <x:c r="A4156" s="19" t="str">
        <x:v>D04152</x:v>
      </x:c>
      <x:c r="B4156" s="19" t="n">
        <x:v>9</x:v>
      </x:c>
      <x:c r="C4156" s="19" t="n">
        <x:v>2</x:v>
      </x:c>
      <x:c r="D4156" s="19" t="str">
        <x:v>C09-M016</x:v>
      </x:c>
      <x:c r="E4156" s="19" t="str">
        <x:v>旧营提灯尸</x:v>
      </x:c>
      <x:c r="F4156" s="19" t="str">
        <x:v>普通</x:v>
      </x:c>
      <x:c r="G4156" s="19" t="str">
        <x:v>材料独立候选</x:v>
      </x:c>
      <x:c r="H4156" s="19" t="str">
        <x:v>黄金叶脉</x:v>
      </x:c>
      <x:c r="I4156" s="22" t="n">
        <x:v>1500</x:v>
      </x:c>
      <x:c r="J4156" s="22" t="n">
        <x:v>8</x:v>
      </x:c>
      <x:c r="K4156" s="19" t="n">
        <x:v>1</x:v>
      </x:c>
      <x:c r="L4156" s="24" t="n">
        <x:v>59.123</x:v>
      </x:c>
      <x:c r="M4156" s="26" t="n">
        <x:v>0.1</x:v>
      </x:c>
      <x:c r="N4156" s="24" t="n">
        <x:v>72</x:v>
      </x:c>
      <x:c r="O4156" s="28" t="n">
        <x:f>MIN(1,L4156/I4156)</x:f>
        <x:v>0.03941533333333333</x:v>
      </x:c>
      <x:c r="P4156" s="30" t="n">
        <x:f>O4156*J4156*(1+M4156)</x:f>
        <x:v>0.34685493333333334</x:v>
      </x:c>
      <x:c r="Q4156" s="30" t="n">
        <x:f>P4156*N4156</x:f>
        <x:v>24.9735552</x:v>
      </x:c>
      <x:c r="R4156" s="19" t="str">
        <x:v>独立判定</x:v>
      </x:c>
    </x:row>
    <x:row r="4157" ht="19" customHeight="1">
      <x:c r="A4157" s="19" t="str">
        <x:v>D04153</x:v>
      </x:c>
      <x:c r="B4157" s="19" t="n">
        <x:v>9</x:v>
      </x:c>
      <x:c r="C4157" s="19" t="n">
        <x:v>2</x:v>
      </x:c>
      <x:c r="D4157" s="19" t="str">
        <x:v>C09-M016</x:v>
      </x:c>
      <x:c r="E4157" s="19" t="str">
        <x:v>旧营提灯尸</x:v>
      </x:c>
      <x:c r="F4157" s="19" t="str">
        <x:v>普通</x:v>
      </x:c>
      <x:c r="G4157" s="19" t="str">
        <x:v>材料独立候选</x:v>
      </x:c>
      <x:c r="H4157" s="19" t="str">
        <x:v>金叶驿票</x:v>
      </x:c>
      <x:c r="I4157" s="22" t="n">
        <x:v>15000</x:v>
      </x:c>
      <x:c r="J4157" s="22" t="n">
        <x:v>1</x:v>
      </x:c>
      <x:c r="K4157" s="19" t="n">
        <x:v>1</x:v>
      </x:c>
      <x:c r="L4157" s="24" t="n">
        <x:v>59.123</x:v>
      </x:c>
      <x:c r="M4157" s="26" t="n">
        <x:v>0.1</x:v>
      </x:c>
      <x:c r="N4157" s="24" t="n">
        <x:v>72</x:v>
      </x:c>
      <x:c r="O4157" s="28" t="n">
        <x:f>MIN(1,L4157/I4157)</x:f>
        <x:v>0.003941533333333333</x:v>
      </x:c>
      <x:c r="P4157" s="30" t="n">
        <x:f>O4157*J4157*(1+M4157)</x:f>
        <x:v>0.004335686666666666</x:v>
      </x:c>
      <x:c r="Q4157" s="30" t="n">
        <x:f>P4157*N4157</x:f>
        <x:v>0.31216943999999996</x:v>
      </x:c>
      <x:c r="R4157" s="19" t="str">
        <x:v>独立判定</x:v>
      </x:c>
    </x:row>
    <x:row r="4158" ht="19" customHeight="1">
      <x:c r="A4158" s="19" t="str">
        <x:v>D04154</x:v>
      </x:c>
      <x:c r="B4158" s="19" t="n">
        <x:v>9</x:v>
      </x:c>
      <x:c r="C4158" s="19" t="n">
        <x:v>2</x:v>
      </x:c>
      <x:c r="D4158" s="19" t="str">
        <x:v>C09-M016</x:v>
      </x:c>
      <x:c r="E4158" s="19" t="str">
        <x:v>旧营提灯尸</x:v>
      </x:c>
      <x:c r="F4158" s="19" t="str">
        <x:v>普通</x:v>
      </x:c>
      <x:c r="G4158" s="19" t="str">
        <x:v>材料独立候选</x:v>
      </x:c>
      <x:c r="H4158" s="19" t="str">
        <x:v>古坛鎏叶髓</x:v>
      </x:c>
      <x:c r="I4158" s="22" t="n">
        <x:v>2500000</x:v>
      </x:c>
      <x:c r="J4158" s="22" t="n">
        <x:v>1</x:v>
      </x:c>
      <x:c r="K4158" s="19" t="n">
        <x:v>1</x:v>
      </x:c>
      <x:c r="L4158" s="24" t="n">
        <x:v>59.123</x:v>
      </x:c>
      <x:c r="M4158" s="26" t="n">
        <x:v>0.1</x:v>
      </x:c>
      <x:c r="N4158" s="24" t="n">
        <x:v>72</x:v>
      </x:c>
      <x:c r="O4158" s="28" t="n">
        <x:f>MIN(1,L4158/I4158)</x:f>
        <x:v>0.0000236492</x:v>
      </x:c>
      <x:c r="P4158" s="30" t="n">
        <x:f>O4158*J4158*(1+M4158)</x:f>
        <x:v>0.000026014120000000004</x:v>
      </x:c>
      <x:c r="Q4158" s="30" t="n">
        <x:f>P4158*N4158</x:f>
        <x:v>0.0018730166400000002</x:v>
      </x:c>
      <x:c r="R4158" s="19" t="str">
        <x:v>独立判定</x:v>
      </x:c>
    </x:row>
    <x:row r="4159" ht="19" customHeight="1">
      <x:c r="A4159" s="19" t="str">
        <x:v>D04155</x:v>
      </x:c>
      <x:c r="B4159" s="19" t="n">
        <x:v>9</x:v>
      </x:c>
      <x:c r="C4159" s="19" t="n">
        <x:v>2</x:v>
      </x:c>
      <x:c r="D4159" s="19" t="str">
        <x:v>C09-M016</x:v>
      </x:c>
      <x:c r="E4159" s="19" t="str">
        <x:v>旧营提灯尸</x:v>
      </x:c>
      <x:c r="F4159" s="19" t="str">
        <x:v>普通</x:v>
      </x:c>
      <x:c r="G4159" s="19" t="str">
        <x:v>材料独立候选</x:v>
      </x:c>
      <x:c r="H4159" s="19" t="str">
        <x:v>野兽骨片</x:v>
      </x:c>
      <x:c r="I4159" s="22" t="n">
        <x:v>300</x:v>
      </x:c>
      <x:c r="J4159" s="22" t="n">
        <x:v>5</x:v>
      </x:c>
      <x:c r="K4159" s="19" t="n">
        <x:v>1</x:v>
      </x:c>
      <x:c r="L4159" s="24" t="n">
        <x:v>59.123</x:v>
      </x:c>
      <x:c r="M4159" s="26" t="n">
        <x:v>0.1</x:v>
      </x:c>
      <x:c r="N4159" s="24" t="n">
        <x:v>72</x:v>
      </x:c>
      <x:c r="O4159" s="28" t="n">
        <x:f>MIN(1,L4159/I4159)</x:f>
        <x:v>0.19707666666666665</x:v>
      </x:c>
      <x:c r="P4159" s="30" t="n">
        <x:f>O4159*J4159*(1+M4159)</x:f>
        <x:v>1.0839216666666667</x:v>
      </x:c>
      <x:c r="Q4159" s="30" t="n">
        <x:f>P4159*N4159</x:f>
        <x:v>78.04236</x:v>
      </x:c>
      <x:c r="R4159" s="19" t="str">
        <x:v>独立判定</x:v>
      </x:c>
    </x:row>
    <x:row r="4160" ht="19" customHeight="1">
      <x:c r="A4160" s="19" t="str">
        <x:v>D04156</x:v>
      </x:c>
      <x:c r="B4160" s="19" t="n">
        <x:v>9</x:v>
      </x:c>
      <x:c r="C4160" s="19" t="n">
        <x:v>2</x:v>
      </x:c>
      <x:c r="D4160" s="19" t="str">
        <x:v>C09-M016</x:v>
      </x:c>
      <x:c r="E4160" s="19" t="str">
        <x:v>旧营提灯尸</x:v>
      </x:c>
      <x:c r="F4160" s="19" t="str">
        <x:v>普通</x:v>
      </x:c>
      <x:c r="G4160" s="19" t="str">
        <x:v>材料独立候选</x:v>
      </x:c>
      <x:c r="H4160" s="19" t="str">
        <x:v>技能残页</x:v>
      </x:c>
      <x:c r="I4160" s="22" t="n">
        <x:v>2500</x:v>
      </x:c>
      <x:c r="J4160" s="22" t="n">
        <x:v>1</x:v>
      </x:c>
      <x:c r="K4160" s="19" t="n">
        <x:v>1</x:v>
      </x:c>
      <x:c r="L4160" s="24" t="n">
        <x:v>59.123</x:v>
      </x:c>
      <x:c r="M4160" s="26" t="n">
        <x:v>0.1</x:v>
      </x:c>
      <x:c r="N4160" s="24" t="n">
        <x:v>72</x:v>
      </x:c>
      <x:c r="O4160" s="28" t="n">
        <x:f>MIN(1,L4160/I4160)</x:f>
        <x:v>0.0236492</x:v>
      </x:c>
      <x:c r="P4160" s="30" t="n">
        <x:f>O4160*J4160*(1+M4160)</x:f>
        <x:v>0.02601412</x:v>
      </x:c>
      <x:c r="Q4160" s="30" t="n">
        <x:f>P4160*N4160</x:f>
        <x:v>1.8730166400000001</x:v>
      </x:c>
      <x:c r="R4160" s="19" t="str">
        <x:v>独立判定</x:v>
      </x:c>
    </x:row>
    <x:row r="4161" ht="19" customHeight="1">
      <x:c r="A4161" s="19" t="str">
        <x:v>D04157</x:v>
      </x:c>
      <x:c r="B4161" s="19" t="n">
        <x:v>9</x:v>
      </x:c>
      <x:c r="C4161" s="19" t="n">
        <x:v>2</x:v>
      </x:c>
      <x:c r="D4161" s="19" t="str">
        <x:v>C09-M016</x:v>
      </x:c>
      <x:c r="E4161" s="19" t="str">
        <x:v>旧营提灯尸</x:v>
      </x:c>
      <x:c r="F4161" s="19" t="str">
        <x:v>普通</x:v>
      </x:c>
      <x:c r="G4161" s="19" t="str">
        <x:v>材料独立候选</x:v>
      </x:c>
      <x:c r="H4161" s="19" t="str">
        <x:v>小卢恩</x:v>
      </x:c>
      <x:c r="I4161" s="22" t="n">
        <x:v>18000</x:v>
      </x:c>
      <x:c r="J4161" s="22" t="n">
        <x:v>1</x:v>
      </x:c>
      <x:c r="K4161" s="19" t="n">
        <x:v>1</x:v>
      </x:c>
      <x:c r="L4161" s="24" t="n">
        <x:v>59.123</x:v>
      </x:c>
      <x:c r="M4161" s="26" t="n">
        <x:v>0.1</x:v>
      </x:c>
      <x:c r="N4161" s="24" t="n">
        <x:v>72</x:v>
      </x:c>
      <x:c r="O4161" s="28" t="n">
        <x:f>MIN(1,L4161/I4161)</x:f>
        <x:v>0.003284611111111111</x:v>
      </x:c>
      <x:c r="P4161" s="30" t="n">
        <x:f>O4161*J4161*(1+M4161)</x:f>
        <x:v>0.0036130722222222226</x:v>
      </x:c>
      <x:c r="Q4161" s="30" t="n">
        <x:f>P4161*N4161</x:f>
        <x:v>0.2601412</x:v>
      </x:c>
      <x:c r="R4161" s="19" t="str">
        <x:v>独立判定</x:v>
      </x:c>
    </x:row>
    <x:row r="4162" ht="19" customHeight="1">
      <x:c r="A4162" s="19" t="str">
        <x:v>D04158</x:v>
      </x:c>
      <x:c r="B4162" s="19" t="n">
        <x:v>9</x:v>
      </x:c>
      <x:c r="C4162" s="19" t="n">
        <x:v>2</x:v>
      </x:c>
      <x:c r="D4162" s="19" t="str">
        <x:v>C09-M016</x:v>
      </x:c>
      <x:c r="E4162" s="19" t="str">
        <x:v>旧营提灯尸</x:v>
      </x:c>
      <x:c r="F4162" s="19" t="str">
        <x:v>普通</x:v>
      </x:c>
      <x:c r="G4162" s="19" t="str">
        <x:v>六神器公共池</x:v>
      </x:c>
      <x:c r="H4162" s="19" t="str">
        <x:v>POOL006</x:v>
      </x:c>
      <x:c r="I4162" s="22" t="n">
        <x:v>20000000</x:v>
      </x:c>
      <x:c r="J4162" s="22" t="n">
        <x:v>1</x:v>
      </x:c>
      <x:c r="K4162" s="19" t="n">
        <x:v>6</x:v>
      </x:c>
      <x:c r="L4162" s="24" t="n">
        <x:v>59.123</x:v>
      </x:c>
      <x:c r="M4162" s="26" t="n">
        <x:v>0.1</x:v>
      </x:c>
      <x:c r="N4162" s="24" t="n">
        <x:v>72</x:v>
      </x:c>
      <x:c r="O4162" s="28" t="n">
        <x:f>MIN(1,L4162/I4162)</x:f>
        <x:v>0.00000295615</x:v>
      </x:c>
      <x:c r="P4162" s="30" t="n">
        <x:f>O4162*J4162*(1+M4162)</x:f>
        <x:v>0.0000032517650000000005</x:v>
      </x:c>
      <x:c r="Q4162" s="30" t="n">
        <x:f>P4162*N4162</x:f>
        <x:v>0.00023412708000000002</x:v>
      </x:c>
      <x:c r="R4162" s="19" t="str">
        <x:v>六选一；非6个独立爆率</x:v>
      </x:c>
    </x:row>
    <x:row r="4163" ht="19" customHeight="1">
      <x:c r="A4163" s="19" t="str">
        <x:v>D04159</x:v>
      </x:c>
      <x:c r="B4163" s="19" t="n">
        <x:v>9</x:v>
      </x:c>
      <x:c r="C4163" s="19" t="n">
        <x:v>2</x:v>
      </x:c>
      <x:c r="D4163" s="19" t="str">
        <x:v>C09-M017</x:v>
      </x:c>
      <x:c r="E4163" s="19" t="str">
        <x:v>深井负筐奴</x:v>
      </x:c>
      <x:c r="F4163" s="19" t="str">
        <x:v>普通</x:v>
      </x:c>
      <x:c r="G4163" s="19" t="str">
        <x:v>自身专属</x:v>
      </x:c>
      <x:c r="H4163" s="19" t="str">
        <x:v>负筐矿奴衣</x:v>
      </x:c>
      <x:c r="I4163" s="22" t="n">
        <x:v>6000</x:v>
      </x:c>
      <x:c r="J4163" s="22" t="n">
        <x:v>1</x:v>
      </x:c>
      <x:c r="K4163" s="19" t="n">
        <x:v>1</x:v>
      </x:c>
      <x:c r="L4163" s="24" t="n">
        <x:v>59.123</x:v>
      </x:c>
      <x:c r="M4163" s="26" t="n">
        <x:v>0.1</x:v>
      </x:c>
      <x:c r="N4163" s="24" t="n">
        <x:v>72</x:v>
      </x:c>
      <x:c r="O4163" s="28" t="n">
        <x:f>MIN(1,L4163/I4163)</x:f>
        <x:v>0.009853833333333333</x:v>
      </x:c>
      <x:c r="P4163" s="30" t="n">
        <x:f>O4163*J4163*(1+M4163)</x:f>
        <x:v>0.010839216666666667</x:v>
      </x:c>
      <x:c r="Q4163" s="30" t="n">
        <x:f>P4163*N4163</x:f>
        <x:v>0.7804236</x:v>
      </x:c>
      <x:c r="R4163" s="19" t="str">
        <x:v>独立判定</x:v>
      </x:c>
    </x:row>
    <x:row r="4164" ht="19" customHeight="1">
      <x:c r="A4164" s="19" t="str">
        <x:v>D04160</x:v>
      </x:c>
      <x:c r="B4164" s="19" t="n">
        <x:v>9</x:v>
      </x:c>
      <x:c r="C4164" s="19" t="n">
        <x:v>2</x:v>
      </x:c>
      <x:c r="D4164" s="19" t="str">
        <x:v>C09-M017</x:v>
      </x:c>
      <x:c r="E4164" s="19" t="str">
        <x:v>深井负筐奴</x:v>
      </x:c>
      <x:c r="F4164" s="19" t="str">
        <x:v>普通</x:v>
      </x:c>
      <x:c r="G4164" s="19" t="str">
        <x:v>材料独立候选</x:v>
      </x:c>
      <x:c r="H4164" s="19" t="str">
        <x:v>黄金叶脉</x:v>
      </x:c>
      <x:c r="I4164" s="22" t="n">
        <x:v>1500</x:v>
      </x:c>
      <x:c r="J4164" s="22" t="n">
        <x:v>8</x:v>
      </x:c>
      <x:c r="K4164" s="19" t="n">
        <x:v>1</x:v>
      </x:c>
      <x:c r="L4164" s="24" t="n">
        <x:v>59.123</x:v>
      </x:c>
      <x:c r="M4164" s="26" t="n">
        <x:v>0.1</x:v>
      </x:c>
      <x:c r="N4164" s="24" t="n">
        <x:v>72</x:v>
      </x:c>
      <x:c r="O4164" s="28" t="n">
        <x:f>MIN(1,L4164/I4164)</x:f>
        <x:v>0.03941533333333333</x:v>
      </x:c>
      <x:c r="P4164" s="30" t="n">
        <x:f>O4164*J4164*(1+M4164)</x:f>
        <x:v>0.34685493333333334</x:v>
      </x:c>
      <x:c r="Q4164" s="30" t="n">
        <x:f>P4164*N4164</x:f>
        <x:v>24.9735552</x:v>
      </x:c>
      <x:c r="R4164" s="19" t="str">
        <x:v>独立判定</x:v>
      </x:c>
    </x:row>
    <x:row r="4165" ht="19" customHeight="1">
      <x:c r="A4165" s="19" t="str">
        <x:v>D04161</x:v>
      </x:c>
      <x:c r="B4165" s="19" t="n">
        <x:v>9</x:v>
      </x:c>
      <x:c r="C4165" s="19" t="n">
        <x:v>2</x:v>
      </x:c>
      <x:c r="D4165" s="19" t="str">
        <x:v>C09-M017</x:v>
      </x:c>
      <x:c r="E4165" s="19" t="str">
        <x:v>深井负筐奴</x:v>
      </x:c>
      <x:c r="F4165" s="19" t="str">
        <x:v>普通</x:v>
      </x:c>
      <x:c r="G4165" s="19" t="str">
        <x:v>材料独立候选</x:v>
      </x:c>
      <x:c r="H4165" s="19" t="str">
        <x:v>金叶驿票</x:v>
      </x:c>
      <x:c r="I4165" s="22" t="n">
        <x:v>15000</x:v>
      </x:c>
      <x:c r="J4165" s="22" t="n">
        <x:v>1</x:v>
      </x:c>
      <x:c r="K4165" s="19" t="n">
        <x:v>1</x:v>
      </x:c>
      <x:c r="L4165" s="24" t="n">
        <x:v>59.123</x:v>
      </x:c>
      <x:c r="M4165" s="26" t="n">
        <x:v>0.1</x:v>
      </x:c>
      <x:c r="N4165" s="24" t="n">
        <x:v>72</x:v>
      </x:c>
      <x:c r="O4165" s="28" t="n">
        <x:f>MIN(1,L4165/I4165)</x:f>
        <x:v>0.003941533333333333</x:v>
      </x:c>
      <x:c r="P4165" s="30" t="n">
        <x:f>O4165*J4165*(1+M4165)</x:f>
        <x:v>0.004335686666666666</x:v>
      </x:c>
      <x:c r="Q4165" s="30" t="n">
        <x:f>P4165*N4165</x:f>
        <x:v>0.31216943999999996</x:v>
      </x:c>
      <x:c r="R4165" s="19" t="str">
        <x:v>独立判定</x:v>
      </x:c>
    </x:row>
    <x:row r="4166" ht="19" customHeight="1">
      <x:c r="A4166" s="19" t="str">
        <x:v>D04162</x:v>
      </x:c>
      <x:c r="B4166" s="19" t="n">
        <x:v>9</x:v>
      </x:c>
      <x:c r="C4166" s="19" t="n">
        <x:v>2</x:v>
      </x:c>
      <x:c r="D4166" s="19" t="str">
        <x:v>C09-M017</x:v>
      </x:c>
      <x:c r="E4166" s="19" t="str">
        <x:v>深井负筐奴</x:v>
      </x:c>
      <x:c r="F4166" s="19" t="str">
        <x:v>普通</x:v>
      </x:c>
      <x:c r="G4166" s="19" t="str">
        <x:v>材料独立候选</x:v>
      </x:c>
      <x:c r="H4166" s="19" t="str">
        <x:v>古坛鎏叶髓</x:v>
      </x:c>
      <x:c r="I4166" s="22" t="n">
        <x:v>2500000</x:v>
      </x:c>
      <x:c r="J4166" s="22" t="n">
        <x:v>1</x:v>
      </x:c>
      <x:c r="K4166" s="19" t="n">
        <x:v>1</x:v>
      </x:c>
      <x:c r="L4166" s="24" t="n">
        <x:v>59.123</x:v>
      </x:c>
      <x:c r="M4166" s="26" t="n">
        <x:v>0.1</x:v>
      </x:c>
      <x:c r="N4166" s="24" t="n">
        <x:v>72</x:v>
      </x:c>
      <x:c r="O4166" s="28" t="n">
        <x:f>MIN(1,L4166/I4166)</x:f>
        <x:v>0.0000236492</x:v>
      </x:c>
      <x:c r="P4166" s="30" t="n">
        <x:f>O4166*J4166*(1+M4166)</x:f>
        <x:v>0.000026014120000000004</x:v>
      </x:c>
      <x:c r="Q4166" s="30" t="n">
        <x:f>P4166*N4166</x:f>
        <x:v>0.0018730166400000002</x:v>
      </x:c>
      <x:c r="R4166" s="19" t="str">
        <x:v>独立判定</x:v>
      </x:c>
    </x:row>
    <x:row r="4167" ht="19" customHeight="1">
      <x:c r="A4167" s="19" t="str">
        <x:v>D04163</x:v>
      </x:c>
      <x:c r="B4167" s="19" t="n">
        <x:v>9</x:v>
      </x:c>
      <x:c r="C4167" s="19" t="n">
        <x:v>2</x:v>
      </x:c>
      <x:c r="D4167" s="19" t="str">
        <x:v>C09-M017</x:v>
      </x:c>
      <x:c r="E4167" s="19" t="str">
        <x:v>深井负筐奴</x:v>
      </x:c>
      <x:c r="F4167" s="19" t="str">
        <x:v>普通</x:v>
      </x:c>
      <x:c r="G4167" s="19" t="str">
        <x:v>材料独立候选</x:v>
      </x:c>
      <x:c r="H4167" s="19" t="str">
        <x:v>野兽骨片</x:v>
      </x:c>
      <x:c r="I4167" s="22" t="n">
        <x:v>300</x:v>
      </x:c>
      <x:c r="J4167" s="22" t="n">
        <x:v>5</x:v>
      </x:c>
      <x:c r="K4167" s="19" t="n">
        <x:v>1</x:v>
      </x:c>
      <x:c r="L4167" s="24" t="n">
        <x:v>59.123</x:v>
      </x:c>
      <x:c r="M4167" s="26" t="n">
        <x:v>0.1</x:v>
      </x:c>
      <x:c r="N4167" s="24" t="n">
        <x:v>72</x:v>
      </x:c>
      <x:c r="O4167" s="28" t="n">
        <x:f>MIN(1,L4167/I4167)</x:f>
        <x:v>0.19707666666666665</x:v>
      </x:c>
      <x:c r="P4167" s="30" t="n">
        <x:f>O4167*J4167*(1+M4167)</x:f>
        <x:v>1.0839216666666667</x:v>
      </x:c>
      <x:c r="Q4167" s="30" t="n">
        <x:f>P4167*N4167</x:f>
        <x:v>78.04236</x:v>
      </x:c>
      <x:c r="R4167" s="19" t="str">
        <x:v>独立判定</x:v>
      </x:c>
    </x:row>
    <x:row r="4168" ht="19" customHeight="1">
      <x:c r="A4168" s="19" t="str">
        <x:v>D04164</x:v>
      </x:c>
      <x:c r="B4168" s="19" t="n">
        <x:v>9</x:v>
      </x:c>
      <x:c r="C4168" s="19" t="n">
        <x:v>2</x:v>
      </x:c>
      <x:c r="D4168" s="19" t="str">
        <x:v>C09-M017</x:v>
      </x:c>
      <x:c r="E4168" s="19" t="str">
        <x:v>深井负筐奴</x:v>
      </x:c>
      <x:c r="F4168" s="19" t="str">
        <x:v>普通</x:v>
      </x:c>
      <x:c r="G4168" s="19" t="str">
        <x:v>材料独立候选</x:v>
      </x:c>
      <x:c r="H4168" s="19" t="str">
        <x:v>技能残页</x:v>
      </x:c>
      <x:c r="I4168" s="22" t="n">
        <x:v>2500</x:v>
      </x:c>
      <x:c r="J4168" s="22" t="n">
        <x:v>1</x:v>
      </x:c>
      <x:c r="K4168" s="19" t="n">
        <x:v>1</x:v>
      </x:c>
      <x:c r="L4168" s="24" t="n">
        <x:v>59.123</x:v>
      </x:c>
      <x:c r="M4168" s="26" t="n">
        <x:v>0.1</x:v>
      </x:c>
      <x:c r="N4168" s="24" t="n">
        <x:v>72</x:v>
      </x:c>
      <x:c r="O4168" s="28" t="n">
        <x:f>MIN(1,L4168/I4168)</x:f>
        <x:v>0.0236492</x:v>
      </x:c>
      <x:c r="P4168" s="30" t="n">
        <x:f>O4168*J4168*(1+M4168)</x:f>
        <x:v>0.02601412</x:v>
      </x:c>
      <x:c r="Q4168" s="30" t="n">
        <x:f>P4168*N4168</x:f>
        <x:v>1.8730166400000001</x:v>
      </x:c>
      <x:c r="R4168" s="19" t="str">
        <x:v>独立判定</x:v>
      </x:c>
    </x:row>
    <x:row r="4169" ht="19" customHeight="1">
      <x:c r="A4169" s="19" t="str">
        <x:v>D04165</x:v>
      </x:c>
      <x:c r="B4169" s="19" t="n">
        <x:v>9</x:v>
      </x:c>
      <x:c r="C4169" s="19" t="n">
        <x:v>2</x:v>
      </x:c>
      <x:c r="D4169" s="19" t="str">
        <x:v>C09-M017</x:v>
      </x:c>
      <x:c r="E4169" s="19" t="str">
        <x:v>深井负筐奴</x:v>
      </x:c>
      <x:c r="F4169" s="19" t="str">
        <x:v>普通</x:v>
      </x:c>
      <x:c r="G4169" s="19" t="str">
        <x:v>材料独立候选</x:v>
      </x:c>
      <x:c r="H4169" s="19" t="str">
        <x:v>小卢恩</x:v>
      </x:c>
      <x:c r="I4169" s="22" t="n">
        <x:v>18000</x:v>
      </x:c>
      <x:c r="J4169" s="22" t="n">
        <x:v>1</x:v>
      </x:c>
      <x:c r="K4169" s="19" t="n">
        <x:v>1</x:v>
      </x:c>
      <x:c r="L4169" s="24" t="n">
        <x:v>59.123</x:v>
      </x:c>
      <x:c r="M4169" s="26" t="n">
        <x:v>0.1</x:v>
      </x:c>
      <x:c r="N4169" s="24" t="n">
        <x:v>72</x:v>
      </x:c>
      <x:c r="O4169" s="28" t="n">
        <x:f>MIN(1,L4169/I4169)</x:f>
        <x:v>0.003284611111111111</x:v>
      </x:c>
      <x:c r="P4169" s="30" t="n">
        <x:f>O4169*J4169*(1+M4169)</x:f>
        <x:v>0.0036130722222222226</x:v>
      </x:c>
      <x:c r="Q4169" s="30" t="n">
        <x:f>P4169*N4169</x:f>
        <x:v>0.2601412</x:v>
      </x:c>
      <x:c r="R4169" s="19" t="str">
        <x:v>独立判定</x:v>
      </x:c>
    </x:row>
    <x:row r="4170" ht="19" customHeight="1">
      <x:c r="A4170" s="19" t="str">
        <x:v>D04166</x:v>
      </x:c>
      <x:c r="B4170" s="19" t="n">
        <x:v>9</x:v>
      </x:c>
      <x:c r="C4170" s="19" t="n">
        <x:v>2</x:v>
      </x:c>
      <x:c r="D4170" s="19" t="str">
        <x:v>C09-M017</x:v>
      </x:c>
      <x:c r="E4170" s="19" t="str">
        <x:v>深井负筐奴</x:v>
      </x:c>
      <x:c r="F4170" s="19" t="str">
        <x:v>普通</x:v>
      </x:c>
      <x:c r="G4170" s="19" t="str">
        <x:v>六神器公共池</x:v>
      </x:c>
      <x:c r="H4170" s="19" t="str">
        <x:v>POOL006</x:v>
      </x:c>
      <x:c r="I4170" s="22" t="n">
        <x:v>20000000</x:v>
      </x:c>
      <x:c r="J4170" s="22" t="n">
        <x:v>1</x:v>
      </x:c>
      <x:c r="K4170" s="19" t="n">
        <x:v>6</x:v>
      </x:c>
      <x:c r="L4170" s="24" t="n">
        <x:v>59.123</x:v>
      </x:c>
      <x:c r="M4170" s="26" t="n">
        <x:v>0.1</x:v>
      </x:c>
      <x:c r="N4170" s="24" t="n">
        <x:v>72</x:v>
      </x:c>
      <x:c r="O4170" s="28" t="n">
        <x:f>MIN(1,L4170/I4170)</x:f>
        <x:v>0.00000295615</x:v>
      </x:c>
      <x:c r="P4170" s="30" t="n">
        <x:f>O4170*J4170*(1+M4170)</x:f>
        <x:v>0.0000032517650000000005</x:v>
      </x:c>
      <x:c r="Q4170" s="30" t="n">
        <x:f>P4170*N4170</x:f>
        <x:v>0.00023412708000000002</x:v>
      </x:c>
      <x:c r="R4170" s="19" t="str">
        <x:v>六选一；非6个独立爆率</x:v>
      </x:c>
    </x:row>
    <x:row r="4171" ht="19" customHeight="1">
      <x:c r="A4171" s="19" t="str">
        <x:v>D04167</x:v>
      </x:c>
      <x:c r="B4171" s="19" t="n">
        <x:v>9</x:v>
      </x:c>
      <x:c r="C4171" s="19" t="n">
        <x:v>2</x:v>
      </x:c>
      <x:c r="D4171" s="19" t="str">
        <x:v>C09-M018</x:v>
      </x:c>
      <x:c r="E4171" s="19" t="str">
        <x:v>核心晶背虫</x:v>
      </x:c>
      <x:c r="F4171" s="19" t="str">
        <x:v>普通</x:v>
      </x:c>
      <x:c r="G4171" s="19" t="str">
        <x:v>自身专属</x:v>
      </x:c>
      <x:c r="H4171" s="19" t="str">
        <x:v>晶背层岩盾</x:v>
      </x:c>
      <x:c r="I4171" s="22" t="n">
        <x:v>6000</x:v>
      </x:c>
      <x:c r="J4171" s="22" t="n">
        <x:v>1</x:v>
      </x:c>
      <x:c r="K4171" s="19" t="n">
        <x:v>1</x:v>
      </x:c>
      <x:c r="L4171" s="24" t="n">
        <x:v>59.123</x:v>
      </x:c>
      <x:c r="M4171" s="26" t="n">
        <x:v>0.1</x:v>
      </x:c>
      <x:c r="N4171" s="24" t="n">
        <x:v>72</x:v>
      </x:c>
      <x:c r="O4171" s="28" t="n">
        <x:f>MIN(1,L4171/I4171)</x:f>
        <x:v>0.009853833333333333</x:v>
      </x:c>
      <x:c r="P4171" s="30" t="n">
        <x:f>O4171*J4171*(1+M4171)</x:f>
        <x:v>0.010839216666666667</x:v>
      </x:c>
      <x:c r="Q4171" s="30" t="n">
        <x:f>P4171*N4171</x:f>
        <x:v>0.7804236</x:v>
      </x:c>
      <x:c r="R4171" s="19" t="str">
        <x:v>独立判定</x:v>
      </x:c>
    </x:row>
    <x:row r="4172" ht="19" customHeight="1">
      <x:c r="A4172" s="19" t="str">
        <x:v>D04168</x:v>
      </x:c>
      <x:c r="B4172" s="19" t="n">
        <x:v>9</x:v>
      </x:c>
      <x:c r="C4172" s="19" t="n">
        <x:v>2</x:v>
      </x:c>
      <x:c r="D4172" s="19" t="str">
        <x:v>C09-M018</x:v>
      </x:c>
      <x:c r="E4172" s="19" t="str">
        <x:v>核心晶背虫</x:v>
      </x:c>
      <x:c r="F4172" s="19" t="str">
        <x:v>普通</x:v>
      </x:c>
      <x:c r="G4172" s="19" t="str">
        <x:v>材料独立候选</x:v>
      </x:c>
      <x:c r="H4172" s="19" t="str">
        <x:v>黄金叶脉</x:v>
      </x:c>
      <x:c r="I4172" s="22" t="n">
        <x:v>1500</x:v>
      </x:c>
      <x:c r="J4172" s="22" t="n">
        <x:v>8</x:v>
      </x:c>
      <x:c r="K4172" s="19" t="n">
        <x:v>1</x:v>
      </x:c>
      <x:c r="L4172" s="24" t="n">
        <x:v>59.123</x:v>
      </x:c>
      <x:c r="M4172" s="26" t="n">
        <x:v>0.1</x:v>
      </x:c>
      <x:c r="N4172" s="24" t="n">
        <x:v>72</x:v>
      </x:c>
      <x:c r="O4172" s="28" t="n">
        <x:f>MIN(1,L4172/I4172)</x:f>
        <x:v>0.03941533333333333</x:v>
      </x:c>
      <x:c r="P4172" s="30" t="n">
        <x:f>O4172*J4172*(1+M4172)</x:f>
        <x:v>0.34685493333333334</x:v>
      </x:c>
      <x:c r="Q4172" s="30" t="n">
        <x:f>P4172*N4172</x:f>
        <x:v>24.9735552</x:v>
      </x:c>
      <x:c r="R4172" s="19" t="str">
        <x:v>独立判定</x:v>
      </x:c>
    </x:row>
    <x:row r="4173" ht="19" customHeight="1">
      <x:c r="A4173" s="19" t="str">
        <x:v>D04169</x:v>
      </x:c>
      <x:c r="B4173" s="19" t="n">
        <x:v>9</x:v>
      </x:c>
      <x:c r="C4173" s="19" t="n">
        <x:v>2</x:v>
      </x:c>
      <x:c r="D4173" s="19" t="str">
        <x:v>C09-M018</x:v>
      </x:c>
      <x:c r="E4173" s="19" t="str">
        <x:v>核心晶背虫</x:v>
      </x:c>
      <x:c r="F4173" s="19" t="str">
        <x:v>普通</x:v>
      </x:c>
      <x:c r="G4173" s="19" t="str">
        <x:v>材料独立候选</x:v>
      </x:c>
      <x:c r="H4173" s="19" t="str">
        <x:v>金叶驿票</x:v>
      </x:c>
      <x:c r="I4173" s="22" t="n">
        <x:v>15000</x:v>
      </x:c>
      <x:c r="J4173" s="22" t="n">
        <x:v>1</x:v>
      </x:c>
      <x:c r="K4173" s="19" t="n">
        <x:v>1</x:v>
      </x:c>
      <x:c r="L4173" s="24" t="n">
        <x:v>59.123</x:v>
      </x:c>
      <x:c r="M4173" s="26" t="n">
        <x:v>0.1</x:v>
      </x:c>
      <x:c r="N4173" s="24" t="n">
        <x:v>72</x:v>
      </x:c>
      <x:c r="O4173" s="28" t="n">
        <x:f>MIN(1,L4173/I4173)</x:f>
        <x:v>0.003941533333333333</x:v>
      </x:c>
      <x:c r="P4173" s="30" t="n">
        <x:f>O4173*J4173*(1+M4173)</x:f>
        <x:v>0.004335686666666666</x:v>
      </x:c>
      <x:c r="Q4173" s="30" t="n">
        <x:f>P4173*N4173</x:f>
        <x:v>0.31216943999999996</x:v>
      </x:c>
      <x:c r="R4173" s="19" t="str">
        <x:v>独立判定</x:v>
      </x:c>
    </x:row>
    <x:row r="4174" ht="19" customHeight="1">
      <x:c r="A4174" s="19" t="str">
        <x:v>D04170</x:v>
      </x:c>
      <x:c r="B4174" s="19" t="n">
        <x:v>9</x:v>
      </x:c>
      <x:c r="C4174" s="19" t="n">
        <x:v>2</x:v>
      </x:c>
      <x:c r="D4174" s="19" t="str">
        <x:v>C09-M018</x:v>
      </x:c>
      <x:c r="E4174" s="19" t="str">
        <x:v>核心晶背虫</x:v>
      </x:c>
      <x:c r="F4174" s="19" t="str">
        <x:v>普通</x:v>
      </x:c>
      <x:c r="G4174" s="19" t="str">
        <x:v>材料独立候选</x:v>
      </x:c>
      <x:c r="H4174" s="19" t="str">
        <x:v>古坛鎏叶髓</x:v>
      </x:c>
      <x:c r="I4174" s="22" t="n">
        <x:v>2500000</x:v>
      </x:c>
      <x:c r="J4174" s="22" t="n">
        <x:v>1</x:v>
      </x:c>
      <x:c r="K4174" s="19" t="n">
        <x:v>1</x:v>
      </x:c>
      <x:c r="L4174" s="24" t="n">
        <x:v>59.123</x:v>
      </x:c>
      <x:c r="M4174" s="26" t="n">
        <x:v>0.1</x:v>
      </x:c>
      <x:c r="N4174" s="24" t="n">
        <x:v>72</x:v>
      </x:c>
      <x:c r="O4174" s="28" t="n">
        <x:f>MIN(1,L4174/I4174)</x:f>
        <x:v>0.0000236492</x:v>
      </x:c>
      <x:c r="P4174" s="30" t="n">
        <x:f>O4174*J4174*(1+M4174)</x:f>
        <x:v>0.000026014120000000004</x:v>
      </x:c>
      <x:c r="Q4174" s="30" t="n">
        <x:f>P4174*N4174</x:f>
        <x:v>0.0018730166400000002</x:v>
      </x:c>
      <x:c r="R4174" s="19" t="str">
        <x:v>独立判定</x:v>
      </x:c>
    </x:row>
    <x:row r="4175" ht="19" customHeight="1">
      <x:c r="A4175" s="19" t="str">
        <x:v>D04171</x:v>
      </x:c>
      <x:c r="B4175" s="19" t="n">
        <x:v>9</x:v>
      </x:c>
      <x:c r="C4175" s="19" t="n">
        <x:v>2</x:v>
      </x:c>
      <x:c r="D4175" s="19" t="str">
        <x:v>C09-M018</x:v>
      </x:c>
      <x:c r="E4175" s="19" t="str">
        <x:v>核心晶背虫</x:v>
      </x:c>
      <x:c r="F4175" s="19" t="str">
        <x:v>普通</x:v>
      </x:c>
      <x:c r="G4175" s="19" t="str">
        <x:v>材料独立候选</x:v>
      </x:c>
      <x:c r="H4175" s="19" t="str">
        <x:v>野兽骨片</x:v>
      </x:c>
      <x:c r="I4175" s="22" t="n">
        <x:v>300</x:v>
      </x:c>
      <x:c r="J4175" s="22" t="n">
        <x:v>5</x:v>
      </x:c>
      <x:c r="K4175" s="19" t="n">
        <x:v>1</x:v>
      </x:c>
      <x:c r="L4175" s="24" t="n">
        <x:v>59.123</x:v>
      </x:c>
      <x:c r="M4175" s="26" t="n">
        <x:v>0.1</x:v>
      </x:c>
      <x:c r="N4175" s="24" t="n">
        <x:v>72</x:v>
      </x:c>
      <x:c r="O4175" s="28" t="n">
        <x:f>MIN(1,L4175/I4175)</x:f>
        <x:v>0.19707666666666665</x:v>
      </x:c>
      <x:c r="P4175" s="30" t="n">
        <x:f>O4175*J4175*(1+M4175)</x:f>
        <x:v>1.0839216666666667</x:v>
      </x:c>
      <x:c r="Q4175" s="30" t="n">
        <x:f>P4175*N4175</x:f>
        <x:v>78.04236</x:v>
      </x:c>
      <x:c r="R4175" s="19" t="str">
        <x:v>独立判定</x:v>
      </x:c>
    </x:row>
    <x:row r="4176" ht="19" customHeight="1">
      <x:c r="A4176" s="19" t="str">
        <x:v>D04172</x:v>
      </x:c>
      <x:c r="B4176" s="19" t="n">
        <x:v>9</x:v>
      </x:c>
      <x:c r="C4176" s="19" t="n">
        <x:v>2</x:v>
      </x:c>
      <x:c r="D4176" s="19" t="str">
        <x:v>C09-M018</x:v>
      </x:c>
      <x:c r="E4176" s="19" t="str">
        <x:v>核心晶背虫</x:v>
      </x:c>
      <x:c r="F4176" s="19" t="str">
        <x:v>普通</x:v>
      </x:c>
      <x:c r="G4176" s="19" t="str">
        <x:v>材料独立候选</x:v>
      </x:c>
      <x:c r="H4176" s="19" t="str">
        <x:v>技能残页</x:v>
      </x:c>
      <x:c r="I4176" s="22" t="n">
        <x:v>2500</x:v>
      </x:c>
      <x:c r="J4176" s="22" t="n">
        <x:v>1</x:v>
      </x:c>
      <x:c r="K4176" s="19" t="n">
        <x:v>1</x:v>
      </x:c>
      <x:c r="L4176" s="24" t="n">
        <x:v>59.123</x:v>
      </x:c>
      <x:c r="M4176" s="26" t="n">
        <x:v>0.1</x:v>
      </x:c>
      <x:c r="N4176" s="24" t="n">
        <x:v>72</x:v>
      </x:c>
      <x:c r="O4176" s="28" t="n">
        <x:f>MIN(1,L4176/I4176)</x:f>
        <x:v>0.0236492</x:v>
      </x:c>
      <x:c r="P4176" s="30" t="n">
        <x:f>O4176*J4176*(1+M4176)</x:f>
        <x:v>0.02601412</x:v>
      </x:c>
      <x:c r="Q4176" s="30" t="n">
        <x:f>P4176*N4176</x:f>
        <x:v>1.8730166400000001</x:v>
      </x:c>
      <x:c r="R4176" s="19" t="str">
        <x:v>独立判定</x:v>
      </x:c>
    </x:row>
    <x:row r="4177" ht="19" customHeight="1">
      <x:c r="A4177" s="19" t="str">
        <x:v>D04173</x:v>
      </x:c>
      <x:c r="B4177" s="19" t="n">
        <x:v>9</x:v>
      </x:c>
      <x:c r="C4177" s="19" t="n">
        <x:v>2</x:v>
      </x:c>
      <x:c r="D4177" s="19" t="str">
        <x:v>C09-M018</x:v>
      </x:c>
      <x:c r="E4177" s="19" t="str">
        <x:v>核心晶背虫</x:v>
      </x:c>
      <x:c r="F4177" s="19" t="str">
        <x:v>普通</x:v>
      </x:c>
      <x:c r="G4177" s="19" t="str">
        <x:v>材料独立候选</x:v>
      </x:c>
      <x:c r="H4177" s="19" t="str">
        <x:v>小卢恩</x:v>
      </x:c>
      <x:c r="I4177" s="22" t="n">
        <x:v>18000</x:v>
      </x:c>
      <x:c r="J4177" s="22" t="n">
        <x:v>1</x:v>
      </x:c>
      <x:c r="K4177" s="19" t="n">
        <x:v>1</x:v>
      </x:c>
      <x:c r="L4177" s="24" t="n">
        <x:v>59.123</x:v>
      </x:c>
      <x:c r="M4177" s="26" t="n">
        <x:v>0.1</x:v>
      </x:c>
      <x:c r="N4177" s="24" t="n">
        <x:v>72</x:v>
      </x:c>
      <x:c r="O4177" s="28" t="n">
        <x:f>MIN(1,L4177/I4177)</x:f>
        <x:v>0.003284611111111111</x:v>
      </x:c>
      <x:c r="P4177" s="30" t="n">
        <x:f>O4177*J4177*(1+M4177)</x:f>
        <x:v>0.0036130722222222226</x:v>
      </x:c>
      <x:c r="Q4177" s="30" t="n">
        <x:f>P4177*N4177</x:f>
        <x:v>0.2601412</x:v>
      </x:c>
      <x:c r="R4177" s="19" t="str">
        <x:v>独立判定</x:v>
      </x:c>
    </x:row>
    <x:row r="4178" ht="19" customHeight="1">
      <x:c r="A4178" s="19" t="str">
        <x:v>D04174</x:v>
      </x:c>
      <x:c r="B4178" s="19" t="n">
        <x:v>9</x:v>
      </x:c>
      <x:c r="C4178" s="19" t="n">
        <x:v>2</x:v>
      </x:c>
      <x:c r="D4178" s="19" t="str">
        <x:v>C09-M018</x:v>
      </x:c>
      <x:c r="E4178" s="19" t="str">
        <x:v>核心晶背虫</x:v>
      </x:c>
      <x:c r="F4178" s="19" t="str">
        <x:v>普通</x:v>
      </x:c>
      <x:c r="G4178" s="19" t="str">
        <x:v>六神器公共池</x:v>
      </x:c>
      <x:c r="H4178" s="19" t="str">
        <x:v>POOL006</x:v>
      </x:c>
      <x:c r="I4178" s="22" t="n">
        <x:v>20000000</x:v>
      </x:c>
      <x:c r="J4178" s="22" t="n">
        <x:v>1</x:v>
      </x:c>
      <x:c r="K4178" s="19" t="n">
        <x:v>6</x:v>
      </x:c>
      <x:c r="L4178" s="24" t="n">
        <x:v>59.123</x:v>
      </x:c>
      <x:c r="M4178" s="26" t="n">
        <x:v>0.1</x:v>
      </x:c>
      <x:c r="N4178" s="24" t="n">
        <x:v>72</x:v>
      </x:c>
      <x:c r="O4178" s="28" t="n">
        <x:f>MIN(1,L4178/I4178)</x:f>
        <x:v>0.00000295615</x:v>
      </x:c>
      <x:c r="P4178" s="30" t="n">
        <x:f>O4178*J4178*(1+M4178)</x:f>
        <x:v>0.0000032517650000000005</x:v>
      </x:c>
      <x:c r="Q4178" s="30" t="n">
        <x:f>P4178*N4178</x:f>
        <x:v>0.00023412708000000002</x:v>
      </x:c>
      <x:c r="R4178" s="19" t="str">
        <x:v>六选一；非6个独立爆率</x:v>
      </x:c>
    </x:row>
    <x:row r="4179" ht="19" customHeight="1">
      <x:c r="A4179" s="19" t="str">
        <x:v>D04175</x:v>
      </x:c>
      <x:c r="B4179" s="19" t="n">
        <x:v>9</x:v>
      </x:c>
      <x:c r="C4179" s="19" t="n">
        <x:v>2</x:v>
      </x:c>
      <x:c r="D4179" s="19" t="str">
        <x:v>C09-M019</x:v>
      </x:c>
      <x:c r="E4179" s="19" t="str">
        <x:v>矿道哑钟监工</x:v>
      </x:c>
      <x:c r="F4179" s="19" t="str">
        <x:v>稀有</x:v>
      </x:c>
      <x:c r="G4179" s="19" t="str">
        <x:v>自身专属</x:v>
      </x:c>
      <x:c r="H4179" s="19" t="str">
        <x:v>哑钟监工盔</x:v>
      </x:c>
      <x:c r="I4179" s="22" t="n">
        <x:v>1800</x:v>
      </x:c>
      <x:c r="J4179" s="22" t="n">
        <x:v>1</x:v>
      </x:c>
      <x:c r="K4179" s="19" t="n">
        <x:v>1</x:v>
      </x:c>
      <x:c r="L4179" s="24" t="n">
        <x:v>59.123</x:v>
      </x:c>
      <x:c r="M4179" s="26" t="n">
        <x:v>0.1</x:v>
      </x:c>
      <x:c r="N4179" s="24" t="n">
        <x:v>12</x:v>
      </x:c>
      <x:c r="O4179" s="28" t="n">
        <x:f>MIN(1,L4179/I4179)</x:f>
        <x:v>0.03284611111111111</x:v>
      </x:c>
      <x:c r="P4179" s="30" t="n">
        <x:f>O4179*J4179*(1+M4179)</x:f>
        <x:v>0.036130722222222224</x:v>
      </x:c>
      <x:c r="Q4179" s="30" t="n">
        <x:f>P4179*N4179</x:f>
        <x:v>0.4335686666666667</x:v>
      </x:c>
      <x:c r="R4179" s="19" t="str">
        <x:v>独立判定</x:v>
      </x:c>
    </x:row>
    <x:row r="4180" ht="19" customHeight="1">
      <x:c r="A4180" s="19" t="str">
        <x:v>D04176</x:v>
      </x:c>
      <x:c r="B4180" s="19" t="n">
        <x:v>9</x:v>
      </x:c>
      <x:c r="C4180" s="19" t="n">
        <x:v>2</x:v>
      </x:c>
      <x:c r="D4180" s="19" t="str">
        <x:v>C09-M019</x:v>
      </x:c>
      <x:c r="E4180" s="19" t="str">
        <x:v>矿道哑钟监工</x:v>
      </x:c>
      <x:c r="F4180" s="19" t="str">
        <x:v>稀有</x:v>
      </x:c>
      <x:c r="G4180" s="19" t="str">
        <x:v>材料独立候选</x:v>
      </x:c>
      <x:c r="H4180" s="19" t="str">
        <x:v>黄金叶脉</x:v>
      </x:c>
      <x:c r="I4180" s="22" t="n">
        <x:v>800</x:v>
      </x:c>
      <x:c r="J4180" s="22" t="n">
        <x:v>15</x:v>
      </x:c>
      <x:c r="K4180" s="19" t="n">
        <x:v>1</x:v>
      </x:c>
      <x:c r="L4180" s="24" t="n">
        <x:v>59.123</x:v>
      </x:c>
      <x:c r="M4180" s="26" t="n">
        <x:v>0.1</x:v>
      </x:c>
      <x:c r="N4180" s="24" t="n">
        <x:v>12</x:v>
      </x:c>
      <x:c r="O4180" s="28" t="n">
        <x:f>MIN(1,L4180/I4180)</x:f>
        <x:v>0.07390374999999999</x:v>
      </x:c>
      <x:c r="P4180" s="30" t="n">
        <x:f>O4180*J4180*(1+M4180)</x:f>
        <x:v>1.219411875</x:v>
      </x:c>
      <x:c r="Q4180" s="30" t="n">
        <x:f>P4180*N4180</x:f>
        <x:v>14.6329425</x:v>
      </x:c>
      <x:c r="R4180" s="19" t="str">
        <x:v>独立判定</x:v>
      </x:c>
    </x:row>
    <x:row r="4181" ht="19" customHeight="1">
      <x:c r="A4181" s="19" t="str">
        <x:v>D04177</x:v>
      </x:c>
      <x:c r="B4181" s="19" t="n">
        <x:v>9</x:v>
      </x:c>
      <x:c r="C4181" s="19" t="n">
        <x:v>2</x:v>
      </x:c>
      <x:c r="D4181" s="19" t="str">
        <x:v>C09-M019</x:v>
      </x:c>
      <x:c r="E4181" s="19" t="str">
        <x:v>矿道哑钟监工</x:v>
      </x:c>
      <x:c r="F4181" s="19" t="str">
        <x:v>稀有</x:v>
      </x:c>
      <x:c r="G4181" s="19" t="str">
        <x:v>材料独立候选</x:v>
      </x:c>
      <x:c r="H4181" s="19" t="str">
        <x:v>古王律页</x:v>
      </x:c>
      <x:c r="I4181" s="22" t="n">
        <x:v>1000</x:v>
      </x:c>
      <x:c r="J4181" s="22" t="n">
        <x:v>1</x:v>
      </x:c>
      <x:c r="K4181" s="19" t="n">
        <x:v>1</x:v>
      </x:c>
      <x:c r="L4181" s="24" t="n">
        <x:v>59.123</x:v>
      </x:c>
      <x:c r="M4181" s="26" t="n">
        <x:v>0.1</x:v>
      </x:c>
      <x:c r="N4181" s="24" t="n">
        <x:v>12</x:v>
      </x:c>
      <x:c r="O4181" s="28" t="n">
        <x:f>MIN(1,L4181/I4181)</x:f>
        <x:v>0.059122999999999995</x:v>
      </x:c>
      <x:c r="P4181" s="30" t="n">
        <x:f>O4181*J4181*(1+M4181)</x:f>
        <x:v>0.0650353</x:v>
      </x:c>
      <x:c r="Q4181" s="30" t="n">
        <x:f>P4181*N4181</x:f>
        <x:v>0.7804236</x:v>
      </x:c>
      <x:c r="R4181" s="19" t="str">
        <x:v>独立判定</x:v>
      </x:c>
    </x:row>
    <x:row r="4182" ht="19" customHeight="1">
      <x:c r="A4182" s="19" t="str">
        <x:v>D04178</x:v>
      </x:c>
      <x:c r="B4182" s="19" t="n">
        <x:v>9</x:v>
      </x:c>
      <x:c r="C4182" s="19" t="n">
        <x:v>2</x:v>
      </x:c>
      <x:c r="D4182" s="19" t="str">
        <x:v>C09-M019</x:v>
      </x:c>
      <x:c r="E4182" s="19" t="str">
        <x:v>矿道哑钟监工</x:v>
      </x:c>
      <x:c r="F4182" s="19" t="str">
        <x:v>稀有</x:v>
      </x:c>
      <x:c r="G4182" s="19" t="str">
        <x:v>材料独立候选</x:v>
      </x:c>
      <x:c r="H4182" s="19" t="str">
        <x:v>矿脉灯芯</x:v>
      </x:c>
      <x:c r="I4182" s="22" t="n">
        <x:v>4000</x:v>
      </x:c>
      <x:c r="J4182" s="22" t="n">
        <x:v>1</x:v>
      </x:c>
      <x:c r="K4182" s="19" t="n">
        <x:v>1</x:v>
      </x:c>
      <x:c r="L4182" s="24" t="n">
        <x:v>59.123</x:v>
      </x:c>
      <x:c r="M4182" s="26" t="n">
        <x:v>0.1</x:v>
      </x:c>
      <x:c r="N4182" s="24" t="n">
        <x:v>12</x:v>
      </x:c>
      <x:c r="O4182" s="28" t="n">
        <x:f>MIN(1,L4182/I4182)</x:f>
        <x:v>0.014780749999999999</x:v>
      </x:c>
      <x:c r="P4182" s="30" t="n">
        <x:f>O4182*J4182*(1+M4182)</x:f>
        <x:v>0.016258825</x:v>
      </x:c>
      <x:c r="Q4182" s="30" t="n">
        <x:f>P4182*N4182</x:f>
        <x:v>0.1951059</x:v>
      </x:c>
      <x:c r="R4182" s="19" t="str">
        <x:v>独立判定</x:v>
      </x:c>
    </x:row>
    <x:row r="4183" ht="19" customHeight="1">
      <x:c r="A4183" s="19" t="str">
        <x:v>D04179</x:v>
      </x:c>
      <x:c r="B4183" s="19" t="n">
        <x:v>9</x:v>
      </x:c>
      <x:c r="C4183" s="19" t="n">
        <x:v>2</x:v>
      </x:c>
      <x:c r="D4183" s="19" t="str">
        <x:v>C09-M019</x:v>
      </x:c>
      <x:c r="E4183" s="19" t="str">
        <x:v>矿道哑钟监工</x:v>
      </x:c>
      <x:c r="F4183" s="19" t="str">
        <x:v>稀有</x:v>
      </x:c>
      <x:c r="G4183" s="19" t="str">
        <x:v>材料独立候选</x:v>
      </x:c>
      <x:c r="H4183" s="19" t="str">
        <x:v>古坛鎏叶髓</x:v>
      </x:c>
      <x:c r="I4183" s="22" t="n">
        <x:v>1800000</x:v>
      </x:c>
      <x:c r="J4183" s="22" t="n">
        <x:v>1</x:v>
      </x:c>
      <x:c r="K4183" s="19" t="n">
        <x:v>1</x:v>
      </x:c>
      <x:c r="L4183" s="24" t="n">
        <x:v>59.123</x:v>
      </x:c>
      <x:c r="M4183" s="26" t="n">
        <x:v>0.1</x:v>
      </x:c>
      <x:c r="N4183" s="24" t="n">
        <x:v>12</x:v>
      </x:c>
      <x:c r="O4183" s="28" t="n">
        <x:f>MIN(1,L4183/I4183)</x:f>
        <x:v>0.00003284611111111111</x:v>
      </x:c>
      <x:c r="P4183" s="30" t="n">
        <x:f>O4183*J4183*(1+M4183)</x:f>
        <x:v>0.00003613072222222223</x:v>
      </x:c>
      <x:c r="Q4183" s="30" t="n">
        <x:f>P4183*N4183</x:f>
        <x:v>0.0004335686666666667</x:v>
      </x:c>
      <x:c r="R4183" s="19" t="str">
        <x:v>独立判定</x:v>
      </x:c>
    </x:row>
    <x:row r="4184" ht="19" customHeight="1">
      <x:c r="A4184" s="19" t="str">
        <x:v>D04180</x:v>
      </x:c>
      <x:c r="B4184" s="19" t="n">
        <x:v>9</x:v>
      </x:c>
      <x:c r="C4184" s="19" t="n">
        <x:v>2</x:v>
      </x:c>
      <x:c r="D4184" s="19" t="str">
        <x:v>C09-M019</x:v>
      </x:c>
      <x:c r="E4184" s="19" t="str">
        <x:v>矿道哑钟监工</x:v>
      </x:c>
      <x:c r="F4184" s="19" t="str">
        <x:v>稀有</x:v>
      </x:c>
      <x:c r="G4184" s="19" t="str">
        <x:v>材料独立候选</x:v>
      </x:c>
      <x:c r="H4184" s="19" t="str">
        <x:v>黄金树芽</x:v>
      </x:c>
      <x:c r="I4184" s="22" t="n">
        <x:v>12000</x:v>
      </x:c>
      <x:c r="J4184" s="22" t="n">
        <x:v>1</x:v>
      </x:c>
      <x:c r="K4184" s="19" t="n">
        <x:v>1</x:v>
      </x:c>
      <x:c r="L4184" s="24" t="n">
        <x:v>59.123</x:v>
      </x:c>
      <x:c r="M4184" s="26" t="n">
        <x:v>0.1</x:v>
      </x:c>
      <x:c r="N4184" s="24" t="n">
        <x:v>12</x:v>
      </x:c>
      <x:c r="O4184" s="28" t="n">
        <x:f>MIN(1,L4184/I4184)</x:f>
        <x:v>0.004926916666666666</x:v>
      </x:c>
      <x:c r="P4184" s="30" t="n">
        <x:f>O4184*J4184*(1+M4184)</x:f>
        <x:v>0.005419608333333333</x:v>
      </x:c>
      <x:c r="Q4184" s="30" t="n">
        <x:f>P4184*N4184</x:f>
        <x:v>0.0650353</x:v>
      </x:c>
      <x:c r="R4184" s="19" t="str">
        <x:v>独立判定</x:v>
      </x:c>
    </x:row>
    <x:row r="4185" ht="19" customHeight="1">
      <x:c r="A4185" s="19" t="str">
        <x:v>D04181</x:v>
      </x:c>
      <x:c r="B4185" s="19" t="n">
        <x:v>9</x:v>
      </x:c>
      <x:c r="C4185" s="19" t="n">
        <x:v>2</x:v>
      </x:c>
      <x:c r="D4185" s="19" t="str">
        <x:v>C09-M019</x:v>
      </x:c>
      <x:c r="E4185" s="19" t="str">
        <x:v>矿道哑钟监工</x:v>
      </x:c>
      <x:c r="F4185" s="19" t="str">
        <x:v>稀有</x:v>
      </x:c>
      <x:c r="G4185" s="19" t="str">
        <x:v>材料独立候选</x:v>
      </x:c>
      <x:c r="H4185" s="19" t="str">
        <x:v>野兽骨片</x:v>
      </x:c>
      <x:c r="I4185" s="22" t="n">
        <x:v>180</x:v>
      </x:c>
      <x:c r="J4185" s="22" t="n">
        <x:v>5</x:v>
      </x:c>
      <x:c r="K4185" s="19" t="n">
        <x:v>1</x:v>
      </x:c>
      <x:c r="L4185" s="24" t="n">
        <x:v>59.123</x:v>
      </x:c>
      <x:c r="M4185" s="26" t="n">
        <x:v>0.1</x:v>
      </x:c>
      <x:c r="N4185" s="24" t="n">
        <x:v>12</x:v>
      </x:c>
      <x:c r="O4185" s="28" t="n">
        <x:f>MIN(1,L4185/I4185)</x:f>
        <x:v>0.3284611111111111</x:v>
      </x:c>
      <x:c r="P4185" s="30" t="n">
        <x:f>O4185*J4185*(1+M4185)</x:f>
        <x:v>1.8065361111111111</x:v>
      </x:c>
      <x:c r="Q4185" s="30" t="n">
        <x:f>P4185*N4185</x:f>
        <x:v>21.678433333333334</x:v>
      </x:c>
      <x:c r="R4185" s="19" t="str">
        <x:v>独立判定</x:v>
      </x:c>
    </x:row>
    <x:row r="4186" ht="19" customHeight="1">
      <x:c r="A4186" s="19" t="str">
        <x:v>D04182</x:v>
      </x:c>
      <x:c r="B4186" s="19" t="n">
        <x:v>9</x:v>
      </x:c>
      <x:c r="C4186" s="19" t="n">
        <x:v>2</x:v>
      </x:c>
      <x:c r="D4186" s="19" t="str">
        <x:v>C09-M019</x:v>
      </x:c>
      <x:c r="E4186" s="19" t="str">
        <x:v>矿道哑钟监工</x:v>
      </x:c>
      <x:c r="F4186" s="19" t="str">
        <x:v>稀有</x:v>
      </x:c>
      <x:c r="G4186" s="19" t="str">
        <x:v>材料独立候选</x:v>
      </x:c>
      <x:c r="H4186" s="19" t="str">
        <x:v>技能残页</x:v>
      </x:c>
      <x:c r="I4186" s="22" t="n">
        <x:v>1500</x:v>
      </x:c>
      <x:c r="J4186" s="22" t="n">
        <x:v>1</x:v>
      </x:c>
      <x:c r="K4186" s="19" t="n">
        <x:v>1</x:v>
      </x:c>
      <x:c r="L4186" s="24" t="n">
        <x:v>59.123</x:v>
      </x:c>
      <x:c r="M4186" s="26" t="n">
        <x:v>0.1</x:v>
      </x:c>
      <x:c r="N4186" s="24" t="n">
        <x:v>12</x:v>
      </x:c>
      <x:c r="O4186" s="28" t="n">
        <x:f>MIN(1,L4186/I4186)</x:f>
        <x:v>0.03941533333333333</x:v>
      </x:c>
      <x:c r="P4186" s="30" t="n">
        <x:f>O4186*J4186*(1+M4186)</x:f>
        <x:v>0.04335686666666667</x:v>
      </x:c>
      <x:c r="Q4186" s="30" t="n">
        <x:f>P4186*N4186</x:f>
        <x:v>0.5202824</x:v>
      </x:c>
      <x:c r="R4186" s="19" t="str">
        <x:v>独立判定</x:v>
      </x:c>
    </x:row>
    <x:row r="4187" ht="19" customHeight="1">
      <x:c r="A4187" s="19" t="str">
        <x:v>D04183</x:v>
      </x:c>
      <x:c r="B4187" s="19" t="n">
        <x:v>9</x:v>
      </x:c>
      <x:c r="C4187" s="19" t="n">
        <x:v>2</x:v>
      </x:c>
      <x:c r="D4187" s="19" t="str">
        <x:v>C09-M019</x:v>
      </x:c>
      <x:c r="E4187" s="19" t="str">
        <x:v>矿道哑钟监工</x:v>
      </x:c>
      <x:c r="F4187" s="19" t="str">
        <x:v>稀有</x:v>
      </x:c>
      <x:c r="G4187" s="19" t="str">
        <x:v>材料独立候选</x:v>
      </x:c>
      <x:c r="H4187" s="19" t="str">
        <x:v>小卢恩</x:v>
      </x:c>
      <x:c r="I4187" s="22" t="n">
        <x:v>10000</x:v>
      </x:c>
      <x:c r="J4187" s="22" t="n">
        <x:v>1</x:v>
      </x:c>
      <x:c r="K4187" s="19" t="n">
        <x:v>1</x:v>
      </x:c>
      <x:c r="L4187" s="24" t="n">
        <x:v>59.123</x:v>
      </x:c>
      <x:c r="M4187" s="26" t="n">
        <x:v>0.1</x:v>
      </x:c>
      <x:c r="N4187" s="24" t="n">
        <x:v>12</x:v>
      </x:c>
      <x:c r="O4187" s="28" t="n">
        <x:f>MIN(1,L4187/I4187)</x:f>
        <x:v>0.0059123</x:v>
      </x:c>
      <x:c r="P4187" s="30" t="n">
        <x:f>O4187*J4187*(1+M4187)</x:f>
        <x:v>0.00650353</x:v>
      </x:c>
      <x:c r="Q4187" s="30" t="n">
        <x:f>P4187*N4187</x:f>
        <x:v>0.07804236</x:v>
      </x:c>
      <x:c r="R4187" s="19" t="str">
        <x:v>独立判定</x:v>
      </x:c>
    </x:row>
    <x:row r="4188" ht="19" customHeight="1">
      <x:c r="A4188" s="19" t="str">
        <x:v>D04184</x:v>
      </x:c>
      <x:c r="B4188" s="19" t="n">
        <x:v>9</x:v>
      </x:c>
      <x:c r="C4188" s="19" t="n">
        <x:v>2</x:v>
      </x:c>
      <x:c r="D4188" s="19" t="str">
        <x:v>C09-M019</x:v>
      </x:c>
      <x:c r="E4188" s="19" t="str">
        <x:v>矿道哑钟监工</x:v>
      </x:c>
      <x:c r="F4188" s="19" t="str">
        <x:v>稀有</x:v>
      </x:c>
      <x:c r="G4188" s="19" t="str">
        <x:v>六神器公共池</x:v>
      </x:c>
      <x:c r="H4188" s="19" t="str">
        <x:v>POOL006</x:v>
      </x:c>
      <x:c r="I4188" s="22" t="n">
        <x:v>5000000</x:v>
      </x:c>
      <x:c r="J4188" s="22" t="n">
        <x:v>1</x:v>
      </x:c>
      <x:c r="K4188" s="19" t="n">
        <x:v>6</x:v>
      </x:c>
      <x:c r="L4188" s="24" t="n">
        <x:v>59.123</x:v>
      </x:c>
      <x:c r="M4188" s="26" t="n">
        <x:v>0.1</x:v>
      </x:c>
      <x:c r="N4188" s="24" t="n">
        <x:v>12</x:v>
      </x:c>
      <x:c r="O4188" s="28" t="n">
        <x:f>MIN(1,L4188/I4188)</x:f>
        <x:v>0.0000118246</x:v>
      </x:c>
      <x:c r="P4188" s="30" t="n">
        <x:f>O4188*J4188*(1+M4188)</x:f>
        <x:v>0.000013007060000000002</x:v>
      </x:c>
      <x:c r="Q4188" s="30" t="n">
        <x:f>P4188*N4188</x:f>
        <x:v>0.00015608472000000001</x:v>
      </x:c>
      <x:c r="R4188" s="19" t="str">
        <x:v>六选一；非6个独立爆率</x:v>
      </x:c>
    </x:row>
    <x:row r="4189" ht="19" customHeight="1">
      <x:c r="A4189" s="19" t="str">
        <x:v>D04185</x:v>
      </x:c>
      <x:c r="B4189" s="19" t="n">
        <x:v>9</x:v>
      </x:c>
      <x:c r="C4189" s="19" t="n">
        <x:v>2</x:v>
      </x:c>
      <x:c r="D4189" s="19" t="str">
        <x:v>C09-M020</x:v>
      </x:c>
      <x:c r="E4189" s="19" t="str">
        <x:v>营地熔勺婆</x:v>
      </x:c>
      <x:c r="F4189" s="19" t="str">
        <x:v>稀有</x:v>
      </x:c>
      <x:c r="G4189" s="19" t="str">
        <x:v>自身专属</x:v>
      </x:c>
      <x:c r="H4189" s="19" t="str">
        <x:v>熔勺婆铜镯</x:v>
      </x:c>
      <x:c r="I4189" s="22" t="n">
        <x:v>1800</x:v>
      </x:c>
      <x:c r="J4189" s="22" t="n">
        <x:v>1</x:v>
      </x:c>
      <x:c r="K4189" s="19" t="n">
        <x:v>1</x:v>
      </x:c>
      <x:c r="L4189" s="24" t="n">
        <x:v>59.123</x:v>
      </x:c>
      <x:c r="M4189" s="26" t="n">
        <x:v>0.1</x:v>
      </x:c>
      <x:c r="N4189" s="24" t="n">
        <x:v>12</x:v>
      </x:c>
      <x:c r="O4189" s="28" t="n">
        <x:f>MIN(1,L4189/I4189)</x:f>
        <x:v>0.03284611111111111</x:v>
      </x:c>
      <x:c r="P4189" s="30" t="n">
        <x:f>O4189*J4189*(1+M4189)</x:f>
        <x:v>0.036130722222222224</x:v>
      </x:c>
      <x:c r="Q4189" s="30" t="n">
        <x:f>P4189*N4189</x:f>
        <x:v>0.4335686666666667</x:v>
      </x:c>
      <x:c r="R4189" s="19" t="str">
        <x:v>独立判定</x:v>
      </x:c>
    </x:row>
    <x:row r="4190" ht="19" customHeight="1">
      <x:c r="A4190" s="19" t="str">
        <x:v>D04186</x:v>
      </x:c>
      <x:c r="B4190" s="19" t="n">
        <x:v>9</x:v>
      </x:c>
      <x:c r="C4190" s="19" t="n">
        <x:v>2</x:v>
      </x:c>
      <x:c r="D4190" s="19" t="str">
        <x:v>C09-M020</x:v>
      </x:c>
      <x:c r="E4190" s="19" t="str">
        <x:v>营地熔勺婆</x:v>
      </x:c>
      <x:c r="F4190" s="19" t="str">
        <x:v>稀有</x:v>
      </x:c>
      <x:c r="G4190" s="19" t="str">
        <x:v>材料独立候选</x:v>
      </x:c>
      <x:c r="H4190" s="19" t="str">
        <x:v>黄金叶脉</x:v>
      </x:c>
      <x:c r="I4190" s="22" t="n">
        <x:v>800</x:v>
      </x:c>
      <x:c r="J4190" s="22" t="n">
        <x:v>15</x:v>
      </x:c>
      <x:c r="K4190" s="19" t="n">
        <x:v>1</x:v>
      </x:c>
      <x:c r="L4190" s="24" t="n">
        <x:v>59.123</x:v>
      </x:c>
      <x:c r="M4190" s="26" t="n">
        <x:v>0.1</x:v>
      </x:c>
      <x:c r="N4190" s="24" t="n">
        <x:v>12</x:v>
      </x:c>
      <x:c r="O4190" s="28" t="n">
        <x:f>MIN(1,L4190/I4190)</x:f>
        <x:v>0.07390374999999999</x:v>
      </x:c>
      <x:c r="P4190" s="30" t="n">
        <x:f>O4190*J4190*(1+M4190)</x:f>
        <x:v>1.219411875</x:v>
      </x:c>
      <x:c r="Q4190" s="30" t="n">
        <x:f>P4190*N4190</x:f>
        <x:v>14.6329425</x:v>
      </x:c>
      <x:c r="R4190" s="19" t="str">
        <x:v>独立判定</x:v>
      </x:c>
    </x:row>
    <x:row r="4191" ht="19" customHeight="1">
      <x:c r="A4191" s="19" t="str">
        <x:v>D04187</x:v>
      </x:c>
      <x:c r="B4191" s="19" t="n">
        <x:v>9</x:v>
      </x:c>
      <x:c r="C4191" s="19" t="n">
        <x:v>2</x:v>
      </x:c>
      <x:c r="D4191" s="19" t="str">
        <x:v>C09-M020</x:v>
      </x:c>
      <x:c r="E4191" s="19" t="str">
        <x:v>营地熔勺婆</x:v>
      </x:c>
      <x:c r="F4191" s="19" t="str">
        <x:v>稀有</x:v>
      </x:c>
      <x:c r="G4191" s="19" t="str">
        <x:v>材料独立候选</x:v>
      </x:c>
      <x:c r="H4191" s="19" t="str">
        <x:v>古王律页</x:v>
      </x:c>
      <x:c r="I4191" s="22" t="n">
        <x:v>1000</x:v>
      </x:c>
      <x:c r="J4191" s="22" t="n">
        <x:v>1</x:v>
      </x:c>
      <x:c r="K4191" s="19" t="n">
        <x:v>1</x:v>
      </x:c>
      <x:c r="L4191" s="24" t="n">
        <x:v>59.123</x:v>
      </x:c>
      <x:c r="M4191" s="26" t="n">
        <x:v>0.1</x:v>
      </x:c>
      <x:c r="N4191" s="24" t="n">
        <x:v>12</x:v>
      </x:c>
      <x:c r="O4191" s="28" t="n">
        <x:f>MIN(1,L4191/I4191)</x:f>
        <x:v>0.059122999999999995</x:v>
      </x:c>
      <x:c r="P4191" s="30" t="n">
        <x:f>O4191*J4191*(1+M4191)</x:f>
        <x:v>0.0650353</x:v>
      </x:c>
      <x:c r="Q4191" s="30" t="n">
        <x:f>P4191*N4191</x:f>
        <x:v>0.7804236</x:v>
      </x:c>
      <x:c r="R4191" s="19" t="str">
        <x:v>独立判定</x:v>
      </x:c>
    </x:row>
    <x:row r="4192" ht="19" customHeight="1">
      <x:c r="A4192" s="19" t="str">
        <x:v>D04188</x:v>
      </x:c>
      <x:c r="B4192" s="19" t="n">
        <x:v>9</x:v>
      </x:c>
      <x:c r="C4192" s="19" t="n">
        <x:v>2</x:v>
      </x:c>
      <x:c r="D4192" s="19" t="str">
        <x:v>C09-M020</x:v>
      </x:c>
      <x:c r="E4192" s="19" t="str">
        <x:v>营地熔勺婆</x:v>
      </x:c>
      <x:c r="F4192" s="19" t="str">
        <x:v>稀有</x:v>
      </x:c>
      <x:c r="G4192" s="19" t="str">
        <x:v>材料独立候选</x:v>
      </x:c>
      <x:c r="H4192" s="19" t="str">
        <x:v>矿脉灯芯</x:v>
      </x:c>
      <x:c r="I4192" s="22" t="n">
        <x:v>4000</x:v>
      </x:c>
      <x:c r="J4192" s="22" t="n">
        <x:v>1</x:v>
      </x:c>
      <x:c r="K4192" s="19" t="n">
        <x:v>1</x:v>
      </x:c>
      <x:c r="L4192" s="24" t="n">
        <x:v>59.123</x:v>
      </x:c>
      <x:c r="M4192" s="26" t="n">
        <x:v>0.1</x:v>
      </x:c>
      <x:c r="N4192" s="24" t="n">
        <x:v>12</x:v>
      </x:c>
      <x:c r="O4192" s="28" t="n">
        <x:f>MIN(1,L4192/I4192)</x:f>
        <x:v>0.014780749999999999</x:v>
      </x:c>
      <x:c r="P4192" s="30" t="n">
        <x:f>O4192*J4192*(1+M4192)</x:f>
        <x:v>0.016258825</x:v>
      </x:c>
      <x:c r="Q4192" s="30" t="n">
        <x:f>P4192*N4192</x:f>
        <x:v>0.1951059</x:v>
      </x:c>
      <x:c r="R4192" s="19" t="str">
        <x:v>独立判定</x:v>
      </x:c>
    </x:row>
    <x:row r="4193" ht="19" customHeight="1">
      <x:c r="A4193" s="19" t="str">
        <x:v>D04189</x:v>
      </x:c>
      <x:c r="B4193" s="19" t="n">
        <x:v>9</x:v>
      </x:c>
      <x:c r="C4193" s="19" t="n">
        <x:v>2</x:v>
      </x:c>
      <x:c r="D4193" s="19" t="str">
        <x:v>C09-M020</x:v>
      </x:c>
      <x:c r="E4193" s="19" t="str">
        <x:v>营地熔勺婆</x:v>
      </x:c>
      <x:c r="F4193" s="19" t="str">
        <x:v>稀有</x:v>
      </x:c>
      <x:c r="G4193" s="19" t="str">
        <x:v>材料独立候选</x:v>
      </x:c>
      <x:c r="H4193" s="19" t="str">
        <x:v>古坛鎏叶髓</x:v>
      </x:c>
      <x:c r="I4193" s="22" t="n">
        <x:v>1800000</x:v>
      </x:c>
      <x:c r="J4193" s="22" t="n">
        <x:v>1</x:v>
      </x:c>
      <x:c r="K4193" s="19" t="n">
        <x:v>1</x:v>
      </x:c>
      <x:c r="L4193" s="24" t="n">
        <x:v>59.123</x:v>
      </x:c>
      <x:c r="M4193" s="26" t="n">
        <x:v>0.1</x:v>
      </x:c>
      <x:c r="N4193" s="24" t="n">
        <x:v>12</x:v>
      </x:c>
      <x:c r="O4193" s="28" t="n">
        <x:f>MIN(1,L4193/I4193)</x:f>
        <x:v>0.00003284611111111111</x:v>
      </x:c>
      <x:c r="P4193" s="30" t="n">
        <x:f>O4193*J4193*(1+M4193)</x:f>
        <x:v>0.00003613072222222223</x:v>
      </x:c>
      <x:c r="Q4193" s="30" t="n">
        <x:f>P4193*N4193</x:f>
        <x:v>0.0004335686666666667</x:v>
      </x:c>
      <x:c r="R4193" s="19" t="str">
        <x:v>独立判定</x:v>
      </x:c>
    </x:row>
    <x:row r="4194" ht="19" customHeight="1">
      <x:c r="A4194" s="19" t="str">
        <x:v>D04190</x:v>
      </x:c>
      <x:c r="B4194" s="19" t="n">
        <x:v>9</x:v>
      </x:c>
      <x:c r="C4194" s="19" t="n">
        <x:v>2</x:v>
      </x:c>
      <x:c r="D4194" s="19" t="str">
        <x:v>C09-M020</x:v>
      </x:c>
      <x:c r="E4194" s="19" t="str">
        <x:v>营地熔勺婆</x:v>
      </x:c>
      <x:c r="F4194" s="19" t="str">
        <x:v>稀有</x:v>
      </x:c>
      <x:c r="G4194" s="19" t="str">
        <x:v>材料独立候选</x:v>
      </x:c>
      <x:c r="H4194" s="19" t="str">
        <x:v>黄金树芽</x:v>
      </x:c>
      <x:c r="I4194" s="22" t="n">
        <x:v>12000</x:v>
      </x:c>
      <x:c r="J4194" s="22" t="n">
        <x:v>1</x:v>
      </x:c>
      <x:c r="K4194" s="19" t="n">
        <x:v>1</x:v>
      </x:c>
      <x:c r="L4194" s="24" t="n">
        <x:v>59.123</x:v>
      </x:c>
      <x:c r="M4194" s="26" t="n">
        <x:v>0.1</x:v>
      </x:c>
      <x:c r="N4194" s="24" t="n">
        <x:v>12</x:v>
      </x:c>
      <x:c r="O4194" s="28" t="n">
        <x:f>MIN(1,L4194/I4194)</x:f>
        <x:v>0.004926916666666666</x:v>
      </x:c>
      <x:c r="P4194" s="30" t="n">
        <x:f>O4194*J4194*(1+M4194)</x:f>
        <x:v>0.005419608333333333</x:v>
      </x:c>
      <x:c r="Q4194" s="30" t="n">
        <x:f>P4194*N4194</x:f>
        <x:v>0.0650353</x:v>
      </x:c>
      <x:c r="R4194" s="19" t="str">
        <x:v>独立判定</x:v>
      </x:c>
    </x:row>
    <x:row r="4195" ht="19" customHeight="1">
      <x:c r="A4195" s="19" t="str">
        <x:v>D04191</x:v>
      </x:c>
      <x:c r="B4195" s="19" t="n">
        <x:v>9</x:v>
      </x:c>
      <x:c r="C4195" s="19" t="n">
        <x:v>2</x:v>
      </x:c>
      <x:c r="D4195" s="19" t="str">
        <x:v>C09-M020</x:v>
      </x:c>
      <x:c r="E4195" s="19" t="str">
        <x:v>营地熔勺婆</x:v>
      </x:c>
      <x:c r="F4195" s="19" t="str">
        <x:v>稀有</x:v>
      </x:c>
      <x:c r="G4195" s="19" t="str">
        <x:v>材料独立候选</x:v>
      </x:c>
      <x:c r="H4195" s="19" t="str">
        <x:v>野兽骨片</x:v>
      </x:c>
      <x:c r="I4195" s="22" t="n">
        <x:v>180</x:v>
      </x:c>
      <x:c r="J4195" s="22" t="n">
        <x:v>5</x:v>
      </x:c>
      <x:c r="K4195" s="19" t="n">
        <x:v>1</x:v>
      </x:c>
      <x:c r="L4195" s="24" t="n">
        <x:v>59.123</x:v>
      </x:c>
      <x:c r="M4195" s="26" t="n">
        <x:v>0.1</x:v>
      </x:c>
      <x:c r="N4195" s="24" t="n">
        <x:v>12</x:v>
      </x:c>
      <x:c r="O4195" s="28" t="n">
        <x:f>MIN(1,L4195/I4195)</x:f>
        <x:v>0.3284611111111111</x:v>
      </x:c>
      <x:c r="P4195" s="30" t="n">
        <x:f>O4195*J4195*(1+M4195)</x:f>
        <x:v>1.8065361111111111</x:v>
      </x:c>
      <x:c r="Q4195" s="30" t="n">
        <x:f>P4195*N4195</x:f>
        <x:v>21.678433333333334</x:v>
      </x:c>
      <x:c r="R4195" s="19" t="str">
        <x:v>独立判定</x:v>
      </x:c>
    </x:row>
    <x:row r="4196" ht="19" customHeight="1">
      <x:c r="A4196" s="19" t="str">
        <x:v>D04192</x:v>
      </x:c>
      <x:c r="B4196" s="19" t="n">
        <x:v>9</x:v>
      </x:c>
      <x:c r="C4196" s="19" t="n">
        <x:v>2</x:v>
      </x:c>
      <x:c r="D4196" s="19" t="str">
        <x:v>C09-M020</x:v>
      </x:c>
      <x:c r="E4196" s="19" t="str">
        <x:v>营地熔勺婆</x:v>
      </x:c>
      <x:c r="F4196" s="19" t="str">
        <x:v>稀有</x:v>
      </x:c>
      <x:c r="G4196" s="19" t="str">
        <x:v>材料独立候选</x:v>
      </x:c>
      <x:c r="H4196" s="19" t="str">
        <x:v>技能残页</x:v>
      </x:c>
      <x:c r="I4196" s="22" t="n">
        <x:v>1500</x:v>
      </x:c>
      <x:c r="J4196" s="22" t="n">
        <x:v>1</x:v>
      </x:c>
      <x:c r="K4196" s="19" t="n">
        <x:v>1</x:v>
      </x:c>
      <x:c r="L4196" s="24" t="n">
        <x:v>59.123</x:v>
      </x:c>
      <x:c r="M4196" s="26" t="n">
        <x:v>0.1</x:v>
      </x:c>
      <x:c r="N4196" s="24" t="n">
        <x:v>12</x:v>
      </x:c>
      <x:c r="O4196" s="28" t="n">
        <x:f>MIN(1,L4196/I4196)</x:f>
        <x:v>0.03941533333333333</x:v>
      </x:c>
      <x:c r="P4196" s="30" t="n">
        <x:f>O4196*J4196*(1+M4196)</x:f>
        <x:v>0.04335686666666667</x:v>
      </x:c>
      <x:c r="Q4196" s="30" t="n">
        <x:f>P4196*N4196</x:f>
        <x:v>0.5202824</x:v>
      </x:c>
      <x:c r="R4196" s="19" t="str">
        <x:v>独立判定</x:v>
      </x:c>
    </x:row>
    <x:row r="4197" ht="19" customHeight="1">
      <x:c r="A4197" s="19" t="str">
        <x:v>D04193</x:v>
      </x:c>
      <x:c r="B4197" s="19" t="n">
        <x:v>9</x:v>
      </x:c>
      <x:c r="C4197" s="19" t="n">
        <x:v>2</x:v>
      </x:c>
      <x:c r="D4197" s="19" t="str">
        <x:v>C09-M020</x:v>
      </x:c>
      <x:c r="E4197" s="19" t="str">
        <x:v>营地熔勺婆</x:v>
      </x:c>
      <x:c r="F4197" s="19" t="str">
        <x:v>稀有</x:v>
      </x:c>
      <x:c r="G4197" s="19" t="str">
        <x:v>材料独立候选</x:v>
      </x:c>
      <x:c r="H4197" s="19" t="str">
        <x:v>小卢恩</x:v>
      </x:c>
      <x:c r="I4197" s="22" t="n">
        <x:v>10000</x:v>
      </x:c>
      <x:c r="J4197" s="22" t="n">
        <x:v>1</x:v>
      </x:c>
      <x:c r="K4197" s="19" t="n">
        <x:v>1</x:v>
      </x:c>
      <x:c r="L4197" s="24" t="n">
        <x:v>59.123</x:v>
      </x:c>
      <x:c r="M4197" s="26" t="n">
        <x:v>0.1</x:v>
      </x:c>
      <x:c r="N4197" s="24" t="n">
        <x:v>12</x:v>
      </x:c>
      <x:c r="O4197" s="28" t="n">
        <x:f>MIN(1,L4197/I4197)</x:f>
        <x:v>0.0059123</x:v>
      </x:c>
      <x:c r="P4197" s="30" t="n">
        <x:f>O4197*J4197*(1+M4197)</x:f>
        <x:v>0.00650353</x:v>
      </x:c>
      <x:c r="Q4197" s="30" t="n">
        <x:f>P4197*N4197</x:f>
        <x:v>0.07804236</x:v>
      </x:c>
      <x:c r="R4197" s="19" t="str">
        <x:v>独立判定</x:v>
      </x:c>
    </x:row>
    <x:row r="4198" ht="19" customHeight="1">
      <x:c r="A4198" s="19" t="str">
        <x:v>D04194</x:v>
      </x:c>
      <x:c r="B4198" s="19" t="n">
        <x:v>9</x:v>
      </x:c>
      <x:c r="C4198" s="19" t="n">
        <x:v>2</x:v>
      </x:c>
      <x:c r="D4198" s="19" t="str">
        <x:v>C09-M020</x:v>
      </x:c>
      <x:c r="E4198" s="19" t="str">
        <x:v>营地熔勺婆</x:v>
      </x:c>
      <x:c r="F4198" s="19" t="str">
        <x:v>稀有</x:v>
      </x:c>
      <x:c r="G4198" s="19" t="str">
        <x:v>六神器公共池</x:v>
      </x:c>
      <x:c r="H4198" s="19" t="str">
        <x:v>POOL006</x:v>
      </x:c>
      <x:c r="I4198" s="22" t="n">
        <x:v>5000000</x:v>
      </x:c>
      <x:c r="J4198" s="22" t="n">
        <x:v>1</x:v>
      </x:c>
      <x:c r="K4198" s="19" t="n">
        <x:v>6</x:v>
      </x:c>
      <x:c r="L4198" s="24" t="n">
        <x:v>59.123</x:v>
      </x:c>
      <x:c r="M4198" s="26" t="n">
        <x:v>0.1</x:v>
      </x:c>
      <x:c r="N4198" s="24" t="n">
        <x:v>12</x:v>
      </x:c>
      <x:c r="O4198" s="28" t="n">
        <x:f>MIN(1,L4198/I4198)</x:f>
        <x:v>0.0000118246</x:v>
      </x:c>
      <x:c r="P4198" s="30" t="n">
        <x:f>O4198*J4198*(1+M4198)</x:f>
        <x:v>0.000013007060000000002</x:v>
      </x:c>
      <x:c r="Q4198" s="30" t="n">
        <x:f>P4198*N4198</x:f>
        <x:v>0.00015608472000000001</x:v>
      </x:c>
      <x:c r="R4198" s="19" t="str">
        <x:v>六选一；非6个独立爆率</x:v>
      </x:c>
    </x:row>
    <x:row r="4199" ht="19" customHeight="1">
      <x:c r="A4199" s="19" t="str">
        <x:v>D04195</x:v>
      </x:c>
      <x:c r="B4199" s="19" t="n">
        <x:v>9</x:v>
      </x:c>
      <x:c r="C4199" s="19" t="n">
        <x:v>2</x:v>
      </x:c>
      <x:c r="D4199" s="19" t="str">
        <x:v>C09-M021</x:v>
      </x:c>
      <x:c r="E4199" s="19" t="str">
        <x:v>深层听岩师</x:v>
      </x:c>
      <x:c r="F4199" s="19" t="str">
        <x:v>稀有</x:v>
      </x:c>
      <x:c r="G4199" s="19" t="str">
        <x:v>自身专属</x:v>
      </x:c>
      <x:c r="H4199" s="19" t="str">
        <x:v>听岩回声戒</x:v>
      </x:c>
      <x:c r="I4199" s="22" t="n">
        <x:v>1800</x:v>
      </x:c>
      <x:c r="J4199" s="22" t="n">
        <x:v>1</x:v>
      </x:c>
      <x:c r="K4199" s="19" t="n">
        <x:v>1</x:v>
      </x:c>
      <x:c r="L4199" s="24" t="n">
        <x:v>59.123</x:v>
      </x:c>
      <x:c r="M4199" s="26" t="n">
        <x:v>0.1</x:v>
      </x:c>
      <x:c r="N4199" s="24" t="n">
        <x:v>12</x:v>
      </x:c>
      <x:c r="O4199" s="28" t="n">
        <x:f>MIN(1,L4199/I4199)</x:f>
        <x:v>0.03284611111111111</x:v>
      </x:c>
      <x:c r="P4199" s="30" t="n">
        <x:f>O4199*J4199*(1+M4199)</x:f>
        <x:v>0.036130722222222224</x:v>
      </x:c>
      <x:c r="Q4199" s="30" t="n">
        <x:f>P4199*N4199</x:f>
        <x:v>0.4335686666666667</x:v>
      </x:c>
      <x:c r="R4199" s="19" t="str">
        <x:v>独立判定</x:v>
      </x:c>
    </x:row>
    <x:row r="4200" ht="19" customHeight="1">
      <x:c r="A4200" s="19" t="str">
        <x:v>D04196</x:v>
      </x:c>
      <x:c r="B4200" s="19" t="n">
        <x:v>9</x:v>
      </x:c>
      <x:c r="C4200" s="19" t="n">
        <x:v>2</x:v>
      </x:c>
      <x:c r="D4200" s="19" t="str">
        <x:v>C09-M021</x:v>
      </x:c>
      <x:c r="E4200" s="19" t="str">
        <x:v>深层听岩师</x:v>
      </x:c>
      <x:c r="F4200" s="19" t="str">
        <x:v>稀有</x:v>
      </x:c>
      <x:c r="G4200" s="19" t="str">
        <x:v>材料独立候选</x:v>
      </x:c>
      <x:c r="H4200" s="19" t="str">
        <x:v>黄金叶脉</x:v>
      </x:c>
      <x:c r="I4200" s="22" t="n">
        <x:v>800</x:v>
      </x:c>
      <x:c r="J4200" s="22" t="n">
        <x:v>15</x:v>
      </x:c>
      <x:c r="K4200" s="19" t="n">
        <x:v>1</x:v>
      </x:c>
      <x:c r="L4200" s="24" t="n">
        <x:v>59.123</x:v>
      </x:c>
      <x:c r="M4200" s="26" t="n">
        <x:v>0.1</x:v>
      </x:c>
      <x:c r="N4200" s="24" t="n">
        <x:v>12</x:v>
      </x:c>
      <x:c r="O4200" s="28" t="n">
        <x:f>MIN(1,L4200/I4200)</x:f>
        <x:v>0.07390374999999999</x:v>
      </x:c>
      <x:c r="P4200" s="30" t="n">
        <x:f>O4200*J4200*(1+M4200)</x:f>
        <x:v>1.219411875</x:v>
      </x:c>
      <x:c r="Q4200" s="30" t="n">
        <x:f>P4200*N4200</x:f>
        <x:v>14.6329425</x:v>
      </x:c>
      <x:c r="R4200" s="19" t="str">
        <x:v>独立判定</x:v>
      </x:c>
    </x:row>
    <x:row r="4201" ht="19" customHeight="1">
      <x:c r="A4201" s="19" t="str">
        <x:v>D04197</x:v>
      </x:c>
      <x:c r="B4201" s="19" t="n">
        <x:v>9</x:v>
      </x:c>
      <x:c r="C4201" s="19" t="n">
        <x:v>2</x:v>
      </x:c>
      <x:c r="D4201" s="19" t="str">
        <x:v>C09-M021</x:v>
      </x:c>
      <x:c r="E4201" s="19" t="str">
        <x:v>深层听岩师</x:v>
      </x:c>
      <x:c r="F4201" s="19" t="str">
        <x:v>稀有</x:v>
      </x:c>
      <x:c r="G4201" s="19" t="str">
        <x:v>材料独立候选</x:v>
      </x:c>
      <x:c r="H4201" s="19" t="str">
        <x:v>古王律页</x:v>
      </x:c>
      <x:c r="I4201" s="22" t="n">
        <x:v>1000</x:v>
      </x:c>
      <x:c r="J4201" s="22" t="n">
        <x:v>1</x:v>
      </x:c>
      <x:c r="K4201" s="19" t="n">
        <x:v>1</x:v>
      </x:c>
      <x:c r="L4201" s="24" t="n">
        <x:v>59.123</x:v>
      </x:c>
      <x:c r="M4201" s="26" t="n">
        <x:v>0.1</x:v>
      </x:c>
      <x:c r="N4201" s="24" t="n">
        <x:v>12</x:v>
      </x:c>
      <x:c r="O4201" s="28" t="n">
        <x:f>MIN(1,L4201/I4201)</x:f>
        <x:v>0.059122999999999995</x:v>
      </x:c>
      <x:c r="P4201" s="30" t="n">
        <x:f>O4201*J4201*(1+M4201)</x:f>
        <x:v>0.0650353</x:v>
      </x:c>
      <x:c r="Q4201" s="30" t="n">
        <x:f>P4201*N4201</x:f>
        <x:v>0.7804236</x:v>
      </x:c>
      <x:c r="R4201" s="19" t="str">
        <x:v>独立判定</x:v>
      </x:c>
    </x:row>
    <x:row r="4202" ht="19" customHeight="1">
      <x:c r="A4202" s="19" t="str">
        <x:v>D04198</x:v>
      </x:c>
      <x:c r="B4202" s="19" t="n">
        <x:v>9</x:v>
      </x:c>
      <x:c r="C4202" s="19" t="n">
        <x:v>2</x:v>
      </x:c>
      <x:c r="D4202" s="19" t="str">
        <x:v>C09-M021</x:v>
      </x:c>
      <x:c r="E4202" s="19" t="str">
        <x:v>深层听岩师</x:v>
      </x:c>
      <x:c r="F4202" s="19" t="str">
        <x:v>稀有</x:v>
      </x:c>
      <x:c r="G4202" s="19" t="str">
        <x:v>材料独立候选</x:v>
      </x:c>
      <x:c r="H4202" s="19" t="str">
        <x:v>矿脉灯芯</x:v>
      </x:c>
      <x:c r="I4202" s="22" t="n">
        <x:v>4000</x:v>
      </x:c>
      <x:c r="J4202" s="22" t="n">
        <x:v>1</x:v>
      </x:c>
      <x:c r="K4202" s="19" t="n">
        <x:v>1</x:v>
      </x:c>
      <x:c r="L4202" s="24" t="n">
        <x:v>59.123</x:v>
      </x:c>
      <x:c r="M4202" s="26" t="n">
        <x:v>0.1</x:v>
      </x:c>
      <x:c r="N4202" s="24" t="n">
        <x:v>12</x:v>
      </x:c>
      <x:c r="O4202" s="28" t="n">
        <x:f>MIN(1,L4202/I4202)</x:f>
        <x:v>0.014780749999999999</x:v>
      </x:c>
      <x:c r="P4202" s="30" t="n">
        <x:f>O4202*J4202*(1+M4202)</x:f>
        <x:v>0.016258825</x:v>
      </x:c>
      <x:c r="Q4202" s="30" t="n">
        <x:f>P4202*N4202</x:f>
        <x:v>0.1951059</x:v>
      </x:c>
      <x:c r="R4202" s="19" t="str">
        <x:v>独立判定</x:v>
      </x:c>
    </x:row>
    <x:row r="4203" ht="19" customHeight="1">
      <x:c r="A4203" s="19" t="str">
        <x:v>D04199</x:v>
      </x:c>
      <x:c r="B4203" s="19" t="n">
        <x:v>9</x:v>
      </x:c>
      <x:c r="C4203" s="19" t="n">
        <x:v>2</x:v>
      </x:c>
      <x:c r="D4203" s="19" t="str">
        <x:v>C09-M021</x:v>
      </x:c>
      <x:c r="E4203" s="19" t="str">
        <x:v>深层听岩师</x:v>
      </x:c>
      <x:c r="F4203" s="19" t="str">
        <x:v>稀有</x:v>
      </x:c>
      <x:c r="G4203" s="19" t="str">
        <x:v>材料独立候选</x:v>
      </x:c>
      <x:c r="H4203" s="19" t="str">
        <x:v>古坛鎏叶髓</x:v>
      </x:c>
      <x:c r="I4203" s="22" t="n">
        <x:v>1800000</x:v>
      </x:c>
      <x:c r="J4203" s="22" t="n">
        <x:v>1</x:v>
      </x:c>
      <x:c r="K4203" s="19" t="n">
        <x:v>1</x:v>
      </x:c>
      <x:c r="L4203" s="24" t="n">
        <x:v>59.123</x:v>
      </x:c>
      <x:c r="M4203" s="26" t="n">
        <x:v>0.1</x:v>
      </x:c>
      <x:c r="N4203" s="24" t="n">
        <x:v>12</x:v>
      </x:c>
      <x:c r="O4203" s="28" t="n">
        <x:f>MIN(1,L4203/I4203)</x:f>
        <x:v>0.00003284611111111111</x:v>
      </x:c>
      <x:c r="P4203" s="30" t="n">
        <x:f>O4203*J4203*(1+M4203)</x:f>
        <x:v>0.00003613072222222223</x:v>
      </x:c>
      <x:c r="Q4203" s="30" t="n">
        <x:f>P4203*N4203</x:f>
        <x:v>0.0004335686666666667</x:v>
      </x:c>
      <x:c r="R4203" s="19" t="str">
        <x:v>独立判定</x:v>
      </x:c>
    </x:row>
    <x:row r="4204" ht="19" customHeight="1">
      <x:c r="A4204" s="19" t="str">
        <x:v>D04200</x:v>
      </x:c>
      <x:c r="B4204" s="19" t="n">
        <x:v>9</x:v>
      </x:c>
      <x:c r="C4204" s="19" t="n">
        <x:v>2</x:v>
      </x:c>
      <x:c r="D4204" s="19" t="str">
        <x:v>C09-M021</x:v>
      </x:c>
      <x:c r="E4204" s="19" t="str">
        <x:v>深层听岩师</x:v>
      </x:c>
      <x:c r="F4204" s="19" t="str">
        <x:v>稀有</x:v>
      </x:c>
      <x:c r="G4204" s="19" t="str">
        <x:v>材料独立候选</x:v>
      </x:c>
      <x:c r="H4204" s="19" t="str">
        <x:v>黄金树芽</x:v>
      </x:c>
      <x:c r="I4204" s="22" t="n">
        <x:v>12000</x:v>
      </x:c>
      <x:c r="J4204" s="22" t="n">
        <x:v>1</x:v>
      </x:c>
      <x:c r="K4204" s="19" t="n">
        <x:v>1</x:v>
      </x:c>
      <x:c r="L4204" s="24" t="n">
        <x:v>59.123</x:v>
      </x:c>
      <x:c r="M4204" s="26" t="n">
        <x:v>0.1</x:v>
      </x:c>
      <x:c r="N4204" s="24" t="n">
        <x:v>12</x:v>
      </x:c>
      <x:c r="O4204" s="28" t="n">
        <x:f>MIN(1,L4204/I4204)</x:f>
        <x:v>0.004926916666666666</x:v>
      </x:c>
      <x:c r="P4204" s="30" t="n">
        <x:f>O4204*J4204*(1+M4204)</x:f>
        <x:v>0.005419608333333333</x:v>
      </x:c>
      <x:c r="Q4204" s="30" t="n">
        <x:f>P4204*N4204</x:f>
        <x:v>0.0650353</x:v>
      </x:c>
      <x:c r="R4204" s="19" t="str">
        <x:v>独立判定</x:v>
      </x:c>
    </x:row>
    <x:row r="4205" ht="19" customHeight="1">
      <x:c r="A4205" s="19" t="str">
        <x:v>D04201</x:v>
      </x:c>
      <x:c r="B4205" s="19" t="n">
        <x:v>9</x:v>
      </x:c>
      <x:c r="C4205" s="19" t="n">
        <x:v>2</x:v>
      </x:c>
      <x:c r="D4205" s="19" t="str">
        <x:v>C09-M021</x:v>
      </x:c>
      <x:c r="E4205" s="19" t="str">
        <x:v>深层听岩师</x:v>
      </x:c>
      <x:c r="F4205" s="19" t="str">
        <x:v>稀有</x:v>
      </x:c>
      <x:c r="G4205" s="19" t="str">
        <x:v>材料独立候选</x:v>
      </x:c>
      <x:c r="H4205" s="19" t="str">
        <x:v>野兽骨片</x:v>
      </x:c>
      <x:c r="I4205" s="22" t="n">
        <x:v>180</x:v>
      </x:c>
      <x:c r="J4205" s="22" t="n">
        <x:v>5</x:v>
      </x:c>
      <x:c r="K4205" s="19" t="n">
        <x:v>1</x:v>
      </x:c>
      <x:c r="L4205" s="24" t="n">
        <x:v>59.123</x:v>
      </x:c>
      <x:c r="M4205" s="26" t="n">
        <x:v>0.1</x:v>
      </x:c>
      <x:c r="N4205" s="24" t="n">
        <x:v>12</x:v>
      </x:c>
      <x:c r="O4205" s="28" t="n">
        <x:f>MIN(1,L4205/I4205)</x:f>
        <x:v>0.3284611111111111</x:v>
      </x:c>
      <x:c r="P4205" s="30" t="n">
        <x:f>O4205*J4205*(1+M4205)</x:f>
        <x:v>1.8065361111111111</x:v>
      </x:c>
      <x:c r="Q4205" s="30" t="n">
        <x:f>P4205*N4205</x:f>
        <x:v>21.678433333333334</x:v>
      </x:c>
      <x:c r="R4205" s="19" t="str">
        <x:v>独立判定</x:v>
      </x:c>
    </x:row>
    <x:row r="4206" ht="19" customHeight="1">
      <x:c r="A4206" s="19" t="str">
        <x:v>D04202</x:v>
      </x:c>
      <x:c r="B4206" s="19" t="n">
        <x:v>9</x:v>
      </x:c>
      <x:c r="C4206" s="19" t="n">
        <x:v>2</x:v>
      </x:c>
      <x:c r="D4206" s="19" t="str">
        <x:v>C09-M021</x:v>
      </x:c>
      <x:c r="E4206" s="19" t="str">
        <x:v>深层听岩师</x:v>
      </x:c>
      <x:c r="F4206" s="19" t="str">
        <x:v>稀有</x:v>
      </x:c>
      <x:c r="G4206" s="19" t="str">
        <x:v>材料独立候选</x:v>
      </x:c>
      <x:c r="H4206" s="19" t="str">
        <x:v>技能残页</x:v>
      </x:c>
      <x:c r="I4206" s="22" t="n">
        <x:v>1500</x:v>
      </x:c>
      <x:c r="J4206" s="22" t="n">
        <x:v>1</x:v>
      </x:c>
      <x:c r="K4206" s="19" t="n">
        <x:v>1</x:v>
      </x:c>
      <x:c r="L4206" s="24" t="n">
        <x:v>59.123</x:v>
      </x:c>
      <x:c r="M4206" s="26" t="n">
        <x:v>0.1</x:v>
      </x:c>
      <x:c r="N4206" s="24" t="n">
        <x:v>12</x:v>
      </x:c>
      <x:c r="O4206" s="28" t="n">
        <x:f>MIN(1,L4206/I4206)</x:f>
        <x:v>0.03941533333333333</x:v>
      </x:c>
      <x:c r="P4206" s="30" t="n">
        <x:f>O4206*J4206*(1+M4206)</x:f>
        <x:v>0.04335686666666667</x:v>
      </x:c>
      <x:c r="Q4206" s="30" t="n">
        <x:f>P4206*N4206</x:f>
        <x:v>0.5202824</x:v>
      </x:c>
      <x:c r="R4206" s="19" t="str">
        <x:v>独立判定</x:v>
      </x:c>
    </x:row>
    <x:row r="4207" ht="19" customHeight="1">
      <x:c r="A4207" s="19" t="str">
        <x:v>D04203</x:v>
      </x:c>
      <x:c r="B4207" s="19" t="n">
        <x:v>9</x:v>
      </x:c>
      <x:c r="C4207" s="19" t="n">
        <x:v>2</x:v>
      </x:c>
      <x:c r="D4207" s="19" t="str">
        <x:v>C09-M021</x:v>
      </x:c>
      <x:c r="E4207" s="19" t="str">
        <x:v>深层听岩师</x:v>
      </x:c>
      <x:c r="F4207" s="19" t="str">
        <x:v>稀有</x:v>
      </x:c>
      <x:c r="G4207" s="19" t="str">
        <x:v>材料独立候选</x:v>
      </x:c>
      <x:c r="H4207" s="19" t="str">
        <x:v>小卢恩</x:v>
      </x:c>
      <x:c r="I4207" s="22" t="n">
        <x:v>10000</x:v>
      </x:c>
      <x:c r="J4207" s="22" t="n">
        <x:v>1</x:v>
      </x:c>
      <x:c r="K4207" s="19" t="n">
        <x:v>1</x:v>
      </x:c>
      <x:c r="L4207" s="24" t="n">
        <x:v>59.123</x:v>
      </x:c>
      <x:c r="M4207" s="26" t="n">
        <x:v>0.1</x:v>
      </x:c>
      <x:c r="N4207" s="24" t="n">
        <x:v>12</x:v>
      </x:c>
      <x:c r="O4207" s="28" t="n">
        <x:f>MIN(1,L4207/I4207)</x:f>
        <x:v>0.0059123</x:v>
      </x:c>
      <x:c r="P4207" s="30" t="n">
        <x:f>O4207*J4207*(1+M4207)</x:f>
        <x:v>0.00650353</x:v>
      </x:c>
      <x:c r="Q4207" s="30" t="n">
        <x:f>P4207*N4207</x:f>
        <x:v>0.07804236</x:v>
      </x:c>
      <x:c r="R4207" s="19" t="str">
        <x:v>独立判定</x:v>
      </x:c>
    </x:row>
    <x:row r="4208" ht="19" customHeight="1">
      <x:c r="A4208" s="19" t="str">
        <x:v>D04204</x:v>
      </x:c>
      <x:c r="B4208" s="19" t="n">
        <x:v>9</x:v>
      </x:c>
      <x:c r="C4208" s="19" t="n">
        <x:v>2</x:v>
      </x:c>
      <x:c r="D4208" s="19" t="str">
        <x:v>C09-M021</x:v>
      </x:c>
      <x:c r="E4208" s="19" t="str">
        <x:v>深层听岩师</x:v>
      </x:c>
      <x:c r="F4208" s="19" t="str">
        <x:v>稀有</x:v>
      </x:c>
      <x:c r="G4208" s="19" t="str">
        <x:v>六神器公共池</x:v>
      </x:c>
      <x:c r="H4208" s="19" t="str">
        <x:v>POOL006</x:v>
      </x:c>
      <x:c r="I4208" s="22" t="n">
        <x:v>5000000</x:v>
      </x:c>
      <x:c r="J4208" s="22" t="n">
        <x:v>1</x:v>
      </x:c>
      <x:c r="K4208" s="19" t="n">
        <x:v>6</x:v>
      </x:c>
      <x:c r="L4208" s="24" t="n">
        <x:v>59.123</x:v>
      </x:c>
      <x:c r="M4208" s="26" t="n">
        <x:v>0.1</x:v>
      </x:c>
      <x:c r="N4208" s="24" t="n">
        <x:v>12</x:v>
      </x:c>
      <x:c r="O4208" s="28" t="n">
        <x:f>MIN(1,L4208/I4208)</x:f>
        <x:v>0.0000118246</x:v>
      </x:c>
      <x:c r="P4208" s="30" t="n">
        <x:f>O4208*J4208*(1+M4208)</x:f>
        <x:v>0.000013007060000000002</x:v>
      </x:c>
      <x:c r="Q4208" s="30" t="n">
        <x:f>P4208*N4208</x:f>
        <x:v>0.00015608472000000001</x:v>
      </x:c>
      <x:c r="R4208" s="19" t="str">
        <x:v>六选一；非6个独立爆率</x:v>
      </x:c>
    </x:row>
    <x:row r="4209" ht="19" customHeight="1">
      <x:c r="A4209" s="19" t="str">
        <x:v>D04205</x:v>
      </x:c>
      <x:c r="B4209" s="19" t="n">
        <x:v>9</x:v>
      </x:c>
      <x:c r="C4209" s="19" t="n">
        <x:v>2</x:v>
      </x:c>
      <x:c r="D4209" s="19" t="str">
        <x:v>C09-M022</x:v>
      </x:c>
      <x:c r="E4209" s="19" t="str">
        <x:v>核心吞金蜥</x:v>
      </x:c>
      <x:c r="F4209" s="19" t="str">
        <x:v>稀有</x:v>
      </x:c>
      <x:c r="G4209" s="19" t="str">
        <x:v>自身专属</x:v>
      </x:c>
      <x:c r="H4209" s="19" t="str">
        <x:v>吞金蜥尾带</x:v>
      </x:c>
      <x:c r="I4209" s="22" t="n">
        <x:v>1800</x:v>
      </x:c>
      <x:c r="J4209" s="22" t="n">
        <x:v>1</x:v>
      </x:c>
      <x:c r="K4209" s="19" t="n">
        <x:v>1</x:v>
      </x:c>
      <x:c r="L4209" s="24" t="n">
        <x:v>59.123</x:v>
      </x:c>
      <x:c r="M4209" s="26" t="n">
        <x:v>0.1</x:v>
      </x:c>
      <x:c r="N4209" s="24" t="n">
        <x:v>12</x:v>
      </x:c>
      <x:c r="O4209" s="28" t="n">
        <x:f>MIN(1,L4209/I4209)</x:f>
        <x:v>0.03284611111111111</x:v>
      </x:c>
      <x:c r="P4209" s="30" t="n">
        <x:f>O4209*J4209*(1+M4209)</x:f>
        <x:v>0.036130722222222224</x:v>
      </x:c>
      <x:c r="Q4209" s="30" t="n">
        <x:f>P4209*N4209</x:f>
        <x:v>0.4335686666666667</x:v>
      </x:c>
      <x:c r="R4209" s="19" t="str">
        <x:v>独立判定</x:v>
      </x:c>
    </x:row>
    <x:row r="4210" ht="19" customHeight="1">
      <x:c r="A4210" s="19" t="str">
        <x:v>D04206</x:v>
      </x:c>
      <x:c r="B4210" s="19" t="n">
        <x:v>9</x:v>
      </x:c>
      <x:c r="C4210" s="19" t="n">
        <x:v>2</x:v>
      </x:c>
      <x:c r="D4210" s="19" t="str">
        <x:v>C09-M022</x:v>
      </x:c>
      <x:c r="E4210" s="19" t="str">
        <x:v>核心吞金蜥</x:v>
      </x:c>
      <x:c r="F4210" s="19" t="str">
        <x:v>稀有</x:v>
      </x:c>
      <x:c r="G4210" s="19" t="str">
        <x:v>材料独立候选</x:v>
      </x:c>
      <x:c r="H4210" s="19" t="str">
        <x:v>黄金叶脉</x:v>
      </x:c>
      <x:c r="I4210" s="22" t="n">
        <x:v>800</x:v>
      </x:c>
      <x:c r="J4210" s="22" t="n">
        <x:v>15</x:v>
      </x:c>
      <x:c r="K4210" s="19" t="n">
        <x:v>1</x:v>
      </x:c>
      <x:c r="L4210" s="24" t="n">
        <x:v>59.123</x:v>
      </x:c>
      <x:c r="M4210" s="26" t="n">
        <x:v>0.1</x:v>
      </x:c>
      <x:c r="N4210" s="24" t="n">
        <x:v>12</x:v>
      </x:c>
      <x:c r="O4210" s="28" t="n">
        <x:f>MIN(1,L4210/I4210)</x:f>
        <x:v>0.07390374999999999</x:v>
      </x:c>
      <x:c r="P4210" s="30" t="n">
        <x:f>O4210*J4210*(1+M4210)</x:f>
        <x:v>1.219411875</x:v>
      </x:c>
      <x:c r="Q4210" s="30" t="n">
        <x:f>P4210*N4210</x:f>
        <x:v>14.6329425</x:v>
      </x:c>
      <x:c r="R4210" s="19" t="str">
        <x:v>独立判定</x:v>
      </x:c>
    </x:row>
    <x:row r="4211" ht="19" customHeight="1">
      <x:c r="A4211" s="19" t="str">
        <x:v>D04207</x:v>
      </x:c>
      <x:c r="B4211" s="19" t="n">
        <x:v>9</x:v>
      </x:c>
      <x:c r="C4211" s="19" t="n">
        <x:v>2</x:v>
      </x:c>
      <x:c r="D4211" s="19" t="str">
        <x:v>C09-M022</x:v>
      </x:c>
      <x:c r="E4211" s="19" t="str">
        <x:v>核心吞金蜥</x:v>
      </x:c>
      <x:c r="F4211" s="19" t="str">
        <x:v>稀有</x:v>
      </x:c>
      <x:c r="G4211" s="19" t="str">
        <x:v>材料独立候选</x:v>
      </x:c>
      <x:c r="H4211" s="19" t="str">
        <x:v>古王律页</x:v>
      </x:c>
      <x:c r="I4211" s="22" t="n">
        <x:v>1000</x:v>
      </x:c>
      <x:c r="J4211" s="22" t="n">
        <x:v>1</x:v>
      </x:c>
      <x:c r="K4211" s="19" t="n">
        <x:v>1</x:v>
      </x:c>
      <x:c r="L4211" s="24" t="n">
        <x:v>59.123</x:v>
      </x:c>
      <x:c r="M4211" s="26" t="n">
        <x:v>0.1</x:v>
      </x:c>
      <x:c r="N4211" s="24" t="n">
        <x:v>12</x:v>
      </x:c>
      <x:c r="O4211" s="28" t="n">
        <x:f>MIN(1,L4211/I4211)</x:f>
        <x:v>0.059122999999999995</x:v>
      </x:c>
      <x:c r="P4211" s="30" t="n">
        <x:f>O4211*J4211*(1+M4211)</x:f>
        <x:v>0.0650353</x:v>
      </x:c>
      <x:c r="Q4211" s="30" t="n">
        <x:f>P4211*N4211</x:f>
        <x:v>0.7804236</x:v>
      </x:c>
      <x:c r="R4211" s="19" t="str">
        <x:v>独立判定</x:v>
      </x:c>
    </x:row>
    <x:row r="4212" ht="19" customHeight="1">
      <x:c r="A4212" s="19" t="str">
        <x:v>D04208</x:v>
      </x:c>
      <x:c r="B4212" s="19" t="n">
        <x:v>9</x:v>
      </x:c>
      <x:c r="C4212" s="19" t="n">
        <x:v>2</x:v>
      </x:c>
      <x:c r="D4212" s="19" t="str">
        <x:v>C09-M022</x:v>
      </x:c>
      <x:c r="E4212" s="19" t="str">
        <x:v>核心吞金蜥</x:v>
      </x:c>
      <x:c r="F4212" s="19" t="str">
        <x:v>稀有</x:v>
      </x:c>
      <x:c r="G4212" s="19" t="str">
        <x:v>材料独立候选</x:v>
      </x:c>
      <x:c r="H4212" s="19" t="str">
        <x:v>矿脉灯芯</x:v>
      </x:c>
      <x:c r="I4212" s="22" t="n">
        <x:v>4000</x:v>
      </x:c>
      <x:c r="J4212" s="22" t="n">
        <x:v>1</x:v>
      </x:c>
      <x:c r="K4212" s="19" t="n">
        <x:v>1</x:v>
      </x:c>
      <x:c r="L4212" s="24" t="n">
        <x:v>59.123</x:v>
      </x:c>
      <x:c r="M4212" s="26" t="n">
        <x:v>0.1</x:v>
      </x:c>
      <x:c r="N4212" s="24" t="n">
        <x:v>12</x:v>
      </x:c>
      <x:c r="O4212" s="28" t="n">
        <x:f>MIN(1,L4212/I4212)</x:f>
        <x:v>0.014780749999999999</x:v>
      </x:c>
      <x:c r="P4212" s="30" t="n">
        <x:f>O4212*J4212*(1+M4212)</x:f>
        <x:v>0.016258825</x:v>
      </x:c>
      <x:c r="Q4212" s="30" t="n">
        <x:f>P4212*N4212</x:f>
        <x:v>0.1951059</x:v>
      </x:c>
      <x:c r="R4212" s="19" t="str">
        <x:v>独立判定</x:v>
      </x:c>
    </x:row>
    <x:row r="4213" ht="19" customHeight="1">
      <x:c r="A4213" s="19" t="str">
        <x:v>D04209</x:v>
      </x:c>
      <x:c r="B4213" s="19" t="n">
        <x:v>9</x:v>
      </x:c>
      <x:c r="C4213" s="19" t="n">
        <x:v>2</x:v>
      </x:c>
      <x:c r="D4213" s="19" t="str">
        <x:v>C09-M022</x:v>
      </x:c>
      <x:c r="E4213" s="19" t="str">
        <x:v>核心吞金蜥</x:v>
      </x:c>
      <x:c r="F4213" s="19" t="str">
        <x:v>稀有</x:v>
      </x:c>
      <x:c r="G4213" s="19" t="str">
        <x:v>材料独立候选</x:v>
      </x:c>
      <x:c r="H4213" s="19" t="str">
        <x:v>古坛鎏叶髓</x:v>
      </x:c>
      <x:c r="I4213" s="22" t="n">
        <x:v>1800000</x:v>
      </x:c>
      <x:c r="J4213" s="22" t="n">
        <x:v>1</x:v>
      </x:c>
      <x:c r="K4213" s="19" t="n">
        <x:v>1</x:v>
      </x:c>
      <x:c r="L4213" s="24" t="n">
        <x:v>59.123</x:v>
      </x:c>
      <x:c r="M4213" s="26" t="n">
        <x:v>0.1</x:v>
      </x:c>
      <x:c r="N4213" s="24" t="n">
        <x:v>12</x:v>
      </x:c>
      <x:c r="O4213" s="28" t="n">
        <x:f>MIN(1,L4213/I4213)</x:f>
        <x:v>0.00003284611111111111</x:v>
      </x:c>
      <x:c r="P4213" s="30" t="n">
        <x:f>O4213*J4213*(1+M4213)</x:f>
        <x:v>0.00003613072222222223</x:v>
      </x:c>
      <x:c r="Q4213" s="30" t="n">
        <x:f>P4213*N4213</x:f>
        <x:v>0.0004335686666666667</x:v>
      </x:c>
      <x:c r="R4213" s="19" t="str">
        <x:v>独立判定</x:v>
      </x:c>
    </x:row>
    <x:row r="4214" ht="19" customHeight="1">
      <x:c r="A4214" s="19" t="str">
        <x:v>D04210</x:v>
      </x:c>
      <x:c r="B4214" s="19" t="n">
        <x:v>9</x:v>
      </x:c>
      <x:c r="C4214" s="19" t="n">
        <x:v>2</x:v>
      </x:c>
      <x:c r="D4214" s="19" t="str">
        <x:v>C09-M022</x:v>
      </x:c>
      <x:c r="E4214" s="19" t="str">
        <x:v>核心吞金蜥</x:v>
      </x:c>
      <x:c r="F4214" s="19" t="str">
        <x:v>稀有</x:v>
      </x:c>
      <x:c r="G4214" s="19" t="str">
        <x:v>材料独立候选</x:v>
      </x:c>
      <x:c r="H4214" s="19" t="str">
        <x:v>黄金树芽</x:v>
      </x:c>
      <x:c r="I4214" s="22" t="n">
        <x:v>12000</x:v>
      </x:c>
      <x:c r="J4214" s="22" t="n">
        <x:v>1</x:v>
      </x:c>
      <x:c r="K4214" s="19" t="n">
        <x:v>1</x:v>
      </x:c>
      <x:c r="L4214" s="24" t="n">
        <x:v>59.123</x:v>
      </x:c>
      <x:c r="M4214" s="26" t="n">
        <x:v>0.1</x:v>
      </x:c>
      <x:c r="N4214" s="24" t="n">
        <x:v>12</x:v>
      </x:c>
      <x:c r="O4214" s="28" t="n">
        <x:f>MIN(1,L4214/I4214)</x:f>
        <x:v>0.004926916666666666</x:v>
      </x:c>
      <x:c r="P4214" s="30" t="n">
        <x:f>O4214*J4214*(1+M4214)</x:f>
        <x:v>0.005419608333333333</x:v>
      </x:c>
      <x:c r="Q4214" s="30" t="n">
        <x:f>P4214*N4214</x:f>
        <x:v>0.0650353</x:v>
      </x:c>
      <x:c r="R4214" s="19" t="str">
        <x:v>独立判定</x:v>
      </x:c>
    </x:row>
    <x:row r="4215" ht="19" customHeight="1">
      <x:c r="A4215" s="19" t="str">
        <x:v>D04211</x:v>
      </x:c>
      <x:c r="B4215" s="19" t="n">
        <x:v>9</x:v>
      </x:c>
      <x:c r="C4215" s="19" t="n">
        <x:v>2</x:v>
      </x:c>
      <x:c r="D4215" s="19" t="str">
        <x:v>C09-M022</x:v>
      </x:c>
      <x:c r="E4215" s="19" t="str">
        <x:v>核心吞金蜥</x:v>
      </x:c>
      <x:c r="F4215" s="19" t="str">
        <x:v>稀有</x:v>
      </x:c>
      <x:c r="G4215" s="19" t="str">
        <x:v>材料独立候选</x:v>
      </x:c>
      <x:c r="H4215" s="19" t="str">
        <x:v>野兽骨片</x:v>
      </x:c>
      <x:c r="I4215" s="22" t="n">
        <x:v>180</x:v>
      </x:c>
      <x:c r="J4215" s="22" t="n">
        <x:v>5</x:v>
      </x:c>
      <x:c r="K4215" s="19" t="n">
        <x:v>1</x:v>
      </x:c>
      <x:c r="L4215" s="24" t="n">
        <x:v>59.123</x:v>
      </x:c>
      <x:c r="M4215" s="26" t="n">
        <x:v>0.1</x:v>
      </x:c>
      <x:c r="N4215" s="24" t="n">
        <x:v>12</x:v>
      </x:c>
      <x:c r="O4215" s="28" t="n">
        <x:f>MIN(1,L4215/I4215)</x:f>
        <x:v>0.3284611111111111</x:v>
      </x:c>
      <x:c r="P4215" s="30" t="n">
        <x:f>O4215*J4215*(1+M4215)</x:f>
        <x:v>1.8065361111111111</x:v>
      </x:c>
      <x:c r="Q4215" s="30" t="n">
        <x:f>P4215*N4215</x:f>
        <x:v>21.678433333333334</x:v>
      </x:c>
      <x:c r="R4215" s="19" t="str">
        <x:v>独立判定</x:v>
      </x:c>
    </x:row>
    <x:row r="4216" ht="19" customHeight="1">
      <x:c r="A4216" s="19" t="str">
        <x:v>D04212</x:v>
      </x:c>
      <x:c r="B4216" s="19" t="n">
        <x:v>9</x:v>
      </x:c>
      <x:c r="C4216" s="19" t="n">
        <x:v>2</x:v>
      </x:c>
      <x:c r="D4216" s="19" t="str">
        <x:v>C09-M022</x:v>
      </x:c>
      <x:c r="E4216" s="19" t="str">
        <x:v>核心吞金蜥</x:v>
      </x:c>
      <x:c r="F4216" s="19" t="str">
        <x:v>稀有</x:v>
      </x:c>
      <x:c r="G4216" s="19" t="str">
        <x:v>材料独立候选</x:v>
      </x:c>
      <x:c r="H4216" s="19" t="str">
        <x:v>技能残页</x:v>
      </x:c>
      <x:c r="I4216" s="22" t="n">
        <x:v>1500</x:v>
      </x:c>
      <x:c r="J4216" s="22" t="n">
        <x:v>1</x:v>
      </x:c>
      <x:c r="K4216" s="19" t="n">
        <x:v>1</x:v>
      </x:c>
      <x:c r="L4216" s="24" t="n">
        <x:v>59.123</x:v>
      </x:c>
      <x:c r="M4216" s="26" t="n">
        <x:v>0.1</x:v>
      </x:c>
      <x:c r="N4216" s="24" t="n">
        <x:v>12</x:v>
      </x:c>
      <x:c r="O4216" s="28" t="n">
        <x:f>MIN(1,L4216/I4216)</x:f>
        <x:v>0.03941533333333333</x:v>
      </x:c>
      <x:c r="P4216" s="30" t="n">
        <x:f>O4216*J4216*(1+M4216)</x:f>
        <x:v>0.04335686666666667</x:v>
      </x:c>
      <x:c r="Q4216" s="30" t="n">
        <x:f>P4216*N4216</x:f>
        <x:v>0.5202824</x:v>
      </x:c>
      <x:c r="R4216" s="19" t="str">
        <x:v>独立判定</x:v>
      </x:c>
    </x:row>
    <x:row r="4217" ht="19" customHeight="1">
      <x:c r="A4217" s="19" t="str">
        <x:v>D04213</x:v>
      </x:c>
      <x:c r="B4217" s="19" t="n">
        <x:v>9</x:v>
      </x:c>
      <x:c r="C4217" s="19" t="n">
        <x:v>2</x:v>
      </x:c>
      <x:c r="D4217" s="19" t="str">
        <x:v>C09-M022</x:v>
      </x:c>
      <x:c r="E4217" s="19" t="str">
        <x:v>核心吞金蜥</x:v>
      </x:c>
      <x:c r="F4217" s="19" t="str">
        <x:v>稀有</x:v>
      </x:c>
      <x:c r="G4217" s="19" t="str">
        <x:v>材料独立候选</x:v>
      </x:c>
      <x:c r="H4217" s="19" t="str">
        <x:v>小卢恩</x:v>
      </x:c>
      <x:c r="I4217" s="22" t="n">
        <x:v>10000</x:v>
      </x:c>
      <x:c r="J4217" s="22" t="n">
        <x:v>1</x:v>
      </x:c>
      <x:c r="K4217" s="19" t="n">
        <x:v>1</x:v>
      </x:c>
      <x:c r="L4217" s="24" t="n">
        <x:v>59.123</x:v>
      </x:c>
      <x:c r="M4217" s="26" t="n">
        <x:v>0.1</x:v>
      </x:c>
      <x:c r="N4217" s="24" t="n">
        <x:v>12</x:v>
      </x:c>
      <x:c r="O4217" s="28" t="n">
        <x:f>MIN(1,L4217/I4217)</x:f>
        <x:v>0.0059123</x:v>
      </x:c>
      <x:c r="P4217" s="30" t="n">
        <x:f>O4217*J4217*(1+M4217)</x:f>
        <x:v>0.00650353</x:v>
      </x:c>
      <x:c r="Q4217" s="30" t="n">
        <x:f>P4217*N4217</x:f>
        <x:v>0.07804236</x:v>
      </x:c>
      <x:c r="R4217" s="19" t="str">
        <x:v>独立判定</x:v>
      </x:c>
    </x:row>
    <x:row r="4218" ht="19" customHeight="1">
      <x:c r="A4218" s="19" t="str">
        <x:v>D04214</x:v>
      </x:c>
      <x:c r="B4218" s="19" t="n">
        <x:v>9</x:v>
      </x:c>
      <x:c r="C4218" s="19" t="n">
        <x:v>2</x:v>
      </x:c>
      <x:c r="D4218" s="19" t="str">
        <x:v>C09-M022</x:v>
      </x:c>
      <x:c r="E4218" s="19" t="str">
        <x:v>核心吞金蜥</x:v>
      </x:c>
      <x:c r="F4218" s="19" t="str">
        <x:v>稀有</x:v>
      </x:c>
      <x:c r="G4218" s="19" t="str">
        <x:v>六神器公共池</x:v>
      </x:c>
      <x:c r="H4218" s="19" t="str">
        <x:v>POOL006</x:v>
      </x:c>
      <x:c r="I4218" s="22" t="n">
        <x:v>5000000</x:v>
      </x:c>
      <x:c r="J4218" s="22" t="n">
        <x:v>1</x:v>
      </x:c>
      <x:c r="K4218" s="19" t="n">
        <x:v>6</x:v>
      </x:c>
      <x:c r="L4218" s="24" t="n">
        <x:v>59.123</x:v>
      </x:c>
      <x:c r="M4218" s="26" t="n">
        <x:v>0.1</x:v>
      </x:c>
      <x:c r="N4218" s="24" t="n">
        <x:v>12</x:v>
      </x:c>
      <x:c r="O4218" s="28" t="n">
        <x:f>MIN(1,L4218/I4218)</x:f>
        <x:v>0.0000118246</x:v>
      </x:c>
      <x:c r="P4218" s="30" t="n">
        <x:f>O4218*J4218*(1+M4218)</x:f>
        <x:v>0.000013007060000000002</x:v>
      </x:c>
      <x:c r="Q4218" s="30" t="n">
        <x:f>P4218*N4218</x:f>
        <x:v>0.00015608472000000001</x:v>
      </x:c>
      <x:c r="R4218" s="19" t="str">
        <x:v>六选一；非6个独立爆率</x:v>
      </x:c>
    </x:row>
    <x:row r="4219" ht="19" customHeight="1">
      <x:c r="A4219" s="19" t="str">
        <x:v>D04215</x:v>
      </x:c>
      <x:c r="B4219" s="19" t="n">
        <x:v>9</x:v>
      </x:c>
      <x:c r="C4219" s="19" t="n">
        <x:v>2</x:v>
      </x:c>
      <x:c r="D4219" s="19" t="str">
        <x:v>C09-M023</x:v>
      </x:c>
      <x:c r="E4219" s="19" t="str">
        <x:v>深井断索王·布洛克</x:v>
      </x:c>
      <x:c r="F4219" s="19" t="str">
        <x:v>地图BOSS</x:v>
      </x:c>
      <x:c r="G4219" s="19" t="str">
        <x:v>自身专属</x:v>
      </x:c>
      <x:c r="H4219" s="19" t="str">
        <x:v>布洛克断索锤</x:v>
      </x:c>
      <x:c r="I4219" s="22" t="n">
        <x:v>150</x:v>
      </x:c>
      <x:c r="J4219" s="22" t="n">
        <x:v>1</x:v>
      </x:c>
      <x:c r="K4219" s="19" t="n">
        <x:v>1</x:v>
      </x:c>
      <x:c r="L4219" s="24" t="n">
        <x:v>59.123</x:v>
      </x:c>
      <x:c r="M4219" s="26" t="n">
        <x:v>0.1</x:v>
      </x:c>
      <x:c r="N4219" s="24" t="n">
        <x:v>2</x:v>
      </x:c>
      <x:c r="O4219" s="28" t="n">
        <x:f>MIN(1,L4219/I4219)</x:f>
        <x:v>0.3941533333333333</x:v>
      </x:c>
      <x:c r="P4219" s="30" t="n">
        <x:f>O4219*J4219*(1+M4219)</x:f>
        <x:v>0.43356866666666666</x:v>
      </x:c>
      <x:c r="Q4219" s="30" t="n">
        <x:f>P4219*N4219</x:f>
        <x:v>0.8671373333333333</x:v>
      </x:c>
      <x:c r="R4219" s="19" t="str">
        <x:v>独立判定</x:v>
      </x:c>
    </x:row>
    <x:row r="4220" ht="19" customHeight="1">
      <x:c r="A4220" s="19" t="str">
        <x:v>D04216</x:v>
      </x:c>
      <x:c r="B4220" s="19" t="n">
        <x:v>9</x:v>
      </x:c>
      <x:c r="C4220" s="19" t="n">
        <x:v>2</x:v>
      </x:c>
      <x:c r="D4220" s="19" t="str">
        <x:v>C09-M023</x:v>
      </x:c>
      <x:c r="E4220" s="19" t="str">
        <x:v>深井断索王·布洛克</x:v>
      </x:c>
      <x:c r="F4220" s="19" t="str">
        <x:v>地图BOSS</x:v>
      </x:c>
      <x:c r="G4220" s="19" t="str">
        <x:v>本图普通兼掉候选</x:v>
      </x:c>
      <x:c r="H4220" s="19" t="str">
        <x:v>POOL070</x:v>
      </x:c>
      <x:c r="I4220" s="22" t="n">
        <x:v>150</x:v>
      </x:c>
      <x:c r="J4220" s="22" t="n">
        <x:v>1</x:v>
      </x:c>
      <x:c r="K4220" s="19" t="n">
        <x:v>1</x:v>
      </x:c>
      <x:c r="L4220" s="24" t="n">
        <x:v>59.123</x:v>
      </x:c>
      <x:c r="M4220" s="26" t="n">
        <x:v>0.1</x:v>
      </x:c>
      <x:c r="N4220" s="24" t="n">
        <x:v>2</x:v>
      </x:c>
      <x:c r="O4220" s="28" t="n">
        <x:f>MIN(1,L4220/I4220)</x:f>
        <x:v>0.3941533333333333</x:v>
      </x:c>
      <x:c r="P4220" s="30" t="n">
        <x:f>O4220*J4220*(1+M4220)</x:f>
        <x:v>0.43356866666666666</x:v>
      </x:c>
      <x:c r="Q4220" s="30" t="n">
        <x:f>P4220*N4220</x:f>
        <x:v>0.8671373333333333</x:v>
      </x:c>
      <x:c r="R4220" s="19" t="str">
        <x:v>单池选一</x:v>
      </x:c>
    </x:row>
    <x:row r="4221" ht="19" customHeight="1">
      <x:c r="A4221" s="19" t="str">
        <x:v>D04217</x:v>
      </x:c>
      <x:c r="B4221" s="19" t="n">
        <x:v>9</x:v>
      </x:c>
      <x:c r="C4221" s="19" t="n">
        <x:v>2</x:v>
      </x:c>
      <x:c r="D4221" s="19" t="str">
        <x:v>C09-M023</x:v>
      </x:c>
      <x:c r="E4221" s="19" t="str">
        <x:v>深井断索王·布洛克</x:v>
      </x:c>
      <x:c r="F4221" s="19" t="str">
        <x:v>地图BOSS</x:v>
      </x:c>
      <x:c r="G4221" s="19" t="str">
        <x:v>材料独立候选</x:v>
      </x:c>
      <x:c r="H4221" s="19" t="str">
        <x:v>黄金叶脉</x:v>
      </x:c>
      <x:c r="I4221" s="22" t="n">
        <x:v>500</x:v>
      </x:c>
      <x:c r="J4221" s="22" t="n">
        <x:v>30</x:v>
      </x:c>
      <x:c r="K4221" s="19" t="n">
        <x:v>1</x:v>
      </x:c>
      <x:c r="L4221" s="24" t="n">
        <x:v>59.123</x:v>
      </x:c>
      <x:c r="M4221" s="26" t="n">
        <x:v>0.1</x:v>
      </x:c>
      <x:c r="N4221" s="24" t="n">
        <x:v>2</x:v>
      </x:c>
      <x:c r="O4221" s="28" t="n">
        <x:f>MIN(1,L4221/I4221)</x:f>
        <x:v>0.11824599999999999</x:v>
      </x:c>
      <x:c r="P4221" s="30" t="n">
        <x:f>O4221*J4221*(1+M4221)</x:f>
        <x:v>3.9021179999999998</x:v>
      </x:c>
      <x:c r="Q4221" s="30" t="n">
        <x:f>P4221*N4221</x:f>
        <x:v>7.8042359999999995</x:v>
      </x:c>
      <x:c r="R4221" s="19" t="str">
        <x:v>独立判定</x:v>
      </x:c>
    </x:row>
    <x:row r="4222" ht="19" customHeight="1">
      <x:c r="A4222" s="19" t="str">
        <x:v>D04218</x:v>
      </x:c>
      <x:c r="B4222" s="19" t="n">
        <x:v>9</x:v>
      </x:c>
      <x:c r="C4222" s="19" t="n">
        <x:v>2</x:v>
      </x:c>
      <x:c r="D4222" s="19" t="str">
        <x:v>C09-M023</x:v>
      </x:c>
      <x:c r="E4222" s="19" t="str">
        <x:v>深井断索王·布洛克</x:v>
      </x:c>
      <x:c r="F4222" s="19" t="str">
        <x:v>地图BOSS</x:v>
      </x:c>
      <x:c r="G4222" s="19" t="str">
        <x:v>材料独立候选</x:v>
      </x:c>
      <x:c r="H4222" s="19" t="str">
        <x:v>古王律页</x:v>
      </x:c>
      <x:c r="I4222" s="22" t="n">
        <x:v>500</x:v>
      </x:c>
      <x:c r="J4222" s="22" t="n">
        <x:v>1</x:v>
      </x:c>
      <x:c r="K4222" s="19" t="n">
        <x:v>1</x:v>
      </x:c>
      <x:c r="L4222" s="24" t="n">
        <x:v>59.123</x:v>
      </x:c>
      <x:c r="M4222" s="26" t="n">
        <x:v>0.1</x:v>
      </x:c>
      <x:c r="N4222" s="24" t="n">
        <x:v>2</x:v>
      </x:c>
      <x:c r="O4222" s="28" t="n">
        <x:f>MIN(1,L4222/I4222)</x:f>
        <x:v>0.11824599999999999</x:v>
      </x:c>
      <x:c r="P4222" s="30" t="n">
        <x:f>O4222*J4222*(1+M4222)</x:f>
        <x:v>0.1300706</x:v>
      </x:c>
      <x:c r="Q4222" s="30" t="n">
        <x:f>P4222*N4222</x:f>
        <x:v>0.2601412</x:v>
      </x:c>
      <x:c r="R4222" s="19" t="str">
        <x:v>独立判定</x:v>
      </x:c>
    </x:row>
    <x:row r="4223" ht="19" customHeight="1">
      <x:c r="A4223" s="19" t="str">
        <x:v>D04219</x:v>
      </x:c>
      <x:c r="B4223" s="19" t="n">
        <x:v>9</x:v>
      </x:c>
      <x:c r="C4223" s="19" t="n">
        <x:v>2</x:v>
      </x:c>
      <x:c r="D4223" s="19" t="str">
        <x:v>C09-M023</x:v>
      </x:c>
      <x:c r="E4223" s="19" t="str">
        <x:v>深井断索王·布洛克</x:v>
      </x:c>
      <x:c r="F4223" s="19" t="str">
        <x:v>地图BOSS</x:v>
      </x:c>
      <x:c r="G4223" s="19" t="str">
        <x:v>材料独立候选</x:v>
      </x:c>
      <x:c r="H4223" s="19" t="str">
        <x:v>黄金律印</x:v>
      </x:c>
      <x:c r="I4223" s="22" t="n">
        <x:v>250</x:v>
      </x:c>
      <x:c r="J4223" s="22" t="n">
        <x:v>7</x:v>
      </x:c>
      <x:c r="K4223" s="19" t="n">
        <x:v>1</x:v>
      </x:c>
      <x:c r="L4223" s="24" t="n">
        <x:v>59.123</x:v>
      </x:c>
      <x:c r="M4223" s="26" t="n">
        <x:v>0.1</x:v>
      </x:c>
      <x:c r="N4223" s="24" t="n">
        <x:v>2</x:v>
      </x:c>
      <x:c r="O4223" s="28" t="n">
        <x:f>MIN(1,L4223/I4223)</x:f>
        <x:v>0.23649199999999998</x:v>
      </x:c>
      <x:c r="P4223" s="30" t="n">
        <x:f>O4223*J4223*(1+M4223)</x:f>
        <x:v>1.8209884</x:v>
      </x:c>
      <x:c r="Q4223" s="30" t="n">
        <x:f>P4223*N4223</x:f>
        <x:v>3.6419768</x:v>
      </x:c>
      <x:c r="R4223" s="19" t="str">
        <x:v>独立判定</x:v>
      </x:c>
    </x:row>
    <x:row r="4224" ht="19" customHeight="1">
      <x:c r="A4224" s="19" t="str">
        <x:v>D04220</x:v>
      </x:c>
      <x:c r="B4224" s="19" t="n">
        <x:v>9</x:v>
      </x:c>
      <x:c r="C4224" s="19" t="n">
        <x:v>2</x:v>
      </x:c>
      <x:c r="D4224" s="19" t="str">
        <x:v>C09-M023</x:v>
      </x:c>
      <x:c r="E4224" s="19" t="str">
        <x:v>深井断索王·布洛克</x:v>
      </x:c>
      <x:c r="F4224" s="19" t="str">
        <x:v>地图BOSS</x:v>
      </x:c>
      <x:c r="G4224" s="19" t="str">
        <x:v>材料独立候选</x:v>
      </x:c>
      <x:c r="H4224" s="19" t="str">
        <x:v>裁文蜡封</x:v>
      </x:c>
      <x:c r="I4224" s="22" t="n">
        <x:v>250</x:v>
      </x:c>
      <x:c r="J4224" s="22" t="n">
        <x:v>3</x:v>
      </x:c>
      <x:c r="K4224" s="19" t="n">
        <x:v>1</x:v>
      </x:c>
      <x:c r="L4224" s="24" t="n">
        <x:v>59.123</x:v>
      </x:c>
      <x:c r="M4224" s="26" t="n">
        <x:v>0.1</x:v>
      </x:c>
      <x:c r="N4224" s="24" t="n">
        <x:v>2</x:v>
      </x:c>
      <x:c r="O4224" s="28" t="n">
        <x:f>MIN(1,L4224/I4224)</x:f>
        <x:v>0.23649199999999998</x:v>
      </x:c>
      <x:c r="P4224" s="30" t="n">
        <x:f>O4224*J4224*(1+M4224)</x:f>
        <x:v>0.7804236000000001</x:v>
      </x:c>
      <x:c r="Q4224" s="30" t="n">
        <x:f>P4224*N4224</x:f>
        <x:v>1.5608472000000002</x:v>
      </x:c>
      <x:c r="R4224" s="19" t="str">
        <x:v>独立判定</x:v>
      </x:c>
    </x:row>
    <x:row r="4225" ht="19" customHeight="1">
      <x:c r="A4225" s="19" t="str">
        <x:v>D04221</x:v>
      </x:c>
      <x:c r="B4225" s="19" t="n">
        <x:v>9</x:v>
      </x:c>
      <x:c r="C4225" s="19" t="n">
        <x:v>2</x:v>
      </x:c>
      <x:c r="D4225" s="19" t="str">
        <x:v>C09-M023</x:v>
      </x:c>
      <x:c r="E4225" s="19" t="str">
        <x:v>深井断索王·布洛克</x:v>
      </x:c>
      <x:c r="F4225" s="19" t="str">
        <x:v>地图BOSS</x:v>
      </x:c>
      <x:c r="G4225" s="19" t="str">
        <x:v>材料独立候选</x:v>
      </x:c>
      <x:c r="H4225" s="19" t="str">
        <x:v>古坛鎏叶髓</x:v>
      </x:c>
      <x:c r="I4225" s="22" t="n">
        <x:v>800000</x:v>
      </x:c>
      <x:c r="J4225" s="22" t="n">
        <x:v>1</x:v>
      </x:c>
      <x:c r="K4225" s="19" t="n">
        <x:v>1</x:v>
      </x:c>
      <x:c r="L4225" s="24" t="n">
        <x:v>59.123</x:v>
      </x:c>
      <x:c r="M4225" s="26" t="n">
        <x:v>0.1</x:v>
      </x:c>
      <x:c r="N4225" s="24" t="n">
        <x:v>2</x:v>
      </x:c>
      <x:c r="O4225" s="28" t="n">
        <x:f>MIN(1,L4225/I4225)</x:f>
        <x:v>0.00007390375</x:v>
      </x:c>
      <x:c r="P4225" s="30" t="n">
        <x:f>O4225*J4225*(1+M4225)</x:f>
        <x:v>0.000081294125</x:v>
      </x:c>
      <x:c r="Q4225" s="30" t="n">
        <x:f>P4225*N4225</x:f>
        <x:v>0.00016258825</x:v>
      </x:c>
      <x:c r="R4225" s="19" t="str">
        <x:v>独立判定</x:v>
      </x:c>
    </x:row>
    <x:row r="4226" ht="19" customHeight="1">
      <x:c r="A4226" s="19" t="str">
        <x:v>D04222</x:v>
      </x:c>
      <x:c r="B4226" s="19" t="n">
        <x:v>9</x:v>
      </x:c>
      <x:c r="C4226" s="19" t="n">
        <x:v>2</x:v>
      </x:c>
      <x:c r="D4226" s="19" t="str">
        <x:v>C09-M023</x:v>
      </x:c>
      <x:c r="E4226" s="19" t="str">
        <x:v>深井断索王·布洛克</x:v>
      </x:c>
      <x:c r="F4226" s="19" t="str">
        <x:v>地图BOSS</x:v>
      </x:c>
      <x:c r="G4226" s="19" t="str">
        <x:v>材料独立候选</x:v>
      </x:c>
      <x:c r="H4226" s="19" t="str">
        <x:v>黄金树芽</x:v>
      </x:c>
      <x:c r="I4226" s="22" t="n">
        <x:v>6000</x:v>
      </x:c>
      <x:c r="J4226" s="22" t="n">
        <x:v>1</x:v>
      </x:c>
      <x:c r="K4226" s="19" t="n">
        <x:v>1</x:v>
      </x:c>
      <x:c r="L4226" s="24" t="n">
        <x:v>59.123</x:v>
      </x:c>
      <x:c r="M4226" s="26" t="n">
        <x:v>0.1</x:v>
      </x:c>
      <x:c r="N4226" s="24" t="n">
        <x:v>2</x:v>
      </x:c>
      <x:c r="O4226" s="28" t="n">
        <x:f>MIN(1,L4226/I4226)</x:f>
        <x:v>0.009853833333333333</x:v>
      </x:c>
      <x:c r="P4226" s="30" t="n">
        <x:f>O4226*J4226*(1+M4226)</x:f>
        <x:v>0.010839216666666667</x:v>
      </x:c>
      <x:c r="Q4226" s="30" t="n">
        <x:f>P4226*N4226</x:f>
        <x:v>0.021678433333333334</x:v>
      </x:c>
      <x:c r="R4226" s="19" t="str">
        <x:v>独立判定</x:v>
      </x:c>
    </x:row>
    <x:row r="4227" ht="19" customHeight="1">
      <x:c r="A4227" s="19" t="str">
        <x:v>D04223</x:v>
      </x:c>
      <x:c r="B4227" s="19" t="n">
        <x:v>9</x:v>
      </x:c>
      <x:c r="C4227" s="19" t="n">
        <x:v>2</x:v>
      </x:c>
      <x:c r="D4227" s="19" t="str">
        <x:v>C09-M023</x:v>
      </x:c>
      <x:c r="E4227" s="19" t="str">
        <x:v>深井断索王·布洛克</x:v>
      </x:c>
      <x:c r="F4227" s="19" t="str">
        <x:v>地图BOSS</x:v>
      </x:c>
      <x:c r="G4227" s="19" t="str">
        <x:v>材料独立候选</x:v>
      </x:c>
      <x:c r="H4227" s="19" t="str">
        <x:v>野兽骨片</x:v>
      </x:c>
      <x:c r="I4227" s="22" t="n">
        <x:v>100</x:v>
      </x:c>
      <x:c r="J4227" s="22" t="n">
        <x:v>5</x:v>
      </x:c>
      <x:c r="K4227" s="19" t="n">
        <x:v>1</x:v>
      </x:c>
      <x:c r="L4227" s="24" t="n">
        <x:v>59.123</x:v>
      </x:c>
      <x:c r="M4227" s="26" t="n">
        <x:v>0.1</x:v>
      </x:c>
      <x:c r="N4227" s="24" t="n">
        <x:v>2</x:v>
      </x:c>
      <x:c r="O4227" s="28" t="n">
        <x:f>MIN(1,L4227/I4227)</x:f>
        <x:v>0.5912299999999999</x:v>
      </x:c>
      <x:c r="P4227" s="30" t="n">
        <x:f>O4227*J4227*(1+M4227)</x:f>
        <x:v>3.251765</x:v>
      </x:c>
      <x:c r="Q4227" s="30" t="n">
        <x:f>P4227*N4227</x:f>
        <x:v>6.50353</x:v>
      </x:c>
      <x:c r="R4227" s="19" t="str">
        <x:v>独立判定</x:v>
      </x:c>
    </x:row>
    <x:row r="4228" ht="19" customHeight="1">
      <x:c r="A4228" s="19" t="str">
        <x:v>D04224</x:v>
      </x:c>
      <x:c r="B4228" s="19" t="n">
        <x:v>9</x:v>
      </x:c>
      <x:c r="C4228" s="19" t="n">
        <x:v>2</x:v>
      </x:c>
      <x:c r="D4228" s="19" t="str">
        <x:v>C09-M023</x:v>
      </x:c>
      <x:c r="E4228" s="19" t="str">
        <x:v>深井断索王·布洛克</x:v>
      </x:c>
      <x:c r="F4228" s="19" t="str">
        <x:v>地图BOSS</x:v>
      </x:c>
      <x:c r="G4228" s="19" t="str">
        <x:v>材料独立候选</x:v>
      </x:c>
      <x:c r="H4228" s="19" t="str">
        <x:v>技能残页</x:v>
      </x:c>
      <x:c r="I4228" s="22" t="n">
        <x:v>800</x:v>
      </x:c>
      <x:c r="J4228" s="22" t="n">
        <x:v>1</x:v>
      </x:c>
      <x:c r="K4228" s="19" t="n">
        <x:v>1</x:v>
      </x:c>
      <x:c r="L4228" s="24" t="n">
        <x:v>59.123</x:v>
      </x:c>
      <x:c r="M4228" s="26" t="n">
        <x:v>0.1</x:v>
      </x:c>
      <x:c r="N4228" s="24" t="n">
        <x:v>2</x:v>
      </x:c>
      <x:c r="O4228" s="28" t="n">
        <x:f>MIN(1,L4228/I4228)</x:f>
        <x:v>0.07390374999999999</x:v>
      </x:c>
      <x:c r="P4228" s="30" t="n">
        <x:f>O4228*J4228*(1+M4228)</x:f>
        <x:v>0.081294125</x:v>
      </x:c>
      <x:c r="Q4228" s="30" t="n">
        <x:f>P4228*N4228</x:f>
        <x:v>0.16258825</x:v>
      </x:c>
      <x:c r="R4228" s="19" t="str">
        <x:v>独立判定</x:v>
      </x:c>
    </x:row>
    <x:row r="4229" ht="19" customHeight="1">
      <x:c r="A4229" s="19" t="str">
        <x:v>D04225</x:v>
      </x:c>
      <x:c r="B4229" s="19" t="n">
        <x:v>9</x:v>
      </x:c>
      <x:c r="C4229" s="19" t="n">
        <x:v>2</x:v>
      </x:c>
      <x:c r="D4229" s="19" t="str">
        <x:v>C09-M023</x:v>
      </x:c>
      <x:c r="E4229" s="19" t="str">
        <x:v>深井断索王·布洛克</x:v>
      </x:c>
      <x:c r="F4229" s="19" t="str">
        <x:v>地图BOSS</x:v>
      </x:c>
      <x:c r="G4229" s="19" t="str">
        <x:v>材料独立候选</x:v>
      </x:c>
      <x:c r="H4229" s="19" t="str">
        <x:v>宁姆格福誓页</x:v>
      </x:c>
      <x:c r="I4229" s="22" t="n">
        <x:v>800</x:v>
      </x:c>
      <x:c r="J4229" s="22" t="n">
        <x:v>1</x:v>
      </x:c>
      <x:c r="K4229" s="19" t="n">
        <x:v>1</x:v>
      </x:c>
      <x:c r="L4229" s="24" t="n">
        <x:v>59.123</x:v>
      </x:c>
      <x:c r="M4229" s="26" t="n">
        <x:v>0.1</x:v>
      </x:c>
      <x:c r="N4229" s="24" t="n">
        <x:v>2</x:v>
      </x:c>
      <x:c r="O4229" s="28" t="n">
        <x:f>MIN(1,L4229/I4229)</x:f>
        <x:v>0.07390374999999999</x:v>
      </x:c>
      <x:c r="P4229" s="30" t="n">
        <x:f>O4229*J4229*(1+M4229)</x:f>
        <x:v>0.081294125</x:v>
      </x:c>
      <x:c r="Q4229" s="30" t="n">
        <x:f>P4229*N4229</x:f>
        <x:v>0.16258825</x:v>
      </x:c>
      <x:c r="R4229" s="19" t="str">
        <x:v>独立判定</x:v>
      </x:c>
    </x:row>
    <x:row r="4230" ht="19" customHeight="1">
      <x:c r="A4230" s="19" t="str">
        <x:v>D04226</x:v>
      </x:c>
      <x:c r="B4230" s="19" t="n">
        <x:v>9</x:v>
      </x:c>
      <x:c r="C4230" s="19" t="n">
        <x:v>2</x:v>
      </x:c>
      <x:c r="D4230" s="19" t="str">
        <x:v>C09-M023</x:v>
      </x:c>
      <x:c r="E4230" s="19" t="str">
        <x:v>深井断索王·布洛克</x:v>
      </x:c>
      <x:c r="F4230" s="19" t="str">
        <x:v>地图BOSS</x:v>
      </x:c>
      <x:c r="G4230" s="19" t="str">
        <x:v>材料独立候选</x:v>
      </x:c>
      <x:c r="H4230" s="19" t="str">
        <x:v>小卢恩</x:v>
      </x:c>
      <x:c r="I4230" s="22" t="n">
        <x:v>6000</x:v>
      </x:c>
      <x:c r="J4230" s="22" t="n">
        <x:v>1</x:v>
      </x:c>
      <x:c r="K4230" s="19" t="n">
        <x:v>1</x:v>
      </x:c>
      <x:c r="L4230" s="24" t="n">
        <x:v>59.123</x:v>
      </x:c>
      <x:c r="M4230" s="26" t="n">
        <x:v>0.1</x:v>
      </x:c>
      <x:c r="N4230" s="24" t="n">
        <x:v>2</x:v>
      </x:c>
      <x:c r="O4230" s="28" t="n">
        <x:f>MIN(1,L4230/I4230)</x:f>
        <x:v>0.009853833333333333</x:v>
      </x:c>
      <x:c r="P4230" s="30" t="n">
        <x:f>O4230*J4230*(1+M4230)</x:f>
        <x:v>0.010839216666666667</x:v>
      </x:c>
      <x:c r="Q4230" s="30" t="n">
        <x:f>P4230*N4230</x:f>
        <x:v>0.021678433333333334</x:v>
      </x:c>
      <x:c r="R4230" s="19" t="str">
        <x:v>独立判定</x:v>
      </x:c>
    </x:row>
    <x:row r="4231" ht="19" customHeight="1">
      <x:c r="A4231" s="19" t="str">
        <x:v>D04227</x:v>
      </x:c>
      <x:c r="B4231" s="19" t="n">
        <x:v>9</x:v>
      </x:c>
      <x:c r="C4231" s="19" t="n">
        <x:v>2</x:v>
      </x:c>
      <x:c r="D4231" s="19" t="str">
        <x:v>C09-M023</x:v>
      </x:c>
      <x:c r="E4231" s="19" t="str">
        <x:v>深井断索王·布洛克</x:v>
      </x:c>
      <x:c r="F4231" s="19" t="str">
        <x:v>地图BOSS</x:v>
      </x:c>
      <x:c r="G4231" s="19" t="str">
        <x:v>材料独立候选</x:v>
      </x:c>
      <x:c r="H4231" s="19" t="str">
        <x:v>大卢恩</x:v>
      </x:c>
      <x:c r="I4231" s="22" t="n">
        <x:v>500</x:v>
      </x:c>
      <x:c r="J4231" s="22" t="n">
        <x:v>1</x:v>
      </x:c>
      <x:c r="K4231" s="19" t="n">
        <x:v>1</x:v>
      </x:c>
      <x:c r="L4231" s="24" t="n">
        <x:v>59.123</x:v>
      </x:c>
      <x:c r="M4231" s="26" t="n">
        <x:v>0.1</x:v>
      </x:c>
      <x:c r="N4231" s="24" t="n">
        <x:v>2</x:v>
      </x:c>
      <x:c r="O4231" s="28" t="n">
        <x:f>MIN(1,L4231/I4231)</x:f>
        <x:v>0.11824599999999999</x:v>
      </x:c>
      <x:c r="P4231" s="30" t="n">
        <x:f>O4231*J4231*(1+M4231)</x:f>
        <x:v>0.1300706</x:v>
      </x:c>
      <x:c r="Q4231" s="30" t="n">
        <x:f>P4231*N4231</x:f>
        <x:v>0.2601412</x:v>
      </x:c>
      <x:c r="R4231" s="19" t="str">
        <x:v>独立判定</x:v>
      </x:c>
    </x:row>
    <x:row r="4232" ht="19" customHeight="1">
      <x:c r="A4232" s="19" t="str">
        <x:v>D04228</x:v>
      </x:c>
      <x:c r="B4232" s="19" t="n">
        <x:v>9</x:v>
      </x:c>
      <x:c r="C4232" s="19" t="n">
        <x:v>2</x:v>
      </x:c>
      <x:c r="D4232" s="19" t="str">
        <x:v>C09-M023</x:v>
      </x:c>
      <x:c r="E4232" s="19" t="str">
        <x:v>深井断索王·布洛克</x:v>
      </x:c>
      <x:c r="F4232" s="19" t="str">
        <x:v>地图BOSS</x:v>
      </x:c>
      <x:c r="G4232" s="19" t="str">
        <x:v>材料独立候选</x:v>
      </x:c>
      <x:c r="H4232" s="19" t="str">
        <x:v>巨人熔火卢恩</x:v>
      </x:c>
      <x:c r="I4232" s="22" t="n">
        <x:v>800</x:v>
      </x:c>
      <x:c r="J4232" s="22" t="n">
        <x:v>1</x:v>
      </x:c>
      <x:c r="K4232" s="19" t="n">
        <x:v>1</x:v>
      </x:c>
      <x:c r="L4232" s="24" t="n">
        <x:v>59.123</x:v>
      </x:c>
      <x:c r="M4232" s="26" t="n">
        <x:v>0.1</x:v>
      </x:c>
      <x:c r="N4232" s="24" t="n">
        <x:v>2</x:v>
      </x:c>
      <x:c r="O4232" s="28" t="n">
        <x:f>MIN(1,L4232/I4232)</x:f>
        <x:v>0.07390374999999999</x:v>
      </x:c>
      <x:c r="P4232" s="30" t="n">
        <x:f>O4232*J4232*(1+M4232)</x:f>
        <x:v>0.081294125</x:v>
      </x:c>
      <x:c r="Q4232" s="30" t="n">
        <x:f>P4232*N4232</x:f>
        <x:v>0.16258825</x:v>
      </x:c>
      <x:c r="R4232" s="19" t="str">
        <x:v>独立判定</x:v>
      </x:c>
    </x:row>
    <x:row r="4233" ht="19" customHeight="1">
      <x:c r="A4233" s="19" t="str">
        <x:v>D04229</x:v>
      </x:c>
      <x:c r="B4233" s="19" t="n">
        <x:v>9</x:v>
      </x:c>
      <x:c r="C4233" s="19" t="n">
        <x:v>2</x:v>
      </x:c>
      <x:c r="D4233" s="19" t="str">
        <x:v>C09-M023</x:v>
      </x:c>
      <x:c r="E4233" s="19" t="str">
        <x:v>深井断索王·布洛克</x:v>
      </x:c>
      <x:c r="F4233" s="19" t="str">
        <x:v>地图BOSS</x:v>
      </x:c>
      <x:c r="G4233" s="19" t="str">
        <x:v>六神器公共池</x:v>
      </x:c>
      <x:c r="H4233" s="19" t="str">
        <x:v>POOL006</x:v>
      </x:c>
      <x:c r="I4233" s="22" t="n">
        <x:v>200000</x:v>
      </x:c>
      <x:c r="J4233" s="22" t="n">
        <x:v>1</x:v>
      </x:c>
      <x:c r="K4233" s="19" t="n">
        <x:v>6</x:v>
      </x:c>
      <x:c r="L4233" s="24" t="n">
        <x:v>59.123</x:v>
      </x:c>
      <x:c r="M4233" s="26" t="n">
        <x:v>0.1</x:v>
      </x:c>
      <x:c r="N4233" s="24" t="n">
        <x:v>2</x:v>
      </x:c>
      <x:c r="O4233" s="28" t="n">
        <x:f>MIN(1,L4233/I4233)</x:f>
        <x:v>0.000295615</x:v>
      </x:c>
      <x:c r="P4233" s="30" t="n">
        <x:f>O4233*J4233*(1+M4233)</x:f>
        <x:v>0.0003251765</x:v>
      </x:c>
      <x:c r="Q4233" s="30" t="n">
        <x:f>P4233*N4233</x:f>
        <x:v>0.000650353</x:v>
      </x:c>
      <x:c r="R4233" s="19" t="str">
        <x:v>六选一；非6个独立爆率</x:v>
      </x:c>
    </x:row>
    <x:row r="4234" ht="19" customHeight="1">
      <x:c r="A4234" s="19" t="str">
        <x:v>D04230</x:v>
      </x:c>
      <x:c r="B4234" s="19" t="n">
        <x:v>9</x:v>
      </x:c>
      <x:c r="C4234" s="19" t="n">
        <x:v>2</x:v>
      </x:c>
      <x:c r="D4234" s="19" t="str">
        <x:v>C09-M024</x:v>
      </x:c>
      <x:c r="E4234" s="19" t="str">
        <x:v>矿心鎏金母·奥莉莎</x:v>
      </x:c>
      <x:c r="F4234" s="19" t="str">
        <x:v>地图BOSS</x:v>
      </x:c>
      <x:c r="G4234" s="19" t="str">
        <x:v>自身专属</x:v>
      </x:c>
      <x:c r="H4234" s="19" t="str">
        <x:v>奥莉莎矿心甲</x:v>
      </x:c>
      <x:c r="I4234" s="22" t="n">
        <x:v>300</x:v>
      </x:c>
      <x:c r="J4234" s="22" t="n">
        <x:v>1</x:v>
      </x:c>
      <x:c r="K4234" s="19" t="n">
        <x:v>1</x:v>
      </x:c>
      <x:c r="L4234" s="24" t="n">
        <x:v>59.123</x:v>
      </x:c>
      <x:c r="M4234" s="26" t="n">
        <x:v>0.1</x:v>
      </x:c>
      <x:c r="N4234" s="24" t="n">
        <x:v>2</x:v>
      </x:c>
      <x:c r="O4234" s="28" t="n">
        <x:f>MIN(1,L4234/I4234)</x:f>
        <x:v>0.19707666666666665</x:v>
      </x:c>
      <x:c r="P4234" s="30" t="n">
        <x:f>O4234*J4234*(1+M4234)</x:f>
        <x:v>0.21678433333333333</x:v>
      </x:c>
      <x:c r="Q4234" s="30" t="n">
        <x:f>P4234*N4234</x:f>
        <x:v>0.43356866666666666</x:v>
      </x:c>
      <x:c r="R4234" s="19" t="str">
        <x:v>独立判定</x:v>
      </x:c>
    </x:row>
    <x:row r="4235" ht="19" customHeight="1">
      <x:c r="A4235" s="19" t="str">
        <x:v>D04231</x:v>
      </x:c>
      <x:c r="B4235" s="19" t="n">
        <x:v>9</x:v>
      </x:c>
      <x:c r="C4235" s="19" t="n">
        <x:v>2</x:v>
      </x:c>
      <x:c r="D4235" s="19" t="str">
        <x:v>C09-M024</x:v>
      </x:c>
      <x:c r="E4235" s="19" t="str">
        <x:v>矿心鎏金母·奥莉莎</x:v>
      </x:c>
      <x:c r="F4235" s="19" t="str">
        <x:v>地图BOSS</x:v>
      </x:c>
      <x:c r="G4235" s="19" t="str">
        <x:v>自身专属</x:v>
      </x:c>
      <x:c r="H4235" s="19" t="str">
        <x:v>黄金回音坠</x:v>
      </x:c>
      <x:c r="I4235" s="22" t="n">
        <x:v>300</x:v>
      </x:c>
      <x:c r="J4235" s="22" t="n">
        <x:v>1</x:v>
      </x:c>
      <x:c r="K4235" s="19" t="n">
        <x:v>1</x:v>
      </x:c>
      <x:c r="L4235" s="24" t="n">
        <x:v>59.123</x:v>
      </x:c>
      <x:c r="M4235" s="26" t="n">
        <x:v>0.1</x:v>
      </x:c>
      <x:c r="N4235" s="24" t="n">
        <x:v>2</x:v>
      </x:c>
      <x:c r="O4235" s="28" t="n">
        <x:f>MIN(1,L4235/I4235)</x:f>
        <x:v>0.19707666666666665</x:v>
      </x:c>
      <x:c r="P4235" s="30" t="n">
        <x:f>O4235*J4235*(1+M4235)</x:f>
        <x:v>0.21678433333333333</x:v>
      </x:c>
      <x:c r="Q4235" s="30" t="n">
        <x:f>P4235*N4235</x:f>
        <x:v>0.43356866666666666</x:v>
      </x:c>
      <x:c r="R4235" s="19" t="str">
        <x:v>独立判定</x:v>
      </x:c>
    </x:row>
    <x:row r="4236" ht="19" customHeight="1">
      <x:c r="A4236" s="19" t="str">
        <x:v>D04232</x:v>
      </x:c>
      <x:c r="B4236" s="19" t="n">
        <x:v>9</x:v>
      </x:c>
      <x:c r="C4236" s="19" t="n">
        <x:v>2</x:v>
      </x:c>
      <x:c r="D4236" s="19" t="str">
        <x:v>C09-M024</x:v>
      </x:c>
      <x:c r="E4236" s="19" t="str">
        <x:v>矿心鎏金母·奥莉莎</x:v>
      </x:c>
      <x:c r="F4236" s="19" t="str">
        <x:v>地图BOSS</x:v>
      </x:c>
      <x:c r="G4236" s="19" t="str">
        <x:v>本图普通兼掉候选</x:v>
      </x:c>
      <x:c r="H4236" s="19" t="str">
        <x:v>POOL071</x:v>
      </x:c>
      <x:c r="I4236" s="22" t="n">
        <x:v>150</x:v>
      </x:c>
      <x:c r="J4236" s="22" t="n">
        <x:v>1</x:v>
      </x:c>
      <x:c r="K4236" s="19" t="n">
        <x:v>1</x:v>
      </x:c>
      <x:c r="L4236" s="24" t="n">
        <x:v>59.123</x:v>
      </x:c>
      <x:c r="M4236" s="26" t="n">
        <x:v>0.1</x:v>
      </x:c>
      <x:c r="N4236" s="24" t="n">
        <x:v>2</x:v>
      </x:c>
      <x:c r="O4236" s="28" t="n">
        <x:f>MIN(1,L4236/I4236)</x:f>
        <x:v>0.3941533333333333</x:v>
      </x:c>
      <x:c r="P4236" s="30" t="n">
        <x:f>O4236*J4236*(1+M4236)</x:f>
        <x:v>0.43356866666666666</x:v>
      </x:c>
      <x:c r="Q4236" s="30" t="n">
        <x:f>P4236*N4236</x:f>
        <x:v>0.8671373333333333</x:v>
      </x:c>
      <x:c r="R4236" s="19" t="str">
        <x:v>单池选一</x:v>
      </x:c>
    </x:row>
    <x:row r="4237" ht="19" customHeight="1">
      <x:c r="A4237" s="19" t="str">
        <x:v>D04233</x:v>
      </x:c>
      <x:c r="B4237" s="19" t="n">
        <x:v>9</x:v>
      </x:c>
      <x:c r="C4237" s="19" t="n">
        <x:v>2</x:v>
      </x:c>
      <x:c r="D4237" s="19" t="str">
        <x:v>C09-M024</x:v>
      </x:c>
      <x:c r="E4237" s="19" t="str">
        <x:v>矿心鎏金母·奥莉莎</x:v>
      </x:c>
      <x:c r="F4237" s="19" t="str">
        <x:v>地图BOSS</x:v>
      </x:c>
      <x:c r="G4237" s="19" t="str">
        <x:v>材料独立候选</x:v>
      </x:c>
      <x:c r="H4237" s="19" t="str">
        <x:v>黄金叶脉</x:v>
      </x:c>
      <x:c r="I4237" s="22" t="n">
        <x:v>500</x:v>
      </x:c>
      <x:c r="J4237" s="22" t="n">
        <x:v>30</x:v>
      </x:c>
      <x:c r="K4237" s="19" t="n">
        <x:v>1</x:v>
      </x:c>
      <x:c r="L4237" s="24" t="n">
        <x:v>59.123</x:v>
      </x:c>
      <x:c r="M4237" s="26" t="n">
        <x:v>0.1</x:v>
      </x:c>
      <x:c r="N4237" s="24" t="n">
        <x:v>2</x:v>
      </x:c>
      <x:c r="O4237" s="28" t="n">
        <x:f>MIN(1,L4237/I4237)</x:f>
        <x:v>0.11824599999999999</x:v>
      </x:c>
      <x:c r="P4237" s="30" t="n">
        <x:f>O4237*J4237*(1+M4237)</x:f>
        <x:v>3.9021179999999998</x:v>
      </x:c>
      <x:c r="Q4237" s="30" t="n">
        <x:f>P4237*N4237</x:f>
        <x:v>7.8042359999999995</x:v>
      </x:c>
      <x:c r="R4237" s="19" t="str">
        <x:v>独立判定</x:v>
      </x:c>
    </x:row>
    <x:row r="4238" ht="19" customHeight="1">
      <x:c r="A4238" s="19" t="str">
        <x:v>D04234</x:v>
      </x:c>
      <x:c r="B4238" s="19" t="n">
        <x:v>9</x:v>
      </x:c>
      <x:c r="C4238" s="19" t="n">
        <x:v>2</x:v>
      </x:c>
      <x:c r="D4238" s="19" t="str">
        <x:v>C09-M024</x:v>
      </x:c>
      <x:c r="E4238" s="19" t="str">
        <x:v>矿心鎏金母·奥莉莎</x:v>
      </x:c>
      <x:c r="F4238" s="19" t="str">
        <x:v>地图BOSS</x:v>
      </x:c>
      <x:c r="G4238" s="19" t="str">
        <x:v>材料独立候选</x:v>
      </x:c>
      <x:c r="H4238" s="19" t="str">
        <x:v>古王律页</x:v>
      </x:c>
      <x:c r="I4238" s="22" t="n">
        <x:v>500</x:v>
      </x:c>
      <x:c r="J4238" s="22" t="n">
        <x:v>1</x:v>
      </x:c>
      <x:c r="K4238" s="19" t="n">
        <x:v>1</x:v>
      </x:c>
      <x:c r="L4238" s="24" t="n">
        <x:v>59.123</x:v>
      </x:c>
      <x:c r="M4238" s="26" t="n">
        <x:v>0.1</x:v>
      </x:c>
      <x:c r="N4238" s="24" t="n">
        <x:v>2</x:v>
      </x:c>
      <x:c r="O4238" s="28" t="n">
        <x:f>MIN(1,L4238/I4238)</x:f>
        <x:v>0.11824599999999999</x:v>
      </x:c>
      <x:c r="P4238" s="30" t="n">
        <x:f>O4238*J4238*(1+M4238)</x:f>
        <x:v>0.1300706</x:v>
      </x:c>
      <x:c r="Q4238" s="30" t="n">
        <x:f>P4238*N4238</x:f>
        <x:v>0.2601412</x:v>
      </x:c>
      <x:c r="R4238" s="19" t="str">
        <x:v>独立判定</x:v>
      </x:c>
    </x:row>
    <x:row r="4239" ht="19" customHeight="1">
      <x:c r="A4239" s="19" t="str">
        <x:v>D04235</x:v>
      </x:c>
      <x:c r="B4239" s="19" t="n">
        <x:v>9</x:v>
      </x:c>
      <x:c r="C4239" s="19" t="n">
        <x:v>2</x:v>
      </x:c>
      <x:c r="D4239" s="19" t="str">
        <x:v>C09-M024</x:v>
      </x:c>
      <x:c r="E4239" s="19" t="str">
        <x:v>矿心鎏金母·奥莉莎</x:v>
      </x:c>
      <x:c r="F4239" s="19" t="str">
        <x:v>地图BOSS</x:v>
      </x:c>
      <x:c r="G4239" s="19" t="str">
        <x:v>材料独立候选</x:v>
      </x:c>
      <x:c r="H4239" s="19" t="str">
        <x:v>黄金律印</x:v>
      </x:c>
      <x:c r="I4239" s="22" t="n">
        <x:v>250</x:v>
      </x:c>
      <x:c r="J4239" s="22" t="n">
        <x:v>7</x:v>
      </x:c>
      <x:c r="K4239" s="19" t="n">
        <x:v>1</x:v>
      </x:c>
      <x:c r="L4239" s="24" t="n">
        <x:v>59.123</x:v>
      </x:c>
      <x:c r="M4239" s="26" t="n">
        <x:v>0.1</x:v>
      </x:c>
      <x:c r="N4239" s="24" t="n">
        <x:v>2</x:v>
      </x:c>
      <x:c r="O4239" s="28" t="n">
        <x:f>MIN(1,L4239/I4239)</x:f>
        <x:v>0.23649199999999998</x:v>
      </x:c>
      <x:c r="P4239" s="30" t="n">
        <x:f>O4239*J4239*(1+M4239)</x:f>
        <x:v>1.8209884</x:v>
      </x:c>
      <x:c r="Q4239" s="30" t="n">
        <x:f>P4239*N4239</x:f>
        <x:v>3.6419768</x:v>
      </x:c>
      <x:c r="R4239" s="19" t="str">
        <x:v>独立判定</x:v>
      </x:c>
    </x:row>
    <x:row r="4240" ht="19" customHeight="1">
      <x:c r="A4240" s="19" t="str">
        <x:v>D04236</x:v>
      </x:c>
      <x:c r="B4240" s="19" t="n">
        <x:v>9</x:v>
      </x:c>
      <x:c r="C4240" s="19" t="n">
        <x:v>2</x:v>
      </x:c>
      <x:c r="D4240" s="19" t="str">
        <x:v>C09-M024</x:v>
      </x:c>
      <x:c r="E4240" s="19" t="str">
        <x:v>矿心鎏金母·奥莉莎</x:v>
      </x:c>
      <x:c r="F4240" s="19" t="str">
        <x:v>地图BOSS</x:v>
      </x:c>
      <x:c r="G4240" s="19" t="str">
        <x:v>材料独立候选</x:v>
      </x:c>
      <x:c r="H4240" s="19" t="str">
        <x:v>裁文蜡封</x:v>
      </x:c>
      <x:c r="I4240" s="22" t="n">
        <x:v>250</x:v>
      </x:c>
      <x:c r="J4240" s="22" t="n">
        <x:v>3</x:v>
      </x:c>
      <x:c r="K4240" s="19" t="n">
        <x:v>1</x:v>
      </x:c>
      <x:c r="L4240" s="24" t="n">
        <x:v>59.123</x:v>
      </x:c>
      <x:c r="M4240" s="26" t="n">
        <x:v>0.1</x:v>
      </x:c>
      <x:c r="N4240" s="24" t="n">
        <x:v>2</x:v>
      </x:c>
      <x:c r="O4240" s="28" t="n">
        <x:f>MIN(1,L4240/I4240)</x:f>
        <x:v>0.23649199999999998</x:v>
      </x:c>
      <x:c r="P4240" s="30" t="n">
        <x:f>O4240*J4240*(1+M4240)</x:f>
        <x:v>0.7804236000000001</x:v>
      </x:c>
      <x:c r="Q4240" s="30" t="n">
        <x:f>P4240*N4240</x:f>
        <x:v>1.5608472000000002</x:v>
      </x:c>
      <x:c r="R4240" s="19" t="str">
        <x:v>独立判定</x:v>
      </x:c>
    </x:row>
    <x:row r="4241" ht="19" customHeight="1">
      <x:c r="A4241" s="19" t="str">
        <x:v>D04237</x:v>
      </x:c>
      <x:c r="B4241" s="19" t="n">
        <x:v>9</x:v>
      </x:c>
      <x:c r="C4241" s="19" t="n">
        <x:v>2</x:v>
      </x:c>
      <x:c r="D4241" s="19" t="str">
        <x:v>C09-M024</x:v>
      </x:c>
      <x:c r="E4241" s="19" t="str">
        <x:v>矿心鎏金母·奥莉莎</x:v>
      </x:c>
      <x:c r="F4241" s="19" t="str">
        <x:v>地图BOSS</x:v>
      </x:c>
      <x:c r="G4241" s="19" t="str">
        <x:v>材料独立候选</x:v>
      </x:c>
      <x:c r="H4241" s="19" t="str">
        <x:v>古坛鎏叶髓</x:v>
      </x:c>
      <x:c r="I4241" s="22" t="n">
        <x:v>800000</x:v>
      </x:c>
      <x:c r="J4241" s="22" t="n">
        <x:v>1</x:v>
      </x:c>
      <x:c r="K4241" s="19" t="n">
        <x:v>1</x:v>
      </x:c>
      <x:c r="L4241" s="24" t="n">
        <x:v>59.123</x:v>
      </x:c>
      <x:c r="M4241" s="26" t="n">
        <x:v>0.1</x:v>
      </x:c>
      <x:c r="N4241" s="24" t="n">
        <x:v>2</x:v>
      </x:c>
      <x:c r="O4241" s="28" t="n">
        <x:f>MIN(1,L4241/I4241)</x:f>
        <x:v>0.00007390375</x:v>
      </x:c>
      <x:c r="P4241" s="30" t="n">
        <x:f>O4241*J4241*(1+M4241)</x:f>
        <x:v>0.000081294125</x:v>
      </x:c>
      <x:c r="Q4241" s="30" t="n">
        <x:f>P4241*N4241</x:f>
        <x:v>0.00016258825</x:v>
      </x:c>
      <x:c r="R4241" s="19" t="str">
        <x:v>独立判定</x:v>
      </x:c>
    </x:row>
    <x:row r="4242" ht="19" customHeight="1">
      <x:c r="A4242" s="19" t="str">
        <x:v>D04238</x:v>
      </x:c>
      <x:c r="B4242" s="19" t="n">
        <x:v>9</x:v>
      </x:c>
      <x:c r="C4242" s="19" t="n">
        <x:v>2</x:v>
      </x:c>
      <x:c r="D4242" s="19" t="str">
        <x:v>C09-M024</x:v>
      </x:c>
      <x:c r="E4242" s="19" t="str">
        <x:v>矿心鎏金母·奥莉莎</x:v>
      </x:c>
      <x:c r="F4242" s="19" t="str">
        <x:v>地图BOSS</x:v>
      </x:c>
      <x:c r="G4242" s="19" t="str">
        <x:v>材料独立候选</x:v>
      </x:c>
      <x:c r="H4242" s="19" t="str">
        <x:v>黄金树芽</x:v>
      </x:c>
      <x:c r="I4242" s="22" t="n">
        <x:v>6000</x:v>
      </x:c>
      <x:c r="J4242" s="22" t="n">
        <x:v>1</x:v>
      </x:c>
      <x:c r="K4242" s="19" t="n">
        <x:v>1</x:v>
      </x:c>
      <x:c r="L4242" s="24" t="n">
        <x:v>59.123</x:v>
      </x:c>
      <x:c r="M4242" s="26" t="n">
        <x:v>0.1</x:v>
      </x:c>
      <x:c r="N4242" s="24" t="n">
        <x:v>2</x:v>
      </x:c>
      <x:c r="O4242" s="28" t="n">
        <x:f>MIN(1,L4242/I4242)</x:f>
        <x:v>0.009853833333333333</x:v>
      </x:c>
      <x:c r="P4242" s="30" t="n">
        <x:f>O4242*J4242*(1+M4242)</x:f>
        <x:v>0.010839216666666667</x:v>
      </x:c>
      <x:c r="Q4242" s="30" t="n">
        <x:f>P4242*N4242</x:f>
        <x:v>0.021678433333333334</x:v>
      </x:c>
      <x:c r="R4242" s="19" t="str">
        <x:v>独立判定</x:v>
      </x:c>
    </x:row>
    <x:row r="4243" ht="19" customHeight="1">
      <x:c r="A4243" s="19" t="str">
        <x:v>D04239</x:v>
      </x:c>
      <x:c r="B4243" s="19" t="n">
        <x:v>9</x:v>
      </x:c>
      <x:c r="C4243" s="19" t="n">
        <x:v>2</x:v>
      </x:c>
      <x:c r="D4243" s="19" t="str">
        <x:v>C09-M024</x:v>
      </x:c>
      <x:c r="E4243" s="19" t="str">
        <x:v>矿心鎏金母·奥莉莎</x:v>
      </x:c>
      <x:c r="F4243" s="19" t="str">
        <x:v>地图BOSS</x:v>
      </x:c>
      <x:c r="G4243" s="19" t="str">
        <x:v>材料独立候选</x:v>
      </x:c>
      <x:c r="H4243" s="19" t="str">
        <x:v>野兽骨片</x:v>
      </x:c>
      <x:c r="I4243" s="22" t="n">
        <x:v>100</x:v>
      </x:c>
      <x:c r="J4243" s="22" t="n">
        <x:v>5</x:v>
      </x:c>
      <x:c r="K4243" s="19" t="n">
        <x:v>1</x:v>
      </x:c>
      <x:c r="L4243" s="24" t="n">
        <x:v>59.123</x:v>
      </x:c>
      <x:c r="M4243" s="26" t="n">
        <x:v>0.1</x:v>
      </x:c>
      <x:c r="N4243" s="24" t="n">
        <x:v>2</x:v>
      </x:c>
      <x:c r="O4243" s="28" t="n">
        <x:f>MIN(1,L4243/I4243)</x:f>
        <x:v>0.5912299999999999</x:v>
      </x:c>
      <x:c r="P4243" s="30" t="n">
        <x:f>O4243*J4243*(1+M4243)</x:f>
        <x:v>3.251765</x:v>
      </x:c>
      <x:c r="Q4243" s="30" t="n">
        <x:f>P4243*N4243</x:f>
        <x:v>6.50353</x:v>
      </x:c>
      <x:c r="R4243" s="19" t="str">
        <x:v>独立判定</x:v>
      </x:c>
    </x:row>
    <x:row r="4244" ht="19" customHeight="1">
      <x:c r="A4244" s="19" t="str">
        <x:v>D04240</x:v>
      </x:c>
      <x:c r="B4244" s="19" t="n">
        <x:v>9</x:v>
      </x:c>
      <x:c r="C4244" s="19" t="n">
        <x:v>2</x:v>
      </x:c>
      <x:c r="D4244" s="19" t="str">
        <x:v>C09-M024</x:v>
      </x:c>
      <x:c r="E4244" s="19" t="str">
        <x:v>矿心鎏金母·奥莉莎</x:v>
      </x:c>
      <x:c r="F4244" s="19" t="str">
        <x:v>地图BOSS</x:v>
      </x:c>
      <x:c r="G4244" s="19" t="str">
        <x:v>材料独立候选</x:v>
      </x:c>
      <x:c r="H4244" s="19" t="str">
        <x:v>技能残页</x:v>
      </x:c>
      <x:c r="I4244" s="22" t="n">
        <x:v>800</x:v>
      </x:c>
      <x:c r="J4244" s="22" t="n">
        <x:v>1</x:v>
      </x:c>
      <x:c r="K4244" s="19" t="n">
        <x:v>1</x:v>
      </x:c>
      <x:c r="L4244" s="24" t="n">
        <x:v>59.123</x:v>
      </x:c>
      <x:c r="M4244" s="26" t="n">
        <x:v>0.1</x:v>
      </x:c>
      <x:c r="N4244" s="24" t="n">
        <x:v>2</x:v>
      </x:c>
      <x:c r="O4244" s="28" t="n">
        <x:f>MIN(1,L4244/I4244)</x:f>
        <x:v>0.07390374999999999</x:v>
      </x:c>
      <x:c r="P4244" s="30" t="n">
        <x:f>O4244*J4244*(1+M4244)</x:f>
        <x:v>0.081294125</x:v>
      </x:c>
      <x:c r="Q4244" s="30" t="n">
        <x:f>P4244*N4244</x:f>
        <x:v>0.16258825</x:v>
      </x:c>
      <x:c r="R4244" s="19" t="str">
        <x:v>独立判定</x:v>
      </x:c>
    </x:row>
    <x:row r="4245" ht="19" customHeight="1">
      <x:c r="A4245" s="19" t="str">
        <x:v>D04241</x:v>
      </x:c>
      <x:c r="B4245" s="19" t="n">
        <x:v>9</x:v>
      </x:c>
      <x:c r="C4245" s="19" t="n">
        <x:v>2</x:v>
      </x:c>
      <x:c r="D4245" s="19" t="str">
        <x:v>C09-M024</x:v>
      </x:c>
      <x:c r="E4245" s="19" t="str">
        <x:v>矿心鎏金母·奥莉莎</x:v>
      </x:c>
      <x:c r="F4245" s="19" t="str">
        <x:v>地图BOSS</x:v>
      </x:c>
      <x:c r="G4245" s="19" t="str">
        <x:v>材料独立候选</x:v>
      </x:c>
      <x:c r="H4245" s="19" t="str">
        <x:v>宁姆格福誓页</x:v>
      </x:c>
      <x:c r="I4245" s="22" t="n">
        <x:v>800</x:v>
      </x:c>
      <x:c r="J4245" s="22" t="n">
        <x:v>1</x:v>
      </x:c>
      <x:c r="K4245" s="19" t="n">
        <x:v>1</x:v>
      </x:c>
      <x:c r="L4245" s="24" t="n">
        <x:v>59.123</x:v>
      </x:c>
      <x:c r="M4245" s="26" t="n">
        <x:v>0.1</x:v>
      </x:c>
      <x:c r="N4245" s="24" t="n">
        <x:v>2</x:v>
      </x:c>
      <x:c r="O4245" s="28" t="n">
        <x:f>MIN(1,L4245/I4245)</x:f>
        <x:v>0.07390374999999999</x:v>
      </x:c>
      <x:c r="P4245" s="30" t="n">
        <x:f>O4245*J4245*(1+M4245)</x:f>
        <x:v>0.081294125</x:v>
      </x:c>
      <x:c r="Q4245" s="30" t="n">
        <x:f>P4245*N4245</x:f>
        <x:v>0.16258825</x:v>
      </x:c>
      <x:c r="R4245" s="19" t="str">
        <x:v>独立判定</x:v>
      </x:c>
    </x:row>
    <x:row r="4246" ht="19" customHeight="1">
      <x:c r="A4246" s="19" t="str">
        <x:v>D04242</x:v>
      </x:c>
      <x:c r="B4246" s="19" t="n">
        <x:v>9</x:v>
      </x:c>
      <x:c r="C4246" s="19" t="n">
        <x:v>2</x:v>
      </x:c>
      <x:c r="D4246" s="19" t="str">
        <x:v>C09-M024</x:v>
      </x:c>
      <x:c r="E4246" s="19" t="str">
        <x:v>矿心鎏金母·奥莉莎</x:v>
      </x:c>
      <x:c r="F4246" s="19" t="str">
        <x:v>地图BOSS</x:v>
      </x:c>
      <x:c r="G4246" s="19" t="str">
        <x:v>材料独立候选</x:v>
      </x:c>
      <x:c r="H4246" s="19" t="str">
        <x:v>小卢恩</x:v>
      </x:c>
      <x:c r="I4246" s="22" t="n">
        <x:v>6000</x:v>
      </x:c>
      <x:c r="J4246" s="22" t="n">
        <x:v>1</x:v>
      </x:c>
      <x:c r="K4246" s="19" t="n">
        <x:v>1</x:v>
      </x:c>
      <x:c r="L4246" s="24" t="n">
        <x:v>59.123</x:v>
      </x:c>
      <x:c r="M4246" s="26" t="n">
        <x:v>0.1</x:v>
      </x:c>
      <x:c r="N4246" s="24" t="n">
        <x:v>2</x:v>
      </x:c>
      <x:c r="O4246" s="28" t="n">
        <x:f>MIN(1,L4246/I4246)</x:f>
        <x:v>0.009853833333333333</x:v>
      </x:c>
      <x:c r="P4246" s="30" t="n">
        <x:f>O4246*J4246*(1+M4246)</x:f>
        <x:v>0.010839216666666667</x:v>
      </x:c>
      <x:c r="Q4246" s="30" t="n">
        <x:f>P4246*N4246</x:f>
        <x:v>0.021678433333333334</x:v>
      </x:c>
      <x:c r="R4246" s="19" t="str">
        <x:v>独立判定</x:v>
      </x:c>
    </x:row>
    <x:row r="4247" ht="19" customHeight="1">
      <x:c r="A4247" s="19" t="str">
        <x:v>D04243</x:v>
      </x:c>
      <x:c r="B4247" s="19" t="n">
        <x:v>9</x:v>
      </x:c>
      <x:c r="C4247" s="19" t="n">
        <x:v>2</x:v>
      </x:c>
      <x:c r="D4247" s="19" t="str">
        <x:v>C09-M024</x:v>
      </x:c>
      <x:c r="E4247" s="19" t="str">
        <x:v>矿心鎏金母·奥莉莎</x:v>
      </x:c>
      <x:c r="F4247" s="19" t="str">
        <x:v>地图BOSS</x:v>
      </x:c>
      <x:c r="G4247" s="19" t="str">
        <x:v>材料独立候选</x:v>
      </x:c>
      <x:c r="H4247" s="19" t="str">
        <x:v>大卢恩</x:v>
      </x:c>
      <x:c r="I4247" s="22" t="n">
        <x:v>500</x:v>
      </x:c>
      <x:c r="J4247" s="22" t="n">
        <x:v>1</x:v>
      </x:c>
      <x:c r="K4247" s="19" t="n">
        <x:v>1</x:v>
      </x:c>
      <x:c r="L4247" s="24" t="n">
        <x:v>59.123</x:v>
      </x:c>
      <x:c r="M4247" s="26" t="n">
        <x:v>0.1</x:v>
      </x:c>
      <x:c r="N4247" s="24" t="n">
        <x:v>2</x:v>
      </x:c>
      <x:c r="O4247" s="28" t="n">
        <x:f>MIN(1,L4247/I4247)</x:f>
        <x:v>0.11824599999999999</x:v>
      </x:c>
      <x:c r="P4247" s="30" t="n">
        <x:f>O4247*J4247*(1+M4247)</x:f>
        <x:v>0.1300706</x:v>
      </x:c>
      <x:c r="Q4247" s="30" t="n">
        <x:f>P4247*N4247</x:f>
        <x:v>0.2601412</x:v>
      </x:c>
      <x:c r="R4247" s="19" t="str">
        <x:v>独立判定</x:v>
      </x:c>
    </x:row>
    <x:row r="4248" ht="19" customHeight="1">
      <x:c r="A4248" s="19" t="str">
        <x:v>D04244</x:v>
      </x:c>
      <x:c r="B4248" s="19" t="n">
        <x:v>9</x:v>
      </x:c>
      <x:c r="C4248" s="19" t="n">
        <x:v>2</x:v>
      </x:c>
      <x:c r="D4248" s="19" t="str">
        <x:v>C09-M024</x:v>
      </x:c>
      <x:c r="E4248" s="19" t="str">
        <x:v>矿心鎏金母·奥莉莎</x:v>
      </x:c>
      <x:c r="F4248" s="19" t="str">
        <x:v>地图BOSS</x:v>
      </x:c>
      <x:c r="G4248" s="19" t="str">
        <x:v>材料独立候选</x:v>
      </x:c>
      <x:c r="H4248" s="19" t="str">
        <x:v>巨人熔火卢恩</x:v>
      </x:c>
      <x:c r="I4248" s="22" t="n">
        <x:v>800</x:v>
      </x:c>
      <x:c r="J4248" s="22" t="n">
        <x:v>1</x:v>
      </x:c>
      <x:c r="K4248" s="19" t="n">
        <x:v>1</x:v>
      </x:c>
      <x:c r="L4248" s="24" t="n">
        <x:v>59.123</x:v>
      </x:c>
      <x:c r="M4248" s="26" t="n">
        <x:v>0.1</x:v>
      </x:c>
      <x:c r="N4248" s="24" t="n">
        <x:v>2</x:v>
      </x:c>
      <x:c r="O4248" s="28" t="n">
        <x:f>MIN(1,L4248/I4248)</x:f>
        <x:v>0.07390374999999999</x:v>
      </x:c>
      <x:c r="P4248" s="30" t="n">
        <x:f>O4248*J4248*(1+M4248)</x:f>
        <x:v>0.081294125</x:v>
      </x:c>
      <x:c r="Q4248" s="30" t="n">
        <x:f>P4248*N4248</x:f>
        <x:v>0.16258825</x:v>
      </x:c>
      <x:c r="R4248" s="19" t="str">
        <x:v>独立判定</x:v>
      </x:c>
    </x:row>
    <x:row r="4249" ht="19" customHeight="1">
      <x:c r="A4249" s="19" t="str">
        <x:v>D04245</x:v>
      </x:c>
      <x:c r="B4249" s="19" t="n">
        <x:v>9</x:v>
      </x:c>
      <x:c r="C4249" s="19" t="n">
        <x:v>2</x:v>
      </x:c>
      <x:c r="D4249" s="19" t="str">
        <x:v>C09-M024</x:v>
      </x:c>
      <x:c r="E4249" s="19" t="str">
        <x:v>矿心鎏金母·奥莉莎</x:v>
      </x:c>
      <x:c r="F4249" s="19" t="str">
        <x:v>地图BOSS</x:v>
      </x:c>
      <x:c r="G4249" s="19" t="str">
        <x:v>六神器公共池</x:v>
      </x:c>
      <x:c r="H4249" s="19" t="str">
        <x:v>POOL006</x:v>
      </x:c>
      <x:c r="I4249" s="22" t="n">
        <x:v>200000</x:v>
      </x:c>
      <x:c r="J4249" s="22" t="n">
        <x:v>1</x:v>
      </x:c>
      <x:c r="K4249" s="19" t="n">
        <x:v>6</x:v>
      </x:c>
      <x:c r="L4249" s="24" t="n">
        <x:v>59.123</x:v>
      </x:c>
      <x:c r="M4249" s="26" t="n">
        <x:v>0.1</x:v>
      </x:c>
      <x:c r="N4249" s="24" t="n">
        <x:v>2</x:v>
      </x:c>
      <x:c r="O4249" s="28" t="n">
        <x:f>MIN(1,L4249/I4249)</x:f>
        <x:v>0.000295615</x:v>
      </x:c>
      <x:c r="P4249" s="30" t="n">
        <x:f>O4249*J4249*(1+M4249)</x:f>
        <x:v>0.0003251765</x:v>
      </x:c>
      <x:c r="Q4249" s="30" t="n">
        <x:f>P4249*N4249</x:f>
        <x:v>0.000650353</x:v>
      </x:c>
      <x:c r="R4249" s="19" t="str">
        <x:v>六选一；非6个独立爆率</x:v>
      </x:c>
    </x:row>
    <x:row r="4250" ht="19" customHeight="1">
      <x:c r="A4250" s="19" t="str">
        <x:v>D04246</x:v>
      </x:c>
      <x:c r="B4250" s="19" t="n">
        <x:v>9</x:v>
      </x:c>
      <x:c r="C4250" s="19" t="n">
        <x:v>3</x:v>
      </x:c>
      <x:c r="D4250" s="19" t="str">
        <x:v>C09-M025</x:v>
      </x:c>
      <x:c r="E4250" s="19" t="str">
        <x:v>陵园剪枝傀</x:v>
      </x:c>
      <x:c r="F4250" s="19" t="str">
        <x:v>普通</x:v>
      </x:c>
      <x:c r="G4250" s="19" t="str">
        <x:v>自身专属</x:v>
      </x:c>
      <x:c r="H4250" s="19" t="str">
        <x:v>剪枝傀镰</x:v>
      </x:c>
      <x:c r="I4250" s="22" t="n">
        <x:v>8000</x:v>
      </x:c>
      <x:c r="J4250" s="22" t="n">
        <x:v>1</x:v>
      </x:c>
      <x:c r="K4250" s="19" t="n">
        <x:v>1</x:v>
      </x:c>
      <x:c r="L4250" s="24" t="n">
        <x:v>62.126999999999995</x:v>
      </x:c>
      <x:c r="M4250" s="26" t="n">
        <x:v>0.1</x:v>
      </x:c>
      <x:c r="N4250" s="24" t="n">
        <x:v>72</x:v>
      </x:c>
      <x:c r="O4250" s="28" t="n">
        <x:f>MIN(1,L4250/I4250)</x:f>
        <x:v>0.007765874999999999</x:v>
      </x:c>
      <x:c r="P4250" s="30" t="n">
        <x:f>O4250*J4250*(1+M4250)</x:f>
        <x:v>0.0085424625</x:v>
      </x:c>
      <x:c r="Q4250" s="30" t="n">
        <x:f>P4250*N4250</x:f>
        <x:v>0.6150573</x:v>
      </x:c>
      <x:c r="R4250" s="19" t="str">
        <x:v>独立判定</x:v>
      </x:c>
    </x:row>
    <x:row r="4251" ht="19" customHeight="1">
      <x:c r="A4251" s="19" t="str">
        <x:v>D04247</x:v>
      </x:c>
      <x:c r="B4251" s="19" t="n">
        <x:v>9</x:v>
      </x:c>
      <x:c r="C4251" s="19" t="n">
        <x:v>3</x:v>
      </x:c>
      <x:c r="D4251" s="19" t="str">
        <x:v>C09-M025</x:v>
      </x:c>
      <x:c r="E4251" s="19" t="str">
        <x:v>陵园剪枝傀</x:v>
      </x:c>
      <x:c r="F4251" s="19" t="str">
        <x:v>普通</x:v>
      </x:c>
      <x:c r="G4251" s="19" t="str">
        <x:v>材料独立候选</x:v>
      </x:c>
      <x:c r="H4251" s="19" t="str">
        <x:v>黄金叶脉</x:v>
      </x:c>
      <x:c r="I4251" s="22" t="n">
        <x:v>1500</x:v>
      </x:c>
      <x:c r="J4251" s="22" t="n">
        <x:v>8</x:v>
      </x:c>
      <x:c r="K4251" s="19" t="n">
        <x:v>1</x:v>
      </x:c>
      <x:c r="L4251" s="24" t="n">
        <x:v>62.126999999999995</x:v>
      </x:c>
      <x:c r="M4251" s="26" t="n">
        <x:v>0.1</x:v>
      </x:c>
      <x:c r="N4251" s="24" t="n">
        <x:v>72</x:v>
      </x:c>
      <x:c r="O4251" s="28" t="n">
        <x:f>MIN(1,L4251/I4251)</x:f>
        <x:v>0.041417999999999996</x:v>
      </x:c>
      <x:c r="P4251" s="30" t="n">
        <x:f>O4251*J4251*(1+M4251)</x:f>
        <x:v>0.3644784</x:v>
      </x:c>
      <x:c r="Q4251" s="30" t="n">
        <x:f>P4251*N4251</x:f>
        <x:v>26.242444799999998</x:v>
      </x:c>
      <x:c r="R4251" s="19" t="str">
        <x:v>独立判定</x:v>
      </x:c>
    </x:row>
    <x:row r="4252" ht="19" customHeight="1">
      <x:c r="A4252" s="19" t="str">
        <x:v>D04248</x:v>
      </x:c>
      <x:c r="B4252" s="19" t="n">
        <x:v>9</x:v>
      </x:c>
      <x:c r="C4252" s="19" t="n">
        <x:v>3</x:v>
      </x:c>
      <x:c r="D4252" s="19" t="str">
        <x:v>C09-M025</x:v>
      </x:c>
      <x:c r="E4252" s="19" t="str">
        <x:v>陵园剪枝傀</x:v>
      </x:c>
      <x:c r="F4252" s="19" t="str">
        <x:v>普通</x:v>
      </x:c>
      <x:c r="G4252" s="19" t="str">
        <x:v>材料独立候选</x:v>
      </x:c>
      <x:c r="H4252" s="19" t="str">
        <x:v>金叶驿票</x:v>
      </x:c>
      <x:c r="I4252" s="22" t="n">
        <x:v>18000</x:v>
      </x:c>
      <x:c r="J4252" s="22" t="n">
        <x:v>1</x:v>
      </x:c>
      <x:c r="K4252" s="19" t="n">
        <x:v>1</x:v>
      </x:c>
      <x:c r="L4252" s="24" t="n">
        <x:v>62.126999999999995</x:v>
      </x:c>
      <x:c r="M4252" s="26" t="n">
        <x:v>0.1</x:v>
      </x:c>
      <x:c r="N4252" s="24" t="n">
        <x:v>72</x:v>
      </x:c>
      <x:c r="O4252" s="28" t="n">
        <x:f>MIN(1,L4252/I4252)</x:f>
        <x:v>0.0034514999999999997</x:v>
      </x:c>
      <x:c r="P4252" s="30" t="n">
        <x:f>O4252*J4252*(1+M4252)</x:f>
        <x:v>0.00379665</x:v>
      </x:c>
      <x:c r="Q4252" s="30" t="n">
        <x:f>P4252*N4252</x:f>
        <x:v>0.2733588</x:v>
      </x:c>
      <x:c r="R4252" s="19" t="str">
        <x:v>独立判定</x:v>
      </x:c>
    </x:row>
    <x:row r="4253" ht="19" customHeight="1">
      <x:c r="A4253" s="19" t="str">
        <x:v>D04249</x:v>
      </x:c>
      <x:c r="B4253" s="19" t="n">
        <x:v>9</x:v>
      </x:c>
      <x:c r="C4253" s="19" t="n">
        <x:v>3</x:v>
      </x:c>
      <x:c r="D4253" s="19" t="str">
        <x:v>C09-M025</x:v>
      </x:c>
      <x:c r="E4253" s="19" t="str">
        <x:v>陵园剪枝傀</x:v>
      </x:c>
      <x:c r="F4253" s="19" t="str">
        <x:v>普通</x:v>
      </x:c>
      <x:c r="G4253" s="19" t="str">
        <x:v>材料独立候选</x:v>
      </x:c>
      <x:c r="H4253" s="19" t="str">
        <x:v>古坛鎏叶髓</x:v>
      </x:c>
      <x:c r="I4253" s="22" t="n">
        <x:v>3000000</x:v>
      </x:c>
      <x:c r="J4253" s="22" t="n">
        <x:v>1</x:v>
      </x:c>
      <x:c r="K4253" s="19" t="n">
        <x:v>1</x:v>
      </x:c>
      <x:c r="L4253" s="24" t="n">
        <x:v>62.126999999999995</x:v>
      </x:c>
      <x:c r="M4253" s="26" t="n">
        <x:v>0.1</x:v>
      </x:c>
      <x:c r="N4253" s="24" t="n">
        <x:v>72</x:v>
      </x:c>
      <x:c r="O4253" s="28" t="n">
        <x:f>MIN(1,L4253/I4253)</x:f>
        <x:v>0.000020708999999999998</x:v>
      </x:c>
      <x:c r="P4253" s="30" t="n">
        <x:f>O4253*J4253*(1+M4253)</x:f>
        <x:v>0.0000227799</x:v>
      </x:c>
      <x:c r="Q4253" s="30" t="n">
        <x:f>P4253*N4253</x:f>
        <x:v>0.0016401527999999998</x:v>
      </x:c>
      <x:c r="R4253" s="19" t="str">
        <x:v>独立判定</x:v>
      </x:c>
    </x:row>
    <x:row r="4254" ht="19" customHeight="1">
      <x:c r="A4254" s="19" t="str">
        <x:v>D04250</x:v>
      </x:c>
      <x:c r="B4254" s="19" t="n">
        <x:v>9</x:v>
      </x:c>
      <x:c r="C4254" s="19" t="n">
        <x:v>3</x:v>
      </x:c>
      <x:c r="D4254" s="19" t="str">
        <x:v>C09-M025</x:v>
      </x:c>
      <x:c r="E4254" s="19" t="str">
        <x:v>陵园剪枝傀</x:v>
      </x:c>
      <x:c r="F4254" s="19" t="str">
        <x:v>普通</x:v>
      </x:c>
      <x:c r="G4254" s="19" t="str">
        <x:v>材料独立候选</x:v>
      </x:c>
      <x:c r="H4254" s="19" t="str">
        <x:v>野兽骨片</x:v>
      </x:c>
      <x:c r="I4254" s="22" t="n">
        <x:v>300</x:v>
      </x:c>
      <x:c r="J4254" s="22" t="n">
        <x:v>5</x:v>
      </x:c>
      <x:c r="K4254" s="19" t="n">
        <x:v>1</x:v>
      </x:c>
      <x:c r="L4254" s="24" t="n">
        <x:v>62.126999999999995</x:v>
      </x:c>
      <x:c r="M4254" s="26" t="n">
        <x:v>0.1</x:v>
      </x:c>
      <x:c r="N4254" s="24" t="n">
        <x:v>72</x:v>
      </x:c>
      <x:c r="O4254" s="28" t="n">
        <x:f>MIN(1,L4254/I4254)</x:f>
        <x:v>0.20709</x:v>
      </x:c>
      <x:c r="P4254" s="30" t="n">
        <x:f>O4254*J4254*(1+M4254)</x:f>
        <x:v>1.138995</x:v>
      </x:c>
      <x:c r="Q4254" s="30" t="n">
        <x:f>P4254*N4254</x:f>
        <x:v>82.00764</x:v>
      </x:c>
      <x:c r="R4254" s="19" t="str">
        <x:v>独立判定</x:v>
      </x:c>
    </x:row>
    <x:row r="4255" ht="19" customHeight="1">
      <x:c r="A4255" s="19" t="str">
        <x:v>D04251</x:v>
      </x:c>
      <x:c r="B4255" s="19" t="n">
        <x:v>9</x:v>
      </x:c>
      <x:c r="C4255" s="19" t="n">
        <x:v>3</x:v>
      </x:c>
      <x:c r="D4255" s="19" t="str">
        <x:v>C09-M025</x:v>
      </x:c>
      <x:c r="E4255" s="19" t="str">
        <x:v>陵园剪枝傀</x:v>
      </x:c>
      <x:c r="F4255" s="19" t="str">
        <x:v>普通</x:v>
      </x:c>
      <x:c r="G4255" s="19" t="str">
        <x:v>材料独立候选</x:v>
      </x:c>
      <x:c r="H4255" s="19" t="str">
        <x:v>技能残页</x:v>
      </x:c>
      <x:c r="I4255" s="22" t="n">
        <x:v>2500</x:v>
      </x:c>
      <x:c r="J4255" s="22" t="n">
        <x:v>1</x:v>
      </x:c>
      <x:c r="K4255" s="19" t="n">
        <x:v>1</x:v>
      </x:c>
      <x:c r="L4255" s="24" t="n">
        <x:v>62.126999999999995</x:v>
      </x:c>
      <x:c r="M4255" s="26" t="n">
        <x:v>0.1</x:v>
      </x:c>
      <x:c r="N4255" s="24" t="n">
        <x:v>72</x:v>
      </x:c>
      <x:c r="O4255" s="28" t="n">
        <x:f>MIN(1,L4255/I4255)</x:f>
        <x:v>0.0248508</x:v>
      </x:c>
      <x:c r="P4255" s="30" t="n">
        <x:f>O4255*J4255*(1+M4255)</x:f>
        <x:v>0.02733588</x:v>
      </x:c>
      <x:c r="Q4255" s="30" t="n">
        <x:f>P4255*N4255</x:f>
        <x:v>1.96818336</x:v>
      </x:c>
      <x:c r="R4255" s="19" t="str">
        <x:v>独立判定</x:v>
      </x:c>
    </x:row>
    <x:row r="4256" ht="19" customHeight="1">
      <x:c r="A4256" s="19" t="str">
        <x:v>D04252</x:v>
      </x:c>
      <x:c r="B4256" s="19" t="n">
        <x:v>9</x:v>
      </x:c>
      <x:c r="C4256" s="19" t="n">
        <x:v>3</x:v>
      </x:c>
      <x:c r="D4256" s="19" t="str">
        <x:v>C09-M025</x:v>
      </x:c>
      <x:c r="E4256" s="19" t="str">
        <x:v>陵园剪枝傀</x:v>
      </x:c>
      <x:c r="F4256" s="19" t="str">
        <x:v>普通</x:v>
      </x:c>
      <x:c r="G4256" s="19" t="str">
        <x:v>材料独立候选</x:v>
      </x:c>
      <x:c r="H4256" s="19" t="str">
        <x:v>小卢恩</x:v>
      </x:c>
      <x:c r="I4256" s="22" t="n">
        <x:v>18000</x:v>
      </x:c>
      <x:c r="J4256" s="22" t="n">
        <x:v>1</x:v>
      </x:c>
      <x:c r="K4256" s="19" t="n">
        <x:v>1</x:v>
      </x:c>
      <x:c r="L4256" s="24" t="n">
        <x:v>62.126999999999995</x:v>
      </x:c>
      <x:c r="M4256" s="26" t="n">
        <x:v>0.1</x:v>
      </x:c>
      <x:c r="N4256" s="24" t="n">
        <x:v>72</x:v>
      </x:c>
      <x:c r="O4256" s="28" t="n">
        <x:f>MIN(1,L4256/I4256)</x:f>
        <x:v>0.0034514999999999997</x:v>
      </x:c>
      <x:c r="P4256" s="30" t="n">
        <x:f>O4256*J4256*(1+M4256)</x:f>
        <x:v>0.00379665</x:v>
      </x:c>
      <x:c r="Q4256" s="30" t="n">
        <x:f>P4256*N4256</x:f>
        <x:v>0.2733588</x:v>
      </x:c>
      <x:c r="R4256" s="19" t="str">
        <x:v>独立判定</x:v>
      </x:c>
    </x:row>
    <x:row r="4257" ht="19" customHeight="1">
      <x:c r="A4257" s="19" t="str">
        <x:v>D04253</x:v>
      </x:c>
      <x:c r="B4257" s="19" t="n">
        <x:v>9</x:v>
      </x:c>
      <x:c r="C4257" s="19" t="n">
        <x:v>3</x:v>
      </x:c>
      <x:c r="D4257" s="19" t="str">
        <x:v>C09-M025</x:v>
      </x:c>
      <x:c r="E4257" s="19" t="str">
        <x:v>陵园剪枝傀</x:v>
      </x:c>
      <x:c r="F4257" s="19" t="str">
        <x:v>普通</x:v>
      </x:c>
      <x:c r="G4257" s="19" t="str">
        <x:v>六神器公共池</x:v>
      </x:c>
      <x:c r="H4257" s="19" t="str">
        <x:v>POOL006</x:v>
      </x:c>
      <x:c r="I4257" s="22" t="n">
        <x:v>20000000</x:v>
      </x:c>
      <x:c r="J4257" s="22" t="n">
        <x:v>1</x:v>
      </x:c>
      <x:c r="K4257" s="19" t="n">
        <x:v>6</x:v>
      </x:c>
      <x:c r="L4257" s="24" t="n">
        <x:v>62.126999999999995</x:v>
      </x:c>
      <x:c r="M4257" s="26" t="n">
        <x:v>0.1</x:v>
      </x:c>
      <x:c r="N4257" s="24" t="n">
        <x:v>72</x:v>
      </x:c>
      <x:c r="O4257" s="28" t="n">
        <x:f>MIN(1,L4257/I4257)</x:f>
        <x:v>0.00000310635</x:v>
      </x:c>
      <x:c r="P4257" s="30" t="n">
        <x:f>O4257*J4257*(1+M4257)</x:f>
        <x:v>0.0000034169850000000003</x:v>
      </x:c>
      <x:c r="Q4257" s="30" t="n">
        <x:f>P4257*N4257</x:f>
        <x:v>0.00024602292000000005</x:v>
      </x:c>
      <x:c r="R4257" s="19" t="str">
        <x:v>六选一；非6个独立爆率</x:v>
      </x:c>
    </x:row>
    <x:row r="4258" ht="19" customHeight="1">
      <x:c r="A4258" s="19" t="str">
        <x:v>D04254</x:v>
      </x:c>
      <x:c r="B4258" s="19" t="n">
        <x:v>9</x:v>
      </x:c>
      <x:c r="C4258" s="19" t="n">
        <x:v>3</x:v>
      </x:c>
      <x:c r="D4258" s="19" t="str">
        <x:v>C09-M026</x:v>
      </x:c>
      <x:c r="E4258" s="19" t="str">
        <x:v>王碑金翅蛾</x:v>
      </x:c>
      <x:c r="F4258" s="19" t="str">
        <x:v>普通</x:v>
      </x:c>
      <x:c r="G4258" s="19" t="str">
        <x:v>自身专属</x:v>
      </x:c>
      <x:c r="H4258" s="19" t="str">
        <x:v>金翅碑尘履</x:v>
      </x:c>
      <x:c r="I4258" s="22" t="n">
        <x:v>8000</x:v>
      </x:c>
      <x:c r="J4258" s="22" t="n">
        <x:v>1</x:v>
      </x:c>
      <x:c r="K4258" s="19" t="n">
        <x:v>1</x:v>
      </x:c>
      <x:c r="L4258" s="24" t="n">
        <x:v>62.126999999999995</x:v>
      </x:c>
      <x:c r="M4258" s="26" t="n">
        <x:v>0.1</x:v>
      </x:c>
      <x:c r="N4258" s="24" t="n">
        <x:v>72</x:v>
      </x:c>
      <x:c r="O4258" s="28" t="n">
        <x:f>MIN(1,L4258/I4258)</x:f>
        <x:v>0.007765874999999999</x:v>
      </x:c>
      <x:c r="P4258" s="30" t="n">
        <x:f>O4258*J4258*(1+M4258)</x:f>
        <x:v>0.0085424625</x:v>
      </x:c>
      <x:c r="Q4258" s="30" t="n">
        <x:f>P4258*N4258</x:f>
        <x:v>0.6150573</x:v>
      </x:c>
      <x:c r="R4258" s="19" t="str">
        <x:v>独立判定</x:v>
      </x:c>
    </x:row>
    <x:row r="4259" ht="19" customHeight="1">
      <x:c r="A4259" s="19" t="str">
        <x:v>D04255</x:v>
      </x:c>
      <x:c r="B4259" s="19" t="n">
        <x:v>9</x:v>
      </x:c>
      <x:c r="C4259" s="19" t="n">
        <x:v>3</x:v>
      </x:c>
      <x:c r="D4259" s="19" t="str">
        <x:v>C09-M026</x:v>
      </x:c>
      <x:c r="E4259" s="19" t="str">
        <x:v>王碑金翅蛾</x:v>
      </x:c>
      <x:c r="F4259" s="19" t="str">
        <x:v>普通</x:v>
      </x:c>
      <x:c r="G4259" s="19" t="str">
        <x:v>材料独立候选</x:v>
      </x:c>
      <x:c r="H4259" s="19" t="str">
        <x:v>黄金叶脉</x:v>
      </x:c>
      <x:c r="I4259" s="22" t="n">
        <x:v>1500</x:v>
      </x:c>
      <x:c r="J4259" s="22" t="n">
        <x:v>8</x:v>
      </x:c>
      <x:c r="K4259" s="19" t="n">
        <x:v>1</x:v>
      </x:c>
      <x:c r="L4259" s="24" t="n">
        <x:v>62.126999999999995</x:v>
      </x:c>
      <x:c r="M4259" s="26" t="n">
        <x:v>0.1</x:v>
      </x:c>
      <x:c r="N4259" s="24" t="n">
        <x:v>72</x:v>
      </x:c>
      <x:c r="O4259" s="28" t="n">
        <x:f>MIN(1,L4259/I4259)</x:f>
        <x:v>0.041417999999999996</x:v>
      </x:c>
      <x:c r="P4259" s="30" t="n">
        <x:f>O4259*J4259*(1+M4259)</x:f>
        <x:v>0.3644784</x:v>
      </x:c>
      <x:c r="Q4259" s="30" t="n">
        <x:f>P4259*N4259</x:f>
        <x:v>26.242444799999998</x:v>
      </x:c>
      <x:c r="R4259" s="19" t="str">
        <x:v>独立判定</x:v>
      </x:c>
    </x:row>
    <x:row r="4260" ht="19" customHeight="1">
      <x:c r="A4260" s="19" t="str">
        <x:v>D04256</x:v>
      </x:c>
      <x:c r="B4260" s="19" t="n">
        <x:v>9</x:v>
      </x:c>
      <x:c r="C4260" s="19" t="n">
        <x:v>3</x:v>
      </x:c>
      <x:c r="D4260" s="19" t="str">
        <x:v>C09-M026</x:v>
      </x:c>
      <x:c r="E4260" s="19" t="str">
        <x:v>王碑金翅蛾</x:v>
      </x:c>
      <x:c r="F4260" s="19" t="str">
        <x:v>普通</x:v>
      </x:c>
      <x:c r="G4260" s="19" t="str">
        <x:v>材料独立候选</x:v>
      </x:c>
      <x:c r="H4260" s="19" t="str">
        <x:v>金叶驿票</x:v>
      </x:c>
      <x:c r="I4260" s="22" t="n">
        <x:v>18000</x:v>
      </x:c>
      <x:c r="J4260" s="22" t="n">
        <x:v>1</x:v>
      </x:c>
      <x:c r="K4260" s="19" t="n">
        <x:v>1</x:v>
      </x:c>
      <x:c r="L4260" s="24" t="n">
        <x:v>62.126999999999995</x:v>
      </x:c>
      <x:c r="M4260" s="26" t="n">
        <x:v>0.1</x:v>
      </x:c>
      <x:c r="N4260" s="24" t="n">
        <x:v>72</x:v>
      </x:c>
      <x:c r="O4260" s="28" t="n">
        <x:f>MIN(1,L4260/I4260)</x:f>
        <x:v>0.0034514999999999997</x:v>
      </x:c>
      <x:c r="P4260" s="30" t="n">
        <x:f>O4260*J4260*(1+M4260)</x:f>
        <x:v>0.00379665</x:v>
      </x:c>
      <x:c r="Q4260" s="30" t="n">
        <x:f>P4260*N4260</x:f>
        <x:v>0.2733588</x:v>
      </x:c>
      <x:c r="R4260" s="19" t="str">
        <x:v>独立判定</x:v>
      </x:c>
    </x:row>
    <x:row r="4261" ht="19" customHeight="1">
      <x:c r="A4261" s="19" t="str">
        <x:v>D04257</x:v>
      </x:c>
      <x:c r="B4261" s="19" t="n">
        <x:v>9</x:v>
      </x:c>
      <x:c r="C4261" s="19" t="n">
        <x:v>3</x:v>
      </x:c>
      <x:c r="D4261" s="19" t="str">
        <x:v>C09-M026</x:v>
      </x:c>
      <x:c r="E4261" s="19" t="str">
        <x:v>王碑金翅蛾</x:v>
      </x:c>
      <x:c r="F4261" s="19" t="str">
        <x:v>普通</x:v>
      </x:c>
      <x:c r="G4261" s="19" t="str">
        <x:v>材料独立候选</x:v>
      </x:c>
      <x:c r="H4261" s="19" t="str">
        <x:v>古坛鎏叶髓</x:v>
      </x:c>
      <x:c r="I4261" s="22" t="n">
        <x:v>3000000</x:v>
      </x:c>
      <x:c r="J4261" s="22" t="n">
        <x:v>1</x:v>
      </x:c>
      <x:c r="K4261" s="19" t="n">
        <x:v>1</x:v>
      </x:c>
      <x:c r="L4261" s="24" t="n">
        <x:v>62.126999999999995</x:v>
      </x:c>
      <x:c r="M4261" s="26" t="n">
        <x:v>0.1</x:v>
      </x:c>
      <x:c r="N4261" s="24" t="n">
        <x:v>72</x:v>
      </x:c>
      <x:c r="O4261" s="28" t="n">
        <x:f>MIN(1,L4261/I4261)</x:f>
        <x:v>0.000020708999999999998</x:v>
      </x:c>
      <x:c r="P4261" s="30" t="n">
        <x:f>O4261*J4261*(1+M4261)</x:f>
        <x:v>0.0000227799</x:v>
      </x:c>
      <x:c r="Q4261" s="30" t="n">
        <x:f>P4261*N4261</x:f>
        <x:v>0.0016401527999999998</x:v>
      </x:c>
      <x:c r="R4261" s="19" t="str">
        <x:v>独立判定</x:v>
      </x:c>
    </x:row>
    <x:row r="4262" ht="19" customHeight="1">
      <x:c r="A4262" s="19" t="str">
        <x:v>D04258</x:v>
      </x:c>
      <x:c r="B4262" s="19" t="n">
        <x:v>9</x:v>
      </x:c>
      <x:c r="C4262" s="19" t="n">
        <x:v>3</x:v>
      </x:c>
      <x:c r="D4262" s="19" t="str">
        <x:v>C09-M026</x:v>
      </x:c>
      <x:c r="E4262" s="19" t="str">
        <x:v>王碑金翅蛾</x:v>
      </x:c>
      <x:c r="F4262" s="19" t="str">
        <x:v>普通</x:v>
      </x:c>
      <x:c r="G4262" s="19" t="str">
        <x:v>材料独立候选</x:v>
      </x:c>
      <x:c r="H4262" s="19" t="str">
        <x:v>野兽骨片</x:v>
      </x:c>
      <x:c r="I4262" s="22" t="n">
        <x:v>300</x:v>
      </x:c>
      <x:c r="J4262" s="22" t="n">
        <x:v>5</x:v>
      </x:c>
      <x:c r="K4262" s="19" t="n">
        <x:v>1</x:v>
      </x:c>
      <x:c r="L4262" s="24" t="n">
        <x:v>62.126999999999995</x:v>
      </x:c>
      <x:c r="M4262" s="26" t="n">
        <x:v>0.1</x:v>
      </x:c>
      <x:c r="N4262" s="24" t="n">
        <x:v>72</x:v>
      </x:c>
      <x:c r="O4262" s="28" t="n">
        <x:f>MIN(1,L4262/I4262)</x:f>
        <x:v>0.20709</x:v>
      </x:c>
      <x:c r="P4262" s="30" t="n">
        <x:f>O4262*J4262*(1+M4262)</x:f>
        <x:v>1.138995</x:v>
      </x:c>
      <x:c r="Q4262" s="30" t="n">
        <x:f>P4262*N4262</x:f>
        <x:v>82.00764</x:v>
      </x:c>
      <x:c r="R4262" s="19" t="str">
        <x:v>独立判定</x:v>
      </x:c>
    </x:row>
    <x:row r="4263" ht="19" customHeight="1">
      <x:c r="A4263" s="19" t="str">
        <x:v>D04259</x:v>
      </x:c>
      <x:c r="B4263" s="19" t="n">
        <x:v>9</x:v>
      </x:c>
      <x:c r="C4263" s="19" t="n">
        <x:v>3</x:v>
      </x:c>
      <x:c r="D4263" s="19" t="str">
        <x:v>C09-M026</x:v>
      </x:c>
      <x:c r="E4263" s="19" t="str">
        <x:v>王碑金翅蛾</x:v>
      </x:c>
      <x:c r="F4263" s="19" t="str">
        <x:v>普通</x:v>
      </x:c>
      <x:c r="G4263" s="19" t="str">
        <x:v>材料独立候选</x:v>
      </x:c>
      <x:c r="H4263" s="19" t="str">
        <x:v>技能残页</x:v>
      </x:c>
      <x:c r="I4263" s="22" t="n">
        <x:v>2500</x:v>
      </x:c>
      <x:c r="J4263" s="22" t="n">
        <x:v>1</x:v>
      </x:c>
      <x:c r="K4263" s="19" t="n">
        <x:v>1</x:v>
      </x:c>
      <x:c r="L4263" s="24" t="n">
        <x:v>62.126999999999995</x:v>
      </x:c>
      <x:c r="M4263" s="26" t="n">
        <x:v>0.1</x:v>
      </x:c>
      <x:c r="N4263" s="24" t="n">
        <x:v>72</x:v>
      </x:c>
      <x:c r="O4263" s="28" t="n">
        <x:f>MIN(1,L4263/I4263)</x:f>
        <x:v>0.0248508</x:v>
      </x:c>
      <x:c r="P4263" s="30" t="n">
        <x:f>O4263*J4263*(1+M4263)</x:f>
        <x:v>0.02733588</x:v>
      </x:c>
      <x:c r="Q4263" s="30" t="n">
        <x:f>P4263*N4263</x:f>
        <x:v>1.96818336</x:v>
      </x:c>
      <x:c r="R4263" s="19" t="str">
        <x:v>独立判定</x:v>
      </x:c>
    </x:row>
    <x:row r="4264" ht="19" customHeight="1">
      <x:c r="A4264" s="19" t="str">
        <x:v>D04260</x:v>
      </x:c>
      <x:c r="B4264" s="19" t="n">
        <x:v>9</x:v>
      </x:c>
      <x:c r="C4264" s="19" t="n">
        <x:v>3</x:v>
      </x:c>
      <x:c r="D4264" s="19" t="str">
        <x:v>C09-M026</x:v>
      </x:c>
      <x:c r="E4264" s="19" t="str">
        <x:v>王碑金翅蛾</x:v>
      </x:c>
      <x:c r="F4264" s="19" t="str">
        <x:v>普通</x:v>
      </x:c>
      <x:c r="G4264" s="19" t="str">
        <x:v>材料独立候选</x:v>
      </x:c>
      <x:c r="H4264" s="19" t="str">
        <x:v>小卢恩</x:v>
      </x:c>
      <x:c r="I4264" s="22" t="n">
        <x:v>18000</x:v>
      </x:c>
      <x:c r="J4264" s="22" t="n">
        <x:v>1</x:v>
      </x:c>
      <x:c r="K4264" s="19" t="n">
        <x:v>1</x:v>
      </x:c>
      <x:c r="L4264" s="24" t="n">
        <x:v>62.126999999999995</x:v>
      </x:c>
      <x:c r="M4264" s="26" t="n">
        <x:v>0.1</x:v>
      </x:c>
      <x:c r="N4264" s="24" t="n">
        <x:v>72</x:v>
      </x:c>
      <x:c r="O4264" s="28" t="n">
        <x:f>MIN(1,L4264/I4264)</x:f>
        <x:v>0.0034514999999999997</x:v>
      </x:c>
      <x:c r="P4264" s="30" t="n">
        <x:f>O4264*J4264*(1+M4264)</x:f>
        <x:v>0.00379665</x:v>
      </x:c>
      <x:c r="Q4264" s="30" t="n">
        <x:f>P4264*N4264</x:f>
        <x:v>0.2733588</x:v>
      </x:c>
      <x:c r="R4264" s="19" t="str">
        <x:v>独立判定</x:v>
      </x:c>
    </x:row>
    <x:row r="4265" ht="19" customHeight="1">
      <x:c r="A4265" s="19" t="str">
        <x:v>D04261</x:v>
      </x:c>
      <x:c r="B4265" s="19" t="n">
        <x:v>9</x:v>
      </x:c>
      <x:c r="C4265" s="19" t="n">
        <x:v>3</x:v>
      </x:c>
      <x:c r="D4265" s="19" t="str">
        <x:v>C09-M026</x:v>
      </x:c>
      <x:c r="E4265" s="19" t="str">
        <x:v>王碑金翅蛾</x:v>
      </x:c>
      <x:c r="F4265" s="19" t="str">
        <x:v>普通</x:v>
      </x:c>
      <x:c r="G4265" s="19" t="str">
        <x:v>六神器公共池</x:v>
      </x:c>
      <x:c r="H4265" s="19" t="str">
        <x:v>POOL006</x:v>
      </x:c>
      <x:c r="I4265" s="22" t="n">
        <x:v>20000000</x:v>
      </x:c>
      <x:c r="J4265" s="22" t="n">
        <x:v>1</x:v>
      </x:c>
      <x:c r="K4265" s="19" t="n">
        <x:v>6</x:v>
      </x:c>
      <x:c r="L4265" s="24" t="n">
        <x:v>62.126999999999995</x:v>
      </x:c>
      <x:c r="M4265" s="26" t="n">
        <x:v>0.1</x:v>
      </x:c>
      <x:c r="N4265" s="24" t="n">
        <x:v>72</x:v>
      </x:c>
      <x:c r="O4265" s="28" t="n">
        <x:f>MIN(1,L4265/I4265)</x:f>
        <x:v>0.00000310635</x:v>
      </x:c>
      <x:c r="P4265" s="30" t="n">
        <x:f>O4265*J4265*(1+M4265)</x:f>
        <x:v>0.0000034169850000000003</x:v>
      </x:c>
      <x:c r="Q4265" s="30" t="n">
        <x:f>P4265*N4265</x:f>
        <x:v>0.00024602292000000005</x:v>
      </x:c>
      <x:c r="R4265" s="19" t="str">
        <x:v>六选一；非6个独立爆率</x:v>
      </x:c>
    </x:row>
    <x:row r="4266" ht="19" customHeight="1">
      <x:c r="A4266" s="19" t="str">
        <x:v>D04262</x:v>
      </x:c>
      <x:c r="B4266" s="19" t="n">
        <x:v>9</x:v>
      </x:c>
      <x:c r="C4266" s="19" t="n">
        <x:v>3</x:v>
      </x:c>
      <x:c r="D4266" s="19" t="str">
        <x:v>C09-M027</x:v>
      </x:c>
      <x:c r="E4266" s="19" t="str">
        <x:v>甬道扶棺卒</x:v>
      </x:c>
      <x:c r="F4266" s="19" t="str">
        <x:v>普通</x:v>
      </x:c>
      <x:c r="G4266" s="19" t="str">
        <x:v>自身专属</x:v>
      </x:c>
      <x:c r="H4266" s="19" t="str">
        <x:v>扶棺铜纹盾</x:v>
      </x:c>
      <x:c r="I4266" s="22" t="n">
        <x:v>8000</x:v>
      </x:c>
      <x:c r="J4266" s="22" t="n">
        <x:v>1</x:v>
      </x:c>
      <x:c r="K4266" s="19" t="n">
        <x:v>1</x:v>
      </x:c>
      <x:c r="L4266" s="24" t="n">
        <x:v>62.126999999999995</x:v>
      </x:c>
      <x:c r="M4266" s="26" t="n">
        <x:v>0.1</x:v>
      </x:c>
      <x:c r="N4266" s="24" t="n">
        <x:v>72</x:v>
      </x:c>
      <x:c r="O4266" s="28" t="n">
        <x:f>MIN(1,L4266/I4266)</x:f>
        <x:v>0.007765874999999999</x:v>
      </x:c>
      <x:c r="P4266" s="30" t="n">
        <x:f>O4266*J4266*(1+M4266)</x:f>
        <x:v>0.0085424625</x:v>
      </x:c>
      <x:c r="Q4266" s="30" t="n">
        <x:f>P4266*N4266</x:f>
        <x:v>0.6150573</x:v>
      </x:c>
      <x:c r="R4266" s="19" t="str">
        <x:v>独立判定</x:v>
      </x:c>
    </x:row>
    <x:row r="4267" ht="19" customHeight="1">
      <x:c r="A4267" s="19" t="str">
        <x:v>D04263</x:v>
      </x:c>
      <x:c r="B4267" s="19" t="n">
        <x:v>9</x:v>
      </x:c>
      <x:c r="C4267" s="19" t="n">
        <x:v>3</x:v>
      </x:c>
      <x:c r="D4267" s="19" t="str">
        <x:v>C09-M027</x:v>
      </x:c>
      <x:c r="E4267" s="19" t="str">
        <x:v>甬道扶棺卒</x:v>
      </x:c>
      <x:c r="F4267" s="19" t="str">
        <x:v>普通</x:v>
      </x:c>
      <x:c r="G4267" s="19" t="str">
        <x:v>材料独立候选</x:v>
      </x:c>
      <x:c r="H4267" s="19" t="str">
        <x:v>黄金叶脉</x:v>
      </x:c>
      <x:c r="I4267" s="22" t="n">
        <x:v>1500</x:v>
      </x:c>
      <x:c r="J4267" s="22" t="n">
        <x:v>8</x:v>
      </x:c>
      <x:c r="K4267" s="19" t="n">
        <x:v>1</x:v>
      </x:c>
      <x:c r="L4267" s="24" t="n">
        <x:v>62.126999999999995</x:v>
      </x:c>
      <x:c r="M4267" s="26" t="n">
        <x:v>0.1</x:v>
      </x:c>
      <x:c r="N4267" s="24" t="n">
        <x:v>72</x:v>
      </x:c>
      <x:c r="O4267" s="28" t="n">
        <x:f>MIN(1,L4267/I4267)</x:f>
        <x:v>0.041417999999999996</x:v>
      </x:c>
      <x:c r="P4267" s="30" t="n">
        <x:f>O4267*J4267*(1+M4267)</x:f>
        <x:v>0.3644784</x:v>
      </x:c>
      <x:c r="Q4267" s="30" t="n">
        <x:f>P4267*N4267</x:f>
        <x:v>26.242444799999998</x:v>
      </x:c>
      <x:c r="R4267" s="19" t="str">
        <x:v>独立判定</x:v>
      </x:c>
    </x:row>
    <x:row r="4268" ht="19" customHeight="1">
      <x:c r="A4268" s="19" t="str">
        <x:v>D04264</x:v>
      </x:c>
      <x:c r="B4268" s="19" t="n">
        <x:v>9</x:v>
      </x:c>
      <x:c r="C4268" s="19" t="n">
        <x:v>3</x:v>
      </x:c>
      <x:c r="D4268" s="19" t="str">
        <x:v>C09-M027</x:v>
      </x:c>
      <x:c r="E4268" s="19" t="str">
        <x:v>甬道扶棺卒</x:v>
      </x:c>
      <x:c r="F4268" s="19" t="str">
        <x:v>普通</x:v>
      </x:c>
      <x:c r="G4268" s="19" t="str">
        <x:v>材料独立候选</x:v>
      </x:c>
      <x:c r="H4268" s="19" t="str">
        <x:v>金叶驿票</x:v>
      </x:c>
      <x:c r="I4268" s="22" t="n">
        <x:v>18000</x:v>
      </x:c>
      <x:c r="J4268" s="22" t="n">
        <x:v>1</x:v>
      </x:c>
      <x:c r="K4268" s="19" t="n">
        <x:v>1</x:v>
      </x:c>
      <x:c r="L4268" s="24" t="n">
        <x:v>62.126999999999995</x:v>
      </x:c>
      <x:c r="M4268" s="26" t="n">
        <x:v>0.1</x:v>
      </x:c>
      <x:c r="N4268" s="24" t="n">
        <x:v>72</x:v>
      </x:c>
      <x:c r="O4268" s="28" t="n">
        <x:f>MIN(1,L4268/I4268)</x:f>
        <x:v>0.0034514999999999997</x:v>
      </x:c>
      <x:c r="P4268" s="30" t="n">
        <x:f>O4268*J4268*(1+M4268)</x:f>
        <x:v>0.00379665</x:v>
      </x:c>
      <x:c r="Q4268" s="30" t="n">
        <x:f>P4268*N4268</x:f>
        <x:v>0.2733588</x:v>
      </x:c>
      <x:c r="R4268" s="19" t="str">
        <x:v>独立判定</x:v>
      </x:c>
    </x:row>
    <x:row r="4269" ht="19" customHeight="1">
      <x:c r="A4269" s="19" t="str">
        <x:v>D04265</x:v>
      </x:c>
      <x:c r="B4269" s="19" t="n">
        <x:v>9</x:v>
      </x:c>
      <x:c r="C4269" s="19" t="n">
        <x:v>3</x:v>
      </x:c>
      <x:c r="D4269" s="19" t="str">
        <x:v>C09-M027</x:v>
      </x:c>
      <x:c r="E4269" s="19" t="str">
        <x:v>甬道扶棺卒</x:v>
      </x:c>
      <x:c r="F4269" s="19" t="str">
        <x:v>普通</x:v>
      </x:c>
      <x:c r="G4269" s="19" t="str">
        <x:v>材料独立候选</x:v>
      </x:c>
      <x:c r="H4269" s="19" t="str">
        <x:v>古坛鎏叶髓</x:v>
      </x:c>
      <x:c r="I4269" s="22" t="n">
        <x:v>3000000</x:v>
      </x:c>
      <x:c r="J4269" s="22" t="n">
        <x:v>1</x:v>
      </x:c>
      <x:c r="K4269" s="19" t="n">
        <x:v>1</x:v>
      </x:c>
      <x:c r="L4269" s="24" t="n">
        <x:v>62.126999999999995</x:v>
      </x:c>
      <x:c r="M4269" s="26" t="n">
        <x:v>0.1</x:v>
      </x:c>
      <x:c r="N4269" s="24" t="n">
        <x:v>72</x:v>
      </x:c>
      <x:c r="O4269" s="28" t="n">
        <x:f>MIN(1,L4269/I4269)</x:f>
        <x:v>0.000020708999999999998</x:v>
      </x:c>
      <x:c r="P4269" s="30" t="n">
        <x:f>O4269*J4269*(1+M4269)</x:f>
        <x:v>0.0000227799</x:v>
      </x:c>
      <x:c r="Q4269" s="30" t="n">
        <x:f>P4269*N4269</x:f>
        <x:v>0.0016401527999999998</x:v>
      </x:c>
      <x:c r="R4269" s="19" t="str">
        <x:v>独立判定</x:v>
      </x:c>
    </x:row>
    <x:row r="4270" ht="19" customHeight="1">
      <x:c r="A4270" s="19" t="str">
        <x:v>D04266</x:v>
      </x:c>
      <x:c r="B4270" s="19" t="n">
        <x:v>9</x:v>
      </x:c>
      <x:c r="C4270" s="19" t="n">
        <x:v>3</x:v>
      </x:c>
      <x:c r="D4270" s="19" t="str">
        <x:v>C09-M027</x:v>
      </x:c>
      <x:c r="E4270" s="19" t="str">
        <x:v>甬道扶棺卒</x:v>
      </x:c>
      <x:c r="F4270" s="19" t="str">
        <x:v>普通</x:v>
      </x:c>
      <x:c r="G4270" s="19" t="str">
        <x:v>材料独立候选</x:v>
      </x:c>
      <x:c r="H4270" s="19" t="str">
        <x:v>野兽骨片</x:v>
      </x:c>
      <x:c r="I4270" s="22" t="n">
        <x:v>300</x:v>
      </x:c>
      <x:c r="J4270" s="22" t="n">
        <x:v>5</x:v>
      </x:c>
      <x:c r="K4270" s="19" t="n">
        <x:v>1</x:v>
      </x:c>
      <x:c r="L4270" s="24" t="n">
        <x:v>62.126999999999995</x:v>
      </x:c>
      <x:c r="M4270" s="26" t="n">
        <x:v>0.1</x:v>
      </x:c>
      <x:c r="N4270" s="24" t="n">
        <x:v>72</x:v>
      </x:c>
      <x:c r="O4270" s="28" t="n">
        <x:f>MIN(1,L4270/I4270)</x:f>
        <x:v>0.20709</x:v>
      </x:c>
      <x:c r="P4270" s="30" t="n">
        <x:f>O4270*J4270*(1+M4270)</x:f>
        <x:v>1.138995</x:v>
      </x:c>
      <x:c r="Q4270" s="30" t="n">
        <x:f>P4270*N4270</x:f>
        <x:v>82.00764</x:v>
      </x:c>
      <x:c r="R4270" s="19" t="str">
        <x:v>独立判定</x:v>
      </x:c>
    </x:row>
    <x:row r="4271" ht="19" customHeight="1">
      <x:c r="A4271" s="19" t="str">
        <x:v>D04267</x:v>
      </x:c>
      <x:c r="B4271" s="19" t="n">
        <x:v>9</x:v>
      </x:c>
      <x:c r="C4271" s="19" t="n">
        <x:v>3</x:v>
      </x:c>
      <x:c r="D4271" s="19" t="str">
        <x:v>C09-M027</x:v>
      </x:c>
      <x:c r="E4271" s="19" t="str">
        <x:v>甬道扶棺卒</x:v>
      </x:c>
      <x:c r="F4271" s="19" t="str">
        <x:v>普通</x:v>
      </x:c>
      <x:c r="G4271" s="19" t="str">
        <x:v>材料独立候选</x:v>
      </x:c>
      <x:c r="H4271" s="19" t="str">
        <x:v>技能残页</x:v>
      </x:c>
      <x:c r="I4271" s="22" t="n">
        <x:v>2500</x:v>
      </x:c>
      <x:c r="J4271" s="22" t="n">
        <x:v>1</x:v>
      </x:c>
      <x:c r="K4271" s="19" t="n">
        <x:v>1</x:v>
      </x:c>
      <x:c r="L4271" s="24" t="n">
        <x:v>62.126999999999995</x:v>
      </x:c>
      <x:c r="M4271" s="26" t="n">
        <x:v>0.1</x:v>
      </x:c>
      <x:c r="N4271" s="24" t="n">
        <x:v>72</x:v>
      </x:c>
      <x:c r="O4271" s="28" t="n">
        <x:f>MIN(1,L4271/I4271)</x:f>
        <x:v>0.0248508</x:v>
      </x:c>
      <x:c r="P4271" s="30" t="n">
        <x:f>O4271*J4271*(1+M4271)</x:f>
        <x:v>0.02733588</x:v>
      </x:c>
      <x:c r="Q4271" s="30" t="n">
        <x:f>P4271*N4271</x:f>
        <x:v>1.96818336</x:v>
      </x:c>
      <x:c r="R4271" s="19" t="str">
        <x:v>独立判定</x:v>
      </x:c>
    </x:row>
    <x:row r="4272" ht="19" customHeight="1">
      <x:c r="A4272" s="19" t="str">
        <x:v>D04268</x:v>
      </x:c>
      <x:c r="B4272" s="19" t="n">
        <x:v>9</x:v>
      </x:c>
      <x:c r="C4272" s="19" t="n">
        <x:v>3</x:v>
      </x:c>
      <x:c r="D4272" s="19" t="str">
        <x:v>C09-M027</x:v>
      </x:c>
      <x:c r="E4272" s="19" t="str">
        <x:v>甬道扶棺卒</x:v>
      </x:c>
      <x:c r="F4272" s="19" t="str">
        <x:v>普通</x:v>
      </x:c>
      <x:c r="G4272" s="19" t="str">
        <x:v>材料独立候选</x:v>
      </x:c>
      <x:c r="H4272" s="19" t="str">
        <x:v>小卢恩</x:v>
      </x:c>
      <x:c r="I4272" s="22" t="n">
        <x:v>18000</x:v>
      </x:c>
      <x:c r="J4272" s="22" t="n">
        <x:v>1</x:v>
      </x:c>
      <x:c r="K4272" s="19" t="n">
        <x:v>1</x:v>
      </x:c>
      <x:c r="L4272" s="24" t="n">
        <x:v>62.126999999999995</x:v>
      </x:c>
      <x:c r="M4272" s="26" t="n">
        <x:v>0.1</x:v>
      </x:c>
      <x:c r="N4272" s="24" t="n">
        <x:v>72</x:v>
      </x:c>
      <x:c r="O4272" s="28" t="n">
        <x:f>MIN(1,L4272/I4272)</x:f>
        <x:v>0.0034514999999999997</x:v>
      </x:c>
      <x:c r="P4272" s="30" t="n">
        <x:f>O4272*J4272*(1+M4272)</x:f>
        <x:v>0.00379665</x:v>
      </x:c>
      <x:c r="Q4272" s="30" t="n">
        <x:f>P4272*N4272</x:f>
        <x:v>0.2733588</x:v>
      </x:c>
      <x:c r="R4272" s="19" t="str">
        <x:v>独立判定</x:v>
      </x:c>
    </x:row>
    <x:row r="4273" ht="19" customHeight="1">
      <x:c r="A4273" s="19" t="str">
        <x:v>D04269</x:v>
      </x:c>
      <x:c r="B4273" s="19" t="n">
        <x:v>9</x:v>
      </x:c>
      <x:c r="C4273" s="19" t="n">
        <x:v>3</x:v>
      </x:c>
      <x:c r="D4273" s="19" t="str">
        <x:v>C09-M027</x:v>
      </x:c>
      <x:c r="E4273" s="19" t="str">
        <x:v>甬道扶棺卒</x:v>
      </x:c>
      <x:c r="F4273" s="19" t="str">
        <x:v>普通</x:v>
      </x:c>
      <x:c r="G4273" s="19" t="str">
        <x:v>六神器公共池</x:v>
      </x:c>
      <x:c r="H4273" s="19" t="str">
        <x:v>POOL006</x:v>
      </x:c>
      <x:c r="I4273" s="22" t="n">
        <x:v>20000000</x:v>
      </x:c>
      <x:c r="J4273" s="22" t="n">
        <x:v>1</x:v>
      </x:c>
      <x:c r="K4273" s="19" t="n">
        <x:v>6</x:v>
      </x:c>
      <x:c r="L4273" s="24" t="n">
        <x:v>62.126999999999995</x:v>
      </x:c>
      <x:c r="M4273" s="26" t="n">
        <x:v>0.1</x:v>
      </x:c>
      <x:c r="N4273" s="24" t="n">
        <x:v>72</x:v>
      </x:c>
      <x:c r="O4273" s="28" t="n">
        <x:f>MIN(1,L4273/I4273)</x:f>
        <x:v>0.00000310635</x:v>
      </x:c>
      <x:c r="P4273" s="30" t="n">
        <x:f>O4273*J4273*(1+M4273)</x:f>
        <x:v>0.0000034169850000000003</x:v>
      </x:c>
      <x:c r="Q4273" s="30" t="n">
        <x:f>P4273*N4273</x:f>
        <x:v>0.00024602292000000005</x:v>
      </x:c>
      <x:c r="R4273" s="19" t="str">
        <x:v>六选一；非6个独立爆率</x:v>
      </x:c>
    </x:row>
    <x:row r="4274" ht="19" customHeight="1">
      <x:c r="A4274" s="19" t="str">
        <x:v>D04270</x:v>
      </x:c>
      <x:c r="B4274" s="19" t="n">
        <x:v>9</x:v>
      </x:c>
      <x:c r="C4274" s="19" t="n">
        <x:v>3</x:v>
      </x:c>
      <x:c r="D4274" s="19" t="str">
        <x:v>C09-M028</x:v>
      </x:c>
      <x:c r="E4274" s="19" t="str">
        <x:v>壁龛守烛童</x:v>
      </x:c>
      <x:c r="F4274" s="19" t="str">
        <x:v>普通</x:v>
      </x:c>
      <x:c r="G4274" s="19" t="str">
        <x:v>自身专属</x:v>
      </x:c>
      <x:c r="H4274" s="19" t="str">
        <x:v>壁龛守烛坠</x:v>
      </x:c>
      <x:c r="I4274" s="22" t="n">
        <x:v>8000</x:v>
      </x:c>
      <x:c r="J4274" s="22" t="n">
        <x:v>1</x:v>
      </x:c>
      <x:c r="K4274" s="19" t="n">
        <x:v>1</x:v>
      </x:c>
      <x:c r="L4274" s="24" t="n">
        <x:v>62.126999999999995</x:v>
      </x:c>
      <x:c r="M4274" s="26" t="n">
        <x:v>0.1</x:v>
      </x:c>
      <x:c r="N4274" s="24" t="n">
        <x:v>72</x:v>
      </x:c>
      <x:c r="O4274" s="28" t="n">
        <x:f>MIN(1,L4274/I4274)</x:f>
        <x:v>0.007765874999999999</x:v>
      </x:c>
      <x:c r="P4274" s="30" t="n">
        <x:f>O4274*J4274*(1+M4274)</x:f>
        <x:v>0.0085424625</x:v>
      </x:c>
      <x:c r="Q4274" s="30" t="n">
        <x:f>P4274*N4274</x:f>
        <x:v>0.6150573</x:v>
      </x:c>
      <x:c r="R4274" s="19" t="str">
        <x:v>独立判定</x:v>
      </x:c>
    </x:row>
    <x:row r="4275" ht="19" customHeight="1">
      <x:c r="A4275" s="19" t="str">
        <x:v>D04271</x:v>
      </x:c>
      <x:c r="B4275" s="19" t="n">
        <x:v>9</x:v>
      </x:c>
      <x:c r="C4275" s="19" t="n">
        <x:v>3</x:v>
      </x:c>
      <x:c r="D4275" s="19" t="str">
        <x:v>C09-M028</x:v>
      </x:c>
      <x:c r="E4275" s="19" t="str">
        <x:v>壁龛守烛童</x:v>
      </x:c>
      <x:c r="F4275" s="19" t="str">
        <x:v>普通</x:v>
      </x:c>
      <x:c r="G4275" s="19" t="str">
        <x:v>材料独立候选</x:v>
      </x:c>
      <x:c r="H4275" s="19" t="str">
        <x:v>黄金叶脉</x:v>
      </x:c>
      <x:c r="I4275" s="22" t="n">
        <x:v>1500</x:v>
      </x:c>
      <x:c r="J4275" s="22" t="n">
        <x:v>8</x:v>
      </x:c>
      <x:c r="K4275" s="19" t="n">
        <x:v>1</x:v>
      </x:c>
      <x:c r="L4275" s="24" t="n">
        <x:v>62.126999999999995</x:v>
      </x:c>
      <x:c r="M4275" s="26" t="n">
        <x:v>0.1</x:v>
      </x:c>
      <x:c r="N4275" s="24" t="n">
        <x:v>72</x:v>
      </x:c>
      <x:c r="O4275" s="28" t="n">
        <x:f>MIN(1,L4275/I4275)</x:f>
        <x:v>0.041417999999999996</x:v>
      </x:c>
      <x:c r="P4275" s="30" t="n">
        <x:f>O4275*J4275*(1+M4275)</x:f>
        <x:v>0.3644784</x:v>
      </x:c>
      <x:c r="Q4275" s="30" t="n">
        <x:f>P4275*N4275</x:f>
        <x:v>26.242444799999998</x:v>
      </x:c>
      <x:c r="R4275" s="19" t="str">
        <x:v>独立判定</x:v>
      </x:c>
    </x:row>
    <x:row r="4276" ht="19" customHeight="1">
      <x:c r="A4276" s="19" t="str">
        <x:v>D04272</x:v>
      </x:c>
      <x:c r="B4276" s="19" t="n">
        <x:v>9</x:v>
      </x:c>
      <x:c r="C4276" s="19" t="n">
        <x:v>3</x:v>
      </x:c>
      <x:c r="D4276" s="19" t="str">
        <x:v>C09-M028</x:v>
      </x:c>
      <x:c r="E4276" s="19" t="str">
        <x:v>壁龛守烛童</x:v>
      </x:c>
      <x:c r="F4276" s="19" t="str">
        <x:v>普通</x:v>
      </x:c>
      <x:c r="G4276" s="19" t="str">
        <x:v>材料独立候选</x:v>
      </x:c>
      <x:c r="H4276" s="19" t="str">
        <x:v>金叶驿票</x:v>
      </x:c>
      <x:c r="I4276" s="22" t="n">
        <x:v>18000</x:v>
      </x:c>
      <x:c r="J4276" s="22" t="n">
        <x:v>1</x:v>
      </x:c>
      <x:c r="K4276" s="19" t="n">
        <x:v>1</x:v>
      </x:c>
      <x:c r="L4276" s="24" t="n">
        <x:v>62.126999999999995</x:v>
      </x:c>
      <x:c r="M4276" s="26" t="n">
        <x:v>0.1</x:v>
      </x:c>
      <x:c r="N4276" s="24" t="n">
        <x:v>72</x:v>
      </x:c>
      <x:c r="O4276" s="28" t="n">
        <x:f>MIN(1,L4276/I4276)</x:f>
        <x:v>0.0034514999999999997</x:v>
      </x:c>
      <x:c r="P4276" s="30" t="n">
        <x:f>O4276*J4276*(1+M4276)</x:f>
        <x:v>0.00379665</x:v>
      </x:c>
      <x:c r="Q4276" s="30" t="n">
        <x:f>P4276*N4276</x:f>
        <x:v>0.2733588</x:v>
      </x:c>
      <x:c r="R4276" s="19" t="str">
        <x:v>独立判定</x:v>
      </x:c>
    </x:row>
    <x:row r="4277" ht="19" customHeight="1">
      <x:c r="A4277" s="19" t="str">
        <x:v>D04273</x:v>
      </x:c>
      <x:c r="B4277" s="19" t="n">
        <x:v>9</x:v>
      </x:c>
      <x:c r="C4277" s="19" t="n">
        <x:v>3</x:v>
      </x:c>
      <x:c r="D4277" s="19" t="str">
        <x:v>C09-M028</x:v>
      </x:c>
      <x:c r="E4277" s="19" t="str">
        <x:v>壁龛守烛童</x:v>
      </x:c>
      <x:c r="F4277" s="19" t="str">
        <x:v>普通</x:v>
      </x:c>
      <x:c r="G4277" s="19" t="str">
        <x:v>材料独立候选</x:v>
      </x:c>
      <x:c r="H4277" s="19" t="str">
        <x:v>古坛鎏叶髓</x:v>
      </x:c>
      <x:c r="I4277" s="22" t="n">
        <x:v>3000000</x:v>
      </x:c>
      <x:c r="J4277" s="22" t="n">
        <x:v>1</x:v>
      </x:c>
      <x:c r="K4277" s="19" t="n">
        <x:v>1</x:v>
      </x:c>
      <x:c r="L4277" s="24" t="n">
        <x:v>62.126999999999995</x:v>
      </x:c>
      <x:c r="M4277" s="26" t="n">
        <x:v>0.1</x:v>
      </x:c>
      <x:c r="N4277" s="24" t="n">
        <x:v>72</x:v>
      </x:c>
      <x:c r="O4277" s="28" t="n">
        <x:f>MIN(1,L4277/I4277)</x:f>
        <x:v>0.000020708999999999998</x:v>
      </x:c>
      <x:c r="P4277" s="30" t="n">
        <x:f>O4277*J4277*(1+M4277)</x:f>
        <x:v>0.0000227799</x:v>
      </x:c>
      <x:c r="Q4277" s="30" t="n">
        <x:f>P4277*N4277</x:f>
        <x:v>0.0016401527999999998</x:v>
      </x:c>
      <x:c r="R4277" s="19" t="str">
        <x:v>独立判定</x:v>
      </x:c>
    </x:row>
    <x:row r="4278" ht="19" customHeight="1">
      <x:c r="A4278" s="19" t="str">
        <x:v>D04274</x:v>
      </x:c>
      <x:c r="B4278" s="19" t="n">
        <x:v>9</x:v>
      </x:c>
      <x:c r="C4278" s="19" t="n">
        <x:v>3</x:v>
      </x:c>
      <x:c r="D4278" s="19" t="str">
        <x:v>C09-M028</x:v>
      </x:c>
      <x:c r="E4278" s="19" t="str">
        <x:v>壁龛守烛童</x:v>
      </x:c>
      <x:c r="F4278" s="19" t="str">
        <x:v>普通</x:v>
      </x:c>
      <x:c r="G4278" s="19" t="str">
        <x:v>材料独立候选</x:v>
      </x:c>
      <x:c r="H4278" s="19" t="str">
        <x:v>野兽骨片</x:v>
      </x:c>
      <x:c r="I4278" s="22" t="n">
        <x:v>300</x:v>
      </x:c>
      <x:c r="J4278" s="22" t="n">
        <x:v>5</x:v>
      </x:c>
      <x:c r="K4278" s="19" t="n">
        <x:v>1</x:v>
      </x:c>
      <x:c r="L4278" s="24" t="n">
        <x:v>62.126999999999995</x:v>
      </x:c>
      <x:c r="M4278" s="26" t="n">
        <x:v>0.1</x:v>
      </x:c>
      <x:c r="N4278" s="24" t="n">
        <x:v>72</x:v>
      </x:c>
      <x:c r="O4278" s="28" t="n">
        <x:f>MIN(1,L4278/I4278)</x:f>
        <x:v>0.20709</x:v>
      </x:c>
      <x:c r="P4278" s="30" t="n">
        <x:f>O4278*J4278*(1+M4278)</x:f>
        <x:v>1.138995</x:v>
      </x:c>
      <x:c r="Q4278" s="30" t="n">
        <x:f>P4278*N4278</x:f>
        <x:v>82.00764</x:v>
      </x:c>
      <x:c r="R4278" s="19" t="str">
        <x:v>独立判定</x:v>
      </x:c>
    </x:row>
    <x:row r="4279" ht="19" customHeight="1">
      <x:c r="A4279" s="19" t="str">
        <x:v>D04275</x:v>
      </x:c>
      <x:c r="B4279" s="19" t="n">
        <x:v>9</x:v>
      </x:c>
      <x:c r="C4279" s="19" t="n">
        <x:v>3</x:v>
      </x:c>
      <x:c r="D4279" s="19" t="str">
        <x:v>C09-M028</x:v>
      </x:c>
      <x:c r="E4279" s="19" t="str">
        <x:v>壁龛守烛童</x:v>
      </x:c>
      <x:c r="F4279" s="19" t="str">
        <x:v>普通</x:v>
      </x:c>
      <x:c r="G4279" s="19" t="str">
        <x:v>材料独立候选</x:v>
      </x:c>
      <x:c r="H4279" s="19" t="str">
        <x:v>技能残页</x:v>
      </x:c>
      <x:c r="I4279" s="22" t="n">
        <x:v>2500</x:v>
      </x:c>
      <x:c r="J4279" s="22" t="n">
        <x:v>1</x:v>
      </x:c>
      <x:c r="K4279" s="19" t="n">
        <x:v>1</x:v>
      </x:c>
      <x:c r="L4279" s="24" t="n">
        <x:v>62.126999999999995</x:v>
      </x:c>
      <x:c r="M4279" s="26" t="n">
        <x:v>0.1</x:v>
      </x:c>
      <x:c r="N4279" s="24" t="n">
        <x:v>72</x:v>
      </x:c>
      <x:c r="O4279" s="28" t="n">
        <x:f>MIN(1,L4279/I4279)</x:f>
        <x:v>0.0248508</x:v>
      </x:c>
      <x:c r="P4279" s="30" t="n">
        <x:f>O4279*J4279*(1+M4279)</x:f>
        <x:v>0.02733588</x:v>
      </x:c>
      <x:c r="Q4279" s="30" t="n">
        <x:f>P4279*N4279</x:f>
        <x:v>1.96818336</x:v>
      </x:c>
      <x:c r="R4279" s="19" t="str">
        <x:v>独立判定</x:v>
      </x:c>
    </x:row>
    <x:row r="4280" ht="19" customHeight="1">
      <x:c r="A4280" s="19" t="str">
        <x:v>D04276</x:v>
      </x:c>
      <x:c r="B4280" s="19" t="n">
        <x:v>9</x:v>
      </x:c>
      <x:c r="C4280" s="19" t="n">
        <x:v>3</x:v>
      </x:c>
      <x:c r="D4280" s="19" t="str">
        <x:v>C09-M028</x:v>
      </x:c>
      <x:c r="E4280" s="19" t="str">
        <x:v>壁龛守烛童</x:v>
      </x:c>
      <x:c r="F4280" s="19" t="str">
        <x:v>普通</x:v>
      </x:c>
      <x:c r="G4280" s="19" t="str">
        <x:v>材料独立候选</x:v>
      </x:c>
      <x:c r="H4280" s="19" t="str">
        <x:v>小卢恩</x:v>
      </x:c>
      <x:c r="I4280" s="22" t="n">
        <x:v>18000</x:v>
      </x:c>
      <x:c r="J4280" s="22" t="n">
        <x:v>1</x:v>
      </x:c>
      <x:c r="K4280" s="19" t="n">
        <x:v>1</x:v>
      </x:c>
      <x:c r="L4280" s="24" t="n">
        <x:v>62.126999999999995</x:v>
      </x:c>
      <x:c r="M4280" s="26" t="n">
        <x:v>0.1</x:v>
      </x:c>
      <x:c r="N4280" s="24" t="n">
        <x:v>72</x:v>
      </x:c>
      <x:c r="O4280" s="28" t="n">
        <x:f>MIN(1,L4280/I4280)</x:f>
        <x:v>0.0034514999999999997</x:v>
      </x:c>
      <x:c r="P4280" s="30" t="n">
        <x:f>O4280*J4280*(1+M4280)</x:f>
        <x:v>0.00379665</x:v>
      </x:c>
      <x:c r="Q4280" s="30" t="n">
        <x:f>P4280*N4280</x:f>
        <x:v>0.2733588</x:v>
      </x:c>
      <x:c r="R4280" s="19" t="str">
        <x:v>独立判定</x:v>
      </x:c>
    </x:row>
    <x:row r="4281" ht="19" customHeight="1">
      <x:c r="A4281" s="19" t="str">
        <x:v>D04277</x:v>
      </x:c>
      <x:c r="B4281" s="19" t="n">
        <x:v>9</x:v>
      </x:c>
      <x:c r="C4281" s="19" t="n">
        <x:v>3</x:v>
      </x:c>
      <x:c r="D4281" s="19" t="str">
        <x:v>C09-M028</x:v>
      </x:c>
      <x:c r="E4281" s="19" t="str">
        <x:v>壁龛守烛童</x:v>
      </x:c>
      <x:c r="F4281" s="19" t="str">
        <x:v>普通</x:v>
      </x:c>
      <x:c r="G4281" s="19" t="str">
        <x:v>六神器公共池</x:v>
      </x:c>
      <x:c r="H4281" s="19" t="str">
        <x:v>POOL006</x:v>
      </x:c>
      <x:c r="I4281" s="22" t="n">
        <x:v>20000000</x:v>
      </x:c>
      <x:c r="J4281" s="22" t="n">
        <x:v>1</x:v>
      </x:c>
      <x:c r="K4281" s="19" t="n">
        <x:v>6</x:v>
      </x:c>
      <x:c r="L4281" s="24" t="n">
        <x:v>62.126999999999995</x:v>
      </x:c>
      <x:c r="M4281" s="26" t="n">
        <x:v>0.1</x:v>
      </x:c>
      <x:c r="N4281" s="24" t="n">
        <x:v>72</x:v>
      </x:c>
      <x:c r="O4281" s="28" t="n">
        <x:f>MIN(1,L4281/I4281)</x:f>
        <x:v>0.00000310635</x:v>
      </x:c>
      <x:c r="P4281" s="30" t="n">
        <x:f>O4281*J4281*(1+M4281)</x:f>
        <x:v>0.0000034169850000000003</x:v>
      </x:c>
      <x:c r="Q4281" s="30" t="n">
        <x:f>P4281*N4281</x:f>
        <x:v>0.00024602292000000005</x:v>
      </x:c>
      <x:c r="R4281" s="19" t="str">
        <x:v>六选一；非6个独立爆率</x:v>
      </x:c>
    </x:row>
    <x:row r="4282" ht="19" customHeight="1">
      <x:c r="A4282" s="19" t="str">
        <x:v>D04278</x:v>
      </x:c>
      <x:c r="B4282" s="19" t="n">
        <x:v>9</x:v>
      </x:c>
      <x:c r="C4282" s="19" t="n">
        <x:v>3</x:v>
      </x:c>
      <x:c r="D4282" s="19" t="str">
        <x:v>C09-M029</x:v>
      </x:c>
      <x:c r="E4282" s="19" t="str">
        <x:v>墓室敛袍侍</x:v>
      </x:c>
      <x:c r="F4282" s="19" t="str">
        <x:v>普通</x:v>
      </x:c>
      <x:c r="G4282" s="19" t="str">
        <x:v>自身专属</x:v>
      </x:c>
      <x:c r="H4282" s="19" t="str">
        <x:v>敛袍侍素衣</x:v>
      </x:c>
      <x:c r="I4282" s="22" t="n">
        <x:v>8000</x:v>
      </x:c>
      <x:c r="J4282" s="22" t="n">
        <x:v>1</x:v>
      </x:c>
      <x:c r="K4282" s="19" t="n">
        <x:v>1</x:v>
      </x:c>
      <x:c r="L4282" s="24" t="n">
        <x:v>62.126999999999995</x:v>
      </x:c>
      <x:c r="M4282" s="26" t="n">
        <x:v>0.1</x:v>
      </x:c>
      <x:c r="N4282" s="24" t="n">
        <x:v>72</x:v>
      </x:c>
      <x:c r="O4282" s="28" t="n">
        <x:f>MIN(1,L4282/I4282)</x:f>
        <x:v>0.007765874999999999</x:v>
      </x:c>
      <x:c r="P4282" s="30" t="n">
        <x:f>O4282*J4282*(1+M4282)</x:f>
        <x:v>0.0085424625</x:v>
      </x:c>
      <x:c r="Q4282" s="30" t="n">
        <x:f>P4282*N4282</x:f>
        <x:v>0.6150573</x:v>
      </x:c>
      <x:c r="R4282" s="19" t="str">
        <x:v>独立判定</x:v>
      </x:c>
    </x:row>
    <x:row r="4283" ht="19" customHeight="1">
      <x:c r="A4283" s="19" t="str">
        <x:v>D04279</x:v>
      </x:c>
      <x:c r="B4283" s="19" t="n">
        <x:v>9</x:v>
      </x:c>
      <x:c r="C4283" s="19" t="n">
        <x:v>3</x:v>
      </x:c>
      <x:c r="D4283" s="19" t="str">
        <x:v>C09-M029</x:v>
      </x:c>
      <x:c r="E4283" s="19" t="str">
        <x:v>墓室敛袍侍</x:v>
      </x:c>
      <x:c r="F4283" s="19" t="str">
        <x:v>普通</x:v>
      </x:c>
      <x:c r="G4283" s="19" t="str">
        <x:v>材料独立候选</x:v>
      </x:c>
      <x:c r="H4283" s="19" t="str">
        <x:v>黄金叶脉</x:v>
      </x:c>
      <x:c r="I4283" s="22" t="n">
        <x:v>1500</x:v>
      </x:c>
      <x:c r="J4283" s="22" t="n">
        <x:v>8</x:v>
      </x:c>
      <x:c r="K4283" s="19" t="n">
        <x:v>1</x:v>
      </x:c>
      <x:c r="L4283" s="24" t="n">
        <x:v>62.126999999999995</x:v>
      </x:c>
      <x:c r="M4283" s="26" t="n">
        <x:v>0.1</x:v>
      </x:c>
      <x:c r="N4283" s="24" t="n">
        <x:v>72</x:v>
      </x:c>
      <x:c r="O4283" s="28" t="n">
        <x:f>MIN(1,L4283/I4283)</x:f>
        <x:v>0.041417999999999996</x:v>
      </x:c>
      <x:c r="P4283" s="30" t="n">
        <x:f>O4283*J4283*(1+M4283)</x:f>
        <x:v>0.3644784</x:v>
      </x:c>
      <x:c r="Q4283" s="30" t="n">
        <x:f>P4283*N4283</x:f>
        <x:v>26.242444799999998</x:v>
      </x:c>
      <x:c r="R4283" s="19" t="str">
        <x:v>独立判定</x:v>
      </x:c>
    </x:row>
    <x:row r="4284" ht="19" customHeight="1">
      <x:c r="A4284" s="19" t="str">
        <x:v>D04280</x:v>
      </x:c>
      <x:c r="B4284" s="19" t="n">
        <x:v>9</x:v>
      </x:c>
      <x:c r="C4284" s="19" t="n">
        <x:v>3</x:v>
      </x:c>
      <x:c r="D4284" s="19" t="str">
        <x:v>C09-M029</x:v>
      </x:c>
      <x:c r="E4284" s="19" t="str">
        <x:v>墓室敛袍侍</x:v>
      </x:c>
      <x:c r="F4284" s="19" t="str">
        <x:v>普通</x:v>
      </x:c>
      <x:c r="G4284" s="19" t="str">
        <x:v>材料独立候选</x:v>
      </x:c>
      <x:c r="H4284" s="19" t="str">
        <x:v>金叶驿票</x:v>
      </x:c>
      <x:c r="I4284" s="22" t="n">
        <x:v>18000</x:v>
      </x:c>
      <x:c r="J4284" s="22" t="n">
        <x:v>1</x:v>
      </x:c>
      <x:c r="K4284" s="19" t="n">
        <x:v>1</x:v>
      </x:c>
      <x:c r="L4284" s="24" t="n">
        <x:v>62.126999999999995</x:v>
      </x:c>
      <x:c r="M4284" s="26" t="n">
        <x:v>0.1</x:v>
      </x:c>
      <x:c r="N4284" s="24" t="n">
        <x:v>72</x:v>
      </x:c>
      <x:c r="O4284" s="28" t="n">
        <x:f>MIN(1,L4284/I4284)</x:f>
        <x:v>0.0034514999999999997</x:v>
      </x:c>
      <x:c r="P4284" s="30" t="n">
        <x:f>O4284*J4284*(1+M4284)</x:f>
        <x:v>0.00379665</x:v>
      </x:c>
      <x:c r="Q4284" s="30" t="n">
        <x:f>P4284*N4284</x:f>
        <x:v>0.2733588</x:v>
      </x:c>
      <x:c r="R4284" s="19" t="str">
        <x:v>独立判定</x:v>
      </x:c>
    </x:row>
    <x:row r="4285" ht="19" customHeight="1">
      <x:c r="A4285" s="19" t="str">
        <x:v>D04281</x:v>
      </x:c>
      <x:c r="B4285" s="19" t="n">
        <x:v>9</x:v>
      </x:c>
      <x:c r="C4285" s="19" t="n">
        <x:v>3</x:v>
      </x:c>
      <x:c r="D4285" s="19" t="str">
        <x:v>C09-M029</x:v>
      </x:c>
      <x:c r="E4285" s="19" t="str">
        <x:v>墓室敛袍侍</x:v>
      </x:c>
      <x:c r="F4285" s="19" t="str">
        <x:v>普通</x:v>
      </x:c>
      <x:c r="G4285" s="19" t="str">
        <x:v>材料独立候选</x:v>
      </x:c>
      <x:c r="H4285" s="19" t="str">
        <x:v>古坛鎏叶髓</x:v>
      </x:c>
      <x:c r="I4285" s="22" t="n">
        <x:v>3000000</x:v>
      </x:c>
      <x:c r="J4285" s="22" t="n">
        <x:v>1</x:v>
      </x:c>
      <x:c r="K4285" s="19" t="n">
        <x:v>1</x:v>
      </x:c>
      <x:c r="L4285" s="24" t="n">
        <x:v>62.126999999999995</x:v>
      </x:c>
      <x:c r="M4285" s="26" t="n">
        <x:v>0.1</x:v>
      </x:c>
      <x:c r="N4285" s="24" t="n">
        <x:v>72</x:v>
      </x:c>
      <x:c r="O4285" s="28" t="n">
        <x:f>MIN(1,L4285/I4285)</x:f>
        <x:v>0.000020708999999999998</x:v>
      </x:c>
      <x:c r="P4285" s="30" t="n">
        <x:f>O4285*J4285*(1+M4285)</x:f>
        <x:v>0.0000227799</x:v>
      </x:c>
      <x:c r="Q4285" s="30" t="n">
        <x:f>P4285*N4285</x:f>
        <x:v>0.0016401527999999998</x:v>
      </x:c>
      <x:c r="R4285" s="19" t="str">
        <x:v>独立判定</x:v>
      </x:c>
    </x:row>
    <x:row r="4286" ht="19" customHeight="1">
      <x:c r="A4286" s="19" t="str">
        <x:v>D04282</x:v>
      </x:c>
      <x:c r="B4286" s="19" t="n">
        <x:v>9</x:v>
      </x:c>
      <x:c r="C4286" s="19" t="n">
        <x:v>3</x:v>
      </x:c>
      <x:c r="D4286" s="19" t="str">
        <x:v>C09-M029</x:v>
      </x:c>
      <x:c r="E4286" s="19" t="str">
        <x:v>墓室敛袍侍</x:v>
      </x:c>
      <x:c r="F4286" s="19" t="str">
        <x:v>普通</x:v>
      </x:c>
      <x:c r="G4286" s="19" t="str">
        <x:v>材料独立候选</x:v>
      </x:c>
      <x:c r="H4286" s="19" t="str">
        <x:v>野兽骨片</x:v>
      </x:c>
      <x:c r="I4286" s="22" t="n">
        <x:v>300</x:v>
      </x:c>
      <x:c r="J4286" s="22" t="n">
        <x:v>5</x:v>
      </x:c>
      <x:c r="K4286" s="19" t="n">
        <x:v>1</x:v>
      </x:c>
      <x:c r="L4286" s="24" t="n">
        <x:v>62.126999999999995</x:v>
      </x:c>
      <x:c r="M4286" s="26" t="n">
        <x:v>0.1</x:v>
      </x:c>
      <x:c r="N4286" s="24" t="n">
        <x:v>72</x:v>
      </x:c>
      <x:c r="O4286" s="28" t="n">
        <x:f>MIN(1,L4286/I4286)</x:f>
        <x:v>0.20709</x:v>
      </x:c>
      <x:c r="P4286" s="30" t="n">
        <x:f>O4286*J4286*(1+M4286)</x:f>
        <x:v>1.138995</x:v>
      </x:c>
      <x:c r="Q4286" s="30" t="n">
        <x:f>P4286*N4286</x:f>
        <x:v>82.00764</x:v>
      </x:c>
      <x:c r="R4286" s="19" t="str">
        <x:v>独立判定</x:v>
      </x:c>
    </x:row>
    <x:row r="4287" ht="19" customHeight="1">
      <x:c r="A4287" s="19" t="str">
        <x:v>D04283</x:v>
      </x:c>
      <x:c r="B4287" s="19" t="n">
        <x:v>9</x:v>
      </x:c>
      <x:c r="C4287" s="19" t="n">
        <x:v>3</x:v>
      </x:c>
      <x:c r="D4287" s="19" t="str">
        <x:v>C09-M029</x:v>
      </x:c>
      <x:c r="E4287" s="19" t="str">
        <x:v>墓室敛袍侍</x:v>
      </x:c>
      <x:c r="F4287" s="19" t="str">
        <x:v>普通</x:v>
      </x:c>
      <x:c r="G4287" s="19" t="str">
        <x:v>材料独立候选</x:v>
      </x:c>
      <x:c r="H4287" s="19" t="str">
        <x:v>技能残页</x:v>
      </x:c>
      <x:c r="I4287" s="22" t="n">
        <x:v>2500</x:v>
      </x:c>
      <x:c r="J4287" s="22" t="n">
        <x:v>1</x:v>
      </x:c>
      <x:c r="K4287" s="19" t="n">
        <x:v>1</x:v>
      </x:c>
      <x:c r="L4287" s="24" t="n">
        <x:v>62.126999999999995</x:v>
      </x:c>
      <x:c r="M4287" s="26" t="n">
        <x:v>0.1</x:v>
      </x:c>
      <x:c r="N4287" s="24" t="n">
        <x:v>72</x:v>
      </x:c>
      <x:c r="O4287" s="28" t="n">
        <x:f>MIN(1,L4287/I4287)</x:f>
        <x:v>0.0248508</x:v>
      </x:c>
      <x:c r="P4287" s="30" t="n">
        <x:f>O4287*J4287*(1+M4287)</x:f>
        <x:v>0.02733588</x:v>
      </x:c>
      <x:c r="Q4287" s="30" t="n">
        <x:f>P4287*N4287</x:f>
        <x:v>1.96818336</x:v>
      </x:c>
      <x:c r="R4287" s="19" t="str">
        <x:v>独立判定</x:v>
      </x:c>
    </x:row>
    <x:row r="4288" ht="19" customHeight="1">
      <x:c r="A4288" s="19" t="str">
        <x:v>D04284</x:v>
      </x:c>
      <x:c r="B4288" s="19" t="n">
        <x:v>9</x:v>
      </x:c>
      <x:c r="C4288" s="19" t="n">
        <x:v>3</x:v>
      </x:c>
      <x:c r="D4288" s="19" t="str">
        <x:v>C09-M029</x:v>
      </x:c>
      <x:c r="E4288" s="19" t="str">
        <x:v>墓室敛袍侍</x:v>
      </x:c>
      <x:c r="F4288" s="19" t="str">
        <x:v>普通</x:v>
      </x:c>
      <x:c r="G4288" s="19" t="str">
        <x:v>材料独立候选</x:v>
      </x:c>
      <x:c r="H4288" s="19" t="str">
        <x:v>小卢恩</x:v>
      </x:c>
      <x:c r="I4288" s="22" t="n">
        <x:v>18000</x:v>
      </x:c>
      <x:c r="J4288" s="22" t="n">
        <x:v>1</x:v>
      </x:c>
      <x:c r="K4288" s="19" t="n">
        <x:v>1</x:v>
      </x:c>
      <x:c r="L4288" s="24" t="n">
        <x:v>62.126999999999995</x:v>
      </x:c>
      <x:c r="M4288" s="26" t="n">
        <x:v>0.1</x:v>
      </x:c>
      <x:c r="N4288" s="24" t="n">
        <x:v>72</x:v>
      </x:c>
      <x:c r="O4288" s="28" t="n">
        <x:f>MIN(1,L4288/I4288)</x:f>
        <x:v>0.0034514999999999997</x:v>
      </x:c>
      <x:c r="P4288" s="30" t="n">
        <x:f>O4288*J4288*(1+M4288)</x:f>
        <x:v>0.00379665</x:v>
      </x:c>
      <x:c r="Q4288" s="30" t="n">
        <x:f>P4288*N4288</x:f>
        <x:v>0.2733588</x:v>
      </x:c>
      <x:c r="R4288" s="19" t="str">
        <x:v>独立判定</x:v>
      </x:c>
    </x:row>
    <x:row r="4289" ht="19" customHeight="1">
      <x:c r="A4289" s="19" t="str">
        <x:v>D04285</x:v>
      </x:c>
      <x:c r="B4289" s="19" t="n">
        <x:v>9</x:v>
      </x:c>
      <x:c r="C4289" s="19" t="n">
        <x:v>3</x:v>
      </x:c>
      <x:c r="D4289" s="19" t="str">
        <x:v>C09-M029</x:v>
      </x:c>
      <x:c r="E4289" s="19" t="str">
        <x:v>墓室敛袍侍</x:v>
      </x:c>
      <x:c r="F4289" s="19" t="str">
        <x:v>普通</x:v>
      </x:c>
      <x:c r="G4289" s="19" t="str">
        <x:v>六神器公共池</x:v>
      </x:c>
      <x:c r="H4289" s="19" t="str">
        <x:v>POOL006</x:v>
      </x:c>
      <x:c r="I4289" s="22" t="n">
        <x:v>20000000</x:v>
      </x:c>
      <x:c r="J4289" s="22" t="n">
        <x:v>1</x:v>
      </x:c>
      <x:c r="K4289" s="19" t="n">
        <x:v>6</x:v>
      </x:c>
      <x:c r="L4289" s="24" t="n">
        <x:v>62.126999999999995</x:v>
      </x:c>
      <x:c r="M4289" s="26" t="n">
        <x:v>0.1</x:v>
      </x:c>
      <x:c r="N4289" s="24" t="n">
        <x:v>72</x:v>
      </x:c>
      <x:c r="O4289" s="28" t="n">
        <x:f>MIN(1,L4289/I4289)</x:f>
        <x:v>0.00000310635</x:v>
      </x:c>
      <x:c r="P4289" s="30" t="n">
        <x:f>O4289*J4289*(1+M4289)</x:f>
        <x:v>0.0000034169850000000003</x:v>
      </x:c>
      <x:c r="Q4289" s="30" t="n">
        <x:f>P4289*N4289</x:f>
        <x:v>0.00024602292000000005</x:v>
      </x:c>
      <x:c r="R4289" s="19" t="str">
        <x:v>六选一；非6个独立爆率</x:v>
      </x:c>
    </x:row>
    <x:row r="4290" ht="19" customHeight="1">
      <x:c r="A4290" s="19" t="str">
        <x:v>D04286</x:v>
      </x:c>
      <x:c r="B4290" s="19" t="n">
        <x:v>9</x:v>
      </x:c>
      <x:c r="C4290" s="19" t="n">
        <x:v>3</x:v>
      </x:c>
      <x:c r="D4290" s="19" t="str">
        <x:v>C09-M030</x:v>
      </x:c>
      <x:c r="E4290" s="19" t="str">
        <x:v>古王陪葬犬</x:v>
      </x:c>
      <x:c r="F4290" s="19" t="str">
        <x:v>普通</x:v>
      </x:c>
      <x:c r="G4290" s="19" t="str">
        <x:v>自身专属</x:v>
      </x:c>
      <x:c r="H4290" s="19" t="str">
        <x:v>葬犬衔骨镯</x:v>
      </x:c>
      <x:c r="I4290" s="22" t="n">
        <x:v>8000</x:v>
      </x:c>
      <x:c r="J4290" s="22" t="n">
        <x:v>1</x:v>
      </x:c>
      <x:c r="K4290" s="19" t="n">
        <x:v>1</x:v>
      </x:c>
      <x:c r="L4290" s="24" t="n">
        <x:v>62.126999999999995</x:v>
      </x:c>
      <x:c r="M4290" s="26" t="n">
        <x:v>0.1</x:v>
      </x:c>
      <x:c r="N4290" s="24" t="n">
        <x:v>72</x:v>
      </x:c>
      <x:c r="O4290" s="28" t="n">
        <x:f>MIN(1,L4290/I4290)</x:f>
        <x:v>0.007765874999999999</x:v>
      </x:c>
      <x:c r="P4290" s="30" t="n">
        <x:f>O4290*J4290*(1+M4290)</x:f>
        <x:v>0.0085424625</x:v>
      </x:c>
      <x:c r="Q4290" s="30" t="n">
        <x:f>P4290*N4290</x:f>
        <x:v>0.6150573</x:v>
      </x:c>
      <x:c r="R4290" s="19" t="str">
        <x:v>独立判定</x:v>
      </x:c>
    </x:row>
    <x:row r="4291" ht="19" customHeight="1">
      <x:c r="A4291" s="19" t="str">
        <x:v>D04287</x:v>
      </x:c>
      <x:c r="B4291" s="19" t="n">
        <x:v>9</x:v>
      </x:c>
      <x:c r="C4291" s="19" t="n">
        <x:v>3</x:v>
      </x:c>
      <x:c r="D4291" s="19" t="str">
        <x:v>C09-M030</x:v>
      </x:c>
      <x:c r="E4291" s="19" t="str">
        <x:v>古王陪葬犬</x:v>
      </x:c>
      <x:c r="F4291" s="19" t="str">
        <x:v>普通</x:v>
      </x:c>
      <x:c r="G4291" s="19" t="str">
        <x:v>材料独立候选</x:v>
      </x:c>
      <x:c r="H4291" s="19" t="str">
        <x:v>黄金叶脉</x:v>
      </x:c>
      <x:c r="I4291" s="22" t="n">
        <x:v>1500</x:v>
      </x:c>
      <x:c r="J4291" s="22" t="n">
        <x:v>8</x:v>
      </x:c>
      <x:c r="K4291" s="19" t="n">
        <x:v>1</x:v>
      </x:c>
      <x:c r="L4291" s="24" t="n">
        <x:v>62.126999999999995</x:v>
      </x:c>
      <x:c r="M4291" s="26" t="n">
        <x:v>0.1</x:v>
      </x:c>
      <x:c r="N4291" s="24" t="n">
        <x:v>72</x:v>
      </x:c>
      <x:c r="O4291" s="28" t="n">
        <x:f>MIN(1,L4291/I4291)</x:f>
        <x:v>0.041417999999999996</x:v>
      </x:c>
      <x:c r="P4291" s="30" t="n">
        <x:f>O4291*J4291*(1+M4291)</x:f>
        <x:v>0.3644784</x:v>
      </x:c>
      <x:c r="Q4291" s="30" t="n">
        <x:f>P4291*N4291</x:f>
        <x:v>26.242444799999998</x:v>
      </x:c>
      <x:c r="R4291" s="19" t="str">
        <x:v>独立判定</x:v>
      </x:c>
    </x:row>
    <x:row r="4292" ht="19" customHeight="1">
      <x:c r="A4292" s="19" t="str">
        <x:v>D04288</x:v>
      </x:c>
      <x:c r="B4292" s="19" t="n">
        <x:v>9</x:v>
      </x:c>
      <x:c r="C4292" s="19" t="n">
        <x:v>3</x:v>
      </x:c>
      <x:c r="D4292" s="19" t="str">
        <x:v>C09-M030</x:v>
      </x:c>
      <x:c r="E4292" s="19" t="str">
        <x:v>古王陪葬犬</x:v>
      </x:c>
      <x:c r="F4292" s="19" t="str">
        <x:v>普通</x:v>
      </x:c>
      <x:c r="G4292" s="19" t="str">
        <x:v>材料独立候选</x:v>
      </x:c>
      <x:c r="H4292" s="19" t="str">
        <x:v>金叶驿票</x:v>
      </x:c>
      <x:c r="I4292" s="22" t="n">
        <x:v>18000</x:v>
      </x:c>
      <x:c r="J4292" s="22" t="n">
        <x:v>1</x:v>
      </x:c>
      <x:c r="K4292" s="19" t="n">
        <x:v>1</x:v>
      </x:c>
      <x:c r="L4292" s="24" t="n">
        <x:v>62.126999999999995</x:v>
      </x:c>
      <x:c r="M4292" s="26" t="n">
        <x:v>0.1</x:v>
      </x:c>
      <x:c r="N4292" s="24" t="n">
        <x:v>72</x:v>
      </x:c>
      <x:c r="O4292" s="28" t="n">
        <x:f>MIN(1,L4292/I4292)</x:f>
        <x:v>0.0034514999999999997</x:v>
      </x:c>
      <x:c r="P4292" s="30" t="n">
        <x:f>O4292*J4292*(1+M4292)</x:f>
        <x:v>0.00379665</x:v>
      </x:c>
      <x:c r="Q4292" s="30" t="n">
        <x:f>P4292*N4292</x:f>
        <x:v>0.2733588</x:v>
      </x:c>
      <x:c r="R4292" s="19" t="str">
        <x:v>独立判定</x:v>
      </x:c>
    </x:row>
    <x:row r="4293" ht="19" customHeight="1">
      <x:c r="A4293" s="19" t="str">
        <x:v>D04289</x:v>
      </x:c>
      <x:c r="B4293" s="19" t="n">
        <x:v>9</x:v>
      </x:c>
      <x:c r="C4293" s="19" t="n">
        <x:v>3</x:v>
      </x:c>
      <x:c r="D4293" s="19" t="str">
        <x:v>C09-M030</x:v>
      </x:c>
      <x:c r="E4293" s="19" t="str">
        <x:v>古王陪葬犬</x:v>
      </x:c>
      <x:c r="F4293" s="19" t="str">
        <x:v>普通</x:v>
      </x:c>
      <x:c r="G4293" s="19" t="str">
        <x:v>材料独立候选</x:v>
      </x:c>
      <x:c r="H4293" s="19" t="str">
        <x:v>古坛鎏叶髓</x:v>
      </x:c>
      <x:c r="I4293" s="22" t="n">
        <x:v>3000000</x:v>
      </x:c>
      <x:c r="J4293" s="22" t="n">
        <x:v>1</x:v>
      </x:c>
      <x:c r="K4293" s="19" t="n">
        <x:v>1</x:v>
      </x:c>
      <x:c r="L4293" s="24" t="n">
        <x:v>62.126999999999995</x:v>
      </x:c>
      <x:c r="M4293" s="26" t="n">
        <x:v>0.1</x:v>
      </x:c>
      <x:c r="N4293" s="24" t="n">
        <x:v>72</x:v>
      </x:c>
      <x:c r="O4293" s="28" t="n">
        <x:f>MIN(1,L4293/I4293)</x:f>
        <x:v>0.000020708999999999998</x:v>
      </x:c>
      <x:c r="P4293" s="30" t="n">
        <x:f>O4293*J4293*(1+M4293)</x:f>
        <x:v>0.0000227799</x:v>
      </x:c>
      <x:c r="Q4293" s="30" t="n">
        <x:f>P4293*N4293</x:f>
        <x:v>0.0016401527999999998</x:v>
      </x:c>
      <x:c r="R4293" s="19" t="str">
        <x:v>独立判定</x:v>
      </x:c>
    </x:row>
    <x:row r="4294" ht="19" customHeight="1">
      <x:c r="A4294" s="19" t="str">
        <x:v>D04290</x:v>
      </x:c>
      <x:c r="B4294" s="19" t="n">
        <x:v>9</x:v>
      </x:c>
      <x:c r="C4294" s="19" t="n">
        <x:v>3</x:v>
      </x:c>
      <x:c r="D4294" s="19" t="str">
        <x:v>C09-M030</x:v>
      </x:c>
      <x:c r="E4294" s="19" t="str">
        <x:v>古王陪葬犬</x:v>
      </x:c>
      <x:c r="F4294" s="19" t="str">
        <x:v>普通</x:v>
      </x:c>
      <x:c r="G4294" s="19" t="str">
        <x:v>材料独立候选</x:v>
      </x:c>
      <x:c r="H4294" s="19" t="str">
        <x:v>野兽骨片</x:v>
      </x:c>
      <x:c r="I4294" s="22" t="n">
        <x:v>300</x:v>
      </x:c>
      <x:c r="J4294" s="22" t="n">
        <x:v>5</x:v>
      </x:c>
      <x:c r="K4294" s="19" t="n">
        <x:v>1</x:v>
      </x:c>
      <x:c r="L4294" s="24" t="n">
        <x:v>62.126999999999995</x:v>
      </x:c>
      <x:c r="M4294" s="26" t="n">
        <x:v>0.1</x:v>
      </x:c>
      <x:c r="N4294" s="24" t="n">
        <x:v>72</x:v>
      </x:c>
      <x:c r="O4294" s="28" t="n">
        <x:f>MIN(1,L4294/I4294)</x:f>
        <x:v>0.20709</x:v>
      </x:c>
      <x:c r="P4294" s="30" t="n">
        <x:f>O4294*J4294*(1+M4294)</x:f>
        <x:v>1.138995</x:v>
      </x:c>
      <x:c r="Q4294" s="30" t="n">
        <x:f>P4294*N4294</x:f>
        <x:v>82.00764</x:v>
      </x:c>
      <x:c r="R4294" s="19" t="str">
        <x:v>独立判定</x:v>
      </x:c>
    </x:row>
    <x:row r="4295" ht="19" customHeight="1">
      <x:c r="A4295" s="19" t="str">
        <x:v>D04291</x:v>
      </x:c>
      <x:c r="B4295" s="19" t="n">
        <x:v>9</x:v>
      </x:c>
      <x:c r="C4295" s="19" t="n">
        <x:v>3</x:v>
      </x:c>
      <x:c r="D4295" s="19" t="str">
        <x:v>C09-M030</x:v>
      </x:c>
      <x:c r="E4295" s="19" t="str">
        <x:v>古王陪葬犬</x:v>
      </x:c>
      <x:c r="F4295" s="19" t="str">
        <x:v>普通</x:v>
      </x:c>
      <x:c r="G4295" s="19" t="str">
        <x:v>材料独立候选</x:v>
      </x:c>
      <x:c r="H4295" s="19" t="str">
        <x:v>技能残页</x:v>
      </x:c>
      <x:c r="I4295" s="22" t="n">
        <x:v>2500</x:v>
      </x:c>
      <x:c r="J4295" s="22" t="n">
        <x:v>1</x:v>
      </x:c>
      <x:c r="K4295" s="19" t="n">
        <x:v>1</x:v>
      </x:c>
      <x:c r="L4295" s="24" t="n">
        <x:v>62.126999999999995</x:v>
      </x:c>
      <x:c r="M4295" s="26" t="n">
        <x:v>0.1</x:v>
      </x:c>
      <x:c r="N4295" s="24" t="n">
        <x:v>72</x:v>
      </x:c>
      <x:c r="O4295" s="28" t="n">
        <x:f>MIN(1,L4295/I4295)</x:f>
        <x:v>0.0248508</x:v>
      </x:c>
      <x:c r="P4295" s="30" t="n">
        <x:f>O4295*J4295*(1+M4295)</x:f>
        <x:v>0.02733588</x:v>
      </x:c>
      <x:c r="Q4295" s="30" t="n">
        <x:f>P4295*N4295</x:f>
        <x:v>1.96818336</x:v>
      </x:c>
      <x:c r="R4295" s="19" t="str">
        <x:v>独立判定</x:v>
      </x:c>
    </x:row>
    <x:row r="4296" ht="19" customHeight="1">
      <x:c r="A4296" s="19" t="str">
        <x:v>D04292</x:v>
      </x:c>
      <x:c r="B4296" s="19" t="n">
        <x:v>9</x:v>
      </x:c>
      <x:c r="C4296" s="19" t="n">
        <x:v>3</x:v>
      </x:c>
      <x:c r="D4296" s="19" t="str">
        <x:v>C09-M030</x:v>
      </x:c>
      <x:c r="E4296" s="19" t="str">
        <x:v>古王陪葬犬</x:v>
      </x:c>
      <x:c r="F4296" s="19" t="str">
        <x:v>普通</x:v>
      </x:c>
      <x:c r="G4296" s="19" t="str">
        <x:v>材料独立候选</x:v>
      </x:c>
      <x:c r="H4296" s="19" t="str">
        <x:v>小卢恩</x:v>
      </x:c>
      <x:c r="I4296" s="22" t="n">
        <x:v>18000</x:v>
      </x:c>
      <x:c r="J4296" s="22" t="n">
        <x:v>1</x:v>
      </x:c>
      <x:c r="K4296" s="19" t="n">
        <x:v>1</x:v>
      </x:c>
      <x:c r="L4296" s="24" t="n">
        <x:v>62.126999999999995</x:v>
      </x:c>
      <x:c r="M4296" s="26" t="n">
        <x:v>0.1</x:v>
      </x:c>
      <x:c r="N4296" s="24" t="n">
        <x:v>72</x:v>
      </x:c>
      <x:c r="O4296" s="28" t="n">
        <x:f>MIN(1,L4296/I4296)</x:f>
        <x:v>0.0034514999999999997</x:v>
      </x:c>
      <x:c r="P4296" s="30" t="n">
        <x:f>O4296*J4296*(1+M4296)</x:f>
        <x:v>0.00379665</x:v>
      </x:c>
      <x:c r="Q4296" s="30" t="n">
        <x:f>P4296*N4296</x:f>
        <x:v>0.2733588</x:v>
      </x:c>
      <x:c r="R4296" s="19" t="str">
        <x:v>独立判定</x:v>
      </x:c>
    </x:row>
    <x:row r="4297" ht="19" customHeight="1">
      <x:c r="A4297" s="19" t="str">
        <x:v>D04293</x:v>
      </x:c>
      <x:c r="B4297" s="19" t="n">
        <x:v>9</x:v>
      </x:c>
      <x:c r="C4297" s="19" t="n">
        <x:v>3</x:v>
      </x:c>
      <x:c r="D4297" s="19" t="str">
        <x:v>C09-M030</x:v>
      </x:c>
      <x:c r="E4297" s="19" t="str">
        <x:v>古王陪葬犬</x:v>
      </x:c>
      <x:c r="F4297" s="19" t="str">
        <x:v>普通</x:v>
      </x:c>
      <x:c r="G4297" s="19" t="str">
        <x:v>六神器公共池</x:v>
      </x:c>
      <x:c r="H4297" s="19" t="str">
        <x:v>POOL006</x:v>
      </x:c>
      <x:c r="I4297" s="22" t="n">
        <x:v>20000000</x:v>
      </x:c>
      <x:c r="J4297" s="22" t="n">
        <x:v>1</x:v>
      </x:c>
      <x:c r="K4297" s="19" t="n">
        <x:v>6</x:v>
      </x:c>
      <x:c r="L4297" s="24" t="n">
        <x:v>62.126999999999995</x:v>
      </x:c>
      <x:c r="M4297" s="26" t="n">
        <x:v>0.1</x:v>
      </x:c>
      <x:c r="N4297" s="24" t="n">
        <x:v>72</x:v>
      </x:c>
      <x:c r="O4297" s="28" t="n">
        <x:f>MIN(1,L4297/I4297)</x:f>
        <x:v>0.00000310635</x:v>
      </x:c>
      <x:c r="P4297" s="30" t="n">
        <x:f>O4297*J4297*(1+M4297)</x:f>
        <x:v>0.0000034169850000000003</x:v>
      </x:c>
      <x:c r="Q4297" s="30" t="n">
        <x:f>P4297*N4297</x:f>
        <x:v>0.00024602292000000005</x:v>
      </x:c>
      <x:c r="R4297" s="19" t="str">
        <x:v>六选一；非6个独立爆率</x:v>
      </x:c>
    </x:row>
    <x:row r="4298" ht="19" customHeight="1">
      <x:c r="A4298" s="19" t="str">
        <x:v>D04294</x:v>
      </x:c>
      <x:c r="B4298" s="19" t="n">
        <x:v>9</x:v>
      </x:c>
      <x:c r="C4298" s="19" t="n">
        <x:v>3</x:v>
      </x:c>
      <x:c r="D4298" s="19" t="str">
        <x:v>C09-M031</x:v>
      </x:c>
      <x:c r="E4298" s="19" t="str">
        <x:v>王陵问名官</x:v>
      </x:c>
      <x:c r="F4298" s="19" t="str">
        <x:v>稀有</x:v>
      </x:c>
      <x:c r="G4298" s="19" t="str">
        <x:v>自身专属</x:v>
      </x:c>
      <x:c r="H4298" s="19" t="str">
        <x:v>问名官冥笠</x:v>
      </x:c>
      <x:c r="I4298" s="22" t="n">
        <x:v>1800</x:v>
      </x:c>
      <x:c r="J4298" s="22" t="n">
        <x:v>1</x:v>
      </x:c>
      <x:c r="K4298" s="19" t="n">
        <x:v>1</x:v>
      </x:c>
      <x:c r="L4298" s="24" t="n">
        <x:v>62.126999999999995</x:v>
      </x:c>
      <x:c r="M4298" s="26" t="n">
        <x:v>0.1</x:v>
      </x:c>
      <x:c r="N4298" s="24" t="n">
        <x:v>12</x:v>
      </x:c>
      <x:c r="O4298" s="28" t="n">
        <x:f>MIN(1,L4298/I4298)</x:f>
        <x:v>0.034515</x:v>
      </x:c>
      <x:c r="P4298" s="30" t="n">
        <x:f>O4298*J4298*(1+M4298)</x:f>
        <x:v>0.0379665</x:v>
      </x:c>
      <x:c r="Q4298" s="30" t="n">
        <x:f>P4298*N4298</x:f>
        <x:v>0.455598</x:v>
      </x:c>
      <x:c r="R4298" s="19" t="str">
        <x:v>独立判定</x:v>
      </x:c>
    </x:row>
    <x:row r="4299" ht="19" customHeight="1">
      <x:c r="A4299" s="19" t="str">
        <x:v>D04295</x:v>
      </x:c>
      <x:c r="B4299" s="19" t="n">
        <x:v>9</x:v>
      </x:c>
      <x:c r="C4299" s="19" t="n">
        <x:v>3</x:v>
      </x:c>
      <x:c r="D4299" s="19" t="str">
        <x:v>C09-M031</x:v>
      </x:c>
      <x:c r="E4299" s="19" t="str">
        <x:v>王陵问名官</x:v>
      </x:c>
      <x:c r="F4299" s="19" t="str">
        <x:v>稀有</x:v>
      </x:c>
      <x:c r="G4299" s="19" t="str">
        <x:v>材料独立候选</x:v>
      </x:c>
      <x:c r="H4299" s="19" t="str">
        <x:v>黄金叶脉</x:v>
      </x:c>
      <x:c r="I4299" s="22" t="n">
        <x:v>1000</x:v>
      </x:c>
      <x:c r="J4299" s="22" t="n">
        <x:v>15</x:v>
      </x:c>
      <x:c r="K4299" s="19" t="n">
        <x:v>1</x:v>
      </x:c>
      <x:c r="L4299" s="24" t="n">
        <x:v>62.126999999999995</x:v>
      </x:c>
      <x:c r="M4299" s="26" t="n">
        <x:v>0.1</x:v>
      </x:c>
      <x:c r="N4299" s="24" t="n">
        <x:v>12</x:v>
      </x:c>
      <x:c r="O4299" s="28" t="n">
        <x:f>MIN(1,L4299/I4299)</x:f>
        <x:v>0.062126999999999995</x:v>
      </x:c>
      <x:c r="P4299" s="30" t="n">
        <x:f>O4299*J4299*(1+M4299)</x:f>
        <x:v>1.0250955</x:v>
      </x:c>
      <x:c r="Q4299" s="30" t="n">
        <x:f>P4299*N4299</x:f>
        <x:v>12.301146</x:v>
      </x:c>
      <x:c r="R4299" s="19" t="str">
        <x:v>独立判定</x:v>
      </x:c>
    </x:row>
    <x:row r="4300" ht="19" customHeight="1">
      <x:c r="A4300" s="19" t="str">
        <x:v>D04296</x:v>
      </x:c>
      <x:c r="B4300" s="19" t="n">
        <x:v>9</x:v>
      </x:c>
      <x:c r="C4300" s="19" t="n">
        <x:v>3</x:v>
      </x:c>
      <x:c r="D4300" s="19" t="str">
        <x:v>C09-M031</x:v>
      </x:c>
      <x:c r="E4300" s="19" t="str">
        <x:v>王陵问名官</x:v>
      </x:c>
      <x:c r="F4300" s="19" t="str">
        <x:v>稀有</x:v>
      </x:c>
      <x:c r="G4300" s="19" t="str">
        <x:v>材料独立候选</x:v>
      </x:c>
      <x:c r="H4300" s="19" t="str">
        <x:v>古王律页</x:v>
      </x:c>
      <x:c r="I4300" s="22" t="n">
        <x:v>1000</x:v>
      </x:c>
      <x:c r="J4300" s="22" t="n">
        <x:v>1</x:v>
      </x:c>
      <x:c r="K4300" s="19" t="n">
        <x:v>1</x:v>
      </x:c>
      <x:c r="L4300" s="24" t="n">
        <x:v>62.126999999999995</x:v>
      </x:c>
      <x:c r="M4300" s="26" t="n">
        <x:v>0.1</x:v>
      </x:c>
      <x:c r="N4300" s="24" t="n">
        <x:v>12</x:v>
      </x:c>
      <x:c r="O4300" s="28" t="n">
        <x:f>MIN(1,L4300/I4300)</x:f>
        <x:v>0.062126999999999995</x:v>
      </x:c>
      <x:c r="P4300" s="30" t="n">
        <x:f>O4300*J4300*(1+M4300)</x:f>
        <x:v>0.0683397</x:v>
      </x:c>
      <x:c r="Q4300" s="30" t="n">
        <x:f>P4300*N4300</x:f>
        <x:v>0.8200764</x:v>
      </x:c>
      <x:c r="R4300" s="19" t="str">
        <x:v>独立判定</x:v>
      </x:c>
    </x:row>
    <x:row r="4301" ht="19" customHeight="1">
      <x:c r="A4301" s="19" t="str">
        <x:v>D04297</x:v>
      </x:c>
      <x:c r="B4301" s="19" t="n">
        <x:v>9</x:v>
      </x:c>
      <x:c r="C4301" s="19" t="n">
        <x:v>3</x:v>
      </x:c>
      <x:c r="D4301" s="19" t="str">
        <x:v>C09-M031</x:v>
      </x:c>
      <x:c r="E4301" s="19" t="str">
        <x:v>王陵问名官</x:v>
      </x:c>
      <x:c r="F4301" s="19" t="str">
        <x:v>稀有</x:v>
      </x:c>
      <x:c r="G4301" s="19" t="str">
        <x:v>材料独立候选</x:v>
      </x:c>
      <x:c r="H4301" s="19" t="str">
        <x:v>矿脉灯芯</x:v>
      </x:c>
      <x:c r="I4301" s="22" t="n">
        <x:v>5000</x:v>
      </x:c>
      <x:c r="J4301" s="22" t="n">
        <x:v>1</x:v>
      </x:c>
      <x:c r="K4301" s="19" t="n">
        <x:v>1</x:v>
      </x:c>
      <x:c r="L4301" s="24" t="n">
        <x:v>62.126999999999995</x:v>
      </x:c>
      <x:c r="M4301" s="26" t="n">
        <x:v>0.1</x:v>
      </x:c>
      <x:c r="N4301" s="24" t="n">
        <x:v>12</x:v>
      </x:c>
      <x:c r="O4301" s="28" t="n">
        <x:f>MIN(1,L4301/I4301)</x:f>
        <x:v>0.0124254</x:v>
      </x:c>
      <x:c r="P4301" s="30" t="n">
        <x:f>O4301*J4301*(1+M4301)</x:f>
        <x:v>0.01366794</x:v>
      </x:c>
      <x:c r="Q4301" s="30" t="n">
        <x:f>P4301*N4301</x:f>
        <x:v>0.16401527999999999</x:v>
      </x:c>
      <x:c r="R4301" s="19" t="str">
        <x:v>独立判定</x:v>
      </x:c>
    </x:row>
    <x:row r="4302" ht="19" customHeight="1">
      <x:c r="A4302" s="19" t="str">
        <x:v>D04298</x:v>
      </x:c>
      <x:c r="B4302" s="19" t="n">
        <x:v>9</x:v>
      </x:c>
      <x:c r="C4302" s="19" t="n">
        <x:v>3</x:v>
      </x:c>
      <x:c r="D4302" s="19" t="str">
        <x:v>C09-M031</x:v>
      </x:c>
      <x:c r="E4302" s="19" t="str">
        <x:v>王陵问名官</x:v>
      </x:c>
      <x:c r="F4302" s="19" t="str">
        <x:v>稀有</x:v>
      </x:c>
      <x:c r="G4302" s="19" t="str">
        <x:v>材料独立候选</x:v>
      </x:c>
      <x:c r="H4302" s="19" t="str">
        <x:v>古坛鎏叶髓</x:v>
      </x:c>
      <x:c r="I4302" s="22" t="n">
        <x:v>1800000</x:v>
      </x:c>
      <x:c r="J4302" s="22" t="n">
        <x:v>1</x:v>
      </x:c>
      <x:c r="K4302" s="19" t="n">
        <x:v>1</x:v>
      </x:c>
      <x:c r="L4302" s="24" t="n">
        <x:v>62.126999999999995</x:v>
      </x:c>
      <x:c r="M4302" s="26" t="n">
        <x:v>0.1</x:v>
      </x:c>
      <x:c r="N4302" s="24" t="n">
        <x:v>12</x:v>
      </x:c>
      <x:c r="O4302" s="28" t="n">
        <x:f>MIN(1,L4302/I4302)</x:f>
        <x:v>0.000034515</x:v>
      </x:c>
      <x:c r="P4302" s="30" t="n">
        <x:f>O4302*J4302*(1+M4302)</x:f>
        <x:v>0.0000379665</x:v>
      </x:c>
      <x:c r="Q4302" s="30" t="n">
        <x:f>P4302*N4302</x:f>
        <x:v>0.00045559800000000004</x:v>
      </x:c>
      <x:c r="R4302" s="19" t="str">
        <x:v>独立判定</x:v>
      </x:c>
    </x:row>
    <x:row r="4303" ht="19" customHeight="1">
      <x:c r="A4303" s="19" t="str">
        <x:v>D04299</x:v>
      </x:c>
      <x:c r="B4303" s="19" t="n">
        <x:v>9</x:v>
      </x:c>
      <x:c r="C4303" s="19" t="n">
        <x:v>3</x:v>
      </x:c>
      <x:c r="D4303" s="19" t="str">
        <x:v>C09-M031</x:v>
      </x:c>
      <x:c r="E4303" s="19" t="str">
        <x:v>王陵问名官</x:v>
      </x:c>
      <x:c r="F4303" s="19" t="str">
        <x:v>稀有</x:v>
      </x:c>
      <x:c r="G4303" s="19" t="str">
        <x:v>材料独立候选</x:v>
      </x:c>
      <x:c r="H4303" s="19" t="str">
        <x:v>黄金树芽</x:v>
      </x:c>
      <x:c r="I4303" s="22" t="n">
        <x:v>12000</x:v>
      </x:c>
      <x:c r="J4303" s="22" t="n">
        <x:v>1</x:v>
      </x:c>
      <x:c r="K4303" s="19" t="n">
        <x:v>1</x:v>
      </x:c>
      <x:c r="L4303" s="24" t="n">
        <x:v>62.126999999999995</x:v>
      </x:c>
      <x:c r="M4303" s="26" t="n">
        <x:v>0.1</x:v>
      </x:c>
      <x:c r="N4303" s="24" t="n">
        <x:v>12</x:v>
      </x:c>
      <x:c r="O4303" s="28" t="n">
        <x:f>MIN(1,L4303/I4303)</x:f>
        <x:v>0.0051772499999999996</x:v>
      </x:c>
      <x:c r="P4303" s="30" t="n">
        <x:f>O4303*J4303*(1+M4303)</x:f>
        <x:v>0.005694975</x:v>
      </x:c>
      <x:c r="Q4303" s="30" t="n">
        <x:f>P4303*N4303</x:f>
        <x:v>0.0683397</x:v>
      </x:c>
      <x:c r="R4303" s="19" t="str">
        <x:v>独立判定</x:v>
      </x:c>
    </x:row>
    <x:row r="4304" ht="19" customHeight="1">
      <x:c r="A4304" s="19" t="str">
        <x:v>D04300</x:v>
      </x:c>
      <x:c r="B4304" s="19" t="n">
        <x:v>9</x:v>
      </x:c>
      <x:c r="C4304" s="19" t="n">
        <x:v>3</x:v>
      </x:c>
      <x:c r="D4304" s="19" t="str">
        <x:v>C09-M031</x:v>
      </x:c>
      <x:c r="E4304" s="19" t="str">
        <x:v>王陵问名官</x:v>
      </x:c>
      <x:c r="F4304" s="19" t="str">
        <x:v>稀有</x:v>
      </x:c>
      <x:c r="G4304" s="19" t="str">
        <x:v>材料独立候选</x:v>
      </x:c>
      <x:c r="H4304" s="19" t="str">
        <x:v>野兽骨片</x:v>
      </x:c>
      <x:c r="I4304" s="22" t="n">
        <x:v>180</x:v>
      </x:c>
      <x:c r="J4304" s="22" t="n">
        <x:v>5</x:v>
      </x:c>
      <x:c r="K4304" s="19" t="n">
        <x:v>1</x:v>
      </x:c>
      <x:c r="L4304" s="24" t="n">
        <x:v>62.126999999999995</x:v>
      </x:c>
      <x:c r="M4304" s="26" t="n">
        <x:v>0.1</x:v>
      </x:c>
      <x:c r="N4304" s="24" t="n">
        <x:v>12</x:v>
      </x:c>
      <x:c r="O4304" s="28" t="n">
        <x:f>MIN(1,L4304/I4304)</x:f>
        <x:v>0.34514999999999996</x:v>
      </x:c>
      <x:c r="P4304" s="30" t="n">
        <x:f>O4304*J4304*(1+M4304)</x:f>
        <x:v>1.8983249999999998</x:v>
      </x:c>
      <x:c r="Q4304" s="30" t="n">
        <x:f>P4304*N4304</x:f>
        <x:v>22.779899999999998</x:v>
      </x:c>
      <x:c r="R4304" s="19" t="str">
        <x:v>独立判定</x:v>
      </x:c>
    </x:row>
    <x:row r="4305" ht="19" customHeight="1">
      <x:c r="A4305" s="19" t="str">
        <x:v>D04301</x:v>
      </x:c>
      <x:c r="B4305" s="19" t="n">
        <x:v>9</x:v>
      </x:c>
      <x:c r="C4305" s="19" t="n">
        <x:v>3</x:v>
      </x:c>
      <x:c r="D4305" s="19" t="str">
        <x:v>C09-M031</x:v>
      </x:c>
      <x:c r="E4305" s="19" t="str">
        <x:v>王陵问名官</x:v>
      </x:c>
      <x:c r="F4305" s="19" t="str">
        <x:v>稀有</x:v>
      </x:c>
      <x:c r="G4305" s="19" t="str">
        <x:v>材料独立候选</x:v>
      </x:c>
      <x:c r="H4305" s="19" t="str">
        <x:v>技能残页</x:v>
      </x:c>
      <x:c r="I4305" s="22" t="n">
        <x:v>1800</x:v>
      </x:c>
      <x:c r="J4305" s="22" t="n">
        <x:v>1</x:v>
      </x:c>
      <x:c r="K4305" s="19" t="n">
        <x:v>1</x:v>
      </x:c>
      <x:c r="L4305" s="24" t="n">
        <x:v>62.126999999999995</x:v>
      </x:c>
      <x:c r="M4305" s="26" t="n">
        <x:v>0.1</x:v>
      </x:c>
      <x:c r="N4305" s="24" t="n">
        <x:v>12</x:v>
      </x:c>
      <x:c r="O4305" s="28" t="n">
        <x:f>MIN(1,L4305/I4305)</x:f>
        <x:v>0.034515</x:v>
      </x:c>
      <x:c r="P4305" s="30" t="n">
        <x:f>O4305*J4305*(1+M4305)</x:f>
        <x:v>0.0379665</x:v>
      </x:c>
      <x:c r="Q4305" s="30" t="n">
        <x:f>P4305*N4305</x:f>
        <x:v>0.455598</x:v>
      </x:c>
      <x:c r="R4305" s="19" t="str">
        <x:v>独立判定</x:v>
      </x:c>
    </x:row>
    <x:row r="4306" ht="19" customHeight="1">
      <x:c r="A4306" s="19" t="str">
        <x:v>D04302</x:v>
      </x:c>
      <x:c r="B4306" s="19" t="n">
        <x:v>9</x:v>
      </x:c>
      <x:c r="C4306" s="19" t="n">
        <x:v>3</x:v>
      </x:c>
      <x:c r="D4306" s="19" t="str">
        <x:v>C09-M031</x:v>
      </x:c>
      <x:c r="E4306" s="19" t="str">
        <x:v>王陵问名官</x:v>
      </x:c>
      <x:c r="F4306" s="19" t="str">
        <x:v>稀有</x:v>
      </x:c>
      <x:c r="G4306" s="19" t="str">
        <x:v>材料独立候选</x:v>
      </x:c>
      <x:c r="H4306" s="19" t="str">
        <x:v>小卢恩</x:v>
      </x:c>
      <x:c r="I4306" s="22" t="n">
        <x:v>12000</x:v>
      </x:c>
      <x:c r="J4306" s="22" t="n">
        <x:v>1</x:v>
      </x:c>
      <x:c r="K4306" s="19" t="n">
        <x:v>1</x:v>
      </x:c>
      <x:c r="L4306" s="24" t="n">
        <x:v>62.126999999999995</x:v>
      </x:c>
      <x:c r="M4306" s="26" t="n">
        <x:v>0.1</x:v>
      </x:c>
      <x:c r="N4306" s="24" t="n">
        <x:v>12</x:v>
      </x:c>
      <x:c r="O4306" s="28" t="n">
        <x:f>MIN(1,L4306/I4306)</x:f>
        <x:v>0.0051772499999999996</x:v>
      </x:c>
      <x:c r="P4306" s="30" t="n">
        <x:f>O4306*J4306*(1+M4306)</x:f>
        <x:v>0.005694975</x:v>
      </x:c>
      <x:c r="Q4306" s="30" t="n">
        <x:f>P4306*N4306</x:f>
        <x:v>0.0683397</x:v>
      </x:c>
      <x:c r="R4306" s="19" t="str">
        <x:v>独立判定</x:v>
      </x:c>
    </x:row>
    <x:row r="4307" ht="19" customHeight="1">
      <x:c r="A4307" s="19" t="str">
        <x:v>D04303</x:v>
      </x:c>
      <x:c r="B4307" s="19" t="n">
        <x:v>9</x:v>
      </x:c>
      <x:c r="C4307" s="19" t="n">
        <x:v>3</x:v>
      </x:c>
      <x:c r="D4307" s="19" t="str">
        <x:v>C09-M031</x:v>
      </x:c>
      <x:c r="E4307" s="19" t="str">
        <x:v>王陵问名官</x:v>
      </x:c>
      <x:c r="F4307" s="19" t="str">
        <x:v>稀有</x:v>
      </x:c>
      <x:c r="G4307" s="19" t="str">
        <x:v>六神器公共池</x:v>
      </x:c>
      <x:c r="H4307" s="19" t="str">
        <x:v>POOL006</x:v>
      </x:c>
      <x:c r="I4307" s="22" t="n">
        <x:v>5000000</x:v>
      </x:c>
      <x:c r="J4307" s="22" t="n">
        <x:v>1</x:v>
      </x:c>
      <x:c r="K4307" s="19" t="n">
        <x:v>6</x:v>
      </x:c>
      <x:c r="L4307" s="24" t="n">
        <x:v>62.126999999999995</x:v>
      </x:c>
      <x:c r="M4307" s="26" t="n">
        <x:v>0.1</x:v>
      </x:c>
      <x:c r="N4307" s="24" t="n">
        <x:v>12</x:v>
      </x:c>
      <x:c r="O4307" s="28" t="n">
        <x:f>MIN(1,L4307/I4307)</x:f>
        <x:v>0.0000124254</x:v>
      </x:c>
      <x:c r="P4307" s="30" t="n">
        <x:f>O4307*J4307*(1+M4307)</x:f>
        <x:v>0.000013667940000000001</x:v>
      </x:c>
      <x:c r="Q4307" s="30" t="n">
        <x:f>P4307*N4307</x:f>
        <x:v>0.00016401528000000001</x:v>
      </x:c>
      <x:c r="R4307" s="19" t="str">
        <x:v>六选一；非6个独立爆率</x:v>
      </x:c>
    </x:row>
    <x:row r="4308" ht="19" customHeight="1">
      <x:c r="A4308" s="19" t="str">
        <x:v>D04304</x:v>
      </x:c>
      <x:c r="B4308" s="19" t="n">
        <x:v>9</x:v>
      </x:c>
      <x:c r="C4308" s="19" t="n">
        <x:v>3</x:v>
      </x:c>
      <x:c r="D4308" s="19" t="str">
        <x:v>C09-M032</x:v>
      </x:c>
      <x:c r="E4308" s="19" t="str">
        <x:v>甬道无面近卫</x:v>
      </x:c>
      <x:c r="F4308" s="19" t="str">
        <x:v>稀有</x:v>
      </x:c>
      <x:c r="G4308" s="19" t="str">
        <x:v>自身专属</x:v>
      </x:c>
      <x:c r="H4308" s="19" t="str">
        <x:v>无面近卫盔</x:v>
      </x:c>
      <x:c r="I4308" s="22" t="n">
        <x:v>1800</x:v>
      </x:c>
      <x:c r="J4308" s="22" t="n">
        <x:v>1</x:v>
      </x:c>
      <x:c r="K4308" s="19" t="n">
        <x:v>1</x:v>
      </x:c>
      <x:c r="L4308" s="24" t="n">
        <x:v>62.126999999999995</x:v>
      </x:c>
      <x:c r="M4308" s="26" t="n">
        <x:v>0.1</x:v>
      </x:c>
      <x:c r="N4308" s="24" t="n">
        <x:v>12</x:v>
      </x:c>
      <x:c r="O4308" s="28" t="n">
        <x:f>MIN(1,L4308/I4308)</x:f>
        <x:v>0.034515</x:v>
      </x:c>
      <x:c r="P4308" s="30" t="n">
        <x:f>O4308*J4308*(1+M4308)</x:f>
        <x:v>0.0379665</x:v>
      </x:c>
      <x:c r="Q4308" s="30" t="n">
        <x:f>P4308*N4308</x:f>
        <x:v>0.455598</x:v>
      </x:c>
      <x:c r="R4308" s="19" t="str">
        <x:v>独立判定</x:v>
      </x:c>
    </x:row>
    <x:row r="4309" ht="19" customHeight="1">
      <x:c r="A4309" s="19" t="str">
        <x:v>D04305</x:v>
      </x:c>
      <x:c r="B4309" s="19" t="n">
        <x:v>9</x:v>
      </x:c>
      <x:c r="C4309" s="19" t="n">
        <x:v>3</x:v>
      </x:c>
      <x:c r="D4309" s="19" t="str">
        <x:v>C09-M032</x:v>
      </x:c>
      <x:c r="E4309" s="19" t="str">
        <x:v>甬道无面近卫</x:v>
      </x:c>
      <x:c r="F4309" s="19" t="str">
        <x:v>稀有</x:v>
      </x:c>
      <x:c r="G4309" s="19" t="str">
        <x:v>材料独立候选</x:v>
      </x:c>
      <x:c r="H4309" s="19" t="str">
        <x:v>黄金叶脉</x:v>
      </x:c>
      <x:c r="I4309" s="22" t="n">
        <x:v>1000</x:v>
      </x:c>
      <x:c r="J4309" s="22" t="n">
        <x:v>15</x:v>
      </x:c>
      <x:c r="K4309" s="19" t="n">
        <x:v>1</x:v>
      </x:c>
      <x:c r="L4309" s="24" t="n">
        <x:v>62.126999999999995</x:v>
      </x:c>
      <x:c r="M4309" s="26" t="n">
        <x:v>0.1</x:v>
      </x:c>
      <x:c r="N4309" s="24" t="n">
        <x:v>12</x:v>
      </x:c>
      <x:c r="O4309" s="28" t="n">
        <x:f>MIN(1,L4309/I4309)</x:f>
        <x:v>0.062126999999999995</x:v>
      </x:c>
      <x:c r="P4309" s="30" t="n">
        <x:f>O4309*J4309*(1+M4309)</x:f>
        <x:v>1.0250955</x:v>
      </x:c>
      <x:c r="Q4309" s="30" t="n">
        <x:f>P4309*N4309</x:f>
        <x:v>12.301146</x:v>
      </x:c>
      <x:c r="R4309" s="19" t="str">
        <x:v>独立判定</x:v>
      </x:c>
    </x:row>
    <x:row r="4310" ht="19" customHeight="1">
      <x:c r="A4310" s="19" t="str">
        <x:v>D04306</x:v>
      </x:c>
      <x:c r="B4310" s="19" t="n">
        <x:v>9</x:v>
      </x:c>
      <x:c r="C4310" s="19" t="n">
        <x:v>3</x:v>
      </x:c>
      <x:c r="D4310" s="19" t="str">
        <x:v>C09-M032</x:v>
      </x:c>
      <x:c r="E4310" s="19" t="str">
        <x:v>甬道无面近卫</x:v>
      </x:c>
      <x:c r="F4310" s="19" t="str">
        <x:v>稀有</x:v>
      </x:c>
      <x:c r="G4310" s="19" t="str">
        <x:v>材料独立候选</x:v>
      </x:c>
      <x:c r="H4310" s="19" t="str">
        <x:v>古王律页</x:v>
      </x:c>
      <x:c r="I4310" s="22" t="n">
        <x:v>1000</x:v>
      </x:c>
      <x:c r="J4310" s="22" t="n">
        <x:v>1</x:v>
      </x:c>
      <x:c r="K4310" s="19" t="n">
        <x:v>1</x:v>
      </x:c>
      <x:c r="L4310" s="24" t="n">
        <x:v>62.126999999999995</x:v>
      </x:c>
      <x:c r="M4310" s="26" t="n">
        <x:v>0.1</x:v>
      </x:c>
      <x:c r="N4310" s="24" t="n">
        <x:v>12</x:v>
      </x:c>
      <x:c r="O4310" s="28" t="n">
        <x:f>MIN(1,L4310/I4310)</x:f>
        <x:v>0.062126999999999995</x:v>
      </x:c>
      <x:c r="P4310" s="30" t="n">
        <x:f>O4310*J4310*(1+M4310)</x:f>
        <x:v>0.0683397</x:v>
      </x:c>
      <x:c r="Q4310" s="30" t="n">
        <x:f>P4310*N4310</x:f>
        <x:v>0.8200764</x:v>
      </x:c>
      <x:c r="R4310" s="19" t="str">
        <x:v>独立判定</x:v>
      </x:c>
    </x:row>
    <x:row r="4311" ht="19" customHeight="1">
      <x:c r="A4311" s="19" t="str">
        <x:v>D04307</x:v>
      </x:c>
      <x:c r="B4311" s="19" t="n">
        <x:v>9</x:v>
      </x:c>
      <x:c r="C4311" s="19" t="n">
        <x:v>3</x:v>
      </x:c>
      <x:c r="D4311" s="19" t="str">
        <x:v>C09-M032</x:v>
      </x:c>
      <x:c r="E4311" s="19" t="str">
        <x:v>甬道无面近卫</x:v>
      </x:c>
      <x:c r="F4311" s="19" t="str">
        <x:v>稀有</x:v>
      </x:c>
      <x:c r="G4311" s="19" t="str">
        <x:v>材料独立候选</x:v>
      </x:c>
      <x:c r="H4311" s="19" t="str">
        <x:v>矿脉灯芯</x:v>
      </x:c>
      <x:c r="I4311" s="22" t="n">
        <x:v>5000</x:v>
      </x:c>
      <x:c r="J4311" s="22" t="n">
        <x:v>1</x:v>
      </x:c>
      <x:c r="K4311" s="19" t="n">
        <x:v>1</x:v>
      </x:c>
      <x:c r="L4311" s="24" t="n">
        <x:v>62.126999999999995</x:v>
      </x:c>
      <x:c r="M4311" s="26" t="n">
        <x:v>0.1</x:v>
      </x:c>
      <x:c r="N4311" s="24" t="n">
        <x:v>12</x:v>
      </x:c>
      <x:c r="O4311" s="28" t="n">
        <x:f>MIN(1,L4311/I4311)</x:f>
        <x:v>0.0124254</x:v>
      </x:c>
      <x:c r="P4311" s="30" t="n">
        <x:f>O4311*J4311*(1+M4311)</x:f>
        <x:v>0.01366794</x:v>
      </x:c>
      <x:c r="Q4311" s="30" t="n">
        <x:f>P4311*N4311</x:f>
        <x:v>0.16401527999999999</x:v>
      </x:c>
      <x:c r="R4311" s="19" t="str">
        <x:v>独立判定</x:v>
      </x:c>
    </x:row>
    <x:row r="4312" ht="19" customHeight="1">
      <x:c r="A4312" s="19" t="str">
        <x:v>D04308</x:v>
      </x:c>
      <x:c r="B4312" s="19" t="n">
        <x:v>9</x:v>
      </x:c>
      <x:c r="C4312" s="19" t="n">
        <x:v>3</x:v>
      </x:c>
      <x:c r="D4312" s="19" t="str">
        <x:v>C09-M032</x:v>
      </x:c>
      <x:c r="E4312" s="19" t="str">
        <x:v>甬道无面近卫</x:v>
      </x:c>
      <x:c r="F4312" s="19" t="str">
        <x:v>稀有</x:v>
      </x:c>
      <x:c r="G4312" s="19" t="str">
        <x:v>材料独立候选</x:v>
      </x:c>
      <x:c r="H4312" s="19" t="str">
        <x:v>古坛鎏叶髓</x:v>
      </x:c>
      <x:c r="I4312" s="22" t="n">
        <x:v>1800000</x:v>
      </x:c>
      <x:c r="J4312" s="22" t="n">
        <x:v>1</x:v>
      </x:c>
      <x:c r="K4312" s="19" t="n">
        <x:v>1</x:v>
      </x:c>
      <x:c r="L4312" s="24" t="n">
        <x:v>62.126999999999995</x:v>
      </x:c>
      <x:c r="M4312" s="26" t="n">
        <x:v>0.1</x:v>
      </x:c>
      <x:c r="N4312" s="24" t="n">
        <x:v>12</x:v>
      </x:c>
      <x:c r="O4312" s="28" t="n">
        <x:f>MIN(1,L4312/I4312)</x:f>
        <x:v>0.000034515</x:v>
      </x:c>
      <x:c r="P4312" s="30" t="n">
        <x:f>O4312*J4312*(1+M4312)</x:f>
        <x:v>0.0000379665</x:v>
      </x:c>
      <x:c r="Q4312" s="30" t="n">
        <x:f>P4312*N4312</x:f>
        <x:v>0.00045559800000000004</x:v>
      </x:c>
      <x:c r="R4312" s="19" t="str">
        <x:v>独立判定</x:v>
      </x:c>
    </x:row>
    <x:row r="4313" ht="19" customHeight="1">
      <x:c r="A4313" s="19" t="str">
        <x:v>D04309</x:v>
      </x:c>
      <x:c r="B4313" s="19" t="n">
        <x:v>9</x:v>
      </x:c>
      <x:c r="C4313" s="19" t="n">
        <x:v>3</x:v>
      </x:c>
      <x:c r="D4313" s="19" t="str">
        <x:v>C09-M032</x:v>
      </x:c>
      <x:c r="E4313" s="19" t="str">
        <x:v>甬道无面近卫</x:v>
      </x:c>
      <x:c r="F4313" s="19" t="str">
        <x:v>稀有</x:v>
      </x:c>
      <x:c r="G4313" s="19" t="str">
        <x:v>材料独立候选</x:v>
      </x:c>
      <x:c r="H4313" s="19" t="str">
        <x:v>黄金树芽</x:v>
      </x:c>
      <x:c r="I4313" s="22" t="n">
        <x:v>12000</x:v>
      </x:c>
      <x:c r="J4313" s="22" t="n">
        <x:v>1</x:v>
      </x:c>
      <x:c r="K4313" s="19" t="n">
        <x:v>1</x:v>
      </x:c>
      <x:c r="L4313" s="24" t="n">
        <x:v>62.126999999999995</x:v>
      </x:c>
      <x:c r="M4313" s="26" t="n">
        <x:v>0.1</x:v>
      </x:c>
      <x:c r="N4313" s="24" t="n">
        <x:v>12</x:v>
      </x:c>
      <x:c r="O4313" s="28" t="n">
        <x:f>MIN(1,L4313/I4313)</x:f>
        <x:v>0.0051772499999999996</x:v>
      </x:c>
      <x:c r="P4313" s="30" t="n">
        <x:f>O4313*J4313*(1+M4313)</x:f>
        <x:v>0.005694975</x:v>
      </x:c>
      <x:c r="Q4313" s="30" t="n">
        <x:f>P4313*N4313</x:f>
        <x:v>0.0683397</x:v>
      </x:c>
      <x:c r="R4313" s="19" t="str">
        <x:v>独立判定</x:v>
      </x:c>
    </x:row>
    <x:row r="4314" ht="19" customHeight="1">
      <x:c r="A4314" s="19" t="str">
        <x:v>D04310</x:v>
      </x:c>
      <x:c r="B4314" s="19" t="n">
        <x:v>9</x:v>
      </x:c>
      <x:c r="C4314" s="19" t="n">
        <x:v>3</x:v>
      </x:c>
      <x:c r="D4314" s="19" t="str">
        <x:v>C09-M032</x:v>
      </x:c>
      <x:c r="E4314" s="19" t="str">
        <x:v>甬道无面近卫</x:v>
      </x:c>
      <x:c r="F4314" s="19" t="str">
        <x:v>稀有</x:v>
      </x:c>
      <x:c r="G4314" s="19" t="str">
        <x:v>材料独立候选</x:v>
      </x:c>
      <x:c r="H4314" s="19" t="str">
        <x:v>野兽骨片</x:v>
      </x:c>
      <x:c r="I4314" s="22" t="n">
        <x:v>180</x:v>
      </x:c>
      <x:c r="J4314" s="22" t="n">
        <x:v>5</x:v>
      </x:c>
      <x:c r="K4314" s="19" t="n">
        <x:v>1</x:v>
      </x:c>
      <x:c r="L4314" s="24" t="n">
        <x:v>62.126999999999995</x:v>
      </x:c>
      <x:c r="M4314" s="26" t="n">
        <x:v>0.1</x:v>
      </x:c>
      <x:c r="N4314" s="24" t="n">
        <x:v>12</x:v>
      </x:c>
      <x:c r="O4314" s="28" t="n">
        <x:f>MIN(1,L4314/I4314)</x:f>
        <x:v>0.34514999999999996</x:v>
      </x:c>
      <x:c r="P4314" s="30" t="n">
        <x:f>O4314*J4314*(1+M4314)</x:f>
        <x:v>1.8983249999999998</x:v>
      </x:c>
      <x:c r="Q4314" s="30" t="n">
        <x:f>P4314*N4314</x:f>
        <x:v>22.779899999999998</x:v>
      </x:c>
      <x:c r="R4314" s="19" t="str">
        <x:v>独立判定</x:v>
      </x:c>
    </x:row>
    <x:row r="4315" ht="19" customHeight="1">
      <x:c r="A4315" s="19" t="str">
        <x:v>D04311</x:v>
      </x:c>
      <x:c r="B4315" s="19" t="n">
        <x:v>9</x:v>
      </x:c>
      <x:c r="C4315" s="19" t="n">
        <x:v>3</x:v>
      </x:c>
      <x:c r="D4315" s="19" t="str">
        <x:v>C09-M032</x:v>
      </x:c>
      <x:c r="E4315" s="19" t="str">
        <x:v>甬道无面近卫</x:v>
      </x:c>
      <x:c r="F4315" s="19" t="str">
        <x:v>稀有</x:v>
      </x:c>
      <x:c r="G4315" s="19" t="str">
        <x:v>材料独立候选</x:v>
      </x:c>
      <x:c r="H4315" s="19" t="str">
        <x:v>技能残页</x:v>
      </x:c>
      <x:c r="I4315" s="22" t="n">
        <x:v>1800</x:v>
      </x:c>
      <x:c r="J4315" s="22" t="n">
        <x:v>1</x:v>
      </x:c>
      <x:c r="K4315" s="19" t="n">
        <x:v>1</x:v>
      </x:c>
      <x:c r="L4315" s="24" t="n">
        <x:v>62.126999999999995</x:v>
      </x:c>
      <x:c r="M4315" s="26" t="n">
        <x:v>0.1</x:v>
      </x:c>
      <x:c r="N4315" s="24" t="n">
        <x:v>12</x:v>
      </x:c>
      <x:c r="O4315" s="28" t="n">
        <x:f>MIN(1,L4315/I4315)</x:f>
        <x:v>0.034515</x:v>
      </x:c>
      <x:c r="P4315" s="30" t="n">
        <x:f>O4315*J4315*(1+M4315)</x:f>
        <x:v>0.0379665</x:v>
      </x:c>
      <x:c r="Q4315" s="30" t="n">
        <x:f>P4315*N4315</x:f>
        <x:v>0.455598</x:v>
      </x:c>
      <x:c r="R4315" s="19" t="str">
        <x:v>独立判定</x:v>
      </x:c>
    </x:row>
    <x:row r="4316" ht="19" customHeight="1">
      <x:c r="A4316" s="19" t="str">
        <x:v>D04312</x:v>
      </x:c>
      <x:c r="B4316" s="19" t="n">
        <x:v>9</x:v>
      </x:c>
      <x:c r="C4316" s="19" t="n">
        <x:v>3</x:v>
      </x:c>
      <x:c r="D4316" s="19" t="str">
        <x:v>C09-M032</x:v>
      </x:c>
      <x:c r="E4316" s="19" t="str">
        <x:v>甬道无面近卫</x:v>
      </x:c>
      <x:c r="F4316" s="19" t="str">
        <x:v>稀有</x:v>
      </x:c>
      <x:c r="G4316" s="19" t="str">
        <x:v>材料独立候选</x:v>
      </x:c>
      <x:c r="H4316" s="19" t="str">
        <x:v>小卢恩</x:v>
      </x:c>
      <x:c r="I4316" s="22" t="n">
        <x:v>12000</x:v>
      </x:c>
      <x:c r="J4316" s="22" t="n">
        <x:v>1</x:v>
      </x:c>
      <x:c r="K4316" s="19" t="n">
        <x:v>1</x:v>
      </x:c>
      <x:c r="L4316" s="24" t="n">
        <x:v>62.126999999999995</x:v>
      </x:c>
      <x:c r="M4316" s="26" t="n">
        <x:v>0.1</x:v>
      </x:c>
      <x:c r="N4316" s="24" t="n">
        <x:v>12</x:v>
      </x:c>
      <x:c r="O4316" s="28" t="n">
        <x:f>MIN(1,L4316/I4316)</x:f>
        <x:v>0.0051772499999999996</x:v>
      </x:c>
      <x:c r="P4316" s="30" t="n">
        <x:f>O4316*J4316*(1+M4316)</x:f>
        <x:v>0.005694975</x:v>
      </x:c>
      <x:c r="Q4316" s="30" t="n">
        <x:f>P4316*N4316</x:f>
        <x:v>0.0683397</x:v>
      </x:c>
      <x:c r="R4316" s="19" t="str">
        <x:v>独立判定</x:v>
      </x:c>
    </x:row>
    <x:row r="4317" ht="19" customHeight="1">
      <x:c r="A4317" s="19" t="str">
        <x:v>D04313</x:v>
      </x:c>
      <x:c r="B4317" s="19" t="n">
        <x:v>9</x:v>
      </x:c>
      <x:c r="C4317" s="19" t="n">
        <x:v>3</x:v>
      </x:c>
      <x:c r="D4317" s="19" t="str">
        <x:v>C09-M032</x:v>
      </x:c>
      <x:c r="E4317" s="19" t="str">
        <x:v>甬道无面近卫</x:v>
      </x:c>
      <x:c r="F4317" s="19" t="str">
        <x:v>稀有</x:v>
      </x:c>
      <x:c r="G4317" s="19" t="str">
        <x:v>六神器公共池</x:v>
      </x:c>
      <x:c r="H4317" s="19" t="str">
        <x:v>POOL006</x:v>
      </x:c>
      <x:c r="I4317" s="22" t="n">
        <x:v>5000000</x:v>
      </x:c>
      <x:c r="J4317" s="22" t="n">
        <x:v>1</x:v>
      </x:c>
      <x:c r="K4317" s="19" t="n">
        <x:v>6</x:v>
      </x:c>
      <x:c r="L4317" s="24" t="n">
        <x:v>62.126999999999995</x:v>
      </x:c>
      <x:c r="M4317" s="26" t="n">
        <x:v>0.1</x:v>
      </x:c>
      <x:c r="N4317" s="24" t="n">
        <x:v>12</x:v>
      </x:c>
      <x:c r="O4317" s="28" t="n">
        <x:f>MIN(1,L4317/I4317)</x:f>
        <x:v>0.0000124254</x:v>
      </x:c>
      <x:c r="P4317" s="30" t="n">
        <x:f>O4317*J4317*(1+M4317)</x:f>
        <x:v>0.000013667940000000001</x:v>
      </x:c>
      <x:c r="Q4317" s="30" t="n">
        <x:f>P4317*N4317</x:f>
        <x:v>0.00016401528000000001</x:v>
      </x:c>
      <x:c r="R4317" s="19" t="str">
        <x:v>六选一；非6个独立爆率</x:v>
      </x:c>
    </x:row>
    <x:row r="4318" ht="19" customHeight="1">
      <x:c r="A4318" s="19" t="str">
        <x:v>D04314</x:v>
      </x:c>
      <x:c r="B4318" s="19" t="n">
        <x:v>9</x:v>
      </x:c>
      <x:c r="C4318" s="19" t="n">
        <x:v>3</x:v>
      </x:c>
      <x:c r="D4318" s="19" t="str">
        <x:v>C09-M033</x:v>
      </x:c>
      <x:c r="E4318" s="19" t="str">
        <x:v>墓室守印妃</x:v>
      </x:c>
      <x:c r="F4318" s="19" t="str">
        <x:v>稀有</x:v>
      </x:c>
      <x:c r="G4318" s="19" t="str">
        <x:v>自身专属</x:v>
      </x:c>
      <x:c r="H4318" s="19" t="str">
        <x:v>守印妃金戒</x:v>
      </x:c>
      <x:c r="I4318" s="22" t="n">
        <x:v>1800</x:v>
      </x:c>
      <x:c r="J4318" s="22" t="n">
        <x:v>1</x:v>
      </x:c>
      <x:c r="K4318" s="19" t="n">
        <x:v>1</x:v>
      </x:c>
      <x:c r="L4318" s="24" t="n">
        <x:v>62.126999999999995</x:v>
      </x:c>
      <x:c r="M4318" s="26" t="n">
        <x:v>0.1</x:v>
      </x:c>
      <x:c r="N4318" s="24" t="n">
        <x:v>12</x:v>
      </x:c>
      <x:c r="O4318" s="28" t="n">
        <x:f>MIN(1,L4318/I4318)</x:f>
        <x:v>0.034515</x:v>
      </x:c>
      <x:c r="P4318" s="30" t="n">
        <x:f>O4318*J4318*(1+M4318)</x:f>
        <x:v>0.0379665</x:v>
      </x:c>
      <x:c r="Q4318" s="30" t="n">
        <x:f>P4318*N4318</x:f>
        <x:v>0.455598</x:v>
      </x:c>
      <x:c r="R4318" s="19" t="str">
        <x:v>独立判定</x:v>
      </x:c>
    </x:row>
    <x:row r="4319" ht="19" customHeight="1">
      <x:c r="A4319" s="19" t="str">
        <x:v>D04315</x:v>
      </x:c>
      <x:c r="B4319" s="19" t="n">
        <x:v>9</x:v>
      </x:c>
      <x:c r="C4319" s="19" t="n">
        <x:v>3</x:v>
      </x:c>
      <x:c r="D4319" s="19" t="str">
        <x:v>C09-M033</x:v>
      </x:c>
      <x:c r="E4319" s="19" t="str">
        <x:v>墓室守印妃</x:v>
      </x:c>
      <x:c r="F4319" s="19" t="str">
        <x:v>稀有</x:v>
      </x:c>
      <x:c r="G4319" s="19" t="str">
        <x:v>材料独立候选</x:v>
      </x:c>
      <x:c r="H4319" s="19" t="str">
        <x:v>黄金叶脉</x:v>
      </x:c>
      <x:c r="I4319" s="22" t="n">
        <x:v>1000</x:v>
      </x:c>
      <x:c r="J4319" s="22" t="n">
        <x:v>15</x:v>
      </x:c>
      <x:c r="K4319" s="19" t="n">
        <x:v>1</x:v>
      </x:c>
      <x:c r="L4319" s="24" t="n">
        <x:v>62.126999999999995</x:v>
      </x:c>
      <x:c r="M4319" s="26" t="n">
        <x:v>0.1</x:v>
      </x:c>
      <x:c r="N4319" s="24" t="n">
        <x:v>12</x:v>
      </x:c>
      <x:c r="O4319" s="28" t="n">
        <x:f>MIN(1,L4319/I4319)</x:f>
        <x:v>0.062126999999999995</x:v>
      </x:c>
      <x:c r="P4319" s="30" t="n">
        <x:f>O4319*J4319*(1+M4319)</x:f>
        <x:v>1.0250955</x:v>
      </x:c>
      <x:c r="Q4319" s="30" t="n">
        <x:f>P4319*N4319</x:f>
        <x:v>12.301146</x:v>
      </x:c>
      <x:c r="R4319" s="19" t="str">
        <x:v>独立判定</x:v>
      </x:c>
    </x:row>
    <x:row r="4320" ht="19" customHeight="1">
      <x:c r="A4320" s="19" t="str">
        <x:v>D04316</x:v>
      </x:c>
      <x:c r="B4320" s="19" t="n">
        <x:v>9</x:v>
      </x:c>
      <x:c r="C4320" s="19" t="n">
        <x:v>3</x:v>
      </x:c>
      <x:c r="D4320" s="19" t="str">
        <x:v>C09-M033</x:v>
      </x:c>
      <x:c r="E4320" s="19" t="str">
        <x:v>墓室守印妃</x:v>
      </x:c>
      <x:c r="F4320" s="19" t="str">
        <x:v>稀有</x:v>
      </x:c>
      <x:c r="G4320" s="19" t="str">
        <x:v>材料独立候选</x:v>
      </x:c>
      <x:c r="H4320" s="19" t="str">
        <x:v>古王律页</x:v>
      </x:c>
      <x:c r="I4320" s="22" t="n">
        <x:v>1000</x:v>
      </x:c>
      <x:c r="J4320" s="22" t="n">
        <x:v>1</x:v>
      </x:c>
      <x:c r="K4320" s="19" t="n">
        <x:v>1</x:v>
      </x:c>
      <x:c r="L4320" s="24" t="n">
        <x:v>62.126999999999995</x:v>
      </x:c>
      <x:c r="M4320" s="26" t="n">
        <x:v>0.1</x:v>
      </x:c>
      <x:c r="N4320" s="24" t="n">
        <x:v>12</x:v>
      </x:c>
      <x:c r="O4320" s="28" t="n">
        <x:f>MIN(1,L4320/I4320)</x:f>
        <x:v>0.062126999999999995</x:v>
      </x:c>
      <x:c r="P4320" s="30" t="n">
        <x:f>O4320*J4320*(1+M4320)</x:f>
        <x:v>0.0683397</x:v>
      </x:c>
      <x:c r="Q4320" s="30" t="n">
        <x:f>P4320*N4320</x:f>
        <x:v>0.8200764</x:v>
      </x:c>
      <x:c r="R4320" s="19" t="str">
        <x:v>独立判定</x:v>
      </x:c>
    </x:row>
    <x:row r="4321" ht="19" customHeight="1">
      <x:c r="A4321" s="19" t="str">
        <x:v>D04317</x:v>
      </x:c>
      <x:c r="B4321" s="19" t="n">
        <x:v>9</x:v>
      </x:c>
      <x:c r="C4321" s="19" t="n">
        <x:v>3</x:v>
      </x:c>
      <x:c r="D4321" s="19" t="str">
        <x:v>C09-M033</x:v>
      </x:c>
      <x:c r="E4321" s="19" t="str">
        <x:v>墓室守印妃</x:v>
      </x:c>
      <x:c r="F4321" s="19" t="str">
        <x:v>稀有</x:v>
      </x:c>
      <x:c r="G4321" s="19" t="str">
        <x:v>材料独立候选</x:v>
      </x:c>
      <x:c r="H4321" s="19" t="str">
        <x:v>矿脉灯芯</x:v>
      </x:c>
      <x:c r="I4321" s="22" t="n">
        <x:v>5000</x:v>
      </x:c>
      <x:c r="J4321" s="22" t="n">
        <x:v>1</x:v>
      </x:c>
      <x:c r="K4321" s="19" t="n">
        <x:v>1</x:v>
      </x:c>
      <x:c r="L4321" s="24" t="n">
        <x:v>62.126999999999995</x:v>
      </x:c>
      <x:c r="M4321" s="26" t="n">
        <x:v>0.1</x:v>
      </x:c>
      <x:c r="N4321" s="24" t="n">
        <x:v>12</x:v>
      </x:c>
      <x:c r="O4321" s="28" t="n">
        <x:f>MIN(1,L4321/I4321)</x:f>
        <x:v>0.0124254</x:v>
      </x:c>
      <x:c r="P4321" s="30" t="n">
        <x:f>O4321*J4321*(1+M4321)</x:f>
        <x:v>0.01366794</x:v>
      </x:c>
      <x:c r="Q4321" s="30" t="n">
        <x:f>P4321*N4321</x:f>
        <x:v>0.16401527999999999</x:v>
      </x:c>
      <x:c r="R4321" s="19" t="str">
        <x:v>独立判定</x:v>
      </x:c>
    </x:row>
    <x:row r="4322" ht="19" customHeight="1">
      <x:c r="A4322" s="19" t="str">
        <x:v>D04318</x:v>
      </x:c>
      <x:c r="B4322" s="19" t="n">
        <x:v>9</x:v>
      </x:c>
      <x:c r="C4322" s="19" t="n">
        <x:v>3</x:v>
      </x:c>
      <x:c r="D4322" s="19" t="str">
        <x:v>C09-M033</x:v>
      </x:c>
      <x:c r="E4322" s="19" t="str">
        <x:v>墓室守印妃</x:v>
      </x:c>
      <x:c r="F4322" s="19" t="str">
        <x:v>稀有</x:v>
      </x:c>
      <x:c r="G4322" s="19" t="str">
        <x:v>材料独立候选</x:v>
      </x:c>
      <x:c r="H4322" s="19" t="str">
        <x:v>古坛鎏叶髓</x:v>
      </x:c>
      <x:c r="I4322" s="22" t="n">
        <x:v>1800000</x:v>
      </x:c>
      <x:c r="J4322" s="22" t="n">
        <x:v>1</x:v>
      </x:c>
      <x:c r="K4322" s="19" t="n">
        <x:v>1</x:v>
      </x:c>
      <x:c r="L4322" s="24" t="n">
        <x:v>62.126999999999995</x:v>
      </x:c>
      <x:c r="M4322" s="26" t="n">
        <x:v>0.1</x:v>
      </x:c>
      <x:c r="N4322" s="24" t="n">
        <x:v>12</x:v>
      </x:c>
      <x:c r="O4322" s="28" t="n">
        <x:f>MIN(1,L4322/I4322)</x:f>
        <x:v>0.000034515</x:v>
      </x:c>
      <x:c r="P4322" s="30" t="n">
        <x:f>O4322*J4322*(1+M4322)</x:f>
        <x:v>0.0000379665</x:v>
      </x:c>
      <x:c r="Q4322" s="30" t="n">
        <x:f>P4322*N4322</x:f>
        <x:v>0.00045559800000000004</x:v>
      </x:c>
      <x:c r="R4322" s="19" t="str">
        <x:v>独立判定</x:v>
      </x:c>
    </x:row>
    <x:row r="4323" ht="19" customHeight="1">
      <x:c r="A4323" s="19" t="str">
        <x:v>D04319</x:v>
      </x:c>
      <x:c r="B4323" s="19" t="n">
        <x:v>9</x:v>
      </x:c>
      <x:c r="C4323" s="19" t="n">
        <x:v>3</x:v>
      </x:c>
      <x:c r="D4323" s="19" t="str">
        <x:v>C09-M033</x:v>
      </x:c>
      <x:c r="E4323" s="19" t="str">
        <x:v>墓室守印妃</x:v>
      </x:c>
      <x:c r="F4323" s="19" t="str">
        <x:v>稀有</x:v>
      </x:c>
      <x:c r="G4323" s="19" t="str">
        <x:v>材料独立候选</x:v>
      </x:c>
      <x:c r="H4323" s="19" t="str">
        <x:v>黄金树芽</x:v>
      </x:c>
      <x:c r="I4323" s="22" t="n">
        <x:v>12000</x:v>
      </x:c>
      <x:c r="J4323" s="22" t="n">
        <x:v>1</x:v>
      </x:c>
      <x:c r="K4323" s="19" t="n">
        <x:v>1</x:v>
      </x:c>
      <x:c r="L4323" s="24" t="n">
        <x:v>62.126999999999995</x:v>
      </x:c>
      <x:c r="M4323" s="26" t="n">
        <x:v>0.1</x:v>
      </x:c>
      <x:c r="N4323" s="24" t="n">
        <x:v>12</x:v>
      </x:c>
      <x:c r="O4323" s="28" t="n">
        <x:f>MIN(1,L4323/I4323)</x:f>
        <x:v>0.0051772499999999996</x:v>
      </x:c>
      <x:c r="P4323" s="30" t="n">
        <x:f>O4323*J4323*(1+M4323)</x:f>
        <x:v>0.005694975</x:v>
      </x:c>
      <x:c r="Q4323" s="30" t="n">
        <x:f>P4323*N4323</x:f>
        <x:v>0.0683397</x:v>
      </x:c>
      <x:c r="R4323" s="19" t="str">
        <x:v>独立判定</x:v>
      </x:c>
    </x:row>
    <x:row r="4324" ht="19" customHeight="1">
      <x:c r="A4324" s="19" t="str">
        <x:v>D04320</x:v>
      </x:c>
      <x:c r="B4324" s="19" t="n">
        <x:v>9</x:v>
      </x:c>
      <x:c r="C4324" s="19" t="n">
        <x:v>3</x:v>
      </x:c>
      <x:c r="D4324" s="19" t="str">
        <x:v>C09-M033</x:v>
      </x:c>
      <x:c r="E4324" s="19" t="str">
        <x:v>墓室守印妃</x:v>
      </x:c>
      <x:c r="F4324" s="19" t="str">
        <x:v>稀有</x:v>
      </x:c>
      <x:c r="G4324" s="19" t="str">
        <x:v>材料独立候选</x:v>
      </x:c>
      <x:c r="H4324" s="19" t="str">
        <x:v>野兽骨片</x:v>
      </x:c>
      <x:c r="I4324" s="22" t="n">
        <x:v>180</x:v>
      </x:c>
      <x:c r="J4324" s="22" t="n">
        <x:v>5</x:v>
      </x:c>
      <x:c r="K4324" s="19" t="n">
        <x:v>1</x:v>
      </x:c>
      <x:c r="L4324" s="24" t="n">
        <x:v>62.126999999999995</x:v>
      </x:c>
      <x:c r="M4324" s="26" t="n">
        <x:v>0.1</x:v>
      </x:c>
      <x:c r="N4324" s="24" t="n">
        <x:v>12</x:v>
      </x:c>
      <x:c r="O4324" s="28" t="n">
        <x:f>MIN(1,L4324/I4324)</x:f>
        <x:v>0.34514999999999996</x:v>
      </x:c>
      <x:c r="P4324" s="30" t="n">
        <x:f>O4324*J4324*(1+M4324)</x:f>
        <x:v>1.8983249999999998</x:v>
      </x:c>
      <x:c r="Q4324" s="30" t="n">
        <x:f>P4324*N4324</x:f>
        <x:v>22.779899999999998</x:v>
      </x:c>
      <x:c r="R4324" s="19" t="str">
        <x:v>独立判定</x:v>
      </x:c>
    </x:row>
    <x:row r="4325" ht="19" customHeight="1">
      <x:c r="A4325" s="19" t="str">
        <x:v>D04321</x:v>
      </x:c>
      <x:c r="B4325" s="19" t="n">
        <x:v>9</x:v>
      </x:c>
      <x:c r="C4325" s="19" t="n">
        <x:v>3</x:v>
      </x:c>
      <x:c r="D4325" s="19" t="str">
        <x:v>C09-M033</x:v>
      </x:c>
      <x:c r="E4325" s="19" t="str">
        <x:v>墓室守印妃</x:v>
      </x:c>
      <x:c r="F4325" s="19" t="str">
        <x:v>稀有</x:v>
      </x:c>
      <x:c r="G4325" s="19" t="str">
        <x:v>材料独立候选</x:v>
      </x:c>
      <x:c r="H4325" s="19" t="str">
        <x:v>技能残页</x:v>
      </x:c>
      <x:c r="I4325" s="22" t="n">
        <x:v>1800</x:v>
      </x:c>
      <x:c r="J4325" s="22" t="n">
        <x:v>1</x:v>
      </x:c>
      <x:c r="K4325" s="19" t="n">
        <x:v>1</x:v>
      </x:c>
      <x:c r="L4325" s="24" t="n">
        <x:v>62.126999999999995</x:v>
      </x:c>
      <x:c r="M4325" s="26" t="n">
        <x:v>0.1</x:v>
      </x:c>
      <x:c r="N4325" s="24" t="n">
        <x:v>12</x:v>
      </x:c>
      <x:c r="O4325" s="28" t="n">
        <x:f>MIN(1,L4325/I4325)</x:f>
        <x:v>0.034515</x:v>
      </x:c>
      <x:c r="P4325" s="30" t="n">
        <x:f>O4325*J4325*(1+M4325)</x:f>
        <x:v>0.0379665</x:v>
      </x:c>
      <x:c r="Q4325" s="30" t="n">
        <x:f>P4325*N4325</x:f>
        <x:v>0.455598</x:v>
      </x:c>
      <x:c r="R4325" s="19" t="str">
        <x:v>独立判定</x:v>
      </x:c>
    </x:row>
    <x:row r="4326" ht="19" customHeight="1">
      <x:c r="A4326" s="19" t="str">
        <x:v>D04322</x:v>
      </x:c>
      <x:c r="B4326" s="19" t="n">
        <x:v>9</x:v>
      </x:c>
      <x:c r="C4326" s="19" t="n">
        <x:v>3</x:v>
      </x:c>
      <x:c r="D4326" s="19" t="str">
        <x:v>C09-M033</x:v>
      </x:c>
      <x:c r="E4326" s="19" t="str">
        <x:v>墓室守印妃</x:v>
      </x:c>
      <x:c r="F4326" s="19" t="str">
        <x:v>稀有</x:v>
      </x:c>
      <x:c r="G4326" s="19" t="str">
        <x:v>材料独立候选</x:v>
      </x:c>
      <x:c r="H4326" s="19" t="str">
        <x:v>小卢恩</x:v>
      </x:c>
      <x:c r="I4326" s="22" t="n">
        <x:v>12000</x:v>
      </x:c>
      <x:c r="J4326" s="22" t="n">
        <x:v>1</x:v>
      </x:c>
      <x:c r="K4326" s="19" t="n">
        <x:v>1</x:v>
      </x:c>
      <x:c r="L4326" s="24" t="n">
        <x:v>62.126999999999995</x:v>
      </x:c>
      <x:c r="M4326" s="26" t="n">
        <x:v>0.1</x:v>
      </x:c>
      <x:c r="N4326" s="24" t="n">
        <x:v>12</x:v>
      </x:c>
      <x:c r="O4326" s="28" t="n">
        <x:f>MIN(1,L4326/I4326)</x:f>
        <x:v>0.0051772499999999996</x:v>
      </x:c>
      <x:c r="P4326" s="30" t="n">
        <x:f>O4326*J4326*(1+M4326)</x:f>
        <x:v>0.005694975</x:v>
      </x:c>
      <x:c r="Q4326" s="30" t="n">
        <x:f>P4326*N4326</x:f>
        <x:v>0.0683397</x:v>
      </x:c>
      <x:c r="R4326" s="19" t="str">
        <x:v>独立判定</x:v>
      </x:c>
    </x:row>
    <x:row r="4327" ht="19" customHeight="1">
      <x:c r="A4327" s="19" t="str">
        <x:v>D04323</x:v>
      </x:c>
      <x:c r="B4327" s="19" t="n">
        <x:v>9</x:v>
      </x:c>
      <x:c r="C4327" s="19" t="n">
        <x:v>3</x:v>
      </x:c>
      <x:c r="D4327" s="19" t="str">
        <x:v>C09-M033</x:v>
      </x:c>
      <x:c r="E4327" s="19" t="str">
        <x:v>墓室守印妃</x:v>
      </x:c>
      <x:c r="F4327" s="19" t="str">
        <x:v>稀有</x:v>
      </x:c>
      <x:c r="G4327" s="19" t="str">
        <x:v>六神器公共池</x:v>
      </x:c>
      <x:c r="H4327" s="19" t="str">
        <x:v>POOL006</x:v>
      </x:c>
      <x:c r="I4327" s="22" t="n">
        <x:v>5000000</x:v>
      </x:c>
      <x:c r="J4327" s="22" t="n">
        <x:v>1</x:v>
      </x:c>
      <x:c r="K4327" s="19" t="n">
        <x:v>6</x:v>
      </x:c>
      <x:c r="L4327" s="24" t="n">
        <x:v>62.126999999999995</x:v>
      </x:c>
      <x:c r="M4327" s="26" t="n">
        <x:v>0.1</x:v>
      </x:c>
      <x:c r="N4327" s="24" t="n">
        <x:v>12</x:v>
      </x:c>
      <x:c r="O4327" s="28" t="n">
        <x:f>MIN(1,L4327/I4327)</x:f>
        <x:v>0.0000124254</x:v>
      </x:c>
      <x:c r="P4327" s="30" t="n">
        <x:f>O4327*J4327*(1+M4327)</x:f>
        <x:v>0.000013667940000000001</x:v>
      </x:c>
      <x:c r="Q4327" s="30" t="n">
        <x:f>P4327*N4327</x:f>
        <x:v>0.00016401528000000001</x:v>
      </x:c>
      <x:c r="R4327" s="19" t="str">
        <x:v>六选一；非6个独立爆率</x:v>
      </x:c>
    </x:row>
    <x:row r="4328" ht="19" customHeight="1">
      <x:c r="A4328" s="19" t="str">
        <x:v>D04324</x:v>
      </x:c>
      <x:c r="B4328" s="19" t="n">
        <x:v>9</x:v>
      </x:c>
      <x:c r="C4328" s="19" t="n">
        <x:v>3</x:v>
      </x:c>
      <x:c r="D4328" s="19" t="str">
        <x:v>C09-M034</x:v>
      </x:c>
      <x:c r="E4328" s="19" t="str">
        <x:v>墓室食梦金蝉</x:v>
      </x:c>
      <x:c r="F4328" s="19" t="str">
        <x:v>稀有</x:v>
      </x:c>
      <x:c r="G4328" s="19" t="str">
        <x:v>自身专属</x:v>
      </x:c>
      <x:c r="H4328" s="19" t="str">
        <x:v>食梦蝉蜕带</x:v>
      </x:c>
      <x:c r="I4328" s="22" t="n">
        <x:v>1800</x:v>
      </x:c>
      <x:c r="J4328" s="22" t="n">
        <x:v>1</x:v>
      </x:c>
      <x:c r="K4328" s="19" t="n">
        <x:v>1</x:v>
      </x:c>
      <x:c r="L4328" s="24" t="n">
        <x:v>62.126999999999995</x:v>
      </x:c>
      <x:c r="M4328" s="26" t="n">
        <x:v>0.1</x:v>
      </x:c>
      <x:c r="N4328" s="24" t="n">
        <x:v>12</x:v>
      </x:c>
      <x:c r="O4328" s="28" t="n">
        <x:f>MIN(1,L4328/I4328)</x:f>
        <x:v>0.034515</x:v>
      </x:c>
      <x:c r="P4328" s="30" t="n">
        <x:f>O4328*J4328*(1+M4328)</x:f>
        <x:v>0.0379665</x:v>
      </x:c>
      <x:c r="Q4328" s="30" t="n">
        <x:f>P4328*N4328</x:f>
        <x:v>0.455598</x:v>
      </x:c>
      <x:c r="R4328" s="19" t="str">
        <x:v>独立判定</x:v>
      </x:c>
    </x:row>
    <x:row r="4329" ht="19" customHeight="1">
      <x:c r="A4329" s="19" t="str">
        <x:v>D04325</x:v>
      </x:c>
      <x:c r="B4329" s="19" t="n">
        <x:v>9</x:v>
      </x:c>
      <x:c r="C4329" s="19" t="n">
        <x:v>3</x:v>
      </x:c>
      <x:c r="D4329" s="19" t="str">
        <x:v>C09-M034</x:v>
      </x:c>
      <x:c r="E4329" s="19" t="str">
        <x:v>墓室食梦金蝉</x:v>
      </x:c>
      <x:c r="F4329" s="19" t="str">
        <x:v>稀有</x:v>
      </x:c>
      <x:c r="G4329" s="19" t="str">
        <x:v>材料独立候选</x:v>
      </x:c>
      <x:c r="H4329" s="19" t="str">
        <x:v>黄金叶脉</x:v>
      </x:c>
      <x:c r="I4329" s="22" t="n">
        <x:v>1000</x:v>
      </x:c>
      <x:c r="J4329" s="22" t="n">
        <x:v>15</x:v>
      </x:c>
      <x:c r="K4329" s="19" t="n">
        <x:v>1</x:v>
      </x:c>
      <x:c r="L4329" s="24" t="n">
        <x:v>62.126999999999995</x:v>
      </x:c>
      <x:c r="M4329" s="26" t="n">
        <x:v>0.1</x:v>
      </x:c>
      <x:c r="N4329" s="24" t="n">
        <x:v>12</x:v>
      </x:c>
      <x:c r="O4329" s="28" t="n">
        <x:f>MIN(1,L4329/I4329)</x:f>
        <x:v>0.062126999999999995</x:v>
      </x:c>
      <x:c r="P4329" s="30" t="n">
        <x:f>O4329*J4329*(1+M4329)</x:f>
        <x:v>1.0250955</x:v>
      </x:c>
      <x:c r="Q4329" s="30" t="n">
        <x:f>P4329*N4329</x:f>
        <x:v>12.301146</x:v>
      </x:c>
      <x:c r="R4329" s="19" t="str">
        <x:v>独立判定</x:v>
      </x:c>
    </x:row>
    <x:row r="4330" ht="19" customHeight="1">
      <x:c r="A4330" s="19" t="str">
        <x:v>D04326</x:v>
      </x:c>
      <x:c r="B4330" s="19" t="n">
        <x:v>9</x:v>
      </x:c>
      <x:c r="C4330" s="19" t="n">
        <x:v>3</x:v>
      </x:c>
      <x:c r="D4330" s="19" t="str">
        <x:v>C09-M034</x:v>
      </x:c>
      <x:c r="E4330" s="19" t="str">
        <x:v>墓室食梦金蝉</x:v>
      </x:c>
      <x:c r="F4330" s="19" t="str">
        <x:v>稀有</x:v>
      </x:c>
      <x:c r="G4330" s="19" t="str">
        <x:v>材料独立候选</x:v>
      </x:c>
      <x:c r="H4330" s="19" t="str">
        <x:v>古王律页</x:v>
      </x:c>
      <x:c r="I4330" s="22" t="n">
        <x:v>1000</x:v>
      </x:c>
      <x:c r="J4330" s="22" t="n">
        <x:v>1</x:v>
      </x:c>
      <x:c r="K4330" s="19" t="n">
        <x:v>1</x:v>
      </x:c>
      <x:c r="L4330" s="24" t="n">
        <x:v>62.126999999999995</x:v>
      </x:c>
      <x:c r="M4330" s="26" t="n">
        <x:v>0.1</x:v>
      </x:c>
      <x:c r="N4330" s="24" t="n">
        <x:v>12</x:v>
      </x:c>
      <x:c r="O4330" s="28" t="n">
        <x:f>MIN(1,L4330/I4330)</x:f>
        <x:v>0.062126999999999995</x:v>
      </x:c>
      <x:c r="P4330" s="30" t="n">
        <x:f>O4330*J4330*(1+M4330)</x:f>
        <x:v>0.0683397</x:v>
      </x:c>
      <x:c r="Q4330" s="30" t="n">
        <x:f>P4330*N4330</x:f>
        <x:v>0.8200764</x:v>
      </x:c>
      <x:c r="R4330" s="19" t="str">
        <x:v>独立判定</x:v>
      </x:c>
    </x:row>
    <x:row r="4331" ht="19" customHeight="1">
      <x:c r="A4331" s="19" t="str">
        <x:v>D04327</x:v>
      </x:c>
      <x:c r="B4331" s="19" t="n">
        <x:v>9</x:v>
      </x:c>
      <x:c r="C4331" s="19" t="n">
        <x:v>3</x:v>
      </x:c>
      <x:c r="D4331" s="19" t="str">
        <x:v>C09-M034</x:v>
      </x:c>
      <x:c r="E4331" s="19" t="str">
        <x:v>墓室食梦金蝉</x:v>
      </x:c>
      <x:c r="F4331" s="19" t="str">
        <x:v>稀有</x:v>
      </x:c>
      <x:c r="G4331" s="19" t="str">
        <x:v>材料独立候选</x:v>
      </x:c>
      <x:c r="H4331" s="19" t="str">
        <x:v>矿脉灯芯</x:v>
      </x:c>
      <x:c r="I4331" s="22" t="n">
        <x:v>5000</x:v>
      </x:c>
      <x:c r="J4331" s="22" t="n">
        <x:v>1</x:v>
      </x:c>
      <x:c r="K4331" s="19" t="n">
        <x:v>1</x:v>
      </x:c>
      <x:c r="L4331" s="24" t="n">
        <x:v>62.126999999999995</x:v>
      </x:c>
      <x:c r="M4331" s="26" t="n">
        <x:v>0.1</x:v>
      </x:c>
      <x:c r="N4331" s="24" t="n">
        <x:v>12</x:v>
      </x:c>
      <x:c r="O4331" s="28" t="n">
        <x:f>MIN(1,L4331/I4331)</x:f>
        <x:v>0.0124254</x:v>
      </x:c>
      <x:c r="P4331" s="30" t="n">
        <x:f>O4331*J4331*(1+M4331)</x:f>
        <x:v>0.01366794</x:v>
      </x:c>
      <x:c r="Q4331" s="30" t="n">
        <x:f>P4331*N4331</x:f>
        <x:v>0.16401527999999999</x:v>
      </x:c>
      <x:c r="R4331" s="19" t="str">
        <x:v>独立判定</x:v>
      </x:c>
    </x:row>
    <x:row r="4332" ht="19" customHeight="1">
      <x:c r="A4332" s="19" t="str">
        <x:v>D04328</x:v>
      </x:c>
      <x:c r="B4332" s="19" t="n">
        <x:v>9</x:v>
      </x:c>
      <x:c r="C4332" s="19" t="n">
        <x:v>3</x:v>
      </x:c>
      <x:c r="D4332" s="19" t="str">
        <x:v>C09-M034</x:v>
      </x:c>
      <x:c r="E4332" s="19" t="str">
        <x:v>墓室食梦金蝉</x:v>
      </x:c>
      <x:c r="F4332" s="19" t="str">
        <x:v>稀有</x:v>
      </x:c>
      <x:c r="G4332" s="19" t="str">
        <x:v>材料独立候选</x:v>
      </x:c>
      <x:c r="H4332" s="19" t="str">
        <x:v>古坛鎏叶髓</x:v>
      </x:c>
      <x:c r="I4332" s="22" t="n">
        <x:v>1800000</x:v>
      </x:c>
      <x:c r="J4332" s="22" t="n">
        <x:v>1</x:v>
      </x:c>
      <x:c r="K4332" s="19" t="n">
        <x:v>1</x:v>
      </x:c>
      <x:c r="L4332" s="24" t="n">
        <x:v>62.126999999999995</x:v>
      </x:c>
      <x:c r="M4332" s="26" t="n">
        <x:v>0.1</x:v>
      </x:c>
      <x:c r="N4332" s="24" t="n">
        <x:v>12</x:v>
      </x:c>
      <x:c r="O4332" s="28" t="n">
        <x:f>MIN(1,L4332/I4332)</x:f>
        <x:v>0.000034515</x:v>
      </x:c>
      <x:c r="P4332" s="30" t="n">
        <x:f>O4332*J4332*(1+M4332)</x:f>
        <x:v>0.0000379665</x:v>
      </x:c>
      <x:c r="Q4332" s="30" t="n">
        <x:f>P4332*N4332</x:f>
        <x:v>0.00045559800000000004</x:v>
      </x:c>
      <x:c r="R4332" s="19" t="str">
        <x:v>独立判定</x:v>
      </x:c>
    </x:row>
    <x:row r="4333" ht="19" customHeight="1">
      <x:c r="A4333" s="19" t="str">
        <x:v>D04329</x:v>
      </x:c>
      <x:c r="B4333" s="19" t="n">
        <x:v>9</x:v>
      </x:c>
      <x:c r="C4333" s="19" t="n">
        <x:v>3</x:v>
      </x:c>
      <x:c r="D4333" s="19" t="str">
        <x:v>C09-M034</x:v>
      </x:c>
      <x:c r="E4333" s="19" t="str">
        <x:v>墓室食梦金蝉</x:v>
      </x:c>
      <x:c r="F4333" s="19" t="str">
        <x:v>稀有</x:v>
      </x:c>
      <x:c r="G4333" s="19" t="str">
        <x:v>材料独立候选</x:v>
      </x:c>
      <x:c r="H4333" s="19" t="str">
        <x:v>黄金树芽</x:v>
      </x:c>
      <x:c r="I4333" s="22" t="n">
        <x:v>12000</x:v>
      </x:c>
      <x:c r="J4333" s="22" t="n">
        <x:v>1</x:v>
      </x:c>
      <x:c r="K4333" s="19" t="n">
        <x:v>1</x:v>
      </x:c>
      <x:c r="L4333" s="24" t="n">
        <x:v>62.126999999999995</x:v>
      </x:c>
      <x:c r="M4333" s="26" t="n">
        <x:v>0.1</x:v>
      </x:c>
      <x:c r="N4333" s="24" t="n">
        <x:v>12</x:v>
      </x:c>
      <x:c r="O4333" s="28" t="n">
        <x:f>MIN(1,L4333/I4333)</x:f>
        <x:v>0.0051772499999999996</x:v>
      </x:c>
      <x:c r="P4333" s="30" t="n">
        <x:f>O4333*J4333*(1+M4333)</x:f>
        <x:v>0.005694975</x:v>
      </x:c>
      <x:c r="Q4333" s="30" t="n">
        <x:f>P4333*N4333</x:f>
        <x:v>0.0683397</x:v>
      </x:c>
      <x:c r="R4333" s="19" t="str">
        <x:v>独立判定</x:v>
      </x:c>
    </x:row>
    <x:row r="4334" ht="19" customHeight="1">
      <x:c r="A4334" s="19" t="str">
        <x:v>D04330</x:v>
      </x:c>
      <x:c r="B4334" s="19" t="n">
        <x:v>9</x:v>
      </x:c>
      <x:c r="C4334" s="19" t="n">
        <x:v>3</x:v>
      </x:c>
      <x:c r="D4334" s="19" t="str">
        <x:v>C09-M034</x:v>
      </x:c>
      <x:c r="E4334" s="19" t="str">
        <x:v>墓室食梦金蝉</x:v>
      </x:c>
      <x:c r="F4334" s="19" t="str">
        <x:v>稀有</x:v>
      </x:c>
      <x:c r="G4334" s="19" t="str">
        <x:v>材料独立候选</x:v>
      </x:c>
      <x:c r="H4334" s="19" t="str">
        <x:v>野兽骨片</x:v>
      </x:c>
      <x:c r="I4334" s="22" t="n">
        <x:v>180</x:v>
      </x:c>
      <x:c r="J4334" s="22" t="n">
        <x:v>5</x:v>
      </x:c>
      <x:c r="K4334" s="19" t="n">
        <x:v>1</x:v>
      </x:c>
      <x:c r="L4334" s="24" t="n">
        <x:v>62.126999999999995</x:v>
      </x:c>
      <x:c r="M4334" s="26" t="n">
        <x:v>0.1</x:v>
      </x:c>
      <x:c r="N4334" s="24" t="n">
        <x:v>12</x:v>
      </x:c>
      <x:c r="O4334" s="28" t="n">
        <x:f>MIN(1,L4334/I4334)</x:f>
        <x:v>0.34514999999999996</x:v>
      </x:c>
      <x:c r="P4334" s="30" t="n">
        <x:f>O4334*J4334*(1+M4334)</x:f>
        <x:v>1.8983249999999998</x:v>
      </x:c>
      <x:c r="Q4334" s="30" t="n">
        <x:f>P4334*N4334</x:f>
        <x:v>22.779899999999998</x:v>
      </x:c>
      <x:c r="R4334" s="19" t="str">
        <x:v>独立判定</x:v>
      </x:c>
    </x:row>
    <x:row r="4335" ht="19" customHeight="1">
      <x:c r="A4335" s="19" t="str">
        <x:v>D04331</x:v>
      </x:c>
      <x:c r="B4335" s="19" t="n">
        <x:v>9</x:v>
      </x:c>
      <x:c r="C4335" s="19" t="n">
        <x:v>3</x:v>
      </x:c>
      <x:c r="D4335" s="19" t="str">
        <x:v>C09-M034</x:v>
      </x:c>
      <x:c r="E4335" s="19" t="str">
        <x:v>墓室食梦金蝉</x:v>
      </x:c>
      <x:c r="F4335" s="19" t="str">
        <x:v>稀有</x:v>
      </x:c>
      <x:c r="G4335" s="19" t="str">
        <x:v>材料独立候选</x:v>
      </x:c>
      <x:c r="H4335" s="19" t="str">
        <x:v>技能残页</x:v>
      </x:c>
      <x:c r="I4335" s="22" t="n">
        <x:v>1800</x:v>
      </x:c>
      <x:c r="J4335" s="22" t="n">
        <x:v>1</x:v>
      </x:c>
      <x:c r="K4335" s="19" t="n">
        <x:v>1</x:v>
      </x:c>
      <x:c r="L4335" s="24" t="n">
        <x:v>62.126999999999995</x:v>
      </x:c>
      <x:c r="M4335" s="26" t="n">
        <x:v>0.1</x:v>
      </x:c>
      <x:c r="N4335" s="24" t="n">
        <x:v>12</x:v>
      </x:c>
      <x:c r="O4335" s="28" t="n">
        <x:f>MIN(1,L4335/I4335)</x:f>
        <x:v>0.034515</x:v>
      </x:c>
      <x:c r="P4335" s="30" t="n">
        <x:f>O4335*J4335*(1+M4335)</x:f>
        <x:v>0.0379665</x:v>
      </x:c>
      <x:c r="Q4335" s="30" t="n">
        <x:f>P4335*N4335</x:f>
        <x:v>0.455598</x:v>
      </x:c>
      <x:c r="R4335" s="19" t="str">
        <x:v>独立判定</x:v>
      </x:c>
    </x:row>
    <x:row r="4336" ht="19" customHeight="1">
      <x:c r="A4336" s="19" t="str">
        <x:v>D04332</x:v>
      </x:c>
      <x:c r="B4336" s="19" t="n">
        <x:v>9</x:v>
      </x:c>
      <x:c r="C4336" s="19" t="n">
        <x:v>3</x:v>
      </x:c>
      <x:c r="D4336" s="19" t="str">
        <x:v>C09-M034</x:v>
      </x:c>
      <x:c r="E4336" s="19" t="str">
        <x:v>墓室食梦金蝉</x:v>
      </x:c>
      <x:c r="F4336" s="19" t="str">
        <x:v>稀有</x:v>
      </x:c>
      <x:c r="G4336" s="19" t="str">
        <x:v>材料独立候选</x:v>
      </x:c>
      <x:c r="H4336" s="19" t="str">
        <x:v>小卢恩</x:v>
      </x:c>
      <x:c r="I4336" s="22" t="n">
        <x:v>12000</x:v>
      </x:c>
      <x:c r="J4336" s="22" t="n">
        <x:v>1</x:v>
      </x:c>
      <x:c r="K4336" s="19" t="n">
        <x:v>1</x:v>
      </x:c>
      <x:c r="L4336" s="24" t="n">
        <x:v>62.126999999999995</x:v>
      </x:c>
      <x:c r="M4336" s="26" t="n">
        <x:v>0.1</x:v>
      </x:c>
      <x:c r="N4336" s="24" t="n">
        <x:v>12</x:v>
      </x:c>
      <x:c r="O4336" s="28" t="n">
        <x:f>MIN(1,L4336/I4336)</x:f>
        <x:v>0.0051772499999999996</x:v>
      </x:c>
      <x:c r="P4336" s="30" t="n">
        <x:f>O4336*J4336*(1+M4336)</x:f>
        <x:v>0.005694975</x:v>
      </x:c>
      <x:c r="Q4336" s="30" t="n">
        <x:f>P4336*N4336</x:f>
        <x:v>0.0683397</x:v>
      </x:c>
      <x:c r="R4336" s="19" t="str">
        <x:v>独立判定</x:v>
      </x:c>
    </x:row>
    <x:row r="4337" ht="19" customHeight="1">
      <x:c r="A4337" s="19" t="str">
        <x:v>D04333</x:v>
      </x:c>
      <x:c r="B4337" s="19" t="n">
        <x:v>9</x:v>
      </x:c>
      <x:c r="C4337" s="19" t="n">
        <x:v>3</x:v>
      </x:c>
      <x:c r="D4337" s="19" t="str">
        <x:v>C09-M034</x:v>
      </x:c>
      <x:c r="E4337" s="19" t="str">
        <x:v>墓室食梦金蝉</x:v>
      </x:c>
      <x:c r="F4337" s="19" t="str">
        <x:v>稀有</x:v>
      </x:c>
      <x:c r="G4337" s="19" t="str">
        <x:v>六神器公共池</x:v>
      </x:c>
      <x:c r="H4337" s="19" t="str">
        <x:v>POOL006</x:v>
      </x:c>
      <x:c r="I4337" s="22" t="n">
        <x:v>5000000</x:v>
      </x:c>
      <x:c r="J4337" s="22" t="n">
        <x:v>1</x:v>
      </x:c>
      <x:c r="K4337" s="19" t="n">
        <x:v>6</x:v>
      </x:c>
      <x:c r="L4337" s="24" t="n">
        <x:v>62.126999999999995</x:v>
      </x:c>
      <x:c r="M4337" s="26" t="n">
        <x:v>0.1</x:v>
      </x:c>
      <x:c r="N4337" s="24" t="n">
        <x:v>12</x:v>
      </x:c>
      <x:c r="O4337" s="28" t="n">
        <x:f>MIN(1,L4337/I4337)</x:f>
        <x:v>0.0000124254</x:v>
      </x:c>
      <x:c r="P4337" s="30" t="n">
        <x:f>O4337*J4337*(1+M4337)</x:f>
        <x:v>0.000013667940000000001</x:v>
      </x:c>
      <x:c r="Q4337" s="30" t="n">
        <x:f>P4337*N4337</x:f>
        <x:v>0.00016401528000000001</x:v>
      </x:c>
      <x:c r="R4337" s="19" t="str">
        <x:v>六选一；非6个独立爆率</x:v>
      </x:c>
    </x:row>
    <x:row r="4338" ht="19" customHeight="1">
      <x:c r="A4338" s="19" t="str">
        <x:v>D04334</x:v>
      </x:c>
      <x:c r="B4338" s="19" t="n">
        <x:v>9</x:v>
      </x:c>
      <x:c r="C4338" s="19" t="n">
        <x:v>3</x:v>
      </x:c>
      <x:c r="D4338" s="19" t="str">
        <x:v>C09-M035</x:v>
      </x:c>
      <x:c r="E4338" s="19" t="str">
        <x:v>封棺执政·梅尔顿</x:v>
      </x:c>
      <x:c r="F4338" s="19" t="str">
        <x:v>地图BOSS</x:v>
      </x:c>
      <x:c r="G4338" s="19" t="str">
        <x:v>自身专属</x:v>
      </x:c>
      <x:c r="H4338" s="19" t="str">
        <x:v>梅尔顿封棺钺</x:v>
      </x:c>
      <x:c r="I4338" s="22" t="n">
        <x:v>150</x:v>
      </x:c>
      <x:c r="J4338" s="22" t="n">
        <x:v>1</x:v>
      </x:c>
      <x:c r="K4338" s="19" t="n">
        <x:v>1</x:v>
      </x:c>
      <x:c r="L4338" s="24" t="n">
        <x:v>62.126999999999995</x:v>
      </x:c>
      <x:c r="M4338" s="26" t="n">
        <x:v>0.1</x:v>
      </x:c>
      <x:c r="N4338" s="24" t="n">
        <x:v>2</x:v>
      </x:c>
      <x:c r="O4338" s="28" t="n">
        <x:f>MIN(1,L4338/I4338)</x:f>
        <x:v>0.41418</x:v>
      </x:c>
      <x:c r="P4338" s="30" t="n">
        <x:f>O4338*J4338*(1+M4338)</x:f>
        <x:v>0.455598</x:v>
      </x:c>
      <x:c r="Q4338" s="30" t="n">
        <x:f>P4338*N4338</x:f>
        <x:v>0.911196</x:v>
      </x:c>
      <x:c r="R4338" s="19" t="str">
        <x:v>独立判定</x:v>
      </x:c>
    </x:row>
    <x:row r="4339" ht="19" customHeight="1">
      <x:c r="A4339" s="19" t="str">
        <x:v>D04335</x:v>
      </x:c>
      <x:c r="B4339" s="19" t="n">
        <x:v>9</x:v>
      </x:c>
      <x:c r="C4339" s="19" t="n">
        <x:v>3</x:v>
      </x:c>
      <x:c r="D4339" s="19" t="str">
        <x:v>C09-M035</x:v>
      </x:c>
      <x:c r="E4339" s="19" t="str">
        <x:v>封棺执政·梅尔顿</x:v>
      </x:c>
      <x:c r="F4339" s="19" t="str">
        <x:v>地图BOSS</x:v>
      </x:c>
      <x:c r="G4339" s="19" t="str">
        <x:v>本图普通兼掉候选</x:v>
      </x:c>
      <x:c r="H4339" s="19" t="str">
        <x:v>POOL072</x:v>
      </x:c>
      <x:c r="I4339" s="22" t="n">
        <x:v>150</x:v>
      </x:c>
      <x:c r="J4339" s="22" t="n">
        <x:v>1</x:v>
      </x:c>
      <x:c r="K4339" s="19" t="n">
        <x:v>2</x:v>
      </x:c>
      <x:c r="L4339" s="24" t="n">
        <x:v>62.126999999999995</x:v>
      </x:c>
      <x:c r="M4339" s="26" t="n">
        <x:v>0.1</x:v>
      </x:c>
      <x:c r="N4339" s="24" t="n">
        <x:v>2</x:v>
      </x:c>
      <x:c r="O4339" s="28" t="n">
        <x:f>MIN(1,L4339/I4339)</x:f>
        <x:v>0.41418</x:v>
      </x:c>
      <x:c r="P4339" s="30" t="n">
        <x:f>O4339*J4339*(1+M4339)</x:f>
        <x:v>0.455598</x:v>
      </x:c>
      <x:c r="Q4339" s="30" t="n">
        <x:f>P4339*N4339</x:f>
        <x:v>0.911196</x:v>
      </x:c>
      <x:c r="R4339" s="19" t="str">
        <x:v>单池选一</x:v>
      </x:c>
    </x:row>
    <x:row r="4340" ht="19" customHeight="1">
      <x:c r="A4340" s="19" t="str">
        <x:v>D04336</x:v>
      </x:c>
      <x:c r="B4340" s="19" t="n">
        <x:v>9</x:v>
      </x:c>
      <x:c r="C4340" s="19" t="n">
        <x:v>3</x:v>
      </x:c>
      <x:c r="D4340" s="19" t="str">
        <x:v>C09-M035</x:v>
      </x:c>
      <x:c r="E4340" s="19" t="str">
        <x:v>封棺执政·梅尔顿</x:v>
      </x:c>
      <x:c r="F4340" s="19" t="str">
        <x:v>地图BOSS</x:v>
      </x:c>
      <x:c r="G4340" s="19" t="str">
        <x:v>材料独立候选</x:v>
      </x:c>
      <x:c r="H4340" s="19" t="str">
        <x:v>黄金叶脉</x:v>
      </x:c>
      <x:c r="I4340" s="22" t="n">
        <x:v>500</x:v>
      </x:c>
      <x:c r="J4340" s="22" t="n">
        <x:v>30</x:v>
      </x:c>
      <x:c r="K4340" s="19" t="n">
        <x:v>1</x:v>
      </x:c>
      <x:c r="L4340" s="24" t="n">
        <x:v>62.126999999999995</x:v>
      </x:c>
      <x:c r="M4340" s="26" t="n">
        <x:v>0.1</x:v>
      </x:c>
      <x:c r="N4340" s="24" t="n">
        <x:v>2</x:v>
      </x:c>
      <x:c r="O4340" s="28" t="n">
        <x:f>MIN(1,L4340/I4340)</x:f>
        <x:v>0.12425399999999999</x:v>
      </x:c>
      <x:c r="P4340" s="30" t="n">
        <x:f>O4340*J4340*(1+M4340)</x:f>
        <x:v>4.100382</x:v>
      </x:c>
      <x:c r="Q4340" s="30" t="n">
        <x:f>P4340*N4340</x:f>
        <x:v>8.200764</x:v>
      </x:c>
      <x:c r="R4340" s="19" t="str">
        <x:v>独立判定</x:v>
      </x:c>
    </x:row>
    <x:row r="4341" ht="19" customHeight="1">
      <x:c r="A4341" s="19" t="str">
        <x:v>D04337</x:v>
      </x:c>
      <x:c r="B4341" s="19" t="n">
        <x:v>9</x:v>
      </x:c>
      <x:c r="C4341" s="19" t="n">
        <x:v>3</x:v>
      </x:c>
      <x:c r="D4341" s="19" t="str">
        <x:v>C09-M035</x:v>
      </x:c>
      <x:c r="E4341" s="19" t="str">
        <x:v>封棺执政·梅尔顿</x:v>
      </x:c>
      <x:c r="F4341" s="19" t="str">
        <x:v>地图BOSS</x:v>
      </x:c>
      <x:c r="G4341" s="19" t="str">
        <x:v>材料独立候选</x:v>
      </x:c>
      <x:c r="H4341" s="19" t="str">
        <x:v>古王律页</x:v>
      </x:c>
      <x:c r="I4341" s="22" t="n">
        <x:v>500</x:v>
      </x:c>
      <x:c r="J4341" s="22" t="n">
        <x:v>1</x:v>
      </x:c>
      <x:c r="K4341" s="19" t="n">
        <x:v>1</x:v>
      </x:c>
      <x:c r="L4341" s="24" t="n">
        <x:v>62.126999999999995</x:v>
      </x:c>
      <x:c r="M4341" s="26" t="n">
        <x:v>0.1</x:v>
      </x:c>
      <x:c r="N4341" s="24" t="n">
        <x:v>2</x:v>
      </x:c>
      <x:c r="O4341" s="28" t="n">
        <x:f>MIN(1,L4341/I4341)</x:f>
        <x:v>0.12425399999999999</x:v>
      </x:c>
      <x:c r="P4341" s="30" t="n">
        <x:f>O4341*J4341*(1+M4341)</x:f>
        <x:v>0.1366794</x:v>
      </x:c>
      <x:c r="Q4341" s="30" t="n">
        <x:f>P4341*N4341</x:f>
        <x:v>0.2733588</x:v>
      </x:c>
      <x:c r="R4341" s="19" t="str">
        <x:v>独立判定</x:v>
      </x:c>
    </x:row>
    <x:row r="4342" ht="19" customHeight="1">
      <x:c r="A4342" s="19" t="str">
        <x:v>D04338</x:v>
      </x:c>
      <x:c r="B4342" s="19" t="n">
        <x:v>9</x:v>
      </x:c>
      <x:c r="C4342" s="19" t="n">
        <x:v>3</x:v>
      </x:c>
      <x:c r="D4342" s="19" t="str">
        <x:v>C09-M035</x:v>
      </x:c>
      <x:c r="E4342" s="19" t="str">
        <x:v>封棺执政·梅尔顿</x:v>
      </x:c>
      <x:c r="F4342" s="19" t="str">
        <x:v>地图BOSS</x:v>
      </x:c>
      <x:c r="G4342" s="19" t="str">
        <x:v>材料独立候选</x:v>
      </x:c>
      <x:c r="H4342" s="19" t="str">
        <x:v>黄金律印</x:v>
      </x:c>
      <x:c r="I4342" s="22" t="n">
        <x:v>300</x:v>
      </x:c>
      <x:c r="J4342" s="22" t="n">
        <x:v>7</x:v>
      </x:c>
      <x:c r="K4342" s="19" t="n">
        <x:v>1</x:v>
      </x:c>
      <x:c r="L4342" s="24" t="n">
        <x:v>62.126999999999995</x:v>
      </x:c>
      <x:c r="M4342" s="26" t="n">
        <x:v>0.1</x:v>
      </x:c>
      <x:c r="N4342" s="24" t="n">
        <x:v>2</x:v>
      </x:c>
      <x:c r="O4342" s="28" t="n">
        <x:f>MIN(1,L4342/I4342)</x:f>
        <x:v>0.20709</x:v>
      </x:c>
      <x:c r="P4342" s="30" t="n">
        <x:f>O4342*J4342*(1+M4342)</x:f>
        <x:v>1.5945930000000001</x:v>
      </x:c>
      <x:c r="Q4342" s="30" t="n">
        <x:f>P4342*N4342</x:f>
        <x:v>3.1891860000000003</x:v>
      </x:c>
      <x:c r="R4342" s="19" t="str">
        <x:v>独立判定</x:v>
      </x:c>
    </x:row>
    <x:row r="4343" ht="19" customHeight="1">
      <x:c r="A4343" s="19" t="str">
        <x:v>D04339</x:v>
      </x:c>
      <x:c r="B4343" s="19" t="n">
        <x:v>9</x:v>
      </x:c>
      <x:c r="C4343" s="19" t="n">
        <x:v>3</x:v>
      </x:c>
      <x:c r="D4343" s="19" t="str">
        <x:v>C09-M035</x:v>
      </x:c>
      <x:c r="E4343" s="19" t="str">
        <x:v>封棺执政·梅尔顿</x:v>
      </x:c>
      <x:c r="F4343" s="19" t="str">
        <x:v>地图BOSS</x:v>
      </x:c>
      <x:c r="G4343" s="19" t="str">
        <x:v>材料独立候选</x:v>
      </x:c>
      <x:c r="H4343" s="19" t="str">
        <x:v>裁文蜡封</x:v>
      </x:c>
      <x:c r="I4343" s="22" t="n">
        <x:v>250</x:v>
      </x:c>
      <x:c r="J4343" s="22" t="n">
        <x:v>3</x:v>
      </x:c>
      <x:c r="K4343" s="19" t="n">
        <x:v>1</x:v>
      </x:c>
      <x:c r="L4343" s="24" t="n">
        <x:v>62.126999999999995</x:v>
      </x:c>
      <x:c r="M4343" s="26" t="n">
        <x:v>0.1</x:v>
      </x:c>
      <x:c r="N4343" s="24" t="n">
        <x:v>2</x:v>
      </x:c>
      <x:c r="O4343" s="28" t="n">
        <x:f>MIN(1,L4343/I4343)</x:f>
        <x:v>0.24850799999999998</x:v>
      </x:c>
      <x:c r="P4343" s="30" t="n">
        <x:f>O4343*J4343*(1+M4343)</x:f>
        <x:v>0.8200764</x:v>
      </x:c>
      <x:c r="Q4343" s="30" t="n">
        <x:f>P4343*N4343</x:f>
        <x:v>1.6401528</x:v>
      </x:c>
      <x:c r="R4343" s="19" t="str">
        <x:v>独立判定</x:v>
      </x:c>
    </x:row>
    <x:row r="4344" ht="19" customHeight="1">
      <x:c r="A4344" s="19" t="str">
        <x:v>D04340</x:v>
      </x:c>
      <x:c r="B4344" s="19" t="n">
        <x:v>9</x:v>
      </x:c>
      <x:c r="C4344" s="19" t="n">
        <x:v>3</x:v>
      </x:c>
      <x:c r="D4344" s="19" t="str">
        <x:v>C09-M035</x:v>
      </x:c>
      <x:c r="E4344" s="19" t="str">
        <x:v>封棺执政·梅尔顿</x:v>
      </x:c>
      <x:c r="F4344" s="19" t="str">
        <x:v>地图BOSS</x:v>
      </x:c>
      <x:c r="G4344" s="19" t="str">
        <x:v>材料独立候选</x:v>
      </x:c>
      <x:c r="H4344" s="19" t="str">
        <x:v>古坛鎏叶髓</x:v>
      </x:c>
      <x:c r="I4344" s="22" t="n">
        <x:v>1000000</x:v>
      </x:c>
      <x:c r="J4344" s="22" t="n">
        <x:v>1</x:v>
      </x:c>
      <x:c r="K4344" s="19" t="n">
        <x:v>1</x:v>
      </x:c>
      <x:c r="L4344" s="24" t="n">
        <x:v>62.126999999999995</x:v>
      </x:c>
      <x:c r="M4344" s="26" t="n">
        <x:v>0.1</x:v>
      </x:c>
      <x:c r="N4344" s="24" t="n">
        <x:v>2</x:v>
      </x:c>
      <x:c r="O4344" s="28" t="n">
        <x:f>MIN(1,L4344/I4344)</x:f>
        <x:v>0.000062127</x:v>
      </x:c>
      <x:c r="P4344" s="30" t="n">
        <x:f>O4344*J4344*(1+M4344)</x:f>
        <x:v>0.0000683397</x:v>
      </x:c>
      <x:c r="Q4344" s="30" t="n">
        <x:f>P4344*N4344</x:f>
        <x:v>0.0001366794</x:v>
      </x:c>
      <x:c r="R4344" s="19" t="str">
        <x:v>独立判定</x:v>
      </x:c>
    </x:row>
    <x:row r="4345" ht="19" customHeight="1">
      <x:c r="A4345" s="19" t="str">
        <x:v>D04341</x:v>
      </x:c>
      <x:c r="B4345" s="19" t="n">
        <x:v>9</x:v>
      </x:c>
      <x:c r="C4345" s="19" t="n">
        <x:v>3</x:v>
      </x:c>
      <x:c r="D4345" s="19" t="str">
        <x:v>C09-M035</x:v>
      </x:c>
      <x:c r="E4345" s="19" t="str">
        <x:v>封棺执政·梅尔顿</x:v>
      </x:c>
      <x:c r="F4345" s="19" t="str">
        <x:v>地图BOSS</x:v>
      </x:c>
      <x:c r="G4345" s="19" t="str">
        <x:v>材料独立候选</x:v>
      </x:c>
      <x:c r="H4345" s="19" t="str">
        <x:v>黄金树芽</x:v>
      </x:c>
      <x:c r="I4345" s="22" t="n">
        <x:v>8000</x:v>
      </x:c>
      <x:c r="J4345" s="22" t="n">
        <x:v>1</x:v>
      </x:c>
      <x:c r="K4345" s="19" t="n">
        <x:v>1</x:v>
      </x:c>
      <x:c r="L4345" s="24" t="n">
        <x:v>62.126999999999995</x:v>
      </x:c>
      <x:c r="M4345" s="26" t="n">
        <x:v>0.1</x:v>
      </x:c>
      <x:c r="N4345" s="24" t="n">
        <x:v>2</x:v>
      </x:c>
      <x:c r="O4345" s="28" t="n">
        <x:f>MIN(1,L4345/I4345)</x:f>
        <x:v>0.007765874999999999</x:v>
      </x:c>
      <x:c r="P4345" s="30" t="n">
        <x:f>O4345*J4345*(1+M4345)</x:f>
        <x:v>0.0085424625</x:v>
      </x:c>
      <x:c r="Q4345" s="30" t="n">
        <x:f>P4345*N4345</x:f>
        <x:v>0.017084925</x:v>
      </x:c>
      <x:c r="R4345" s="19" t="str">
        <x:v>独立判定</x:v>
      </x:c>
    </x:row>
    <x:row r="4346" ht="19" customHeight="1">
      <x:c r="A4346" s="19" t="str">
        <x:v>D04342</x:v>
      </x:c>
      <x:c r="B4346" s="19" t="n">
        <x:v>9</x:v>
      </x:c>
      <x:c r="C4346" s="19" t="n">
        <x:v>3</x:v>
      </x:c>
      <x:c r="D4346" s="19" t="str">
        <x:v>C09-M035</x:v>
      </x:c>
      <x:c r="E4346" s="19" t="str">
        <x:v>封棺执政·梅尔顿</x:v>
      </x:c>
      <x:c r="F4346" s="19" t="str">
        <x:v>地图BOSS</x:v>
      </x:c>
      <x:c r="G4346" s="19" t="str">
        <x:v>材料独立候选</x:v>
      </x:c>
      <x:c r="H4346" s="19" t="str">
        <x:v>野兽骨片</x:v>
      </x:c>
      <x:c r="I4346" s="22" t="n">
        <x:v>100</x:v>
      </x:c>
      <x:c r="J4346" s="22" t="n">
        <x:v>5</x:v>
      </x:c>
      <x:c r="K4346" s="19" t="n">
        <x:v>1</x:v>
      </x:c>
      <x:c r="L4346" s="24" t="n">
        <x:v>62.126999999999995</x:v>
      </x:c>
      <x:c r="M4346" s="26" t="n">
        <x:v>0.1</x:v>
      </x:c>
      <x:c r="N4346" s="24" t="n">
        <x:v>2</x:v>
      </x:c>
      <x:c r="O4346" s="28" t="n">
        <x:f>MIN(1,L4346/I4346)</x:f>
        <x:v>0.62127</x:v>
      </x:c>
      <x:c r="P4346" s="30" t="n">
        <x:f>O4346*J4346*(1+M4346)</x:f>
        <x:v>3.4169850000000004</x:v>
      </x:c>
      <x:c r="Q4346" s="30" t="n">
        <x:f>P4346*N4346</x:f>
        <x:v>6.833970000000001</x:v>
      </x:c>
      <x:c r="R4346" s="19" t="str">
        <x:v>独立判定</x:v>
      </x:c>
    </x:row>
    <x:row r="4347" ht="19" customHeight="1">
      <x:c r="A4347" s="19" t="str">
        <x:v>D04343</x:v>
      </x:c>
      <x:c r="B4347" s="19" t="n">
        <x:v>9</x:v>
      </x:c>
      <x:c r="C4347" s="19" t="n">
        <x:v>3</x:v>
      </x:c>
      <x:c r="D4347" s="19" t="str">
        <x:v>C09-M035</x:v>
      </x:c>
      <x:c r="E4347" s="19" t="str">
        <x:v>封棺执政·梅尔顿</x:v>
      </x:c>
      <x:c r="F4347" s="19" t="str">
        <x:v>地图BOSS</x:v>
      </x:c>
      <x:c r="G4347" s="19" t="str">
        <x:v>材料独立候选</x:v>
      </x:c>
      <x:c r="H4347" s="19" t="str">
        <x:v>技能残页</x:v>
      </x:c>
      <x:c r="I4347" s="22" t="n">
        <x:v>800</x:v>
      </x:c>
      <x:c r="J4347" s="22" t="n">
        <x:v>1</x:v>
      </x:c>
      <x:c r="K4347" s="19" t="n">
        <x:v>1</x:v>
      </x:c>
      <x:c r="L4347" s="24" t="n">
        <x:v>62.126999999999995</x:v>
      </x:c>
      <x:c r="M4347" s="26" t="n">
        <x:v>0.1</x:v>
      </x:c>
      <x:c r="N4347" s="24" t="n">
        <x:v>2</x:v>
      </x:c>
      <x:c r="O4347" s="28" t="n">
        <x:f>MIN(1,L4347/I4347)</x:f>
        <x:v>0.07765875</x:v>
      </x:c>
      <x:c r="P4347" s="30" t="n">
        <x:f>O4347*J4347*(1+M4347)</x:f>
        <x:v>0.085424625</x:v>
      </x:c>
      <x:c r="Q4347" s="30" t="n">
        <x:f>P4347*N4347</x:f>
        <x:v>0.17084925</x:v>
      </x:c>
      <x:c r="R4347" s="19" t="str">
        <x:v>独立判定</x:v>
      </x:c>
    </x:row>
    <x:row r="4348" ht="19" customHeight="1">
      <x:c r="A4348" s="19" t="str">
        <x:v>D04344</x:v>
      </x:c>
      <x:c r="B4348" s="19" t="n">
        <x:v>9</x:v>
      </x:c>
      <x:c r="C4348" s="19" t="n">
        <x:v>3</x:v>
      </x:c>
      <x:c r="D4348" s="19" t="str">
        <x:v>C09-M035</x:v>
      </x:c>
      <x:c r="E4348" s="19" t="str">
        <x:v>封棺执政·梅尔顿</x:v>
      </x:c>
      <x:c r="F4348" s="19" t="str">
        <x:v>地图BOSS</x:v>
      </x:c>
      <x:c r="G4348" s="19" t="str">
        <x:v>材料独立候选</x:v>
      </x:c>
      <x:c r="H4348" s="19" t="str">
        <x:v>宁姆格福誓页</x:v>
      </x:c>
      <x:c r="I4348" s="22" t="n">
        <x:v>800</x:v>
      </x:c>
      <x:c r="J4348" s="22" t="n">
        <x:v>1</x:v>
      </x:c>
      <x:c r="K4348" s="19" t="n">
        <x:v>1</x:v>
      </x:c>
      <x:c r="L4348" s="24" t="n">
        <x:v>62.126999999999995</x:v>
      </x:c>
      <x:c r="M4348" s="26" t="n">
        <x:v>0.1</x:v>
      </x:c>
      <x:c r="N4348" s="24" t="n">
        <x:v>2</x:v>
      </x:c>
      <x:c r="O4348" s="28" t="n">
        <x:f>MIN(1,L4348/I4348)</x:f>
        <x:v>0.07765875</x:v>
      </x:c>
      <x:c r="P4348" s="30" t="n">
        <x:f>O4348*J4348*(1+M4348)</x:f>
        <x:v>0.085424625</x:v>
      </x:c>
      <x:c r="Q4348" s="30" t="n">
        <x:f>P4348*N4348</x:f>
        <x:v>0.17084925</x:v>
      </x:c>
      <x:c r="R4348" s="19" t="str">
        <x:v>独立判定</x:v>
      </x:c>
    </x:row>
    <x:row r="4349" ht="19" customHeight="1">
      <x:c r="A4349" s="19" t="str">
        <x:v>D04345</x:v>
      </x:c>
      <x:c r="B4349" s="19" t="n">
        <x:v>9</x:v>
      </x:c>
      <x:c r="C4349" s="19" t="n">
        <x:v>3</x:v>
      </x:c>
      <x:c r="D4349" s="19" t="str">
        <x:v>C09-M035</x:v>
      </x:c>
      <x:c r="E4349" s="19" t="str">
        <x:v>封棺执政·梅尔顿</x:v>
      </x:c>
      <x:c r="F4349" s="19" t="str">
        <x:v>地图BOSS</x:v>
      </x:c>
      <x:c r="G4349" s="19" t="str">
        <x:v>材料独立候选</x:v>
      </x:c>
      <x:c r="H4349" s="19" t="str">
        <x:v>小卢恩</x:v>
      </x:c>
      <x:c r="I4349" s="22" t="n">
        <x:v>6000</x:v>
      </x:c>
      <x:c r="J4349" s="22" t="n">
        <x:v>1</x:v>
      </x:c>
      <x:c r="K4349" s="19" t="n">
        <x:v>1</x:v>
      </x:c>
      <x:c r="L4349" s="24" t="n">
        <x:v>62.126999999999995</x:v>
      </x:c>
      <x:c r="M4349" s="26" t="n">
        <x:v>0.1</x:v>
      </x:c>
      <x:c r="N4349" s="24" t="n">
        <x:v>2</x:v>
      </x:c>
      <x:c r="O4349" s="28" t="n">
        <x:f>MIN(1,L4349/I4349)</x:f>
        <x:v>0.010354499999999999</x:v>
      </x:c>
      <x:c r="P4349" s="30" t="n">
        <x:f>O4349*J4349*(1+M4349)</x:f>
        <x:v>0.01138995</x:v>
      </x:c>
      <x:c r="Q4349" s="30" t="n">
        <x:f>P4349*N4349</x:f>
        <x:v>0.0227799</x:v>
      </x:c>
      <x:c r="R4349" s="19" t="str">
        <x:v>独立判定</x:v>
      </x:c>
    </x:row>
    <x:row r="4350" ht="19" customHeight="1">
      <x:c r="A4350" s="19" t="str">
        <x:v>D04346</x:v>
      </x:c>
      <x:c r="B4350" s="19" t="n">
        <x:v>9</x:v>
      </x:c>
      <x:c r="C4350" s="19" t="n">
        <x:v>3</x:v>
      </x:c>
      <x:c r="D4350" s="19" t="str">
        <x:v>C09-M035</x:v>
      </x:c>
      <x:c r="E4350" s="19" t="str">
        <x:v>封棺执政·梅尔顿</x:v>
      </x:c>
      <x:c r="F4350" s="19" t="str">
        <x:v>地图BOSS</x:v>
      </x:c>
      <x:c r="G4350" s="19" t="str">
        <x:v>材料独立候选</x:v>
      </x:c>
      <x:c r="H4350" s="19" t="str">
        <x:v>大卢恩</x:v>
      </x:c>
      <x:c r="I4350" s="22" t="n">
        <x:v>500</x:v>
      </x:c>
      <x:c r="J4350" s="22" t="n">
        <x:v>1</x:v>
      </x:c>
      <x:c r="K4350" s="19" t="n">
        <x:v>1</x:v>
      </x:c>
      <x:c r="L4350" s="24" t="n">
        <x:v>62.126999999999995</x:v>
      </x:c>
      <x:c r="M4350" s="26" t="n">
        <x:v>0.1</x:v>
      </x:c>
      <x:c r="N4350" s="24" t="n">
        <x:v>2</x:v>
      </x:c>
      <x:c r="O4350" s="28" t="n">
        <x:f>MIN(1,L4350/I4350)</x:f>
        <x:v>0.12425399999999999</x:v>
      </x:c>
      <x:c r="P4350" s="30" t="n">
        <x:f>O4350*J4350*(1+M4350)</x:f>
        <x:v>0.1366794</x:v>
      </x:c>
      <x:c r="Q4350" s="30" t="n">
        <x:f>P4350*N4350</x:f>
        <x:v>0.2733588</x:v>
      </x:c>
      <x:c r="R4350" s="19" t="str">
        <x:v>独立判定</x:v>
      </x:c>
    </x:row>
    <x:row r="4351" ht="19" customHeight="1">
      <x:c r="A4351" s="19" t="str">
        <x:v>D04347</x:v>
      </x:c>
      <x:c r="B4351" s="19" t="n">
        <x:v>9</x:v>
      </x:c>
      <x:c r="C4351" s="19" t="n">
        <x:v>3</x:v>
      </x:c>
      <x:c r="D4351" s="19" t="str">
        <x:v>C09-M035</x:v>
      </x:c>
      <x:c r="E4351" s="19" t="str">
        <x:v>封棺执政·梅尔顿</x:v>
      </x:c>
      <x:c r="F4351" s="19" t="str">
        <x:v>地图BOSS</x:v>
      </x:c>
      <x:c r="G4351" s="19" t="str">
        <x:v>材料独立候选</x:v>
      </x:c>
      <x:c r="H4351" s="19" t="str">
        <x:v>巨人熔火卢恩</x:v>
      </x:c>
      <x:c r="I4351" s="22" t="n">
        <x:v>800</x:v>
      </x:c>
      <x:c r="J4351" s="22" t="n">
        <x:v>1</x:v>
      </x:c>
      <x:c r="K4351" s="19" t="n">
        <x:v>1</x:v>
      </x:c>
      <x:c r="L4351" s="24" t="n">
        <x:v>62.126999999999995</x:v>
      </x:c>
      <x:c r="M4351" s="26" t="n">
        <x:v>0.1</x:v>
      </x:c>
      <x:c r="N4351" s="24" t="n">
        <x:v>2</x:v>
      </x:c>
      <x:c r="O4351" s="28" t="n">
        <x:f>MIN(1,L4351/I4351)</x:f>
        <x:v>0.07765875</x:v>
      </x:c>
      <x:c r="P4351" s="30" t="n">
        <x:f>O4351*J4351*(1+M4351)</x:f>
        <x:v>0.085424625</x:v>
      </x:c>
      <x:c r="Q4351" s="30" t="n">
        <x:f>P4351*N4351</x:f>
        <x:v>0.17084925</x:v>
      </x:c>
      <x:c r="R4351" s="19" t="str">
        <x:v>独立判定</x:v>
      </x:c>
    </x:row>
    <x:row r="4352" ht="19" customHeight="1">
      <x:c r="A4352" s="19" t="str">
        <x:v>D04348</x:v>
      </x:c>
      <x:c r="B4352" s="19" t="n">
        <x:v>9</x:v>
      </x:c>
      <x:c r="C4352" s="19" t="n">
        <x:v>3</x:v>
      </x:c>
      <x:c r="D4352" s="19" t="str">
        <x:v>C09-M035</x:v>
      </x:c>
      <x:c r="E4352" s="19" t="str">
        <x:v>封棺执政·梅尔顿</x:v>
      </x:c>
      <x:c r="F4352" s="19" t="str">
        <x:v>地图BOSS</x:v>
      </x:c>
      <x:c r="G4352" s="19" t="str">
        <x:v>六神器公共池</x:v>
      </x:c>
      <x:c r="H4352" s="19" t="str">
        <x:v>POOL006</x:v>
      </x:c>
      <x:c r="I4352" s="22" t="n">
        <x:v>200000</x:v>
      </x:c>
      <x:c r="J4352" s="22" t="n">
        <x:v>1</x:v>
      </x:c>
      <x:c r="K4352" s="19" t="n">
        <x:v>6</x:v>
      </x:c>
      <x:c r="L4352" s="24" t="n">
        <x:v>62.126999999999995</x:v>
      </x:c>
      <x:c r="M4352" s="26" t="n">
        <x:v>0.1</x:v>
      </x:c>
      <x:c r="N4352" s="24" t="n">
        <x:v>2</x:v>
      </x:c>
      <x:c r="O4352" s="28" t="n">
        <x:f>MIN(1,L4352/I4352)</x:f>
        <x:v>0.00031063499999999997</x:v>
      </x:c>
      <x:c r="P4352" s="30" t="n">
        <x:f>O4352*J4352*(1+M4352)</x:f>
        <x:v>0.0003416985</x:v>
      </x:c>
      <x:c r="Q4352" s="30" t="n">
        <x:f>P4352*N4352</x:f>
        <x:v>0.000683397</x:v>
      </x:c>
      <x:c r="R4352" s="19" t="str">
        <x:v>六选一；非6个独立爆率</x:v>
      </x:c>
    </x:row>
    <x:row r="4353" ht="19" customHeight="1">
      <x:c r="A4353" s="19" t="str">
        <x:v>D04349</x:v>
      </x:c>
      <x:c r="B4353" s="19" t="n">
        <x:v>9</x:v>
      </x:c>
      <x:c r="C4353" s="19" t="n">
        <x:v>3</x:v>
      </x:c>
      <x:c r="D4353" s="19" t="str">
        <x:v>C09-M036</x:v>
      </x:c>
      <x:c r="E4353" s="19" t="str">
        <x:v>不醒古王·奥瑞昂</x:v>
      </x:c>
      <x:c r="F4353" s="19" t="str">
        <x:v>地图BOSS</x:v>
      </x:c>
      <x:c r="G4353" s="19" t="str">
        <x:v>自身专属</x:v>
      </x:c>
      <x:c r="H4353" s="19" t="str">
        <x:v>奥瑞昂不醒王衣</x:v>
      </x:c>
      <x:c r="I4353" s="22" t="n">
        <x:v>300</x:v>
      </x:c>
      <x:c r="J4353" s="22" t="n">
        <x:v>1</x:v>
      </x:c>
      <x:c r="K4353" s="19" t="n">
        <x:v>1</x:v>
      </x:c>
      <x:c r="L4353" s="24" t="n">
        <x:v>62.126999999999995</x:v>
      </x:c>
      <x:c r="M4353" s="26" t="n">
        <x:v>0.1</x:v>
      </x:c>
      <x:c r="N4353" s="24" t="n">
        <x:v>2</x:v>
      </x:c>
      <x:c r="O4353" s="28" t="n">
        <x:f>MIN(1,L4353/I4353)</x:f>
        <x:v>0.20709</x:v>
      </x:c>
      <x:c r="P4353" s="30" t="n">
        <x:f>O4353*J4353*(1+M4353)</x:f>
        <x:v>0.227799</x:v>
      </x:c>
      <x:c r="Q4353" s="30" t="n">
        <x:f>P4353*N4353</x:f>
        <x:v>0.455598</x:v>
      </x:c>
      <x:c r="R4353" s="19" t="str">
        <x:v>独立判定</x:v>
      </x:c>
    </x:row>
    <x:row r="4354" ht="19" customHeight="1">
      <x:c r="A4354" s="19" t="str">
        <x:v>D04350</x:v>
      </x:c>
      <x:c r="B4354" s="19" t="n">
        <x:v>9</x:v>
      </x:c>
      <x:c r="C4354" s="19" t="n">
        <x:v>3</x:v>
      </x:c>
      <x:c r="D4354" s="19" t="str">
        <x:v>C09-M036</x:v>
      </x:c>
      <x:c r="E4354" s="19" t="str">
        <x:v>不醒古王·奥瑞昂</x:v>
      </x:c>
      <x:c r="F4354" s="19" t="str">
        <x:v>地图BOSS</x:v>
      </x:c>
      <x:c r="G4354" s="19" t="str">
        <x:v>自身专属</x:v>
      </x:c>
      <x:c r="H4354" s="19" t="str">
        <x:v>誓印日轮镯</x:v>
      </x:c>
      <x:c r="I4354" s="22" t="n">
        <x:v>300</x:v>
      </x:c>
      <x:c r="J4354" s="22" t="n">
        <x:v>1</x:v>
      </x:c>
      <x:c r="K4354" s="19" t="n">
        <x:v>1</x:v>
      </x:c>
      <x:c r="L4354" s="24" t="n">
        <x:v>62.126999999999995</x:v>
      </x:c>
      <x:c r="M4354" s="26" t="n">
        <x:v>0.1</x:v>
      </x:c>
      <x:c r="N4354" s="24" t="n">
        <x:v>2</x:v>
      </x:c>
      <x:c r="O4354" s="28" t="n">
        <x:f>MIN(1,L4354/I4354)</x:f>
        <x:v>0.20709</x:v>
      </x:c>
      <x:c r="P4354" s="30" t="n">
        <x:f>O4354*J4354*(1+M4354)</x:f>
        <x:v>0.227799</x:v>
      </x:c>
      <x:c r="Q4354" s="30" t="n">
        <x:f>P4354*N4354</x:f>
        <x:v>0.455598</x:v>
      </x:c>
      <x:c r="R4354" s="19" t="str">
        <x:v>独立判定</x:v>
      </x:c>
    </x:row>
    <x:row r="4355" ht="19" customHeight="1">
      <x:c r="A4355" s="19" t="str">
        <x:v>D04351</x:v>
      </x:c>
      <x:c r="B4355" s="19" t="n">
        <x:v>9</x:v>
      </x:c>
      <x:c r="C4355" s="19" t="n">
        <x:v>3</x:v>
      </x:c>
      <x:c r="D4355" s="19" t="str">
        <x:v>C09-M036</x:v>
      </x:c>
      <x:c r="E4355" s="19" t="str">
        <x:v>不醒古王·奥瑞昂</x:v>
      </x:c>
      <x:c r="F4355" s="19" t="str">
        <x:v>地图BOSS</x:v>
      </x:c>
      <x:c r="G4355" s="19" t="str">
        <x:v>本图普通兼掉候选</x:v>
      </x:c>
      <x:c r="H4355" s="19" t="str">
        <x:v>POOL073</x:v>
      </x:c>
      <x:c r="I4355" s="22" t="n">
        <x:v>150</x:v>
      </x:c>
      <x:c r="J4355" s="22" t="n">
        <x:v>1</x:v>
      </x:c>
      <x:c r="K4355" s="19" t="n">
        <x:v>2</x:v>
      </x:c>
      <x:c r="L4355" s="24" t="n">
        <x:v>62.126999999999995</x:v>
      </x:c>
      <x:c r="M4355" s="26" t="n">
        <x:v>0.1</x:v>
      </x:c>
      <x:c r="N4355" s="24" t="n">
        <x:v>2</x:v>
      </x:c>
      <x:c r="O4355" s="28" t="n">
        <x:f>MIN(1,L4355/I4355)</x:f>
        <x:v>0.41418</x:v>
      </x:c>
      <x:c r="P4355" s="30" t="n">
        <x:f>O4355*J4355*(1+M4355)</x:f>
        <x:v>0.455598</x:v>
      </x:c>
      <x:c r="Q4355" s="30" t="n">
        <x:f>P4355*N4355</x:f>
        <x:v>0.911196</x:v>
      </x:c>
      <x:c r="R4355" s="19" t="str">
        <x:v>单池选一</x:v>
      </x:c>
    </x:row>
    <x:row r="4356" ht="19" customHeight="1">
      <x:c r="A4356" s="19" t="str">
        <x:v>D04352</x:v>
      </x:c>
      <x:c r="B4356" s="19" t="n">
        <x:v>9</x:v>
      </x:c>
      <x:c r="C4356" s="19" t="n">
        <x:v>3</x:v>
      </x:c>
      <x:c r="D4356" s="19" t="str">
        <x:v>C09-M036</x:v>
      </x:c>
      <x:c r="E4356" s="19" t="str">
        <x:v>不醒古王·奥瑞昂</x:v>
      </x:c>
      <x:c r="F4356" s="19" t="str">
        <x:v>地图BOSS</x:v>
      </x:c>
      <x:c r="G4356" s="19" t="str">
        <x:v>材料独立候选</x:v>
      </x:c>
      <x:c r="H4356" s="19" t="str">
        <x:v>黄金叶脉</x:v>
      </x:c>
      <x:c r="I4356" s="22" t="n">
        <x:v>500</x:v>
      </x:c>
      <x:c r="J4356" s="22" t="n">
        <x:v>30</x:v>
      </x:c>
      <x:c r="K4356" s="19" t="n">
        <x:v>1</x:v>
      </x:c>
      <x:c r="L4356" s="24" t="n">
        <x:v>62.126999999999995</x:v>
      </x:c>
      <x:c r="M4356" s="26" t="n">
        <x:v>0.1</x:v>
      </x:c>
      <x:c r="N4356" s="24" t="n">
        <x:v>2</x:v>
      </x:c>
      <x:c r="O4356" s="28" t="n">
        <x:f>MIN(1,L4356/I4356)</x:f>
        <x:v>0.12425399999999999</x:v>
      </x:c>
      <x:c r="P4356" s="30" t="n">
        <x:f>O4356*J4356*(1+M4356)</x:f>
        <x:v>4.100382</x:v>
      </x:c>
      <x:c r="Q4356" s="30" t="n">
        <x:f>P4356*N4356</x:f>
        <x:v>8.200764</x:v>
      </x:c>
      <x:c r="R4356" s="19" t="str">
        <x:v>独立判定</x:v>
      </x:c>
    </x:row>
    <x:row r="4357" ht="19" customHeight="1">
      <x:c r="A4357" s="19" t="str">
        <x:v>D04353</x:v>
      </x:c>
      <x:c r="B4357" s="19" t="n">
        <x:v>9</x:v>
      </x:c>
      <x:c r="C4357" s="19" t="n">
        <x:v>3</x:v>
      </x:c>
      <x:c r="D4357" s="19" t="str">
        <x:v>C09-M036</x:v>
      </x:c>
      <x:c r="E4357" s="19" t="str">
        <x:v>不醒古王·奥瑞昂</x:v>
      </x:c>
      <x:c r="F4357" s="19" t="str">
        <x:v>地图BOSS</x:v>
      </x:c>
      <x:c r="G4357" s="19" t="str">
        <x:v>材料独立候选</x:v>
      </x:c>
      <x:c r="H4357" s="19" t="str">
        <x:v>古王律页</x:v>
      </x:c>
      <x:c r="I4357" s="22" t="n">
        <x:v>500</x:v>
      </x:c>
      <x:c r="J4357" s="22" t="n">
        <x:v>1</x:v>
      </x:c>
      <x:c r="K4357" s="19" t="n">
        <x:v>1</x:v>
      </x:c>
      <x:c r="L4357" s="24" t="n">
        <x:v>62.126999999999995</x:v>
      </x:c>
      <x:c r="M4357" s="26" t="n">
        <x:v>0.1</x:v>
      </x:c>
      <x:c r="N4357" s="24" t="n">
        <x:v>2</x:v>
      </x:c>
      <x:c r="O4357" s="28" t="n">
        <x:f>MIN(1,L4357/I4357)</x:f>
        <x:v>0.12425399999999999</x:v>
      </x:c>
      <x:c r="P4357" s="30" t="n">
        <x:f>O4357*J4357*(1+M4357)</x:f>
        <x:v>0.1366794</x:v>
      </x:c>
      <x:c r="Q4357" s="30" t="n">
        <x:f>P4357*N4357</x:f>
        <x:v>0.2733588</x:v>
      </x:c>
      <x:c r="R4357" s="19" t="str">
        <x:v>独立判定</x:v>
      </x:c>
    </x:row>
    <x:row r="4358" ht="19" customHeight="1">
      <x:c r="A4358" s="19" t="str">
        <x:v>D04354</x:v>
      </x:c>
      <x:c r="B4358" s="19" t="n">
        <x:v>9</x:v>
      </x:c>
      <x:c r="C4358" s="19" t="n">
        <x:v>3</x:v>
      </x:c>
      <x:c r="D4358" s="19" t="str">
        <x:v>C09-M036</x:v>
      </x:c>
      <x:c r="E4358" s="19" t="str">
        <x:v>不醒古王·奥瑞昂</x:v>
      </x:c>
      <x:c r="F4358" s="19" t="str">
        <x:v>地图BOSS</x:v>
      </x:c>
      <x:c r="G4358" s="19" t="str">
        <x:v>材料独立候选</x:v>
      </x:c>
      <x:c r="H4358" s="19" t="str">
        <x:v>黄金律印</x:v>
      </x:c>
      <x:c r="I4358" s="22" t="n">
        <x:v>300</x:v>
      </x:c>
      <x:c r="J4358" s="22" t="n">
        <x:v>7</x:v>
      </x:c>
      <x:c r="K4358" s="19" t="n">
        <x:v>1</x:v>
      </x:c>
      <x:c r="L4358" s="24" t="n">
        <x:v>62.126999999999995</x:v>
      </x:c>
      <x:c r="M4358" s="26" t="n">
        <x:v>0.1</x:v>
      </x:c>
      <x:c r="N4358" s="24" t="n">
        <x:v>2</x:v>
      </x:c>
      <x:c r="O4358" s="28" t="n">
        <x:f>MIN(1,L4358/I4358)</x:f>
        <x:v>0.20709</x:v>
      </x:c>
      <x:c r="P4358" s="30" t="n">
        <x:f>O4358*J4358*(1+M4358)</x:f>
        <x:v>1.5945930000000001</x:v>
      </x:c>
      <x:c r="Q4358" s="30" t="n">
        <x:f>P4358*N4358</x:f>
        <x:v>3.1891860000000003</x:v>
      </x:c>
      <x:c r="R4358" s="19" t="str">
        <x:v>独立判定</x:v>
      </x:c>
    </x:row>
    <x:row r="4359" ht="19" customHeight="1">
      <x:c r="A4359" s="19" t="str">
        <x:v>D04355</x:v>
      </x:c>
      <x:c r="B4359" s="19" t="n">
        <x:v>9</x:v>
      </x:c>
      <x:c r="C4359" s="19" t="n">
        <x:v>3</x:v>
      </x:c>
      <x:c r="D4359" s="19" t="str">
        <x:v>C09-M036</x:v>
      </x:c>
      <x:c r="E4359" s="19" t="str">
        <x:v>不醒古王·奥瑞昂</x:v>
      </x:c>
      <x:c r="F4359" s="19" t="str">
        <x:v>地图BOSS</x:v>
      </x:c>
      <x:c r="G4359" s="19" t="str">
        <x:v>材料独立候选</x:v>
      </x:c>
      <x:c r="H4359" s="19" t="str">
        <x:v>裁文蜡封</x:v>
      </x:c>
      <x:c r="I4359" s="22" t="n">
        <x:v>250</x:v>
      </x:c>
      <x:c r="J4359" s="22" t="n">
        <x:v>3</x:v>
      </x:c>
      <x:c r="K4359" s="19" t="n">
        <x:v>1</x:v>
      </x:c>
      <x:c r="L4359" s="24" t="n">
        <x:v>62.126999999999995</x:v>
      </x:c>
      <x:c r="M4359" s="26" t="n">
        <x:v>0.1</x:v>
      </x:c>
      <x:c r="N4359" s="24" t="n">
        <x:v>2</x:v>
      </x:c>
      <x:c r="O4359" s="28" t="n">
        <x:f>MIN(1,L4359/I4359)</x:f>
        <x:v>0.24850799999999998</x:v>
      </x:c>
      <x:c r="P4359" s="30" t="n">
        <x:f>O4359*J4359*(1+M4359)</x:f>
        <x:v>0.8200764</x:v>
      </x:c>
      <x:c r="Q4359" s="30" t="n">
        <x:f>P4359*N4359</x:f>
        <x:v>1.6401528</x:v>
      </x:c>
      <x:c r="R4359" s="19" t="str">
        <x:v>独立判定</x:v>
      </x:c>
    </x:row>
    <x:row r="4360" ht="19" customHeight="1">
      <x:c r="A4360" s="19" t="str">
        <x:v>D04356</x:v>
      </x:c>
      <x:c r="B4360" s="19" t="n">
        <x:v>9</x:v>
      </x:c>
      <x:c r="C4360" s="19" t="n">
        <x:v>3</x:v>
      </x:c>
      <x:c r="D4360" s="19" t="str">
        <x:v>C09-M036</x:v>
      </x:c>
      <x:c r="E4360" s="19" t="str">
        <x:v>不醒古王·奥瑞昂</x:v>
      </x:c>
      <x:c r="F4360" s="19" t="str">
        <x:v>地图BOSS</x:v>
      </x:c>
      <x:c r="G4360" s="19" t="str">
        <x:v>材料独立候选</x:v>
      </x:c>
      <x:c r="H4360" s="19" t="str">
        <x:v>古坛鎏叶髓</x:v>
      </x:c>
      <x:c r="I4360" s="22" t="n">
        <x:v>1000000</x:v>
      </x:c>
      <x:c r="J4360" s="22" t="n">
        <x:v>1</x:v>
      </x:c>
      <x:c r="K4360" s="19" t="n">
        <x:v>1</x:v>
      </x:c>
      <x:c r="L4360" s="24" t="n">
        <x:v>62.126999999999995</x:v>
      </x:c>
      <x:c r="M4360" s="26" t="n">
        <x:v>0.1</x:v>
      </x:c>
      <x:c r="N4360" s="24" t="n">
        <x:v>2</x:v>
      </x:c>
      <x:c r="O4360" s="28" t="n">
        <x:f>MIN(1,L4360/I4360)</x:f>
        <x:v>0.000062127</x:v>
      </x:c>
      <x:c r="P4360" s="30" t="n">
        <x:f>O4360*J4360*(1+M4360)</x:f>
        <x:v>0.0000683397</x:v>
      </x:c>
      <x:c r="Q4360" s="30" t="n">
        <x:f>P4360*N4360</x:f>
        <x:v>0.0001366794</x:v>
      </x:c>
      <x:c r="R4360" s="19" t="str">
        <x:v>独立判定</x:v>
      </x:c>
    </x:row>
    <x:row r="4361" ht="19" customHeight="1">
      <x:c r="A4361" s="19" t="str">
        <x:v>D04357</x:v>
      </x:c>
      <x:c r="B4361" s="19" t="n">
        <x:v>9</x:v>
      </x:c>
      <x:c r="C4361" s="19" t="n">
        <x:v>3</x:v>
      </x:c>
      <x:c r="D4361" s="19" t="str">
        <x:v>C09-M036</x:v>
      </x:c>
      <x:c r="E4361" s="19" t="str">
        <x:v>不醒古王·奥瑞昂</x:v>
      </x:c>
      <x:c r="F4361" s="19" t="str">
        <x:v>地图BOSS</x:v>
      </x:c>
      <x:c r="G4361" s="19" t="str">
        <x:v>材料独立候选</x:v>
      </x:c>
      <x:c r="H4361" s="19" t="str">
        <x:v>黄金树芽</x:v>
      </x:c>
      <x:c r="I4361" s="22" t="n">
        <x:v>8000</x:v>
      </x:c>
      <x:c r="J4361" s="22" t="n">
        <x:v>1</x:v>
      </x:c>
      <x:c r="K4361" s="19" t="n">
        <x:v>1</x:v>
      </x:c>
      <x:c r="L4361" s="24" t="n">
        <x:v>62.126999999999995</x:v>
      </x:c>
      <x:c r="M4361" s="26" t="n">
        <x:v>0.1</x:v>
      </x:c>
      <x:c r="N4361" s="24" t="n">
        <x:v>2</x:v>
      </x:c>
      <x:c r="O4361" s="28" t="n">
        <x:f>MIN(1,L4361/I4361)</x:f>
        <x:v>0.007765874999999999</x:v>
      </x:c>
      <x:c r="P4361" s="30" t="n">
        <x:f>O4361*J4361*(1+M4361)</x:f>
        <x:v>0.0085424625</x:v>
      </x:c>
      <x:c r="Q4361" s="30" t="n">
        <x:f>P4361*N4361</x:f>
        <x:v>0.017084925</x:v>
      </x:c>
      <x:c r="R4361" s="19" t="str">
        <x:v>独立判定</x:v>
      </x:c>
    </x:row>
    <x:row r="4362" ht="19" customHeight="1">
      <x:c r="A4362" s="19" t="str">
        <x:v>D04358</x:v>
      </x:c>
      <x:c r="B4362" s="19" t="n">
        <x:v>9</x:v>
      </x:c>
      <x:c r="C4362" s="19" t="n">
        <x:v>3</x:v>
      </x:c>
      <x:c r="D4362" s="19" t="str">
        <x:v>C09-M036</x:v>
      </x:c>
      <x:c r="E4362" s="19" t="str">
        <x:v>不醒古王·奥瑞昂</x:v>
      </x:c>
      <x:c r="F4362" s="19" t="str">
        <x:v>地图BOSS</x:v>
      </x:c>
      <x:c r="G4362" s="19" t="str">
        <x:v>材料独立候选</x:v>
      </x:c>
      <x:c r="H4362" s="19" t="str">
        <x:v>野兽骨片</x:v>
      </x:c>
      <x:c r="I4362" s="22" t="n">
        <x:v>100</x:v>
      </x:c>
      <x:c r="J4362" s="22" t="n">
        <x:v>5</x:v>
      </x:c>
      <x:c r="K4362" s="19" t="n">
        <x:v>1</x:v>
      </x:c>
      <x:c r="L4362" s="24" t="n">
        <x:v>62.126999999999995</x:v>
      </x:c>
      <x:c r="M4362" s="26" t="n">
        <x:v>0.1</x:v>
      </x:c>
      <x:c r="N4362" s="24" t="n">
        <x:v>2</x:v>
      </x:c>
      <x:c r="O4362" s="28" t="n">
        <x:f>MIN(1,L4362/I4362)</x:f>
        <x:v>0.62127</x:v>
      </x:c>
      <x:c r="P4362" s="30" t="n">
        <x:f>O4362*J4362*(1+M4362)</x:f>
        <x:v>3.4169850000000004</x:v>
      </x:c>
      <x:c r="Q4362" s="30" t="n">
        <x:f>P4362*N4362</x:f>
        <x:v>6.833970000000001</x:v>
      </x:c>
      <x:c r="R4362" s="19" t="str">
        <x:v>独立判定</x:v>
      </x:c>
    </x:row>
    <x:row r="4363" ht="19" customHeight="1">
      <x:c r="A4363" s="19" t="str">
        <x:v>D04359</x:v>
      </x:c>
      <x:c r="B4363" s="19" t="n">
        <x:v>9</x:v>
      </x:c>
      <x:c r="C4363" s="19" t="n">
        <x:v>3</x:v>
      </x:c>
      <x:c r="D4363" s="19" t="str">
        <x:v>C09-M036</x:v>
      </x:c>
      <x:c r="E4363" s="19" t="str">
        <x:v>不醒古王·奥瑞昂</x:v>
      </x:c>
      <x:c r="F4363" s="19" t="str">
        <x:v>地图BOSS</x:v>
      </x:c>
      <x:c r="G4363" s="19" t="str">
        <x:v>材料独立候选</x:v>
      </x:c>
      <x:c r="H4363" s="19" t="str">
        <x:v>技能残页</x:v>
      </x:c>
      <x:c r="I4363" s="22" t="n">
        <x:v>800</x:v>
      </x:c>
      <x:c r="J4363" s="22" t="n">
        <x:v>1</x:v>
      </x:c>
      <x:c r="K4363" s="19" t="n">
        <x:v>1</x:v>
      </x:c>
      <x:c r="L4363" s="24" t="n">
        <x:v>62.126999999999995</x:v>
      </x:c>
      <x:c r="M4363" s="26" t="n">
        <x:v>0.1</x:v>
      </x:c>
      <x:c r="N4363" s="24" t="n">
        <x:v>2</x:v>
      </x:c>
      <x:c r="O4363" s="28" t="n">
        <x:f>MIN(1,L4363/I4363)</x:f>
        <x:v>0.07765875</x:v>
      </x:c>
      <x:c r="P4363" s="30" t="n">
        <x:f>O4363*J4363*(1+M4363)</x:f>
        <x:v>0.085424625</x:v>
      </x:c>
      <x:c r="Q4363" s="30" t="n">
        <x:f>P4363*N4363</x:f>
        <x:v>0.17084925</x:v>
      </x:c>
      <x:c r="R4363" s="19" t="str">
        <x:v>独立判定</x:v>
      </x:c>
    </x:row>
    <x:row r="4364" ht="19" customHeight="1">
      <x:c r="A4364" s="19" t="str">
        <x:v>D04360</x:v>
      </x:c>
      <x:c r="B4364" s="19" t="n">
        <x:v>9</x:v>
      </x:c>
      <x:c r="C4364" s="19" t="n">
        <x:v>3</x:v>
      </x:c>
      <x:c r="D4364" s="19" t="str">
        <x:v>C09-M036</x:v>
      </x:c>
      <x:c r="E4364" s="19" t="str">
        <x:v>不醒古王·奥瑞昂</x:v>
      </x:c>
      <x:c r="F4364" s="19" t="str">
        <x:v>地图BOSS</x:v>
      </x:c>
      <x:c r="G4364" s="19" t="str">
        <x:v>材料独立候选</x:v>
      </x:c>
      <x:c r="H4364" s="19" t="str">
        <x:v>宁姆格福誓页</x:v>
      </x:c>
      <x:c r="I4364" s="22" t="n">
        <x:v>800</x:v>
      </x:c>
      <x:c r="J4364" s="22" t="n">
        <x:v>1</x:v>
      </x:c>
      <x:c r="K4364" s="19" t="n">
        <x:v>1</x:v>
      </x:c>
      <x:c r="L4364" s="24" t="n">
        <x:v>62.126999999999995</x:v>
      </x:c>
      <x:c r="M4364" s="26" t="n">
        <x:v>0.1</x:v>
      </x:c>
      <x:c r="N4364" s="24" t="n">
        <x:v>2</x:v>
      </x:c>
      <x:c r="O4364" s="28" t="n">
        <x:f>MIN(1,L4364/I4364)</x:f>
        <x:v>0.07765875</x:v>
      </x:c>
      <x:c r="P4364" s="30" t="n">
        <x:f>O4364*J4364*(1+M4364)</x:f>
        <x:v>0.085424625</x:v>
      </x:c>
      <x:c r="Q4364" s="30" t="n">
        <x:f>P4364*N4364</x:f>
        <x:v>0.17084925</x:v>
      </x:c>
      <x:c r="R4364" s="19" t="str">
        <x:v>独立判定</x:v>
      </x:c>
    </x:row>
    <x:row r="4365" ht="19" customHeight="1">
      <x:c r="A4365" s="19" t="str">
        <x:v>D04361</x:v>
      </x:c>
      <x:c r="B4365" s="19" t="n">
        <x:v>9</x:v>
      </x:c>
      <x:c r="C4365" s="19" t="n">
        <x:v>3</x:v>
      </x:c>
      <x:c r="D4365" s="19" t="str">
        <x:v>C09-M036</x:v>
      </x:c>
      <x:c r="E4365" s="19" t="str">
        <x:v>不醒古王·奥瑞昂</x:v>
      </x:c>
      <x:c r="F4365" s="19" t="str">
        <x:v>地图BOSS</x:v>
      </x:c>
      <x:c r="G4365" s="19" t="str">
        <x:v>材料独立候选</x:v>
      </x:c>
      <x:c r="H4365" s="19" t="str">
        <x:v>小卢恩</x:v>
      </x:c>
      <x:c r="I4365" s="22" t="n">
        <x:v>6000</x:v>
      </x:c>
      <x:c r="J4365" s="22" t="n">
        <x:v>1</x:v>
      </x:c>
      <x:c r="K4365" s="19" t="n">
        <x:v>1</x:v>
      </x:c>
      <x:c r="L4365" s="24" t="n">
        <x:v>62.126999999999995</x:v>
      </x:c>
      <x:c r="M4365" s="26" t="n">
        <x:v>0.1</x:v>
      </x:c>
      <x:c r="N4365" s="24" t="n">
        <x:v>2</x:v>
      </x:c>
      <x:c r="O4365" s="28" t="n">
        <x:f>MIN(1,L4365/I4365)</x:f>
        <x:v>0.010354499999999999</x:v>
      </x:c>
      <x:c r="P4365" s="30" t="n">
        <x:f>O4365*J4365*(1+M4365)</x:f>
        <x:v>0.01138995</x:v>
      </x:c>
      <x:c r="Q4365" s="30" t="n">
        <x:f>P4365*N4365</x:f>
        <x:v>0.0227799</x:v>
      </x:c>
      <x:c r="R4365" s="19" t="str">
        <x:v>独立判定</x:v>
      </x:c>
    </x:row>
    <x:row r="4366" ht="19" customHeight="1">
      <x:c r="A4366" s="19" t="str">
        <x:v>D04362</x:v>
      </x:c>
      <x:c r="B4366" s="19" t="n">
        <x:v>9</x:v>
      </x:c>
      <x:c r="C4366" s="19" t="n">
        <x:v>3</x:v>
      </x:c>
      <x:c r="D4366" s="19" t="str">
        <x:v>C09-M036</x:v>
      </x:c>
      <x:c r="E4366" s="19" t="str">
        <x:v>不醒古王·奥瑞昂</x:v>
      </x:c>
      <x:c r="F4366" s="19" t="str">
        <x:v>地图BOSS</x:v>
      </x:c>
      <x:c r="G4366" s="19" t="str">
        <x:v>材料独立候选</x:v>
      </x:c>
      <x:c r="H4366" s="19" t="str">
        <x:v>大卢恩</x:v>
      </x:c>
      <x:c r="I4366" s="22" t="n">
        <x:v>500</x:v>
      </x:c>
      <x:c r="J4366" s="22" t="n">
        <x:v>1</x:v>
      </x:c>
      <x:c r="K4366" s="19" t="n">
        <x:v>1</x:v>
      </x:c>
      <x:c r="L4366" s="24" t="n">
        <x:v>62.126999999999995</x:v>
      </x:c>
      <x:c r="M4366" s="26" t="n">
        <x:v>0.1</x:v>
      </x:c>
      <x:c r="N4366" s="24" t="n">
        <x:v>2</x:v>
      </x:c>
      <x:c r="O4366" s="28" t="n">
        <x:f>MIN(1,L4366/I4366)</x:f>
        <x:v>0.12425399999999999</x:v>
      </x:c>
      <x:c r="P4366" s="30" t="n">
        <x:f>O4366*J4366*(1+M4366)</x:f>
        <x:v>0.1366794</x:v>
      </x:c>
      <x:c r="Q4366" s="30" t="n">
        <x:f>P4366*N4366</x:f>
        <x:v>0.2733588</x:v>
      </x:c>
      <x:c r="R4366" s="19" t="str">
        <x:v>独立判定</x:v>
      </x:c>
    </x:row>
    <x:row r="4367" ht="19" customHeight="1">
      <x:c r="A4367" s="19" t="str">
        <x:v>D04363</x:v>
      </x:c>
      <x:c r="B4367" s="19" t="n">
        <x:v>9</x:v>
      </x:c>
      <x:c r="C4367" s="19" t="n">
        <x:v>3</x:v>
      </x:c>
      <x:c r="D4367" s="19" t="str">
        <x:v>C09-M036</x:v>
      </x:c>
      <x:c r="E4367" s="19" t="str">
        <x:v>不醒古王·奥瑞昂</x:v>
      </x:c>
      <x:c r="F4367" s="19" t="str">
        <x:v>地图BOSS</x:v>
      </x:c>
      <x:c r="G4367" s="19" t="str">
        <x:v>材料独立候选</x:v>
      </x:c>
      <x:c r="H4367" s="19" t="str">
        <x:v>巨人熔火卢恩</x:v>
      </x:c>
      <x:c r="I4367" s="22" t="n">
        <x:v>800</x:v>
      </x:c>
      <x:c r="J4367" s="22" t="n">
        <x:v>1</x:v>
      </x:c>
      <x:c r="K4367" s="19" t="n">
        <x:v>1</x:v>
      </x:c>
      <x:c r="L4367" s="24" t="n">
        <x:v>62.126999999999995</x:v>
      </x:c>
      <x:c r="M4367" s="26" t="n">
        <x:v>0.1</x:v>
      </x:c>
      <x:c r="N4367" s="24" t="n">
        <x:v>2</x:v>
      </x:c>
      <x:c r="O4367" s="28" t="n">
        <x:f>MIN(1,L4367/I4367)</x:f>
        <x:v>0.07765875</x:v>
      </x:c>
      <x:c r="P4367" s="30" t="n">
        <x:f>O4367*J4367*(1+M4367)</x:f>
        <x:v>0.085424625</x:v>
      </x:c>
      <x:c r="Q4367" s="30" t="n">
        <x:f>P4367*N4367</x:f>
        <x:v>0.17084925</x:v>
      </x:c>
      <x:c r="R4367" s="19" t="str">
        <x:v>独立判定</x:v>
      </x:c>
    </x:row>
    <x:row r="4368" ht="19" customHeight="1">
      <x:c r="A4368" s="19" t="str">
        <x:v>D04364</x:v>
      </x:c>
      <x:c r="B4368" s="19" t="n">
        <x:v>9</x:v>
      </x:c>
      <x:c r="C4368" s="19" t="n">
        <x:v>3</x:v>
      </x:c>
      <x:c r="D4368" s="19" t="str">
        <x:v>C09-M036</x:v>
      </x:c>
      <x:c r="E4368" s="19" t="str">
        <x:v>不醒古王·奥瑞昂</x:v>
      </x:c>
      <x:c r="F4368" s="19" t="str">
        <x:v>地图BOSS</x:v>
      </x:c>
      <x:c r="G4368" s="19" t="str">
        <x:v>六神器公共池</x:v>
      </x:c>
      <x:c r="H4368" s="19" t="str">
        <x:v>POOL006</x:v>
      </x:c>
      <x:c r="I4368" s="22" t="n">
        <x:v>200000</x:v>
      </x:c>
      <x:c r="J4368" s="22" t="n">
        <x:v>1</x:v>
      </x:c>
      <x:c r="K4368" s="19" t="n">
        <x:v>6</x:v>
      </x:c>
      <x:c r="L4368" s="24" t="n">
        <x:v>62.126999999999995</x:v>
      </x:c>
      <x:c r="M4368" s="26" t="n">
        <x:v>0.1</x:v>
      </x:c>
      <x:c r="N4368" s="24" t="n">
        <x:v>2</x:v>
      </x:c>
      <x:c r="O4368" s="28" t="n">
        <x:f>MIN(1,L4368/I4368)</x:f>
        <x:v>0.00031063499999999997</x:v>
      </x:c>
      <x:c r="P4368" s="30" t="n">
        <x:f>O4368*J4368*(1+M4368)</x:f>
        <x:v>0.0003416985</x:v>
      </x:c>
      <x:c r="Q4368" s="30" t="n">
        <x:f>P4368*N4368</x:f>
        <x:v>0.000683397</x:v>
      </x:c>
      <x:c r="R4368" s="19" t="str">
        <x:v>六选一；非6个独立爆率</x:v>
      </x:c>
    </x:row>
    <x:row r="4369" ht="19" customHeight="1">
      <x:c r="A4369" s="19" t="str">
        <x:v>D04365</x:v>
      </x:c>
      <x:c r="B4369" s="19" t="n">
        <x:v>9</x:v>
      </x:c>
      <x:c r="C4369" s="19" t="n">
        <x:v>4</x:v>
      </x:c>
      <x:c r="D4369" s="19" t="str">
        <x:v>C09-M037</x:v>
      </x:c>
      <x:c r="E4369" s="19" t="str">
        <x:v>圣堂扫金仆</x:v>
      </x:c>
      <x:c r="F4369" s="19" t="str">
        <x:v>普通</x:v>
      </x:c>
      <x:c r="G4369" s="19" t="str">
        <x:v>自身专属</x:v>
      </x:c>
      <x:c r="H4369" s="19" t="str">
        <x:v>扫金仆软履</x:v>
      </x:c>
      <x:c r="I4369" s="22" t="n">
        <x:v>8000</x:v>
      </x:c>
      <x:c r="J4369" s="22" t="n">
        <x:v>1</x:v>
      </x:c>
      <x:c r="K4369" s="19" t="n">
        <x:v>1</x:v>
      </x:c>
      <x:c r="L4369" s="24" t="n">
        <x:v>71.487</x:v>
      </x:c>
      <x:c r="M4369" s="26" t="n">
        <x:v>0.1</x:v>
      </x:c>
      <x:c r="N4369" s="24" t="n">
        <x:v>72</x:v>
      </x:c>
      <x:c r="O4369" s="28" t="n">
        <x:f>MIN(1,L4369/I4369)</x:f>
        <x:v>0.008935875</x:v>
      </x:c>
      <x:c r="P4369" s="30" t="n">
        <x:f>O4369*J4369*(1+M4369)</x:f>
        <x:v>0.0098294625</x:v>
      </x:c>
      <x:c r="Q4369" s="30" t="n">
        <x:f>P4369*N4369</x:f>
        <x:v>0.7077213</x:v>
      </x:c>
      <x:c r="R4369" s="19" t="str">
        <x:v>独立判定</x:v>
      </x:c>
    </x:row>
    <x:row r="4370" ht="19" customHeight="1">
      <x:c r="A4370" s="19" t="str">
        <x:v>D04366</x:v>
      </x:c>
      <x:c r="B4370" s="19" t="n">
        <x:v>9</x:v>
      </x:c>
      <x:c r="C4370" s="19" t="n">
        <x:v>4</x:v>
      </x:c>
      <x:c r="D4370" s="19" t="str">
        <x:v>C09-M037</x:v>
      </x:c>
      <x:c r="E4370" s="19" t="str">
        <x:v>圣堂扫金仆</x:v>
      </x:c>
      <x:c r="F4370" s="19" t="str">
        <x:v>普通</x:v>
      </x:c>
      <x:c r="G4370" s="19" t="str">
        <x:v>材料独立候选</x:v>
      </x:c>
      <x:c r="H4370" s="19" t="str">
        <x:v>黄金叶脉</x:v>
      </x:c>
      <x:c r="I4370" s="22" t="n">
        <x:v>1800</x:v>
      </x:c>
      <x:c r="J4370" s="22" t="n">
        <x:v>8</x:v>
      </x:c>
      <x:c r="K4370" s="19" t="n">
        <x:v>1</x:v>
      </x:c>
      <x:c r="L4370" s="24" t="n">
        <x:v>71.487</x:v>
      </x:c>
      <x:c r="M4370" s="26" t="n">
        <x:v>0.1</x:v>
      </x:c>
      <x:c r="N4370" s="24" t="n">
        <x:v>72</x:v>
      </x:c>
      <x:c r="O4370" s="28" t="n">
        <x:f>MIN(1,L4370/I4370)</x:f>
        <x:v>0.039715</x:v>
      </x:c>
      <x:c r="P4370" s="30" t="n">
        <x:f>O4370*J4370*(1+M4370)</x:f>
        <x:v>0.349492</x:v>
      </x:c>
      <x:c r="Q4370" s="30" t="n">
        <x:f>P4370*N4370</x:f>
        <x:v>25.163424000000003</x:v>
      </x:c>
      <x:c r="R4370" s="19" t="str">
        <x:v>独立判定</x:v>
      </x:c>
    </x:row>
    <x:row r="4371" ht="19" customHeight="1">
      <x:c r="A4371" s="19" t="str">
        <x:v>D04367</x:v>
      </x:c>
      <x:c r="B4371" s="19" t="n">
        <x:v>9</x:v>
      </x:c>
      <x:c r="C4371" s="19" t="n">
        <x:v>4</x:v>
      </x:c>
      <x:c r="D4371" s="19" t="str">
        <x:v>C09-M037</x:v>
      </x:c>
      <x:c r="E4371" s="19" t="str">
        <x:v>圣堂扫金仆</x:v>
      </x:c>
      <x:c r="F4371" s="19" t="str">
        <x:v>普通</x:v>
      </x:c>
      <x:c r="G4371" s="19" t="str">
        <x:v>材料独立候选</x:v>
      </x:c>
      <x:c r="H4371" s="19" t="str">
        <x:v>金叶驿票</x:v>
      </x:c>
      <x:c r="I4371" s="22" t="n">
        <x:v>20000</x:v>
      </x:c>
      <x:c r="J4371" s="22" t="n">
        <x:v>1</x:v>
      </x:c>
      <x:c r="K4371" s="19" t="n">
        <x:v>1</x:v>
      </x:c>
      <x:c r="L4371" s="24" t="n">
        <x:v>71.487</x:v>
      </x:c>
      <x:c r="M4371" s="26" t="n">
        <x:v>0.1</x:v>
      </x:c>
      <x:c r="N4371" s="24" t="n">
        <x:v>72</x:v>
      </x:c>
      <x:c r="O4371" s="28" t="n">
        <x:f>MIN(1,L4371/I4371)</x:f>
        <x:v>0.0035743499999999996</x:v>
      </x:c>
      <x:c r="P4371" s="30" t="n">
        <x:f>O4371*J4371*(1+M4371)</x:f>
        <x:v>0.003931785</x:v>
      </x:c>
      <x:c r="Q4371" s="30" t="n">
        <x:f>P4371*N4371</x:f>
        <x:v>0.28308852</x:v>
      </x:c>
      <x:c r="R4371" s="19" t="str">
        <x:v>独立判定</x:v>
      </x:c>
    </x:row>
    <x:row r="4372" ht="19" customHeight="1">
      <x:c r="A4372" s="19" t="str">
        <x:v>D04368</x:v>
      </x:c>
      <x:c r="B4372" s="19" t="n">
        <x:v>9</x:v>
      </x:c>
      <x:c r="C4372" s="19" t="n">
        <x:v>4</x:v>
      </x:c>
      <x:c r="D4372" s="19" t="str">
        <x:v>C09-M037</x:v>
      </x:c>
      <x:c r="E4372" s="19" t="str">
        <x:v>圣堂扫金仆</x:v>
      </x:c>
      <x:c r="F4372" s="19" t="str">
        <x:v>普通</x:v>
      </x:c>
      <x:c r="G4372" s="19" t="str">
        <x:v>材料独立候选</x:v>
      </x:c>
      <x:c r="H4372" s="19" t="str">
        <x:v>古坛鎏叶髓</x:v>
      </x:c>
      <x:c r="I4372" s="22" t="n">
        <x:v>3000000</x:v>
      </x:c>
      <x:c r="J4372" s="22" t="n">
        <x:v>1</x:v>
      </x:c>
      <x:c r="K4372" s="19" t="n">
        <x:v>1</x:v>
      </x:c>
      <x:c r="L4372" s="24" t="n">
        <x:v>71.487</x:v>
      </x:c>
      <x:c r="M4372" s="26" t="n">
        <x:v>0.1</x:v>
      </x:c>
      <x:c r="N4372" s="24" t="n">
        <x:v>72</x:v>
      </x:c>
      <x:c r="O4372" s="28" t="n">
        <x:f>MIN(1,L4372/I4372)</x:f>
        <x:v>0.000023829</x:v>
      </x:c>
      <x:c r="P4372" s="30" t="n">
        <x:f>O4372*J4372*(1+M4372)</x:f>
        <x:v>0.0000262119</x:v>
      </x:c>
      <x:c r="Q4372" s="30" t="n">
        <x:f>P4372*N4372</x:f>
        <x:v>0.0018872568</x:v>
      </x:c>
      <x:c r="R4372" s="19" t="str">
        <x:v>独立判定</x:v>
      </x:c>
    </x:row>
    <x:row r="4373" ht="19" customHeight="1">
      <x:c r="A4373" s="19" t="str">
        <x:v>D04369</x:v>
      </x:c>
      <x:c r="B4373" s="19" t="n">
        <x:v>9</x:v>
      </x:c>
      <x:c r="C4373" s="19" t="n">
        <x:v>4</x:v>
      </x:c>
      <x:c r="D4373" s="19" t="str">
        <x:v>C09-M037</x:v>
      </x:c>
      <x:c r="E4373" s="19" t="str">
        <x:v>圣堂扫金仆</x:v>
      </x:c>
      <x:c r="F4373" s="19" t="str">
        <x:v>普通</x:v>
      </x:c>
      <x:c r="G4373" s="19" t="str">
        <x:v>材料独立候选</x:v>
      </x:c>
      <x:c r="H4373" s="19" t="str">
        <x:v>野兽骨片</x:v>
      </x:c>
      <x:c r="I4373" s="22" t="n">
        <x:v>400</x:v>
      </x:c>
      <x:c r="J4373" s="22" t="n">
        <x:v>5</x:v>
      </x:c>
      <x:c r="K4373" s="19" t="n">
        <x:v>1</x:v>
      </x:c>
      <x:c r="L4373" s="24" t="n">
        <x:v>71.487</x:v>
      </x:c>
      <x:c r="M4373" s="26" t="n">
        <x:v>0.1</x:v>
      </x:c>
      <x:c r="N4373" s="24" t="n">
        <x:v>72</x:v>
      </x:c>
      <x:c r="O4373" s="28" t="n">
        <x:f>MIN(1,L4373/I4373)</x:f>
        <x:v>0.17871749999999997</x:v>
      </x:c>
      <x:c r="P4373" s="30" t="n">
        <x:f>O4373*J4373*(1+M4373)</x:f>
        <x:v>0.9829462499999999</x:v>
      </x:c>
      <x:c r="Q4373" s="30" t="n">
        <x:f>P4373*N4373</x:f>
        <x:v>70.77212999999999</x:v>
      </x:c>
      <x:c r="R4373" s="19" t="str">
        <x:v>独立判定</x:v>
      </x:c>
    </x:row>
    <x:row r="4374" ht="19" customHeight="1">
      <x:c r="A4374" s="19" t="str">
        <x:v>D04370</x:v>
      </x:c>
      <x:c r="B4374" s="19" t="n">
        <x:v>9</x:v>
      </x:c>
      <x:c r="C4374" s="19" t="n">
        <x:v>4</x:v>
      </x:c>
      <x:c r="D4374" s="19" t="str">
        <x:v>C09-M037</x:v>
      </x:c>
      <x:c r="E4374" s="19" t="str">
        <x:v>圣堂扫金仆</x:v>
      </x:c>
      <x:c r="F4374" s="19" t="str">
        <x:v>普通</x:v>
      </x:c>
      <x:c r="G4374" s="19" t="str">
        <x:v>材料独立候选</x:v>
      </x:c>
      <x:c r="H4374" s="19" t="str">
        <x:v>技能残页</x:v>
      </x:c>
      <x:c r="I4374" s="22" t="n">
        <x:v>3000</x:v>
      </x:c>
      <x:c r="J4374" s="22" t="n">
        <x:v>1</x:v>
      </x:c>
      <x:c r="K4374" s="19" t="n">
        <x:v>1</x:v>
      </x:c>
      <x:c r="L4374" s="24" t="n">
        <x:v>71.487</x:v>
      </x:c>
      <x:c r="M4374" s="26" t="n">
        <x:v>0.1</x:v>
      </x:c>
      <x:c r="N4374" s="24" t="n">
        <x:v>72</x:v>
      </x:c>
      <x:c r="O4374" s="28" t="n">
        <x:f>MIN(1,L4374/I4374)</x:f>
        <x:v>0.023829</x:v>
      </x:c>
      <x:c r="P4374" s="30" t="n">
        <x:f>O4374*J4374*(1+M4374)</x:f>
        <x:v>0.026211900000000003</x:v>
      </x:c>
      <x:c r="Q4374" s="30" t="n">
        <x:f>P4374*N4374</x:f>
        <x:v>1.8872568000000003</x:v>
      </x:c>
      <x:c r="R4374" s="19" t="str">
        <x:v>独立判定</x:v>
      </x:c>
    </x:row>
    <x:row r="4375" ht="19" customHeight="1">
      <x:c r="A4375" s="19" t="str">
        <x:v>D04371</x:v>
      </x:c>
      <x:c r="B4375" s="19" t="n">
        <x:v>9</x:v>
      </x:c>
      <x:c r="C4375" s="19" t="n">
        <x:v>4</x:v>
      </x:c>
      <x:c r="D4375" s="19" t="str">
        <x:v>C09-M037</x:v>
      </x:c>
      <x:c r="E4375" s="19" t="str">
        <x:v>圣堂扫金仆</x:v>
      </x:c>
      <x:c r="F4375" s="19" t="str">
        <x:v>普通</x:v>
      </x:c>
      <x:c r="G4375" s="19" t="str">
        <x:v>材料独立候选</x:v>
      </x:c>
      <x:c r="H4375" s="19" t="str">
        <x:v>小卢恩</x:v>
      </x:c>
      <x:c r="I4375" s="22" t="n">
        <x:v>20000</x:v>
      </x:c>
      <x:c r="J4375" s="22" t="n">
        <x:v>1</x:v>
      </x:c>
      <x:c r="K4375" s="19" t="n">
        <x:v>1</x:v>
      </x:c>
      <x:c r="L4375" s="24" t="n">
        <x:v>71.487</x:v>
      </x:c>
      <x:c r="M4375" s="26" t="n">
        <x:v>0.1</x:v>
      </x:c>
      <x:c r="N4375" s="24" t="n">
        <x:v>72</x:v>
      </x:c>
      <x:c r="O4375" s="28" t="n">
        <x:f>MIN(1,L4375/I4375)</x:f>
        <x:v>0.0035743499999999996</x:v>
      </x:c>
      <x:c r="P4375" s="30" t="n">
        <x:f>O4375*J4375*(1+M4375)</x:f>
        <x:v>0.003931785</x:v>
      </x:c>
      <x:c r="Q4375" s="30" t="n">
        <x:f>P4375*N4375</x:f>
        <x:v>0.28308852</x:v>
      </x:c>
      <x:c r="R4375" s="19" t="str">
        <x:v>独立判定</x:v>
      </x:c>
    </x:row>
    <x:row r="4376" ht="19" customHeight="1">
      <x:c r="A4376" s="19" t="str">
        <x:v>D04372</x:v>
      </x:c>
      <x:c r="B4376" s="19" t="n">
        <x:v>9</x:v>
      </x:c>
      <x:c r="C4376" s="19" t="n">
        <x:v>4</x:v>
      </x:c>
      <x:c r="D4376" s="19" t="str">
        <x:v>C09-M037</x:v>
      </x:c>
      <x:c r="E4376" s="19" t="str">
        <x:v>圣堂扫金仆</x:v>
      </x:c>
      <x:c r="F4376" s="19" t="str">
        <x:v>普通</x:v>
      </x:c>
      <x:c r="G4376" s="19" t="str">
        <x:v>六神器公共池</x:v>
      </x:c>
      <x:c r="H4376" s="19" t="str">
        <x:v>POOL006</x:v>
      </x:c>
      <x:c r="I4376" s="22" t="n">
        <x:v>20000000</x:v>
      </x:c>
      <x:c r="J4376" s="22" t="n">
        <x:v>1</x:v>
      </x:c>
      <x:c r="K4376" s="19" t="n">
        <x:v>6</x:v>
      </x:c>
      <x:c r="L4376" s="24" t="n">
        <x:v>71.487</x:v>
      </x:c>
      <x:c r="M4376" s="26" t="n">
        <x:v>0.1</x:v>
      </x:c>
      <x:c r="N4376" s="24" t="n">
        <x:v>72</x:v>
      </x:c>
      <x:c r="O4376" s="28" t="n">
        <x:f>MIN(1,L4376/I4376)</x:f>
        <x:v>0.00000357435</x:v>
      </x:c>
      <x:c r="P4376" s="30" t="n">
        <x:f>O4376*J4376*(1+M4376)</x:f>
        <x:v>0.000003931785</x:v>
      </x:c>
      <x:c r="Q4376" s="30" t="n">
        <x:f>P4376*N4376</x:f>
        <x:v>0.00028308852</x:v>
      </x:c>
      <x:c r="R4376" s="19" t="str">
        <x:v>六选一；非6个独立爆率</x:v>
      </x:c>
    </x:row>
    <x:row r="4377" ht="19" customHeight="1">
      <x:c r="A4377" s="19" t="str">
        <x:v>D04373</x:v>
      </x:c>
      <x:c r="B4377" s="19" t="n">
        <x:v>9</x:v>
      </x:c>
      <x:c r="C4377" s="19" t="n">
        <x:v>4</x:v>
      </x:c>
      <x:c r="D4377" s="19" t="str">
        <x:v>C09-M038</x:v>
      </x:c>
      <x:c r="E4377" s="19" t="str">
        <x:v>鎏檐守门士</x:v>
      </x:c>
      <x:c r="F4377" s="19" t="str">
        <x:v>普通</x:v>
      </x:c>
      <x:c r="G4377" s="19" t="str">
        <x:v>自身专属</x:v>
      </x:c>
      <x:c r="H4377" s="19" t="str">
        <x:v>鎏檐拱门盾</x:v>
      </x:c>
      <x:c r="I4377" s="22" t="n">
        <x:v>8000</x:v>
      </x:c>
      <x:c r="J4377" s="22" t="n">
        <x:v>1</x:v>
      </x:c>
      <x:c r="K4377" s="19" t="n">
        <x:v>1</x:v>
      </x:c>
      <x:c r="L4377" s="24" t="n">
        <x:v>71.487</x:v>
      </x:c>
      <x:c r="M4377" s="26" t="n">
        <x:v>0.1</x:v>
      </x:c>
      <x:c r="N4377" s="24" t="n">
        <x:v>72</x:v>
      </x:c>
      <x:c r="O4377" s="28" t="n">
        <x:f>MIN(1,L4377/I4377)</x:f>
        <x:v>0.008935875</x:v>
      </x:c>
      <x:c r="P4377" s="30" t="n">
        <x:f>O4377*J4377*(1+M4377)</x:f>
        <x:v>0.0098294625</x:v>
      </x:c>
      <x:c r="Q4377" s="30" t="n">
        <x:f>P4377*N4377</x:f>
        <x:v>0.7077213</x:v>
      </x:c>
      <x:c r="R4377" s="19" t="str">
        <x:v>独立判定</x:v>
      </x:c>
    </x:row>
    <x:row r="4378" ht="19" customHeight="1">
      <x:c r="A4378" s="19" t="str">
        <x:v>D04374</x:v>
      </x:c>
      <x:c r="B4378" s="19" t="n">
        <x:v>9</x:v>
      </x:c>
      <x:c r="C4378" s="19" t="n">
        <x:v>4</x:v>
      </x:c>
      <x:c r="D4378" s="19" t="str">
        <x:v>C09-M038</x:v>
      </x:c>
      <x:c r="E4378" s="19" t="str">
        <x:v>鎏檐守门士</x:v>
      </x:c>
      <x:c r="F4378" s="19" t="str">
        <x:v>普通</x:v>
      </x:c>
      <x:c r="G4378" s="19" t="str">
        <x:v>材料独立候选</x:v>
      </x:c>
      <x:c r="H4378" s="19" t="str">
        <x:v>黄金叶脉</x:v>
      </x:c>
      <x:c r="I4378" s="22" t="n">
        <x:v>1800</x:v>
      </x:c>
      <x:c r="J4378" s="22" t="n">
        <x:v>8</x:v>
      </x:c>
      <x:c r="K4378" s="19" t="n">
        <x:v>1</x:v>
      </x:c>
      <x:c r="L4378" s="24" t="n">
        <x:v>71.487</x:v>
      </x:c>
      <x:c r="M4378" s="26" t="n">
        <x:v>0.1</x:v>
      </x:c>
      <x:c r="N4378" s="24" t="n">
        <x:v>72</x:v>
      </x:c>
      <x:c r="O4378" s="28" t="n">
        <x:f>MIN(1,L4378/I4378)</x:f>
        <x:v>0.039715</x:v>
      </x:c>
      <x:c r="P4378" s="30" t="n">
        <x:f>O4378*J4378*(1+M4378)</x:f>
        <x:v>0.349492</x:v>
      </x:c>
      <x:c r="Q4378" s="30" t="n">
        <x:f>P4378*N4378</x:f>
        <x:v>25.163424000000003</x:v>
      </x:c>
      <x:c r="R4378" s="19" t="str">
        <x:v>独立判定</x:v>
      </x:c>
    </x:row>
    <x:row r="4379" ht="19" customHeight="1">
      <x:c r="A4379" s="19" t="str">
        <x:v>D04375</x:v>
      </x:c>
      <x:c r="B4379" s="19" t="n">
        <x:v>9</x:v>
      </x:c>
      <x:c r="C4379" s="19" t="n">
        <x:v>4</x:v>
      </x:c>
      <x:c r="D4379" s="19" t="str">
        <x:v>C09-M038</x:v>
      </x:c>
      <x:c r="E4379" s="19" t="str">
        <x:v>鎏檐守门士</x:v>
      </x:c>
      <x:c r="F4379" s="19" t="str">
        <x:v>普通</x:v>
      </x:c>
      <x:c r="G4379" s="19" t="str">
        <x:v>材料独立候选</x:v>
      </x:c>
      <x:c r="H4379" s="19" t="str">
        <x:v>金叶驿票</x:v>
      </x:c>
      <x:c r="I4379" s="22" t="n">
        <x:v>20000</x:v>
      </x:c>
      <x:c r="J4379" s="22" t="n">
        <x:v>1</x:v>
      </x:c>
      <x:c r="K4379" s="19" t="n">
        <x:v>1</x:v>
      </x:c>
      <x:c r="L4379" s="24" t="n">
        <x:v>71.487</x:v>
      </x:c>
      <x:c r="M4379" s="26" t="n">
        <x:v>0.1</x:v>
      </x:c>
      <x:c r="N4379" s="24" t="n">
        <x:v>72</x:v>
      </x:c>
      <x:c r="O4379" s="28" t="n">
        <x:f>MIN(1,L4379/I4379)</x:f>
        <x:v>0.0035743499999999996</x:v>
      </x:c>
      <x:c r="P4379" s="30" t="n">
        <x:f>O4379*J4379*(1+M4379)</x:f>
        <x:v>0.003931785</x:v>
      </x:c>
      <x:c r="Q4379" s="30" t="n">
        <x:f>P4379*N4379</x:f>
        <x:v>0.28308852</x:v>
      </x:c>
      <x:c r="R4379" s="19" t="str">
        <x:v>独立判定</x:v>
      </x:c>
    </x:row>
    <x:row r="4380" ht="19" customHeight="1">
      <x:c r="A4380" s="19" t="str">
        <x:v>D04376</x:v>
      </x:c>
      <x:c r="B4380" s="19" t="n">
        <x:v>9</x:v>
      </x:c>
      <x:c r="C4380" s="19" t="n">
        <x:v>4</x:v>
      </x:c>
      <x:c r="D4380" s="19" t="str">
        <x:v>C09-M038</x:v>
      </x:c>
      <x:c r="E4380" s="19" t="str">
        <x:v>鎏檐守门士</x:v>
      </x:c>
      <x:c r="F4380" s="19" t="str">
        <x:v>普通</x:v>
      </x:c>
      <x:c r="G4380" s="19" t="str">
        <x:v>材料独立候选</x:v>
      </x:c>
      <x:c r="H4380" s="19" t="str">
        <x:v>古坛鎏叶髓</x:v>
      </x:c>
      <x:c r="I4380" s="22" t="n">
        <x:v>3000000</x:v>
      </x:c>
      <x:c r="J4380" s="22" t="n">
        <x:v>1</x:v>
      </x:c>
      <x:c r="K4380" s="19" t="n">
        <x:v>1</x:v>
      </x:c>
      <x:c r="L4380" s="24" t="n">
        <x:v>71.487</x:v>
      </x:c>
      <x:c r="M4380" s="26" t="n">
        <x:v>0.1</x:v>
      </x:c>
      <x:c r="N4380" s="24" t="n">
        <x:v>72</x:v>
      </x:c>
      <x:c r="O4380" s="28" t="n">
        <x:f>MIN(1,L4380/I4380)</x:f>
        <x:v>0.000023829</x:v>
      </x:c>
      <x:c r="P4380" s="30" t="n">
        <x:f>O4380*J4380*(1+M4380)</x:f>
        <x:v>0.0000262119</x:v>
      </x:c>
      <x:c r="Q4380" s="30" t="n">
        <x:f>P4380*N4380</x:f>
        <x:v>0.0018872568</x:v>
      </x:c>
      <x:c r="R4380" s="19" t="str">
        <x:v>独立判定</x:v>
      </x:c>
    </x:row>
    <x:row r="4381" ht="19" customHeight="1">
      <x:c r="A4381" s="19" t="str">
        <x:v>D04377</x:v>
      </x:c>
      <x:c r="B4381" s="19" t="n">
        <x:v>9</x:v>
      </x:c>
      <x:c r="C4381" s="19" t="n">
        <x:v>4</x:v>
      </x:c>
      <x:c r="D4381" s="19" t="str">
        <x:v>C09-M038</x:v>
      </x:c>
      <x:c r="E4381" s="19" t="str">
        <x:v>鎏檐守门士</x:v>
      </x:c>
      <x:c r="F4381" s="19" t="str">
        <x:v>普通</x:v>
      </x:c>
      <x:c r="G4381" s="19" t="str">
        <x:v>材料独立候选</x:v>
      </x:c>
      <x:c r="H4381" s="19" t="str">
        <x:v>野兽骨片</x:v>
      </x:c>
      <x:c r="I4381" s="22" t="n">
        <x:v>400</x:v>
      </x:c>
      <x:c r="J4381" s="22" t="n">
        <x:v>5</x:v>
      </x:c>
      <x:c r="K4381" s="19" t="n">
        <x:v>1</x:v>
      </x:c>
      <x:c r="L4381" s="24" t="n">
        <x:v>71.487</x:v>
      </x:c>
      <x:c r="M4381" s="26" t="n">
        <x:v>0.1</x:v>
      </x:c>
      <x:c r="N4381" s="24" t="n">
        <x:v>72</x:v>
      </x:c>
      <x:c r="O4381" s="28" t="n">
        <x:f>MIN(1,L4381/I4381)</x:f>
        <x:v>0.17871749999999997</x:v>
      </x:c>
      <x:c r="P4381" s="30" t="n">
        <x:f>O4381*J4381*(1+M4381)</x:f>
        <x:v>0.9829462499999999</x:v>
      </x:c>
      <x:c r="Q4381" s="30" t="n">
        <x:f>P4381*N4381</x:f>
        <x:v>70.77212999999999</x:v>
      </x:c>
      <x:c r="R4381" s="19" t="str">
        <x:v>独立判定</x:v>
      </x:c>
    </x:row>
    <x:row r="4382" ht="19" customHeight="1">
      <x:c r="A4382" s="19" t="str">
        <x:v>D04378</x:v>
      </x:c>
      <x:c r="B4382" s="19" t="n">
        <x:v>9</x:v>
      </x:c>
      <x:c r="C4382" s="19" t="n">
        <x:v>4</x:v>
      </x:c>
      <x:c r="D4382" s="19" t="str">
        <x:v>C09-M038</x:v>
      </x:c>
      <x:c r="E4382" s="19" t="str">
        <x:v>鎏檐守门士</x:v>
      </x:c>
      <x:c r="F4382" s="19" t="str">
        <x:v>普通</x:v>
      </x:c>
      <x:c r="G4382" s="19" t="str">
        <x:v>材料独立候选</x:v>
      </x:c>
      <x:c r="H4382" s="19" t="str">
        <x:v>技能残页</x:v>
      </x:c>
      <x:c r="I4382" s="22" t="n">
        <x:v>3000</x:v>
      </x:c>
      <x:c r="J4382" s="22" t="n">
        <x:v>1</x:v>
      </x:c>
      <x:c r="K4382" s="19" t="n">
        <x:v>1</x:v>
      </x:c>
      <x:c r="L4382" s="24" t="n">
        <x:v>71.487</x:v>
      </x:c>
      <x:c r="M4382" s="26" t="n">
        <x:v>0.1</x:v>
      </x:c>
      <x:c r="N4382" s="24" t="n">
        <x:v>72</x:v>
      </x:c>
      <x:c r="O4382" s="28" t="n">
        <x:f>MIN(1,L4382/I4382)</x:f>
        <x:v>0.023829</x:v>
      </x:c>
      <x:c r="P4382" s="30" t="n">
        <x:f>O4382*J4382*(1+M4382)</x:f>
        <x:v>0.026211900000000003</x:v>
      </x:c>
      <x:c r="Q4382" s="30" t="n">
        <x:f>P4382*N4382</x:f>
        <x:v>1.8872568000000003</x:v>
      </x:c>
      <x:c r="R4382" s="19" t="str">
        <x:v>独立判定</x:v>
      </x:c>
    </x:row>
    <x:row r="4383" ht="19" customHeight="1">
      <x:c r="A4383" s="19" t="str">
        <x:v>D04379</x:v>
      </x:c>
      <x:c r="B4383" s="19" t="n">
        <x:v>9</x:v>
      </x:c>
      <x:c r="C4383" s="19" t="n">
        <x:v>4</x:v>
      </x:c>
      <x:c r="D4383" s="19" t="str">
        <x:v>C09-M038</x:v>
      </x:c>
      <x:c r="E4383" s="19" t="str">
        <x:v>鎏檐守门士</x:v>
      </x:c>
      <x:c r="F4383" s="19" t="str">
        <x:v>普通</x:v>
      </x:c>
      <x:c r="G4383" s="19" t="str">
        <x:v>材料独立候选</x:v>
      </x:c>
      <x:c r="H4383" s="19" t="str">
        <x:v>小卢恩</x:v>
      </x:c>
      <x:c r="I4383" s="22" t="n">
        <x:v>20000</x:v>
      </x:c>
      <x:c r="J4383" s="22" t="n">
        <x:v>1</x:v>
      </x:c>
      <x:c r="K4383" s="19" t="n">
        <x:v>1</x:v>
      </x:c>
      <x:c r="L4383" s="24" t="n">
        <x:v>71.487</x:v>
      </x:c>
      <x:c r="M4383" s="26" t="n">
        <x:v>0.1</x:v>
      </x:c>
      <x:c r="N4383" s="24" t="n">
        <x:v>72</x:v>
      </x:c>
      <x:c r="O4383" s="28" t="n">
        <x:f>MIN(1,L4383/I4383)</x:f>
        <x:v>0.0035743499999999996</x:v>
      </x:c>
      <x:c r="P4383" s="30" t="n">
        <x:f>O4383*J4383*(1+M4383)</x:f>
        <x:v>0.003931785</x:v>
      </x:c>
      <x:c r="Q4383" s="30" t="n">
        <x:f>P4383*N4383</x:f>
        <x:v>0.28308852</x:v>
      </x:c>
      <x:c r="R4383" s="19" t="str">
        <x:v>独立判定</x:v>
      </x:c>
    </x:row>
    <x:row r="4384" ht="19" customHeight="1">
      <x:c r="A4384" s="19" t="str">
        <x:v>D04380</x:v>
      </x:c>
      <x:c r="B4384" s="19" t="n">
        <x:v>9</x:v>
      </x:c>
      <x:c r="C4384" s="19" t="n">
        <x:v>4</x:v>
      </x:c>
      <x:c r="D4384" s="19" t="str">
        <x:v>C09-M038</x:v>
      </x:c>
      <x:c r="E4384" s="19" t="str">
        <x:v>鎏檐守门士</x:v>
      </x:c>
      <x:c r="F4384" s="19" t="str">
        <x:v>普通</x:v>
      </x:c>
      <x:c r="G4384" s="19" t="str">
        <x:v>六神器公共池</x:v>
      </x:c>
      <x:c r="H4384" s="19" t="str">
        <x:v>POOL006</x:v>
      </x:c>
      <x:c r="I4384" s="22" t="n">
        <x:v>20000000</x:v>
      </x:c>
      <x:c r="J4384" s="22" t="n">
        <x:v>1</x:v>
      </x:c>
      <x:c r="K4384" s="19" t="n">
        <x:v>6</x:v>
      </x:c>
      <x:c r="L4384" s="24" t="n">
        <x:v>71.487</x:v>
      </x:c>
      <x:c r="M4384" s="26" t="n">
        <x:v>0.1</x:v>
      </x:c>
      <x:c r="N4384" s="24" t="n">
        <x:v>72</x:v>
      </x:c>
      <x:c r="O4384" s="28" t="n">
        <x:f>MIN(1,L4384/I4384)</x:f>
        <x:v>0.00000357435</x:v>
      </x:c>
      <x:c r="P4384" s="30" t="n">
        <x:f>O4384*J4384*(1+M4384)</x:f>
        <x:v>0.000003931785</x:v>
      </x:c>
      <x:c r="Q4384" s="30" t="n">
        <x:f>P4384*N4384</x:f>
        <x:v>0.00028308852</x:v>
      </x:c>
      <x:c r="R4384" s="19" t="str">
        <x:v>六选一；非6个独立爆率</x:v>
      </x:c>
    </x:row>
    <x:row r="4385" ht="19" customHeight="1">
      <x:c r="A4385" s="19" t="str">
        <x:v>D04381</x:v>
      </x:c>
      <x:c r="B4385" s="19" t="n">
        <x:v>9</x:v>
      </x:c>
      <x:c r="C4385" s="19" t="n">
        <x:v>4</x:v>
      </x:c>
      <x:c r="D4385" s="19" t="str">
        <x:v>C09-M039</x:v>
      </x:c>
      <x:c r="E4385" s="19" t="str">
        <x:v>前廊白袍唱者</x:v>
      </x:c>
      <x:c r="F4385" s="19" t="str">
        <x:v>普通</x:v>
      </x:c>
      <x:c r="G4385" s="19" t="str">
        <x:v>自身专属</x:v>
      </x:c>
      <x:c r="H4385" s="19" t="str">
        <x:v>白袍唱诗衣</x:v>
      </x:c>
      <x:c r="I4385" s="22" t="n">
        <x:v>8000</x:v>
      </x:c>
      <x:c r="J4385" s="22" t="n">
        <x:v>1</x:v>
      </x:c>
      <x:c r="K4385" s="19" t="n">
        <x:v>1</x:v>
      </x:c>
      <x:c r="L4385" s="24" t="n">
        <x:v>71.487</x:v>
      </x:c>
      <x:c r="M4385" s="26" t="n">
        <x:v>0.1</x:v>
      </x:c>
      <x:c r="N4385" s="24" t="n">
        <x:v>72</x:v>
      </x:c>
      <x:c r="O4385" s="28" t="n">
        <x:f>MIN(1,L4385/I4385)</x:f>
        <x:v>0.008935875</x:v>
      </x:c>
      <x:c r="P4385" s="30" t="n">
        <x:f>O4385*J4385*(1+M4385)</x:f>
        <x:v>0.0098294625</x:v>
      </x:c>
      <x:c r="Q4385" s="30" t="n">
        <x:f>P4385*N4385</x:f>
        <x:v>0.7077213</x:v>
      </x:c>
      <x:c r="R4385" s="19" t="str">
        <x:v>独立判定</x:v>
      </x:c>
    </x:row>
    <x:row r="4386" ht="19" customHeight="1">
      <x:c r="A4386" s="19" t="str">
        <x:v>D04382</x:v>
      </x:c>
      <x:c r="B4386" s="19" t="n">
        <x:v>9</x:v>
      </x:c>
      <x:c r="C4386" s="19" t="n">
        <x:v>4</x:v>
      </x:c>
      <x:c r="D4386" s="19" t="str">
        <x:v>C09-M039</x:v>
      </x:c>
      <x:c r="E4386" s="19" t="str">
        <x:v>前廊白袍唱者</x:v>
      </x:c>
      <x:c r="F4386" s="19" t="str">
        <x:v>普通</x:v>
      </x:c>
      <x:c r="G4386" s="19" t="str">
        <x:v>材料独立候选</x:v>
      </x:c>
      <x:c r="H4386" s="19" t="str">
        <x:v>黄金叶脉</x:v>
      </x:c>
      <x:c r="I4386" s="22" t="n">
        <x:v>1800</x:v>
      </x:c>
      <x:c r="J4386" s="22" t="n">
        <x:v>8</x:v>
      </x:c>
      <x:c r="K4386" s="19" t="n">
        <x:v>1</x:v>
      </x:c>
      <x:c r="L4386" s="24" t="n">
        <x:v>71.487</x:v>
      </x:c>
      <x:c r="M4386" s="26" t="n">
        <x:v>0.1</x:v>
      </x:c>
      <x:c r="N4386" s="24" t="n">
        <x:v>72</x:v>
      </x:c>
      <x:c r="O4386" s="28" t="n">
        <x:f>MIN(1,L4386/I4386)</x:f>
        <x:v>0.039715</x:v>
      </x:c>
      <x:c r="P4386" s="30" t="n">
        <x:f>O4386*J4386*(1+M4386)</x:f>
        <x:v>0.349492</x:v>
      </x:c>
      <x:c r="Q4386" s="30" t="n">
        <x:f>P4386*N4386</x:f>
        <x:v>25.163424000000003</x:v>
      </x:c>
      <x:c r="R4386" s="19" t="str">
        <x:v>独立判定</x:v>
      </x:c>
    </x:row>
    <x:row r="4387" ht="19" customHeight="1">
      <x:c r="A4387" s="19" t="str">
        <x:v>D04383</x:v>
      </x:c>
      <x:c r="B4387" s="19" t="n">
        <x:v>9</x:v>
      </x:c>
      <x:c r="C4387" s="19" t="n">
        <x:v>4</x:v>
      </x:c>
      <x:c r="D4387" s="19" t="str">
        <x:v>C09-M039</x:v>
      </x:c>
      <x:c r="E4387" s="19" t="str">
        <x:v>前廊白袍唱者</x:v>
      </x:c>
      <x:c r="F4387" s="19" t="str">
        <x:v>普通</x:v>
      </x:c>
      <x:c r="G4387" s="19" t="str">
        <x:v>材料独立候选</x:v>
      </x:c>
      <x:c r="H4387" s="19" t="str">
        <x:v>金叶驿票</x:v>
      </x:c>
      <x:c r="I4387" s="22" t="n">
        <x:v>20000</x:v>
      </x:c>
      <x:c r="J4387" s="22" t="n">
        <x:v>1</x:v>
      </x:c>
      <x:c r="K4387" s="19" t="n">
        <x:v>1</x:v>
      </x:c>
      <x:c r="L4387" s="24" t="n">
        <x:v>71.487</x:v>
      </x:c>
      <x:c r="M4387" s="26" t="n">
        <x:v>0.1</x:v>
      </x:c>
      <x:c r="N4387" s="24" t="n">
        <x:v>72</x:v>
      </x:c>
      <x:c r="O4387" s="28" t="n">
        <x:f>MIN(1,L4387/I4387)</x:f>
        <x:v>0.0035743499999999996</x:v>
      </x:c>
      <x:c r="P4387" s="30" t="n">
        <x:f>O4387*J4387*(1+M4387)</x:f>
        <x:v>0.003931785</x:v>
      </x:c>
      <x:c r="Q4387" s="30" t="n">
        <x:f>P4387*N4387</x:f>
        <x:v>0.28308852</x:v>
      </x:c>
      <x:c r="R4387" s="19" t="str">
        <x:v>独立判定</x:v>
      </x:c>
    </x:row>
    <x:row r="4388" ht="19" customHeight="1">
      <x:c r="A4388" s="19" t="str">
        <x:v>D04384</x:v>
      </x:c>
      <x:c r="B4388" s="19" t="n">
        <x:v>9</x:v>
      </x:c>
      <x:c r="C4388" s="19" t="n">
        <x:v>4</x:v>
      </x:c>
      <x:c r="D4388" s="19" t="str">
        <x:v>C09-M039</x:v>
      </x:c>
      <x:c r="E4388" s="19" t="str">
        <x:v>前廊白袍唱者</x:v>
      </x:c>
      <x:c r="F4388" s="19" t="str">
        <x:v>普通</x:v>
      </x:c>
      <x:c r="G4388" s="19" t="str">
        <x:v>材料独立候选</x:v>
      </x:c>
      <x:c r="H4388" s="19" t="str">
        <x:v>古坛鎏叶髓</x:v>
      </x:c>
      <x:c r="I4388" s="22" t="n">
        <x:v>3000000</x:v>
      </x:c>
      <x:c r="J4388" s="22" t="n">
        <x:v>1</x:v>
      </x:c>
      <x:c r="K4388" s="19" t="n">
        <x:v>1</x:v>
      </x:c>
      <x:c r="L4388" s="24" t="n">
        <x:v>71.487</x:v>
      </x:c>
      <x:c r="M4388" s="26" t="n">
        <x:v>0.1</x:v>
      </x:c>
      <x:c r="N4388" s="24" t="n">
        <x:v>72</x:v>
      </x:c>
      <x:c r="O4388" s="28" t="n">
        <x:f>MIN(1,L4388/I4388)</x:f>
        <x:v>0.000023829</x:v>
      </x:c>
      <x:c r="P4388" s="30" t="n">
        <x:f>O4388*J4388*(1+M4388)</x:f>
        <x:v>0.0000262119</x:v>
      </x:c>
      <x:c r="Q4388" s="30" t="n">
        <x:f>P4388*N4388</x:f>
        <x:v>0.0018872568</x:v>
      </x:c>
      <x:c r="R4388" s="19" t="str">
        <x:v>独立判定</x:v>
      </x:c>
    </x:row>
    <x:row r="4389" ht="19" customHeight="1">
      <x:c r="A4389" s="19" t="str">
        <x:v>D04385</x:v>
      </x:c>
      <x:c r="B4389" s="19" t="n">
        <x:v>9</x:v>
      </x:c>
      <x:c r="C4389" s="19" t="n">
        <x:v>4</x:v>
      </x:c>
      <x:c r="D4389" s="19" t="str">
        <x:v>C09-M039</x:v>
      </x:c>
      <x:c r="E4389" s="19" t="str">
        <x:v>前廊白袍唱者</x:v>
      </x:c>
      <x:c r="F4389" s="19" t="str">
        <x:v>普通</x:v>
      </x:c>
      <x:c r="G4389" s="19" t="str">
        <x:v>材料独立候选</x:v>
      </x:c>
      <x:c r="H4389" s="19" t="str">
        <x:v>野兽骨片</x:v>
      </x:c>
      <x:c r="I4389" s="22" t="n">
        <x:v>400</x:v>
      </x:c>
      <x:c r="J4389" s="22" t="n">
        <x:v>5</x:v>
      </x:c>
      <x:c r="K4389" s="19" t="n">
        <x:v>1</x:v>
      </x:c>
      <x:c r="L4389" s="24" t="n">
        <x:v>71.487</x:v>
      </x:c>
      <x:c r="M4389" s="26" t="n">
        <x:v>0.1</x:v>
      </x:c>
      <x:c r="N4389" s="24" t="n">
        <x:v>72</x:v>
      </x:c>
      <x:c r="O4389" s="28" t="n">
        <x:f>MIN(1,L4389/I4389)</x:f>
        <x:v>0.17871749999999997</x:v>
      </x:c>
      <x:c r="P4389" s="30" t="n">
        <x:f>O4389*J4389*(1+M4389)</x:f>
        <x:v>0.9829462499999999</x:v>
      </x:c>
      <x:c r="Q4389" s="30" t="n">
        <x:f>P4389*N4389</x:f>
        <x:v>70.77212999999999</x:v>
      </x:c>
      <x:c r="R4389" s="19" t="str">
        <x:v>独立判定</x:v>
      </x:c>
    </x:row>
    <x:row r="4390" ht="19" customHeight="1">
      <x:c r="A4390" s="19" t="str">
        <x:v>D04386</x:v>
      </x:c>
      <x:c r="B4390" s="19" t="n">
        <x:v>9</x:v>
      </x:c>
      <x:c r="C4390" s="19" t="n">
        <x:v>4</x:v>
      </x:c>
      <x:c r="D4390" s="19" t="str">
        <x:v>C09-M039</x:v>
      </x:c>
      <x:c r="E4390" s="19" t="str">
        <x:v>前廊白袍唱者</x:v>
      </x:c>
      <x:c r="F4390" s="19" t="str">
        <x:v>普通</x:v>
      </x:c>
      <x:c r="G4390" s="19" t="str">
        <x:v>材料独立候选</x:v>
      </x:c>
      <x:c r="H4390" s="19" t="str">
        <x:v>技能残页</x:v>
      </x:c>
      <x:c r="I4390" s="22" t="n">
        <x:v>3000</x:v>
      </x:c>
      <x:c r="J4390" s="22" t="n">
        <x:v>1</x:v>
      </x:c>
      <x:c r="K4390" s="19" t="n">
        <x:v>1</x:v>
      </x:c>
      <x:c r="L4390" s="24" t="n">
        <x:v>71.487</x:v>
      </x:c>
      <x:c r="M4390" s="26" t="n">
        <x:v>0.1</x:v>
      </x:c>
      <x:c r="N4390" s="24" t="n">
        <x:v>72</x:v>
      </x:c>
      <x:c r="O4390" s="28" t="n">
        <x:f>MIN(1,L4390/I4390)</x:f>
        <x:v>0.023829</x:v>
      </x:c>
      <x:c r="P4390" s="30" t="n">
        <x:f>O4390*J4390*(1+M4390)</x:f>
        <x:v>0.026211900000000003</x:v>
      </x:c>
      <x:c r="Q4390" s="30" t="n">
        <x:f>P4390*N4390</x:f>
        <x:v>1.8872568000000003</x:v>
      </x:c>
      <x:c r="R4390" s="19" t="str">
        <x:v>独立判定</x:v>
      </x:c>
    </x:row>
    <x:row r="4391" ht="19" customHeight="1">
      <x:c r="A4391" s="19" t="str">
        <x:v>D04387</x:v>
      </x:c>
      <x:c r="B4391" s="19" t="n">
        <x:v>9</x:v>
      </x:c>
      <x:c r="C4391" s="19" t="n">
        <x:v>4</x:v>
      </x:c>
      <x:c r="D4391" s="19" t="str">
        <x:v>C09-M039</x:v>
      </x:c>
      <x:c r="E4391" s="19" t="str">
        <x:v>前廊白袍唱者</x:v>
      </x:c>
      <x:c r="F4391" s="19" t="str">
        <x:v>普通</x:v>
      </x:c>
      <x:c r="G4391" s="19" t="str">
        <x:v>材料独立候选</x:v>
      </x:c>
      <x:c r="H4391" s="19" t="str">
        <x:v>小卢恩</x:v>
      </x:c>
      <x:c r="I4391" s="22" t="n">
        <x:v>20000</x:v>
      </x:c>
      <x:c r="J4391" s="22" t="n">
        <x:v>1</x:v>
      </x:c>
      <x:c r="K4391" s="19" t="n">
        <x:v>1</x:v>
      </x:c>
      <x:c r="L4391" s="24" t="n">
        <x:v>71.487</x:v>
      </x:c>
      <x:c r="M4391" s="26" t="n">
        <x:v>0.1</x:v>
      </x:c>
      <x:c r="N4391" s="24" t="n">
        <x:v>72</x:v>
      </x:c>
      <x:c r="O4391" s="28" t="n">
        <x:f>MIN(1,L4391/I4391)</x:f>
        <x:v>0.0035743499999999996</x:v>
      </x:c>
      <x:c r="P4391" s="30" t="n">
        <x:f>O4391*J4391*(1+M4391)</x:f>
        <x:v>0.003931785</x:v>
      </x:c>
      <x:c r="Q4391" s="30" t="n">
        <x:f>P4391*N4391</x:f>
        <x:v>0.28308852</x:v>
      </x:c>
      <x:c r="R4391" s="19" t="str">
        <x:v>独立判定</x:v>
      </x:c>
    </x:row>
    <x:row r="4392" ht="19" customHeight="1">
      <x:c r="A4392" s="19" t="str">
        <x:v>D04388</x:v>
      </x:c>
      <x:c r="B4392" s="19" t="n">
        <x:v>9</x:v>
      </x:c>
      <x:c r="C4392" s="19" t="n">
        <x:v>4</x:v>
      </x:c>
      <x:c r="D4392" s="19" t="str">
        <x:v>C09-M039</x:v>
      </x:c>
      <x:c r="E4392" s="19" t="str">
        <x:v>前廊白袍唱者</x:v>
      </x:c>
      <x:c r="F4392" s="19" t="str">
        <x:v>普通</x:v>
      </x:c>
      <x:c r="G4392" s="19" t="str">
        <x:v>六神器公共池</x:v>
      </x:c>
      <x:c r="H4392" s="19" t="str">
        <x:v>POOL006</x:v>
      </x:c>
      <x:c r="I4392" s="22" t="n">
        <x:v>20000000</x:v>
      </x:c>
      <x:c r="J4392" s="22" t="n">
        <x:v>1</x:v>
      </x:c>
      <x:c r="K4392" s="19" t="n">
        <x:v>6</x:v>
      </x:c>
      <x:c r="L4392" s="24" t="n">
        <x:v>71.487</x:v>
      </x:c>
      <x:c r="M4392" s="26" t="n">
        <x:v>0.1</x:v>
      </x:c>
      <x:c r="N4392" s="24" t="n">
        <x:v>72</x:v>
      </x:c>
      <x:c r="O4392" s="28" t="n">
        <x:f>MIN(1,L4392/I4392)</x:f>
        <x:v>0.00000357435</x:v>
      </x:c>
      <x:c r="P4392" s="30" t="n">
        <x:f>O4392*J4392*(1+M4392)</x:f>
        <x:v>0.000003931785</x:v>
      </x:c>
      <x:c r="Q4392" s="30" t="n">
        <x:f>P4392*N4392</x:f>
        <x:v>0.00028308852</x:v>
      </x:c>
      <x:c r="R4392" s="19" t="str">
        <x:v>六选一；非6个独立爆率</x:v>
      </x:c>
    </x:row>
    <x:row r="4393" ht="19" customHeight="1">
      <x:c r="A4393" s="19" t="str">
        <x:v>D04389</x:v>
      </x:c>
      <x:c r="B4393" s="19" t="n">
        <x:v>9</x:v>
      </x:c>
      <x:c r="C4393" s="19" t="n">
        <x:v>4</x:v>
      </x:c>
      <x:c r="D4393" s="19" t="str">
        <x:v>C09-M040</x:v>
      </x:c>
      <x:c r="E4393" s="19" t="str">
        <x:v>祭厅焚香奴</x:v>
      </x:c>
      <x:c r="F4393" s="19" t="str">
        <x:v>普通</x:v>
      </x:c>
      <x:c r="G4393" s="19" t="str">
        <x:v>自身专属</x:v>
      </x:c>
      <x:c r="H4393" s="19" t="str">
        <x:v>焚香奴腕镯</x:v>
      </x:c>
      <x:c r="I4393" s="22" t="n">
        <x:v>8000</x:v>
      </x:c>
      <x:c r="J4393" s="22" t="n">
        <x:v>1</x:v>
      </x:c>
      <x:c r="K4393" s="19" t="n">
        <x:v>1</x:v>
      </x:c>
      <x:c r="L4393" s="24" t="n">
        <x:v>71.487</x:v>
      </x:c>
      <x:c r="M4393" s="26" t="n">
        <x:v>0.1</x:v>
      </x:c>
      <x:c r="N4393" s="24" t="n">
        <x:v>72</x:v>
      </x:c>
      <x:c r="O4393" s="28" t="n">
        <x:f>MIN(1,L4393/I4393)</x:f>
        <x:v>0.008935875</x:v>
      </x:c>
      <x:c r="P4393" s="30" t="n">
        <x:f>O4393*J4393*(1+M4393)</x:f>
        <x:v>0.0098294625</x:v>
      </x:c>
      <x:c r="Q4393" s="30" t="n">
        <x:f>P4393*N4393</x:f>
        <x:v>0.7077213</x:v>
      </x:c>
      <x:c r="R4393" s="19" t="str">
        <x:v>独立判定</x:v>
      </x:c>
    </x:row>
    <x:row r="4394" ht="19" customHeight="1">
      <x:c r="A4394" s="19" t="str">
        <x:v>D04390</x:v>
      </x:c>
      <x:c r="B4394" s="19" t="n">
        <x:v>9</x:v>
      </x:c>
      <x:c r="C4394" s="19" t="n">
        <x:v>4</x:v>
      </x:c>
      <x:c r="D4394" s="19" t="str">
        <x:v>C09-M040</x:v>
      </x:c>
      <x:c r="E4394" s="19" t="str">
        <x:v>祭厅焚香奴</x:v>
      </x:c>
      <x:c r="F4394" s="19" t="str">
        <x:v>普通</x:v>
      </x:c>
      <x:c r="G4394" s="19" t="str">
        <x:v>材料独立候选</x:v>
      </x:c>
      <x:c r="H4394" s="19" t="str">
        <x:v>黄金叶脉</x:v>
      </x:c>
      <x:c r="I4394" s="22" t="n">
        <x:v>1800</x:v>
      </x:c>
      <x:c r="J4394" s="22" t="n">
        <x:v>8</x:v>
      </x:c>
      <x:c r="K4394" s="19" t="n">
        <x:v>1</x:v>
      </x:c>
      <x:c r="L4394" s="24" t="n">
        <x:v>71.487</x:v>
      </x:c>
      <x:c r="M4394" s="26" t="n">
        <x:v>0.1</x:v>
      </x:c>
      <x:c r="N4394" s="24" t="n">
        <x:v>72</x:v>
      </x:c>
      <x:c r="O4394" s="28" t="n">
        <x:f>MIN(1,L4394/I4394)</x:f>
        <x:v>0.039715</x:v>
      </x:c>
      <x:c r="P4394" s="30" t="n">
        <x:f>O4394*J4394*(1+M4394)</x:f>
        <x:v>0.349492</x:v>
      </x:c>
      <x:c r="Q4394" s="30" t="n">
        <x:f>P4394*N4394</x:f>
        <x:v>25.163424000000003</x:v>
      </x:c>
      <x:c r="R4394" s="19" t="str">
        <x:v>独立判定</x:v>
      </x:c>
    </x:row>
    <x:row r="4395" ht="19" customHeight="1">
      <x:c r="A4395" s="19" t="str">
        <x:v>D04391</x:v>
      </x:c>
      <x:c r="B4395" s="19" t="n">
        <x:v>9</x:v>
      </x:c>
      <x:c r="C4395" s="19" t="n">
        <x:v>4</x:v>
      </x:c>
      <x:c r="D4395" s="19" t="str">
        <x:v>C09-M040</x:v>
      </x:c>
      <x:c r="E4395" s="19" t="str">
        <x:v>祭厅焚香奴</x:v>
      </x:c>
      <x:c r="F4395" s="19" t="str">
        <x:v>普通</x:v>
      </x:c>
      <x:c r="G4395" s="19" t="str">
        <x:v>材料独立候选</x:v>
      </x:c>
      <x:c r="H4395" s="19" t="str">
        <x:v>金叶驿票</x:v>
      </x:c>
      <x:c r="I4395" s="22" t="n">
        <x:v>20000</x:v>
      </x:c>
      <x:c r="J4395" s="22" t="n">
        <x:v>1</x:v>
      </x:c>
      <x:c r="K4395" s="19" t="n">
        <x:v>1</x:v>
      </x:c>
      <x:c r="L4395" s="24" t="n">
        <x:v>71.487</x:v>
      </x:c>
      <x:c r="M4395" s="26" t="n">
        <x:v>0.1</x:v>
      </x:c>
      <x:c r="N4395" s="24" t="n">
        <x:v>72</x:v>
      </x:c>
      <x:c r="O4395" s="28" t="n">
        <x:f>MIN(1,L4395/I4395)</x:f>
        <x:v>0.0035743499999999996</x:v>
      </x:c>
      <x:c r="P4395" s="30" t="n">
        <x:f>O4395*J4395*(1+M4395)</x:f>
        <x:v>0.003931785</x:v>
      </x:c>
      <x:c r="Q4395" s="30" t="n">
        <x:f>P4395*N4395</x:f>
        <x:v>0.28308852</x:v>
      </x:c>
      <x:c r="R4395" s="19" t="str">
        <x:v>独立判定</x:v>
      </x:c>
    </x:row>
    <x:row r="4396" ht="19" customHeight="1">
      <x:c r="A4396" s="19" t="str">
        <x:v>D04392</x:v>
      </x:c>
      <x:c r="B4396" s="19" t="n">
        <x:v>9</x:v>
      </x:c>
      <x:c r="C4396" s="19" t="n">
        <x:v>4</x:v>
      </x:c>
      <x:c r="D4396" s="19" t="str">
        <x:v>C09-M040</x:v>
      </x:c>
      <x:c r="E4396" s="19" t="str">
        <x:v>祭厅焚香奴</x:v>
      </x:c>
      <x:c r="F4396" s="19" t="str">
        <x:v>普通</x:v>
      </x:c>
      <x:c r="G4396" s="19" t="str">
        <x:v>材料独立候选</x:v>
      </x:c>
      <x:c r="H4396" s="19" t="str">
        <x:v>古坛鎏叶髓</x:v>
      </x:c>
      <x:c r="I4396" s="22" t="n">
        <x:v>3000000</x:v>
      </x:c>
      <x:c r="J4396" s="22" t="n">
        <x:v>1</x:v>
      </x:c>
      <x:c r="K4396" s="19" t="n">
        <x:v>1</x:v>
      </x:c>
      <x:c r="L4396" s="24" t="n">
        <x:v>71.487</x:v>
      </x:c>
      <x:c r="M4396" s="26" t="n">
        <x:v>0.1</x:v>
      </x:c>
      <x:c r="N4396" s="24" t="n">
        <x:v>72</x:v>
      </x:c>
      <x:c r="O4396" s="28" t="n">
        <x:f>MIN(1,L4396/I4396)</x:f>
        <x:v>0.000023829</x:v>
      </x:c>
      <x:c r="P4396" s="30" t="n">
        <x:f>O4396*J4396*(1+M4396)</x:f>
        <x:v>0.0000262119</x:v>
      </x:c>
      <x:c r="Q4396" s="30" t="n">
        <x:f>P4396*N4396</x:f>
        <x:v>0.0018872568</x:v>
      </x:c>
      <x:c r="R4396" s="19" t="str">
        <x:v>独立判定</x:v>
      </x:c>
    </x:row>
    <x:row r="4397" ht="19" customHeight="1">
      <x:c r="A4397" s="19" t="str">
        <x:v>D04393</x:v>
      </x:c>
      <x:c r="B4397" s="19" t="n">
        <x:v>9</x:v>
      </x:c>
      <x:c r="C4397" s="19" t="n">
        <x:v>4</x:v>
      </x:c>
      <x:c r="D4397" s="19" t="str">
        <x:v>C09-M040</x:v>
      </x:c>
      <x:c r="E4397" s="19" t="str">
        <x:v>祭厅焚香奴</x:v>
      </x:c>
      <x:c r="F4397" s="19" t="str">
        <x:v>普通</x:v>
      </x:c>
      <x:c r="G4397" s="19" t="str">
        <x:v>材料独立候选</x:v>
      </x:c>
      <x:c r="H4397" s="19" t="str">
        <x:v>野兽骨片</x:v>
      </x:c>
      <x:c r="I4397" s="22" t="n">
        <x:v>400</x:v>
      </x:c>
      <x:c r="J4397" s="22" t="n">
        <x:v>5</x:v>
      </x:c>
      <x:c r="K4397" s="19" t="n">
        <x:v>1</x:v>
      </x:c>
      <x:c r="L4397" s="24" t="n">
        <x:v>71.487</x:v>
      </x:c>
      <x:c r="M4397" s="26" t="n">
        <x:v>0.1</x:v>
      </x:c>
      <x:c r="N4397" s="24" t="n">
        <x:v>72</x:v>
      </x:c>
      <x:c r="O4397" s="28" t="n">
        <x:f>MIN(1,L4397/I4397)</x:f>
        <x:v>0.17871749999999997</x:v>
      </x:c>
      <x:c r="P4397" s="30" t="n">
        <x:f>O4397*J4397*(1+M4397)</x:f>
        <x:v>0.9829462499999999</x:v>
      </x:c>
      <x:c r="Q4397" s="30" t="n">
        <x:f>P4397*N4397</x:f>
        <x:v>70.77212999999999</x:v>
      </x:c>
      <x:c r="R4397" s="19" t="str">
        <x:v>独立判定</x:v>
      </x:c>
    </x:row>
    <x:row r="4398" ht="19" customHeight="1">
      <x:c r="A4398" s="19" t="str">
        <x:v>D04394</x:v>
      </x:c>
      <x:c r="B4398" s="19" t="n">
        <x:v>9</x:v>
      </x:c>
      <x:c r="C4398" s="19" t="n">
        <x:v>4</x:v>
      </x:c>
      <x:c r="D4398" s="19" t="str">
        <x:v>C09-M040</x:v>
      </x:c>
      <x:c r="E4398" s="19" t="str">
        <x:v>祭厅焚香奴</x:v>
      </x:c>
      <x:c r="F4398" s="19" t="str">
        <x:v>普通</x:v>
      </x:c>
      <x:c r="G4398" s="19" t="str">
        <x:v>材料独立候选</x:v>
      </x:c>
      <x:c r="H4398" s="19" t="str">
        <x:v>技能残页</x:v>
      </x:c>
      <x:c r="I4398" s="22" t="n">
        <x:v>3000</x:v>
      </x:c>
      <x:c r="J4398" s="22" t="n">
        <x:v>1</x:v>
      </x:c>
      <x:c r="K4398" s="19" t="n">
        <x:v>1</x:v>
      </x:c>
      <x:c r="L4398" s="24" t="n">
        <x:v>71.487</x:v>
      </x:c>
      <x:c r="M4398" s="26" t="n">
        <x:v>0.1</x:v>
      </x:c>
      <x:c r="N4398" s="24" t="n">
        <x:v>72</x:v>
      </x:c>
      <x:c r="O4398" s="28" t="n">
        <x:f>MIN(1,L4398/I4398)</x:f>
        <x:v>0.023829</x:v>
      </x:c>
      <x:c r="P4398" s="30" t="n">
        <x:f>O4398*J4398*(1+M4398)</x:f>
        <x:v>0.026211900000000003</x:v>
      </x:c>
      <x:c r="Q4398" s="30" t="n">
        <x:f>P4398*N4398</x:f>
        <x:v>1.8872568000000003</x:v>
      </x:c>
      <x:c r="R4398" s="19" t="str">
        <x:v>独立判定</x:v>
      </x:c>
    </x:row>
    <x:row r="4399" ht="19" customHeight="1">
      <x:c r="A4399" s="19" t="str">
        <x:v>D04395</x:v>
      </x:c>
      <x:c r="B4399" s="19" t="n">
        <x:v>9</x:v>
      </x:c>
      <x:c r="C4399" s="19" t="n">
        <x:v>4</x:v>
      </x:c>
      <x:c r="D4399" s="19" t="str">
        <x:v>C09-M040</x:v>
      </x:c>
      <x:c r="E4399" s="19" t="str">
        <x:v>祭厅焚香奴</x:v>
      </x:c>
      <x:c r="F4399" s="19" t="str">
        <x:v>普通</x:v>
      </x:c>
      <x:c r="G4399" s="19" t="str">
        <x:v>材料独立候选</x:v>
      </x:c>
      <x:c r="H4399" s="19" t="str">
        <x:v>小卢恩</x:v>
      </x:c>
      <x:c r="I4399" s="22" t="n">
        <x:v>20000</x:v>
      </x:c>
      <x:c r="J4399" s="22" t="n">
        <x:v>1</x:v>
      </x:c>
      <x:c r="K4399" s="19" t="n">
        <x:v>1</x:v>
      </x:c>
      <x:c r="L4399" s="24" t="n">
        <x:v>71.487</x:v>
      </x:c>
      <x:c r="M4399" s="26" t="n">
        <x:v>0.1</x:v>
      </x:c>
      <x:c r="N4399" s="24" t="n">
        <x:v>72</x:v>
      </x:c>
      <x:c r="O4399" s="28" t="n">
        <x:f>MIN(1,L4399/I4399)</x:f>
        <x:v>0.0035743499999999996</x:v>
      </x:c>
      <x:c r="P4399" s="30" t="n">
        <x:f>O4399*J4399*(1+M4399)</x:f>
        <x:v>0.003931785</x:v>
      </x:c>
      <x:c r="Q4399" s="30" t="n">
        <x:f>P4399*N4399</x:f>
        <x:v>0.28308852</x:v>
      </x:c>
      <x:c r="R4399" s="19" t="str">
        <x:v>独立判定</x:v>
      </x:c>
    </x:row>
    <x:row r="4400" ht="19" customHeight="1">
      <x:c r="A4400" s="19" t="str">
        <x:v>D04396</x:v>
      </x:c>
      <x:c r="B4400" s="19" t="n">
        <x:v>9</x:v>
      </x:c>
      <x:c r="C4400" s="19" t="n">
        <x:v>4</x:v>
      </x:c>
      <x:c r="D4400" s="19" t="str">
        <x:v>C09-M040</x:v>
      </x:c>
      <x:c r="E4400" s="19" t="str">
        <x:v>祭厅焚香奴</x:v>
      </x:c>
      <x:c r="F4400" s="19" t="str">
        <x:v>普通</x:v>
      </x:c>
      <x:c r="G4400" s="19" t="str">
        <x:v>六神器公共池</x:v>
      </x:c>
      <x:c r="H4400" s="19" t="str">
        <x:v>POOL006</x:v>
      </x:c>
      <x:c r="I4400" s="22" t="n">
        <x:v>20000000</x:v>
      </x:c>
      <x:c r="J4400" s="22" t="n">
        <x:v>1</x:v>
      </x:c>
      <x:c r="K4400" s="19" t="n">
        <x:v>6</x:v>
      </x:c>
      <x:c r="L4400" s="24" t="n">
        <x:v>71.487</x:v>
      </x:c>
      <x:c r="M4400" s="26" t="n">
        <x:v>0.1</x:v>
      </x:c>
      <x:c r="N4400" s="24" t="n">
        <x:v>72</x:v>
      </x:c>
      <x:c r="O4400" s="28" t="n">
        <x:f>MIN(1,L4400/I4400)</x:f>
        <x:v>0.00000357435</x:v>
      </x:c>
      <x:c r="P4400" s="30" t="n">
        <x:f>O4400*J4400*(1+M4400)</x:f>
        <x:v>0.000003931785</x:v>
      </x:c>
      <x:c r="Q4400" s="30" t="n">
        <x:f>P4400*N4400</x:f>
        <x:v>0.00028308852</x:v>
      </x:c>
      <x:c r="R4400" s="19" t="str">
        <x:v>六选一；非6个独立爆率</x:v>
      </x:c>
    </x:row>
    <x:row r="4401" ht="19" customHeight="1">
      <x:c r="A4401" s="19" t="str">
        <x:v>D04397</x:v>
      </x:c>
      <x:c r="B4401" s="19" t="n">
        <x:v>9</x:v>
      </x:c>
      <x:c r="C4401" s="19" t="n">
        <x:v>4</x:v>
      </x:c>
      <x:c r="D4401" s="19" t="str">
        <x:v>C09-M041</x:v>
      </x:c>
      <x:c r="E4401" s="19" t="str">
        <x:v>内殿金面僧</x:v>
      </x:c>
      <x:c r="F4401" s="19" t="str">
        <x:v>普通</x:v>
      </x:c>
      <x:c r="G4401" s="19" t="str">
        <x:v>自身专属</x:v>
      </x:c>
      <x:c r="H4401" s="19" t="str">
        <x:v>金面僧宝盔</x:v>
      </x:c>
      <x:c r="I4401" s="22" t="n">
        <x:v>8000</x:v>
      </x:c>
      <x:c r="J4401" s="22" t="n">
        <x:v>1</x:v>
      </x:c>
      <x:c r="K4401" s="19" t="n">
        <x:v>1</x:v>
      </x:c>
      <x:c r="L4401" s="24" t="n">
        <x:v>71.487</x:v>
      </x:c>
      <x:c r="M4401" s="26" t="n">
        <x:v>0.1</x:v>
      </x:c>
      <x:c r="N4401" s="24" t="n">
        <x:v>72</x:v>
      </x:c>
      <x:c r="O4401" s="28" t="n">
        <x:f>MIN(1,L4401/I4401)</x:f>
        <x:v>0.008935875</x:v>
      </x:c>
      <x:c r="P4401" s="30" t="n">
        <x:f>O4401*J4401*(1+M4401)</x:f>
        <x:v>0.0098294625</x:v>
      </x:c>
      <x:c r="Q4401" s="30" t="n">
        <x:f>P4401*N4401</x:f>
        <x:v>0.7077213</x:v>
      </x:c>
      <x:c r="R4401" s="19" t="str">
        <x:v>独立判定</x:v>
      </x:c>
    </x:row>
    <x:row r="4402" ht="19" customHeight="1">
      <x:c r="A4402" s="19" t="str">
        <x:v>D04398</x:v>
      </x:c>
      <x:c r="B4402" s="19" t="n">
        <x:v>9</x:v>
      </x:c>
      <x:c r="C4402" s="19" t="n">
        <x:v>4</x:v>
      </x:c>
      <x:c r="D4402" s="19" t="str">
        <x:v>C09-M041</x:v>
      </x:c>
      <x:c r="E4402" s="19" t="str">
        <x:v>内殿金面僧</x:v>
      </x:c>
      <x:c r="F4402" s="19" t="str">
        <x:v>普通</x:v>
      </x:c>
      <x:c r="G4402" s="19" t="str">
        <x:v>材料独立候选</x:v>
      </x:c>
      <x:c r="H4402" s="19" t="str">
        <x:v>黄金叶脉</x:v>
      </x:c>
      <x:c r="I4402" s="22" t="n">
        <x:v>1800</x:v>
      </x:c>
      <x:c r="J4402" s="22" t="n">
        <x:v>8</x:v>
      </x:c>
      <x:c r="K4402" s="19" t="n">
        <x:v>1</x:v>
      </x:c>
      <x:c r="L4402" s="24" t="n">
        <x:v>71.487</x:v>
      </x:c>
      <x:c r="M4402" s="26" t="n">
        <x:v>0.1</x:v>
      </x:c>
      <x:c r="N4402" s="24" t="n">
        <x:v>72</x:v>
      </x:c>
      <x:c r="O4402" s="28" t="n">
        <x:f>MIN(1,L4402/I4402)</x:f>
        <x:v>0.039715</x:v>
      </x:c>
      <x:c r="P4402" s="30" t="n">
        <x:f>O4402*J4402*(1+M4402)</x:f>
        <x:v>0.349492</x:v>
      </x:c>
      <x:c r="Q4402" s="30" t="n">
        <x:f>P4402*N4402</x:f>
        <x:v>25.163424000000003</x:v>
      </x:c>
      <x:c r="R4402" s="19" t="str">
        <x:v>独立判定</x:v>
      </x:c>
    </x:row>
    <x:row r="4403" ht="19" customHeight="1">
      <x:c r="A4403" s="19" t="str">
        <x:v>D04399</x:v>
      </x:c>
      <x:c r="B4403" s="19" t="n">
        <x:v>9</x:v>
      </x:c>
      <x:c r="C4403" s="19" t="n">
        <x:v>4</x:v>
      </x:c>
      <x:c r="D4403" s="19" t="str">
        <x:v>C09-M041</x:v>
      </x:c>
      <x:c r="E4403" s="19" t="str">
        <x:v>内殿金面僧</x:v>
      </x:c>
      <x:c r="F4403" s="19" t="str">
        <x:v>普通</x:v>
      </x:c>
      <x:c r="G4403" s="19" t="str">
        <x:v>材料独立候选</x:v>
      </x:c>
      <x:c r="H4403" s="19" t="str">
        <x:v>金叶驿票</x:v>
      </x:c>
      <x:c r="I4403" s="22" t="n">
        <x:v>20000</x:v>
      </x:c>
      <x:c r="J4403" s="22" t="n">
        <x:v>1</x:v>
      </x:c>
      <x:c r="K4403" s="19" t="n">
        <x:v>1</x:v>
      </x:c>
      <x:c r="L4403" s="24" t="n">
        <x:v>71.487</x:v>
      </x:c>
      <x:c r="M4403" s="26" t="n">
        <x:v>0.1</x:v>
      </x:c>
      <x:c r="N4403" s="24" t="n">
        <x:v>72</x:v>
      </x:c>
      <x:c r="O4403" s="28" t="n">
        <x:f>MIN(1,L4403/I4403)</x:f>
        <x:v>0.0035743499999999996</x:v>
      </x:c>
      <x:c r="P4403" s="30" t="n">
        <x:f>O4403*J4403*(1+M4403)</x:f>
        <x:v>0.003931785</x:v>
      </x:c>
      <x:c r="Q4403" s="30" t="n">
        <x:f>P4403*N4403</x:f>
        <x:v>0.28308852</x:v>
      </x:c>
      <x:c r="R4403" s="19" t="str">
        <x:v>独立判定</x:v>
      </x:c>
    </x:row>
    <x:row r="4404" ht="19" customHeight="1">
      <x:c r="A4404" s="19" t="str">
        <x:v>D04400</x:v>
      </x:c>
      <x:c r="B4404" s="19" t="n">
        <x:v>9</x:v>
      </x:c>
      <x:c r="C4404" s="19" t="n">
        <x:v>4</x:v>
      </x:c>
      <x:c r="D4404" s="19" t="str">
        <x:v>C09-M041</x:v>
      </x:c>
      <x:c r="E4404" s="19" t="str">
        <x:v>内殿金面僧</x:v>
      </x:c>
      <x:c r="F4404" s="19" t="str">
        <x:v>普通</x:v>
      </x:c>
      <x:c r="G4404" s="19" t="str">
        <x:v>材料独立候选</x:v>
      </x:c>
      <x:c r="H4404" s="19" t="str">
        <x:v>古坛鎏叶髓</x:v>
      </x:c>
      <x:c r="I4404" s="22" t="n">
        <x:v>3000000</x:v>
      </x:c>
      <x:c r="J4404" s="22" t="n">
        <x:v>1</x:v>
      </x:c>
      <x:c r="K4404" s="19" t="n">
        <x:v>1</x:v>
      </x:c>
      <x:c r="L4404" s="24" t="n">
        <x:v>71.487</x:v>
      </x:c>
      <x:c r="M4404" s="26" t="n">
        <x:v>0.1</x:v>
      </x:c>
      <x:c r="N4404" s="24" t="n">
        <x:v>72</x:v>
      </x:c>
      <x:c r="O4404" s="28" t="n">
        <x:f>MIN(1,L4404/I4404)</x:f>
        <x:v>0.000023829</x:v>
      </x:c>
      <x:c r="P4404" s="30" t="n">
        <x:f>O4404*J4404*(1+M4404)</x:f>
        <x:v>0.0000262119</x:v>
      </x:c>
      <x:c r="Q4404" s="30" t="n">
        <x:f>P4404*N4404</x:f>
        <x:v>0.0018872568</x:v>
      </x:c>
      <x:c r="R4404" s="19" t="str">
        <x:v>独立判定</x:v>
      </x:c>
    </x:row>
    <x:row r="4405" ht="19" customHeight="1">
      <x:c r="A4405" s="19" t="str">
        <x:v>D04401</x:v>
      </x:c>
      <x:c r="B4405" s="19" t="n">
        <x:v>9</x:v>
      </x:c>
      <x:c r="C4405" s="19" t="n">
        <x:v>4</x:v>
      </x:c>
      <x:c r="D4405" s="19" t="str">
        <x:v>C09-M041</x:v>
      </x:c>
      <x:c r="E4405" s="19" t="str">
        <x:v>内殿金面僧</x:v>
      </x:c>
      <x:c r="F4405" s="19" t="str">
        <x:v>普通</x:v>
      </x:c>
      <x:c r="G4405" s="19" t="str">
        <x:v>材料独立候选</x:v>
      </x:c>
      <x:c r="H4405" s="19" t="str">
        <x:v>野兽骨片</x:v>
      </x:c>
      <x:c r="I4405" s="22" t="n">
        <x:v>400</x:v>
      </x:c>
      <x:c r="J4405" s="22" t="n">
        <x:v>5</x:v>
      </x:c>
      <x:c r="K4405" s="19" t="n">
        <x:v>1</x:v>
      </x:c>
      <x:c r="L4405" s="24" t="n">
        <x:v>71.487</x:v>
      </x:c>
      <x:c r="M4405" s="26" t="n">
        <x:v>0.1</x:v>
      </x:c>
      <x:c r="N4405" s="24" t="n">
        <x:v>72</x:v>
      </x:c>
      <x:c r="O4405" s="28" t="n">
        <x:f>MIN(1,L4405/I4405)</x:f>
        <x:v>0.17871749999999997</x:v>
      </x:c>
      <x:c r="P4405" s="30" t="n">
        <x:f>O4405*J4405*(1+M4405)</x:f>
        <x:v>0.9829462499999999</x:v>
      </x:c>
      <x:c r="Q4405" s="30" t="n">
        <x:f>P4405*N4405</x:f>
        <x:v>70.77212999999999</x:v>
      </x:c>
      <x:c r="R4405" s="19" t="str">
        <x:v>独立判定</x:v>
      </x:c>
    </x:row>
    <x:row r="4406" ht="19" customHeight="1">
      <x:c r="A4406" s="19" t="str">
        <x:v>D04402</x:v>
      </x:c>
      <x:c r="B4406" s="19" t="n">
        <x:v>9</x:v>
      </x:c>
      <x:c r="C4406" s="19" t="n">
        <x:v>4</x:v>
      </x:c>
      <x:c r="D4406" s="19" t="str">
        <x:v>C09-M041</x:v>
      </x:c>
      <x:c r="E4406" s="19" t="str">
        <x:v>内殿金面僧</x:v>
      </x:c>
      <x:c r="F4406" s="19" t="str">
        <x:v>普通</x:v>
      </x:c>
      <x:c r="G4406" s="19" t="str">
        <x:v>材料独立候选</x:v>
      </x:c>
      <x:c r="H4406" s="19" t="str">
        <x:v>技能残页</x:v>
      </x:c>
      <x:c r="I4406" s="22" t="n">
        <x:v>3000</x:v>
      </x:c>
      <x:c r="J4406" s="22" t="n">
        <x:v>1</x:v>
      </x:c>
      <x:c r="K4406" s="19" t="n">
        <x:v>1</x:v>
      </x:c>
      <x:c r="L4406" s="24" t="n">
        <x:v>71.487</x:v>
      </x:c>
      <x:c r="M4406" s="26" t="n">
        <x:v>0.1</x:v>
      </x:c>
      <x:c r="N4406" s="24" t="n">
        <x:v>72</x:v>
      </x:c>
      <x:c r="O4406" s="28" t="n">
        <x:f>MIN(1,L4406/I4406)</x:f>
        <x:v>0.023829</x:v>
      </x:c>
      <x:c r="P4406" s="30" t="n">
        <x:f>O4406*J4406*(1+M4406)</x:f>
        <x:v>0.026211900000000003</x:v>
      </x:c>
      <x:c r="Q4406" s="30" t="n">
        <x:f>P4406*N4406</x:f>
        <x:v>1.8872568000000003</x:v>
      </x:c>
      <x:c r="R4406" s="19" t="str">
        <x:v>独立判定</x:v>
      </x:c>
    </x:row>
    <x:row r="4407" ht="19" customHeight="1">
      <x:c r="A4407" s="19" t="str">
        <x:v>D04403</x:v>
      </x:c>
      <x:c r="B4407" s="19" t="n">
        <x:v>9</x:v>
      </x:c>
      <x:c r="C4407" s="19" t="n">
        <x:v>4</x:v>
      </x:c>
      <x:c r="D4407" s="19" t="str">
        <x:v>C09-M041</x:v>
      </x:c>
      <x:c r="E4407" s="19" t="str">
        <x:v>内殿金面僧</x:v>
      </x:c>
      <x:c r="F4407" s="19" t="str">
        <x:v>普通</x:v>
      </x:c>
      <x:c r="G4407" s="19" t="str">
        <x:v>材料独立候选</x:v>
      </x:c>
      <x:c r="H4407" s="19" t="str">
        <x:v>小卢恩</x:v>
      </x:c>
      <x:c r="I4407" s="22" t="n">
        <x:v>20000</x:v>
      </x:c>
      <x:c r="J4407" s="22" t="n">
        <x:v>1</x:v>
      </x:c>
      <x:c r="K4407" s="19" t="n">
        <x:v>1</x:v>
      </x:c>
      <x:c r="L4407" s="24" t="n">
        <x:v>71.487</x:v>
      </x:c>
      <x:c r="M4407" s="26" t="n">
        <x:v>0.1</x:v>
      </x:c>
      <x:c r="N4407" s="24" t="n">
        <x:v>72</x:v>
      </x:c>
      <x:c r="O4407" s="28" t="n">
        <x:f>MIN(1,L4407/I4407)</x:f>
        <x:v>0.0035743499999999996</x:v>
      </x:c>
      <x:c r="P4407" s="30" t="n">
        <x:f>O4407*J4407*(1+M4407)</x:f>
        <x:v>0.003931785</x:v>
      </x:c>
      <x:c r="Q4407" s="30" t="n">
        <x:f>P4407*N4407</x:f>
        <x:v>0.28308852</x:v>
      </x:c>
      <x:c r="R4407" s="19" t="str">
        <x:v>独立判定</x:v>
      </x:c>
    </x:row>
    <x:row r="4408" ht="19" customHeight="1">
      <x:c r="A4408" s="19" t="str">
        <x:v>D04404</x:v>
      </x:c>
      <x:c r="B4408" s="19" t="n">
        <x:v>9</x:v>
      </x:c>
      <x:c r="C4408" s="19" t="n">
        <x:v>4</x:v>
      </x:c>
      <x:c r="D4408" s="19" t="str">
        <x:v>C09-M041</x:v>
      </x:c>
      <x:c r="E4408" s="19" t="str">
        <x:v>内殿金面僧</x:v>
      </x:c>
      <x:c r="F4408" s="19" t="str">
        <x:v>普通</x:v>
      </x:c>
      <x:c r="G4408" s="19" t="str">
        <x:v>六神器公共池</x:v>
      </x:c>
      <x:c r="H4408" s="19" t="str">
        <x:v>POOL006</x:v>
      </x:c>
      <x:c r="I4408" s="22" t="n">
        <x:v>20000000</x:v>
      </x:c>
      <x:c r="J4408" s="22" t="n">
        <x:v>1</x:v>
      </x:c>
      <x:c r="K4408" s="19" t="n">
        <x:v>6</x:v>
      </x:c>
      <x:c r="L4408" s="24" t="n">
        <x:v>71.487</x:v>
      </x:c>
      <x:c r="M4408" s="26" t="n">
        <x:v>0.1</x:v>
      </x:c>
      <x:c r="N4408" s="24" t="n">
        <x:v>72</x:v>
      </x:c>
      <x:c r="O4408" s="28" t="n">
        <x:f>MIN(1,L4408/I4408)</x:f>
        <x:v>0.00000357435</x:v>
      </x:c>
      <x:c r="P4408" s="30" t="n">
        <x:f>O4408*J4408*(1+M4408)</x:f>
        <x:v>0.000003931785</x:v>
      </x:c>
      <x:c r="Q4408" s="30" t="n">
        <x:f>P4408*N4408</x:f>
        <x:v>0.00028308852</x:v>
      </x:c>
      <x:c r="R4408" s="19" t="str">
        <x:v>六选一；非6个独立爆率</x:v>
      </x:c>
    </x:row>
    <x:row r="4409" ht="19" customHeight="1">
      <x:c r="A4409" s="19" t="str">
        <x:v>D04405</x:v>
      </x:c>
      <x:c r="B4409" s="19" t="n">
        <x:v>9</x:v>
      </x:c>
      <x:c r="C4409" s="19" t="n">
        <x:v>4</x:v>
      </x:c>
      <x:c r="D4409" s="19" t="str">
        <x:v>C09-M042</x:v>
      </x:c>
      <x:c r="E4409" s="19" t="str">
        <x:v>圣坛祷弓手</x:v>
      </x:c>
      <x:c r="F4409" s="19" t="str">
        <x:v>普通</x:v>
      </x:c>
      <x:c r="G4409" s="19" t="str">
        <x:v>自身专属</x:v>
      </x:c>
      <x:c r="H4409" s="19" t="str">
        <x:v>祷弓手日轮弓</x:v>
      </x:c>
      <x:c r="I4409" s="22" t="n">
        <x:v>8000</x:v>
      </x:c>
      <x:c r="J4409" s="22" t="n">
        <x:v>1</x:v>
      </x:c>
      <x:c r="K4409" s="19" t="n">
        <x:v>1</x:v>
      </x:c>
      <x:c r="L4409" s="24" t="n">
        <x:v>71.487</x:v>
      </x:c>
      <x:c r="M4409" s="26" t="n">
        <x:v>0.1</x:v>
      </x:c>
      <x:c r="N4409" s="24" t="n">
        <x:v>72</x:v>
      </x:c>
      <x:c r="O4409" s="28" t="n">
        <x:f>MIN(1,L4409/I4409)</x:f>
        <x:v>0.008935875</x:v>
      </x:c>
      <x:c r="P4409" s="30" t="n">
        <x:f>O4409*J4409*(1+M4409)</x:f>
        <x:v>0.0098294625</x:v>
      </x:c>
      <x:c r="Q4409" s="30" t="n">
        <x:f>P4409*N4409</x:f>
        <x:v>0.7077213</x:v>
      </x:c>
      <x:c r="R4409" s="19" t="str">
        <x:v>独立判定</x:v>
      </x:c>
    </x:row>
    <x:row r="4410" ht="19" customHeight="1">
      <x:c r="A4410" s="19" t="str">
        <x:v>D04406</x:v>
      </x:c>
      <x:c r="B4410" s="19" t="n">
        <x:v>9</x:v>
      </x:c>
      <x:c r="C4410" s="19" t="n">
        <x:v>4</x:v>
      </x:c>
      <x:c r="D4410" s="19" t="str">
        <x:v>C09-M042</x:v>
      </x:c>
      <x:c r="E4410" s="19" t="str">
        <x:v>圣坛祷弓手</x:v>
      </x:c>
      <x:c r="F4410" s="19" t="str">
        <x:v>普通</x:v>
      </x:c>
      <x:c r="G4410" s="19" t="str">
        <x:v>材料独立候选</x:v>
      </x:c>
      <x:c r="H4410" s="19" t="str">
        <x:v>黄金叶脉</x:v>
      </x:c>
      <x:c r="I4410" s="22" t="n">
        <x:v>1800</x:v>
      </x:c>
      <x:c r="J4410" s="22" t="n">
        <x:v>8</x:v>
      </x:c>
      <x:c r="K4410" s="19" t="n">
        <x:v>1</x:v>
      </x:c>
      <x:c r="L4410" s="24" t="n">
        <x:v>71.487</x:v>
      </x:c>
      <x:c r="M4410" s="26" t="n">
        <x:v>0.1</x:v>
      </x:c>
      <x:c r="N4410" s="24" t="n">
        <x:v>72</x:v>
      </x:c>
      <x:c r="O4410" s="28" t="n">
        <x:f>MIN(1,L4410/I4410)</x:f>
        <x:v>0.039715</x:v>
      </x:c>
      <x:c r="P4410" s="30" t="n">
        <x:f>O4410*J4410*(1+M4410)</x:f>
        <x:v>0.349492</x:v>
      </x:c>
      <x:c r="Q4410" s="30" t="n">
        <x:f>P4410*N4410</x:f>
        <x:v>25.163424000000003</x:v>
      </x:c>
      <x:c r="R4410" s="19" t="str">
        <x:v>独立判定</x:v>
      </x:c>
    </x:row>
    <x:row r="4411" ht="19" customHeight="1">
      <x:c r="A4411" s="19" t="str">
        <x:v>D04407</x:v>
      </x:c>
      <x:c r="B4411" s="19" t="n">
        <x:v>9</x:v>
      </x:c>
      <x:c r="C4411" s="19" t="n">
        <x:v>4</x:v>
      </x:c>
      <x:c r="D4411" s="19" t="str">
        <x:v>C09-M042</x:v>
      </x:c>
      <x:c r="E4411" s="19" t="str">
        <x:v>圣坛祷弓手</x:v>
      </x:c>
      <x:c r="F4411" s="19" t="str">
        <x:v>普通</x:v>
      </x:c>
      <x:c r="G4411" s="19" t="str">
        <x:v>材料独立候选</x:v>
      </x:c>
      <x:c r="H4411" s="19" t="str">
        <x:v>金叶驿票</x:v>
      </x:c>
      <x:c r="I4411" s="22" t="n">
        <x:v>20000</x:v>
      </x:c>
      <x:c r="J4411" s="22" t="n">
        <x:v>1</x:v>
      </x:c>
      <x:c r="K4411" s="19" t="n">
        <x:v>1</x:v>
      </x:c>
      <x:c r="L4411" s="24" t="n">
        <x:v>71.487</x:v>
      </x:c>
      <x:c r="M4411" s="26" t="n">
        <x:v>0.1</x:v>
      </x:c>
      <x:c r="N4411" s="24" t="n">
        <x:v>72</x:v>
      </x:c>
      <x:c r="O4411" s="28" t="n">
        <x:f>MIN(1,L4411/I4411)</x:f>
        <x:v>0.0035743499999999996</x:v>
      </x:c>
      <x:c r="P4411" s="30" t="n">
        <x:f>O4411*J4411*(1+M4411)</x:f>
        <x:v>0.003931785</x:v>
      </x:c>
      <x:c r="Q4411" s="30" t="n">
        <x:f>P4411*N4411</x:f>
        <x:v>0.28308852</x:v>
      </x:c>
      <x:c r="R4411" s="19" t="str">
        <x:v>独立判定</x:v>
      </x:c>
    </x:row>
    <x:row r="4412" ht="19" customHeight="1">
      <x:c r="A4412" s="19" t="str">
        <x:v>D04408</x:v>
      </x:c>
      <x:c r="B4412" s="19" t="n">
        <x:v>9</x:v>
      </x:c>
      <x:c r="C4412" s="19" t="n">
        <x:v>4</x:v>
      </x:c>
      <x:c r="D4412" s="19" t="str">
        <x:v>C09-M042</x:v>
      </x:c>
      <x:c r="E4412" s="19" t="str">
        <x:v>圣坛祷弓手</x:v>
      </x:c>
      <x:c r="F4412" s="19" t="str">
        <x:v>普通</x:v>
      </x:c>
      <x:c r="G4412" s="19" t="str">
        <x:v>材料独立候选</x:v>
      </x:c>
      <x:c r="H4412" s="19" t="str">
        <x:v>古坛鎏叶髓</x:v>
      </x:c>
      <x:c r="I4412" s="22" t="n">
        <x:v>3000000</x:v>
      </x:c>
      <x:c r="J4412" s="22" t="n">
        <x:v>1</x:v>
      </x:c>
      <x:c r="K4412" s="19" t="n">
        <x:v>1</x:v>
      </x:c>
      <x:c r="L4412" s="24" t="n">
        <x:v>71.487</x:v>
      </x:c>
      <x:c r="M4412" s="26" t="n">
        <x:v>0.1</x:v>
      </x:c>
      <x:c r="N4412" s="24" t="n">
        <x:v>72</x:v>
      </x:c>
      <x:c r="O4412" s="28" t="n">
        <x:f>MIN(1,L4412/I4412)</x:f>
        <x:v>0.000023829</x:v>
      </x:c>
      <x:c r="P4412" s="30" t="n">
        <x:f>O4412*J4412*(1+M4412)</x:f>
        <x:v>0.0000262119</x:v>
      </x:c>
      <x:c r="Q4412" s="30" t="n">
        <x:f>P4412*N4412</x:f>
        <x:v>0.0018872568</x:v>
      </x:c>
      <x:c r="R4412" s="19" t="str">
        <x:v>独立判定</x:v>
      </x:c>
    </x:row>
    <x:row r="4413" ht="19" customHeight="1">
      <x:c r="A4413" s="19" t="str">
        <x:v>D04409</x:v>
      </x:c>
      <x:c r="B4413" s="19" t="n">
        <x:v>9</x:v>
      </x:c>
      <x:c r="C4413" s="19" t="n">
        <x:v>4</x:v>
      </x:c>
      <x:c r="D4413" s="19" t="str">
        <x:v>C09-M042</x:v>
      </x:c>
      <x:c r="E4413" s="19" t="str">
        <x:v>圣坛祷弓手</x:v>
      </x:c>
      <x:c r="F4413" s="19" t="str">
        <x:v>普通</x:v>
      </x:c>
      <x:c r="G4413" s="19" t="str">
        <x:v>材料独立候选</x:v>
      </x:c>
      <x:c r="H4413" s="19" t="str">
        <x:v>野兽骨片</x:v>
      </x:c>
      <x:c r="I4413" s="22" t="n">
        <x:v>400</x:v>
      </x:c>
      <x:c r="J4413" s="22" t="n">
        <x:v>5</x:v>
      </x:c>
      <x:c r="K4413" s="19" t="n">
        <x:v>1</x:v>
      </x:c>
      <x:c r="L4413" s="24" t="n">
        <x:v>71.487</x:v>
      </x:c>
      <x:c r="M4413" s="26" t="n">
        <x:v>0.1</x:v>
      </x:c>
      <x:c r="N4413" s="24" t="n">
        <x:v>72</x:v>
      </x:c>
      <x:c r="O4413" s="28" t="n">
        <x:f>MIN(1,L4413/I4413)</x:f>
        <x:v>0.17871749999999997</x:v>
      </x:c>
      <x:c r="P4413" s="30" t="n">
        <x:f>O4413*J4413*(1+M4413)</x:f>
        <x:v>0.9829462499999999</x:v>
      </x:c>
      <x:c r="Q4413" s="30" t="n">
        <x:f>P4413*N4413</x:f>
        <x:v>70.77212999999999</x:v>
      </x:c>
      <x:c r="R4413" s="19" t="str">
        <x:v>独立判定</x:v>
      </x:c>
    </x:row>
    <x:row r="4414" ht="19" customHeight="1">
      <x:c r="A4414" s="19" t="str">
        <x:v>D04410</x:v>
      </x:c>
      <x:c r="B4414" s="19" t="n">
        <x:v>9</x:v>
      </x:c>
      <x:c r="C4414" s="19" t="n">
        <x:v>4</x:v>
      </x:c>
      <x:c r="D4414" s="19" t="str">
        <x:v>C09-M042</x:v>
      </x:c>
      <x:c r="E4414" s="19" t="str">
        <x:v>圣坛祷弓手</x:v>
      </x:c>
      <x:c r="F4414" s="19" t="str">
        <x:v>普通</x:v>
      </x:c>
      <x:c r="G4414" s="19" t="str">
        <x:v>材料独立候选</x:v>
      </x:c>
      <x:c r="H4414" s="19" t="str">
        <x:v>技能残页</x:v>
      </x:c>
      <x:c r="I4414" s="22" t="n">
        <x:v>3000</x:v>
      </x:c>
      <x:c r="J4414" s="22" t="n">
        <x:v>1</x:v>
      </x:c>
      <x:c r="K4414" s="19" t="n">
        <x:v>1</x:v>
      </x:c>
      <x:c r="L4414" s="24" t="n">
        <x:v>71.487</x:v>
      </x:c>
      <x:c r="M4414" s="26" t="n">
        <x:v>0.1</x:v>
      </x:c>
      <x:c r="N4414" s="24" t="n">
        <x:v>72</x:v>
      </x:c>
      <x:c r="O4414" s="28" t="n">
        <x:f>MIN(1,L4414/I4414)</x:f>
        <x:v>0.023829</x:v>
      </x:c>
      <x:c r="P4414" s="30" t="n">
        <x:f>O4414*J4414*(1+M4414)</x:f>
        <x:v>0.026211900000000003</x:v>
      </x:c>
      <x:c r="Q4414" s="30" t="n">
        <x:f>P4414*N4414</x:f>
        <x:v>1.8872568000000003</x:v>
      </x:c>
      <x:c r="R4414" s="19" t="str">
        <x:v>独立判定</x:v>
      </x:c>
    </x:row>
    <x:row r="4415" ht="19" customHeight="1">
      <x:c r="A4415" s="19" t="str">
        <x:v>D04411</x:v>
      </x:c>
      <x:c r="B4415" s="19" t="n">
        <x:v>9</x:v>
      </x:c>
      <x:c r="C4415" s="19" t="n">
        <x:v>4</x:v>
      </x:c>
      <x:c r="D4415" s="19" t="str">
        <x:v>C09-M042</x:v>
      </x:c>
      <x:c r="E4415" s="19" t="str">
        <x:v>圣坛祷弓手</x:v>
      </x:c>
      <x:c r="F4415" s="19" t="str">
        <x:v>普通</x:v>
      </x:c>
      <x:c r="G4415" s="19" t="str">
        <x:v>材料独立候选</x:v>
      </x:c>
      <x:c r="H4415" s="19" t="str">
        <x:v>小卢恩</x:v>
      </x:c>
      <x:c r="I4415" s="22" t="n">
        <x:v>20000</x:v>
      </x:c>
      <x:c r="J4415" s="22" t="n">
        <x:v>1</x:v>
      </x:c>
      <x:c r="K4415" s="19" t="n">
        <x:v>1</x:v>
      </x:c>
      <x:c r="L4415" s="24" t="n">
        <x:v>71.487</x:v>
      </x:c>
      <x:c r="M4415" s="26" t="n">
        <x:v>0.1</x:v>
      </x:c>
      <x:c r="N4415" s="24" t="n">
        <x:v>72</x:v>
      </x:c>
      <x:c r="O4415" s="28" t="n">
        <x:f>MIN(1,L4415/I4415)</x:f>
        <x:v>0.0035743499999999996</x:v>
      </x:c>
      <x:c r="P4415" s="30" t="n">
        <x:f>O4415*J4415*(1+M4415)</x:f>
        <x:v>0.003931785</x:v>
      </x:c>
      <x:c r="Q4415" s="30" t="n">
        <x:f>P4415*N4415</x:f>
        <x:v>0.28308852</x:v>
      </x:c>
      <x:c r="R4415" s="19" t="str">
        <x:v>独立判定</x:v>
      </x:c>
    </x:row>
    <x:row r="4416" ht="19" customHeight="1">
      <x:c r="A4416" s="19" t="str">
        <x:v>D04412</x:v>
      </x:c>
      <x:c r="B4416" s="19" t="n">
        <x:v>9</x:v>
      </x:c>
      <x:c r="C4416" s="19" t="n">
        <x:v>4</x:v>
      </x:c>
      <x:c r="D4416" s="19" t="str">
        <x:v>C09-M042</x:v>
      </x:c>
      <x:c r="E4416" s="19" t="str">
        <x:v>圣坛祷弓手</x:v>
      </x:c>
      <x:c r="F4416" s="19" t="str">
        <x:v>普通</x:v>
      </x:c>
      <x:c r="G4416" s="19" t="str">
        <x:v>六神器公共池</x:v>
      </x:c>
      <x:c r="H4416" s="19" t="str">
        <x:v>POOL006</x:v>
      </x:c>
      <x:c r="I4416" s="22" t="n">
        <x:v>20000000</x:v>
      </x:c>
      <x:c r="J4416" s="22" t="n">
        <x:v>1</x:v>
      </x:c>
      <x:c r="K4416" s="19" t="n">
        <x:v>6</x:v>
      </x:c>
      <x:c r="L4416" s="24" t="n">
        <x:v>71.487</x:v>
      </x:c>
      <x:c r="M4416" s="26" t="n">
        <x:v>0.1</x:v>
      </x:c>
      <x:c r="N4416" s="24" t="n">
        <x:v>72</x:v>
      </x:c>
      <x:c r="O4416" s="28" t="n">
        <x:f>MIN(1,L4416/I4416)</x:f>
        <x:v>0.00000357435</x:v>
      </x:c>
      <x:c r="P4416" s="30" t="n">
        <x:f>O4416*J4416*(1+M4416)</x:f>
        <x:v>0.000003931785</x:v>
      </x:c>
      <x:c r="Q4416" s="30" t="n">
        <x:f>P4416*N4416</x:f>
        <x:v>0.00028308852</x:v>
      </x:c>
      <x:c r="R4416" s="19" t="str">
        <x:v>六选一；非6个独立爆率</x:v>
      </x:c>
    </x:row>
    <x:row r="4417" ht="19" customHeight="1">
      <x:c r="A4417" s="19" t="str">
        <x:v>D04413</x:v>
      </x:c>
      <x:c r="B4417" s="19" t="n">
        <x:v>9</x:v>
      </x:c>
      <x:c r="C4417" s="19" t="n">
        <x:v>4</x:v>
      </x:c>
      <x:c r="D4417" s="19" t="str">
        <x:v>C09-M043</x:v>
      </x:c>
      <x:c r="E4417" s="19" t="str">
        <x:v>前廊裁罪使</x:v>
      </x:c>
      <x:c r="F4417" s="19" t="str">
        <x:v>稀有</x:v>
      </x:c>
      <x:c r="G4417" s="19" t="str">
        <x:v>自身专属</x:v>
      </x:c>
      <x:c r="H4417" s="19" t="str">
        <x:v>裁罪使荆腰带</x:v>
      </x:c>
      <x:c r="I4417" s="22" t="n">
        <x:v>2000</x:v>
      </x:c>
      <x:c r="J4417" s="22" t="n">
        <x:v>1</x:v>
      </x:c>
      <x:c r="K4417" s="19" t="n">
        <x:v>1</x:v>
      </x:c>
      <x:c r="L4417" s="24" t="n">
        <x:v>71.487</x:v>
      </x:c>
      <x:c r="M4417" s="26" t="n">
        <x:v>0.1</x:v>
      </x:c>
      <x:c r="N4417" s="24" t="n">
        <x:v>12</x:v>
      </x:c>
      <x:c r="O4417" s="28" t="n">
        <x:f>MIN(1,L4417/I4417)</x:f>
        <x:v>0.0357435</x:v>
      </x:c>
      <x:c r="P4417" s="30" t="n">
        <x:f>O4417*J4417*(1+M4417)</x:f>
        <x:v>0.03931785</x:v>
      </x:c>
      <x:c r="Q4417" s="30" t="n">
        <x:f>P4417*N4417</x:f>
        <x:v>0.4718142</x:v>
      </x:c>
      <x:c r="R4417" s="19" t="str">
        <x:v>独立判定</x:v>
      </x:c>
    </x:row>
    <x:row r="4418" ht="19" customHeight="1">
      <x:c r="A4418" s="19" t="str">
        <x:v>D04414</x:v>
      </x:c>
      <x:c r="B4418" s="19" t="n">
        <x:v>9</x:v>
      </x:c>
      <x:c r="C4418" s="19" t="n">
        <x:v>4</x:v>
      </x:c>
      <x:c r="D4418" s="19" t="str">
        <x:v>C09-M043</x:v>
      </x:c>
      <x:c r="E4418" s="19" t="str">
        <x:v>前廊裁罪使</x:v>
      </x:c>
      <x:c r="F4418" s="19" t="str">
        <x:v>稀有</x:v>
      </x:c>
      <x:c r="G4418" s="19" t="str">
        <x:v>材料独立候选</x:v>
      </x:c>
      <x:c r="H4418" s="19" t="str">
        <x:v>黄金叶脉</x:v>
      </x:c>
      <x:c r="I4418" s="22" t="n">
        <x:v>1000</x:v>
      </x:c>
      <x:c r="J4418" s="22" t="n">
        <x:v>15</x:v>
      </x:c>
      <x:c r="K4418" s="19" t="n">
        <x:v>1</x:v>
      </x:c>
      <x:c r="L4418" s="24" t="n">
        <x:v>71.487</x:v>
      </x:c>
      <x:c r="M4418" s="26" t="n">
        <x:v>0.1</x:v>
      </x:c>
      <x:c r="N4418" s="24" t="n">
        <x:v>12</x:v>
      </x:c>
      <x:c r="O4418" s="28" t="n">
        <x:f>MIN(1,L4418/I4418)</x:f>
        <x:v>0.071487</x:v>
      </x:c>
      <x:c r="P4418" s="30" t="n">
        <x:f>O4418*J4418*(1+M4418)</x:f>
        <x:v>1.1795354999999998</x:v>
      </x:c>
      <x:c r="Q4418" s="30" t="n">
        <x:f>P4418*N4418</x:f>
        <x:v>14.154425999999997</x:v>
      </x:c>
      <x:c r="R4418" s="19" t="str">
        <x:v>独立判定</x:v>
      </x:c>
    </x:row>
    <x:row r="4419" ht="19" customHeight="1">
      <x:c r="A4419" s="19" t="str">
        <x:v>D04415</x:v>
      </x:c>
      <x:c r="B4419" s="19" t="n">
        <x:v>9</x:v>
      </x:c>
      <x:c r="C4419" s="19" t="n">
        <x:v>4</x:v>
      </x:c>
      <x:c r="D4419" s="19" t="str">
        <x:v>C09-M043</x:v>
      </x:c>
      <x:c r="E4419" s="19" t="str">
        <x:v>前廊裁罪使</x:v>
      </x:c>
      <x:c r="F4419" s="19" t="str">
        <x:v>稀有</x:v>
      </x:c>
      <x:c r="G4419" s="19" t="str">
        <x:v>材料独立候选</x:v>
      </x:c>
      <x:c r="H4419" s="19" t="str">
        <x:v>古王律页</x:v>
      </x:c>
      <x:c r="I4419" s="22" t="n">
        <x:v>1200</x:v>
      </x:c>
      <x:c r="J4419" s="22" t="n">
        <x:v>1</x:v>
      </x:c>
      <x:c r="K4419" s="19" t="n">
        <x:v>1</x:v>
      </x:c>
      <x:c r="L4419" s="24" t="n">
        <x:v>71.487</x:v>
      </x:c>
      <x:c r="M4419" s="26" t="n">
        <x:v>0.1</x:v>
      </x:c>
      <x:c r="N4419" s="24" t="n">
        <x:v>12</x:v>
      </x:c>
      <x:c r="O4419" s="28" t="n">
        <x:f>MIN(1,L4419/I4419)</x:f>
        <x:v>0.059572499999999994</x:v>
      </x:c>
      <x:c r="P4419" s="30" t="n">
        <x:f>O4419*J4419*(1+M4419)</x:f>
        <x:v>0.06552975</x:v>
      </x:c>
      <x:c r="Q4419" s="30" t="n">
        <x:f>P4419*N4419</x:f>
        <x:v>0.786357</x:v>
      </x:c>
      <x:c r="R4419" s="19" t="str">
        <x:v>独立判定</x:v>
      </x:c>
    </x:row>
    <x:row r="4420" ht="19" customHeight="1">
      <x:c r="A4420" s="19" t="str">
        <x:v>D04416</x:v>
      </x:c>
      <x:c r="B4420" s="19" t="n">
        <x:v>9</x:v>
      </x:c>
      <x:c r="C4420" s="19" t="n">
        <x:v>4</x:v>
      </x:c>
      <x:c r="D4420" s="19" t="str">
        <x:v>C09-M043</x:v>
      </x:c>
      <x:c r="E4420" s="19" t="str">
        <x:v>前廊裁罪使</x:v>
      </x:c>
      <x:c r="F4420" s="19" t="str">
        <x:v>稀有</x:v>
      </x:c>
      <x:c r="G4420" s="19" t="str">
        <x:v>材料独立候选</x:v>
      </x:c>
      <x:c r="H4420" s="19" t="str">
        <x:v>矿脉灯芯</x:v>
      </x:c>
      <x:c r="I4420" s="22" t="n">
        <x:v>5000</x:v>
      </x:c>
      <x:c r="J4420" s="22" t="n">
        <x:v>1</x:v>
      </x:c>
      <x:c r="K4420" s="19" t="n">
        <x:v>1</x:v>
      </x:c>
      <x:c r="L4420" s="24" t="n">
        <x:v>71.487</x:v>
      </x:c>
      <x:c r="M4420" s="26" t="n">
        <x:v>0.1</x:v>
      </x:c>
      <x:c r="N4420" s="24" t="n">
        <x:v>12</x:v>
      </x:c>
      <x:c r="O4420" s="28" t="n">
        <x:f>MIN(1,L4420/I4420)</x:f>
        <x:v>0.014297399999999998</x:v>
      </x:c>
      <x:c r="P4420" s="30" t="n">
        <x:f>O4420*J4420*(1+M4420)</x:f>
        <x:v>0.01572714</x:v>
      </x:c>
      <x:c r="Q4420" s="30" t="n">
        <x:f>P4420*N4420</x:f>
        <x:v>0.18872568</x:v>
      </x:c>
      <x:c r="R4420" s="19" t="str">
        <x:v>独立判定</x:v>
      </x:c>
    </x:row>
    <x:row r="4421" ht="19" customHeight="1">
      <x:c r="A4421" s="19" t="str">
        <x:v>D04417</x:v>
      </x:c>
      <x:c r="B4421" s="19" t="n">
        <x:v>9</x:v>
      </x:c>
      <x:c r="C4421" s="19" t="n">
        <x:v>4</x:v>
      </x:c>
      <x:c r="D4421" s="19" t="str">
        <x:v>C09-M043</x:v>
      </x:c>
      <x:c r="E4421" s="19" t="str">
        <x:v>前廊裁罪使</x:v>
      </x:c>
      <x:c r="F4421" s="19" t="str">
        <x:v>稀有</x:v>
      </x:c>
      <x:c r="G4421" s="19" t="str">
        <x:v>材料独立候选</x:v>
      </x:c>
      <x:c r="H4421" s="19" t="str">
        <x:v>古坛鎏叶髓</x:v>
      </x:c>
      <x:c r="I4421" s="22" t="n">
        <x:v>2000000</x:v>
      </x:c>
      <x:c r="J4421" s="22" t="n">
        <x:v>1</x:v>
      </x:c>
      <x:c r="K4421" s="19" t="n">
        <x:v>1</x:v>
      </x:c>
      <x:c r="L4421" s="24" t="n">
        <x:v>71.487</x:v>
      </x:c>
      <x:c r="M4421" s="26" t="n">
        <x:v>0.1</x:v>
      </x:c>
      <x:c r="N4421" s="24" t="n">
        <x:v>12</x:v>
      </x:c>
      <x:c r="O4421" s="28" t="n">
        <x:f>MIN(1,L4421/I4421)</x:f>
        <x:v>0.000035743499999999994</x:v>
      </x:c>
      <x:c r="P4421" s="30" t="n">
        <x:f>O4421*J4421*(1+M4421)</x:f>
        <x:v>0.000039317849999999995</x:v>
      </x:c>
      <x:c r="Q4421" s="30" t="n">
        <x:f>P4421*N4421</x:f>
        <x:v>0.00047181419999999994</x:v>
      </x:c>
      <x:c r="R4421" s="19" t="str">
        <x:v>独立判定</x:v>
      </x:c>
    </x:row>
    <x:row r="4422" ht="19" customHeight="1">
      <x:c r="A4422" s="19" t="str">
        <x:v>D04418</x:v>
      </x:c>
      <x:c r="B4422" s="19" t="n">
        <x:v>9</x:v>
      </x:c>
      <x:c r="C4422" s="19" t="n">
        <x:v>4</x:v>
      </x:c>
      <x:c r="D4422" s="19" t="str">
        <x:v>C09-M043</x:v>
      </x:c>
      <x:c r="E4422" s="19" t="str">
        <x:v>前廊裁罪使</x:v>
      </x:c>
      <x:c r="F4422" s="19" t="str">
        <x:v>稀有</x:v>
      </x:c>
      <x:c r="G4422" s="19" t="str">
        <x:v>材料独立候选</x:v>
      </x:c>
      <x:c r="H4422" s="19" t="str">
        <x:v>黄金树芽</x:v>
      </x:c>
      <x:c r="I4422" s="22" t="n">
        <x:v>15000</x:v>
      </x:c>
      <x:c r="J4422" s="22" t="n">
        <x:v>1</x:v>
      </x:c>
      <x:c r="K4422" s="19" t="n">
        <x:v>1</x:v>
      </x:c>
      <x:c r="L4422" s="24" t="n">
        <x:v>71.487</x:v>
      </x:c>
      <x:c r="M4422" s="26" t="n">
        <x:v>0.1</x:v>
      </x:c>
      <x:c r="N4422" s="24" t="n">
        <x:v>12</x:v>
      </x:c>
      <x:c r="O4422" s="28" t="n">
        <x:f>MIN(1,L4422/I4422)</x:f>
        <x:v>0.0047658</x:v>
      </x:c>
      <x:c r="P4422" s="30" t="n">
        <x:f>O4422*J4422*(1+M4422)</x:f>
        <x:v>0.0052423800000000005</x:v>
      </x:c>
      <x:c r="Q4422" s="30" t="n">
        <x:f>P4422*N4422</x:f>
        <x:v>0.06290856</x:v>
      </x:c>
      <x:c r="R4422" s="19" t="str">
        <x:v>独立判定</x:v>
      </x:c>
    </x:row>
    <x:row r="4423" ht="19" customHeight="1">
      <x:c r="A4423" s="19" t="str">
        <x:v>D04419</x:v>
      </x:c>
      <x:c r="B4423" s="19" t="n">
        <x:v>9</x:v>
      </x:c>
      <x:c r="C4423" s="19" t="n">
        <x:v>4</x:v>
      </x:c>
      <x:c r="D4423" s="19" t="str">
        <x:v>C09-M043</x:v>
      </x:c>
      <x:c r="E4423" s="19" t="str">
        <x:v>前廊裁罪使</x:v>
      </x:c>
      <x:c r="F4423" s="19" t="str">
        <x:v>稀有</x:v>
      </x:c>
      <x:c r="G4423" s="19" t="str">
        <x:v>材料独立候选</x:v>
      </x:c>
      <x:c r="H4423" s="19" t="str">
        <x:v>野兽骨片</x:v>
      </x:c>
      <x:c r="I4423" s="22" t="n">
        <x:v>200</x:v>
      </x:c>
      <x:c r="J4423" s="22" t="n">
        <x:v>5</x:v>
      </x:c>
      <x:c r="K4423" s="19" t="n">
        <x:v>1</x:v>
      </x:c>
      <x:c r="L4423" s="24" t="n">
        <x:v>71.487</x:v>
      </x:c>
      <x:c r="M4423" s="26" t="n">
        <x:v>0.1</x:v>
      </x:c>
      <x:c r="N4423" s="24" t="n">
        <x:v>12</x:v>
      </x:c>
      <x:c r="O4423" s="28" t="n">
        <x:f>MIN(1,L4423/I4423)</x:f>
        <x:v>0.35743499999999995</x:v>
      </x:c>
      <x:c r="P4423" s="30" t="n">
        <x:f>O4423*J4423*(1+M4423)</x:f>
        <x:v>1.9658924999999998</x:v>
      </x:c>
      <x:c r="Q4423" s="30" t="n">
        <x:f>P4423*N4423</x:f>
        <x:v>23.590709999999998</x:v>
      </x:c>
      <x:c r="R4423" s="19" t="str">
        <x:v>独立判定</x:v>
      </x:c>
    </x:row>
    <x:row r="4424" ht="19" customHeight="1">
      <x:c r="A4424" s="19" t="str">
        <x:v>D04420</x:v>
      </x:c>
      <x:c r="B4424" s="19" t="n">
        <x:v>9</x:v>
      </x:c>
      <x:c r="C4424" s="19" t="n">
        <x:v>4</x:v>
      </x:c>
      <x:c r="D4424" s="19" t="str">
        <x:v>C09-M043</x:v>
      </x:c>
      <x:c r="E4424" s="19" t="str">
        <x:v>前廊裁罪使</x:v>
      </x:c>
      <x:c r="F4424" s="19" t="str">
        <x:v>稀有</x:v>
      </x:c>
      <x:c r="G4424" s="19" t="str">
        <x:v>材料独立候选</x:v>
      </x:c>
      <x:c r="H4424" s="19" t="str">
        <x:v>技能残页</x:v>
      </x:c>
      <x:c r="I4424" s="22" t="n">
        <x:v>2000</x:v>
      </x:c>
      <x:c r="J4424" s="22" t="n">
        <x:v>1</x:v>
      </x:c>
      <x:c r="K4424" s="19" t="n">
        <x:v>1</x:v>
      </x:c>
      <x:c r="L4424" s="24" t="n">
        <x:v>71.487</x:v>
      </x:c>
      <x:c r="M4424" s="26" t="n">
        <x:v>0.1</x:v>
      </x:c>
      <x:c r="N4424" s="24" t="n">
        <x:v>12</x:v>
      </x:c>
      <x:c r="O4424" s="28" t="n">
        <x:f>MIN(1,L4424/I4424)</x:f>
        <x:v>0.0357435</x:v>
      </x:c>
      <x:c r="P4424" s="30" t="n">
        <x:f>O4424*J4424*(1+M4424)</x:f>
        <x:v>0.03931785</x:v>
      </x:c>
      <x:c r="Q4424" s="30" t="n">
        <x:f>P4424*N4424</x:f>
        <x:v>0.4718142</x:v>
      </x:c>
      <x:c r="R4424" s="19" t="str">
        <x:v>独立判定</x:v>
      </x:c>
    </x:row>
    <x:row r="4425" ht="19" customHeight="1">
      <x:c r="A4425" s="19" t="str">
        <x:v>D04421</x:v>
      </x:c>
      <x:c r="B4425" s="19" t="n">
        <x:v>9</x:v>
      </x:c>
      <x:c r="C4425" s="19" t="n">
        <x:v>4</x:v>
      </x:c>
      <x:c r="D4425" s="19" t="str">
        <x:v>C09-M043</x:v>
      </x:c>
      <x:c r="E4425" s="19" t="str">
        <x:v>前廊裁罪使</x:v>
      </x:c>
      <x:c r="F4425" s="19" t="str">
        <x:v>稀有</x:v>
      </x:c>
      <x:c r="G4425" s="19" t="str">
        <x:v>材料独立候选</x:v>
      </x:c>
      <x:c r="H4425" s="19" t="str">
        <x:v>小卢恩</x:v>
      </x:c>
      <x:c r="I4425" s="22" t="n">
        <x:v>12000</x:v>
      </x:c>
      <x:c r="J4425" s="22" t="n">
        <x:v>1</x:v>
      </x:c>
      <x:c r="K4425" s="19" t="n">
        <x:v>1</x:v>
      </x:c>
      <x:c r="L4425" s="24" t="n">
        <x:v>71.487</x:v>
      </x:c>
      <x:c r="M4425" s="26" t="n">
        <x:v>0.1</x:v>
      </x:c>
      <x:c r="N4425" s="24" t="n">
        <x:v>12</x:v>
      </x:c>
      <x:c r="O4425" s="28" t="n">
        <x:f>MIN(1,L4425/I4425)</x:f>
        <x:v>0.00595725</x:v>
      </x:c>
      <x:c r="P4425" s="30" t="n">
        <x:f>O4425*J4425*(1+M4425)</x:f>
        <x:v>0.006552975000000001</x:v>
      </x:c>
      <x:c r="Q4425" s="30" t="n">
        <x:f>P4425*N4425</x:f>
        <x:v>0.0786357</x:v>
      </x:c>
      <x:c r="R4425" s="19" t="str">
        <x:v>独立判定</x:v>
      </x:c>
    </x:row>
    <x:row r="4426" ht="19" customHeight="1">
      <x:c r="A4426" s="19" t="str">
        <x:v>D04422</x:v>
      </x:c>
      <x:c r="B4426" s="19" t="n">
        <x:v>9</x:v>
      </x:c>
      <x:c r="C4426" s="19" t="n">
        <x:v>4</x:v>
      </x:c>
      <x:c r="D4426" s="19" t="str">
        <x:v>C09-M043</x:v>
      </x:c>
      <x:c r="E4426" s="19" t="str">
        <x:v>前廊裁罪使</x:v>
      </x:c>
      <x:c r="F4426" s="19" t="str">
        <x:v>稀有</x:v>
      </x:c>
      <x:c r="G4426" s="19" t="str">
        <x:v>六神器公共池</x:v>
      </x:c>
      <x:c r="H4426" s="19" t="str">
        <x:v>POOL006</x:v>
      </x:c>
      <x:c r="I4426" s="22" t="n">
        <x:v>5000000</x:v>
      </x:c>
      <x:c r="J4426" s="22" t="n">
        <x:v>1</x:v>
      </x:c>
      <x:c r="K4426" s="19" t="n">
        <x:v>6</x:v>
      </x:c>
      <x:c r="L4426" s="24" t="n">
        <x:v>71.487</x:v>
      </x:c>
      <x:c r="M4426" s="26" t="n">
        <x:v>0.1</x:v>
      </x:c>
      <x:c r="N4426" s="24" t="n">
        <x:v>12</x:v>
      </x:c>
      <x:c r="O4426" s="28" t="n">
        <x:f>MIN(1,L4426/I4426)</x:f>
        <x:v>0.0000142974</x:v>
      </x:c>
      <x:c r="P4426" s="30" t="n">
        <x:f>O4426*J4426*(1+M4426)</x:f>
        <x:v>0.00001572714</x:v>
      </x:c>
      <x:c r="Q4426" s="30" t="n">
        <x:f>P4426*N4426</x:f>
        <x:v>0.00018872567999999999</x:v>
      </x:c>
      <x:c r="R4426" s="19" t="str">
        <x:v>六选一；非6个独立爆率</x:v>
      </x:c>
    </x:row>
    <x:row r="4427" ht="19" customHeight="1">
      <x:c r="A4427" s="19" t="str">
        <x:v>D04423</x:v>
      </x:c>
      <x:c r="B4427" s="19" t="n">
        <x:v>9</x:v>
      </x:c>
      <x:c r="C4427" s="19" t="n">
        <x:v>4</x:v>
      </x:c>
      <x:c r="D4427" s="19" t="str">
        <x:v>C09-M044</x:v>
      </x:c>
      <x:c r="E4427" s="19" t="str">
        <x:v>古神食香兽</x:v>
      </x:c>
      <x:c r="F4427" s="19" t="str">
        <x:v>稀有</x:v>
      </x:c>
      <x:c r="G4427" s="19" t="str">
        <x:v>自身专属</x:v>
      </x:c>
      <x:c r="H4427" s="19" t="str">
        <x:v>食香兽烟坠</x:v>
      </x:c>
      <x:c r="I4427" s="22" t="n">
        <x:v>2000</x:v>
      </x:c>
      <x:c r="J4427" s="22" t="n">
        <x:v>1</x:v>
      </x:c>
      <x:c r="K4427" s="19" t="n">
        <x:v>1</x:v>
      </x:c>
      <x:c r="L4427" s="24" t="n">
        <x:v>71.487</x:v>
      </x:c>
      <x:c r="M4427" s="26" t="n">
        <x:v>0.1</x:v>
      </x:c>
      <x:c r="N4427" s="24" t="n">
        <x:v>12</x:v>
      </x:c>
      <x:c r="O4427" s="28" t="n">
        <x:f>MIN(1,L4427/I4427)</x:f>
        <x:v>0.0357435</x:v>
      </x:c>
      <x:c r="P4427" s="30" t="n">
        <x:f>O4427*J4427*(1+M4427)</x:f>
        <x:v>0.03931785</x:v>
      </x:c>
      <x:c r="Q4427" s="30" t="n">
        <x:f>P4427*N4427</x:f>
        <x:v>0.4718142</x:v>
      </x:c>
      <x:c r="R4427" s="19" t="str">
        <x:v>独立判定</x:v>
      </x:c>
    </x:row>
    <x:row r="4428" ht="19" customHeight="1">
      <x:c r="A4428" s="19" t="str">
        <x:v>D04424</x:v>
      </x:c>
      <x:c r="B4428" s="19" t="n">
        <x:v>9</x:v>
      </x:c>
      <x:c r="C4428" s="19" t="n">
        <x:v>4</x:v>
      </x:c>
      <x:c r="D4428" s="19" t="str">
        <x:v>C09-M044</x:v>
      </x:c>
      <x:c r="E4428" s="19" t="str">
        <x:v>古神食香兽</x:v>
      </x:c>
      <x:c r="F4428" s="19" t="str">
        <x:v>稀有</x:v>
      </x:c>
      <x:c r="G4428" s="19" t="str">
        <x:v>材料独立候选</x:v>
      </x:c>
      <x:c r="H4428" s="19" t="str">
        <x:v>黄金叶脉</x:v>
      </x:c>
      <x:c r="I4428" s="22" t="n">
        <x:v>1000</x:v>
      </x:c>
      <x:c r="J4428" s="22" t="n">
        <x:v>15</x:v>
      </x:c>
      <x:c r="K4428" s="19" t="n">
        <x:v>1</x:v>
      </x:c>
      <x:c r="L4428" s="24" t="n">
        <x:v>71.487</x:v>
      </x:c>
      <x:c r="M4428" s="26" t="n">
        <x:v>0.1</x:v>
      </x:c>
      <x:c r="N4428" s="24" t="n">
        <x:v>12</x:v>
      </x:c>
      <x:c r="O4428" s="28" t="n">
        <x:f>MIN(1,L4428/I4428)</x:f>
        <x:v>0.071487</x:v>
      </x:c>
      <x:c r="P4428" s="30" t="n">
        <x:f>O4428*J4428*(1+M4428)</x:f>
        <x:v>1.1795354999999998</x:v>
      </x:c>
      <x:c r="Q4428" s="30" t="n">
        <x:f>P4428*N4428</x:f>
        <x:v>14.154425999999997</x:v>
      </x:c>
      <x:c r="R4428" s="19" t="str">
        <x:v>独立判定</x:v>
      </x:c>
    </x:row>
    <x:row r="4429" ht="19" customHeight="1">
      <x:c r="A4429" s="19" t="str">
        <x:v>D04425</x:v>
      </x:c>
      <x:c r="B4429" s="19" t="n">
        <x:v>9</x:v>
      </x:c>
      <x:c r="C4429" s="19" t="n">
        <x:v>4</x:v>
      </x:c>
      <x:c r="D4429" s="19" t="str">
        <x:v>C09-M044</x:v>
      </x:c>
      <x:c r="E4429" s="19" t="str">
        <x:v>古神食香兽</x:v>
      </x:c>
      <x:c r="F4429" s="19" t="str">
        <x:v>稀有</x:v>
      </x:c>
      <x:c r="G4429" s="19" t="str">
        <x:v>材料独立候选</x:v>
      </x:c>
      <x:c r="H4429" s="19" t="str">
        <x:v>古王律页</x:v>
      </x:c>
      <x:c r="I4429" s="22" t="n">
        <x:v>1200</x:v>
      </x:c>
      <x:c r="J4429" s="22" t="n">
        <x:v>1</x:v>
      </x:c>
      <x:c r="K4429" s="19" t="n">
        <x:v>1</x:v>
      </x:c>
      <x:c r="L4429" s="24" t="n">
        <x:v>71.487</x:v>
      </x:c>
      <x:c r="M4429" s="26" t="n">
        <x:v>0.1</x:v>
      </x:c>
      <x:c r="N4429" s="24" t="n">
        <x:v>12</x:v>
      </x:c>
      <x:c r="O4429" s="28" t="n">
        <x:f>MIN(1,L4429/I4429)</x:f>
        <x:v>0.059572499999999994</x:v>
      </x:c>
      <x:c r="P4429" s="30" t="n">
        <x:f>O4429*J4429*(1+M4429)</x:f>
        <x:v>0.06552975</x:v>
      </x:c>
      <x:c r="Q4429" s="30" t="n">
        <x:f>P4429*N4429</x:f>
        <x:v>0.786357</x:v>
      </x:c>
      <x:c r="R4429" s="19" t="str">
        <x:v>独立判定</x:v>
      </x:c>
    </x:row>
    <x:row r="4430" ht="19" customHeight="1">
      <x:c r="A4430" s="19" t="str">
        <x:v>D04426</x:v>
      </x:c>
      <x:c r="B4430" s="19" t="n">
        <x:v>9</x:v>
      </x:c>
      <x:c r="C4430" s="19" t="n">
        <x:v>4</x:v>
      </x:c>
      <x:c r="D4430" s="19" t="str">
        <x:v>C09-M044</x:v>
      </x:c>
      <x:c r="E4430" s="19" t="str">
        <x:v>古神食香兽</x:v>
      </x:c>
      <x:c r="F4430" s="19" t="str">
        <x:v>稀有</x:v>
      </x:c>
      <x:c r="G4430" s="19" t="str">
        <x:v>材料独立候选</x:v>
      </x:c>
      <x:c r="H4430" s="19" t="str">
        <x:v>矿脉灯芯</x:v>
      </x:c>
      <x:c r="I4430" s="22" t="n">
        <x:v>5000</x:v>
      </x:c>
      <x:c r="J4430" s="22" t="n">
        <x:v>1</x:v>
      </x:c>
      <x:c r="K4430" s="19" t="n">
        <x:v>1</x:v>
      </x:c>
      <x:c r="L4430" s="24" t="n">
        <x:v>71.487</x:v>
      </x:c>
      <x:c r="M4430" s="26" t="n">
        <x:v>0.1</x:v>
      </x:c>
      <x:c r="N4430" s="24" t="n">
        <x:v>12</x:v>
      </x:c>
      <x:c r="O4430" s="28" t="n">
        <x:f>MIN(1,L4430/I4430)</x:f>
        <x:v>0.014297399999999998</x:v>
      </x:c>
      <x:c r="P4430" s="30" t="n">
        <x:f>O4430*J4430*(1+M4430)</x:f>
        <x:v>0.01572714</x:v>
      </x:c>
      <x:c r="Q4430" s="30" t="n">
        <x:f>P4430*N4430</x:f>
        <x:v>0.18872568</x:v>
      </x:c>
      <x:c r="R4430" s="19" t="str">
        <x:v>独立判定</x:v>
      </x:c>
    </x:row>
    <x:row r="4431" ht="19" customHeight="1">
      <x:c r="A4431" s="19" t="str">
        <x:v>D04427</x:v>
      </x:c>
      <x:c r="B4431" s="19" t="n">
        <x:v>9</x:v>
      </x:c>
      <x:c r="C4431" s="19" t="n">
        <x:v>4</x:v>
      </x:c>
      <x:c r="D4431" s="19" t="str">
        <x:v>C09-M044</x:v>
      </x:c>
      <x:c r="E4431" s="19" t="str">
        <x:v>古神食香兽</x:v>
      </x:c>
      <x:c r="F4431" s="19" t="str">
        <x:v>稀有</x:v>
      </x:c>
      <x:c r="G4431" s="19" t="str">
        <x:v>材料独立候选</x:v>
      </x:c>
      <x:c r="H4431" s="19" t="str">
        <x:v>古坛鎏叶髓</x:v>
      </x:c>
      <x:c r="I4431" s="22" t="n">
        <x:v>2000000</x:v>
      </x:c>
      <x:c r="J4431" s="22" t="n">
        <x:v>1</x:v>
      </x:c>
      <x:c r="K4431" s="19" t="n">
        <x:v>1</x:v>
      </x:c>
      <x:c r="L4431" s="24" t="n">
        <x:v>71.487</x:v>
      </x:c>
      <x:c r="M4431" s="26" t="n">
        <x:v>0.1</x:v>
      </x:c>
      <x:c r="N4431" s="24" t="n">
        <x:v>12</x:v>
      </x:c>
      <x:c r="O4431" s="28" t="n">
        <x:f>MIN(1,L4431/I4431)</x:f>
        <x:v>0.000035743499999999994</x:v>
      </x:c>
      <x:c r="P4431" s="30" t="n">
        <x:f>O4431*J4431*(1+M4431)</x:f>
        <x:v>0.000039317849999999995</x:v>
      </x:c>
      <x:c r="Q4431" s="30" t="n">
        <x:f>P4431*N4431</x:f>
        <x:v>0.00047181419999999994</x:v>
      </x:c>
      <x:c r="R4431" s="19" t="str">
        <x:v>独立判定</x:v>
      </x:c>
    </x:row>
    <x:row r="4432" ht="19" customHeight="1">
      <x:c r="A4432" s="19" t="str">
        <x:v>D04428</x:v>
      </x:c>
      <x:c r="B4432" s="19" t="n">
        <x:v>9</x:v>
      </x:c>
      <x:c r="C4432" s="19" t="n">
        <x:v>4</x:v>
      </x:c>
      <x:c r="D4432" s="19" t="str">
        <x:v>C09-M044</x:v>
      </x:c>
      <x:c r="E4432" s="19" t="str">
        <x:v>古神食香兽</x:v>
      </x:c>
      <x:c r="F4432" s="19" t="str">
        <x:v>稀有</x:v>
      </x:c>
      <x:c r="G4432" s="19" t="str">
        <x:v>材料独立候选</x:v>
      </x:c>
      <x:c r="H4432" s="19" t="str">
        <x:v>黄金树芽</x:v>
      </x:c>
      <x:c r="I4432" s="22" t="n">
        <x:v>15000</x:v>
      </x:c>
      <x:c r="J4432" s="22" t="n">
        <x:v>1</x:v>
      </x:c>
      <x:c r="K4432" s="19" t="n">
        <x:v>1</x:v>
      </x:c>
      <x:c r="L4432" s="24" t="n">
        <x:v>71.487</x:v>
      </x:c>
      <x:c r="M4432" s="26" t="n">
        <x:v>0.1</x:v>
      </x:c>
      <x:c r="N4432" s="24" t="n">
        <x:v>12</x:v>
      </x:c>
      <x:c r="O4432" s="28" t="n">
        <x:f>MIN(1,L4432/I4432)</x:f>
        <x:v>0.0047658</x:v>
      </x:c>
      <x:c r="P4432" s="30" t="n">
        <x:f>O4432*J4432*(1+M4432)</x:f>
        <x:v>0.0052423800000000005</x:v>
      </x:c>
      <x:c r="Q4432" s="30" t="n">
        <x:f>P4432*N4432</x:f>
        <x:v>0.06290856</x:v>
      </x:c>
      <x:c r="R4432" s="19" t="str">
        <x:v>独立判定</x:v>
      </x:c>
    </x:row>
    <x:row r="4433" ht="19" customHeight="1">
      <x:c r="A4433" s="19" t="str">
        <x:v>D04429</x:v>
      </x:c>
      <x:c r="B4433" s="19" t="n">
        <x:v>9</x:v>
      </x:c>
      <x:c r="C4433" s="19" t="n">
        <x:v>4</x:v>
      </x:c>
      <x:c r="D4433" s="19" t="str">
        <x:v>C09-M044</x:v>
      </x:c>
      <x:c r="E4433" s="19" t="str">
        <x:v>古神食香兽</x:v>
      </x:c>
      <x:c r="F4433" s="19" t="str">
        <x:v>稀有</x:v>
      </x:c>
      <x:c r="G4433" s="19" t="str">
        <x:v>材料独立候选</x:v>
      </x:c>
      <x:c r="H4433" s="19" t="str">
        <x:v>野兽骨片</x:v>
      </x:c>
      <x:c r="I4433" s="22" t="n">
        <x:v>200</x:v>
      </x:c>
      <x:c r="J4433" s="22" t="n">
        <x:v>5</x:v>
      </x:c>
      <x:c r="K4433" s="19" t="n">
        <x:v>1</x:v>
      </x:c>
      <x:c r="L4433" s="24" t="n">
        <x:v>71.487</x:v>
      </x:c>
      <x:c r="M4433" s="26" t="n">
        <x:v>0.1</x:v>
      </x:c>
      <x:c r="N4433" s="24" t="n">
        <x:v>12</x:v>
      </x:c>
      <x:c r="O4433" s="28" t="n">
        <x:f>MIN(1,L4433/I4433)</x:f>
        <x:v>0.35743499999999995</x:v>
      </x:c>
      <x:c r="P4433" s="30" t="n">
        <x:f>O4433*J4433*(1+M4433)</x:f>
        <x:v>1.9658924999999998</x:v>
      </x:c>
      <x:c r="Q4433" s="30" t="n">
        <x:f>P4433*N4433</x:f>
        <x:v>23.590709999999998</x:v>
      </x:c>
      <x:c r="R4433" s="19" t="str">
        <x:v>独立判定</x:v>
      </x:c>
    </x:row>
    <x:row r="4434" ht="19" customHeight="1">
      <x:c r="A4434" s="19" t="str">
        <x:v>D04430</x:v>
      </x:c>
      <x:c r="B4434" s="19" t="n">
        <x:v>9</x:v>
      </x:c>
      <x:c r="C4434" s="19" t="n">
        <x:v>4</x:v>
      </x:c>
      <x:c r="D4434" s="19" t="str">
        <x:v>C09-M044</x:v>
      </x:c>
      <x:c r="E4434" s="19" t="str">
        <x:v>古神食香兽</x:v>
      </x:c>
      <x:c r="F4434" s="19" t="str">
        <x:v>稀有</x:v>
      </x:c>
      <x:c r="G4434" s="19" t="str">
        <x:v>材料独立候选</x:v>
      </x:c>
      <x:c r="H4434" s="19" t="str">
        <x:v>技能残页</x:v>
      </x:c>
      <x:c r="I4434" s="22" t="n">
        <x:v>2000</x:v>
      </x:c>
      <x:c r="J4434" s="22" t="n">
        <x:v>1</x:v>
      </x:c>
      <x:c r="K4434" s="19" t="n">
        <x:v>1</x:v>
      </x:c>
      <x:c r="L4434" s="24" t="n">
        <x:v>71.487</x:v>
      </x:c>
      <x:c r="M4434" s="26" t="n">
        <x:v>0.1</x:v>
      </x:c>
      <x:c r="N4434" s="24" t="n">
        <x:v>12</x:v>
      </x:c>
      <x:c r="O4434" s="28" t="n">
        <x:f>MIN(1,L4434/I4434)</x:f>
        <x:v>0.0357435</x:v>
      </x:c>
      <x:c r="P4434" s="30" t="n">
        <x:f>O4434*J4434*(1+M4434)</x:f>
        <x:v>0.03931785</x:v>
      </x:c>
      <x:c r="Q4434" s="30" t="n">
        <x:f>P4434*N4434</x:f>
        <x:v>0.4718142</x:v>
      </x:c>
      <x:c r="R4434" s="19" t="str">
        <x:v>独立判定</x:v>
      </x:c>
    </x:row>
    <x:row r="4435" ht="19" customHeight="1">
      <x:c r="A4435" s="19" t="str">
        <x:v>D04431</x:v>
      </x:c>
      <x:c r="B4435" s="19" t="n">
        <x:v>9</x:v>
      </x:c>
      <x:c r="C4435" s="19" t="n">
        <x:v>4</x:v>
      </x:c>
      <x:c r="D4435" s="19" t="str">
        <x:v>C09-M044</x:v>
      </x:c>
      <x:c r="E4435" s="19" t="str">
        <x:v>古神食香兽</x:v>
      </x:c>
      <x:c r="F4435" s="19" t="str">
        <x:v>稀有</x:v>
      </x:c>
      <x:c r="G4435" s="19" t="str">
        <x:v>材料独立候选</x:v>
      </x:c>
      <x:c r="H4435" s="19" t="str">
        <x:v>小卢恩</x:v>
      </x:c>
      <x:c r="I4435" s="22" t="n">
        <x:v>12000</x:v>
      </x:c>
      <x:c r="J4435" s="22" t="n">
        <x:v>1</x:v>
      </x:c>
      <x:c r="K4435" s="19" t="n">
        <x:v>1</x:v>
      </x:c>
      <x:c r="L4435" s="24" t="n">
        <x:v>71.487</x:v>
      </x:c>
      <x:c r="M4435" s="26" t="n">
        <x:v>0.1</x:v>
      </x:c>
      <x:c r="N4435" s="24" t="n">
        <x:v>12</x:v>
      </x:c>
      <x:c r="O4435" s="28" t="n">
        <x:f>MIN(1,L4435/I4435)</x:f>
        <x:v>0.00595725</x:v>
      </x:c>
      <x:c r="P4435" s="30" t="n">
        <x:f>O4435*J4435*(1+M4435)</x:f>
        <x:v>0.006552975000000001</x:v>
      </x:c>
      <x:c r="Q4435" s="30" t="n">
        <x:f>P4435*N4435</x:f>
        <x:v>0.0786357</x:v>
      </x:c>
      <x:c r="R4435" s="19" t="str">
        <x:v>独立判定</x:v>
      </x:c>
    </x:row>
    <x:row r="4436" ht="19" customHeight="1">
      <x:c r="A4436" s="19" t="str">
        <x:v>D04432</x:v>
      </x:c>
      <x:c r="B4436" s="19" t="n">
        <x:v>9</x:v>
      </x:c>
      <x:c r="C4436" s="19" t="n">
        <x:v>4</x:v>
      </x:c>
      <x:c r="D4436" s="19" t="str">
        <x:v>C09-M044</x:v>
      </x:c>
      <x:c r="E4436" s="19" t="str">
        <x:v>古神食香兽</x:v>
      </x:c>
      <x:c r="F4436" s="19" t="str">
        <x:v>稀有</x:v>
      </x:c>
      <x:c r="G4436" s="19" t="str">
        <x:v>六神器公共池</x:v>
      </x:c>
      <x:c r="H4436" s="19" t="str">
        <x:v>POOL006</x:v>
      </x:c>
      <x:c r="I4436" s="22" t="n">
        <x:v>5000000</x:v>
      </x:c>
      <x:c r="J4436" s="22" t="n">
        <x:v>1</x:v>
      </x:c>
      <x:c r="K4436" s="19" t="n">
        <x:v>6</x:v>
      </x:c>
      <x:c r="L4436" s="24" t="n">
        <x:v>71.487</x:v>
      </x:c>
      <x:c r="M4436" s="26" t="n">
        <x:v>0.1</x:v>
      </x:c>
      <x:c r="N4436" s="24" t="n">
        <x:v>12</x:v>
      </x:c>
      <x:c r="O4436" s="28" t="n">
        <x:f>MIN(1,L4436/I4436)</x:f>
        <x:v>0.0000142974</x:v>
      </x:c>
      <x:c r="P4436" s="30" t="n">
        <x:f>O4436*J4436*(1+M4436)</x:f>
        <x:v>0.00001572714</x:v>
      </x:c>
      <x:c r="Q4436" s="30" t="n">
        <x:f>P4436*N4436</x:f>
        <x:v>0.00018872567999999999</x:v>
      </x:c>
      <x:c r="R4436" s="19" t="str">
        <x:v>六选一；非6个独立爆率</x:v>
      </x:c>
    </x:row>
    <x:row r="4437" ht="19" customHeight="1">
      <x:c r="A4437" s="19" t="str">
        <x:v>D04433</x:v>
      </x:c>
      <x:c r="B4437" s="19" t="n">
        <x:v>9</x:v>
      </x:c>
      <x:c r="C4437" s="19" t="n">
        <x:v>4</x:v>
      </x:c>
      <x:c r="D4437" s="19" t="str">
        <x:v>C09-M045</x:v>
      </x:c>
      <x:c r="E4437" s="19" t="str">
        <x:v>内殿无声司铎</x:v>
      </x:c>
      <x:c r="F4437" s="19" t="str">
        <x:v>稀有</x:v>
      </x:c>
      <x:c r="G4437" s="19" t="str">
        <x:v>自身专属</x:v>
      </x:c>
      <x:c r="H4437" s="19" t="str">
        <x:v>无声司铎笠</x:v>
      </x:c>
      <x:c r="I4437" s="22" t="n">
        <x:v>2000</x:v>
      </x:c>
      <x:c r="J4437" s="22" t="n">
        <x:v>1</x:v>
      </x:c>
      <x:c r="K4437" s="19" t="n">
        <x:v>1</x:v>
      </x:c>
      <x:c r="L4437" s="24" t="n">
        <x:v>71.487</x:v>
      </x:c>
      <x:c r="M4437" s="26" t="n">
        <x:v>0.1</x:v>
      </x:c>
      <x:c r="N4437" s="24" t="n">
        <x:v>12</x:v>
      </x:c>
      <x:c r="O4437" s="28" t="n">
        <x:f>MIN(1,L4437/I4437)</x:f>
        <x:v>0.0357435</x:v>
      </x:c>
      <x:c r="P4437" s="30" t="n">
        <x:f>O4437*J4437*(1+M4437)</x:f>
        <x:v>0.03931785</x:v>
      </x:c>
      <x:c r="Q4437" s="30" t="n">
        <x:f>P4437*N4437</x:f>
        <x:v>0.4718142</x:v>
      </x:c>
      <x:c r="R4437" s="19" t="str">
        <x:v>独立判定</x:v>
      </x:c>
    </x:row>
    <x:row r="4438" ht="19" customHeight="1">
      <x:c r="A4438" s="19" t="str">
        <x:v>D04434</x:v>
      </x:c>
      <x:c r="B4438" s="19" t="n">
        <x:v>9</x:v>
      </x:c>
      <x:c r="C4438" s="19" t="n">
        <x:v>4</x:v>
      </x:c>
      <x:c r="D4438" s="19" t="str">
        <x:v>C09-M045</x:v>
      </x:c>
      <x:c r="E4438" s="19" t="str">
        <x:v>内殿无声司铎</x:v>
      </x:c>
      <x:c r="F4438" s="19" t="str">
        <x:v>稀有</x:v>
      </x:c>
      <x:c r="G4438" s="19" t="str">
        <x:v>材料独立候选</x:v>
      </x:c>
      <x:c r="H4438" s="19" t="str">
        <x:v>黄金叶脉</x:v>
      </x:c>
      <x:c r="I4438" s="22" t="n">
        <x:v>1000</x:v>
      </x:c>
      <x:c r="J4438" s="22" t="n">
        <x:v>15</x:v>
      </x:c>
      <x:c r="K4438" s="19" t="n">
        <x:v>1</x:v>
      </x:c>
      <x:c r="L4438" s="24" t="n">
        <x:v>71.487</x:v>
      </x:c>
      <x:c r="M4438" s="26" t="n">
        <x:v>0.1</x:v>
      </x:c>
      <x:c r="N4438" s="24" t="n">
        <x:v>12</x:v>
      </x:c>
      <x:c r="O4438" s="28" t="n">
        <x:f>MIN(1,L4438/I4438)</x:f>
        <x:v>0.071487</x:v>
      </x:c>
      <x:c r="P4438" s="30" t="n">
        <x:f>O4438*J4438*(1+M4438)</x:f>
        <x:v>1.1795354999999998</x:v>
      </x:c>
      <x:c r="Q4438" s="30" t="n">
        <x:f>P4438*N4438</x:f>
        <x:v>14.154425999999997</x:v>
      </x:c>
      <x:c r="R4438" s="19" t="str">
        <x:v>独立判定</x:v>
      </x:c>
    </x:row>
    <x:row r="4439" ht="19" customHeight="1">
      <x:c r="A4439" s="19" t="str">
        <x:v>D04435</x:v>
      </x:c>
      <x:c r="B4439" s="19" t="n">
        <x:v>9</x:v>
      </x:c>
      <x:c r="C4439" s="19" t="n">
        <x:v>4</x:v>
      </x:c>
      <x:c r="D4439" s="19" t="str">
        <x:v>C09-M045</x:v>
      </x:c>
      <x:c r="E4439" s="19" t="str">
        <x:v>内殿无声司铎</x:v>
      </x:c>
      <x:c r="F4439" s="19" t="str">
        <x:v>稀有</x:v>
      </x:c>
      <x:c r="G4439" s="19" t="str">
        <x:v>材料独立候选</x:v>
      </x:c>
      <x:c r="H4439" s="19" t="str">
        <x:v>古王律页</x:v>
      </x:c>
      <x:c r="I4439" s="22" t="n">
        <x:v>1200</x:v>
      </x:c>
      <x:c r="J4439" s="22" t="n">
        <x:v>1</x:v>
      </x:c>
      <x:c r="K4439" s="19" t="n">
        <x:v>1</x:v>
      </x:c>
      <x:c r="L4439" s="24" t="n">
        <x:v>71.487</x:v>
      </x:c>
      <x:c r="M4439" s="26" t="n">
        <x:v>0.1</x:v>
      </x:c>
      <x:c r="N4439" s="24" t="n">
        <x:v>12</x:v>
      </x:c>
      <x:c r="O4439" s="28" t="n">
        <x:f>MIN(1,L4439/I4439)</x:f>
        <x:v>0.059572499999999994</x:v>
      </x:c>
      <x:c r="P4439" s="30" t="n">
        <x:f>O4439*J4439*(1+M4439)</x:f>
        <x:v>0.06552975</x:v>
      </x:c>
      <x:c r="Q4439" s="30" t="n">
        <x:f>P4439*N4439</x:f>
        <x:v>0.786357</x:v>
      </x:c>
      <x:c r="R4439" s="19" t="str">
        <x:v>独立判定</x:v>
      </x:c>
    </x:row>
    <x:row r="4440" ht="19" customHeight="1">
      <x:c r="A4440" s="19" t="str">
        <x:v>D04436</x:v>
      </x:c>
      <x:c r="B4440" s="19" t="n">
        <x:v>9</x:v>
      </x:c>
      <x:c r="C4440" s="19" t="n">
        <x:v>4</x:v>
      </x:c>
      <x:c r="D4440" s="19" t="str">
        <x:v>C09-M045</x:v>
      </x:c>
      <x:c r="E4440" s="19" t="str">
        <x:v>内殿无声司铎</x:v>
      </x:c>
      <x:c r="F4440" s="19" t="str">
        <x:v>稀有</x:v>
      </x:c>
      <x:c r="G4440" s="19" t="str">
        <x:v>材料独立候选</x:v>
      </x:c>
      <x:c r="H4440" s="19" t="str">
        <x:v>矿脉灯芯</x:v>
      </x:c>
      <x:c r="I4440" s="22" t="n">
        <x:v>5000</x:v>
      </x:c>
      <x:c r="J4440" s="22" t="n">
        <x:v>1</x:v>
      </x:c>
      <x:c r="K4440" s="19" t="n">
        <x:v>1</x:v>
      </x:c>
      <x:c r="L4440" s="24" t="n">
        <x:v>71.487</x:v>
      </x:c>
      <x:c r="M4440" s="26" t="n">
        <x:v>0.1</x:v>
      </x:c>
      <x:c r="N4440" s="24" t="n">
        <x:v>12</x:v>
      </x:c>
      <x:c r="O4440" s="28" t="n">
        <x:f>MIN(1,L4440/I4440)</x:f>
        <x:v>0.014297399999999998</x:v>
      </x:c>
      <x:c r="P4440" s="30" t="n">
        <x:f>O4440*J4440*(1+M4440)</x:f>
        <x:v>0.01572714</x:v>
      </x:c>
      <x:c r="Q4440" s="30" t="n">
        <x:f>P4440*N4440</x:f>
        <x:v>0.18872568</x:v>
      </x:c>
      <x:c r="R4440" s="19" t="str">
        <x:v>独立判定</x:v>
      </x:c>
    </x:row>
    <x:row r="4441" ht="19" customHeight="1">
      <x:c r="A4441" s="19" t="str">
        <x:v>D04437</x:v>
      </x:c>
      <x:c r="B4441" s="19" t="n">
        <x:v>9</x:v>
      </x:c>
      <x:c r="C4441" s="19" t="n">
        <x:v>4</x:v>
      </x:c>
      <x:c r="D4441" s="19" t="str">
        <x:v>C09-M045</x:v>
      </x:c>
      <x:c r="E4441" s="19" t="str">
        <x:v>内殿无声司铎</x:v>
      </x:c>
      <x:c r="F4441" s="19" t="str">
        <x:v>稀有</x:v>
      </x:c>
      <x:c r="G4441" s="19" t="str">
        <x:v>材料独立候选</x:v>
      </x:c>
      <x:c r="H4441" s="19" t="str">
        <x:v>古坛鎏叶髓</x:v>
      </x:c>
      <x:c r="I4441" s="22" t="n">
        <x:v>2000000</x:v>
      </x:c>
      <x:c r="J4441" s="22" t="n">
        <x:v>1</x:v>
      </x:c>
      <x:c r="K4441" s="19" t="n">
        <x:v>1</x:v>
      </x:c>
      <x:c r="L4441" s="24" t="n">
        <x:v>71.487</x:v>
      </x:c>
      <x:c r="M4441" s="26" t="n">
        <x:v>0.1</x:v>
      </x:c>
      <x:c r="N4441" s="24" t="n">
        <x:v>12</x:v>
      </x:c>
      <x:c r="O4441" s="28" t="n">
        <x:f>MIN(1,L4441/I4441)</x:f>
        <x:v>0.000035743499999999994</x:v>
      </x:c>
      <x:c r="P4441" s="30" t="n">
        <x:f>O4441*J4441*(1+M4441)</x:f>
        <x:v>0.000039317849999999995</x:v>
      </x:c>
      <x:c r="Q4441" s="30" t="n">
        <x:f>P4441*N4441</x:f>
        <x:v>0.00047181419999999994</x:v>
      </x:c>
      <x:c r="R4441" s="19" t="str">
        <x:v>独立判定</x:v>
      </x:c>
    </x:row>
    <x:row r="4442" ht="19" customHeight="1">
      <x:c r="A4442" s="19" t="str">
        <x:v>D04438</x:v>
      </x:c>
      <x:c r="B4442" s="19" t="n">
        <x:v>9</x:v>
      </x:c>
      <x:c r="C4442" s="19" t="n">
        <x:v>4</x:v>
      </x:c>
      <x:c r="D4442" s="19" t="str">
        <x:v>C09-M045</x:v>
      </x:c>
      <x:c r="E4442" s="19" t="str">
        <x:v>内殿无声司铎</x:v>
      </x:c>
      <x:c r="F4442" s="19" t="str">
        <x:v>稀有</x:v>
      </x:c>
      <x:c r="G4442" s="19" t="str">
        <x:v>材料独立候选</x:v>
      </x:c>
      <x:c r="H4442" s="19" t="str">
        <x:v>黄金树芽</x:v>
      </x:c>
      <x:c r="I4442" s="22" t="n">
        <x:v>15000</x:v>
      </x:c>
      <x:c r="J4442" s="22" t="n">
        <x:v>1</x:v>
      </x:c>
      <x:c r="K4442" s="19" t="n">
        <x:v>1</x:v>
      </x:c>
      <x:c r="L4442" s="24" t="n">
        <x:v>71.487</x:v>
      </x:c>
      <x:c r="M4442" s="26" t="n">
        <x:v>0.1</x:v>
      </x:c>
      <x:c r="N4442" s="24" t="n">
        <x:v>12</x:v>
      </x:c>
      <x:c r="O4442" s="28" t="n">
        <x:f>MIN(1,L4442/I4442)</x:f>
        <x:v>0.0047658</x:v>
      </x:c>
      <x:c r="P4442" s="30" t="n">
        <x:f>O4442*J4442*(1+M4442)</x:f>
        <x:v>0.0052423800000000005</x:v>
      </x:c>
      <x:c r="Q4442" s="30" t="n">
        <x:f>P4442*N4442</x:f>
        <x:v>0.06290856</x:v>
      </x:c>
      <x:c r="R4442" s="19" t="str">
        <x:v>独立判定</x:v>
      </x:c>
    </x:row>
    <x:row r="4443" ht="19" customHeight="1">
      <x:c r="A4443" s="19" t="str">
        <x:v>D04439</x:v>
      </x:c>
      <x:c r="B4443" s="19" t="n">
        <x:v>9</x:v>
      </x:c>
      <x:c r="C4443" s="19" t="n">
        <x:v>4</x:v>
      </x:c>
      <x:c r="D4443" s="19" t="str">
        <x:v>C09-M045</x:v>
      </x:c>
      <x:c r="E4443" s="19" t="str">
        <x:v>内殿无声司铎</x:v>
      </x:c>
      <x:c r="F4443" s="19" t="str">
        <x:v>稀有</x:v>
      </x:c>
      <x:c r="G4443" s="19" t="str">
        <x:v>材料独立候选</x:v>
      </x:c>
      <x:c r="H4443" s="19" t="str">
        <x:v>野兽骨片</x:v>
      </x:c>
      <x:c r="I4443" s="22" t="n">
        <x:v>200</x:v>
      </x:c>
      <x:c r="J4443" s="22" t="n">
        <x:v>5</x:v>
      </x:c>
      <x:c r="K4443" s="19" t="n">
        <x:v>1</x:v>
      </x:c>
      <x:c r="L4443" s="24" t="n">
        <x:v>71.487</x:v>
      </x:c>
      <x:c r="M4443" s="26" t="n">
        <x:v>0.1</x:v>
      </x:c>
      <x:c r="N4443" s="24" t="n">
        <x:v>12</x:v>
      </x:c>
      <x:c r="O4443" s="28" t="n">
        <x:f>MIN(1,L4443/I4443)</x:f>
        <x:v>0.35743499999999995</x:v>
      </x:c>
      <x:c r="P4443" s="30" t="n">
        <x:f>O4443*J4443*(1+M4443)</x:f>
        <x:v>1.9658924999999998</x:v>
      </x:c>
      <x:c r="Q4443" s="30" t="n">
        <x:f>P4443*N4443</x:f>
        <x:v>23.590709999999998</x:v>
      </x:c>
      <x:c r="R4443" s="19" t="str">
        <x:v>独立判定</x:v>
      </x:c>
    </x:row>
    <x:row r="4444" ht="19" customHeight="1">
      <x:c r="A4444" s="19" t="str">
        <x:v>D04440</x:v>
      </x:c>
      <x:c r="B4444" s="19" t="n">
        <x:v>9</x:v>
      </x:c>
      <x:c r="C4444" s="19" t="n">
        <x:v>4</x:v>
      </x:c>
      <x:c r="D4444" s="19" t="str">
        <x:v>C09-M045</x:v>
      </x:c>
      <x:c r="E4444" s="19" t="str">
        <x:v>内殿无声司铎</x:v>
      </x:c>
      <x:c r="F4444" s="19" t="str">
        <x:v>稀有</x:v>
      </x:c>
      <x:c r="G4444" s="19" t="str">
        <x:v>材料独立候选</x:v>
      </x:c>
      <x:c r="H4444" s="19" t="str">
        <x:v>技能残页</x:v>
      </x:c>
      <x:c r="I4444" s="22" t="n">
        <x:v>2000</x:v>
      </x:c>
      <x:c r="J4444" s="22" t="n">
        <x:v>1</x:v>
      </x:c>
      <x:c r="K4444" s="19" t="n">
        <x:v>1</x:v>
      </x:c>
      <x:c r="L4444" s="24" t="n">
        <x:v>71.487</x:v>
      </x:c>
      <x:c r="M4444" s="26" t="n">
        <x:v>0.1</x:v>
      </x:c>
      <x:c r="N4444" s="24" t="n">
        <x:v>12</x:v>
      </x:c>
      <x:c r="O4444" s="28" t="n">
        <x:f>MIN(1,L4444/I4444)</x:f>
        <x:v>0.0357435</x:v>
      </x:c>
      <x:c r="P4444" s="30" t="n">
        <x:f>O4444*J4444*(1+M4444)</x:f>
        <x:v>0.03931785</x:v>
      </x:c>
      <x:c r="Q4444" s="30" t="n">
        <x:f>P4444*N4444</x:f>
        <x:v>0.4718142</x:v>
      </x:c>
      <x:c r="R4444" s="19" t="str">
        <x:v>独立判定</x:v>
      </x:c>
    </x:row>
    <x:row r="4445" ht="19" customHeight="1">
      <x:c r="A4445" s="19" t="str">
        <x:v>D04441</x:v>
      </x:c>
      <x:c r="B4445" s="19" t="n">
        <x:v>9</x:v>
      </x:c>
      <x:c r="C4445" s="19" t="n">
        <x:v>4</x:v>
      </x:c>
      <x:c r="D4445" s="19" t="str">
        <x:v>C09-M045</x:v>
      </x:c>
      <x:c r="E4445" s="19" t="str">
        <x:v>内殿无声司铎</x:v>
      </x:c>
      <x:c r="F4445" s="19" t="str">
        <x:v>稀有</x:v>
      </x:c>
      <x:c r="G4445" s="19" t="str">
        <x:v>材料独立候选</x:v>
      </x:c>
      <x:c r="H4445" s="19" t="str">
        <x:v>小卢恩</x:v>
      </x:c>
      <x:c r="I4445" s="22" t="n">
        <x:v>12000</x:v>
      </x:c>
      <x:c r="J4445" s="22" t="n">
        <x:v>1</x:v>
      </x:c>
      <x:c r="K4445" s="19" t="n">
        <x:v>1</x:v>
      </x:c>
      <x:c r="L4445" s="24" t="n">
        <x:v>71.487</x:v>
      </x:c>
      <x:c r="M4445" s="26" t="n">
        <x:v>0.1</x:v>
      </x:c>
      <x:c r="N4445" s="24" t="n">
        <x:v>12</x:v>
      </x:c>
      <x:c r="O4445" s="28" t="n">
        <x:f>MIN(1,L4445/I4445)</x:f>
        <x:v>0.00595725</x:v>
      </x:c>
      <x:c r="P4445" s="30" t="n">
        <x:f>O4445*J4445*(1+M4445)</x:f>
        <x:v>0.006552975000000001</x:v>
      </x:c>
      <x:c r="Q4445" s="30" t="n">
        <x:f>P4445*N4445</x:f>
        <x:v>0.0786357</x:v>
      </x:c>
      <x:c r="R4445" s="19" t="str">
        <x:v>独立判定</x:v>
      </x:c>
    </x:row>
    <x:row r="4446" ht="19" customHeight="1">
      <x:c r="A4446" s="19" t="str">
        <x:v>D04442</x:v>
      </x:c>
      <x:c r="B4446" s="19" t="n">
        <x:v>9</x:v>
      </x:c>
      <x:c r="C4446" s="19" t="n">
        <x:v>4</x:v>
      </x:c>
      <x:c r="D4446" s="19" t="str">
        <x:v>C09-M045</x:v>
      </x:c>
      <x:c r="E4446" s="19" t="str">
        <x:v>内殿无声司铎</x:v>
      </x:c>
      <x:c r="F4446" s="19" t="str">
        <x:v>稀有</x:v>
      </x:c>
      <x:c r="G4446" s="19" t="str">
        <x:v>六神器公共池</x:v>
      </x:c>
      <x:c r="H4446" s="19" t="str">
        <x:v>POOL006</x:v>
      </x:c>
      <x:c r="I4446" s="22" t="n">
        <x:v>5000000</x:v>
      </x:c>
      <x:c r="J4446" s="22" t="n">
        <x:v>1</x:v>
      </x:c>
      <x:c r="K4446" s="19" t="n">
        <x:v>6</x:v>
      </x:c>
      <x:c r="L4446" s="24" t="n">
        <x:v>71.487</x:v>
      </x:c>
      <x:c r="M4446" s="26" t="n">
        <x:v>0.1</x:v>
      </x:c>
      <x:c r="N4446" s="24" t="n">
        <x:v>12</x:v>
      </x:c>
      <x:c r="O4446" s="28" t="n">
        <x:f>MIN(1,L4446/I4446)</x:f>
        <x:v>0.0000142974</x:v>
      </x:c>
      <x:c r="P4446" s="30" t="n">
        <x:f>O4446*J4446*(1+M4446)</x:f>
        <x:v>0.00001572714</x:v>
      </x:c>
      <x:c r="Q4446" s="30" t="n">
        <x:f>P4446*N4446</x:f>
        <x:v>0.00018872567999999999</x:v>
      </x:c>
      <x:c r="R4446" s="19" t="str">
        <x:v>六选一；非6个独立爆率</x:v>
      </x:c>
    </x:row>
    <x:row r="4447" ht="19" customHeight="1">
      <x:c r="A4447" s="19" t="str">
        <x:v>D04443</x:v>
      </x:c>
      <x:c r="B4447" s="19" t="n">
        <x:v>9</x:v>
      </x:c>
      <x:c r="C4447" s="19" t="n">
        <x:v>4</x:v>
      </x:c>
      <x:c r="D4447" s="19" t="str">
        <x:v>C09-M046</x:v>
      </x:c>
      <x:c r="E4447" s="19" t="str">
        <x:v>圣坛逐光姬</x:v>
      </x:c>
      <x:c r="F4447" s="19" t="str">
        <x:v>稀有</x:v>
      </x:c>
      <x:c r="G4447" s="19" t="str">
        <x:v>自身专属</x:v>
      </x:c>
      <x:c r="H4447" s="19" t="str">
        <x:v>逐光姬曜戒</x:v>
      </x:c>
      <x:c r="I4447" s="22" t="n">
        <x:v>2000</x:v>
      </x:c>
      <x:c r="J4447" s="22" t="n">
        <x:v>1</x:v>
      </x:c>
      <x:c r="K4447" s="19" t="n">
        <x:v>1</x:v>
      </x:c>
      <x:c r="L4447" s="24" t="n">
        <x:v>71.487</x:v>
      </x:c>
      <x:c r="M4447" s="26" t="n">
        <x:v>0.1</x:v>
      </x:c>
      <x:c r="N4447" s="24" t="n">
        <x:v>12</x:v>
      </x:c>
      <x:c r="O4447" s="28" t="n">
        <x:f>MIN(1,L4447/I4447)</x:f>
        <x:v>0.0357435</x:v>
      </x:c>
      <x:c r="P4447" s="30" t="n">
        <x:f>O4447*J4447*(1+M4447)</x:f>
        <x:v>0.03931785</x:v>
      </x:c>
      <x:c r="Q4447" s="30" t="n">
        <x:f>P4447*N4447</x:f>
        <x:v>0.4718142</x:v>
      </x:c>
      <x:c r="R4447" s="19" t="str">
        <x:v>独立判定</x:v>
      </x:c>
    </x:row>
    <x:row r="4448" ht="19" customHeight="1">
      <x:c r="A4448" s="19" t="str">
        <x:v>D04444</x:v>
      </x:c>
      <x:c r="B4448" s="19" t="n">
        <x:v>9</x:v>
      </x:c>
      <x:c r="C4448" s="19" t="n">
        <x:v>4</x:v>
      </x:c>
      <x:c r="D4448" s="19" t="str">
        <x:v>C09-M046</x:v>
      </x:c>
      <x:c r="E4448" s="19" t="str">
        <x:v>圣坛逐光姬</x:v>
      </x:c>
      <x:c r="F4448" s="19" t="str">
        <x:v>稀有</x:v>
      </x:c>
      <x:c r="G4448" s="19" t="str">
        <x:v>材料独立候选</x:v>
      </x:c>
      <x:c r="H4448" s="19" t="str">
        <x:v>黄金叶脉</x:v>
      </x:c>
      <x:c r="I4448" s="22" t="n">
        <x:v>1000</x:v>
      </x:c>
      <x:c r="J4448" s="22" t="n">
        <x:v>15</x:v>
      </x:c>
      <x:c r="K4448" s="19" t="n">
        <x:v>1</x:v>
      </x:c>
      <x:c r="L4448" s="24" t="n">
        <x:v>71.487</x:v>
      </x:c>
      <x:c r="M4448" s="26" t="n">
        <x:v>0.1</x:v>
      </x:c>
      <x:c r="N4448" s="24" t="n">
        <x:v>12</x:v>
      </x:c>
      <x:c r="O4448" s="28" t="n">
        <x:f>MIN(1,L4448/I4448)</x:f>
        <x:v>0.071487</x:v>
      </x:c>
      <x:c r="P4448" s="30" t="n">
        <x:f>O4448*J4448*(1+M4448)</x:f>
        <x:v>1.1795354999999998</x:v>
      </x:c>
      <x:c r="Q4448" s="30" t="n">
        <x:f>P4448*N4448</x:f>
        <x:v>14.154425999999997</x:v>
      </x:c>
      <x:c r="R4448" s="19" t="str">
        <x:v>独立判定</x:v>
      </x:c>
    </x:row>
    <x:row r="4449" ht="19" customHeight="1">
      <x:c r="A4449" s="19" t="str">
        <x:v>D04445</x:v>
      </x:c>
      <x:c r="B4449" s="19" t="n">
        <x:v>9</x:v>
      </x:c>
      <x:c r="C4449" s="19" t="n">
        <x:v>4</x:v>
      </x:c>
      <x:c r="D4449" s="19" t="str">
        <x:v>C09-M046</x:v>
      </x:c>
      <x:c r="E4449" s="19" t="str">
        <x:v>圣坛逐光姬</x:v>
      </x:c>
      <x:c r="F4449" s="19" t="str">
        <x:v>稀有</x:v>
      </x:c>
      <x:c r="G4449" s="19" t="str">
        <x:v>材料独立候选</x:v>
      </x:c>
      <x:c r="H4449" s="19" t="str">
        <x:v>古王律页</x:v>
      </x:c>
      <x:c r="I4449" s="22" t="n">
        <x:v>1200</x:v>
      </x:c>
      <x:c r="J4449" s="22" t="n">
        <x:v>1</x:v>
      </x:c>
      <x:c r="K4449" s="19" t="n">
        <x:v>1</x:v>
      </x:c>
      <x:c r="L4449" s="24" t="n">
        <x:v>71.487</x:v>
      </x:c>
      <x:c r="M4449" s="26" t="n">
        <x:v>0.1</x:v>
      </x:c>
      <x:c r="N4449" s="24" t="n">
        <x:v>12</x:v>
      </x:c>
      <x:c r="O4449" s="28" t="n">
        <x:f>MIN(1,L4449/I4449)</x:f>
        <x:v>0.059572499999999994</x:v>
      </x:c>
      <x:c r="P4449" s="30" t="n">
        <x:f>O4449*J4449*(1+M4449)</x:f>
        <x:v>0.06552975</x:v>
      </x:c>
      <x:c r="Q4449" s="30" t="n">
        <x:f>P4449*N4449</x:f>
        <x:v>0.786357</x:v>
      </x:c>
      <x:c r="R4449" s="19" t="str">
        <x:v>独立判定</x:v>
      </x:c>
    </x:row>
    <x:row r="4450" ht="19" customHeight="1">
      <x:c r="A4450" s="19" t="str">
        <x:v>D04446</x:v>
      </x:c>
      <x:c r="B4450" s="19" t="n">
        <x:v>9</x:v>
      </x:c>
      <x:c r="C4450" s="19" t="n">
        <x:v>4</x:v>
      </x:c>
      <x:c r="D4450" s="19" t="str">
        <x:v>C09-M046</x:v>
      </x:c>
      <x:c r="E4450" s="19" t="str">
        <x:v>圣坛逐光姬</x:v>
      </x:c>
      <x:c r="F4450" s="19" t="str">
        <x:v>稀有</x:v>
      </x:c>
      <x:c r="G4450" s="19" t="str">
        <x:v>材料独立候选</x:v>
      </x:c>
      <x:c r="H4450" s="19" t="str">
        <x:v>矿脉灯芯</x:v>
      </x:c>
      <x:c r="I4450" s="22" t="n">
        <x:v>5000</x:v>
      </x:c>
      <x:c r="J4450" s="22" t="n">
        <x:v>1</x:v>
      </x:c>
      <x:c r="K4450" s="19" t="n">
        <x:v>1</x:v>
      </x:c>
      <x:c r="L4450" s="24" t="n">
        <x:v>71.487</x:v>
      </x:c>
      <x:c r="M4450" s="26" t="n">
        <x:v>0.1</x:v>
      </x:c>
      <x:c r="N4450" s="24" t="n">
        <x:v>12</x:v>
      </x:c>
      <x:c r="O4450" s="28" t="n">
        <x:f>MIN(1,L4450/I4450)</x:f>
        <x:v>0.014297399999999998</x:v>
      </x:c>
      <x:c r="P4450" s="30" t="n">
        <x:f>O4450*J4450*(1+M4450)</x:f>
        <x:v>0.01572714</x:v>
      </x:c>
      <x:c r="Q4450" s="30" t="n">
        <x:f>P4450*N4450</x:f>
        <x:v>0.18872568</x:v>
      </x:c>
      <x:c r="R4450" s="19" t="str">
        <x:v>独立判定</x:v>
      </x:c>
    </x:row>
    <x:row r="4451" ht="19" customHeight="1">
      <x:c r="A4451" s="19" t="str">
        <x:v>D04447</x:v>
      </x:c>
      <x:c r="B4451" s="19" t="n">
        <x:v>9</x:v>
      </x:c>
      <x:c r="C4451" s="19" t="n">
        <x:v>4</x:v>
      </x:c>
      <x:c r="D4451" s="19" t="str">
        <x:v>C09-M046</x:v>
      </x:c>
      <x:c r="E4451" s="19" t="str">
        <x:v>圣坛逐光姬</x:v>
      </x:c>
      <x:c r="F4451" s="19" t="str">
        <x:v>稀有</x:v>
      </x:c>
      <x:c r="G4451" s="19" t="str">
        <x:v>材料独立候选</x:v>
      </x:c>
      <x:c r="H4451" s="19" t="str">
        <x:v>古坛鎏叶髓</x:v>
      </x:c>
      <x:c r="I4451" s="22" t="n">
        <x:v>2000000</x:v>
      </x:c>
      <x:c r="J4451" s="22" t="n">
        <x:v>1</x:v>
      </x:c>
      <x:c r="K4451" s="19" t="n">
        <x:v>1</x:v>
      </x:c>
      <x:c r="L4451" s="24" t="n">
        <x:v>71.487</x:v>
      </x:c>
      <x:c r="M4451" s="26" t="n">
        <x:v>0.1</x:v>
      </x:c>
      <x:c r="N4451" s="24" t="n">
        <x:v>12</x:v>
      </x:c>
      <x:c r="O4451" s="28" t="n">
        <x:f>MIN(1,L4451/I4451)</x:f>
        <x:v>0.000035743499999999994</x:v>
      </x:c>
      <x:c r="P4451" s="30" t="n">
        <x:f>O4451*J4451*(1+M4451)</x:f>
        <x:v>0.000039317849999999995</x:v>
      </x:c>
      <x:c r="Q4451" s="30" t="n">
        <x:f>P4451*N4451</x:f>
        <x:v>0.00047181419999999994</x:v>
      </x:c>
      <x:c r="R4451" s="19" t="str">
        <x:v>独立判定</x:v>
      </x:c>
    </x:row>
    <x:row r="4452" ht="19" customHeight="1">
      <x:c r="A4452" s="19" t="str">
        <x:v>D04448</x:v>
      </x:c>
      <x:c r="B4452" s="19" t="n">
        <x:v>9</x:v>
      </x:c>
      <x:c r="C4452" s="19" t="n">
        <x:v>4</x:v>
      </x:c>
      <x:c r="D4452" s="19" t="str">
        <x:v>C09-M046</x:v>
      </x:c>
      <x:c r="E4452" s="19" t="str">
        <x:v>圣坛逐光姬</x:v>
      </x:c>
      <x:c r="F4452" s="19" t="str">
        <x:v>稀有</x:v>
      </x:c>
      <x:c r="G4452" s="19" t="str">
        <x:v>材料独立候选</x:v>
      </x:c>
      <x:c r="H4452" s="19" t="str">
        <x:v>黄金树芽</x:v>
      </x:c>
      <x:c r="I4452" s="22" t="n">
        <x:v>15000</x:v>
      </x:c>
      <x:c r="J4452" s="22" t="n">
        <x:v>1</x:v>
      </x:c>
      <x:c r="K4452" s="19" t="n">
        <x:v>1</x:v>
      </x:c>
      <x:c r="L4452" s="24" t="n">
        <x:v>71.487</x:v>
      </x:c>
      <x:c r="M4452" s="26" t="n">
        <x:v>0.1</x:v>
      </x:c>
      <x:c r="N4452" s="24" t="n">
        <x:v>12</x:v>
      </x:c>
      <x:c r="O4452" s="28" t="n">
        <x:f>MIN(1,L4452/I4452)</x:f>
        <x:v>0.0047658</x:v>
      </x:c>
      <x:c r="P4452" s="30" t="n">
        <x:f>O4452*J4452*(1+M4452)</x:f>
        <x:v>0.0052423800000000005</x:v>
      </x:c>
      <x:c r="Q4452" s="30" t="n">
        <x:f>P4452*N4452</x:f>
        <x:v>0.06290856</x:v>
      </x:c>
      <x:c r="R4452" s="19" t="str">
        <x:v>独立判定</x:v>
      </x:c>
    </x:row>
    <x:row r="4453" ht="19" customHeight="1">
      <x:c r="A4453" s="19" t="str">
        <x:v>D04449</x:v>
      </x:c>
      <x:c r="B4453" s="19" t="n">
        <x:v>9</x:v>
      </x:c>
      <x:c r="C4453" s="19" t="n">
        <x:v>4</x:v>
      </x:c>
      <x:c r="D4453" s="19" t="str">
        <x:v>C09-M046</x:v>
      </x:c>
      <x:c r="E4453" s="19" t="str">
        <x:v>圣坛逐光姬</x:v>
      </x:c>
      <x:c r="F4453" s="19" t="str">
        <x:v>稀有</x:v>
      </x:c>
      <x:c r="G4453" s="19" t="str">
        <x:v>材料独立候选</x:v>
      </x:c>
      <x:c r="H4453" s="19" t="str">
        <x:v>野兽骨片</x:v>
      </x:c>
      <x:c r="I4453" s="22" t="n">
        <x:v>200</x:v>
      </x:c>
      <x:c r="J4453" s="22" t="n">
        <x:v>5</x:v>
      </x:c>
      <x:c r="K4453" s="19" t="n">
        <x:v>1</x:v>
      </x:c>
      <x:c r="L4453" s="24" t="n">
        <x:v>71.487</x:v>
      </x:c>
      <x:c r="M4453" s="26" t="n">
        <x:v>0.1</x:v>
      </x:c>
      <x:c r="N4453" s="24" t="n">
        <x:v>12</x:v>
      </x:c>
      <x:c r="O4453" s="28" t="n">
        <x:f>MIN(1,L4453/I4453)</x:f>
        <x:v>0.35743499999999995</x:v>
      </x:c>
      <x:c r="P4453" s="30" t="n">
        <x:f>O4453*J4453*(1+M4453)</x:f>
        <x:v>1.9658924999999998</x:v>
      </x:c>
      <x:c r="Q4453" s="30" t="n">
        <x:f>P4453*N4453</x:f>
        <x:v>23.590709999999998</x:v>
      </x:c>
      <x:c r="R4453" s="19" t="str">
        <x:v>独立判定</x:v>
      </x:c>
    </x:row>
    <x:row r="4454" ht="19" customHeight="1">
      <x:c r="A4454" s="19" t="str">
        <x:v>D04450</x:v>
      </x:c>
      <x:c r="B4454" s="19" t="n">
        <x:v>9</x:v>
      </x:c>
      <x:c r="C4454" s="19" t="n">
        <x:v>4</x:v>
      </x:c>
      <x:c r="D4454" s="19" t="str">
        <x:v>C09-M046</x:v>
      </x:c>
      <x:c r="E4454" s="19" t="str">
        <x:v>圣坛逐光姬</x:v>
      </x:c>
      <x:c r="F4454" s="19" t="str">
        <x:v>稀有</x:v>
      </x:c>
      <x:c r="G4454" s="19" t="str">
        <x:v>材料独立候选</x:v>
      </x:c>
      <x:c r="H4454" s="19" t="str">
        <x:v>技能残页</x:v>
      </x:c>
      <x:c r="I4454" s="22" t="n">
        <x:v>2000</x:v>
      </x:c>
      <x:c r="J4454" s="22" t="n">
        <x:v>1</x:v>
      </x:c>
      <x:c r="K4454" s="19" t="n">
        <x:v>1</x:v>
      </x:c>
      <x:c r="L4454" s="24" t="n">
        <x:v>71.487</x:v>
      </x:c>
      <x:c r="M4454" s="26" t="n">
        <x:v>0.1</x:v>
      </x:c>
      <x:c r="N4454" s="24" t="n">
        <x:v>12</x:v>
      </x:c>
      <x:c r="O4454" s="28" t="n">
        <x:f>MIN(1,L4454/I4454)</x:f>
        <x:v>0.0357435</x:v>
      </x:c>
      <x:c r="P4454" s="30" t="n">
        <x:f>O4454*J4454*(1+M4454)</x:f>
        <x:v>0.03931785</x:v>
      </x:c>
      <x:c r="Q4454" s="30" t="n">
        <x:f>P4454*N4454</x:f>
        <x:v>0.4718142</x:v>
      </x:c>
      <x:c r="R4454" s="19" t="str">
        <x:v>独立判定</x:v>
      </x:c>
    </x:row>
    <x:row r="4455" ht="19" customHeight="1">
      <x:c r="A4455" s="19" t="str">
        <x:v>D04451</x:v>
      </x:c>
      <x:c r="B4455" s="19" t="n">
        <x:v>9</x:v>
      </x:c>
      <x:c r="C4455" s="19" t="n">
        <x:v>4</x:v>
      </x:c>
      <x:c r="D4455" s="19" t="str">
        <x:v>C09-M046</x:v>
      </x:c>
      <x:c r="E4455" s="19" t="str">
        <x:v>圣坛逐光姬</x:v>
      </x:c>
      <x:c r="F4455" s="19" t="str">
        <x:v>稀有</x:v>
      </x:c>
      <x:c r="G4455" s="19" t="str">
        <x:v>材料独立候选</x:v>
      </x:c>
      <x:c r="H4455" s="19" t="str">
        <x:v>小卢恩</x:v>
      </x:c>
      <x:c r="I4455" s="22" t="n">
        <x:v>12000</x:v>
      </x:c>
      <x:c r="J4455" s="22" t="n">
        <x:v>1</x:v>
      </x:c>
      <x:c r="K4455" s="19" t="n">
        <x:v>1</x:v>
      </x:c>
      <x:c r="L4455" s="24" t="n">
        <x:v>71.487</x:v>
      </x:c>
      <x:c r="M4455" s="26" t="n">
        <x:v>0.1</x:v>
      </x:c>
      <x:c r="N4455" s="24" t="n">
        <x:v>12</x:v>
      </x:c>
      <x:c r="O4455" s="28" t="n">
        <x:f>MIN(1,L4455/I4455)</x:f>
        <x:v>0.00595725</x:v>
      </x:c>
      <x:c r="P4455" s="30" t="n">
        <x:f>O4455*J4455*(1+M4455)</x:f>
        <x:v>0.006552975000000001</x:v>
      </x:c>
      <x:c r="Q4455" s="30" t="n">
        <x:f>P4455*N4455</x:f>
        <x:v>0.0786357</x:v>
      </x:c>
      <x:c r="R4455" s="19" t="str">
        <x:v>独立判定</x:v>
      </x:c>
    </x:row>
    <x:row r="4456" ht="19" customHeight="1">
      <x:c r="A4456" s="19" t="str">
        <x:v>D04452</x:v>
      </x:c>
      <x:c r="B4456" s="19" t="n">
        <x:v>9</x:v>
      </x:c>
      <x:c r="C4456" s="19" t="n">
        <x:v>4</x:v>
      </x:c>
      <x:c r="D4456" s="19" t="str">
        <x:v>C09-M046</x:v>
      </x:c>
      <x:c r="E4456" s="19" t="str">
        <x:v>圣坛逐光姬</x:v>
      </x:c>
      <x:c r="F4456" s="19" t="str">
        <x:v>稀有</x:v>
      </x:c>
      <x:c r="G4456" s="19" t="str">
        <x:v>六神器公共池</x:v>
      </x:c>
      <x:c r="H4456" s="19" t="str">
        <x:v>POOL006</x:v>
      </x:c>
      <x:c r="I4456" s="22" t="n">
        <x:v>5000000</x:v>
      </x:c>
      <x:c r="J4456" s="22" t="n">
        <x:v>1</x:v>
      </x:c>
      <x:c r="K4456" s="19" t="n">
        <x:v>6</x:v>
      </x:c>
      <x:c r="L4456" s="24" t="n">
        <x:v>71.487</x:v>
      </x:c>
      <x:c r="M4456" s="26" t="n">
        <x:v>0.1</x:v>
      </x:c>
      <x:c r="N4456" s="24" t="n">
        <x:v>12</x:v>
      </x:c>
      <x:c r="O4456" s="28" t="n">
        <x:f>MIN(1,L4456/I4456)</x:f>
        <x:v>0.0000142974</x:v>
      </x:c>
      <x:c r="P4456" s="30" t="n">
        <x:f>O4456*J4456*(1+M4456)</x:f>
        <x:v>0.00001572714</x:v>
      </x:c>
      <x:c r="Q4456" s="30" t="n">
        <x:f>P4456*N4456</x:f>
        <x:v>0.00018872567999999999</x:v>
      </x:c>
      <x:c r="R4456" s="19" t="str">
        <x:v>六选一；非6个独立爆率</x:v>
      </x:c>
    </x:row>
    <x:row r="4457" ht="19" customHeight="1">
      <x:c r="A4457" s="19" t="str">
        <x:v>D04453</x:v>
      </x:c>
      <x:c r="B4457" s="19" t="n">
        <x:v>9</x:v>
      </x:c>
      <x:c r="C4457" s="19" t="n">
        <x:v>4</x:v>
      </x:c>
      <x:c r="D4457" s="19" t="str">
        <x:v>C09-M047</x:v>
      </x:c>
      <x:c r="E4457" s="19" t="str">
        <x:v>黄金枢机·赛维兰</x:v>
      </x:c>
      <x:c r="F4457" s="19" t="str">
        <x:v>地图BOSS</x:v>
      </x:c>
      <x:c r="G4457" s="19" t="str">
        <x:v>自身专属</x:v>
      </x:c>
      <x:c r="H4457" s="19" t="str">
        <x:v>赛维兰裁阳杖</x:v>
      </x:c>
      <x:c r="I4457" s="22" t="n">
        <x:v>180</x:v>
      </x:c>
      <x:c r="J4457" s="22" t="n">
        <x:v>1</x:v>
      </x:c>
      <x:c r="K4457" s="19" t="n">
        <x:v>1</x:v>
      </x:c>
      <x:c r="L4457" s="24" t="n">
        <x:v>71.487</x:v>
      </x:c>
      <x:c r="M4457" s="26" t="n">
        <x:v>0.1</x:v>
      </x:c>
      <x:c r="N4457" s="24" t="n">
        <x:v>2</x:v>
      </x:c>
      <x:c r="O4457" s="28" t="n">
        <x:f>MIN(1,L4457/I4457)</x:f>
        <x:v>0.39714999999999995</x:v>
      </x:c>
      <x:c r="P4457" s="30" t="n">
        <x:f>O4457*J4457*(1+M4457)</x:f>
        <x:v>0.436865</x:v>
      </x:c>
      <x:c r="Q4457" s="30" t="n">
        <x:f>P4457*N4457</x:f>
        <x:v>0.87373</x:v>
      </x:c>
      <x:c r="R4457" s="19" t="str">
        <x:v>独立判定</x:v>
      </x:c>
    </x:row>
    <x:row r="4458" ht="19" customHeight="1">
      <x:c r="A4458" s="19" t="str">
        <x:v>D04454</x:v>
      </x:c>
      <x:c r="B4458" s="19" t="n">
        <x:v>9</x:v>
      </x:c>
      <x:c r="C4458" s="19" t="n">
        <x:v>4</x:v>
      </x:c>
      <x:c r="D4458" s="19" t="str">
        <x:v>C09-M047</x:v>
      </x:c>
      <x:c r="E4458" s="19" t="str">
        <x:v>黄金枢机·赛维兰</x:v>
      </x:c>
      <x:c r="F4458" s="19" t="str">
        <x:v>地图BOSS</x:v>
      </x:c>
      <x:c r="G4458" s="19" t="str">
        <x:v>本图普通兼掉候选</x:v>
      </x:c>
      <x:c r="H4458" s="19" t="str">
        <x:v>POOL074</x:v>
      </x:c>
      <x:c r="I4458" s="22" t="n">
        <x:v>180</x:v>
      </x:c>
      <x:c r="J4458" s="22" t="n">
        <x:v>1</x:v>
      </x:c>
      <x:c r="K4458" s="19" t="n">
        <x:v>1</x:v>
      </x:c>
      <x:c r="L4458" s="24" t="n">
        <x:v>71.487</x:v>
      </x:c>
      <x:c r="M4458" s="26" t="n">
        <x:v>0.1</x:v>
      </x:c>
      <x:c r="N4458" s="24" t="n">
        <x:v>2</x:v>
      </x:c>
      <x:c r="O4458" s="28" t="n">
        <x:f>MIN(1,L4458/I4458)</x:f>
        <x:v>0.39714999999999995</x:v>
      </x:c>
      <x:c r="P4458" s="30" t="n">
        <x:f>O4458*J4458*(1+M4458)</x:f>
        <x:v>0.436865</x:v>
      </x:c>
      <x:c r="Q4458" s="30" t="n">
        <x:f>P4458*N4458</x:f>
        <x:v>0.87373</x:v>
      </x:c>
      <x:c r="R4458" s="19" t="str">
        <x:v>单池选一</x:v>
      </x:c>
    </x:row>
    <x:row r="4459" ht="19" customHeight="1">
      <x:c r="A4459" s="19" t="str">
        <x:v>D04455</x:v>
      </x:c>
      <x:c r="B4459" s="19" t="n">
        <x:v>9</x:v>
      </x:c>
      <x:c r="C4459" s="19" t="n">
        <x:v>4</x:v>
      </x:c>
      <x:c r="D4459" s="19" t="str">
        <x:v>C09-M047</x:v>
      </x:c>
      <x:c r="E4459" s="19" t="str">
        <x:v>黄金枢机·赛维兰</x:v>
      </x:c>
      <x:c r="F4459" s="19" t="str">
        <x:v>地图BOSS</x:v>
      </x:c>
      <x:c r="G4459" s="19" t="str">
        <x:v>材料独立候选</x:v>
      </x:c>
      <x:c r="H4459" s="19" t="str">
        <x:v>黄金叶脉</x:v>
      </x:c>
      <x:c r="I4459" s="22" t="n">
        <x:v>600</x:v>
      </x:c>
      <x:c r="J4459" s="22" t="n">
        <x:v>30</x:v>
      </x:c>
      <x:c r="K4459" s="19" t="n">
        <x:v>1</x:v>
      </x:c>
      <x:c r="L4459" s="24" t="n">
        <x:v>71.487</x:v>
      </x:c>
      <x:c r="M4459" s="26" t="n">
        <x:v>0.1</x:v>
      </x:c>
      <x:c r="N4459" s="24" t="n">
        <x:v>2</x:v>
      </x:c>
      <x:c r="O4459" s="28" t="n">
        <x:f>MIN(1,L4459/I4459)</x:f>
        <x:v>0.11914499999999999</x:v>
      </x:c>
      <x:c r="P4459" s="30" t="n">
        <x:f>O4459*J4459*(1+M4459)</x:f>
        <x:v>3.9317849999999996</x:v>
      </x:c>
      <x:c r="Q4459" s="30" t="n">
        <x:f>P4459*N4459</x:f>
        <x:v>7.863569999999999</x:v>
      </x:c>
      <x:c r="R4459" s="19" t="str">
        <x:v>独立判定</x:v>
      </x:c>
    </x:row>
    <x:row r="4460" ht="19" customHeight="1">
      <x:c r="A4460" s="19" t="str">
        <x:v>D04456</x:v>
      </x:c>
      <x:c r="B4460" s="19" t="n">
        <x:v>9</x:v>
      </x:c>
      <x:c r="C4460" s="19" t="n">
        <x:v>4</x:v>
      </x:c>
      <x:c r="D4460" s="19" t="str">
        <x:v>C09-M047</x:v>
      </x:c>
      <x:c r="E4460" s="19" t="str">
        <x:v>黄金枢机·赛维兰</x:v>
      </x:c>
      <x:c r="F4460" s="19" t="str">
        <x:v>地图BOSS</x:v>
      </x:c>
      <x:c r="G4460" s="19" t="str">
        <x:v>材料独立候选</x:v>
      </x:c>
      <x:c r="H4460" s="19" t="str">
        <x:v>古王律页</x:v>
      </x:c>
      <x:c r="I4460" s="22" t="n">
        <x:v>600</x:v>
      </x:c>
      <x:c r="J4460" s="22" t="n">
        <x:v>1</x:v>
      </x:c>
      <x:c r="K4460" s="19" t="n">
        <x:v>1</x:v>
      </x:c>
      <x:c r="L4460" s="24" t="n">
        <x:v>71.487</x:v>
      </x:c>
      <x:c r="M4460" s="26" t="n">
        <x:v>0.1</x:v>
      </x:c>
      <x:c r="N4460" s="24" t="n">
        <x:v>2</x:v>
      </x:c>
      <x:c r="O4460" s="28" t="n">
        <x:f>MIN(1,L4460/I4460)</x:f>
        <x:v>0.11914499999999999</x:v>
      </x:c>
      <x:c r="P4460" s="30" t="n">
        <x:f>O4460*J4460*(1+M4460)</x:f>
        <x:v>0.1310595</x:v>
      </x:c>
      <x:c r="Q4460" s="30" t="n">
        <x:f>P4460*N4460</x:f>
        <x:v>0.262119</x:v>
      </x:c>
      <x:c r="R4460" s="19" t="str">
        <x:v>独立判定</x:v>
      </x:c>
    </x:row>
    <x:row r="4461" ht="19" customHeight="1">
      <x:c r="A4461" s="19" t="str">
        <x:v>D04457</x:v>
      </x:c>
      <x:c r="B4461" s="19" t="n">
        <x:v>9</x:v>
      </x:c>
      <x:c r="C4461" s="19" t="n">
        <x:v>4</x:v>
      </x:c>
      <x:c r="D4461" s="19" t="str">
        <x:v>C09-M047</x:v>
      </x:c>
      <x:c r="E4461" s="19" t="str">
        <x:v>黄金枢机·赛维兰</x:v>
      </x:c>
      <x:c r="F4461" s="19" t="str">
        <x:v>地图BOSS</x:v>
      </x:c>
      <x:c r="G4461" s="19" t="str">
        <x:v>材料独立候选</x:v>
      </x:c>
      <x:c r="H4461" s="19" t="str">
        <x:v>黄金律印</x:v>
      </x:c>
      <x:c r="I4461" s="22" t="n">
        <x:v>300</x:v>
      </x:c>
      <x:c r="J4461" s="22" t="n">
        <x:v>7</x:v>
      </x:c>
      <x:c r="K4461" s="19" t="n">
        <x:v>1</x:v>
      </x:c>
      <x:c r="L4461" s="24" t="n">
        <x:v>71.487</x:v>
      </x:c>
      <x:c r="M4461" s="26" t="n">
        <x:v>0.1</x:v>
      </x:c>
      <x:c r="N4461" s="24" t="n">
        <x:v>2</x:v>
      </x:c>
      <x:c r="O4461" s="28" t="n">
        <x:f>MIN(1,L4461/I4461)</x:f>
        <x:v>0.23828999999999997</x:v>
      </x:c>
      <x:c r="P4461" s="30" t="n">
        <x:f>O4461*J4461*(1+M4461)</x:f>
        <x:v>1.834833</x:v>
      </x:c>
      <x:c r="Q4461" s="30" t="n">
        <x:f>P4461*N4461</x:f>
        <x:v>3.669666</x:v>
      </x:c>
      <x:c r="R4461" s="19" t="str">
        <x:v>独立判定</x:v>
      </x:c>
    </x:row>
    <x:row r="4462" ht="19" customHeight="1">
      <x:c r="A4462" s="19" t="str">
        <x:v>D04458</x:v>
      </x:c>
      <x:c r="B4462" s="19" t="n">
        <x:v>9</x:v>
      </x:c>
      <x:c r="C4462" s="19" t="n">
        <x:v>4</x:v>
      </x:c>
      <x:c r="D4462" s="19" t="str">
        <x:v>C09-M047</x:v>
      </x:c>
      <x:c r="E4462" s="19" t="str">
        <x:v>黄金枢机·赛维兰</x:v>
      </x:c>
      <x:c r="F4462" s="19" t="str">
        <x:v>地图BOSS</x:v>
      </x:c>
      <x:c r="G4462" s="19" t="str">
        <x:v>材料独立候选</x:v>
      </x:c>
      <x:c r="H4462" s="19" t="str">
        <x:v>裁文蜡封</x:v>
      </x:c>
      <x:c r="I4462" s="22" t="n">
        <x:v>300</x:v>
      </x:c>
      <x:c r="J4462" s="22" t="n">
        <x:v>3</x:v>
      </x:c>
      <x:c r="K4462" s="19" t="n">
        <x:v>1</x:v>
      </x:c>
      <x:c r="L4462" s="24" t="n">
        <x:v>71.487</x:v>
      </x:c>
      <x:c r="M4462" s="26" t="n">
        <x:v>0.1</x:v>
      </x:c>
      <x:c r="N4462" s="24" t="n">
        <x:v>2</x:v>
      </x:c>
      <x:c r="O4462" s="28" t="n">
        <x:f>MIN(1,L4462/I4462)</x:f>
        <x:v>0.23828999999999997</x:v>
      </x:c>
      <x:c r="P4462" s="30" t="n">
        <x:f>O4462*J4462*(1+M4462)</x:f>
        <x:v>0.786357</x:v>
      </x:c>
      <x:c r="Q4462" s="30" t="n">
        <x:f>P4462*N4462</x:f>
        <x:v>1.572714</x:v>
      </x:c>
      <x:c r="R4462" s="19" t="str">
        <x:v>独立判定</x:v>
      </x:c>
    </x:row>
    <x:row r="4463" ht="19" customHeight="1">
      <x:c r="A4463" s="19" t="str">
        <x:v>D04459</x:v>
      </x:c>
      <x:c r="B4463" s="19" t="n">
        <x:v>9</x:v>
      </x:c>
      <x:c r="C4463" s="19" t="n">
        <x:v>4</x:v>
      </x:c>
      <x:c r="D4463" s="19" t="str">
        <x:v>C09-M047</x:v>
      </x:c>
      <x:c r="E4463" s="19" t="str">
        <x:v>黄金枢机·赛维兰</x:v>
      </x:c>
      <x:c r="F4463" s="19" t="str">
        <x:v>地图BOSS</x:v>
      </x:c>
      <x:c r="G4463" s="19" t="str">
        <x:v>材料独立候选</x:v>
      </x:c>
      <x:c r="H4463" s="19" t="str">
        <x:v>古坛鎏叶髓</x:v>
      </x:c>
      <x:c r="I4463" s="22" t="n">
        <x:v>1000000</x:v>
      </x:c>
      <x:c r="J4463" s="22" t="n">
        <x:v>1</x:v>
      </x:c>
      <x:c r="K4463" s="19" t="n">
        <x:v>1</x:v>
      </x:c>
      <x:c r="L4463" s="24" t="n">
        <x:v>71.487</x:v>
      </x:c>
      <x:c r="M4463" s="26" t="n">
        <x:v>0.1</x:v>
      </x:c>
      <x:c r="N4463" s="24" t="n">
        <x:v>2</x:v>
      </x:c>
      <x:c r="O4463" s="28" t="n">
        <x:f>MIN(1,L4463/I4463)</x:f>
        <x:v>0.00007148699999999999</x:v>
      </x:c>
      <x:c r="P4463" s="30" t="n">
        <x:f>O4463*J4463*(1+M4463)</x:f>
        <x:v>0.00007863569999999999</x:v>
      </x:c>
      <x:c r="Q4463" s="30" t="n">
        <x:f>P4463*N4463</x:f>
        <x:v>0.00015727139999999998</x:v>
      </x:c>
      <x:c r="R4463" s="19" t="str">
        <x:v>独立判定</x:v>
      </x:c>
    </x:row>
    <x:row r="4464" ht="19" customHeight="1">
      <x:c r="A4464" s="19" t="str">
        <x:v>D04460</x:v>
      </x:c>
      <x:c r="B4464" s="19" t="n">
        <x:v>9</x:v>
      </x:c>
      <x:c r="C4464" s="19" t="n">
        <x:v>4</x:v>
      </x:c>
      <x:c r="D4464" s="19" t="str">
        <x:v>C09-M047</x:v>
      </x:c>
      <x:c r="E4464" s="19" t="str">
        <x:v>黄金枢机·赛维兰</x:v>
      </x:c>
      <x:c r="F4464" s="19" t="str">
        <x:v>地图BOSS</x:v>
      </x:c>
      <x:c r="G4464" s="19" t="str">
        <x:v>材料独立候选</x:v>
      </x:c>
      <x:c r="H4464" s="19" t="str">
        <x:v>黄金树芽</x:v>
      </x:c>
      <x:c r="I4464" s="22" t="n">
        <x:v>8000</x:v>
      </x:c>
      <x:c r="J4464" s="22" t="n">
        <x:v>1</x:v>
      </x:c>
      <x:c r="K4464" s="19" t="n">
        <x:v>1</x:v>
      </x:c>
      <x:c r="L4464" s="24" t="n">
        <x:v>71.487</x:v>
      </x:c>
      <x:c r="M4464" s="26" t="n">
        <x:v>0.1</x:v>
      </x:c>
      <x:c r="N4464" s="24" t="n">
        <x:v>2</x:v>
      </x:c>
      <x:c r="O4464" s="28" t="n">
        <x:f>MIN(1,L4464/I4464)</x:f>
        <x:v>0.008935875</x:v>
      </x:c>
      <x:c r="P4464" s="30" t="n">
        <x:f>O4464*J4464*(1+M4464)</x:f>
        <x:v>0.0098294625</x:v>
      </x:c>
      <x:c r="Q4464" s="30" t="n">
        <x:f>P4464*N4464</x:f>
        <x:v>0.019658925</x:v>
      </x:c>
      <x:c r="R4464" s="19" t="str">
        <x:v>独立判定</x:v>
      </x:c>
    </x:row>
    <x:row r="4465" ht="19" customHeight="1">
      <x:c r="A4465" s="19" t="str">
        <x:v>D04461</x:v>
      </x:c>
      <x:c r="B4465" s="19" t="n">
        <x:v>9</x:v>
      </x:c>
      <x:c r="C4465" s="19" t="n">
        <x:v>4</x:v>
      </x:c>
      <x:c r="D4465" s="19" t="str">
        <x:v>C09-M047</x:v>
      </x:c>
      <x:c r="E4465" s="19" t="str">
        <x:v>黄金枢机·赛维兰</x:v>
      </x:c>
      <x:c r="F4465" s="19" t="str">
        <x:v>地图BOSS</x:v>
      </x:c>
      <x:c r="G4465" s="19" t="str">
        <x:v>材料独立候选</x:v>
      </x:c>
      <x:c r="H4465" s="19" t="str">
        <x:v>野兽骨片</x:v>
      </x:c>
      <x:c r="I4465" s="22" t="n">
        <x:v>120</x:v>
      </x:c>
      <x:c r="J4465" s="22" t="n">
        <x:v>5</x:v>
      </x:c>
      <x:c r="K4465" s="19" t="n">
        <x:v>1</x:v>
      </x:c>
      <x:c r="L4465" s="24" t="n">
        <x:v>71.487</x:v>
      </x:c>
      <x:c r="M4465" s="26" t="n">
        <x:v>0.1</x:v>
      </x:c>
      <x:c r="N4465" s="24" t="n">
        <x:v>2</x:v>
      </x:c>
      <x:c r="O4465" s="28" t="n">
        <x:f>MIN(1,L4465/I4465)</x:f>
        <x:v>0.595725</x:v>
      </x:c>
      <x:c r="P4465" s="30" t="n">
        <x:f>O4465*J4465*(1+M4465)</x:f>
        <x:v>3.2764875</x:v>
      </x:c>
      <x:c r="Q4465" s="30" t="n">
        <x:f>P4465*N4465</x:f>
        <x:v>6.552975</x:v>
      </x:c>
      <x:c r="R4465" s="19" t="str">
        <x:v>独立判定</x:v>
      </x:c>
    </x:row>
    <x:row r="4466" ht="19" customHeight="1">
      <x:c r="A4466" s="19" t="str">
        <x:v>D04462</x:v>
      </x:c>
      <x:c r="B4466" s="19" t="n">
        <x:v>9</x:v>
      </x:c>
      <x:c r="C4466" s="19" t="n">
        <x:v>4</x:v>
      </x:c>
      <x:c r="D4466" s="19" t="str">
        <x:v>C09-M047</x:v>
      </x:c>
      <x:c r="E4466" s="19" t="str">
        <x:v>黄金枢机·赛维兰</x:v>
      </x:c>
      <x:c r="F4466" s="19" t="str">
        <x:v>地图BOSS</x:v>
      </x:c>
      <x:c r="G4466" s="19" t="str">
        <x:v>材料独立候选</x:v>
      </x:c>
      <x:c r="H4466" s="19" t="str">
        <x:v>技能残页</x:v>
      </x:c>
      <x:c r="I4466" s="22" t="n">
        <x:v>1000</x:v>
      </x:c>
      <x:c r="J4466" s="22" t="n">
        <x:v>1</x:v>
      </x:c>
      <x:c r="K4466" s="19" t="n">
        <x:v>1</x:v>
      </x:c>
      <x:c r="L4466" s="24" t="n">
        <x:v>71.487</x:v>
      </x:c>
      <x:c r="M4466" s="26" t="n">
        <x:v>0.1</x:v>
      </x:c>
      <x:c r="N4466" s="24" t="n">
        <x:v>2</x:v>
      </x:c>
      <x:c r="O4466" s="28" t="n">
        <x:f>MIN(1,L4466/I4466)</x:f>
        <x:v>0.071487</x:v>
      </x:c>
      <x:c r="P4466" s="30" t="n">
        <x:f>O4466*J4466*(1+M4466)</x:f>
        <x:v>0.0786357</x:v>
      </x:c>
      <x:c r="Q4466" s="30" t="n">
        <x:f>P4466*N4466</x:f>
        <x:v>0.1572714</x:v>
      </x:c>
      <x:c r="R4466" s="19" t="str">
        <x:v>独立判定</x:v>
      </x:c>
    </x:row>
    <x:row r="4467" ht="19" customHeight="1">
      <x:c r="A4467" s="19" t="str">
        <x:v>D04463</x:v>
      </x:c>
      <x:c r="B4467" s="19" t="n">
        <x:v>9</x:v>
      </x:c>
      <x:c r="C4467" s="19" t="n">
        <x:v>4</x:v>
      </x:c>
      <x:c r="D4467" s="19" t="str">
        <x:v>C09-M047</x:v>
      </x:c>
      <x:c r="E4467" s="19" t="str">
        <x:v>黄金枢机·赛维兰</x:v>
      </x:c>
      <x:c r="F4467" s="19" t="str">
        <x:v>地图BOSS</x:v>
      </x:c>
      <x:c r="G4467" s="19" t="str">
        <x:v>材料独立候选</x:v>
      </x:c>
      <x:c r="H4467" s="19" t="str">
        <x:v>宁姆格福誓页</x:v>
      </x:c>
      <x:c r="I4467" s="22" t="n">
        <x:v>1000</x:v>
      </x:c>
      <x:c r="J4467" s="22" t="n">
        <x:v>1</x:v>
      </x:c>
      <x:c r="K4467" s="19" t="n">
        <x:v>1</x:v>
      </x:c>
      <x:c r="L4467" s="24" t="n">
        <x:v>71.487</x:v>
      </x:c>
      <x:c r="M4467" s="26" t="n">
        <x:v>0.1</x:v>
      </x:c>
      <x:c r="N4467" s="24" t="n">
        <x:v>2</x:v>
      </x:c>
      <x:c r="O4467" s="28" t="n">
        <x:f>MIN(1,L4467/I4467)</x:f>
        <x:v>0.071487</x:v>
      </x:c>
      <x:c r="P4467" s="30" t="n">
        <x:f>O4467*J4467*(1+M4467)</x:f>
        <x:v>0.0786357</x:v>
      </x:c>
      <x:c r="Q4467" s="30" t="n">
        <x:f>P4467*N4467</x:f>
        <x:v>0.1572714</x:v>
      </x:c>
      <x:c r="R4467" s="19" t="str">
        <x:v>独立判定</x:v>
      </x:c>
    </x:row>
    <x:row r="4468" ht="19" customHeight="1">
      <x:c r="A4468" s="19" t="str">
        <x:v>D04464</x:v>
      </x:c>
      <x:c r="B4468" s="19" t="n">
        <x:v>9</x:v>
      </x:c>
      <x:c r="C4468" s="19" t="n">
        <x:v>4</x:v>
      </x:c>
      <x:c r="D4468" s="19" t="str">
        <x:v>C09-M047</x:v>
      </x:c>
      <x:c r="E4468" s="19" t="str">
        <x:v>黄金枢机·赛维兰</x:v>
      </x:c>
      <x:c r="F4468" s="19" t="str">
        <x:v>地图BOSS</x:v>
      </x:c>
      <x:c r="G4468" s="19" t="str">
        <x:v>材料独立候选</x:v>
      </x:c>
      <x:c r="H4468" s="19" t="str">
        <x:v>小卢恩</x:v>
      </x:c>
      <x:c r="I4468" s="22" t="n">
        <x:v>6000</x:v>
      </x:c>
      <x:c r="J4468" s="22" t="n">
        <x:v>1</x:v>
      </x:c>
      <x:c r="K4468" s="19" t="n">
        <x:v>1</x:v>
      </x:c>
      <x:c r="L4468" s="24" t="n">
        <x:v>71.487</x:v>
      </x:c>
      <x:c r="M4468" s="26" t="n">
        <x:v>0.1</x:v>
      </x:c>
      <x:c r="N4468" s="24" t="n">
        <x:v>2</x:v>
      </x:c>
      <x:c r="O4468" s="28" t="n">
        <x:f>MIN(1,L4468/I4468)</x:f>
        <x:v>0.0119145</x:v>
      </x:c>
      <x:c r="P4468" s="30" t="n">
        <x:f>O4468*J4468*(1+M4468)</x:f>
        <x:v>0.013105950000000002</x:v>
      </x:c>
      <x:c r="Q4468" s="30" t="n">
        <x:f>P4468*N4468</x:f>
        <x:v>0.026211900000000003</x:v>
      </x:c>
      <x:c r="R4468" s="19" t="str">
        <x:v>独立判定</x:v>
      </x:c>
    </x:row>
    <x:row r="4469" ht="19" customHeight="1">
      <x:c r="A4469" s="19" t="str">
        <x:v>D04465</x:v>
      </x:c>
      <x:c r="B4469" s="19" t="n">
        <x:v>9</x:v>
      </x:c>
      <x:c r="C4469" s="19" t="n">
        <x:v>4</x:v>
      </x:c>
      <x:c r="D4469" s="19" t="str">
        <x:v>C09-M047</x:v>
      </x:c>
      <x:c r="E4469" s="19" t="str">
        <x:v>黄金枢机·赛维兰</x:v>
      </x:c>
      <x:c r="F4469" s="19" t="str">
        <x:v>地图BOSS</x:v>
      </x:c>
      <x:c r="G4469" s="19" t="str">
        <x:v>材料独立候选</x:v>
      </x:c>
      <x:c r="H4469" s="19" t="str">
        <x:v>大卢恩</x:v>
      </x:c>
      <x:c r="I4469" s="22" t="n">
        <x:v>600</x:v>
      </x:c>
      <x:c r="J4469" s="22" t="n">
        <x:v>1</x:v>
      </x:c>
      <x:c r="K4469" s="19" t="n">
        <x:v>1</x:v>
      </x:c>
      <x:c r="L4469" s="24" t="n">
        <x:v>71.487</x:v>
      </x:c>
      <x:c r="M4469" s="26" t="n">
        <x:v>0.1</x:v>
      </x:c>
      <x:c r="N4469" s="24" t="n">
        <x:v>2</x:v>
      </x:c>
      <x:c r="O4469" s="28" t="n">
        <x:f>MIN(1,L4469/I4469)</x:f>
        <x:v>0.11914499999999999</x:v>
      </x:c>
      <x:c r="P4469" s="30" t="n">
        <x:f>O4469*J4469*(1+M4469)</x:f>
        <x:v>0.1310595</x:v>
      </x:c>
      <x:c r="Q4469" s="30" t="n">
        <x:f>P4469*N4469</x:f>
        <x:v>0.262119</x:v>
      </x:c>
      <x:c r="R4469" s="19" t="str">
        <x:v>独立判定</x:v>
      </x:c>
    </x:row>
    <x:row r="4470" ht="19" customHeight="1">
      <x:c r="A4470" s="19" t="str">
        <x:v>D04466</x:v>
      </x:c>
      <x:c r="B4470" s="19" t="n">
        <x:v>9</x:v>
      </x:c>
      <x:c r="C4470" s="19" t="n">
        <x:v>4</x:v>
      </x:c>
      <x:c r="D4470" s="19" t="str">
        <x:v>C09-M047</x:v>
      </x:c>
      <x:c r="E4470" s="19" t="str">
        <x:v>黄金枢机·赛维兰</x:v>
      </x:c>
      <x:c r="F4470" s="19" t="str">
        <x:v>地图BOSS</x:v>
      </x:c>
      <x:c r="G4470" s="19" t="str">
        <x:v>材料独立候选</x:v>
      </x:c>
      <x:c r="H4470" s="19" t="str">
        <x:v>巨人熔火卢恩</x:v>
      </x:c>
      <x:c r="I4470" s="22" t="n">
        <x:v>1000</x:v>
      </x:c>
      <x:c r="J4470" s="22" t="n">
        <x:v>1</x:v>
      </x:c>
      <x:c r="K4470" s="19" t="n">
        <x:v>1</x:v>
      </x:c>
      <x:c r="L4470" s="24" t="n">
        <x:v>71.487</x:v>
      </x:c>
      <x:c r="M4470" s="26" t="n">
        <x:v>0.1</x:v>
      </x:c>
      <x:c r="N4470" s="24" t="n">
        <x:v>2</x:v>
      </x:c>
      <x:c r="O4470" s="28" t="n">
        <x:f>MIN(1,L4470/I4470)</x:f>
        <x:v>0.071487</x:v>
      </x:c>
      <x:c r="P4470" s="30" t="n">
        <x:f>O4470*J4470*(1+M4470)</x:f>
        <x:v>0.0786357</x:v>
      </x:c>
      <x:c r="Q4470" s="30" t="n">
        <x:f>P4470*N4470</x:f>
        <x:v>0.1572714</x:v>
      </x:c>
      <x:c r="R4470" s="19" t="str">
        <x:v>独立判定</x:v>
      </x:c>
    </x:row>
    <x:row r="4471" ht="19" customHeight="1">
      <x:c r="A4471" s="19" t="str">
        <x:v>D04467</x:v>
      </x:c>
      <x:c r="B4471" s="19" t="n">
        <x:v>9</x:v>
      </x:c>
      <x:c r="C4471" s="19" t="n">
        <x:v>4</x:v>
      </x:c>
      <x:c r="D4471" s="19" t="str">
        <x:v>C09-M047</x:v>
      </x:c>
      <x:c r="E4471" s="19" t="str">
        <x:v>黄金枢机·赛维兰</x:v>
      </x:c>
      <x:c r="F4471" s="19" t="str">
        <x:v>地图BOSS</x:v>
      </x:c>
      <x:c r="G4471" s="19" t="str">
        <x:v>六神器公共池</x:v>
      </x:c>
      <x:c r="H4471" s="19" t="str">
        <x:v>POOL006</x:v>
      </x:c>
      <x:c r="I4471" s="22" t="n">
        <x:v>200000</x:v>
      </x:c>
      <x:c r="J4471" s="22" t="n">
        <x:v>1</x:v>
      </x:c>
      <x:c r="K4471" s="19" t="n">
        <x:v>6</x:v>
      </x:c>
      <x:c r="L4471" s="24" t="n">
        <x:v>71.487</x:v>
      </x:c>
      <x:c r="M4471" s="26" t="n">
        <x:v>0.1</x:v>
      </x:c>
      <x:c r="N4471" s="24" t="n">
        <x:v>2</x:v>
      </x:c>
      <x:c r="O4471" s="28" t="n">
        <x:f>MIN(1,L4471/I4471)</x:f>
        <x:v>0.00035743499999999997</x:v>
      </x:c>
      <x:c r="P4471" s="30" t="n">
        <x:f>O4471*J4471*(1+M4471)</x:f>
        <x:v>0.0003931785</x:v>
      </x:c>
      <x:c r="Q4471" s="30" t="n">
        <x:f>P4471*N4471</x:f>
        <x:v>0.000786357</x:v>
      </x:c>
      <x:c r="R4471" s="19" t="str">
        <x:v>六选一；非6个独立爆率</x:v>
      </x:c>
    </x:row>
    <x:row r="4472" ht="19" customHeight="1">
      <x:c r="A4472" s="19" t="str">
        <x:v>D04468</x:v>
      </x:c>
      <x:c r="B4472" s="19" t="n">
        <x:v>9</x:v>
      </x:c>
      <x:c r="C4472" s="19" t="n">
        <x:v>4</x:v>
      </x:c>
      <x:c r="D4472" s="19" t="str">
        <x:v>C09-M048</x:v>
      </x:c>
      <x:c r="E4472" s="19" t="str">
        <x:v>高原圣母·艾德莉雅</x:v>
      </x:c>
      <x:c r="F4472" s="19" t="str">
        <x:v>地图BOSS</x:v>
      </x:c>
      <x:c r="G4472" s="19" t="str">
        <x:v>自身专属</x:v>
      </x:c>
      <x:c r="H4472" s="19" t="str">
        <x:v>艾德莉雅鎏辉圣衣</x:v>
      </x:c>
      <x:c r="I4472" s="22" t="n">
        <x:v>180</x:v>
      </x:c>
      <x:c r="J4472" s="22" t="n">
        <x:v>1</x:v>
      </x:c>
      <x:c r="K4472" s="19" t="n">
        <x:v>1</x:v>
      </x:c>
      <x:c r="L4472" s="24" t="n">
        <x:v>71.487</x:v>
      </x:c>
      <x:c r="M4472" s="26" t="n">
        <x:v>0.1</x:v>
      </x:c>
      <x:c r="N4472" s="24" t="n">
        <x:v>2</x:v>
      </x:c>
      <x:c r="O4472" s="28" t="n">
        <x:f>MIN(1,L4472/I4472)</x:f>
        <x:v>0.39714999999999995</x:v>
      </x:c>
      <x:c r="P4472" s="30" t="n">
        <x:f>O4472*J4472*(1+M4472)</x:f>
        <x:v>0.436865</x:v>
      </x:c>
      <x:c r="Q4472" s="30" t="n">
        <x:f>P4472*N4472</x:f>
        <x:v>0.87373</x:v>
      </x:c>
      <x:c r="R4472" s="19" t="str">
        <x:v>独立判定</x:v>
      </x:c>
    </x:row>
    <x:row r="4473" ht="19" customHeight="1">
      <x:c r="A4473" s="19" t="str">
        <x:v>D04469</x:v>
      </x:c>
      <x:c r="B4473" s="19" t="n">
        <x:v>9</x:v>
      </x:c>
      <x:c r="C4473" s="19" t="n">
        <x:v>4</x:v>
      </x:c>
      <x:c r="D4473" s="19" t="str">
        <x:v>C09-M048</x:v>
      </x:c>
      <x:c r="E4473" s="19" t="str">
        <x:v>高原圣母·艾德莉雅</x:v>
      </x:c>
      <x:c r="F4473" s="19" t="str">
        <x:v>地图BOSS</x:v>
      </x:c>
      <x:c r="G4473" s="19" t="str">
        <x:v>本图普通兼掉候选</x:v>
      </x:c>
      <x:c r="H4473" s="19" t="str">
        <x:v>POOL075</x:v>
      </x:c>
      <x:c r="I4473" s="22" t="n">
        <x:v>180</x:v>
      </x:c>
      <x:c r="J4473" s="22" t="n">
        <x:v>1</x:v>
      </x:c>
      <x:c r="K4473" s="19" t="n">
        <x:v>1</x:v>
      </x:c>
      <x:c r="L4473" s="24" t="n">
        <x:v>71.487</x:v>
      </x:c>
      <x:c r="M4473" s="26" t="n">
        <x:v>0.1</x:v>
      </x:c>
      <x:c r="N4473" s="24" t="n">
        <x:v>2</x:v>
      </x:c>
      <x:c r="O4473" s="28" t="n">
        <x:f>MIN(1,L4473/I4473)</x:f>
        <x:v>0.39714999999999995</x:v>
      </x:c>
      <x:c r="P4473" s="30" t="n">
        <x:f>O4473*J4473*(1+M4473)</x:f>
        <x:v>0.436865</x:v>
      </x:c>
      <x:c r="Q4473" s="30" t="n">
        <x:f>P4473*N4473</x:f>
        <x:v>0.87373</x:v>
      </x:c>
      <x:c r="R4473" s="19" t="str">
        <x:v>单池选一</x:v>
      </x:c>
    </x:row>
    <x:row r="4474" ht="19" customHeight="1">
      <x:c r="A4474" s="19" t="str">
        <x:v>D04470</x:v>
      </x:c>
      <x:c r="B4474" s="19" t="n">
        <x:v>9</x:v>
      </x:c>
      <x:c r="C4474" s="19" t="n">
        <x:v>4</x:v>
      </x:c>
      <x:c r="D4474" s="19" t="str">
        <x:v>C09-M048</x:v>
      </x:c>
      <x:c r="E4474" s="19" t="str">
        <x:v>高原圣母·艾德莉雅</x:v>
      </x:c>
      <x:c r="F4474" s="19" t="str">
        <x:v>地图BOSS</x:v>
      </x:c>
      <x:c r="G4474" s="19" t="str">
        <x:v>材料独立候选</x:v>
      </x:c>
      <x:c r="H4474" s="19" t="str">
        <x:v>黄金叶脉</x:v>
      </x:c>
      <x:c r="I4474" s="22" t="n">
        <x:v>600</x:v>
      </x:c>
      <x:c r="J4474" s="22" t="n">
        <x:v>30</x:v>
      </x:c>
      <x:c r="K4474" s="19" t="n">
        <x:v>1</x:v>
      </x:c>
      <x:c r="L4474" s="24" t="n">
        <x:v>71.487</x:v>
      </x:c>
      <x:c r="M4474" s="26" t="n">
        <x:v>0.1</x:v>
      </x:c>
      <x:c r="N4474" s="24" t="n">
        <x:v>2</x:v>
      </x:c>
      <x:c r="O4474" s="28" t="n">
        <x:f>MIN(1,L4474/I4474)</x:f>
        <x:v>0.11914499999999999</x:v>
      </x:c>
      <x:c r="P4474" s="30" t="n">
        <x:f>O4474*J4474*(1+M4474)</x:f>
        <x:v>3.9317849999999996</x:v>
      </x:c>
      <x:c r="Q4474" s="30" t="n">
        <x:f>P4474*N4474</x:f>
        <x:v>7.863569999999999</x:v>
      </x:c>
      <x:c r="R4474" s="19" t="str">
        <x:v>独立判定</x:v>
      </x:c>
    </x:row>
    <x:row r="4475" ht="19" customHeight="1">
      <x:c r="A4475" s="19" t="str">
        <x:v>D04471</x:v>
      </x:c>
      <x:c r="B4475" s="19" t="n">
        <x:v>9</x:v>
      </x:c>
      <x:c r="C4475" s="19" t="n">
        <x:v>4</x:v>
      </x:c>
      <x:c r="D4475" s="19" t="str">
        <x:v>C09-M048</x:v>
      </x:c>
      <x:c r="E4475" s="19" t="str">
        <x:v>高原圣母·艾德莉雅</x:v>
      </x:c>
      <x:c r="F4475" s="19" t="str">
        <x:v>地图BOSS</x:v>
      </x:c>
      <x:c r="G4475" s="19" t="str">
        <x:v>材料独立候选</x:v>
      </x:c>
      <x:c r="H4475" s="19" t="str">
        <x:v>古王律页</x:v>
      </x:c>
      <x:c r="I4475" s="22" t="n">
        <x:v>600</x:v>
      </x:c>
      <x:c r="J4475" s="22" t="n">
        <x:v>1</x:v>
      </x:c>
      <x:c r="K4475" s="19" t="n">
        <x:v>1</x:v>
      </x:c>
      <x:c r="L4475" s="24" t="n">
        <x:v>71.487</x:v>
      </x:c>
      <x:c r="M4475" s="26" t="n">
        <x:v>0.1</x:v>
      </x:c>
      <x:c r="N4475" s="24" t="n">
        <x:v>2</x:v>
      </x:c>
      <x:c r="O4475" s="28" t="n">
        <x:f>MIN(1,L4475/I4475)</x:f>
        <x:v>0.11914499999999999</x:v>
      </x:c>
      <x:c r="P4475" s="30" t="n">
        <x:f>O4475*J4475*(1+M4475)</x:f>
        <x:v>0.1310595</x:v>
      </x:c>
      <x:c r="Q4475" s="30" t="n">
        <x:f>P4475*N4475</x:f>
        <x:v>0.262119</x:v>
      </x:c>
      <x:c r="R4475" s="19" t="str">
        <x:v>独立判定</x:v>
      </x:c>
    </x:row>
    <x:row r="4476" ht="19" customHeight="1">
      <x:c r="A4476" s="19" t="str">
        <x:v>D04472</x:v>
      </x:c>
      <x:c r="B4476" s="19" t="n">
        <x:v>9</x:v>
      </x:c>
      <x:c r="C4476" s="19" t="n">
        <x:v>4</x:v>
      </x:c>
      <x:c r="D4476" s="19" t="str">
        <x:v>C09-M048</x:v>
      </x:c>
      <x:c r="E4476" s="19" t="str">
        <x:v>高原圣母·艾德莉雅</x:v>
      </x:c>
      <x:c r="F4476" s="19" t="str">
        <x:v>地图BOSS</x:v>
      </x:c>
      <x:c r="G4476" s="19" t="str">
        <x:v>材料独立候选</x:v>
      </x:c>
      <x:c r="H4476" s="19" t="str">
        <x:v>黄金律印</x:v>
      </x:c>
      <x:c r="I4476" s="22" t="n">
        <x:v>300</x:v>
      </x:c>
      <x:c r="J4476" s="22" t="n">
        <x:v>7</x:v>
      </x:c>
      <x:c r="K4476" s="19" t="n">
        <x:v>1</x:v>
      </x:c>
      <x:c r="L4476" s="24" t="n">
        <x:v>71.487</x:v>
      </x:c>
      <x:c r="M4476" s="26" t="n">
        <x:v>0.1</x:v>
      </x:c>
      <x:c r="N4476" s="24" t="n">
        <x:v>2</x:v>
      </x:c>
      <x:c r="O4476" s="28" t="n">
        <x:f>MIN(1,L4476/I4476)</x:f>
        <x:v>0.23828999999999997</x:v>
      </x:c>
      <x:c r="P4476" s="30" t="n">
        <x:f>O4476*J4476*(1+M4476)</x:f>
        <x:v>1.834833</x:v>
      </x:c>
      <x:c r="Q4476" s="30" t="n">
        <x:f>P4476*N4476</x:f>
        <x:v>3.669666</x:v>
      </x:c>
      <x:c r="R4476" s="19" t="str">
        <x:v>独立判定</x:v>
      </x:c>
    </x:row>
    <x:row r="4477" ht="19" customHeight="1">
      <x:c r="A4477" s="19" t="str">
        <x:v>D04473</x:v>
      </x:c>
      <x:c r="B4477" s="19" t="n">
        <x:v>9</x:v>
      </x:c>
      <x:c r="C4477" s="19" t="n">
        <x:v>4</x:v>
      </x:c>
      <x:c r="D4477" s="19" t="str">
        <x:v>C09-M048</x:v>
      </x:c>
      <x:c r="E4477" s="19" t="str">
        <x:v>高原圣母·艾德莉雅</x:v>
      </x:c>
      <x:c r="F4477" s="19" t="str">
        <x:v>地图BOSS</x:v>
      </x:c>
      <x:c r="G4477" s="19" t="str">
        <x:v>材料独立候选</x:v>
      </x:c>
      <x:c r="H4477" s="19" t="str">
        <x:v>裁文蜡封</x:v>
      </x:c>
      <x:c r="I4477" s="22" t="n">
        <x:v>300</x:v>
      </x:c>
      <x:c r="J4477" s="22" t="n">
        <x:v>3</x:v>
      </x:c>
      <x:c r="K4477" s="19" t="n">
        <x:v>1</x:v>
      </x:c>
      <x:c r="L4477" s="24" t="n">
        <x:v>71.487</x:v>
      </x:c>
      <x:c r="M4477" s="26" t="n">
        <x:v>0.1</x:v>
      </x:c>
      <x:c r="N4477" s="24" t="n">
        <x:v>2</x:v>
      </x:c>
      <x:c r="O4477" s="28" t="n">
        <x:f>MIN(1,L4477/I4477)</x:f>
        <x:v>0.23828999999999997</x:v>
      </x:c>
      <x:c r="P4477" s="30" t="n">
        <x:f>O4477*J4477*(1+M4477)</x:f>
        <x:v>0.786357</x:v>
      </x:c>
      <x:c r="Q4477" s="30" t="n">
        <x:f>P4477*N4477</x:f>
        <x:v>1.572714</x:v>
      </x:c>
      <x:c r="R4477" s="19" t="str">
        <x:v>独立判定</x:v>
      </x:c>
    </x:row>
    <x:row r="4478" ht="19" customHeight="1">
      <x:c r="A4478" s="19" t="str">
        <x:v>D04474</x:v>
      </x:c>
      <x:c r="B4478" s="19" t="n">
        <x:v>9</x:v>
      </x:c>
      <x:c r="C4478" s="19" t="n">
        <x:v>4</x:v>
      </x:c>
      <x:c r="D4478" s="19" t="str">
        <x:v>C09-M048</x:v>
      </x:c>
      <x:c r="E4478" s="19" t="str">
        <x:v>高原圣母·艾德莉雅</x:v>
      </x:c>
      <x:c r="F4478" s="19" t="str">
        <x:v>地图BOSS</x:v>
      </x:c>
      <x:c r="G4478" s="19" t="str">
        <x:v>材料独立候选</x:v>
      </x:c>
      <x:c r="H4478" s="19" t="str">
        <x:v>古坛鎏叶髓</x:v>
      </x:c>
      <x:c r="I4478" s="22" t="n">
        <x:v>1000000</x:v>
      </x:c>
      <x:c r="J4478" s="22" t="n">
        <x:v>1</x:v>
      </x:c>
      <x:c r="K4478" s="19" t="n">
        <x:v>1</x:v>
      </x:c>
      <x:c r="L4478" s="24" t="n">
        <x:v>71.487</x:v>
      </x:c>
      <x:c r="M4478" s="26" t="n">
        <x:v>0.1</x:v>
      </x:c>
      <x:c r="N4478" s="24" t="n">
        <x:v>2</x:v>
      </x:c>
      <x:c r="O4478" s="28" t="n">
        <x:f>MIN(1,L4478/I4478)</x:f>
        <x:v>0.00007148699999999999</x:v>
      </x:c>
      <x:c r="P4478" s="30" t="n">
        <x:f>O4478*J4478*(1+M4478)</x:f>
        <x:v>0.00007863569999999999</x:v>
      </x:c>
      <x:c r="Q4478" s="30" t="n">
        <x:f>P4478*N4478</x:f>
        <x:v>0.00015727139999999998</x:v>
      </x:c>
      <x:c r="R4478" s="19" t="str">
        <x:v>独立判定</x:v>
      </x:c>
    </x:row>
    <x:row r="4479" ht="19" customHeight="1">
      <x:c r="A4479" s="19" t="str">
        <x:v>D04475</x:v>
      </x:c>
      <x:c r="B4479" s="19" t="n">
        <x:v>9</x:v>
      </x:c>
      <x:c r="C4479" s="19" t="n">
        <x:v>4</x:v>
      </x:c>
      <x:c r="D4479" s="19" t="str">
        <x:v>C09-M048</x:v>
      </x:c>
      <x:c r="E4479" s="19" t="str">
        <x:v>高原圣母·艾德莉雅</x:v>
      </x:c>
      <x:c r="F4479" s="19" t="str">
        <x:v>地图BOSS</x:v>
      </x:c>
      <x:c r="G4479" s="19" t="str">
        <x:v>材料独立候选</x:v>
      </x:c>
      <x:c r="H4479" s="19" t="str">
        <x:v>黄金树芽</x:v>
      </x:c>
      <x:c r="I4479" s="22" t="n">
        <x:v>8000</x:v>
      </x:c>
      <x:c r="J4479" s="22" t="n">
        <x:v>1</x:v>
      </x:c>
      <x:c r="K4479" s="19" t="n">
        <x:v>1</x:v>
      </x:c>
      <x:c r="L4479" s="24" t="n">
        <x:v>71.487</x:v>
      </x:c>
      <x:c r="M4479" s="26" t="n">
        <x:v>0.1</x:v>
      </x:c>
      <x:c r="N4479" s="24" t="n">
        <x:v>2</x:v>
      </x:c>
      <x:c r="O4479" s="28" t="n">
        <x:f>MIN(1,L4479/I4479)</x:f>
        <x:v>0.008935875</x:v>
      </x:c>
      <x:c r="P4479" s="30" t="n">
        <x:f>O4479*J4479*(1+M4479)</x:f>
        <x:v>0.0098294625</x:v>
      </x:c>
      <x:c r="Q4479" s="30" t="n">
        <x:f>P4479*N4479</x:f>
        <x:v>0.019658925</x:v>
      </x:c>
      <x:c r="R4479" s="19" t="str">
        <x:v>独立判定</x:v>
      </x:c>
    </x:row>
    <x:row r="4480" ht="19" customHeight="1">
      <x:c r="A4480" s="19" t="str">
        <x:v>D04476</x:v>
      </x:c>
      <x:c r="B4480" s="19" t="n">
        <x:v>9</x:v>
      </x:c>
      <x:c r="C4480" s="19" t="n">
        <x:v>4</x:v>
      </x:c>
      <x:c r="D4480" s="19" t="str">
        <x:v>C09-M048</x:v>
      </x:c>
      <x:c r="E4480" s="19" t="str">
        <x:v>高原圣母·艾德莉雅</x:v>
      </x:c>
      <x:c r="F4480" s="19" t="str">
        <x:v>地图BOSS</x:v>
      </x:c>
      <x:c r="G4480" s="19" t="str">
        <x:v>材料独立候选</x:v>
      </x:c>
      <x:c r="H4480" s="19" t="str">
        <x:v>野兽骨片</x:v>
      </x:c>
      <x:c r="I4480" s="22" t="n">
        <x:v>120</x:v>
      </x:c>
      <x:c r="J4480" s="22" t="n">
        <x:v>5</x:v>
      </x:c>
      <x:c r="K4480" s="19" t="n">
        <x:v>1</x:v>
      </x:c>
      <x:c r="L4480" s="24" t="n">
        <x:v>71.487</x:v>
      </x:c>
      <x:c r="M4480" s="26" t="n">
        <x:v>0.1</x:v>
      </x:c>
      <x:c r="N4480" s="24" t="n">
        <x:v>2</x:v>
      </x:c>
      <x:c r="O4480" s="28" t="n">
        <x:f>MIN(1,L4480/I4480)</x:f>
        <x:v>0.595725</x:v>
      </x:c>
      <x:c r="P4480" s="30" t="n">
        <x:f>O4480*J4480*(1+M4480)</x:f>
        <x:v>3.2764875</x:v>
      </x:c>
      <x:c r="Q4480" s="30" t="n">
        <x:f>P4480*N4480</x:f>
        <x:v>6.552975</x:v>
      </x:c>
      <x:c r="R4480" s="19" t="str">
        <x:v>独立判定</x:v>
      </x:c>
    </x:row>
    <x:row r="4481" ht="19" customHeight="1">
      <x:c r="A4481" s="19" t="str">
        <x:v>D04477</x:v>
      </x:c>
      <x:c r="B4481" s="19" t="n">
        <x:v>9</x:v>
      </x:c>
      <x:c r="C4481" s="19" t="n">
        <x:v>4</x:v>
      </x:c>
      <x:c r="D4481" s="19" t="str">
        <x:v>C09-M048</x:v>
      </x:c>
      <x:c r="E4481" s="19" t="str">
        <x:v>高原圣母·艾德莉雅</x:v>
      </x:c>
      <x:c r="F4481" s="19" t="str">
        <x:v>地图BOSS</x:v>
      </x:c>
      <x:c r="G4481" s="19" t="str">
        <x:v>材料独立候选</x:v>
      </x:c>
      <x:c r="H4481" s="19" t="str">
        <x:v>技能残页</x:v>
      </x:c>
      <x:c r="I4481" s="22" t="n">
        <x:v>1000</x:v>
      </x:c>
      <x:c r="J4481" s="22" t="n">
        <x:v>1</x:v>
      </x:c>
      <x:c r="K4481" s="19" t="n">
        <x:v>1</x:v>
      </x:c>
      <x:c r="L4481" s="24" t="n">
        <x:v>71.487</x:v>
      </x:c>
      <x:c r="M4481" s="26" t="n">
        <x:v>0.1</x:v>
      </x:c>
      <x:c r="N4481" s="24" t="n">
        <x:v>2</x:v>
      </x:c>
      <x:c r="O4481" s="28" t="n">
        <x:f>MIN(1,L4481/I4481)</x:f>
        <x:v>0.071487</x:v>
      </x:c>
      <x:c r="P4481" s="30" t="n">
        <x:f>O4481*J4481*(1+M4481)</x:f>
        <x:v>0.0786357</x:v>
      </x:c>
      <x:c r="Q4481" s="30" t="n">
        <x:f>P4481*N4481</x:f>
        <x:v>0.1572714</x:v>
      </x:c>
      <x:c r="R4481" s="19" t="str">
        <x:v>独立判定</x:v>
      </x:c>
    </x:row>
    <x:row r="4482" ht="19" customHeight="1">
      <x:c r="A4482" s="19" t="str">
        <x:v>D04478</x:v>
      </x:c>
      <x:c r="B4482" s="19" t="n">
        <x:v>9</x:v>
      </x:c>
      <x:c r="C4482" s="19" t="n">
        <x:v>4</x:v>
      </x:c>
      <x:c r="D4482" s="19" t="str">
        <x:v>C09-M048</x:v>
      </x:c>
      <x:c r="E4482" s="19" t="str">
        <x:v>高原圣母·艾德莉雅</x:v>
      </x:c>
      <x:c r="F4482" s="19" t="str">
        <x:v>地图BOSS</x:v>
      </x:c>
      <x:c r="G4482" s="19" t="str">
        <x:v>材料独立候选</x:v>
      </x:c>
      <x:c r="H4482" s="19" t="str">
        <x:v>宁姆格福誓页</x:v>
      </x:c>
      <x:c r="I4482" s="22" t="n">
        <x:v>1000</x:v>
      </x:c>
      <x:c r="J4482" s="22" t="n">
        <x:v>1</x:v>
      </x:c>
      <x:c r="K4482" s="19" t="n">
        <x:v>1</x:v>
      </x:c>
      <x:c r="L4482" s="24" t="n">
        <x:v>71.487</x:v>
      </x:c>
      <x:c r="M4482" s="26" t="n">
        <x:v>0.1</x:v>
      </x:c>
      <x:c r="N4482" s="24" t="n">
        <x:v>2</x:v>
      </x:c>
      <x:c r="O4482" s="28" t="n">
        <x:f>MIN(1,L4482/I4482)</x:f>
        <x:v>0.071487</x:v>
      </x:c>
      <x:c r="P4482" s="30" t="n">
        <x:f>O4482*J4482*(1+M4482)</x:f>
        <x:v>0.0786357</x:v>
      </x:c>
      <x:c r="Q4482" s="30" t="n">
        <x:f>P4482*N4482</x:f>
        <x:v>0.1572714</x:v>
      </x:c>
      <x:c r="R4482" s="19" t="str">
        <x:v>独立判定</x:v>
      </x:c>
    </x:row>
    <x:row r="4483" ht="19" customHeight="1">
      <x:c r="A4483" s="19" t="str">
        <x:v>D04479</x:v>
      </x:c>
      <x:c r="B4483" s="19" t="n">
        <x:v>9</x:v>
      </x:c>
      <x:c r="C4483" s="19" t="n">
        <x:v>4</x:v>
      </x:c>
      <x:c r="D4483" s="19" t="str">
        <x:v>C09-M048</x:v>
      </x:c>
      <x:c r="E4483" s="19" t="str">
        <x:v>高原圣母·艾德莉雅</x:v>
      </x:c>
      <x:c r="F4483" s="19" t="str">
        <x:v>地图BOSS</x:v>
      </x:c>
      <x:c r="G4483" s="19" t="str">
        <x:v>材料独立候选</x:v>
      </x:c>
      <x:c r="H4483" s="19" t="str">
        <x:v>小卢恩</x:v>
      </x:c>
      <x:c r="I4483" s="22" t="n">
        <x:v>6000</x:v>
      </x:c>
      <x:c r="J4483" s="22" t="n">
        <x:v>1</x:v>
      </x:c>
      <x:c r="K4483" s="19" t="n">
        <x:v>1</x:v>
      </x:c>
      <x:c r="L4483" s="24" t="n">
        <x:v>71.487</x:v>
      </x:c>
      <x:c r="M4483" s="26" t="n">
        <x:v>0.1</x:v>
      </x:c>
      <x:c r="N4483" s="24" t="n">
        <x:v>2</x:v>
      </x:c>
      <x:c r="O4483" s="28" t="n">
        <x:f>MIN(1,L4483/I4483)</x:f>
        <x:v>0.0119145</x:v>
      </x:c>
      <x:c r="P4483" s="30" t="n">
        <x:f>O4483*J4483*(1+M4483)</x:f>
        <x:v>0.013105950000000002</x:v>
      </x:c>
      <x:c r="Q4483" s="30" t="n">
        <x:f>P4483*N4483</x:f>
        <x:v>0.026211900000000003</x:v>
      </x:c>
      <x:c r="R4483" s="19" t="str">
        <x:v>独立判定</x:v>
      </x:c>
    </x:row>
    <x:row r="4484" ht="19" customHeight="1">
      <x:c r="A4484" s="19" t="str">
        <x:v>D04480</x:v>
      </x:c>
      <x:c r="B4484" s="19" t="n">
        <x:v>9</x:v>
      </x:c>
      <x:c r="C4484" s="19" t="n">
        <x:v>4</x:v>
      </x:c>
      <x:c r="D4484" s="19" t="str">
        <x:v>C09-M048</x:v>
      </x:c>
      <x:c r="E4484" s="19" t="str">
        <x:v>高原圣母·艾德莉雅</x:v>
      </x:c>
      <x:c r="F4484" s="19" t="str">
        <x:v>地图BOSS</x:v>
      </x:c>
      <x:c r="G4484" s="19" t="str">
        <x:v>材料独立候选</x:v>
      </x:c>
      <x:c r="H4484" s="19" t="str">
        <x:v>大卢恩</x:v>
      </x:c>
      <x:c r="I4484" s="22" t="n">
        <x:v>600</x:v>
      </x:c>
      <x:c r="J4484" s="22" t="n">
        <x:v>1</x:v>
      </x:c>
      <x:c r="K4484" s="19" t="n">
        <x:v>1</x:v>
      </x:c>
      <x:c r="L4484" s="24" t="n">
        <x:v>71.487</x:v>
      </x:c>
      <x:c r="M4484" s="26" t="n">
        <x:v>0.1</x:v>
      </x:c>
      <x:c r="N4484" s="24" t="n">
        <x:v>2</x:v>
      </x:c>
      <x:c r="O4484" s="28" t="n">
        <x:f>MIN(1,L4484/I4484)</x:f>
        <x:v>0.11914499999999999</x:v>
      </x:c>
      <x:c r="P4484" s="30" t="n">
        <x:f>O4484*J4484*(1+M4484)</x:f>
        <x:v>0.1310595</x:v>
      </x:c>
      <x:c r="Q4484" s="30" t="n">
        <x:f>P4484*N4484</x:f>
        <x:v>0.262119</x:v>
      </x:c>
      <x:c r="R4484" s="19" t="str">
        <x:v>独立判定</x:v>
      </x:c>
    </x:row>
    <x:row r="4485" ht="19" customHeight="1">
      <x:c r="A4485" s="19" t="str">
        <x:v>D04481</x:v>
      </x:c>
      <x:c r="B4485" s="19" t="n">
        <x:v>9</x:v>
      </x:c>
      <x:c r="C4485" s="19" t="n">
        <x:v>4</x:v>
      </x:c>
      <x:c r="D4485" s="19" t="str">
        <x:v>C09-M048</x:v>
      </x:c>
      <x:c r="E4485" s="19" t="str">
        <x:v>高原圣母·艾德莉雅</x:v>
      </x:c>
      <x:c r="F4485" s="19" t="str">
        <x:v>地图BOSS</x:v>
      </x:c>
      <x:c r="G4485" s="19" t="str">
        <x:v>材料独立候选</x:v>
      </x:c>
      <x:c r="H4485" s="19" t="str">
        <x:v>巨人熔火卢恩</x:v>
      </x:c>
      <x:c r="I4485" s="22" t="n">
        <x:v>1000</x:v>
      </x:c>
      <x:c r="J4485" s="22" t="n">
        <x:v>1</x:v>
      </x:c>
      <x:c r="K4485" s="19" t="n">
        <x:v>1</x:v>
      </x:c>
      <x:c r="L4485" s="24" t="n">
        <x:v>71.487</x:v>
      </x:c>
      <x:c r="M4485" s="26" t="n">
        <x:v>0.1</x:v>
      </x:c>
      <x:c r="N4485" s="24" t="n">
        <x:v>2</x:v>
      </x:c>
      <x:c r="O4485" s="28" t="n">
        <x:f>MIN(1,L4485/I4485)</x:f>
        <x:v>0.071487</x:v>
      </x:c>
      <x:c r="P4485" s="30" t="n">
        <x:f>O4485*J4485*(1+M4485)</x:f>
        <x:v>0.0786357</x:v>
      </x:c>
      <x:c r="Q4485" s="30" t="n">
        <x:f>P4485*N4485</x:f>
        <x:v>0.1572714</x:v>
      </x:c>
      <x:c r="R4485" s="19" t="str">
        <x:v>独立判定</x:v>
      </x:c>
    </x:row>
    <x:row r="4486" ht="19" customHeight="1">
      <x:c r="A4486" s="19" t="str">
        <x:v>D04482</x:v>
      </x:c>
      <x:c r="B4486" s="19" t="n">
        <x:v>9</x:v>
      </x:c>
      <x:c r="C4486" s="19" t="n">
        <x:v>4</x:v>
      </x:c>
      <x:c r="D4486" s="19" t="str">
        <x:v>C09-M048</x:v>
      </x:c>
      <x:c r="E4486" s="19" t="str">
        <x:v>高原圣母·艾德莉雅</x:v>
      </x:c>
      <x:c r="F4486" s="19" t="str">
        <x:v>地图BOSS</x:v>
      </x:c>
      <x:c r="G4486" s="19" t="str">
        <x:v>六神器公共池</x:v>
      </x:c>
      <x:c r="H4486" s="19" t="str">
        <x:v>POOL006</x:v>
      </x:c>
      <x:c r="I4486" s="22" t="n">
        <x:v>200000</x:v>
      </x:c>
      <x:c r="J4486" s="22" t="n">
        <x:v>1</x:v>
      </x:c>
      <x:c r="K4486" s="19" t="n">
        <x:v>6</x:v>
      </x:c>
      <x:c r="L4486" s="24" t="n">
        <x:v>71.487</x:v>
      </x:c>
      <x:c r="M4486" s="26" t="n">
        <x:v>0.1</x:v>
      </x:c>
      <x:c r="N4486" s="24" t="n">
        <x:v>2</x:v>
      </x:c>
      <x:c r="O4486" s="28" t="n">
        <x:f>MIN(1,L4486/I4486)</x:f>
        <x:v>0.00035743499999999997</x:v>
      </x:c>
      <x:c r="P4486" s="30" t="n">
        <x:f>O4486*J4486*(1+M4486)</x:f>
        <x:v>0.0003931785</x:v>
      </x:c>
      <x:c r="Q4486" s="30" t="n">
        <x:f>P4486*N4486</x:f>
        <x:v>0.000786357</x:v>
      </x:c>
      <x:c r="R4486" s="19" t="str">
        <x:v>六选一；非6个独立爆率</x:v>
      </x:c>
    </x:row>
    <x:row r="4487" ht="19" customHeight="1">
      <x:c r="A4487" s="19" t="str">
        <x:v>D04483</x:v>
      </x:c>
      <x:c r="B4487" s="19" t="n">
        <x:v>9</x:v>
      </x:c>
      <x:c r="C4487" s="19" t="n">
        <x:v>5</x:v>
      </x:c>
      <x:c r="D4487" s="19" t="str">
        <x:v>C09-M049</x:v>
      </x:c>
      <x:c r="E4487" s="19" t="str">
        <x:v>外垒铆甲兵</x:v>
      </x:c>
      <x:c r="F4487" s="19" t="str">
        <x:v>普通</x:v>
      </x:c>
      <x:c r="G4487" s="19" t="str">
        <x:v>自身专属</x:v>
      </x:c>
      <x:c r="H4487" s="19" t="str">
        <x:v>铆甲兵垒盾</x:v>
      </x:c>
      <x:c r="I4487" s="22" t="n">
        <x:v>8000</x:v>
      </x:c>
      <x:c r="J4487" s="22" t="n">
        <x:v>1</x:v>
      </x:c>
      <x:c r="K4487" s="19" t="n">
        <x:v>1</x:v>
      </x:c>
      <x:c r="L4487" s="24" t="n">
        <x:v>74.05799999999999</x:v>
      </x:c>
      <x:c r="M4487" s="26" t="n">
        <x:v>0.1</x:v>
      </x:c>
      <x:c r="N4487" s="24" t="n">
        <x:v>72</x:v>
      </x:c>
      <x:c r="O4487" s="28" t="n">
        <x:f>MIN(1,L4487/I4487)</x:f>
        <x:v>0.00925725</x:v>
      </x:c>
      <x:c r="P4487" s="30" t="n">
        <x:f>O4487*J4487*(1+M4487)</x:f>
        <x:v>0.010182975</x:v>
      </x:c>
      <x:c r="Q4487" s="30" t="n">
        <x:f>P4487*N4487</x:f>
        <x:v>0.7331742</x:v>
      </x:c>
      <x:c r="R4487" s="19" t="str">
        <x:v>独立判定</x:v>
      </x:c>
    </x:row>
    <x:row r="4488" ht="19" customHeight="1">
      <x:c r="A4488" s="19" t="str">
        <x:v>D04484</x:v>
      </x:c>
      <x:c r="B4488" s="19" t="n">
        <x:v>9</x:v>
      </x:c>
      <x:c r="C4488" s="19" t="n">
        <x:v>5</x:v>
      </x:c>
      <x:c r="D4488" s="19" t="str">
        <x:v>C09-M049</x:v>
      </x:c>
      <x:c r="E4488" s="19" t="str">
        <x:v>外垒铆甲兵</x:v>
      </x:c>
      <x:c r="F4488" s="19" t="str">
        <x:v>普通</x:v>
      </x:c>
      <x:c r="G4488" s="19" t="str">
        <x:v>材料独立候选</x:v>
      </x:c>
      <x:c r="H4488" s="19" t="str">
        <x:v>黄金叶脉</x:v>
      </x:c>
      <x:c r="I4488" s="22" t="n">
        <x:v>1800</x:v>
      </x:c>
      <x:c r="J4488" s="22" t="n">
        <x:v>8</x:v>
      </x:c>
      <x:c r="K4488" s="19" t="n">
        <x:v>1</x:v>
      </x:c>
      <x:c r="L4488" s="24" t="n">
        <x:v>74.05799999999999</x:v>
      </x:c>
      <x:c r="M4488" s="26" t="n">
        <x:v>0.1</x:v>
      </x:c>
      <x:c r="N4488" s="24" t="n">
        <x:v>72</x:v>
      </x:c>
      <x:c r="O4488" s="28" t="n">
        <x:f>MIN(1,L4488/I4488)</x:f>
        <x:v>0.04114333333333333</x:v>
      </x:c>
      <x:c r="P4488" s="30" t="n">
        <x:f>O4488*J4488*(1+M4488)</x:f>
        <x:v>0.36206133333333335</x:v>
      </x:c>
      <x:c r="Q4488" s="30" t="n">
        <x:f>P4488*N4488</x:f>
        <x:v>26.068416</x:v>
      </x:c>
      <x:c r="R4488" s="19" t="str">
        <x:v>独立判定</x:v>
      </x:c>
    </x:row>
    <x:row r="4489" ht="19" customHeight="1">
      <x:c r="A4489" s="19" t="str">
        <x:v>D04485</x:v>
      </x:c>
      <x:c r="B4489" s="19" t="n">
        <x:v>9</x:v>
      </x:c>
      <x:c r="C4489" s="19" t="n">
        <x:v>5</x:v>
      </x:c>
      <x:c r="D4489" s="19" t="str">
        <x:v>C09-M049</x:v>
      </x:c>
      <x:c r="E4489" s="19" t="str">
        <x:v>外垒铆甲兵</x:v>
      </x:c>
      <x:c r="F4489" s="19" t="str">
        <x:v>普通</x:v>
      </x:c>
      <x:c r="G4489" s="19" t="str">
        <x:v>材料独立候选</x:v>
      </x:c>
      <x:c r="H4489" s="19" t="str">
        <x:v>金叶驿票</x:v>
      </x:c>
      <x:c r="I4489" s="22" t="n">
        <x:v>20000</x:v>
      </x:c>
      <x:c r="J4489" s="22" t="n">
        <x:v>1</x:v>
      </x:c>
      <x:c r="K4489" s="19" t="n">
        <x:v>1</x:v>
      </x:c>
      <x:c r="L4489" s="24" t="n">
        <x:v>74.05799999999999</x:v>
      </x:c>
      <x:c r="M4489" s="26" t="n">
        <x:v>0.1</x:v>
      </x:c>
      <x:c r="N4489" s="24" t="n">
        <x:v>72</x:v>
      </x:c>
      <x:c r="O4489" s="28" t="n">
        <x:f>MIN(1,L4489/I4489)</x:f>
        <x:v>0.0037028999999999994</x:v>
      </x:c>
      <x:c r="P4489" s="30" t="n">
        <x:f>O4489*J4489*(1+M4489)</x:f>
        <x:v>0.00407319</x:v>
      </x:c>
      <x:c r="Q4489" s="30" t="n">
        <x:f>P4489*N4489</x:f>
        <x:v>0.29326968</x:v>
      </x:c>
      <x:c r="R4489" s="19" t="str">
        <x:v>独立判定</x:v>
      </x:c>
    </x:row>
    <x:row r="4490" ht="19" customHeight="1">
      <x:c r="A4490" s="19" t="str">
        <x:v>D04486</x:v>
      </x:c>
      <x:c r="B4490" s="19" t="n">
        <x:v>9</x:v>
      </x:c>
      <x:c r="C4490" s="19" t="n">
        <x:v>5</x:v>
      </x:c>
      <x:c r="D4490" s="19" t="str">
        <x:v>C09-M049</x:v>
      </x:c>
      <x:c r="E4490" s="19" t="str">
        <x:v>外垒铆甲兵</x:v>
      </x:c>
      <x:c r="F4490" s="19" t="str">
        <x:v>普通</x:v>
      </x:c>
      <x:c r="G4490" s="19" t="str">
        <x:v>材料独立候选</x:v>
      </x:c>
      <x:c r="H4490" s="19" t="str">
        <x:v>古坛鎏叶髓</x:v>
      </x:c>
      <x:c r="I4490" s="22" t="n">
        <x:v>3000000</x:v>
      </x:c>
      <x:c r="J4490" s="22" t="n">
        <x:v>1</x:v>
      </x:c>
      <x:c r="K4490" s="19" t="n">
        <x:v>1</x:v>
      </x:c>
      <x:c r="L4490" s="24" t="n">
        <x:v>74.05799999999999</x:v>
      </x:c>
      <x:c r="M4490" s="26" t="n">
        <x:v>0.1</x:v>
      </x:c>
      <x:c r="N4490" s="24" t="n">
        <x:v>72</x:v>
      </x:c>
      <x:c r="O4490" s="28" t="n">
        <x:f>MIN(1,L4490/I4490)</x:f>
        <x:v>0.000024685999999999997</x:v>
      </x:c>
      <x:c r="P4490" s="30" t="n">
        <x:f>O4490*J4490*(1+M4490)</x:f>
        <x:v>0.0000271546</x:v>
      </x:c>
      <x:c r="Q4490" s="30" t="n">
        <x:f>P4490*N4490</x:f>
        <x:v>0.0019551311999999998</x:v>
      </x:c>
      <x:c r="R4490" s="19" t="str">
        <x:v>独立判定</x:v>
      </x:c>
    </x:row>
    <x:row r="4491" ht="19" customHeight="1">
      <x:c r="A4491" s="19" t="str">
        <x:v>D04487</x:v>
      </x:c>
      <x:c r="B4491" s="19" t="n">
        <x:v>9</x:v>
      </x:c>
      <x:c r="C4491" s="19" t="n">
        <x:v>5</x:v>
      </x:c>
      <x:c r="D4491" s="19" t="str">
        <x:v>C09-M049</x:v>
      </x:c>
      <x:c r="E4491" s="19" t="str">
        <x:v>外垒铆甲兵</x:v>
      </x:c>
      <x:c r="F4491" s="19" t="str">
        <x:v>普通</x:v>
      </x:c>
      <x:c r="G4491" s="19" t="str">
        <x:v>材料独立候选</x:v>
      </x:c>
      <x:c r="H4491" s="19" t="str">
        <x:v>野兽骨片</x:v>
      </x:c>
      <x:c r="I4491" s="22" t="n">
        <x:v>400</x:v>
      </x:c>
      <x:c r="J4491" s="22" t="n">
        <x:v>5</x:v>
      </x:c>
      <x:c r="K4491" s="19" t="n">
        <x:v>1</x:v>
      </x:c>
      <x:c r="L4491" s="24" t="n">
        <x:v>74.05799999999999</x:v>
      </x:c>
      <x:c r="M4491" s="26" t="n">
        <x:v>0.1</x:v>
      </x:c>
      <x:c r="N4491" s="24" t="n">
        <x:v>72</x:v>
      </x:c>
      <x:c r="O4491" s="28" t="n">
        <x:f>MIN(1,L4491/I4491)</x:f>
        <x:v>0.18514499999999998</x:v>
      </x:c>
      <x:c r="P4491" s="30" t="n">
        <x:f>O4491*J4491*(1+M4491)</x:f>
        <x:v>1.0182975</x:v>
      </x:c>
      <x:c r="Q4491" s="30" t="n">
        <x:f>P4491*N4491</x:f>
        <x:v>73.31742</x:v>
      </x:c>
      <x:c r="R4491" s="19" t="str">
        <x:v>独立判定</x:v>
      </x:c>
    </x:row>
    <x:row r="4492" ht="19" customHeight="1">
      <x:c r="A4492" s="19" t="str">
        <x:v>D04488</x:v>
      </x:c>
      <x:c r="B4492" s="19" t="n">
        <x:v>9</x:v>
      </x:c>
      <x:c r="C4492" s="19" t="n">
        <x:v>5</x:v>
      </x:c>
      <x:c r="D4492" s="19" t="str">
        <x:v>C09-M049</x:v>
      </x:c>
      <x:c r="E4492" s="19" t="str">
        <x:v>外垒铆甲兵</x:v>
      </x:c>
      <x:c r="F4492" s="19" t="str">
        <x:v>普通</x:v>
      </x:c>
      <x:c r="G4492" s="19" t="str">
        <x:v>材料独立候选</x:v>
      </x:c>
      <x:c r="H4492" s="19" t="str">
        <x:v>技能残页</x:v>
      </x:c>
      <x:c r="I4492" s="22" t="n">
        <x:v>3000</x:v>
      </x:c>
      <x:c r="J4492" s="22" t="n">
        <x:v>1</x:v>
      </x:c>
      <x:c r="K4492" s="19" t="n">
        <x:v>1</x:v>
      </x:c>
      <x:c r="L4492" s="24" t="n">
        <x:v>74.05799999999999</x:v>
      </x:c>
      <x:c r="M4492" s="26" t="n">
        <x:v>0.1</x:v>
      </x:c>
      <x:c r="N4492" s="24" t="n">
        <x:v>72</x:v>
      </x:c>
      <x:c r="O4492" s="28" t="n">
        <x:f>MIN(1,L4492/I4492)</x:f>
        <x:v>0.024685999999999996</x:v>
      </x:c>
      <x:c r="P4492" s="30" t="n">
        <x:f>O4492*J4492*(1+M4492)</x:f>
        <x:v>0.027154599999999997</x:v>
      </x:c>
      <x:c r="Q4492" s="30" t="n">
        <x:f>P4492*N4492</x:f>
        <x:v>1.9551311999999998</x:v>
      </x:c>
      <x:c r="R4492" s="19" t="str">
        <x:v>独立判定</x:v>
      </x:c>
    </x:row>
    <x:row r="4493" ht="19" customHeight="1">
      <x:c r="A4493" s="19" t="str">
        <x:v>D04489</x:v>
      </x:c>
      <x:c r="B4493" s="19" t="n">
        <x:v>9</x:v>
      </x:c>
      <x:c r="C4493" s="19" t="n">
        <x:v>5</x:v>
      </x:c>
      <x:c r="D4493" s="19" t="str">
        <x:v>C09-M049</x:v>
      </x:c>
      <x:c r="E4493" s="19" t="str">
        <x:v>外垒铆甲兵</x:v>
      </x:c>
      <x:c r="F4493" s="19" t="str">
        <x:v>普通</x:v>
      </x:c>
      <x:c r="G4493" s="19" t="str">
        <x:v>材料独立候选</x:v>
      </x:c>
      <x:c r="H4493" s="19" t="str">
        <x:v>小卢恩</x:v>
      </x:c>
      <x:c r="I4493" s="22" t="n">
        <x:v>20000</x:v>
      </x:c>
      <x:c r="J4493" s="22" t="n">
        <x:v>1</x:v>
      </x:c>
      <x:c r="K4493" s="19" t="n">
        <x:v>1</x:v>
      </x:c>
      <x:c r="L4493" s="24" t="n">
        <x:v>74.05799999999999</x:v>
      </x:c>
      <x:c r="M4493" s="26" t="n">
        <x:v>0.1</x:v>
      </x:c>
      <x:c r="N4493" s="24" t="n">
        <x:v>72</x:v>
      </x:c>
      <x:c r="O4493" s="28" t="n">
        <x:f>MIN(1,L4493/I4493)</x:f>
        <x:v>0.0037028999999999994</x:v>
      </x:c>
      <x:c r="P4493" s="30" t="n">
        <x:f>O4493*J4493*(1+M4493)</x:f>
        <x:v>0.00407319</x:v>
      </x:c>
      <x:c r="Q4493" s="30" t="n">
        <x:f>P4493*N4493</x:f>
        <x:v>0.29326968</x:v>
      </x:c>
      <x:c r="R4493" s="19" t="str">
        <x:v>独立判定</x:v>
      </x:c>
    </x:row>
    <x:row r="4494" ht="19" customHeight="1">
      <x:c r="A4494" s="19" t="str">
        <x:v>D04490</x:v>
      </x:c>
      <x:c r="B4494" s="19" t="n">
        <x:v>9</x:v>
      </x:c>
      <x:c r="C4494" s="19" t="n">
        <x:v>5</x:v>
      </x:c>
      <x:c r="D4494" s="19" t="str">
        <x:v>C09-M049</x:v>
      </x:c>
      <x:c r="E4494" s="19" t="str">
        <x:v>外垒铆甲兵</x:v>
      </x:c>
      <x:c r="F4494" s="19" t="str">
        <x:v>普通</x:v>
      </x:c>
      <x:c r="G4494" s="19" t="str">
        <x:v>六神器公共池</x:v>
      </x:c>
      <x:c r="H4494" s="19" t="str">
        <x:v>POOL006</x:v>
      </x:c>
      <x:c r="I4494" s="22" t="n">
        <x:v>20000000</x:v>
      </x:c>
      <x:c r="J4494" s="22" t="n">
        <x:v>1</x:v>
      </x:c>
      <x:c r="K4494" s="19" t="n">
        <x:v>6</x:v>
      </x:c>
      <x:c r="L4494" s="24" t="n">
        <x:v>74.05799999999999</x:v>
      </x:c>
      <x:c r="M4494" s="26" t="n">
        <x:v>0.1</x:v>
      </x:c>
      <x:c r="N4494" s="24" t="n">
        <x:v>72</x:v>
      </x:c>
      <x:c r="O4494" s="28" t="n">
        <x:f>MIN(1,L4494/I4494)</x:f>
        <x:v>0.0000037028999999999997</x:v>
      </x:c>
      <x:c r="P4494" s="30" t="n">
        <x:f>O4494*J4494*(1+M4494)</x:f>
        <x:v>0.00000407319</x:v>
      </x:c>
      <x:c r="Q4494" s="30" t="n">
        <x:f>P4494*N4494</x:f>
        <x:v>0.00029326968</x:v>
      </x:c>
      <x:c r="R4494" s="19" t="str">
        <x:v>六选一；非6个独立爆率</x:v>
      </x:c>
    </x:row>
    <x:row r="4495" ht="19" customHeight="1">
      <x:c r="A4495" s="19" t="str">
        <x:v>D04491</x:v>
      </x:c>
      <x:c r="B4495" s="19" t="n">
        <x:v>9</x:v>
      </x:c>
      <x:c r="C4495" s="19" t="n">
        <x:v>5</x:v>
      </x:c>
      <x:c r="D4495" s="19" t="str">
        <x:v>C09-M050</x:v>
      </x:c>
      <x:c r="E4495" s="19" t="str">
        <x:v>城前拾箭童</x:v>
      </x:c>
      <x:c r="F4495" s="19" t="str">
        <x:v>普通</x:v>
      </x:c>
      <x:c r="G4495" s="19" t="str">
        <x:v>自身专属</x:v>
      </x:c>
      <x:c r="H4495" s="19" t="str">
        <x:v>拾箭童疾履</x:v>
      </x:c>
      <x:c r="I4495" s="22" t="n">
        <x:v>8000</x:v>
      </x:c>
      <x:c r="J4495" s="22" t="n">
        <x:v>1</x:v>
      </x:c>
      <x:c r="K4495" s="19" t="n">
        <x:v>1</x:v>
      </x:c>
      <x:c r="L4495" s="24" t="n">
        <x:v>74.05799999999999</x:v>
      </x:c>
      <x:c r="M4495" s="26" t="n">
        <x:v>0.1</x:v>
      </x:c>
      <x:c r="N4495" s="24" t="n">
        <x:v>72</x:v>
      </x:c>
      <x:c r="O4495" s="28" t="n">
        <x:f>MIN(1,L4495/I4495)</x:f>
        <x:v>0.00925725</x:v>
      </x:c>
      <x:c r="P4495" s="30" t="n">
        <x:f>O4495*J4495*(1+M4495)</x:f>
        <x:v>0.010182975</x:v>
      </x:c>
      <x:c r="Q4495" s="30" t="n">
        <x:f>P4495*N4495</x:f>
        <x:v>0.7331742</x:v>
      </x:c>
      <x:c r="R4495" s="19" t="str">
        <x:v>独立判定</x:v>
      </x:c>
    </x:row>
    <x:row r="4496" ht="19" customHeight="1">
      <x:c r="A4496" s="19" t="str">
        <x:v>D04492</x:v>
      </x:c>
      <x:c r="B4496" s="19" t="n">
        <x:v>9</x:v>
      </x:c>
      <x:c r="C4496" s="19" t="n">
        <x:v>5</x:v>
      </x:c>
      <x:c r="D4496" s="19" t="str">
        <x:v>C09-M050</x:v>
      </x:c>
      <x:c r="E4496" s="19" t="str">
        <x:v>城前拾箭童</x:v>
      </x:c>
      <x:c r="F4496" s="19" t="str">
        <x:v>普通</x:v>
      </x:c>
      <x:c r="G4496" s="19" t="str">
        <x:v>材料独立候选</x:v>
      </x:c>
      <x:c r="H4496" s="19" t="str">
        <x:v>黄金叶脉</x:v>
      </x:c>
      <x:c r="I4496" s="22" t="n">
        <x:v>1800</x:v>
      </x:c>
      <x:c r="J4496" s="22" t="n">
        <x:v>8</x:v>
      </x:c>
      <x:c r="K4496" s="19" t="n">
        <x:v>1</x:v>
      </x:c>
      <x:c r="L4496" s="24" t="n">
        <x:v>74.05799999999999</x:v>
      </x:c>
      <x:c r="M4496" s="26" t="n">
        <x:v>0.1</x:v>
      </x:c>
      <x:c r="N4496" s="24" t="n">
        <x:v>72</x:v>
      </x:c>
      <x:c r="O4496" s="28" t="n">
        <x:f>MIN(1,L4496/I4496)</x:f>
        <x:v>0.04114333333333333</x:v>
      </x:c>
      <x:c r="P4496" s="30" t="n">
        <x:f>O4496*J4496*(1+M4496)</x:f>
        <x:v>0.36206133333333335</x:v>
      </x:c>
      <x:c r="Q4496" s="30" t="n">
        <x:f>P4496*N4496</x:f>
        <x:v>26.068416</x:v>
      </x:c>
      <x:c r="R4496" s="19" t="str">
        <x:v>独立判定</x:v>
      </x:c>
    </x:row>
    <x:row r="4497" ht="19" customHeight="1">
      <x:c r="A4497" s="19" t="str">
        <x:v>D04493</x:v>
      </x:c>
      <x:c r="B4497" s="19" t="n">
        <x:v>9</x:v>
      </x:c>
      <x:c r="C4497" s="19" t="n">
        <x:v>5</x:v>
      </x:c>
      <x:c r="D4497" s="19" t="str">
        <x:v>C09-M050</x:v>
      </x:c>
      <x:c r="E4497" s="19" t="str">
        <x:v>城前拾箭童</x:v>
      </x:c>
      <x:c r="F4497" s="19" t="str">
        <x:v>普通</x:v>
      </x:c>
      <x:c r="G4497" s="19" t="str">
        <x:v>材料独立候选</x:v>
      </x:c>
      <x:c r="H4497" s="19" t="str">
        <x:v>金叶驿票</x:v>
      </x:c>
      <x:c r="I4497" s="22" t="n">
        <x:v>20000</x:v>
      </x:c>
      <x:c r="J4497" s="22" t="n">
        <x:v>1</x:v>
      </x:c>
      <x:c r="K4497" s="19" t="n">
        <x:v>1</x:v>
      </x:c>
      <x:c r="L4497" s="24" t="n">
        <x:v>74.05799999999999</x:v>
      </x:c>
      <x:c r="M4497" s="26" t="n">
        <x:v>0.1</x:v>
      </x:c>
      <x:c r="N4497" s="24" t="n">
        <x:v>72</x:v>
      </x:c>
      <x:c r="O4497" s="28" t="n">
        <x:f>MIN(1,L4497/I4497)</x:f>
        <x:v>0.0037028999999999994</x:v>
      </x:c>
      <x:c r="P4497" s="30" t="n">
        <x:f>O4497*J4497*(1+M4497)</x:f>
        <x:v>0.00407319</x:v>
      </x:c>
      <x:c r="Q4497" s="30" t="n">
        <x:f>P4497*N4497</x:f>
        <x:v>0.29326968</x:v>
      </x:c>
      <x:c r="R4497" s="19" t="str">
        <x:v>独立判定</x:v>
      </x:c>
    </x:row>
    <x:row r="4498" ht="19" customHeight="1">
      <x:c r="A4498" s="19" t="str">
        <x:v>D04494</x:v>
      </x:c>
      <x:c r="B4498" s="19" t="n">
        <x:v>9</x:v>
      </x:c>
      <x:c r="C4498" s="19" t="n">
        <x:v>5</x:v>
      </x:c>
      <x:c r="D4498" s="19" t="str">
        <x:v>C09-M050</x:v>
      </x:c>
      <x:c r="E4498" s="19" t="str">
        <x:v>城前拾箭童</x:v>
      </x:c>
      <x:c r="F4498" s="19" t="str">
        <x:v>普通</x:v>
      </x:c>
      <x:c r="G4498" s="19" t="str">
        <x:v>材料独立候选</x:v>
      </x:c>
      <x:c r="H4498" s="19" t="str">
        <x:v>古坛鎏叶髓</x:v>
      </x:c>
      <x:c r="I4498" s="22" t="n">
        <x:v>3000000</x:v>
      </x:c>
      <x:c r="J4498" s="22" t="n">
        <x:v>1</x:v>
      </x:c>
      <x:c r="K4498" s="19" t="n">
        <x:v>1</x:v>
      </x:c>
      <x:c r="L4498" s="24" t="n">
        <x:v>74.05799999999999</x:v>
      </x:c>
      <x:c r="M4498" s="26" t="n">
        <x:v>0.1</x:v>
      </x:c>
      <x:c r="N4498" s="24" t="n">
        <x:v>72</x:v>
      </x:c>
      <x:c r="O4498" s="28" t="n">
        <x:f>MIN(1,L4498/I4498)</x:f>
        <x:v>0.000024685999999999997</x:v>
      </x:c>
      <x:c r="P4498" s="30" t="n">
        <x:f>O4498*J4498*(1+M4498)</x:f>
        <x:v>0.0000271546</x:v>
      </x:c>
      <x:c r="Q4498" s="30" t="n">
        <x:f>P4498*N4498</x:f>
        <x:v>0.0019551311999999998</x:v>
      </x:c>
      <x:c r="R4498" s="19" t="str">
        <x:v>独立判定</x:v>
      </x:c>
    </x:row>
    <x:row r="4499" ht="19" customHeight="1">
      <x:c r="A4499" s="19" t="str">
        <x:v>D04495</x:v>
      </x:c>
      <x:c r="B4499" s="19" t="n">
        <x:v>9</x:v>
      </x:c>
      <x:c r="C4499" s="19" t="n">
        <x:v>5</x:v>
      </x:c>
      <x:c r="D4499" s="19" t="str">
        <x:v>C09-M050</x:v>
      </x:c>
      <x:c r="E4499" s="19" t="str">
        <x:v>城前拾箭童</x:v>
      </x:c>
      <x:c r="F4499" s="19" t="str">
        <x:v>普通</x:v>
      </x:c>
      <x:c r="G4499" s="19" t="str">
        <x:v>材料独立候选</x:v>
      </x:c>
      <x:c r="H4499" s="19" t="str">
        <x:v>野兽骨片</x:v>
      </x:c>
      <x:c r="I4499" s="22" t="n">
        <x:v>400</x:v>
      </x:c>
      <x:c r="J4499" s="22" t="n">
        <x:v>5</x:v>
      </x:c>
      <x:c r="K4499" s="19" t="n">
        <x:v>1</x:v>
      </x:c>
      <x:c r="L4499" s="24" t="n">
        <x:v>74.05799999999999</x:v>
      </x:c>
      <x:c r="M4499" s="26" t="n">
        <x:v>0.1</x:v>
      </x:c>
      <x:c r="N4499" s="24" t="n">
        <x:v>72</x:v>
      </x:c>
      <x:c r="O4499" s="28" t="n">
        <x:f>MIN(1,L4499/I4499)</x:f>
        <x:v>0.18514499999999998</x:v>
      </x:c>
      <x:c r="P4499" s="30" t="n">
        <x:f>O4499*J4499*(1+M4499)</x:f>
        <x:v>1.0182975</x:v>
      </x:c>
      <x:c r="Q4499" s="30" t="n">
        <x:f>P4499*N4499</x:f>
        <x:v>73.31742</x:v>
      </x:c>
      <x:c r="R4499" s="19" t="str">
        <x:v>独立判定</x:v>
      </x:c>
    </x:row>
    <x:row r="4500" ht="19" customHeight="1">
      <x:c r="A4500" s="19" t="str">
        <x:v>D04496</x:v>
      </x:c>
      <x:c r="B4500" s="19" t="n">
        <x:v>9</x:v>
      </x:c>
      <x:c r="C4500" s="19" t="n">
        <x:v>5</x:v>
      </x:c>
      <x:c r="D4500" s="19" t="str">
        <x:v>C09-M050</x:v>
      </x:c>
      <x:c r="E4500" s="19" t="str">
        <x:v>城前拾箭童</x:v>
      </x:c>
      <x:c r="F4500" s="19" t="str">
        <x:v>普通</x:v>
      </x:c>
      <x:c r="G4500" s="19" t="str">
        <x:v>材料独立候选</x:v>
      </x:c>
      <x:c r="H4500" s="19" t="str">
        <x:v>技能残页</x:v>
      </x:c>
      <x:c r="I4500" s="22" t="n">
        <x:v>3000</x:v>
      </x:c>
      <x:c r="J4500" s="22" t="n">
        <x:v>1</x:v>
      </x:c>
      <x:c r="K4500" s="19" t="n">
        <x:v>1</x:v>
      </x:c>
      <x:c r="L4500" s="24" t="n">
        <x:v>74.05799999999999</x:v>
      </x:c>
      <x:c r="M4500" s="26" t="n">
        <x:v>0.1</x:v>
      </x:c>
      <x:c r="N4500" s="24" t="n">
        <x:v>72</x:v>
      </x:c>
      <x:c r="O4500" s="28" t="n">
        <x:f>MIN(1,L4500/I4500)</x:f>
        <x:v>0.024685999999999996</x:v>
      </x:c>
      <x:c r="P4500" s="30" t="n">
        <x:f>O4500*J4500*(1+M4500)</x:f>
        <x:v>0.027154599999999997</x:v>
      </x:c>
      <x:c r="Q4500" s="30" t="n">
        <x:f>P4500*N4500</x:f>
        <x:v>1.9551311999999998</x:v>
      </x:c>
      <x:c r="R4500" s="19" t="str">
        <x:v>独立判定</x:v>
      </x:c>
    </x:row>
    <x:row r="4501" ht="19" customHeight="1">
      <x:c r="A4501" s="19" t="str">
        <x:v>D04497</x:v>
      </x:c>
      <x:c r="B4501" s="19" t="n">
        <x:v>9</x:v>
      </x:c>
      <x:c r="C4501" s="19" t="n">
        <x:v>5</x:v>
      </x:c>
      <x:c r="D4501" s="19" t="str">
        <x:v>C09-M050</x:v>
      </x:c>
      <x:c r="E4501" s="19" t="str">
        <x:v>城前拾箭童</x:v>
      </x:c>
      <x:c r="F4501" s="19" t="str">
        <x:v>普通</x:v>
      </x:c>
      <x:c r="G4501" s="19" t="str">
        <x:v>材料独立候选</x:v>
      </x:c>
      <x:c r="H4501" s="19" t="str">
        <x:v>小卢恩</x:v>
      </x:c>
      <x:c r="I4501" s="22" t="n">
        <x:v>20000</x:v>
      </x:c>
      <x:c r="J4501" s="22" t="n">
        <x:v>1</x:v>
      </x:c>
      <x:c r="K4501" s="19" t="n">
        <x:v>1</x:v>
      </x:c>
      <x:c r="L4501" s="24" t="n">
        <x:v>74.05799999999999</x:v>
      </x:c>
      <x:c r="M4501" s="26" t="n">
        <x:v>0.1</x:v>
      </x:c>
      <x:c r="N4501" s="24" t="n">
        <x:v>72</x:v>
      </x:c>
      <x:c r="O4501" s="28" t="n">
        <x:f>MIN(1,L4501/I4501)</x:f>
        <x:v>0.0037028999999999994</x:v>
      </x:c>
      <x:c r="P4501" s="30" t="n">
        <x:f>O4501*J4501*(1+M4501)</x:f>
        <x:v>0.00407319</x:v>
      </x:c>
      <x:c r="Q4501" s="30" t="n">
        <x:f>P4501*N4501</x:f>
        <x:v>0.29326968</x:v>
      </x:c>
      <x:c r="R4501" s="19" t="str">
        <x:v>独立判定</x:v>
      </x:c>
    </x:row>
    <x:row r="4502" ht="19" customHeight="1">
      <x:c r="A4502" s="19" t="str">
        <x:v>D04498</x:v>
      </x:c>
      <x:c r="B4502" s="19" t="n">
        <x:v>9</x:v>
      </x:c>
      <x:c r="C4502" s="19" t="n">
        <x:v>5</x:v>
      </x:c>
      <x:c r="D4502" s="19" t="str">
        <x:v>C09-M050</x:v>
      </x:c>
      <x:c r="E4502" s="19" t="str">
        <x:v>城前拾箭童</x:v>
      </x:c>
      <x:c r="F4502" s="19" t="str">
        <x:v>普通</x:v>
      </x:c>
      <x:c r="G4502" s="19" t="str">
        <x:v>六神器公共池</x:v>
      </x:c>
      <x:c r="H4502" s="19" t="str">
        <x:v>POOL006</x:v>
      </x:c>
      <x:c r="I4502" s="22" t="n">
        <x:v>20000000</x:v>
      </x:c>
      <x:c r="J4502" s="22" t="n">
        <x:v>1</x:v>
      </x:c>
      <x:c r="K4502" s="19" t="n">
        <x:v>6</x:v>
      </x:c>
      <x:c r="L4502" s="24" t="n">
        <x:v>74.05799999999999</x:v>
      </x:c>
      <x:c r="M4502" s="26" t="n">
        <x:v>0.1</x:v>
      </x:c>
      <x:c r="N4502" s="24" t="n">
        <x:v>72</x:v>
      </x:c>
      <x:c r="O4502" s="28" t="n">
        <x:f>MIN(1,L4502/I4502)</x:f>
        <x:v>0.0000037028999999999997</x:v>
      </x:c>
      <x:c r="P4502" s="30" t="n">
        <x:f>O4502*J4502*(1+M4502)</x:f>
        <x:v>0.00000407319</x:v>
      </x:c>
      <x:c r="Q4502" s="30" t="n">
        <x:f>P4502*N4502</x:f>
        <x:v>0.00029326968</x:v>
      </x:c>
      <x:c r="R4502" s="19" t="str">
        <x:v>六选一；非6个独立爆率</x:v>
      </x:c>
    </x:row>
    <x:row r="4503" ht="19" customHeight="1">
      <x:c r="A4503" s="19" t="str">
        <x:v>D04499</x:v>
      </x:c>
      <x:c r="B4503" s="19" t="n">
        <x:v>9</x:v>
      </x:c>
      <x:c r="C4503" s="19" t="n">
        <x:v>5</x:v>
      </x:c>
      <x:c r="D4503" s="19" t="str">
        <x:v>C09-M051</x:v>
      </x:c>
      <x:c r="E4503" s="19" t="str">
        <x:v>甬道持炬枪卒</x:v>
      </x:c>
      <x:c r="F4503" s="19" t="str">
        <x:v>普通</x:v>
      </x:c>
      <x:c r="G4503" s="19" t="str">
        <x:v>自身专属</x:v>
      </x:c>
      <x:c r="H4503" s="19" t="str">
        <x:v>持炬枪卒矛</x:v>
      </x:c>
      <x:c r="I4503" s="22" t="n">
        <x:v>8000</x:v>
      </x:c>
      <x:c r="J4503" s="22" t="n">
        <x:v>1</x:v>
      </x:c>
      <x:c r="K4503" s="19" t="n">
        <x:v>1</x:v>
      </x:c>
      <x:c r="L4503" s="24" t="n">
        <x:v>74.05799999999999</x:v>
      </x:c>
      <x:c r="M4503" s="26" t="n">
        <x:v>0.1</x:v>
      </x:c>
      <x:c r="N4503" s="24" t="n">
        <x:v>72</x:v>
      </x:c>
      <x:c r="O4503" s="28" t="n">
        <x:f>MIN(1,L4503/I4503)</x:f>
        <x:v>0.00925725</x:v>
      </x:c>
      <x:c r="P4503" s="30" t="n">
        <x:f>O4503*J4503*(1+M4503)</x:f>
        <x:v>0.010182975</x:v>
      </x:c>
      <x:c r="Q4503" s="30" t="n">
        <x:f>P4503*N4503</x:f>
        <x:v>0.7331742</x:v>
      </x:c>
      <x:c r="R4503" s="19" t="str">
        <x:v>独立判定</x:v>
      </x:c>
    </x:row>
    <x:row r="4504" ht="19" customHeight="1">
      <x:c r="A4504" s="19" t="str">
        <x:v>D04500</x:v>
      </x:c>
      <x:c r="B4504" s="19" t="n">
        <x:v>9</x:v>
      </x:c>
      <x:c r="C4504" s="19" t="n">
        <x:v>5</x:v>
      </x:c>
      <x:c r="D4504" s="19" t="str">
        <x:v>C09-M051</x:v>
      </x:c>
      <x:c r="E4504" s="19" t="str">
        <x:v>甬道持炬枪卒</x:v>
      </x:c>
      <x:c r="F4504" s="19" t="str">
        <x:v>普通</x:v>
      </x:c>
      <x:c r="G4504" s="19" t="str">
        <x:v>材料独立候选</x:v>
      </x:c>
      <x:c r="H4504" s="19" t="str">
        <x:v>黄金叶脉</x:v>
      </x:c>
      <x:c r="I4504" s="22" t="n">
        <x:v>1800</x:v>
      </x:c>
      <x:c r="J4504" s="22" t="n">
        <x:v>8</x:v>
      </x:c>
      <x:c r="K4504" s="19" t="n">
        <x:v>1</x:v>
      </x:c>
      <x:c r="L4504" s="24" t="n">
        <x:v>74.05799999999999</x:v>
      </x:c>
      <x:c r="M4504" s="26" t="n">
        <x:v>0.1</x:v>
      </x:c>
      <x:c r="N4504" s="24" t="n">
        <x:v>72</x:v>
      </x:c>
      <x:c r="O4504" s="28" t="n">
        <x:f>MIN(1,L4504/I4504)</x:f>
        <x:v>0.04114333333333333</x:v>
      </x:c>
      <x:c r="P4504" s="30" t="n">
        <x:f>O4504*J4504*(1+M4504)</x:f>
        <x:v>0.36206133333333335</x:v>
      </x:c>
      <x:c r="Q4504" s="30" t="n">
        <x:f>P4504*N4504</x:f>
        <x:v>26.068416</x:v>
      </x:c>
      <x:c r="R4504" s="19" t="str">
        <x:v>独立判定</x:v>
      </x:c>
    </x:row>
    <x:row r="4505" ht="19" customHeight="1">
      <x:c r="A4505" s="19" t="str">
        <x:v>D04501</x:v>
      </x:c>
      <x:c r="B4505" s="19" t="n">
        <x:v>9</x:v>
      </x:c>
      <x:c r="C4505" s="19" t="n">
        <x:v>5</x:v>
      </x:c>
      <x:c r="D4505" s="19" t="str">
        <x:v>C09-M051</x:v>
      </x:c>
      <x:c r="E4505" s="19" t="str">
        <x:v>甬道持炬枪卒</x:v>
      </x:c>
      <x:c r="F4505" s="19" t="str">
        <x:v>普通</x:v>
      </x:c>
      <x:c r="G4505" s="19" t="str">
        <x:v>材料独立候选</x:v>
      </x:c>
      <x:c r="H4505" s="19" t="str">
        <x:v>金叶驿票</x:v>
      </x:c>
      <x:c r="I4505" s="22" t="n">
        <x:v>20000</x:v>
      </x:c>
      <x:c r="J4505" s="22" t="n">
        <x:v>1</x:v>
      </x:c>
      <x:c r="K4505" s="19" t="n">
        <x:v>1</x:v>
      </x:c>
      <x:c r="L4505" s="24" t="n">
        <x:v>74.05799999999999</x:v>
      </x:c>
      <x:c r="M4505" s="26" t="n">
        <x:v>0.1</x:v>
      </x:c>
      <x:c r="N4505" s="24" t="n">
        <x:v>72</x:v>
      </x:c>
      <x:c r="O4505" s="28" t="n">
        <x:f>MIN(1,L4505/I4505)</x:f>
        <x:v>0.0037028999999999994</x:v>
      </x:c>
      <x:c r="P4505" s="30" t="n">
        <x:f>O4505*J4505*(1+M4505)</x:f>
        <x:v>0.00407319</x:v>
      </x:c>
      <x:c r="Q4505" s="30" t="n">
        <x:f>P4505*N4505</x:f>
        <x:v>0.29326968</x:v>
      </x:c>
      <x:c r="R4505" s="19" t="str">
        <x:v>独立判定</x:v>
      </x:c>
    </x:row>
    <x:row r="4506" ht="19" customHeight="1">
      <x:c r="A4506" s="19" t="str">
        <x:v>D04502</x:v>
      </x:c>
      <x:c r="B4506" s="19" t="n">
        <x:v>9</x:v>
      </x:c>
      <x:c r="C4506" s="19" t="n">
        <x:v>5</x:v>
      </x:c>
      <x:c r="D4506" s="19" t="str">
        <x:v>C09-M051</x:v>
      </x:c>
      <x:c r="E4506" s="19" t="str">
        <x:v>甬道持炬枪卒</x:v>
      </x:c>
      <x:c r="F4506" s="19" t="str">
        <x:v>普通</x:v>
      </x:c>
      <x:c r="G4506" s="19" t="str">
        <x:v>材料独立候选</x:v>
      </x:c>
      <x:c r="H4506" s="19" t="str">
        <x:v>古坛鎏叶髓</x:v>
      </x:c>
      <x:c r="I4506" s="22" t="n">
        <x:v>3000000</x:v>
      </x:c>
      <x:c r="J4506" s="22" t="n">
        <x:v>1</x:v>
      </x:c>
      <x:c r="K4506" s="19" t="n">
        <x:v>1</x:v>
      </x:c>
      <x:c r="L4506" s="24" t="n">
        <x:v>74.05799999999999</x:v>
      </x:c>
      <x:c r="M4506" s="26" t="n">
        <x:v>0.1</x:v>
      </x:c>
      <x:c r="N4506" s="24" t="n">
        <x:v>72</x:v>
      </x:c>
      <x:c r="O4506" s="28" t="n">
        <x:f>MIN(1,L4506/I4506)</x:f>
        <x:v>0.000024685999999999997</x:v>
      </x:c>
      <x:c r="P4506" s="30" t="n">
        <x:f>O4506*J4506*(1+M4506)</x:f>
        <x:v>0.0000271546</x:v>
      </x:c>
      <x:c r="Q4506" s="30" t="n">
        <x:f>P4506*N4506</x:f>
        <x:v>0.0019551311999999998</x:v>
      </x:c>
      <x:c r="R4506" s="19" t="str">
        <x:v>独立判定</x:v>
      </x:c>
    </x:row>
    <x:row r="4507" ht="19" customHeight="1">
      <x:c r="A4507" s="19" t="str">
        <x:v>D04503</x:v>
      </x:c>
      <x:c r="B4507" s="19" t="n">
        <x:v>9</x:v>
      </x:c>
      <x:c r="C4507" s="19" t="n">
        <x:v>5</x:v>
      </x:c>
      <x:c r="D4507" s="19" t="str">
        <x:v>C09-M051</x:v>
      </x:c>
      <x:c r="E4507" s="19" t="str">
        <x:v>甬道持炬枪卒</x:v>
      </x:c>
      <x:c r="F4507" s="19" t="str">
        <x:v>普通</x:v>
      </x:c>
      <x:c r="G4507" s="19" t="str">
        <x:v>材料独立候选</x:v>
      </x:c>
      <x:c r="H4507" s="19" t="str">
        <x:v>野兽骨片</x:v>
      </x:c>
      <x:c r="I4507" s="22" t="n">
        <x:v>400</x:v>
      </x:c>
      <x:c r="J4507" s="22" t="n">
        <x:v>5</x:v>
      </x:c>
      <x:c r="K4507" s="19" t="n">
        <x:v>1</x:v>
      </x:c>
      <x:c r="L4507" s="24" t="n">
        <x:v>74.05799999999999</x:v>
      </x:c>
      <x:c r="M4507" s="26" t="n">
        <x:v>0.1</x:v>
      </x:c>
      <x:c r="N4507" s="24" t="n">
        <x:v>72</x:v>
      </x:c>
      <x:c r="O4507" s="28" t="n">
        <x:f>MIN(1,L4507/I4507)</x:f>
        <x:v>0.18514499999999998</x:v>
      </x:c>
      <x:c r="P4507" s="30" t="n">
        <x:f>O4507*J4507*(1+M4507)</x:f>
        <x:v>1.0182975</x:v>
      </x:c>
      <x:c r="Q4507" s="30" t="n">
        <x:f>P4507*N4507</x:f>
        <x:v>73.31742</x:v>
      </x:c>
      <x:c r="R4507" s="19" t="str">
        <x:v>独立判定</x:v>
      </x:c>
    </x:row>
    <x:row r="4508" ht="19" customHeight="1">
      <x:c r="A4508" s="19" t="str">
        <x:v>D04504</x:v>
      </x:c>
      <x:c r="B4508" s="19" t="n">
        <x:v>9</x:v>
      </x:c>
      <x:c r="C4508" s="19" t="n">
        <x:v>5</x:v>
      </x:c>
      <x:c r="D4508" s="19" t="str">
        <x:v>C09-M051</x:v>
      </x:c>
      <x:c r="E4508" s="19" t="str">
        <x:v>甬道持炬枪卒</x:v>
      </x:c>
      <x:c r="F4508" s="19" t="str">
        <x:v>普通</x:v>
      </x:c>
      <x:c r="G4508" s="19" t="str">
        <x:v>材料独立候选</x:v>
      </x:c>
      <x:c r="H4508" s="19" t="str">
        <x:v>技能残页</x:v>
      </x:c>
      <x:c r="I4508" s="22" t="n">
        <x:v>3000</x:v>
      </x:c>
      <x:c r="J4508" s="22" t="n">
        <x:v>1</x:v>
      </x:c>
      <x:c r="K4508" s="19" t="n">
        <x:v>1</x:v>
      </x:c>
      <x:c r="L4508" s="24" t="n">
        <x:v>74.05799999999999</x:v>
      </x:c>
      <x:c r="M4508" s="26" t="n">
        <x:v>0.1</x:v>
      </x:c>
      <x:c r="N4508" s="24" t="n">
        <x:v>72</x:v>
      </x:c>
      <x:c r="O4508" s="28" t="n">
        <x:f>MIN(1,L4508/I4508)</x:f>
        <x:v>0.024685999999999996</x:v>
      </x:c>
      <x:c r="P4508" s="30" t="n">
        <x:f>O4508*J4508*(1+M4508)</x:f>
        <x:v>0.027154599999999997</x:v>
      </x:c>
      <x:c r="Q4508" s="30" t="n">
        <x:f>P4508*N4508</x:f>
        <x:v>1.9551311999999998</x:v>
      </x:c>
      <x:c r="R4508" s="19" t="str">
        <x:v>独立判定</x:v>
      </x:c>
    </x:row>
    <x:row r="4509" ht="19" customHeight="1">
      <x:c r="A4509" s="19" t="str">
        <x:v>D04505</x:v>
      </x:c>
      <x:c r="B4509" s="19" t="n">
        <x:v>9</x:v>
      </x:c>
      <x:c r="C4509" s="19" t="n">
        <x:v>5</x:v>
      </x:c>
      <x:c r="D4509" s="19" t="str">
        <x:v>C09-M051</x:v>
      </x:c>
      <x:c r="E4509" s="19" t="str">
        <x:v>甬道持炬枪卒</x:v>
      </x:c>
      <x:c r="F4509" s="19" t="str">
        <x:v>普通</x:v>
      </x:c>
      <x:c r="G4509" s="19" t="str">
        <x:v>材料独立候选</x:v>
      </x:c>
      <x:c r="H4509" s="19" t="str">
        <x:v>小卢恩</x:v>
      </x:c>
      <x:c r="I4509" s="22" t="n">
        <x:v>20000</x:v>
      </x:c>
      <x:c r="J4509" s="22" t="n">
        <x:v>1</x:v>
      </x:c>
      <x:c r="K4509" s="19" t="n">
        <x:v>1</x:v>
      </x:c>
      <x:c r="L4509" s="24" t="n">
        <x:v>74.05799999999999</x:v>
      </x:c>
      <x:c r="M4509" s="26" t="n">
        <x:v>0.1</x:v>
      </x:c>
      <x:c r="N4509" s="24" t="n">
        <x:v>72</x:v>
      </x:c>
      <x:c r="O4509" s="28" t="n">
        <x:f>MIN(1,L4509/I4509)</x:f>
        <x:v>0.0037028999999999994</x:v>
      </x:c>
      <x:c r="P4509" s="30" t="n">
        <x:f>O4509*J4509*(1+M4509)</x:f>
        <x:v>0.00407319</x:v>
      </x:c>
      <x:c r="Q4509" s="30" t="n">
        <x:f>P4509*N4509</x:f>
        <x:v>0.29326968</x:v>
      </x:c>
      <x:c r="R4509" s="19" t="str">
        <x:v>独立判定</x:v>
      </x:c>
    </x:row>
    <x:row r="4510" ht="19" customHeight="1">
      <x:c r="A4510" s="19" t="str">
        <x:v>D04506</x:v>
      </x:c>
      <x:c r="B4510" s="19" t="n">
        <x:v>9</x:v>
      </x:c>
      <x:c r="C4510" s="19" t="n">
        <x:v>5</x:v>
      </x:c>
      <x:c r="D4510" s="19" t="str">
        <x:v>C09-M051</x:v>
      </x:c>
      <x:c r="E4510" s="19" t="str">
        <x:v>甬道持炬枪卒</x:v>
      </x:c>
      <x:c r="F4510" s="19" t="str">
        <x:v>普通</x:v>
      </x:c>
      <x:c r="G4510" s="19" t="str">
        <x:v>六神器公共池</x:v>
      </x:c>
      <x:c r="H4510" s="19" t="str">
        <x:v>POOL006</x:v>
      </x:c>
      <x:c r="I4510" s="22" t="n">
        <x:v>20000000</x:v>
      </x:c>
      <x:c r="J4510" s="22" t="n">
        <x:v>1</x:v>
      </x:c>
      <x:c r="K4510" s="19" t="n">
        <x:v>6</x:v>
      </x:c>
      <x:c r="L4510" s="24" t="n">
        <x:v>74.05799999999999</x:v>
      </x:c>
      <x:c r="M4510" s="26" t="n">
        <x:v>0.1</x:v>
      </x:c>
      <x:c r="N4510" s="24" t="n">
        <x:v>72</x:v>
      </x:c>
      <x:c r="O4510" s="28" t="n">
        <x:f>MIN(1,L4510/I4510)</x:f>
        <x:v>0.0000037028999999999997</x:v>
      </x:c>
      <x:c r="P4510" s="30" t="n">
        <x:f>O4510*J4510*(1+M4510)</x:f>
        <x:v>0.00000407319</x:v>
      </x:c>
      <x:c r="Q4510" s="30" t="n">
        <x:f>P4510*N4510</x:f>
        <x:v>0.00029326968</x:v>
      </x:c>
      <x:c r="R4510" s="19" t="str">
        <x:v>六选一；非6个独立爆率</x:v>
      </x:c>
    </x:row>
    <x:row r="4511" ht="19" customHeight="1">
      <x:c r="A4511" s="19" t="str">
        <x:v>D04507</x:v>
      </x:c>
      <x:c r="B4511" s="19" t="n">
        <x:v>9</x:v>
      </x:c>
      <x:c r="C4511" s="19" t="n">
        <x:v>5</x:v>
      </x:c>
      <x:c r="D4511" s="19" t="str">
        <x:v>C09-M052</x:v>
      </x:c>
      <x:c r="E4511" s="19" t="str">
        <x:v>驻军庭院炊兵</x:v>
      </x:c>
      <x:c r="F4511" s="19" t="str">
        <x:v>普通</x:v>
      </x:c>
      <x:c r="G4511" s="19" t="str">
        <x:v>自身专属</x:v>
      </x:c>
      <x:c r="H4511" s="19" t="str">
        <x:v>炊兵铁勺镯</x:v>
      </x:c>
      <x:c r="I4511" s="22" t="n">
        <x:v>8000</x:v>
      </x:c>
      <x:c r="J4511" s="22" t="n">
        <x:v>1</x:v>
      </x:c>
      <x:c r="K4511" s="19" t="n">
        <x:v>1</x:v>
      </x:c>
      <x:c r="L4511" s="24" t="n">
        <x:v>74.05799999999999</x:v>
      </x:c>
      <x:c r="M4511" s="26" t="n">
        <x:v>0.1</x:v>
      </x:c>
      <x:c r="N4511" s="24" t="n">
        <x:v>72</x:v>
      </x:c>
      <x:c r="O4511" s="28" t="n">
        <x:f>MIN(1,L4511/I4511)</x:f>
        <x:v>0.00925725</x:v>
      </x:c>
      <x:c r="P4511" s="30" t="n">
        <x:f>O4511*J4511*(1+M4511)</x:f>
        <x:v>0.010182975</x:v>
      </x:c>
      <x:c r="Q4511" s="30" t="n">
        <x:f>P4511*N4511</x:f>
        <x:v>0.7331742</x:v>
      </x:c>
      <x:c r="R4511" s="19" t="str">
        <x:v>独立判定</x:v>
      </x:c>
    </x:row>
    <x:row r="4512" ht="19" customHeight="1">
      <x:c r="A4512" s="19" t="str">
        <x:v>D04508</x:v>
      </x:c>
      <x:c r="B4512" s="19" t="n">
        <x:v>9</x:v>
      </x:c>
      <x:c r="C4512" s="19" t="n">
        <x:v>5</x:v>
      </x:c>
      <x:c r="D4512" s="19" t="str">
        <x:v>C09-M052</x:v>
      </x:c>
      <x:c r="E4512" s="19" t="str">
        <x:v>驻军庭院炊兵</x:v>
      </x:c>
      <x:c r="F4512" s="19" t="str">
        <x:v>普通</x:v>
      </x:c>
      <x:c r="G4512" s="19" t="str">
        <x:v>材料独立候选</x:v>
      </x:c>
      <x:c r="H4512" s="19" t="str">
        <x:v>黄金叶脉</x:v>
      </x:c>
      <x:c r="I4512" s="22" t="n">
        <x:v>1800</x:v>
      </x:c>
      <x:c r="J4512" s="22" t="n">
        <x:v>8</x:v>
      </x:c>
      <x:c r="K4512" s="19" t="n">
        <x:v>1</x:v>
      </x:c>
      <x:c r="L4512" s="24" t="n">
        <x:v>74.05799999999999</x:v>
      </x:c>
      <x:c r="M4512" s="26" t="n">
        <x:v>0.1</x:v>
      </x:c>
      <x:c r="N4512" s="24" t="n">
        <x:v>72</x:v>
      </x:c>
      <x:c r="O4512" s="28" t="n">
        <x:f>MIN(1,L4512/I4512)</x:f>
        <x:v>0.04114333333333333</x:v>
      </x:c>
      <x:c r="P4512" s="30" t="n">
        <x:f>O4512*J4512*(1+M4512)</x:f>
        <x:v>0.36206133333333335</x:v>
      </x:c>
      <x:c r="Q4512" s="30" t="n">
        <x:f>P4512*N4512</x:f>
        <x:v>26.068416</x:v>
      </x:c>
      <x:c r="R4512" s="19" t="str">
        <x:v>独立判定</x:v>
      </x:c>
    </x:row>
    <x:row r="4513" ht="19" customHeight="1">
      <x:c r="A4513" s="19" t="str">
        <x:v>D04509</x:v>
      </x:c>
      <x:c r="B4513" s="19" t="n">
        <x:v>9</x:v>
      </x:c>
      <x:c r="C4513" s="19" t="n">
        <x:v>5</x:v>
      </x:c>
      <x:c r="D4513" s="19" t="str">
        <x:v>C09-M052</x:v>
      </x:c>
      <x:c r="E4513" s="19" t="str">
        <x:v>驻军庭院炊兵</x:v>
      </x:c>
      <x:c r="F4513" s="19" t="str">
        <x:v>普通</x:v>
      </x:c>
      <x:c r="G4513" s="19" t="str">
        <x:v>材料独立候选</x:v>
      </x:c>
      <x:c r="H4513" s="19" t="str">
        <x:v>金叶驿票</x:v>
      </x:c>
      <x:c r="I4513" s="22" t="n">
        <x:v>20000</x:v>
      </x:c>
      <x:c r="J4513" s="22" t="n">
        <x:v>1</x:v>
      </x:c>
      <x:c r="K4513" s="19" t="n">
        <x:v>1</x:v>
      </x:c>
      <x:c r="L4513" s="24" t="n">
        <x:v>74.05799999999999</x:v>
      </x:c>
      <x:c r="M4513" s="26" t="n">
        <x:v>0.1</x:v>
      </x:c>
      <x:c r="N4513" s="24" t="n">
        <x:v>72</x:v>
      </x:c>
      <x:c r="O4513" s="28" t="n">
        <x:f>MIN(1,L4513/I4513)</x:f>
        <x:v>0.0037028999999999994</x:v>
      </x:c>
      <x:c r="P4513" s="30" t="n">
        <x:f>O4513*J4513*(1+M4513)</x:f>
        <x:v>0.00407319</x:v>
      </x:c>
      <x:c r="Q4513" s="30" t="n">
        <x:f>P4513*N4513</x:f>
        <x:v>0.29326968</x:v>
      </x:c>
      <x:c r="R4513" s="19" t="str">
        <x:v>独立判定</x:v>
      </x:c>
    </x:row>
    <x:row r="4514" ht="19" customHeight="1">
      <x:c r="A4514" s="19" t="str">
        <x:v>D04510</x:v>
      </x:c>
      <x:c r="B4514" s="19" t="n">
        <x:v>9</x:v>
      </x:c>
      <x:c r="C4514" s="19" t="n">
        <x:v>5</x:v>
      </x:c>
      <x:c r="D4514" s="19" t="str">
        <x:v>C09-M052</x:v>
      </x:c>
      <x:c r="E4514" s="19" t="str">
        <x:v>驻军庭院炊兵</x:v>
      </x:c>
      <x:c r="F4514" s="19" t="str">
        <x:v>普通</x:v>
      </x:c>
      <x:c r="G4514" s="19" t="str">
        <x:v>材料独立候选</x:v>
      </x:c>
      <x:c r="H4514" s="19" t="str">
        <x:v>古坛鎏叶髓</x:v>
      </x:c>
      <x:c r="I4514" s="22" t="n">
        <x:v>3000000</x:v>
      </x:c>
      <x:c r="J4514" s="22" t="n">
        <x:v>1</x:v>
      </x:c>
      <x:c r="K4514" s="19" t="n">
        <x:v>1</x:v>
      </x:c>
      <x:c r="L4514" s="24" t="n">
        <x:v>74.05799999999999</x:v>
      </x:c>
      <x:c r="M4514" s="26" t="n">
        <x:v>0.1</x:v>
      </x:c>
      <x:c r="N4514" s="24" t="n">
        <x:v>72</x:v>
      </x:c>
      <x:c r="O4514" s="28" t="n">
        <x:f>MIN(1,L4514/I4514)</x:f>
        <x:v>0.000024685999999999997</x:v>
      </x:c>
      <x:c r="P4514" s="30" t="n">
        <x:f>O4514*J4514*(1+M4514)</x:f>
        <x:v>0.0000271546</x:v>
      </x:c>
      <x:c r="Q4514" s="30" t="n">
        <x:f>P4514*N4514</x:f>
        <x:v>0.0019551311999999998</x:v>
      </x:c>
      <x:c r="R4514" s="19" t="str">
        <x:v>独立判定</x:v>
      </x:c>
    </x:row>
    <x:row r="4515" ht="19" customHeight="1">
      <x:c r="A4515" s="19" t="str">
        <x:v>D04511</x:v>
      </x:c>
      <x:c r="B4515" s="19" t="n">
        <x:v>9</x:v>
      </x:c>
      <x:c r="C4515" s="19" t="n">
        <x:v>5</x:v>
      </x:c>
      <x:c r="D4515" s="19" t="str">
        <x:v>C09-M052</x:v>
      </x:c>
      <x:c r="E4515" s="19" t="str">
        <x:v>驻军庭院炊兵</x:v>
      </x:c>
      <x:c r="F4515" s="19" t="str">
        <x:v>普通</x:v>
      </x:c>
      <x:c r="G4515" s="19" t="str">
        <x:v>材料独立候选</x:v>
      </x:c>
      <x:c r="H4515" s="19" t="str">
        <x:v>野兽骨片</x:v>
      </x:c>
      <x:c r="I4515" s="22" t="n">
        <x:v>400</x:v>
      </x:c>
      <x:c r="J4515" s="22" t="n">
        <x:v>5</x:v>
      </x:c>
      <x:c r="K4515" s="19" t="n">
        <x:v>1</x:v>
      </x:c>
      <x:c r="L4515" s="24" t="n">
        <x:v>74.05799999999999</x:v>
      </x:c>
      <x:c r="M4515" s="26" t="n">
        <x:v>0.1</x:v>
      </x:c>
      <x:c r="N4515" s="24" t="n">
        <x:v>72</x:v>
      </x:c>
      <x:c r="O4515" s="28" t="n">
        <x:f>MIN(1,L4515/I4515)</x:f>
        <x:v>0.18514499999999998</x:v>
      </x:c>
      <x:c r="P4515" s="30" t="n">
        <x:f>O4515*J4515*(1+M4515)</x:f>
        <x:v>1.0182975</x:v>
      </x:c>
      <x:c r="Q4515" s="30" t="n">
        <x:f>P4515*N4515</x:f>
        <x:v>73.31742</x:v>
      </x:c>
      <x:c r="R4515" s="19" t="str">
        <x:v>独立判定</x:v>
      </x:c>
    </x:row>
    <x:row r="4516" ht="19" customHeight="1">
      <x:c r="A4516" s="19" t="str">
        <x:v>D04512</x:v>
      </x:c>
      <x:c r="B4516" s="19" t="n">
        <x:v>9</x:v>
      </x:c>
      <x:c r="C4516" s="19" t="n">
        <x:v>5</x:v>
      </x:c>
      <x:c r="D4516" s="19" t="str">
        <x:v>C09-M052</x:v>
      </x:c>
      <x:c r="E4516" s="19" t="str">
        <x:v>驻军庭院炊兵</x:v>
      </x:c>
      <x:c r="F4516" s="19" t="str">
        <x:v>普通</x:v>
      </x:c>
      <x:c r="G4516" s="19" t="str">
        <x:v>材料独立候选</x:v>
      </x:c>
      <x:c r="H4516" s="19" t="str">
        <x:v>技能残页</x:v>
      </x:c>
      <x:c r="I4516" s="22" t="n">
        <x:v>3000</x:v>
      </x:c>
      <x:c r="J4516" s="22" t="n">
        <x:v>1</x:v>
      </x:c>
      <x:c r="K4516" s="19" t="n">
        <x:v>1</x:v>
      </x:c>
      <x:c r="L4516" s="24" t="n">
        <x:v>74.05799999999999</x:v>
      </x:c>
      <x:c r="M4516" s="26" t="n">
        <x:v>0.1</x:v>
      </x:c>
      <x:c r="N4516" s="24" t="n">
        <x:v>72</x:v>
      </x:c>
      <x:c r="O4516" s="28" t="n">
        <x:f>MIN(1,L4516/I4516)</x:f>
        <x:v>0.024685999999999996</x:v>
      </x:c>
      <x:c r="P4516" s="30" t="n">
        <x:f>O4516*J4516*(1+M4516)</x:f>
        <x:v>0.027154599999999997</x:v>
      </x:c>
      <x:c r="Q4516" s="30" t="n">
        <x:f>P4516*N4516</x:f>
        <x:v>1.9551311999999998</x:v>
      </x:c>
      <x:c r="R4516" s="19" t="str">
        <x:v>独立判定</x:v>
      </x:c>
    </x:row>
    <x:row r="4517" ht="19" customHeight="1">
      <x:c r="A4517" s="19" t="str">
        <x:v>D04513</x:v>
      </x:c>
      <x:c r="B4517" s="19" t="n">
        <x:v>9</x:v>
      </x:c>
      <x:c r="C4517" s="19" t="n">
        <x:v>5</x:v>
      </x:c>
      <x:c r="D4517" s="19" t="str">
        <x:v>C09-M052</x:v>
      </x:c>
      <x:c r="E4517" s="19" t="str">
        <x:v>驻军庭院炊兵</x:v>
      </x:c>
      <x:c r="F4517" s="19" t="str">
        <x:v>普通</x:v>
      </x:c>
      <x:c r="G4517" s="19" t="str">
        <x:v>材料独立候选</x:v>
      </x:c>
      <x:c r="H4517" s="19" t="str">
        <x:v>小卢恩</x:v>
      </x:c>
      <x:c r="I4517" s="22" t="n">
        <x:v>20000</x:v>
      </x:c>
      <x:c r="J4517" s="22" t="n">
        <x:v>1</x:v>
      </x:c>
      <x:c r="K4517" s="19" t="n">
        <x:v>1</x:v>
      </x:c>
      <x:c r="L4517" s="24" t="n">
        <x:v>74.05799999999999</x:v>
      </x:c>
      <x:c r="M4517" s="26" t="n">
        <x:v>0.1</x:v>
      </x:c>
      <x:c r="N4517" s="24" t="n">
        <x:v>72</x:v>
      </x:c>
      <x:c r="O4517" s="28" t="n">
        <x:f>MIN(1,L4517/I4517)</x:f>
        <x:v>0.0037028999999999994</x:v>
      </x:c>
      <x:c r="P4517" s="30" t="n">
        <x:f>O4517*J4517*(1+M4517)</x:f>
        <x:v>0.00407319</x:v>
      </x:c>
      <x:c r="Q4517" s="30" t="n">
        <x:f>P4517*N4517</x:f>
        <x:v>0.29326968</x:v>
      </x:c>
      <x:c r="R4517" s="19" t="str">
        <x:v>独立判定</x:v>
      </x:c>
    </x:row>
    <x:row r="4518" ht="19" customHeight="1">
      <x:c r="A4518" s="19" t="str">
        <x:v>D04514</x:v>
      </x:c>
      <x:c r="B4518" s="19" t="n">
        <x:v>9</x:v>
      </x:c>
      <x:c r="C4518" s="19" t="n">
        <x:v>5</x:v>
      </x:c>
      <x:c r="D4518" s="19" t="str">
        <x:v>C09-M052</x:v>
      </x:c>
      <x:c r="E4518" s="19" t="str">
        <x:v>驻军庭院炊兵</x:v>
      </x:c>
      <x:c r="F4518" s="19" t="str">
        <x:v>普通</x:v>
      </x:c>
      <x:c r="G4518" s="19" t="str">
        <x:v>六神器公共池</x:v>
      </x:c>
      <x:c r="H4518" s="19" t="str">
        <x:v>POOL006</x:v>
      </x:c>
      <x:c r="I4518" s="22" t="n">
        <x:v>20000000</x:v>
      </x:c>
      <x:c r="J4518" s="22" t="n">
        <x:v>1</x:v>
      </x:c>
      <x:c r="K4518" s="19" t="n">
        <x:v>6</x:v>
      </x:c>
      <x:c r="L4518" s="24" t="n">
        <x:v>74.05799999999999</x:v>
      </x:c>
      <x:c r="M4518" s="26" t="n">
        <x:v>0.1</x:v>
      </x:c>
      <x:c r="N4518" s="24" t="n">
        <x:v>72</x:v>
      </x:c>
      <x:c r="O4518" s="28" t="n">
        <x:f>MIN(1,L4518/I4518)</x:f>
        <x:v>0.0000037028999999999997</x:v>
      </x:c>
      <x:c r="P4518" s="30" t="n">
        <x:f>O4518*J4518*(1+M4518)</x:f>
        <x:v>0.00000407319</x:v>
      </x:c>
      <x:c r="Q4518" s="30" t="n">
        <x:f>P4518*N4518</x:f>
        <x:v>0.00029326968</x:v>
      </x:c>
      <x:c r="R4518" s="19" t="str">
        <x:v>六选一；非6个独立爆率</x:v>
      </x:c>
    </x:row>
    <x:row r="4519" ht="19" customHeight="1">
      <x:c r="A4519" s="19" t="str">
        <x:v>D04515</x:v>
      </x:c>
      <x:c r="B4519" s="19" t="n">
        <x:v>9</x:v>
      </x:c>
      <x:c r="C4519" s="19" t="n">
        <x:v>5</x:v>
      </x:c>
      <x:c r="D4519" s="19" t="str">
        <x:v>C09-M053</x:v>
      </x:c>
      <x:c r="E4519" s="19" t="str">
        <x:v>黄金壁垒号手</x:v>
      </x:c>
      <x:c r="F4519" s="19" t="str">
        <x:v>普通</x:v>
      </x:c>
      <x:c r="G4519" s="19" t="str">
        <x:v>自身专属</x:v>
      </x:c>
      <x:c r="H4519" s="19" t="str">
        <x:v>壁垒号手盔</x:v>
      </x:c>
      <x:c r="I4519" s="22" t="n">
        <x:v>8000</x:v>
      </x:c>
      <x:c r="J4519" s="22" t="n">
        <x:v>1</x:v>
      </x:c>
      <x:c r="K4519" s="19" t="n">
        <x:v>1</x:v>
      </x:c>
      <x:c r="L4519" s="24" t="n">
        <x:v>74.05799999999999</x:v>
      </x:c>
      <x:c r="M4519" s="26" t="n">
        <x:v>0.1</x:v>
      </x:c>
      <x:c r="N4519" s="24" t="n">
        <x:v>72</x:v>
      </x:c>
      <x:c r="O4519" s="28" t="n">
        <x:f>MIN(1,L4519/I4519)</x:f>
        <x:v>0.00925725</x:v>
      </x:c>
      <x:c r="P4519" s="30" t="n">
        <x:f>O4519*J4519*(1+M4519)</x:f>
        <x:v>0.010182975</x:v>
      </x:c>
      <x:c r="Q4519" s="30" t="n">
        <x:f>P4519*N4519</x:f>
        <x:v>0.7331742</x:v>
      </x:c>
      <x:c r="R4519" s="19" t="str">
        <x:v>独立判定</x:v>
      </x:c>
    </x:row>
    <x:row r="4520" ht="19" customHeight="1">
      <x:c r="A4520" s="19" t="str">
        <x:v>D04516</x:v>
      </x:c>
      <x:c r="B4520" s="19" t="n">
        <x:v>9</x:v>
      </x:c>
      <x:c r="C4520" s="19" t="n">
        <x:v>5</x:v>
      </x:c>
      <x:c r="D4520" s="19" t="str">
        <x:v>C09-M053</x:v>
      </x:c>
      <x:c r="E4520" s="19" t="str">
        <x:v>黄金壁垒号手</x:v>
      </x:c>
      <x:c r="F4520" s="19" t="str">
        <x:v>普通</x:v>
      </x:c>
      <x:c r="G4520" s="19" t="str">
        <x:v>材料独立候选</x:v>
      </x:c>
      <x:c r="H4520" s="19" t="str">
        <x:v>黄金叶脉</x:v>
      </x:c>
      <x:c r="I4520" s="22" t="n">
        <x:v>1800</x:v>
      </x:c>
      <x:c r="J4520" s="22" t="n">
        <x:v>8</x:v>
      </x:c>
      <x:c r="K4520" s="19" t="n">
        <x:v>1</x:v>
      </x:c>
      <x:c r="L4520" s="24" t="n">
        <x:v>74.05799999999999</x:v>
      </x:c>
      <x:c r="M4520" s="26" t="n">
        <x:v>0.1</x:v>
      </x:c>
      <x:c r="N4520" s="24" t="n">
        <x:v>72</x:v>
      </x:c>
      <x:c r="O4520" s="28" t="n">
        <x:f>MIN(1,L4520/I4520)</x:f>
        <x:v>0.04114333333333333</x:v>
      </x:c>
      <x:c r="P4520" s="30" t="n">
        <x:f>O4520*J4520*(1+M4520)</x:f>
        <x:v>0.36206133333333335</x:v>
      </x:c>
      <x:c r="Q4520" s="30" t="n">
        <x:f>P4520*N4520</x:f>
        <x:v>26.068416</x:v>
      </x:c>
      <x:c r="R4520" s="19" t="str">
        <x:v>独立判定</x:v>
      </x:c>
    </x:row>
    <x:row r="4521" ht="19" customHeight="1">
      <x:c r="A4521" s="19" t="str">
        <x:v>D04517</x:v>
      </x:c>
      <x:c r="B4521" s="19" t="n">
        <x:v>9</x:v>
      </x:c>
      <x:c r="C4521" s="19" t="n">
        <x:v>5</x:v>
      </x:c>
      <x:c r="D4521" s="19" t="str">
        <x:v>C09-M053</x:v>
      </x:c>
      <x:c r="E4521" s="19" t="str">
        <x:v>黄金壁垒号手</x:v>
      </x:c>
      <x:c r="F4521" s="19" t="str">
        <x:v>普通</x:v>
      </x:c>
      <x:c r="G4521" s="19" t="str">
        <x:v>材料独立候选</x:v>
      </x:c>
      <x:c r="H4521" s="19" t="str">
        <x:v>金叶驿票</x:v>
      </x:c>
      <x:c r="I4521" s="22" t="n">
        <x:v>20000</x:v>
      </x:c>
      <x:c r="J4521" s="22" t="n">
        <x:v>1</x:v>
      </x:c>
      <x:c r="K4521" s="19" t="n">
        <x:v>1</x:v>
      </x:c>
      <x:c r="L4521" s="24" t="n">
        <x:v>74.05799999999999</x:v>
      </x:c>
      <x:c r="M4521" s="26" t="n">
        <x:v>0.1</x:v>
      </x:c>
      <x:c r="N4521" s="24" t="n">
        <x:v>72</x:v>
      </x:c>
      <x:c r="O4521" s="28" t="n">
        <x:f>MIN(1,L4521/I4521)</x:f>
        <x:v>0.0037028999999999994</x:v>
      </x:c>
      <x:c r="P4521" s="30" t="n">
        <x:f>O4521*J4521*(1+M4521)</x:f>
        <x:v>0.00407319</x:v>
      </x:c>
      <x:c r="Q4521" s="30" t="n">
        <x:f>P4521*N4521</x:f>
        <x:v>0.29326968</x:v>
      </x:c>
      <x:c r="R4521" s="19" t="str">
        <x:v>独立判定</x:v>
      </x:c>
    </x:row>
    <x:row r="4522" ht="19" customHeight="1">
      <x:c r="A4522" s="19" t="str">
        <x:v>D04518</x:v>
      </x:c>
      <x:c r="B4522" s="19" t="n">
        <x:v>9</x:v>
      </x:c>
      <x:c r="C4522" s="19" t="n">
        <x:v>5</x:v>
      </x:c>
      <x:c r="D4522" s="19" t="str">
        <x:v>C09-M053</x:v>
      </x:c>
      <x:c r="E4522" s="19" t="str">
        <x:v>黄金壁垒号手</x:v>
      </x:c>
      <x:c r="F4522" s="19" t="str">
        <x:v>普通</x:v>
      </x:c>
      <x:c r="G4522" s="19" t="str">
        <x:v>材料独立候选</x:v>
      </x:c>
      <x:c r="H4522" s="19" t="str">
        <x:v>古坛鎏叶髓</x:v>
      </x:c>
      <x:c r="I4522" s="22" t="n">
        <x:v>3000000</x:v>
      </x:c>
      <x:c r="J4522" s="22" t="n">
        <x:v>1</x:v>
      </x:c>
      <x:c r="K4522" s="19" t="n">
        <x:v>1</x:v>
      </x:c>
      <x:c r="L4522" s="24" t="n">
        <x:v>74.05799999999999</x:v>
      </x:c>
      <x:c r="M4522" s="26" t="n">
        <x:v>0.1</x:v>
      </x:c>
      <x:c r="N4522" s="24" t="n">
        <x:v>72</x:v>
      </x:c>
      <x:c r="O4522" s="28" t="n">
        <x:f>MIN(1,L4522/I4522)</x:f>
        <x:v>0.000024685999999999997</x:v>
      </x:c>
      <x:c r="P4522" s="30" t="n">
        <x:f>O4522*J4522*(1+M4522)</x:f>
        <x:v>0.0000271546</x:v>
      </x:c>
      <x:c r="Q4522" s="30" t="n">
        <x:f>P4522*N4522</x:f>
        <x:v>0.0019551311999999998</x:v>
      </x:c>
      <x:c r="R4522" s="19" t="str">
        <x:v>独立判定</x:v>
      </x:c>
    </x:row>
    <x:row r="4523" ht="19" customHeight="1">
      <x:c r="A4523" s="19" t="str">
        <x:v>D04519</x:v>
      </x:c>
      <x:c r="B4523" s="19" t="n">
        <x:v>9</x:v>
      </x:c>
      <x:c r="C4523" s="19" t="n">
        <x:v>5</x:v>
      </x:c>
      <x:c r="D4523" s="19" t="str">
        <x:v>C09-M053</x:v>
      </x:c>
      <x:c r="E4523" s="19" t="str">
        <x:v>黄金壁垒号手</x:v>
      </x:c>
      <x:c r="F4523" s="19" t="str">
        <x:v>普通</x:v>
      </x:c>
      <x:c r="G4523" s="19" t="str">
        <x:v>材料独立候选</x:v>
      </x:c>
      <x:c r="H4523" s="19" t="str">
        <x:v>野兽骨片</x:v>
      </x:c>
      <x:c r="I4523" s="22" t="n">
        <x:v>400</x:v>
      </x:c>
      <x:c r="J4523" s="22" t="n">
        <x:v>5</x:v>
      </x:c>
      <x:c r="K4523" s="19" t="n">
        <x:v>1</x:v>
      </x:c>
      <x:c r="L4523" s="24" t="n">
        <x:v>74.05799999999999</x:v>
      </x:c>
      <x:c r="M4523" s="26" t="n">
        <x:v>0.1</x:v>
      </x:c>
      <x:c r="N4523" s="24" t="n">
        <x:v>72</x:v>
      </x:c>
      <x:c r="O4523" s="28" t="n">
        <x:f>MIN(1,L4523/I4523)</x:f>
        <x:v>0.18514499999999998</x:v>
      </x:c>
      <x:c r="P4523" s="30" t="n">
        <x:f>O4523*J4523*(1+M4523)</x:f>
        <x:v>1.0182975</x:v>
      </x:c>
      <x:c r="Q4523" s="30" t="n">
        <x:f>P4523*N4523</x:f>
        <x:v>73.31742</x:v>
      </x:c>
      <x:c r="R4523" s="19" t="str">
        <x:v>独立判定</x:v>
      </x:c>
    </x:row>
    <x:row r="4524" ht="19" customHeight="1">
      <x:c r="A4524" s="19" t="str">
        <x:v>D04520</x:v>
      </x:c>
      <x:c r="B4524" s="19" t="n">
        <x:v>9</x:v>
      </x:c>
      <x:c r="C4524" s="19" t="n">
        <x:v>5</x:v>
      </x:c>
      <x:c r="D4524" s="19" t="str">
        <x:v>C09-M053</x:v>
      </x:c>
      <x:c r="E4524" s="19" t="str">
        <x:v>黄金壁垒号手</x:v>
      </x:c>
      <x:c r="F4524" s="19" t="str">
        <x:v>普通</x:v>
      </x:c>
      <x:c r="G4524" s="19" t="str">
        <x:v>材料独立候选</x:v>
      </x:c>
      <x:c r="H4524" s="19" t="str">
        <x:v>技能残页</x:v>
      </x:c>
      <x:c r="I4524" s="22" t="n">
        <x:v>3000</x:v>
      </x:c>
      <x:c r="J4524" s="22" t="n">
        <x:v>1</x:v>
      </x:c>
      <x:c r="K4524" s="19" t="n">
        <x:v>1</x:v>
      </x:c>
      <x:c r="L4524" s="24" t="n">
        <x:v>74.05799999999999</x:v>
      </x:c>
      <x:c r="M4524" s="26" t="n">
        <x:v>0.1</x:v>
      </x:c>
      <x:c r="N4524" s="24" t="n">
        <x:v>72</x:v>
      </x:c>
      <x:c r="O4524" s="28" t="n">
        <x:f>MIN(1,L4524/I4524)</x:f>
        <x:v>0.024685999999999996</x:v>
      </x:c>
      <x:c r="P4524" s="30" t="n">
        <x:f>O4524*J4524*(1+M4524)</x:f>
        <x:v>0.027154599999999997</x:v>
      </x:c>
      <x:c r="Q4524" s="30" t="n">
        <x:f>P4524*N4524</x:f>
        <x:v>1.9551311999999998</x:v>
      </x:c>
      <x:c r="R4524" s="19" t="str">
        <x:v>独立判定</x:v>
      </x:c>
    </x:row>
    <x:row r="4525" ht="19" customHeight="1">
      <x:c r="A4525" s="19" t="str">
        <x:v>D04521</x:v>
      </x:c>
      <x:c r="B4525" s="19" t="n">
        <x:v>9</x:v>
      </x:c>
      <x:c r="C4525" s="19" t="n">
        <x:v>5</x:v>
      </x:c>
      <x:c r="D4525" s="19" t="str">
        <x:v>C09-M053</x:v>
      </x:c>
      <x:c r="E4525" s="19" t="str">
        <x:v>黄金壁垒号手</x:v>
      </x:c>
      <x:c r="F4525" s="19" t="str">
        <x:v>普通</x:v>
      </x:c>
      <x:c r="G4525" s="19" t="str">
        <x:v>材料独立候选</x:v>
      </x:c>
      <x:c r="H4525" s="19" t="str">
        <x:v>小卢恩</x:v>
      </x:c>
      <x:c r="I4525" s="22" t="n">
        <x:v>20000</x:v>
      </x:c>
      <x:c r="J4525" s="22" t="n">
        <x:v>1</x:v>
      </x:c>
      <x:c r="K4525" s="19" t="n">
        <x:v>1</x:v>
      </x:c>
      <x:c r="L4525" s="24" t="n">
        <x:v>74.05799999999999</x:v>
      </x:c>
      <x:c r="M4525" s="26" t="n">
        <x:v>0.1</x:v>
      </x:c>
      <x:c r="N4525" s="24" t="n">
        <x:v>72</x:v>
      </x:c>
      <x:c r="O4525" s="28" t="n">
        <x:f>MIN(1,L4525/I4525)</x:f>
        <x:v>0.0037028999999999994</x:v>
      </x:c>
      <x:c r="P4525" s="30" t="n">
        <x:f>O4525*J4525*(1+M4525)</x:f>
        <x:v>0.00407319</x:v>
      </x:c>
      <x:c r="Q4525" s="30" t="n">
        <x:f>P4525*N4525</x:f>
        <x:v>0.29326968</x:v>
      </x:c>
      <x:c r="R4525" s="19" t="str">
        <x:v>独立判定</x:v>
      </x:c>
    </x:row>
    <x:row r="4526" ht="19" customHeight="1">
      <x:c r="A4526" s="19" t="str">
        <x:v>D04522</x:v>
      </x:c>
      <x:c r="B4526" s="19" t="n">
        <x:v>9</x:v>
      </x:c>
      <x:c r="C4526" s="19" t="n">
        <x:v>5</x:v>
      </x:c>
      <x:c r="D4526" s="19" t="str">
        <x:v>C09-M053</x:v>
      </x:c>
      <x:c r="E4526" s="19" t="str">
        <x:v>黄金壁垒号手</x:v>
      </x:c>
      <x:c r="F4526" s="19" t="str">
        <x:v>普通</x:v>
      </x:c>
      <x:c r="G4526" s="19" t="str">
        <x:v>六神器公共池</x:v>
      </x:c>
      <x:c r="H4526" s="19" t="str">
        <x:v>POOL006</x:v>
      </x:c>
      <x:c r="I4526" s="22" t="n">
        <x:v>20000000</x:v>
      </x:c>
      <x:c r="J4526" s="22" t="n">
        <x:v>1</x:v>
      </x:c>
      <x:c r="K4526" s="19" t="n">
        <x:v>6</x:v>
      </x:c>
      <x:c r="L4526" s="24" t="n">
        <x:v>74.05799999999999</x:v>
      </x:c>
      <x:c r="M4526" s="26" t="n">
        <x:v>0.1</x:v>
      </x:c>
      <x:c r="N4526" s="24" t="n">
        <x:v>72</x:v>
      </x:c>
      <x:c r="O4526" s="28" t="n">
        <x:f>MIN(1,L4526/I4526)</x:f>
        <x:v>0.0000037028999999999997</x:v>
      </x:c>
      <x:c r="P4526" s="30" t="n">
        <x:f>O4526*J4526*(1+M4526)</x:f>
        <x:v>0.00000407319</x:v>
      </x:c>
      <x:c r="Q4526" s="30" t="n">
        <x:f>P4526*N4526</x:f>
        <x:v>0.00029326968</x:v>
      </x:c>
      <x:c r="R4526" s="19" t="str">
        <x:v>六选一；非6个独立爆率</x:v>
      </x:c>
    </x:row>
    <x:row r="4527" ht="19" customHeight="1">
      <x:c r="A4527" s="19" t="str">
        <x:v>D04523</x:v>
      </x:c>
      <x:c r="B4527" s="19" t="n">
        <x:v>9</x:v>
      </x:c>
      <x:c r="C4527" s="19" t="n">
        <x:v>5</x:v>
      </x:c>
      <x:c r="D4527" s="19" t="str">
        <x:v>C09-M054</x:v>
      </x:c>
      <x:c r="E4527" s="19" t="str">
        <x:v>关门锁链卫</x:v>
      </x:c>
      <x:c r="F4527" s="19" t="str">
        <x:v>普通</x:v>
      </x:c>
      <x:c r="G4527" s="19" t="str">
        <x:v>自身专属</x:v>
      </x:c>
      <x:c r="H4527" s="19" t="str">
        <x:v>锁链关门甲</x:v>
      </x:c>
      <x:c r="I4527" s="22" t="n">
        <x:v>8000</x:v>
      </x:c>
      <x:c r="J4527" s="22" t="n">
        <x:v>1</x:v>
      </x:c>
      <x:c r="K4527" s="19" t="n">
        <x:v>1</x:v>
      </x:c>
      <x:c r="L4527" s="24" t="n">
        <x:v>74.05799999999999</x:v>
      </x:c>
      <x:c r="M4527" s="26" t="n">
        <x:v>0.1</x:v>
      </x:c>
      <x:c r="N4527" s="24" t="n">
        <x:v>54.33858522751782</x:v>
      </x:c>
      <x:c r="O4527" s="28" t="n">
        <x:f>MIN(1,L4527/I4527)</x:f>
        <x:v>0.00925725</x:v>
      </x:c>
      <x:c r="P4527" s="30" t="n">
        <x:f>O4527*J4527*(1+M4527)</x:f>
        <x:v>0.010182975</x:v>
      </x:c>
      <x:c r="Q4527" s="30" t="n">
        <x:f>P4527*N4527</x:f>
        <x:v>0.5533284549071833</x:v>
      </x:c>
      <x:c r="R4527" s="19" t="str">
        <x:v>独立判定</x:v>
      </x:c>
    </x:row>
    <x:row r="4528" ht="19" customHeight="1">
      <x:c r="A4528" s="19" t="str">
        <x:v>D04524</x:v>
      </x:c>
      <x:c r="B4528" s="19" t="n">
        <x:v>9</x:v>
      </x:c>
      <x:c r="C4528" s="19" t="n">
        <x:v>5</x:v>
      </x:c>
      <x:c r="D4528" s="19" t="str">
        <x:v>C09-M054</x:v>
      </x:c>
      <x:c r="E4528" s="19" t="str">
        <x:v>关门锁链卫</x:v>
      </x:c>
      <x:c r="F4528" s="19" t="str">
        <x:v>普通</x:v>
      </x:c>
      <x:c r="G4528" s="19" t="str">
        <x:v>材料独立候选</x:v>
      </x:c>
      <x:c r="H4528" s="19" t="str">
        <x:v>黄金叶脉</x:v>
      </x:c>
      <x:c r="I4528" s="22" t="n">
        <x:v>1800</x:v>
      </x:c>
      <x:c r="J4528" s="22" t="n">
        <x:v>8</x:v>
      </x:c>
      <x:c r="K4528" s="19" t="n">
        <x:v>1</x:v>
      </x:c>
      <x:c r="L4528" s="24" t="n">
        <x:v>74.05799999999999</x:v>
      </x:c>
      <x:c r="M4528" s="26" t="n">
        <x:v>0.1</x:v>
      </x:c>
      <x:c r="N4528" s="24" t="n">
        <x:v>54.33858522751782</x:v>
      </x:c>
      <x:c r="O4528" s="28" t="n">
        <x:f>MIN(1,L4528/I4528)</x:f>
        <x:v>0.04114333333333333</x:v>
      </x:c>
      <x:c r="P4528" s="30" t="n">
        <x:f>O4528*J4528*(1+M4528)</x:f>
        <x:v>0.36206133333333335</x:v>
      </x:c>
      <x:c r="Q4528" s="30" t="n">
        <x:f>P4528*N4528</x:f>
        <x:v>19.673900618922072</x:v>
      </x:c>
      <x:c r="R4528" s="19" t="str">
        <x:v>独立判定</x:v>
      </x:c>
    </x:row>
    <x:row r="4529" ht="19" customHeight="1">
      <x:c r="A4529" s="19" t="str">
        <x:v>D04525</x:v>
      </x:c>
      <x:c r="B4529" s="19" t="n">
        <x:v>9</x:v>
      </x:c>
      <x:c r="C4529" s="19" t="n">
        <x:v>5</x:v>
      </x:c>
      <x:c r="D4529" s="19" t="str">
        <x:v>C09-M054</x:v>
      </x:c>
      <x:c r="E4529" s="19" t="str">
        <x:v>关门锁链卫</x:v>
      </x:c>
      <x:c r="F4529" s="19" t="str">
        <x:v>普通</x:v>
      </x:c>
      <x:c r="G4529" s="19" t="str">
        <x:v>材料独立候选</x:v>
      </x:c>
      <x:c r="H4529" s="19" t="str">
        <x:v>金叶驿票</x:v>
      </x:c>
      <x:c r="I4529" s="22" t="n">
        <x:v>20000</x:v>
      </x:c>
      <x:c r="J4529" s="22" t="n">
        <x:v>1</x:v>
      </x:c>
      <x:c r="K4529" s="19" t="n">
        <x:v>1</x:v>
      </x:c>
      <x:c r="L4529" s="24" t="n">
        <x:v>74.05799999999999</x:v>
      </x:c>
      <x:c r="M4529" s="26" t="n">
        <x:v>0.1</x:v>
      </x:c>
      <x:c r="N4529" s="24" t="n">
        <x:v>54.33858522751782</x:v>
      </x:c>
      <x:c r="O4529" s="28" t="n">
        <x:f>MIN(1,L4529/I4529)</x:f>
        <x:v>0.0037028999999999994</x:v>
      </x:c>
      <x:c r="P4529" s="30" t="n">
        <x:f>O4529*J4529*(1+M4529)</x:f>
        <x:v>0.00407319</x:v>
      </x:c>
      <x:c r="Q4529" s="30" t="n">
        <x:f>P4529*N4529</x:f>
        <x:v>0.2213313819628733</x:v>
      </x:c>
      <x:c r="R4529" s="19" t="str">
        <x:v>独立判定</x:v>
      </x:c>
    </x:row>
    <x:row r="4530" ht="19" customHeight="1">
      <x:c r="A4530" s="19" t="str">
        <x:v>D04526</x:v>
      </x:c>
      <x:c r="B4530" s="19" t="n">
        <x:v>9</x:v>
      </x:c>
      <x:c r="C4530" s="19" t="n">
        <x:v>5</x:v>
      </x:c>
      <x:c r="D4530" s="19" t="str">
        <x:v>C09-M054</x:v>
      </x:c>
      <x:c r="E4530" s="19" t="str">
        <x:v>关门锁链卫</x:v>
      </x:c>
      <x:c r="F4530" s="19" t="str">
        <x:v>普通</x:v>
      </x:c>
      <x:c r="G4530" s="19" t="str">
        <x:v>材料独立候选</x:v>
      </x:c>
      <x:c r="H4530" s="19" t="str">
        <x:v>古坛鎏叶髓</x:v>
      </x:c>
      <x:c r="I4530" s="22" t="n">
        <x:v>3000000</x:v>
      </x:c>
      <x:c r="J4530" s="22" t="n">
        <x:v>1</x:v>
      </x:c>
      <x:c r="K4530" s="19" t="n">
        <x:v>1</x:v>
      </x:c>
      <x:c r="L4530" s="24" t="n">
        <x:v>74.05799999999999</x:v>
      </x:c>
      <x:c r="M4530" s="26" t="n">
        <x:v>0.1</x:v>
      </x:c>
      <x:c r="N4530" s="24" t="n">
        <x:v>54.33858522751782</x:v>
      </x:c>
      <x:c r="O4530" s="28" t="n">
        <x:f>MIN(1,L4530/I4530)</x:f>
        <x:v>0.000024685999999999997</x:v>
      </x:c>
      <x:c r="P4530" s="30" t="n">
        <x:f>O4530*J4530*(1+M4530)</x:f>
        <x:v>0.0000271546</x:v>
      </x:c>
      <x:c r="Q4530" s="30" t="n">
        <x:f>P4530*N4530</x:f>
        <x:v>0.0014755425464191552</x:v>
      </x:c>
      <x:c r="R4530" s="19" t="str">
        <x:v>独立判定</x:v>
      </x:c>
    </x:row>
    <x:row r="4531" ht="19" customHeight="1">
      <x:c r="A4531" s="19" t="str">
        <x:v>D04527</x:v>
      </x:c>
      <x:c r="B4531" s="19" t="n">
        <x:v>9</x:v>
      </x:c>
      <x:c r="C4531" s="19" t="n">
        <x:v>5</x:v>
      </x:c>
      <x:c r="D4531" s="19" t="str">
        <x:v>C09-M054</x:v>
      </x:c>
      <x:c r="E4531" s="19" t="str">
        <x:v>关门锁链卫</x:v>
      </x:c>
      <x:c r="F4531" s="19" t="str">
        <x:v>普通</x:v>
      </x:c>
      <x:c r="G4531" s="19" t="str">
        <x:v>材料独立候选</x:v>
      </x:c>
      <x:c r="H4531" s="19" t="str">
        <x:v>野兽骨片</x:v>
      </x:c>
      <x:c r="I4531" s="22" t="n">
        <x:v>400</x:v>
      </x:c>
      <x:c r="J4531" s="22" t="n">
        <x:v>5</x:v>
      </x:c>
      <x:c r="K4531" s="19" t="n">
        <x:v>1</x:v>
      </x:c>
      <x:c r="L4531" s="24" t="n">
        <x:v>74.05799999999999</x:v>
      </x:c>
      <x:c r="M4531" s="26" t="n">
        <x:v>0.1</x:v>
      </x:c>
      <x:c r="N4531" s="24" t="n">
        <x:v>54.33858522751782</x:v>
      </x:c>
      <x:c r="O4531" s="28" t="n">
        <x:f>MIN(1,L4531/I4531)</x:f>
        <x:v>0.18514499999999998</x:v>
      </x:c>
      <x:c r="P4531" s="30" t="n">
        <x:f>O4531*J4531*(1+M4531)</x:f>
        <x:v>1.0182975</x:v>
      </x:c>
      <x:c r="Q4531" s="30" t="n">
        <x:f>P4531*N4531</x:f>
        <x:v>55.33284549071833</x:v>
      </x:c>
      <x:c r="R4531" s="19" t="str">
        <x:v>独立判定</x:v>
      </x:c>
    </x:row>
    <x:row r="4532" ht="19" customHeight="1">
      <x:c r="A4532" s="19" t="str">
        <x:v>D04528</x:v>
      </x:c>
      <x:c r="B4532" s="19" t="n">
        <x:v>9</x:v>
      </x:c>
      <x:c r="C4532" s="19" t="n">
        <x:v>5</x:v>
      </x:c>
      <x:c r="D4532" s="19" t="str">
        <x:v>C09-M054</x:v>
      </x:c>
      <x:c r="E4532" s="19" t="str">
        <x:v>关门锁链卫</x:v>
      </x:c>
      <x:c r="F4532" s="19" t="str">
        <x:v>普通</x:v>
      </x:c>
      <x:c r="G4532" s="19" t="str">
        <x:v>材料独立候选</x:v>
      </x:c>
      <x:c r="H4532" s="19" t="str">
        <x:v>技能残页</x:v>
      </x:c>
      <x:c r="I4532" s="22" t="n">
        <x:v>3000</x:v>
      </x:c>
      <x:c r="J4532" s="22" t="n">
        <x:v>1</x:v>
      </x:c>
      <x:c r="K4532" s="19" t="n">
        <x:v>1</x:v>
      </x:c>
      <x:c r="L4532" s="24" t="n">
        <x:v>74.05799999999999</x:v>
      </x:c>
      <x:c r="M4532" s="26" t="n">
        <x:v>0.1</x:v>
      </x:c>
      <x:c r="N4532" s="24" t="n">
        <x:v>54.33858522751782</x:v>
      </x:c>
      <x:c r="O4532" s="28" t="n">
        <x:f>MIN(1,L4532/I4532)</x:f>
        <x:v>0.024685999999999996</x:v>
      </x:c>
      <x:c r="P4532" s="30" t="n">
        <x:f>O4532*J4532*(1+M4532)</x:f>
        <x:v>0.027154599999999997</x:v>
      </x:c>
      <x:c r="Q4532" s="30" t="n">
        <x:f>P4532*N4532</x:f>
        <x:v>1.4755425464191552</x:v>
      </x:c>
      <x:c r="R4532" s="19" t="str">
        <x:v>独立判定</x:v>
      </x:c>
    </x:row>
    <x:row r="4533" ht="19" customHeight="1">
      <x:c r="A4533" s="19" t="str">
        <x:v>D04529</x:v>
      </x:c>
      <x:c r="B4533" s="19" t="n">
        <x:v>9</x:v>
      </x:c>
      <x:c r="C4533" s="19" t="n">
        <x:v>5</x:v>
      </x:c>
      <x:c r="D4533" s="19" t="str">
        <x:v>C09-M054</x:v>
      </x:c>
      <x:c r="E4533" s="19" t="str">
        <x:v>关门锁链卫</x:v>
      </x:c>
      <x:c r="F4533" s="19" t="str">
        <x:v>普通</x:v>
      </x:c>
      <x:c r="G4533" s="19" t="str">
        <x:v>材料独立候选</x:v>
      </x:c>
      <x:c r="H4533" s="19" t="str">
        <x:v>小卢恩</x:v>
      </x:c>
      <x:c r="I4533" s="22" t="n">
        <x:v>20000</x:v>
      </x:c>
      <x:c r="J4533" s="22" t="n">
        <x:v>1</x:v>
      </x:c>
      <x:c r="K4533" s="19" t="n">
        <x:v>1</x:v>
      </x:c>
      <x:c r="L4533" s="24" t="n">
        <x:v>74.05799999999999</x:v>
      </x:c>
      <x:c r="M4533" s="26" t="n">
        <x:v>0.1</x:v>
      </x:c>
      <x:c r="N4533" s="24" t="n">
        <x:v>54.33858522751782</x:v>
      </x:c>
      <x:c r="O4533" s="28" t="n">
        <x:f>MIN(1,L4533/I4533)</x:f>
        <x:v>0.0037028999999999994</x:v>
      </x:c>
      <x:c r="P4533" s="30" t="n">
        <x:f>O4533*J4533*(1+M4533)</x:f>
        <x:v>0.00407319</x:v>
      </x:c>
      <x:c r="Q4533" s="30" t="n">
        <x:f>P4533*N4533</x:f>
        <x:v>0.2213313819628733</x:v>
      </x:c>
      <x:c r="R4533" s="19" t="str">
        <x:v>独立判定</x:v>
      </x:c>
    </x:row>
    <x:row r="4534" ht="19" customHeight="1">
      <x:c r="A4534" s="19" t="str">
        <x:v>D04530</x:v>
      </x:c>
      <x:c r="B4534" s="19" t="n">
        <x:v>9</x:v>
      </x:c>
      <x:c r="C4534" s="19" t="n">
        <x:v>5</x:v>
      </x:c>
      <x:c r="D4534" s="19" t="str">
        <x:v>C09-M054</x:v>
      </x:c>
      <x:c r="E4534" s="19" t="str">
        <x:v>关门锁链卫</x:v>
      </x:c>
      <x:c r="F4534" s="19" t="str">
        <x:v>普通</x:v>
      </x:c>
      <x:c r="G4534" s="19" t="str">
        <x:v>六神器公共池</x:v>
      </x:c>
      <x:c r="H4534" s="19" t="str">
        <x:v>POOL006</x:v>
      </x:c>
      <x:c r="I4534" s="22" t="n">
        <x:v>20000000</x:v>
      </x:c>
      <x:c r="J4534" s="22" t="n">
        <x:v>1</x:v>
      </x:c>
      <x:c r="K4534" s="19" t="n">
        <x:v>6</x:v>
      </x:c>
      <x:c r="L4534" s="24" t="n">
        <x:v>74.05799999999999</x:v>
      </x:c>
      <x:c r="M4534" s="26" t="n">
        <x:v>0.1</x:v>
      </x:c>
      <x:c r="N4534" s="24" t="n">
        <x:v>54.33858522751782</x:v>
      </x:c>
      <x:c r="O4534" s="28" t="n">
        <x:f>MIN(1,L4534/I4534)</x:f>
        <x:v>0.0000037028999999999997</x:v>
      </x:c>
      <x:c r="P4534" s="30" t="n">
        <x:f>O4534*J4534*(1+M4534)</x:f>
        <x:v>0.00000407319</x:v>
      </x:c>
      <x:c r="Q4534" s="30" t="n">
        <x:f>P4534*N4534</x:f>
        <x:v>0.00022133138196287332</x:v>
      </x:c>
      <x:c r="R4534" s="19" t="str">
        <x:v>六选一；非6个独立爆率</x:v>
      </x:c>
    </x:row>
    <x:row r="4535" ht="19" customHeight="1">
      <x:c r="A4535" s="19" t="str">
        <x:v>D04531</x:v>
      </x:c>
      <x:c r="B4535" s="19" t="n">
        <x:v>9</x:v>
      </x:c>
      <x:c r="C4535" s="19" t="n">
        <x:v>5</x:v>
      </x:c>
      <x:c r="D4535" s="19" t="str">
        <x:v>C09-M055</x:v>
      </x:c>
      <x:c r="E4535" s="19" t="str">
        <x:v>甬道潜旗客</x:v>
      </x:c>
      <x:c r="F4535" s="19" t="str">
        <x:v>稀有</x:v>
      </x:c>
      <x:c r="G4535" s="19" t="str">
        <x:v>自身专属</x:v>
      </x:c>
      <x:c r="H4535" s="19" t="str">
        <x:v>潜旗客灰翎笠</x:v>
      </x:c>
      <x:c r="I4535" s="22" t="n">
        <x:v>2000</x:v>
      </x:c>
      <x:c r="J4535" s="22" t="n">
        <x:v>1</x:v>
      </x:c>
      <x:c r="K4535" s="19" t="n">
        <x:v>1</x:v>
      </x:c>
      <x:c r="L4535" s="24" t="n">
        <x:v>74.05799999999999</x:v>
      </x:c>
      <x:c r="M4535" s="26" t="n">
        <x:v>0.1</x:v>
      </x:c>
      <x:c r="N4535" s="24" t="n">
        <x:v>12</x:v>
      </x:c>
      <x:c r="O4535" s="28" t="n">
        <x:f>MIN(1,L4535/I4535)</x:f>
        <x:v>0.037029</x:v>
      </x:c>
      <x:c r="P4535" s="30" t="n">
        <x:f>O4535*J4535*(1+M4535)</x:f>
        <x:v>0.0407319</x:v>
      </x:c>
      <x:c r="Q4535" s="30" t="n">
        <x:f>P4535*N4535</x:f>
        <x:v>0.4887828</x:v>
      </x:c>
      <x:c r="R4535" s="19" t="str">
        <x:v>独立判定</x:v>
      </x:c>
    </x:row>
    <x:row r="4536" ht="19" customHeight="1">
      <x:c r="A4536" s="19" t="str">
        <x:v>D04532</x:v>
      </x:c>
      <x:c r="B4536" s="19" t="n">
        <x:v>9</x:v>
      </x:c>
      <x:c r="C4536" s="19" t="n">
        <x:v>5</x:v>
      </x:c>
      <x:c r="D4536" s="19" t="str">
        <x:v>C09-M055</x:v>
      </x:c>
      <x:c r="E4536" s="19" t="str">
        <x:v>甬道潜旗客</x:v>
      </x:c>
      <x:c r="F4536" s="19" t="str">
        <x:v>稀有</x:v>
      </x:c>
      <x:c r="G4536" s="19" t="str">
        <x:v>材料独立候选</x:v>
      </x:c>
      <x:c r="H4536" s="19" t="str">
        <x:v>黄金叶脉</x:v>
      </x:c>
      <x:c r="I4536" s="22" t="n">
        <x:v>1000</x:v>
      </x:c>
      <x:c r="J4536" s="22" t="n">
        <x:v>15</x:v>
      </x:c>
      <x:c r="K4536" s="19" t="n">
        <x:v>1</x:v>
      </x:c>
      <x:c r="L4536" s="24" t="n">
        <x:v>74.05799999999999</x:v>
      </x:c>
      <x:c r="M4536" s="26" t="n">
        <x:v>0.1</x:v>
      </x:c>
      <x:c r="N4536" s="24" t="n">
        <x:v>12</x:v>
      </x:c>
      <x:c r="O4536" s="28" t="n">
        <x:f>MIN(1,L4536/I4536)</x:f>
        <x:v>0.074058</x:v>
      </x:c>
      <x:c r="P4536" s="30" t="n">
        <x:f>O4536*J4536*(1+M4536)</x:f>
        <x:v>1.2219570000000002</x:v>
      </x:c>
      <x:c r="Q4536" s="30" t="n">
        <x:f>P4536*N4536</x:f>
        <x:v>14.663484000000002</x:v>
      </x:c>
      <x:c r="R4536" s="19" t="str">
        <x:v>独立判定</x:v>
      </x:c>
    </x:row>
    <x:row r="4537" ht="19" customHeight="1">
      <x:c r="A4537" s="19" t="str">
        <x:v>D04533</x:v>
      </x:c>
      <x:c r="B4537" s="19" t="n">
        <x:v>9</x:v>
      </x:c>
      <x:c r="C4537" s="19" t="n">
        <x:v>5</x:v>
      </x:c>
      <x:c r="D4537" s="19" t="str">
        <x:v>C09-M055</x:v>
      </x:c>
      <x:c r="E4537" s="19" t="str">
        <x:v>甬道潜旗客</x:v>
      </x:c>
      <x:c r="F4537" s="19" t="str">
        <x:v>稀有</x:v>
      </x:c>
      <x:c r="G4537" s="19" t="str">
        <x:v>材料独立候选</x:v>
      </x:c>
      <x:c r="H4537" s="19" t="str">
        <x:v>古王律页</x:v>
      </x:c>
      <x:c r="I4537" s="22" t="n">
        <x:v>1200</x:v>
      </x:c>
      <x:c r="J4537" s="22" t="n">
        <x:v>1</x:v>
      </x:c>
      <x:c r="K4537" s="19" t="n">
        <x:v>1</x:v>
      </x:c>
      <x:c r="L4537" s="24" t="n">
        <x:v>74.05799999999999</x:v>
      </x:c>
      <x:c r="M4537" s="26" t="n">
        <x:v>0.1</x:v>
      </x:c>
      <x:c r="N4537" s="24" t="n">
        <x:v>12</x:v>
      </x:c>
      <x:c r="O4537" s="28" t="n">
        <x:f>MIN(1,L4537/I4537)</x:f>
        <x:v>0.06171499999999999</x:v>
      </x:c>
      <x:c r="P4537" s="30" t="n">
        <x:f>O4537*J4537*(1+M4537)</x:f>
        <x:v>0.0678865</x:v>
      </x:c>
      <x:c r="Q4537" s="30" t="n">
        <x:f>P4537*N4537</x:f>
        <x:v>0.814638</x:v>
      </x:c>
      <x:c r="R4537" s="19" t="str">
        <x:v>独立判定</x:v>
      </x:c>
    </x:row>
    <x:row r="4538" ht="19" customHeight="1">
      <x:c r="A4538" s="19" t="str">
        <x:v>D04534</x:v>
      </x:c>
      <x:c r="B4538" s="19" t="n">
        <x:v>9</x:v>
      </x:c>
      <x:c r="C4538" s="19" t="n">
        <x:v>5</x:v>
      </x:c>
      <x:c r="D4538" s="19" t="str">
        <x:v>C09-M055</x:v>
      </x:c>
      <x:c r="E4538" s="19" t="str">
        <x:v>甬道潜旗客</x:v>
      </x:c>
      <x:c r="F4538" s="19" t="str">
        <x:v>稀有</x:v>
      </x:c>
      <x:c r="G4538" s="19" t="str">
        <x:v>材料独立候选</x:v>
      </x:c>
      <x:c r="H4538" s="19" t="str">
        <x:v>矿脉灯芯</x:v>
      </x:c>
      <x:c r="I4538" s="22" t="n">
        <x:v>5000</x:v>
      </x:c>
      <x:c r="J4538" s="22" t="n">
        <x:v>1</x:v>
      </x:c>
      <x:c r="K4538" s="19" t="n">
        <x:v>1</x:v>
      </x:c>
      <x:c r="L4538" s="24" t="n">
        <x:v>74.05799999999999</x:v>
      </x:c>
      <x:c r="M4538" s="26" t="n">
        <x:v>0.1</x:v>
      </x:c>
      <x:c r="N4538" s="24" t="n">
        <x:v>12</x:v>
      </x:c>
      <x:c r="O4538" s="28" t="n">
        <x:f>MIN(1,L4538/I4538)</x:f>
        <x:v>0.014811599999999998</x:v>
      </x:c>
      <x:c r="P4538" s="30" t="n">
        <x:f>O4538*J4538*(1+M4538)</x:f>
        <x:v>0.01629276</x:v>
      </x:c>
      <x:c r="Q4538" s="30" t="n">
        <x:f>P4538*N4538</x:f>
        <x:v>0.19551311999999998</x:v>
      </x:c>
      <x:c r="R4538" s="19" t="str">
        <x:v>独立判定</x:v>
      </x:c>
    </x:row>
    <x:row r="4539" ht="19" customHeight="1">
      <x:c r="A4539" s="19" t="str">
        <x:v>D04535</x:v>
      </x:c>
      <x:c r="B4539" s="19" t="n">
        <x:v>9</x:v>
      </x:c>
      <x:c r="C4539" s="19" t="n">
        <x:v>5</x:v>
      </x:c>
      <x:c r="D4539" s="19" t="str">
        <x:v>C09-M055</x:v>
      </x:c>
      <x:c r="E4539" s="19" t="str">
        <x:v>甬道潜旗客</x:v>
      </x:c>
      <x:c r="F4539" s="19" t="str">
        <x:v>稀有</x:v>
      </x:c>
      <x:c r="G4539" s="19" t="str">
        <x:v>材料独立候选</x:v>
      </x:c>
      <x:c r="H4539" s="19" t="str">
        <x:v>古坛鎏叶髓</x:v>
      </x:c>
      <x:c r="I4539" s="22" t="n">
        <x:v>2000000</x:v>
      </x:c>
      <x:c r="J4539" s="22" t="n">
        <x:v>1</x:v>
      </x:c>
      <x:c r="K4539" s="19" t="n">
        <x:v>1</x:v>
      </x:c>
      <x:c r="L4539" s="24" t="n">
        <x:v>74.05799999999999</x:v>
      </x:c>
      <x:c r="M4539" s="26" t="n">
        <x:v>0.1</x:v>
      </x:c>
      <x:c r="N4539" s="24" t="n">
        <x:v>12</x:v>
      </x:c>
      <x:c r="O4539" s="28" t="n">
        <x:f>MIN(1,L4539/I4539)</x:f>
        <x:v>0.000037028999999999994</x:v>
      </x:c>
      <x:c r="P4539" s="30" t="n">
        <x:f>O4539*J4539*(1+M4539)</x:f>
        <x:v>0.000040731899999999995</x:v>
      </x:c>
      <x:c r="Q4539" s="30" t="n">
        <x:f>P4539*N4539</x:f>
        <x:v>0.0004887827999999999</x:v>
      </x:c>
      <x:c r="R4539" s="19" t="str">
        <x:v>独立判定</x:v>
      </x:c>
    </x:row>
    <x:row r="4540" ht="19" customHeight="1">
      <x:c r="A4540" s="19" t="str">
        <x:v>D04536</x:v>
      </x:c>
      <x:c r="B4540" s="19" t="n">
        <x:v>9</x:v>
      </x:c>
      <x:c r="C4540" s="19" t="n">
        <x:v>5</x:v>
      </x:c>
      <x:c r="D4540" s="19" t="str">
        <x:v>C09-M055</x:v>
      </x:c>
      <x:c r="E4540" s="19" t="str">
        <x:v>甬道潜旗客</x:v>
      </x:c>
      <x:c r="F4540" s="19" t="str">
        <x:v>稀有</x:v>
      </x:c>
      <x:c r="G4540" s="19" t="str">
        <x:v>材料独立候选</x:v>
      </x:c>
      <x:c r="H4540" s="19" t="str">
        <x:v>黄金树芽</x:v>
      </x:c>
      <x:c r="I4540" s="22" t="n">
        <x:v>15000</x:v>
      </x:c>
      <x:c r="J4540" s="22" t="n">
        <x:v>1</x:v>
      </x:c>
      <x:c r="K4540" s="19" t="n">
        <x:v>1</x:v>
      </x:c>
      <x:c r="L4540" s="24" t="n">
        <x:v>74.05799999999999</x:v>
      </x:c>
      <x:c r="M4540" s="26" t="n">
        <x:v>0.1</x:v>
      </x:c>
      <x:c r="N4540" s="24" t="n">
        <x:v>12</x:v>
      </x:c>
      <x:c r="O4540" s="28" t="n">
        <x:f>MIN(1,L4540/I4540)</x:f>
        <x:v>0.004937199999999999</x:v>
      </x:c>
      <x:c r="P4540" s="30" t="n">
        <x:f>O4540*J4540*(1+M4540)</x:f>
        <x:v>0.00543092</x:v>
      </x:c>
      <x:c r="Q4540" s="30" t="n">
        <x:f>P4540*N4540</x:f>
        <x:v>0.06517104</x:v>
      </x:c>
      <x:c r="R4540" s="19" t="str">
        <x:v>独立判定</x:v>
      </x:c>
    </x:row>
    <x:row r="4541" ht="19" customHeight="1">
      <x:c r="A4541" s="19" t="str">
        <x:v>D04537</x:v>
      </x:c>
      <x:c r="B4541" s="19" t="n">
        <x:v>9</x:v>
      </x:c>
      <x:c r="C4541" s="19" t="n">
        <x:v>5</x:v>
      </x:c>
      <x:c r="D4541" s="19" t="str">
        <x:v>C09-M055</x:v>
      </x:c>
      <x:c r="E4541" s="19" t="str">
        <x:v>甬道潜旗客</x:v>
      </x:c>
      <x:c r="F4541" s="19" t="str">
        <x:v>稀有</x:v>
      </x:c>
      <x:c r="G4541" s="19" t="str">
        <x:v>材料独立候选</x:v>
      </x:c>
      <x:c r="H4541" s="19" t="str">
        <x:v>野兽骨片</x:v>
      </x:c>
      <x:c r="I4541" s="22" t="n">
        <x:v>250</x:v>
      </x:c>
      <x:c r="J4541" s="22" t="n">
        <x:v>5</x:v>
      </x:c>
      <x:c r="K4541" s="19" t="n">
        <x:v>1</x:v>
      </x:c>
      <x:c r="L4541" s="24" t="n">
        <x:v>74.05799999999999</x:v>
      </x:c>
      <x:c r="M4541" s="26" t="n">
        <x:v>0.1</x:v>
      </x:c>
      <x:c r="N4541" s="24" t="n">
        <x:v>12</x:v>
      </x:c>
      <x:c r="O4541" s="28" t="n">
        <x:f>MIN(1,L4541/I4541)</x:f>
        <x:v>0.296232</x:v>
      </x:c>
      <x:c r="P4541" s="30" t="n">
        <x:f>O4541*J4541*(1+M4541)</x:f>
        <x:v>1.6292760000000002</x:v>
      </x:c>
      <x:c r="Q4541" s="30" t="n">
        <x:f>P4541*N4541</x:f>
        <x:v>19.551312000000003</x:v>
      </x:c>
      <x:c r="R4541" s="19" t="str">
        <x:v>独立判定</x:v>
      </x:c>
    </x:row>
    <x:row r="4542" ht="19" customHeight="1">
      <x:c r="A4542" s="19" t="str">
        <x:v>D04538</x:v>
      </x:c>
      <x:c r="B4542" s="19" t="n">
        <x:v>9</x:v>
      </x:c>
      <x:c r="C4542" s="19" t="n">
        <x:v>5</x:v>
      </x:c>
      <x:c r="D4542" s="19" t="str">
        <x:v>C09-M055</x:v>
      </x:c>
      <x:c r="E4542" s="19" t="str">
        <x:v>甬道潜旗客</x:v>
      </x:c>
      <x:c r="F4542" s="19" t="str">
        <x:v>稀有</x:v>
      </x:c>
      <x:c r="G4542" s="19" t="str">
        <x:v>材料独立候选</x:v>
      </x:c>
      <x:c r="H4542" s="19" t="str">
        <x:v>技能残页</x:v>
      </x:c>
      <x:c r="I4542" s="22" t="n">
        <x:v>2000</x:v>
      </x:c>
      <x:c r="J4542" s="22" t="n">
        <x:v>1</x:v>
      </x:c>
      <x:c r="K4542" s="19" t="n">
        <x:v>1</x:v>
      </x:c>
      <x:c r="L4542" s="24" t="n">
        <x:v>74.05799999999999</x:v>
      </x:c>
      <x:c r="M4542" s="26" t="n">
        <x:v>0.1</x:v>
      </x:c>
      <x:c r="N4542" s="24" t="n">
        <x:v>12</x:v>
      </x:c>
      <x:c r="O4542" s="28" t="n">
        <x:f>MIN(1,L4542/I4542)</x:f>
        <x:v>0.037029</x:v>
      </x:c>
      <x:c r="P4542" s="30" t="n">
        <x:f>O4542*J4542*(1+M4542)</x:f>
        <x:v>0.0407319</x:v>
      </x:c>
      <x:c r="Q4542" s="30" t="n">
        <x:f>P4542*N4542</x:f>
        <x:v>0.4887828</x:v>
      </x:c>
      <x:c r="R4542" s="19" t="str">
        <x:v>独立判定</x:v>
      </x:c>
    </x:row>
    <x:row r="4543" ht="19" customHeight="1">
      <x:c r="A4543" s="19" t="str">
        <x:v>D04539</x:v>
      </x:c>
      <x:c r="B4543" s="19" t="n">
        <x:v>9</x:v>
      </x:c>
      <x:c r="C4543" s="19" t="n">
        <x:v>5</x:v>
      </x:c>
      <x:c r="D4543" s="19" t="str">
        <x:v>C09-M055</x:v>
      </x:c>
      <x:c r="E4543" s="19" t="str">
        <x:v>甬道潜旗客</x:v>
      </x:c>
      <x:c r="F4543" s="19" t="str">
        <x:v>稀有</x:v>
      </x:c>
      <x:c r="G4543" s="19" t="str">
        <x:v>材料独立候选</x:v>
      </x:c>
      <x:c r="H4543" s="19" t="str">
        <x:v>小卢恩</x:v>
      </x:c>
      <x:c r="I4543" s="22" t="n">
        <x:v>12000</x:v>
      </x:c>
      <x:c r="J4543" s="22" t="n">
        <x:v>1</x:v>
      </x:c>
      <x:c r="K4543" s="19" t="n">
        <x:v>1</x:v>
      </x:c>
      <x:c r="L4543" s="24" t="n">
        <x:v>74.05799999999999</x:v>
      </x:c>
      <x:c r="M4543" s="26" t="n">
        <x:v>0.1</x:v>
      </x:c>
      <x:c r="N4543" s="24" t="n">
        <x:v>12</x:v>
      </x:c>
      <x:c r="O4543" s="28" t="n">
        <x:f>MIN(1,L4543/I4543)</x:f>
        <x:v>0.006171499999999999</x:v>
      </x:c>
      <x:c r="P4543" s="30" t="n">
        <x:f>O4543*J4543*(1+M4543)</x:f>
        <x:v>0.006788649999999999</x:v>
      </x:c>
      <x:c r="Q4543" s="30" t="n">
        <x:f>P4543*N4543</x:f>
        <x:v>0.08146379999999999</x:v>
      </x:c>
      <x:c r="R4543" s="19" t="str">
        <x:v>独立判定</x:v>
      </x:c>
    </x:row>
    <x:row r="4544" ht="19" customHeight="1">
      <x:c r="A4544" s="19" t="str">
        <x:v>D04540</x:v>
      </x:c>
      <x:c r="B4544" s="19" t="n">
        <x:v>9</x:v>
      </x:c>
      <x:c r="C4544" s="19" t="n">
        <x:v>5</x:v>
      </x:c>
      <x:c r="D4544" s="19" t="str">
        <x:v>C09-M055</x:v>
      </x:c>
      <x:c r="E4544" s="19" t="str">
        <x:v>甬道潜旗客</x:v>
      </x:c>
      <x:c r="F4544" s="19" t="str">
        <x:v>稀有</x:v>
      </x:c>
      <x:c r="G4544" s="19" t="str">
        <x:v>六神器公共池</x:v>
      </x:c>
      <x:c r="H4544" s="19" t="str">
        <x:v>POOL006</x:v>
      </x:c>
      <x:c r="I4544" s="22" t="n">
        <x:v>5000000</x:v>
      </x:c>
      <x:c r="J4544" s="22" t="n">
        <x:v>1</x:v>
      </x:c>
      <x:c r="K4544" s="19" t="n">
        <x:v>6</x:v>
      </x:c>
      <x:c r="L4544" s="24" t="n">
        <x:v>74.05799999999999</x:v>
      </x:c>
      <x:c r="M4544" s="26" t="n">
        <x:v>0.1</x:v>
      </x:c>
      <x:c r="N4544" s="24" t="n">
        <x:v>12</x:v>
      </x:c>
      <x:c r="O4544" s="28" t="n">
        <x:f>MIN(1,L4544/I4544)</x:f>
        <x:v>0.000014811599999999999</x:v>
      </x:c>
      <x:c r="P4544" s="30" t="n">
        <x:f>O4544*J4544*(1+M4544)</x:f>
        <x:v>0.00001629276</x:v>
      </x:c>
      <x:c r="Q4544" s="30" t="n">
        <x:f>P4544*N4544</x:f>
        <x:v>0.00019551312000000003</x:v>
      </x:c>
      <x:c r="R4544" s="19" t="str">
        <x:v>六选一；非6个独立爆率</x:v>
      </x:c>
    </x:row>
    <x:row r="4545" ht="19" customHeight="1">
      <x:c r="A4545" s="19" t="str">
        <x:v>D04541</x:v>
      </x:c>
      <x:c r="B4545" s="19" t="n">
        <x:v>9</x:v>
      </x:c>
      <x:c r="C4545" s="19" t="n">
        <x:v>5</x:v>
      </x:c>
      <x:c r="D4545" s="19" t="str">
        <x:v>C09-M056</x:v>
      </x:c>
      <x:c r="E4545" s="19" t="str">
        <x:v>庭院百战旗官</x:v>
      </x:c>
      <x:c r="F4545" s="19" t="str">
        <x:v>稀有</x:v>
      </x:c>
      <x:c r="G4545" s="19" t="str">
        <x:v>自身专属</x:v>
      </x:c>
      <x:c r="H4545" s="19" t="str">
        <x:v>百战旗官带</x:v>
      </x:c>
      <x:c r="I4545" s="22" t="n">
        <x:v>2000</x:v>
      </x:c>
      <x:c r="J4545" s="22" t="n">
        <x:v>1</x:v>
      </x:c>
      <x:c r="K4545" s="19" t="n">
        <x:v>1</x:v>
      </x:c>
      <x:c r="L4545" s="24" t="n">
        <x:v>74.05799999999999</x:v>
      </x:c>
      <x:c r="M4545" s="26" t="n">
        <x:v>0.1</x:v>
      </x:c>
      <x:c r="N4545" s="24" t="n">
        <x:v>12</x:v>
      </x:c>
      <x:c r="O4545" s="28" t="n">
        <x:f>MIN(1,L4545/I4545)</x:f>
        <x:v>0.037029</x:v>
      </x:c>
      <x:c r="P4545" s="30" t="n">
        <x:f>O4545*J4545*(1+M4545)</x:f>
        <x:v>0.0407319</x:v>
      </x:c>
      <x:c r="Q4545" s="30" t="n">
        <x:f>P4545*N4545</x:f>
        <x:v>0.4887828</x:v>
      </x:c>
      <x:c r="R4545" s="19" t="str">
        <x:v>独立判定</x:v>
      </x:c>
    </x:row>
    <x:row r="4546" ht="19" customHeight="1">
      <x:c r="A4546" s="19" t="str">
        <x:v>D04542</x:v>
      </x:c>
      <x:c r="B4546" s="19" t="n">
        <x:v>9</x:v>
      </x:c>
      <x:c r="C4546" s="19" t="n">
        <x:v>5</x:v>
      </x:c>
      <x:c r="D4546" s="19" t="str">
        <x:v>C09-M056</x:v>
      </x:c>
      <x:c r="E4546" s="19" t="str">
        <x:v>庭院百战旗官</x:v>
      </x:c>
      <x:c r="F4546" s="19" t="str">
        <x:v>稀有</x:v>
      </x:c>
      <x:c r="G4546" s="19" t="str">
        <x:v>材料独立候选</x:v>
      </x:c>
      <x:c r="H4546" s="19" t="str">
        <x:v>黄金叶脉</x:v>
      </x:c>
      <x:c r="I4546" s="22" t="n">
        <x:v>1000</x:v>
      </x:c>
      <x:c r="J4546" s="22" t="n">
        <x:v>15</x:v>
      </x:c>
      <x:c r="K4546" s="19" t="n">
        <x:v>1</x:v>
      </x:c>
      <x:c r="L4546" s="24" t="n">
        <x:v>74.05799999999999</x:v>
      </x:c>
      <x:c r="M4546" s="26" t="n">
        <x:v>0.1</x:v>
      </x:c>
      <x:c r="N4546" s="24" t="n">
        <x:v>12</x:v>
      </x:c>
      <x:c r="O4546" s="28" t="n">
        <x:f>MIN(1,L4546/I4546)</x:f>
        <x:v>0.074058</x:v>
      </x:c>
      <x:c r="P4546" s="30" t="n">
        <x:f>O4546*J4546*(1+M4546)</x:f>
        <x:v>1.2219570000000002</x:v>
      </x:c>
      <x:c r="Q4546" s="30" t="n">
        <x:f>P4546*N4546</x:f>
        <x:v>14.663484000000002</x:v>
      </x:c>
      <x:c r="R4546" s="19" t="str">
        <x:v>独立判定</x:v>
      </x:c>
    </x:row>
    <x:row r="4547" ht="19" customHeight="1">
      <x:c r="A4547" s="19" t="str">
        <x:v>D04543</x:v>
      </x:c>
      <x:c r="B4547" s="19" t="n">
        <x:v>9</x:v>
      </x:c>
      <x:c r="C4547" s="19" t="n">
        <x:v>5</x:v>
      </x:c>
      <x:c r="D4547" s="19" t="str">
        <x:v>C09-M056</x:v>
      </x:c>
      <x:c r="E4547" s="19" t="str">
        <x:v>庭院百战旗官</x:v>
      </x:c>
      <x:c r="F4547" s="19" t="str">
        <x:v>稀有</x:v>
      </x:c>
      <x:c r="G4547" s="19" t="str">
        <x:v>材料独立候选</x:v>
      </x:c>
      <x:c r="H4547" s="19" t="str">
        <x:v>古王律页</x:v>
      </x:c>
      <x:c r="I4547" s="22" t="n">
        <x:v>1200</x:v>
      </x:c>
      <x:c r="J4547" s="22" t="n">
        <x:v>1</x:v>
      </x:c>
      <x:c r="K4547" s="19" t="n">
        <x:v>1</x:v>
      </x:c>
      <x:c r="L4547" s="24" t="n">
        <x:v>74.05799999999999</x:v>
      </x:c>
      <x:c r="M4547" s="26" t="n">
        <x:v>0.1</x:v>
      </x:c>
      <x:c r="N4547" s="24" t="n">
        <x:v>12</x:v>
      </x:c>
      <x:c r="O4547" s="28" t="n">
        <x:f>MIN(1,L4547/I4547)</x:f>
        <x:v>0.06171499999999999</x:v>
      </x:c>
      <x:c r="P4547" s="30" t="n">
        <x:f>O4547*J4547*(1+M4547)</x:f>
        <x:v>0.0678865</x:v>
      </x:c>
      <x:c r="Q4547" s="30" t="n">
        <x:f>P4547*N4547</x:f>
        <x:v>0.814638</x:v>
      </x:c>
      <x:c r="R4547" s="19" t="str">
        <x:v>独立判定</x:v>
      </x:c>
    </x:row>
    <x:row r="4548" ht="19" customHeight="1">
      <x:c r="A4548" s="19" t="str">
        <x:v>D04544</x:v>
      </x:c>
      <x:c r="B4548" s="19" t="n">
        <x:v>9</x:v>
      </x:c>
      <x:c r="C4548" s="19" t="n">
        <x:v>5</x:v>
      </x:c>
      <x:c r="D4548" s="19" t="str">
        <x:v>C09-M056</x:v>
      </x:c>
      <x:c r="E4548" s="19" t="str">
        <x:v>庭院百战旗官</x:v>
      </x:c>
      <x:c r="F4548" s="19" t="str">
        <x:v>稀有</x:v>
      </x:c>
      <x:c r="G4548" s="19" t="str">
        <x:v>材料独立候选</x:v>
      </x:c>
      <x:c r="H4548" s="19" t="str">
        <x:v>矿脉灯芯</x:v>
      </x:c>
      <x:c r="I4548" s="22" t="n">
        <x:v>5000</x:v>
      </x:c>
      <x:c r="J4548" s="22" t="n">
        <x:v>1</x:v>
      </x:c>
      <x:c r="K4548" s="19" t="n">
        <x:v>1</x:v>
      </x:c>
      <x:c r="L4548" s="24" t="n">
        <x:v>74.05799999999999</x:v>
      </x:c>
      <x:c r="M4548" s="26" t="n">
        <x:v>0.1</x:v>
      </x:c>
      <x:c r="N4548" s="24" t="n">
        <x:v>12</x:v>
      </x:c>
      <x:c r="O4548" s="28" t="n">
        <x:f>MIN(1,L4548/I4548)</x:f>
        <x:v>0.014811599999999998</x:v>
      </x:c>
      <x:c r="P4548" s="30" t="n">
        <x:f>O4548*J4548*(1+M4548)</x:f>
        <x:v>0.01629276</x:v>
      </x:c>
      <x:c r="Q4548" s="30" t="n">
        <x:f>P4548*N4548</x:f>
        <x:v>0.19551311999999998</x:v>
      </x:c>
      <x:c r="R4548" s="19" t="str">
        <x:v>独立判定</x:v>
      </x:c>
    </x:row>
    <x:row r="4549" ht="19" customHeight="1">
      <x:c r="A4549" s="19" t="str">
        <x:v>D04545</x:v>
      </x:c>
      <x:c r="B4549" s="19" t="n">
        <x:v>9</x:v>
      </x:c>
      <x:c r="C4549" s="19" t="n">
        <x:v>5</x:v>
      </x:c>
      <x:c r="D4549" s="19" t="str">
        <x:v>C09-M056</x:v>
      </x:c>
      <x:c r="E4549" s="19" t="str">
        <x:v>庭院百战旗官</x:v>
      </x:c>
      <x:c r="F4549" s="19" t="str">
        <x:v>稀有</x:v>
      </x:c>
      <x:c r="G4549" s="19" t="str">
        <x:v>材料独立候选</x:v>
      </x:c>
      <x:c r="H4549" s="19" t="str">
        <x:v>古坛鎏叶髓</x:v>
      </x:c>
      <x:c r="I4549" s="22" t="n">
        <x:v>2000000</x:v>
      </x:c>
      <x:c r="J4549" s="22" t="n">
        <x:v>1</x:v>
      </x:c>
      <x:c r="K4549" s="19" t="n">
        <x:v>1</x:v>
      </x:c>
      <x:c r="L4549" s="24" t="n">
        <x:v>74.05799999999999</x:v>
      </x:c>
      <x:c r="M4549" s="26" t="n">
        <x:v>0.1</x:v>
      </x:c>
      <x:c r="N4549" s="24" t="n">
        <x:v>12</x:v>
      </x:c>
      <x:c r="O4549" s="28" t="n">
        <x:f>MIN(1,L4549/I4549)</x:f>
        <x:v>0.000037028999999999994</x:v>
      </x:c>
      <x:c r="P4549" s="30" t="n">
        <x:f>O4549*J4549*(1+M4549)</x:f>
        <x:v>0.000040731899999999995</x:v>
      </x:c>
      <x:c r="Q4549" s="30" t="n">
        <x:f>P4549*N4549</x:f>
        <x:v>0.0004887827999999999</x:v>
      </x:c>
      <x:c r="R4549" s="19" t="str">
        <x:v>独立判定</x:v>
      </x:c>
    </x:row>
    <x:row r="4550" ht="19" customHeight="1">
      <x:c r="A4550" s="19" t="str">
        <x:v>D04546</x:v>
      </x:c>
      <x:c r="B4550" s="19" t="n">
        <x:v>9</x:v>
      </x:c>
      <x:c r="C4550" s="19" t="n">
        <x:v>5</x:v>
      </x:c>
      <x:c r="D4550" s="19" t="str">
        <x:v>C09-M056</x:v>
      </x:c>
      <x:c r="E4550" s="19" t="str">
        <x:v>庭院百战旗官</x:v>
      </x:c>
      <x:c r="F4550" s="19" t="str">
        <x:v>稀有</x:v>
      </x:c>
      <x:c r="G4550" s="19" t="str">
        <x:v>材料独立候选</x:v>
      </x:c>
      <x:c r="H4550" s="19" t="str">
        <x:v>黄金树芽</x:v>
      </x:c>
      <x:c r="I4550" s="22" t="n">
        <x:v>15000</x:v>
      </x:c>
      <x:c r="J4550" s="22" t="n">
        <x:v>1</x:v>
      </x:c>
      <x:c r="K4550" s="19" t="n">
        <x:v>1</x:v>
      </x:c>
      <x:c r="L4550" s="24" t="n">
        <x:v>74.05799999999999</x:v>
      </x:c>
      <x:c r="M4550" s="26" t="n">
        <x:v>0.1</x:v>
      </x:c>
      <x:c r="N4550" s="24" t="n">
        <x:v>12</x:v>
      </x:c>
      <x:c r="O4550" s="28" t="n">
        <x:f>MIN(1,L4550/I4550)</x:f>
        <x:v>0.004937199999999999</x:v>
      </x:c>
      <x:c r="P4550" s="30" t="n">
        <x:f>O4550*J4550*(1+M4550)</x:f>
        <x:v>0.00543092</x:v>
      </x:c>
      <x:c r="Q4550" s="30" t="n">
        <x:f>P4550*N4550</x:f>
        <x:v>0.06517104</x:v>
      </x:c>
      <x:c r="R4550" s="19" t="str">
        <x:v>独立判定</x:v>
      </x:c>
    </x:row>
    <x:row r="4551" ht="19" customHeight="1">
      <x:c r="A4551" s="19" t="str">
        <x:v>D04547</x:v>
      </x:c>
      <x:c r="B4551" s="19" t="n">
        <x:v>9</x:v>
      </x:c>
      <x:c r="C4551" s="19" t="n">
        <x:v>5</x:v>
      </x:c>
      <x:c r="D4551" s="19" t="str">
        <x:v>C09-M056</x:v>
      </x:c>
      <x:c r="E4551" s="19" t="str">
        <x:v>庭院百战旗官</x:v>
      </x:c>
      <x:c r="F4551" s="19" t="str">
        <x:v>稀有</x:v>
      </x:c>
      <x:c r="G4551" s="19" t="str">
        <x:v>材料独立候选</x:v>
      </x:c>
      <x:c r="H4551" s="19" t="str">
        <x:v>野兽骨片</x:v>
      </x:c>
      <x:c r="I4551" s="22" t="n">
        <x:v>250</x:v>
      </x:c>
      <x:c r="J4551" s="22" t="n">
        <x:v>5</x:v>
      </x:c>
      <x:c r="K4551" s="19" t="n">
        <x:v>1</x:v>
      </x:c>
      <x:c r="L4551" s="24" t="n">
        <x:v>74.05799999999999</x:v>
      </x:c>
      <x:c r="M4551" s="26" t="n">
        <x:v>0.1</x:v>
      </x:c>
      <x:c r="N4551" s="24" t="n">
        <x:v>12</x:v>
      </x:c>
      <x:c r="O4551" s="28" t="n">
        <x:f>MIN(1,L4551/I4551)</x:f>
        <x:v>0.296232</x:v>
      </x:c>
      <x:c r="P4551" s="30" t="n">
        <x:f>O4551*J4551*(1+M4551)</x:f>
        <x:v>1.6292760000000002</x:v>
      </x:c>
      <x:c r="Q4551" s="30" t="n">
        <x:f>P4551*N4551</x:f>
        <x:v>19.551312000000003</x:v>
      </x:c>
      <x:c r="R4551" s="19" t="str">
        <x:v>独立判定</x:v>
      </x:c>
    </x:row>
    <x:row r="4552" ht="19" customHeight="1">
      <x:c r="A4552" s="19" t="str">
        <x:v>D04548</x:v>
      </x:c>
      <x:c r="B4552" s="19" t="n">
        <x:v>9</x:v>
      </x:c>
      <x:c r="C4552" s="19" t="n">
        <x:v>5</x:v>
      </x:c>
      <x:c r="D4552" s="19" t="str">
        <x:v>C09-M056</x:v>
      </x:c>
      <x:c r="E4552" s="19" t="str">
        <x:v>庭院百战旗官</x:v>
      </x:c>
      <x:c r="F4552" s="19" t="str">
        <x:v>稀有</x:v>
      </x:c>
      <x:c r="G4552" s="19" t="str">
        <x:v>材料独立候选</x:v>
      </x:c>
      <x:c r="H4552" s="19" t="str">
        <x:v>技能残页</x:v>
      </x:c>
      <x:c r="I4552" s="22" t="n">
        <x:v>2000</x:v>
      </x:c>
      <x:c r="J4552" s="22" t="n">
        <x:v>1</x:v>
      </x:c>
      <x:c r="K4552" s="19" t="n">
        <x:v>1</x:v>
      </x:c>
      <x:c r="L4552" s="24" t="n">
        <x:v>74.05799999999999</x:v>
      </x:c>
      <x:c r="M4552" s="26" t="n">
        <x:v>0.1</x:v>
      </x:c>
      <x:c r="N4552" s="24" t="n">
        <x:v>12</x:v>
      </x:c>
      <x:c r="O4552" s="28" t="n">
        <x:f>MIN(1,L4552/I4552)</x:f>
        <x:v>0.037029</x:v>
      </x:c>
      <x:c r="P4552" s="30" t="n">
        <x:f>O4552*J4552*(1+M4552)</x:f>
        <x:v>0.0407319</x:v>
      </x:c>
      <x:c r="Q4552" s="30" t="n">
        <x:f>P4552*N4552</x:f>
        <x:v>0.4887828</x:v>
      </x:c>
      <x:c r="R4552" s="19" t="str">
        <x:v>独立判定</x:v>
      </x:c>
    </x:row>
    <x:row r="4553" ht="19" customHeight="1">
      <x:c r="A4553" s="19" t="str">
        <x:v>D04549</x:v>
      </x:c>
      <x:c r="B4553" s="19" t="n">
        <x:v>9</x:v>
      </x:c>
      <x:c r="C4553" s="19" t="n">
        <x:v>5</x:v>
      </x:c>
      <x:c r="D4553" s="19" t="str">
        <x:v>C09-M056</x:v>
      </x:c>
      <x:c r="E4553" s="19" t="str">
        <x:v>庭院百战旗官</x:v>
      </x:c>
      <x:c r="F4553" s="19" t="str">
        <x:v>稀有</x:v>
      </x:c>
      <x:c r="G4553" s="19" t="str">
        <x:v>材料独立候选</x:v>
      </x:c>
      <x:c r="H4553" s="19" t="str">
        <x:v>小卢恩</x:v>
      </x:c>
      <x:c r="I4553" s="22" t="n">
        <x:v>12000</x:v>
      </x:c>
      <x:c r="J4553" s="22" t="n">
        <x:v>1</x:v>
      </x:c>
      <x:c r="K4553" s="19" t="n">
        <x:v>1</x:v>
      </x:c>
      <x:c r="L4553" s="24" t="n">
        <x:v>74.05799999999999</x:v>
      </x:c>
      <x:c r="M4553" s="26" t="n">
        <x:v>0.1</x:v>
      </x:c>
      <x:c r="N4553" s="24" t="n">
        <x:v>12</x:v>
      </x:c>
      <x:c r="O4553" s="28" t="n">
        <x:f>MIN(1,L4553/I4553)</x:f>
        <x:v>0.006171499999999999</x:v>
      </x:c>
      <x:c r="P4553" s="30" t="n">
        <x:f>O4553*J4553*(1+M4553)</x:f>
        <x:v>0.006788649999999999</x:v>
      </x:c>
      <x:c r="Q4553" s="30" t="n">
        <x:f>P4553*N4553</x:f>
        <x:v>0.08146379999999999</x:v>
      </x:c>
      <x:c r="R4553" s="19" t="str">
        <x:v>独立判定</x:v>
      </x:c>
    </x:row>
    <x:row r="4554" ht="19" customHeight="1">
      <x:c r="A4554" s="19" t="str">
        <x:v>D04550</x:v>
      </x:c>
      <x:c r="B4554" s="19" t="n">
        <x:v>9</x:v>
      </x:c>
      <x:c r="C4554" s="19" t="n">
        <x:v>5</x:v>
      </x:c>
      <x:c r="D4554" s="19" t="str">
        <x:v>C09-M056</x:v>
      </x:c>
      <x:c r="E4554" s="19" t="str">
        <x:v>庭院百战旗官</x:v>
      </x:c>
      <x:c r="F4554" s="19" t="str">
        <x:v>稀有</x:v>
      </x:c>
      <x:c r="G4554" s="19" t="str">
        <x:v>六神器公共池</x:v>
      </x:c>
      <x:c r="H4554" s="19" t="str">
        <x:v>POOL006</x:v>
      </x:c>
      <x:c r="I4554" s="22" t="n">
        <x:v>5000000</x:v>
      </x:c>
      <x:c r="J4554" s="22" t="n">
        <x:v>1</x:v>
      </x:c>
      <x:c r="K4554" s="19" t="n">
        <x:v>6</x:v>
      </x:c>
      <x:c r="L4554" s="24" t="n">
        <x:v>74.05799999999999</x:v>
      </x:c>
      <x:c r="M4554" s="26" t="n">
        <x:v>0.1</x:v>
      </x:c>
      <x:c r="N4554" s="24" t="n">
        <x:v>12</x:v>
      </x:c>
      <x:c r="O4554" s="28" t="n">
        <x:f>MIN(1,L4554/I4554)</x:f>
        <x:v>0.000014811599999999999</x:v>
      </x:c>
      <x:c r="P4554" s="30" t="n">
        <x:f>O4554*J4554*(1+M4554)</x:f>
        <x:v>0.00001629276</x:v>
      </x:c>
      <x:c r="Q4554" s="30" t="n">
        <x:f>P4554*N4554</x:f>
        <x:v>0.00019551312000000003</x:v>
      </x:c>
      <x:c r="R4554" s="19" t="str">
        <x:v>六选一；非6个独立爆率</x:v>
      </x:c>
    </x:row>
    <x:row r="4555" ht="19" customHeight="1">
      <x:c r="A4555" s="19" t="str">
        <x:v>D04551</x:v>
      </x:c>
      <x:c r="B4555" s="19" t="n">
        <x:v>9</x:v>
      </x:c>
      <x:c r="C4555" s="19" t="n">
        <x:v>5</x:v>
      </x:c>
      <x:c r="D4555" s="19" t="str">
        <x:v>C09-M057</x:v>
      </x:c>
      <x:c r="E4555" s="19" t="str">
        <x:v>壁垒鎏甲骑士</x:v>
      </x:c>
      <x:c r="F4555" s="19" t="str">
        <x:v>稀有</x:v>
      </x:c>
      <x:c r="G4555" s="19" t="str">
        <x:v>自身专属</x:v>
      </x:c>
      <x:c r="H4555" s="19" t="str">
        <x:v>鎏甲骑士坠</x:v>
      </x:c>
      <x:c r="I4555" s="22" t="n">
        <x:v>2000</x:v>
      </x:c>
      <x:c r="J4555" s="22" t="n">
        <x:v>1</x:v>
      </x:c>
      <x:c r="K4555" s="19" t="n">
        <x:v>1</x:v>
      </x:c>
      <x:c r="L4555" s="24" t="n">
        <x:v>74.05799999999999</x:v>
      </x:c>
      <x:c r="M4555" s="26" t="n">
        <x:v>0.1</x:v>
      </x:c>
      <x:c r="N4555" s="24" t="n">
        <x:v>12</x:v>
      </x:c>
      <x:c r="O4555" s="28" t="n">
        <x:f>MIN(1,L4555/I4555)</x:f>
        <x:v>0.037029</x:v>
      </x:c>
      <x:c r="P4555" s="30" t="n">
        <x:f>O4555*J4555*(1+M4555)</x:f>
        <x:v>0.0407319</x:v>
      </x:c>
      <x:c r="Q4555" s="30" t="n">
        <x:f>P4555*N4555</x:f>
        <x:v>0.4887828</x:v>
      </x:c>
      <x:c r="R4555" s="19" t="str">
        <x:v>独立判定</x:v>
      </x:c>
    </x:row>
    <x:row r="4556" ht="19" customHeight="1">
      <x:c r="A4556" s="19" t="str">
        <x:v>D04552</x:v>
      </x:c>
      <x:c r="B4556" s="19" t="n">
        <x:v>9</x:v>
      </x:c>
      <x:c r="C4556" s="19" t="n">
        <x:v>5</x:v>
      </x:c>
      <x:c r="D4556" s="19" t="str">
        <x:v>C09-M057</x:v>
      </x:c>
      <x:c r="E4556" s="19" t="str">
        <x:v>壁垒鎏甲骑士</x:v>
      </x:c>
      <x:c r="F4556" s="19" t="str">
        <x:v>稀有</x:v>
      </x:c>
      <x:c r="G4556" s="19" t="str">
        <x:v>材料独立候选</x:v>
      </x:c>
      <x:c r="H4556" s="19" t="str">
        <x:v>黄金叶脉</x:v>
      </x:c>
      <x:c r="I4556" s="22" t="n">
        <x:v>1000</x:v>
      </x:c>
      <x:c r="J4556" s="22" t="n">
        <x:v>15</x:v>
      </x:c>
      <x:c r="K4556" s="19" t="n">
        <x:v>1</x:v>
      </x:c>
      <x:c r="L4556" s="24" t="n">
        <x:v>74.05799999999999</x:v>
      </x:c>
      <x:c r="M4556" s="26" t="n">
        <x:v>0.1</x:v>
      </x:c>
      <x:c r="N4556" s="24" t="n">
        <x:v>12</x:v>
      </x:c>
      <x:c r="O4556" s="28" t="n">
        <x:f>MIN(1,L4556/I4556)</x:f>
        <x:v>0.074058</x:v>
      </x:c>
      <x:c r="P4556" s="30" t="n">
        <x:f>O4556*J4556*(1+M4556)</x:f>
        <x:v>1.2219570000000002</x:v>
      </x:c>
      <x:c r="Q4556" s="30" t="n">
        <x:f>P4556*N4556</x:f>
        <x:v>14.663484000000002</x:v>
      </x:c>
      <x:c r="R4556" s="19" t="str">
        <x:v>独立判定</x:v>
      </x:c>
    </x:row>
    <x:row r="4557" ht="19" customHeight="1">
      <x:c r="A4557" s="19" t="str">
        <x:v>D04553</x:v>
      </x:c>
      <x:c r="B4557" s="19" t="n">
        <x:v>9</x:v>
      </x:c>
      <x:c r="C4557" s="19" t="n">
        <x:v>5</x:v>
      </x:c>
      <x:c r="D4557" s="19" t="str">
        <x:v>C09-M057</x:v>
      </x:c>
      <x:c r="E4557" s="19" t="str">
        <x:v>壁垒鎏甲骑士</x:v>
      </x:c>
      <x:c r="F4557" s="19" t="str">
        <x:v>稀有</x:v>
      </x:c>
      <x:c r="G4557" s="19" t="str">
        <x:v>材料独立候选</x:v>
      </x:c>
      <x:c r="H4557" s="19" t="str">
        <x:v>古王律页</x:v>
      </x:c>
      <x:c r="I4557" s="22" t="n">
        <x:v>1200</x:v>
      </x:c>
      <x:c r="J4557" s="22" t="n">
        <x:v>1</x:v>
      </x:c>
      <x:c r="K4557" s="19" t="n">
        <x:v>1</x:v>
      </x:c>
      <x:c r="L4557" s="24" t="n">
        <x:v>74.05799999999999</x:v>
      </x:c>
      <x:c r="M4557" s="26" t="n">
        <x:v>0.1</x:v>
      </x:c>
      <x:c r="N4557" s="24" t="n">
        <x:v>12</x:v>
      </x:c>
      <x:c r="O4557" s="28" t="n">
        <x:f>MIN(1,L4557/I4557)</x:f>
        <x:v>0.06171499999999999</x:v>
      </x:c>
      <x:c r="P4557" s="30" t="n">
        <x:f>O4557*J4557*(1+M4557)</x:f>
        <x:v>0.0678865</x:v>
      </x:c>
      <x:c r="Q4557" s="30" t="n">
        <x:f>P4557*N4557</x:f>
        <x:v>0.814638</x:v>
      </x:c>
      <x:c r="R4557" s="19" t="str">
        <x:v>独立判定</x:v>
      </x:c>
    </x:row>
    <x:row r="4558" ht="19" customHeight="1">
      <x:c r="A4558" s="19" t="str">
        <x:v>D04554</x:v>
      </x:c>
      <x:c r="B4558" s="19" t="n">
        <x:v>9</x:v>
      </x:c>
      <x:c r="C4558" s="19" t="n">
        <x:v>5</x:v>
      </x:c>
      <x:c r="D4558" s="19" t="str">
        <x:v>C09-M057</x:v>
      </x:c>
      <x:c r="E4558" s="19" t="str">
        <x:v>壁垒鎏甲骑士</x:v>
      </x:c>
      <x:c r="F4558" s="19" t="str">
        <x:v>稀有</x:v>
      </x:c>
      <x:c r="G4558" s="19" t="str">
        <x:v>材料独立候选</x:v>
      </x:c>
      <x:c r="H4558" s="19" t="str">
        <x:v>矿脉灯芯</x:v>
      </x:c>
      <x:c r="I4558" s="22" t="n">
        <x:v>5000</x:v>
      </x:c>
      <x:c r="J4558" s="22" t="n">
        <x:v>1</x:v>
      </x:c>
      <x:c r="K4558" s="19" t="n">
        <x:v>1</x:v>
      </x:c>
      <x:c r="L4558" s="24" t="n">
        <x:v>74.05799999999999</x:v>
      </x:c>
      <x:c r="M4558" s="26" t="n">
        <x:v>0.1</x:v>
      </x:c>
      <x:c r="N4558" s="24" t="n">
        <x:v>12</x:v>
      </x:c>
      <x:c r="O4558" s="28" t="n">
        <x:f>MIN(1,L4558/I4558)</x:f>
        <x:v>0.014811599999999998</x:v>
      </x:c>
      <x:c r="P4558" s="30" t="n">
        <x:f>O4558*J4558*(1+M4558)</x:f>
        <x:v>0.01629276</x:v>
      </x:c>
      <x:c r="Q4558" s="30" t="n">
        <x:f>P4558*N4558</x:f>
        <x:v>0.19551311999999998</x:v>
      </x:c>
      <x:c r="R4558" s="19" t="str">
        <x:v>独立判定</x:v>
      </x:c>
    </x:row>
    <x:row r="4559" ht="19" customHeight="1">
      <x:c r="A4559" s="19" t="str">
        <x:v>D04555</x:v>
      </x:c>
      <x:c r="B4559" s="19" t="n">
        <x:v>9</x:v>
      </x:c>
      <x:c r="C4559" s="19" t="n">
        <x:v>5</x:v>
      </x:c>
      <x:c r="D4559" s="19" t="str">
        <x:v>C09-M057</x:v>
      </x:c>
      <x:c r="E4559" s="19" t="str">
        <x:v>壁垒鎏甲骑士</x:v>
      </x:c>
      <x:c r="F4559" s="19" t="str">
        <x:v>稀有</x:v>
      </x:c>
      <x:c r="G4559" s="19" t="str">
        <x:v>材料独立候选</x:v>
      </x:c>
      <x:c r="H4559" s="19" t="str">
        <x:v>古坛鎏叶髓</x:v>
      </x:c>
      <x:c r="I4559" s="22" t="n">
        <x:v>2000000</x:v>
      </x:c>
      <x:c r="J4559" s="22" t="n">
        <x:v>1</x:v>
      </x:c>
      <x:c r="K4559" s="19" t="n">
        <x:v>1</x:v>
      </x:c>
      <x:c r="L4559" s="24" t="n">
        <x:v>74.05799999999999</x:v>
      </x:c>
      <x:c r="M4559" s="26" t="n">
        <x:v>0.1</x:v>
      </x:c>
      <x:c r="N4559" s="24" t="n">
        <x:v>12</x:v>
      </x:c>
      <x:c r="O4559" s="28" t="n">
        <x:f>MIN(1,L4559/I4559)</x:f>
        <x:v>0.000037028999999999994</x:v>
      </x:c>
      <x:c r="P4559" s="30" t="n">
        <x:f>O4559*J4559*(1+M4559)</x:f>
        <x:v>0.000040731899999999995</x:v>
      </x:c>
      <x:c r="Q4559" s="30" t="n">
        <x:f>P4559*N4559</x:f>
        <x:v>0.0004887827999999999</x:v>
      </x:c>
      <x:c r="R4559" s="19" t="str">
        <x:v>独立判定</x:v>
      </x:c>
    </x:row>
    <x:row r="4560" ht="19" customHeight="1">
      <x:c r="A4560" s="19" t="str">
        <x:v>D04556</x:v>
      </x:c>
      <x:c r="B4560" s="19" t="n">
        <x:v>9</x:v>
      </x:c>
      <x:c r="C4560" s="19" t="n">
        <x:v>5</x:v>
      </x:c>
      <x:c r="D4560" s="19" t="str">
        <x:v>C09-M057</x:v>
      </x:c>
      <x:c r="E4560" s="19" t="str">
        <x:v>壁垒鎏甲骑士</x:v>
      </x:c>
      <x:c r="F4560" s="19" t="str">
        <x:v>稀有</x:v>
      </x:c>
      <x:c r="G4560" s="19" t="str">
        <x:v>材料独立候选</x:v>
      </x:c>
      <x:c r="H4560" s="19" t="str">
        <x:v>黄金树芽</x:v>
      </x:c>
      <x:c r="I4560" s="22" t="n">
        <x:v>15000</x:v>
      </x:c>
      <x:c r="J4560" s="22" t="n">
        <x:v>1</x:v>
      </x:c>
      <x:c r="K4560" s="19" t="n">
        <x:v>1</x:v>
      </x:c>
      <x:c r="L4560" s="24" t="n">
        <x:v>74.05799999999999</x:v>
      </x:c>
      <x:c r="M4560" s="26" t="n">
        <x:v>0.1</x:v>
      </x:c>
      <x:c r="N4560" s="24" t="n">
        <x:v>12</x:v>
      </x:c>
      <x:c r="O4560" s="28" t="n">
        <x:f>MIN(1,L4560/I4560)</x:f>
        <x:v>0.004937199999999999</x:v>
      </x:c>
      <x:c r="P4560" s="30" t="n">
        <x:f>O4560*J4560*(1+M4560)</x:f>
        <x:v>0.00543092</x:v>
      </x:c>
      <x:c r="Q4560" s="30" t="n">
        <x:f>P4560*N4560</x:f>
        <x:v>0.06517104</x:v>
      </x:c>
      <x:c r="R4560" s="19" t="str">
        <x:v>独立判定</x:v>
      </x:c>
    </x:row>
    <x:row r="4561" ht="19" customHeight="1">
      <x:c r="A4561" s="19" t="str">
        <x:v>D04557</x:v>
      </x:c>
      <x:c r="B4561" s="19" t="n">
        <x:v>9</x:v>
      </x:c>
      <x:c r="C4561" s="19" t="n">
        <x:v>5</x:v>
      </x:c>
      <x:c r="D4561" s="19" t="str">
        <x:v>C09-M057</x:v>
      </x:c>
      <x:c r="E4561" s="19" t="str">
        <x:v>壁垒鎏甲骑士</x:v>
      </x:c>
      <x:c r="F4561" s="19" t="str">
        <x:v>稀有</x:v>
      </x:c>
      <x:c r="G4561" s="19" t="str">
        <x:v>材料独立候选</x:v>
      </x:c>
      <x:c r="H4561" s="19" t="str">
        <x:v>野兽骨片</x:v>
      </x:c>
      <x:c r="I4561" s="22" t="n">
        <x:v>250</x:v>
      </x:c>
      <x:c r="J4561" s="22" t="n">
        <x:v>5</x:v>
      </x:c>
      <x:c r="K4561" s="19" t="n">
        <x:v>1</x:v>
      </x:c>
      <x:c r="L4561" s="24" t="n">
        <x:v>74.05799999999999</x:v>
      </x:c>
      <x:c r="M4561" s="26" t="n">
        <x:v>0.1</x:v>
      </x:c>
      <x:c r="N4561" s="24" t="n">
        <x:v>12</x:v>
      </x:c>
      <x:c r="O4561" s="28" t="n">
        <x:f>MIN(1,L4561/I4561)</x:f>
        <x:v>0.296232</x:v>
      </x:c>
      <x:c r="P4561" s="30" t="n">
        <x:f>O4561*J4561*(1+M4561)</x:f>
        <x:v>1.6292760000000002</x:v>
      </x:c>
      <x:c r="Q4561" s="30" t="n">
        <x:f>P4561*N4561</x:f>
        <x:v>19.551312000000003</x:v>
      </x:c>
      <x:c r="R4561" s="19" t="str">
        <x:v>独立判定</x:v>
      </x:c>
    </x:row>
    <x:row r="4562" ht="19" customHeight="1">
      <x:c r="A4562" s="19" t="str">
        <x:v>D04558</x:v>
      </x:c>
      <x:c r="B4562" s="19" t="n">
        <x:v>9</x:v>
      </x:c>
      <x:c r="C4562" s="19" t="n">
        <x:v>5</x:v>
      </x:c>
      <x:c r="D4562" s="19" t="str">
        <x:v>C09-M057</x:v>
      </x:c>
      <x:c r="E4562" s="19" t="str">
        <x:v>壁垒鎏甲骑士</x:v>
      </x:c>
      <x:c r="F4562" s="19" t="str">
        <x:v>稀有</x:v>
      </x:c>
      <x:c r="G4562" s="19" t="str">
        <x:v>材料独立候选</x:v>
      </x:c>
      <x:c r="H4562" s="19" t="str">
        <x:v>技能残页</x:v>
      </x:c>
      <x:c r="I4562" s="22" t="n">
        <x:v>2000</x:v>
      </x:c>
      <x:c r="J4562" s="22" t="n">
        <x:v>1</x:v>
      </x:c>
      <x:c r="K4562" s="19" t="n">
        <x:v>1</x:v>
      </x:c>
      <x:c r="L4562" s="24" t="n">
        <x:v>74.05799999999999</x:v>
      </x:c>
      <x:c r="M4562" s="26" t="n">
        <x:v>0.1</x:v>
      </x:c>
      <x:c r="N4562" s="24" t="n">
        <x:v>12</x:v>
      </x:c>
      <x:c r="O4562" s="28" t="n">
        <x:f>MIN(1,L4562/I4562)</x:f>
        <x:v>0.037029</x:v>
      </x:c>
      <x:c r="P4562" s="30" t="n">
        <x:f>O4562*J4562*(1+M4562)</x:f>
        <x:v>0.0407319</x:v>
      </x:c>
      <x:c r="Q4562" s="30" t="n">
        <x:f>P4562*N4562</x:f>
        <x:v>0.4887828</x:v>
      </x:c>
      <x:c r="R4562" s="19" t="str">
        <x:v>独立判定</x:v>
      </x:c>
    </x:row>
    <x:row r="4563" ht="19" customHeight="1">
      <x:c r="A4563" s="19" t="str">
        <x:v>D04559</x:v>
      </x:c>
      <x:c r="B4563" s="19" t="n">
        <x:v>9</x:v>
      </x:c>
      <x:c r="C4563" s="19" t="n">
        <x:v>5</x:v>
      </x:c>
      <x:c r="D4563" s="19" t="str">
        <x:v>C09-M057</x:v>
      </x:c>
      <x:c r="E4563" s="19" t="str">
        <x:v>壁垒鎏甲骑士</x:v>
      </x:c>
      <x:c r="F4563" s="19" t="str">
        <x:v>稀有</x:v>
      </x:c>
      <x:c r="G4563" s="19" t="str">
        <x:v>材料独立候选</x:v>
      </x:c>
      <x:c r="H4563" s="19" t="str">
        <x:v>小卢恩</x:v>
      </x:c>
      <x:c r="I4563" s="22" t="n">
        <x:v>12000</x:v>
      </x:c>
      <x:c r="J4563" s="22" t="n">
        <x:v>1</x:v>
      </x:c>
      <x:c r="K4563" s="19" t="n">
        <x:v>1</x:v>
      </x:c>
      <x:c r="L4563" s="24" t="n">
        <x:v>74.05799999999999</x:v>
      </x:c>
      <x:c r="M4563" s="26" t="n">
        <x:v>0.1</x:v>
      </x:c>
      <x:c r="N4563" s="24" t="n">
        <x:v>12</x:v>
      </x:c>
      <x:c r="O4563" s="28" t="n">
        <x:f>MIN(1,L4563/I4563)</x:f>
        <x:v>0.006171499999999999</x:v>
      </x:c>
      <x:c r="P4563" s="30" t="n">
        <x:f>O4563*J4563*(1+M4563)</x:f>
        <x:v>0.006788649999999999</x:v>
      </x:c>
      <x:c r="Q4563" s="30" t="n">
        <x:f>P4563*N4563</x:f>
        <x:v>0.08146379999999999</x:v>
      </x:c>
      <x:c r="R4563" s="19" t="str">
        <x:v>独立判定</x:v>
      </x:c>
    </x:row>
    <x:row r="4564" ht="19" customHeight="1">
      <x:c r="A4564" s="19" t="str">
        <x:v>D04560</x:v>
      </x:c>
      <x:c r="B4564" s="19" t="n">
        <x:v>9</x:v>
      </x:c>
      <x:c r="C4564" s="19" t="n">
        <x:v>5</x:v>
      </x:c>
      <x:c r="D4564" s="19" t="str">
        <x:v>C09-M057</x:v>
      </x:c>
      <x:c r="E4564" s="19" t="str">
        <x:v>壁垒鎏甲骑士</x:v>
      </x:c>
      <x:c r="F4564" s="19" t="str">
        <x:v>稀有</x:v>
      </x:c>
      <x:c r="G4564" s="19" t="str">
        <x:v>六神器公共池</x:v>
      </x:c>
      <x:c r="H4564" s="19" t="str">
        <x:v>POOL006</x:v>
      </x:c>
      <x:c r="I4564" s="22" t="n">
        <x:v>5000000</x:v>
      </x:c>
      <x:c r="J4564" s="22" t="n">
        <x:v>1</x:v>
      </x:c>
      <x:c r="K4564" s="19" t="n">
        <x:v>6</x:v>
      </x:c>
      <x:c r="L4564" s="24" t="n">
        <x:v>74.05799999999999</x:v>
      </x:c>
      <x:c r="M4564" s="26" t="n">
        <x:v>0.1</x:v>
      </x:c>
      <x:c r="N4564" s="24" t="n">
        <x:v>12</x:v>
      </x:c>
      <x:c r="O4564" s="28" t="n">
        <x:f>MIN(1,L4564/I4564)</x:f>
        <x:v>0.000014811599999999999</x:v>
      </x:c>
      <x:c r="P4564" s="30" t="n">
        <x:f>O4564*J4564*(1+M4564)</x:f>
        <x:v>0.00001629276</x:v>
      </x:c>
      <x:c r="Q4564" s="30" t="n">
        <x:f>P4564*N4564</x:f>
        <x:v>0.00019551312000000003</x:v>
      </x:c>
      <x:c r="R4564" s="19" t="str">
        <x:v>六选一；非6个独立爆率</x:v>
      </x:c>
    </x:row>
    <x:row r="4565" ht="19" customHeight="1">
      <x:c r="A4565" s="19" t="str">
        <x:v>D04561</x:v>
      </x:c>
      <x:c r="B4565" s="19" t="n">
        <x:v>9</x:v>
      </x:c>
      <x:c r="C4565" s="19" t="n">
        <x:v>5</x:v>
      </x:c>
      <x:c r="D4565" s="19" t="str">
        <x:v>C09-M058</x:v>
      </x:c>
      <x:c r="E4565" s="19" t="str">
        <x:v>罗德尔守门卜者</x:v>
      </x:c>
      <x:c r="F4565" s="19" t="str">
        <x:v>稀有</x:v>
      </x:c>
      <x:c r="G4565" s="19" t="str">
        <x:v>自身专属</x:v>
      </x:c>
      <x:c r="H4565" s="19" t="str">
        <x:v>守门卜者戒</x:v>
      </x:c>
      <x:c r="I4565" s="22" t="n">
        <x:v>2000</x:v>
      </x:c>
      <x:c r="J4565" s="22" t="n">
        <x:v>1</x:v>
      </x:c>
      <x:c r="K4565" s="19" t="n">
        <x:v>1</x:v>
      </x:c>
      <x:c r="L4565" s="24" t="n">
        <x:v>74.05799999999999</x:v>
      </x:c>
      <x:c r="M4565" s="26" t="n">
        <x:v>0.1</x:v>
      </x:c>
      <x:c r="N4565" s="24" t="n">
        <x:v>6.798917864961698</x:v>
      </x:c>
      <x:c r="O4565" s="28" t="n">
        <x:f>MIN(1,L4565/I4565)</x:f>
        <x:v>0.037029</x:v>
      </x:c>
      <x:c r="P4565" s="30" t="n">
        <x:f>O4565*J4565*(1+M4565)</x:f>
        <x:v>0.0407319</x:v>
      </x:c>
      <x:c r="Q4565" s="30" t="n">
        <x:f>P4565*N4565</x:f>
        <x:v>0.2769328425838334</x:v>
      </x:c>
      <x:c r="R4565" s="19" t="str">
        <x:v>独立判定</x:v>
      </x:c>
    </x:row>
    <x:row r="4566" ht="19" customHeight="1">
      <x:c r="A4566" s="19" t="str">
        <x:v>D04562</x:v>
      </x:c>
      <x:c r="B4566" s="19" t="n">
        <x:v>9</x:v>
      </x:c>
      <x:c r="C4566" s="19" t="n">
        <x:v>5</x:v>
      </x:c>
      <x:c r="D4566" s="19" t="str">
        <x:v>C09-M058</x:v>
      </x:c>
      <x:c r="E4566" s="19" t="str">
        <x:v>罗德尔守门卜者</x:v>
      </x:c>
      <x:c r="F4566" s="19" t="str">
        <x:v>稀有</x:v>
      </x:c>
      <x:c r="G4566" s="19" t="str">
        <x:v>材料独立候选</x:v>
      </x:c>
      <x:c r="H4566" s="19" t="str">
        <x:v>黄金叶脉</x:v>
      </x:c>
      <x:c r="I4566" s="22" t="n">
        <x:v>1000</x:v>
      </x:c>
      <x:c r="J4566" s="22" t="n">
        <x:v>15</x:v>
      </x:c>
      <x:c r="K4566" s="19" t="n">
        <x:v>1</x:v>
      </x:c>
      <x:c r="L4566" s="24" t="n">
        <x:v>74.05799999999999</x:v>
      </x:c>
      <x:c r="M4566" s="26" t="n">
        <x:v>0.1</x:v>
      </x:c>
      <x:c r="N4566" s="24" t="n">
        <x:v>6.798917864961698</x:v>
      </x:c>
      <x:c r="O4566" s="28" t="n">
        <x:f>MIN(1,L4566/I4566)</x:f>
        <x:v>0.074058</x:v>
      </x:c>
      <x:c r="P4566" s="30" t="n">
        <x:f>O4566*J4566*(1+M4566)</x:f>
        <x:v>1.2219570000000002</x:v>
      </x:c>
      <x:c r="Q4566" s="30" t="n">
        <x:f>P4566*N4566</x:f>
        <x:v>8.307985277515003</x:v>
      </x:c>
      <x:c r="R4566" s="19" t="str">
        <x:v>独立判定</x:v>
      </x:c>
    </x:row>
    <x:row r="4567" ht="19" customHeight="1">
      <x:c r="A4567" s="19" t="str">
        <x:v>D04563</x:v>
      </x:c>
      <x:c r="B4567" s="19" t="n">
        <x:v>9</x:v>
      </x:c>
      <x:c r="C4567" s="19" t="n">
        <x:v>5</x:v>
      </x:c>
      <x:c r="D4567" s="19" t="str">
        <x:v>C09-M058</x:v>
      </x:c>
      <x:c r="E4567" s="19" t="str">
        <x:v>罗德尔守门卜者</x:v>
      </x:c>
      <x:c r="F4567" s="19" t="str">
        <x:v>稀有</x:v>
      </x:c>
      <x:c r="G4567" s="19" t="str">
        <x:v>材料独立候选</x:v>
      </x:c>
      <x:c r="H4567" s="19" t="str">
        <x:v>古王律页</x:v>
      </x:c>
      <x:c r="I4567" s="22" t="n">
        <x:v>1200</x:v>
      </x:c>
      <x:c r="J4567" s="22" t="n">
        <x:v>1</x:v>
      </x:c>
      <x:c r="K4567" s="19" t="n">
        <x:v>1</x:v>
      </x:c>
      <x:c r="L4567" s="24" t="n">
        <x:v>74.05799999999999</x:v>
      </x:c>
      <x:c r="M4567" s="26" t="n">
        <x:v>0.1</x:v>
      </x:c>
      <x:c r="N4567" s="24" t="n">
        <x:v>6.798917864961698</x:v>
      </x:c>
      <x:c r="O4567" s="28" t="n">
        <x:f>MIN(1,L4567/I4567)</x:f>
        <x:v>0.06171499999999999</x:v>
      </x:c>
      <x:c r="P4567" s="30" t="n">
        <x:f>O4567*J4567*(1+M4567)</x:f>
        <x:v>0.0678865</x:v>
      </x:c>
      <x:c r="Q4567" s="30" t="n">
        <x:f>P4567*N4567</x:f>
        <x:v>0.4615547376397223</x:v>
      </x:c>
      <x:c r="R4567" s="19" t="str">
        <x:v>独立判定</x:v>
      </x:c>
    </x:row>
    <x:row r="4568" ht="19" customHeight="1">
      <x:c r="A4568" s="19" t="str">
        <x:v>D04564</x:v>
      </x:c>
      <x:c r="B4568" s="19" t="n">
        <x:v>9</x:v>
      </x:c>
      <x:c r="C4568" s="19" t="n">
        <x:v>5</x:v>
      </x:c>
      <x:c r="D4568" s="19" t="str">
        <x:v>C09-M058</x:v>
      </x:c>
      <x:c r="E4568" s="19" t="str">
        <x:v>罗德尔守门卜者</x:v>
      </x:c>
      <x:c r="F4568" s="19" t="str">
        <x:v>稀有</x:v>
      </x:c>
      <x:c r="G4568" s="19" t="str">
        <x:v>材料独立候选</x:v>
      </x:c>
      <x:c r="H4568" s="19" t="str">
        <x:v>矿脉灯芯</x:v>
      </x:c>
      <x:c r="I4568" s="22" t="n">
        <x:v>5000</x:v>
      </x:c>
      <x:c r="J4568" s="22" t="n">
        <x:v>1</x:v>
      </x:c>
      <x:c r="K4568" s="19" t="n">
        <x:v>1</x:v>
      </x:c>
      <x:c r="L4568" s="24" t="n">
        <x:v>74.05799999999999</x:v>
      </x:c>
      <x:c r="M4568" s="26" t="n">
        <x:v>0.1</x:v>
      </x:c>
      <x:c r="N4568" s="24" t="n">
        <x:v>6.798917864961698</x:v>
      </x:c>
      <x:c r="O4568" s="28" t="n">
        <x:f>MIN(1,L4568/I4568)</x:f>
        <x:v>0.014811599999999998</x:v>
      </x:c>
      <x:c r="P4568" s="30" t="n">
        <x:f>O4568*J4568*(1+M4568)</x:f>
        <x:v>0.01629276</x:v>
      </x:c>
      <x:c r="Q4568" s="30" t="n">
        <x:f>P4568*N4568</x:f>
        <x:v>0.11077313703353335</x:v>
      </x:c>
      <x:c r="R4568" s="19" t="str">
        <x:v>独立判定</x:v>
      </x:c>
    </x:row>
    <x:row r="4569" ht="19" customHeight="1">
      <x:c r="A4569" s="19" t="str">
        <x:v>D04565</x:v>
      </x:c>
      <x:c r="B4569" s="19" t="n">
        <x:v>9</x:v>
      </x:c>
      <x:c r="C4569" s="19" t="n">
        <x:v>5</x:v>
      </x:c>
      <x:c r="D4569" s="19" t="str">
        <x:v>C09-M058</x:v>
      </x:c>
      <x:c r="E4569" s="19" t="str">
        <x:v>罗德尔守门卜者</x:v>
      </x:c>
      <x:c r="F4569" s="19" t="str">
        <x:v>稀有</x:v>
      </x:c>
      <x:c r="G4569" s="19" t="str">
        <x:v>材料独立候选</x:v>
      </x:c>
      <x:c r="H4569" s="19" t="str">
        <x:v>古坛鎏叶髓</x:v>
      </x:c>
      <x:c r="I4569" s="22" t="n">
        <x:v>2000000</x:v>
      </x:c>
      <x:c r="J4569" s="22" t="n">
        <x:v>1</x:v>
      </x:c>
      <x:c r="K4569" s="19" t="n">
        <x:v>1</x:v>
      </x:c>
      <x:c r="L4569" s="24" t="n">
        <x:v>74.05799999999999</x:v>
      </x:c>
      <x:c r="M4569" s="26" t="n">
        <x:v>0.1</x:v>
      </x:c>
      <x:c r="N4569" s="24" t="n">
        <x:v>6.798917864961698</x:v>
      </x:c>
      <x:c r="O4569" s="28" t="n">
        <x:f>MIN(1,L4569/I4569)</x:f>
        <x:v>0.000037028999999999994</x:v>
      </x:c>
      <x:c r="P4569" s="30" t="n">
        <x:f>O4569*J4569*(1+M4569)</x:f>
        <x:v>0.000040731899999999995</x:v>
      </x:c>
      <x:c r="Q4569" s="30" t="n">
        <x:f>P4569*N4569</x:f>
        <x:v>0.00027693284258383335</x:v>
      </x:c>
      <x:c r="R4569" s="19" t="str">
        <x:v>独立判定</x:v>
      </x:c>
    </x:row>
    <x:row r="4570" ht="19" customHeight="1">
      <x:c r="A4570" s="19" t="str">
        <x:v>D04566</x:v>
      </x:c>
      <x:c r="B4570" s="19" t="n">
        <x:v>9</x:v>
      </x:c>
      <x:c r="C4570" s="19" t="n">
        <x:v>5</x:v>
      </x:c>
      <x:c r="D4570" s="19" t="str">
        <x:v>C09-M058</x:v>
      </x:c>
      <x:c r="E4570" s="19" t="str">
        <x:v>罗德尔守门卜者</x:v>
      </x:c>
      <x:c r="F4570" s="19" t="str">
        <x:v>稀有</x:v>
      </x:c>
      <x:c r="G4570" s="19" t="str">
        <x:v>材料独立候选</x:v>
      </x:c>
      <x:c r="H4570" s="19" t="str">
        <x:v>黄金树芽</x:v>
      </x:c>
      <x:c r="I4570" s="22" t="n">
        <x:v>15000</x:v>
      </x:c>
      <x:c r="J4570" s="22" t="n">
        <x:v>1</x:v>
      </x:c>
      <x:c r="K4570" s="19" t="n">
        <x:v>1</x:v>
      </x:c>
      <x:c r="L4570" s="24" t="n">
        <x:v>74.05799999999999</x:v>
      </x:c>
      <x:c r="M4570" s="26" t="n">
        <x:v>0.1</x:v>
      </x:c>
      <x:c r="N4570" s="24" t="n">
        <x:v>6.798917864961698</x:v>
      </x:c>
      <x:c r="O4570" s="28" t="n">
        <x:f>MIN(1,L4570/I4570)</x:f>
        <x:v>0.004937199999999999</x:v>
      </x:c>
      <x:c r="P4570" s="30" t="n">
        <x:f>O4570*J4570*(1+M4570)</x:f>
        <x:v>0.00543092</x:v>
      </x:c>
      <x:c r="Q4570" s="30" t="n">
        <x:f>P4570*N4570</x:f>
        <x:v>0.03692437901117778</x:v>
      </x:c>
      <x:c r="R4570" s="19" t="str">
        <x:v>独立判定</x:v>
      </x:c>
    </x:row>
    <x:row r="4571" ht="19" customHeight="1">
      <x:c r="A4571" s="19" t="str">
        <x:v>D04567</x:v>
      </x:c>
      <x:c r="B4571" s="19" t="n">
        <x:v>9</x:v>
      </x:c>
      <x:c r="C4571" s="19" t="n">
        <x:v>5</x:v>
      </x:c>
      <x:c r="D4571" s="19" t="str">
        <x:v>C09-M058</x:v>
      </x:c>
      <x:c r="E4571" s="19" t="str">
        <x:v>罗德尔守门卜者</x:v>
      </x:c>
      <x:c r="F4571" s="19" t="str">
        <x:v>稀有</x:v>
      </x:c>
      <x:c r="G4571" s="19" t="str">
        <x:v>材料独立候选</x:v>
      </x:c>
      <x:c r="H4571" s="19" t="str">
        <x:v>野兽骨片</x:v>
      </x:c>
      <x:c r="I4571" s="22" t="n">
        <x:v>250</x:v>
      </x:c>
      <x:c r="J4571" s="22" t="n">
        <x:v>5</x:v>
      </x:c>
      <x:c r="K4571" s="19" t="n">
        <x:v>1</x:v>
      </x:c>
      <x:c r="L4571" s="24" t="n">
        <x:v>74.05799999999999</x:v>
      </x:c>
      <x:c r="M4571" s="26" t="n">
        <x:v>0.1</x:v>
      </x:c>
      <x:c r="N4571" s="24" t="n">
        <x:v>6.798917864961698</x:v>
      </x:c>
      <x:c r="O4571" s="28" t="n">
        <x:f>MIN(1,L4571/I4571)</x:f>
        <x:v>0.296232</x:v>
      </x:c>
      <x:c r="P4571" s="30" t="n">
        <x:f>O4571*J4571*(1+M4571)</x:f>
        <x:v>1.6292760000000002</x:v>
      </x:c>
      <x:c r="Q4571" s="30" t="n">
        <x:f>P4571*N4571</x:f>
        <x:v>11.077313703353337</x:v>
      </x:c>
      <x:c r="R4571" s="19" t="str">
        <x:v>独立判定</x:v>
      </x:c>
    </x:row>
    <x:row r="4572" ht="19" customHeight="1">
      <x:c r="A4572" s="19" t="str">
        <x:v>D04568</x:v>
      </x:c>
      <x:c r="B4572" s="19" t="n">
        <x:v>9</x:v>
      </x:c>
      <x:c r="C4572" s="19" t="n">
        <x:v>5</x:v>
      </x:c>
      <x:c r="D4572" s="19" t="str">
        <x:v>C09-M058</x:v>
      </x:c>
      <x:c r="E4572" s="19" t="str">
        <x:v>罗德尔守门卜者</x:v>
      </x:c>
      <x:c r="F4572" s="19" t="str">
        <x:v>稀有</x:v>
      </x:c>
      <x:c r="G4572" s="19" t="str">
        <x:v>材料独立候选</x:v>
      </x:c>
      <x:c r="H4572" s="19" t="str">
        <x:v>技能残页</x:v>
      </x:c>
      <x:c r="I4572" s="22" t="n">
        <x:v>2000</x:v>
      </x:c>
      <x:c r="J4572" s="22" t="n">
        <x:v>1</x:v>
      </x:c>
      <x:c r="K4572" s="19" t="n">
        <x:v>1</x:v>
      </x:c>
      <x:c r="L4572" s="24" t="n">
        <x:v>74.05799999999999</x:v>
      </x:c>
      <x:c r="M4572" s="26" t="n">
        <x:v>0.1</x:v>
      </x:c>
      <x:c r="N4572" s="24" t="n">
        <x:v>6.798917864961698</x:v>
      </x:c>
      <x:c r="O4572" s="28" t="n">
        <x:f>MIN(1,L4572/I4572)</x:f>
        <x:v>0.037029</x:v>
      </x:c>
      <x:c r="P4572" s="30" t="n">
        <x:f>O4572*J4572*(1+M4572)</x:f>
        <x:v>0.0407319</x:v>
      </x:c>
      <x:c r="Q4572" s="30" t="n">
        <x:f>P4572*N4572</x:f>
        <x:v>0.2769328425838334</x:v>
      </x:c>
      <x:c r="R4572" s="19" t="str">
        <x:v>独立判定</x:v>
      </x:c>
    </x:row>
    <x:row r="4573" ht="19" customHeight="1">
      <x:c r="A4573" s="19" t="str">
        <x:v>D04569</x:v>
      </x:c>
      <x:c r="B4573" s="19" t="n">
        <x:v>9</x:v>
      </x:c>
      <x:c r="C4573" s="19" t="n">
        <x:v>5</x:v>
      </x:c>
      <x:c r="D4573" s="19" t="str">
        <x:v>C09-M058</x:v>
      </x:c>
      <x:c r="E4573" s="19" t="str">
        <x:v>罗德尔守门卜者</x:v>
      </x:c>
      <x:c r="F4573" s="19" t="str">
        <x:v>稀有</x:v>
      </x:c>
      <x:c r="G4573" s="19" t="str">
        <x:v>材料独立候选</x:v>
      </x:c>
      <x:c r="H4573" s="19" t="str">
        <x:v>小卢恩</x:v>
      </x:c>
      <x:c r="I4573" s="22" t="n">
        <x:v>12000</x:v>
      </x:c>
      <x:c r="J4573" s="22" t="n">
        <x:v>1</x:v>
      </x:c>
      <x:c r="K4573" s="19" t="n">
        <x:v>1</x:v>
      </x:c>
      <x:c r="L4573" s="24" t="n">
        <x:v>74.05799999999999</x:v>
      </x:c>
      <x:c r="M4573" s="26" t="n">
        <x:v>0.1</x:v>
      </x:c>
      <x:c r="N4573" s="24" t="n">
        <x:v>6.798917864961698</x:v>
      </x:c>
      <x:c r="O4573" s="28" t="n">
        <x:f>MIN(1,L4573/I4573)</x:f>
        <x:v>0.006171499999999999</x:v>
      </x:c>
      <x:c r="P4573" s="30" t="n">
        <x:f>O4573*J4573*(1+M4573)</x:f>
        <x:v>0.006788649999999999</x:v>
      </x:c>
      <x:c r="Q4573" s="30" t="n">
        <x:f>P4573*N4573</x:f>
        <x:v>0.04615547376397223</x:v>
      </x:c>
      <x:c r="R4573" s="19" t="str">
        <x:v>独立判定</x:v>
      </x:c>
    </x:row>
    <x:row r="4574" ht="19" customHeight="1">
      <x:c r="A4574" s="19" t="str">
        <x:v>D04570</x:v>
      </x:c>
      <x:c r="B4574" s="19" t="n">
        <x:v>9</x:v>
      </x:c>
      <x:c r="C4574" s="19" t="n">
        <x:v>5</x:v>
      </x:c>
      <x:c r="D4574" s="19" t="str">
        <x:v>C09-M058</x:v>
      </x:c>
      <x:c r="E4574" s="19" t="str">
        <x:v>罗德尔守门卜者</x:v>
      </x:c>
      <x:c r="F4574" s="19" t="str">
        <x:v>稀有</x:v>
      </x:c>
      <x:c r="G4574" s="19" t="str">
        <x:v>六神器公共池</x:v>
      </x:c>
      <x:c r="H4574" s="19" t="str">
        <x:v>POOL006</x:v>
      </x:c>
      <x:c r="I4574" s="22" t="n">
        <x:v>5000000</x:v>
      </x:c>
      <x:c r="J4574" s="22" t="n">
        <x:v>1</x:v>
      </x:c>
      <x:c r="K4574" s="19" t="n">
        <x:v>6</x:v>
      </x:c>
      <x:c r="L4574" s="24" t="n">
        <x:v>74.05799999999999</x:v>
      </x:c>
      <x:c r="M4574" s="26" t="n">
        <x:v>0.1</x:v>
      </x:c>
      <x:c r="N4574" s="24" t="n">
        <x:v>6.798917864961698</x:v>
      </x:c>
      <x:c r="O4574" s="28" t="n">
        <x:f>MIN(1,L4574/I4574)</x:f>
        <x:v>0.000014811599999999999</x:v>
      </x:c>
      <x:c r="P4574" s="30" t="n">
        <x:f>O4574*J4574*(1+M4574)</x:f>
        <x:v>0.00001629276</x:v>
      </x:c>
      <x:c r="Q4574" s="30" t="n">
        <x:f>P4574*N4574</x:f>
        <x:v>0.00011077313703353337</x:v>
      </x:c>
      <x:c r="R4574" s="19" t="str">
        <x:v>六选一；非6个独立爆率</x:v>
      </x:c>
    </x:row>
    <x:row r="4575" ht="19" customHeight="1">
      <x:c r="A4575" s="19" t="str">
        <x:v>D04571</x:v>
      </x:c>
      <x:c r="B4575" s="19" t="n">
        <x:v>9</x:v>
      </x:c>
      <x:c r="C4575" s="19" t="n">
        <x:v>5</x:v>
      </x:c>
      <x:c r="D4575" s="19" t="str">
        <x:v>C09-M059</x:v>
      </x:c>
      <x:c r="E4575" s="19" t="str">
        <x:v>黄金壁垒统帅·罗梵迪</x:v>
      </x:c>
      <x:c r="F4575" s="19" t="str">
        <x:v>地图BOSS</x:v>
      </x:c>
      <x:c r="G4575" s="19" t="str">
        <x:v>自身专属</x:v>
      </x:c>
      <x:c r="H4575" s="19" t="str">
        <x:v>罗梵迪壁垒长戟</x:v>
      </x:c>
      <x:c r="I4575" s="22" t="n">
        <x:v>400</x:v>
      </x:c>
      <x:c r="J4575" s="22" t="n">
        <x:v>1</x:v>
      </x:c>
      <x:c r="K4575" s="19" t="n">
        <x:v>1</x:v>
      </x:c>
      <x:c r="L4575" s="24" t="n">
        <x:v>74.05799999999999</x:v>
      </x:c>
      <x:c r="M4575" s="26" t="n">
        <x:v>0.1</x:v>
      </x:c>
      <x:c r="N4575" s="24" t="n">
        <x:v>2</x:v>
      </x:c>
      <x:c r="O4575" s="28" t="n">
        <x:f>MIN(1,L4575/I4575)</x:f>
        <x:v>0.18514499999999998</x:v>
      </x:c>
      <x:c r="P4575" s="30" t="n">
        <x:f>O4575*J4575*(1+M4575)</x:f>
        <x:v>0.2036595</x:v>
      </x:c>
      <x:c r="Q4575" s="30" t="n">
        <x:f>P4575*N4575</x:f>
        <x:v>0.407319</x:v>
      </x:c>
      <x:c r="R4575" s="19" t="str">
        <x:v>独立判定</x:v>
      </x:c>
    </x:row>
    <x:row r="4576" ht="19" customHeight="1">
      <x:c r="A4576" s="19" t="str">
        <x:v>D04572</x:v>
      </x:c>
      <x:c r="B4576" s="19" t="n">
        <x:v>9</x:v>
      </x:c>
      <x:c r="C4576" s="19" t="n">
        <x:v>5</x:v>
      </x:c>
      <x:c r="D4576" s="19" t="str">
        <x:v>C09-M059</x:v>
      </x:c>
      <x:c r="E4576" s="19" t="str">
        <x:v>黄金壁垒统帅·罗梵迪</x:v>
      </x:c>
      <x:c r="F4576" s="19" t="str">
        <x:v>地图BOSS</x:v>
      </x:c>
      <x:c r="G4576" s="19" t="str">
        <x:v>自身专属</x:v>
      </x:c>
      <x:c r="H4576" s="19" t="str">
        <x:v>无暮金戒</x:v>
      </x:c>
      <x:c r="I4576" s="22" t="n">
        <x:v>400</x:v>
      </x:c>
      <x:c r="J4576" s="22" t="n">
        <x:v>1</x:v>
      </x:c>
      <x:c r="K4576" s="19" t="n">
        <x:v>1</x:v>
      </x:c>
      <x:c r="L4576" s="24" t="n">
        <x:v>74.05799999999999</x:v>
      </x:c>
      <x:c r="M4576" s="26" t="n">
        <x:v>0.1</x:v>
      </x:c>
      <x:c r="N4576" s="24" t="n">
        <x:v>2</x:v>
      </x:c>
      <x:c r="O4576" s="28" t="n">
        <x:f>MIN(1,L4576/I4576)</x:f>
        <x:v>0.18514499999999998</x:v>
      </x:c>
      <x:c r="P4576" s="30" t="n">
        <x:f>O4576*J4576*(1+M4576)</x:f>
        <x:v>0.2036595</x:v>
      </x:c>
      <x:c r="Q4576" s="30" t="n">
        <x:f>P4576*N4576</x:f>
        <x:v>0.407319</x:v>
      </x:c>
      <x:c r="R4576" s="19" t="str">
        <x:v>独立判定</x:v>
      </x:c>
    </x:row>
    <x:row r="4577" ht="19" customHeight="1">
      <x:c r="A4577" s="19" t="str">
        <x:v>D04573</x:v>
      </x:c>
      <x:c r="B4577" s="19" t="n">
        <x:v>9</x:v>
      </x:c>
      <x:c r="C4577" s="19" t="n">
        <x:v>5</x:v>
      </x:c>
      <x:c r="D4577" s="19" t="str">
        <x:v>C09-M059</x:v>
      </x:c>
      <x:c r="E4577" s="19" t="str">
        <x:v>黄金壁垒统帅·罗梵迪</x:v>
      </x:c>
      <x:c r="F4577" s="19" t="str">
        <x:v>地图BOSS</x:v>
      </x:c>
      <x:c r="G4577" s="19" t="str">
        <x:v>本图普通兼掉候选</x:v>
      </x:c>
      <x:c r="H4577" s="19" t="str">
        <x:v>POOL076</x:v>
      </x:c>
      <x:c r="I4577" s="22" t="n">
        <x:v>180</x:v>
      </x:c>
      <x:c r="J4577" s="22" t="n">
        <x:v>1</x:v>
      </x:c>
      <x:c r="K4577" s="19" t="n">
        <x:v>1</x:v>
      </x:c>
      <x:c r="L4577" s="24" t="n">
        <x:v>74.05799999999999</x:v>
      </x:c>
      <x:c r="M4577" s="26" t="n">
        <x:v>0.1</x:v>
      </x:c>
      <x:c r="N4577" s="24" t="n">
        <x:v>2</x:v>
      </x:c>
      <x:c r="O4577" s="28" t="n">
        <x:f>MIN(1,L4577/I4577)</x:f>
        <x:v>0.4114333333333333</x:v>
      </x:c>
      <x:c r="P4577" s="30" t="n">
        <x:f>O4577*J4577*(1+M4577)</x:f>
        <x:v>0.4525766666666667</x:v>
      </x:c>
      <x:c r="Q4577" s="30" t="n">
        <x:f>P4577*N4577</x:f>
        <x:v>0.9051533333333334</x:v>
      </x:c>
      <x:c r="R4577" s="19" t="str">
        <x:v>单池选一</x:v>
      </x:c>
    </x:row>
    <x:row r="4578" ht="19" customHeight="1">
      <x:c r="A4578" s="19" t="str">
        <x:v>D04574</x:v>
      </x:c>
      <x:c r="B4578" s="19" t="n">
        <x:v>9</x:v>
      </x:c>
      <x:c r="C4578" s="19" t="n">
        <x:v>5</x:v>
      </x:c>
      <x:c r="D4578" s="19" t="str">
        <x:v>C09-M059</x:v>
      </x:c>
      <x:c r="E4578" s="19" t="str">
        <x:v>黄金壁垒统帅·罗梵迪</x:v>
      </x:c>
      <x:c r="F4578" s="19" t="str">
        <x:v>地图BOSS</x:v>
      </x:c>
      <x:c r="G4578" s="19" t="str">
        <x:v>材料独立候选</x:v>
      </x:c>
      <x:c r="H4578" s="19" t="str">
        <x:v>黄金叶脉</x:v>
      </x:c>
      <x:c r="I4578" s="22" t="n">
        <x:v>600</x:v>
      </x:c>
      <x:c r="J4578" s="22" t="n">
        <x:v>30</x:v>
      </x:c>
      <x:c r="K4578" s="19" t="n">
        <x:v>1</x:v>
      </x:c>
      <x:c r="L4578" s="24" t="n">
        <x:v>74.05799999999999</x:v>
      </x:c>
      <x:c r="M4578" s="26" t="n">
        <x:v>0.1</x:v>
      </x:c>
      <x:c r="N4578" s="24" t="n">
        <x:v>2</x:v>
      </x:c>
      <x:c r="O4578" s="28" t="n">
        <x:f>MIN(1,L4578/I4578)</x:f>
        <x:v>0.12342999999999998</x:v>
      </x:c>
      <x:c r="P4578" s="30" t="n">
        <x:f>O4578*J4578*(1+M4578)</x:f>
        <x:v>4.07319</x:v>
      </x:c>
      <x:c r="Q4578" s="30" t="n">
        <x:f>P4578*N4578</x:f>
        <x:v>8.14638</x:v>
      </x:c>
      <x:c r="R4578" s="19" t="str">
        <x:v>独立判定</x:v>
      </x:c>
    </x:row>
    <x:row r="4579" ht="19" customHeight="1">
      <x:c r="A4579" s="19" t="str">
        <x:v>D04575</x:v>
      </x:c>
      <x:c r="B4579" s="19" t="n">
        <x:v>9</x:v>
      </x:c>
      <x:c r="C4579" s="19" t="n">
        <x:v>5</x:v>
      </x:c>
      <x:c r="D4579" s="19" t="str">
        <x:v>C09-M059</x:v>
      </x:c>
      <x:c r="E4579" s="19" t="str">
        <x:v>黄金壁垒统帅·罗梵迪</x:v>
      </x:c>
      <x:c r="F4579" s="19" t="str">
        <x:v>地图BOSS</x:v>
      </x:c>
      <x:c r="G4579" s="19" t="str">
        <x:v>材料独立候选</x:v>
      </x:c>
      <x:c r="H4579" s="19" t="str">
        <x:v>古王律页</x:v>
      </x:c>
      <x:c r="I4579" s="22" t="n">
        <x:v>600</x:v>
      </x:c>
      <x:c r="J4579" s="22" t="n">
        <x:v>1</x:v>
      </x:c>
      <x:c r="K4579" s="19" t="n">
        <x:v>1</x:v>
      </x:c>
      <x:c r="L4579" s="24" t="n">
        <x:v>74.05799999999999</x:v>
      </x:c>
      <x:c r="M4579" s="26" t="n">
        <x:v>0.1</x:v>
      </x:c>
      <x:c r="N4579" s="24" t="n">
        <x:v>2</x:v>
      </x:c>
      <x:c r="O4579" s="28" t="n">
        <x:f>MIN(1,L4579/I4579)</x:f>
        <x:v>0.12342999999999998</x:v>
      </x:c>
      <x:c r="P4579" s="30" t="n">
        <x:f>O4579*J4579*(1+M4579)</x:f>
        <x:v>0.135773</x:v>
      </x:c>
      <x:c r="Q4579" s="30" t="n">
        <x:f>P4579*N4579</x:f>
        <x:v>0.271546</x:v>
      </x:c>
      <x:c r="R4579" s="19" t="str">
        <x:v>独立判定</x:v>
      </x:c>
    </x:row>
    <x:row r="4580" ht="19" customHeight="1">
      <x:c r="A4580" s="19" t="str">
        <x:v>D04576</x:v>
      </x:c>
      <x:c r="B4580" s="19" t="n">
        <x:v>9</x:v>
      </x:c>
      <x:c r="C4580" s="19" t="n">
        <x:v>5</x:v>
      </x:c>
      <x:c r="D4580" s="19" t="str">
        <x:v>C09-M059</x:v>
      </x:c>
      <x:c r="E4580" s="19" t="str">
        <x:v>黄金壁垒统帅·罗梵迪</x:v>
      </x:c>
      <x:c r="F4580" s="19" t="str">
        <x:v>地图BOSS</x:v>
      </x:c>
      <x:c r="G4580" s="19" t="str">
        <x:v>材料独立候选</x:v>
      </x:c>
      <x:c r="H4580" s="19" t="str">
        <x:v>黄金律印</x:v>
      </x:c>
      <x:c r="I4580" s="22" t="n">
        <x:v>300</x:v>
      </x:c>
      <x:c r="J4580" s="22" t="n">
        <x:v>7</x:v>
      </x:c>
      <x:c r="K4580" s="19" t="n">
        <x:v>1</x:v>
      </x:c>
      <x:c r="L4580" s="24" t="n">
        <x:v>74.05799999999999</x:v>
      </x:c>
      <x:c r="M4580" s="26" t="n">
        <x:v>0.1</x:v>
      </x:c>
      <x:c r="N4580" s="24" t="n">
        <x:v>2</x:v>
      </x:c>
      <x:c r="O4580" s="28" t="n">
        <x:f>MIN(1,L4580/I4580)</x:f>
        <x:v>0.24685999999999997</x:v>
      </x:c>
      <x:c r="P4580" s="30" t="n">
        <x:f>O4580*J4580*(1+M4580)</x:f>
        <x:v>1.900822</x:v>
      </x:c>
      <x:c r="Q4580" s="30" t="n">
        <x:f>P4580*N4580</x:f>
        <x:v>3.801644</x:v>
      </x:c>
      <x:c r="R4580" s="19" t="str">
        <x:v>独立判定</x:v>
      </x:c>
    </x:row>
    <x:row r="4581" ht="19" customHeight="1">
      <x:c r="A4581" s="19" t="str">
        <x:v>D04577</x:v>
      </x:c>
      <x:c r="B4581" s="19" t="n">
        <x:v>9</x:v>
      </x:c>
      <x:c r="C4581" s="19" t="n">
        <x:v>5</x:v>
      </x:c>
      <x:c r="D4581" s="19" t="str">
        <x:v>C09-M059</x:v>
      </x:c>
      <x:c r="E4581" s="19" t="str">
        <x:v>黄金壁垒统帅·罗梵迪</x:v>
      </x:c>
      <x:c r="F4581" s="19" t="str">
        <x:v>地图BOSS</x:v>
      </x:c>
      <x:c r="G4581" s="19" t="str">
        <x:v>材料独立候选</x:v>
      </x:c>
      <x:c r="H4581" s="19" t="str">
        <x:v>裁文蜡封</x:v>
      </x:c>
      <x:c r="I4581" s="22" t="n">
        <x:v>300</x:v>
      </x:c>
      <x:c r="J4581" s="22" t="n">
        <x:v>3</x:v>
      </x:c>
      <x:c r="K4581" s="19" t="n">
        <x:v>1</x:v>
      </x:c>
      <x:c r="L4581" s="24" t="n">
        <x:v>74.05799999999999</x:v>
      </x:c>
      <x:c r="M4581" s="26" t="n">
        <x:v>0.1</x:v>
      </x:c>
      <x:c r="N4581" s="24" t="n">
        <x:v>2</x:v>
      </x:c>
      <x:c r="O4581" s="28" t="n">
        <x:f>MIN(1,L4581/I4581)</x:f>
        <x:v>0.24685999999999997</x:v>
      </x:c>
      <x:c r="P4581" s="30" t="n">
        <x:f>O4581*J4581*(1+M4581)</x:f>
        <x:v>0.814638</x:v>
      </x:c>
      <x:c r="Q4581" s="30" t="n">
        <x:f>P4581*N4581</x:f>
        <x:v>1.629276</x:v>
      </x:c>
      <x:c r="R4581" s="19" t="str">
        <x:v>独立判定</x:v>
      </x:c>
    </x:row>
    <x:row r="4582" ht="19" customHeight="1">
      <x:c r="A4582" s="19" t="str">
        <x:v>D04578</x:v>
      </x:c>
      <x:c r="B4582" s="19" t="n">
        <x:v>9</x:v>
      </x:c>
      <x:c r="C4582" s="19" t="n">
        <x:v>5</x:v>
      </x:c>
      <x:c r="D4582" s="19" t="str">
        <x:v>C09-M059</x:v>
      </x:c>
      <x:c r="E4582" s="19" t="str">
        <x:v>黄金壁垒统帅·罗梵迪</x:v>
      </x:c>
      <x:c r="F4582" s="19" t="str">
        <x:v>地图BOSS</x:v>
      </x:c>
      <x:c r="G4582" s="19" t="str">
        <x:v>材料独立候选</x:v>
      </x:c>
      <x:c r="H4582" s="19" t="str">
        <x:v>古坛鎏叶髓</x:v>
      </x:c>
      <x:c r="I4582" s="22" t="n">
        <x:v>1200000</x:v>
      </x:c>
      <x:c r="J4582" s="22" t="n">
        <x:v>1</x:v>
      </x:c>
      <x:c r="K4582" s="19" t="n">
        <x:v>1</x:v>
      </x:c>
      <x:c r="L4582" s="24" t="n">
        <x:v>74.05799999999999</x:v>
      </x:c>
      <x:c r="M4582" s="26" t="n">
        <x:v>0.1</x:v>
      </x:c>
      <x:c r="N4582" s="24" t="n">
        <x:v>2</x:v>
      </x:c>
      <x:c r="O4582" s="28" t="n">
        <x:f>MIN(1,L4582/I4582)</x:f>
        <x:v>0.00006171499999999999</x:v>
      </x:c>
      <x:c r="P4582" s="30" t="n">
        <x:f>O4582*J4582*(1+M4582)</x:f>
        <x:v>0.00006788649999999999</x:v>
      </x:c>
      <x:c r="Q4582" s="30" t="n">
        <x:f>P4582*N4582</x:f>
        <x:v>0.00013577299999999998</x:v>
      </x:c>
      <x:c r="R4582" s="19" t="str">
        <x:v>独立判定</x:v>
      </x:c>
    </x:row>
    <x:row r="4583" ht="19" customHeight="1">
      <x:c r="A4583" s="19" t="str">
        <x:v>D04579</x:v>
      </x:c>
      <x:c r="B4583" s="19" t="n">
        <x:v>9</x:v>
      </x:c>
      <x:c r="C4583" s="19" t="n">
        <x:v>5</x:v>
      </x:c>
      <x:c r="D4583" s="19" t="str">
        <x:v>C09-M059</x:v>
      </x:c>
      <x:c r="E4583" s="19" t="str">
        <x:v>黄金壁垒统帅·罗梵迪</x:v>
      </x:c>
      <x:c r="F4583" s="19" t="str">
        <x:v>地图BOSS</x:v>
      </x:c>
      <x:c r="G4583" s="19" t="str">
        <x:v>材料独立候选</x:v>
      </x:c>
      <x:c r="H4583" s="19" t="str">
        <x:v>黄金树芽</x:v>
      </x:c>
      <x:c r="I4583" s="22" t="n">
        <x:v>8000</x:v>
      </x:c>
      <x:c r="J4583" s="22" t="n">
        <x:v>1</x:v>
      </x:c>
      <x:c r="K4583" s="19" t="n">
        <x:v>1</x:v>
      </x:c>
      <x:c r="L4583" s="24" t="n">
        <x:v>74.05799999999999</x:v>
      </x:c>
      <x:c r="M4583" s="26" t="n">
        <x:v>0.1</x:v>
      </x:c>
      <x:c r="N4583" s="24" t="n">
        <x:v>2</x:v>
      </x:c>
      <x:c r="O4583" s="28" t="n">
        <x:f>MIN(1,L4583/I4583)</x:f>
        <x:v>0.00925725</x:v>
      </x:c>
      <x:c r="P4583" s="30" t="n">
        <x:f>O4583*J4583*(1+M4583)</x:f>
        <x:v>0.010182975</x:v>
      </x:c>
      <x:c r="Q4583" s="30" t="n">
        <x:f>P4583*N4583</x:f>
        <x:v>0.02036595</x:v>
      </x:c>
      <x:c r="R4583" s="19" t="str">
        <x:v>独立判定</x:v>
      </x:c>
    </x:row>
    <x:row r="4584" ht="19" customHeight="1">
      <x:c r="A4584" s="19" t="str">
        <x:v>D04580</x:v>
      </x:c>
      <x:c r="B4584" s="19" t="n">
        <x:v>9</x:v>
      </x:c>
      <x:c r="C4584" s="19" t="n">
        <x:v>5</x:v>
      </x:c>
      <x:c r="D4584" s="19" t="str">
        <x:v>C09-M059</x:v>
      </x:c>
      <x:c r="E4584" s="19" t="str">
        <x:v>黄金壁垒统帅·罗梵迪</x:v>
      </x:c>
      <x:c r="F4584" s="19" t="str">
        <x:v>地图BOSS</x:v>
      </x:c>
      <x:c r="G4584" s="19" t="str">
        <x:v>材料独立候选</x:v>
      </x:c>
      <x:c r="H4584" s="19" t="str">
        <x:v>野兽骨片</x:v>
      </x:c>
      <x:c r="I4584" s="22" t="n">
        <x:v>120</x:v>
      </x:c>
      <x:c r="J4584" s="22" t="n">
        <x:v>5</x:v>
      </x:c>
      <x:c r="K4584" s="19" t="n">
        <x:v>1</x:v>
      </x:c>
      <x:c r="L4584" s="24" t="n">
        <x:v>74.05799999999999</x:v>
      </x:c>
      <x:c r="M4584" s="26" t="n">
        <x:v>0.1</x:v>
      </x:c>
      <x:c r="N4584" s="24" t="n">
        <x:v>2</x:v>
      </x:c>
      <x:c r="O4584" s="28" t="n">
        <x:f>MIN(1,L4584/I4584)</x:f>
        <x:v>0.61715</x:v>
      </x:c>
      <x:c r="P4584" s="30" t="n">
        <x:f>O4584*J4584*(1+M4584)</x:f>
        <x:v>3.3943250000000003</x:v>
      </x:c>
      <x:c r="Q4584" s="30" t="n">
        <x:f>P4584*N4584</x:f>
        <x:v>6.7886500000000005</x:v>
      </x:c>
      <x:c r="R4584" s="19" t="str">
        <x:v>独立判定</x:v>
      </x:c>
    </x:row>
    <x:row r="4585" ht="19" customHeight="1">
      <x:c r="A4585" s="19" t="str">
        <x:v>D04581</x:v>
      </x:c>
      <x:c r="B4585" s="19" t="n">
        <x:v>9</x:v>
      </x:c>
      <x:c r="C4585" s="19" t="n">
        <x:v>5</x:v>
      </x:c>
      <x:c r="D4585" s="19" t="str">
        <x:v>C09-M059</x:v>
      </x:c>
      <x:c r="E4585" s="19" t="str">
        <x:v>黄金壁垒统帅·罗梵迪</x:v>
      </x:c>
      <x:c r="F4585" s="19" t="str">
        <x:v>地图BOSS</x:v>
      </x:c>
      <x:c r="G4585" s="19" t="str">
        <x:v>材料独立候选</x:v>
      </x:c>
      <x:c r="H4585" s="19" t="str">
        <x:v>技能残页</x:v>
      </x:c>
      <x:c r="I4585" s="22" t="n">
        <x:v>1000</x:v>
      </x:c>
      <x:c r="J4585" s="22" t="n">
        <x:v>1</x:v>
      </x:c>
      <x:c r="K4585" s="19" t="n">
        <x:v>1</x:v>
      </x:c>
      <x:c r="L4585" s="24" t="n">
        <x:v>74.05799999999999</x:v>
      </x:c>
      <x:c r="M4585" s="26" t="n">
        <x:v>0.1</x:v>
      </x:c>
      <x:c r="N4585" s="24" t="n">
        <x:v>2</x:v>
      </x:c>
      <x:c r="O4585" s="28" t="n">
        <x:f>MIN(1,L4585/I4585)</x:f>
        <x:v>0.074058</x:v>
      </x:c>
      <x:c r="P4585" s="30" t="n">
        <x:f>O4585*J4585*(1+M4585)</x:f>
        <x:v>0.0814638</x:v>
      </x:c>
      <x:c r="Q4585" s="30" t="n">
        <x:f>P4585*N4585</x:f>
        <x:v>0.1629276</x:v>
      </x:c>
      <x:c r="R4585" s="19" t="str">
        <x:v>独立判定</x:v>
      </x:c>
    </x:row>
    <x:row r="4586" ht="19" customHeight="1">
      <x:c r="A4586" s="19" t="str">
        <x:v>D04582</x:v>
      </x:c>
      <x:c r="B4586" s="19" t="n">
        <x:v>9</x:v>
      </x:c>
      <x:c r="C4586" s="19" t="n">
        <x:v>5</x:v>
      </x:c>
      <x:c r="D4586" s="19" t="str">
        <x:v>C09-M059</x:v>
      </x:c>
      <x:c r="E4586" s="19" t="str">
        <x:v>黄金壁垒统帅·罗梵迪</x:v>
      </x:c>
      <x:c r="F4586" s="19" t="str">
        <x:v>地图BOSS</x:v>
      </x:c>
      <x:c r="G4586" s="19" t="str">
        <x:v>材料独立候选</x:v>
      </x:c>
      <x:c r="H4586" s="19" t="str">
        <x:v>宁姆格福誓页</x:v>
      </x:c>
      <x:c r="I4586" s="22" t="n">
        <x:v>1000</x:v>
      </x:c>
      <x:c r="J4586" s="22" t="n">
        <x:v>1</x:v>
      </x:c>
      <x:c r="K4586" s="19" t="n">
        <x:v>1</x:v>
      </x:c>
      <x:c r="L4586" s="24" t="n">
        <x:v>74.05799999999999</x:v>
      </x:c>
      <x:c r="M4586" s="26" t="n">
        <x:v>0.1</x:v>
      </x:c>
      <x:c r="N4586" s="24" t="n">
        <x:v>2</x:v>
      </x:c>
      <x:c r="O4586" s="28" t="n">
        <x:f>MIN(1,L4586/I4586)</x:f>
        <x:v>0.074058</x:v>
      </x:c>
      <x:c r="P4586" s="30" t="n">
        <x:f>O4586*J4586*(1+M4586)</x:f>
        <x:v>0.0814638</x:v>
      </x:c>
      <x:c r="Q4586" s="30" t="n">
        <x:f>P4586*N4586</x:f>
        <x:v>0.1629276</x:v>
      </x:c>
      <x:c r="R4586" s="19" t="str">
        <x:v>独立判定</x:v>
      </x:c>
    </x:row>
    <x:row r="4587" ht="19" customHeight="1">
      <x:c r="A4587" s="19" t="str">
        <x:v>D04583</x:v>
      </x:c>
      <x:c r="B4587" s="19" t="n">
        <x:v>9</x:v>
      </x:c>
      <x:c r="C4587" s="19" t="n">
        <x:v>5</x:v>
      </x:c>
      <x:c r="D4587" s="19" t="str">
        <x:v>C09-M059</x:v>
      </x:c>
      <x:c r="E4587" s="19" t="str">
        <x:v>黄金壁垒统帅·罗梵迪</x:v>
      </x:c>
      <x:c r="F4587" s="19" t="str">
        <x:v>地图BOSS</x:v>
      </x:c>
      <x:c r="G4587" s="19" t="str">
        <x:v>材料独立候选</x:v>
      </x:c>
      <x:c r="H4587" s="19" t="str">
        <x:v>小卢恩</x:v>
      </x:c>
      <x:c r="I4587" s="22" t="n">
        <x:v>8000</x:v>
      </x:c>
      <x:c r="J4587" s="22" t="n">
        <x:v>1</x:v>
      </x:c>
      <x:c r="K4587" s="19" t="n">
        <x:v>1</x:v>
      </x:c>
      <x:c r="L4587" s="24" t="n">
        <x:v>74.05799999999999</x:v>
      </x:c>
      <x:c r="M4587" s="26" t="n">
        <x:v>0.1</x:v>
      </x:c>
      <x:c r="N4587" s="24" t="n">
        <x:v>2</x:v>
      </x:c>
      <x:c r="O4587" s="28" t="n">
        <x:f>MIN(1,L4587/I4587)</x:f>
        <x:v>0.00925725</x:v>
      </x:c>
      <x:c r="P4587" s="30" t="n">
        <x:f>O4587*J4587*(1+M4587)</x:f>
        <x:v>0.010182975</x:v>
      </x:c>
      <x:c r="Q4587" s="30" t="n">
        <x:f>P4587*N4587</x:f>
        <x:v>0.02036595</x:v>
      </x:c>
      <x:c r="R4587" s="19" t="str">
        <x:v>独立判定</x:v>
      </x:c>
    </x:row>
    <x:row r="4588" ht="19" customHeight="1">
      <x:c r="A4588" s="19" t="str">
        <x:v>D04584</x:v>
      </x:c>
      <x:c r="B4588" s="19" t="n">
        <x:v>9</x:v>
      </x:c>
      <x:c r="C4588" s="19" t="n">
        <x:v>5</x:v>
      </x:c>
      <x:c r="D4588" s="19" t="str">
        <x:v>C09-M059</x:v>
      </x:c>
      <x:c r="E4588" s="19" t="str">
        <x:v>黄金壁垒统帅·罗梵迪</x:v>
      </x:c>
      <x:c r="F4588" s="19" t="str">
        <x:v>地图BOSS</x:v>
      </x:c>
      <x:c r="G4588" s="19" t="str">
        <x:v>材料独立候选</x:v>
      </x:c>
      <x:c r="H4588" s="19" t="str">
        <x:v>大卢恩</x:v>
      </x:c>
      <x:c r="I4588" s="22" t="n">
        <x:v>600</x:v>
      </x:c>
      <x:c r="J4588" s="22" t="n">
        <x:v>1</x:v>
      </x:c>
      <x:c r="K4588" s="19" t="n">
        <x:v>1</x:v>
      </x:c>
      <x:c r="L4588" s="24" t="n">
        <x:v>74.05799999999999</x:v>
      </x:c>
      <x:c r="M4588" s="26" t="n">
        <x:v>0.1</x:v>
      </x:c>
      <x:c r="N4588" s="24" t="n">
        <x:v>2</x:v>
      </x:c>
      <x:c r="O4588" s="28" t="n">
        <x:f>MIN(1,L4588/I4588)</x:f>
        <x:v>0.12342999999999998</x:v>
      </x:c>
      <x:c r="P4588" s="30" t="n">
        <x:f>O4588*J4588*(1+M4588)</x:f>
        <x:v>0.135773</x:v>
      </x:c>
      <x:c r="Q4588" s="30" t="n">
        <x:f>P4588*N4588</x:f>
        <x:v>0.271546</x:v>
      </x:c>
      <x:c r="R4588" s="19" t="str">
        <x:v>独立判定</x:v>
      </x:c>
    </x:row>
    <x:row r="4589" ht="19" customHeight="1">
      <x:c r="A4589" s="19" t="str">
        <x:v>D04585</x:v>
      </x:c>
      <x:c r="B4589" s="19" t="n">
        <x:v>9</x:v>
      </x:c>
      <x:c r="C4589" s="19" t="n">
        <x:v>5</x:v>
      </x:c>
      <x:c r="D4589" s="19" t="str">
        <x:v>C09-M059</x:v>
      </x:c>
      <x:c r="E4589" s="19" t="str">
        <x:v>黄金壁垒统帅·罗梵迪</x:v>
      </x:c>
      <x:c r="F4589" s="19" t="str">
        <x:v>地图BOSS</x:v>
      </x:c>
      <x:c r="G4589" s="19" t="str">
        <x:v>材料独立候选</x:v>
      </x:c>
      <x:c r="H4589" s="19" t="str">
        <x:v>巨人熔火卢恩</x:v>
      </x:c>
      <x:c r="I4589" s="22" t="n">
        <x:v>1000</x:v>
      </x:c>
      <x:c r="J4589" s="22" t="n">
        <x:v>1</x:v>
      </x:c>
      <x:c r="K4589" s="19" t="n">
        <x:v>1</x:v>
      </x:c>
      <x:c r="L4589" s="24" t="n">
        <x:v>74.05799999999999</x:v>
      </x:c>
      <x:c r="M4589" s="26" t="n">
        <x:v>0.1</x:v>
      </x:c>
      <x:c r="N4589" s="24" t="n">
        <x:v>2</x:v>
      </x:c>
      <x:c r="O4589" s="28" t="n">
        <x:f>MIN(1,L4589/I4589)</x:f>
        <x:v>0.074058</x:v>
      </x:c>
      <x:c r="P4589" s="30" t="n">
        <x:f>O4589*J4589*(1+M4589)</x:f>
        <x:v>0.0814638</x:v>
      </x:c>
      <x:c r="Q4589" s="30" t="n">
        <x:f>P4589*N4589</x:f>
        <x:v>0.1629276</x:v>
      </x:c>
      <x:c r="R4589" s="19" t="str">
        <x:v>独立判定</x:v>
      </x:c>
    </x:row>
    <x:row r="4590" ht="19" customHeight="1">
      <x:c r="A4590" s="19" t="str">
        <x:v>D04586</x:v>
      </x:c>
      <x:c r="B4590" s="19" t="n">
        <x:v>9</x:v>
      </x:c>
      <x:c r="C4590" s="19" t="n">
        <x:v>5</x:v>
      </x:c>
      <x:c r="D4590" s="19" t="str">
        <x:v>C09-M059</x:v>
      </x:c>
      <x:c r="E4590" s="19" t="str">
        <x:v>黄金壁垒统帅·罗梵迪</x:v>
      </x:c>
      <x:c r="F4590" s="19" t="str">
        <x:v>地图BOSS</x:v>
      </x:c>
      <x:c r="G4590" s="19" t="str">
        <x:v>六神器公共池</x:v>
      </x:c>
      <x:c r="H4590" s="19" t="str">
        <x:v>POOL006</x:v>
      </x:c>
      <x:c r="I4590" s="22" t="n">
        <x:v>200000</x:v>
      </x:c>
      <x:c r="J4590" s="22" t="n">
        <x:v>1</x:v>
      </x:c>
      <x:c r="K4590" s="19" t="n">
        <x:v>6</x:v>
      </x:c>
      <x:c r="L4590" s="24" t="n">
        <x:v>74.05799999999999</x:v>
      </x:c>
      <x:c r="M4590" s="26" t="n">
        <x:v>0.1</x:v>
      </x:c>
      <x:c r="N4590" s="24" t="n">
        <x:v>2</x:v>
      </x:c>
      <x:c r="O4590" s="28" t="n">
        <x:f>MIN(1,L4590/I4590)</x:f>
        <x:v>0.00037028999999999995</x:v>
      </x:c>
      <x:c r="P4590" s="30" t="n">
        <x:f>O4590*J4590*(1+M4590)</x:f>
        <x:v>0.000407319</x:v>
      </x:c>
      <x:c r="Q4590" s="30" t="n">
        <x:f>P4590*N4590</x:f>
        <x:v>0.000814638</x:v>
      </x:c>
      <x:c r="R4590" s="19" t="str">
        <x:v>六选一；非6个独立爆率</x:v>
      </x:c>
    </x:row>
    <x:row r="4591" ht="19" customHeight="1">
      <x:c r="A4591" s="19" t="str">
        <x:v>D04587</x:v>
      </x:c>
      <x:c r="B4591" s="19" t="n">
        <x:v>9</x:v>
      </x:c>
      <x:c r="C4591" s="19" t="n">
        <x:v>5</x:v>
      </x:c>
      <x:c r="D4591" s="19" t="str">
        <x:v>C09-M060</x:v>
      </x:c>
      <x:c r="E4591" s="19" t="str">
        <x:v>王门执宪者·赫桑达</x:v>
      </x:c>
      <x:c r="F4591" s="19" t="str">
        <x:v>地图BOSS</x:v>
      </x:c>
      <x:c r="G4591" s="19" t="str">
        <x:v>自身专属</x:v>
      </x:c>
      <x:c r="H4591" s="19" t="str">
        <x:v>赫桑达执宪战衣</x:v>
      </x:c>
      <x:c r="I4591" s="22" t="n">
        <x:v>400</x:v>
      </x:c>
      <x:c r="J4591" s="22" t="n">
        <x:v>1</x:v>
      </x:c>
      <x:c r="K4591" s="19" t="n">
        <x:v>1</x:v>
      </x:c>
      <x:c r="L4591" s="24" t="n">
        <x:v>74.05799999999999</x:v>
      </x:c>
      <x:c r="M4591" s="26" t="n">
        <x:v>0.1</x:v>
      </x:c>
      <x:c r="N4591" s="24" t="n">
        <x:v>2</x:v>
      </x:c>
      <x:c r="O4591" s="28" t="n">
        <x:f>MIN(1,L4591/I4591)</x:f>
        <x:v>0.18514499999999998</x:v>
      </x:c>
      <x:c r="P4591" s="30" t="n">
        <x:f>O4591*J4591*(1+M4591)</x:f>
        <x:v>0.2036595</x:v>
      </x:c>
      <x:c r="Q4591" s="30" t="n">
        <x:f>P4591*N4591</x:f>
        <x:v>0.407319</x:v>
      </x:c>
      <x:c r="R4591" s="19" t="str">
        <x:v>独立判定</x:v>
      </x:c>
    </x:row>
    <x:row r="4592" ht="19" customHeight="1">
      <x:c r="A4592" s="19" t="str">
        <x:v>D04588</x:v>
      </x:c>
      <x:c r="B4592" s="19" t="n">
        <x:v>9</x:v>
      </x:c>
      <x:c r="C4592" s="19" t="n">
        <x:v>5</x:v>
      </x:c>
      <x:c r="D4592" s="19" t="str">
        <x:v>C09-M060</x:v>
      </x:c>
      <x:c r="E4592" s="19" t="str">
        <x:v>王门执宪者·赫桑达</x:v>
      </x:c>
      <x:c r="F4592" s="19" t="str">
        <x:v>地图BOSS</x:v>
      </x:c>
      <x:c r="G4592" s="19" t="str">
        <x:v>自身专属</x:v>
      </x:c>
      <x:c r="H4592" s="19" t="str">
        <x:v>报晓金翎</x:v>
      </x:c>
      <x:c r="I4592" s="22" t="n">
        <x:v>400</x:v>
      </x:c>
      <x:c r="J4592" s="22" t="n">
        <x:v>1</x:v>
      </x:c>
      <x:c r="K4592" s="19" t="n">
        <x:v>1</x:v>
      </x:c>
      <x:c r="L4592" s="24" t="n">
        <x:v>74.05799999999999</x:v>
      </x:c>
      <x:c r="M4592" s="26" t="n">
        <x:v>0.1</x:v>
      </x:c>
      <x:c r="N4592" s="24" t="n">
        <x:v>2</x:v>
      </x:c>
      <x:c r="O4592" s="28" t="n">
        <x:f>MIN(1,L4592/I4592)</x:f>
        <x:v>0.18514499999999998</x:v>
      </x:c>
      <x:c r="P4592" s="30" t="n">
        <x:f>O4592*J4592*(1+M4592)</x:f>
        <x:v>0.2036595</x:v>
      </x:c>
      <x:c r="Q4592" s="30" t="n">
        <x:f>P4592*N4592</x:f>
        <x:v>0.407319</x:v>
      </x:c>
      <x:c r="R4592" s="19" t="str">
        <x:v>独立判定</x:v>
      </x:c>
    </x:row>
    <x:row r="4593" ht="19" customHeight="1">
      <x:c r="A4593" s="19" t="str">
        <x:v>D04589</x:v>
      </x:c>
      <x:c r="B4593" s="19" t="n">
        <x:v>9</x:v>
      </x:c>
      <x:c r="C4593" s="19" t="n">
        <x:v>5</x:v>
      </x:c>
      <x:c r="D4593" s="19" t="str">
        <x:v>C09-M060</x:v>
      </x:c>
      <x:c r="E4593" s="19" t="str">
        <x:v>王门执宪者·赫桑达</x:v>
      </x:c>
      <x:c r="F4593" s="19" t="str">
        <x:v>地图BOSS</x:v>
      </x:c>
      <x:c r="G4593" s="19" t="str">
        <x:v>本图普通兼掉候选</x:v>
      </x:c>
      <x:c r="H4593" s="19" t="str">
        <x:v>POOL077</x:v>
      </x:c>
      <x:c r="I4593" s="22" t="n">
        <x:v>180</x:v>
      </x:c>
      <x:c r="J4593" s="22" t="n">
        <x:v>1</x:v>
      </x:c>
      <x:c r="K4593" s="19" t="n">
        <x:v>1</x:v>
      </x:c>
      <x:c r="L4593" s="24" t="n">
        <x:v>74.05799999999999</x:v>
      </x:c>
      <x:c r="M4593" s="26" t="n">
        <x:v>0.1</x:v>
      </x:c>
      <x:c r="N4593" s="24" t="n">
        <x:v>2</x:v>
      </x:c>
      <x:c r="O4593" s="28" t="n">
        <x:f>MIN(1,L4593/I4593)</x:f>
        <x:v>0.4114333333333333</x:v>
      </x:c>
      <x:c r="P4593" s="30" t="n">
        <x:f>O4593*J4593*(1+M4593)</x:f>
        <x:v>0.4525766666666667</x:v>
      </x:c>
      <x:c r="Q4593" s="30" t="n">
        <x:f>P4593*N4593</x:f>
        <x:v>0.9051533333333334</x:v>
      </x:c>
      <x:c r="R4593" s="19" t="str">
        <x:v>单池选一</x:v>
      </x:c>
    </x:row>
    <x:row r="4594" ht="19" customHeight="1">
      <x:c r="A4594" s="19" t="str">
        <x:v>D04590</x:v>
      </x:c>
      <x:c r="B4594" s="19" t="n">
        <x:v>9</x:v>
      </x:c>
      <x:c r="C4594" s="19" t="n">
        <x:v>5</x:v>
      </x:c>
      <x:c r="D4594" s="19" t="str">
        <x:v>C09-M060</x:v>
      </x:c>
      <x:c r="E4594" s="19" t="str">
        <x:v>王门执宪者·赫桑达</x:v>
      </x:c>
      <x:c r="F4594" s="19" t="str">
        <x:v>地图BOSS</x:v>
      </x:c>
      <x:c r="G4594" s="19" t="str">
        <x:v>材料独立候选</x:v>
      </x:c>
      <x:c r="H4594" s="19" t="str">
        <x:v>黄金叶脉</x:v>
      </x:c>
      <x:c r="I4594" s="22" t="n">
        <x:v>600</x:v>
      </x:c>
      <x:c r="J4594" s="22" t="n">
        <x:v>30</x:v>
      </x:c>
      <x:c r="K4594" s="19" t="n">
        <x:v>1</x:v>
      </x:c>
      <x:c r="L4594" s="24" t="n">
        <x:v>74.05799999999999</x:v>
      </x:c>
      <x:c r="M4594" s="26" t="n">
        <x:v>0.1</x:v>
      </x:c>
      <x:c r="N4594" s="24" t="n">
        <x:v>2</x:v>
      </x:c>
      <x:c r="O4594" s="28" t="n">
        <x:f>MIN(1,L4594/I4594)</x:f>
        <x:v>0.12342999999999998</x:v>
      </x:c>
      <x:c r="P4594" s="30" t="n">
        <x:f>O4594*J4594*(1+M4594)</x:f>
        <x:v>4.07319</x:v>
      </x:c>
      <x:c r="Q4594" s="30" t="n">
        <x:f>P4594*N4594</x:f>
        <x:v>8.14638</x:v>
      </x:c>
      <x:c r="R4594" s="19" t="str">
        <x:v>独立判定</x:v>
      </x:c>
    </x:row>
    <x:row r="4595" ht="19" customHeight="1">
      <x:c r="A4595" s="19" t="str">
        <x:v>D04591</x:v>
      </x:c>
      <x:c r="B4595" s="19" t="n">
        <x:v>9</x:v>
      </x:c>
      <x:c r="C4595" s="19" t="n">
        <x:v>5</x:v>
      </x:c>
      <x:c r="D4595" s="19" t="str">
        <x:v>C09-M060</x:v>
      </x:c>
      <x:c r="E4595" s="19" t="str">
        <x:v>王门执宪者·赫桑达</x:v>
      </x:c>
      <x:c r="F4595" s="19" t="str">
        <x:v>地图BOSS</x:v>
      </x:c>
      <x:c r="G4595" s="19" t="str">
        <x:v>材料独立候选</x:v>
      </x:c>
      <x:c r="H4595" s="19" t="str">
        <x:v>古王律页</x:v>
      </x:c>
      <x:c r="I4595" s="22" t="n">
        <x:v>600</x:v>
      </x:c>
      <x:c r="J4595" s="22" t="n">
        <x:v>1</x:v>
      </x:c>
      <x:c r="K4595" s="19" t="n">
        <x:v>1</x:v>
      </x:c>
      <x:c r="L4595" s="24" t="n">
        <x:v>74.05799999999999</x:v>
      </x:c>
      <x:c r="M4595" s="26" t="n">
        <x:v>0.1</x:v>
      </x:c>
      <x:c r="N4595" s="24" t="n">
        <x:v>2</x:v>
      </x:c>
      <x:c r="O4595" s="28" t="n">
        <x:f>MIN(1,L4595/I4595)</x:f>
        <x:v>0.12342999999999998</x:v>
      </x:c>
      <x:c r="P4595" s="30" t="n">
        <x:f>O4595*J4595*(1+M4595)</x:f>
        <x:v>0.135773</x:v>
      </x:c>
      <x:c r="Q4595" s="30" t="n">
        <x:f>P4595*N4595</x:f>
        <x:v>0.271546</x:v>
      </x:c>
      <x:c r="R4595" s="19" t="str">
        <x:v>独立判定</x:v>
      </x:c>
    </x:row>
    <x:row r="4596" ht="19" customHeight="1">
      <x:c r="A4596" s="19" t="str">
        <x:v>D04592</x:v>
      </x:c>
      <x:c r="B4596" s="19" t="n">
        <x:v>9</x:v>
      </x:c>
      <x:c r="C4596" s="19" t="n">
        <x:v>5</x:v>
      </x:c>
      <x:c r="D4596" s="19" t="str">
        <x:v>C09-M060</x:v>
      </x:c>
      <x:c r="E4596" s="19" t="str">
        <x:v>王门执宪者·赫桑达</x:v>
      </x:c>
      <x:c r="F4596" s="19" t="str">
        <x:v>地图BOSS</x:v>
      </x:c>
      <x:c r="G4596" s="19" t="str">
        <x:v>材料独立候选</x:v>
      </x:c>
      <x:c r="H4596" s="19" t="str">
        <x:v>黄金律印</x:v>
      </x:c>
      <x:c r="I4596" s="22" t="n">
        <x:v>300</x:v>
      </x:c>
      <x:c r="J4596" s="22" t="n">
        <x:v>7</x:v>
      </x:c>
      <x:c r="K4596" s="19" t="n">
        <x:v>1</x:v>
      </x:c>
      <x:c r="L4596" s="24" t="n">
        <x:v>74.05799999999999</x:v>
      </x:c>
      <x:c r="M4596" s="26" t="n">
        <x:v>0.1</x:v>
      </x:c>
      <x:c r="N4596" s="24" t="n">
        <x:v>2</x:v>
      </x:c>
      <x:c r="O4596" s="28" t="n">
        <x:f>MIN(1,L4596/I4596)</x:f>
        <x:v>0.24685999999999997</x:v>
      </x:c>
      <x:c r="P4596" s="30" t="n">
        <x:f>O4596*J4596*(1+M4596)</x:f>
        <x:v>1.900822</x:v>
      </x:c>
      <x:c r="Q4596" s="30" t="n">
        <x:f>P4596*N4596</x:f>
        <x:v>3.801644</x:v>
      </x:c>
      <x:c r="R4596" s="19" t="str">
        <x:v>独立判定</x:v>
      </x:c>
    </x:row>
    <x:row r="4597" ht="19" customHeight="1">
      <x:c r="A4597" s="19" t="str">
        <x:v>D04593</x:v>
      </x:c>
      <x:c r="B4597" s="19" t="n">
        <x:v>9</x:v>
      </x:c>
      <x:c r="C4597" s="19" t="n">
        <x:v>5</x:v>
      </x:c>
      <x:c r="D4597" s="19" t="str">
        <x:v>C09-M060</x:v>
      </x:c>
      <x:c r="E4597" s="19" t="str">
        <x:v>王门执宪者·赫桑达</x:v>
      </x:c>
      <x:c r="F4597" s="19" t="str">
        <x:v>地图BOSS</x:v>
      </x:c>
      <x:c r="G4597" s="19" t="str">
        <x:v>材料独立候选</x:v>
      </x:c>
      <x:c r="H4597" s="19" t="str">
        <x:v>裁文蜡封</x:v>
      </x:c>
      <x:c r="I4597" s="22" t="n">
        <x:v>300</x:v>
      </x:c>
      <x:c r="J4597" s="22" t="n">
        <x:v>3</x:v>
      </x:c>
      <x:c r="K4597" s="19" t="n">
        <x:v>1</x:v>
      </x:c>
      <x:c r="L4597" s="24" t="n">
        <x:v>74.05799999999999</x:v>
      </x:c>
      <x:c r="M4597" s="26" t="n">
        <x:v>0.1</x:v>
      </x:c>
      <x:c r="N4597" s="24" t="n">
        <x:v>2</x:v>
      </x:c>
      <x:c r="O4597" s="28" t="n">
        <x:f>MIN(1,L4597/I4597)</x:f>
        <x:v>0.24685999999999997</x:v>
      </x:c>
      <x:c r="P4597" s="30" t="n">
        <x:f>O4597*J4597*(1+M4597)</x:f>
        <x:v>0.814638</x:v>
      </x:c>
      <x:c r="Q4597" s="30" t="n">
        <x:f>P4597*N4597</x:f>
        <x:v>1.629276</x:v>
      </x:c>
      <x:c r="R4597" s="19" t="str">
        <x:v>独立判定</x:v>
      </x:c>
    </x:row>
    <x:row r="4598" ht="19" customHeight="1">
      <x:c r="A4598" s="19" t="str">
        <x:v>D04594</x:v>
      </x:c>
      <x:c r="B4598" s="19" t="n">
        <x:v>9</x:v>
      </x:c>
      <x:c r="C4598" s="19" t="n">
        <x:v>5</x:v>
      </x:c>
      <x:c r="D4598" s="19" t="str">
        <x:v>C09-M060</x:v>
      </x:c>
      <x:c r="E4598" s="19" t="str">
        <x:v>王门执宪者·赫桑达</x:v>
      </x:c>
      <x:c r="F4598" s="19" t="str">
        <x:v>地图BOSS</x:v>
      </x:c>
      <x:c r="G4598" s="19" t="str">
        <x:v>材料独立候选</x:v>
      </x:c>
      <x:c r="H4598" s="19" t="str">
        <x:v>古坛鎏叶髓</x:v>
      </x:c>
      <x:c r="I4598" s="22" t="n">
        <x:v>1200000</x:v>
      </x:c>
      <x:c r="J4598" s="22" t="n">
        <x:v>1</x:v>
      </x:c>
      <x:c r="K4598" s="19" t="n">
        <x:v>1</x:v>
      </x:c>
      <x:c r="L4598" s="24" t="n">
        <x:v>74.05799999999999</x:v>
      </x:c>
      <x:c r="M4598" s="26" t="n">
        <x:v>0.1</x:v>
      </x:c>
      <x:c r="N4598" s="24" t="n">
        <x:v>2</x:v>
      </x:c>
      <x:c r="O4598" s="28" t="n">
        <x:f>MIN(1,L4598/I4598)</x:f>
        <x:v>0.00006171499999999999</x:v>
      </x:c>
      <x:c r="P4598" s="30" t="n">
        <x:f>O4598*J4598*(1+M4598)</x:f>
        <x:v>0.00006788649999999999</x:v>
      </x:c>
      <x:c r="Q4598" s="30" t="n">
        <x:f>P4598*N4598</x:f>
        <x:v>0.00013577299999999998</x:v>
      </x:c>
      <x:c r="R4598" s="19" t="str">
        <x:v>独立判定</x:v>
      </x:c>
    </x:row>
    <x:row r="4599" ht="19" customHeight="1">
      <x:c r="A4599" s="19" t="str">
        <x:v>D04595</x:v>
      </x:c>
      <x:c r="B4599" s="19" t="n">
        <x:v>9</x:v>
      </x:c>
      <x:c r="C4599" s="19" t="n">
        <x:v>5</x:v>
      </x:c>
      <x:c r="D4599" s="19" t="str">
        <x:v>C09-M060</x:v>
      </x:c>
      <x:c r="E4599" s="19" t="str">
        <x:v>王门执宪者·赫桑达</x:v>
      </x:c>
      <x:c r="F4599" s="19" t="str">
        <x:v>地图BOSS</x:v>
      </x:c>
      <x:c r="G4599" s="19" t="str">
        <x:v>材料独立候选</x:v>
      </x:c>
      <x:c r="H4599" s="19" t="str">
        <x:v>黄金树芽</x:v>
      </x:c>
      <x:c r="I4599" s="22" t="n">
        <x:v>8000</x:v>
      </x:c>
      <x:c r="J4599" s="22" t="n">
        <x:v>1</x:v>
      </x:c>
      <x:c r="K4599" s="19" t="n">
        <x:v>1</x:v>
      </x:c>
      <x:c r="L4599" s="24" t="n">
        <x:v>74.05799999999999</x:v>
      </x:c>
      <x:c r="M4599" s="26" t="n">
        <x:v>0.1</x:v>
      </x:c>
      <x:c r="N4599" s="24" t="n">
        <x:v>2</x:v>
      </x:c>
      <x:c r="O4599" s="28" t="n">
        <x:f>MIN(1,L4599/I4599)</x:f>
        <x:v>0.00925725</x:v>
      </x:c>
      <x:c r="P4599" s="30" t="n">
        <x:f>O4599*J4599*(1+M4599)</x:f>
        <x:v>0.010182975</x:v>
      </x:c>
      <x:c r="Q4599" s="30" t="n">
        <x:f>P4599*N4599</x:f>
        <x:v>0.02036595</x:v>
      </x:c>
      <x:c r="R4599" s="19" t="str">
        <x:v>独立判定</x:v>
      </x:c>
    </x:row>
    <x:row r="4600" ht="19" customHeight="1">
      <x:c r="A4600" s="19" t="str">
        <x:v>D04596</x:v>
      </x:c>
      <x:c r="B4600" s="19" t="n">
        <x:v>9</x:v>
      </x:c>
      <x:c r="C4600" s="19" t="n">
        <x:v>5</x:v>
      </x:c>
      <x:c r="D4600" s="19" t="str">
        <x:v>C09-M060</x:v>
      </x:c>
      <x:c r="E4600" s="19" t="str">
        <x:v>王门执宪者·赫桑达</x:v>
      </x:c>
      <x:c r="F4600" s="19" t="str">
        <x:v>地图BOSS</x:v>
      </x:c>
      <x:c r="G4600" s="19" t="str">
        <x:v>材料独立候选</x:v>
      </x:c>
      <x:c r="H4600" s="19" t="str">
        <x:v>野兽骨片</x:v>
      </x:c>
      <x:c r="I4600" s="22" t="n">
        <x:v>120</x:v>
      </x:c>
      <x:c r="J4600" s="22" t="n">
        <x:v>5</x:v>
      </x:c>
      <x:c r="K4600" s="19" t="n">
        <x:v>1</x:v>
      </x:c>
      <x:c r="L4600" s="24" t="n">
        <x:v>74.05799999999999</x:v>
      </x:c>
      <x:c r="M4600" s="26" t="n">
        <x:v>0.1</x:v>
      </x:c>
      <x:c r="N4600" s="24" t="n">
        <x:v>2</x:v>
      </x:c>
      <x:c r="O4600" s="28" t="n">
        <x:f>MIN(1,L4600/I4600)</x:f>
        <x:v>0.61715</x:v>
      </x:c>
      <x:c r="P4600" s="30" t="n">
        <x:f>O4600*J4600*(1+M4600)</x:f>
        <x:v>3.3943250000000003</x:v>
      </x:c>
      <x:c r="Q4600" s="30" t="n">
        <x:f>P4600*N4600</x:f>
        <x:v>6.7886500000000005</x:v>
      </x:c>
      <x:c r="R4600" s="19" t="str">
        <x:v>独立判定</x:v>
      </x:c>
    </x:row>
    <x:row r="4601" ht="19" customHeight="1">
      <x:c r="A4601" s="19" t="str">
        <x:v>D04597</x:v>
      </x:c>
      <x:c r="B4601" s="19" t="n">
        <x:v>9</x:v>
      </x:c>
      <x:c r="C4601" s="19" t="n">
        <x:v>5</x:v>
      </x:c>
      <x:c r="D4601" s="19" t="str">
        <x:v>C09-M060</x:v>
      </x:c>
      <x:c r="E4601" s="19" t="str">
        <x:v>王门执宪者·赫桑达</x:v>
      </x:c>
      <x:c r="F4601" s="19" t="str">
        <x:v>地图BOSS</x:v>
      </x:c>
      <x:c r="G4601" s="19" t="str">
        <x:v>材料独立候选</x:v>
      </x:c>
      <x:c r="H4601" s="19" t="str">
        <x:v>技能残页</x:v>
      </x:c>
      <x:c r="I4601" s="22" t="n">
        <x:v>1000</x:v>
      </x:c>
      <x:c r="J4601" s="22" t="n">
        <x:v>1</x:v>
      </x:c>
      <x:c r="K4601" s="19" t="n">
        <x:v>1</x:v>
      </x:c>
      <x:c r="L4601" s="24" t="n">
        <x:v>74.05799999999999</x:v>
      </x:c>
      <x:c r="M4601" s="26" t="n">
        <x:v>0.1</x:v>
      </x:c>
      <x:c r="N4601" s="24" t="n">
        <x:v>2</x:v>
      </x:c>
      <x:c r="O4601" s="28" t="n">
        <x:f>MIN(1,L4601/I4601)</x:f>
        <x:v>0.074058</x:v>
      </x:c>
      <x:c r="P4601" s="30" t="n">
        <x:f>O4601*J4601*(1+M4601)</x:f>
        <x:v>0.0814638</x:v>
      </x:c>
      <x:c r="Q4601" s="30" t="n">
        <x:f>P4601*N4601</x:f>
        <x:v>0.1629276</x:v>
      </x:c>
      <x:c r="R4601" s="19" t="str">
        <x:v>独立判定</x:v>
      </x:c>
    </x:row>
    <x:row r="4602" ht="19" customHeight="1">
      <x:c r="A4602" s="19" t="str">
        <x:v>D04598</x:v>
      </x:c>
      <x:c r="B4602" s="19" t="n">
        <x:v>9</x:v>
      </x:c>
      <x:c r="C4602" s="19" t="n">
        <x:v>5</x:v>
      </x:c>
      <x:c r="D4602" s="19" t="str">
        <x:v>C09-M060</x:v>
      </x:c>
      <x:c r="E4602" s="19" t="str">
        <x:v>王门执宪者·赫桑达</x:v>
      </x:c>
      <x:c r="F4602" s="19" t="str">
        <x:v>地图BOSS</x:v>
      </x:c>
      <x:c r="G4602" s="19" t="str">
        <x:v>材料独立候选</x:v>
      </x:c>
      <x:c r="H4602" s="19" t="str">
        <x:v>宁姆格福誓页</x:v>
      </x:c>
      <x:c r="I4602" s="22" t="n">
        <x:v>1000</x:v>
      </x:c>
      <x:c r="J4602" s="22" t="n">
        <x:v>1</x:v>
      </x:c>
      <x:c r="K4602" s="19" t="n">
        <x:v>1</x:v>
      </x:c>
      <x:c r="L4602" s="24" t="n">
        <x:v>74.05799999999999</x:v>
      </x:c>
      <x:c r="M4602" s="26" t="n">
        <x:v>0.1</x:v>
      </x:c>
      <x:c r="N4602" s="24" t="n">
        <x:v>2</x:v>
      </x:c>
      <x:c r="O4602" s="28" t="n">
        <x:f>MIN(1,L4602/I4602)</x:f>
        <x:v>0.074058</x:v>
      </x:c>
      <x:c r="P4602" s="30" t="n">
        <x:f>O4602*J4602*(1+M4602)</x:f>
        <x:v>0.0814638</x:v>
      </x:c>
      <x:c r="Q4602" s="30" t="n">
        <x:f>P4602*N4602</x:f>
        <x:v>0.1629276</x:v>
      </x:c>
      <x:c r="R4602" s="19" t="str">
        <x:v>独立判定</x:v>
      </x:c>
    </x:row>
    <x:row r="4603" ht="19" customHeight="1">
      <x:c r="A4603" s="19" t="str">
        <x:v>D04599</x:v>
      </x:c>
      <x:c r="B4603" s="19" t="n">
        <x:v>9</x:v>
      </x:c>
      <x:c r="C4603" s="19" t="n">
        <x:v>5</x:v>
      </x:c>
      <x:c r="D4603" s="19" t="str">
        <x:v>C09-M060</x:v>
      </x:c>
      <x:c r="E4603" s="19" t="str">
        <x:v>王门执宪者·赫桑达</x:v>
      </x:c>
      <x:c r="F4603" s="19" t="str">
        <x:v>地图BOSS</x:v>
      </x:c>
      <x:c r="G4603" s="19" t="str">
        <x:v>材料独立候选</x:v>
      </x:c>
      <x:c r="H4603" s="19" t="str">
        <x:v>小卢恩</x:v>
      </x:c>
      <x:c r="I4603" s="22" t="n">
        <x:v>8000</x:v>
      </x:c>
      <x:c r="J4603" s="22" t="n">
        <x:v>1</x:v>
      </x:c>
      <x:c r="K4603" s="19" t="n">
        <x:v>1</x:v>
      </x:c>
      <x:c r="L4603" s="24" t="n">
        <x:v>74.05799999999999</x:v>
      </x:c>
      <x:c r="M4603" s="26" t="n">
        <x:v>0.1</x:v>
      </x:c>
      <x:c r="N4603" s="24" t="n">
        <x:v>2</x:v>
      </x:c>
      <x:c r="O4603" s="28" t="n">
        <x:f>MIN(1,L4603/I4603)</x:f>
        <x:v>0.00925725</x:v>
      </x:c>
      <x:c r="P4603" s="30" t="n">
        <x:f>O4603*J4603*(1+M4603)</x:f>
        <x:v>0.010182975</x:v>
      </x:c>
      <x:c r="Q4603" s="30" t="n">
        <x:f>P4603*N4603</x:f>
        <x:v>0.02036595</x:v>
      </x:c>
      <x:c r="R4603" s="19" t="str">
        <x:v>独立判定</x:v>
      </x:c>
    </x:row>
    <x:row r="4604" ht="19" customHeight="1">
      <x:c r="A4604" s="19" t="str">
        <x:v>D04600</x:v>
      </x:c>
      <x:c r="B4604" s="19" t="n">
        <x:v>9</x:v>
      </x:c>
      <x:c r="C4604" s="19" t="n">
        <x:v>5</x:v>
      </x:c>
      <x:c r="D4604" s="19" t="str">
        <x:v>C09-M060</x:v>
      </x:c>
      <x:c r="E4604" s="19" t="str">
        <x:v>王门执宪者·赫桑达</x:v>
      </x:c>
      <x:c r="F4604" s="19" t="str">
        <x:v>地图BOSS</x:v>
      </x:c>
      <x:c r="G4604" s="19" t="str">
        <x:v>材料独立候选</x:v>
      </x:c>
      <x:c r="H4604" s="19" t="str">
        <x:v>大卢恩</x:v>
      </x:c>
      <x:c r="I4604" s="22" t="n">
        <x:v>600</x:v>
      </x:c>
      <x:c r="J4604" s="22" t="n">
        <x:v>1</x:v>
      </x:c>
      <x:c r="K4604" s="19" t="n">
        <x:v>1</x:v>
      </x:c>
      <x:c r="L4604" s="24" t="n">
        <x:v>74.05799999999999</x:v>
      </x:c>
      <x:c r="M4604" s="26" t="n">
        <x:v>0.1</x:v>
      </x:c>
      <x:c r="N4604" s="24" t="n">
        <x:v>2</x:v>
      </x:c>
      <x:c r="O4604" s="28" t="n">
        <x:f>MIN(1,L4604/I4604)</x:f>
        <x:v>0.12342999999999998</x:v>
      </x:c>
      <x:c r="P4604" s="30" t="n">
        <x:f>O4604*J4604*(1+M4604)</x:f>
        <x:v>0.135773</x:v>
      </x:c>
      <x:c r="Q4604" s="30" t="n">
        <x:f>P4604*N4604</x:f>
        <x:v>0.271546</x:v>
      </x:c>
      <x:c r="R4604" s="19" t="str">
        <x:v>独立判定</x:v>
      </x:c>
    </x:row>
    <x:row r="4605" ht="19" customHeight="1">
      <x:c r="A4605" s="19" t="str">
        <x:v>D04601</x:v>
      </x:c>
      <x:c r="B4605" s="19" t="n">
        <x:v>9</x:v>
      </x:c>
      <x:c r="C4605" s="19" t="n">
        <x:v>5</x:v>
      </x:c>
      <x:c r="D4605" s="19" t="str">
        <x:v>C09-M060</x:v>
      </x:c>
      <x:c r="E4605" s="19" t="str">
        <x:v>王门执宪者·赫桑达</x:v>
      </x:c>
      <x:c r="F4605" s="19" t="str">
        <x:v>地图BOSS</x:v>
      </x:c>
      <x:c r="G4605" s="19" t="str">
        <x:v>材料独立候选</x:v>
      </x:c>
      <x:c r="H4605" s="19" t="str">
        <x:v>巨人熔火卢恩</x:v>
      </x:c>
      <x:c r="I4605" s="22" t="n">
        <x:v>1000</x:v>
      </x:c>
      <x:c r="J4605" s="22" t="n">
        <x:v>1</x:v>
      </x:c>
      <x:c r="K4605" s="19" t="n">
        <x:v>1</x:v>
      </x:c>
      <x:c r="L4605" s="24" t="n">
        <x:v>74.05799999999999</x:v>
      </x:c>
      <x:c r="M4605" s="26" t="n">
        <x:v>0.1</x:v>
      </x:c>
      <x:c r="N4605" s="24" t="n">
        <x:v>2</x:v>
      </x:c>
      <x:c r="O4605" s="28" t="n">
        <x:f>MIN(1,L4605/I4605)</x:f>
        <x:v>0.074058</x:v>
      </x:c>
      <x:c r="P4605" s="30" t="n">
        <x:f>O4605*J4605*(1+M4605)</x:f>
        <x:v>0.0814638</x:v>
      </x:c>
      <x:c r="Q4605" s="30" t="n">
        <x:f>P4605*N4605</x:f>
        <x:v>0.1629276</x:v>
      </x:c>
      <x:c r="R4605" s="19" t="str">
        <x:v>独立判定</x:v>
      </x:c>
    </x:row>
    <x:row r="4606" ht="19" customHeight="1">
      <x:c r="A4606" s="19" t="str">
        <x:v>D04602</x:v>
      </x:c>
      <x:c r="B4606" s="19" t="n">
        <x:v>9</x:v>
      </x:c>
      <x:c r="C4606" s="19" t="n">
        <x:v>5</x:v>
      </x:c>
      <x:c r="D4606" s="19" t="str">
        <x:v>C09-M060</x:v>
      </x:c>
      <x:c r="E4606" s="19" t="str">
        <x:v>王门执宪者·赫桑达</x:v>
      </x:c>
      <x:c r="F4606" s="19" t="str">
        <x:v>地图BOSS</x:v>
      </x:c>
      <x:c r="G4606" s="19" t="str">
        <x:v>六神器公共池</x:v>
      </x:c>
      <x:c r="H4606" s="19" t="str">
        <x:v>POOL006</x:v>
      </x:c>
      <x:c r="I4606" s="22" t="n">
        <x:v>200000</x:v>
      </x:c>
      <x:c r="J4606" s="22" t="n">
        <x:v>1</x:v>
      </x:c>
      <x:c r="K4606" s="19" t="n">
        <x:v>6</x:v>
      </x:c>
      <x:c r="L4606" s="24" t="n">
        <x:v>74.05799999999999</x:v>
      </x:c>
      <x:c r="M4606" s="26" t="n">
        <x:v>0.1</x:v>
      </x:c>
      <x:c r="N4606" s="24" t="n">
        <x:v>2</x:v>
      </x:c>
      <x:c r="O4606" s="28" t="n">
        <x:f>MIN(1,L4606/I4606)</x:f>
        <x:v>0.00037028999999999995</x:v>
      </x:c>
      <x:c r="P4606" s="30" t="n">
        <x:f>O4606*J4606*(1+M4606)</x:f>
        <x:v>0.000407319</x:v>
      </x:c>
      <x:c r="Q4606" s="30" t="n">
        <x:f>P4606*N4606</x:f>
        <x:v>0.000814638</x:v>
      </x:c>
      <x:c r="R4606" s="19" t="str">
        <x:v>六选一；非6个独立爆率</x:v>
      </x:c>
    </x:row>
    <x:row r="4607" ht="19" customHeight="1">
      <x:c r="A4607" s="19" t="str">
        <x:v>D04603</x:v>
      </x:c>
      <x:c r="B4607" s="19" t="n">
        <x:v>9</x:v>
      </x:c>
      <x:c r="C4607" s="19" t="n">
        <x:v>5</x:v>
      </x:c>
      <x:c r="D4607" s="19" t="str">
        <x:v>C09-M061</x:v>
      </x:c>
      <x:c r="E4607" s="19" t="str">
        <x:v>鎏日王城之影·阿尔维萨</x:v>
      </x:c>
      <x:c r="F4607" s="19" t="str">
        <x:v>守关BOSS</x:v>
      </x:c>
      <x:c r="G4607" s="19" t="str">
        <x:v>自身专属</x:v>
      </x:c>
      <x:c r="H4607" s="19" t="str">
        <x:v>阿尔维萨蚀日王刃</x:v>
      </x:c>
      <x:c r="I4607" s="22" t="n">
        <x:v>250</x:v>
      </x:c>
      <x:c r="J4607" s="22" t="n">
        <x:v>1</x:v>
      </x:c>
      <x:c r="K4607" s="19" t="n">
        <x:v>1</x:v>
      </x:c>
      <x:c r="L4607" s="24" t="n">
        <x:v>74.05799999999999</x:v>
      </x:c>
      <x:c r="M4607" s="26" t="n">
        <x:v>0.1</x:v>
      </x:c>
      <x:c r="N4607" s="24" t="n">
        <x:v>0</x:v>
      </x:c>
      <x:c r="O4607" s="28" t="n">
        <x:f>MIN(1,L4607/I4607)</x:f>
        <x:v>0.296232</x:v>
      </x:c>
      <x:c r="P4607" s="30" t="n">
        <x:f>O4607*J4607*(1+M4607)</x:f>
        <x:v>0.3258552</x:v>
      </x:c>
      <x:c r="Q4607" s="30" t="n">
        <x:f>P4607*N4607</x:f>
        <x:v>0</x:v>
      </x:c>
      <x:c r="R4607" s="19" t="str">
        <x:v>独立判定</x:v>
      </x:c>
    </x:row>
    <x:row r="4608" ht="19" customHeight="1">
      <x:c r="A4608" s="19" t="str">
        <x:v>D04604</x:v>
      </x:c>
      <x:c r="B4608" s="19" t="n">
        <x:v>9</x:v>
      </x:c>
      <x:c r="C4608" s="19" t="n">
        <x:v>5</x:v>
      </x:c>
      <x:c r="D4608" s="19" t="str">
        <x:v>C09-M061</x:v>
      </x:c>
      <x:c r="E4608" s="19" t="str">
        <x:v>鎏日王城之影·阿尔维萨</x:v>
      </x:c>
      <x:c r="F4608" s="19" t="str">
        <x:v>守关BOSS</x:v>
      </x:c>
      <x:c r="G4608" s="19" t="str">
        <x:v>自身专属</x:v>
      </x:c>
      <x:c r="H4608" s="19" t="str">
        <x:v>裁阳仪刃</x:v>
      </x:c>
      <x:c r="I4608" s="22" t="n">
        <x:v>250</x:v>
      </x:c>
      <x:c r="J4608" s="22" t="n">
        <x:v>1</x:v>
      </x:c>
      <x:c r="K4608" s="19" t="n">
        <x:v>1</x:v>
      </x:c>
      <x:c r="L4608" s="24" t="n">
        <x:v>74.05799999999999</x:v>
      </x:c>
      <x:c r="M4608" s="26" t="n">
        <x:v>0.1</x:v>
      </x:c>
      <x:c r="N4608" s="24" t="n">
        <x:v>0</x:v>
      </x:c>
      <x:c r="O4608" s="28" t="n">
        <x:f>MIN(1,L4608/I4608)</x:f>
        <x:v>0.296232</x:v>
      </x:c>
      <x:c r="P4608" s="30" t="n">
        <x:f>O4608*J4608*(1+M4608)</x:f>
        <x:v>0.3258552</x:v>
      </x:c>
      <x:c r="Q4608" s="30" t="n">
        <x:f>P4608*N4608</x:f>
        <x:v>0</x:v>
      </x:c>
      <x:c r="R4608" s="19" t="str">
        <x:v>独立判定</x:v>
      </x:c>
    </x:row>
    <x:row r="4609" ht="19" customHeight="1">
      <x:c r="A4609" s="19" t="str">
        <x:v>D04605</x:v>
      </x:c>
      <x:c r="B4609" s="19" t="n">
        <x:v>9</x:v>
      </x:c>
      <x:c r="C4609" s="19" t="n">
        <x:v>5</x:v>
      </x:c>
      <x:c r="D4609" s="19" t="str">
        <x:v>C09-M061</x:v>
      </x:c>
      <x:c r="E4609" s="19" t="str">
        <x:v>鎏日王城之影·阿尔维萨</x:v>
      </x:c>
      <x:c r="F4609" s="19" t="str">
        <x:v>守关BOSS</x:v>
      </x:c>
      <x:c r="G4609" s="19" t="str">
        <x:v>自身专属</x:v>
      </x:c>
      <x:c r="H4609" s="19" t="str">
        <x:v>鎏叶王袍</x:v>
      </x:c>
      <x:c r="I4609" s="22" t="n">
        <x:v>250</x:v>
      </x:c>
      <x:c r="J4609" s="22" t="n">
        <x:v>1</x:v>
      </x:c>
      <x:c r="K4609" s="19" t="n">
        <x:v>1</x:v>
      </x:c>
      <x:c r="L4609" s="24" t="n">
        <x:v>74.05799999999999</x:v>
      </x:c>
      <x:c r="M4609" s="26" t="n">
        <x:v>0.1</x:v>
      </x:c>
      <x:c r="N4609" s="24" t="n">
        <x:v>0</x:v>
      </x:c>
      <x:c r="O4609" s="28" t="n">
        <x:f>MIN(1,L4609/I4609)</x:f>
        <x:v>0.296232</x:v>
      </x:c>
      <x:c r="P4609" s="30" t="n">
        <x:f>O4609*J4609*(1+M4609)</x:f>
        <x:v>0.3258552</x:v>
      </x:c>
      <x:c r="Q4609" s="30" t="n">
        <x:f>P4609*N4609</x:f>
        <x:v>0</x:v>
      </x:c>
      <x:c r="R4609" s="19" t="str">
        <x:v>独立判定</x:v>
      </x:c>
    </x:row>
    <x:row r="4610" ht="19" customHeight="1">
      <x:c r="A4610" s="19" t="str">
        <x:v>D04606</x:v>
      </x:c>
      <x:c r="B4610" s="19" t="n">
        <x:v>9</x:v>
      </x:c>
      <x:c r="C4610" s="19" t="n">
        <x:v>5</x:v>
      </x:c>
      <x:c r="D4610" s="19" t="str">
        <x:v>C09-M061</x:v>
      </x:c>
      <x:c r="E4610" s="19" t="str">
        <x:v>鎏日王城之影·阿尔维萨</x:v>
      </x:c>
      <x:c r="F4610" s="19" t="str">
        <x:v>守关BOSS</x:v>
      </x:c>
      <x:c r="G4610" s="19" t="str">
        <x:v>本图普通兼掉候选</x:v>
      </x:c>
      <x:c r="H4610" s="19" t="str">
        <x:v>POOL077</x:v>
      </x:c>
      <x:c r="I4610" s="22" t="n">
        <x:v>180</x:v>
      </x:c>
      <x:c r="J4610" s="22" t="n">
        <x:v>1</x:v>
      </x:c>
      <x:c r="K4610" s="19" t="n">
        <x:v>1</x:v>
      </x:c>
      <x:c r="L4610" s="24" t="n">
        <x:v>74.05799999999999</x:v>
      </x:c>
      <x:c r="M4610" s="26" t="n">
        <x:v>0.1</x:v>
      </x:c>
      <x:c r="N4610" s="24" t="n">
        <x:v>0</x:v>
      </x:c>
      <x:c r="O4610" s="28" t="n">
        <x:f>MIN(1,L4610/I4610)</x:f>
        <x:v>0.4114333333333333</x:v>
      </x:c>
      <x:c r="P4610" s="30" t="n">
        <x:f>O4610*J4610*(1+M4610)</x:f>
        <x:v>0.4525766666666667</x:v>
      </x:c>
      <x:c r="Q4610" s="30" t="n">
        <x:f>P4610*N4610</x:f>
        <x:v>0</x:v>
      </x:c>
      <x:c r="R4610" s="19" t="str">
        <x:v>单池选一</x:v>
      </x:c>
    </x:row>
    <x:row r="4611" ht="19" customHeight="1">
      <x:c r="A4611" s="19" t="str">
        <x:v>D04607</x:v>
      </x:c>
      <x:c r="B4611" s="19" t="n">
        <x:v>9</x:v>
      </x:c>
      <x:c r="C4611" s="19" t="n">
        <x:v>5</x:v>
      </x:c>
      <x:c r="D4611" s="19" t="str">
        <x:v>C09-M061</x:v>
      </x:c>
      <x:c r="E4611" s="19" t="str">
        <x:v>鎏日王城之影·阿尔维萨</x:v>
      </x:c>
      <x:c r="F4611" s="19" t="str">
        <x:v>守关BOSS</x:v>
      </x:c>
      <x:c r="G4611" s="19" t="str">
        <x:v>材料独立候选</x:v>
      </x:c>
      <x:c r="H4611" s="19" t="str">
        <x:v>黄金叶脉</x:v>
      </x:c>
      <x:c r="I4611" s="22" t="n">
        <x:v>1</x:v>
      </x:c>
      <x:c r="J4611" s="22" t="n">
        <x:v>40</x:v>
      </x:c>
      <x:c r="K4611" s="19" t="n">
        <x:v>1</x:v>
      </x:c>
      <x:c r="L4611" s="24" t="n">
        <x:v>74.05799999999999</x:v>
      </x:c>
      <x:c r="M4611" s="26" t="n">
        <x:v>0.1</x:v>
      </x:c>
      <x:c r="N4611" s="24" t="n">
        <x:v>0</x:v>
      </x:c>
      <x:c r="O4611" s="28" t="n">
        <x:f>MIN(1,L4611/I4611)</x:f>
        <x:v>1</x:v>
      </x:c>
      <x:c r="P4611" s="30" t="n">
        <x:f>O4611*J4611*(1+M4611)</x:f>
        <x:v>44</x:v>
      </x:c>
      <x:c r="Q4611" s="30" t="n">
        <x:f>P4611*N4611</x:f>
        <x:v>0</x:v>
      </x:c>
      <x:c r="R4611" s="19" t="str">
        <x:v>独立判定</x:v>
      </x:c>
    </x:row>
    <x:row r="4612" ht="19" customHeight="1">
      <x:c r="A4612" s="19" t="str">
        <x:v>D04608</x:v>
      </x:c>
      <x:c r="B4612" s="19" t="n">
        <x:v>9</x:v>
      </x:c>
      <x:c r="C4612" s="19" t="n">
        <x:v>5</x:v>
      </x:c>
      <x:c r="D4612" s="19" t="str">
        <x:v>C09-M061</x:v>
      </x:c>
      <x:c r="E4612" s="19" t="str">
        <x:v>鎏日王城之影·阿尔维萨</x:v>
      </x:c>
      <x:c r="F4612" s="19" t="str">
        <x:v>守关BOSS</x:v>
      </x:c>
      <x:c r="G4612" s="19" t="str">
        <x:v>材料独立候选</x:v>
      </x:c>
      <x:c r="H4612" s="19" t="str">
        <x:v>古王律页</x:v>
      </x:c>
      <x:c r="I4612" s="22" t="n">
        <x:v>1</x:v>
      </x:c>
      <x:c r="J4612" s="22" t="n">
        <x:v>1</x:v>
      </x:c>
      <x:c r="K4612" s="19" t="n">
        <x:v>1</x:v>
      </x:c>
      <x:c r="L4612" s="24" t="n">
        <x:v>74.05799999999999</x:v>
      </x:c>
      <x:c r="M4612" s="26" t="n">
        <x:v>0.1</x:v>
      </x:c>
      <x:c r="N4612" s="24" t="n">
        <x:v>0</x:v>
      </x:c>
      <x:c r="O4612" s="28" t="n">
        <x:f>MIN(1,L4612/I4612)</x:f>
        <x:v>1</x:v>
      </x:c>
      <x:c r="P4612" s="30" t="n">
        <x:f>O4612*J4612*(1+M4612)</x:f>
        <x:v>1.1</x:v>
      </x:c>
      <x:c r="Q4612" s="30" t="n">
        <x:f>P4612*N4612</x:f>
        <x:v>0</x:v>
      </x:c>
      <x:c r="R4612" s="19" t="str">
        <x:v>独立判定</x:v>
      </x:c>
    </x:row>
    <x:row r="4613" ht="19" customHeight="1">
      <x:c r="A4613" s="19" t="str">
        <x:v>D04609</x:v>
      </x:c>
      <x:c r="B4613" s="19" t="n">
        <x:v>9</x:v>
      </x:c>
      <x:c r="C4613" s="19" t="n">
        <x:v>5</x:v>
      </x:c>
      <x:c r="D4613" s="19" t="str">
        <x:v>C09-M061</x:v>
      </x:c>
      <x:c r="E4613" s="19" t="str">
        <x:v>鎏日王城之影·阿尔维萨</x:v>
      </x:c>
      <x:c r="F4613" s="19" t="str">
        <x:v>守关BOSS</x:v>
      </x:c>
      <x:c r="G4613" s="19" t="str">
        <x:v>材料独立候选</x:v>
      </x:c>
      <x:c r="H4613" s="19" t="str">
        <x:v>黄金律印</x:v>
      </x:c>
      <x:c r="I4613" s="22" t="n">
        <x:v>1</x:v>
      </x:c>
      <x:c r="J4613" s="22" t="n">
        <x:v>1</x:v>
      </x:c>
      <x:c r="K4613" s="19" t="n">
        <x:v>1</x:v>
      </x:c>
      <x:c r="L4613" s="24" t="n">
        <x:v>74.05799999999999</x:v>
      </x:c>
      <x:c r="M4613" s="26" t="n">
        <x:v>0.1</x:v>
      </x:c>
      <x:c r="N4613" s="24" t="n">
        <x:v>0</x:v>
      </x:c>
      <x:c r="O4613" s="28" t="n">
        <x:f>MIN(1,L4613/I4613)</x:f>
        <x:v>1</x:v>
      </x:c>
      <x:c r="P4613" s="30" t="n">
        <x:f>O4613*J4613*(1+M4613)</x:f>
        <x:v>1.1</x:v>
      </x:c>
      <x:c r="Q4613" s="30" t="n">
        <x:f>P4613*N4613</x:f>
        <x:v>0</x:v>
      </x:c>
      <x:c r="R4613" s="19" t="str">
        <x:v>独立判定</x:v>
      </x:c>
    </x:row>
    <x:row r="4614" ht="19" customHeight="1">
      <x:c r="A4614" s="19" t="str">
        <x:v>D04610</x:v>
      </x:c>
      <x:c r="B4614" s="19" t="n">
        <x:v>9</x:v>
      </x:c>
      <x:c r="C4614" s="19" t="n">
        <x:v>5</x:v>
      </x:c>
      <x:c r="D4614" s="19" t="str">
        <x:v>C09-M061</x:v>
      </x:c>
      <x:c r="E4614" s="19" t="str">
        <x:v>鎏日王城之影·阿尔维萨</x:v>
      </x:c>
      <x:c r="F4614" s="19" t="str">
        <x:v>守关BOSS</x:v>
      </x:c>
      <x:c r="G4614" s="19" t="str">
        <x:v>材料独立候选</x:v>
      </x:c>
      <x:c r="H4614" s="19" t="str">
        <x:v>高原王诏金版</x:v>
      </x:c>
      <x:c r="I4614" s="22" t="n">
        <x:v>1</x:v>
      </x:c>
      <x:c r="J4614" s="22" t="n">
        <x:v>1</x:v>
      </x:c>
      <x:c r="K4614" s="19" t="n">
        <x:v>1</x:v>
      </x:c>
      <x:c r="L4614" s="24" t="n">
        <x:v>74.05799999999999</x:v>
      </x:c>
      <x:c r="M4614" s="26" t="n">
        <x:v>0.1</x:v>
      </x:c>
      <x:c r="N4614" s="24" t="n">
        <x:v>0</x:v>
      </x:c>
      <x:c r="O4614" s="28" t="n">
        <x:f>MIN(1,L4614/I4614)</x:f>
        <x:v>1</x:v>
      </x:c>
      <x:c r="P4614" s="30" t="n">
        <x:f>O4614*J4614*(1+M4614)</x:f>
        <x:v>1.1</x:v>
      </x:c>
      <x:c r="Q4614" s="30" t="n">
        <x:f>P4614*N4614</x:f>
        <x:v>0</x:v>
      </x:c>
      <x:c r="R4614" s="19" t="str">
        <x:v>独立判定</x:v>
      </x:c>
    </x:row>
    <x:row r="4615" ht="19" customHeight="1">
      <x:c r="A4615" s="19" t="str">
        <x:v>D04611</x:v>
      </x:c>
      <x:c r="B4615" s="19" t="n">
        <x:v>9</x:v>
      </x:c>
      <x:c r="C4615" s="19" t="n">
        <x:v>5</x:v>
      </x:c>
      <x:c r="D4615" s="19" t="str">
        <x:v>C09-M061</x:v>
      </x:c>
      <x:c r="E4615" s="19" t="str">
        <x:v>鎏日王城之影·阿尔维萨</x:v>
      </x:c>
      <x:c r="F4615" s="19" t="str">
        <x:v>守关BOSS</x:v>
      </x:c>
      <x:c r="G4615" s="19" t="str">
        <x:v>材料独立候选</x:v>
      </x:c>
      <x:c r="H4615" s="19" t="str">
        <x:v>古坛鎏叶髓</x:v>
      </x:c>
      <x:c r="I4615" s="22" t="n">
        <x:v>18000</x:v>
      </x:c>
      <x:c r="J4615" s="22" t="n">
        <x:v>1</x:v>
      </x:c>
      <x:c r="K4615" s="19" t="n">
        <x:v>1</x:v>
      </x:c>
      <x:c r="L4615" s="24" t="n">
        <x:v>74.05799999999999</x:v>
      </x:c>
      <x:c r="M4615" s="26" t="n">
        <x:v>0.1</x:v>
      </x:c>
      <x:c r="N4615" s="24" t="n">
        <x:v>0</x:v>
      </x:c>
      <x:c r="O4615" s="28" t="n">
        <x:f>MIN(1,L4615/I4615)</x:f>
        <x:v>0.004114333333333333</x:v>
      </x:c>
      <x:c r="P4615" s="30" t="n">
        <x:f>O4615*J4615*(1+M4615)</x:f>
        <x:v>0.004525766666666666</x:v>
      </x:c>
      <x:c r="Q4615" s="30" t="n">
        <x:f>P4615*N4615</x:f>
        <x:v>0</x:v>
      </x:c>
      <x:c r="R4615" s="19" t="str">
        <x:v>独立判定</x:v>
      </x:c>
    </x:row>
    <x:row r="4616" ht="19" customHeight="1">
      <x:c r="A4616" s="19" t="str">
        <x:v>D04612</x:v>
      </x:c>
      <x:c r="B4616" s="19" t="n">
        <x:v>9</x:v>
      </x:c>
      <x:c r="C4616" s="19" t="n">
        <x:v>5</x:v>
      </x:c>
      <x:c r="D4616" s="19" t="str">
        <x:v>C09-M061</x:v>
      </x:c>
      <x:c r="E4616" s="19" t="str">
        <x:v>鎏日王城之影·阿尔维萨</x:v>
      </x:c>
      <x:c r="F4616" s="19" t="str">
        <x:v>守关BOSS</x:v>
      </x:c>
      <x:c r="G4616" s="19" t="str">
        <x:v>材料独立候选</x:v>
      </x:c>
      <x:c r="H4616" s="19" t="str">
        <x:v>黄金树芽</x:v>
      </x:c>
      <x:c r="I4616" s="22" t="n">
        <x:v>1</x:v>
      </x:c>
      <x:c r="J4616" s="22" t="n">
        <x:v>1</x:v>
      </x:c>
      <x:c r="K4616" s="19" t="n">
        <x:v>1</x:v>
      </x:c>
      <x:c r="L4616" s="24" t="n">
        <x:v>74.05799999999999</x:v>
      </x:c>
      <x:c r="M4616" s="26" t="n">
        <x:v>0.1</x:v>
      </x:c>
      <x:c r="N4616" s="24" t="n">
        <x:v>0</x:v>
      </x:c>
      <x:c r="O4616" s="28" t="n">
        <x:f>MIN(1,L4616/I4616)</x:f>
        <x:v>1</x:v>
      </x:c>
      <x:c r="P4616" s="30" t="n">
        <x:f>O4616*J4616*(1+M4616)</x:f>
        <x:v>1.1</x:v>
      </x:c>
      <x:c r="Q4616" s="30" t="n">
        <x:f>P4616*N4616</x:f>
        <x:v>0</x:v>
      </x:c>
      <x:c r="R4616" s="19" t="str">
        <x:v>独立判定</x:v>
      </x:c>
    </x:row>
    <x:row r="4617" ht="19" customHeight="1">
      <x:c r="A4617" s="19" t="str">
        <x:v>D04613</x:v>
      </x:c>
      <x:c r="B4617" s="19" t="n">
        <x:v>9</x:v>
      </x:c>
      <x:c r="C4617" s="19" t="n">
        <x:v>5</x:v>
      </x:c>
      <x:c r="D4617" s="19" t="str">
        <x:v>C09-M061</x:v>
      </x:c>
      <x:c r="E4617" s="19" t="str">
        <x:v>鎏日王城之影·阿尔维萨</x:v>
      </x:c>
      <x:c r="F4617" s="19" t="str">
        <x:v>守关BOSS</x:v>
      </x:c>
      <x:c r="G4617" s="19" t="str">
        <x:v>六神器公共池</x:v>
      </x:c>
      <x:c r="H4617" s="19" t="str">
        <x:v>POOL006</x:v>
      </x:c>
      <x:c r="I4617" s="22" t="n">
        <x:v>40000</x:v>
      </x:c>
      <x:c r="J4617" s="22" t="n">
        <x:v>1</x:v>
      </x:c>
      <x:c r="K4617" s="19" t="n">
        <x:v>6</x:v>
      </x:c>
      <x:c r="L4617" s="24" t="n">
        <x:v>74.05799999999999</x:v>
      </x:c>
      <x:c r="M4617" s="26" t="n">
        <x:v>0.1</x:v>
      </x:c>
      <x:c r="N4617" s="24" t="n">
        <x:v>0</x:v>
      </x:c>
      <x:c r="O4617" s="28" t="n">
        <x:f>MIN(1,L4617/I4617)</x:f>
        <x:v>0.0018514499999999997</x:v>
      </x:c>
      <x:c r="P4617" s="30" t="n">
        <x:f>O4617*J4617*(1+M4617)</x:f>
        <x:v>0.002036595</x:v>
      </x:c>
      <x:c r="Q4617" s="30" t="n">
        <x:f>P4617*N4617</x:f>
        <x:v>0</x:v>
      </x:c>
      <x:c r="R4617" s="19" t="str">
        <x:v>六选一；非6个独立爆率</x:v>
      </x:c>
    </x:row>
    <x:row r="4618" ht="19" customHeight="1">
      <x:c r="A4618" s="19" t="str">
        <x:v>D04614</x:v>
      </x:c>
      <x:c r="B4618" s="19" t="n">
        <x:v>10</x:v>
      </x:c>
      <x:c r="C4618" s="19" t="n">
        <x:v>1</x:v>
      </x:c>
      <x:c r="D4618" s="19" t="str">
        <x:v>C10-M001</x:v>
      </x:c>
      <x:c r="E4618" s="19" t="str">
        <x:v>檐沟拾烬徒</x:v>
      </x:c>
      <x:c r="F4618" s="19" t="str">
        <x:v>普通</x:v>
      </x:c>
      <x:c r="G4618" s="19" t="str">
        <x:v>自身专属</x:v>
      </x:c>
      <x:c r="H4618" s="19" t="str">
        <x:v>拾烬钩刃</x:v>
      </x:c>
      <x:c r="I4618" s="22" t="n">
        <x:v>10000</x:v>
      </x:c>
      <x:c r="J4618" s="22" t="n">
        <x:v>1</x:v>
      </x:c>
      <x:c r="K4618" s="19" t="n">
        <x:v>1</x:v>
      </x:c>
      <x:c r="L4618" s="24" t="n">
        <x:v>86.8</x:v>
      </x:c>
      <x:c r="M4618" s="26" t="n">
        <x:v>0.1</x:v>
      </x:c>
      <x:c r="N4618" s="24" t="n">
        <x:v>72</x:v>
      </x:c>
      <x:c r="O4618" s="28" t="n">
        <x:f>MIN(1,L4618/I4618)</x:f>
        <x:v>0.00868</x:v>
      </x:c>
      <x:c r="P4618" s="30" t="n">
        <x:f>O4618*J4618*(1+M4618)</x:f>
        <x:v>0.009548000000000001</x:v>
      </x:c>
      <x:c r="Q4618" s="30" t="n">
        <x:f>P4618*N4618</x:f>
        <x:v>0.6874560000000001</x:v>
      </x:c>
      <x:c r="R4618" s="19" t="str">
        <x:v>独立判定</x:v>
      </x:c>
    </x:row>
    <x:row r="4619" ht="19" customHeight="1">
      <x:c r="A4619" s="19" t="str">
        <x:v>D04615</x:v>
      </x:c>
      <x:c r="B4619" s="19" t="n">
        <x:v>10</x:v>
      </x:c>
      <x:c r="C4619" s="19" t="n">
        <x:v>1</x:v>
      </x:c>
      <x:c r="D4619" s="19" t="str">
        <x:v>C10-M001</x:v>
      </x:c>
      <x:c r="E4619" s="19" t="str">
        <x:v>檐沟拾烬徒</x:v>
      </x:c>
      <x:c r="F4619" s="19" t="str">
        <x:v>普通</x:v>
      </x:c>
      <x:c r="G4619" s="19" t="str">
        <x:v>材料独立候选</x:v>
      </x:c>
      <x:c r="H4619" s="19" t="str">
        <x:v>王城金屑</x:v>
      </x:c>
      <x:c r="I4619" s="22" t="n">
        <x:v>1800</x:v>
      </x:c>
      <x:c r="J4619" s="22" t="n">
        <x:v>8</x:v>
      </x:c>
      <x:c r="K4619" s="19" t="n">
        <x:v>1</x:v>
      </x:c>
      <x:c r="L4619" s="24" t="n">
        <x:v>86.8</x:v>
      </x:c>
      <x:c r="M4619" s="26" t="n">
        <x:v>0.1</x:v>
      </x:c>
      <x:c r="N4619" s="24" t="n">
        <x:v>72</x:v>
      </x:c>
      <x:c r="O4619" s="28" t="n">
        <x:f>MIN(1,L4619/I4619)</x:f>
        <x:v>0.04822222222222222</x:v>
      </x:c>
      <x:c r="P4619" s="30" t="n">
        <x:f>O4619*J4619*(1+M4619)</x:f>
        <x:v>0.4243555555555556</x:v>
      </x:c>
      <x:c r="Q4619" s="30" t="n">
        <x:f>P4619*N4619</x:f>
        <x:v>30.553600000000003</x:v>
      </x:c>
      <x:c r="R4619" s="19" t="str">
        <x:v>独立判定</x:v>
      </x:c>
    </x:row>
    <x:row r="4620" ht="19" customHeight="1">
      <x:c r="A4620" s="19" t="str">
        <x:v>D04616</x:v>
      </x:c>
      <x:c r="B4620" s="19" t="n">
        <x:v>10</x:v>
      </x:c>
      <x:c r="C4620" s="19" t="n">
        <x:v>1</x:v>
      </x:c>
      <x:c r="D4620" s="19" t="str">
        <x:v>C10-M001</x:v>
      </x:c>
      <x:c r="E4620" s="19" t="str">
        <x:v>檐沟拾烬徒</x:v>
      </x:c>
      <x:c r="F4620" s="19" t="str">
        <x:v>普通</x:v>
      </x:c>
      <x:c r="G4620" s="19" t="str">
        <x:v>材料独立候选</x:v>
      </x:c>
      <x:c r="H4620" s="19" t="str">
        <x:v>无名墓钉</x:v>
      </x:c>
      <x:c r="I4620" s="22" t="n">
        <x:v>2500</x:v>
      </x:c>
      <x:c r="J4620" s="22" t="n">
        <x:v>1</x:v>
      </x:c>
      <x:c r="K4620" s="19" t="n">
        <x:v>1</x:v>
      </x:c>
      <x:c r="L4620" s="24" t="n">
        <x:v>86.8</x:v>
      </x:c>
      <x:c r="M4620" s="26" t="n">
        <x:v>0.1</x:v>
      </x:c>
      <x:c r="N4620" s="24" t="n">
        <x:v>72</x:v>
      </x:c>
      <x:c r="O4620" s="28" t="n">
        <x:f>MIN(1,L4620/I4620)</x:f>
        <x:v>0.03472</x:v>
      </x:c>
      <x:c r="P4620" s="30" t="n">
        <x:f>O4620*J4620*(1+M4620)</x:f>
        <x:v>0.038192000000000004</x:v>
      </x:c>
      <x:c r="Q4620" s="30" t="n">
        <x:f>P4620*N4620</x:f>
        <x:v>2.7498240000000003</x:v>
      </x:c>
      <x:c r="R4620" s="19" t="str">
        <x:v>独立判定</x:v>
      </x:c>
    </x:row>
    <x:row r="4621" ht="19" customHeight="1">
      <x:c r="A4621" s="19" t="str">
        <x:v>D04617</x:v>
      </x:c>
      <x:c r="B4621" s="19" t="n">
        <x:v>10</x:v>
      </x:c>
      <x:c r="C4621" s="19" t="n">
        <x:v>1</x:v>
      </x:c>
      <x:c r="D4621" s="19" t="str">
        <x:v>C10-M001</x:v>
      </x:c>
      <x:c r="E4621" s="19" t="str">
        <x:v>檐沟拾烬徒</x:v>
      </x:c>
      <x:c r="F4621" s="19" t="str">
        <x:v>普通</x:v>
      </x:c>
      <x:c r="G4621" s="19" t="str">
        <x:v>材料独立候选</x:v>
      </x:c>
      <x:c r="H4621" s="19" t="str">
        <x:v>穹律鎏痕拓片</x:v>
      </x:c>
      <x:c r="I4621" s="22" t="n">
        <x:v>4000000</x:v>
      </x:c>
      <x:c r="J4621" s="22" t="n">
        <x:v>1</x:v>
      </x:c>
      <x:c r="K4621" s="19" t="n">
        <x:v>1</x:v>
      </x:c>
      <x:c r="L4621" s="24" t="n">
        <x:v>86.8</x:v>
      </x:c>
      <x:c r="M4621" s="26" t="n">
        <x:v>0.1</x:v>
      </x:c>
      <x:c r="N4621" s="24" t="n">
        <x:v>72</x:v>
      </x:c>
      <x:c r="O4621" s="28" t="n">
        <x:f>MIN(1,L4621/I4621)</x:f>
        <x:v>0.0000217</x:v>
      </x:c>
      <x:c r="P4621" s="30" t="n">
        <x:f>O4621*J4621*(1+M4621)</x:f>
        <x:v>0.00002387</x:v>
      </x:c>
      <x:c r="Q4621" s="30" t="n">
        <x:f>P4621*N4621</x:f>
        <x:v>0.00171864</x:v>
      </x:c>
      <x:c r="R4621" s="19" t="str">
        <x:v>独立判定</x:v>
      </x:c>
    </x:row>
    <x:row r="4622" ht="19" customHeight="1">
      <x:c r="A4622" s="19" t="str">
        <x:v>D04618</x:v>
      </x:c>
      <x:c r="B4622" s="19" t="n">
        <x:v>10</x:v>
      </x:c>
      <x:c r="C4622" s="19" t="n">
        <x:v>1</x:v>
      </x:c>
      <x:c r="D4622" s="19" t="str">
        <x:v>C10-M001</x:v>
      </x:c>
      <x:c r="E4622" s="19" t="str">
        <x:v>檐沟拾烬徒</x:v>
      </x:c>
      <x:c r="F4622" s="19" t="str">
        <x:v>普通</x:v>
      </x:c>
      <x:c r="G4622" s="19" t="str">
        <x:v>材料独立候选</x:v>
      </x:c>
      <x:c r="H4622" s="19" t="str">
        <x:v>野兽骨片</x:v>
      </x:c>
      <x:c r="I4622" s="22" t="n">
        <x:v>500</x:v>
      </x:c>
      <x:c r="J4622" s="22" t="n">
        <x:v>4</x:v>
      </x:c>
      <x:c r="K4622" s="19" t="n">
        <x:v>1</x:v>
      </x:c>
      <x:c r="L4622" s="24" t="n">
        <x:v>86.8</x:v>
      </x:c>
      <x:c r="M4622" s="26" t="n">
        <x:v>0.1</x:v>
      </x:c>
      <x:c r="N4622" s="24" t="n">
        <x:v>72</x:v>
      </x:c>
      <x:c r="O4622" s="28" t="n">
        <x:f>MIN(1,L4622/I4622)</x:f>
        <x:v>0.1736</x:v>
      </x:c>
      <x:c r="P4622" s="30" t="n">
        <x:f>O4622*J4622*(1+M4622)</x:f>
        <x:v>0.7638400000000001</x:v>
      </x:c>
      <x:c r="Q4622" s="30" t="n">
        <x:f>P4622*N4622</x:f>
        <x:v>54.996480000000005</x:v>
      </x:c>
      <x:c r="R4622" s="19" t="str">
        <x:v>独立判定</x:v>
      </x:c>
    </x:row>
    <x:row r="4623" ht="19" customHeight="1">
      <x:c r="A4623" s="19" t="str">
        <x:v>D04619</x:v>
      </x:c>
      <x:c r="B4623" s="19" t="n">
        <x:v>10</x:v>
      </x:c>
      <x:c r="C4623" s="19" t="n">
        <x:v>1</x:v>
      </x:c>
      <x:c r="D4623" s="19" t="str">
        <x:v>C10-M001</x:v>
      </x:c>
      <x:c r="E4623" s="19" t="str">
        <x:v>檐沟拾烬徒</x:v>
      </x:c>
      <x:c r="F4623" s="19" t="str">
        <x:v>普通</x:v>
      </x:c>
      <x:c r="G4623" s="19" t="str">
        <x:v>材料独立候选</x:v>
      </x:c>
      <x:c r="H4623" s="19" t="str">
        <x:v>技能残页</x:v>
      </x:c>
      <x:c r="I4623" s="22" t="n">
        <x:v>4000</x:v>
      </x:c>
      <x:c r="J4623" s="22" t="n">
        <x:v>1</x:v>
      </x:c>
      <x:c r="K4623" s="19" t="n">
        <x:v>1</x:v>
      </x:c>
      <x:c r="L4623" s="24" t="n">
        <x:v>86.8</x:v>
      </x:c>
      <x:c r="M4623" s="26" t="n">
        <x:v>0.1</x:v>
      </x:c>
      <x:c r="N4623" s="24" t="n">
        <x:v>72</x:v>
      </x:c>
      <x:c r="O4623" s="28" t="n">
        <x:f>MIN(1,L4623/I4623)</x:f>
        <x:v>0.0217</x:v>
      </x:c>
      <x:c r="P4623" s="30" t="n">
        <x:f>O4623*J4623*(1+M4623)</x:f>
        <x:v>0.023870000000000002</x:v>
      </x:c>
      <x:c r="Q4623" s="30" t="n">
        <x:f>P4623*N4623</x:f>
        <x:v>1.7186400000000002</x:v>
      </x:c>
      <x:c r="R4623" s="19" t="str">
        <x:v>独立判定</x:v>
      </x:c>
    </x:row>
    <x:row r="4624" ht="19" customHeight="1">
      <x:c r="A4624" s="19" t="str">
        <x:v>D04620</x:v>
      </x:c>
      <x:c r="B4624" s="19" t="n">
        <x:v>10</x:v>
      </x:c>
      <x:c r="C4624" s="19" t="n">
        <x:v>1</x:v>
      </x:c>
      <x:c r="D4624" s="19" t="str">
        <x:v>C10-M001</x:v>
      </x:c>
      <x:c r="E4624" s="19" t="str">
        <x:v>檐沟拾烬徒</x:v>
      </x:c>
      <x:c r="F4624" s="19" t="str">
        <x:v>普通</x:v>
      </x:c>
      <x:c r="G4624" s="19" t="str">
        <x:v>材料独立候选</x:v>
      </x:c>
      <x:c r="H4624" s="19" t="str">
        <x:v>小卢恩</x:v>
      </x:c>
      <x:c r="I4624" s="22" t="n">
        <x:v>25000</x:v>
      </x:c>
      <x:c r="J4624" s="22" t="n">
        <x:v>1</x:v>
      </x:c>
      <x:c r="K4624" s="19" t="n">
        <x:v>1</x:v>
      </x:c>
      <x:c r="L4624" s="24" t="n">
        <x:v>86.8</x:v>
      </x:c>
      <x:c r="M4624" s="26" t="n">
        <x:v>0.1</x:v>
      </x:c>
      <x:c r="N4624" s="24" t="n">
        <x:v>72</x:v>
      </x:c>
      <x:c r="O4624" s="28" t="n">
        <x:f>MIN(1,L4624/I4624)</x:f>
        <x:v>0.003472</x:v>
      </x:c>
      <x:c r="P4624" s="30" t="n">
        <x:f>O4624*J4624*(1+M4624)</x:f>
        <x:v>0.0038192</x:v>
      </x:c>
      <x:c r="Q4624" s="30" t="n">
        <x:f>P4624*N4624</x:f>
        <x:v>0.2749824</x:v>
      </x:c>
      <x:c r="R4624" s="19" t="str">
        <x:v>独立判定</x:v>
      </x:c>
    </x:row>
    <x:row r="4625" ht="19" customHeight="1">
      <x:c r="A4625" s="19" t="str">
        <x:v>D04621</x:v>
      </x:c>
      <x:c r="B4625" s="19" t="n">
        <x:v>10</x:v>
      </x:c>
      <x:c r="C4625" s="19" t="n">
        <x:v>1</x:v>
      </x:c>
      <x:c r="D4625" s="19" t="str">
        <x:v>C10-M001</x:v>
      </x:c>
      <x:c r="E4625" s="19" t="str">
        <x:v>檐沟拾烬徒</x:v>
      </x:c>
      <x:c r="F4625" s="19" t="str">
        <x:v>普通</x:v>
      </x:c>
      <x:c r="G4625" s="19" t="str">
        <x:v>六神器公共池</x:v>
      </x:c>
      <x:c r="H4625" s="19" t="str">
        <x:v>POOL006</x:v>
      </x:c>
      <x:c r="I4625" s="22" t="n">
        <x:v>20000000</x:v>
      </x:c>
      <x:c r="J4625" s="22" t="n">
        <x:v>1</x:v>
      </x:c>
      <x:c r="K4625" s="19" t="n">
        <x:v>6</x:v>
      </x:c>
      <x:c r="L4625" s="24" t="n">
        <x:v>86.8</x:v>
      </x:c>
      <x:c r="M4625" s="26" t="n">
        <x:v>0.1</x:v>
      </x:c>
      <x:c r="N4625" s="24" t="n">
        <x:v>72</x:v>
      </x:c>
      <x:c r="O4625" s="28" t="n">
        <x:f>MIN(1,L4625/I4625)</x:f>
        <x:v>0.00000434</x:v>
      </x:c>
      <x:c r="P4625" s="30" t="n">
        <x:f>O4625*J4625*(1+M4625)</x:f>
        <x:v>0.000004774</x:v>
      </x:c>
      <x:c r="Q4625" s="30" t="n">
        <x:f>P4625*N4625</x:f>
        <x:v>0.000343728</x:v>
      </x:c>
      <x:c r="R4625" s="19" t="str">
        <x:v>六选一；非6个独立爆率</x:v>
      </x:c>
    </x:row>
    <x:row r="4626" ht="19" customHeight="1">
      <x:c r="A4626" s="19" t="str">
        <x:v>D04622</x:v>
      </x:c>
      <x:c r="B4626" s="19" t="n">
        <x:v>10</x:v>
      </x:c>
      <x:c r="C4626" s="19" t="n">
        <x:v>1</x:v>
      </x:c>
      <x:c r="D4626" s="19" t="str">
        <x:v>C10-M002</x:v>
      </x:c>
      <x:c r="E4626" s="19" t="str">
        <x:v>斑墙巡灯卒</x:v>
      </x:c>
      <x:c r="F4626" s="19" t="str">
        <x:v>普通</x:v>
      </x:c>
      <x:c r="G4626" s="19" t="str">
        <x:v>自身专属</x:v>
      </x:c>
      <x:c r="H4626" s="19" t="str">
        <x:v>斑墙巡灯盔</x:v>
      </x:c>
      <x:c r="I4626" s="22" t="n">
        <x:v>10000</x:v>
      </x:c>
      <x:c r="J4626" s="22" t="n">
        <x:v>1</x:v>
      </x:c>
      <x:c r="K4626" s="19" t="n">
        <x:v>1</x:v>
      </x:c>
      <x:c r="L4626" s="24" t="n">
        <x:v>86.8</x:v>
      </x:c>
      <x:c r="M4626" s="26" t="n">
        <x:v>0.1</x:v>
      </x:c>
      <x:c r="N4626" s="24" t="n">
        <x:v>72</x:v>
      </x:c>
      <x:c r="O4626" s="28" t="n">
        <x:f>MIN(1,L4626/I4626)</x:f>
        <x:v>0.00868</x:v>
      </x:c>
      <x:c r="P4626" s="30" t="n">
        <x:f>O4626*J4626*(1+M4626)</x:f>
        <x:v>0.009548000000000001</x:v>
      </x:c>
      <x:c r="Q4626" s="30" t="n">
        <x:f>P4626*N4626</x:f>
        <x:v>0.6874560000000001</x:v>
      </x:c>
      <x:c r="R4626" s="19" t="str">
        <x:v>独立判定</x:v>
      </x:c>
    </x:row>
    <x:row r="4627" ht="19" customHeight="1">
      <x:c r="A4627" s="19" t="str">
        <x:v>D04623</x:v>
      </x:c>
      <x:c r="B4627" s="19" t="n">
        <x:v>10</x:v>
      </x:c>
      <x:c r="C4627" s="19" t="n">
        <x:v>1</x:v>
      </x:c>
      <x:c r="D4627" s="19" t="str">
        <x:v>C10-M002</x:v>
      </x:c>
      <x:c r="E4627" s="19" t="str">
        <x:v>斑墙巡灯卒</x:v>
      </x:c>
      <x:c r="F4627" s="19" t="str">
        <x:v>普通</x:v>
      </x:c>
      <x:c r="G4627" s="19" t="str">
        <x:v>材料独立候选</x:v>
      </x:c>
      <x:c r="H4627" s="19" t="str">
        <x:v>王城金屑</x:v>
      </x:c>
      <x:c r="I4627" s="22" t="n">
        <x:v>1800</x:v>
      </x:c>
      <x:c r="J4627" s="22" t="n">
        <x:v>8</x:v>
      </x:c>
      <x:c r="K4627" s="19" t="n">
        <x:v>1</x:v>
      </x:c>
      <x:c r="L4627" s="24" t="n">
        <x:v>86.8</x:v>
      </x:c>
      <x:c r="M4627" s="26" t="n">
        <x:v>0.1</x:v>
      </x:c>
      <x:c r="N4627" s="24" t="n">
        <x:v>72</x:v>
      </x:c>
      <x:c r="O4627" s="28" t="n">
        <x:f>MIN(1,L4627/I4627)</x:f>
        <x:v>0.04822222222222222</x:v>
      </x:c>
      <x:c r="P4627" s="30" t="n">
        <x:f>O4627*J4627*(1+M4627)</x:f>
        <x:v>0.4243555555555556</x:v>
      </x:c>
      <x:c r="Q4627" s="30" t="n">
        <x:f>P4627*N4627</x:f>
        <x:v>30.553600000000003</x:v>
      </x:c>
      <x:c r="R4627" s="19" t="str">
        <x:v>独立判定</x:v>
      </x:c>
    </x:row>
    <x:row r="4628" ht="19" customHeight="1">
      <x:c r="A4628" s="19" t="str">
        <x:v>D04624</x:v>
      </x:c>
      <x:c r="B4628" s="19" t="n">
        <x:v>10</x:v>
      </x:c>
      <x:c r="C4628" s="19" t="n">
        <x:v>1</x:v>
      </x:c>
      <x:c r="D4628" s="19" t="str">
        <x:v>C10-M002</x:v>
      </x:c>
      <x:c r="E4628" s="19" t="str">
        <x:v>斑墙巡灯卒</x:v>
      </x:c>
      <x:c r="F4628" s="19" t="str">
        <x:v>普通</x:v>
      </x:c>
      <x:c r="G4628" s="19" t="str">
        <x:v>材料独立候选</x:v>
      </x:c>
      <x:c r="H4628" s="19" t="str">
        <x:v>无名墓钉</x:v>
      </x:c>
      <x:c r="I4628" s="22" t="n">
        <x:v>2500</x:v>
      </x:c>
      <x:c r="J4628" s="22" t="n">
        <x:v>1</x:v>
      </x:c>
      <x:c r="K4628" s="19" t="n">
        <x:v>1</x:v>
      </x:c>
      <x:c r="L4628" s="24" t="n">
        <x:v>86.8</x:v>
      </x:c>
      <x:c r="M4628" s="26" t="n">
        <x:v>0.1</x:v>
      </x:c>
      <x:c r="N4628" s="24" t="n">
        <x:v>72</x:v>
      </x:c>
      <x:c r="O4628" s="28" t="n">
        <x:f>MIN(1,L4628/I4628)</x:f>
        <x:v>0.03472</x:v>
      </x:c>
      <x:c r="P4628" s="30" t="n">
        <x:f>O4628*J4628*(1+M4628)</x:f>
        <x:v>0.038192000000000004</x:v>
      </x:c>
      <x:c r="Q4628" s="30" t="n">
        <x:f>P4628*N4628</x:f>
        <x:v>2.7498240000000003</x:v>
      </x:c>
      <x:c r="R4628" s="19" t="str">
        <x:v>独立判定</x:v>
      </x:c>
    </x:row>
    <x:row r="4629" ht="19" customHeight="1">
      <x:c r="A4629" s="19" t="str">
        <x:v>D04625</x:v>
      </x:c>
      <x:c r="B4629" s="19" t="n">
        <x:v>10</x:v>
      </x:c>
      <x:c r="C4629" s="19" t="n">
        <x:v>1</x:v>
      </x:c>
      <x:c r="D4629" s="19" t="str">
        <x:v>C10-M002</x:v>
      </x:c>
      <x:c r="E4629" s="19" t="str">
        <x:v>斑墙巡灯卒</x:v>
      </x:c>
      <x:c r="F4629" s="19" t="str">
        <x:v>普通</x:v>
      </x:c>
      <x:c r="G4629" s="19" t="str">
        <x:v>材料独立候选</x:v>
      </x:c>
      <x:c r="H4629" s="19" t="str">
        <x:v>穹律鎏痕拓片</x:v>
      </x:c>
      <x:c r="I4629" s="22" t="n">
        <x:v>4000000</x:v>
      </x:c>
      <x:c r="J4629" s="22" t="n">
        <x:v>1</x:v>
      </x:c>
      <x:c r="K4629" s="19" t="n">
        <x:v>1</x:v>
      </x:c>
      <x:c r="L4629" s="24" t="n">
        <x:v>86.8</x:v>
      </x:c>
      <x:c r="M4629" s="26" t="n">
        <x:v>0.1</x:v>
      </x:c>
      <x:c r="N4629" s="24" t="n">
        <x:v>72</x:v>
      </x:c>
      <x:c r="O4629" s="28" t="n">
        <x:f>MIN(1,L4629/I4629)</x:f>
        <x:v>0.0000217</x:v>
      </x:c>
      <x:c r="P4629" s="30" t="n">
        <x:f>O4629*J4629*(1+M4629)</x:f>
        <x:v>0.00002387</x:v>
      </x:c>
      <x:c r="Q4629" s="30" t="n">
        <x:f>P4629*N4629</x:f>
        <x:v>0.00171864</x:v>
      </x:c>
      <x:c r="R4629" s="19" t="str">
        <x:v>独立判定</x:v>
      </x:c>
    </x:row>
    <x:row r="4630" ht="19" customHeight="1">
      <x:c r="A4630" s="19" t="str">
        <x:v>D04626</x:v>
      </x:c>
      <x:c r="B4630" s="19" t="n">
        <x:v>10</x:v>
      </x:c>
      <x:c r="C4630" s="19" t="n">
        <x:v>1</x:v>
      </x:c>
      <x:c r="D4630" s="19" t="str">
        <x:v>C10-M002</x:v>
      </x:c>
      <x:c r="E4630" s="19" t="str">
        <x:v>斑墙巡灯卒</x:v>
      </x:c>
      <x:c r="F4630" s="19" t="str">
        <x:v>普通</x:v>
      </x:c>
      <x:c r="G4630" s="19" t="str">
        <x:v>材料独立候选</x:v>
      </x:c>
      <x:c r="H4630" s="19" t="str">
        <x:v>野兽骨片</x:v>
      </x:c>
      <x:c r="I4630" s="22" t="n">
        <x:v>500</x:v>
      </x:c>
      <x:c r="J4630" s="22" t="n">
        <x:v>4</x:v>
      </x:c>
      <x:c r="K4630" s="19" t="n">
        <x:v>1</x:v>
      </x:c>
      <x:c r="L4630" s="24" t="n">
        <x:v>86.8</x:v>
      </x:c>
      <x:c r="M4630" s="26" t="n">
        <x:v>0.1</x:v>
      </x:c>
      <x:c r="N4630" s="24" t="n">
        <x:v>72</x:v>
      </x:c>
      <x:c r="O4630" s="28" t="n">
        <x:f>MIN(1,L4630/I4630)</x:f>
        <x:v>0.1736</x:v>
      </x:c>
      <x:c r="P4630" s="30" t="n">
        <x:f>O4630*J4630*(1+M4630)</x:f>
        <x:v>0.7638400000000001</x:v>
      </x:c>
      <x:c r="Q4630" s="30" t="n">
        <x:f>P4630*N4630</x:f>
        <x:v>54.996480000000005</x:v>
      </x:c>
      <x:c r="R4630" s="19" t="str">
        <x:v>独立判定</x:v>
      </x:c>
    </x:row>
    <x:row r="4631" ht="19" customHeight="1">
      <x:c r="A4631" s="19" t="str">
        <x:v>D04627</x:v>
      </x:c>
      <x:c r="B4631" s="19" t="n">
        <x:v>10</x:v>
      </x:c>
      <x:c r="C4631" s="19" t="n">
        <x:v>1</x:v>
      </x:c>
      <x:c r="D4631" s="19" t="str">
        <x:v>C10-M002</x:v>
      </x:c>
      <x:c r="E4631" s="19" t="str">
        <x:v>斑墙巡灯卒</x:v>
      </x:c>
      <x:c r="F4631" s="19" t="str">
        <x:v>普通</x:v>
      </x:c>
      <x:c r="G4631" s="19" t="str">
        <x:v>材料独立候选</x:v>
      </x:c>
      <x:c r="H4631" s="19" t="str">
        <x:v>技能残页</x:v>
      </x:c>
      <x:c r="I4631" s="22" t="n">
        <x:v>4000</x:v>
      </x:c>
      <x:c r="J4631" s="22" t="n">
        <x:v>1</x:v>
      </x:c>
      <x:c r="K4631" s="19" t="n">
        <x:v>1</x:v>
      </x:c>
      <x:c r="L4631" s="24" t="n">
        <x:v>86.8</x:v>
      </x:c>
      <x:c r="M4631" s="26" t="n">
        <x:v>0.1</x:v>
      </x:c>
      <x:c r="N4631" s="24" t="n">
        <x:v>72</x:v>
      </x:c>
      <x:c r="O4631" s="28" t="n">
        <x:f>MIN(1,L4631/I4631)</x:f>
        <x:v>0.0217</x:v>
      </x:c>
      <x:c r="P4631" s="30" t="n">
        <x:f>O4631*J4631*(1+M4631)</x:f>
        <x:v>0.023870000000000002</x:v>
      </x:c>
      <x:c r="Q4631" s="30" t="n">
        <x:f>P4631*N4631</x:f>
        <x:v>1.7186400000000002</x:v>
      </x:c>
      <x:c r="R4631" s="19" t="str">
        <x:v>独立判定</x:v>
      </x:c>
    </x:row>
    <x:row r="4632" ht="19" customHeight="1">
      <x:c r="A4632" s="19" t="str">
        <x:v>D04628</x:v>
      </x:c>
      <x:c r="B4632" s="19" t="n">
        <x:v>10</x:v>
      </x:c>
      <x:c r="C4632" s="19" t="n">
        <x:v>1</x:v>
      </x:c>
      <x:c r="D4632" s="19" t="str">
        <x:v>C10-M002</x:v>
      </x:c>
      <x:c r="E4632" s="19" t="str">
        <x:v>斑墙巡灯卒</x:v>
      </x:c>
      <x:c r="F4632" s="19" t="str">
        <x:v>普通</x:v>
      </x:c>
      <x:c r="G4632" s="19" t="str">
        <x:v>材料独立候选</x:v>
      </x:c>
      <x:c r="H4632" s="19" t="str">
        <x:v>小卢恩</x:v>
      </x:c>
      <x:c r="I4632" s="22" t="n">
        <x:v>25000</x:v>
      </x:c>
      <x:c r="J4632" s="22" t="n">
        <x:v>1</x:v>
      </x:c>
      <x:c r="K4632" s="19" t="n">
        <x:v>1</x:v>
      </x:c>
      <x:c r="L4632" s="24" t="n">
        <x:v>86.8</x:v>
      </x:c>
      <x:c r="M4632" s="26" t="n">
        <x:v>0.1</x:v>
      </x:c>
      <x:c r="N4632" s="24" t="n">
        <x:v>72</x:v>
      </x:c>
      <x:c r="O4632" s="28" t="n">
        <x:f>MIN(1,L4632/I4632)</x:f>
        <x:v>0.003472</x:v>
      </x:c>
      <x:c r="P4632" s="30" t="n">
        <x:f>O4632*J4632*(1+M4632)</x:f>
        <x:v>0.0038192</x:v>
      </x:c>
      <x:c r="Q4632" s="30" t="n">
        <x:f>P4632*N4632</x:f>
        <x:v>0.2749824</x:v>
      </x:c>
      <x:c r="R4632" s="19" t="str">
        <x:v>独立判定</x:v>
      </x:c>
    </x:row>
    <x:row r="4633" ht="19" customHeight="1">
      <x:c r="A4633" s="19" t="str">
        <x:v>D04629</x:v>
      </x:c>
      <x:c r="B4633" s="19" t="n">
        <x:v>10</x:v>
      </x:c>
      <x:c r="C4633" s="19" t="n">
        <x:v>1</x:v>
      </x:c>
      <x:c r="D4633" s="19" t="str">
        <x:v>C10-M002</x:v>
      </x:c>
      <x:c r="E4633" s="19" t="str">
        <x:v>斑墙巡灯卒</x:v>
      </x:c>
      <x:c r="F4633" s="19" t="str">
        <x:v>普通</x:v>
      </x:c>
      <x:c r="G4633" s="19" t="str">
        <x:v>六神器公共池</x:v>
      </x:c>
      <x:c r="H4633" s="19" t="str">
        <x:v>POOL006</x:v>
      </x:c>
      <x:c r="I4633" s="22" t="n">
        <x:v>20000000</x:v>
      </x:c>
      <x:c r="J4633" s="22" t="n">
        <x:v>1</x:v>
      </x:c>
      <x:c r="K4633" s="19" t="n">
        <x:v>6</x:v>
      </x:c>
      <x:c r="L4633" s="24" t="n">
        <x:v>86.8</x:v>
      </x:c>
      <x:c r="M4633" s="26" t="n">
        <x:v>0.1</x:v>
      </x:c>
      <x:c r="N4633" s="24" t="n">
        <x:v>72</x:v>
      </x:c>
      <x:c r="O4633" s="28" t="n">
        <x:f>MIN(1,L4633/I4633)</x:f>
        <x:v>0.00000434</x:v>
      </x:c>
      <x:c r="P4633" s="30" t="n">
        <x:f>O4633*J4633*(1+M4633)</x:f>
        <x:v>0.000004774</x:v>
      </x:c>
      <x:c r="Q4633" s="30" t="n">
        <x:f>P4633*N4633</x:f>
        <x:v>0.000343728</x:v>
      </x:c>
      <x:c r="R4633" s="19" t="str">
        <x:v>六选一；非6个独立爆率</x:v>
      </x:c>
    </x:row>
    <x:row r="4634" ht="19" customHeight="1">
      <x:c r="A4634" s="19" t="str">
        <x:v>D04630</x:v>
      </x:c>
      <x:c r="B4634" s="19" t="n">
        <x:v>10</x:v>
      </x:c>
      <x:c r="C4634" s="19" t="n">
        <x:v>1</x:v>
      </x:c>
      <x:c r="D4634" s="19" t="str">
        <x:v>C10-M003</x:v>
      </x:c>
      <x:c r="E4634" s="19" t="str">
        <x:v>暗巷伏砖客</x:v>
      </x:c>
      <x:c r="F4634" s="19" t="str">
        <x:v>普通</x:v>
      </x:c>
      <x:c r="G4634" s="19" t="str">
        <x:v>自身专属</x:v>
      </x:c>
      <x:c r="H4634" s="19" t="str">
        <x:v>伏砖旧革靴</x:v>
      </x:c>
      <x:c r="I4634" s="22" t="n">
        <x:v>10000</x:v>
      </x:c>
      <x:c r="J4634" s="22" t="n">
        <x:v>1</x:v>
      </x:c>
      <x:c r="K4634" s="19" t="n">
        <x:v>1</x:v>
      </x:c>
      <x:c r="L4634" s="24" t="n">
        <x:v>86.8</x:v>
      </x:c>
      <x:c r="M4634" s="26" t="n">
        <x:v>0.1</x:v>
      </x:c>
      <x:c r="N4634" s="24" t="n">
        <x:v>72</x:v>
      </x:c>
      <x:c r="O4634" s="28" t="n">
        <x:f>MIN(1,L4634/I4634)</x:f>
        <x:v>0.00868</x:v>
      </x:c>
      <x:c r="P4634" s="30" t="n">
        <x:f>O4634*J4634*(1+M4634)</x:f>
        <x:v>0.009548000000000001</x:v>
      </x:c>
      <x:c r="Q4634" s="30" t="n">
        <x:f>P4634*N4634</x:f>
        <x:v>0.6874560000000001</x:v>
      </x:c>
      <x:c r="R4634" s="19" t="str">
        <x:v>独立判定</x:v>
      </x:c>
    </x:row>
    <x:row r="4635" ht="19" customHeight="1">
      <x:c r="A4635" s="19" t="str">
        <x:v>D04631</x:v>
      </x:c>
      <x:c r="B4635" s="19" t="n">
        <x:v>10</x:v>
      </x:c>
      <x:c r="C4635" s="19" t="n">
        <x:v>1</x:v>
      </x:c>
      <x:c r="D4635" s="19" t="str">
        <x:v>C10-M003</x:v>
      </x:c>
      <x:c r="E4635" s="19" t="str">
        <x:v>暗巷伏砖客</x:v>
      </x:c>
      <x:c r="F4635" s="19" t="str">
        <x:v>普通</x:v>
      </x:c>
      <x:c r="G4635" s="19" t="str">
        <x:v>材料独立候选</x:v>
      </x:c>
      <x:c r="H4635" s="19" t="str">
        <x:v>王城金屑</x:v>
      </x:c>
      <x:c r="I4635" s="22" t="n">
        <x:v>1800</x:v>
      </x:c>
      <x:c r="J4635" s="22" t="n">
        <x:v>8</x:v>
      </x:c>
      <x:c r="K4635" s="19" t="n">
        <x:v>1</x:v>
      </x:c>
      <x:c r="L4635" s="24" t="n">
        <x:v>86.8</x:v>
      </x:c>
      <x:c r="M4635" s="26" t="n">
        <x:v>0.1</x:v>
      </x:c>
      <x:c r="N4635" s="24" t="n">
        <x:v>72</x:v>
      </x:c>
      <x:c r="O4635" s="28" t="n">
        <x:f>MIN(1,L4635/I4635)</x:f>
        <x:v>0.04822222222222222</x:v>
      </x:c>
      <x:c r="P4635" s="30" t="n">
        <x:f>O4635*J4635*(1+M4635)</x:f>
        <x:v>0.4243555555555556</x:v>
      </x:c>
      <x:c r="Q4635" s="30" t="n">
        <x:f>P4635*N4635</x:f>
        <x:v>30.553600000000003</x:v>
      </x:c>
      <x:c r="R4635" s="19" t="str">
        <x:v>独立判定</x:v>
      </x:c>
    </x:row>
    <x:row r="4636" ht="19" customHeight="1">
      <x:c r="A4636" s="19" t="str">
        <x:v>D04632</x:v>
      </x:c>
      <x:c r="B4636" s="19" t="n">
        <x:v>10</x:v>
      </x:c>
      <x:c r="C4636" s="19" t="n">
        <x:v>1</x:v>
      </x:c>
      <x:c r="D4636" s="19" t="str">
        <x:v>C10-M003</x:v>
      </x:c>
      <x:c r="E4636" s="19" t="str">
        <x:v>暗巷伏砖客</x:v>
      </x:c>
      <x:c r="F4636" s="19" t="str">
        <x:v>普通</x:v>
      </x:c>
      <x:c r="G4636" s="19" t="str">
        <x:v>材料独立候选</x:v>
      </x:c>
      <x:c r="H4636" s="19" t="str">
        <x:v>无名墓钉</x:v>
      </x:c>
      <x:c r="I4636" s="22" t="n">
        <x:v>2500</x:v>
      </x:c>
      <x:c r="J4636" s="22" t="n">
        <x:v>1</x:v>
      </x:c>
      <x:c r="K4636" s="19" t="n">
        <x:v>1</x:v>
      </x:c>
      <x:c r="L4636" s="24" t="n">
        <x:v>86.8</x:v>
      </x:c>
      <x:c r="M4636" s="26" t="n">
        <x:v>0.1</x:v>
      </x:c>
      <x:c r="N4636" s="24" t="n">
        <x:v>72</x:v>
      </x:c>
      <x:c r="O4636" s="28" t="n">
        <x:f>MIN(1,L4636/I4636)</x:f>
        <x:v>0.03472</x:v>
      </x:c>
      <x:c r="P4636" s="30" t="n">
        <x:f>O4636*J4636*(1+M4636)</x:f>
        <x:v>0.038192000000000004</x:v>
      </x:c>
      <x:c r="Q4636" s="30" t="n">
        <x:f>P4636*N4636</x:f>
        <x:v>2.7498240000000003</x:v>
      </x:c>
      <x:c r="R4636" s="19" t="str">
        <x:v>独立判定</x:v>
      </x:c>
    </x:row>
    <x:row r="4637" ht="19" customHeight="1">
      <x:c r="A4637" s="19" t="str">
        <x:v>D04633</x:v>
      </x:c>
      <x:c r="B4637" s="19" t="n">
        <x:v>10</x:v>
      </x:c>
      <x:c r="C4637" s="19" t="n">
        <x:v>1</x:v>
      </x:c>
      <x:c r="D4637" s="19" t="str">
        <x:v>C10-M003</x:v>
      </x:c>
      <x:c r="E4637" s="19" t="str">
        <x:v>暗巷伏砖客</x:v>
      </x:c>
      <x:c r="F4637" s="19" t="str">
        <x:v>普通</x:v>
      </x:c>
      <x:c r="G4637" s="19" t="str">
        <x:v>材料独立候选</x:v>
      </x:c>
      <x:c r="H4637" s="19" t="str">
        <x:v>穹律鎏痕拓片</x:v>
      </x:c>
      <x:c r="I4637" s="22" t="n">
        <x:v>4000000</x:v>
      </x:c>
      <x:c r="J4637" s="22" t="n">
        <x:v>1</x:v>
      </x:c>
      <x:c r="K4637" s="19" t="n">
        <x:v>1</x:v>
      </x:c>
      <x:c r="L4637" s="24" t="n">
        <x:v>86.8</x:v>
      </x:c>
      <x:c r="M4637" s="26" t="n">
        <x:v>0.1</x:v>
      </x:c>
      <x:c r="N4637" s="24" t="n">
        <x:v>72</x:v>
      </x:c>
      <x:c r="O4637" s="28" t="n">
        <x:f>MIN(1,L4637/I4637)</x:f>
        <x:v>0.0000217</x:v>
      </x:c>
      <x:c r="P4637" s="30" t="n">
        <x:f>O4637*J4637*(1+M4637)</x:f>
        <x:v>0.00002387</x:v>
      </x:c>
      <x:c r="Q4637" s="30" t="n">
        <x:f>P4637*N4637</x:f>
        <x:v>0.00171864</x:v>
      </x:c>
      <x:c r="R4637" s="19" t="str">
        <x:v>独立判定</x:v>
      </x:c>
    </x:row>
    <x:row r="4638" ht="19" customHeight="1">
      <x:c r="A4638" s="19" t="str">
        <x:v>D04634</x:v>
      </x:c>
      <x:c r="B4638" s="19" t="n">
        <x:v>10</x:v>
      </x:c>
      <x:c r="C4638" s="19" t="n">
        <x:v>1</x:v>
      </x:c>
      <x:c r="D4638" s="19" t="str">
        <x:v>C10-M003</x:v>
      </x:c>
      <x:c r="E4638" s="19" t="str">
        <x:v>暗巷伏砖客</x:v>
      </x:c>
      <x:c r="F4638" s="19" t="str">
        <x:v>普通</x:v>
      </x:c>
      <x:c r="G4638" s="19" t="str">
        <x:v>材料独立候选</x:v>
      </x:c>
      <x:c r="H4638" s="19" t="str">
        <x:v>野兽骨片</x:v>
      </x:c>
      <x:c r="I4638" s="22" t="n">
        <x:v>500</x:v>
      </x:c>
      <x:c r="J4638" s="22" t="n">
        <x:v>4</x:v>
      </x:c>
      <x:c r="K4638" s="19" t="n">
        <x:v>1</x:v>
      </x:c>
      <x:c r="L4638" s="24" t="n">
        <x:v>86.8</x:v>
      </x:c>
      <x:c r="M4638" s="26" t="n">
        <x:v>0.1</x:v>
      </x:c>
      <x:c r="N4638" s="24" t="n">
        <x:v>72</x:v>
      </x:c>
      <x:c r="O4638" s="28" t="n">
        <x:f>MIN(1,L4638/I4638)</x:f>
        <x:v>0.1736</x:v>
      </x:c>
      <x:c r="P4638" s="30" t="n">
        <x:f>O4638*J4638*(1+M4638)</x:f>
        <x:v>0.7638400000000001</x:v>
      </x:c>
      <x:c r="Q4638" s="30" t="n">
        <x:f>P4638*N4638</x:f>
        <x:v>54.996480000000005</x:v>
      </x:c>
      <x:c r="R4638" s="19" t="str">
        <x:v>独立判定</x:v>
      </x:c>
    </x:row>
    <x:row r="4639" ht="19" customHeight="1">
      <x:c r="A4639" s="19" t="str">
        <x:v>D04635</x:v>
      </x:c>
      <x:c r="B4639" s="19" t="n">
        <x:v>10</x:v>
      </x:c>
      <x:c r="C4639" s="19" t="n">
        <x:v>1</x:v>
      </x:c>
      <x:c r="D4639" s="19" t="str">
        <x:v>C10-M003</x:v>
      </x:c>
      <x:c r="E4639" s="19" t="str">
        <x:v>暗巷伏砖客</x:v>
      </x:c>
      <x:c r="F4639" s="19" t="str">
        <x:v>普通</x:v>
      </x:c>
      <x:c r="G4639" s="19" t="str">
        <x:v>材料独立候选</x:v>
      </x:c>
      <x:c r="H4639" s="19" t="str">
        <x:v>技能残页</x:v>
      </x:c>
      <x:c r="I4639" s="22" t="n">
        <x:v>4000</x:v>
      </x:c>
      <x:c r="J4639" s="22" t="n">
        <x:v>1</x:v>
      </x:c>
      <x:c r="K4639" s="19" t="n">
        <x:v>1</x:v>
      </x:c>
      <x:c r="L4639" s="24" t="n">
        <x:v>86.8</x:v>
      </x:c>
      <x:c r="M4639" s="26" t="n">
        <x:v>0.1</x:v>
      </x:c>
      <x:c r="N4639" s="24" t="n">
        <x:v>72</x:v>
      </x:c>
      <x:c r="O4639" s="28" t="n">
        <x:f>MIN(1,L4639/I4639)</x:f>
        <x:v>0.0217</x:v>
      </x:c>
      <x:c r="P4639" s="30" t="n">
        <x:f>O4639*J4639*(1+M4639)</x:f>
        <x:v>0.023870000000000002</x:v>
      </x:c>
      <x:c r="Q4639" s="30" t="n">
        <x:f>P4639*N4639</x:f>
        <x:v>1.7186400000000002</x:v>
      </x:c>
      <x:c r="R4639" s="19" t="str">
        <x:v>独立判定</x:v>
      </x:c>
    </x:row>
    <x:row r="4640" ht="19" customHeight="1">
      <x:c r="A4640" s="19" t="str">
        <x:v>D04636</x:v>
      </x:c>
      <x:c r="B4640" s="19" t="n">
        <x:v>10</x:v>
      </x:c>
      <x:c r="C4640" s="19" t="n">
        <x:v>1</x:v>
      </x:c>
      <x:c r="D4640" s="19" t="str">
        <x:v>C10-M003</x:v>
      </x:c>
      <x:c r="E4640" s="19" t="str">
        <x:v>暗巷伏砖客</x:v>
      </x:c>
      <x:c r="F4640" s="19" t="str">
        <x:v>普通</x:v>
      </x:c>
      <x:c r="G4640" s="19" t="str">
        <x:v>材料独立候选</x:v>
      </x:c>
      <x:c r="H4640" s="19" t="str">
        <x:v>小卢恩</x:v>
      </x:c>
      <x:c r="I4640" s="22" t="n">
        <x:v>25000</x:v>
      </x:c>
      <x:c r="J4640" s="22" t="n">
        <x:v>1</x:v>
      </x:c>
      <x:c r="K4640" s="19" t="n">
        <x:v>1</x:v>
      </x:c>
      <x:c r="L4640" s="24" t="n">
        <x:v>86.8</x:v>
      </x:c>
      <x:c r="M4640" s="26" t="n">
        <x:v>0.1</x:v>
      </x:c>
      <x:c r="N4640" s="24" t="n">
        <x:v>72</x:v>
      </x:c>
      <x:c r="O4640" s="28" t="n">
        <x:f>MIN(1,L4640/I4640)</x:f>
        <x:v>0.003472</x:v>
      </x:c>
      <x:c r="P4640" s="30" t="n">
        <x:f>O4640*J4640*(1+M4640)</x:f>
        <x:v>0.0038192</x:v>
      </x:c>
      <x:c r="Q4640" s="30" t="n">
        <x:f>P4640*N4640</x:f>
        <x:v>0.2749824</x:v>
      </x:c>
      <x:c r="R4640" s="19" t="str">
        <x:v>独立判定</x:v>
      </x:c>
    </x:row>
    <x:row r="4641" ht="19" customHeight="1">
      <x:c r="A4641" s="19" t="str">
        <x:v>D04637</x:v>
      </x:c>
      <x:c r="B4641" s="19" t="n">
        <x:v>10</x:v>
      </x:c>
      <x:c r="C4641" s="19" t="n">
        <x:v>1</x:v>
      </x:c>
      <x:c r="D4641" s="19" t="str">
        <x:v>C10-M003</x:v>
      </x:c>
      <x:c r="E4641" s="19" t="str">
        <x:v>暗巷伏砖客</x:v>
      </x:c>
      <x:c r="F4641" s="19" t="str">
        <x:v>普通</x:v>
      </x:c>
      <x:c r="G4641" s="19" t="str">
        <x:v>六神器公共池</x:v>
      </x:c>
      <x:c r="H4641" s="19" t="str">
        <x:v>POOL006</x:v>
      </x:c>
      <x:c r="I4641" s="22" t="n">
        <x:v>20000000</x:v>
      </x:c>
      <x:c r="J4641" s="22" t="n">
        <x:v>1</x:v>
      </x:c>
      <x:c r="K4641" s="19" t="n">
        <x:v>6</x:v>
      </x:c>
      <x:c r="L4641" s="24" t="n">
        <x:v>86.8</x:v>
      </x:c>
      <x:c r="M4641" s="26" t="n">
        <x:v>0.1</x:v>
      </x:c>
      <x:c r="N4641" s="24" t="n">
        <x:v>72</x:v>
      </x:c>
      <x:c r="O4641" s="28" t="n">
        <x:f>MIN(1,L4641/I4641)</x:f>
        <x:v>0.00000434</x:v>
      </x:c>
      <x:c r="P4641" s="30" t="n">
        <x:f>O4641*J4641*(1+M4641)</x:f>
        <x:v>0.000004774</x:v>
      </x:c>
      <x:c r="Q4641" s="30" t="n">
        <x:f>P4641*N4641</x:f>
        <x:v>0.000343728</x:v>
      </x:c>
      <x:c r="R4641" s="19" t="str">
        <x:v>六选一；非6个独立爆率</x:v>
      </x:c>
    </x:row>
    <x:row r="4642" ht="19" customHeight="1">
      <x:c r="A4642" s="19" t="str">
        <x:v>D04638</x:v>
      </x:c>
      <x:c r="B4642" s="19" t="n">
        <x:v>10</x:v>
      </x:c>
      <x:c r="C4642" s="19" t="n">
        <x:v>1</x:v>
      </x:c>
      <x:c r="D4642" s="19" t="str">
        <x:v>C10-M004</x:v>
      </x:c>
      <x:c r="E4642" s="19" t="str">
        <x:v>旧街缚铃犬</x:v>
      </x:c>
      <x:c r="F4642" s="19" t="str">
        <x:v>普通</x:v>
      </x:c>
      <x:c r="G4642" s="19" t="str">
        <x:v>自身专属</x:v>
      </x:c>
      <x:c r="H4642" s="19" t="str">
        <x:v>缚铃窄项圈</x:v>
      </x:c>
      <x:c r="I4642" s="22" t="n">
        <x:v>10000</x:v>
      </x:c>
      <x:c r="J4642" s="22" t="n">
        <x:v>1</x:v>
      </x:c>
      <x:c r="K4642" s="19" t="n">
        <x:v>1</x:v>
      </x:c>
      <x:c r="L4642" s="24" t="n">
        <x:v>86.8</x:v>
      </x:c>
      <x:c r="M4642" s="26" t="n">
        <x:v>0.1</x:v>
      </x:c>
      <x:c r="N4642" s="24" t="n">
        <x:v>72</x:v>
      </x:c>
      <x:c r="O4642" s="28" t="n">
        <x:f>MIN(1,L4642/I4642)</x:f>
        <x:v>0.00868</x:v>
      </x:c>
      <x:c r="P4642" s="30" t="n">
        <x:f>O4642*J4642*(1+M4642)</x:f>
        <x:v>0.009548000000000001</x:v>
      </x:c>
      <x:c r="Q4642" s="30" t="n">
        <x:f>P4642*N4642</x:f>
        <x:v>0.6874560000000001</x:v>
      </x:c>
      <x:c r="R4642" s="19" t="str">
        <x:v>独立判定</x:v>
      </x:c>
    </x:row>
    <x:row r="4643" ht="19" customHeight="1">
      <x:c r="A4643" s="19" t="str">
        <x:v>D04639</x:v>
      </x:c>
      <x:c r="B4643" s="19" t="n">
        <x:v>10</x:v>
      </x:c>
      <x:c r="C4643" s="19" t="n">
        <x:v>1</x:v>
      </x:c>
      <x:c r="D4643" s="19" t="str">
        <x:v>C10-M004</x:v>
      </x:c>
      <x:c r="E4643" s="19" t="str">
        <x:v>旧街缚铃犬</x:v>
      </x:c>
      <x:c r="F4643" s="19" t="str">
        <x:v>普通</x:v>
      </x:c>
      <x:c r="G4643" s="19" t="str">
        <x:v>材料独立候选</x:v>
      </x:c>
      <x:c r="H4643" s="19" t="str">
        <x:v>王城金屑</x:v>
      </x:c>
      <x:c r="I4643" s="22" t="n">
        <x:v>1800</x:v>
      </x:c>
      <x:c r="J4643" s="22" t="n">
        <x:v>8</x:v>
      </x:c>
      <x:c r="K4643" s="19" t="n">
        <x:v>1</x:v>
      </x:c>
      <x:c r="L4643" s="24" t="n">
        <x:v>86.8</x:v>
      </x:c>
      <x:c r="M4643" s="26" t="n">
        <x:v>0.1</x:v>
      </x:c>
      <x:c r="N4643" s="24" t="n">
        <x:v>72</x:v>
      </x:c>
      <x:c r="O4643" s="28" t="n">
        <x:f>MIN(1,L4643/I4643)</x:f>
        <x:v>0.04822222222222222</x:v>
      </x:c>
      <x:c r="P4643" s="30" t="n">
        <x:f>O4643*J4643*(1+M4643)</x:f>
        <x:v>0.4243555555555556</x:v>
      </x:c>
      <x:c r="Q4643" s="30" t="n">
        <x:f>P4643*N4643</x:f>
        <x:v>30.553600000000003</x:v>
      </x:c>
      <x:c r="R4643" s="19" t="str">
        <x:v>独立判定</x:v>
      </x:c>
    </x:row>
    <x:row r="4644" ht="19" customHeight="1">
      <x:c r="A4644" s="19" t="str">
        <x:v>D04640</x:v>
      </x:c>
      <x:c r="B4644" s="19" t="n">
        <x:v>10</x:v>
      </x:c>
      <x:c r="C4644" s="19" t="n">
        <x:v>1</x:v>
      </x:c>
      <x:c r="D4644" s="19" t="str">
        <x:v>C10-M004</x:v>
      </x:c>
      <x:c r="E4644" s="19" t="str">
        <x:v>旧街缚铃犬</x:v>
      </x:c>
      <x:c r="F4644" s="19" t="str">
        <x:v>普通</x:v>
      </x:c>
      <x:c r="G4644" s="19" t="str">
        <x:v>材料独立候选</x:v>
      </x:c>
      <x:c r="H4644" s="19" t="str">
        <x:v>无名墓钉</x:v>
      </x:c>
      <x:c r="I4644" s="22" t="n">
        <x:v>2500</x:v>
      </x:c>
      <x:c r="J4644" s="22" t="n">
        <x:v>1</x:v>
      </x:c>
      <x:c r="K4644" s="19" t="n">
        <x:v>1</x:v>
      </x:c>
      <x:c r="L4644" s="24" t="n">
        <x:v>86.8</x:v>
      </x:c>
      <x:c r="M4644" s="26" t="n">
        <x:v>0.1</x:v>
      </x:c>
      <x:c r="N4644" s="24" t="n">
        <x:v>72</x:v>
      </x:c>
      <x:c r="O4644" s="28" t="n">
        <x:f>MIN(1,L4644/I4644)</x:f>
        <x:v>0.03472</x:v>
      </x:c>
      <x:c r="P4644" s="30" t="n">
        <x:f>O4644*J4644*(1+M4644)</x:f>
        <x:v>0.038192000000000004</x:v>
      </x:c>
      <x:c r="Q4644" s="30" t="n">
        <x:f>P4644*N4644</x:f>
        <x:v>2.7498240000000003</x:v>
      </x:c>
      <x:c r="R4644" s="19" t="str">
        <x:v>独立判定</x:v>
      </x:c>
    </x:row>
    <x:row r="4645" ht="19" customHeight="1">
      <x:c r="A4645" s="19" t="str">
        <x:v>D04641</x:v>
      </x:c>
      <x:c r="B4645" s="19" t="n">
        <x:v>10</x:v>
      </x:c>
      <x:c r="C4645" s="19" t="n">
        <x:v>1</x:v>
      </x:c>
      <x:c r="D4645" s="19" t="str">
        <x:v>C10-M004</x:v>
      </x:c>
      <x:c r="E4645" s="19" t="str">
        <x:v>旧街缚铃犬</x:v>
      </x:c>
      <x:c r="F4645" s="19" t="str">
        <x:v>普通</x:v>
      </x:c>
      <x:c r="G4645" s="19" t="str">
        <x:v>材料独立候选</x:v>
      </x:c>
      <x:c r="H4645" s="19" t="str">
        <x:v>穹律鎏痕拓片</x:v>
      </x:c>
      <x:c r="I4645" s="22" t="n">
        <x:v>4000000</x:v>
      </x:c>
      <x:c r="J4645" s="22" t="n">
        <x:v>1</x:v>
      </x:c>
      <x:c r="K4645" s="19" t="n">
        <x:v>1</x:v>
      </x:c>
      <x:c r="L4645" s="24" t="n">
        <x:v>86.8</x:v>
      </x:c>
      <x:c r="M4645" s="26" t="n">
        <x:v>0.1</x:v>
      </x:c>
      <x:c r="N4645" s="24" t="n">
        <x:v>72</x:v>
      </x:c>
      <x:c r="O4645" s="28" t="n">
        <x:f>MIN(1,L4645/I4645)</x:f>
        <x:v>0.0000217</x:v>
      </x:c>
      <x:c r="P4645" s="30" t="n">
        <x:f>O4645*J4645*(1+M4645)</x:f>
        <x:v>0.00002387</x:v>
      </x:c>
      <x:c r="Q4645" s="30" t="n">
        <x:f>P4645*N4645</x:f>
        <x:v>0.00171864</x:v>
      </x:c>
      <x:c r="R4645" s="19" t="str">
        <x:v>独立判定</x:v>
      </x:c>
    </x:row>
    <x:row r="4646" ht="19" customHeight="1">
      <x:c r="A4646" s="19" t="str">
        <x:v>D04642</x:v>
      </x:c>
      <x:c r="B4646" s="19" t="n">
        <x:v>10</x:v>
      </x:c>
      <x:c r="C4646" s="19" t="n">
        <x:v>1</x:v>
      </x:c>
      <x:c r="D4646" s="19" t="str">
        <x:v>C10-M004</x:v>
      </x:c>
      <x:c r="E4646" s="19" t="str">
        <x:v>旧街缚铃犬</x:v>
      </x:c>
      <x:c r="F4646" s="19" t="str">
        <x:v>普通</x:v>
      </x:c>
      <x:c r="G4646" s="19" t="str">
        <x:v>材料独立候选</x:v>
      </x:c>
      <x:c r="H4646" s="19" t="str">
        <x:v>野兽骨片</x:v>
      </x:c>
      <x:c r="I4646" s="22" t="n">
        <x:v>500</x:v>
      </x:c>
      <x:c r="J4646" s="22" t="n">
        <x:v>4</x:v>
      </x:c>
      <x:c r="K4646" s="19" t="n">
        <x:v>1</x:v>
      </x:c>
      <x:c r="L4646" s="24" t="n">
        <x:v>86.8</x:v>
      </x:c>
      <x:c r="M4646" s="26" t="n">
        <x:v>0.1</x:v>
      </x:c>
      <x:c r="N4646" s="24" t="n">
        <x:v>72</x:v>
      </x:c>
      <x:c r="O4646" s="28" t="n">
        <x:f>MIN(1,L4646/I4646)</x:f>
        <x:v>0.1736</x:v>
      </x:c>
      <x:c r="P4646" s="30" t="n">
        <x:f>O4646*J4646*(1+M4646)</x:f>
        <x:v>0.7638400000000001</x:v>
      </x:c>
      <x:c r="Q4646" s="30" t="n">
        <x:f>P4646*N4646</x:f>
        <x:v>54.996480000000005</x:v>
      </x:c>
      <x:c r="R4646" s="19" t="str">
        <x:v>独立判定</x:v>
      </x:c>
    </x:row>
    <x:row r="4647" ht="19" customHeight="1">
      <x:c r="A4647" s="19" t="str">
        <x:v>D04643</x:v>
      </x:c>
      <x:c r="B4647" s="19" t="n">
        <x:v>10</x:v>
      </x:c>
      <x:c r="C4647" s="19" t="n">
        <x:v>1</x:v>
      </x:c>
      <x:c r="D4647" s="19" t="str">
        <x:v>C10-M004</x:v>
      </x:c>
      <x:c r="E4647" s="19" t="str">
        <x:v>旧街缚铃犬</x:v>
      </x:c>
      <x:c r="F4647" s="19" t="str">
        <x:v>普通</x:v>
      </x:c>
      <x:c r="G4647" s="19" t="str">
        <x:v>材料独立候选</x:v>
      </x:c>
      <x:c r="H4647" s="19" t="str">
        <x:v>技能残页</x:v>
      </x:c>
      <x:c r="I4647" s="22" t="n">
        <x:v>4000</x:v>
      </x:c>
      <x:c r="J4647" s="22" t="n">
        <x:v>1</x:v>
      </x:c>
      <x:c r="K4647" s="19" t="n">
        <x:v>1</x:v>
      </x:c>
      <x:c r="L4647" s="24" t="n">
        <x:v>86.8</x:v>
      </x:c>
      <x:c r="M4647" s="26" t="n">
        <x:v>0.1</x:v>
      </x:c>
      <x:c r="N4647" s="24" t="n">
        <x:v>72</x:v>
      </x:c>
      <x:c r="O4647" s="28" t="n">
        <x:f>MIN(1,L4647/I4647)</x:f>
        <x:v>0.0217</x:v>
      </x:c>
      <x:c r="P4647" s="30" t="n">
        <x:f>O4647*J4647*(1+M4647)</x:f>
        <x:v>0.023870000000000002</x:v>
      </x:c>
      <x:c r="Q4647" s="30" t="n">
        <x:f>P4647*N4647</x:f>
        <x:v>1.7186400000000002</x:v>
      </x:c>
      <x:c r="R4647" s="19" t="str">
        <x:v>独立判定</x:v>
      </x:c>
    </x:row>
    <x:row r="4648" ht="19" customHeight="1">
      <x:c r="A4648" s="19" t="str">
        <x:v>D04644</x:v>
      </x:c>
      <x:c r="B4648" s="19" t="n">
        <x:v>10</x:v>
      </x:c>
      <x:c r="C4648" s="19" t="n">
        <x:v>1</x:v>
      </x:c>
      <x:c r="D4648" s="19" t="str">
        <x:v>C10-M004</x:v>
      </x:c>
      <x:c r="E4648" s="19" t="str">
        <x:v>旧街缚铃犬</x:v>
      </x:c>
      <x:c r="F4648" s="19" t="str">
        <x:v>普通</x:v>
      </x:c>
      <x:c r="G4648" s="19" t="str">
        <x:v>材料独立候选</x:v>
      </x:c>
      <x:c r="H4648" s="19" t="str">
        <x:v>小卢恩</x:v>
      </x:c>
      <x:c r="I4648" s="22" t="n">
        <x:v>25000</x:v>
      </x:c>
      <x:c r="J4648" s="22" t="n">
        <x:v>1</x:v>
      </x:c>
      <x:c r="K4648" s="19" t="n">
        <x:v>1</x:v>
      </x:c>
      <x:c r="L4648" s="24" t="n">
        <x:v>86.8</x:v>
      </x:c>
      <x:c r="M4648" s="26" t="n">
        <x:v>0.1</x:v>
      </x:c>
      <x:c r="N4648" s="24" t="n">
        <x:v>72</x:v>
      </x:c>
      <x:c r="O4648" s="28" t="n">
        <x:f>MIN(1,L4648/I4648)</x:f>
        <x:v>0.003472</x:v>
      </x:c>
      <x:c r="P4648" s="30" t="n">
        <x:f>O4648*J4648*(1+M4648)</x:f>
        <x:v>0.0038192</x:v>
      </x:c>
      <x:c r="Q4648" s="30" t="n">
        <x:f>P4648*N4648</x:f>
        <x:v>0.2749824</x:v>
      </x:c>
      <x:c r="R4648" s="19" t="str">
        <x:v>独立判定</x:v>
      </x:c>
    </x:row>
    <x:row r="4649" ht="19" customHeight="1">
      <x:c r="A4649" s="19" t="str">
        <x:v>D04645</x:v>
      </x:c>
      <x:c r="B4649" s="19" t="n">
        <x:v>10</x:v>
      </x:c>
      <x:c r="C4649" s="19" t="n">
        <x:v>1</x:v>
      </x:c>
      <x:c r="D4649" s="19" t="str">
        <x:v>C10-M004</x:v>
      </x:c>
      <x:c r="E4649" s="19" t="str">
        <x:v>旧街缚铃犬</x:v>
      </x:c>
      <x:c r="F4649" s="19" t="str">
        <x:v>普通</x:v>
      </x:c>
      <x:c r="G4649" s="19" t="str">
        <x:v>六神器公共池</x:v>
      </x:c>
      <x:c r="H4649" s="19" t="str">
        <x:v>POOL006</x:v>
      </x:c>
      <x:c r="I4649" s="22" t="n">
        <x:v>20000000</x:v>
      </x:c>
      <x:c r="J4649" s="22" t="n">
        <x:v>1</x:v>
      </x:c>
      <x:c r="K4649" s="19" t="n">
        <x:v>6</x:v>
      </x:c>
      <x:c r="L4649" s="24" t="n">
        <x:v>86.8</x:v>
      </x:c>
      <x:c r="M4649" s="26" t="n">
        <x:v>0.1</x:v>
      </x:c>
      <x:c r="N4649" s="24" t="n">
        <x:v>72</x:v>
      </x:c>
      <x:c r="O4649" s="28" t="n">
        <x:f>MIN(1,L4649/I4649)</x:f>
        <x:v>0.00000434</x:v>
      </x:c>
      <x:c r="P4649" s="30" t="n">
        <x:f>O4649*J4649*(1+M4649)</x:f>
        <x:v>0.000004774</x:v>
      </x:c>
      <x:c r="Q4649" s="30" t="n">
        <x:f>P4649*N4649</x:f>
        <x:v>0.000343728</x:v>
      </x:c>
      <x:c r="R4649" s="19" t="str">
        <x:v>六选一；非6个独立爆率</x:v>
      </x:c>
    </x:row>
    <x:row r="4650" ht="19" customHeight="1">
      <x:c r="A4650" s="19" t="str">
        <x:v>D04646</x:v>
      </x:c>
      <x:c r="B4650" s="19" t="n">
        <x:v>10</x:v>
      </x:c>
      <x:c r="C4650" s="19" t="n">
        <x:v>1</x:v>
      </x:c>
      <x:c r="D4650" s="19" t="str">
        <x:v>C10-M005</x:v>
      </x:c>
      <x:c r="E4650" s="19" t="str">
        <x:v>闸底淤甲工</x:v>
      </x:c>
      <x:c r="F4650" s="19" t="str">
        <x:v>普通</x:v>
      </x:c>
      <x:c r="G4650" s="19" t="str">
        <x:v>自身专属</x:v>
      </x:c>
      <x:c r="H4650" s="19" t="str">
        <x:v>淤甲闸工衣</x:v>
      </x:c>
      <x:c r="I4650" s="22" t="n">
        <x:v>10000</x:v>
      </x:c>
      <x:c r="J4650" s="22" t="n">
        <x:v>1</x:v>
      </x:c>
      <x:c r="K4650" s="19" t="n">
        <x:v>1</x:v>
      </x:c>
      <x:c r="L4650" s="24" t="n">
        <x:v>86.8</x:v>
      </x:c>
      <x:c r="M4650" s="26" t="n">
        <x:v>0.1</x:v>
      </x:c>
      <x:c r="N4650" s="24" t="n">
        <x:v>72</x:v>
      </x:c>
      <x:c r="O4650" s="28" t="n">
        <x:f>MIN(1,L4650/I4650)</x:f>
        <x:v>0.00868</x:v>
      </x:c>
      <x:c r="P4650" s="30" t="n">
        <x:f>O4650*J4650*(1+M4650)</x:f>
        <x:v>0.009548000000000001</x:v>
      </x:c>
      <x:c r="Q4650" s="30" t="n">
        <x:f>P4650*N4650</x:f>
        <x:v>0.6874560000000001</x:v>
      </x:c>
      <x:c r="R4650" s="19" t="str">
        <x:v>独立判定</x:v>
      </x:c>
    </x:row>
    <x:row r="4651" ht="19" customHeight="1">
      <x:c r="A4651" s="19" t="str">
        <x:v>D04647</x:v>
      </x:c>
      <x:c r="B4651" s="19" t="n">
        <x:v>10</x:v>
      </x:c>
      <x:c r="C4651" s="19" t="n">
        <x:v>1</x:v>
      </x:c>
      <x:c r="D4651" s="19" t="str">
        <x:v>C10-M005</x:v>
      </x:c>
      <x:c r="E4651" s="19" t="str">
        <x:v>闸底淤甲工</x:v>
      </x:c>
      <x:c r="F4651" s="19" t="str">
        <x:v>普通</x:v>
      </x:c>
      <x:c r="G4651" s="19" t="str">
        <x:v>材料独立候选</x:v>
      </x:c>
      <x:c r="H4651" s="19" t="str">
        <x:v>王城金屑</x:v>
      </x:c>
      <x:c r="I4651" s="22" t="n">
        <x:v>1800</x:v>
      </x:c>
      <x:c r="J4651" s="22" t="n">
        <x:v>8</x:v>
      </x:c>
      <x:c r="K4651" s="19" t="n">
        <x:v>1</x:v>
      </x:c>
      <x:c r="L4651" s="24" t="n">
        <x:v>86.8</x:v>
      </x:c>
      <x:c r="M4651" s="26" t="n">
        <x:v>0.1</x:v>
      </x:c>
      <x:c r="N4651" s="24" t="n">
        <x:v>72</x:v>
      </x:c>
      <x:c r="O4651" s="28" t="n">
        <x:f>MIN(1,L4651/I4651)</x:f>
        <x:v>0.04822222222222222</x:v>
      </x:c>
      <x:c r="P4651" s="30" t="n">
        <x:f>O4651*J4651*(1+M4651)</x:f>
        <x:v>0.4243555555555556</x:v>
      </x:c>
      <x:c r="Q4651" s="30" t="n">
        <x:f>P4651*N4651</x:f>
        <x:v>30.553600000000003</x:v>
      </x:c>
      <x:c r="R4651" s="19" t="str">
        <x:v>独立判定</x:v>
      </x:c>
    </x:row>
    <x:row r="4652" ht="19" customHeight="1">
      <x:c r="A4652" s="19" t="str">
        <x:v>D04648</x:v>
      </x:c>
      <x:c r="B4652" s="19" t="n">
        <x:v>10</x:v>
      </x:c>
      <x:c r="C4652" s="19" t="n">
        <x:v>1</x:v>
      </x:c>
      <x:c r="D4652" s="19" t="str">
        <x:v>C10-M005</x:v>
      </x:c>
      <x:c r="E4652" s="19" t="str">
        <x:v>闸底淤甲工</x:v>
      </x:c>
      <x:c r="F4652" s="19" t="str">
        <x:v>普通</x:v>
      </x:c>
      <x:c r="G4652" s="19" t="str">
        <x:v>材料独立候选</x:v>
      </x:c>
      <x:c r="H4652" s="19" t="str">
        <x:v>无名墓钉</x:v>
      </x:c>
      <x:c r="I4652" s="22" t="n">
        <x:v>2500</x:v>
      </x:c>
      <x:c r="J4652" s="22" t="n">
        <x:v>1</x:v>
      </x:c>
      <x:c r="K4652" s="19" t="n">
        <x:v>1</x:v>
      </x:c>
      <x:c r="L4652" s="24" t="n">
        <x:v>86.8</x:v>
      </x:c>
      <x:c r="M4652" s="26" t="n">
        <x:v>0.1</x:v>
      </x:c>
      <x:c r="N4652" s="24" t="n">
        <x:v>72</x:v>
      </x:c>
      <x:c r="O4652" s="28" t="n">
        <x:f>MIN(1,L4652/I4652)</x:f>
        <x:v>0.03472</x:v>
      </x:c>
      <x:c r="P4652" s="30" t="n">
        <x:f>O4652*J4652*(1+M4652)</x:f>
        <x:v>0.038192000000000004</x:v>
      </x:c>
      <x:c r="Q4652" s="30" t="n">
        <x:f>P4652*N4652</x:f>
        <x:v>2.7498240000000003</x:v>
      </x:c>
      <x:c r="R4652" s="19" t="str">
        <x:v>独立判定</x:v>
      </x:c>
    </x:row>
    <x:row r="4653" ht="19" customHeight="1">
      <x:c r="A4653" s="19" t="str">
        <x:v>D04649</x:v>
      </x:c>
      <x:c r="B4653" s="19" t="n">
        <x:v>10</x:v>
      </x:c>
      <x:c r="C4653" s="19" t="n">
        <x:v>1</x:v>
      </x:c>
      <x:c r="D4653" s="19" t="str">
        <x:v>C10-M005</x:v>
      </x:c>
      <x:c r="E4653" s="19" t="str">
        <x:v>闸底淤甲工</x:v>
      </x:c>
      <x:c r="F4653" s="19" t="str">
        <x:v>普通</x:v>
      </x:c>
      <x:c r="G4653" s="19" t="str">
        <x:v>材料独立候选</x:v>
      </x:c>
      <x:c r="H4653" s="19" t="str">
        <x:v>穹律鎏痕拓片</x:v>
      </x:c>
      <x:c r="I4653" s="22" t="n">
        <x:v>4000000</x:v>
      </x:c>
      <x:c r="J4653" s="22" t="n">
        <x:v>1</x:v>
      </x:c>
      <x:c r="K4653" s="19" t="n">
        <x:v>1</x:v>
      </x:c>
      <x:c r="L4653" s="24" t="n">
        <x:v>86.8</x:v>
      </x:c>
      <x:c r="M4653" s="26" t="n">
        <x:v>0.1</x:v>
      </x:c>
      <x:c r="N4653" s="24" t="n">
        <x:v>72</x:v>
      </x:c>
      <x:c r="O4653" s="28" t="n">
        <x:f>MIN(1,L4653/I4653)</x:f>
        <x:v>0.0000217</x:v>
      </x:c>
      <x:c r="P4653" s="30" t="n">
        <x:f>O4653*J4653*(1+M4653)</x:f>
        <x:v>0.00002387</x:v>
      </x:c>
      <x:c r="Q4653" s="30" t="n">
        <x:f>P4653*N4653</x:f>
        <x:v>0.00171864</x:v>
      </x:c>
      <x:c r="R4653" s="19" t="str">
        <x:v>独立判定</x:v>
      </x:c>
    </x:row>
    <x:row r="4654" ht="19" customHeight="1">
      <x:c r="A4654" s="19" t="str">
        <x:v>D04650</x:v>
      </x:c>
      <x:c r="B4654" s="19" t="n">
        <x:v>10</x:v>
      </x:c>
      <x:c r="C4654" s="19" t="n">
        <x:v>1</x:v>
      </x:c>
      <x:c r="D4654" s="19" t="str">
        <x:v>C10-M005</x:v>
      </x:c>
      <x:c r="E4654" s="19" t="str">
        <x:v>闸底淤甲工</x:v>
      </x:c>
      <x:c r="F4654" s="19" t="str">
        <x:v>普通</x:v>
      </x:c>
      <x:c r="G4654" s="19" t="str">
        <x:v>材料独立候选</x:v>
      </x:c>
      <x:c r="H4654" s="19" t="str">
        <x:v>野兽骨片</x:v>
      </x:c>
      <x:c r="I4654" s="22" t="n">
        <x:v>500</x:v>
      </x:c>
      <x:c r="J4654" s="22" t="n">
        <x:v>4</x:v>
      </x:c>
      <x:c r="K4654" s="19" t="n">
        <x:v>1</x:v>
      </x:c>
      <x:c r="L4654" s="24" t="n">
        <x:v>86.8</x:v>
      </x:c>
      <x:c r="M4654" s="26" t="n">
        <x:v>0.1</x:v>
      </x:c>
      <x:c r="N4654" s="24" t="n">
        <x:v>72</x:v>
      </x:c>
      <x:c r="O4654" s="28" t="n">
        <x:f>MIN(1,L4654/I4654)</x:f>
        <x:v>0.1736</x:v>
      </x:c>
      <x:c r="P4654" s="30" t="n">
        <x:f>O4654*J4654*(1+M4654)</x:f>
        <x:v>0.7638400000000001</x:v>
      </x:c>
      <x:c r="Q4654" s="30" t="n">
        <x:f>P4654*N4654</x:f>
        <x:v>54.996480000000005</x:v>
      </x:c>
      <x:c r="R4654" s="19" t="str">
        <x:v>独立判定</x:v>
      </x:c>
    </x:row>
    <x:row r="4655" ht="19" customHeight="1">
      <x:c r="A4655" s="19" t="str">
        <x:v>D04651</x:v>
      </x:c>
      <x:c r="B4655" s="19" t="n">
        <x:v>10</x:v>
      </x:c>
      <x:c r="C4655" s="19" t="n">
        <x:v>1</x:v>
      </x:c>
      <x:c r="D4655" s="19" t="str">
        <x:v>C10-M005</x:v>
      </x:c>
      <x:c r="E4655" s="19" t="str">
        <x:v>闸底淤甲工</x:v>
      </x:c>
      <x:c r="F4655" s="19" t="str">
        <x:v>普通</x:v>
      </x:c>
      <x:c r="G4655" s="19" t="str">
        <x:v>材料独立候选</x:v>
      </x:c>
      <x:c r="H4655" s="19" t="str">
        <x:v>技能残页</x:v>
      </x:c>
      <x:c r="I4655" s="22" t="n">
        <x:v>4000</x:v>
      </x:c>
      <x:c r="J4655" s="22" t="n">
        <x:v>1</x:v>
      </x:c>
      <x:c r="K4655" s="19" t="n">
        <x:v>1</x:v>
      </x:c>
      <x:c r="L4655" s="24" t="n">
        <x:v>86.8</x:v>
      </x:c>
      <x:c r="M4655" s="26" t="n">
        <x:v>0.1</x:v>
      </x:c>
      <x:c r="N4655" s="24" t="n">
        <x:v>72</x:v>
      </x:c>
      <x:c r="O4655" s="28" t="n">
        <x:f>MIN(1,L4655/I4655)</x:f>
        <x:v>0.0217</x:v>
      </x:c>
      <x:c r="P4655" s="30" t="n">
        <x:f>O4655*J4655*(1+M4655)</x:f>
        <x:v>0.023870000000000002</x:v>
      </x:c>
      <x:c r="Q4655" s="30" t="n">
        <x:f>P4655*N4655</x:f>
        <x:v>1.7186400000000002</x:v>
      </x:c>
      <x:c r="R4655" s="19" t="str">
        <x:v>独立判定</x:v>
      </x:c>
    </x:row>
    <x:row r="4656" ht="19" customHeight="1">
      <x:c r="A4656" s="19" t="str">
        <x:v>D04652</x:v>
      </x:c>
      <x:c r="B4656" s="19" t="n">
        <x:v>10</x:v>
      </x:c>
      <x:c r="C4656" s="19" t="n">
        <x:v>1</x:v>
      </x:c>
      <x:c r="D4656" s="19" t="str">
        <x:v>C10-M005</x:v>
      </x:c>
      <x:c r="E4656" s="19" t="str">
        <x:v>闸底淤甲工</x:v>
      </x:c>
      <x:c r="F4656" s="19" t="str">
        <x:v>普通</x:v>
      </x:c>
      <x:c r="G4656" s="19" t="str">
        <x:v>材料独立候选</x:v>
      </x:c>
      <x:c r="H4656" s="19" t="str">
        <x:v>小卢恩</x:v>
      </x:c>
      <x:c r="I4656" s="22" t="n">
        <x:v>25000</x:v>
      </x:c>
      <x:c r="J4656" s="22" t="n">
        <x:v>1</x:v>
      </x:c>
      <x:c r="K4656" s="19" t="n">
        <x:v>1</x:v>
      </x:c>
      <x:c r="L4656" s="24" t="n">
        <x:v>86.8</x:v>
      </x:c>
      <x:c r="M4656" s="26" t="n">
        <x:v>0.1</x:v>
      </x:c>
      <x:c r="N4656" s="24" t="n">
        <x:v>72</x:v>
      </x:c>
      <x:c r="O4656" s="28" t="n">
        <x:f>MIN(1,L4656/I4656)</x:f>
        <x:v>0.003472</x:v>
      </x:c>
      <x:c r="P4656" s="30" t="n">
        <x:f>O4656*J4656*(1+M4656)</x:f>
        <x:v>0.0038192</x:v>
      </x:c>
      <x:c r="Q4656" s="30" t="n">
        <x:f>P4656*N4656</x:f>
        <x:v>0.2749824</x:v>
      </x:c>
      <x:c r="R4656" s="19" t="str">
        <x:v>独立判定</x:v>
      </x:c>
    </x:row>
    <x:row r="4657" ht="19" customHeight="1">
      <x:c r="A4657" s="19" t="str">
        <x:v>D04653</x:v>
      </x:c>
      <x:c r="B4657" s="19" t="n">
        <x:v>10</x:v>
      </x:c>
      <x:c r="C4657" s="19" t="n">
        <x:v>1</x:v>
      </x:c>
      <x:c r="D4657" s="19" t="str">
        <x:v>C10-M005</x:v>
      </x:c>
      <x:c r="E4657" s="19" t="str">
        <x:v>闸底淤甲工</x:v>
      </x:c>
      <x:c r="F4657" s="19" t="str">
        <x:v>普通</x:v>
      </x:c>
      <x:c r="G4657" s="19" t="str">
        <x:v>六神器公共池</x:v>
      </x:c>
      <x:c r="H4657" s="19" t="str">
        <x:v>POOL006</x:v>
      </x:c>
      <x:c r="I4657" s="22" t="n">
        <x:v>20000000</x:v>
      </x:c>
      <x:c r="J4657" s="22" t="n">
        <x:v>1</x:v>
      </x:c>
      <x:c r="K4657" s="19" t="n">
        <x:v>6</x:v>
      </x:c>
      <x:c r="L4657" s="24" t="n">
        <x:v>86.8</x:v>
      </x:c>
      <x:c r="M4657" s="26" t="n">
        <x:v>0.1</x:v>
      </x:c>
      <x:c r="N4657" s="24" t="n">
        <x:v>72</x:v>
      </x:c>
      <x:c r="O4657" s="28" t="n">
        <x:f>MIN(1,L4657/I4657)</x:f>
        <x:v>0.00000434</x:v>
      </x:c>
      <x:c r="P4657" s="30" t="n">
        <x:f>O4657*J4657*(1+M4657)</x:f>
        <x:v>0.000004774</x:v>
      </x:c>
      <x:c r="Q4657" s="30" t="n">
        <x:f>P4657*N4657</x:f>
        <x:v>0.000343728</x:v>
      </x:c>
      <x:c r="R4657" s="19" t="str">
        <x:v>六选一；非6个独立爆率</x:v>
      </x:c>
    </x:row>
    <x:row r="4658" ht="19" customHeight="1">
      <x:c r="A4658" s="19" t="str">
        <x:v>D04654</x:v>
      </x:c>
      <x:c r="B4658" s="19" t="n">
        <x:v>10</x:v>
      </x:c>
      <x:c r="C4658" s="19" t="n">
        <x:v>1</x:v>
      </x:c>
      <x:c r="D4658" s="19" t="str">
        <x:v>C10-M006</x:v>
      </x:c>
      <x:c r="E4658" s="19" t="str">
        <x:v>链轮守栓奴</x:v>
      </x:c>
      <x:c r="F4658" s="19" t="str">
        <x:v>普通</x:v>
      </x:c>
      <x:c r="G4658" s="19" t="str">
        <x:v>自身专属</x:v>
      </x:c>
      <x:c r="H4658" s="19" t="str">
        <x:v>链轮束腰</x:v>
      </x:c>
      <x:c r="I4658" s="22" t="n">
        <x:v>10000</x:v>
      </x:c>
      <x:c r="J4658" s="22" t="n">
        <x:v>1</x:v>
      </x:c>
      <x:c r="K4658" s="19" t="n">
        <x:v>1</x:v>
      </x:c>
      <x:c r="L4658" s="24" t="n">
        <x:v>86.8</x:v>
      </x:c>
      <x:c r="M4658" s="26" t="n">
        <x:v>0.1</x:v>
      </x:c>
      <x:c r="N4658" s="24" t="n">
        <x:v>72</x:v>
      </x:c>
      <x:c r="O4658" s="28" t="n">
        <x:f>MIN(1,L4658/I4658)</x:f>
        <x:v>0.00868</x:v>
      </x:c>
      <x:c r="P4658" s="30" t="n">
        <x:f>O4658*J4658*(1+M4658)</x:f>
        <x:v>0.009548000000000001</x:v>
      </x:c>
      <x:c r="Q4658" s="30" t="n">
        <x:f>P4658*N4658</x:f>
        <x:v>0.6874560000000001</x:v>
      </x:c>
      <x:c r="R4658" s="19" t="str">
        <x:v>独立判定</x:v>
      </x:c>
    </x:row>
    <x:row r="4659" ht="19" customHeight="1">
      <x:c r="A4659" s="19" t="str">
        <x:v>D04655</x:v>
      </x:c>
      <x:c r="B4659" s="19" t="n">
        <x:v>10</x:v>
      </x:c>
      <x:c r="C4659" s="19" t="n">
        <x:v>1</x:v>
      </x:c>
      <x:c r="D4659" s="19" t="str">
        <x:v>C10-M006</x:v>
      </x:c>
      <x:c r="E4659" s="19" t="str">
        <x:v>链轮守栓奴</x:v>
      </x:c>
      <x:c r="F4659" s="19" t="str">
        <x:v>普通</x:v>
      </x:c>
      <x:c r="G4659" s="19" t="str">
        <x:v>材料独立候选</x:v>
      </x:c>
      <x:c r="H4659" s="19" t="str">
        <x:v>王城金屑</x:v>
      </x:c>
      <x:c r="I4659" s="22" t="n">
        <x:v>1800</x:v>
      </x:c>
      <x:c r="J4659" s="22" t="n">
        <x:v>8</x:v>
      </x:c>
      <x:c r="K4659" s="19" t="n">
        <x:v>1</x:v>
      </x:c>
      <x:c r="L4659" s="24" t="n">
        <x:v>86.8</x:v>
      </x:c>
      <x:c r="M4659" s="26" t="n">
        <x:v>0.1</x:v>
      </x:c>
      <x:c r="N4659" s="24" t="n">
        <x:v>72</x:v>
      </x:c>
      <x:c r="O4659" s="28" t="n">
        <x:f>MIN(1,L4659/I4659)</x:f>
        <x:v>0.04822222222222222</x:v>
      </x:c>
      <x:c r="P4659" s="30" t="n">
        <x:f>O4659*J4659*(1+M4659)</x:f>
        <x:v>0.4243555555555556</x:v>
      </x:c>
      <x:c r="Q4659" s="30" t="n">
        <x:f>P4659*N4659</x:f>
        <x:v>30.553600000000003</x:v>
      </x:c>
      <x:c r="R4659" s="19" t="str">
        <x:v>独立判定</x:v>
      </x:c>
    </x:row>
    <x:row r="4660" ht="19" customHeight="1">
      <x:c r="A4660" s="19" t="str">
        <x:v>D04656</x:v>
      </x:c>
      <x:c r="B4660" s="19" t="n">
        <x:v>10</x:v>
      </x:c>
      <x:c r="C4660" s="19" t="n">
        <x:v>1</x:v>
      </x:c>
      <x:c r="D4660" s="19" t="str">
        <x:v>C10-M006</x:v>
      </x:c>
      <x:c r="E4660" s="19" t="str">
        <x:v>链轮守栓奴</x:v>
      </x:c>
      <x:c r="F4660" s="19" t="str">
        <x:v>普通</x:v>
      </x:c>
      <x:c r="G4660" s="19" t="str">
        <x:v>材料独立候选</x:v>
      </x:c>
      <x:c r="H4660" s="19" t="str">
        <x:v>无名墓钉</x:v>
      </x:c>
      <x:c r="I4660" s="22" t="n">
        <x:v>2500</x:v>
      </x:c>
      <x:c r="J4660" s="22" t="n">
        <x:v>1</x:v>
      </x:c>
      <x:c r="K4660" s="19" t="n">
        <x:v>1</x:v>
      </x:c>
      <x:c r="L4660" s="24" t="n">
        <x:v>86.8</x:v>
      </x:c>
      <x:c r="M4660" s="26" t="n">
        <x:v>0.1</x:v>
      </x:c>
      <x:c r="N4660" s="24" t="n">
        <x:v>72</x:v>
      </x:c>
      <x:c r="O4660" s="28" t="n">
        <x:f>MIN(1,L4660/I4660)</x:f>
        <x:v>0.03472</x:v>
      </x:c>
      <x:c r="P4660" s="30" t="n">
        <x:f>O4660*J4660*(1+M4660)</x:f>
        <x:v>0.038192000000000004</x:v>
      </x:c>
      <x:c r="Q4660" s="30" t="n">
        <x:f>P4660*N4660</x:f>
        <x:v>2.7498240000000003</x:v>
      </x:c>
      <x:c r="R4660" s="19" t="str">
        <x:v>独立判定</x:v>
      </x:c>
    </x:row>
    <x:row r="4661" ht="19" customHeight="1">
      <x:c r="A4661" s="19" t="str">
        <x:v>D04657</x:v>
      </x:c>
      <x:c r="B4661" s="19" t="n">
        <x:v>10</x:v>
      </x:c>
      <x:c r="C4661" s="19" t="n">
        <x:v>1</x:v>
      </x:c>
      <x:c r="D4661" s="19" t="str">
        <x:v>C10-M006</x:v>
      </x:c>
      <x:c r="E4661" s="19" t="str">
        <x:v>链轮守栓奴</x:v>
      </x:c>
      <x:c r="F4661" s="19" t="str">
        <x:v>普通</x:v>
      </x:c>
      <x:c r="G4661" s="19" t="str">
        <x:v>材料独立候选</x:v>
      </x:c>
      <x:c r="H4661" s="19" t="str">
        <x:v>穹律鎏痕拓片</x:v>
      </x:c>
      <x:c r="I4661" s="22" t="n">
        <x:v>4000000</x:v>
      </x:c>
      <x:c r="J4661" s="22" t="n">
        <x:v>1</x:v>
      </x:c>
      <x:c r="K4661" s="19" t="n">
        <x:v>1</x:v>
      </x:c>
      <x:c r="L4661" s="24" t="n">
        <x:v>86.8</x:v>
      </x:c>
      <x:c r="M4661" s="26" t="n">
        <x:v>0.1</x:v>
      </x:c>
      <x:c r="N4661" s="24" t="n">
        <x:v>72</x:v>
      </x:c>
      <x:c r="O4661" s="28" t="n">
        <x:f>MIN(1,L4661/I4661)</x:f>
        <x:v>0.0000217</x:v>
      </x:c>
      <x:c r="P4661" s="30" t="n">
        <x:f>O4661*J4661*(1+M4661)</x:f>
        <x:v>0.00002387</x:v>
      </x:c>
      <x:c r="Q4661" s="30" t="n">
        <x:f>P4661*N4661</x:f>
        <x:v>0.00171864</x:v>
      </x:c>
      <x:c r="R4661" s="19" t="str">
        <x:v>独立判定</x:v>
      </x:c>
    </x:row>
    <x:row r="4662" ht="19" customHeight="1">
      <x:c r="A4662" s="19" t="str">
        <x:v>D04658</x:v>
      </x:c>
      <x:c r="B4662" s="19" t="n">
        <x:v>10</x:v>
      </x:c>
      <x:c r="C4662" s="19" t="n">
        <x:v>1</x:v>
      </x:c>
      <x:c r="D4662" s="19" t="str">
        <x:v>C10-M006</x:v>
      </x:c>
      <x:c r="E4662" s="19" t="str">
        <x:v>链轮守栓奴</x:v>
      </x:c>
      <x:c r="F4662" s="19" t="str">
        <x:v>普通</x:v>
      </x:c>
      <x:c r="G4662" s="19" t="str">
        <x:v>材料独立候选</x:v>
      </x:c>
      <x:c r="H4662" s="19" t="str">
        <x:v>野兽骨片</x:v>
      </x:c>
      <x:c r="I4662" s="22" t="n">
        <x:v>500</x:v>
      </x:c>
      <x:c r="J4662" s="22" t="n">
        <x:v>4</x:v>
      </x:c>
      <x:c r="K4662" s="19" t="n">
        <x:v>1</x:v>
      </x:c>
      <x:c r="L4662" s="24" t="n">
        <x:v>86.8</x:v>
      </x:c>
      <x:c r="M4662" s="26" t="n">
        <x:v>0.1</x:v>
      </x:c>
      <x:c r="N4662" s="24" t="n">
        <x:v>72</x:v>
      </x:c>
      <x:c r="O4662" s="28" t="n">
        <x:f>MIN(1,L4662/I4662)</x:f>
        <x:v>0.1736</x:v>
      </x:c>
      <x:c r="P4662" s="30" t="n">
        <x:f>O4662*J4662*(1+M4662)</x:f>
        <x:v>0.7638400000000001</x:v>
      </x:c>
      <x:c r="Q4662" s="30" t="n">
        <x:f>P4662*N4662</x:f>
        <x:v>54.996480000000005</x:v>
      </x:c>
      <x:c r="R4662" s="19" t="str">
        <x:v>独立判定</x:v>
      </x:c>
    </x:row>
    <x:row r="4663" ht="19" customHeight="1">
      <x:c r="A4663" s="19" t="str">
        <x:v>D04659</x:v>
      </x:c>
      <x:c r="B4663" s="19" t="n">
        <x:v>10</x:v>
      </x:c>
      <x:c r="C4663" s="19" t="n">
        <x:v>1</x:v>
      </x:c>
      <x:c r="D4663" s="19" t="str">
        <x:v>C10-M006</x:v>
      </x:c>
      <x:c r="E4663" s="19" t="str">
        <x:v>链轮守栓奴</x:v>
      </x:c>
      <x:c r="F4663" s="19" t="str">
        <x:v>普通</x:v>
      </x:c>
      <x:c r="G4663" s="19" t="str">
        <x:v>材料独立候选</x:v>
      </x:c>
      <x:c r="H4663" s="19" t="str">
        <x:v>技能残页</x:v>
      </x:c>
      <x:c r="I4663" s="22" t="n">
        <x:v>4000</x:v>
      </x:c>
      <x:c r="J4663" s="22" t="n">
        <x:v>1</x:v>
      </x:c>
      <x:c r="K4663" s="19" t="n">
        <x:v>1</x:v>
      </x:c>
      <x:c r="L4663" s="24" t="n">
        <x:v>86.8</x:v>
      </x:c>
      <x:c r="M4663" s="26" t="n">
        <x:v>0.1</x:v>
      </x:c>
      <x:c r="N4663" s="24" t="n">
        <x:v>72</x:v>
      </x:c>
      <x:c r="O4663" s="28" t="n">
        <x:f>MIN(1,L4663/I4663)</x:f>
        <x:v>0.0217</x:v>
      </x:c>
      <x:c r="P4663" s="30" t="n">
        <x:f>O4663*J4663*(1+M4663)</x:f>
        <x:v>0.023870000000000002</x:v>
      </x:c>
      <x:c r="Q4663" s="30" t="n">
        <x:f>P4663*N4663</x:f>
        <x:v>1.7186400000000002</x:v>
      </x:c>
      <x:c r="R4663" s="19" t="str">
        <x:v>独立判定</x:v>
      </x:c>
    </x:row>
    <x:row r="4664" ht="19" customHeight="1">
      <x:c r="A4664" s="19" t="str">
        <x:v>D04660</x:v>
      </x:c>
      <x:c r="B4664" s="19" t="n">
        <x:v>10</x:v>
      </x:c>
      <x:c r="C4664" s="19" t="n">
        <x:v>1</x:v>
      </x:c>
      <x:c r="D4664" s="19" t="str">
        <x:v>C10-M006</x:v>
      </x:c>
      <x:c r="E4664" s="19" t="str">
        <x:v>链轮守栓奴</x:v>
      </x:c>
      <x:c r="F4664" s="19" t="str">
        <x:v>普通</x:v>
      </x:c>
      <x:c r="G4664" s="19" t="str">
        <x:v>材料独立候选</x:v>
      </x:c>
      <x:c r="H4664" s="19" t="str">
        <x:v>小卢恩</x:v>
      </x:c>
      <x:c r="I4664" s="22" t="n">
        <x:v>25000</x:v>
      </x:c>
      <x:c r="J4664" s="22" t="n">
        <x:v>1</x:v>
      </x:c>
      <x:c r="K4664" s="19" t="n">
        <x:v>1</x:v>
      </x:c>
      <x:c r="L4664" s="24" t="n">
        <x:v>86.8</x:v>
      </x:c>
      <x:c r="M4664" s="26" t="n">
        <x:v>0.1</x:v>
      </x:c>
      <x:c r="N4664" s="24" t="n">
        <x:v>72</x:v>
      </x:c>
      <x:c r="O4664" s="28" t="n">
        <x:f>MIN(1,L4664/I4664)</x:f>
        <x:v>0.003472</x:v>
      </x:c>
      <x:c r="P4664" s="30" t="n">
        <x:f>O4664*J4664*(1+M4664)</x:f>
        <x:v>0.0038192</x:v>
      </x:c>
      <x:c r="Q4664" s="30" t="n">
        <x:f>P4664*N4664</x:f>
        <x:v>0.2749824</x:v>
      </x:c>
      <x:c r="R4664" s="19" t="str">
        <x:v>独立判定</x:v>
      </x:c>
    </x:row>
    <x:row r="4665" ht="19" customHeight="1">
      <x:c r="A4665" s="19" t="str">
        <x:v>D04661</x:v>
      </x:c>
      <x:c r="B4665" s="19" t="n">
        <x:v>10</x:v>
      </x:c>
      <x:c r="C4665" s="19" t="n">
        <x:v>1</x:v>
      </x:c>
      <x:c r="D4665" s="19" t="str">
        <x:v>C10-M006</x:v>
      </x:c>
      <x:c r="E4665" s="19" t="str">
        <x:v>链轮守栓奴</x:v>
      </x:c>
      <x:c r="F4665" s="19" t="str">
        <x:v>普通</x:v>
      </x:c>
      <x:c r="G4665" s="19" t="str">
        <x:v>六神器公共池</x:v>
      </x:c>
      <x:c r="H4665" s="19" t="str">
        <x:v>POOL006</x:v>
      </x:c>
      <x:c r="I4665" s="22" t="n">
        <x:v>20000000</x:v>
      </x:c>
      <x:c r="J4665" s="22" t="n">
        <x:v>1</x:v>
      </x:c>
      <x:c r="K4665" s="19" t="n">
        <x:v>6</x:v>
      </x:c>
      <x:c r="L4665" s="24" t="n">
        <x:v>86.8</x:v>
      </x:c>
      <x:c r="M4665" s="26" t="n">
        <x:v>0.1</x:v>
      </x:c>
      <x:c r="N4665" s="24" t="n">
        <x:v>72</x:v>
      </x:c>
      <x:c r="O4665" s="28" t="n">
        <x:f>MIN(1,L4665/I4665)</x:f>
        <x:v>0.00000434</x:v>
      </x:c>
      <x:c r="P4665" s="30" t="n">
        <x:f>O4665*J4665*(1+M4665)</x:f>
        <x:v>0.000004774</x:v>
      </x:c>
      <x:c r="Q4665" s="30" t="n">
        <x:f>P4665*N4665</x:f>
        <x:v>0.000343728</x:v>
      </x:c>
      <x:c r="R4665" s="19" t="str">
        <x:v>六选一；非6个独立爆率</x:v>
      </x:c>
    </x:row>
    <x:row r="4666" ht="19" customHeight="1">
      <x:c r="A4666" s="19" t="str">
        <x:v>D04662</x:v>
      </x:c>
      <x:c r="B4666" s="19" t="n">
        <x:v>10</x:v>
      </x:c>
      <x:c r="C4666" s="19" t="n">
        <x:v>1</x:v>
      </x:c>
      <x:c r="D4666" s="19" t="str">
        <x:v>C10-M007</x:v>
      </x:c>
      <x:c r="E4666" s="19" t="str">
        <x:v>碎檐金羽鸦</x:v>
      </x:c>
      <x:c r="F4666" s="19" t="str">
        <x:v>稀有</x:v>
      </x:c>
      <x:c r="G4666" s="19" t="str">
        <x:v>自身专属</x:v>
      </x:c>
      <x:c r="H4666" s="19" t="str">
        <x:v>碎檐金羽镯</x:v>
      </x:c>
      <x:c r="I4666" s="22" t="n">
        <x:v>2500</x:v>
      </x:c>
      <x:c r="J4666" s="22" t="n">
        <x:v>1</x:v>
      </x:c>
      <x:c r="K4666" s="19" t="n">
        <x:v>1</x:v>
      </x:c>
      <x:c r="L4666" s="24" t="n">
        <x:v>86.8</x:v>
      </x:c>
      <x:c r="M4666" s="26" t="n">
        <x:v>0.1</x:v>
      </x:c>
      <x:c r="N4666" s="24" t="n">
        <x:v>12</x:v>
      </x:c>
      <x:c r="O4666" s="28" t="n">
        <x:f>MIN(1,L4666/I4666)</x:f>
        <x:v>0.03472</x:v>
      </x:c>
      <x:c r="P4666" s="30" t="n">
        <x:f>O4666*J4666*(1+M4666)</x:f>
        <x:v>0.038192000000000004</x:v>
      </x:c>
      <x:c r="Q4666" s="30" t="n">
        <x:f>P4666*N4666</x:f>
        <x:v>0.45830400000000004</x:v>
      </x:c>
      <x:c r="R4666" s="19" t="str">
        <x:v>独立判定</x:v>
      </x:c>
    </x:row>
    <x:row r="4667" ht="19" customHeight="1">
      <x:c r="A4667" s="19" t="str">
        <x:v>D04663</x:v>
      </x:c>
      <x:c r="B4667" s="19" t="n">
        <x:v>10</x:v>
      </x:c>
      <x:c r="C4667" s="19" t="n">
        <x:v>1</x:v>
      </x:c>
      <x:c r="D4667" s="19" t="str">
        <x:v>C10-M007</x:v>
      </x:c>
      <x:c r="E4667" s="19" t="str">
        <x:v>碎檐金羽鸦</x:v>
      </x:c>
      <x:c r="F4667" s="19" t="str">
        <x:v>稀有</x:v>
      </x:c>
      <x:c r="G4667" s="19" t="str">
        <x:v>材料独立候选</x:v>
      </x:c>
      <x:c r="H4667" s="19" t="str">
        <x:v>王城金屑</x:v>
      </x:c>
      <x:c r="I4667" s="22" t="n">
        <x:v>1200</x:v>
      </x:c>
      <x:c r="J4667" s="22" t="n">
        <x:v>15</x:v>
      </x:c>
      <x:c r="K4667" s="19" t="n">
        <x:v>1</x:v>
      </x:c>
      <x:c r="L4667" s="24" t="n">
        <x:v>86.8</x:v>
      </x:c>
      <x:c r="M4667" s="26" t="n">
        <x:v>0.1</x:v>
      </x:c>
      <x:c r="N4667" s="24" t="n">
        <x:v>12</x:v>
      </x:c>
      <x:c r="O4667" s="28" t="n">
        <x:f>MIN(1,L4667/I4667)</x:f>
        <x:v>0.07233333333333333</x:v>
      </x:c>
      <x:c r="P4667" s="30" t="n">
        <x:f>O4667*J4667*(1+M4667)</x:f>
        <x:v>1.1935</x:v>
      </x:c>
      <x:c r="Q4667" s="30" t="n">
        <x:f>P4667*N4667</x:f>
        <x:v>14.322</x:v>
      </x:c>
      <x:c r="R4667" s="19" t="str">
        <x:v>独立判定</x:v>
      </x:c>
    </x:row>
    <x:row r="4668" ht="19" customHeight="1">
      <x:c r="A4668" s="19" t="str">
        <x:v>D04664</x:v>
      </x:c>
      <x:c r="B4668" s="19" t="n">
        <x:v>10</x:v>
      </x:c>
      <x:c r="C4668" s="19" t="n">
        <x:v>1</x:v>
      </x:c>
      <x:c r="D4668" s="19" t="str">
        <x:v>C10-M007</x:v>
      </x:c>
      <x:c r="E4668" s="19" t="str">
        <x:v>碎檐金羽鸦</x:v>
      </x:c>
      <x:c r="F4668" s="19" t="str">
        <x:v>稀有</x:v>
      </x:c>
      <x:c r="G4668" s="19" t="str">
        <x:v>材料独立候选</x:v>
      </x:c>
      <x:c r="H4668" s="19" t="str">
        <x:v>王宫律文</x:v>
      </x:c>
      <x:c r="I4668" s="22" t="n">
        <x:v>800</x:v>
      </x:c>
      <x:c r="J4668" s="22" t="n">
        <x:v>1</x:v>
      </x:c>
      <x:c r="K4668" s="19" t="n">
        <x:v>1</x:v>
      </x:c>
      <x:c r="L4668" s="24" t="n">
        <x:v>86.8</x:v>
      </x:c>
      <x:c r="M4668" s="26" t="n">
        <x:v>0.1</x:v>
      </x:c>
      <x:c r="N4668" s="24" t="n">
        <x:v>12</x:v>
      </x:c>
      <x:c r="O4668" s="28" t="n">
        <x:f>MIN(1,L4668/I4668)</x:f>
        <x:v>0.1085</x:v>
      </x:c>
      <x:c r="P4668" s="30" t="n">
        <x:f>O4668*J4668*(1+M4668)</x:f>
        <x:v>0.11935000000000001</x:v>
      </x:c>
      <x:c r="Q4668" s="30" t="n">
        <x:f>P4668*N4668</x:f>
        <x:v>1.4322000000000001</x:v>
      </x:c>
      <x:c r="R4668" s="19" t="str">
        <x:v>独立判定</x:v>
      </x:c>
    </x:row>
    <x:row r="4669" ht="19" customHeight="1">
      <x:c r="A4669" s="19" t="str">
        <x:v>D04665</x:v>
      </x:c>
      <x:c r="B4669" s="19" t="n">
        <x:v>10</x:v>
      </x:c>
      <x:c r="C4669" s="19" t="n">
        <x:v>1</x:v>
      </x:c>
      <x:c r="D4669" s="19" t="str">
        <x:v>C10-M007</x:v>
      </x:c>
      <x:c r="E4669" s="19" t="str">
        <x:v>碎檐金羽鸦</x:v>
      </x:c>
      <x:c r="F4669" s="19" t="str">
        <x:v>稀有</x:v>
      </x:c>
      <x:c r="G4669" s="19" t="str">
        <x:v>材料独立候选</x:v>
      </x:c>
      <x:c r="H4669" s="19" t="str">
        <x:v>旧渠阀芯</x:v>
      </x:c>
      <x:c r="I4669" s="22" t="n">
        <x:v>800</x:v>
      </x:c>
      <x:c r="J4669" s="22" t="n">
        <x:v>1</x:v>
      </x:c>
      <x:c r="K4669" s="19" t="n">
        <x:v>1</x:v>
      </x:c>
      <x:c r="L4669" s="24" t="n">
        <x:v>86.8</x:v>
      </x:c>
      <x:c r="M4669" s="26" t="n">
        <x:v>0.1</x:v>
      </x:c>
      <x:c r="N4669" s="24" t="n">
        <x:v>12</x:v>
      </x:c>
      <x:c r="O4669" s="28" t="n">
        <x:f>MIN(1,L4669/I4669)</x:f>
        <x:v>0.1085</x:v>
      </x:c>
      <x:c r="P4669" s="30" t="n">
        <x:f>O4669*J4669*(1+M4669)</x:f>
        <x:v>0.11935000000000001</x:v>
      </x:c>
      <x:c r="Q4669" s="30" t="n">
        <x:f>P4669*N4669</x:f>
        <x:v>1.4322000000000001</x:v>
      </x:c>
      <x:c r="R4669" s="19" t="str">
        <x:v>独立判定</x:v>
      </x:c>
    </x:row>
    <x:row r="4670" ht="19" customHeight="1">
      <x:c r="A4670" s="19" t="str">
        <x:v>D04666</x:v>
      </x:c>
      <x:c r="B4670" s="19" t="n">
        <x:v>10</x:v>
      </x:c>
      <x:c r="C4670" s="19" t="n">
        <x:v>1</x:v>
      </x:c>
      <x:c r="D4670" s="19" t="str">
        <x:v>C10-M007</x:v>
      </x:c>
      <x:c r="E4670" s="19" t="str">
        <x:v>碎檐金羽鸦</x:v>
      </x:c>
      <x:c r="F4670" s="19" t="str">
        <x:v>稀有</x:v>
      </x:c>
      <x:c r="G4670" s="19" t="str">
        <x:v>材料独立候选</x:v>
      </x:c>
      <x:c r="H4670" s="19" t="str">
        <x:v>穹律鎏痕拓片</x:v>
      </x:c>
      <x:c r="I4670" s="22" t="n">
        <x:v>2500000</x:v>
      </x:c>
      <x:c r="J4670" s="22" t="n">
        <x:v>1</x:v>
      </x:c>
      <x:c r="K4670" s="19" t="n">
        <x:v>1</x:v>
      </x:c>
      <x:c r="L4670" s="24" t="n">
        <x:v>86.8</x:v>
      </x:c>
      <x:c r="M4670" s="26" t="n">
        <x:v>0.1</x:v>
      </x:c>
      <x:c r="N4670" s="24" t="n">
        <x:v>12</x:v>
      </x:c>
      <x:c r="O4670" s="28" t="n">
        <x:f>MIN(1,L4670/I4670)</x:f>
        <x:v>0.00003472</x:v>
      </x:c>
      <x:c r="P4670" s="30" t="n">
        <x:f>O4670*J4670*(1+M4670)</x:f>
        <x:v>0.000038192</x:v>
      </x:c>
      <x:c r="Q4670" s="30" t="n">
        <x:f>P4670*N4670</x:f>
        <x:v>0.00045830400000000004</x:v>
      </x:c>
      <x:c r="R4670" s="19" t="str">
        <x:v>独立判定</x:v>
      </x:c>
    </x:row>
    <x:row r="4671" ht="19" customHeight="1">
      <x:c r="A4671" s="19" t="str">
        <x:v>D04667</x:v>
      </x:c>
      <x:c r="B4671" s="19" t="n">
        <x:v>10</x:v>
      </x:c>
      <x:c r="C4671" s="19" t="n">
        <x:v>1</x:v>
      </x:c>
      <x:c r="D4671" s="19" t="str">
        <x:v>C10-M007</x:v>
      </x:c>
      <x:c r="E4671" s="19" t="str">
        <x:v>碎檐金羽鸦</x:v>
      </x:c>
      <x:c r="F4671" s="19" t="str">
        <x:v>稀有</x:v>
      </x:c>
      <x:c r="G4671" s="19" t="str">
        <x:v>材料独立候选</x:v>
      </x:c>
      <x:c r="H4671" s="19" t="str">
        <x:v>黄金树芽</x:v>
      </x:c>
      <x:c r="I4671" s="22" t="n">
        <x:v>2500</x:v>
      </x:c>
      <x:c r="J4671" s="22" t="n">
        <x:v>1</x:v>
      </x:c>
      <x:c r="K4671" s="19" t="n">
        <x:v>1</x:v>
      </x:c>
      <x:c r="L4671" s="24" t="n">
        <x:v>86.8</x:v>
      </x:c>
      <x:c r="M4671" s="26" t="n">
        <x:v>0.1</x:v>
      </x:c>
      <x:c r="N4671" s="24" t="n">
        <x:v>12</x:v>
      </x:c>
      <x:c r="O4671" s="28" t="n">
        <x:f>MIN(1,L4671/I4671)</x:f>
        <x:v>0.03472</x:v>
      </x:c>
      <x:c r="P4671" s="30" t="n">
        <x:f>O4671*J4671*(1+M4671)</x:f>
        <x:v>0.038192000000000004</x:v>
      </x:c>
      <x:c r="Q4671" s="30" t="n">
        <x:f>P4671*N4671</x:f>
        <x:v>0.45830400000000004</x:v>
      </x:c>
      <x:c r="R4671" s="19" t="str">
        <x:v>独立判定</x:v>
      </x:c>
    </x:row>
    <x:row r="4672" ht="19" customHeight="1">
      <x:c r="A4672" s="19" t="str">
        <x:v>D04668</x:v>
      </x:c>
      <x:c r="B4672" s="19" t="n">
        <x:v>10</x:v>
      </x:c>
      <x:c r="C4672" s="19" t="n">
        <x:v>1</x:v>
      </x:c>
      <x:c r="D4672" s="19" t="str">
        <x:v>C10-M007</x:v>
      </x:c>
      <x:c r="E4672" s="19" t="str">
        <x:v>碎檐金羽鸦</x:v>
      </x:c>
      <x:c r="F4672" s="19" t="str">
        <x:v>稀有</x:v>
      </x:c>
      <x:c r="G4672" s="19" t="str">
        <x:v>材料独立候选</x:v>
      </x:c>
      <x:c r="H4672" s="19" t="str">
        <x:v>野兽骨片</x:v>
      </x:c>
      <x:c r="I4672" s="22" t="n">
        <x:v>300</x:v>
      </x:c>
      <x:c r="J4672" s="22" t="n">
        <x:v>4</x:v>
      </x:c>
      <x:c r="K4672" s="19" t="n">
        <x:v>1</x:v>
      </x:c>
      <x:c r="L4672" s="24" t="n">
        <x:v>86.8</x:v>
      </x:c>
      <x:c r="M4672" s="26" t="n">
        <x:v>0.1</x:v>
      </x:c>
      <x:c r="N4672" s="24" t="n">
        <x:v>12</x:v>
      </x:c>
      <x:c r="O4672" s="28" t="n">
        <x:f>MIN(1,L4672/I4672)</x:f>
        <x:v>0.28933333333333333</x:v>
      </x:c>
      <x:c r="P4672" s="30" t="n">
        <x:f>O4672*J4672*(1+M4672)</x:f>
        <x:v>1.2730666666666668</x:v>
      </x:c>
      <x:c r="Q4672" s="30" t="n">
        <x:f>P4672*N4672</x:f>
        <x:v>15.276800000000001</x:v>
      </x:c>
      <x:c r="R4672" s="19" t="str">
        <x:v>独立判定</x:v>
      </x:c>
    </x:row>
    <x:row r="4673" ht="19" customHeight="1">
      <x:c r="A4673" s="19" t="str">
        <x:v>D04669</x:v>
      </x:c>
      <x:c r="B4673" s="19" t="n">
        <x:v>10</x:v>
      </x:c>
      <x:c r="C4673" s="19" t="n">
        <x:v>1</x:v>
      </x:c>
      <x:c r="D4673" s="19" t="str">
        <x:v>C10-M007</x:v>
      </x:c>
      <x:c r="E4673" s="19" t="str">
        <x:v>碎檐金羽鸦</x:v>
      </x:c>
      <x:c r="F4673" s="19" t="str">
        <x:v>稀有</x:v>
      </x:c>
      <x:c r="G4673" s="19" t="str">
        <x:v>材料独立候选</x:v>
      </x:c>
      <x:c r="H4673" s="19" t="str">
        <x:v>技能残页</x:v>
      </x:c>
      <x:c r="I4673" s="22" t="n">
        <x:v>3000</x:v>
      </x:c>
      <x:c r="J4673" s="22" t="n">
        <x:v>1</x:v>
      </x:c>
      <x:c r="K4673" s="19" t="n">
        <x:v>1</x:v>
      </x:c>
      <x:c r="L4673" s="24" t="n">
        <x:v>86.8</x:v>
      </x:c>
      <x:c r="M4673" s="26" t="n">
        <x:v>0.1</x:v>
      </x:c>
      <x:c r="N4673" s="24" t="n">
        <x:v>12</x:v>
      </x:c>
      <x:c r="O4673" s="28" t="n">
        <x:f>MIN(1,L4673/I4673)</x:f>
        <x:v>0.028933333333333332</x:v>
      </x:c>
      <x:c r="P4673" s="30" t="n">
        <x:f>O4673*J4673*(1+M4673)</x:f>
        <x:v>0.03182666666666667</x:v>
      </x:c>
      <x:c r="Q4673" s="30" t="n">
        <x:f>P4673*N4673</x:f>
        <x:v>0.38192000000000004</x:v>
      </x:c>
      <x:c r="R4673" s="19" t="str">
        <x:v>独立判定</x:v>
      </x:c>
    </x:row>
    <x:row r="4674" ht="19" customHeight="1">
      <x:c r="A4674" s="19" t="str">
        <x:v>D04670</x:v>
      </x:c>
      <x:c r="B4674" s="19" t="n">
        <x:v>10</x:v>
      </x:c>
      <x:c r="C4674" s="19" t="n">
        <x:v>1</x:v>
      </x:c>
      <x:c r="D4674" s="19" t="str">
        <x:v>C10-M007</x:v>
      </x:c>
      <x:c r="E4674" s="19" t="str">
        <x:v>碎檐金羽鸦</x:v>
      </x:c>
      <x:c r="F4674" s="19" t="str">
        <x:v>稀有</x:v>
      </x:c>
      <x:c r="G4674" s="19" t="str">
        <x:v>材料独立候选</x:v>
      </x:c>
      <x:c r="H4674" s="19" t="str">
        <x:v>小卢恩</x:v>
      </x:c>
      <x:c r="I4674" s="22" t="n">
        <x:v>15000</x:v>
      </x:c>
      <x:c r="J4674" s="22" t="n">
        <x:v>1</x:v>
      </x:c>
      <x:c r="K4674" s="19" t="n">
        <x:v>1</x:v>
      </x:c>
      <x:c r="L4674" s="24" t="n">
        <x:v>86.8</x:v>
      </x:c>
      <x:c r="M4674" s="26" t="n">
        <x:v>0.1</x:v>
      </x:c>
      <x:c r="N4674" s="24" t="n">
        <x:v>12</x:v>
      </x:c>
      <x:c r="O4674" s="28" t="n">
        <x:f>MIN(1,L4674/I4674)</x:f>
        <x:v>0.0057866666666666665</x:v>
      </x:c>
      <x:c r="P4674" s="30" t="n">
        <x:f>O4674*J4674*(1+M4674)</x:f>
        <x:v>0.006365333333333334</x:v>
      </x:c>
      <x:c r="Q4674" s="30" t="n">
        <x:f>P4674*N4674</x:f>
        <x:v>0.07638400000000001</x:v>
      </x:c>
      <x:c r="R4674" s="19" t="str">
        <x:v>独立判定</x:v>
      </x:c>
    </x:row>
    <x:row r="4675" ht="19" customHeight="1">
      <x:c r="A4675" s="19" t="str">
        <x:v>D04671</x:v>
      </x:c>
      <x:c r="B4675" s="19" t="n">
        <x:v>10</x:v>
      </x:c>
      <x:c r="C4675" s="19" t="n">
        <x:v>1</x:v>
      </x:c>
      <x:c r="D4675" s="19" t="str">
        <x:v>C10-M007</x:v>
      </x:c>
      <x:c r="E4675" s="19" t="str">
        <x:v>碎檐金羽鸦</x:v>
      </x:c>
      <x:c r="F4675" s="19" t="str">
        <x:v>稀有</x:v>
      </x:c>
      <x:c r="G4675" s="19" t="str">
        <x:v>六神器公共池</x:v>
      </x:c>
      <x:c r="H4675" s="19" t="str">
        <x:v>POOL006</x:v>
      </x:c>
      <x:c r="I4675" s="22" t="n">
        <x:v>5000000</x:v>
      </x:c>
      <x:c r="J4675" s="22" t="n">
        <x:v>1</x:v>
      </x:c>
      <x:c r="K4675" s="19" t="n">
        <x:v>6</x:v>
      </x:c>
      <x:c r="L4675" s="24" t="n">
        <x:v>86.8</x:v>
      </x:c>
      <x:c r="M4675" s="26" t="n">
        <x:v>0.1</x:v>
      </x:c>
      <x:c r="N4675" s="24" t="n">
        <x:v>12</x:v>
      </x:c>
      <x:c r="O4675" s="28" t="n">
        <x:f>MIN(1,L4675/I4675)</x:f>
        <x:v>0.00001736</x:v>
      </x:c>
      <x:c r="P4675" s="30" t="n">
        <x:f>O4675*J4675*(1+M4675)</x:f>
        <x:v>0.000019096</x:v>
      </x:c>
      <x:c r="Q4675" s="30" t="n">
        <x:f>P4675*N4675</x:f>
        <x:v>0.00022915200000000002</x:v>
      </x:c>
      <x:c r="R4675" s="19" t="str">
        <x:v>六选一；非6个独立爆率</x:v>
      </x:c>
    </x:row>
    <x:row r="4676" ht="19" customHeight="1">
      <x:c r="A4676" s="19" t="str">
        <x:v>D04672</x:v>
      </x:c>
      <x:c r="B4676" s="19" t="n">
        <x:v>10</x:v>
      </x:c>
      <x:c r="C4676" s="19" t="n">
        <x:v>1</x:v>
      </x:c>
      <x:c r="D4676" s="19" t="str">
        <x:v>C10-M008</x:v>
      </x:c>
      <x:c r="E4676" s="19" t="str">
        <x:v>缄口税契吏</x:v>
      </x:c>
      <x:c r="F4676" s="19" t="str">
        <x:v>稀有</x:v>
      </x:c>
      <x:c r="G4676" s="19" t="str">
        <x:v>自身专属</x:v>
      </x:c>
      <x:c r="H4676" s="19" t="str">
        <x:v>缄契铅印戒</x:v>
      </x:c>
      <x:c r="I4676" s="22" t="n">
        <x:v>2500</x:v>
      </x:c>
      <x:c r="J4676" s="22" t="n">
        <x:v>1</x:v>
      </x:c>
      <x:c r="K4676" s="19" t="n">
        <x:v>1</x:v>
      </x:c>
      <x:c r="L4676" s="24" t="n">
        <x:v>86.8</x:v>
      </x:c>
      <x:c r="M4676" s="26" t="n">
        <x:v>0.1</x:v>
      </x:c>
      <x:c r="N4676" s="24" t="n">
        <x:v>12</x:v>
      </x:c>
      <x:c r="O4676" s="28" t="n">
        <x:f>MIN(1,L4676/I4676)</x:f>
        <x:v>0.03472</x:v>
      </x:c>
      <x:c r="P4676" s="30" t="n">
        <x:f>O4676*J4676*(1+M4676)</x:f>
        <x:v>0.038192000000000004</x:v>
      </x:c>
      <x:c r="Q4676" s="30" t="n">
        <x:f>P4676*N4676</x:f>
        <x:v>0.45830400000000004</x:v>
      </x:c>
      <x:c r="R4676" s="19" t="str">
        <x:v>独立判定</x:v>
      </x:c>
    </x:row>
    <x:row r="4677" ht="19" customHeight="1">
      <x:c r="A4677" s="19" t="str">
        <x:v>D04673</x:v>
      </x:c>
      <x:c r="B4677" s="19" t="n">
        <x:v>10</x:v>
      </x:c>
      <x:c r="C4677" s="19" t="n">
        <x:v>1</x:v>
      </x:c>
      <x:c r="D4677" s="19" t="str">
        <x:v>C10-M008</x:v>
      </x:c>
      <x:c r="E4677" s="19" t="str">
        <x:v>缄口税契吏</x:v>
      </x:c>
      <x:c r="F4677" s="19" t="str">
        <x:v>稀有</x:v>
      </x:c>
      <x:c r="G4677" s="19" t="str">
        <x:v>材料独立候选</x:v>
      </x:c>
      <x:c r="H4677" s="19" t="str">
        <x:v>王城金屑</x:v>
      </x:c>
      <x:c r="I4677" s="22" t="n">
        <x:v>1200</x:v>
      </x:c>
      <x:c r="J4677" s="22" t="n">
        <x:v>15</x:v>
      </x:c>
      <x:c r="K4677" s="19" t="n">
        <x:v>1</x:v>
      </x:c>
      <x:c r="L4677" s="24" t="n">
        <x:v>86.8</x:v>
      </x:c>
      <x:c r="M4677" s="26" t="n">
        <x:v>0.1</x:v>
      </x:c>
      <x:c r="N4677" s="24" t="n">
        <x:v>12</x:v>
      </x:c>
      <x:c r="O4677" s="28" t="n">
        <x:f>MIN(1,L4677/I4677)</x:f>
        <x:v>0.07233333333333333</x:v>
      </x:c>
      <x:c r="P4677" s="30" t="n">
        <x:f>O4677*J4677*(1+M4677)</x:f>
        <x:v>1.1935</x:v>
      </x:c>
      <x:c r="Q4677" s="30" t="n">
        <x:f>P4677*N4677</x:f>
        <x:v>14.322</x:v>
      </x:c>
      <x:c r="R4677" s="19" t="str">
        <x:v>独立判定</x:v>
      </x:c>
    </x:row>
    <x:row r="4678" ht="19" customHeight="1">
      <x:c r="A4678" s="19" t="str">
        <x:v>D04674</x:v>
      </x:c>
      <x:c r="B4678" s="19" t="n">
        <x:v>10</x:v>
      </x:c>
      <x:c r="C4678" s="19" t="n">
        <x:v>1</x:v>
      </x:c>
      <x:c r="D4678" s="19" t="str">
        <x:v>C10-M008</x:v>
      </x:c>
      <x:c r="E4678" s="19" t="str">
        <x:v>缄口税契吏</x:v>
      </x:c>
      <x:c r="F4678" s="19" t="str">
        <x:v>稀有</x:v>
      </x:c>
      <x:c r="G4678" s="19" t="str">
        <x:v>材料独立候选</x:v>
      </x:c>
      <x:c r="H4678" s="19" t="str">
        <x:v>王宫律文</x:v>
      </x:c>
      <x:c r="I4678" s="22" t="n">
        <x:v>800</x:v>
      </x:c>
      <x:c r="J4678" s="22" t="n">
        <x:v>1</x:v>
      </x:c>
      <x:c r="K4678" s="19" t="n">
        <x:v>1</x:v>
      </x:c>
      <x:c r="L4678" s="24" t="n">
        <x:v>86.8</x:v>
      </x:c>
      <x:c r="M4678" s="26" t="n">
        <x:v>0.1</x:v>
      </x:c>
      <x:c r="N4678" s="24" t="n">
        <x:v>12</x:v>
      </x:c>
      <x:c r="O4678" s="28" t="n">
        <x:f>MIN(1,L4678/I4678)</x:f>
        <x:v>0.1085</x:v>
      </x:c>
      <x:c r="P4678" s="30" t="n">
        <x:f>O4678*J4678*(1+M4678)</x:f>
        <x:v>0.11935000000000001</x:v>
      </x:c>
      <x:c r="Q4678" s="30" t="n">
        <x:f>P4678*N4678</x:f>
        <x:v>1.4322000000000001</x:v>
      </x:c>
      <x:c r="R4678" s="19" t="str">
        <x:v>独立判定</x:v>
      </x:c>
    </x:row>
    <x:row r="4679" ht="19" customHeight="1">
      <x:c r="A4679" s="19" t="str">
        <x:v>D04675</x:v>
      </x:c>
      <x:c r="B4679" s="19" t="n">
        <x:v>10</x:v>
      </x:c>
      <x:c r="C4679" s="19" t="n">
        <x:v>1</x:v>
      </x:c>
      <x:c r="D4679" s="19" t="str">
        <x:v>C10-M008</x:v>
      </x:c>
      <x:c r="E4679" s="19" t="str">
        <x:v>缄口税契吏</x:v>
      </x:c>
      <x:c r="F4679" s="19" t="str">
        <x:v>稀有</x:v>
      </x:c>
      <x:c r="G4679" s="19" t="str">
        <x:v>材料独立候选</x:v>
      </x:c>
      <x:c r="H4679" s="19" t="str">
        <x:v>旧渠阀芯</x:v>
      </x:c>
      <x:c r="I4679" s="22" t="n">
        <x:v>800</x:v>
      </x:c>
      <x:c r="J4679" s="22" t="n">
        <x:v>1</x:v>
      </x:c>
      <x:c r="K4679" s="19" t="n">
        <x:v>1</x:v>
      </x:c>
      <x:c r="L4679" s="24" t="n">
        <x:v>86.8</x:v>
      </x:c>
      <x:c r="M4679" s="26" t="n">
        <x:v>0.1</x:v>
      </x:c>
      <x:c r="N4679" s="24" t="n">
        <x:v>12</x:v>
      </x:c>
      <x:c r="O4679" s="28" t="n">
        <x:f>MIN(1,L4679/I4679)</x:f>
        <x:v>0.1085</x:v>
      </x:c>
      <x:c r="P4679" s="30" t="n">
        <x:f>O4679*J4679*(1+M4679)</x:f>
        <x:v>0.11935000000000001</x:v>
      </x:c>
      <x:c r="Q4679" s="30" t="n">
        <x:f>P4679*N4679</x:f>
        <x:v>1.4322000000000001</x:v>
      </x:c>
      <x:c r="R4679" s="19" t="str">
        <x:v>独立判定</x:v>
      </x:c>
    </x:row>
    <x:row r="4680" ht="19" customHeight="1">
      <x:c r="A4680" s="19" t="str">
        <x:v>D04676</x:v>
      </x:c>
      <x:c r="B4680" s="19" t="n">
        <x:v>10</x:v>
      </x:c>
      <x:c r="C4680" s="19" t="n">
        <x:v>1</x:v>
      </x:c>
      <x:c r="D4680" s="19" t="str">
        <x:v>C10-M008</x:v>
      </x:c>
      <x:c r="E4680" s="19" t="str">
        <x:v>缄口税契吏</x:v>
      </x:c>
      <x:c r="F4680" s="19" t="str">
        <x:v>稀有</x:v>
      </x:c>
      <x:c r="G4680" s="19" t="str">
        <x:v>材料独立候选</x:v>
      </x:c>
      <x:c r="H4680" s="19" t="str">
        <x:v>穹律鎏痕拓片</x:v>
      </x:c>
      <x:c r="I4680" s="22" t="n">
        <x:v>2500000</x:v>
      </x:c>
      <x:c r="J4680" s="22" t="n">
        <x:v>1</x:v>
      </x:c>
      <x:c r="K4680" s="19" t="n">
        <x:v>1</x:v>
      </x:c>
      <x:c r="L4680" s="24" t="n">
        <x:v>86.8</x:v>
      </x:c>
      <x:c r="M4680" s="26" t="n">
        <x:v>0.1</x:v>
      </x:c>
      <x:c r="N4680" s="24" t="n">
        <x:v>12</x:v>
      </x:c>
      <x:c r="O4680" s="28" t="n">
        <x:f>MIN(1,L4680/I4680)</x:f>
        <x:v>0.00003472</x:v>
      </x:c>
      <x:c r="P4680" s="30" t="n">
        <x:f>O4680*J4680*(1+M4680)</x:f>
        <x:v>0.000038192</x:v>
      </x:c>
      <x:c r="Q4680" s="30" t="n">
        <x:f>P4680*N4680</x:f>
        <x:v>0.00045830400000000004</x:v>
      </x:c>
      <x:c r="R4680" s="19" t="str">
        <x:v>独立判定</x:v>
      </x:c>
    </x:row>
    <x:row r="4681" ht="19" customHeight="1">
      <x:c r="A4681" s="19" t="str">
        <x:v>D04677</x:v>
      </x:c>
      <x:c r="B4681" s="19" t="n">
        <x:v>10</x:v>
      </x:c>
      <x:c r="C4681" s="19" t="n">
        <x:v>1</x:v>
      </x:c>
      <x:c r="D4681" s="19" t="str">
        <x:v>C10-M008</x:v>
      </x:c>
      <x:c r="E4681" s="19" t="str">
        <x:v>缄口税契吏</x:v>
      </x:c>
      <x:c r="F4681" s="19" t="str">
        <x:v>稀有</x:v>
      </x:c>
      <x:c r="G4681" s="19" t="str">
        <x:v>材料独立候选</x:v>
      </x:c>
      <x:c r="H4681" s="19" t="str">
        <x:v>黄金树芽</x:v>
      </x:c>
      <x:c r="I4681" s="22" t="n">
        <x:v>2500</x:v>
      </x:c>
      <x:c r="J4681" s="22" t="n">
        <x:v>1</x:v>
      </x:c>
      <x:c r="K4681" s="19" t="n">
        <x:v>1</x:v>
      </x:c>
      <x:c r="L4681" s="24" t="n">
        <x:v>86.8</x:v>
      </x:c>
      <x:c r="M4681" s="26" t="n">
        <x:v>0.1</x:v>
      </x:c>
      <x:c r="N4681" s="24" t="n">
        <x:v>12</x:v>
      </x:c>
      <x:c r="O4681" s="28" t="n">
        <x:f>MIN(1,L4681/I4681)</x:f>
        <x:v>0.03472</x:v>
      </x:c>
      <x:c r="P4681" s="30" t="n">
        <x:f>O4681*J4681*(1+M4681)</x:f>
        <x:v>0.038192000000000004</x:v>
      </x:c>
      <x:c r="Q4681" s="30" t="n">
        <x:f>P4681*N4681</x:f>
        <x:v>0.45830400000000004</x:v>
      </x:c>
      <x:c r="R4681" s="19" t="str">
        <x:v>独立判定</x:v>
      </x:c>
    </x:row>
    <x:row r="4682" ht="19" customHeight="1">
      <x:c r="A4682" s="19" t="str">
        <x:v>D04678</x:v>
      </x:c>
      <x:c r="B4682" s="19" t="n">
        <x:v>10</x:v>
      </x:c>
      <x:c r="C4682" s="19" t="n">
        <x:v>1</x:v>
      </x:c>
      <x:c r="D4682" s="19" t="str">
        <x:v>C10-M008</x:v>
      </x:c>
      <x:c r="E4682" s="19" t="str">
        <x:v>缄口税契吏</x:v>
      </x:c>
      <x:c r="F4682" s="19" t="str">
        <x:v>稀有</x:v>
      </x:c>
      <x:c r="G4682" s="19" t="str">
        <x:v>材料独立候选</x:v>
      </x:c>
      <x:c r="H4682" s="19" t="str">
        <x:v>野兽骨片</x:v>
      </x:c>
      <x:c r="I4682" s="22" t="n">
        <x:v>300</x:v>
      </x:c>
      <x:c r="J4682" s="22" t="n">
        <x:v>4</x:v>
      </x:c>
      <x:c r="K4682" s="19" t="n">
        <x:v>1</x:v>
      </x:c>
      <x:c r="L4682" s="24" t="n">
        <x:v>86.8</x:v>
      </x:c>
      <x:c r="M4682" s="26" t="n">
        <x:v>0.1</x:v>
      </x:c>
      <x:c r="N4682" s="24" t="n">
        <x:v>12</x:v>
      </x:c>
      <x:c r="O4682" s="28" t="n">
        <x:f>MIN(1,L4682/I4682)</x:f>
        <x:v>0.28933333333333333</x:v>
      </x:c>
      <x:c r="P4682" s="30" t="n">
        <x:f>O4682*J4682*(1+M4682)</x:f>
        <x:v>1.2730666666666668</x:v>
      </x:c>
      <x:c r="Q4682" s="30" t="n">
        <x:f>P4682*N4682</x:f>
        <x:v>15.276800000000001</x:v>
      </x:c>
      <x:c r="R4682" s="19" t="str">
        <x:v>独立判定</x:v>
      </x:c>
    </x:row>
    <x:row r="4683" ht="19" customHeight="1">
      <x:c r="A4683" s="19" t="str">
        <x:v>D04679</x:v>
      </x:c>
      <x:c r="B4683" s="19" t="n">
        <x:v>10</x:v>
      </x:c>
      <x:c r="C4683" s="19" t="n">
        <x:v>1</x:v>
      </x:c>
      <x:c r="D4683" s="19" t="str">
        <x:v>C10-M008</x:v>
      </x:c>
      <x:c r="E4683" s="19" t="str">
        <x:v>缄口税契吏</x:v>
      </x:c>
      <x:c r="F4683" s="19" t="str">
        <x:v>稀有</x:v>
      </x:c>
      <x:c r="G4683" s="19" t="str">
        <x:v>材料独立候选</x:v>
      </x:c>
      <x:c r="H4683" s="19" t="str">
        <x:v>技能残页</x:v>
      </x:c>
      <x:c r="I4683" s="22" t="n">
        <x:v>3000</x:v>
      </x:c>
      <x:c r="J4683" s="22" t="n">
        <x:v>1</x:v>
      </x:c>
      <x:c r="K4683" s="19" t="n">
        <x:v>1</x:v>
      </x:c>
      <x:c r="L4683" s="24" t="n">
        <x:v>86.8</x:v>
      </x:c>
      <x:c r="M4683" s="26" t="n">
        <x:v>0.1</x:v>
      </x:c>
      <x:c r="N4683" s="24" t="n">
        <x:v>12</x:v>
      </x:c>
      <x:c r="O4683" s="28" t="n">
        <x:f>MIN(1,L4683/I4683)</x:f>
        <x:v>0.028933333333333332</x:v>
      </x:c>
      <x:c r="P4683" s="30" t="n">
        <x:f>O4683*J4683*(1+M4683)</x:f>
        <x:v>0.03182666666666667</x:v>
      </x:c>
      <x:c r="Q4683" s="30" t="n">
        <x:f>P4683*N4683</x:f>
        <x:v>0.38192000000000004</x:v>
      </x:c>
      <x:c r="R4683" s="19" t="str">
        <x:v>独立判定</x:v>
      </x:c>
    </x:row>
    <x:row r="4684" ht="19" customHeight="1">
      <x:c r="A4684" s="19" t="str">
        <x:v>D04680</x:v>
      </x:c>
      <x:c r="B4684" s="19" t="n">
        <x:v>10</x:v>
      </x:c>
      <x:c r="C4684" s="19" t="n">
        <x:v>1</x:v>
      </x:c>
      <x:c r="D4684" s="19" t="str">
        <x:v>C10-M008</x:v>
      </x:c>
      <x:c r="E4684" s="19" t="str">
        <x:v>缄口税契吏</x:v>
      </x:c>
      <x:c r="F4684" s="19" t="str">
        <x:v>稀有</x:v>
      </x:c>
      <x:c r="G4684" s="19" t="str">
        <x:v>材料独立候选</x:v>
      </x:c>
      <x:c r="H4684" s="19" t="str">
        <x:v>小卢恩</x:v>
      </x:c>
      <x:c r="I4684" s="22" t="n">
        <x:v>15000</x:v>
      </x:c>
      <x:c r="J4684" s="22" t="n">
        <x:v>1</x:v>
      </x:c>
      <x:c r="K4684" s="19" t="n">
        <x:v>1</x:v>
      </x:c>
      <x:c r="L4684" s="24" t="n">
        <x:v>86.8</x:v>
      </x:c>
      <x:c r="M4684" s="26" t="n">
        <x:v>0.1</x:v>
      </x:c>
      <x:c r="N4684" s="24" t="n">
        <x:v>12</x:v>
      </x:c>
      <x:c r="O4684" s="28" t="n">
        <x:f>MIN(1,L4684/I4684)</x:f>
        <x:v>0.0057866666666666665</x:v>
      </x:c>
      <x:c r="P4684" s="30" t="n">
        <x:f>O4684*J4684*(1+M4684)</x:f>
        <x:v>0.006365333333333334</x:v>
      </x:c>
      <x:c r="Q4684" s="30" t="n">
        <x:f>P4684*N4684</x:f>
        <x:v>0.07638400000000001</x:v>
      </x:c>
      <x:c r="R4684" s="19" t="str">
        <x:v>独立判定</x:v>
      </x:c>
    </x:row>
    <x:row r="4685" ht="19" customHeight="1">
      <x:c r="A4685" s="19" t="str">
        <x:v>D04681</x:v>
      </x:c>
      <x:c r="B4685" s="19" t="n">
        <x:v>10</x:v>
      </x:c>
      <x:c r="C4685" s="19" t="n">
        <x:v>1</x:v>
      </x:c>
      <x:c r="D4685" s="19" t="str">
        <x:v>C10-M008</x:v>
      </x:c>
      <x:c r="E4685" s="19" t="str">
        <x:v>缄口税契吏</x:v>
      </x:c>
      <x:c r="F4685" s="19" t="str">
        <x:v>稀有</x:v>
      </x:c>
      <x:c r="G4685" s="19" t="str">
        <x:v>六神器公共池</x:v>
      </x:c>
      <x:c r="H4685" s="19" t="str">
        <x:v>POOL006</x:v>
      </x:c>
      <x:c r="I4685" s="22" t="n">
        <x:v>5000000</x:v>
      </x:c>
      <x:c r="J4685" s="22" t="n">
        <x:v>1</x:v>
      </x:c>
      <x:c r="K4685" s="19" t="n">
        <x:v>6</x:v>
      </x:c>
      <x:c r="L4685" s="24" t="n">
        <x:v>86.8</x:v>
      </x:c>
      <x:c r="M4685" s="26" t="n">
        <x:v>0.1</x:v>
      </x:c>
      <x:c r="N4685" s="24" t="n">
        <x:v>12</x:v>
      </x:c>
      <x:c r="O4685" s="28" t="n">
        <x:f>MIN(1,L4685/I4685)</x:f>
        <x:v>0.00001736</x:v>
      </x:c>
      <x:c r="P4685" s="30" t="n">
        <x:f>O4685*J4685*(1+M4685)</x:f>
        <x:v>0.000019096</x:v>
      </x:c>
      <x:c r="Q4685" s="30" t="n">
        <x:f>P4685*N4685</x:f>
        <x:v>0.00022915200000000002</x:v>
      </x:c>
      <x:c r="R4685" s="19" t="str">
        <x:v>六选一；非6个独立爆率</x:v>
      </x:c>
    </x:row>
    <x:row r="4686" ht="19" customHeight="1">
      <x:c r="A4686" s="19" t="str">
        <x:v>D04682</x:v>
      </x:c>
      <x:c r="B4686" s="19" t="n">
        <x:v>10</x:v>
      </x:c>
      <x:c r="C4686" s="19" t="n">
        <x:v>1</x:v>
      </x:c>
      <x:c r="D4686" s="19" t="str">
        <x:v>C10-M009</x:v>
      </x:c>
      <x:c r="E4686" s="19" t="str">
        <x:v>巷钟剜影者</x:v>
      </x:c>
      <x:c r="F4686" s="19" t="str">
        <x:v>稀有</x:v>
      </x:c>
      <x:c r="G4686" s="19" t="str">
        <x:v>自身专属</x:v>
      </x:c>
      <x:c r="H4686" s="19" t="str">
        <x:v>剜影巷钟章</x:v>
      </x:c>
      <x:c r="I4686" s="22" t="n">
        <x:v>2500</x:v>
      </x:c>
      <x:c r="J4686" s="22" t="n">
        <x:v>1</x:v>
      </x:c>
      <x:c r="K4686" s="19" t="n">
        <x:v>1</x:v>
      </x:c>
      <x:c r="L4686" s="24" t="n">
        <x:v>86.8</x:v>
      </x:c>
      <x:c r="M4686" s="26" t="n">
        <x:v>0.1</x:v>
      </x:c>
      <x:c r="N4686" s="24" t="n">
        <x:v>12</x:v>
      </x:c>
      <x:c r="O4686" s="28" t="n">
        <x:f>MIN(1,L4686/I4686)</x:f>
        <x:v>0.03472</x:v>
      </x:c>
      <x:c r="P4686" s="30" t="n">
        <x:f>O4686*J4686*(1+M4686)</x:f>
        <x:v>0.038192000000000004</x:v>
      </x:c>
      <x:c r="Q4686" s="30" t="n">
        <x:f>P4686*N4686</x:f>
        <x:v>0.45830400000000004</x:v>
      </x:c>
      <x:c r="R4686" s="19" t="str">
        <x:v>独立判定</x:v>
      </x:c>
    </x:row>
    <x:row r="4687" ht="19" customHeight="1">
      <x:c r="A4687" s="19" t="str">
        <x:v>D04683</x:v>
      </x:c>
      <x:c r="B4687" s="19" t="n">
        <x:v>10</x:v>
      </x:c>
      <x:c r="C4687" s="19" t="n">
        <x:v>1</x:v>
      </x:c>
      <x:c r="D4687" s="19" t="str">
        <x:v>C10-M009</x:v>
      </x:c>
      <x:c r="E4687" s="19" t="str">
        <x:v>巷钟剜影者</x:v>
      </x:c>
      <x:c r="F4687" s="19" t="str">
        <x:v>稀有</x:v>
      </x:c>
      <x:c r="G4687" s="19" t="str">
        <x:v>材料独立候选</x:v>
      </x:c>
      <x:c r="H4687" s="19" t="str">
        <x:v>王城金屑</x:v>
      </x:c>
      <x:c r="I4687" s="22" t="n">
        <x:v>1200</x:v>
      </x:c>
      <x:c r="J4687" s="22" t="n">
        <x:v>15</x:v>
      </x:c>
      <x:c r="K4687" s="19" t="n">
        <x:v>1</x:v>
      </x:c>
      <x:c r="L4687" s="24" t="n">
        <x:v>86.8</x:v>
      </x:c>
      <x:c r="M4687" s="26" t="n">
        <x:v>0.1</x:v>
      </x:c>
      <x:c r="N4687" s="24" t="n">
        <x:v>12</x:v>
      </x:c>
      <x:c r="O4687" s="28" t="n">
        <x:f>MIN(1,L4687/I4687)</x:f>
        <x:v>0.07233333333333333</x:v>
      </x:c>
      <x:c r="P4687" s="30" t="n">
        <x:f>O4687*J4687*(1+M4687)</x:f>
        <x:v>1.1935</x:v>
      </x:c>
      <x:c r="Q4687" s="30" t="n">
        <x:f>P4687*N4687</x:f>
        <x:v>14.322</x:v>
      </x:c>
      <x:c r="R4687" s="19" t="str">
        <x:v>独立判定</x:v>
      </x:c>
    </x:row>
    <x:row r="4688" ht="19" customHeight="1">
      <x:c r="A4688" s="19" t="str">
        <x:v>D04684</x:v>
      </x:c>
      <x:c r="B4688" s="19" t="n">
        <x:v>10</x:v>
      </x:c>
      <x:c r="C4688" s="19" t="n">
        <x:v>1</x:v>
      </x:c>
      <x:c r="D4688" s="19" t="str">
        <x:v>C10-M009</x:v>
      </x:c>
      <x:c r="E4688" s="19" t="str">
        <x:v>巷钟剜影者</x:v>
      </x:c>
      <x:c r="F4688" s="19" t="str">
        <x:v>稀有</x:v>
      </x:c>
      <x:c r="G4688" s="19" t="str">
        <x:v>材料独立候选</x:v>
      </x:c>
      <x:c r="H4688" s="19" t="str">
        <x:v>王宫律文</x:v>
      </x:c>
      <x:c r="I4688" s="22" t="n">
        <x:v>800</x:v>
      </x:c>
      <x:c r="J4688" s="22" t="n">
        <x:v>1</x:v>
      </x:c>
      <x:c r="K4688" s="19" t="n">
        <x:v>1</x:v>
      </x:c>
      <x:c r="L4688" s="24" t="n">
        <x:v>86.8</x:v>
      </x:c>
      <x:c r="M4688" s="26" t="n">
        <x:v>0.1</x:v>
      </x:c>
      <x:c r="N4688" s="24" t="n">
        <x:v>12</x:v>
      </x:c>
      <x:c r="O4688" s="28" t="n">
        <x:f>MIN(1,L4688/I4688)</x:f>
        <x:v>0.1085</x:v>
      </x:c>
      <x:c r="P4688" s="30" t="n">
        <x:f>O4688*J4688*(1+M4688)</x:f>
        <x:v>0.11935000000000001</x:v>
      </x:c>
      <x:c r="Q4688" s="30" t="n">
        <x:f>P4688*N4688</x:f>
        <x:v>1.4322000000000001</x:v>
      </x:c>
      <x:c r="R4688" s="19" t="str">
        <x:v>独立判定</x:v>
      </x:c>
    </x:row>
    <x:row r="4689" ht="19" customHeight="1">
      <x:c r="A4689" s="19" t="str">
        <x:v>D04685</x:v>
      </x:c>
      <x:c r="B4689" s="19" t="n">
        <x:v>10</x:v>
      </x:c>
      <x:c r="C4689" s="19" t="n">
        <x:v>1</x:v>
      </x:c>
      <x:c r="D4689" s="19" t="str">
        <x:v>C10-M009</x:v>
      </x:c>
      <x:c r="E4689" s="19" t="str">
        <x:v>巷钟剜影者</x:v>
      </x:c>
      <x:c r="F4689" s="19" t="str">
        <x:v>稀有</x:v>
      </x:c>
      <x:c r="G4689" s="19" t="str">
        <x:v>材料独立候选</x:v>
      </x:c>
      <x:c r="H4689" s="19" t="str">
        <x:v>旧渠阀芯</x:v>
      </x:c>
      <x:c r="I4689" s="22" t="n">
        <x:v>800</x:v>
      </x:c>
      <x:c r="J4689" s="22" t="n">
        <x:v>1</x:v>
      </x:c>
      <x:c r="K4689" s="19" t="n">
        <x:v>1</x:v>
      </x:c>
      <x:c r="L4689" s="24" t="n">
        <x:v>86.8</x:v>
      </x:c>
      <x:c r="M4689" s="26" t="n">
        <x:v>0.1</x:v>
      </x:c>
      <x:c r="N4689" s="24" t="n">
        <x:v>12</x:v>
      </x:c>
      <x:c r="O4689" s="28" t="n">
        <x:f>MIN(1,L4689/I4689)</x:f>
        <x:v>0.1085</x:v>
      </x:c>
      <x:c r="P4689" s="30" t="n">
        <x:f>O4689*J4689*(1+M4689)</x:f>
        <x:v>0.11935000000000001</x:v>
      </x:c>
      <x:c r="Q4689" s="30" t="n">
        <x:f>P4689*N4689</x:f>
        <x:v>1.4322000000000001</x:v>
      </x:c>
      <x:c r="R4689" s="19" t="str">
        <x:v>独立判定</x:v>
      </x:c>
    </x:row>
    <x:row r="4690" ht="19" customHeight="1">
      <x:c r="A4690" s="19" t="str">
        <x:v>D04686</x:v>
      </x:c>
      <x:c r="B4690" s="19" t="n">
        <x:v>10</x:v>
      </x:c>
      <x:c r="C4690" s="19" t="n">
        <x:v>1</x:v>
      </x:c>
      <x:c r="D4690" s="19" t="str">
        <x:v>C10-M009</x:v>
      </x:c>
      <x:c r="E4690" s="19" t="str">
        <x:v>巷钟剜影者</x:v>
      </x:c>
      <x:c r="F4690" s="19" t="str">
        <x:v>稀有</x:v>
      </x:c>
      <x:c r="G4690" s="19" t="str">
        <x:v>材料独立候选</x:v>
      </x:c>
      <x:c r="H4690" s="19" t="str">
        <x:v>穹律鎏痕拓片</x:v>
      </x:c>
      <x:c r="I4690" s="22" t="n">
        <x:v>2500000</x:v>
      </x:c>
      <x:c r="J4690" s="22" t="n">
        <x:v>1</x:v>
      </x:c>
      <x:c r="K4690" s="19" t="n">
        <x:v>1</x:v>
      </x:c>
      <x:c r="L4690" s="24" t="n">
        <x:v>86.8</x:v>
      </x:c>
      <x:c r="M4690" s="26" t="n">
        <x:v>0.1</x:v>
      </x:c>
      <x:c r="N4690" s="24" t="n">
        <x:v>12</x:v>
      </x:c>
      <x:c r="O4690" s="28" t="n">
        <x:f>MIN(1,L4690/I4690)</x:f>
        <x:v>0.00003472</x:v>
      </x:c>
      <x:c r="P4690" s="30" t="n">
        <x:f>O4690*J4690*(1+M4690)</x:f>
        <x:v>0.000038192</x:v>
      </x:c>
      <x:c r="Q4690" s="30" t="n">
        <x:f>P4690*N4690</x:f>
        <x:v>0.00045830400000000004</x:v>
      </x:c>
      <x:c r="R4690" s="19" t="str">
        <x:v>独立判定</x:v>
      </x:c>
    </x:row>
    <x:row r="4691" ht="19" customHeight="1">
      <x:c r="A4691" s="19" t="str">
        <x:v>D04687</x:v>
      </x:c>
      <x:c r="B4691" s="19" t="n">
        <x:v>10</x:v>
      </x:c>
      <x:c r="C4691" s="19" t="n">
        <x:v>1</x:v>
      </x:c>
      <x:c r="D4691" s="19" t="str">
        <x:v>C10-M009</x:v>
      </x:c>
      <x:c r="E4691" s="19" t="str">
        <x:v>巷钟剜影者</x:v>
      </x:c>
      <x:c r="F4691" s="19" t="str">
        <x:v>稀有</x:v>
      </x:c>
      <x:c r="G4691" s="19" t="str">
        <x:v>材料独立候选</x:v>
      </x:c>
      <x:c r="H4691" s="19" t="str">
        <x:v>黄金树芽</x:v>
      </x:c>
      <x:c r="I4691" s="22" t="n">
        <x:v>2500</x:v>
      </x:c>
      <x:c r="J4691" s="22" t="n">
        <x:v>1</x:v>
      </x:c>
      <x:c r="K4691" s="19" t="n">
        <x:v>1</x:v>
      </x:c>
      <x:c r="L4691" s="24" t="n">
        <x:v>86.8</x:v>
      </x:c>
      <x:c r="M4691" s="26" t="n">
        <x:v>0.1</x:v>
      </x:c>
      <x:c r="N4691" s="24" t="n">
        <x:v>12</x:v>
      </x:c>
      <x:c r="O4691" s="28" t="n">
        <x:f>MIN(1,L4691/I4691)</x:f>
        <x:v>0.03472</x:v>
      </x:c>
      <x:c r="P4691" s="30" t="n">
        <x:f>O4691*J4691*(1+M4691)</x:f>
        <x:v>0.038192000000000004</x:v>
      </x:c>
      <x:c r="Q4691" s="30" t="n">
        <x:f>P4691*N4691</x:f>
        <x:v>0.45830400000000004</x:v>
      </x:c>
      <x:c r="R4691" s="19" t="str">
        <x:v>独立判定</x:v>
      </x:c>
    </x:row>
    <x:row r="4692" ht="19" customHeight="1">
      <x:c r="A4692" s="19" t="str">
        <x:v>D04688</x:v>
      </x:c>
      <x:c r="B4692" s="19" t="n">
        <x:v>10</x:v>
      </x:c>
      <x:c r="C4692" s="19" t="n">
        <x:v>1</x:v>
      </x:c>
      <x:c r="D4692" s="19" t="str">
        <x:v>C10-M009</x:v>
      </x:c>
      <x:c r="E4692" s="19" t="str">
        <x:v>巷钟剜影者</x:v>
      </x:c>
      <x:c r="F4692" s="19" t="str">
        <x:v>稀有</x:v>
      </x:c>
      <x:c r="G4692" s="19" t="str">
        <x:v>材料独立候选</x:v>
      </x:c>
      <x:c r="H4692" s="19" t="str">
        <x:v>野兽骨片</x:v>
      </x:c>
      <x:c r="I4692" s="22" t="n">
        <x:v>300</x:v>
      </x:c>
      <x:c r="J4692" s="22" t="n">
        <x:v>4</x:v>
      </x:c>
      <x:c r="K4692" s="19" t="n">
        <x:v>1</x:v>
      </x:c>
      <x:c r="L4692" s="24" t="n">
        <x:v>86.8</x:v>
      </x:c>
      <x:c r="M4692" s="26" t="n">
        <x:v>0.1</x:v>
      </x:c>
      <x:c r="N4692" s="24" t="n">
        <x:v>12</x:v>
      </x:c>
      <x:c r="O4692" s="28" t="n">
        <x:f>MIN(1,L4692/I4692)</x:f>
        <x:v>0.28933333333333333</x:v>
      </x:c>
      <x:c r="P4692" s="30" t="n">
        <x:f>O4692*J4692*(1+M4692)</x:f>
        <x:v>1.2730666666666668</x:v>
      </x:c>
      <x:c r="Q4692" s="30" t="n">
        <x:f>P4692*N4692</x:f>
        <x:v>15.276800000000001</x:v>
      </x:c>
      <x:c r="R4692" s="19" t="str">
        <x:v>独立判定</x:v>
      </x:c>
    </x:row>
    <x:row r="4693" ht="19" customHeight="1">
      <x:c r="A4693" s="19" t="str">
        <x:v>D04689</x:v>
      </x:c>
      <x:c r="B4693" s="19" t="n">
        <x:v>10</x:v>
      </x:c>
      <x:c r="C4693" s="19" t="n">
        <x:v>1</x:v>
      </x:c>
      <x:c r="D4693" s="19" t="str">
        <x:v>C10-M009</x:v>
      </x:c>
      <x:c r="E4693" s="19" t="str">
        <x:v>巷钟剜影者</x:v>
      </x:c>
      <x:c r="F4693" s="19" t="str">
        <x:v>稀有</x:v>
      </x:c>
      <x:c r="G4693" s="19" t="str">
        <x:v>材料独立候选</x:v>
      </x:c>
      <x:c r="H4693" s="19" t="str">
        <x:v>技能残页</x:v>
      </x:c>
      <x:c r="I4693" s="22" t="n">
        <x:v>3000</x:v>
      </x:c>
      <x:c r="J4693" s="22" t="n">
        <x:v>1</x:v>
      </x:c>
      <x:c r="K4693" s="19" t="n">
        <x:v>1</x:v>
      </x:c>
      <x:c r="L4693" s="24" t="n">
        <x:v>86.8</x:v>
      </x:c>
      <x:c r="M4693" s="26" t="n">
        <x:v>0.1</x:v>
      </x:c>
      <x:c r="N4693" s="24" t="n">
        <x:v>12</x:v>
      </x:c>
      <x:c r="O4693" s="28" t="n">
        <x:f>MIN(1,L4693/I4693)</x:f>
        <x:v>0.028933333333333332</x:v>
      </x:c>
      <x:c r="P4693" s="30" t="n">
        <x:f>O4693*J4693*(1+M4693)</x:f>
        <x:v>0.03182666666666667</x:v>
      </x:c>
      <x:c r="Q4693" s="30" t="n">
        <x:f>P4693*N4693</x:f>
        <x:v>0.38192000000000004</x:v>
      </x:c>
      <x:c r="R4693" s="19" t="str">
        <x:v>独立判定</x:v>
      </x:c>
    </x:row>
    <x:row r="4694" ht="19" customHeight="1">
      <x:c r="A4694" s="19" t="str">
        <x:v>D04690</x:v>
      </x:c>
      <x:c r="B4694" s="19" t="n">
        <x:v>10</x:v>
      </x:c>
      <x:c r="C4694" s="19" t="n">
        <x:v>1</x:v>
      </x:c>
      <x:c r="D4694" s="19" t="str">
        <x:v>C10-M009</x:v>
      </x:c>
      <x:c r="E4694" s="19" t="str">
        <x:v>巷钟剜影者</x:v>
      </x:c>
      <x:c r="F4694" s="19" t="str">
        <x:v>稀有</x:v>
      </x:c>
      <x:c r="G4694" s="19" t="str">
        <x:v>材料独立候选</x:v>
      </x:c>
      <x:c r="H4694" s="19" t="str">
        <x:v>小卢恩</x:v>
      </x:c>
      <x:c r="I4694" s="22" t="n">
        <x:v>15000</x:v>
      </x:c>
      <x:c r="J4694" s="22" t="n">
        <x:v>1</x:v>
      </x:c>
      <x:c r="K4694" s="19" t="n">
        <x:v>1</x:v>
      </x:c>
      <x:c r="L4694" s="24" t="n">
        <x:v>86.8</x:v>
      </x:c>
      <x:c r="M4694" s="26" t="n">
        <x:v>0.1</x:v>
      </x:c>
      <x:c r="N4694" s="24" t="n">
        <x:v>12</x:v>
      </x:c>
      <x:c r="O4694" s="28" t="n">
        <x:f>MIN(1,L4694/I4694)</x:f>
        <x:v>0.0057866666666666665</x:v>
      </x:c>
      <x:c r="P4694" s="30" t="n">
        <x:f>O4694*J4694*(1+M4694)</x:f>
        <x:v>0.006365333333333334</x:v>
      </x:c>
      <x:c r="Q4694" s="30" t="n">
        <x:f>P4694*N4694</x:f>
        <x:v>0.07638400000000001</x:v>
      </x:c>
      <x:c r="R4694" s="19" t="str">
        <x:v>独立判定</x:v>
      </x:c>
    </x:row>
    <x:row r="4695" ht="19" customHeight="1">
      <x:c r="A4695" s="19" t="str">
        <x:v>D04691</x:v>
      </x:c>
      <x:c r="B4695" s="19" t="n">
        <x:v>10</x:v>
      </x:c>
      <x:c r="C4695" s="19" t="n">
        <x:v>1</x:v>
      </x:c>
      <x:c r="D4695" s="19" t="str">
        <x:v>C10-M009</x:v>
      </x:c>
      <x:c r="E4695" s="19" t="str">
        <x:v>巷钟剜影者</x:v>
      </x:c>
      <x:c r="F4695" s="19" t="str">
        <x:v>稀有</x:v>
      </x:c>
      <x:c r="G4695" s="19" t="str">
        <x:v>六神器公共池</x:v>
      </x:c>
      <x:c r="H4695" s="19" t="str">
        <x:v>POOL006</x:v>
      </x:c>
      <x:c r="I4695" s="22" t="n">
        <x:v>5000000</x:v>
      </x:c>
      <x:c r="J4695" s="22" t="n">
        <x:v>1</x:v>
      </x:c>
      <x:c r="K4695" s="19" t="n">
        <x:v>6</x:v>
      </x:c>
      <x:c r="L4695" s="24" t="n">
        <x:v>86.8</x:v>
      </x:c>
      <x:c r="M4695" s="26" t="n">
        <x:v>0.1</x:v>
      </x:c>
      <x:c r="N4695" s="24" t="n">
        <x:v>12</x:v>
      </x:c>
      <x:c r="O4695" s="28" t="n">
        <x:f>MIN(1,L4695/I4695)</x:f>
        <x:v>0.00001736</x:v>
      </x:c>
      <x:c r="P4695" s="30" t="n">
        <x:f>O4695*J4695*(1+M4695)</x:f>
        <x:v>0.000019096</x:v>
      </x:c>
      <x:c r="Q4695" s="30" t="n">
        <x:f>P4695*N4695</x:f>
        <x:v>0.00022915200000000002</x:v>
      </x:c>
      <x:c r="R4695" s="19" t="str">
        <x:v>六选一；非6个独立爆率</x:v>
      </x:c>
    </x:row>
    <x:row r="4696" ht="19" customHeight="1">
      <x:c r="A4696" s="19" t="str">
        <x:v>D04692</x:v>
      </x:c>
      <x:c r="B4696" s="19" t="n">
        <x:v>10</x:v>
      </x:c>
      <x:c r="C4696" s="19" t="n">
        <x:v>1</x:v>
      </x:c>
      <x:c r="D4696" s="19" t="str">
        <x:v>C10-M010</x:v>
      </x:c>
      <x:c r="E4696" s="19" t="str">
        <x:v>沉闸铜面监工</x:v>
      </x:c>
      <x:c r="F4696" s="19" t="str">
        <x:v>稀有</x:v>
      </x:c>
      <x:c r="G4696" s="19" t="str">
        <x:v>自身专属</x:v>
      </x:c>
      <x:c r="H4696" s="19" t="str">
        <x:v>沉闸铜面盾</x:v>
      </x:c>
      <x:c r="I4696" s="22" t="n">
        <x:v>2500</x:v>
      </x:c>
      <x:c r="J4696" s="22" t="n">
        <x:v>1</x:v>
      </x:c>
      <x:c r="K4696" s="19" t="n">
        <x:v>1</x:v>
      </x:c>
      <x:c r="L4696" s="24" t="n">
        <x:v>86.8</x:v>
      </x:c>
      <x:c r="M4696" s="26" t="n">
        <x:v>0.1</x:v>
      </x:c>
      <x:c r="N4696" s="24" t="n">
        <x:v>12</x:v>
      </x:c>
      <x:c r="O4696" s="28" t="n">
        <x:f>MIN(1,L4696/I4696)</x:f>
        <x:v>0.03472</x:v>
      </x:c>
      <x:c r="P4696" s="30" t="n">
        <x:f>O4696*J4696*(1+M4696)</x:f>
        <x:v>0.038192000000000004</x:v>
      </x:c>
      <x:c r="Q4696" s="30" t="n">
        <x:f>P4696*N4696</x:f>
        <x:v>0.45830400000000004</x:v>
      </x:c>
      <x:c r="R4696" s="19" t="str">
        <x:v>独立判定</x:v>
      </x:c>
    </x:row>
    <x:row r="4697" ht="19" customHeight="1">
      <x:c r="A4697" s="19" t="str">
        <x:v>D04693</x:v>
      </x:c>
      <x:c r="B4697" s="19" t="n">
        <x:v>10</x:v>
      </x:c>
      <x:c r="C4697" s="19" t="n">
        <x:v>1</x:v>
      </x:c>
      <x:c r="D4697" s="19" t="str">
        <x:v>C10-M010</x:v>
      </x:c>
      <x:c r="E4697" s="19" t="str">
        <x:v>沉闸铜面监工</x:v>
      </x:c>
      <x:c r="F4697" s="19" t="str">
        <x:v>稀有</x:v>
      </x:c>
      <x:c r="G4697" s="19" t="str">
        <x:v>材料独立候选</x:v>
      </x:c>
      <x:c r="H4697" s="19" t="str">
        <x:v>王城金屑</x:v>
      </x:c>
      <x:c r="I4697" s="22" t="n">
        <x:v>1200</x:v>
      </x:c>
      <x:c r="J4697" s="22" t="n">
        <x:v>15</x:v>
      </x:c>
      <x:c r="K4697" s="19" t="n">
        <x:v>1</x:v>
      </x:c>
      <x:c r="L4697" s="24" t="n">
        <x:v>86.8</x:v>
      </x:c>
      <x:c r="M4697" s="26" t="n">
        <x:v>0.1</x:v>
      </x:c>
      <x:c r="N4697" s="24" t="n">
        <x:v>12</x:v>
      </x:c>
      <x:c r="O4697" s="28" t="n">
        <x:f>MIN(1,L4697/I4697)</x:f>
        <x:v>0.07233333333333333</x:v>
      </x:c>
      <x:c r="P4697" s="30" t="n">
        <x:f>O4697*J4697*(1+M4697)</x:f>
        <x:v>1.1935</x:v>
      </x:c>
      <x:c r="Q4697" s="30" t="n">
        <x:f>P4697*N4697</x:f>
        <x:v>14.322</x:v>
      </x:c>
      <x:c r="R4697" s="19" t="str">
        <x:v>独立判定</x:v>
      </x:c>
    </x:row>
    <x:row r="4698" ht="19" customHeight="1">
      <x:c r="A4698" s="19" t="str">
        <x:v>D04694</x:v>
      </x:c>
      <x:c r="B4698" s="19" t="n">
        <x:v>10</x:v>
      </x:c>
      <x:c r="C4698" s="19" t="n">
        <x:v>1</x:v>
      </x:c>
      <x:c r="D4698" s="19" t="str">
        <x:v>C10-M010</x:v>
      </x:c>
      <x:c r="E4698" s="19" t="str">
        <x:v>沉闸铜面监工</x:v>
      </x:c>
      <x:c r="F4698" s="19" t="str">
        <x:v>稀有</x:v>
      </x:c>
      <x:c r="G4698" s="19" t="str">
        <x:v>材料独立候选</x:v>
      </x:c>
      <x:c r="H4698" s="19" t="str">
        <x:v>王宫律文</x:v>
      </x:c>
      <x:c r="I4698" s="22" t="n">
        <x:v>800</x:v>
      </x:c>
      <x:c r="J4698" s="22" t="n">
        <x:v>1</x:v>
      </x:c>
      <x:c r="K4698" s="19" t="n">
        <x:v>1</x:v>
      </x:c>
      <x:c r="L4698" s="24" t="n">
        <x:v>86.8</x:v>
      </x:c>
      <x:c r="M4698" s="26" t="n">
        <x:v>0.1</x:v>
      </x:c>
      <x:c r="N4698" s="24" t="n">
        <x:v>12</x:v>
      </x:c>
      <x:c r="O4698" s="28" t="n">
        <x:f>MIN(1,L4698/I4698)</x:f>
        <x:v>0.1085</x:v>
      </x:c>
      <x:c r="P4698" s="30" t="n">
        <x:f>O4698*J4698*(1+M4698)</x:f>
        <x:v>0.11935000000000001</x:v>
      </x:c>
      <x:c r="Q4698" s="30" t="n">
        <x:f>P4698*N4698</x:f>
        <x:v>1.4322000000000001</x:v>
      </x:c>
      <x:c r="R4698" s="19" t="str">
        <x:v>独立判定</x:v>
      </x:c>
    </x:row>
    <x:row r="4699" ht="19" customHeight="1">
      <x:c r="A4699" s="19" t="str">
        <x:v>D04695</x:v>
      </x:c>
      <x:c r="B4699" s="19" t="n">
        <x:v>10</x:v>
      </x:c>
      <x:c r="C4699" s="19" t="n">
        <x:v>1</x:v>
      </x:c>
      <x:c r="D4699" s="19" t="str">
        <x:v>C10-M010</x:v>
      </x:c>
      <x:c r="E4699" s="19" t="str">
        <x:v>沉闸铜面监工</x:v>
      </x:c>
      <x:c r="F4699" s="19" t="str">
        <x:v>稀有</x:v>
      </x:c>
      <x:c r="G4699" s="19" t="str">
        <x:v>材料独立候选</x:v>
      </x:c>
      <x:c r="H4699" s="19" t="str">
        <x:v>旧渠阀芯</x:v>
      </x:c>
      <x:c r="I4699" s="22" t="n">
        <x:v>800</x:v>
      </x:c>
      <x:c r="J4699" s="22" t="n">
        <x:v>1</x:v>
      </x:c>
      <x:c r="K4699" s="19" t="n">
        <x:v>1</x:v>
      </x:c>
      <x:c r="L4699" s="24" t="n">
        <x:v>86.8</x:v>
      </x:c>
      <x:c r="M4699" s="26" t="n">
        <x:v>0.1</x:v>
      </x:c>
      <x:c r="N4699" s="24" t="n">
        <x:v>12</x:v>
      </x:c>
      <x:c r="O4699" s="28" t="n">
        <x:f>MIN(1,L4699/I4699)</x:f>
        <x:v>0.1085</x:v>
      </x:c>
      <x:c r="P4699" s="30" t="n">
        <x:f>O4699*J4699*(1+M4699)</x:f>
        <x:v>0.11935000000000001</x:v>
      </x:c>
      <x:c r="Q4699" s="30" t="n">
        <x:f>P4699*N4699</x:f>
        <x:v>1.4322000000000001</x:v>
      </x:c>
      <x:c r="R4699" s="19" t="str">
        <x:v>独立判定</x:v>
      </x:c>
    </x:row>
    <x:row r="4700" ht="19" customHeight="1">
      <x:c r="A4700" s="19" t="str">
        <x:v>D04696</x:v>
      </x:c>
      <x:c r="B4700" s="19" t="n">
        <x:v>10</x:v>
      </x:c>
      <x:c r="C4700" s="19" t="n">
        <x:v>1</x:v>
      </x:c>
      <x:c r="D4700" s="19" t="str">
        <x:v>C10-M010</x:v>
      </x:c>
      <x:c r="E4700" s="19" t="str">
        <x:v>沉闸铜面监工</x:v>
      </x:c>
      <x:c r="F4700" s="19" t="str">
        <x:v>稀有</x:v>
      </x:c>
      <x:c r="G4700" s="19" t="str">
        <x:v>材料独立候选</x:v>
      </x:c>
      <x:c r="H4700" s="19" t="str">
        <x:v>穹律鎏痕拓片</x:v>
      </x:c>
      <x:c r="I4700" s="22" t="n">
        <x:v>2500000</x:v>
      </x:c>
      <x:c r="J4700" s="22" t="n">
        <x:v>1</x:v>
      </x:c>
      <x:c r="K4700" s="19" t="n">
        <x:v>1</x:v>
      </x:c>
      <x:c r="L4700" s="24" t="n">
        <x:v>86.8</x:v>
      </x:c>
      <x:c r="M4700" s="26" t="n">
        <x:v>0.1</x:v>
      </x:c>
      <x:c r="N4700" s="24" t="n">
        <x:v>12</x:v>
      </x:c>
      <x:c r="O4700" s="28" t="n">
        <x:f>MIN(1,L4700/I4700)</x:f>
        <x:v>0.00003472</x:v>
      </x:c>
      <x:c r="P4700" s="30" t="n">
        <x:f>O4700*J4700*(1+M4700)</x:f>
        <x:v>0.000038192</x:v>
      </x:c>
      <x:c r="Q4700" s="30" t="n">
        <x:f>P4700*N4700</x:f>
        <x:v>0.00045830400000000004</x:v>
      </x:c>
      <x:c r="R4700" s="19" t="str">
        <x:v>独立判定</x:v>
      </x:c>
    </x:row>
    <x:row r="4701" ht="19" customHeight="1">
      <x:c r="A4701" s="19" t="str">
        <x:v>D04697</x:v>
      </x:c>
      <x:c r="B4701" s="19" t="n">
        <x:v>10</x:v>
      </x:c>
      <x:c r="C4701" s="19" t="n">
        <x:v>1</x:v>
      </x:c>
      <x:c r="D4701" s="19" t="str">
        <x:v>C10-M010</x:v>
      </x:c>
      <x:c r="E4701" s="19" t="str">
        <x:v>沉闸铜面监工</x:v>
      </x:c>
      <x:c r="F4701" s="19" t="str">
        <x:v>稀有</x:v>
      </x:c>
      <x:c r="G4701" s="19" t="str">
        <x:v>材料独立候选</x:v>
      </x:c>
      <x:c r="H4701" s="19" t="str">
        <x:v>黄金树芽</x:v>
      </x:c>
      <x:c r="I4701" s="22" t="n">
        <x:v>2500</x:v>
      </x:c>
      <x:c r="J4701" s="22" t="n">
        <x:v>1</x:v>
      </x:c>
      <x:c r="K4701" s="19" t="n">
        <x:v>1</x:v>
      </x:c>
      <x:c r="L4701" s="24" t="n">
        <x:v>86.8</x:v>
      </x:c>
      <x:c r="M4701" s="26" t="n">
        <x:v>0.1</x:v>
      </x:c>
      <x:c r="N4701" s="24" t="n">
        <x:v>12</x:v>
      </x:c>
      <x:c r="O4701" s="28" t="n">
        <x:f>MIN(1,L4701/I4701)</x:f>
        <x:v>0.03472</x:v>
      </x:c>
      <x:c r="P4701" s="30" t="n">
        <x:f>O4701*J4701*(1+M4701)</x:f>
        <x:v>0.038192000000000004</x:v>
      </x:c>
      <x:c r="Q4701" s="30" t="n">
        <x:f>P4701*N4701</x:f>
        <x:v>0.45830400000000004</x:v>
      </x:c>
      <x:c r="R4701" s="19" t="str">
        <x:v>独立判定</x:v>
      </x:c>
    </x:row>
    <x:row r="4702" ht="19" customHeight="1">
      <x:c r="A4702" s="19" t="str">
        <x:v>D04698</x:v>
      </x:c>
      <x:c r="B4702" s="19" t="n">
        <x:v>10</x:v>
      </x:c>
      <x:c r="C4702" s="19" t="n">
        <x:v>1</x:v>
      </x:c>
      <x:c r="D4702" s="19" t="str">
        <x:v>C10-M010</x:v>
      </x:c>
      <x:c r="E4702" s="19" t="str">
        <x:v>沉闸铜面监工</x:v>
      </x:c>
      <x:c r="F4702" s="19" t="str">
        <x:v>稀有</x:v>
      </x:c>
      <x:c r="G4702" s="19" t="str">
        <x:v>材料独立候选</x:v>
      </x:c>
      <x:c r="H4702" s="19" t="str">
        <x:v>野兽骨片</x:v>
      </x:c>
      <x:c r="I4702" s="22" t="n">
        <x:v>300</x:v>
      </x:c>
      <x:c r="J4702" s="22" t="n">
        <x:v>4</x:v>
      </x:c>
      <x:c r="K4702" s="19" t="n">
        <x:v>1</x:v>
      </x:c>
      <x:c r="L4702" s="24" t="n">
        <x:v>86.8</x:v>
      </x:c>
      <x:c r="M4702" s="26" t="n">
        <x:v>0.1</x:v>
      </x:c>
      <x:c r="N4702" s="24" t="n">
        <x:v>12</x:v>
      </x:c>
      <x:c r="O4702" s="28" t="n">
        <x:f>MIN(1,L4702/I4702)</x:f>
        <x:v>0.28933333333333333</x:v>
      </x:c>
      <x:c r="P4702" s="30" t="n">
        <x:f>O4702*J4702*(1+M4702)</x:f>
        <x:v>1.2730666666666668</x:v>
      </x:c>
      <x:c r="Q4702" s="30" t="n">
        <x:f>P4702*N4702</x:f>
        <x:v>15.276800000000001</x:v>
      </x:c>
      <x:c r="R4702" s="19" t="str">
        <x:v>独立判定</x:v>
      </x:c>
    </x:row>
    <x:row r="4703" ht="19" customHeight="1">
      <x:c r="A4703" s="19" t="str">
        <x:v>D04699</x:v>
      </x:c>
      <x:c r="B4703" s="19" t="n">
        <x:v>10</x:v>
      </x:c>
      <x:c r="C4703" s="19" t="n">
        <x:v>1</x:v>
      </x:c>
      <x:c r="D4703" s="19" t="str">
        <x:v>C10-M010</x:v>
      </x:c>
      <x:c r="E4703" s="19" t="str">
        <x:v>沉闸铜面监工</x:v>
      </x:c>
      <x:c r="F4703" s="19" t="str">
        <x:v>稀有</x:v>
      </x:c>
      <x:c r="G4703" s="19" t="str">
        <x:v>材料独立候选</x:v>
      </x:c>
      <x:c r="H4703" s="19" t="str">
        <x:v>技能残页</x:v>
      </x:c>
      <x:c r="I4703" s="22" t="n">
        <x:v>3000</x:v>
      </x:c>
      <x:c r="J4703" s="22" t="n">
        <x:v>1</x:v>
      </x:c>
      <x:c r="K4703" s="19" t="n">
        <x:v>1</x:v>
      </x:c>
      <x:c r="L4703" s="24" t="n">
        <x:v>86.8</x:v>
      </x:c>
      <x:c r="M4703" s="26" t="n">
        <x:v>0.1</x:v>
      </x:c>
      <x:c r="N4703" s="24" t="n">
        <x:v>12</x:v>
      </x:c>
      <x:c r="O4703" s="28" t="n">
        <x:f>MIN(1,L4703/I4703)</x:f>
        <x:v>0.028933333333333332</x:v>
      </x:c>
      <x:c r="P4703" s="30" t="n">
        <x:f>O4703*J4703*(1+M4703)</x:f>
        <x:v>0.03182666666666667</x:v>
      </x:c>
      <x:c r="Q4703" s="30" t="n">
        <x:f>P4703*N4703</x:f>
        <x:v>0.38192000000000004</x:v>
      </x:c>
      <x:c r="R4703" s="19" t="str">
        <x:v>独立判定</x:v>
      </x:c>
    </x:row>
    <x:row r="4704" ht="19" customHeight="1">
      <x:c r="A4704" s="19" t="str">
        <x:v>D04700</x:v>
      </x:c>
      <x:c r="B4704" s="19" t="n">
        <x:v>10</x:v>
      </x:c>
      <x:c r="C4704" s="19" t="n">
        <x:v>1</x:v>
      </x:c>
      <x:c r="D4704" s="19" t="str">
        <x:v>C10-M010</x:v>
      </x:c>
      <x:c r="E4704" s="19" t="str">
        <x:v>沉闸铜面监工</x:v>
      </x:c>
      <x:c r="F4704" s="19" t="str">
        <x:v>稀有</x:v>
      </x:c>
      <x:c r="G4704" s="19" t="str">
        <x:v>材料独立候选</x:v>
      </x:c>
      <x:c r="H4704" s="19" t="str">
        <x:v>小卢恩</x:v>
      </x:c>
      <x:c r="I4704" s="22" t="n">
        <x:v>15000</x:v>
      </x:c>
      <x:c r="J4704" s="22" t="n">
        <x:v>1</x:v>
      </x:c>
      <x:c r="K4704" s="19" t="n">
        <x:v>1</x:v>
      </x:c>
      <x:c r="L4704" s="24" t="n">
        <x:v>86.8</x:v>
      </x:c>
      <x:c r="M4704" s="26" t="n">
        <x:v>0.1</x:v>
      </x:c>
      <x:c r="N4704" s="24" t="n">
        <x:v>12</x:v>
      </x:c>
      <x:c r="O4704" s="28" t="n">
        <x:f>MIN(1,L4704/I4704)</x:f>
        <x:v>0.0057866666666666665</x:v>
      </x:c>
      <x:c r="P4704" s="30" t="n">
        <x:f>O4704*J4704*(1+M4704)</x:f>
        <x:v>0.006365333333333334</x:v>
      </x:c>
      <x:c r="Q4704" s="30" t="n">
        <x:f>P4704*N4704</x:f>
        <x:v>0.07638400000000001</x:v>
      </x:c>
      <x:c r="R4704" s="19" t="str">
        <x:v>独立判定</x:v>
      </x:c>
    </x:row>
    <x:row r="4705" ht="19" customHeight="1">
      <x:c r="A4705" s="19" t="str">
        <x:v>D04701</x:v>
      </x:c>
      <x:c r="B4705" s="19" t="n">
        <x:v>10</x:v>
      </x:c>
      <x:c r="C4705" s="19" t="n">
        <x:v>1</x:v>
      </x:c>
      <x:c r="D4705" s="19" t="str">
        <x:v>C10-M010</x:v>
      </x:c>
      <x:c r="E4705" s="19" t="str">
        <x:v>沉闸铜面监工</x:v>
      </x:c>
      <x:c r="F4705" s="19" t="str">
        <x:v>稀有</x:v>
      </x:c>
      <x:c r="G4705" s="19" t="str">
        <x:v>六神器公共池</x:v>
      </x:c>
      <x:c r="H4705" s="19" t="str">
        <x:v>POOL006</x:v>
      </x:c>
      <x:c r="I4705" s="22" t="n">
        <x:v>5000000</x:v>
      </x:c>
      <x:c r="J4705" s="22" t="n">
        <x:v>1</x:v>
      </x:c>
      <x:c r="K4705" s="19" t="n">
        <x:v>6</x:v>
      </x:c>
      <x:c r="L4705" s="24" t="n">
        <x:v>86.8</x:v>
      </x:c>
      <x:c r="M4705" s="26" t="n">
        <x:v>0.1</x:v>
      </x:c>
      <x:c r="N4705" s="24" t="n">
        <x:v>12</x:v>
      </x:c>
      <x:c r="O4705" s="28" t="n">
        <x:f>MIN(1,L4705/I4705)</x:f>
        <x:v>0.00001736</x:v>
      </x:c>
      <x:c r="P4705" s="30" t="n">
        <x:f>O4705*J4705*(1+M4705)</x:f>
        <x:v>0.000019096</x:v>
      </x:c>
      <x:c r="Q4705" s="30" t="n">
        <x:f>P4705*N4705</x:f>
        <x:v>0.00022915200000000002</x:v>
      </x:c>
      <x:c r="R4705" s="19" t="str">
        <x:v>六选一；非6个独立爆率</x:v>
      </x:c>
    </x:row>
    <x:row r="4706" ht="19" customHeight="1">
      <x:c r="A4706" s="19" t="str">
        <x:v>D04702</x:v>
      </x:c>
      <x:c r="B4706" s="19" t="n">
        <x:v>10</x:v>
      </x:c>
      <x:c r="C4706" s="19" t="n">
        <x:v>1</x:v>
      </x:c>
      <x:c r="D4706" s="19" t="str">
        <x:v>C10-M011</x:v>
      </x:c>
      <x:c r="E4706" s="19" t="str">
        <x:v>灰巷的无灯侯</x:v>
      </x:c>
      <x:c r="F4706" s="19" t="str">
        <x:v>地图BOSS</x:v>
      </x:c>
      <x:c r="G4706" s="19" t="str">
        <x:v>自身专属</x:v>
      </x:c>
      <x:c r="H4706" s="19" t="str">
        <x:v>无灯侯旧斗笠</x:v>
      </x:c>
      <x:c r="I4706" s="22" t="n">
        <x:v>200</x:v>
      </x:c>
      <x:c r="J4706" s="22" t="n">
        <x:v>1</x:v>
      </x:c>
      <x:c r="K4706" s="19" t="n">
        <x:v>1</x:v>
      </x:c>
      <x:c r="L4706" s="24" t="n">
        <x:v>86.8</x:v>
      </x:c>
      <x:c r="M4706" s="26" t="n">
        <x:v>0.1</x:v>
      </x:c>
      <x:c r="N4706" s="24" t="n">
        <x:v>2</x:v>
      </x:c>
      <x:c r="O4706" s="28" t="n">
        <x:f>MIN(1,L4706/I4706)</x:f>
        <x:v>0.434</x:v>
      </x:c>
      <x:c r="P4706" s="30" t="n">
        <x:f>O4706*J4706*(1+M4706)</x:f>
        <x:v>0.47740000000000005</x:v>
      </x:c>
      <x:c r="Q4706" s="30" t="n">
        <x:f>P4706*N4706</x:f>
        <x:v>0.9548000000000001</x:v>
      </x:c>
      <x:c r="R4706" s="19" t="str">
        <x:v>独立判定</x:v>
      </x:c>
    </x:row>
    <x:row r="4707" ht="19" customHeight="1">
      <x:c r="A4707" s="19" t="str">
        <x:v>D04703</x:v>
      </x:c>
      <x:c r="B4707" s="19" t="n">
        <x:v>10</x:v>
      </x:c>
      <x:c r="C4707" s="19" t="n">
        <x:v>1</x:v>
      </x:c>
      <x:c r="D4707" s="19" t="str">
        <x:v>C10-M011</x:v>
      </x:c>
      <x:c r="E4707" s="19" t="str">
        <x:v>灰巷的无灯侯</x:v>
      </x:c>
      <x:c r="F4707" s="19" t="str">
        <x:v>地图BOSS</x:v>
      </x:c>
      <x:c r="G4707" s="19" t="str">
        <x:v>本图普通兼掉候选</x:v>
      </x:c>
      <x:c r="H4707" s="19" t="str">
        <x:v>POOL078</x:v>
      </x:c>
      <x:c r="I4707" s="22" t="n">
        <x:v>200</x:v>
      </x:c>
      <x:c r="J4707" s="22" t="n">
        <x:v>1</x:v>
      </x:c>
      <x:c r="K4707" s="19" t="n">
        <x:v>2</x:v>
      </x:c>
      <x:c r="L4707" s="24" t="n">
        <x:v>86.8</x:v>
      </x:c>
      <x:c r="M4707" s="26" t="n">
        <x:v>0.1</x:v>
      </x:c>
      <x:c r="N4707" s="24" t="n">
        <x:v>2</x:v>
      </x:c>
      <x:c r="O4707" s="28" t="n">
        <x:f>MIN(1,L4707/I4707)</x:f>
        <x:v>0.434</x:v>
      </x:c>
      <x:c r="P4707" s="30" t="n">
        <x:f>O4707*J4707*(1+M4707)</x:f>
        <x:v>0.47740000000000005</x:v>
      </x:c>
      <x:c r="Q4707" s="30" t="n">
        <x:f>P4707*N4707</x:f>
        <x:v>0.9548000000000001</x:v>
      </x:c>
      <x:c r="R4707" s="19" t="str">
        <x:v>单池选一</x:v>
      </x:c>
    </x:row>
    <x:row r="4708" ht="19" customHeight="1">
      <x:c r="A4708" s="19" t="str">
        <x:v>D04704</x:v>
      </x:c>
      <x:c r="B4708" s="19" t="n">
        <x:v>10</x:v>
      </x:c>
      <x:c r="C4708" s="19" t="n">
        <x:v>1</x:v>
      </x:c>
      <x:c r="D4708" s="19" t="str">
        <x:v>C10-M011</x:v>
      </x:c>
      <x:c r="E4708" s="19" t="str">
        <x:v>灰巷的无灯侯</x:v>
      </x:c>
      <x:c r="F4708" s="19" t="str">
        <x:v>地图BOSS</x:v>
      </x:c>
      <x:c r="G4708" s="19" t="str">
        <x:v>材料独立候选</x:v>
      </x:c>
      <x:c r="H4708" s="19" t="str">
        <x:v>王城金屑</x:v>
      </x:c>
      <x:c r="I4708" s="22" t="n">
        <x:v>600</x:v>
      </x:c>
      <x:c r="J4708" s="22" t="n">
        <x:v>30</x:v>
      </x:c>
      <x:c r="K4708" s="19" t="n">
        <x:v>1</x:v>
      </x:c>
      <x:c r="L4708" s="24" t="n">
        <x:v>86.8</x:v>
      </x:c>
      <x:c r="M4708" s="26" t="n">
        <x:v>0.1</x:v>
      </x:c>
      <x:c r="N4708" s="24" t="n">
        <x:v>2</x:v>
      </x:c>
      <x:c r="O4708" s="28" t="n">
        <x:f>MIN(1,L4708/I4708)</x:f>
        <x:v>0.14466666666666667</x:v>
      </x:c>
      <x:c r="P4708" s="30" t="n">
        <x:f>O4708*J4708*(1+M4708)</x:f>
        <x:v>4.774</x:v>
      </x:c>
      <x:c r="Q4708" s="30" t="n">
        <x:f>P4708*N4708</x:f>
        <x:v>9.548</x:v>
      </x:c>
      <x:c r="R4708" s="19" t="str">
        <x:v>独立判定</x:v>
      </x:c>
    </x:row>
    <x:row r="4709" ht="19" customHeight="1">
      <x:c r="A4709" s="19" t="str">
        <x:v>D04705</x:v>
      </x:c>
      <x:c r="B4709" s="19" t="n">
        <x:v>10</x:v>
      </x:c>
      <x:c r="C4709" s="19" t="n">
        <x:v>1</x:v>
      </x:c>
      <x:c r="D4709" s="19" t="str">
        <x:v>C10-M011</x:v>
      </x:c>
      <x:c r="E4709" s="19" t="str">
        <x:v>灰巷的无灯侯</x:v>
      </x:c>
      <x:c r="F4709" s="19" t="str">
        <x:v>地图BOSS</x:v>
      </x:c>
      <x:c r="G4709" s="19" t="str">
        <x:v>材料独立候选</x:v>
      </x:c>
      <x:c r="H4709" s="19" t="str">
        <x:v>王宫律文</x:v>
      </x:c>
      <x:c r="I4709" s="22" t="n">
        <x:v>400</x:v>
      </x:c>
      <x:c r="J4709" s="22" t="n">
        <x:v>1</x:v>
      </x:c>
      <x:c r="K4709" s="19" t="n">
        <x:v>1</x:v>
      </x:c>
      <x:c r="L4709" s="24" t="n">
        <x:v>86.8</x:v>
      </x:c>
      <x:c r="M4709" s="26" t="n">
        <x:v>0.1</x:v>
      </x:c>
      <x:c r="N4709" s="24" t="n">
        <x:v>2</x:v>
      </x:c>
      <x:c r="O4709" s="28" t="n">
        <x:f>MIN(1,L4709/I4709)</x:f>
        <x:v>0.217</x:v>
      </x:c>
      <x:c r="P4709" s="30" t="n">
        <x:f>O4709*J4709*(1+M4709)</x:f>
        <x:v>0.23870000000000002</x:v>
      </x:c>
      <x:c r="Q4709" s="30" t="n">
        <x:f>P4709*N4709</x:f>
        <x:v>0.47740000000000005</x:v>
      </x:c>
      <x:c r="R4709" s="19" t="str">
        <x:v>独立判定</x:v>
      </x:c>
    </x:row>
    <x:row r="4710" ht="19" customHeight="1">
      <x:c r="A4710" s="19" t="str">
        <x:v>D04706</x:v>
      </x:c>
      <x:c r="B4710" s="19" t="n">
        <x:v>10</x:v>
      </x:c>
      <x:c r="C4710" s="19" t="n">
        <x:v>1</x:v>
      </x:c>
      <x:c r="D4710" s="19" t="str">
        <x:v>C10-M011</x:v>
      </x:c>
      <x:c r="E4710" s="19" t="str">
        <x:v>灰巷的无灯侯</x:v>
      </x:c>
      <x:c r="F4710" s="19" t="str">
        <x:v>地图BOSS</x:v>
      </x:c>
      <x:c r="G4710" s="19" t="str">
        <x:v>材料独立候选</x:v>
      </x:c>
      <x:c r="H4710" s="19" t="str">
        <x:v>艾尔登王印</x:v>
      </x:c>
      <x:c r="I4710" s="22" t="n">
        <x:v>400</x:v>
      </x:c>
      <x:c r="J4710" s="22" t="n">
        <x:v>10</x:v>
      </x:c>
      <x:c r="K4710" s="19" t="n">
        <x:v>1</x:v>
      </x:c>
      <x:c r="L4710" s="24" t="n">
        <x:v>86.8</x:v>
      </x:c>
      <x:c r="M4710" s="26" t="n">
        <x:v>0.1</x:v>
      </x:c>
      <x:c r="N4710" s="24" t="n">
        <x:v>2</x:v>
      </x:c>
      <x:c r="O4710" s="28" t="n">
        <x:f>MIN(1,L4710/I4710)</x:f>
        <x:v>0.217</x:v>
      </x:c>
      <x:c r="P4710" s="30" t="n">
        <x:f>O4710*J4710*(1+M4710)</x:f>
        <x:v>2.387</x:v>
      </x:c>
      <x:c r="Q4710" s="30" t="n">
        <x:f>P4710*N4710</x:f>
        <x:v>4.774</x:v>
      </x:c>
      <x:c r="R4710" s="19" t="str">
        <x:v>独立判定</x:v>
      </x:c>
    </x:row>
    <x:row r="4711" ht="19" customHeight="1">
      <x:c r="A4711" s="19" t="str">
        <x:v>D04707</x:v>
      </x:c>
      <x:c r="B4711" s="19" t="n">
        <x:v>10</x:v>
      </x:c>
      <x:c r="C4711" s="19" t="n">
        <x:v>1</x:v>
      </x:c>
      <x:c r="D4711" s="19" t="str">
        <x:v>C10-M011</x:v>
      </x:c>
      <x:c r="E4711" s="19" t="str">
        <x:v>灰巷的无灯侯</x:v>
      </x:c>
      <x:c r="F4711" s="19" t="str">
        <x:v>地图BOSS</x:v>
      </x:c>
      <x:c r="G4711" s="19" t="str">
        <x:v>材料独立候选</x:v>
      </x:c>
      <x:c r="H4711" s="19" t="str">
        <x:v>失温熔炉楔</x:v>
      </x:c>
      <x:c r="I4711" s="22" t="n">
        <x:v>400</x:v>
      </x:c>
      <x:c r="J4711" s="22" t="n">
        <x:v>4</x:v>
      </x:c>
      <x:c r="K4711" s="19" t="n">
        <x:v>1</x:v>
      </x:c>
      <x:c r="L4711" s="24" t="n">
        <x:v>86.8</x:v>
      </x:c>
      <x:c r="M4711" s="26" t="n">
        <x:v>0.1</x:v>
      </x:c>
      <x:c r="N4711" s="24" t="n">
        <x:v>2</x:v>
      </x:c>
      <x:c r="O4711" s="28" t="n">
        <x:f>MIN(1,L4711/I4711)</x:f>
        <x:v>0.217</x:v>
      </x:c>
      <x:c r="P4711" s="30" t="n">
        <x:f>O4711*J4711*(1+M4711)</x:f>
        <x:v>0.9548000000000001</x:v>
      </x:c>
      <x:c r="Q4711" s="30" t="n">
        <x:f>P4711*N4711</x:f>
        <x:v>1.9096000000000002</x:v>
      </x:c>
      <x:c r="R4711" s="19" t="str">
        <x:v>独立判定</x:v>
      </x:c>
    </x:row>
    <x:row r="4712" ht="19" customHeight="1">
      <x:c r="A4712" s="19" t="str">
        <x:v>D04708</x:v>
      </x:c>
      <x:c r="B4712" s="19" t="n">
        <x:v>10</x:v>
      </x:c>
      <x:c r="C4712" s="19" t="n">
        <x:v>1</x:v>
      </x:c>
      <x:c r="D4712" s="19" t="str">
        <x:v>C10-M011</x:v>
      </x:c>
      <x:c r="E4712" s="19" t="str">
        <x:v>灰巷的无灯侯</x:v>
      </x:c>
      <x:c r="F4712" s="19" t="str">
        <x:v>地图BOSS</x:v>
      </x:c>
      <x:c r="G4712" s="19" t="str">
        <x:v>材料独立候选</x:v>
      </x:c>
      <x:c r="H4712" s="19" t="str">
        <x:v>穹律鎏痕拓片</x:v>
      </x:c>
      <x:c r="I4712" s="22" t="n">
        <x:v>1200000</x:v>
      </x:c>
      <x:c r="J4712" s="22" t="n">
        <x:v>1</x:v>
      </x:c>
      <x:c r="K4712" s="19" t="n">
        <x:v>1</x:v>
      </x:c>
      <x:c r="L4712" s="24" t="n">
        <x:v>86.8</x:v>
      </x:c>
      <x:c r="M4712" s="26" t="n">
        <x:v>0.1</x:v>
      </x:c>
      <x:c r="N4712" s="24" t="n">
        <x:v>2</x:v>
      </x:c>
      <x:c r="O4712" s="28" t="n">
        <x:f>MIN(1,L4712/I4712)</x:f>
        <x:v>0.00007233333333333333</x:v>
      </x:c>
      <x:c r="P4712" s="30" t="n">
        <x:f>O4712*J4712*(1+M4712)</x:f>
        <x:v>0.00007956666666666667</x:v>
      </x:c>
      <x:c r="Q4712" s="30" t="n">
        <x:f>P4712*N4712</x:f>
        <x:v>0.00015913333333333334</x:v>
      </x:c>
      <x:c r="R4712" s="19" t="str">
        <x:v>独立判定</x:v>
      </x:c>
    </x:row>
    <x:row r="4713" ht="19" customHeight="1">
      <x:c r="A4713" s="19" t="str">
        <x:v>D04709</x:v>
      </x:c>
      <x:c r="B4713" s="19" t="n">
        <x:v>10</x:v>
      </x:c>
      <x:c r="C4713" s="19" t="n">
        <x:v>1</x:v>
      </x:c>
      <x:c r="D4713" s="19" t="str">
        <x:v>C10-M011</x:v>
      </x:c>
      <x:c r="E4713" s="19" t="str">
        <x:v>灰巷的无灯侯</x:v>
      </x:c>
      <x:c r="F4713" s="19" t="str">
        <x:v>地图BOSS</x:v>
      </x:c>
      <x:c r="G4713" s="19" t="str">
        <x:v>材料独立候选</x:v>
      </x:c>
      <x:c r="H4713" s="19" t="str">
        <x:v>黄金树芽</x:v>
      </x:c>
      <x:c r="I4713" s="22" t="n">
        <x:v>1500</x:v>
      </x:c>
      <x:c r="J4713" s="22" t="n">
        <x:v>1</x:v>
      </x:c>
      <x:c r="K4713" s="19" t="n">
        <x:v>1</x:v>
      </x:c>
      <x:c r="L4713" s="24" t="n">
        <x:v>86.8</x:v>
      </x:c>
      <x:c r="M4713" s="26" t="n">
        <x:v>0.1</x:v>
      </x:c>
      <x:c r="N4713" s="24" t="n">
        <x:v>2</x:v>
      </x:c>
      <x:c r="O4713" s="28" t="n">
        <x:f>MIN(1,L4713/I4713)</x:f>
        <x:v>0.057866666666666663</x:v>
      </x:c>
      <x:c r="P4713" s="30" t="n">
        <x:f>O4713*J4713*(1+M4713)</x:f>
        <x:v>0.06365333333333334</x:v>
      </x:c>
      <x:c r="Q4713" s="30" t="n">
        <x:f>P4713*N4713</x:f>
        <x:v>0.12730666666666668</x:v>
      </x:c>
      <x:c r="R4713" s="19" t="str">
        <x:v>独立判定</x:v>
      </x:c>
    </x:row>
    <x:row r="4714" ht="19" customHeight="1">
      <x:c r="A4714" s="19" t="str">
        <x:v>D04710</x:v>
      </x:c>
      <x:c r="B4714" s="19" t="n">
        <x:v>10</x:v>
      </x:c>
      <x:c r="C4714" s="19" t="n">
        <x:v>1</x:v>
      </x:c>
      <x:c r="D4714" s="19" t="str">
        <x:v>C10-M011</x:v>
      </x:c>
      <x:c r="E4714" s="19" t="str">
        <x:v>灰巷的无灯侯</x:v>
      </x:c>
      <x:c r="F4714" s="19" t="str">
        <x:v>地图BOSS</x:v>
      </x:c>
      <x:c r="G4714" s="19" t="str">
        <x:v>材料独立候选</x:v>
      </x:c>
      <x:c r="H4714" s="19" t="str">
        <x:v>野兽骨片</x:v>
      </x:c>
      <x:c r="I4714" s="22" t="n">
        <x:v>150</x:v>
      </x:c>
      <x:c r="J4714" s="22" t="n">
        <x:v>4</x:v>
      </x:c>
      <x:c r="K4714" s="19" t="n">
        <x:v>1</x:v>
      </x:c>
      <x:c r="L4714" s="24" t="n">
        <x:v>86.8</x:v>
      </x:c>
      <x:c r="M4714" s="26" t="n">
        <x:v>0.1</x:v>
      </x:c>
      <x:c r="N4714" s="24" t="n">
        <x:v>2</x:v>
      </x:c>
      <x:c r="O4714" s="28" t="n">
        <x:f>MIN(1,L4714/I4714)</x:f>
        <x:v>0.5786666666666667</x:v>
      </x:c>
      <x:c r="P4714" s="30" t="n">
        <x:f>O4714*J4714*(1+M4714)</x:f>
        <x:v>2.5461333333333336</x:v>
      </x:c>
      <x:c r="Q4714" s="30" t="n">
        <x:f>P4714*N4714</x:f>
        <x:v>5.092266666666667</x:v>
      </x:c>
      <x:c r="R4714" s="19" t="str">
        <x:v>独立判定</x:v>
      </x:c>
    </x:row>
    <x:row r="4715" ht="19" customHeight="1">
      <x:c r="A4715" s="19" t="str">
        <x:v>D04711</x:v>
      </x:c>
      <x:c r="B4715" s="19" t="n">
        <x:v>10</x:v>
      </x:c>
      <x:c r="C4715" s="19" t="n">
        <x:v>1</x:v>
      </x:c>
      <x:c r="D4715" s="19" t="str">
        <x:v>C10-M011</x:v>
      </x:c>
      <x:c r="E4715" s="19" t="str">
        <x:v>灰巷的无灯侯</x:v>
      </x:c>
      <x:c r="F4715" s="19" t="str">
        <x:v>地图BOSS</x:v>
      </x:c>
      <x:c r="G4715" s="19" t="str">
        <x:v>材料独立候选</x:v>
      </x:c>
      <x:c r="H4715" s="19" t="str">
        <x:v>技能残页</x:v>
      </x:c>
      <x:c r="I4715" s="22" t="n">
        <x:v>1500</x:v>
      </x:c>
      <x:c r="J4715" s="22" t="n">
        <x:v>1</x:v>
      </x:c>
      <x:c r="K4715" s="19" t="n">
        <x:v>1</x:v>
      </x:c>
      <x:c r="L4715" s="24" t="n">
        <x:v>86.8</x:v>
      </x:c>
      <x:c r="M4715" s="26" t="n">
        <x:v>0.1</x:v>
      </x:c>
      <x:c r="N4715" s="24" t="n">
        <x:v>2</x:v>
      </x:c>
      <x:c r="O4715" s="28" t="n">
        <x:f>MIN(1,L4715/I4715)</x:f>
        <x:v>0.057866666666666663</x:v>
      </x:c>
      <x:c r="P4715" s="30" t="n">
        <x:f>O4715*J4715*(1+M4715)</x:f>
        <x:v>0.06365333333333334</x:v>
      </x:c>
      <x:c r="Q4715" s="30" t="n">
        <x:f>P4715*N4715</x:f>
        <x:v>0.12730666666666668</x:v>
      </x:c>
      <x:c r="R4715" s="19" t="str">
        <x:v>独立判定</x:v>
      </x:c>
    </x:row>
    <x:row r="4716" ht="19" customHeight="1">
      <x:c r="A4716" s="19" t="str">
        <x:v>D04712</x:v>
      </x:c>
      <x:c r="B4716" s="19" t="n">
        <x:v>10</x:v>
      </x:c>
      <x:c r="C4716" s="19" t="n">
        <x:v>1</x:v>
      </x:c>
      <x:c r="D4716" s="19" t="str">
        <x:v>C10-M011</x:v>
      </x:c>
      <x:c r="E4716" s="19" t="str">
        <x:v>灰巷的无灯侯</x:v>
      </x:c>
      <x:c r="F4716" s="19" t="str">
        <x:v>地图BOSS</x:v>
      </x:c>
      <x:c r="G4716" s="19" t="str">
        <x:v>材料独立候选</x:v>
      </x:c>
      <x:c r="H4716" s="19" t="str">
        <x:v>宁姆格福誓页</x:v>
      </x:c>
      <x:c r="I4716" s="22" t="n">
        <x:v>1000</x:v>
      </x:c>
      <x:c r="J4716" s="22" t="n">
        <x:v>1</x:v>
      </x:c>
      <x:c r="K4716" s="19" t="n">
        <x:v>1</x:v>
      </x:c>
      <x:c r="L4716" s="24" t="n">
        <x:v>86.8</x:v>
      </x:c>
      <x:c r="M4716" s="26" t="n">
        <x:v>0.1</x:v>
      </x:c>
      <x:c r="N4716" s="24" t="n">
        <x:v>2</x:v>
      </x:c>
      <x:c r="O4716" s="28" t="n">
        <x:f>MIN(1,L4716/I4716)</x:f>
        <x:v>0.0868</x:v>
      </x:c>
      <x:c r="P4716" s="30" t="n">
        <x:f>O4716*J4716*(1+M4716)</x:f>
        <x:v>0.09548000000000001</x:v>
      </x:c>
      <x:c r="Q4716" s="30" t="n">
        <x:f>P4716*N4716</x:f>
        <x:v>0.19096000000000002</x:v>
      </x:c>
      <x:c r="R4716" s="19" t="str">
        <x:v>独立判定</x:v>
      </x:c>
    </x:row>
    <x:row r="4717" ht="19" customHeight="1">
      <x:c r="A4717" s="19" t="str">
        <x:v>D04713</x:v>
      </x:c>
      <x:c r="B4717" s="19" t="n">
        <x:v>10</x:v>
      </x:c>
      <x:c r="C4717" s="19" t="n">
        <x:v>1</x:v>
      </x:c>
      <x:c r="D4717" s="19" t="str">
        <x:v>C10-M011</x:v>
      </x:c>
      <x:c r="E4717" s="19" t="str">
        <x:v>灰巷的无灯侯</x:v>
      </x:c>
      <x:c r="F4717" s="19" t="str">
        <x:v>地图BOSS</x:v>
      </x:c>
      <x:c r="G4717" s="19" t="str">
        <x:v>材料独立候选</x:v>
      </x:c>
      <x:c r="H4717" s="19" t="str">
        <x:v>小卢恩</x:v>
      </x:c>
      <x:c r="I4717" s="22" t="n">
        <x:v>8000</x:v>
      </x:c>
      <x:c r="J4717" s="22" t="n">
        <x:v>1</x:v>
      </x:c>
      <x:c r="K4717" s="19" t="n">
        <x:v>1</x:v>
      </x:c>
      <x:c r="L4717" s="24" t="n">
        <x:v>86.8</x:v>
      </x:c>
      <x:c r="M4717" s="26" t="n">
        <x:v>0.1</x:v>
      </x:c>
      <x:c r="N4717" s="24" t="n">
        <x:v>2</x:v>
      </x:c>
      <x:c r="O4717" s="28" t="n">
        <x:f>MIN(1,L4717/I4717)</x:f>
        <x:v>0.01085</x:v>
      </x:c>
      <x:c r="P4717" s="30" t="n">
        <x:f>O4717*J4717*(1+M4717)</x:f>
        <x:v>0.011935000000000001</x:v>
      </x:c>
      <x:c r="Q4717" s="30" t="n">
        <x:f>P4717*N4717</x:f>
        <x:v>0.023870000000000002</x:v>
      </x:c>
      <x:c r="R4717" s="19" t="str">
        <x:v>独立判定</x:v>
      </x:c>
    </x:row>
    <x:row r="4718" ht="19" customHeight="1">
      <x:c r="A4718" s="19" t="str">
        <x:v>D04714</x:v>
      </x:c>
      <x:c r="B4718" s="19" t="n">
        <x:v>10</x:v>
      </x:c>
      <x:c r="C4718" s="19" t="n">
        <x:v>1</x:v>
      </x:c>
      <x:c r="D4718" s="19" t="str">
        <x:v>C10-M011</x:v>
      </x:c>
      <x:c r="E4718" s="19" t="str">
        <x:v>灰巷的无灯侯</x:v>
      </x:c>
      <x:c r="F4718" s="19" t="str">
        <x:v>地图BOSS</x:v>
      </x:c>
      <x:c r="G4718" s="19" t="str">
        <x:v>材料独立候选</x:v>
      </x:c>
      <x:c r="H4718" s="19" t="str">
        <x:v>大卢恩</x:v>
      </x:c>
      <x:c r="I4718" s="22" t="n">
        <x:v>800</x:v>
      </x:c>
      <x:c r="J4718" s="22" t="n">
        <x:v>1</x:v>
      </x:c>
      <x:c r="K4718" s="19" t="n">
        <x:v>1</x:v>
      </x:c>
      <x:c r="L4718" s="24" t="n">
        <x:v>86.8</x:v>
      </x:c>
      <x:c r="M4718" s="26" t="n">
        <x:v>0.1</x:v>
      </x:c>
      <x:c r="N4718" s="24" t="n">
        <x:v>2</x:v>
      </x:c>
      <x:c r="O4718" s="28" t="n">
        <x:f>MIN(1,L4718/I4718)</x:f>
        <x:v>0.1085</x:v>
      </x:c>
      <x:c r="P4718" s="30" t="n">
        <x:f>O4718*J4718*(1+M4718)</x:f>
        <x:v>0.11935000000000001</x:v>
      </x:c>
      <x:c r="Q4718" s="30" t="n">
        <x:f>P4718*N4718</x:f>
        <x:v>0.23870000000000002</x:v>
      </x:c>
      <x:c r="R4718" s="19" t="str">
        <x:v>独立判定</x:v>
      </x:c>
    </x:row>
    <x:row r="4719" ht="19" customHeight="1">
      <x:c r="A4719" s="19" t="str">
        <x:v>D04715</x:v>
      </x:c>
      <x:c r="B4719" s="19" t="n">
        <x:v>10</x:v>
      </x:c>
      <x:c r="C4719" s="19" t="n">
        <x:v>1</x:v>
      </x:c>
      <x:c r="D4719" s="19" t="str">
        <x:v>C10-M011</x:v>
      </x:c>
      <x:c r="E4719" s="19" t="str">
        <x:v>灰巷的无灯侯</x:v>
      </x:c>
      <x:c r="F4719" s="19" t="str">
        <x:v>地图BOSS</x:v>
      </x:c>
      <x:c r="G4719" s="19" t="str">
        <x:v>材料独立候选</x:v>
      </x:c>
      <x:c r="H4719" s="19" t="str">
        <x:v>巨人熔火卢恩</x:v>
      </x:c>
      <x:c r="I4719" s="22" t="n">
        <x:v>1000</x:v>
      </x:c>
      <x:c r="J4719" s="22" t="n">
        <x:v>1</x:v>
      </x:c>
      <x:c r="K4719" s="19" t="n">
        <x:v>1</x:v>
      </x:c>
      <x:c r="L4719" s="24" t="n">
        <x:v>86.8</x:v>
      </x:c>
      <x:c r="M4719" s="26" t="n">
        <x:v>0.1</x:v>
      </x:c>
      <x:c r="N4719" s="24" t="n">
        <x:v>2</x:v>
      </x:c>
      <x:c r="O4719" s="28" t="n">
        <x:f>MIN(1,L4719/I4719)</x:f>
        <x:v>0.0868</x:v>
      </x:c>
      <x:c r="P4719" s="30" t="n">
        <x:f>O4719*J4719*(1+M4719)</x:f>
        <x:v>0.09548000000000001</x:v>
      </x:c>
      <x:c r="Q4719" s="30" t="n">
        <x:f>P4719*N4719</x:f>
        <x:v>0.19096000000000002</x:v>
      </x:c>
      <x:c r="R4719" s="19" t="str">
        <x:v>独立判定</x:v>
      </x:c>
    </x:row>
    <x:row r="4720" ht="19" customHeight="1">
      <x:c r="A4720" s="19" t="str">
        <x:v>D04716</x:v>
      </x:c>
      <x:c r="B4720" s="19" t="n">
        <x:v>10</x:v>
      </x:c>
      <x:c r="C4720" s="19" t="n">
        <x:v>1</x:v>
      </x:c>
      <x:c r="D4720" s="19" t="str">
        <x:v>C10-M011</x:v>
      </x:c>
      <x:c r="E4720" s="19" t="str">
        <x:v>灰巷的无灯侯</x:v>
      </x:c>
      <x:c r="F4720" s="19" t="str">
        <x:v>地图BOSS</x:v>
      </x:c>
      <x:c r="G4720" s="19" t="str">
        <x:v>材料独立候选</x:v>
      </x:c>
      <x:c r="H4720" s="19" t="str">
        <x:v>黄金律法卢恩</x:v>
      </x:c>
      <x:c r="I4720" s="22" t="n">
        <x:v>400</x:v>
      </x:c>
      <x:c r="J4720" s="22" t="n">
        <x:v>15</x:v>
      </x:c>
      <x:c r="K4720" s="19" t="n">
        <x:v>1</x:v>
      </x:c>
      <x:c r="L4720" s="24" t="n">
        <x:v>86.8</x:v>
      </x:c>
      <x:c r="M4720" s="26" t="n">
        <x:v>0.1</x:v>
      </x:c>
      <x:c r="N4720" s="24" t="n">
        <x:v>2</x:v>
      </x:c>
      <x:c r="O4720" s="28" t="n">
        <x:f>MIN(1,L4720/I4720)</x:f>
        <x:v>0.217</x:v>
      </x:c>
      <x:c r="P4720" s="30" t="n">
        <x:f>O4720*J4720*(1+M4720)</x:f>
        <x:v>3.5805000000000002</x:v>
      </x:c>
      <x:c r="Q4720" s="30" t="n">
        <x:f>P4720*N4720</x:f>
        <x:v>7.1610000000000005</x:v>
      </x:c>
      <x:c r="R4720" s="19" t="str">
        <x:v>独立判定</x:v>
      </x:c>
    </x:row>
    <x:row r="4721" ht="19" customHeight="1">
      <x:c r="A4721" s="19" t="str">
        <x:v>D04717</x:v>
      </x:c>
      <x:c r="B4721" s="19" t="n">
        <x:v>10</x:v>
      </x:c>
      <x:c r="C4721" s="19" t="n">
        <x:v>1</x:v>
      </x:c>
      <x:c r="D4721" s="19" t="str">
        <x:v>C10-M011</x:v>
      </x:c>
      <x:c r="E4721" s="19" t="str">
        <x:v>灰巷的无灯侯</x:v>
      </x:c>
      <x:c r="F4721" s="19" t="str">
        <x:v>地图BOSS</x:v>
      </x:c>
      <x:c r="G4721" s="19" t="str">
        <x:v>六神器公共池</x:v>
      </x:c>
      <x:c r="H4721" s="19" t="str">
        <x:v>POOL006</x:v>
      </x:c>
      <x:c r="I4721" s="22" t="n">
        <x:v>200000</x:v>
      </x:c>
      <x:c r="J4721" s="22" t="n">
        <x:v>1</x:v>
      </x:c>
      <x:c r="K4721" s="19" t="n">
        <x:v>6</x:v>
      </x:c>
      <x:c r="L4721" s="24" t="n">
        <x:v>86.8</x:v>
      </x:c>
      <x:c r="M4721" s="26" t="n">
        <x:v>0.1</x:v>
      </x:c>
      <x:c r="N4721" s="24" t="n">
        <x:v>2</x:v>
      </x:c>
      <x:c r="O4721" s="28" t="n">
        <x:f>MIN(1,L4721/I4721)</x:f>
        <x:v>0.000434</x:v>
      </x:c>
      <x:c r="P4721" s="30" t="n">
        <x:f>O4721*J4721*(1+M4721)</x:f>
        <x:v>0.0004774</x:v>
      </x:c>
      <x:c r="Q4721" s="30" t="n">
        <x:f>P4721*N4721</x:f>
        <x:v>0.0009548</x:v>
      </x:c>
      <x:c r="R4721" s="19" t="str">
        <x:v>六选一；非6个独立爆率</x:v>
      </x:c>
    </x:row>
    <x:row r="4722" ht="19" customHeight="1">
      <x:c r="A4722" s="19" t="str">
        <x:v>D04718</x:v>
      </x:c>
      <x:c r="B4722" s="19" t="n">
        <x:v>10</x:v>
      </x:c>
      <x:c r="C4722" s="19" t="n">
        <x:v>1</x:v>
      </x:c>
      <x:c r="D4722" s="19" t="str">
        <x:v>C10-M012</x:v>
      </x:c>
      <x:c r="E4722" s="19" t="str">
        <x:v>千锁闸门统领</x:v>
      </x:c>
      <x:c r="F4722" s="19" t="str">
        <x:v>地图BOSS</x:v>
      </x:c>
      <x:c r="G4722" s="19" t="str">
        <x:v>自身专属</x:v>
      </x:c>
      <x:c r="H4722" s="19" t="str">
        <x:v>千锁断流铡</x:v>
      </x:c>
      <x:c r="I4722" s="22" t="n">
        <x:v>400</x:v>
      </x:c>
      <x:c r="J4722" s="22" t="n">
        <x:v>1</x:v>
      </x:c>
      <x:c r="K4722" s="19" t="n">
        <x:v>1</x:v>
      </x:c>
      <x:c r="L4722" s="24" t="n">
        <x:v>86.8</x:v>
      </x:c>
      <x:c r="M4722" s="26" t="n">
        <x:v>0.1</x:v>
      </x:c>
      <x:c r="N4722" s="24" t="n">
        <x:v>2</x:v>
      </x:c>
      <x:c r="O4722" s="28" t="n">
        <x:f>MIN(1,L4722/I4722)</x:f>
        <x:v>0.217</x:v>
      </x:c>
      <x:c r="P4722" s="30" t="n">
        <x:f>O4722*J4722*(1+M4722)</x:f>
        <x:v>0.23870000000000002</x:v>
      </x:c>
      <x:c r="Q4722" s="30" t="n">
        <x:f>P4722*N4722</x:f>
        <x:v>0.47740000000000005</x:v>
      </x:c>
      <x:c r="R4722" s="19" t="str">
        <x:v>独立判定</x:v>
      </x:c>
    </x:row>
    <x:row r="4723" ht="19" customHeight="1">
      <x:c r="A4723" s="19" t="str">
        <x:v>D04719</x:v>
      </x:c>
      <x:c r="B4723" s="19" t="n">
        <x:v>10</x:v>
      </x:c>
      <x:c r="C4723" s="19" t="n">
        <x:v>1</x:v>
      </x:c>
      <x:c r="D4723" s="19" t="str">
        <x:v>C10-M012</x:v>
      </x:c>
      <x:c r="E4723" s="19" t="str">
        <x:v>千锁闸门统领</x:v>
      </x:c>
      <x:c r="F4723" s="19" t="str">
        <x:v>地图BOSS</x:v>
      </x:c>
      <x:c r="G4723" s="19" t="str">
        <x:v>自身专属</x:v>
      </x:c>
      <x:c r="H4723" s="19" t="str">
        <x:v>万冠司仪冠</x:v>
      </x:c>
      <x:c r="I4723" s="22" t="n">
        <x:v>400</x:v>
      </x:c>
      <x:c r="J4723" s="22" t="n">
        <x:v>1</x:v>
      </x:c>
      <x:c r="K4723" s="19" t="n">
        <x:v>1</x:v>
      </x:c>
      <x:c r="L4723" s="24" t="n">
        <x:v>86.8</x:v>
      </x:c>
      <x:c r="M4723" s="26" t="n">
        <x:v>0.1</x:v>
      </x:c>
      <x:c r="N4723" s="24" t="n">
        <x:v>2</x:v>
      </x:c>
      <x:c r="O4723" s="28" t="n">
        <x:f>MIN(1,L4723/I4723)</x:f>
        <x:v>0.217</x:v>
      </x:c>
      <x:c r="P4723" s="30" t="n">
        <x:f>O4723*J4723*(1+M4723)</x:f>
        <x:v>0.23870000000000002</x:v>
      </x:c>
      <x:c r="Q4723" s="30" t="n">
        <x:f>P4723*N4723</x:f>
        <x:v>0.47740000000000005</x:v>
      </x:c>
      <x:c r="R4723" s="19" t="str">
        <x:v>独立判定</x:v>
      </x:c>
    </x:row>
    <x:row r="4724" ht="19" customHeight="1">
      <x:c r="A4724" s="19" t="str">
        <x:v>D04720</x:v>
      </x:c>
      <x:c r="B4724" s="19" t="n">
        <x:v>10</x:v>
      </x:c>
      <x:c r="C4724" s="19" t="n">
        <x:v>1</x:v>
      </x:c>
      <x:c r="D4724" s="19" t="str">
        <x:v>C10-M012</x:v>
      </x:c>
      <x:c r="E4724" s="19" t="str">
        <x:v>千锁闸门统领</x:v>
      </x:c>
      <x:c r="F4724" s="19" t="str">
        <x:v>地图BOSS</x:v>
      </x:c>
      <x:c r="G4724" s="19" t="str">
        <x:v>本图普通兼掉候选</x:v>
      </x:c>
      <x:c r="H4724" s="19" t="str">
        <x:v>POOL079</x:v>
      </x:c>
      <x:c r="I4724" s="22" t="n">
        <x:v>200</x:v>
      </x:c>
      <x:c r="J4724" s="22" t="n">
        <x:v>1</x:v>
      </x:c>
      <x:c r="K4724" s="19" t="n">
        <x:v>2</x:v>
      </x:c>
      <x:c r="L4724" s="24" t="n">
        <x:v>86.8</x:v>
      </x:c>
      <x:c r="M4724" s="26" t="n">
        <x:v>0.1</x:v>
      </x:c>
      <x:c r="N4724" s="24" t="n">
        <x:v>2</x:v>
      </x:c>
      <x:c r="O4724" s="28" t="n">
        <x:f>MIN(1,L4724/I4724)</x:f>
        <x:v>0.434</x:v>
      </x:c>
      <x:c r="P4724" s="30" t="n">
        <x:f>O4724*J4724*(1+M4724)</x:f>
        <x:v>0.47740000000000005</x:v>
      </x:c>
      <x:c r="Q4724" s="30" t="n">
        <x:f>P4724*N4724</x:f>
        <x:v>0.9548000000000001</x:v>
      </x:c>
      <x:c r="R4724" s="19" t="str">
        <x:v>单池选一</x:v>
      </x:c>
    </x:row>
    <x:row r="4725" ht="19" customHeight="1">
      <x:c r="A4725" s="19" t="str">
        <x:v>D04721</x:v>
      </x:c>
      <x:c r="B4725" s="19" t="n">
        <x:v>10</x:v>
      </x:c>
      <x:c r="C4725" s="19" t="n">
        <x:v>1</x:v>
      </x:c>
      <x:c r="D4725" s="19" t="str">
        <x:v>C10-M012</x:v>
      </x:c>
      <x:c r="E4725" s="19" t="str">
        <x:v>千锁闸门统领</x:v>
      </x:c>
      <x:c r="F4725" s="19" t="str">
        <x:v>地图BOSS</x:v>
      </x:c>
      <x:c r="G4725" s="19" t="str">
        <x:v>材料独立候选</x:v>
      </x:c>
      <x:c r="H4725" s="19" t="str">
        <x:v>王城金屑</x:v>
      </x:c>
      <x:c r="I4725" s="22" t="n">
        <x:v>600</x:v>
      </x:c>
      <x:c r="J4725" s="22" t="n">
        <x:v>30</x:v>
      </x:c>
      <x:c r="K4725" s="19" t="n">
        <x:v>1</x:v>
      </x:c>
      <x:c r="L4725" s="24" t="n">
        <x:v>86.8</x:v>
      </x:c>
      <x:c r="M4725" s="26" t="n">
        <x:v>0.1</x:v>
      </x:c>
      <x:c r="N4725" s="24" t="n">
        <x:v>2</x:v>
      </x:c>
      <x:c r="O4725" s="28" t="n">
        <x:f>MIN(1,L4725/I4725)</x:f>
        <x:v>0.14466666666666667</x:v>
      </x:c>
      <x:c r="P4725" s="30" t="n">
        <x:f>O4725*J4725*(1+M4725)</x:f>
        <x:v>4.774</x:v>
      </x:c>
      <x:c r="Q4725" s="30" t="n">
        <x:f>P4725*N4725</x:f>
        <x:v>9.548</x:v>
      </x:c>
      <x:c r="R4725" s="19" t="str">
        <x:v>独立判定</x:v>
      </x:c>
    </x:row>
    <x:row r="4726" ht="19" customHeight="1">
      <x:c r="A4726" s="19" t="str">
        <x:v>D04722</x:v>
      </x:c>
      <x:c r="B4726" s="19" t="n">
        <x:v>10</x:v>
      </x:c>
      <x:c r="C4726" s="19" t="n">
        <x:v>1</x:v>
      </x:c>
      <x:c r="D4726" s="19" t="str">
        <x:v>C10-M012</x:v>
      </x:c>
      <x:c r="E4726" s="19" t="str">
        <x:v>千锁闸门统领</x:v>
      </x:c>
      <x:c r="F4726" s="19" t="str">
        <x:v>地图BOSS</x:v>
      </x:c>
      <x:c r="G4726" s="19" t="str">
        <x:v>材料独立候选</x:v>
      </x:c>
      <x:c r="H4726" s="19" t="str">
        <x:v>王宫律文</x:v>
      </x:c>
      <x:c r="I4726" s="22" t="n">
        <x:v>400</x:v>
      </x:c>
      <x:c r="J4726" s="22" t="n">
        <x:v>1</x:v>
      </x:c>
      <x:c r="K4726" s="19" t="n">
        <x:v>1</x:v>
      </x:c>
      <x:c r="L4726" s="24" t="n">
        <x:v>86.8</x:v>
      </x:c>
      <x:c r="M4726" s="26" t="n">
        <x:v>0.1</x:v>
      </x:c>
      <x:c r="N4726" s="24" t="n">
        <x:v>2</x:v>
      </x:c>
      <x:c r="O4726" s="28" t="n">
        <x:f>MIN(1,L4726/I4726)</x:f>
        <x:v>0.217</x:v>
      </x:c>
      <x:c r="P4726" s="30" t="n">
        <x:f>O4726*J4726*(1+M4726)</x:f>
        <x:v>0.23870000000000002</x:v>
      </x:c>
      <x:c r="Q4726" s="30" t="n">
        <x:f>P4726*N4726</x:f>
        <x:v>0.47740000000000005</x:v>
      </x:c>
      <x:c r="R4726" s="19" t="str">
        <x:v>独立判定</x:v>
      </x:c>
    </x:row>
    <x:row r="4727" ht="19" customHeight="1">
      <x:c r="A4727" s="19" t="str">
        <x:v>D04723</x:v>
      </x:c>
      <x:c r="B4727" s="19" t="n">
        <x:v>10</x:v>
      </x:c>
      <x:c r="C4727" s="19" t="n">
        <x:v>1</x:v>
      </x:c>
      <x:c r="D4727" s="19" t="str">
        <x:v>C10-M012</x:v>
      </x:c>
      <x:c r="E4727" s="19" t="str">
        <x:v>千锁闸门统领</x:v>
      </x:c>
      <x:c r="F4727" s="19" t="str">
        <x:v>地图BOSS</x:v>
      </x:c>
      <x:c r="G4727" s="19" t="str">
        <x:v>材料独立候选</x:v>
      </x:c>
      <x:c r="H4727" s="19" t="str">
        <x:v>艾尔登王印</x:v>
      </x:c>
      <x:c r="I4727" s="22" t="n">
        <x:v>400</x:v>
      </x:c>
      <x:c r="J4727" s="22" t="n">
        <x:v>10</x:v>
      </x:c>
      <x:c r="K4727" s="19" t="n">
        <x:v>1</x:v>
      </x:c>
      <x:c r="L4727" s="24" t="n">
        <x:v>86.8</x:v>
      </x:c>
      <x:c r="M4727" s="26" t="n">
        <x:v>0.1</x:v>
      </x:c>
      <x:c r="N4727" s="24" t="n">
        <x:v>2</x:v>
      </x:c>
      <x:c r="O4727" s="28" t="n">
        <x:f>MIN(1,L4727/I4727)</x:f>
        <x:v>0.217</x:v>
      </x:c>
      <x:c r="P4727" s="30" t="n">
        <x:f>O4727*J4727*(1+M4727)</x:f>
        <x:v>2.387</x:v>
      </x:c>
      <x:c r="Q4727" s="30" t="n">
        <x:f>P4727*N4727</x:f>
        <x:v>4.774</x:v>
      </x:c>
      <x:c r="R4727" s="19" t="str">
        <x:v>独立判定</x:v>
      </x:c>
    </x:row>
    <x:row r="4728" ht="19" customHeight="1">
      <x:c r="A4728" s="19" t="str">
        <x:v>D04724</x:v>
      </x:c>
      <x:c r="B4728" s="19" t="n">
        <x:v>10</x:v>
      </x:c>
      <x:c r="C4728" s="19" t="n">
        <x:v>1</x:v>
      </x:c>
      <x:c r="D4728" s="19" t="str">
        <x:v>C10-M012</x:v>
      </x:c>
      <x:c r="E4728" s="19" t="str">
        <x:v>千锁闸门统领</x:v>
      </x:c>
      <x:c r="F4728" s="19" t="str">
        <x:v>地图BOSS</x:v>
      </x:c>
      <x:c r="G4728" s="19" t="str">
        <x:v>材料独立候选</x:v>
      </x:c>
      <x:c r="H4728" s="19" t="str">
        <x:v>失温熔炉楔</x:v>
      </x:c>
      <x:c r="I4728" s="22" t="n">
        <x:v>400</x:v>
      </x:c>
      <x:c r="J4728" s="22" t="n">
        <x:v>4</x:v>
      </x:c>
      <x:c r="K4728" s="19" t="n">
        <x:v>1</x:v>
      </x:c>
      <x:c r="L4728" s="24" t="n">
        <x:v>86.8</x:v>
      </x:c>
      <x:c r="M4728" s="26" t="n">
        <x:v>0.1</x:v>
      </x:c>
      <x:c r="N4728" s="24" t="n">
        <x:v>2</x:v>
      </x:c>
      <x:c r="O4728" s="28" t="n">
        <x:f>MIN(1,L4728/I4728)</x:f>
        <x:v>0.217</x:v>
      </x:c>
      <x:c r="P4728" s="30" t="n">
        <x:f>O4728*J4728*(1+M4728)</x:f>
        <x:v>0.9548000000000001</x:v>
      </x:c>
      <x:c r="Q4728" s="30" t="n">
        <x:f>P4728*N4728</x:f>
        <x:v>1.9096000000000002</x:v>
      </x:c>
      <x:c r="R4728" s="19" t="str">
        <x:v>独立判定</x:v>
      </x:c>
    </x:row>
    <x:row r="4729" ht="19" customHeight="1">
      <x:c r="A4729" s="19" t="str">
        <x:v>D04725</x:v>
      </x:c>
      <x:c r="B4729" s="19" t="n">
        <x:v>10</x:v>
      </x:c>
      <x:c r="C4729" s="19" t="n">
        <x:v>1</x:v>
      </x:c>
      <x:c r="D4729" s="19" t="str">
        <x:v>C10-M012</x:v>
      </x:c>
      <x:c r="E4729" s="19" t="str">
        <x:v>千锁闸门统领</x:v>
      </x:c>
      <x:c r="F4729" s="19" t="str">
        <x:v>地图BOSS</x:v>
      </x:c>
      <x:c r="G4729" s="19" t="str">
        <x:v>材料独立候选</x:v>
      </x:c>
      <x:c r="H4729" s="19" t="str">
        <x:v>穹律鎏痕拓片</x:v>
      </x:c>
      <x:c r="I4729" s="22" t="n">
        <x:v>1200000</x:v>
      </x:c>
      <x:c r="J4729" s="22" t="n">
        <x:v>1</x:v>
      </x:c>
      <x:c r="K4729" s="19" t="n">
        <x:v>1</x:v>
      </x:c>
      <x:c r="L4729" s="24" t="n">
        <x:v>86.8</x:v>
      </x:c>
      <x:c r="M4729" s="26" t="n">
        <x:v>0.1</x:v>
      </x:c>
      <x:c r="N4729" s="24" t="n">
        <x:v>2</x:v>
      </x:c>
      <x:c r="O4729" s="28" t="n">
        <x:f>MIN(1,L4729/I4729)</x:f>
        <x:v>0.00007233333333333333</x:v>
      </x:c>
      <x:c r="P4729" s="30" t="n">
        <x:f>O4729*J4729*(1+M4729)</x:f>
        <x:v>0.00007956666666666667</x:v>
      </x:c>
      <x:c r="Q4729" s="30" t="n">
        <x:f>P4729*N4729</x:f>
        <x:v>0.00015913333333333334</x:v>
      </x:c>
      <x:c r="R4729" s="19" t="str">
        <x:v>独立判定</x:v>
      </x:c>
    </x:row>
    <x:row r="4730" ht="19" customHeight="1">
      <x:c r="A4730" s="19" t="str">
        <x:v>D04726</x:v>
      </x:c>
      <x:c r="B4730" s="19" t="n">
        <x:v>10</x:v>
      </x:c>
      <x:c r="C4730" s="19" t="n">
        <x:v>1</x:v>
      </x:c>
      <x:c r="D4730" s="19" t="str">
        <x:v>C10-M012</x:v>
      </x:c>
      <x:c r="E4730" s="19" t="str">
        <x:v>千锁闸门统领</x:v>
      </x:c>
      <x:c r="F4730" s="19" t="str">
        <x:v>地图BOSS</x:v>
      </x:c>
      <x:c r="G4730" s="19" t="str">
        <x:v>材料独立候选</x:v>
      </x:c>
      <x:c r="H4730" s="19" t="str">
        <x:v>黄金树芽</x:v>
      </x:c>
      <x:c r="I4730" s="22" t="n">
        <x:v>1500</x:v>
      </x:c>
      <x:c r="J4730" s="22" t="n">
        <x:v>1</x:v>
      </x:c>
      <x:c r="K4730" s="19" t="n">
        <x:v>1</x:v>
      </x:c>
      <x:c r="L4730" s="24" t="n">
        <x:v>86.8</x:v>
      </x:c>
      <x:c r="M4730" s="26" t="n">
        <x:v>0.1</x:v>
      </x:c>
      <x:c r="N4730" s="24" t="n">
        <x:v>2</x:v>
      </x:c>
      <x:c r="O4730" s="28" t="n">
        <x:f>MIN(1,L4730/I4730)</x:f>
        <x:v>0.057866666666666663</x:v>
      </x:c>
      <x:c r="P4730" s="30" t="n">
        <x:f>O4730*J4730*(1+M4730)</x:f>
        <x:v>0.06365333333333334</x:v>
      </x:c>
      <x:c r="Q4730" s="30" t="n">
        <x:f>P4730*N4730</x:f>
        <x:v>0.12730666666666668</x:v>
      </x:c>
      <x:c r="R4730" s="19" t="str">
        <x:v>独立判定</x:v>
      </x:c>
    </x:row>
    <x:row r="4731" ht="19" customHeight="1">
      <x:c r="A4731" s="19" t="str">
        <x:v>D04727</x:v>
      </x:c>
      <x:c r="B4731" s="19" t="n">
        <x:v>10</x:v>
      </x:c>
      <x:c r="C4731" s="19" t="n">
        <x:v>1</x:v>
      </x:c>
      <x:c r="D4731" s="19" t="str">
        <x:v>C10-M012</x:v>
      </x:c>
      <x:c r="E4731" s="19" t="str">
        <x:v>千锁闸门统领</x:v>
      </x:c>
      <x:c r="F4731" s="19" t="str">
        <x:v>地图BOSS</x:v>
      </x:c>
      <x:c r="G4731" s="19" t="str">
        <x:v>材料独立候选</x:v>
      </x:c>
      <x:c r="H4731" s="19" t="str">
        <x:v>野兽骨片</x:v>
      </x:c>
      <x:c r="I4731" s="22" t="n">
        <x:v>150</x:v>
      </x:c>
      <x:c r="J4731" s="22" t="n">
        <x:v>4</x:v>
      </x:c>
      <x:c r="K4731" s="19" t="n">
        <x:v>1</x:v>
      </x:c>
      <x:c r="L4731" s="24" t="n">
        <x:v>86.8</x:v>
      </x:c>
      <x:c r="M4731" s="26" t="n">
        <x:v>0.1</x:v>
      </x:c>
      <x:c r="N4731" s="24" t="n">
        <x:v>2</x:v>
      </x:c>
      <x:c r="O4731" s="28" t="n">
        <x:f>MIN(1,L4731/I4731)</x:f>
        <x:v>0.5786666666666667</x:v>
      </x:c>
      <x:c r="P4731" s="30" t="n">
        <x:f>O4731*J4731*(1+M4731)</x:f>
        <x:v>2.5461333333333336</x:v>
      </x:c>
      <x:c r="Q4731" s="30" t="n">
        <x:f>P4731*N4731</x:f>
        <x:v>5.092266666666667</x:v>
      </x:c>
      <x:c r="R4731" s="19" t="str">
        <x:v>独立判定</x:v>
      </x:c>
    </x:row>
    <x:row r="4732" ht="19" customHeight="1">
      <x:c r="A4732" s="19" t="str">
        <x:v>D04728</x:v>
      </x:c>
      <x:c r="B4732" s="19" t="n">
        <x:v>10</x:v>
      </x:c>
      <x:c r="C4732" s="19" t="n">
        <x:v>1</x:v>
      </x:c>
      <x:c r="D4732" s="19" t="str">
        <x:v>C10-M012</x:v>
      </x:c>
      <x:c r="E4732" s="19" t="str">
        <x:v>千锁闸门统领</x:v>
      </x:c>
      <x:c r="F4732" s="19" t="str">
        <x:v>地图BOSS</x:v>
      </x:c>
      <x:c r="G4732" s="19" t="str">
        <x:v>材料独立候选</x:v>
      </x:c>
      <x:c r="H4732" s="19" t="str">
        <x:v>技能残页</x:v>
      </x:c>
      <x:c r="I4732" s="22" t="n">
        <x:v>1500</x:v>
      </x:c>
      <x:c r="J4732" s="22" t="n">
        <x:v>1</x:v>
      </x:c>
      <x:c r="K4732" s="19" t="n">
        <x:v>1</x:v>
      </x:c>
      <x:c r="L4732" s="24" t="n">
        <x:v>86.8</x:v>
      </x:c>
      <x:c r="M4732" s="26" t="n">
        <x:v>0.1</x:v>
      </x:c>
      <x:c r="N4732" s="24" t="n">
        <x:v>2</x:v>
      </x:c>
      <x:c r="O4732" s="28" t="n">
        <x:f>MIN(1,L4732/I4732)</x:f>
        <x:v>0.057866666666666663</x:v>
      </x:c>
      <x:c r="P4732" s="30" t="n">
        <x:f>O4732*J4732*(1+M4732)</x:f>
        <x:v>0.06365333333333334</x:v>
      </x:c>
      <x:c r="Q4732" s="30" t="n">
        <x:f>P4732*N4732</x:f>
        <x:v>0.12730666666666668</x:v>
      </x:c>
      <x:c r="R4732" s="19" t="str">
        <x:v>独立判定</x:v>
      </x:c>
    </x:row>
    <x:row r="4733" ht="19" customHeight="1">
      <x:c r="A4733" s="19" t="str">
        <x:v>D04729</x:v>
      </x:c>
      <x:c r="B4733" s="19" t="n">
        <x:v>10</x:v>
      </x:c>
      <x:c r="C4733" s="19" t="n">
        <x:v>1</x:v>
      </x:c>
      <x:c r="D4733" s="19" t="str">
        <x:v>C10-M012</x:v>
      </x:c>
      <x:c r="E4733" s="19" t="str">
        <x:v>千锁闸门统领</x:v>
      </x:c>
      <x:c r="F4733" s="19" t="str">
        <x:v>地图BOSS</x:v>
      </x:c>
      <x:c r="G4733" s="19" t="str">
        <x:v>材料独立候选</x:v>
      </x:c>
      <x:c r="H4733" s="19" t="str">
        <x:v>宁姆格福誓页</x:v>
      </x:c>
      <x:c r="I4733" s="22" t="n">
        <x:v>1000</x:v>
      </x:c>
      <x:c r="J4733" s="22" t="n">
        <x:v>1</x:v>
      </x:c>
      <x:c r="K4733" s="19" t="n">
        <x:v>1</x:v>
      </x:c>
      <x:c r="L4733" s="24" t="n">
        <x:v>86.8</x:v>
      </x:c>
      <x:c r="M4733" s="26" t="n">
        <x:v>0.1</x:v>
      </x:c>
      <x:c r="N4733" s="24" t="n">
        <x:v>2</x:v>
      </x:c>
      <x:c r="O4733" s="28" t="n">
        <x:f>MIN(1,L4733/I4733)</x:f>
        <x:v>0.0868</x:v>
      </x:c>
      <x:c r="P4733" s="30" t="n">
        <x:f>O4733*J4733*(1+M4733)</x:f>
        <x:v>0.09548000000000001</x:v>
      </x:c>
      <x:c r="Q4733" s="30" t="n">
        <x:f>P4733*N4733</x:f>
        <x:v>0.19096000000000002</x:v>
      </x:c>
      <x:c r="R4733" s="19" t="str">
        <x:v>独立判定</x:v>
      </x:c>
    </x:row>
    <x:row r="4734" ht="19" customHeight="1">
      <x:c r="A4734" s="19" t="str">
        <x:v>D04730</x:v>
      </x:c>
      <x:c r="B4734" s="19" t="n">
        <x:v>10</x:v>
      </x:c>
      <x:c r="C4734" s="19" t="n">
        <x:v>1</x:v>
      </x:c>
      <x:c r="D4734" s="19" t="str">
        <x:v>C10-M012</x:v>
      </x:c>
      <x:c r="E4734" s="19" t="str">
        <x:v>千锁闸门统领</x:v>
      </x:c>
      <x:c r="F4734" s="19" t="str">
        <x:v>地图BOSS</x:v>
      </x:c>
      <x:c r="G4734" s="19" t="str">
        <x:v>材料独立候选</x:v>
      </x:c>
      <x:c r="H4734" s="19" t="str">
        <x:v>小卢恩</x:v>
      </x:c>
      <x:c r="I4734" s="22" t="n">
        <x:v>8000</x:v>
      </x:c>
      <x:c r="J4734" s="22" t="n">
        <x:v>1</x:v>
      </x:c>
      <x:c r="K4734" s="19" t="n">
        <x:v>1</x:v>
      </x:c>
      <x:c r="L4734" s="24" t="n">
        <x:v>86.8</x:v>
      </x:c>
      <x:c r="M4734" s="26" t="n">
        <x:v>0.1</x:v>
      </x:c>
      <x:c r="N4734" s="24" t="n">
        <x:v>2</x:v>
      </x:c>
      <x:c r="O4734" s="28" t="n">
        <x:f>MIN(1,L4734/I4734)</x:f>
        <x:v>0.01085</x:v>
      </x:c>
      <x:c r="P4734" s="30" t="n">
        <x:f>O4734*J4734*(1+M4734)</x:f>
        <x:v>0.011935000000000001</x:v>
      </x:c>
      <x:c r="Q4734" s="30" t="n">
        <x:f>P4734*N4734</x:f>
        <x:v>0.023870000000000002</x:v>
      </x:c>
      <x:c r="R4734" s="19" t="str">
        <x:v>独立判定</x:v>
      </x:c>
    </x:row>
    <x:row r="4735" ht="19" customHeight="1">
      <x:c r="A4735" s="19" t="str">
        <x:v>D04731</x:v>
      </x:c>
      <x:c r="B4735" s="19" t="n">
        <x:v>10</x:v>
      </x:c>
      <x:c r="C4735" s="19" t="n">
        <x:v>1</x:v>
      </x:c>
      <x:c r="D4735" s="19" t="str">
        <x:v>C10-M012</x:v>
      </x:c>
      <x:c r="E4735" s="19" t="str">
        <x:v>千锁闸门统领</x:v>
      </x:c>
      <x:c r="F4735" s="19" t="str">
        <x:v>地图BOSS</x:v>
      </x:c>
      <x:c r="G4735" s="19" t="str">
        <x:v>材料独立候选</x:v>
      </x:c>
      <x:c r="H4735" s="19" t="str">
        <x:v>大卢恩</x:v>
      </x:c>
      <x:c r="I4735" s="22" t="n">
        <x:v>800</x:v>
      </x:c>
      <x:c r="J4735" s="22" t="n">
        <x:v>1</x:v>
      </x:c>
      <x:c r="K4735" s="19" t="n">
        <x:v>1</x:v>
      </x:c>
      <x:c r="L4735" s="24" t="n">
        <x:v>86.8</x:v>
      </x:c>
      <x:c r="M4735" s="26" t="n">
        <x:v>0.1</x:v>
      </x:c>
      <x:c r="N4735" s="24" t="n">
        <x:v>2</x:v>
      </x:c>
      <x:c r="O4735" s="28" t="n">
        <x:f>MIN(1,L4735/I4735)</x:f>
        <x:v>0.1085</x:v>
      </x:c>
      <x:c r="P4735" s="30" t="n">
        <x:f>O4735*J4735*(1+M4735)</x:f>
        <x:v>0.11935000000000001</x:v>
      </x:c>
      <x:c r="Q4735" s="30" t="n">
        <x:f>P4735*N4735</x:f>
        <x:v>0.23870000000000002</x:v>
      </x:c>
      <x:c r="R4735" s="19" t="str">
        <x:v>独立判定</x:v>
      </x:c>
    </x:row>
    <x:row r="4736" ht="19" customHeight="1">
      <x:c r="A4736" s="19" t="str">
        <x:v>D04732</x:v>
      </x:c>
      <x:c r="B4736" s="19" t="n">
        <x:v>10</x:v>
      </x:c>
      <x:c r="C4736" s="19" t="n">
        <x:v>1</x:v>
      </x:c>
      <x:c r="D4736" s="19" t="str">
        <x:v>C10-M012</x:v>
      </x:c>
      <x:c r="E4736" s="19" t="str">
        <x:v>千锁闸门统领</x:v>
      </x:c>
      <x:c r="F4736" s="19" t="str">
        <x:v>地图BOSS</x:v>
      </x:c>
      <x:c r="G4736" s="19" t="str">
        <x:v>材料独立候选</x:v>
      </x:c>
      <x:c r="H4736" s="19" t="str">
        <x:v>巨人熔火卢恩</x:v>
      </x:c>
      <x:c r="I4736" s="22" t="n">
        <x:v>1000</x:v>
      </x:c>
      <x:c r="J4736" s="22" t="n">
        <x:v>1</x:v>
      </x:c>
      <x:c r="K4736" s="19" t="n">
        <x:v>1</x:v>
      </x:c>
      <x:c r="L4736" s="24" t="n">
        <x:v>86.8</x:v>
      </x:c>
      <x:c r="M4736" s="26" t="n">
        <x:v>0.1</x:v>
      </x:c>
      <x:c r="N4736" s="24" t="n">
        <x:v>2</x:v>
      </x:c>
      <x:c r="O4736" s="28" t="n">
        <x:f>MIN(1,L4736/I4736)</x:f>
        <x:v>0.0868</x:v>
      </x:c>
      <x:c r="P4736" s="30" t="n">
        <x:f>O4736*J4736*(1+M4736)</x:f>
        <x:v>0.09548000000000001</x:v>
      </x:c>
      <x:c r="Q4736" s="30" t="n">
        <x:f>P4736*N4736</x:f>
        <x:v>0.19096000000000002</x:v>
      </x:c>
      <x:c r="R4736" s="19" t="str">
        <x:v>独立判定</x:v>
      </x:c>
    </x:row>
    <x:row r="4737" ht="19" customHeight="1">
      <x:c r="A4737" s="19" t="str">
        <x:v>D04733</x:v>
      </x:c>
      <x:c r="B4737" s="19" t="n">
        <x:v>10</x:v>
      </x:c>
      <x:c r="C4737" s="19" t="n">
        <x:v>1</x:v>
      </x:c>
      <x:c r="D4737" s="19" t="str">
        <x:v>C10-M012</x:v>
      </x:c>
      <x:c r="E4737" s="19" t="str">
        <x:v>千锁闸门统领</x:v>
      </x:c>
      <x:c r="F4737" s="19" t="str">
        <x:v>地图BOSS</x:v>
      </x:c>
      <x:c r="G4737" s="19" t="str">
        <x:v>材料独立候选</x:v>
      </x:c>
      <x:c r="H4737" s="19" t="str">
        <x:v>黄金律法卢恩</x:v>
      </x:c>
      <x:c r="I4737" s="22" t="n">
        <x:v>400</x:v>
      </x:c>
      <x:c r="J4737" s="22" t="n">
        <x:v>15</x:v>
      </x:c>
      <x:c r="K4737" s="19" t="n">
        <x:v>1</x:v>
      </x:c>
      <x:c r="L4737" s="24" t="n">
        <x:v>86.8</x:v>
      </x:c>
      <x:c r="M4737" s="26" t="n">
        <x:v>0.1</x:v>
      </x:c>
      <x:c r="N4737" s="24" t="n">
        <x:v>2</x:v>
      </x:c>
      <x:c r="O4737" s="28" t="n">
        <x:f>MIN(1,L4737/I4737)</x:f>
        <x:v>0.217</x:v>
      </x:c>
      <x:c r="P4737" s="30" t="n">
        <x:f>O4737*J4737*(1+M4737)</x:f>
        <x:v>3.5805000000000002</x:v>
      </x:c>
      <x:c r="Q4737" s="30" t="n">
        <x:f>P4737*N4737</x:f>
        <x:v>7.1610000000000005</x:v>
      </x:c>
      <x:c r="R4737" s="19" t="str">
        <x:v>独立判定</x:v>
      </x:c>
    </x:row>
    <x:row r="4738" ht="19" customHeight="1">
      <x:c r="A4738" s="19" t="str">
        <x:v>D04734</x:v>
      </x:c>
      <x:c r="B4738" s="19" t="n">
        <x:v>10</x:v>
      </x:c>
      <x:c r="C4738" s="19" t="n">
        <x:v>1</x:v>
      </x:c>
      <x:c r="D4738" s="19" t="str">
        <x:v>C10-M012</x:v>
      </x:c>
      <x:c r="E4738" s="19" t="str">
        <x:v>千锁闸门统领</x:v>
      </x:c>
      <x:c r="F4738" s="19" t="str">
        <x:v>地图BOSS</x:v>
      </x:c>
      <x:c r="G4738" s="19" t="str">
        <x:v>六神器公共池</x:v>
      </x:c>
      <x:c r="H4738" s="19" t="str">
        <x:v>POOL006</x:v>
      </x:c>
      <x:c r="I4738" s="22" t="n">
        <x:v>200000</x:v>
      </x:c>
      <x:c r="J4738" s="22" t="n">
        <x:v>1</x:v>
      </x:c>
      <x:c r="K4738" s="19" t="n">
        <x:v>6</x:v>
      </x:c>
      <x:c r="L4738" s="24" t="n">
        <x:v>86.8</x:v>
      </x:c>
      <x:c r="M4738" s="26" t="n">
        <x:v>0.1</x:v>
      </x:c>
      <x:c r="N4738" s="24" t="n">
        <x:v>2</x:v>
      </x:c>
      <x:c r="O4738" s="28" t="n">
        <x:f>MIN(1,L4738/I4738)</x:f>
        <x:v>0.000434</x:v>
      </x:c>
      <x:c r="P4738" s="30" t="n">
        <x:f>O4738*J4738*(1+M4738)</x:f>
        <x:v>0.0004774</x:v>
      </x:c>
      <x:c r="Q4738" s="30" t="n">
        <x:f>P4738*N4738</x:f>
        <x:v>0.0009548</x:v>
      </x:c>
      <x:c r="R4738" s="19" t="str">
        <x:v>六选一；非6个独立爆率</x:v>
      </x:c>
    </x:row>
    <x:row r="4739" ht="19" customHeight="1">
      <x:c r="A4739" s="19" t="str">
        <x:v>D04735</x:v>
      </x:c>
      <x:c r="B4739" s="19" t="n">
        <x:v>10</x:v>
      </x:c>
      <x:c r="C4739" s="19" t="n">
        <x:v>2</x:v>
      </x:c>
      <x:c r="D4739" s="19" t="str">
        <x:v>C10-M013</x:v>
      </x:c>
      <x:c r="E4739" s="19" t="str">
        <x:v>金垢潜渠鼠</x:v>
      </x:c>
      <x:c r="F4739" s="19" t="str">
        <x:v>普通</x:v>
      </x:c>
      <x:c r="G4739" s="19" t="str">
        <x:v>自身专属</x:v>
      </x:c>
      <x:c r="H4739" s="19" t="str">
        <x:v>金垢噬骨爪</x:v>
      </x:c>
      <x:c r="I4739" s="22" t="n">
        <x:v>10000</x:v>
      </x:c>
      <x:c r="J4739" s="22" t="n">
        <x:v>1</x:v>
      </x:c>
      <x:c r="K4739" s="19" t="n">
        <x:v>1</x:v>
      </x:c>
      <x:c r="L4739" s="24" t="n">
        <x:v>86.8</x:v>
      </x:c>
      <x:c r="M4739" s="26" t="n">
        <x:v>0.1</x:v>
      </x:c>
      <x:c r="N4739" s="24" t="n">
        <x:v>72</x:v>
      </x:c>
      <x:c r="O4739" s="28" t="n">
        <x:f>MIN(1,L4739/I4739)</x:f>
        <x:v>0.00868</x:v>
      </x:c>
      <x:c r="P4739" s="30" t="n">
        <x:f>O4739*J4739*(1+M4739)</x:f>
        <x:v>0.009548000000000001</x:v>
      </x:c>
      <x:c r="Q4739" s="30" t="n">
        <x:f>P4739*N4739</x:f>
        <x:v>0.6874560000000001</x:v>
      </x:c>
      <x:c r="R4739" s="19" t="str">
        <x:v>独立判定</x:v>
      </x:c>
    </x:row>
    <x:row r="4740" ht="19" customHeight="1">
      <x:c r="A4740" s="19" t="str">
        <x:v>D04736</x:v>
      </x:c>
      <x:c r="B4740" s="19" t="n">
        <x:v>10</x:v>
      </x:c>
      <x:c r="C4740" s="19" t="n">
        <x:v>2</x:v>
      </x:c>
      <x:c r="D4740" s="19" t="str">
        <x:v>C10-M013</x:v>
      </x:c>
      <x:c r="E4740" s="19" t="str">
        <x:v>金垢潜渠鼠</x:v>
      </x:c>
      <x:c r="F4740" s="19" t="str">
        <x:v>普通</x:v>
      </x:c>
      <x:c r="G4740" s="19" t="str">
        <x:v>材料独立候选</x:v>
      </x:c>
      <x:c r="H4740" s="19" t="str">
        <x:v>王城金屑</x:v>
      </x:c>
      <x:c r="I4740" s="22" t="n">
        <x:v>1800</x:v>
      </x:c>
      <x:c r="J4740" s="22" t="n">
        <x:v>8</x:v>
      </x:c>
      <x:c r="K4740" s="19" t="n">
        <x:v>1</x:v>
      </x:c>
      <x:c r="L4740" s="24" t="n">
        <x:v>86.8</x:v>
      </x:c>
      <x:c r="M4740" s="26" t="n">
        <x:v>0.1</x:v>
      </x:c>
      <x:c r="N4740" s="24" t="n">
        <x:v>72</x:v>
      </x:c>
      <x:c r="O4740" s="28" t="n">
        <x:f>MIN(1,L4740/I4740)</x:f>
        <x:v>0.04822222222222222</x:v>
      </x:c>
      <x:c r="P4740" s="30" t="n">
        <x:f>O4740*J4740*(1+M4740)</x:f>
        <x:v>0.4243555555555556</x:v>
      </x:c>
      <x:c r="Q4740" s="30" t="n">
        <x:f>P4740*N4740</x:f>
        <x:v>30.553600000000003</x:v>
      </x:c>
      <x:c r="R4740" s="19" t="str">
        <x:v>独立判定</x:v>
      </x:c>
    </x:row>
    <x:row r="4741" ht="19" customHeight="1">
      <x:c r="A4741" s="19" t="str">
        <x:v>D04737</x:v>
      </x:c>
      <x:c r="B4741" s="19" t="n">
        <x:v>10</x:v>
      </x:c>
      <x:c r="C4741" s="19" t="n">
        <x:v>2</x:v>
      </x:c>
      <x:c r="D4741" s="19" t="str">
        <x:v>C10-M013</x:v>
      </x:c>
      <x:c r="E4741" s="19" t="str">
        <x:v>金垢潜渠鼠</x:v>
      </x:c>
      <x:c r="F4741" s="19" t="str">
        <x:v>普通</x:v>
      </x:c>
      <x:c r="G4741" s="19" t="str">
        <x:v>材料独立候选</x:v>
      </x:c>
      <x:c r="H4741" s="19" t="str">
        <x:v>无名墓钉</x:v>
      </x:c>
      <x:c r="I4741" s="22" t="n">
        <x:v>2500</x:v>
      </x:c>
      <x:c r="J4741" s="22" t="n">
        <x:v>1</x:v>
      </x:c>
      <x:c r="K4741" s="19" t="n">
        <x:v>1</x:v>
      </x:c>
      <x:c r="L4741" s="24" t="n">
        <x:v>86.8</x:v>
      </x:c>
      <x:c r="M4741" s="26" t="n">
        <x:v>0.1</x:v>
      </x:c>
      <x:c r="N4741" s="24" t="n">
        <x:v>72</x:v>
      </x:c>
      <x:c r="O4741" s="28" t="n">
        <x:f>MIN(1,L4741/I4741)</x:f>
        <x:v>0.03472</x:v>
      </x:c>
      <x:c r="P4741" s="30" t="n">
        <x:f>O4741*J4741*(1+M4741)</x:f>
        <x:v>0.038192000000000004</x:v>
      </x:c>
      <x:c r="Q4741" s="30" t="n">
        <x:f>P4741*N4741</x:f>
        <x:v>2.7498240000000003</x:v>
      </x:c>
      <x:c r="R4741" s="19" t="str">
        <x:v>独立判定</x:v>
      </x:c>
    </x:row>
    <x:row r="4742" ht="19" customHeight="1">
      <x:c r="A4742" s="19" t="str">
        <x:v>D04738</x:v>
      </x:c>
      <x:c r="B4742" s="19" t="n">
        <x:v>10</x:v>
      </x:c>
      <x:c r="C4742" s="19" t="n">
        <x:v>2</x:v>
      </x:c>
      <x:c r="D4742" s="19" t="str">
        <x:v>C10-M013</x:v>
      </x:c>
      <x:c r="E4742" s="19" t="str">
        <x:v>金垢潜渠鼠</x:v>
      </x:c>
      <x:c r="F4742" s="19" t="str">
        <x:v>普通</x:v>
      </x:c>
      <x:c r="G4742" s="19" t="str">
        <x:v>材料独立候选</x:v>
      </x:c>
      <x:c r="H4742" s="19" t="str">
        <x:v>穹律鎏痕拓片</x:v>
      </x:c>
      <x:c r="I4742" s="22" t="n">
        <x:v>4000000</x:v>
      </x:c>
      <x:c r="J4742" s="22" t="n">
        <x:v>1</x:v>
      </x:c>
      <x:c r="K4742" s="19" t="n">
        <x:v>1</x:v>
      </x:c>
      <x:c r="L4742" s="24" t="n">
        <x:v>86.8</x:v>
      </x:c>
      <x:c r="M4742" s="26" t="n">
        <x:v>0.1</x:v>
      </x:c>
      <x:c r="N4742" s="24" t="n">
        <x:v>72</x:v>
      </x:c>
      <x:c r="O4742" s="28" t="n">
        <x:f>MIN(1,L4742/I4742)</x:f>
        <x:v>0.0000217</x:v>
      </x:c>
      <x:c r="P4742" s="30" t="n">
        <x:f>O4742*J4742*(1+M4742)</x:f>
        <x:v>0.00002387</x:v>
      </x:c>
      <x:c r="Q4742" s="30" t="n">
        <x:f>P4742*N4742</x:f>
        <x:v>0.00171864</x:v>
      </x:c>
      <x:c r="R4742" s="19" t="str">
        <x:v>独立判定</x:v>
      </x:c>
    </x:row>
    <x:row r="4743" ht="19" customHeight="1">
      <x:c r="A4743" s="19" t="str">
        <x:v>D04739</x:v>
      </x:c>
      <x:c r="B4743" s="19" t="n">
        <x:v>10</x:v>
      </x:c>
      <x:c r="C4743" s="19" t="n">
        <x:v>2</x:v>
      </x:c>
      <x:c r="D4743" s="19" t="str">
        <x:v>C10-M013</x:v>
      </x:c>
      <x:c r="E4743" s="19" t="str">
        <x:v>金垢潜渠鼠</x:v>
      </x:c>
      <x:c r="F4743" s="19" t="str">
        <x:v>普通</x:v>
      </x:c>
      <x:c r="G4743" s="19" t="str">
        <x:v>材料独立候选</x:v>
      </x:c>
      <x:c r="H4743" s="19" t="str">
        <x:v>野兽骨片</x:v>
      </x:c>
      <x:c r="I4743" s="22" t="n">
        <x:v>500</x:v>
      </x:c>
      <x:c r="J4743" s="22" t="n">
        <x:v>4</x:v>
      </x:c>
      <x:c r="K4743" s="19" t="n">
        <x:v>1</x:v>
      </x:c>
      <x:c r="L4743" s="24" t="n">
        <x:v>86.8</x:v>
      </x:c>
      <x:c r="M4743" s="26" t="n">
        <x:v>0.1</x:v>
      </x:c>
      <x:c r="N4743" s="24" t="n">
        <x:v>72</x:v>
      </x:c>
      <x:c r="O4743" s="28" t="n">
        <x:f>MIN(1,L4743/I4743)</x:f>
        <x:v>0.1736</x:v>
      </x:c>
      <x:c r="P4743" s="30" t="n">
        <x:f>O4743*J4743*(1+M4743)</x:f>
        <x:v>0.7638400000000001</x:v>
      </x:c>
      <x:c r="Q4743" s="30" t="n">
        <x:f>P4743*N4743</x:f>
        <x:v>54.996480000000005</x:v>
      </x:c>
      <x:c r="R4743" s="19" t="str">
        <x:v>独立判定</x:v>
      </x:c>
    </x:row>
    <x:row r="4744" ht="19" customHeight="1">
      <x:c r="A4744" s="19" t="str">
        <x:v>D04740</x:v>
      </x:c>
      <x:c r="B4744" s="19" t="n">
        <x:v>10</x:v>
      </x:c>
      <x:c r="C4744" s="19" t="n">
        <x:v>2</x:v>
      </x:c>
      <x:c r="D4744" s="19" t="str">
        <x:v>C10-M013</x:v>
      </x:c>
      <x:c r="E4744" s="19" t="str">
        <x:v>金垢潜渠鼠</x:v>
      </x:c>
      <x:c r="F4744" s="19" t="str">
        <x:v>普通</x:v>
      </x:c>
      <x:c r="G4744" s="19" t="str">
        <x:v>材料独立候选</x:v>
      </x:c>
      <x:c r="H4744" s="19" t="str">
        <x:v>技能残页</x:v>
      </x:c>
      <x:c r="I4744" s="22" t="n">
        <x:v>4000</x:v>
      </x:c>
      <x:c r="J4744" s="22" t="n">
        <x:v>1</x:v>
      </x:c>
      <x:c r="K4744" s="19" t="n">
        <x:v>1</x:v>
      </x:c>
      <x:c r="L4744" s="24" t="n">
        <x:v>86.8</x:v>
      </x:c>
      <x:c r="M4744" s="26" t="n">
        <x:v>0.1</x:v>
      </x:c>
      <x:c r="N4744" s="24" t="n">
        <x:v>72</x:v>
      </x:c>
      <x:c r="O4744" s="28" t="n">
        <x:f>MIN(1,L4744/I4744)</x:f>
        <x:v>0.0217</x:v>
      </x:c>
      <x:c r="P4744" s="30" t="n">
        <x:f>O4744*J4744*(1+M4744)</x:f>
        <x:v>0.023870000000000002</x:v>
      </x:c>
      <x:c r="Q4744" s="30" t="n">
        <x:f>P4744*N4744</x:f>
        <x:v>1.7186400000000002</x:v>
      </x:c>
      <x:c r="R4744" s="19" t="str">
        <x:v>独立判定</x:v>
      </x:c>
    </x:row>
    <x:row r="4745" ht="19" customHeight="1">
      <x:c r="A4745" s="19" t="str">
        <x:v>D04741</x:v>
      </x:c>
      <x:c r="B4745" s="19" t="n">
        <x:v>10</x:v>
      </x:c>
      <x:c r="C4745" s="19" t="n">
        <x:v>2</x:v>
      </x:c>
      <x:c r="D4745" s="19" t="str">
        <x:v>C10-M013</x:v>
      </x:c>
      <x:c r="E4745" s="19" t="str">
        <x:v>金垢潜渠鼠</x:v>
      </x:c>
      <x:c r="F4745" s="19" t="str">
        <x:v>普通</x:v>
      </x:c>
      <x:c r="G4745" s="19" t="str">
        <x:v>材料独立候选</x:v>
      </x:c>
      <x:c r="H4745" s="19" t="str">
        <x:v>小卢恩</x:v>
      </x:c>
      <x:c r="I4745" s="22" t="n">
        <x:v>25000</x:v>
      </x:c>
      <x:c r="J4745" s="22" t="n">
        <x:v>1</x:v>
      </x:c>
      <x:c r="K4745" s="19" t="n">
        <x:v>1</x:v>
      </x:c>
      <x:c r="L4745" s="24" t="n">
        <x:v>86.8</x:v>
      </x:c>
      <x:c r="M4745" s="26" t="n">
        <x:v>0.1</x:v>
      </x:c>
      <x:c r="N4745" s="24" t="n">
        <x:v>72</x:v>
      </x:c>
      <x:c r="O4745" s="28" t="n">
        <x:f>MIN(1,L4745/I4745)</x:f>
        <x:v>0.003472</x:v>
      </x:c>
      <x:c r="P4745" s="30" t="n">
        <x:f>O4745*J4745*(1+M4745)</x:f>
        <x:v>0.0038192</x:v>
      </x:c>
      <x:c r="Q4745" s="30" t="n">
        <x:f>P4745*N4745</x:f>
        <x:v>0.2749824</x:v>
      </x:c>
      <x:c r="R4745" s="19" t="str">
        <x:v>独立判定</x:v>
      </x:c>
    </x:row>
    <x:row r="4746" ht="19" customHeight="1">
      <x:c r="A4746" s="19" t="str">
        <x:v>D04742</x:v>
      </x:c>
      <x:c r="B4746" s="19" t="n">
        <x:v>10</x:v>
      </x:c>
      <x:c r="C4746" s="19" t="n">
        <x:v>2</x:v>
      </x:c>
      <x:c r="D4746" s="19" t="str">
        <x:v>C10-M013</x:v>
      </x:c>
      <x:c r="E4746" s="19" t="str">
        <x:v>金垢潜渠鼠</x:v>
      </x:c>
      <x:c r="F4746" s="19" t="str">
        <x:v>普通</x:v>
      </x:c>
      <x:c r="G4746" s="19" t="str">
        <x:v>六神器公共池</x:v>
      </x:c>
      <x:c r="H4746" s="19" t="str">
        <x:v>POOL006</x:v>
      </x:c>
      <x:c r="I4746" s="22" t="n">
        <x:v>20000000</x:v>
      </x:c>
      <x:c r="J4746" s="22" t="n">
        <x:v>1</x:v>
      </x:c>
      <x:c r="K4746" s="19" t="n">
        <x:v>6</x:v>
      </x:c>
      <x:c r="L4746" s="24" t="n">
        <x:v>86.8</x:v>
      </x:c>
      <x:c r="M4746" s="26" t="n">
        <x:v>0.1</x:v>
      </x:c>
      <x:c r="N4746" s="24" t="n">
        <x:v>72</x:v>
      </x:c>
      <x:c r="O4746" s="28" t="n">
        <x:f>MIN(1,L4746/I4746)</x:f>
        <x:v>0.00000434</x:v>
      </x:c>
      <x:c r="P4746" s="30" t="n">
        <x:f>O4746*J4746*(1+M4746)</x:f>
        <x:v>0.000004774</x:v>
      </x:c>
      <x:c r="Q4746" s="30" t="n">
        <x:f>P4746*N4746</x:f>
        <x:v>0.000343728</x:v>
      </x:c>
      <x:c r="R4746" s="19" t="str">
        <x:v>六选一；非6个独立爆率</x:v>
      </x:c>
    </x:row>
    <x:row r="4747" ht="19" customHeight="1">
      <x:c r="A4747" s="19" t="str">
        <x:v>D04743</x:v>
      </x:c>
      <x:c r="B4747" s="19" t="n">
        <x:v>10</x:v>
      </x:c>
      <x:c r="C4747" s="19" t="n">
        <x:v>2</x:v>
      </x:c>
      <x:c r="D4747" s="19" t="str">
        <x:v>C10-M014</x:v>
      </x:c>
      <x:c r="E4747" s="19" t="str">
        <x:v>污潮捞骨役</x:v>
      </x:c>
      <x:c r="F4747" s="19" t="str">
        <x:v>普通</x:v>
      </x:c>
      <x:c r="G4747" s="19" t="str">
        <x:v>自身专属</x:v>
      </x:c>
      <x:c r="H4747" s="19" t="str">
        <x:v>捞骨防污衣</x:v>
      </x:c>
      <x:c r="I4747" s="22" t="n">
        <x:v>10000</x:v>
      </x:c>
      <x:c r="J4747" s="22" t="n">
        <x:v>1</x:v>
      </x:c>
      <x:c r="K4747" s="19" t="n">
        <x:v>1</x:v>
      </x:c>
      <x:c r="L4747" s="24" t="n">
        <x:v>86.8</x:v>
      </x:c>
      <x:c r="M4747" s="26" t="n">
        <x:v>0.1</x:v>
      </x:c>
      <x:c r="N4747" s="24" t="n">
        <x:v>72</x:v>
      </x:c>
      <x:c r="O4747" s="28" t="n">
        <x:f>MIN(1,L4747/I4747)</x:f>
        <x:v>0.00868</x:v>
      </x:c>
      <x:c r="P4747" s="30" t="n">
        <x:f>O4747*J4747*(1+M4747)</x:f>
        <x:v>0.009548000000000001</x:v>
      </x:c>
      <x:c r="Q4747" s="30" t="n">
        <x:f>P4747*N4747</x:f>
        <x:v>0.6874560000000001</x:v>
      </x:c>
      <x:c r="R4747" s="19" t="str">
        <x:v>独立判定</x:v>
      </x:c>
    </x:row>
    <x:row r="4748" ht="19" customHeight="1">
      <x:c r="A4748" s="19" t="str">
        <x:v>D04744</x:v>
      </x:c>
      <x:c r="B4748" s="19" t="n">
        <x:v>10</x:v>
      </x:c>
      <x:c r="C4748" s="19" t="n">
        <x:v>2</x:v>
      </x:c>
      <x:c r="D4748" s="19" t="str">
        <x:v>C10-M014</x:v>
      </x:c>
      <x:c r="E4748" s="19" t="str">
        <x:v>污潮捞骨役</x:v>
      </x:c>
      <x:c r="F4748" s="19" t="str">
        <x:v>普通</x:v>
      </x:c>
      <x:c r="G4748" s="19" t="str">
        <x:v>材料独立候选</x:v>
      </x:c>
      <x:c r="H4748" s="19" t="str">
        <x:v>王城金屑</x:v>
      </x:c>
      <x:c r="I4748" s="22" t="n">
        <x:v>1800</x:v>
      </x:c>
      <x:c r="J4748" s="22" t="n">
        <x:v>8</x:v>
      </x:c>
      <x:c r="K4748" s="19" t="n">
        <x:v>1</x:v>
      </x:c>
      <x:c r="L4748" s="24" t="n">
        <x:v>86.8</x:v>
      </x:c>
      <x:c r="M4748" s="26" t="n">
        <x:v>0.1</x:v>
      </x:c>
      <x:c r="N4748" s="24" t="n">
        <x:v>72</x:v>
      </x:c>
      <x:c r="O4748" s="28" t="n">
        <x:f>MIN(1,L4748/I4748)</x:f>
        <x:v>0.04822222222222222</x:v>
      </x:c>
      <x:c r="P4748" s="30" t="n">
        <x:f>O4748*J4748*(1+M4748)</x:f>
        <x:v>0.4243555555555556</x:v>
      </x:c>
      <x:c r="Q4748" s="30" t="n">
        <x:f>P4748*N4748</x:f>
        <x:v>30.553600000000003</x:v>
      </x:c>
      <x:c r="R4748" s="19" t="str">
        <x:v>独立判定</x:v>
      </x:c>
    </x:row>
    <x:row r="4749" ht="19" customHeight="1">
      <x:c r="A4749" s="19" t="str">
        <x:v>D04745</x:v>
      </x:c>
      <x:c r="B4749" s="19" t="n">
        <x:v>10</x:v>
      </x:c>
      <x:c r="C4749" s="19" t="n">
        <x:v>2</x:v>
      </x:c>
      <x:c r="D4749" s="19" t="str">
        <x:v>C10-M014</x:v>
      </x:c>
      <x:c r="E4749" s="19" t="str">
        <x:v>污潮捞骨役</x:v>
      </x:c>
      <x:c r="F4749" s="19" t="str">
        <x:v>普通</x:v>
      </x:c>
      <x:c r="G4749" s="19" t="str">
        <x:v>材料独立候选</x:v>
      </x:c>
      <x:c r="H4749" s="19" t="str">
        <x:v>无名墓钉</x:v>
      </x:c>
      <x:c r="I4749" s="22" t="n">
        <x:v>2500</x:v>
      </x:c>
      <x:c r="J4749" s="22" t="n">
        <x:v>1</x:v>
      </x:c>
      <x:c r="K4749" s="19" t="n">
        <x:v>1</x:v>
      </x:c>
      <x:c r="L4749" s="24" t="n">
        <x:v>86.8</x:v>
      </x:c>
      <x:c r="M4749" s="26" t="n">
        <x:v>0.1</x:v>
      </x:c>
      <x:c r="N4749" s="24" t="n">
        <x:v>72</x:v>
      </x:c>
      <x:c r="O4749" s="28" t="n">
        <x:f>MIN(1,L4749/I4749)</x:f>
        <x:v>0.03472</x:v>
      </x:c>
      <x:c r="P4749" s="30" t="n">
        <x:f>O4749*J4749*(1+M4749)</x:f>
        <x:v>0.038192000000000004</x:v>
      </x:c>
      <x:c r="Q4749" s="30" t="n">
        <x:f>P4749*N4749</x:f>
        <x:v>2.7498240000000003</x:v>
      </x:c>
      <x:c r="R4749" s="19" t="str">
        <x:v>独立判定</x:v>
      </x:c>
    </x:row>
    <x:row r="4750" ht="19" customHeight="1">
      <x:c r="A4750" s="19" t="str">
        <x:v>D04746</x:v>
      </x:c>
      <x:c r="B4750" s="19" t="n">
        <x:v>10</x:v>
      </x:c>
      <x:c r="C4750" s="19" t="n">
        <x:v>2</x:v>
      </x:c>
      <x:c r="D4750" s="19" t="str">
        <x:v>C10-M014</x:v>
      </x:c>
      <x:c r="E4750" s="19" t="str">
        <x:v>污潮捞骨役</x:v>
      </x:c>
      <x:c r="F4750" s="19" t="str">
        <x:v>普通</x:v>
      </x:c>
      <x:c r="G4750" s="19" t="str">
        <x:v>材料独立候选</x:v>
      </x:c>
      <x:c r="H4750" s="19" t="str">
        <x:v>穹律鎏痕拓片</x:v>
      </x:c>
      <x:c r="I4750" s="22" t="n">
        <x:v>4000000</x:v>
      </x:c>
      <x:c r="J4750" s="22" t="n">
        <x:v>1</x:v>
      </x:c>
      <x:c r="K4750" s="19" t="n">
        <x:v>1</x:v>
      </x:c>
      <x:c r="L4750" s="24" t="n">
        <x:v>86.8</x:v>
      </x:c>
      <x:c r="M4750" s="26" t="n">
        <x:v>0.1</x:v>
      </x:c>
      <x:c r="N4750" s="24" t="n">
        <x:v>72</x:v>
      </x:c>
      <x:c r="O4750" s="28" t="n">
        <x:f>MIN(1,L4750/I4750)</x:f>
        <x:v>0.0000217</x:v>
      </x:c>
      <x:c r="P4750" s="30" t="n">
        <x:f>O4750*J4750*(1+M4750)</x:f>
        <x:v>0.00002387</x:v>
      </x:c>
      <x:c r="Q4750" s="30" t="n">
        <x:f>P4750*N4750</x:f>
        <x:v>0.00171864</x:v>
      </x:c>
      <x:c r="R4750" s="19" t="str">
        <x:v>独立判定</x:v>
      </x:c>
    </x:row>
    <x:row r="4751" ht="19" customHeight="1">
      <x:c r="A4751" s="19" t="str">
        <x:v>D04747</x:v>
      </x:c>
      <x:c r="B4751" s="19" t="n">
        <x:v>10</x:v>
      </x:c>
      <x:c r="C4751" s="19" t="n">
        <x:v>2</x:v>
      </x:c>
      <x:c r="D4751" s="19" t="str">
        <x:v>C10-M014</x:v>
      </x:c>
      <x:c r="E4751" s="19" t="str">
        <x:v>污潮捞骨役</x:v>
      </x:c>
      <x:c r="F4751" s="19" t="str">
        <x:v>普通</x:v>
      </x:c>
      <x:c r="G4751" s="19" t="str">
        <x:v>材料独立候选</x:v>
      </x:c>
      <x:c r="H4751" s="19" t="str">
        <x:v>野兽骨片</x:v>
      </x:c>
      <x:c r="I4751" s="22" t="n">
        <x:v>500</x:v>
      </x:c>
      <x:c r="J4751" s="22" t="n">
        <x:v>4</x:v>
      </x:c>
      <x:c r="K4751" s="19" t="n">
        <x:v>1</x:v>
      </x:c>
      <x:c r="L4751" s="24" t="n">
        <x:v>86.8</x:v>
      </x:c>
      <x:c r="M4751" s="26" t="n">
        <x:v>0.1</x:v>
      </x:c>
      <x:c r="N4751" s="24" t="n">
        <x:v>72</x:v>
      </x:c>
      <x:c r="O4751" s="28" t="n">
        <x:f>MIN(1,L4751/I4751)</x:f>
        <x:v>0.1736</x:v>
      </x:c>
      <x:c r="P4751" s="30" t="n">
        <x:f>O4751*J4751*(1+M4751)</x:f>
        <x:v>0.7638400000000001</x:v>
      </x:c>
      <x:c r="Q4751" s="30" t="n">
        <x:f>P4751*N4751</x:f>
        <x:v>54.996480000000005</x:v>
      </x:c>
      <x:c r="R4751" s="19" t="str">
        <x:v>独立判定</x:v>
      </x:c>
    </x:row>
    <x:row r="4752" ht="19" customHeight="1">
      <x:c r="A4752" s="19" t="str">
        <x:v>D04748</x:v>
      </x:c>
      <x:c r="B4752" s="19" t="n">
        <x:v>10</x:v>
      </x:c>
      <x:c r="C4752" s="19" t="n">
        <x:v>2</x:v>
      </x:c>
      <x:c r="D4752" s="19" t="str">
        <x:v>C10-M014</x:v>
      </x:c>
      <x:c r="E4752" s="19" t="str">
        <x:v>污潮捞骨役</x:v>
      </x:c>
      <x:c r="F4752" s="19" t="str">
        <x:v>普通</x:v>
      </x:c>
      <x:c r="G4752" s="19" t="str">
        <x:v>材料独立候选</x:v>
      </x:c>
      <x:c r="H4752" s="19" t="str">
        <x:v>技能残页</x:v>
      </x:c>
      <x:c r="I4752" s="22" t="n">
        <x:v>4000</x:v>
      </x:c>
      <x:c r="J4752" s="22" t="n">
        <x:v>1</x:v>
      </x:c>
      <x:c r="K4752" s="19" t="n">
        <x:v>1</x:v>
      </x:c>
      <x:c r="L4752" s="24" t="n">
        <x:v>86.8</x:v>
      </x:c>
      <x:c r="M4752" s="26" t="n">
        <x:v>0.1</x:v>
      </x:c>
      <x:c r="N4752" s="24" t="n">
        <x:v>72</x:v>
      </x:c>
      <x:c r="O4752" s="28" t="n">
        <x:f>MIN(1,L4752/I4752)</x:f>
        <x:v>0.0217</x:v>
      </x:c>
      <x:c r="P4752" s="30" t="n">
        <x:f>O4752*J4752*(1+M4752)</x:f>
        <x:v>0.023870000000000002</x:v>
      </x:c>
      <x:c r="Q4752" s="30" t="n">
        <x:f>P4752*N4752</x:f>
        <x:v>1.7186400000000002</x:v>
      </x:c>
      <x:c r="R4752" s="19" t="str">
        <x:v>独立判定</x:v>
      </x:c>
    </x:row>
    <x:row r="4753" ht="19" customHeight="1">
      <x:c r="A4753" s="19" t="str">
        <x:v>D04749</x:v>
      </x:c>
      <x:c r="B4753" s="19" t="n">
        <x:v>10</x:v>
      </x:c>
      <x:c r="C4753" s="19" t="n">
        <x:v>2</x:v>
      </x:c>
      <x:c r="D4753" s="19" t="str">
        <x:v>C10-M014</x:v>
      </x:c>
      <x:c r="E4753" s="19" t="str">
        <x:v>污潮捞骨役</x:v>
      </x:c>
      <x:c r="F4753" s="19" t="str">
        <x:v>普通</x:v>
      </x:c>
      <x:c r="G4753" s="19" t="str">
        <x:v>材料独立候选</x:v>
      </x:c>
      <x:c r="H4753" s="19" t="str">
        <x:v>小卢恩</x:v>
      </x:c>
      <x:c r="I4753" s="22" t="n">
        <x:v>25000</x:v>
      </x:c>
      <x:c r="J4753" s="22" t="n">
        <x:v>1</x:v>
      </x:c>
      <x:c r="K4753" s="19" t="n">
        <x:v>1</x:v>
      </x:c>
      <x:c r="L4753" s="24" t="n">
        <x:v>86.8</x:v>
      </x:c>
      <x:c r="M4753" s="26" t="n">
        <x:v>0.1</x:v>
      </x:c>
      <x:c r="N4753" s="24" t="n">
        <x:v>72</x:v>
      </x:c>
      <x:c r="O4753" s="28" t="n">
        <x:f>MIN(1,L4753/I4753)</x:f>
        <x:v>0.003472</x:v>
      </x:c>
      <x:c r="P4753" s="30" t="n">
        <x:f>O4753*J4753*(1+M4753)</x:f>
        <x:v>0.0038192</x:v>
      </x:c>
      <x:c r="Q4753" s="30" t="n">
        <x:f>P4753*N4753</x:f>
        <x:v>0.2749824</x:v>
      </x:c>
      <x:c r="R4753" s="19" t="str">
        <x:v>独立判定</x:v>
      </x:c>
    </x:row>
    <x:row r="4754" ht="19" customHeight="1">
      <x:c r="A4754" s="19" t="str">
        <x:v>D04750</x:v>
      </x:c>
      <x:c r="B4754" s="19" t="n">
        <x:v>10</x:v>
      </x:c>
      <x:c r="C4754" s="19" t="n">
        <x:v>2</x:v>
      </x:c>
      <x:c r="D4754" s="19" t="str">
        <x:v>C10-M014</x:v>
      </x:c>
      <x:c r="E4754" s="19" t="str">
        <x:v>污潮捞骨役</x:v>
      </x:c>
      <x:c r="F4754" s="19" t="str">
        <x:v>普通</x:v>
      </x:c>
      <x:c r="G4754" s="19" t="str">
        <x:v>六神器公共池</x:v>
      </x:c>
      <x:c r="H4754" s="19" t="str">
        <x:v>POOL006</x:v>
      </x:c>
      <x:c r="I4754" s="22" t="n">
        <x:v>20000000</x:v>
      </x:c>
      <x:c r="J4754" s="22" t="n">
        <x:v>1</x:v>
      </x:c>
      <x:c r="K4754" s="19" t="n">
        <x:v>6</x:v>
      </x:c>
      <x:c r="L4754" s="24" t="n">
        <x:v>86.8</x:v>
      </x:c>
      <x:c r="M4754" s="26" t="n">
        <x:v>0.1</x:v>
      </x:c>
      <x:c r="N4754" s="24" t="n">
        <x:v>72</x:v>
      </x:c>
      <x:c r="O4754" s="28" t="n">
        <x:f>MIN(1,L4754/I4754)</x:f>
        <x:v>0.00000434</x:v>
      </x:c>
      <x:c r="P4754" s="30" t="n">
        <x:f>O4754*J4754*(1+M4754)</x:f>
        <x:v>0.000004774</x:v>
      </x:c>
      <x:c r="Q4754" s="30" t="n">
        <x:f>P4754*N4754</x:f>
        <x:v>0.000343728</x:v>
      </x:c>
      <x:c r="R4754" s="19" t="str">
        <x:v>六选一；非6个独立爆率</x:v>
      </x:c>
    </x:row>
    <x:row r="4755" ht="19" customHeight="1">
      <x:c r="A4755" s="19" t="str">
        <x:v>D04751</x:v>
      </x:c>
      <x:c r="B4755" s="19" t="n">
        <x:v>10</x:v>
      </x:c>
      <x:c r="C4755" s="19" t="n">
        <x:v>2</x:v>
      </x:c>
      <x:c r="D4755" s="19" t="str">
        <x:v>C10-M015</x:v>
      </x:c>
      <x:c r="E4755" s="19" t="str">
        <x:v>回廊鸣管蜥</x:v>
      </x:c>
      <x:c r="F4755" s="19" t="str">
        <x:v>普通</x:v>
      </x:c>
      <x:c r="G4755" s="19" t="str">
        <x:v>自身专属</x:v>
      </x:c>
      <x:c r="H4755" s="19" t="str">
        <x:v>鸣管鳞盔</x:v>
      </x:c>
      <x:c r="I4755" s="22" t="n">
        <x:v>10000</x:v>
      </x:c>
      <x:c r="J4755" s="22" t="n">
        <x:v>1</x:v>
      </x:c>
      <x:c r="K4755" s="19" t="n">
        <x:v>1</x:v>
      </x:c>
      <x:c r="L4755" s="24" t="n">
        <x:v>86.8</x:v>
      </x:c>
      <x:c r="M4755" s="26" t="n">
        <x:v>0.1</x:v>
      </x:c>
      <x:c r="N4755" s="24" t="n">
        <x:v>72</x:v>
      </x:c>
      <x:c r="O4755" s="28" t="n">
        <x:f>MIN(1,L4755/I4755)</x:f>
        <x:v>0.00868</x:v>
      </x:c>
      <x:c r="P4755" s="30" t="n">
        <x:f>O4755*J4755*(1+M4755)</x:f>
        <x:v>0.009548000000000001</x:v>
      </x:c>
      <x:c r="Q4755" s="30" t="n">
        <x:f>P4755*N4755</x:f>
        <x:v>0.6874560000000001</x:v>
      </x:c>
      <x:c r="R4755" s="19" t="str">
        <x:v>独立判定</x:v>
      </x:c>
    </x:row>
    <x:row r="4756" ht="19" customHeight="1">
      <x:c r="A4756" s="19" t="str">
        <x:v>D04752</x:v>
      </x:c>
      <x:c r="B4756" s="19" t="n">
        <x:v>10</x:v>
      </x:c>
      <x:c r="C4756" s="19" t="n">
        <x:v>2</x:v>
      </x:c>
      <x:c r="D4756" s="19" t="str">
        <x:v>C10-M015</x:v>
      </x:c>
      <x:c r="E4756" s="19" t="str">
        <x:v>回廊鸣管蜥</x:v>
      </x:c>
      <x:c r="F4756" s="19" t="str">
        <x:v>普通</x:v>
      </x:c>
      <x:c r="G4756" s="19" t="str">
        <x:v>材料独立候选</x:v>
      </x:c>
      <x:c r="H4756" s="19" t="str">
        <x:v>王城金屑</x:v>
      </x:c>
      <x:c r="I4756" s="22" t="n">
        <x:v>1800</x:v>
      </x:c>
      <x:c r="J4756" s="22" t="n">
        <x:v>8</x:v>
      </x:c>
      <x:c r="K4756" s="19" t="n">
        <x:v>1</x:v>
      </x:c>
      <x:c r="L4756" s="24" t="n">
        <x:v>86.8</x:v>
      </x:c>
      <x:c r="M4756" s="26" t="n">
        <x:v>0.1</x:v>
      </x:c>
      <x:c r="N4756" s="24" t="n">
        <x:v>72</x:v>
      </x:c>
      <x:c r="O4756" s="28" t="n">
        <x:f>MIN(1,L4756/I4756)</x:f>
        <x:v>0.04822222222222222</x:v>
      </x:c>
      <x:c r="P4756" s="30" t="n">
        <x:f>O4756*J4756*(1+M4756)</x:f>
        <x:v>0.4243555555555556</x:v>
      </x:c>
      <x:c r="Q4756" s="30" t="n">
        <x:f>P4756*N4756</x:f>
        <x:v>30.553600000000003</x:v>
      </x:c>
      <x:c r="R4756" s="19" t="str">
        <x:v>独立判定</x:v>
      </x:c>
    </x:row>
    <x:row r="4757" ht="19" customHeight="1">
      <x:c r="A4757" s="19" t="str">
        <x:v>D04753</x:v>
      </x:c>
      <x:c r="B4757" s="19" t="n">
        <x:v>10</x:v>
      </x:c>
      <x:c r="C4757" s="19" t="n">
        <x:v>2</x:v>
      </x:c>
      <x:c r="D4757" s="19" t="str">
        <x:v>C10-M015</x:v>
      </x:c>
      <x:c r="E4757" s="19" t="str">
        <x:v>回廊鸣管蜥</x:v>
      </x:c>
      <x:c r="F4757" s="19" t="str">
        <x:v>普通</x:v>
      </x:c>
      <x:c r="G4757" s="19" t="str">
        <x:v>材料独立候选</x:v>
      </x:c>
      <x:c r="H4757" s="19" t="str">
        <x:v>无名墓钉</x:v>
      </x:c>
      <x:c r="I4757" s="22" t="n">
        <x:v>2500</x:v>
      </x:c>
      <x:c r="J4757" s="22" t="n">
        <x:v>1</x:v>
      </x:c>
      <x:c r="K4757" s="19" t="n">
        <x:v>1</x:v>
      </x:c>
      <x:c r="L4757" s="24" t="n">
        <x:v>86.8</x:v>
      </x:c>
      <x:c r="M4757" s="26" t="n">
        <x:v>0.1</x:v>
      </x:c>
      <x:c r="N4757" s="24" t="n">
        <x:v>72</x:v>
      </x:c>
      <x:c r="O4757" s="28" t="n">
        <x:f>MIN(1,L4757/I4757)</x:f>
        <x:v>0.03472</x:v>
      </x:c>
      <x:c r="P4757" s="30" t="n">
        <x:f>O4757*J4757*(1+M4757)</x:f>
        <x:v>0.038192000000000004</x:v>
      </x:c>
      <x:c r="Q4757" s="30" t="n">
        <x:f>P4757*N4757</x:f>
        <x:v>2.7498240000000003</x:v>
      </x:c>
      <x:c r="R4757" s="19" t="str">
        <x:v>独立判定</x:v>
      </x:c>
    </x:row>
    <x:row r="4758" ht="19" customHeight="1">
      <x:c r="A4758" s="19" t="str">
        <x:v>D04754</x:v>
      </x:c>
      <x:c r="B4758" s="19" t="n">
        <x:v>10</x:v>
      </x:c>
      <x:c r="C4758" s="19" t="n">
        <x:v>2</x:v>
      </x:c>
      <x:c r="D4758" s="19" t="str">
        <x:v>C10-M015</x:v>
      </x:c>
      <x:c r="E4758" s="19" t="str">
        <x:v>回廊鸣管蜥</x:v>
      </x:c>
      <x:c r="F4758" s="19" t="str">
        <x:v>普通</x:v>
      </x:c>
      <x:c r="G4758" s="19" t="str">
        <x:v>材料独立候选</x:v>
      </x:c>
      <x:c r="H4758" s="19" t="str">
        <x:v>穹律鎏痕拓片</x:v>
      </x:c>
      <x:c r="I4758" s="22" t="n">
        <x:v>4000000</x:v>
      </x:c>
      <x:c r="J4758" s="22" t="n">
        <x:v>1</x:v>
      </x:c>
      <x:c r="K4758" s="19" t="n">
        <x:v>1</x:v>
      </x:c>
      <x:c r="L4758" s="24" t="n">
        <x:v>86.8</x:v>
      </x:c>
      <x:c r="M4758" s="26" t="n">
        <x:v>0.1</x:v>
      </x:c>
      <x:c r="N4758" s="24" t="n">
        <x:v>72</x:v>
      </x:c>
      <x:c r="O4758" s="28" t="n">
        <x:f>MIN(1,L4758/I4758)</x:f>
        <x:v>0.0000217</x:v>
      </x:c>
      <x:c r="P4758" s="30" t="n">
        <x:f>O4758*J4758*(1+M4758)</x:f>
        <x:v>0.00002387</x:v>
      </x:c>
      <x:c r="Q4758" s="30" t="n">
        <x:f>P4758*N4758</x:f>
        <x:v>0.00171864</x:v>
      </x:c>
      <x:c r="R4758" s="19" t="str">
        <x:v>独立判定</x:v>
      </x:c>
    </x:row>
    <x:row r="4759" ht="19" customHeight="1">
      <x:c r="A4759" s="19" t="str">
        <x:v>D04755</x:v>
      </x:c>
      <x:c r="B4759" s="19" t="n">
        <x:v>10</x:v>
      </x:c>
      <x:c r="C4759" s="19" t="n">
        <x:v>2</x:v>
      </x:c>
      <x:c r="D4759" s="19" t="str">
        <x:v>C10-M015</x:v>
      </x:c>
      <x:c r="E4759" s="19" t="str">
        <x:v>回廊鸣管蜥</x:v>
      </x:c>
      <x:c r="F4759" s="19" t="str">
        <x:v>普通</x:v>
      </x:c>
      <x:c r="G4759" s="19" t="str">
        <x:v>材料独立候选</x:v>
      </x:c>
      <x:c r="H4759" s="19" t="str">
        <x:v>野兽骨片</x:v>
      </x:c>
      <x:c r="I4759" s="22" t="n">
        <x:v>500</x:v>
      </x:c>
      <x:c r="J4759" s="22" t="n">
        <x:v>4</x:v>
      </x:c>
      <x:c r="K4759" s="19" t="n">
        <x:v>1</x:v>
      </x:c>
      <x:c r="L4759" s="24" t="n">
        <x:v>86.8</x:v>
      </x:c>
      <x:c r="M4759" s="26" t="n">
        <x:v>0.1</x:v>
      </x:c>
      <x:c r="N4759" s="24" t="n">
        <x:v>72</x:v>
      </x:c>
      <x:c r="O4759" s="28" t="n">
        <x:f>MIN(1,L4759/I4759)</x:f>
        <x:v>0.1736</x:v>
      </x:c>
      <x:c r="P4759" s="30" t="n">
        <x:f>O4759*J4759*(1+M4759)</x:f>
        <x:v>0.7638400000000001</x:v>
      </x:c>
      <x:c r="Q4759" s="30" t="n">
        <x:f>P4759*N4759</x:f>
        <x:v>54.996480000000005</x:v>
      </x:c>
      <x:c r="R4759" s="19" t="str">
        <x:v>独立判定</x:v>
      </x:c>
    </x:row>
    <x:row r="4760" ht="19" customHeight="1">
      <x:c r="A4760" s="19" t="str">
        <x:v>D04756</x:v>
      </x:c>
      <x:c r="B4760" s="19" t="n">
        <x:v>10</x:v>
      </x:c>
      <x:c r="C4760" s="19" t="n">
        <x:v>2</x:v>
      </x:c>
      <x:c r="D4760" s="19" t="str">
        <x:v>C10-M015</x:v>
      </x:c>
      <x:c r="E4760" s="19" t="str">
        <x:v>回廊鸣管蜥</x:v>
      </x:c>
      <x:c r="F4760" s="19" t="str">
        <x:v>普通</x:v>
      </x:c>
      <x:c r="G4760" s="19" t="str">
        <x:v>材料独立候选</x:v>
      </x:c>
      <x:c r="H4760" s="19" t="str">
        <x:v>技能残页</x:v>
      </x:c>
      <x:c r="I4760" s="22" t="n">
        <x:v>4000</x:v>
      </x:c>
      <x:c r="J4760" s="22" t="n">
        <x:v>1</x:v>
      </x:c>
      <x:c r="K4760" s="19" t="n">
        <x:v>1</x:v>
      </x:c>
      <x:c r="L4760" s="24" t="n">
        <x:v>86.8</x:v>
      </x:c>
      <x:c r="M4760" s="26" t="n">
        <x:v>0.1</x:v>
      </x:c>
      <x:c r="N4760" s="24" t="n">
        <x:v>72</x:v>
      </x:c>
      <x:c r="O4760" s="28" t="n">
        <x:f>MIN(1,L4760/I4760)</x:f>
        <x:v>0.0217</x:v>
      </x:c>
      <x:c r="P4760" s="30" t="n">
        <x:f>O4760*J4760*(1+M4760)</x:f>
        <x:v>0.023870000000000002</x:v>
      </x:c>
      <x:c r="Q4760" s="30" t="n">
        <x:f>P4760*N4760</x:f>
        <x:v>1.7186400000000002</x:v>
      </x:c>
      <x:c r="R4760" s="19" t="str">
        <x:v>独立判定</x:v>
      </x:c>
    </x:row>
    <x:row r="4761" ht="19" customHeight="1">
      <x:c r="A4761" s="19" t="str">
        <x:v>D04757</x:v>
      </x:c>
      <x:c r="B4761" s="19" t="n">
        <x:v>10</x:v>
      </x:c>
      <x:c r="C4761" s="19" t="n">
        <x:v>2</x:v>
      </x:c>
      <x:c r="D4761" s="19" t="str">
        <x:v>C10-M015</x:v>
      </x:c>
      <x:c r="E4761" s="19" t="str">
        <x:v>回廊鸣管蜥</x:v>
      </x:c>
      <x:c r="F4761" s="19" t="str">
        <x:v>普通</x:v>
      </x:c>
      <x:c r="G4761" s="19" t="str">
        <x:v>材料独立候选</x:v>
      </x:c>
      <x:c r="H4761" s="19" t="str">
        <x:v>小卢恩</x:v>
      </x:c>
      <x:c r="I4761" s="22" t="n">
        <x:v>25000</x:v>
      </x:c>
      <x:c r="J4761" s="22" t="n">
        <x:v>1</x:v>
      </x:c>
      <x:c r="K4761" s="19" t="n">
        <x:v>1</x:v>
      </x:c>
      <x:c r="L4761" s="24" t="n">
        <x:v>86.8</x:v>
      </x:c>
      <x:c r="M4761" s="26" t="n">
        <x:v>0.1</x:v>
      </x:c>
      <x:c r="N4761" s="24" t="n">
        <x:v>72</x:v>
      </x:c>
      <x:c r="O4761" s="28" t="n">
        <x:f>MIN(1,L4761/I4761)</x:f>
        <x:v>0.003472</x:v>
      </x:c>
      <x:c r="P4761" s="30" t="n">
        <x:f>O4761*J4761*(1+M4761)</x:f>
        <x:v>0.0038192</x:v>
      </x:c>
      <x:c r="Q4761" s="30" t="n">
        <x:f>P4761*N4761</x:f>
        <x:v>0.2749824</x:v>
      </x:c>
      <x:c r="R4761" s="19" t="str">
        <x:v>独立判定</x:v>
      </x:c>
    </x:row>
    <x:row r="4762" ht="19" customHeight="1">
      <x:c r="A4762" s="19" t="str">
        <x:v>D04758</x:v>
      </x:c>
      <x:c r="B4762" s="19" t="n">
        <x:v>10</x:v>
      </x:c>
      <x:c r="C4762" s="19" t="n">
        <x:v>2</x:v>
      </x:c>
      <x:c r="D4762" s="19" t="str">
        <x:v>C10-M015</x:v>
      </x:c>
      <x:c r="E4762" s="19" t="str">
        <x:v>回廊鸣管蜥</x:v>
      </x:c>
      <x:c r="F4762" s="19" t="str">
        <x:v>普通</x:v>
      </x:c>
      <x:c r="G4762" s="19" t="str">
        <x:v>六神器公共池</x:v>
      </x:c>
      <x:c r="H4762" s="19" t="str">
        <x:v>POOL006</x:v>
      </x:c>
      <x:c r="I4762" s="22" t="n">
        <x:v>20000000</x:v>
      </x:c>
      <x:c r="J4762" s="22" t="n">
        <x:v>1</x:v>
      </x:c>
      <x:c r="K4762" s="19" t="n">
        <x:v>6</x:v>
      </x:c>
      <x:c r="L4762" s="24" t="n">
        <x:v>86.8</x:v>
      </x:c>
      <x:c r="M4762" s="26" t="n">
        <x:v>0.1</x:v>
      </x:c>
      <x:c r="N4762" s="24" t="n">
        <x:v>72</x:v>
      </x:c>
      <x:c r="O4762" s="28" t="n">
        <x:f>MIN(1,L4762/I4762)</x:f>
        <x:v>0.00000434</x:v>
      </x:c>
      <x:c r="P4762" s="30" t="n">
        <x:f>O4762*J4762*(1+M4762)</x:f>
        <x:v>0.000004774</x:v>
      </x:c>
      <x:c r="Q4762" s="30" t="n">
        <x:f>P4762*N4762</x:f>
        <x:v>0.000343728</x:v>
      </x:c>
      <x:c r="R4762" s="19" t="str">
        <x:v>六选一；非6个独立爆率</x:v>
      </x:c>
    </x:row>
    <x:row r="4763" ht="19" customHeight="1">
      <x:c r="A4763" s="19" t="str">
        <x:v>D04759</x:v>
      </x:c>
      <x:c r="B4763" s="19" t="n">
        <x:v>10</x:v>
      </x:c>
      <x:c r="C4763" s="19" t="n">
        <x:v>2</x:v>
      </x:c>
      <x:c r="D4763" s="19" t="str">
        <x:v>C10-M016</x:v>
      </x:c>
      <x:c r="E4763" s="19" t="str">
        <x:v>锈槽巡污卒</x:v>
      </x:c>
      <x:c r="F4763" s="19" t="str">
        <x:v>普通</x:v>
      </x:c>
      <x:c r="G4763" s="19" t="str">
        <x:v>自身专属</x:v>
      </x:c>
      <x:c r="H4763" s="19" t="str">
        <x:v>锈槽踏污靴</x:v>
      </x:c>
      <x:c r="I4763" s="22" t="n">
        <x:v>10000</x:v>
      </x:c>
      <x:c r="J4763" s="22" t="n">
        <x:v>1</x:v>
      </x:c>
      <x:c r="K4763" s="19" t="n">
        <x:v>1</x:v>
      </x:c>
      <x:c r="L4763" s="24" t="n">
        <x:v>86.8</x:v>
      </x:c>
      <x:c r="M4763" s="26" t="n">
        <x:v>0.1</x:v>
      </x:c>
      <x:c r="N4763" s="24" t="n">
        <x:v>72</x:v>
      </x:c>
      <x:c r="O4763" s="28" t="n">
        <x:f>MIN(1,L4763/I4763)</x:f>
        <x:v>0.00868</x:v>
      </x:c>
      <x:c r="P4763" s="30" t="n">
        <x:f>O4763*J4763*(1+M4763)</x:f>
        <x:v>0.009548000000000001</x:v>
      </x:c>
      <x:c r="Q4763" s="30" t="n">
        <x:f>P4763*N4763</x:f>
        <x:v>0.6874560000000001</x:v>
      </x:c>
      <x:c r="R4763" s="19" t="str">
        <x:v>独立判定</x:v>
      </x:c>
    </x:row>
    <x:row r="4764" ht="19" customHeight="1">
      <x:c r="A4764" s="19" t="str">
        <x:v>D04760</x:v>
      </x:c>
      <x:c r="B4764" s="19" t="n">
        <x:v>10</x:v>
      </x:c>
      <x:c r="C4764" s="19" t="n">
        <x:v>2</x:v>
      </x:c>
      <x:c r="D4764" s="19" t="str">
        <x:v>C10-M016</x:v>
      </x:c>
      <x:c r="E4764" s="19" t="str">
        <x:v>锈槽巡污卒</x:v>
      </x:c>
      <x:c r="F4764" s="19" t="str">
        <x:v>普通</x:v>
      </x:c>
      <x:c r="G4764" s="19" t="str">
        <x:v>材料独立候选</x:v>
      </x:c>
      <x:c r="H4764" s="19" t="str">
        <x:v>王城金屑</x:v>
      </x:c>
      <x:c r="I4764" s="22" t="n">
        <x:v>1800</x:v>
      </x:c>
      <x:c r="J4764" s="22" t="n">
        <x:v>8</x:v>
      </x:c>
      <x:c r="K4764" s="19" t="n">
        <x:v>1</x:v>
      </x:c>
      <x:c r="L4764" s="24" t="n">
        <x:v>86.8</x:v>
      </x:c>
      <x:c r="M4764" s="26" t="n">
        <x:v>0.1</x:v>
      </x:c>
      <x:c r="N4764" s="24" t="n">
        <x:v>72</x:v>
      </x:c>
      <x:c r="O4764" s="28" t="n">
        <x:f>MIN(1,L4764/I4764)</x:f>
        <x:v>0.04822222222222222</x:v>
      </x:c>
      <x:c r="P4764" s="30" t="n">
        <x:f>O4764*J4764*(1+M4764)</x:f>
        <x:v>0.4243555555555556</x:v>
      </x:c>
      <x:c r="Q4764" s="30" t="n">
        <x:f>P4764*N4764</x:f>
        <x:v>30.553600000000003</x:v>
      </x:c>
      <x:c r="R4764" s="19" t="str">
        <x:v>独立判定</x:v>
      </x:c>
    </x:row>
    <x:row r="4765" ht="19" customHeight="1">
      <x:c r="A4765" s="19" t="str">
        <x:v>D04761</x:v>
      </x:c>
      <x:c r="B4765" s="19" t="n">
        <x:v>10</x:v>
      </x:c>
      <x:c r="C4765" s="19" t="n">
        <x:v>2</x:v>
      </x:c>
      <x:c r="D4765" s="19" t="str">
        <x:v>C10-M016</x:v>
      </x:c>
      <x:c r="E4765" s="19" t="str">
        <x:v>锈槽巡污卒</x:v>
      </x:c>
      <x:c r="F4765" s="19" t="str">
        <x:v>普通</x:v>
      </x:c>
      <x:c r="G4765" s="19" t="str">
        <x:v>材料独立候选</x:v>
      </x:c>
      <x:c r="H4765" s="19" t="str">
        <x:v>无名墓钉</x:v>
      </x:c>
      <x:c r="I4765" s="22" t="n">
        <x:v>2500</x:v>
      </x:c>
      <x:c r="J4765" s="22" t="n">
        <x:v>1</x:v>
      </x:c>
      <x:c r="K4765" s="19" t="n">
        <x:v>1</x:v>
      </x:c>
      <x:c r="L4765" s="24" t="n">
        <x:v>86.8</x:v>
      </x:c>
      <x:c r="M4765" s="26" t="n">
        <x:v>0.1</x:v>
      </x:c>
      <x:c r="N4765" s="24" t="n">
        <x:v>72</x:v>
      </x:c>
      <x:c r="O4765" s="28" t="n">
        <x:f>MIN(1,L4765/I4765)</x:f>
        <x:v>0.03472</x:v>
      </x:c>
      <x:c r="P4765" s="30" t="n">
        <x:f>O4765*J4765*(1+M4765)</x:f>
        <x:v>0.038192000000000004</x:v>
      </x:c>
      <x:c r="Q4765" s="30" t="n">
        <x:f>P4765*N4765</x:f>
        <x:v>2.7498240000000003</x:v>
      </x:c>
      <x:c r="R4765" s="19" t="str">
        <x:v>独立判定</x:v>
      </x:c>
    </x:row>
    <x:row r="4766" ht="19" customHeight="1">
      <x:c r="A4766" s="19" t="str">
        <x:v>D04762</x:v>
      </x:c>
      <x:c r="B4766" s="19" t="n">
        <x:v>10</x:v>
      </x:c>
      <x:c r="C4766" s="19" t="n">
        <x:v>2</x:v>
      </x:c>
      <x:c r="D4766" s="19" t="str">
        <x:v>C10-M016</x:v>
      </x:c>
      <x:c r="E4766" s="19" t="str">
        <x:v>锈槽巡污卒</x:v>
      </x:c>
      <x:c r="F4766" s="19" t="str">
        <x:v>普通</x:v>
      </x:c>
      <x:c r="G4766" s="19" t="str">
        <x:v>材料独立候选</x:v>
      </x:c>
      <x:c r="H4766" s="19" t="str">
        <x:v>穹律鎏痕拓片</x:v>
      </x:c>
      <x:c r="I4766" s="22" t="n">
        <x:v>4000000</x:v>
      </x:c>
      <x:c r="J4766" s="22" t="n">
        <x:v>1</x:v>
      </x:c>
      <x:c r="K4766" s="19" t="n">
        <x:v>1</x:v>
      </x:c>
      <x:c r="L4766" s="24" t="n">
        <x:v>86.8</x:v>
      </x:c>
      <x:c r="M4766" s="26" t="n">
        <x:v>0.1</x:v>
      </x:c>
      <x:c r="N4766" s="24" t="n">
        <x:v>72</x:v>
      </x:c>
      <x:c r="O4766" s="28" t="n">
        <x:f>MIN(1,L4766/I4766)</x:f>
        <x:v>0.0000217</x:v>
      </x:c>
      <x:c r="P4766" s="30" t="n">
        <x:f>O4766*J4766*(1+M4766)</x:f>
        <x:v>0.00002387</x:v>
      </x:c>
      <x:c r="Q4766" s="30" t="n">
        <x:f>P4766*N4766</x:f>
        <x:v>0.00171864</x:v>
      </x:c>
      <x:c r="R4766" s="19" t="str">
        <x:v>独立判定</x:v>
      </x:c>
    </x:row>
    <x:row r="4767" ht="19" customHeight="1">
      <x:c r="A4767" s="19" t="str">
        <x:v>D04763</x:v>
      </x:c>
      <x:c r="B4767" s="19" t="n">
        <x:v>10</x:v>
      </x:c>
      <x:c r="C4767" s="19" t="n">
        <x:v>2</x:v>
      </x:c>
      <x:c r="D4767" s="19" t="str">
        <x:v>C10-M016</x:v>
      </x:c>
      <x:c r="E4767" s="19" t="str">
        <x:v>锈槽巡污卒</x:v>
      </x:c>
      <x:c r="F4767" s="19" t="str">
        <x:v>普通</x:v>
      </x:c>
      <x:c r="G4767" s="19" t="str">
        <x:v>材料独立候选</x:v>
      </x:c>
      <x:c r="H4767" s="19" t="str">
        <x:v>野兽骨片</x:v>
      </x:c>
      <x:c r="I4767" s="22" t="n">
        <x:v>500</x:v>
      </x:c>
      <x:c r="J4767" s="22" t="n">
        <x:v>4</x:v>
      </x:c>
      <x:c r="K4767" s="19" t="n">
        <x:v>1</x:v>
      </x:c>
      <x:c r="L4767" s="24" t="n">
        <x:v>86.8</x:v>
      </x:c>
      <x:c r="M4767" s="26" t="n">
        <x:v>0.1</x:v>
      </x:c>
      <x:c r="N4767" s="24" t="n">
        <x:v>72</x:v>
      </x:c>
      <x:c r="O4767" s="28" t="n">
        <x:f>MIN(1,L4767/I4767)</x:f>
        <x:v>0.1736</x:v>
      </x:c>
      <x:c r="P4767" s="30" t="n">
        <x:f>O4767*J4767*(1+M4767)</x:f>
        <x:v>0.7638400000000001</x:v>
      </x:c>
      <x:c r="Q4767" s="30" t="n">
        <x:f>P4767*N4767</x:f>
        <x:v>54.996480000000005</x:v>
      </x:c>
      <x:c r="R4767" s="19" t="str">
        <x:v>独立判定</x:v>
      </x:c>
    </x:row>
    <x:row r="4768" ht="19" customHeight="1">
      <x:c r="A4768" s="19" t="str">
        <x:v>D04764</x:v>
      </x:c>
      <x:c r="B4768" s="19" t="n">
        <x:v>10</x:v>
      </x:c>
      <x:c r="C4768" s="19" t="n">
        <x:v>2</x:v>
      </x:c>
      <x:c r="D4768" s="19" t="str">
        <x:v>C10-M016</x:v>
      </x:c>
      <x:c r="E4768" s="19" t="str">
        <x:v>锈槽巡污卒</x:v>
      </x:c>
      <x:c r="F4768" s="19" t="str">
        <x:v>普通</x:v>
      </x:c>
      <x:c r="G4768" s="19" t="str">
        <x:v>材料独立候选</x:v>
      </x:c>
      <x:c r="H4768" s="19" t="str">
        <x:v>技能残页</x:v>
      </x:c>
      <x:c r="I4768" s="22" t="n">
        <x:v>4000</x:v>
      </x:c>
      <x:c r="J4768" s="22" t="n">
        <x:v>1</x:v>
      </x:c>
      <x:c r="K4768" s="19" t="n">
        <x:v>1</x:v>
      </x:c>
      <x:c r="L4768" s="24" t="n">
        <x:v>86.8</x:v>
      </x:c>
      <x:c r="M4768" s="26" t="n">
        <x:v>0.1</x:v>
      </x:c>
      <x:c r="N4768" s="24" t="n">
        <x:v>72</x:v>
      </x:c>
      <x:c r="O4768" s="28" t="n">
        <x:f>MIN(1,L4768/I4768)</x:f>
        <x:v>0.0217</x:v>
      </x:c>
      <x:c r="P4768" s="30" t="n">
        <x:f>O4768*J4768*(1+M4768)</x:f>
        <x:v>0.023870000000000002</x:v>
      </x:c>
      <x:c r="Q4768" s="30" t="n">
        <x:f>P4768*N4768</x:f>
        <x:v>1.7186400000000002</x:v>
      </x:c>
      <x:c r="R4768" s="19" t="str">
        <x:v>独立判定</x:v>
      </x:c>
    </x:row>
    <x:row r="4769" ht="19" customHeight="1">
      <x:c r="A4769" s="19" t="str">
        <x:v>D04765</x:v>
      </x:c>
      <x:c r="B4769" s="19" t="n">
        <x:v>10</x:v>
      </x:c>
      <x:c r="C4769" s="19" t="n">
        <x:v>2</x:v>
      </x:c>
      <x:c r="D4769" s="19" t="str">
        <x:v>C10-M016</x:v>
      </x:c>
      <x:c r="E4769" s="19" t="str">
        <x:v>锈槽巡污卒</x:v>
      </x:c>
      <x:c r="F4769" s="19" t="str">
        <x:v>普通</x:v>
      </x:c>
      <x:c r="G4769" s="19" t="str">
        <x:v>材料独立候选</x:v>
      </x:c>
      <x:c r="H4769" s="19" t="str">
        <x:v>小卢恩</x:v>
      </x:c>
      <x:c r="I4769" s="22" t="n">
        <x:v>25000</x:v>
      </x:c>
      <x:c r="J4769" s="22" t="n">
        <x:v>1</x:v>
      </x:c>
      <x:c r="K4769" s="19" t="n">
        <x:v>1</x:v>
      </x:c>
      <x:c r="L4769" s="24" t="n">
        <x:v>86.8</x:v>
      </x:c>
      <x:c r="M4769" s="26" t="n">
        <x:v>0.1</x:v>
      </x:c>
      <x:c r="N4769" s="24" t="n">
        <x:v>72</x:v>
      </x:c>
      <x:c r="O4769" s="28" t="n">
        <x:f>MIN(1,L4769/I4769)</x:f>
        <x:v>0.003472</x:v>
      </x:c>
      <x:c r="P4769" s="30" t="n">
        <x:f>O4769*J4769*(1+M4769)</x:f>
        <x:v>0.0038192</x:v>
      </x:c>
      <x:c r="Q4769" s="30" t="n">
        <x:f>P4769*N4769</x:f>
        <x:v>0.2749824</x:v>
      </x:c>
      <x:c r="R4769" s="19" t="str">
        <x:v>独立判定</x:v>
      </x:c>
    </x:row>
    <x:row r="4770" ht="19" customHeight="1">
      <x:c r="A4770" s="19" t="str">
        <x:v>D04766</x:v>
      </x:c>
      <x:c r="B4770" s="19" t="n">
        <x:v>10</x:v>
      </x:c>
      <x:c r="C4770" s="19" t="n">
        <x:v>2</x:v>
      </x:c>
      <x:c r="D4770" s="19" t="str">
        <x:v>C10-M016</x:v>
      </x:c>
      <x:c r="E4770" s="19" t="str">
        <x:v>锈槽巡污卒</x:v>
      </x:c>
      <x:c r="F4770" s="19" t="str">
        <x:v>普通</x:v>
      </x:c>
      <x:c r="G4770" s="19" t="str">
        <x:v>六神器公共池</x:v>
      </x:c>
      <x:c r="H4770" s="19" t="str">
        <x:v>POOL006</x:v>
      </x:c>
      <x:c r="I4770" s="22" t="n">
        <x:v>20000000</x:v>
      </x:c>
      <x:c r="J4770" s="22" t="n">
        <x:v>1</x:v>
      </x:c>
      <x:c r="K4770" s="19" t="n">
        <x:v>6</x:v>
      </x:c>
      <x:c r="L4770" s="24" t="n">
        <x:v>86.8</x:v>
      </x:c>
      <x:c r="M4770" s="26" t="n">
        <x:v>0.1</x:v>
      </x:c>
      <x:c r="N4770" s="24" t="n">
        <x:v>72</x:v>
      </x:c>
      <x:c r="O4770" s="28" t="n">
        <x:f>MIN(1,L4770/I4770)</x:f>
        <x:v>0.00000434</x:v>
      </x:c>
      <x:c r="P4770" s="30" t="n">
        <x:f>O4770*J4770*(1+M4770)</x:f>
        <x:v>0.000004774</x:v>
      </x:c>
      <x:c r="Q4770" s="30" t="n">
        <x:f>P4770*N4770</x:f>
        <x:v>0.000343728</x:v>
      </x:c>
      <x:c r="R4770" s="19" t="str">
        <x:v>六选一；非6个独立爆率</x:v>
      </x:c>
    </x:row>
    <x:row r="4771" ht="19" customHeight="1">
      <x:c r="A4771" s="19" t="str">
        <x:v>D04767</x:v>
      </x:c>
      <x:c r="B4771" s="19" t="n">
        <x:v>10</x:v>
      </x:c>
      <x:c r="C4771" s="19" t="n">
        <x:v>2</x:v>
      </x:c>
      <x:c r="D4771" s="19" t="str">
        <x:v>C10-M017</x:v>
      </x:c>
      <x:c r="E4771" s="19" t="str">
        <x:v>中枢盘阀傀</x:v>
      </x:c>
      <x:c r="F4771" s="19" t="str">
        <x:v>普通</x:v>
      </x:c>
      <x:c r="G4771" s="19" t="str">
        <x:v>自身专属</x:v>
      </x:c>
      <x:c r="H4771" s="19" t="str">
        <x:v>盘阀锁流带</x:v>
      </x:c>
      <x:c r="I4771" s="22" t="n">
        <x:v>10000</x:v>
      </x:c>
      <x:c r="J4771" s="22" t="n">
        <x:v>1</x:v>
      </x:c>
      <x:c r="K4771" s="19" t="n">
        <x:v>1</x:v>
      </x:c>
      <x:c r="L4771" s="24" t="n">
        <x:v>86.8</x:v>
      </x:c>
      <x:c r="M4771" s="26" t="n">
        <x:v>0.1</x:v>
      </x:c>
      <x:c r="N4771" s="24" t="n">
        <x:v>72</x:v>
      </x:c>
      <x:c r="O4771" s="28" t="n">
        <x:f>MIN(1,L4771/I4771)</x:f>
        <x:v>0.00868</x:v>
      </x:c>
      <x:c r="P4771" s="30" t="n">
        <x:f>O4771*J4771*(1+M4771)</x:f>
        <x:v>0.009548000000000001</x:v>
      </x:c>
      <x:c r="Q4771" s="30" t="n">
        <x:f>P4771*N4771</x:f>
        <x:v>0.6874560000000001</x:v>
      </x:c>
      <x:c r="R4771" s="19" t="str">
        <x:v>独立判定</x:v>
      </x:c>
    </x:row>
    <x:row r="4772" ht="19" customHeight="1">
      <x:c r="A4772" s="19" t="str">
        <x:v>D04768</x:v>
      </x:c>
      <x:c r="B4772" s="19" t="n">
        <x:v>10</x:v>
      </x:c>
      <x:c r="C4772" s="19" t="n">
        <x:v>2</x:v>
      </x:c>
      <x:c r="D4772" s="19" t="str">
        <x:v>C10-M017</x:v>
      </x:c>
      <x:c r="E4772" s="19" t="str">
        <x:v>中枢盘阀傀</x:v>
      </x:c>
      <x:c r="F4772" s="19" t="str">
        <x:v>普通</x:v>
      </x:c>
      <x:c r="G4772" s="19" t="str">
        <x:v>材料独立候选</x:v>
      </x:c>
      <x:c r="H4772" s="19" t="str">
        <x:v>王城金屑</x:v>
      </x:c>
      <x:c r="I4772" s="22" t="n">
        <x:v>1800</x:v>
      </x:c>
      <x:c r="J4772" s="22" t="n">
        <x:v>8</x:v>
      </x:c>
      <x:c r="K4772" s="19" t="n">
        <x:v>1</x:v>
      </x:c>
      <x:c r="L4772" s="24" t="n">
        <x:v>86.8</x:v>
      </x:c>
      <x:c r="M4772" s="26" t="n">
        <x:v>0.1</x:v>
      </x:c>
      <x:c r="N4772" s="24" t="n">
        <x:v>72</x:v>
      </x:c>
      <x:c r="O4772" s="28" t="n">
        <x:f>MIN(1,L4772/I4772)</x:f>
        <x:v>0.04822222222222222</x:v>
      </x:c>
      <x:c r="P4772" s="30" t="n">
        <x:f>O4772*J4772*(1+M4772)</x:f>
        <x:v>0.4243555555555556</x:v>
      </x:c>
      <x:c r="Q4772" s="30" t="n">
        <x:f>P4772*N4772</x:f>
        <x:v>30.553600000000003</x:v>
      </x:c>
      <x:c r="R4772" s="19" t="str">
        <x:v>独立判定</x:v>
      </x:c>
    </x:row>
    <x:row r="4773" ht="19" customHeight="1">
      <x:c r="A4773" s="19" t="str">
        <x:v>D04769</x:v>
      </x:c>
      <x:c r="B4773" s="19" t="n">
        <x:v>10</x:v>
      </x:c>
      <x:c r="C4773" s="19" t="n">
        <x:v>2</x:v>
      </x:c>
      <x:c r="D4773" s="19" t="str">
        <x:v>C10-M017</x:v>
      </x:c>
      <x:c r="E4773" s="19" t="str">
        <x:v>中枢盘阀傀</x:v>
      </x:c>
      <x:c r="F4773" s="19" t="str">
        <x:v>普通</x:v>
      </x:c>
      <x:c r="G4773" s="19" t="str">
        <x:v>材料独立候选</x:v>
      </x:c>
      <x:c r="H4773" s="19" t="str">
        <x:v>无名墓钉</x:v>
      </x:c>
      <x:c r="I4773" s="22" t="n">
        <x:v>2500</x:v>
      </x:c>
      <x:c r="J4773" s="22" t="n">
        <x:v>1</x:v>
      </x:c>
      <x:c r="K4773" s="19" t="n">
        <x:v>1</x:v>
      </x:c>
      <x:c r="L4773" s="24" t="n">
        <x:v>86.8</x:v>
      </x:c>
      <x:c r="M4773" s="26" t="n">
        <x:v>0.1</x:v>
      </x:c>
      <x:c r="N4773" s="24" t="n">
        <x:v>72</x:v>
      </x:c>
      <x:c r="O4773" s="28" t="n">
        <x:f>MIN(1,L4773/I4773)</x:f>
        <x:v>0.03472</x:v>
      </x:c>
      <x:c r="P4773" s="30" t="n">
        <x:f>O4773*J4773*(1+M4773)</x:f>
        <x:v>0.038192000000000004</x:v>
      </x:c>
      <x:c r="Q4773" s="30" t="n">
        <x:f>P4773*N4773</x:f>
        <x:v>2.7498240000000003</x:v>
      </x:c>
      <x:c r="R4773" s="19" t="str">
        <x:v>独立判定</x:v>
      </x:c>
    </x:row>
    <x:row r="4774" ht="19" customHeight="1">
      <x:c r="A4774" s="19" t="str">
        <x:v>D04770</x:v>
      </x:c>
      <x:c r="B4774" s="19" t="n">
        <x:v>10</x:v>
      </x:c>
      <x:c r="C4774" s="19" t="n">
        <x:v>2</x:v>
      </x:c>
      <x:c r="D4774" s="19" t="str">
        <x:v>C10-M017</x:v>
      </x:c>
      <x:c r="E4774" s="19" t="str">
        <x:v>中枢盘阀傀</x:v>
      </x:c>
      <x:c r="F4774" s="19" t="str">
        <x:v>普通</x:v>
      </x:c>
      <x:c r="G4774" s="19" t="str">
        <x:v>材料独立候选</x:v>
      </x:c>
      <x:c r="H4774" s="19" t="str">
        <x:v>穹律鎏痕拓片</x:v>
      </x:c>
      <x:c r="I4774" s="22" t="n">
        <x:v>4000000</x:v>
      </x:c>
      <x:c r="J4774" s="22" t="n">
        <x:v>1</x:v>
      </x:c>
      <x:c r="K4774" s="19" t="n">
        <x:v>1</x:v>
      </x:c>
      <x:c r="L4774" s="24" t="n">
        <x:v>86.8</x:v>
      </x:c>
      <x:c r="M4774" s="26" t="n">
        <x:v>0.1</x:v>
      </x:c>
      <x:c r="N4774" s="24" t="n">
        <x:v>72</x:v>
      </x:c>
      <x:c r="O4774" s="28" t="n">
        <x:f>MIN(1,L4774/I4774)</x:f>
        <x:v>0.0000217</x:v>
      </x:c>
      <x:c r="P4774" s="30" t="n">
        <x:f>O4774*J4774*(1+M4774)</x:f>
        <x:v>0.00002387</x:v>
      </x:c>
      <x:c r="Q4774" s="30" t="n">
        <x:f>P4774*N4774</x:f>
        <x:v>0.00171864</x:v>
      </x:c>
      <x:c r="R4774" s="19" t="str">
        <x:v>独立判定</x:v>
      </x:c>
    </x:row>
    <x:row r="4775" ht="19" customHeight="1">
      <x:c r="A4775" s="19" t="str">
        <x:v>D04771</x:v>
      </x:c>
      <x:c r="B4775" s="19" t="n">
        <x:v>10</x:v>
      </x:c>
      <x:c r="C4775" s="19" t="n">
        <x:v>2</x:v>
      </x:c>
      <x:c r="D4775" s="19" t="str">
        <x:v>C10-M017</x:v>
      </x:c>
      <x:c r="E4775" s="19" t="str">
        <x:v>中枢盘阀傀</x:v>
      </x:c>
      <x:c r="F4775" s="19" t="str">
        <x:v>普通</x:v>
      </x:c>
      <x:c r="G4775" s="19" t="str">
        <x:v>材料独立候选</x:v>
      </x:c>
      <x:c r="H4775" s="19" t="str">
        <x:v>野兽骨片</x:v>
      </x:c>
      <x:c r="I4775" s="22" t="n">
        <x:v>500</x:v>
      </x:c>
      <x:c r="J4775" s="22" t="n">
        <x:v>4</x:v>
      </x:c>
      <x:c r="K4775" s="19" t="n">
        <x:v>1</x:v>
      </x:c>
      <x:c r="L4775" s="24" t="n">
        <x:v>86.8</x:v>
      </x:c>
      <x:c r="M4775" s="26" t="n">
        <x:v>0.1</x:v>
      </x:c>
      <x:c r="N4775" s="24" t="n">
        <x:v>72</x:v>
      </x:c>
      <x:c r="O4775" s="28" t="n">
        <x:f>MIN(1,L4775/I4775)</x:f>
        <x:v>0.1736</x:v>
      </x:c>
      <x:c r="P4775" s="30" t="n">
        <x:f>O4775*J4775*(1+M4775)</x:f>
        <x:v>0.7638400000000001</x:v>
      </x:c>
      <x:c r="Q4775" s="30" t="n">
        <x:f>P4775*N4775</x:f>
        <x:v>54.996480000000005</x:v>
      </x:c>
      <x:c r="R4775" s="19" t="str">
        <x:v>独立判定</x:v>
      </x:c>
    </x:row>
    <x:row r="4776" ht="19" customHeight="1">
      <x:c r="A4776" s="19" t="str">
        <x:v>D04772</x:v>
      </x:c>
      <x:c r="B4776" s="19" t="n">
        <x:v>10</x:v>
      </x:c>
      <x:c r="C4776" s="19" t="n">
        <x:v>2</x:v>
      </x:c>
      <x:c r="D4776" s="19" t="str">
        <x:v>C10-M017</x:v>
      </x:c>
      <x:c r="E4776" s="19" t="str">
        <x:v>中枢盘阀傀</x:v>
      </x:c>
      <x:c r="F4776" s="19" t="str">
        <x:v>普通</x:v>
      </x:c>
      <x:c r="G4776" s="19" t="str">
        <x:v>材料独立候选</x:v>
      </x:c>
      <x:c r="H4776" s="19" t="str">
        <x:v>技能残页</x:v>
      </x:c>
      <x:c r="I4776" s="22" t="n">
        <x:v>4000</x:v>
      </x:c>
      <x:c r="J4776" s="22" t="n">
        <x:v>1</x:v>
      </x:c>
      <x:c r="K4776" s="19" t="n">
        <x:v>1</x:v>
      </x:c>
      <x:c r="L4776" s="24" t="n">
        <x:v>86.8</x:v>
      </x:c>
      <x:c r="M4776" s="26" t="n">
        <x:v>0.1</x:v>
      </x:c>
      <x:c r="N4776" s="24" t="n">
        <x:v>72</x:v>
      </x:c>
      <x:c r="O4776" s="28" t="n">
        <x:f>MIN(1,L4776/I4776)</x:f>
        <x:v>0.0217</x:v>
      </x:c>
      <x:c r="P4776" s="30" t="n">
        <x:f>O4776*J4776*(1+M4776)</x:f>
        <x:v>0.023870000000000002</x:v>
      </x:c>
      <x:c r="Q4776" s="30" t="n">
        <x:f>P4776*N4776</x:f>
        <x:v>1.7186400000000002</x:v>
      </x:c>
      <x:c r="R4776" s="19" t="str">
        <x:v>独立判定</x:v>
      </x:c>
    </x:row>
    <x:row r="4777" ht="19" customHeight="1">
      <x:c r="A4777" s="19" t="str">
        <x:v>D04773</x:v>
      </x:c>
      <x:c r="B4777" s="19" t="n">
        <x:v>10</x:v>
      </x:c>
      <x:c r="C4777" s="19" t="n">
        <x:v>2</x:v>
      </x:c>
      <x:c r="D4777" s="19" t="str">
        <x:v>C10-M017</x:v>
      </x:c>
      <x:c r="E4777" s="19" t="str">
        <x:v>中枢盘阀傀</x:v>
      </x:c>
      <x:c r="F4777" s="19" t="str">
        <x:v>普通</x:v>
      </x:c>
      <x:c r="G4777" s="19" t="str">
        <x:v>材料独立候选</x:v>
      </x:c>
      <x:c r="H4777" s="19" t="str">
        <x:v>小卢恩</x:v>
      </x:c>
      <x:c r="I4777" s="22" t="n">
        <x:v>25000</x:v>
      </x:c>
      <x:c r="J4777" s="22" t="n">
        <x:v>1</x:v>
      </x:c>
      <x:c r="K4777" s="19" t="n">
        <x:v>1</x:v>
      </x:c>
      <x:c r="L4777" s="24" t="n">
        <x:v>86.8</x:v>
      </x:c>
      <x:c r="M4777" s="26" t="n">
        <x:v>0.1</x:v>
      </x:c>
      <x:c r="N4777" s="24" t="n">
        <x:v>72</x:v>
      </x:c>
      <x:c r="O4777" s="28" t="n">
        <x:f>MIN(1,L4777/I4777)</x:f>
        <x:v>0.003472</x:v>
      </x:c>
      <x:c r="P4777" s="30" t="n">
        <x:f>O4777*J4777*(1+M4777)</x:f>
        <x:v>0.0038192</x:v>
      </x:c>
      <x:c r="Q4777" s="30" t="n">
        <x:f>P4777*N4777</x:f>
        <x:v>0.2749824</x:v>
      </x:c>
      <x:c r="R4777" s="19" t="str">
        <x:v>独立判定</x:v>
      </x:c>
    </x:row>
    <x:row r="4778" ht="19" customHeight="1">
      <x:c r="A4778" s="19" t="str">
        <x:v>D04774</x:v>
      </x:c>
      <x:c r="B4778" s="19" t="n">
        <x:v>10</x:v>
      </x:c>
      <x:c r="C4778" s="19" t="n">
        <x:v>2</x:v>
      </x:c>
      <x:c r="D4778" s="19" t="str">
        <x:v>C10-M017</x:v>
      </x:c>
      <x:c r="E4778" s="19" t="str">
        <x:v>中枢盘阀傀</x:v>
      </x:c>
      <x:c r="F4778" s="19" t="str">
        <x:v>普通</x:v>
      </x:c>
      <x:c r="G4778" s="19" t="str">
        <x:v>六神器公共池</x:v>
      </x:c>
      <x:c r="H4778" s="19" t="str">
        <x:v>POOL006</x:v>
      </x:c>
      <x:c r="I4778" s="22" t="n">
        <x:v>20000000</x:v>
      </x:c>
      <x:c r="J4778" s="22" t="n">
        <x:v>1</x:v>
      </x:c>
      <x:c r="K4778" s="19" t="n">
        <x:v>6</x:v>
      </x:c>
      <x:c r="L4778" s="24" t="n">
        <x:v>86.8</x:v>
      </x:c>
      <x:c r="M4778" s="26" t="n">
        <x:v>0.1</x:v>
      </x:c>
      <x:c r="N4778" s="24" t="n">
        <x:v>72</x:v>
      </x:c>
      <x:c r="O4778" s="28" t="n">
        <x:f>MIN(1,L4778/I4778)</x:f>
        <x:v>0.00000434</x:v>
      </x:c>
      <x:c r="P4778" s="30" t="n">
        <x:f>O4778*J4778*(1+M4778)</x:f>
        <x:v>0.000004774</x:v>
      </x:c>
      <x:c r="Q4778" s="30" t="n">
        <x:f>P4778*N4778</x:f>
        <x:v>0.000343728</x:v>
      </x:c>
      <x:c r="R4778" s="19" t="str">
        <x:v>六选一；非6个独立爆率</x:v>
      </x:c>
    </x:row>
    <x:row r="4779" ht="19" customHeight="1">
      <x:c r="A4779" s="19" t="str">
        <x:v>D04775</x:v>
      </x:c>
      <x:c r="B4779" s="19" t="n">
        <x:v>10</x:v>
      </x:c>
      <x:c r="C4779" s="19" t="n">
        <x:v>2</x:v>
      </x:c>
      <x:c r="D4779" s="19" t="str">
        <x:v>C10-M018</x:v>
      </x:c>
      <x:c r="E4779" s="19" t="str">
        <x:v>泄洪窥灯虫</x:v>
      </x:c>
      <x:c r="F4779" s="19" t="str">
        <x:v>普通</x:v>
      </x:c>
      <x:c r="G4779" s="19" t="str">
        <x:v>自身专属</x:v>
      </x:c>
      <x:c r="H4779" s="19" t="str">
        <x:v>窥灯浊辉坠</x:v>
      </x:c>
      <x:c r="I4779" s="22" t="n">
        <x:v>10000</x:v>
      </x:c>
      <x:c r="J4779" s="22" t="n">
        <x:v>1</x:v>
      </x:c>
      <x:c r="K4779" s="19" t="n">
        <x:v>1</x:v>
      </x:c>
      <x:c r="L4779" s="24" t="n">
        <x:v>86.8</x:v>
      </x:c>
      <x:c r="M4779" s="26" t="n">
        <x:v>0.1</x:v>
      </x:c>
      <x:c r="N4779" s="24" t="n">
        <x:v>72</x:v>
      </x:c>
      <x:c r="O4779" s="28" t="n">
        <x:f>MIN(1,L4779/I4779)</x:f>
        <x:v>0.00868</x:v>
      </x:c>
      <x:c r="P4779" s="30" t="n">
        <x:f>O4779*J4779*(1+M4779)</x:f>
        <x:v>0.009548000000000001</x:v>
      </x:c>
      <x:c r="Q4779" s="30" t="n">
        <x:f>P4779*N4779</x:f>
        <x:v>0.6874560000000001</x:v>
      </x:c>
      <x:c r="R4779" s="19" t="str">
        <x:v>独立判定</x:v>
      </x:c>
    </x:row>
    <x:row r="4780" ht="19" customHeight="1">
      <x:c r="A4780" s="19" t="str">
        <x:v>D04776</x:v>
      </x:c>
      <x:c r="B4780" s="19" t="n">
        <x:v>10</x:v>
      </x:c>
      <x:c r="C4780" s="19" t="n">
        <x:v>2</x:v>
      </x:c>
      <x:c r="D4780" s="19" t="str">
        <x:v>C10-M018</x:v>
      </x:c>
      <x:c r="E4780" s="19" t="str">
        <x:v>泄洪窥灯虫</x:v>
      </x:c>
      <x:c r="F4780" s="19" t="str">
        <x:v>普通</x:v>
      </x:c>
      <x:c r="G4780" s="19" t="str">
        <x:v>材料独立候选</x:v>
      </x:c>
      <x:c r="H4780" s="19" t="str">
        <x:v>王城金屑</x:v>
      </x:c>
      <x:c r="I4780" s="22" t="n">
        <x:v>1800</x:v>
      </x:c>
      <x:c r="J4780" s="22" t="n">
        <x:v>8</x:v>
      </x:c>
      <x:c r="K4780" s="19" t="n">
        <x:v>1</x:v>
      </x:c>
      <x:c r="L4780" s="24" t="n">
        <x:v>86.8</x:v>
      </x:c>
      <x:c r="M4780" s="26" t="n">
        <x:v>0.1</x:v>
      </x:c>
      <x:c r="N4780" s="24" t="n">
        <x:v>72</x:v>
      </x:c>
      <x:c r="O4780" s="28" t="n">
        <x:f>MIN(1,L4780/I4780)</x:f>
        <x:v>0.04822222222222222</x:v>
      </x:c>
      <x:c r="P4780" s="30" t="n">
        <x:f>O4780*J4780*(1+M4780)</x:f>
        <x:v>0.4243555555555556</x:v>
      </x:c>
      <x:c r="Q4780" s="30" t="n">
        <x:f>P4780*N4780</x:f>
        <x:v>30.553600000000003</x:v>
      </x:c>
      <x:c r="R4780" s="19" t="str">
        <x:v>独立判定</x:v>
      </x:c>
    </x:row>
    <x:row r="4781" ht="19" customHeight="1">
      <x:c r="A4781" s="19" t="str">
        <x:v>D04777</x:v>
      </x:c>
      <x:c r="B4781" s="19" t="n">
        <x:v>10</x:v>
      </x:c>
      <x:c r="C4781" s="19" t="n">
        <x:v>2</x:v>
      </x:c>
      <x:c r="D4781" s="19" t="str">
        <x:v>C10-M018</x:v>
      </x:c>
      <x:c r="E4781" s="19" t="str">
        <x:v>泄洪窥灯虫</x:v>
      </x:c>
      <x:c r="F4781" s="19" t="str">
        <x:v>普通</x:v>
      </x:c>
      <x:c r="G4781" s="19" t="str">
        <x:v>材料独立候选</x:v>
      </x:c>
      <x:c r="H4781" s="19" t="str">
        <x:v>无名墓钉</x:v>
      </x:c>
      <x:c r="I4781" s="22" t="n">
        <x:v>2500</x:v>
      </x:c>
      <x:c r="J4781" s="22" t="n">
        <x:v>1</x:v>
      </x:c>
      <x:c r="K4781" s="19" t="n">
        <x:v>1</x:v>
      </x:c>
      <x:c r="L4781" s="24" t="n">
        <x:v>86.8</x:v>
      </x:c>
      <x:c r="M4781" s="26" t="n">
        <x:v>0.1</x:v>
      </x:c>
      <x:c r="N4781" s="24" t="n">
        <x:v>72</x:v>
      </x:c>
      <x:c r="O4781" s="28" t="n">
        <x:f>MIN(1,L4781/I4781)</x:f>
        <x:v>0.03472</x:v>
      </x:c>
      <x:c r="P4781" s="30" t="n">
        <x:f>O4781*J4781*(1+M4781)</x:f>
        <x:v>0.038192000000000004</x:v>
      </x:c>
      <x:c r="Q4781" s="30" t="n">
        <x:f>P4781*N4781</x:f>
        <x:v>2.7498240000000003</x:v>
      </x:c>
      <x:c r="R4781" s="19" t="str">
        <x:v>独立判定</x:v>
      </x:c>
    </x:row>
    <x:row r="4782" ht="19" customHeight="1">
      <x:c r="A4782" s="19" t="str">
        <x:v>D04778</x:v>
      </x:c>
      <x:c r="B4782" s="19" t="n">
        <x:v>10</x:v>
      </x:c>
      <x:c r="C4782" s="19" t="n">
        <x:v>2</x:v>
      </x:c>
      <x:c r="D4782" s="19" t="str">
        <x:v>C10-M018</x:v>
      </x:c>
      <x:c r="E4782" s="19" t="str">
        <x:v>泄洪窥灯虫</x:v>
      </x:c>
      <x:c r="F4782" s="19" t="str">
        <x:v>普通</x:v>
      </x:c>
      <x:c r="G4782" s="19" t="str">
        <x:v>材料独立候选</x:v>
      </x:c>
      <x:c r="H4782" s="19" t="str">
        <x:v>穹律鎏痕拓片</x:v>
      </x:c>
      <x:c r="I4782" s="22" t="n">
        <x:v>4000000</x:v>
      </x:c>
      <x:c r="J4782" s="22" t="n">
        <x:v>1</x:v>
      </x:c>
      <x:c r="K4782" s="19" t="n">
        <x:v>1</x:v>
      </x:c>
      <x:c r="L4782" s="24" t="n">
        <x:v>86.8</x:v>
      </x:c>
      <x:c r="M4782" s="26" t="n">
        <x:v>0.1</x:v>
      </x:c>
      <x:c r="N4782" s="24" t="n">
        <x:v>72</x:v>
      </x:c>
      <x:c r="O4782" s="28" t="n">
        <x:f>MIN(1,L4782/I4782)</x:f>
        <x:v>0.0000217</x:v>
      </x:c>
      <x:c r="P4782" s="30" t="n">
        <x:f>O4782*J4782*(1+M4782)</x:f>
        <x:v>0.00002387</x:v>
      </x:c>
      <x:c r="Q4782" s="30" t="n">
        <x:f>P4782*N4782</x:f>
        <x:v>0.00171864</x:v>
      </x:c>
      <x:c r="R4782" s="19" t="str">
        <x:v>独立判定</x:v>
      </x:c>
    </x:row>
    <x:row r="4783" ht="19" customHeight="1">
      <x:c r="A4783" s="19" t="str">
        <x:v>D04779</x:v>
      </x:c>
      <x:c r="B4783" s="19" t="n">
        <x:v>10</x:v>
      </x:c>
      <x:c r="C4783" s="19" t="n">
        <x:v>2</x:v>
      </x:c>
      <x:c r="D4783" s="19" t="str">
        <x:v>C10-M018</x:v>
      </x:c>
      <x:c r="E4783" s="19" t="str">
        <x:v>泄洪窥灯虫</x:v>
      </x:c>
      <x:c r="F4783" s="19" t="str">
        <x:v>普通</x:v>
      </x:c>
      <x:c r="G4783" s="19" t="str">
        <x:v>材料独立候选</x:v>
      </x:c>
      <x:c r="H4783" s="19" t="str">
        <x:v>野兽骨片</x:v>
      </x:c>
      <x:c r="I4783" s="22" t="n">
        <x:v>500</x:v>
      </x:c>
      <x:c r="J4783" s="22" t="n">
        <x:v>4</x:v>
      </x:c>
      <x:c r="K4783" s="19" t="n">
        <x:v>1</x:v>
      </x:c>
      <x:c r="L4783" s="24" t="n">
        <x:v>86.8</x:v>
      </x:c>
      <x:c r="M4783" s="26" t="n">
        <x:v>0.1</x:v>
      </x:c>
      <x:c r="N4783" s="24" t="n">
        <x:v>72</x:v>
      </x:c>
      <x:c r="O4783" s="28" t="n">
        <x:f>MIN(1,L4783/I4783)</x:f>
        <x:v>0.1736</x:v>
      </x:c>
      <x:c r="P4783" s="30" t="n">
        <x:f>O4783*J4783*(1+M4783)</x:f>
        <x:v>0.7638400000000001</x:v>
      </x:c>
      <x:c r="Q4783" s="30" t="n">
        <x:f>P4783*N4783</x:f>
        <x:v>54.996480000000005</x:v>
      </x:c>
      <x:c r="R4783" s="19" t="str">
        <x:v>独立判定</x:v>
      </x:c>
    </x:row>
    <x:row r="4784" ht="19" customHeight="1">
      <x:c r="A4784" s="19" t="str">
        <x:v>D04780</x:v>
      </x:c>
      <x:c r="B4784" s="19" t="n">
        <x:v>10</x:v>
      </x:c>
      <x:c r="C4784" s="19" t="n">
        <x:v>2</x:v>
      </x:c>
      <x:c r="D4784" s="19" t="str">
        <x:v>C10-M018</x:v>
      </x:c>
      <x:c r="E4784" s="19" t="str">
        <x:v>泄洪窥灯虫</x:v>
      </x:c>
      <x:c r="F4784" s="19" t="str">
        <x:v>普通</x:v>
      </x:c>
      <x:c r="G4784" s="19" t="str">
        <x:v>材料独立候选</x:v>
      </x:c>
      <x:c r="H4784" s="19" t="str">
        <x:v>技能残页</x:v>
      </x:c>
      <x:c r="I4784" s="22" t="n">
        <x:v>4000</x:v>
      </x:c>
      <x:c r="J4784" s="22" t="n">
        <x:v>1</x:v>
      </x:c>
      <x:c r="K4784" s="19" t="n">
        <x:v>1</x:v>
      </x:c>
      <x:c r="L4784" s="24" t="n">
        <x:v>86.8</x:v>
      </x:c>
      <x:c r="M4784" s="26" t="n">
        <x:v>0.1</x:v>
      </x:c>
      <x:c r="N4784" s="24" t="n">
        <x:v>72</x:v>
      </x:c>
      <x:c r="O4784" s="28" t="n">
        <x:f>MIN(1,L4784/I4784)</x:f>
        <x:v>0.0217</x:v>
      </x:c>
      <x:c r="P4784" s="30" t="n">
        <x:f>O4784*J4784*(1+M4784)</x:f>
        <x:v>0.023870000000000002</x:v>
      </x:c>
      <x:c r="Q4784" s="30" t="n">
        <x:f>P4784*N4784</x:f>
        <x:v>1.7186400000000002</x:v>
      </x:c>
      <x:c r="R4784" s="19" t="str">
        <x:v>独立判定</x:v>
      </x:c>
    </x:row>
    <x:row r="4785" ht="19" customHeight="1">
      <x:c r="A4785" s="19" t="str">
        <x:v>D04781</x:v>
      </x:c>
      <x:c r="B4785" s="19" t="n">
        <x:v>10</x:v>
      </x:c>
      <x:c r="C4785" s="19" t="n">
        <x:v>2</x:v>
      </x:c>
      <x:c r="D4785" s="19" t="str">
        <x:v>C10-M018</x:v>
      </x:c>
      <x:c r="E4785" s="19" t="str">
        <x:v>泄洪窥灯虫</x:v>
      </x:c>
      <x:c r="F4785" s="19" t="str">
        <x:v>普通</x:v>
      </x:c>
      <x:c r="G4785" s="19" t="str">
        <x:v>材料独立候选</x:v>
      </x:c>
      <x:c r="H4785" s="19" t="str">
        <x:v>小卢恩</x:v>
      </x:c>
      <x:c r="I4785" s="22" t="n">
        <x:v>25000</x:v>
      </x:c>
      <x:c r="J4785" s="22" t="n">
        <x:v>1</x:v>
      </x:c>
      <x:c r="K4785" s="19" t="n">
        <x:v>1</x:v>
      </x:c>
      <x:c r="L4785" s="24" t="n">
        <x:v>86.8</x:v>
      </x:c>
      <x:c r="M4785" s="26" t="n">
        <x:v>0.1</x:v>
      </x:c>
      <x:c r="N4785" s="24" t="n">
        <x:v>72</x:v>
      </x:c>
      <x:c r="O4785" s="28" t="n">
        <x:f>MIN(1,L4785/I4785)</x:f>
        <x:v>0.003472</x:v>
      </x:c>
      <x:c r="P4785" s="30" t="n">
        <x:f>O4785*J4785*(1+M4785)</x:f>
        <x:v>0.0038192</x:v>
      </x:c>
      <x:c r="Q4785" s="30" t="n">
        <x:f>P4785*N4785</x:f>
        <x:v>0.2749824</x:v>
      </x:c>
      <x:c r="R4785" s="19" t="str">
        <x:v>独立判定</x:v>
      </x:c>
    </x:row>
    <x:row r="4786" ht="19" customHeight="1">
      <x:c r="A4786" s="19" t="str">
        <x:v>D04782</x:v>
      </x:c>
      <x:c r="B4786" s="19" t="n">
        <x:v>10</x:v>
      </x:c>
      <x:c r="C4786" s="19" t="n">
        <x:v>2</x:v>
      </x:c>
      <x:c r="D4786" s="19" t="str">
        <x:v>C10-M018</x:v>
      </x:c>
      <x:c r="E4786" s="19" t="str">
        <x:v>泄洪窥灯虫</x:v>
      </x:c>
      <x:c r="F4786" s="19" t="str">
        <x:v>普通</x:v>
      </x:c>
      <x:c r="G4786" s="19" t="str">
        <x:v>六神器公共池</x:v>
      </x:c>
      <x:c r="H4786" s="19" t="str">
        <x:v>POOL006</x:v>
      </x:c>
      <x:c r="I4786" s="22" t="n">
        <x:v>20000000</x:v>
      </x:c>
      <x:c r="J4786" s="22" t="n">
        <x:v>1</x:v>
      </x:c>
      <x:c r="K4786" s="19" t="n">
        <x:v>6</x:v>
      </x:c>
      <x:c r="L4786" s="24" t="n">
        <x:v>86.8</x:v>
      </x:c>
      <x:c r="M4786" s="26" t="n">
        <x:v>0.1</x:v>
      </x:c>
      <x:c r="N4786" s="24" t="n">
        <x:v>72</x:v>
      </x:c>
      <x:c r="O4786" s="28" t="n">
        <x:f>MIN(1,L4786/I4786)</x:f>
        <x:v>0.00000434</x:v>
      </x:c>
      <x:c r="P4786" s="30" t="n">
        <x:f>O4786*J4786*(1+M4786)</x:f>
        <x:v>0.000004774</x:v>
      </x:c>
      <x:c r="Q4786" s="30" t="n">
        <x:f>P4786*N4786</x:f>
        <x:v>0.000343728</x:v>
      </x:c>
      <x:c r="R4786" s="19" t="str">
        <x:v>六选一；非6个独立爆率</x:v>
      </x:c>
    </x:row>
    <x:row r="4787" ht="19" customHeight="1">
      <x:c r="A4787" s="19" t="str">
        <x:v>D04783</x:v>
      </x:c>
      <x:c r="B4787" s="19" t="n">
        <x:v>10</x:v>
      </x:c>
      <x:c r="C4787" s="19" t="n">
        <x:v>2</x:v>
      </x:c>
      <x:c r="D4787" s="19" t="str">
        <x:v>C10-M019</x:v>
      </x:c>
      <x:c r="E4787" s="19" t="str">
        <x:v>镀金脓潮母</x:v>
      </x:c>
      <x:c r="F4787" s="19" t="str">
        <x:v>稀有</x:v>
      </x:c>
      <x:c r="G4787" s="19" t="str">
        <x:v>自身专属</x:v>
      </x:c>
      <x:c r="H4787" s="19" t="str">
        <x:v>脓潮镀金腕</x:v>
      </x:c>
      <x:c r="I4787" s="22" t="n">
        <x:v>2500</x:v>
      </x:c>
      <x:c r="J4787" s="22" t="n">
        <x:v>1</x:v>
      </x:c>
      <x:c r="K4787" s="19" t="n">
        <x:v>1</x:v>
      </x:c>
      <x:c r="L4787" s="24" t="n">
        <x:v>86.8</x:v>
      </x:c>
      <x:c r="M4787" s="26" t="n">
        <x:v>0.1</x:v>
      </x:c>
      <x:c r="N4787" s="24" t="n">
        <x:v>12</x:v>
      </x:c>
      <x:c r="O4787" s="28" t="n">
        <x:f>MIN(1,L4787/I4787)</x:f>
        <x:v>0.03472</x:v>
      </x:c>
      <x:c r="P4787" s="30" t="n">
        <x:f>O4787*J4787*(1+M4787)</x:f>
        <x:v>0.038192000000000004</x:v>
      </x:c>
      <x:c r="Q4787" s="30" t="n">
        <x:f>P4787*N4787</x:f>
        <x:v>0.45830400000000004</x:v>
      </x:c>
      <x:c r="R4787" s="19" t="str">
        <x:v>独立判定</x:v>
      </x:c>
    </x:row>
    <x:row r="4788" ht="19" customHeight="1">
      <x:c r="A4788" s="19" t="str">
        <x:v>D04784</x:v>
      </x:c>
      <x:c r="B4788" s="19" t="n">
        <x:v>10</x:v>
      </x:c>
      <x:c r="C4788" s="19" t="n">
        <x:v>2</x:v>
      </x:c>
      <x:c r="D4788" s="19" t="str">
        <x:v>C10-M019</x:v>
      </x:c>
      <x:c r="E4788" s="19" t="str">
        <x:v>镀金脓潮母</x:v>
      </x:c>
      <x:c r="F4788" s="19" t="str">
        <x:v>稀有</x:v>
      </x:c>
      <x:c r="G4788" s="19" t="str">
        <x:v>材料独立候选</x:v>
      </x:c>
      <x:c r="H4788" s="19" t="str">
        <x:v>王城金屑</x:v>
      </x:c>
      <x:c r="I4788" s="22" t="n">
        <x:v>1200</x:v>
      </x:c>
      <x:c r="J4788" s="22" t="n">
        <x:v>15</x:v>
      </x:c>
      <x:c r="K4788" s="19" t="n">
        <x:v>1</x:v>
      </x:c>
      <x:c r="L4788" s="24" t="n">
        <x:v>86.8</x:v>
      </x:c>
      <x:c r="M4788" s="26" t="n">
        <x:v>0.1</x:v>
      </x:c>
      <x:c r="N4788" s="24" t="n">
        <x:v>12</x:v>
      </x:c>
      <x:c r="O4788" s="28" t="n">
        <x:f>MIN(1,L4788/I4788)</x:f>
        <x:v>0.07233333333333333</x:v>
      </x:c>
      <x:c r="P4788" s="30" t="n">
        <x:f>O4788*J4788*(1+M4788)</x:f>
        <x:v>1.1935</x:v>
      </x:c>
      <x:c r="Q4788" s="30" t="n">
        <x:f>P4788*N4788</x:f>
        <x:v>14.322</x:v>
      </x:c>
      <x:c r="R4788" s="19" t="str">
        <x:v>独立判定</x:v>
      </x:c>
    </x:row>
    <x:row r="4789" ht="19" customHeight="1">
      <x:c r="A4789" s="19" t="str">
        <x:v>D04785</x:v>
      </x:c>
      <x:c r="B4789" s="19" t="n">
        <x:v>10</x:v>
      </x:c>
      <x:c r="C4789" s="19" t="n">
        <x:v>2</x:v>
      </x:c>
      <x:c r="D4789" s="19" t="str">
        <x:v>C10-M019</x:v>
      </x:c>
      <x:c r="E4789" s="19" t="str">
        <x:v>镀金脓潮母</x:v>
      </x:c>
      <x:c r="F4789" s="19" t="str">
        <x:v>稀有</x:v>
      </x:c>
      <x:c r="G4789" s="19" t="str">
        <x:v>材料独立候选</x:v>
      </x:c>
      <x:c r="H4789" s="19" t="str">
        <x:v>王宫律文</x:v>
      </x:c>
      <x:c r="I4789" s="22" t="n">
        <x:v>800</x:v>
      </x:c>
      <x:c r="J4789" s="22" t="n">
        <x:v>1</x:v>
      </x:c>
      <x:c r="K4789" s="19" t="n">
        <x:v>1</x:v>
      </x:c>
      <x:c r="L4789" s="24" t="n">
        <x:v>86.8</x:v>
      </x:c>
      <x:c r="M4789" s="26" t="n">
        <x:v>0.1</x:v>
      </x:c>
      <x:c r="N4789" s="24" t="n">
        <x:v>12</x:v>
      </x:c>
      <x:c r="O4789" s="28" t="n">
        <x:f>MIN(1,L4789/I4789)</x:f>
        <x:v>0.1085</x:v>
      </x:c>
      <x:c r="P4789" s="30" t="n">
        <x:f>O4789*J4789*(1+M4789)</x:f>
        <x:v>0.11935000000000001</x:v>
      </x:c>
      <x:c r="Q4789" s="30" t="n">
        <x:f>P4789*N4789</x:f>
        <x:v>1.4322000000000001</x:v>
      </x:c>
      <x:c r="R4789" s="19" t="str">
        <x:v>独立判定</x:v>
      </x:c>
    </x:row>
    <x:row r="4790" ht="19" customHeight="1">
      <x:c r="A4790" s="19" t="str">
        <x:v>D04786</x:v>
      </x:c>
      <x:c r="B4790" s="19" t="n">
        <x:v>10</x:v>
      </x:c>
      <x:c r="C4790" s="19" t="n">
        <x:v>2</x:v>
      </x:c>
      <x:c r="D4790" s="19" t="str">
        <x:v>C10-M019</x:v>
      </x:c>
      <x:c r="E4790" s="19" t="str">
        <x:v>镀金脓潮母</x:v>
      </x:c>
      <x:c r="F4790" s="19" t="str">
        <x:v>稀有</x:v>
      </x:c>
      <x:c r="G4790" s="19" t="str">
        <x:v>材料独立候选</x:v>
      </x:c>
      <x:c r="H4790" s="19" t="str">
        <x:v>旧渠阀芯</x:v>
      </x:c>
      <x:c r="I4790" s="22" t="n">
        <x:v>800</x:v>
      </x:c>
      <x:c r="J4790" s="22" t="n">
        <x:v>1</x:v>
      </x:c>
      <x:c r="K4790" s="19" t="n">
        <x:v>1</x:v>
      </x:c>
      <x:c r="L4790" s="24" t="n">
        <x:v>86.8</x:v>
      </x:c>
      <x:c r="M4790" s="26" t="n">
        <x:v>0.1</x:v>
      </x:c>
      <x:c r="N4790" s="24" t="n">
        <x:v>12</x:v>
      </x:c>
      <x:c r="O4790" s="28" t="n">
        <x:f>MIN(1,L4790/I4790)</x:f>
        <x:v>0.1085</x:v>
      </x:c>
      <x:c r="P4790" s="30" t="n">
        <x:f>O4790*J4790*(1+M4790)</x:f>
        <x:v>0.11935000000000001</x:v>
      </x:c>
      <x:c r="Q4790" s="30" t="n">
        <x:f>P4790*N4790</x:f>
        <x:v>1.4322000000000001</x:v>
      </x:c>
      <x:c r="R4790" s="19" t="str">
        <x:v>独立判定</x:v>
      </x:c>
    </x:row>
    <x:row r="4791" ht="19" customHeight="1">
      <x:c r="A4791" s="19" t="str">
        <x:v>D04787</x:v>
      </x:c>
      <x:c r="B4791" s="19" t="n">
        <x:v>10</x:v>
      </x:c>
      <x:c r="C4791" s="19" t="n">
        <x:v>2</x:v>
      </x:c>
      <x:c r="D4791" s="19" t="str">
        <x:v>C10-M019</x:v>
      </x:c>
      <x:c r="E4791" s="19" t="str">
        <x:v>镀金脓潮母</x:v>
      </x:c>
      <x:c r="F4791" s="19" t="str">
        <x:v>稀有</x:v>
      </x:c>
      <x:c r="G4791" s="19" t="str">
        <x:v>材料独立候选</x:v>
      </x:c>
      <x:c r="H4791" s="19" t="str">
        <x:v>穹律鎏痕拓片</x:v>
      </x:c>
      <x:c r="I4791" s="22" t="n">
        <x:v>2500000</x:v>
      </x:c>
      <x:c r="J4791" s="22" t="n">
        <x:v>1</x:v>
      </x:c>
      <x:c r="K4791" s="19" t="n">
        <x:v>1</x:v>
      </x:c>
      <x:c r="L4791" s="24" t="n">
        <x:v>86.8</x:v>
      </x:c>
      <x:c r="M4791" s="26" t="n">
        <x:v>0.1</x:v>
      </x:c>
      <x:c r="N4791" s="24" t="n">
        <x:v>12</x:v>
      </x:c>
      <x:c r="O4791" s="28" t="n">
        <x:f>MIN(1,L4791/I4791)</x:f>
        <x:v>0.00003472</x:v>
      </x:c>
      <x:c r="P4791" s="30" t="n">
        <x:f>O4791*J4791*(1+M4791)</x:f>
        <x:v>0.000038192</x:v>
      </x:c>
      <x:c r="Q4791" s="30" t="n">
        <x:f>P4791*N4791</x:f>
        <x:v>0.00045830400000000004</x:v>
      </x:c>
      <x:c r="R4791" s="19" t="str">
        <x:v>独立判定</x:v>
      </x:c>
    </x:row>
    <x:row r="4792" ht="19" customHeight="1">
      <x:c r="A4792" s="19" t="str">
        <x:v>D04788</x:v>
      </x:c>
      <x:c r="B4792" s="19" t="n">
        <x:v>10</x:v>
      </x:c>
      <x:c r="C4792" s="19" t="n">
        <x:v>2</x:v>
      </x:c>
      <x:c r="D4792" s="19" t="str">
        <x:v>C10-M019</x:v>
      </x:c>
      <x:c r="E4792" s="19" t="str">
        <x:v>镀金脓潮母</x:v>
      </x:c>
      <x:c r="F4792" s="19" t="str">
        <x:v>稀有</x:v>
      </x:c>
      <x:c r="G4792" s="19" t="str">
        <x:v>材料独立候选</x:v>
      </x:c>
      <x:c r="H4792" s="19" t="str">
        <x:v>黄金树芽</x:v>
      </x:c>
      <x:c r="I4792" s="22" t="n">
        <x:v>2500</x:v>
      </x:c>
      <x:c r="J4792" s="22" t="n">
        <x:v>1</x:v>
      </x:c>
      <x:c r="K4792" s="19" t="n">
        <x:v>1</x:v>
      </x:c>
      <x:c r="L4792" s="24" t="n">
        <x:v>86.8</x:v>
      </x:c>
      <x:c r="M4792" s="26" t="n">
        <x:v>0.1</x:v>
      </x:c>
      <x:c r="N4792" s="24" t="n">
        <x:v>12</x:v>
      </x:c>
      <x:c r="O4792" s="28" t="n">
        <x:f>MIN(1,L4792/I4792)</x:f>
        <x:v>0.03472</x:v>
      </x:c>
      <x:c r="P4792" s="30" t="n">
        <x:f>O4792*J4792*(1+M4792)</x:f>
        <x:v>0.038192000000000004</x:v>
      </x:c>
      <x:c r="Q4792" s="30" t="n">
        <x:f>P4792*N4792</x:f>
        <x:v>0.45830400000000004</x:v>
      </x:c>
      <x:c r="R4792" s="19" t="str">
        <x:v>独立判定</x:v>
      </x:c>
    </x:row>
    <x:row r="4793" ht="19" customHeight="1">
      <x:c r="A4793" s="19" t="str">
        <x:v>D04789</x:v>
      </x:c>
      <x:c r="B4793" s="19" t="n">
        <x:v>10</x:v>
      </x:c>
      <x:c r="C4793" s="19" t="n">
        <x:v>2</x:v>
      </x:c>
      <x:c r="D4793" s="19" t="str">
        <x:v>C10-M019</x:v>
      </x:c>
      <x:c r="E4793" s="19" t="str">
        <x:v>镀金脓潮母</x:v>
      </x:c>
      <x:c r="F4793" s="19" t="str">
        <x:v>稀有</x:v>
      </x:c>
      <x:c r="G4793" s="19" t="str">
        <x:v>材料独立候选</x:v>
      </x:c>
      <x:c r="H4793" s="19" t="str">
        <x:v>野兽骨片</x:v>
      </x:c>
      <x:c r="I4793" s="22" t="n">
        <x:v>300</x:v>
      </x:c>
      <x:c r="J4793" s="22" t="n">
        <x:v>4</x:v>
      </x:c>
      <x:c r="K4793" s="19" t="n">
        <x:v>1</x:v>
      </x:c>
      <x:c r="L4793" s="24" t="n">
        <x:v>86.8</x:v>
      </x:c>
      <x:c r="M4793" s="26" t="n">
        <x:v>0.1</x:v>
      </x:c>
      <x:c r="N4793" s="24" t="n">
        <x:v>12</x:v>
      </x:c>
      <x:c r="O4793" s="28" t="n">
        <x:f>MIN(1,L4793/I4793)</x:f>
        <x:v>0.28933333333333333</x:v>
      </x:c>
      <x:c r="P4793" s="30" t="n">
        <x:f>O4793*J4793*(1+M4793)</x:f>
        <x:v>1.2730666666666668</x:v>
      </x:c>
      <x:c r="Q4793" s="30" t="n">
        <x:f>P4793*N4793</x:f>
        <x:v>15.276800000000001</x:v>
      </x:c>
      <x:c r="R4793" s="19" t="str">
        <x:v>独立判定</x:v>
      </x:c>
    </x:row>
    <x:row r="4794" ht="19" customHeight="1">
      <x:c r="A4794" s="19" t="str">
        <x:v>D04790</x:v>
      </x:c>
      <x:c r="B4794" s="19" t="n">
        <x:v>10</x:v>
      </x:c>
      <x:c r="C4794" s="19" t="n">
        <x:v>2</x:v>
      </x:c>
      <x:c r="D4794" s="19" t="str">
        <x:v>C10-M019</x:v>
      </x:c>
      <x:c r="E4794" s="19" t="str">
        <x:v>镀金脓潮母</x:v>
      </x:c>
      <x:c r="F4794" s="19" t="str">
        <x:v>稀有</x:v>
      </x:c>
      <x:c r="G4794" s="19" t="str">
        <x:v>材料独立候选</x:v>
      </x:c>
      <x:c r="H4794" s="19" t="str">
        <x:v>技能残页</x:v>
      </x:c>
      <x:c r="I4794" s="22" t="n">
        <x:v>3000</x:v>
      </x:c>
      <x:c r="J4794" s="22" t="n">
        <x:v>1</x:v>
      </x:c>
      <x:c r="K4794" s="19" t="n">
        <x:v>1</x:v>
      </x:c>
      <x:c r="L4794" s="24" t="n">
        <x:v>86.8</x:v>
      </x:c>
      <x:c r="M4794" s="26" t="n">
        <x:v>0.1</x:v>
      </x:c>
      <x:c r="N4794" s="24" t="n">
        <x:v>12</x:v>
      </x:c>
      <x:c r="O4794" s="28" t="n">
        <x:f>MIN(1,L4794/I4794)</x:f>
        <x:v>0.028933333333333332</x:v>
      </x:c>
      <x:c r="P4794" s="30" t="n">
        <x:f>O4794*J4794*(1+M4794)</x:f>
        <x:v>0.03182666666666667</x:v>
      </x:c>
      <x:c r="Q4794" s="30" t="n">
        <x:f>P4794*N4794</x:f>
        <x:v>0.38192000000000004</x:v>
      </x:c>
      <x:c r="R4794" s="19" t="str">
        <x:v>独立判定</x:v>
      </x:c>
    </x:row>
    <x:row r="4795" ht="19" customHeight="1">
      <x:c r="A4795" s="19" t="str">
        <x:v>D04791</x:v>
      </x:c>
      <x:c r="B4795" s="19" t="n">
        <x:v>10</x:v>
      </x:c>
      <x:c r="C4795" s="19" t="n">
        <x:v>2</x:v>
      </x:c>
      <x:c r="D4795" s="19" t="str">
        <x:v>C10-M019</x:v>
      </x:c>
      <x:c r="E4795" s="19" t="str">
        <x:v>镀金脓潮母</x:v>
      </x:c>
      <x:c r="F4795" s="19" t="str">
        <x:v>稀有</x:v>
      </x:c>
      <x:c r="G4795" s="19" t="str">
        <x:v>材料独立候选</x:v>
      </x:c>
      <x:c r="H4795" s="19" t="str">
        <x:v>小卢恩</x:v>
      </x:c>
      <x:c r="I4795" s="22" t="n">
        <x:v>15000</x:v>
      </x:c>
      <x:c r="J4795" s="22" t="n">
        <x:v>1</x:v>
      </x:c>
      <x:c r="K4795" s="19" t="n">
        <x:v>1</x:v>
      </x:c>
      <x:c r="L4795" s="24" t="n">
        <x:v>86.8</x:v>
      </x:c>
      <x:c r="M4795" s="26" t="n">
        <x:v>0.1</x:v>
      </x:c>
      <x:c r="N4795" s="24" t="n">
        <x:v>12</x:v>
      </x:c>
      <x:c r="O4795" s="28" t="n">
        <x:f>MIN(1,L4795/I4795)</x:f>
        <x:v>0.0057866666666666665</x:v>
      </x:c>
      <x:c r="P4795" s="30" t="n">
        <x:f>O4795*J4795*(1+M4795)</x:f>
        <x:v>0.006365333333333334</x:v>
      </x:c>
      <x:c r="Q4795" s="30" t="n">
        <x:f>P4795*N4795</x:f>
        <x:v>0.07638400000000001</x:v>
      </x:c>
      <x:c r="R4795" s="19" t="str">
        <x:v>独立判定</x:v>
      </x:c>
    </x:row>
    <x:row r="4796" ht="19" customHeight="1">
      <x:c r="A4796" s="19" t="str">
        <x:v>D04792</x:v>
      </x:c>
      <x:c r="B4796" s="19" t="n">
        <x:v>10</x:v>
      </x:c>
      <x:c r="C4796" s="19" t="n">
        <x:v>2</x:v>
      </x:c>
      <x:c r="D4796" s="19" t="str">
        <x:v>C10-M019</x:v>
      </x:c>
      <x:c r="E4796" s="19" t="str">
        <x:v>镀金脓潮母</x:v>
      </x:c>
      <x:c r="F4796" s="19" t="str">
        <x:v>稀有</x:v>
      </x:c>
      <x:c r="G4796" s="19" t="str">
        <x:v>六神器公共池</x:v>
      </x:c>
      <x:c r="H4796" s="19" t="str">
        <x:v>POOL006</x:v>
      </x:c>
      <x:c r="I4796" s="22" t="n">
        <x:v>5000000</x:v>
      </x:c>
      <x:c r="J4796" s="22" t="n">
        <x:v>1</x:v>
      </x:c>
      <x:c r="K4796" s="19" t="n">
        <x:v>6</x:v>
      </x:c>
      <x:c r="L4796" s="24" t="n">
        <x:v>86.8</x:v>
      </x:c>
      <x:c r="M4796" s="26" t="n">
        <x:v>0.1</x:v>
      </x:c>
      <x:c r="N4796" s="24" t="n">
        <x:v>12</x:v>
      </x:c>
      <x:c r="O4796" s="28" t="n">
        <x:f>MIN(1,L4796/I4796)</x:f>
        <x:v>0.00001736</x:v>
      </x:c>
      <x:c r="P4796" s="30" t="n">
        <x:f>O4796*J4796*(1+M4796)</x:f>
        <x:v>0.000019096</x:v>
      </x:c>
      <x:c r="Q4796" s="30" t="n">
        <x:f>P4796*N4796</x:f>
        <x:v>0.00022915200000000002</x:v>
      </x:c>
      <x:c r="R4796" s="19" t="str">
        <x:v>六选一；非6个独立爆率</x:v>
      </x:c>
    </x:row>
    <x:row r="4797" ht="19" customHeight="1">
      <x:c r="A4797" s="19" t="str">
        <x:v>D04793</x:v>
      </x:c>
      <x:c r="B4797" s="19" t="n">
        <x:v>10</x:v>
      </x:c>
      <x:c r="C4797" s="19" t="n">
        <x:v>2</x:v>
      </x:c>
      <x:c r="D4797" s="19" t="str">
        <x:v>C10-M020</x:v>
      </x:c>
      <x:c r="E4797" s="19" t="str">
        <x:v>逆流剥甲人</x:v>
      </x:c>
      <x:c r="F4797" s="19" t="str">
        <x:v>稀有</x:v>
      </x:c>
      <x:c r="G4797" s="19" t="str">
        <x:v>自身专属</x:v>
      </x:c>
      <x:c r="H4797" s="19" t="str">
        <x:v>逆流剥甲盾</x:v>
      </x:c>
      <x:c r="I4797" s="22" t="n">
        <x:v>2500</x:v>
      </x:c>
      <x:c r="J4797" s="22" t="n">
        <x:v>1</x:v>
      </x:c>
      <x:c r="K4797" s="19" t="n">
        <x:v>1</x:v>
      </x:c>
      <x:c r="L4797" s="24" t="n">
        <x:v>86.8</x:v>
      </x:c>
      <x:c r="M4797" s="26" t="n">
        <x:v>0.1</x:v>
      </x:c>
      <x:c r="N4797" s="24" t="n">
        <x:v>12</x:v>
      </x:c>
      <x:c r="O4797" s="28" t="n">
        <x:f>MIN(1,L4797/I4797)</x:f>
        <x:v>0.03472</x:v>
      </x:c>
      <x:c r="P4797" s="30" t="n">
        <x:f>O4797*J4797*(1+M4797)</x:f>
        <x:v>0.038192000000000004</x:v>
      </x:c>
      <x:c r="Q4797" s="30" t="n">
        <x:f>P4797*N4797</x:f>
        <x:v>0.45830400000000004</x:v>
      </x:c>
      <x:c r="R4797" s="19" t="str">
        <x:v>独立判定</x:v>
      </x:c>
    </x:row>
    <x:row r="4798" ht="19" customHeight="1">
      <x:c r="A4798" s="19" t="str">
        <x:v>D04794</x:v>
      </x:c>
      <x:c r="B4798" s="19" t="n">
        <x:v>10</x:v>
      </x:c>
      <x:c r="C4798" s="19" t="n">
        <x:v>2</x:v>
      </x:c>
      <x:c r="D4798" s="19" t="str">
        <x:v>C10-M020</x:v>
      </x:c>
      <x:c r="E4798" s="19" t="str">
        <x:v>逆流剥甲人</x:v>
      </x:c>
      <x:c r="F4798" s="19" t="str">
        <x:v>稀有</x:v>
      </x:c>
      <x:c r="G4798" s="19" t="str">
        <x:v>材料独立候选</x:v>
      </x:c>
      <x:c r="H4798" s="19" t="str">
        <x:v>王城金屑</x:v>
      </x:c>
      <x:c r="I4798" s="22" t="n">
        <x:v>1200</x:v>
      </x:c>
      <x:c r="J4798" s="22" t="n">
        <x:v>15</x:v>
      </x:c>
      <x:c r="K4798" s="19" t="n">
        <x:v>1</x:v>
      </x:c>
      <x:c r="L4798" s="24" t="n">
        <x:v>86.8</x:v>
      </x:c>
      <x:c r="M4798" s="26" t="n">
        <x:v>0.1</x:v>
      </x:c>
      <x:c r="N4798" s="24" t="n">
        <x:v>12</x:v>
      </x:c>
      <x:c r="O4798" s="28" t="n">
        <x:f>MIN(1,L4798/I4798)</x:f>
        <x:v>0.07233333333333333</x:v>
      </x:c>
      <x:c r="P4798" s="30" t="n">
        <x:f>O4798*J4798*(1+M4798)</x:f>
        <x:v>1.1935</x:v>
      </x:c>
      <x:c r="Q4798" s="30" t="n">
        <x:f>P4798*N4798</x:f>
        <x:v>14.322</x:v>
      </x:c>
      <x:c r="R4798" s="19" t="str">
        <x:v>独立判定</x:v>
      </x:c>
    </x:row>
    <x:row r="4799" ht="19" customHeight="1">
      <x:c r="A4799" s="19" t="str">
        <x:v>D04795</x:v>
      </x:c>
      <x:c r="B4799" s="19" t="n">
        <x:v>10</x:v>
      </x:c>
      <x:c r="C4799" s="19" t="n">
        <x:v>2</x:v>
      </x:c>
      <x:c r="D4799" s="19" t="str">
        <x:v>C10-M020</x:v>
      </x:c>
      <x:c r="E4799" s="19" t="str">
        <x:v>逆流剥甲人</x:v>
      </x:c>
      <x:c r="F4799" s="19" t="str">
        <x:v>稀有</x:v>
      </x:c>
      <x:c r="G4799" s="19" t="str">
        <x:v>材料独立候选</x:v>
      </x:c>
      <x:c r="H4799" s="19" t="str">
        <x:v>王宫律文</x:v>
      </x:c>
      <x:c r="I4799" s="22" t="n">
        <x:v>800</x:v>
      </x:c>
      <x:c r="J4799" s="22" t="n">
        <x:v>1</x:v>
      </x:c>
      <x:c r="K4799" s="19" t="n">
        <x:v>1</x:v>
      </x:c>
      <x:c r="L4799" s="24" t="n">
        <x:v>86.8</x:v>
      </x:c>
      <x:c r="M4799" s="26" t="n">
        <x:v>0.1</x:v>
      </x:c>
      <x:c r="N4799" s="24" t="n">
        <x:v>12</x:v>
      </x:c>
      <x:c r="O4799" s="28" t="n">
        <x:f>MIN(1,L4799/I4799)</x:f>
        <x:v>0.1085</x:v>
      </x:c>
      <x:c r="P4799" s="30" t="n">
        <x:f>O4799*J4799*(1+M4799)</x:f>
        <x:v>0.11935000000000001</x:v>
      </x:c>
      <x:c r="Q4799" s="30" t="n">
        <x:f>P4799*N4799</x:f>
        <x:v>1.4322000000000001</x:v>
      </x:c>
      <x:c r="R4799" s="19" t="str">
        <x:v>独立判定</x:v>
      </x:c>
    </x:row>
    <x:row r="4800" ht="19" customHeight="1">
      <x:c r="A4800" s="19" t="str">
        <x:v>D04796</x:v>
      </x:c>
      <x:c r="B4800" s="19" t="n">
        <x:v>10</x:v>
      </x:c>
      <x:c r="C4800" s="19" t="n">
        <x:v>2</x:v>
      </x:c>
      <x:c r="D4800" s="19" t="str">
        <x:v>C10-M020</x:v>
      </x:c>
      <x:c r="E4800" s="19" t="str">
        <x:v>逆流剥甲人</x:v>
      </x:c>
      <x:c r="F4800" s="19" t="str">
        <x:v>稀有</x:v>
      </x:c>
      <x:c r="G4800" s="19" t="str">
        <x:v>材料独立候选</x:v>
      </x:c>
      <x:c r="H4800" s="19" t="str">
        <x:v>旧渠阀芯</x:v>
      </x:c>
      <x:c r="I4800" s="22" t="n">
        <x:v>800</x:v>
      </x:c>
      <x:c r="J4800" s="22" t="n">
        <x:v>1</x:v>
      </x:c>
      <x:c r="K4800" s="19" t="n">
        <x:v>1</x:v>
      </x:c>
      <x:c r="L4800" s="24" t="n">
        <x:v>86.8</x:v>
      </x:c>
      <x:c r="M4800" s="26" t="n">
        <x:v>0.1</x:v>
      </x:c>
      <x:c r="N4800" s="24" t="n">
        <x:v>12</x:v>
      </x:c>
      <x:c r="O4800" s="28" t="n">
        <x:f>MIN(1,L4800/I4800)</x:f>
        <x:v>0.1085</x:v>
      </x:c>
      <x:c r="P4800" s="30" t="n">
        <x:f>O4800*J4800*(1+M4800)</x:f>
        <x:v>0.11935000000000001</x:v>
      </x:c>
      <x:c r="Q4800" s="30" t="n">
        <x:f>P4800*N4800</x:f>
        <x:v>1.4322000000000001</x:v>
      </x:c>
      <x:c r="R4800" s="19" t="str">
        <x:v>独立判定</x:v>
      </x:c>
    </x:row>
    <x:row r="4801" ht="19" customHeight="1">
      <x:c r="A4801" s="19" t="str">
        <x:v>D04797</x:v>
      </x:c>
      <x:c r="B4801" s="19" t="n">
        <x:v>10</x:v>
      </x:c>
      <x:c r="C4801" s="19" t="n">
        <x:v>2</x:v>
      </x:c>
      <x:c r="D4801" s="19" t="str">
        <x:v>C10-M020</x:v>
      </x:c>
      <x:c r="E4801" s="19" t="str">
        <x:v>逆流剥甲人</x:v>
      </x:c>
      <x:c r="F4801" s="19" t="str">
        <x:v>稀有</x:v>
      </x:c>
      <x:c r="G4801" s="19" t="str">
        <x:v>材料独立候选</x:v>
      </x:c>
      <x:c r="H4801" s="19" t="str">
        <x:v>穹律鎏痕拓片</x:v>
      </x:c>
      <x:c r="I4801" s="22" t="n">
        <x:v>2500000</x:v>
      </x:c>
      <x:c r="J4801" s="22" t="n">
        <x:v>1</x:v>
      </x:c>
      <x:c r="K4801" s="19" t="n">
        <x:v>1</x:v>
      </x:c>
      <x:c r="L4801" s="24" t="n">
        <x:v>86.8</x:v>
      </x:c>
      <x:c r="M4801" s="26" t="n">
        <x:v>0.1</x:v>
      </x:c>
      <x:c r="N4801" s="24" t="n">
        <x:v>12</x:v>
      </x:c>
      <x:c r="O4801" s="28" t="n">
        <x:f>MIN(1,L4801/I4801)</x:f>
        <x:v>0.00003472</x:v>
      </x:c>
      <x:c r="P4801" s="30" t="n">
        <x:f>O4801*J4801*(1+M4801)</x:f>
        <x:v>0.000038192</x:v>
      </x:c>
      <x:c r="Q4801" s="30" t="n">
        <x:f>P4801*N4801</x:f>
        <x:v>0.00045830400000000004</x:v>
      </x:c>
      <x:c r="R4801" s="19" t="str">
        <x:v>独立判定</x:v>
      </x:c>
    </x:row>
    <x:row r="4802" ht="19" customHeight="1">
      <x:c r="A4802" s="19" t="str">
        <x:v>D04798</x:v>
      </x:c>
      <x:c r="B4802" s="19" t="n">
        <x:v>10</x:v>
      </x:c>
      <x:c r="C4802" s="19" t="n">
        <x:v>2</x:v>
      </x:c>
      <x:c r="D4802" s="19" t="str">
        <x:v>C10-M020</x:v>
      </x:c>
      <x:c r="E4802" s="19" t="str">
        <x:v>逆流剥甲人</x:v>
      </x:c>
      <x:c r="F4802" s="19" t="str">
        <x:v>稀有</x:v>
      </x:c>
      <x:c r="G4802" s="19" t="str">
        <x:v>材料独立候选</x:v>
      </x:c>
      <x:c r="H4802" s="19" t="str">
        <x:v>黄金树芽</x:v>
      </x:c>
      <x:c r="I4802" s="22" t="n">
        <x:v>2500</x:v>
      </x:c>
      <x:c r="J4802" s="22" t="n">
        <x:v>1</x:v>
      </x:c>
      <x:c r="K4802" s="19" t="n">
        <x:v>1</x:v>
      </x:c>
      <x:c r="L4802" s="24" t="n">
        <x:v>86.8</x:v>
      </x:c>
      <x:c r="M4802" s="26" t="n">
        <x:v>0.1</x:v>
      </x:c>
      <x:c r="N4802" s="24" t="n">
        <x:v>12</x:v>
      </x:c>
      <x:c r="O4802" s="28" t="n">
        <x:f>MIN(1,L4802/I4802)</x:f>
        <x:v>0.03472</x:v>
      </x:c>
      <x:c r="P4802" s="30" t="n">
        <x:f>O4802*J4802*(1+M4802)</x:f>
        <x:v>0.038192000000000004</x:v>
      </x:c>
      <x:c r="Q4802" s="30" t="n">
        <x:f>P4802*N4802</x:f>
        <x:v>0.45830400000000004</x:v>
      </x:c>
      <x:c r="R4802" s="19" t="str">
        <x:v>独立判定</x:v>
      </x:c>
    </x:row>
    <x:row r="4803" ht="19" customHeight="1">
      <x:c r="A4803" s="19" t="str">
        <x:v>D04799</x:v>
      </x:c>
      <x:c r="B4803" s="19" t="n">
        <x:v>10</x:v>
      </x:c>
      <x:c r="C4803" s="19" t="n">
        <x:v>2</x:v>
      </x:c>
      <x:c r="D4803" s="19" t="str">
        <x:v>C10-M020</x:v>
      </x:c>
      <x:c r="E4803" s="19" t="str">
        <x:v>逆流剥甲人</x:v>
      </x:c>
      <x:c r="F4803" s="19" t="str">
        <x:v>稀有</x:v>
      </x:c>
      <x:c r="G4803" s="19" t="str">
        <x:v>材料独立候选</x:v>
      </x:c>
      <x:c r="H4803" s="19" t="str">
        <x:v>野兽骨片</x:v>
      </x:c>
      <x:c r="I4803" s="22" t="n">
        <x:v>300</x:v>
      </x:c>
      <x:c r="J4803" s="22" t="n">
        <x:v>4</x:v>
      </x:c>
      <x:c r="K4803" s="19" t="n">
        <x:v>1</x:v>
      </x:c>
      <x:c r="L4803" s="24" t="n">
        <x:v>86.8</x:v>
      </x:c>
      <x:c r="M4803" s="26" t="n">
        <x:v>0.1</x:v>
      </x:c>
      <x:c r="N4803" s="24" t="n">
        <x:v>12</x:v>
      </x:c>
      <x:c r="O4803" s="28" t="n">
        <x:f>MIN(1,L4803/I4803)</x:f>
        <x:v>0.28933333333333333</x:v>
      </x:c>
      <x:c r="P4803" s="30" t="n">
        <x:f>O4803*J4803*(1+M4803)</x:f>
        <x:v>1.2730666666666668</x:v>
      </x:c>
      <x:c r="Q4803" s="30" t="n">
        <x:f>P4803*N4803</x:f>
        <x:v>15.276800000000001</x:v>
      </x:c>
      <x:c r="R4803" s="19" t="str">
        <x:v>独立判定</x:v>
      </x:c>
    </x:row>
    <x:row r="4804" ht="19" customHeight="1">
      <x:c r="A4804" s="19" t="str">
        <x:v>D04800</x:v>
      </x:c>
      <x:c r="B4804" s="19" t="n">
        <x:v>10</x:v>
      </x:c>
      <x:c r="C4804" s="19" t="n">
        <x:v>2</x:v>
      </x:c>
      <x:c r="D4804" s="19" t="str">
        <x:v>C10-M020</x:v>
      </x:c>
      <x:c r="E4804" s="19" t="str">
        <x:v>逆流剥甲人</x:v>
      </x:c>
      <x:c r="F4804" s="19" t="str">
        <x:v>稀有</x:v>
      </x:c>
      <x:c r="G4804" s="19" t="str">
        <x:v>材料独立候选</x:v>
      </x:c>
      <x:c r="H4804" s="19" t="str">
        <x:v>技能残页</x:v>
      </x:c>
      <x:c r="I4804" s="22" t="n">
        <x:v>3000</x:v>
      </x:c>
      <x:c r="J4804" s="22" t="n">
        <x:v>1</x:v>
      </x:c>
      <x:c r="K4804" s="19" t="n">
        <x:v>1</x:v>
      </x:c>
      <x:c r="L4804" s="24" t="n">
        <x:v>86.8</x:v>
      </x:c>
      <x:c r="M4804" s="26" t="n">
        <x:v>0.1</x:v>
      </x:c>
      <x:c r="N4804" s="24" t="n">
        <x:v>12</x:v>
      </x:c>
      <x:c r="O4804" s="28" t="n">
        <x:f>MIN(1,L4804/I4804)</x:f>
        <x:v>0.028933333333333332</x:v>
      </x:c>
      <x:c r="P4804" s="30" t="n">
        <x:f>O4804*J4804*(1+M4804)</x:f>
        <x:v>0.03182666666666667</x:v>
      </x:c>
      <x:c r="Q4804" s="30" t="n">
        <x:f>P4804*N4804</x:f>
        <x:v>0.38192000000000004</x:v>
      </x:c>
      <x:c r="R4804" s="19" t="str">
        <x:v>独立判定</x:v>
      </x:c>
    </x:row>
    <x:row r="4805" ht="19" customHeight="1">
      <x:c r="A4805" s="19" t="str">
        <x:v>D04801</x:v>
      </x:c>
      <x:c r="B4805" s="19" t="n">
        <x:v>10</x:v>
      </x:c>
      <x:c r="C4805" s="19" t="n">
        <x:v>2</x:v>
      </x:c>
      <x:c r="D4805" s="19" t="str">
        <x:v>C10-M020</x:v>
      </x:c>
      <x:c r="E4805" s="19" t="str">
        <x:v>逆流剥甲人</x:v>
      </x:c>
      <x:c r="F4805" s="19" t="str">
        <x:v>稀有</x:v>
      </x:c>
      <x:c r="G4805" s="19" t="str">
        <x:v>材料独立候选</x:v>
      </x:c>
      <x:c r="H4805" s="19" t="str">
        <x:v>小卢恩</x:v>
      </x:c>
      <x:c r="I4805" s="22" t="n">
        <x:v>15000</x:v>
      </x:c>
      <x:c r="J4805" s="22" t="n">
        <x:v>1</x:v>
      </x:c>
      <x:c r="K4805" s="19" t="n">
        <x:v>1</x:v>
      </x:c>
      <x:c r="L4805" s="24" t="n">
        <x:v>86.8</x:v>
      </x:c>
      <x:c r="M4805" s="26" t="n">
        <x:v>0.1</x:v>
      </x:c>
      <x:c r="N4805" s="24" t="n">
        <x:v>12</x:v>
      </x:c>
      <x:c r="O4805" s="28" t="n">
        <x:f>MIN(1,L4805/I4805)</x:f>
        <x:v>0.0057866666666666665</x:v>
      </x:c>
      <x:c r="P4805" s="30" t="n">
        <x:f>O4805*J4805*(1+M4805)</x:f>
        <x:v>0.006365333333333334</x:v>
      </x:c>
      <x:c r="Q4805" s="30" t="n">
        <x:f>P4805*N4805</x:f>
        <x:v>0.07638400000000001</x:v>
      </x:c>
      <x:c r="R4805" s="19" t="str">
        <x:v>独立判定</x:v>
      </x:c>
    </x:row>
    <x:row r="4806" ht="19" customHeight="1">
      <x:c r="A4806" s="19" t="str">
        <x:v>D04802</x:v>
      </x:c>
      <x:c r="B4806" s="19" t="n">
        <x:v>10</x:v>
      </x:c>
      <x:c r="C4806" s="19" t="n">
        <x:v>2</x:v>
      </x:c>
      <x:c r="D4806" s="19" t="str">
        <x:v>C10-M020</x:v>
      </x:c>
      <x:c r="E4806" s="19" t="str">
        <x:v>逆流剥甲人</x:v>
      </x:c>
      <x:c r="F4806" s="19" t="str">
        <x:v>稀有</x:v>
      </x:c>
      <x:c r="G4806" s="19" t="str">
        <x:v>六神器公共池</x:v>
      </x:c>
      <x:c r="H4806" s="19" t="str">
        <x:v>POOL006</x:v>
      </x:c>
      <x:c r="I4806" s="22" t="n">
        <x:v>5000000</x:v>
      </x:c>
      <x:c r="J4806" s="22" t="n">
        <x:v>1</x:v>
      </x:c>
      <x:c r="K4806" s="19" t="n">
        <x:v>6</x:v>
      </x:c>
      <x:c r="L4806" s="24" t="n">
        <x:v>86.8</x:v>
      </x:c>
      <x:c r="M4806" s="26" t="n">
        <x:v>0.1</x:v>
      </x:c>
      <x:c r="N4806" s="24" t="n">
        <x:v>12</x:v>
      </x:c>
      <x:c r="O4806" s="28" t="n">
        <x:f>MIN(1,L4806/I4806)</x:f>
        <x:v>0.00001736</x:v>
      </x:c>
      <x:c r="P4806" s="30" t="n">
        <x:f>O4806*J4806*(1+M4806)</x:f>
        <x:v>0.000019096</x:v>
      </x:c>
      <x:c r="Q4806" s="30" t="n">
        <x:f>P4806*N4806</x:f>
        <x:v>0.00022915200000000002</x:v>
      </x:c>
      <x:c r="R4806" s="19" t="str">
        <x:v>六选一；非6个独立爆率</x:v>
      </x:c>
    </x:row>
    <x:row r="4807" ht="19" customHeight="1">
      <x:c r="A4807" s="19" t="str">
        <x:v>D04803</x:v>
      </x:c>
      <x:c r="B4807" s="19" t="n">
        <x:v>10</x:v>
      </x:c>
      <x:c r="C4807" s="19" t="n">
        <x:v>2</x:v>
      </x:c>
      <x:c r="D4807" s="19" t="str">
        <x:v>C10-M021</x:v>
      </x:c>
      <x:c r="E4807" s="19" t="str">
        <x:v>七孔哀笛客</x:v>
      </x:c>
      <x:c r="F4807" s="19" t="str">
        <x:v>稀有</x:v>
      </x:c>
      <x:c r="G4807" s="19" t="str">
        <x:v>自身专属</x:v>
      </x:c>
      <x:c r="H4807" s="19" t="str">
        <x:v>七孔哀笛戒</x:v>
      </x:c>
      <x:c r="I4807" s="22" t="n">
        <x:v>2500</x:v>
      </x:c>
      <x:c r="J4807" s="22" t="n">
        <x:v>1</x:v>
      </x:c>
      <x:c r="K4807" s="19" t="n">
        <x:v>1</x:v>
      </x:c>
      <x:c r="L4807" s="24" t="n">
        <x:v>86.8</x:v>
      </x:c>
      <x:c r="M4807" s="26" t="n">
        <x:v>0.1</x:v>
      </x:c>
      <x:c r="N4807" s="24" t="n">
        <x:v>12</x:v>
      </x:c>
      <x:c r="O4807" s="28" t="n">
        <x:f>MIN(1,L4807/I4807)</x:f>
        <x:v>0.03472</x:v>
      </x:c>
      <x:c r="P4807" s="30" t="n">
        <x:f>O4807*J4807*(1+M4807)</x:f>
        <x:v>0.038192000000000004</x:v>
      </x:c>
      <x:c r="Q4807" s="30" t="n">
        <x:f>P4807*N4807</x:f>
        <x:v>0.45830400000000004</x:v>
      </x:c>
      <x:c r="R4807" s="19" t="str">
        <x:v>独立判定</x:v>
      </x:c>
    </x:row>
    <x:row r="4808" ht="19" customHeight="1">
      <x:c r="A4808" s="19" t="str">
        <x:v>D04804</x:v>
      </x:c>
      <x:c r="B4808" s="19" t="n">
        <x:v>10</x:v>
      </x:c>
      <x:c r="C4808" s="19" t="n">
        <x:v>2</x:v>
      </x:c>
      <x:c r="D4808" s="19" t="str">
        <x:v>C10-M021</x:v>
      </x:c>
      <x:c r="E4808" s="19" t="str">
        <x:v>七孔哀笛客</x:v>
      </x:c>
      <x:c r="F4808" s="19" t="str">
        <x:v>稀有</x:v>
      </x:c>
      <x:c r="G4808" s="19" t="str">
        <x:v>材料独立候选</x:v>
      </x:c>
      <x:c r="H4808" s="19" t="str">
        <x:v>王城金屑</x:v>
      </x:c>
      <x:c r="I4808" s="22" t="n">
        <x:v>1200</x:v>
      </x:c>
      <x:c r="J4808" s="22" t="n">
        <x:v>15</x:v>
      </x:c>
      <x:c r="K4808" s="19" t="n">
        <x:v>1</x:v>
      </x:c>
      <x:c r="L4808" s="24" t="n">
        <x:v>86.8</x:v>
      </x:c>
      <x:c r="M4808" s="26" t="n">
        <x:v>0.1</x:v>
      </x:c>
      <x:c r="N4808" s="24" t="n">
        <x:v>12</x:v>
      </x:c>
      <x:c r="O4808" s="28" t="n">
        <x:f>MIN(1,L4808/I4808)</x:f>
        <x:v>0.07233333333333333</x:v>
      </x:c>
      <x:c r="P4808" s="30" t="n">
        <x:f>O4808*J4808*(1+M4808)</x:f>
        <x:v>1.1935</x:v>
      </x:c>
      <x:c r="Q4808" s="30" t="n">
        <x:f>P4808*N4808</x:f>
        <x:v>14.322</x:v>
      </x:c>
      <x:c r="R4808" s="19" t="str">
        <x:v>独立判定</x:v>
      </x:c>
    </x:row>
    <x:row r="4809" ht="19" customHeight="1">
      <x:c r="A4809" s="19" t="str">
        <x:v>D04805</x:v>
      </x:c>
      <x:c r="B4809" s="19" t="n">
        <x:v>10</x:v>
      </x:c>
      <x:c r="C4809" s="19" t="n">
        <x:v>2</x:v>
      </x:c>
      <x:c r="D4809" s="19" t="str">
        <x:v>C10-M021</x:v>
      </x:c>
      <x:c r="E4809" s="19" t="str">
        <x:v>七孔哀笛客</x:v>
      </x:c>
      <x:c r="F4809" s="19" t="str">
        <x:v>稀有</x:v>
      </x:c>
      <x:c r="G4809" s="19" t="str">
        <x:v>材料独立候选</x:v>
      </x:c>
      <x:c r="H4809" s="19" t="str">
        <x:v>王宫律文</x:v>
      </x:c>
      <x:c r="I4809" s="22" t="n">
        <x:v>800</x:v>
      </x:c>
      <x:c r="J4809" s="22" t="n">
        <x:v>1</x:v>
      </x:c>
      <x:c r="K4809" s="19" t="n">
        <x:v>1</x:v>
      </x:c>
      <x:c r="L4809" s="24" t="n">
        <x:v>86.8</x:v>
      </x:c>
      <x:c r="M4809" s="26" t="n">
        <x:v>0.1</x:v>
      </x:c>
      <x:c r="N4809" s="24" t="n">
        <x:v>12</x:v>
      </x:c>
      <x:c r="O4809" s="28" t="n">
        <x:f>MIN(1,L4809/I4809)</x:f>
        <x:v>0.1085</x:v>
      </x:c>
      <x:c r="P4809" s="30" t="n">
        <x:f>O4809*J4809*(1+M4809)</x:f>
        <x:v>0.11935000000000001</x:v>
      </x:c>
      <x:c r="Q4809" s="30" t="n">
        <x:f>P4809*N4809</x:f>
        <x:v>1.4322000000000001</x:v>
      </x:c>
      <x:c r="R4809" s="19" t="str">
        <x:v>独立判定</x:v>
      </x:c>
    </x:row>
    <x:row r="4810" ht="19" customHeight="1">
      <x:c r="A4810" s="19" t="str">
        <x:v>D04806</x:v>
      </x:c>
      <x:c r="B4810" s="19" t="n">
        <x:v>10</x:v>
      </x:c>
      <x:c r="C4810" s="19" t="n">
        <x:v>2</x:v>
      </x:c>
      <x:c r="D4810" s="19" t="str">
        <x:v>C10-M021</x:v>
      </x:c>
      <x:c r="E4810" s="19" t="str">
        <x:v>七孔哀笛客</x:v>
      </x:c>
      <x:c r="F4810" s="19" t="str">
        <x:v>稀有</x:v>
      </x:c>
      <x:c r="G4810" s="19" t="str">
        <x:v>材料独立候选</x:v>
      </x:c>
      <x:c r="H4810" s="19" t="str">
        <x:v>旧渠阀芯</x:v>
      </x:c>
      <x:c r="I4810" s="22" t="n">
        <x:v>800</x:v>
      </x:c>
      <x:c r="J4810" s="22" t="n">
        <x:v>1</x:v>
      </x:c>
      <x:c r="K4810" s="19" t="n">
        <x:v>1</x:v>
      </x:c>
      <x:c r="L4810" s="24" t="n">
        <x:v>86.8</x:v>
      </x:c>
      <x:c r="M4810" s="26" t="n">
        <x:v>0.1</x:v>
      </x:c>
      <x:c r="N4810" s="24" t="n">
        <x:v>12</x:v>
      </x:c>
      <x:c r="O4810" s="28" t="n">
        <x:f>MIN(1,L4810/I4810)</x:f>
        <x:v>0.1085</x:v>
      </x:c>
      <x:c r="P4810" s="30" t="n">
        <x:f>O4810*J4810*(1+M4810)</x:f>
        <x:v>0.11935000000000001</x:v>
      </x:c>
      <x:c r="Q4810" s="30" t="n">
        <x:f>P4810*N4810</x:f>
        <x:v>1.4322000000000001</x:v>
      </x:c>
      <x:c r="R4810" s="19" t="str">
        <x:v>独立判定</x:v>
      </x:c>
    </x:row>
    <x:row r="4811" ht="19" customHeight="1">
      <x:c r="A4811" s="19" t="str">
        <x:v>D04807</x:v>
      </x:c>
      <x:c r="B4811" s="19" t="n">
        <x:v>10</x:v>
      </x:c>
      <x:c r="C4811" s="19" t="n">
        <x:v>2</x:v>
      </x:c>
      <x:c r="D4811" s="19" t="str">
        <x:v>C10-M021</x:v>
      </x:c>
      <x:c r="E4811" s="19" t="str">
        <x:v>七孔哀笛客</x:v>
      </x:c>
      <x:c r="F4811" s="19" t="str">
        <x:v>稀有</x:v>
      </x:c>
      <x:c r="G4811" s="19" t="str">
        <x:v>材料独立候选</x:v>
      </x:c>
      <x:c r="H4811" s="19" t="str">
        <x:v>穹律鎏痕拓片</x:v>
      </x:c>
      <x:c r="I4811" s="22" t="n">
        <x:v>2500000</x:v>
      </x:c>
      <x:c r="J4811" s="22" t="n">
        <x:v>1</x:v>
      </x:c>
      <x:c r="K4811" s="19" t="n">
        <x:v>1</x:v>
      </x:c>
      <x:c r="L4811" s="24" t="n">
        <x:v>86.8</x:v>
      </x:c>
      <x:c r="M4811" s="26" t="n">
        <x:v>0.1</x:v>
      </x:c>
      <x:c r="N4811" s="24" t="n">
        <x:v>12</x:v>
      </x:c>
      <x:c r="O4811" s="28" t="n">
        <x:f>MIN(1,L4811/I4811)</x:f>
        <x:v>0.00003472</x:v>
      </x:c>
      <x:c r="P4811" s="30" t="n">
        <x:f>O4811*J4811*(1+M4811)</x:f>
        <x:v>0.000038192</x:v>
      </x:c>
      <x:c r="Q4811" s="30" t="n">
        <x:f>P4811*N4811</x:f>
        <x:v>0.00045830400000000004</x:v>
      </x:c>
      <x:c r="R4811" s="19" t="str">
        <x:v>独立判定</x:v>
      </x:c>
    </x:row>
    <x:row r="4812" ht="19" customHeight="1">
      <x:c r="A4812" s="19" t="str">
        <x:v>D04808</x:v>
      </x:c>
      <x:c r="B4812" s="19" t="n">
        <x:v>10</x:v>
      </x:c>
      <x:c r="C4812" s="19" t="n">
        <x:v>2</x:v>
      </x:c>
      <x:c r="D4812" s="19" t="str">
        <x:v>C10-M021</x:v>
      </x:c>
      <x:c r="E4812" s="19" t="str">
        <x:v>七孔哀笛客</x:v>
      </x:c>
      <x:c r="F4812" s="19" t="str">
        <x:v>稀有</x:v>
      </x:c>
      <x:c r="G4812" s="19" t="str">
        <x:v>材料独立候选</x:v>
      </x:c>
      <x:c r="H4812" s="19" t="str">
        <x:v>黄金树芽</x:v>
      </x:c>
      <x:c r="I4812" s="22" t="n">
        <x:v>2500</x:v>
      </x:c>
      <x:c r="J4812" s="22" t="n">
        <x:v>1</x:v>
      </x:c>
      <x:c r="K4812" s="19" t="n">
        <x:v>1</x:v>
      </x:c>
      <x:c r="L4812" s="24" t="n">
        <x:v>86.8</x:v>
      </x:c>
      <x:c r="M4812" s="26" t="n">
        <x:v>0.1</x:v>
      </x:c>
      <x:c r="N4812" s="24" t="n">
        <x:v>12</x:v>
      </x:c>
      <x:c r="O4812" s="28" t="n">
        <x:f>MIN(1,L4812/I4812)</x:f>
        <x:v>0.03472</x:v>
      </x:c>
      <x:c r="P4812" s="30" t="n">
        <x:f>O4812*J4812*(1+M4812)</x:f>
        <x:v>0.038192000000000004</x:v>
      </x:c>
      <x:c r="Q4812" s="30" t="n">
        <x:f>P4812*N4812</x:f>
        <x:v>0.45830400000000004</x:v>
      </x:c>
      <x:c r="R4812" s="19" t="str">
        <x:v>独立判定</x:v>
      </x:c>
    </x:row>
    <x:row r="4813" ht="19" customHeight="1">
      <x:c r="A4813" s="19" t="str">
        <x:v>D04809</x:v>
      </x:c>
      <x:c r="B4813" s="19" t="n">
        <x:v>10</x:v>
      </x:c>
      <x:c r="C4813" s="19" t="n">
        <x:v>2</x:v>
      </x:c>
      <x:c r="D4813" s="19" t="str">
        <x:v>C10-M021</x:v>
      </x:c>
      <x:c r="E4813" s="19" t="str">
        <x:v>七孔哀笛客</x:v>
      </x:c>
      <x:c r="F4813" s="19" t="str">
        <x:v>稀有</x:v>
      </x:c>
      <x:c r="G4813" s="19" t="str">
        <x:v>材料独立候选</x:v>
      </x:c>
      <x:c r="H4813" s="19" t="str">
        <x:v>野兽骨片</x:v>
      </x:c>
      <x:c r="I4813" s="22" t="n">
        <x:v>300</x:v>
      </x:c>
      <x:c r="J4813" s="22" t="n">
        <x:v>4</x:v>
      </x:c>
      <x:c r="K4813" s="19" t="n">
        <x:v>1</x:v>
      </x:c>
      <x:c r="L4813" s="24" t="n">
        <x:v>86.8</x:v>
      </x:c>
      <x:c r="M4813" s="26" t="n">
        <x:v>0.1</x:v>
      </x:c>
      <x:c r="N4813" s="24" t="n">
        <x:v>12</x:v>
      </x:c>
      <x:c r="O4813" s="28" t="n">
        <x:f>MIN(1,L4813/I4813)</x:f>
        <x:v>0.28933333333333333</x:v>
      </x:c>
      <x:c r="P4813" s="30" t="n">
        <x:f>O4813*J4813*(1+M4813)</x:f>
        <x:v>1.2730666666666668</x:v>
      </x:c>
      <x:c r="Q4813" s="30" t="n">
        <x:f>P4813*N4813</x:f>
        <x:v>15.276800000000001</x:v>
      </x:c>
      <x:c r="R4813" s="19" t="str">
        <x:v>独立判定</x:v>
      </x:c>
    </x:row>
    <x:row r="4814" ht="19" customHeight="1">
      <x:c r="A4814" s="19" t="str">
        <x:v>D04810</x:v>
      </x:c>
      <x:c r="B4814" s="19" t="n">
        <x:v>10</x:v>
      </x:c>
      <x:c r="C4814" s="19" t="n">
        <x:v>2</x:v>
      </x:c>
      <x:c r="D4814" s="19" t="str">
        <x:v>C10-M021</x:v>
      </x:c>
      <x:c r="E4814" s="19" t="str">
        <x:v>七孔哀笛客</x:v>
      </x:c>
      <x:c r="F4814" s="19" t="str">
        <x:v>稀有</x:v>
      </x:c>
      <x:c r="G4814" s="19" t="str">
        <x:v>材料独立候选</x:v>
      </x:c>
      <x:c r="H4814" s="19" t="str">
        <x:v>技能残页</x:v>
      </x:c>
      <x:c r="I4814" s="22" t="n">
        <x:v>3000</x:v>
      </x:c>
      <x:c r="J4814" s="22" t="n">
        <x:v>1</x:v>
      </x:c>
      <x:c r="K4814" s="19" t="n">
        <x:v>1</x:v>
      </x:c>
      <x:c r="L4814" s="24" t="n">
        <x:v>86.8</x:v>
      </x:c>
      <x:c r="M4814" s="26" t="n">
        <x:v>0.1</x:v>
      </x:c>
      <x:c r="N4814" s="24" t="n">
        <x:v>12</x:v>
      </x:c>
      <x:c r="O4814" s="28" t="n">
        <x:f>MIN(1,L4814/I4814)</x:f>
        <x:v>0.028933333333333332</x:v>
      </x:c>
      <x:c r="P4814" s="30" t="n">
        <x:f>O4814*J4814*(1+M4814)</x:f>
        <x:v>0.03182666666666667</x:v>
      </x:c>
      <x:c r="Q4814" s="30" t="n">
        <x:f>P4814*N4814</x:f>
        <x:v>0.38192000000000004</x:v>
      </x:c>
      <x:c r="R4814" s="19" t="str">
        <x:v>独立判定</x:v>
      </x:c>
    </x:row>
    <x:row r="4815" ht="19" customHeight="1">
      <x:c r="A4815" s="19" t="str">
        <x:v>D04811</x:v>
      </x:c>
      <x:c r="B4815" s="19" t="n">
        <x:v>10</x:v>
      </x:c>
      <x:c r="C4815" s="19" t="n">
        <x:v>2</x:v>
      </x:c>
      <x:c r="D4815" s="19" t="str">
        <x:v>C10-M021</x:v>
      </x:c>
      <x:c r="E4815" s="19" t="str">
        <x:v>七孔哀笛客</x:v>
      </x:c>
      <x:c r="F4815" s="19" t="str">
        <x:v>稀有</x:v>
      </x:c>
      <x:c r="G4815" s="19" t="str">
        <x:v>材料独立候选</x:v>
      </x:c>
      <x:c r="H4815" s="19" t="str">
        <x:v>小卢恩</x:v>
      </x:c>
      <x:c r="I4815" s="22" t="n">
        <x:v>15000</x:v>
      </x:c>
      <x:c r="J4815" s="22" t="n">
        <x:v>1</x:v>
      </x:c>
      <x:c r="K4815" s="19" t="n">
        <x:v>1</x:v>
      </x:c>
      <x:c r="L4815" s="24" t="n">
        <x:v>86.8</x:v>
      </x:c>
      <x:c r="M4815" s="26" t="n">
        <x:v>0.1</x:v>
      </x:c>
      <x:c r="N4815" s="24" t="n">
        <x:v>12</x:v>
      </x:c>
      <x:c r="O4815" s="28" t="n">
        <x:f>MIN(1,L4815/I4815)</x:f>
        <x:v>0.0057866666666666665</x:v>
      </x:c>
      <x:c r="P4815" s="30" t="n">
        <x:f>O4815*J4815*(1+M4815)</x:f>
        <x:v>0.006365333333333334</x:v>
      </x:c>
      <x:c r="Q4815" s="30" t="n">
        <x:f>P4815*N4815</x:f>
        <x:v>0.07638400000000001</x:v>
      </x:c>
      <x:c r="R4815" s="19" t="str">
        <x:v>独立判定</x:v>
      </x:c>
    </x:row>
    <x:row r="4816" ht="19" customHeight="1">
      <x:c r="A4816" s="19" t="str">
        <x:v>D04812</x:v>
      </x:c>
      <x:c r="B4816" s="19" t="n">
        <x:v>10</x:v>
      </x:c>
      <x:c r="C4816" s="19" t="n">
        <x:v>2</x:v>
      </x:c>
      <x:c r="D4816" s="19" t="str">
        <x:v>C10-M021</x:v>
      </x:c>
      <x:c r="E4816" s="19" t="str">
        <x:v>七孔哀笛客</x:v>
      </x:c>
      <x:c r="F4816" s="19" t="str">
        <x:v>稀有</x:v>
      </x:c>
      <x:c r="G4816" s="19" t="str">
        <x:v>六神器公共池</x:v>
      </x:c>
      <x:c r="H4816" s="19" t="str">
        <x:v>POOL006</x:v>
      </x:c>
      <x:c r="I4816" s="22" t="n">
        <x:v>5000000</x:v>
      </x:c>
      <x:c r="J4816" s="22" t="n">
        <x:v>1</x:v>
      </x:c>
      <x:c r="K4816" s="19" t="n">
        <x:v>6</x:v>
      </x:c>
      <x:c r="L4816" s="24" t="n">
        <x:v>86.8</x:v>
      </x:c>
      <x:c r="M4816" s="26" t="n">
        <x:v>0.1</x:v>
      </x:c>
      <x:c r="N4816" s="24" t="n">
        <x:v>12</x:v>
      </x:c>
      <x:c r="O4816" s="28" t="n">
        <x:f>MIN(1,L4816/I4816)</x:f>
        <x:v>0.00001736</x:v>
      </x:c>
      <x:c r="P4816" s="30" t="n">
        <x:f>O4816*J4816*(1+M4816)</x:f>
        <x:v>0.000019096</x:v>
      </x:c>
      <x:c r="Q4816" s="30" t="n">
        <x:f>P4816*N4816</x:f>
        <x:v>0.00022915200000000002</x:v>
      </x:c>
      <x:c r="R4816" s="19" t="str">
        <x:v>六选一；非6个独立爆率</x:v>
      </x:c>
    </x:row>
    <x:row r="4817" ht="19" customHeight="1">
      <x:c r="A4817" s="19" t="str">
        <x:v>D04813</x:v>
      </x:c>
      <x:c r="B4817" s="19" t="n">
        <x:v>10</x:v>
      </x:c>
      <x:c r="C4817" s="19" t="n">
        <x:v>2</x:v>
      </x:c>
      <x:c r="D4817" s="19" t="str">
        <x:v>C10-M022</x:v>
      </x:c>
      <x:c r="E4817" s="19" t="str">
        <x:v>沸淤校阀官</x:v>
      </x:c>
      <x:c r="F4817" s="19" t="str">
        <x:v>稀有</x:v>
      </x:c>
      <x:c r="G4817" s="19" t="str">
        <x:v>自身专属</x:v>
      </x:c>
      <x:c r="H4817" s="19" t="str">
        <x:v>沸淤校阀章</x:v>
      </x:c>
      <x:c r="I4817" s="22" t="n">
        <x:v>2500</x:v>
      </x:c>
      <x:c r="J4817" s="22" t="n">
        <x:v>1</x:v>
      </x:c>
      <x:c r="K4817" s="19" t="n">
        <x:v>1</x:v>
      </x:c>
      <x:c r="L4817" s="24" t="n">
        <x:v>86.8</x:v>
      </x:c>
      <x:c r="M4817" s="26" t="n">
        <x:v>0.1</x:v>
      </x:c>
      <x:c r="N4817" s="24" t="n">
        <x:v>12</x:v>
      </x:c>
      <x:c r="O4817" s="28" t="n">
        <x:f>MIN(1,L4817/I4817)</x:f>
        <x:v>0.03472</x:v>
      </x:c>
      <x:c r="P4817" s="30" t="n">
        <x:f>O4817*J4817*(1+M4817)</x:f>
        <x:v>0.038192000000000004</x:v>
      </x:c>
      <x:c r="Q4817" s="30" t="n">
        <x:f>P4817*N4817</x:f>
        <x:v>0.45830400000000004</x:v>
      </x:c>
      <x:c r="R4817" s="19" t="str">
        <x:v>独立判定</x:v>
      </x:c>
    </x:row>
    <x:row r="4818" ht="19" customHeight="1">
      <x:c r="A4818" s="19" t="str">
        <x:v>D04814</x:v>
      </x:c>
      <x:c r="B4818" s="19" t="n">
        <x:v>10</x:v>
      </x:c>
      <x:c r="C4818" s="19" t="n">
        <x:v>2</x:v>
      </x:c>
      <x:c r="D4818" s="19" t="str">
        <x:v>C10-M022</x:v>
      </x:c>
      <x:c r="E4818" s="19" t="str">
        <x:v>沸淤校阀官</x:v>
      </x:c>
      <x:c r="F4818" s="19" t="str">
        <x:v>稀有</x:v>
      </x:c>
      <x:c r="G4818" s="19" t="str">
        <x:v>材料独立候选</x:v>
      </x:c>
      <x:c r="H4818" s="19" t="str">
        <x:v>王城金屑</x:v>
      </x:c>
      <x:c r="I4818" s="22" t="n">
        <x:v>1200</x:v>
      </x:c>
      <x:c r="J4818" s="22" t="n">
        <x:v>15</x:v>
      </x:c>
      <x:c r="K4818" s="19" t="n">
        <x:v>1</x:v>
      </x:c>
      <x:c r="L4818" s="24" t="n">
        <x:v>86.8</x:v>
      </x:c>
      <x:c r="M4818" s="26" t="n">
        <x:v>0.1</x:v>
      </x:c>
      <x:c r="N4818" s="24" t="n">
        <x:v>12</x:v>
      </x:c>
      <x:c r="O4818" s="28" t="n">
        <x:f>MIN(1,L4818/I4818)</x:f>
        <x:v>0.07233333333333333</x:v>
      </x:c>
      <x:c r="P4818" s="30" t="n">
        <x:f>O4818*J4818*(1+M4818)</x:f>
        <x:v>1.1935</x:v>
      </x:c>
      <x:c r="Q4818" s="30" t="n">
        <x:f>P4818*N4818</x:f>
        <x:v>14.322</x:v>
      </x:c>
      <x:c r="R4818" s="19" t="str">
        <x:v>独立判定</x:v>
      </x:c>
    </x:row>
    <x:row r="4819" ht="19" customHeight="1">
      <x:c r="A4819" s="19" t="str">
        <x:v>D04815</x:v>
      </x:c>
      <x:c r="B4819" s="19" t="n">
        <x:v>10</x:v>
      </x:c>
      <x:c r="C4819" s="19" t="n">
        <x:v>2</x:v>
      </x:c>
      <x:c r="D4819" s="19" t="str">
        <x:v>C10-M022</x:v>
      </x:c>
      <x:c r="E4819" s="19" t="str">
        <x:v>沸淤校阀官</x:v>
      </x:c>
      <x:c r="F4819" s="19" t="str">
        <x:v>稀有</x:v>
      </x:c>
      <x:c r="G4819" s="19" t="str">
        <x:v>材料独立候选</x:v>
      </x:c>
      <x:c r="H4819" s="19" t="str">
        <x:v>王宫律文</x:v>
      </x:c>
      <x:c r="I4819" s="22" t="n">
        <x:v>800</x:v>
      </x:c>
      <x:c r="J4819" s="22" t="n">
        <x:v>1</x:v>
      </x:c>
      <x:c r="K4819" s="19" t="n">
        <x:v>1</x:v>
      </x:c>
      <x:c r="L4819" s="24" t="n">
        <x:v>86.8</x:v>
      </x:c>
      <x:c r="M4819" s="26" t="n">
        <x:v>0.1</x:v>
      </x:c>
      <x:c r="N4819" s="24" t="n">
        <x:v>12</x:v>
      </x:c>
      <x:c r="O4819" s="28" t="n">
        <x:f>MIN(1,L4819/I4819)</x:f>
        <x:v>0.1085</x:v>
      </x:c>
      <x:c r="P4819" s="30" t="n">
        <x:f>O4819*J4819*(1+M4819)</x:f>
        <x:v>0.11935000000000001</x:v>
      </x:c>
      <x:c r="Q4819" s="30" t="n">
        <x:f>P4819*N4819</x:f>
        <x:v>1.4322000000000001</x:v>
      </x:c>
      <x:c r="R4819" s="19" t="str">
        <x:v>独立判定</x:v>
      </x:c>
    </x:row>
    <x:row r="4820" ht="19" customHeight="1">
      <x:c r="A4820" s="19" t="str">
        <x:v>D04816</x:v>
      </x:c>
      <x:c r="B4820" s="19" t="n">
        <x:v>10</x:v>
      </x:c>
      <x:c r="C4820" s="19" t="n">
        <x:v>2</x:v>
      </x:c>
      <x:c r="D4820" s="19" t="str">
        <x:v>C10-M022</x:v>
      </x:c>
      <x:c r="E4820" s="19" t="str">
        <x:v>沸淤校阀官</x:v>
      </x:c>
      <x:c r="F4820" s="19" t="str">
        <x:v>稀有</x:v>
      </x:c>
      <x:c r="G4820" s="19" t="str">
        <x:v>材料独立候选</x:v>
      </x:c>
      <x:c r="H4820" s="19" t="str">
        <x:v>旧渠阀芯</x:v>
      </x:c>
      <x:c r="I4820" s="22" t="n">
        <x:v>800</x:v>
      </x:c>
      <x:c r="J4820" s="22" t="n">
        <x:v>1</x:v>
      </x:c>
      <x:c r="K4820" s="19" t="n">
        <x:v>1</x:v>
      </x:c>
      <x:c r="L4820" s="24" t="n">
        <x:v>86.8</x:v>
      </x:c>
      <x:c r="M4820" s="26" t="n">
        <x:v>0.1</x:v>
      </x:c>
      <x:c r="N4820" s="24" t="n">
        <x:v>12</x:v>
      </x:c>
      <x:c r="O4820" s="28" t="n">
        <x:f>MIN(1,L4820/I4820)</x:f>
        <x:v>0.1085</x:v>
      </x:c>
      <x:c r="P4820" s="30" t="n">
        <x:f>O4820*J4820*(1+M4820)</x:f>
        <x:v>0.11935000000000001</x:v>
      </x:c>
      <x:c r="Q4820" s="30" t="n">
        <x:f>P4820*N4820</x:f>
        <x:v>1.4322000000000001</x:v>
      </x:c>
      <x:c r="R4820" s="19" t="str">
        <x:v>独立判定</x:v>
      </x:c>
    </x:row>
    <x:row r="4821" ht="19" customHeight="1">
      <x:c r="A4821" s="19" t="str">
        <x:v>D04817</x:v>
      </x:c>
      <x:c r="B4821" s="19" t="n">
        <x:v>10</x:v>
      </x:c>
      <x:c r="C4821" s="19" t="n">
        <x:v>2</x:v>
      </x:c>
      <x:c r="D4821" s="19" t="str">
        <x:v>C10-M022</x:v>
      </x:c>
      <x:c r="E4821" s="19" t="str">
        <x:v>沸淤校阀官</x:v>
      </x:c>
      <x:c r="F4821" s="19" t="str">
        <x:v>稀有</x:v>
      </x:c>
      <x:c r="G4821" s="19" t="str">
        <x:v>材料独立候选</x:v>
      </x:c>
      <x:c r="H4821" s="19" t="str">
        <x:v>穹律鎏痕拓片</x:v>
      </x:c>
      <x:c r="I4821" s="22" t="n">
        <x:v>2500000</x:v>
      </x:c>
      <x:c r="J4821" s="22" t="n">
        <x:v>1</x:v>
      </x:c>
      <x:c r="K4821" s="19" t="n">
        <x:v>1</x:v>
      </x:c>
      <x:c r="L4821" s="24" t="n">
        <x:v>86.8</x:v>
      </x:c>
      <x:c r="M4821" s="26" t="n">
        <x:v>0.1</x:v>
      </x:c>
      <x:c r="N4821" s="24" t="n">
        <x:v>12</x:v>
      </x:c>
      <x:c r="O4821" s="28" t="n">
        <x:f>MIN(1,L4821/I4821)</x:f>
        <x:v>0.00003472</x:v>
      </x:c>
      <x:c r="P4821" s="30" t="n">
        <x:f>O4821*J4821*(1+M4821)</x:f>
        <x:v>0.000038192</x:v>
      </x:c>
      <x:c r="Q4821" s="30" t="n">
        <x:f>P4821*N4821</x:f>
        <x:v>0.00045830400000000004</x:v>
      </x:c>
      <x:c r="R4821" s="19" t="str">
        <x:v>独立判定</x:v>
      </x:c>
    </x:row>
    <x:row r="4822" ht="19" customHeight="1">
      <x:c r="A4822" s="19" t="str">
        <x:v>D04818</x:v>
      </x:c>
      <x:c r="B4822" s="19" t="n">
        <x:v>10</x:v>
      </x:c>
      <x:c r="C4822" s="19" t="n">
        <x:v>2</x:v>
      </x:c>
      <x:c r="D4822" s="19" t="str">
        <x:v>C10-M022</x:v>
      </x:c>
      <x:c r="E4822" s="19" t="str">
        <x:v>沸淤校阀官</x:v>
      </x:c>
      <x:c r="F4822" s="19" t="str">
        <x:v>稀有</x:v>
      </x:c>
      <x:c r="G4822" s="19" t="str">
        <x:v>材料独立候选</x:v>
      </x:c>
      <x:c r="H4822" s="19" t="str">
        <x:v>黄金树芽</x:v>
      </x:c>
      <x:c r="I4822" s="22" t="n">
        <x:v>2500</x:v>
      </x:c>
      <x:c r="J4822" s="22" t="n">
        <x:v>1</x:v>
      </x:c>
      <x:c r="K4822" s="19" t="n">
        <x:v>1</x:v>
      </x:c>
      <x:c r="L4822" s="24" t="n">
        <x:v>86.8</x:v>
      </x:c>
      <x:c r="M4822" s="26" t="n">
        <x:v>0.1</x:v>
      </x:c>
      <x:c r="N4822" s="24" t="n">
        <x:v>12</x:v>
      </x:c>
      <x:c r="O4822" s="28" t="n">
        <x:f>MIN(1,L4822/I4822)</x:f>
        <x:v>0.03472</x:v>
      </x:c>
      <x:c r="P4822" s="30" t="n">
        <x:f>O4822*J4822*(1+M4822)</x:f>
        <x:v>0.038192000000000004</x:v>
      </x:c>
      <x:c r="Q4822" s="30" t="n">
        <x:f>P4822*N4822</x:f>
        <x:v>0.45830400000000004</x:v>
      </x:c>
      <x:c r="R4822" s="19" t="str">
        <x:v>独立判定</x:v>
      </x:c>
    </x:row>
    <x:row r="4823" ht="19" customHeight="1">
      <x:c r="A4823" s="19" t="str">
        <x:v>D04819</x:v>
      </x:c>
      <x:c r="B4823" s="19" t="n">
        <x:v>10</x:v>
      </x:c>
      <x:c r="C4823" s="19" t="n">
        <x:v>2</x:v>
      </x:c>
      <x:c r="D4823" s="19" t="str">
        <x:v>C10-M022</x:v>
      </x:c>
      <x:c r="E4823" s="19" t="str">
        <x:v>沸淤校阀官</x:v>
      </x:c>
      <x:c r="F4823" s="19" t="str">
        <x:v>稀有</x:v>
      </x:c>
      <x:c r="G4823" s="19" t="str">
        <x:v>材料独立候选</x:v>
      </x:c>
      <x:c r="H4823" s="19" t="str">
        <x:v>野兽骨片</x:v>
      </x:c>
      <x:c r="I4823" s="22" t="n">
        <x:v>300</x:v>
      </x:c>
      <x:c r="J4823" s="22" t="n">
        <x:v>4</x:v>
      </x:c>
      <x:c r="K4823" s="19" t="n">
        <x:v>1</x:v>
      </x:c>
      <x:c r="L4823" s="24" t="n">
        <x:v>86.8</x:v>
      </x:c>
      <x:c r="M4823" s="26" t="n">
        <x:v>0.1</x:v>
      </x:c>
      <x:c r="N4823" s="24" t="n">
        <x:v>12</x:v>
      </x:c>
      <x:c r="O4823" s="28" t="n">
        <x:f>MIN(1,L4823/I4823)</x:f>
        <x:v>0.28933333333333333</x:v>
      </x:c>
      <x:c r="P4823" s="30" t="n">
        <x:f>O4823*J4823*(1+M4823)</x:f>
        <x:v>1.2730666666666668</x:v>
      </x:c>
      <x:c r="Q4823" s="30" t="n">
        <x:f>P4823*N4823</x:f>
        <x:v>15.276800000000001</x:v>
      </x:c>
      <x:c r="R4823" s="19" t="str">
        <x:v>独立判定</x:v>
      </x:c>
    </x:row>
    <x:row r="4824" ht="19" customHeight="1">
      <x:c r="A4824" s="19" t="str">
        <x:v>D04820</x:v>
      </x:c>
      <x:c r="B4824" s="19" t="n">
        <x:v>10</x:v>
      </x:c>
      <x:c r="C4824" s="19" t="n">
        <x:v>2</x:v>
      </x:c>
      <x:c r="D4824" s="19" t="str">
        <x:v>C10-M022</x:v>
      </x:c>
      <x:c r="E4824" s="19" t="str">
        <x:v>沸淤校阀官</x:v>
      </x:c>
      <x:c r="F4824" s="19" t="str">
        <x:v>稀有</x:v>
      </x:c>
      <x:c r="G4824" s="19" t="str">
        <x:v>材料独立候选</x:v>
      </x:c>
      <x:c r="H4824" s="19" t="str">
        <x:v>技能残页</x:v>
      </x:c>
      <x:c r="I4824" s="22" t="n">
        <x:v>3000</x:v>
      </x:c>
      <x:c r="J4824" s="22" t="n">
        <x:v>1</x:v>
      </x:c>
      <x:c r="K4824" s="19" t="n">
        <x:v>1</x:v>
      </x:c>
      <x:c r="L4824" s="24" t="n">
        <x:v>86.8</x:v>
      </x:c>
      <x:c r="M4824" s="26" t="n">
        <x:v>0.1</x:v>
      </x:c>
      <x:c r="N4824" s="24" t="n">
        <x:v>12</x:v>
      </x:c>
      <x:c r="O4824" s="28" t="n">
        <x:f>MIN(1,L4824/I4824)</x:f>
        <x:v>0.028933333333333332</x:v>
      </x:c>
      <x:c r="P4824" s="30" t="n">
        <x:f>O4824*J4824*(1+M4824)</x:f>
        <x:v>0.03182666666666667</x:v>
      </x:c>
      <x:c r="Q4824" s="30" t="n">
        <x:f>P4824*N4824</x:f>
        <x:v>0.38192000000000004</x:v>
      </x:c>
      <x:c r="R4824" s="19" t="str">
        <x:v>独立判定</x:v>
      </x:c>
    </x:row>
    <x:row r="4825" ht="19" customHeight="1">
      <x:c r="A4825" s="19" t="str">
        <x:v>D04821</x:v>
      </x:c>
      <x:c r="B4825" s="19" t="n">
        <x:v>10</x:v>
      </x:c>
      <x:c r="C4825" s="19" t="n">
        <x:v>2</x:v>
      </x:c>
      <x:c r="D4825" s="19" t="str">
        <x:v>C10-M022</x:v>
      </x:c>
      <x:c r="E4825" s="19" t="str">
        <x:v>沸淤校阀官</x:v>
      </x:c>
      <x:c r="F4825" s="19" t="str">
        <x:v>稀有</x:v>
      </x:c>
      <x:c r="G4825" s="19" t="str">
        <x:v>材料独立候选</x:v>
      </x:c>
      <x:c r="H4825" s="19" t="str">
        <x:v>小卢恩</x:v>
      </x:c>
      <x:c r="I4825" s="22" t="n">
        <x:v>15000</x:v>
      </x:c>
      <x:c r="J4825" s="22" t="n">
        <x:v>1</x:v>
      </x:c>
      <x:c r="K4825" s="19" t="n">
        <x:v>1</x:v>
      </x:c>
      <x:c r="L4825" s="24" t="n">
        <x:v>86.8</x:v>
      </x:c>
      <x:c r="M4825" s="26" t="n">
        <x:v>0.1</x:v>
      </x:c>
      <x:c r="N4825" s="24" t="n">
        <x:v>12</x:v>
      </x:c>
      <x:c r="O4825" s="28" t="n">
        <x:f>MIN(1,L4825/I4825)</x:f>
        <x:v>0.0057866666666666665</x:v>
      </x:c>
      <x:c r="P4825" s="30" t="n">
        <x:f>O4825*J4825*(1+M4825)</x:f>
        <x:v>0.006365333333333334</x:v>
      </x:c>
      <x:c r="Q4825" s="30" t="n">
        <x:f>P4825*N4825</x:f>
        <x:v>0.07638400000000001</x:v>
      </x:c>
      <x:c r="R4825" s="19" t="str">
        <x:v>独立判定</x:v>
      </x:c>
    </x:row>
    <x:row r="4826" ht="19" customHeight="1">
      <x:c r="A4826" s="19" t="str">
        <x:v>D04822</x:v>
      </x:c>
      <x:c r="B4826" s="19" t="n">
        <x:v>10</x:v>
      </x:c>
      <x:c r="C4826" s="19" t="n">
        <x:v>2</x:v>
      </x:c>
      <x:c r="D4826" s="19" t="str">
        <x:v>C10-M022</x:v>
      </x:c>
      <x:c r="E4826" s="19" t="str">
        <x:v>沸淤校阀官</x:v>
      </x:c>
      <x:c r="F4826" s="19" t="str">
        <x:v>稀有</x:v>
      </x:c>
      <x:c r="G4826" s="19" t="str">
        <x:v>六神器公共池</x:v>
      </x:c>
      <x:c r="H4826" s="19" t="str">
        <x:v>POOL006</x:v>
      </x:c>
      <x:c r="I4826" s="22" t="n">
        <x:v>5000000</x:v>
      </x:c>
      <x:c r="J4826" s="22" t="n">
        <x:v>1</x:v>
      </x:c>
      <x:c r="K4826" s="19" t="n">
        <x:v>6</x:v>
      </x:c>
      <x:c r="L4826" s="24" t="n">
        <x:v>86.8</x:v>
      </x:c>
      <x:c r="M4826" s="26" t="n">
        <x:v>0.1</x:v>
      </x:c>
      <x:c r="N4826" s="24" t="n">
        <x:v>12</x:v>
      </x:c>
      <x:c r="O4826" s="28" t="n">
        <x:f>MIN(1,L4826/I4826)</x:f>
        <x:v>0.00001736</x:v>
      </x:c>
      <x:c r="P4826" s="30" t="n">
        <x:f>O4826*J4826*(1+M4826)</x:f>
        <x:v>0.000019096</x:v>
      </x:c>
      <x:c r="Q4826" s="30" t="n">
        <x:f>P4826*N4826</x:f>
        <x:v>0.00022915200000000002</x:v>
      </x:c>
      <x:c r="R4826" s="19" t="str">
        <x:v>六选一；非6个独立爆率</x:v>
      </x:c>
    </x:row>
    <x:row r="4827" ht="19" customHeight="1">
      <x:c r="A4827" s="19" t="str">
        <x:v>D04823</x:v>
      </x:c>
      <x:c r="B4827" s="19" t="n">
        <x:v>10</x:v>
      </x:c>
      <x:c r="C4827" s="19" t="n">
        <x:v>2</x:v>
      </x:c>
      <x:c r="D4827" s="19" t="str">
        <x:v>C10-M023</x:v>
      </x:c>
      <x:c r="E4827" s="19" t="str">
        <x:v>百喉回廊吞声兽</x:v>
      </x:c>
      <x:c r="F4827" s="19" t="str">
        <x:v>地图BOSS</x:v>
      </x:c>
      <x:c r="G4827" s="19" t="str">
        <x:v>自身专属</x:v>
      </x:c>
      <x:c r="H4827" s="19" t="str">
        <x:v>百喉闭音斗笠</x:v>
      </x:c>
      <x:c r="I4827" s="22" t="n">
        <x:v>200</x:v>
      </x:c>
      <x:c r="J4827" s="22" t="n">
        <x:v>1</x:v>
      </x:c>
      <x:c r="K4827" s="19" t="n">
        <x:v>1</x:v>
      </x:c>
      <x:c r="L4827" s="24" t="n">
        <x:v>86.8</x:v>
      </x:c>
      <x:c r="M4827" s="26" t="n">
        <x:v>0.1</x:v>
      </x:c>
      <x:c r="N4827" s="24" t="n">
        <x:v>2</x:v>
      </x:c>
      <x:c r="O4827" s="28" t="n">
        <x:f>MIN(1,L4827/I4827)</x:f>
        <x:v>0.434</x:v>
      </x:c>
      <x:c r="P4827" s="30" t="n">
        <x:f>O4827*J4827*(1+M4827)</x:f>
        <x:v>0.47740000000000005</x:v>
      </x:c>
      <x:c r="Q4827" s="30" t="n">
        <x:f>P4827*N4827</x:f>
        <x:v>0.9548000000000001</x:v>
      </x:c>
      <x:c r="R4827" s="19" t="str">
        <x:v>独立判定</x:v>
      </x:c>
    </x:row>
    <x:row r="4828" ht="19" customHeight="1">
      <x:c r="A4828" s="19" t="str">
        <x:v>D04824</x:v>
      </x:c>
      <x:c r="B4828" s="19" t="n">
        <x:v>10</x:v>
      </x:c>
      <x:c r="C4828" s="19" t="n">
        <x:v>2</x:v>
      </x:c>
      <x:c r="D4828" s="19" t="str">
        <x:v>C10-M023</x:v>
      </x:c>
      <x:c r="E4828" s="19" t="str">
        <x:v>百喉回廊吞声兽</x:v>
      </x:c>
      <x:c r="F4828" s="19" t="str">
        <x:v>地图BOSS</x:v>
      </x:c>
      <x:c r="G4828" s="19" t="str">
        <x:v>本图普通兼掉候选</x:v>
      </x:c>
      <x:c r="H4828" s="19" t="str">
        <x:v>POOL080</x:v>
      </x:c>
      <x:c r="I4828" s="22" t="n">
        <x:v>200</x:v>
      </x:c>
      <x:c r="J4828" s="22" t="n">
        <x:v>1</x:v>
      </x:c>
      <x:c r="K4828" s="19" t="n">
        <x:v>2</x:v>
      </x:c>
      <x:c r="L4828" s="24" t="n">
        <x:v>86.8</x:v>
      </x:c>
      <x:c r="M4828" s="26" t="n">
        <x:v>0.1</x:v>
      </x:c>
      <x:c r="N4828" s="24" t="n">
        <x:v>2</x:v>
      </x:c>
      <x:c r="O4828" s="28" t="n">
        <x:f>MIN(1,L4828/I4828)</x:f>
        <x:v>0.434</x:v>
      </x:c>
      <x:c r="P4828" s="30" t="n">
        <x:f>O4828*J4828*(1+M4828)</x:f>
        <x:v>0.47740000000000005</x:v>
      </x:c>
      <x:c r="Q4828" s="30" t="n">
        <x:f>P4828*N4828</x:f>
        <x:v>0.9548000000000001</x:v>
      </x:c>
      <x:c r="R4828" s="19" t="str">
        <x:v>单池选一</x:v>
      </x:c>
    </x:row>
    <x:row r="4829" ht="19" customHeight="1">
      <x:c r="A4829" s="19" t="str">
        <x:v>D04825</x:v>
      </x:c>
      <x:c r="B4829" s="19" t="n">
        <x:v>10</x:v>
      </x:c>
      <x:c r="C4829" s="19" t="n">
        <x:v>2</x:v>
      </x:c>
      <x:c r="D4829" s="19" t="str">
        <x:v>C10-M023</x:v>
      </x:c>
      <x:c r="E4829" s="19" t="str">
        <x:v>百喉回廊吞声兽</x:v>
      </x:c>
      <x:c r="F4829" s="19" t="str">
        <x:v>地图BOSS</x:v>
      </x:c>
      <x:c r="G4829" s="19" t="str">
        <x:v>材料独立候选</x:v>
      </x:c>
      <x:c r="H4829" s="19" t="str">
        <x:v>王城金屑</x:v>
      </x:c>
      <x:c r="I4829" s="22" t="n">
        <x:v>600</x:v>
      </x:c>
      <x:c r="J4829" s="22" t="n">
        <x:v>30</x:v>
      </x:c>
      <x:c r="K4829" s="19" t="n">
        <x:v>1</x:v>
      </x:c>
      <x:c r="L4829" s="24" t="n">
        <x:v>86.8</x:v>
      </x:c>
      <x:c r="M4829" s="26" t="n">
        <x:v>0.1</x:v>
      </x:c>
      <x:c r="N4829" s="24" t="n">
        <x:v>2</x:v>
      </x:c>
      <x:c r="O4829" s="28" t="n">
        <x:f>MIN(1,L4829/I4829)</x:f>
        <x:v>0.14466666666666667</x:v>
      </x:c>
      <x:c r="P4829" s="30" t="n">
        <x:f>O4829*J4829*(1+M4829)</x:f>
        <x:v>4.774</x:v>
      </x:c>
      <x:c r="Q4829" s="30" t="n">
        <x:f>P4829*N4829</x:f>
        <x:v>9.548</x:v>
      </x:c>
      <x:c r="R4829" s="19" t="str">
        <x:v>独立判定</x:v>
      </x:c>
    </x:row>
    <x:row r="4830" ht="19" customHeight="1">
      <x:c r="A4830" s="19" t="str">
        <x:v>D04826</x:v>
      </x:c>
      <x:c r="B4830" s="19" t="n">
        <x:v>10</x:v>
      </x:c>
      <x:c r="C4830" s="19" t="n">
        <x:v>2</x:v>
      </x:c>
      <x:c r="D4830" s="19" t="str">
        <x:v>C10-M023</x:v>
      </x:c>
      <x:c r="E4830" s="19" t="str">
        <x:v>百喉回廊吞声兽</x:v>
      </x:c>
      <x:c r="F4830" s="19" t="str">
        <x:v>地图BOSS</x:v>
      </x:c>
      <x:c r="G4830" s="19" t="str">
        <x:v>材料独立候选</x:v>
      </x:c>
      <x:c r="H4830" s="19" t="str">
        <x:v>王宫律文</x:v>
      </x:c>
      <x:c r="I4830" s="22" t="n">
        <x:v>400</x:v>
      </x:c>
      <x:c r="J4830" s="22" t="n">
        <x:v>1</x:v>
      </x:c>
      <x:c r="K4830" s="19" t="n">
        <x:v>1</x:v>
      </x:c>
      <x:c r="L4830" s="24" t="n">
        <x:v>86.8</x:v>
      </x:c>
      <x:c r="M4830" s="26" t="n">
        <x:v>0.1</x:v>
      </x:c>
      <x:c r="N4830" s="24" t="n">
        <x:v>2</x:v>
      </x:c>
      <x:c r="O4830" s="28" t="n">
        <x:f>MIN(1,L4830/I4830)</x:f>
        <x:v>0.217</x:v>
      </x:c>
      <x:c r="P4830" s="30" t="n">
        <x:f>O4830*J4830*(1+M4830)</x:f>
        <x:v>0.23870000000000002</x:v>
      </x:c>
      <x:c r="Q4830" s="30" t="n">
        <x:f>P4830*N4830</x:f>
        <x:v>0.47740000000000005</x:v>
      </x:c>
      <x:c r="R4830" s="19" t="str">
        <x:v>独立判定</x:v>
      </x:c>
    </x:row>
    <x:row r="4831" ht="19" customHeight="1">
      <x:c r="A4831" s="19" t="str">
        <x:v>D04827</x:v>
      </x:c>
      <x:c r="B4831" s="19" t="n">
        <x:v>10</x:v>
      </x:c>
      <x:c r="C4831" s="19" t="n">
        <x:v>2</x:v>
      </x:c>
      <x:c r="D4831" s="19" t="str">
        <x:v>C10-M023</x:v>
      </x:c>
      <x:c r="E4831" s="19" t="str">
        <x:v>百喉回廊吞声兽</x:v>
      </x:c>
      <x:c r="F4831" s="19" t="str">
        <x:v>地图BOSS</x:v>
      </x:c>
      <x:c r="G4831" s="19" t="str">
        <x:v>材料独立候选</x:v>
      </x:c>
      <x:c r="H4831" s="19" t="str">
        <x:v>艾尔登王印</x:v>
      </x:c>
      <x:c r="I4831" s="22" t="n">
        <x:v>400</x:v>
      </x:c>
      <x:c r="J4831" s="22" t="n">
        <x:v>10</x:v>
      </x:c>
      <x:c r="K4831" s="19" t="n">
        <x:v>1</x:v>
      </x:c>
      <x:c r="L4831" s="24" t="n">
        <x:v>86.8</x:v>
      </x:c>
      <x:c r="M4831" s="26" t="n">
        <x:v>0.1</x:v>
      </x:c>
      <x:c r="N4831" s="24" t="n">
        <x:v>2</x:v>
      </x:c>
      <x:c r="O4831" s="28" t="n">
        <x:f>MIN(1,L4831/I4831)</x:f>
        <x:v>0.217</x:v>
      </x:c>
      <x:c r="P4831" s="30" t="n">
        <x:f>O4831*J4831*(1+M4831)</x:f>
        <x:v>2.387</x:v>
      </x:c>
      <x:c r="Q4831" s="30" t="n">
        <x:f>P4831*N4831</x:f>
        <x:v>4.774</x:v>
      </x:c>
      <x:c r="R4831" s="19" t="str">
        <x:v>独立判定</x:v>
      </x:c>
    </x:row>
    <x:row r="4832" ht="19" customHeight="1">
      <x:c r="A4832" s="19" t="str">
        <x:v>D04828</x:v>
      </x:c>
      <x:c r="B4832" s="19" t="n">
        <x:v>10</x:v>
      </x:c>
      <x:c r="C4832" s="19" t="n">
        <x:v>2</x:v>
      </x:c>
      <x:c r="D4832" s="19" t="str">
        <x:v>C10-M023</x:v>
      </x:c>
      <x:c r="E4832" s="19" t="str">
        <x:v>百喉回廊吞声兽</x:v>
      </x:c>
      <x:c r="F4832" s="19" t="str">
        <x:v>地图BOSS</x:v>
      </x:c>
      <x:c r="G4832" s="19" t="str">
        <x:v>材料独立候选</x:v>
      </x:c>
      <x:c r="H4832" s="19" t="str">
        <x:v>失温熔炉楔</x:v>
      </x:c>
      <x:c r="I4832" s="22" t="n">
        <x:v>400</x:v>
      </x:c>
      <x:c r="J4832" s="22" t="n">
        <x:v>4</x:v>
      </x:c>
      <x:c r="K4832" s="19" t="n">
        <x:v>1</x:v>
      </x:c>
      <x:c r="L4832" s="24" t="n">
        <x:v>86.8</x:v>
      </x:c>
      <x:c r="M4832" s="26" t="n">
        <x:v>0.1</x:v>
      </x:c>
      <x:c r="N4832" s="24" t="n">
        <x:v>2</x:v>
      </x:c>
      <x:c r="O4832" s="28" t="n">
        <x:f>MIN(1,L4832/I4832)</x:f>
        <x:v>0.217</x:v>
      </x:c>
      <x:c r="P4832" s="30" t="n">
        <x:f>O4832*J4832*(1+M4832)</x:f>
        <x:v>0.9548000000000001</x:v>
      </x:c>
      <x:c r="Q4832" s="30" t="n">
        <x:f>P4832*N4832</x:f>
        <x:v>1.9096000000000002</x:v>
      </x:c>
      <x:c r="R4832" s="19" t="str">
        <x:v>独立判定</x:v>
      </x:c>
    </x:row>
    <x:row r="4833" ht="19" customHeight="1">
      <x:c r="A4833" s="19" t="str">
        <x:v>D04829</x:v>
      </x:c>
      <x:c r="B4833" s="19" t="n">
        <x:v>10</x:v>
      </x:c>
      <x:c r="C4833" s="19" t="n">
        <x:v>2</x:v>
      </x:c>
      <x:c r="D4833" s="19" t="str">
        <x:v>C10-M023</x:v>
      </x:c>
      <x:c r="E4833" s="19" t="str">
        <x:v>百喉回廊吞声兽</x:v>
      </x:c>
      <x:c r="F4833" s="19" t="str">
        <x:v>地图BOSS</x:v>
      </x:c>
      <x:c r="G4833" s="19" t="str">
        <x:v>材料独立候选</x:v>
      </x:c>
      <x:c r="H4833" s="19" t="str">
        <x:v>穹律鎏痕拓片</x:v>
      </x:c>
      <x:c r="I4833" s="22" t="n">
        <x:v>1200000</x:v>
      </x:c>
      <x:c r="J4833" s="22" t="n">
        <x:v>1</x:v>
      </x:c>
      <x:c r="K4833" s="19" t="n">
        <x:v>1</x:v>
      </x:c>
      <x:c r="L4833" s="24" t="n">
        <x:v>86.8</x:v>
      </x:c>
      <x:c r="M4833" s="26" t="n">
        <x:v>0.1</x:v>
      </x:c>
      <x:c r="N4833" s="24" t="n">
        <x:v>2</x:v>
      </x:c>
      <x:c r="O4833" s="28" t="n">
        <x:f>MIN(1,L4833/I4833)</x:f>
        <x:v>0.00007233333333333333</x:v>
      </x:c>
      <x:c r="P4833" s="30" t="n">
        <x:f>O4833*J4833*(1+M4833)</x:f>
        <x:v>0.00007956666666666667</x:v>
      </x:c>
      <x:c r="Q4833" s="30" t="n">
        <x:f>P4833*N4833</x:f>
        <x:v>0.00015913333333333334</x:v>
      </x:c>
      <x:c r="R4833" s="19" t="str">
        <x:v>独立判定</x:v>
      </x:c>
    </x:row>
    <x:row r="4834" ht="19" customHeight="1">
      <x:c r="A4834" s="19" t="str">
        <x:v>D04830</x:v>
      </x:c>
      <x:c r="B4834" s="19" t="n">
        <x:v>10</x:v>
      </x:c>
      <x:c r="C4834" s="19" t="n">
        <x:v>2</x:v>
      </x:c>
      <x:c r="D4834" s="19" t="str">
        <x:v>C10-M023</x:v>
      </x:c>
      <x:c r="E4834" s="19" t="str">
        <x:v>百喉回廊吞声兽</x:v>
      </x:c>
      <x:c r="F4834" s="19" t="str">
        <x:v>地图BOSS</x:v>
      </x:c>
      <x:c r="G4834" s="19" t="str">
        <x:v>材料独立候选</x:v>
      </x:c>
      <x:c r="H4834" s="19" t="str">
        <x:v>黄金树芽</x:v>
      </x:c>
      <x:c r="I4834" s="22" t="n">
        <x:v>1500</x:v>
      </x:c>
      <x:c r="J4834" s="22" t="n">
        <x:v>1</x:v>
      </x:c>
      <x:c r="K4834" s="19" t="n">
        <x:v>1</x:v>
      </x:c>
      <x:c r="L4834" s="24" t="n">
        <x:v>86.8</x:v>
      </x:c>
      <x:c r="M4834" s="26" t="n">
        <x:v>0.1</x:v>
      </x:c>
      <x:c r="N4834" s="24" t="n">
        <x:v>2</x:v>
      </x:c>
      <x:c r="O4834" s="28" t="n">
        <x:f>MIN(1,L4834/I4834)</x:f>
        <x:v>0.057866666666666663</x:v>
      </x:c>
      <x:c r="P4834" s="30" t="n">
        <x:f>O4834*J4834*(1+M4834)</x:f>
        <x:v>0.06365333333333334</x:v>
      </x:c>
      <x:c r="Q4834" s="30" t="n">
        <x:f>P4834*N4834</x:f>
        <x:v>0.12730666666666668</x:v>
      </x:c>
      <x:c r="R4834" s="19" t="str">
        <x:v>独立判定</x:v>
      </x:c>
    </x:row>
    <x:row r="4835" ht="19" customHeight="1">
      <x:c r="A4835" s="19" t="str">
        <x:v>D04831</x:v>
      </x:c>
      <x:c r="B4835" s="19" t="n">
        <x:v>10</x:v>
      </x:c>
      <x:c r="C4835" s="19" t="n">
        <x:v>2</x:v>
      </x:c>
      <x:c r="D4835" s="19" t="str">
        <x:v>C10-M023</x:v>
      </x:c>
      <x:c r="E4835" s="19" t="str">
        <x:v>百喉回廊吞声兽</x:v>
      </x:c>
      <x:c r="F4835" s="19" t="str">
        <x:v>地图BOSS</x:v>
      </x:c>
      <x:c r="G4835" s="19" t="str">
        <x:v>材料独立候选</x:v>
      </x:c>
      <x:c r="H4835" s="19" t="str">
        <x:v>野兽骨片</x:v>
      </x:c>
      <x:c r="I4835" s="22" t="n">
        <x:v>150</x:v>
      </x:c>
      <x:c r="J4835" s="22" t="n">
        <x:v>4</x:v>
      </x:c>
      <x:c r="K4835" s="19" t="n">
        <x:v>1</x:v>
      </x:c>
      <x:c r="L4835" s="24" t="n">
        <x:v>86.8</x:v>
      </x:c>
      <x:c r="M4835" s="26" t="n">
        <x:v>0.1</x:v>
      </x:c>
      <x:c r="N4835" s="24" t="n">
        <x:v>2</x:v>
      </x:c>
      <x:c r="O4835" s="28" t="n">
        <x:f>MIN(1,L4835/I4835)</x:f>
        <x:v>0.5786666666666667</x:v>
      </x:c>
      <x:c r="P4835" s="30" t="n">
        <x:f>O4835*J4835*(1+M4835)</x:f>
        <x:v>2.5461333333333336</x:v>
      </x:c>
      <x:c r="Q4835" s="30" t="n">
        <x:f>P4835*N4835</x:f>
        <x:v>5.092266666666667</x:v>
      </x:c>
      <x:c r="R4835" s="19" t="str">
        <x:v>独立判定</x:v>
      </x:c>
    </x:row>
    <x:row r="4836" ht="19" customHeight="1">
      <x:c r="A4836" s="19" t="str">
        <x:v>D04832</x:v>
      </x:c>
      <x:c r="B4836" s="19" t="n">
        <x:v>10</x:v>
      </x:c>
      <x:c r="C4836" s="19" t="n">
        <x:v>2</x:v>
      </x:c>
      <x:c r="D4836" s="19" t="str">
        <x:v>C10-M023</x:v>
      </x:c>
      <x:c r="E4836" s="19" t="str">
        <x:v>百喉回廊吞声兽</x:v>
      </x:c>
      <x:c r="F4836" s="19" t="str">
        <x:v>地图BOSS</x:v>
      </x:c>
      <x:c r="G4836" s="19" t="str">
        <x:v>材料独立候选</x:v>
      </x:c>
      <x:c r="H4836" s="19" t="str">
        <x:v>技能残页</x:v>
      </x:c>
      <x:c r="I4836" s="22" t="n">
        <x:v>1500</x:v>
      </x:c>
      <x:c r="J4836" s="22" t="n">
        <x:v>1</x:v>
      </x:c>
      <x:c r="K4836" s="19" t="n">
        <x:v>1</x:v>
      </x:c>
      <x:c r="L4836" s="24" t="n">
        <x:v>86.8</x:v>
      </x:c>
      <x:c r="M4836" s="26" t="n">
        <x:v>0.1</x:v>
      </x:c>
      <x:c r="N4836" s="24" t="n">
        <x:v>2</x:v>
      </x:c>
      <x:c r="O4836" s="28" t="n">
        <x:f>MIN(1,L4836/I4836)</x:f>
        <x:v>0.057866666666666663</x:v>
      </x:c>
      <x:c r="P4836" s="30" t="n">
        <x:f>O4836*J4836*(1+M4836)</x:f>
        <x:v>0.06365333333333334</x:v>
      </x:c>
      <x:c r="Q4836" s="30" t="n">
        <x:f>P4836*N4836</x:f>
        <x:v>0.12730666666666668</x:v>
      </x:c>
      <x:c r="R4836" s="19" t="str">
        <x:v>独立判定</x:v>
      </x:c>
    </x:row>
    <x:row r="4837" ht="19" customHeight="1">
      <x:c r="A4837" s="19" t="str">
        <x:v>D04833</x:v>
      </x:c>
      <x:c r="B4837" s="19" t="n">
        <x:v>10</x:v>
      </x:c>
      <x:c r="C4837" s="19" t="n">
        <x:v>2</x:v>
      </x:c>
      <x:c r="D4837" s="19" t="str">
        <x:v>C10-M023</x:v>
      </x:c>
      <x:c r="E4837" s="19" t="str">
        <x:v>百喉回廊吞声兽</x:v>
      </x:c>
      <x:c r="F4837" s="19" t="str">
        <x:v>地图BOSS</x:v>
      </x:c>
      <x:c r="G4837" s="19" t="str">
        <x:v>材料独立候选</x:v>
      </x:c>
      <x:c r="H4837" s="19" t="str">
        <x:v>宁姆格福誓页</x:v>
      </x:c>
      <x:c r="I4837" s="22" t="n">
        <x:v>1000</x:v>
      </x:c>
      <x:c r="J4837" s="22" t="n">
        <x:v>1</x:v>
      </x:c>
      <x:c r="K4837" s="19" t="n">
        <x:v>1</x:v>
      </x:c>
      <x:c r="L4837" s="24" t="n">
        <x:v>86.8</x:v>
      </x:c>
      <x:c r="M4837" s="26" t="n">
        <x:v>0.1</x:v>
      </x:c>
      <x:c r="N4837" s="24" t="n">
        <x:v>2</x:v>
      </x:c>
      <x:c r="O4837" s="28" t="n">
        <x:f>MIN(1,L4837/I4837)</x:f>
        <x:v>0.0868</x:v>
      </x:c>
      <x:c r="P4837" s="30" t="n">
        <x:f>O4837*J4837*(1+M4837)</x:f>
        <x:v>0.09548000000000001</x:v>
      </x:c>
      <x:c r="Q4837" s="30" t="n">
        <x:f>P4837*N4837</x:f>
        <x:v>0.19096000000000002</x:v>
      </x:c>
      <x:c r="R4837" s="19" t="str">
        <x:v>独立判定</x:v>
      </x:c>
    </x:row>
    <x:row r="4838" ht="19" customHeight="1">
      <x:c r="A4838" s="19" t="str">
        <x:v>D04834</x:v>
      </x:c>
      <x:c r="B4838" s="19" t="n">
        <x:v>10</x:v>
      </x:c>
      <x:c r="C4838" s="19" t="n">
        <x:v>2</x:v>
      </x:c>
      <x:c r="D4838" s="19" t="str">
        <x:v>C10-M023</x:v>
      </x:c>
      <x:c r="E4838" s="19" t="str">
        <x:v>百喉回廊吞声兽</x:v>
      </x:c>
      <x:c r="F4838" s="19" t="str">
        <x:v>地图BOSS</x:v>
      </x:c>
      <x:c r="G4838" s="19" t="str">
        <x:v>材料独立候选</x:v>
      </x:c>
      <x:c r="H4838" s="19" t="str">
        <x:v>小卢恩</x:v>
      </x:c>
      <x:c r="I4838" s="22" t="n">
        <x:v>8000</x:v>
      </x:c>
      <x:c r="J4838" s="22" t="n">
        <x:v>1</x:v>
      </x:c>
      <x:c r="K4838" s="19" t="n">
        <x:v>1</x:v>
      </x:c>
      <x:c r="L4838" s="24" t="n">
        <x:v>86.8</x:v>
      </x:c>
      <x:c r="M4838" s="26" t="n">
        <x:v>0.1</x:v>
      </x:c>
      <x:c r="N4838" s="24" t="n">
        <x:v>2</x:v>
      </x:c>
      <x:c r="O4838" s="28" t="n">
        <x:f>MIN(1,L4838/I4838)</x:f>
        <x:v>0.01085</x:v>
      </x:c>
      <x:c r="P4838" s="30" t="n">
        <x:f>O4838*J4838*(1+M4838)</x:f>
        <x:v>0.011935000000000001</x:v>
      </x:c>
      <x:c r="Q4838" s="30" t="n">
        <x:f>P4838*N4838</x:f>
        <x:v>0.023870000000000002</x:v>
      </x:c>
      <x:c r="R4838" s="19" t="str">
        <x:v>独立判定</x:v>
      </x:c>
    </x:row>
    <x:row r="4839" ht="19" customHeight="1">
      <x:c r="A4839" s="19" t="str">
        <x:v>D04835</x:v>
      </x:c>
      <x:c r="B4839" s="19" t="n">
        <x:v>10</x:v>
      </x:c>
      <x:c r="C4839" s="19" t="n">
        <x:v>2</x:v>
      </x:c>
      <x:c r="D4839" s="19" t="str">
        <x:v>C10-M023</x:v>
      </x:c>
      <x:c r="E4839" s="19" t="str">
        <x:v>百喉回廊吞声兽</x:v>
      </x:c>
      <x:c r="F4839" s="19" t="str">
        <x:v>地图BOSS</x:v>
      </x:c>
      <x:c r="G4839" s="19" t="str">
        <x:v>材料独立候选</x:v>
      </x:c>
      <x:c r="H4839" s="19" t="str">
        <x:v>大卢恩</x:v>
      </x:c>
      <x:c r="I4839" s="22" t="n">
        <x:v>800</x:v>
      </x:c>
      <x:c r="J4839" s="22" t="n">
        <x:v>1</x:v>
      </x:c>
      <x:c r="K4839" s="19" t="n">
        <x:v>1</x:v>
      </x:c>
      <x:c r="L4839" s="24" t="n">
        <x:v>86.8</x:v>
      </x:c>
      <x:c r="M4839" s="26" t="n">
        <x:v>0.1</x:v>
      </x:c>
      <x:c r="N4839" s="24" t="n">
        <x:v>2</x:v>
      </x:c>
      <x:c r="O4839" s="28" t="n">
        <x:f>MIN(1,L4839/I4839)</x:f>
        <x:v>0.1085</x:v>
      </x:c>
      <x:c r="P4839" s="30" t="n">
        <x:f>O4839*J4839*(1+M4839)</x:f>
        <x:v>0.11935000000000001</x:v>
      </x:c>
      <x:c r="Q4839" s="30" t="n">
        <x:f>P4839*N4839</x:f>
        <x:v>0.23870000000000002</x:v>
      </x:c>
      <x:c r="R4839" s="19" t="str">
        <x:v>独立判定</x:v>
      </x:c>
    </x:row>
    <x:row r="4840" ht="19" customHeight="1">
      <x:c r="A4840" s="19" t="str">
        <x:v>D04836</x:v>
      </x:c>
      <x:c r="B4840" s="19" t="n">
        <x:v>10</x:v>
      </x:c>
      <x:c r="C4840" s="19" t="n">
        <x:v>2</x:v>
      </x:c>
      <x:c r="D4840" s="19" t="str">
        <x:v>C10-M023</x:v>
      </x:c>
      <x:c r="E4840" s="19" t="str">
        <x:v>百喉回廊吞声兽</x:v>
      </x:c>
      <x:c r="F4840" s="19" t="str">
        <x:v>地图BOSS</x:v>
      </x:c>
      <x:c r="G4840" s="19" t="str">
        <x:v>材料独立候选</x:v>
      </x:c>
      <x:c r="H4840" s="19" t="str">
        <x:v>巨人熔火卢恩</x:v>
      </x:c>
      <x:c r="I4840" s="22" t="n">
        <x:v>1000</x:v>
      </x:c>
      <x:c r="J4840" s="22" t="n">
        <x:v>1</x:v>
      </x:c>
      <x:c r="K4840" s="19" t="n">
        <x:v>1</x:v>
      </x:c>
      <x:c r="L4840" s="24" t="n">
        <x:v>86.8</x:v>
      </x:c>
      <x:c r="M4840" s="26" t="n">
        <x:v>0.1</x:v>
      </x:c>
      <x:c r="N4840" s="24" t="n">
        <x:v>2</x:v>
      </x:c>
      <x:c r="O4840" s="28" t="n">
        <x:f>MIN(1,L4840/I4840)</x:f>
        <x:v>0.0868</x:v>
      </x:c>
      <x:c r="P4840" s="30" t="n">
        <x:f>O4840*J4840*(1+M4840)</x:f>
        <x:v>0.09548000000000001</x:v>
      </x:c>
      <x:c r="Q4840" s="30" t="n">
        <x:f>P4840*N4840</x:f>
        <x:v>0.19096000000000002</x:v>
      </x:c>
      <x:c r="R4840" s="19" t="str">
        <x:v>独立判定</x:v>
      </x:c>
    </x:row>
    <x:row r="4841" ht="19" customHeight="1">
      <x:c r="A4841" s="19" t="str">
        <x:v>D04837</x:v>
      </x:c>
      <x:c r="B4841" s="19" t="n">
        <x:v>10</x:v>
      </x:c>
      <x:c r="C4841" s="19" t="n">
        <x:v>2</x:v>
      </x:c>
      <x:c r="D4841" s="19" t="str">
        <x:v>C10-M023</x:v>
      </x:c>
      <x:c r="E4841" s="19" t="str">
        <x:v>百喉回廊吞声兽</x:v>
      </x:c>
      <x:c r="F4841" s="19" t="str">
        <x:v>地图BOSS</x:v>
      </x:c>
      <x:c r="G4841" s="19" t="str">
        <x:v>材料独立候选</x:v>
      </x:c>
      <x:c r="H4841" s="19" t="str">
        <x:v>黄金律法卢恩</x:v>
      </x:c>
      <x:c r="I4841" s="22" t="n">
        <x:v>400</x:v>
      </x:c>
      <x:c r="J4841" s="22" t="n">
        <x:v>15</x:v>
      </x:c>
      <x:c r="K4841" s="19" t="n">
        <x:v>1</x:v>
      </x:c>
      <x:c r="L4841" s="24" t="n">
        <x:v>86.8</x:v>
      </x:c>
      <x:c r="M4841" s="26" t="n">
        <x:v>0.1</x:v>
      </x:c>
      <x:c r="N4841" s="24" t="n">
        <x:v>2</x:v>
      </x:c>
      <x:c r="O4841" s="28" t="n">
        <x:f>MIN(1,L4841/I4841)</x:f>
        <x:v>0.217</x:v>
      </x:c>
      <x:c r="P4841" s="30" t="n">
        <x:f>O4841*J4841*(1+M4841)</x:f>
        <x:v>3.5805000000000002</x:v>
      </x:c>
      <x:c r="Q4841" s="30" t="n">
        <x:f>P4841*N4841</x:f>
        <x:v>7.1610000000000005</x:v>
      </x:c>
      <x:c r="R4841" s="19" t="str">
        <x:v>独立判定</x:v>
      </x:c>
    </x:row>
    <x:row r="4842" ht="19" customHeight="1">
      <x:c r="A4842" s="19" t="str">
        <x:v>D04838</x:v>
      </x:c>
      <x:c r="B4842" s="19" t="n">
        <x:v>10</x:v>
      </x:c>
      <x:c r="C4842" s="19" t="n">
        <x:v>2</x:v>
      </x:c>
      <x:c r="D4842" s="19" t="str">
        <x:v>C10-M023</x:v>
      </x:c>
      <x:c r="E4842" s="19" t="str">
        <x:v>百喉回廊吞声兽</x:v>
      </x:c>
      <x:c r="F4842" s="19" t="str">
        <x:v>地图BOSS</x:v>
      </x:c>
      <x:c r="G4842" s="19" t="str">
        <x:v>六神器公共池</x:v>
      </x:c>
      <x:c r="H4842" s="19" t="str">
        <x:v>POOL006</x:v>
      </x:c>
      <x:c r="I4842" s="22" t="n">
        <x:v>200000</x:v>
      </x:c>
      <x:c r="J4842" s="22" t="n">
        <x:v>1</x:v>
      </x:c>
      <x:c r="K4842" s="19" t="n">
        <x:v>6</x:v>
      </x:c>
      <x:c r="L4842" s="24" t="n">
        <x:v>86.8</x:v>
      </x:c>
      <x:c r="M4842" s="26" t="n">
        <x:v>0.1</x:v>
      </x:c>
      <x:c r="N4842" s="24" t="n">
        <x:v>2</x:v>
      </x:c>
      <x:c r="O4842" s="28" t="n">
        <x:f>MIN(1,L4842/I4842)</x:f>
        <x:v>0.000434</x:v>
      </x:c>
      <x:c r="P4842" s="30" t="n">
        <x:f>O4842*J4842*(1+M4842)</x:f>
        <x:v>0.0004774</x:v>
      </x:c>
      <x:c r="Q4842" s="30" t="n">
        <x:f>P4842*N4842</x:f>
        <x:v>0.0009548</x:v>
      </x:c>
      <x:c r="R4842" s="19" t="str">
        <x:v>六选一；非6个独立爆率</x:v>
      </x:c>
    </x:row>
    <x:row r="4843" ht="19" customHeight="1">
      <x:c r="A4843" s="19" t="str">
        <x:v>D04839</x:v>
      </x:c>
      <x:c r="B4843" s="19" t="n">
        <x:v>10</x:v>
      </x:c>
      <x:c r="C4843" s="19" t="n">
        <x:v>2</x:v>
      </x:c>
      <x:c r="D4843" s="19" t="str">
        <x:v>C10-M024</x:v>
      </x:c>
      <x:c r="E4843" s="19" t="str">
        <x:v>鎏污大司闸</x:v>
      </x:c>
      <x:c r="F4843" s="19" t="str">
        <x:v>地图BOSS</x:v>
      </x:c>
      <x:c r="G4843" s="19" t="str">
        <x:v>自身专属</x:v>
      </x:c>
      <x:c r="H4843" s="19" t="str">
        <x:v>鎏污司闸战袍</x:v>
      </x:c>
      <x:c r="I4843" s="22" t="n">
        <x:v>400</x:v>
      </x:c>
      <x:c r="J4843" s="22" t="n">
        <x:v>1</x:v>
      </x:c>
      <x:c r="K4843" s="19" t="n">
        <x:v>1</x:v>
      </x:c>
      <x:c r="L4843" s="24" t="n">
        <x:v>86.8</x:v>
      </x:c>
      <x:c r="M4843" s="26" t="n">
        <x:v>0.1</x:v>
      </x:c>
      <x:c r="N4843" s="24" t="n">
        <x:v>2</x:v>
      </x:c>
      <x:c r="O4843" s="28" t="n">
        <x:f>MIN(1,L4843/I4843)</x:f>
        <x:v>0.217</x:v>
      </x:c>
      <x:c r="P4843" s="30" t="n">
        <x:f>O4843*J4843*(1+M4843)</x:f>
        <x:v>0.23870000000000002</x:v>
      </x:c>
      <x:c r="Q4843" s="30" t="n">
        <x:f>P4843*N4843</x:f>
        <x:v>0.47740000000000005</x:v>
      </x:c>
      <x:c r="R4843" s="19" t="str">
        <x:v>独立判定</x:v>
      </x:c>
    </x:row>
    <x:row r="4844" ht="19" customHeight="1">
      <x:c r="A4844" s="19" t="str">
        <x:v>D04840</x:v>
      </x:c>
      <x:c r="B4844" s="19" t="n">
        <x:v>10</x:v>
      </x:c>
      <x:c r="C4844" s="19" t="n">
        <x:v>2</x:v>
      </x:c>
      <x:c r="D4844" s="19" t="str">
        <x:v>C10-M024</x:v>
      </x:c>
      <x:c r="E4844" s="19" t="str">
        <x:v>鎏污大司闸</x:v>
      </x:c>
      <x:c r="F4844" s="19" t="str">
        <x:v>地图BOSS</x:v>
      </x:c>
      <x:c r="G4844" s="19" t="str">
        <x:v>自身专属</x:v>
      </x:c>
      <x:c r="H4844" s="19" t="str">
        <x:v>终律心坠</x:v>
      </x:c>
      <x:c r="I4844" s="22" t="n">
        <x:v>400</x:v>
      </x:c>
      <x:c r="J4844" s="22" t="n">
        <x:v>1</x:v>
      </x:c>
      <x:c r="K4844" s="19" t="n">
        <x:v>1</x:v>
      </x:c>
      <x:c r="L4844" s="24" t="n">
        <x:v>86.8</x:v>
      </x:c>
      <x:c r="M4844" s="26" t="n">
        <x:v>0.1</x:v>
      </x:c>
      <x:c r="N4844" s="24" t="n">
        <x:v>2</x:v>
      </x:c>
      <x:c r="O4844" s="28" t="n">
        <x:f>MIN(1,L4844/I4844)</x:f>
        <x:v>0.217</x:v>
      </x:c>
      <x:c r="P4844" s="30" t="n">
        <x:f>O4844*J4844*(1+M4844)</x:f>
        <x:v>0.23870000000000002</x:v>
      </x:c>
      <x:c r="Q4844" s="30" t="n">
        <x:f>P4844*N4844</x:f>
        <x:v>0.47740000000000005</x:v>
      </x:c>
      <x:c r="R4844" s="19" t="str">
        <x:v>独立判定</x:v>
      </x:c>
    </x:row>
    <x:row r="4845" ht="19" customHeight="1">
      <x:c r="A4845" s="19" t="str">
        <x:v>D04841</x:v>
      </x:c>
      <x:c r="B4845" s="19" t="n">
        <x:v>10</x:v>
      </x:c>
      <x:c r="C4845" s="19" t="n">
        <x:v>2</x:v>
      </x:c>
      <x:c r="D4845" s="19" t="str">
        <x:v>C10-M024</x:v>
      </x:c>
      <x:c r="E4845" s="19" t="str">
        <x:v>鎏污大司闸</x:v>
      </x:c>
      <x:c r="F4845" s="19" t="str">
        <x:v>地图BOSS</x:v>
      </x:c>
      <x:c r="G4845" s="19" t="str">
        <x:v>本图普通兼掉候选</x:v>
      </x:c>
      <x:c r="H4845" s="19" t="str">
        <x:v>POOL081</x:v>
      </x:c>
      <x:c r="I4845" s="22" t="n">
        <x:v>200</x:v>
      </x:c>
      <x:c r="J4845" s="22" t="n">
        <x:v>1</x:v>
      </x:c>
      <x:c r="K4845" s="19" t="n">
        <x:v>2</x:v>
      </x:c>
      <x:c r="L4845" s="24" t="n">
        <x:v>86.8</x:v>
      </x:c>
      <x:c r="M4845" s="26" t="n">
        <x:v>0.1</x:v>
      </x:c>
      <x:c r="N4845" s="24" t="n">
        <x:v>2</x:v>
      </x:c>
      <x:c r="O4845" s="28" t="n">
        <x:f>MIN(1,L4845/I4845)</x:f>
        <x:v>0.434</x:v>
      </x:c>
      <x:c r="P4845" s="30" t="n">
        <x:f>O4845*J4845*(1+M4845)</x:f>
        <x:v>0.47740000000000005</x:v>
      </x:c>
      <x:c r="Q4845" s="30" t="n">
        <x:f>P4845*N4845</x:f>
        <x:v>0.9548000000000001</x:v>
      </x:c>
      <x:c r="R4845" s="19" t="str">
        <x:v>单池选一</x:v>
      </x:c>
    </x:row>
    <x:row r="4846" ht="19" customHeight="1">
      <x:c r="A4846" s="19" t="str">
        <x:v>D04842</x:v>
      </x:c>
      <x:c r="B4846" s="19" t="n">
        <x:v>10</x:v>
      </x:c>
      <x:c r="C4846" s="19" t="n">
        <x:v>2</x:v>
      </x:c>
      <x:c r="D4846" s="19" t="str">
        <x:v>C10-M024</x:v>
      </x:c>
      <x:c r="E4846" s="19" t="str">
        <x:v>鎏污大司闸</x:v>
      </x:c>
      <x:c r="F4846" s="19" t="str">
        <x:v>地图BOSS</x:v>
      </x:c>
      <x:c r="G4846" s="19" t="str">
        <x:v>材料独立候选</x:v>
      </x:c>
      <x:c r="H4846" s="19" t="str">
        <x:v>王城金屑</x:v>
      </x:c>
      <x:c r="I4846" s="22" t="n">
        <x:v>600</x:v>
      </x:c>
      <x:c r="J4846" s="22" t="n">
        <x:v>30</x:v>
      </x:c>
      <x:c r="K4846" s="19" t="n">
        <x:v>1</x:v>
      </x:c>
      <x:c r="L4846" s="24" t="n">
        <x:v>86.8</x:v>
      </x:c>
      <x:c r="M4846" s="26" t="n">
        <x:v>0.1</x:v>
      </x:c>
      <x:c r="N4846" s="24" t="n">
        <x:v>2</x:v>
      </x:c>
      <x:c r="O4846" s="28" t="n">
        <x:f>MIN(1,L4846/I4846)</x:f>
        <x:v>0.14466666666666667</x:v>
      </x:c>
      <x:c r="P4846" s="30" t="n">
        <x:f>O4846*J4846*(1+M4846)</x:f>
        <x:v>4.774</x:v>
      </x:c>
      <x:c r="Q4846" s="30" t="n">
        <x:f>P4846*N4846</x:f>
        <x:v>9.548</x:v>
      </x:c>
      <x:c r="R4846" s="19" t="str">
        <x:v>独立判定</x:v>
      </x:c>
    </x:row>
    <x:row r="4847" ht="19" customHeight="1">
      <x:c r="A4847" s="19" t="str">
        <x:v>D04843</x:v>
      </x:c>
      <x:c r="B4847" s="19" t="n">
        <x:v>10</x:v>
      </x:c>
      <x:c r="C4847" s="19" t="n">
        <x:v>2</x:v>
      </x:c>
      <x:c r="D4847" s="19" t="str">
        <x:v>C10-M024</x:v>
      </x:c>
      <x:c r="E4847" s="19" t="str">
        <x:v>鎏污大司闸</x:v>
      </x:c>
      <x:c r="F4847" s="19" t="str">
        <x:v>地图BOSS</x:v>
      </x:c>
      <x:c r="G4847" s="19" t="str">
        <x:v>材料独立候选</x:v>
      </x:c>
      <x:c r="H4847" s="19" t="str">
        <x:v>王宫律文</x:v>
      </x:c>
      <x:c r="I4847" s="22" t="n">
        <x:v>400</x:v>
      </x:c>
      <x:c r="J4847" s="22" t="n">
        <x:v>1</x:v>
      </x:c>
      <x:c r="K4847" s="19" t="n">
        <x:v>1</x:v>
      </x:c>
      <x:c r="L4847" s="24" t="n">
        <x:v>86.8</x:v>
      </x:c>
      <x:c r="M4847" s="26" t="n">
        <x:v>0.1</x:v>
      </x:c>
      <x:c r="N4847" s="24" t="n">
        <x:v>2</x:v>
      </x:c>
      <x:c r="O4847" s="28" t="n">
        <x:f>MIN(1,L4847/I4847)</x:f>
        <x:v>0.217</x:v>
      </x:c>
      <x:c r="P4847" s="30" t="n">
        <x:f>O4847*J4847*(1+M4847)</x:f>
        <x:v>0.23870000000000002</x:v>
      </x:c>
      <x:c r="Q4847" s="30" t="n">
        <x:f>P4847*N4847</x:f>
        <x:v>0.47740000000000005</x:v>
      </x:c>
      <x:c r="R4847" s="19" t="str">
        <x:v>独立判定</x:v>
      </x:c>
    </x:row>
    <x:row r="4848" ht="19" customHeight="1">
      <x:c r="A4848" s="19" t="str">
        <x:v>D04844</x:v>
      </x:c>
      <x:c r="B4848" s="19" t="n">
        <x:v>10</x:v>
      </x:c>
      <x:c r="C4848" s="19" t="n">
        <x:v>2</x:v>
      </x:c>
      <x:c r="D4848" s="19" t="str">
        <x:v>C10-M024</x:v>
      </x:c>
      <x:c r="E4848" s="19" t="str">
        <x:v>鎏污大司闸</x:v>
      </x:c>
      <x:c r="F4848" s="19" t="str">
        <x:v>地图BOSS</x:v>
      </x:c>
      <x:c r="G4848" s="19" t="str">
        <x:v>材料独立候选</x:v>
      </x:c>
      <x:c r="H4848" s="19" t="str">
        <x:v>艾尔登王印</x:v>
      </x:c>
      <x:c r="I4848" s="22" t="n">
        <x:v>400</x:v>
      </x:c>
      <x:c r="J4848" s="22" t="n">
        <x:v>10</x:v>
      </x:c>
      <x:c r="K4848" s="19" t="n">
        <x:v>1</x:v>
      </x:c>
      <x:c r="L4848" s="24" t="n">
        <x:v>86.8</x:v>
      </x:c>
      <x:c r="M4848" s="26" t="n">
        <x:v>0.1</x:v>
      </x:c>
      <x:c r="N4848" s="24" t="n">
        <x:v>2</x:v>
      </x:c>
      <x:c r="O4848" s="28" t="n">
        <x:f>MIN(1,L4848/I4848)</x:f>
        <x:v>0.217</x:v>
      </x:c>
      <x:c r="P4848" s="30" t="n">
        <x:f>O4848*J4848*(1+M4848)</x:f>
        <x:v>2.387</x:v>
      </x:c>
      <x:c r="Q4848" s="30" t="n">
        <x:f>P4848*N4848</x:f>
        <x:v>4.774</x:v>
      </x:c>
      <x:c r="R4848" s="19" t="str">
        <x:v>独立判定</x:v>
      </x:c>
    </x:row>
    <x:row r="4849" ht="19" customHeight="1">
      <x:c r="A4849" s="19" t="str">
        <x:v>D04845</x:v>
      </x:c>
      <x:c r="B4849" s="19" t="n">
        <x:v>10</x:v>
      </x:c>
      <x:c r="C4849" s="19" t="n">
        <x:v>2</x:v>
      </x:c>
      <x:c r="D4849" s="19" t="str">
        <x:v>C10-M024</x:v>
      </x:c>
      <x:c r="E4849" s="19" t="str">
        <x:v>鎏污大司闸</x:v>
      </x:c>
      <x:c r="F4849" s="19" t="str">
        <x:v>地图BOSS</x:v>
      </x:c>
      <x:c r="G4849" s="19" t="str">
        <x:v>材料独立候选</x:v>
      </x:c>
      <x:c r="H4849" s="19" t="str">
        <x:v>失温熔炉楔</x:v>
      </x:c>
      <x:c r="I4849" s="22" t="n">
        <x:v>400</x:v>
      </x:c>
      <x:c r="J4849" s="22" t="n">
        <x:v>4</x:v>
      </x:c>
      <x:c r="K4849" s="19" t="n">
        <x:v>1</x:v>
      </x:c>
      <x:c r="L4849" s="24" t="n">
        <x:v>86.8</x:v>
      </x:c>
      <x:c r="M4849" s="26" t="n">
        <x:v>0.1</x:v>
      </x:c>
      <x:c r="N4849" s="24" t="n">
        <x:v>2</x:v>
      </x:c>
      <x:c r="O4849" s="28" t="n">
        <x:f>MIN(1,L4849/I4849)</x:f>
        <x:v>0.217</x:v>
      </x:c>
      <x:c r="P4849" s="30" t="n">
        <x:f>O4849*J4849*(1+M4849)</x:f>
        <x:v>0.9548000000000001</x:v>
      </x:c>
      <x:c r="Q4849" s="30" t="n">
        <x:f>P4849*N4849</x:f>
        <x:v>1.9096000000000002</x:v>
      </x:c>
      <x:c r="R4849" s="19" t="str">
        <x:v>独立判定</x:v>
      </x:c>
    </x:row>
    <x:row r="4850" ht="19" customHeight="1">
      <x:c r="A4850" s="19" t="str">
        <x:v>D04846</x:v>
      </x:c>
      <x:c r="B4850" s="19" t="n">
        <x:v>10</x:v>
      </x:c>
      <x:c r="C4850" s="19" t="n">
        <x:v>2</x:v>
      </x:c>
      <x:c r="D4850" s="19" t="str">
        <x:v>C10-M024</x:v>
      </x:c>
      <x:c r="E4850" s="19" t="str">
        <x:v>鎏污大司闸</x:v>
      </x:c>
      <x:c r="F4850" s="19" t="str">
        <x:v>地图BOSS</x:v>
      </x:c>
      <x:c r="G4850" s="19" t="str">
        <x:v>材料独立候选</x:v>
      </x:c>
      <x:c r="H4850" s="19" t="str">
        <x:v>穹律鎏痕拓片</x:v>
      </x:c>
      <x:c r="I4850" s="22" t="n">
        <x:v>1200000</x:v>
      </x:c>
      <x:c r="J4850" s="22" t="n">
        <x:v>1</x:v>
      </x:c>
      <x:c r="K4850" s="19" t="n">
        <x:v>1</x:v>
      </x:c>
      <x:c r="L4850" s="24" t="n">
        <x:v>86.8</x:v>
      </x:c>
      <x:c r="M4850" s="26" t="n">
        <x:v>0.1</x:v>
      </x:c>
      <x:c r="N4850" s="24" t="n">
        <x:v>2</x:v>
      </x:c>
      <x:c r="O4850" s="28" t="n">
        <x:f>MIN(1,L4850/I4850)</x:f>
        <x:v>0.00007233333333333333</x:v>
      </x:c>
      <x:c r="P4850" s="30" t="n">
        <x:f>O4850*J4850*(1+M4850)</x:f>
        <x:v>0.00007956666666666667</x:v>
      </x:c>
      <x:c r="Q4850" s="30" t="n">
        <x:f>P4850*N4850</x:f>
        <x:v>0.00015913333333333334</x:v>
      </x:c>
      <x:c r="R4850" s="19" t="str">
        <x:v>独立判定</x:v>
      </x:c>
    </x:row>
    <x:row r="4851" ht="19" customHeight="1">
      <x:c r="A4851" s="19" t="str">
        <x:v>D04847</x:v>
      </x:c>
      <x:c r="B4851" s="19" t="n">
        <x:v>10</x:v>
      </x:c>
      <x:c r="C4851" s="19" t="n">
        <x:v>2</x:v>
      </x:c>
      <x:c r="D4851" s="19" t="str">
        <x:v>C10-M024</x:v>
      </x:c>
      <x:c r="E4851" s="19" t="str">
        <x:v>鎏污大司闸</x:v>
      </x:c>
      <x:c r="F4851" s="19" t="str">
        <x:v>地图BOSS</x:v>
      </x:c>
      <x:c r="G4851" s="19" t="str">
        <x:v>材料独立候选</x:v>
      </x:c>
      <x:c r="H4851" s="19" t="str">
        <x:v>黄金树芽</x:v>
      </x:c>
      <x:c r="I4851" s="22" t="n">
        <x:v>1500</x:v>
      </x:c>
      <x:c r="J4851" s="22" t="n">
        <x:v>1</x:v>
      </x:c>
      <x:c r="K4851" s="19" t="n">
        <x:v>1</x:v>
      </x:c>
      <x:c r="L4851" s="24" t="n">
        <x:v>86.8</x:v>
      </x:c>
      <x:c r="M4851" s="26" t="n">
        <x:v>0.1</x:v>
      </x:c>
      <x:c r="N4851" s="24" t="n">
        <x:v>2</x:v>
      </x:c>
      <x:c r="O4851" s="28" t="n">
        <x:f>MIN(1,L4851/I4851)</x:f>
        <x:v>0.057866666666666663</x:v>
      </x:c>
      <x:c r="P4851" s="30" t="n">
        <x:f>O4851*J4851*(1+M4851)</x:f>
        <x:v>0.06365333333333334</x:v>
      </x:c>
      <x:c r="Q4851" s="30" t="n">
        <x:f>P4851*N4851</x:f>
        <x:v>0.12730666666666668</x:v>
      </x:c>
      <x:c r="R4851" s="19" t="str">
        <x:v>独立判定</x:v>
      </x:c>
    </x:row>
    <x:row r="4852" ht="19" customHeight="1">
      <x:c r="A4852" s="19" t="str">
        <x:v>D04848</x:v>
      </x:c>
      <x:c r="B4852" s="19" t="n">
        <x:v>10</x:v>
      </x:c>
      <x:c r="C4852" s="19" t="n">
        <x:v>2</x:v>
      </x:c>
      <x:c r="D4852" s="19" t="str">
        <x:v>C10-M024</x:v>
      </x:c>
      <x:c r="E4852" s="19" t="str">
        <x:v>鎏污大司闸</x:v>
      </x:c>
      <x:c r="F4852" s="19" t="str">
        <x:v>地图BOSS</x:v>
      </x:c>
      <x:c r="G4852" s="19" t="str">
        <x:v>材料独立候选</x:v>
      </x:c>
      <x:c r="H4852" s="19" t="str">
        <x:v>野兽骨片</x:v>
      </x:c>
      <x:c r="I4852" s="22" t="n">
        <x:v>150</x:v>
      </x:c>
      <x:c r="J4852" s="22" t="n">
        <x:v>4</x:v>
      </x:c>
      <x:c r="K4852" s="19" t="n">
        <x:v>1</x:v>
      </x:c>
      <x:c r="L4852" s="24" t="n">
        <x:v>86.8</x:v>
      </x:c>
      <x:c r="M4852" s="26" t="n">
        <x:v>0.1</x:v>
      </x:c>
      <x:c r="N4852" s="24" t="n">
        <x:v>2</x:v>
      </x:c>
      <x:c r="O4852" s="28" t="n">
        <x:f>MIN(1,L4852/I4852)</x:f>
        <x:v>0.5786666666666667</x:v>
      </x:c>
      <x:c r="P4852" s="30" t="n">
        <x:f>O4852*J4852*(1+M4852)</x:f>
        <x:v>2.5461333333333336</x:v>
      </x:c>
      <x:c r="Q4852" s="30" t="n">
        <x:f>P4852*N4852</x:f>
        <x:v>5.092266666666667</x:v>
      </x:c>
      <x:c r="R4852" s="19" t="str">
        <x:v>独立判定</x:v>
      </x:c>
    </x:row>
    <x:row r="4853" ht="19" customHeight="1">
      <x:c r="A4853" s="19" t="str">
        <x:v>D04849</x:v>
      </x:c>
      <x:c r="B4853" s="19" t="n">
        <x:v>10</x:v>
      </x:c>
      <x:c r="C4853" s="19" t="n">
        <x:v>2</x:v>
      </x:c>
      <x:c r="D4853" s="19" t="str">
        <x:v>C10-M024</x:v>
      </x:c>
      <x:c r="E4853" s="19" t="str">
        <x:v>鎏污大司闸</x:v>
      </x:c>
      <x:c r="F4853" s="19" t="str">
        <x:v>地图BOSS</x:v>
      </x:c>
      <x:c r="G4853" s="19" t="str">
        <x:v>材料独立候选</x:v>
      </x:c>
      <x:c r="H4853" s="19" t="str">
        <x:v>技能残页</x:v>
      </x:c>
      <x:c r="I4853" s="22" t="n">
        <x:v>1500</x:v>
      </x:c>
      <x:c r="J4853" s="22" t="n">
        <x:v>1</x:v>
      </x:c>
      <x:c r="K4853" s="19" t="n">
        <x:v>1</x:v>
      </x:c>
      <x:c r="L4853" s="24" t="n">
        <x:v>86.8</x:v>
      </x:c>
      <x:c r="M4853" s="26" t="n">
        <x:v>0.1</x:v>
      </x:c>
      <x:c r="N4853" s="24" t="n">
        <x:v>2</x:v>
      </x:c>
      <x:c r="O4853" s="28" t="n">
        <x:f>MIN(1,L4853/I4853)</x:f>
        <x:v>0.057866666666666663</x:v>
      </x:c>
      <x:c r="P4853" s="30" t="n">
        <x:f>O4853*J4853*(1+M4853)</x:f>
        <x:v>0.06365333333333334</x:v>
      </x:c>
      <x:c r="Q4853" s="30" t="n">
        <x:f>P4853*N4853</x:f>
        <x:v>0.12730666666666668</x:v>
      </x:c>
      <x:c r="R4853" s="19" t="str">
        <x:v>独立判定</x:v>
      </x:c>
    </x:row>
    <x:row r="4854" ht="19" customHeight="1">
      <x:c r="A4854" s="19" t="str">
        <x:v>D04850</x:v>
      </x:c>
      <x:c r="B4854" s="19" t="n">
        <x:v>10</x:v>
      </x:c>
      <x:c r="C4854" s="19" t="n">
        <x:v>2</x:v>
      </x:c>
      <x:c r="D4854" s="19" t="str">
        <x:v>C10-M024</x:v>
      </x:c>
      <x:c r="E4854" s="19" t="str">
        <x:v>鎏污大司闸</x:v>
      </x:c>
      <x:c r="F4854" s="19" t="str">
        <x:v>地图BOSS</x:v>
      </x:c>
      <x:c r="G4854" s="19" t="str">
        <x:v>材料独立候选</x:v>
      </x:c>
      <x:c r="H4854" s="19" t="str">
        <x:v>宁姆格福誓页</x:v>
      </x:c>
      <x:c r="I4854" s="22" t="n">
        <x:v>1000</x:v>
      </x:c>
      <x:c r="J4854" s="22" t="n">
        <x:v>1</x:v>
      </x:c>
      <x:c r="K4854" s="19" t="n">
        <x:v>1</x:v>
      </x:c>
      <x:c r="L4854" s="24" t="n">
        <x:v>86.8</x:v>
      </x:c>
      <x:c r="M4854" s="26" t="n">
        <x:v>0.1</x:v>
      </x:c>
      <x:c r="N4854" s="24" t="n">
        <x:v>2</x:v>
      </x:c>
      <x:c r="O4854" s="28" t="n">
        <x:f>MIN(1,L4854/I4854)</x:f>
        <x:v>0.0868</x:v>
      </x:c>
      <x:c r="P4854" s="30" t="n">
        <x:f>O4854*J4854*(1+M4854)</x:f>
        <x:v>0.09548000000000001</x:v>
      </x:c>
      <x:c r="Q4854" s="30" t="n">
        <x:f>P4854*N4854</x:f>
        <x:v>0.19096000000000002</x:v>
      </x:c>
      <x:c r="R4854" s="19" t="str">
        <x:v>独立判定</x:v>
      </x:c>
    </x:row>
    <x:row r="4855" ht="19" customHeight="1">
      <x:c r="A4855" s="19" t="str">
        <x:v>D04851</x:v>
      </x:c>
      <x:c r="B4855" s="19" t="n">
        <x:v>10</x:v>
      </x:c>
      <x:c r="C4855" s="19" t="n">
        <x:v>2</x:v>
      </x:c>
      <x:c r="D4855" s="19" t="str">
        <x:v>C10-M024</x:v>
      </x:c>
      <x:c r="E4855" s="19" t="str">
        <x:v>鎏污大司闸</x:v>
      </x:c>
      <x:c r="F4855" s="19" t="str">
        <x:v>地图BOSS</x:v>
      </x:c>
      <x:c r="G4855" s="19" t="str">
        <x:v>材料独立候选</x:v>
      </x:c>
      <x:c r="H4855" s="19" t="str">
        <x:v>小卢恩</x:v>
      </x:c>
      <x:c r="I4855" s="22" t="n">
        <x:v>8000</x:v>
      </x:c>
      <x:c r="J4855" s="22" t="n">
        <x:v>1</x:v>
      </x:c>
      <x:c r="K4855" s="19" t="n">
        <x:v>1</x:v>
      </x:c>
      <x:c r="L4855" s="24" t="n">
        <x:v>86.8</x:v>
      </x:c>
      <x:c r="M4855" s="26" t="n">
        <x:v>0.1</x:v>
      </x:c>
      <x:c r="N4855" s="24" t="n">
        <x:v>2</x:v>
      </x:c>
      <x:c r="O4855" s="28" t="n">
        <x:f>MIN(1,L4855/I4855)</x:f>
        <x:v>0.01085</x:v>
      </x:c>
      <x:c r="P4855" s="30" t="n">
        <x:f>O4855*J4855*(1+M4855)</x:f>
        <x:v>0.011935000000000001</x:v>
      </x:c>
      <x:c r="Q4855" s="30" t="n">
        <x:f>P4855*N4855</x:f>
        <x:v>0.023870000000000002</x:v>
      </x:c>
      <x:c r="R4855" s="19" t="str">
        <x:v>独立判定</x:v>
      </x:c>
    </x:row>
    <x:row r="4856" ht="19" customHeight="1">
      <x:c r="A4856" s="19" t="str">
        <x:v>D04852</x:v>
      </x:c>
      <x:c r="B4856" s="19" t="n">
        <x:v>10</x:v>
      </x:c>
      <x:c r="C4856" s="19" t="n">
        <x:v>2</x:v>
      </x:c>
      <x:c r="D4856" s="19" t="str">
        <x:v>C10-M024</x:v>
      </x:c>
      <x:c r="E4856" s="19" t="str">
        <x:v>鎏污大司闸</x:v>
      </x:c>
      <x:c r="F4856" s="19" t="str">
        <x:v>地图BOSS</x:v>
      </x:c>
      <x:c r="G4856" s="19" t="str">
        <x:v>材料独立候选</x:v>
      </x:c>
      <x:c r="H4856" s="19" t="str">
        <x:v>大卢恩</x:v>
      </x:c>
      <x:c r="I4856" s="22" t="n">
        <x:v>800</x:v>
      </x:c>
      <x:c r="J4856" s="22" t="n">
        <x:v>1</x:v>
      </x:c>
      <x:c r="K4856" s="19" t="n">
        <x:v>1</x:v>
      </x:c>
      <x:c r="L4856" s="24" t="n">
        <x:v>86.8</x:v>
      </x:c>
      <x:c r="M4856" s="26" t="n">
        <x:v>0.1</x:v>
      </x:c>
      <x:c r="N4856" s="24" t="n">
        <x:v>2</x:v>
      </x:c>
      <x:c r="O4856" s="28" t="n">
        <x:f>MIN(1,L4856/I4856)</x:f>
        <x:v>0.1085</x:v>
      </x:c>
      <x:c r="P4856" s="30" t="n">
        <x:f>O4856*J4856*(1+M4856)</x:f>
        <x:v>0.11935000000000001</x:v>
      </x:c>
      <x:c r="Q4856" s="30" t="n">
        <x:f>P4856*N4856</x:f>
        <x:v>0.23870000000000002</x:v>
      </x:c>
      <x:c r="R4856" s="19" t="str">
        <x:v>独立判定</x:v>
      </x:c>
    </x:row>
    <x:row r="4857" ht="19" customHeight="1">
      <x:c r="A4857" s="19" t="str">
        <x:v>D04853</x:v>
      </x:c>
      <x:c r="B4857" s="19" t="n">
        <x:v>10</x:v>
      </x:c>
      <x:c r="C4857" s="19" t="n">
        <x:v>2</x:v>
      </x:c>
      <x:c r="D4857" s="19" t="str">
        <x:v>C10-M024</x:v>
      </x:c>
      <x:c r="E4857" s="19" t="str">
        <x:v>鎏污大司闸</x:v>
      </x:c>
      <x:c r="F4857" s="19" t="str">
        <x:v>地图BOSS</x:v>
      </x:c>
      <x:c r="G4857" s="19" t="str">
        <x:v>材料独立候选</x:v>
      </x:c>
      <x:c r="H4857" s="19" t="str">
        <x:v>巨人熔火卢恩</x:v>
      </x:c>
      <x:c r="I4857" s="22" t="n">
        <x:v>1000</x:v>
      </x:c>
      <x:c r="J4857" s="22" t="n">
        <x:v>1</x:v>
      </x:c>
      <x:c r="K4857" s="19" t="n">
        <x:v>1</x:v>
      </x:c>
      <x:c r="L4857" s="24" t="n">
        <x:v>86.8</x:v>
      </x:c>
      <x:c r="M4857" s="26" t="n">
        <x:v>0.1</x:v>
      </x:c>
      <x:c r="N4857" s="24" t="n">
        <x:v>2</x:v>
      </x:c>
      <x:c r="O4857" s="28" t="n">
        <x:f>MIN(1,L4857/I4857)</x:f>
        <x:v>0.0868</x:v>
      </x:c>
      <x:c r="P4857" s="30" t="n">
        <x:f>O4857*J4857*(1+M4857)</x:f>
        <x:v>0.09548000000000001</x:v>
      </x:c>
      <x:c r="Q4857" s="30" t="n">
        <x:f>P4857*N4857</x:f>
        <x:v>0.19096000000000002</x:v>
      </x:c>
      <x:c r="R4857" s="19" t="str">
        <x:v>独立判定</x:v>
      </x:c>
    </x:row>
    <x:row r="4858" ht="19" customHeight="1">
      <x:c r="A4858" s="19" t="str">
        <x:v>D04854</x:v>
      </x:c>
      <x:c r="B4858" s="19" t="n">
        <x:v>10</x:v>
      </x:c>
      <x:c r="C4858" s="19" t="n">
        <x:v>2</x:v>
      </x:c>
      <x:c r="D4858" s="19" t="str">
        <x:v>C10-M024</x:v>
      </x:c>
      <x:c r="E4858" s="19" t="str">
        <x:v>鎏污大司闸</x:v>
      </x:c>
      <x:c r="F4858" s="19" t="str">
        <x:v>地图BOSS</x:v>
      </x:c>
      <x:c r="G4858" s="19" t="str">
        <x:v>材料独立候选</x:v>
      </x:c>
      <x:c r="H4858" s="19" t="str">
        <x:v>黄金律法卢恩</x:v>
      </x:c>
      <x:c r="I4858" s="22" t="n">
        <x:v>400</x:v>
      </x:c>
      <x:c r="J4858" s="22" t="n">
        <x:v>15</x:v>
      </x:c>
      <x:c r="K4858" s="19" t="n">
        <x:v>1</x:v>
      </x:c>
      <x:c r="L4858" s="24" t="n">
        <x:v>86.8</x:v>
      </x:c>
      <x:c r="M4858" s="26" t="n">
        <x:v>0.1</x:v>
      </x:c>
      <x:c r="N4858" s="24" t="n">
        <x:v>2</x:v>
      </x:c>
      <x:c r="O4858" s="28" t="n">
        <x:f>MIN(1,L4858/I4858)</x:f>
        <x:v>0.217</x:v>
      </x:c>
      <x:c r="P4858" s="30" t="n">
        <x:f>O4858*J4858*(1+M4858)</x:f>
        <x:v>3.5805000000000002</x:v>
      </x:c>
      <x:c r="Q4858" s="30" t="n">
        <x:f>P4858*N4858</x:f>
        <x:v>7.1610000000000005</x:v>
      </x:c>
      <x:c r="R4858" s="19" t="str">
        <x:v>独立判定</x:v>
      </x:c>
    </x:row>
    <x:row r="4859" ht="19" customHeight="1">
      <x:c r="A4859" s="19" t="str">
        <x:v>D04855</x:v>
      </x:c>
      <x:c r="B4859" s="19" t="n">
        <x:v>10</x:v>
      </x:c>
      <x:c r="C4859" s="19" t="n">
        <x:v>2</x:v>
      </x:c>
      <x:c r="D4859" s="19" t="str">
        <x:v>C10-M024</x:v>
      </x:c>
      <x:c r="E4859" s="19" t="str">
        <x:v>鎏污大司闸</x:v>
      </x:c>
      <x:c r="F4859" s="19" t="str">
        <x:v>地图BOSS</x:v>
      </x:c>
      <x:c r="G4859" s="19" t="str">
        <x:v>六神器公共池</x:v>
      </x:c>
      <x:c r="H4859" s="19" t="str">
        <x:v>POOL006</x:v>
      </x:c>
      <x:c r="I4859" s="22" t="n">
        <x:v>200000</x:v>
      </x:c>
      <x:c r="J4859" s="22" t="n">
        <x:v>1</x:v>
      </x:c>
      <x:c r="K4859" s="19" t="n">
        <x:v>6</x:v>
      </x:c>
      <x:c r="L4859" s="24" t="n">
        <x:v>86.8</x:v>
      </x:c>
      <x:c r="M4859" s="26" t="n">
        <x:v>0.1</x:v>
      </x:c>
      <x:c r="N4859" s="24" t="n">
        <x:v>2</x:v>
      </x:c>
      <x:c r="O4859" s="28" t="n">
        <x:f>MIN(1,L4859/I4859)</x:f>
        <x:v>0.000434</x:v>
      </x:c>
      <x:c r="P4859" s="30" t="n">
        <x:f>O4859*J4859*(1+M4859)</x:f>
        <x:v>0.0004774</x:v>
      </x:c>
      <x:c r="Q4859" s="30" t="n">
        <x:f>P4859*N4859</x:f>
        <x:v>0.0009548</x:v>
      </x:c>
      <x:c r="R4859" s="19" t="str">
        <x:v>六选一；非6个独立爆率</x:v>
      </x:c>
    </x:row>
    <x:row r="4860" ht="19" customHeight="1">
      <x:c r="A4860" s="19" t="str">
        <x:v>D04856</x:v>
      </x:c>
      <x:c r="B4860" s="19" t="n">
        <x:v>10</x:v>
      </x:c>
      <x:c r="C4860" s="19" t="n">
        <x:v>3</x:v>
      </x:c>
      <x:c r="D4860" s="19" t="str">
        <x:v>C10-M025</x:v>
      </x:c>
      <x:c r="E4860" s="19" t="str">
        <x:v>金脉铲痕奴</x:v>
      </x:c>
      <x:c r="F4860" s="19" t="str">
        <x:v>普通</x:v>
      </x:c>
      <x:c r="G4860" s="19" t="str">
        <x:v>自身专属</x:v>
      </x:c>
      <x:c r="H4860" s="19" t="str">
        <x:v>铲痕护矿盔</x:v>
      </x:c>
      <x:c r="I4860" s="22" t="n">
        <x:v>12000</x:v>
      </x:c>
      <x:c r="J4860" s="22" t="n">
        <x:v>1</x:v>
      </x:c>
      <x:c r="K4860" s="19" t="n">
        <x:v>1</x:v>
      </x:c>
      <x:c r="L4860" s="24" t="n">
        <x:v>93.16533333333334</x:v>
      </x:c>
      <x:c r="M4860" s="26" t="n">
        <x:v>0.1</x:v>
      </x:c>
      <x:c r="N4860" s="24" t="n">
        <x:v>72</x:v>
      </x:c>
      <x:c r="O4860" s="28" t="n">
        <x:f>MIN(1,L4860/I4860)</x:f>
        <x:v>0.007763777777777778</x:v>
      </x:c>
      <x:c r="P4860" s="30" t="n">
        <x:f>O4860*J4860*(1+M4860)</x:f>
        <x:v>0.008540155555555557</x:v>
      </x:c>
      <x:c r="Q4860" s="30" t="n">
        <x:f>P4860*N4860</x:f>
        <x:v>0.6148912000000001</x:v>
      </x:c>
      <x:c r="R4860" s="19" t="str">
        <x:v>独立判定</x:v>
      </x:c>
    </x:row>
    <x:row r="4861" ht="19" customHeight="1">
      <x:c r="A4861" s="19" t="str">
        <x:v>D04857</x:v>
      </x:c>
      <x:c r="B4861" s="19" t="n">
        <x:v>10</x:v>
      </x:c>
      <x:c r="C4861" s="19" t="n">
        <x:v>3</x:v>
      </x:c>
      <x:c r="D4861" s="19" t="str">
        <x:v>C10-M025</x:v>
      </x:c>
      <x:c r="E4861" s="19" t="str">
        <x:v>金脉铲痕奴</x:v>
      </x:c>
      <x:c r="F4861" s="19" t="str">
        <x:v>普通</x:v>
      </x:c>
      <x:c r="G4861" s="19" t="str">
        <x:v>材料独立候选</x:v>
      </x:c>
      <x:c r="H4861" s="19" t="str">
        <x:v>王城金屑</x:v>
      </x:c>
      <x:c r="I4861" s="22" t="n">
        <x:v>1800</x:v>
      </x:c>
      <x:c r="J4861" s="22" t="n">
        <x:v>8</x:v>
      </x:c>
      <x:c r="K4861" s="19" t="n">
        <x:v>1</x:v>
      </x:c>
      <x:c r="L4861" s="24" t="n">
        <x:v>93.16533333333334</x:v>
      </x:c>
      <x:c r="M4861" s="26" t="n">
        <x:v>0.1</x:v>
      </x:c>
      <x:c r="N4861" s="24" t="n">
        <x:v>72</x:v>
      </x:c>
      <x:c r="O4861" s="28" t="n">
        <x:f>MIN(1,L4861/I4861)</x:f>
        <x:v>0.05175851851851852</x:v>
      </x:c>
      <x:c r="P4861" s="30" t="n">
        <x:f>O4861*J4861*(1+M4861)</x:f>
        <x:v>0.455474962962963</x:v>
      </x:c>
      <x:c r="Q4861" s="30" t="n">
        <x:f>P4861*N4861</x:f>
        <x:v>32.79419733333334</x:v>
      </x:c>
      <x:c r="R4861" s="19" t="str">
        <x:v>独立判定</x:v>
      </x:c>
    </x:row>
    <x:row r="4862" ht="19" customHeight="1">
      <x:c r="A4862" s="19" t="str">
        <x:v>D04858</x:v>
      </x:c>
      <x:c r="B4862" s="19" t="n">
        <x:v>10</x:v>
      </x:c>
      <x:c r="C4862" s="19" t="n">
        <x:v>3</x:v>
      </x:c>
      <x:c r="D4862" s="19" t="str">
        <x:v>C10-M025</x:v>
      </x:c>
      <x:c r="E4862" s="19" t="str">
        <x:v>金脉铲痕奴</x:v>
      </x:c>
      <x:c r="F4862" s="19" t="str">
        <x:v>普通</x:v>
      </x:c>
      <x:c r="G4862" s="19" t="str">
        <x:v>材料独立候选</x:v>
      </x:c>
      <x:c r="H4862" s="19" t="str">
        <x:v>无名墓钉</x:v>
      </x:c>
      <x:c r="I4862" s="22" t="n">
        <x:v>2500</x:v>
      </x:c>
      <x:c r="J4862" s="22" t="n">
        <x:v>1</x:v>
      </x:c>
      <x:c r="K4862" s="19" t="n">
        <x:v>1</x:v>
      </x:c>
      <x:c r="L4862" s="24" t="n">
        <x:v>93.16533333333334</x:v>
      </x:c>
      <x:c r="M4862" s="26" t="n">
        <x:v>0.1</x:v>
      </x:c>
      <x:c r="N4862" s="24" t="n">
        <x:v>72</x:v>
      </x:c>
      <x:c r="O4862" s="28" t="n">
        <x:f>MIN(1,L4862/I4862)</x:f>
        <x:v>0.03726613333333333</x:v>
      </x:c>
      <x:c r="P4862" s="30" t="n">
        <x:f>O4862*J4862*(1+M4862)</x:f>
        <x:v>0.04099274666666667</x:v>
      </x:c>
      <x:c r="Q4862" s="30" t="n">
        <x:f>P4862*N4862</x:f>
        <x:v>2.9514777600000004</x:v>
      </x:c>
      <x:c r="R4862" s="19" t="str">
        <x:v>独立判定</x:v>
      </x:c>
    </x:row>
    <x:row r="4863" ht="19" customHeight="1">
      <x:c r="A4863" s="19" t="str">
        <x:v>D04859</x:v>
      </x:c>
      <x:c r="B4863" s="19" t="n">
        <x:v>10</x:v>
      </x:c>
      <x:c r="C4863" s="19" t="n">
        <x:v>3</x:v>
      </x:c>
      <x:c r="D4863" s="19" t="str">
        <x:v>C10-M025</x:v>
      </x:c>
      <x:c r="E4863" s="19" t="str">
        <x:v>金脉铲痕奴</x:v>
      </x:c>
      <x:c r="F4863" s="19" t="str">
        <x:v>普通</x:v>
      </x:c>
      <x:c r="G4863" s="19" t="str">
        <x:v>材料独立候选</x:v>
      </x:c>
      <x:c r="H4863" s="19" t="str">
        <x:v>穹律鎏痕拓片</x:v>
      </x:c>
      <x:c r="I4863" s="22" t="n">
        <x:v>4000000</x:v>
      </x:c>
      <x:c r="J4863" s="22" t="n">
        <x:v>1</x:v>
      </x:c>
      <x:c r="K4863" s="19" t="n">
        <x:v>1</x:v>
      </x:c>
      <x:c r="L4863" s="24" t="n">
        <x:v>93.16533333333334</x:v>
      </x:c>
      <x:c r="M4863" s="26" t="n">
        <x:v>0.1</x:v>
      </x:c>
      <x:c r="N4863" s="24" t="n">
        <x:v>72</x:v>
      </x:c>
      <x:c r="O4863" s="28" t="n">
        <x:f>MIN(1,L4863/I4863)</x:f>
        <x:v>0.000023291333333333335</x:v>
      </x:c>
      <x:c r="P4863" s="30" t="n">
        <x:f>O4863*J4863*(1+M4863)</x:f>
        <x:v>0.00002562046666666667</x:v>
      </x:c>
      <x:c r="Q4863" s="30" t="n">
        <x:f>P4863*N4863</x:f>
        <x:v>0.0018446736000000002</x:v>
      </x:c>
      <x:c r="R4863" s="19" t="str">
        <x:v>独立判定</x:v>
      </x:c>
    </x:row>
    <x:row r="4864" ht="19" customHeight="1">
      <x:c r="A4864" s="19" t="str">
        <x:v>D04860</x:v>
      </x:c>
      <x:c r="B4864" s="19" t="n">
        <x:v>10</x:v>
      </x:c>
      <x:c r="C4864" s="19" t="n">
        <x:v>3</x:v>
      </x:c>
      <x:c r="D4864" s="19" t="str">
        <x:v>C10-M025</x:v>
      </x:c>
      <x:c r="E4864" s="19" t="str">
        <x:v>金脉铲痕奴</x:v>
      </x:c>
      <x:c r="F4864" s="19" t="str">
        <x:v>普通</x:v>
      </x:c>
      <x:c r="G4864" s="19" t="str">
        <x:v>材料独立候选</x:v>
      </x:c>
      <x:c r="H4864" s="19" t="str">
        <x:v>野兽骨片</x:v>
      </x:c>
      <x:c r="I4864" s="22" t="n">
        <x:v>500</x:v>
      </x:c>
      <x:c r="J4864" s="22" t="n">
        <x:v>4</x:v>
      </x:c>
      <x:c r="K4864" s="19" t="n">
        <x:v>1</x:v>
      </x:c>
      <x:c r="L4864" s="24" t="n">
        <x:v>93.16533333333334</x:v>
      </x:c>
      <x:c r="M4864" s="26" t="n">
        <x:v>0.1</x:v>
      </x:c>
      <x:c r="N4864" s="24" t="n">
        <x:v>72</x:v>
      </x:c>
      <x:c r="O4864" s="28" t="n">
        <x:f>MIN(1,L4864/I4864)</x:f>
        <x:v>0.18633066666666667</x:v>
      </x:c>
      <x:c r="P4864" s="30" t="n">
        <x:f>O4864*J4864*(1+M4864)</x:f>
        <x:v>0.8198549333333334</x:v>
      </x:c>
      <x:c r="Q4864" s="30" t="n">
        <x:f>P4864*N4864</x:f>
        <x:v>59.029555200000004</x:v>
      </x:c>
      <x:c r="R4864" s="19" t="str">
        <x:v>独立判定</x:v>
      </x:c>
    </x:row>
    <x:row r="4865" ht="19" customHeight="1">
      <x:c r="A4865" s="19" t="str">
        <x:v>D04861</x:v>
      </x:c>
      <x:c r="B4865" s="19" t="n">
        <x:v>10</x:v>
      </x:c>
      <x:c r="C4865" s="19" t="n">
        <x:v>3</x:v>
      </x:c>
      <x:c r="D4865" s="19" t="str">
        <x:v>C10-M025</x:v>
      </x:c>
      <x:c r="E4865" s="19" t="str">
        <x:v>金脉铲痕奴</x:v>
      </x:c>
      <x:c r="F4865" s="19" t="str">
        <x:v>普通</x:v>
      </x:c>
      <x:c r="G4865" s="19" t="str">
        <x:v>材料独立候选</x:v>
      </x:c>
      <x:c r="H4865" s="19" t="str">
        <x:v>技能残页</x:v>
      </x:c>
      <x:c r="I4865" s="22" t="n">
        <x:v>5000</x:v>
      </x:c>
      <x:c r="J4865" s="22" t="n">
        <x:v>1</x:v>
      </x:c>
      <x:c r="K4865" s="19" t="n">
        <x:v>1</x:v>
      </x:c>
      <x:c r="L4865" s="24" t="n">
        <x:v>93.16533333333334</x:v>
      </x:c>
      <x:c r="M4865" s="26" t="n">
        <x:v>0.1</x:v>
      </x:c>
      <x:c r="N4865" s="24" t="n">
        <x:v>72</x:v>
      </x:c>
      <x:c r="O4865" s="28" t="n">
        <x:f>MIN(1,L4865/I4865)</x:f>
        <x:v>0.018633066666666667</x:v>
      </x:c>
      <x:c r="P4865" s="30" t="n">
        <x:f>O4865*J4865*(1+M4865)</x:f>
        <x:v>0.020496373333333335</x:v>
      </x:c>
      <x:c r="Q4865" s="30" t="n">
        <x:f>P4865*N4865</x:f>
        <x:v>1.4757388800000002</x:v>
      </x:c>
      <x:c r="R4865" s="19" t="str">
        <x:v>独立判定</x:v>
      </x:c>
    </x:row>
    <x:row r="4866" ht="19" customHeight="1">
      <x:c r="A4866" s="19" t="str">
        <x:v>D04862</x:v>
      </x:c>
      <x:c r="B4866" s="19" t="n">
        <x:v>10</x:v>
      </x:c>
      <x:c r="C4866" s="19" t="n">
        <x:v>3</x:v>
      </x:c>
      <x:c r="D4866" s="19" t="str">
        <x:v>C10-M025</x:v>
      </x:c>
      <x:c r="E4866" s="19" t="str">
        <x:v>金脉铲痕奴</x:v>
      </x:c>
      <x:c r="F4866" s="19" t="str">
        <x:v>普通</x:v>
      </x:c>
      <x:c r="G4866" s="19" t="str">
        <x:v>材料独立候选</x:v>
      </x:c>
      <x:c r="H4866" s="19" t="str">
        <x:v>小卢恩</x:v>
      </x:c>
      <x:c r="I4866" s="22" t="n">
        <x:v>25000</x:v>
      </x:c>
      <x:c r="J4866" s="22" t="n">
        <x:v>1</x:v>
      </x:c>
      <x:c r="K4866" s="19" t="n">
        <x:v>1</x:v>
      </x:c>
      <x:c r="L4866" s="24" t="n">
        <x:v>93.16533333333334</x:v>
      </x:c>
      <x:c r="M4866" s="26" t="n">
        <x:v>0.1</x:v>
      </x:c>
      <x:c r="N4866" s="24" t="n">
        <x:v>72</x:v>
      </x:c>
      <x:c r="O4866" s="28" t="n">
        <x:f>MIN(1,L4866/I4866)</x:f>
        <x:v>0.0037266133333333333</x:v>
      </x:c>
      <x:c r="P4866" s="30" t="n">
        <x:f>O4866*J4866*(1+M4866)</x:f>
        <x:v>0.004099274666666667</x:v>
      </x:c>
      <x:c r="Q4866" s="30" t="n">
        <x:f>P4866*N4866</x:f>
        <x:v>0.29514777600000003</x:v>
      </x:c>
      <x:c r="R4866" s="19" t="str">
        <x:v>独立判定</x:v>
      </x:c>
    </x:row>
    <x:row r="4867" ht="19" customHeight="1">
      <x:c r="A4867" s="19" t="str">
        <x:v>D04863</x:v>
      </x:c>
      <x:c r="B4867" s="19" t="n">
        <x:v>10</x:v>
      </x:c>
      <x:c r="C4867" s="19" t="n">
        <x:v>3</x:v>
      </x:c>
      <x:c r="D4867" s="19" t="str">
        <x:v>C10-M025</x:v>
      </x:c>
      <x:c r="E4867" s="19" t="str">
        <x:v>金脉铲痕奴</x:v>
      </x:c>
      <x:c r="F4867" s="19" t="str">
        <x:v>普通</x:v>
      </x:c>
      <x:c r="G4867" s="19" t="str">
        <x:v>六神器公共池</x:v>
      </x:c>
      <x:c r="H4867" s="19" t="str">
        <x:v>POOL006</x:v>
      </x:c>
      <x:c r="I4867" s="22" t="n">
        <x:v>20000000</x:v>
      </x:c>
      <x:c r="J4867" s="22" t="n">
        <x:v>1</x:v>
      </x:c>
      <x:c r="K4867" s="19" t="n">
        <x:v>6</x:v>
      </x:c>
      <x:c r="L4867" s="24" t="n">
        <x:v>93.16533333333334</x:v>
      </x:c>
      <x:c r="M4867" s="26" t="n">
        <x:v>0.1</x:v>
      </x:c>
      <x:c r="N4867" s="24" t="n">
        <x:v>72</x:v>
      </x:c>
      <x:c r="O4867" s="28" t="n">
        <x:f>MIN(1,L4867/I4867)</x:f>
        <x:v>0.0000046582666666666665</x:v>
      </x:c>
      <x:c r="P4867" s="30" t="n">
        <x:f>O4867*J4867*(1+M4867)</x:f>
        <x:v>0.000005124093333333334</x:v>
      </x:c>
      <x:c r="Q4867" s="30" t="n">
        <x:f>P4867*N4867</x:f>
        <x:v>0.00036893472</x:v>
      </x:c>
      <x:c r="R4867" s="19" t="str">
        <x:v>六选一；非6个独立爆率</x:v>
      </x:c>
    </x:row>
    <x:row r="4868" ht="19" customHeight="1">
      <x:c r="A4868" s="19" t="str">
        <x:v>D04864</x:v>
      </x:c>
      <x:c r="B4868" s="19" t="n">
        <x:v>10</x:v>
      </x:c>
      <x:c r="C4868" s="19" t="n">
        <x:v>3</x:v>
      </x:c>
      <x:c r="D4868" s="19" t="str">
        <x:v>C10-M026</x:v>
      </x:c>
      <x:c r="E4868" s="19" t="str">
        <x:v>王矿负灯鼹</x:v>
      </x:c>
      <x:c r="F4868" s="19" t="str">
        <x:v>普通</x:v>
      </x:c>
      <x:c r="G4868" s="19" t="str">
        <x:v>自身专属</x:v>
      </x:c>
      <x:c r="H4868" s="19" t="str">
        <x:v>负灯探脉靴</x:v>
      </x:c>
      <x:c r="I4868" s="22" t="n">
        <x:v>12000</x:v>
      </x:c>
      <x:c r="J4868" s="22" t="n">
        <x:v>1</x:v>
      </x:c>
      <x:c r="K4868" s="19" t="n">
        <x:v>1</x:v>
      </x:c>
      <x:c r="L4868" s="24" t="n">
        <x:v>93.16533333333334</x:v>
      </x:c>
      <x:c r="M4868" s="26" t="n">
        <x:v>0.1</x:v>
      </x:c>
      <x:c r="N4868" s="24" t="n">
        <x:v>72</x:v>
      </x:c>
      <x:c r="O4868" s="28" t="n">
        <x:f>MIN(1,L4868/I4868)</x:f>
        <x:v>0.007763777777777778</x:v>
      </x:c>
      <x:c r="P4868" s="30" t="n">
        <x:f>O4868*J4868*(1+M4868)</x:f>
        <x:v>0.008540155555555557</x:v>
      </x:c>
      <x:c r="Q4868" s="30" t="n">
        <x:f>P4868*N4868</x:f>
        <x:v>0.6148912000000001</x:v>
      </x:c>
      <x:c r="R4868" s="19" t="str">
        <x:v>独立判定</x:v>
      </x:c>
    </x:row>
    <x:row r="4869" ht="19" customHeight="1">
      <x:c r="A4869" s="19" t="str">
        <x:v>D04865</x:v>
      </x:c>
      <x:c r="B4869" s="19" t="n">
        <x:v>10</x:v>
      </x:c>
      <x:c r="C4869" s="19" t="n">
        <x:v>3</x:v>
      </x:c>
      <x:c r="D4869" s="19" t="str">
        <x:v>C10-M026</x:v>
      </x:c>
      <x:c r="E4869" s="19" t="str">
        <x:v>王矿负灯鼹</x:v>
      </x:c>
      <x:c r="F4869" s="19" t="str">
        <x:v>普通</x:v>
      </x:c>
      <x:c r="G4869" s="19" t="str">
        <x:v>材料独立候选</x:v>
      </x:c>
      <x:c r="H4869" s="19" t="str">
        <x:v>王城金屑</x:v>
      </x:c>
      <x:c r="I4869" s="22" t="n">
        <x:v>1800</x:v>
      </x:c>
      <x:c r="J4869" s="22" t="n">
        <x:v>8</x:v>
      </x:c>
      <x:c r="K4869" s="19" t="n">
        <x:v>1</x:v>
      </x:c>
      <x:c r="L4869" s="24" t="n">
        <x:v>93.16533333333334</x:v>
      </x:c>
      <x:c r="M4869" s="26" t="n">
        <x:v>0.1</x:v>
      </x:c>
      <x:c r="N4869" s="24" t="n">
        <x:v>72</x:v>
      </x:c>
      <x:c r="O4869" s="28" t="n">
        <x:f>MIN(1,L4869/I4869)</x:f>
        <x:v>0.05175851851851852</x:v>
      </x:c>
      <x:c r="P4869" s="30" t="n">
        <x:f>O4869*J4869*(1+M4869)</x:f>
        <x:v>0.455474962962963</x:v>
      </x:c>
      <x:c r="Q4869" s="30" t="n">
        <x:f>P4869*N4869</x:f>
        <x:v>32.79419733333334</x:v>
      </x:c>
      <x:c r="R4869" s="19" t="str">
        <x:v>独立判定</x:v>
      </x:c>
    </x:row>
    <x:row r="4870" ht="19" customHeight="1">
      <x:c r="A4870" s="19" t="str">
        <x:v>D04866</x:v>
      </x:c>
      <x:c r="B4870" s="19" t="n">
        <x:v>10</x:v>
      </x:c>
      <x:c r="C4870" s="19" t="n">
        <x:v>3</x:v>
      </x:c>
      <x:c r="D4870" s="19" t="str">
        <x:v>C10-M026</x:v>
      </x:c>
      <x:c r="E4870" s="19" t="str">
        <x:v>王矿负灯鼹</x:v>
      </x:c>
      <x:c r="F4870" s="19" t="str">
        <x:v>普通</x:v>
      </x:c>
      <x:c r="G4870" s="19" t="str">
        <x:v>材料独立候选</x:v>
      </x:c>
      <x:c r="H4870" s="19" t="str">
        <x:v>无名墓钉</x:v>
      </x:c>
      <x:c r="I4870" s="22" t="n">
        <x:v>2500</x:v>
      </x:c>
      <x:c r="J4870" s="22" t="n">
        <x:v>1</x:v>
      </x:c>
      <x:c r="K4870" s="19" t="n">
        <x:v>1</x:v>
      </x:c>
      <x:c r="L4870" s="24" t="n">
        <x:v>93.16533333333334</x:v>
      </x:c>
      <x:c r="M4870" s="26" t="n">
        <x:v>0.1</x:v>
      </x:c>
      <x:c r="N4870" s="24" t="n">
        <x:v>72</x:v>
      </x:c>
      <x:c r="O4870" s="28" t="n">
        <x:f>MIN(1,L4870/I4870)</x:f>
        <x:v>0.03726613333333333</x:v>
      </x:c>
      <x:c r="P4870" s="30" t="n">
        <x:f>O4870*J4870*(1+M4870)</x:f>
        <x:v>0.04099274666666667</x:v>
      </x:c>
      <x:c r="Q4870" s="30" t="n">
        <x:f>P4870*N4870</x:f>
        <x:v>2.9514777600000004</x:v>
      </x:c>
      <x:c r="R4870" s="19" t="str">
        <x:v>独立判定</x:v>
      </x:c>
    </x:row>
    <x:row r="4871" ht="19" customHeight="1">
      <x:c r="A4871" s="19" t="str">
        <x:v>D04867</x:v>
      </x:c>
      <x:c r="B4871" s="19" t="n">
        <x:v>10</x:v>
      </x:c>
      <x:c r="C4871" s="19" t="n">
        <x:v>3</x:v>
      </x:c>
      <x:c r="D4871" s="19" t="str">
        <x:v>C10-M026</x:v>
      </x:c>
      <x:c r="E4871" s="19" t="str">
        <x:v>王矿负灯鼹</x:v>
      </x:c>
      <x:c r="F4871" s="19" t="str">
        <x:v>普通</x:v>
      </x:c>
      <x:c r="G4871" s="19" t="str">
        <x:v>材料独立候选</x:v>
      </x:c>
      <x:c r="H4871" s="19" t="str">
        <x:v>穹律鎏痕拓片</x:v>
      </x:c>
      <x:c r="I4871" s="22" t="n">
        <x:v>4000000</x:v>
      </x:c>
      <x:c r="J4871" s="22" t="n">
        <x:v>1</x:v>
      </x:c>
      <x:c r="K4871" s="19" t="n">
        <x:v>1</x:v>
      </x:c>
      <x:c r="L4871" s="24" t="n">
        <x:v>93.16533333333334</x:v>
      </x:c>
      <x:c r="M4871" s="26" t="n">
        <x:v>0.1</x:v>
      </x:c>
      <x:c r="N4871" s="24" t="n">
        <x:v>72</x:v>
      </x:c>
      <x:c r="O4871" s="28" t="n">
        <x:f>MIN(1,L4871/I4871)</x:f>
        <x:v>0.000023291333333333335</x:v>
      </x:c>
      <x:c r="P4871" s="30" t="n">
        <x:f>O4871*J4871*(1+M4871)</x:f>
        <x:v>0.00002562046666666667</x:v>
      </x:c>
      <x:c r="Q4871" s="30" t="n">
        <x:f>P4871*N4871</x:f>
        <x:v>0.0018446736000000002</x:v>
      </x:c>
      <x:c r="R4871" s="19" t="str">
        <x:v>独立判定</x:v>
      </x:c>
    </x:row>
    <x:row r="4872" ht="19" customHeight="1">
      <x:c r="A4872" s="19" t="str">
        <x:v>D04868</x:v>
      </x:c>
      <x:c r="B4872" s="19" t="n">
        <x:v>10</x:v>
      </x:c>
      <x:c r="C4872" s="19" t="n">
        <x:v>3</x:v>
      </x:c>
      <x:c r="D4872" s="19" t="str">
        <x:v>C10-M026</x:v>
      </x:c>
      <x:c r="E4872" s="19" t="str">
        <x:v>王矿负灯鼹</x:v>
      </x:c>
      <x:c r="F4872" s="19" t="str">
        <x:v>普通</x:v>
      </x:c>
      <x:c r="G4872" s="19" t="str">
        <x:v>材料独立候选</x:v>
      </x:c>
      <x:c r="H4872" s="19" t="str">
        <x:v>野兽骨片</x:v>
      </x:c>
      <x:c r="I4872" s="22" t="n">
        <x:v>500</x:v>
      </x:c>
      <x:c r="J4872" s="22" t="n">
        <x:v>4</x:v>
      </x:c>
      <x:c r="K4872" s="19" t="n">
        <x:v>1</x:v>
      </x:c>
      <x:c r="L4872" s="24" t="n">
        <x:v>93.16533333333334</x:v>
      </x:c>
      <x:c r="M4872" s="26" t="n">
        <x:v>0.1</x:v>
      </x:c>
      <x:c r="N4872" s="24" t="n">
        <x:v>72</x:v>
      </x:c>
      <x:c r="O4872" s="28" t="n">
        <x:f>MIN(1,L4872/I4872)</x:f>
        <x:v>0.18633066666666667</x:v>
      </x:c>
      <x:c r="P4872" s="30" t="n">
        <x:f>O4872*J4872*(1+M4872)</x:f>
        <x:v>0.8198549333333334</x:v>
      </x:c>
      <x:c r="Q4872" s="30" t="n">
        <x:f>P4872*N4872</x:f>
        <x:v>59.029555200000004</x:v>
      </x:c>
      <x:c r="R4872" s="19" t="str">
        <x:v>独立判定</x:v>
      </x:c>
    </x:row>
    <x:row r="4873" ht="19" customHeight="1">
      <x:c r="A4873" s="19" t="str">
        <x:v>D04869</x:v>
      </x:c>
      <x:c r="B4873" s="19" t="n">
        <x:v>10</x:v>
      </x:c>
      <x:c r="C4873" s="19" t="n">
        <x:v>3</x:v>
      </x:c>
      <x:c r="D4873" s="19" t="str">
        <x:v>C10-M026</x:v>
      </x:c>
      <x:c r="E4873" s="19" t="str">
        <x:v>王矿负灯鼹</x:v>
      </x:c>
      <x:c r="F4873" s="19" t="str">
        <x:v>普通</x:v>
      </x:c>
      <x:c r="G4873" s="19" t="str">
        <x:v>材料独立候选</x:v>
      </x:c>
      <x:c r="H4873" s="19" t="str">
        <x:v>技能残页</x:v>
      </x:c>
      <x:c r="I4873" s="22" t="n">
        <x:v>5000</x:v>
      </x:c>
      <x:c r="J4873" s="22" t="n">
        <x:v>1</x:v>
      </x:c>
      <x:c r="K4873" s="19" t="n">
        <x:v>1</x:v>
      </x:c>
      <x:c r="L4873" s="24" t="n">
        <x:v>93.16533333333334</x:v>
      </x:c>
      <x:c r="M4873" s="26" t="n">
        <x:v>0.1</x:v>
      </x:c>
      <x:c r="N4873" s="24" t="n">
        <x:v>72</x:v>
      </x:c>
      <x:c r="O4873" s="28" t="n">
        <x:f>MIN(1,L4873/I4873)</x:f>
        <x:v>0.018633066666666667</x:v>
      </x:c>
      <x:c r="P4873" s="30" t="n">
        <x:f>O4873*J4873*(1+M4873)</x:f>
        <x:v>0.020496373333333335</x:v>
      </x:c>
      <x:c r="Q4873" s="30" t="n">
        <x:f>P4873*N4873</x:f>
        <x:v>1.4757388800000002</x:v>
      </x:c>
      <x:c r="R4873" s="19" t="str">
        <x:v>独立判定</x:v>
      </x:c>
    </x:row>
    <x:row r="4874" ht="19" customHeight="1">
      <x:c r="A4874" s="19" t="str">
        <x:v>D04870</x:v>
      </x:c>
      <x:c r="B4874" s="19" t="n">
        <x:v>10</x:v>
      </x:c>
      <x:c r="C4874" s="19" t="n">
        <x:v>3</x:v>
      </x:c>
      <x:c r="D4874" s="19" t="str">
        <x:v>C10-M026</x:v>
      </x:c>
      <x:c r="E4874" s="19" t="str">
        <x:v>王矿负灯鼹</x:v>
      </x:c>
      <x:c r="F4874" s="19" t="str">
        <x:v>普通</x:v>
      </x:c>
      <x:c r="G4874" s="19" t="str">
        <x:v>材料独立候选</x:v>
      </x:c>
      <x:c r="H4874" s="19" t="str">
        <x:v>小卢恩</x:v>
      </x:c>
      <x:c r="I4874" s="22" t="n">
        <x:v>25000</x:v>
      </x:c>
      <x:c r="J4874" s="22" t="n">
        <x:v>1</x:v>
      </x:c>
      <x:c r="K4874" s="19" t="n">
        <x:v>1</x:v>
      </x:c>
      <x:c r="L4874" s="24" t="n">
        <x:v>93.16533333333334</x:v>
      </x:c>
      <x:c r="M4874" s="26" t="n">
        <x:v>0.1</x:v>
      </x:c>
      <x:c r="N4874" s="24" t="n">
        <x:v>72</x:v>
      </x:c>
      <x:c r="O4874" s="28" t="n">
        <x:f>MIN(1,L4874/I4874)</x:f>
        <x:v>0.0037266133333333333</x:v>
      </x:c>
      <x:c r="P4874" s="30" t="n">
        <x:f>O4874*J4874*(1+M4874)</x:f>
        <x:v>0.004099274666666667</x:v>
      </x:c>
      <x:c r="Q4874" s="30" t="n">
        <x:f>P4874*N4874</x:f>
        <x:v>0.29514777600000003</x:v>
      </x:c>
      <x:c r="R4874" s="19" t="str">
        <x:v>独立判定</x:v>
      </x:c>
    </x:row>
    <x:row r="4875" ht="19" customHeight="1">
      <x:c r="A4875" s="19" t="str">
        <x:v>D04871</x:v>
      </x:c>
      <x:c r="B4875" s="19" t="n">
        <x:v>10</x:v>
      </x:c>
      <x:c r="C4875" s="19" t="n">
        <x:v>3</x:v>
      </x:c>
      <x:c r="D4875" s="19" t="str">
        <x:v>C10-M026</x:v>
      </x:c>
      <x:c r="E4875" s="19" t="str">
        <x:v>王矿负灯鼹</x:v>
      </x:c>
      <x:c r="F4875" s="19" t="str">
        <x:v>普通</x:v>
      </x:c>
      <x:c r="G4875" s="19" t="str">
        <x:v>六神器公共池</x:v>
      </x:c>
      <x:c r="H4875" s="19" t="str">
        <x:v>POOL006</x:v>
      </x:c>
      <x:c r="I4875" s="22" t="n">
        <x:v>20000000</x:v>
      </x:c>
      <x:c r="J4875" s="22" t="n">
        <x:v>1</x:v>
      </x:c>
      <x:c r="K4875" s="19" t="n">
        <x:v>6</x:v>
      </x:c>
      <x:c r="L4875" s="24" t="n">
        <x:v>93.16533333333334</x:v>
      </x:c>
      <x:c r="M4875" s="26" t="n">
        <x:v>0.1</x:v>
      </x:c>
      <x:c r="N4875" s="24" t="n">
        <x:v>72</x:v>
      </x:c>
      <x:c r="O4875" s="28" t="n">
        <x:f>MIN(1,L4875/I4875)</x:f>
        <x:v>0.0000046582666666666665</x:v>
      </x:c>
      <x:c r="P4875" s="30" t="n">
        <x:f>O4875*J4875*(1+M4875)</x:f>
        <x:v>0.000005124093333333334</x:v>
      </x:c>
      <x:c r="Q4875" s="30" t="n">
        <x:f>P4875*N4875</x:f>
        <x:v>0.00036893472</x:v>
      </x:c>
      <x:c r="R4875" s="19" t="str">
        <x:v>六选一；非6个独立爆率</x:v>
      </x:c>
    </x:row>
    <x:row r="4876" ht="19" customHeight="1">
      <x:c r="A4876" s="19" t="str">
        <x:v>D04872</x:v>
      </x:c>
      <x:c r="B4876" s="19" t="n">
        <x:v>10</x:v>
      </x:c>
      <x:c r="C4876" s="19" t="n">
        <x:v>3</x:v>
      </x:c>
      <x:c r="D4876" s="19" t="str">
        <x:v>C10-M027</x:v>
      </x:c>
      <x:c r="E4876" s="19" t="str">
        <x:v>崩轨拖链卒</x:v>
      </x:c>
      <x:c r="F4876" s="19" t="str">
        <x:v>普通</x:v>
      </x:c>
      <x:c r="G4876" s="19" t="str">
        <x:v>自身专属</x:v>
      </x:c>
      <x:c r="H4876" s="19" t="str">
        <x:v>崩轨拖链盾</x:v>
      </x:c>
      <x:c r="I4876" s="22" t="n">
        <x:v>12000</x:v>
      </x:c>
      <x:c r="J4876" s="22" t="n">
        <x:v>1</x:v>
      </x:c>
      <x:c r="K4876" s="19" t="n">
        <x:v>1</x:v>
      </x:c>
      <x:c r="L4876" s="24" t="n">
        <x:v>93.16533333333334</x:v>
      </x:c>
      <x:c r="M4876" s="26" t="n">
        <x:v>0.1</x:v>
      </x:c>
      <x:c r="N4876" s="24" t="n">
        <x:v>72</x:v>
      </x:c>
      <x:c r="O4876" s="28" t="n">
        <x:f>MIN(1,L4876/I4876)</x:f>
        <x:v>0.007763777777777778</x:v>
      </x:c>
      <x:c r="P4876" s="30" t="n">
        <x:f>O4876*J4876*(1+M4876)</x:f>
        <x:v>0.008540155555555557</x:v>
      </x:c>
      <x:c r="Q4876" s="30" t="n">
        <x:f>P4876*N4876</x:f>
        <x:v>0.6148912000000001</x:v>
      </x:c>
      <x:c r="R4876" s="19" t="str">
        <x:v>独立判定</x:v>
      </x:c>
    </x:row>
    <x:row r="4877" ht="19" customHeight="1">
      <x:c r="A4877" s="19" t="str">
        <x:v>D04873</x:v>
      </x:c>
      <x:c r="B4877" s="19" t="n">
        <x:v>10</x:v>
      </x:c>
      <x:c r="C4877" s="19" t="n">
        <x:v>3</x:v>
      </x:c>
      <x:c r="D4877" s="19" t="str">
        <x:v>C10-M027</x:v>
      </x:c>
      <x:c r="E4877" s="19" t="str">
        <x:v>崩轨拖链卒</x:v>
      </x:c>
      <x:c r="F4877" s="19" t="str">
        <x:v>普通</x:v>
      </x:c>
      <x:c r="G4877" s="19" t="str">
        <x:v>材料独立候选</x:v>
      </x:c>
      <x:c r="H4877" s="19" t="str">
        <x:v>王城金屑</x:v>
      </x:c>
      <x:c r="I4877" s="22" t="n">
        <x:v>1800</x:v>
      </x:c>
      <x:c r="J4877" s="22" t="n">
        <x:v>8</x:v>
      </x:c>
      <x:c r="K4877" s="19" t="n">
        <x:v>1</x:v>
      </x:c>
      <x:c r="L4877" s="24" t="n">
        <x:v>93.16533333333334</x:v>
      </x:c>
      <x:c r="M4877" s="26" t="n">
        <x:v>0.1</x:v>
      </x:c>
      <x:c r="N4877" s="24" t="n">
        <x:v>72</x:v>
      </x:c>
      <x:c r="O4877" s="28" t="n">
        <x:f>MIN(1,L4877/I4877)</x:f>
        <x:v>0.05175851851851852</x:v>
      </x:c>
      <x:c r="P4877" s="30" t="n">
        <x:f>O4877*J4877*(1+M4877)</x:f>
        <x:v>0.455474962962963</x:v>
      </x:c>
      <x:c r="Q4877" s="30" t="n">
        <x:f>P4877*N4877</x:f>
        <x:v>32.79419733333334</x:v>
      </x:c>
      <x:c r="R4877" s="19" t="str">
        <x:v>独立判定</x:v>
      </x:c>
    </x:row>
    <x:row r="4878" ht="19" customHeight="1">
      <x:c r="A4878" s="19" t="str">
        <x:v>D04874</x:v>
      </x:c>
      <x:c r="B4878" s="19" t="n">
        <x:v>10</x:v>
      </x:c>
      <x:c r="C4878" s="19" t="n">
        <x:v>3</x:v>
      </x:c>
      <x:c r="D4878" s="19" t="str">
        <x:v>C10-M027</x:v>
      </x:c>
      <x:c r="E4878" s="19" t="str">
        <x:v>崩轨拖链卒</x:v>
      </x:c>
      <x:c r="F4878" s="19" t="str">
        <x:v>普通</x:v>
      </x:c>
      <x:c r="G4878" s="19" t="str">
        <x:v>材料独立候选</x:v>
      </x:c>
      <x:c r="H4878" s="19" t="str">
        <x:v>无名墓钉</x:v>
      </x:c>
      <x:c r="I4878" s="22" t="n">
        <x:v>2500</x:v>
      </x:c>
      <x:c r="J4878" s="22" t="n">
        <x:v>1</x:v>
      </x:c>
      <x:c r="K4878" s="19" t="n">
        <x:v>1</x:v>
      </x:c>
      <x:c r="L4878" s="24" t="n">
        <x:v>93.16533333333334</x:v>
      </x:c>
      <x:c r="M4878" s="26" t="n">
        <x:v>0.1</x:v>
      </x:c>
      <x:c r="N4878" s="24" t="n">
        <x:v>72</x:v>
      </x:c>
      <x:c r="O4878" s="28" t="n">
        <x:f>MIN(1,L4878/I4878)</x:f>
        <x:v>0.03726613333333333</x:v>
      </x:c>
      <x:c r="P4878" s="30" t="n">
        <x:f>O4878*J4878*(1+M4878)</x:f>
        <x:v>0.04099274666666667</x:v>
      </x:c>
      <x:c r="Q4878" s="30" t="n">
        <x:f>P4878*N4878</x:f>
        <x:v>2.9514777600000004</x:v>
      </x:c>
      <x:c r="R4878" s="19" t="str">
        <x:v>独立判定</x:v>
      </x:c>
    </x:row>
    <x:row r="4879" ht="19" customHeight="1">
      <x:c r="A4879" s="19" t="str">
        <x:v>D04875</x:v>
      </x:c>
      <x:c r="B4879" s="19" t="n">
        <x:v>10</x:v>
      </x:c>
      <x:c r="C4879" s="19" t="n">
        <x:v>3</x:v>
      </x:c>
      <x:c r="D4879" s="19" t="str">
        <x:v>C10-M027</x:v>
      </x:c>
      <x:c r="E4879" s="19" t="str">
        <x:v>崩轨拖链卒</x:v>
      </x:c>
      <x:c r="F4879" s="19" t="str">
        <x:v>普通</x:v>
      </x:c>
      <x:c r="G4879" s="19" t="str">
        <x:v>材料独立候选</x:v>
      </x:c>
      <x:c r="H4879" s="19" t="str">
        <x:v>穹律鎏痕拓片</x:v>
      </x:c>
      <x:c r="I4879" s="22" t="n">
        <x:v>4000000</x:v>
      </x:c>
      <x:c r="J4879" s="22" t="n">
        <x:v>1</x:v>
      </x:c>
      <x:c r="K4879" s="19" t="n">
        <x:v>1</x:v>
      </x:c>
      <x:c r="L4879" s="24" t="n">
        <x:v>93.16533333333334</x:v>
      </x:c>
      <x:c r="M4879" s="26" t="n">
        <x:v>0.1</x:v>
      </x:c>
      <x:c r="N4879" s="24" t="n">
        <x:v>72</x:v>
      </x:c>
      <x:c r="O4879" s="28" t="n">
        <x:f>MIN(1,L4879/I4879)</x:f>
        <x:v>0.000023291333333333335</x:v>
      </x:c>
      <x:c r="P4879" s="30" t="n">
        <x:f>O4879*J4879*(1+M4879)</x:f>
        <x:v>0.00002562046666666667</x:v>
      </x:c>
      <x:c r="Q4879" s="30" t="n">
        <x:f>P4879*N4879</x:f>
        <x:v>0.0018446736000000002</x:v>
      </x:c>
      <x:c r="R4879" s="19" t="str">
        <x:v>独立判定</x:v>
      </x:c>
    </x:row>
    <x:row r="4880" ht="19" customHeight="1">
      <x:c r="A4880" s="19" t="str">
        <x:v>D04876</x:v>
      </x:c>
      <x:c r="B4880" s="19" t="n">
        <x:v>10</x:v>
      </x:c>
      <x:c r="C4880" s="19" t="n">
        <x:v>3</x:v>
      </x:c>
      <x:c r="D4880" s="19" t="str">
        <x:v>C10-M027</x:v>
      </x:c>
      <x:c r="E4880" s="19" t="str">
        <x:v>崩轨拖链卒</x:v>
      </x:c>
      <x:c r="F4880" s="19" t="str">
        <x:v>普通</x:v>
      </x:c>
      <x:c r="G4880" s="19" t="str">
        <x:v>材料独立候选</x:v>
      </x:c>
      <x:c r="H4880" s="19" t="str">
        <x:v>野兽骨片</x:v>
      </x:c>
      <x:c r="I4880" s="22" t="n">
        <x:v>500</x:v>
      </x:c>
      <x:c r="J4880" s="22" t="n">
        <x:v>4</x:v>
      </x:c>
      <x:c r="K4880" s="19" t="n">
        <x:v>1</x:v>
      </x:c>
      <x:c r="L4880" s="24" t="n">
        <x:v>93.16533333333334</x:v>
      </x:c>
      <x:c r="M4880" s="26" t="n">
        <x:v>0.1</x:v>
      </x:c>
      <x:c r="N4880" s="24" t="n">
        <x:v>72</x:v>
      </x:c>
      <x:c r="O4880" s="28" t="n">
        <x:f>MIN(1,L4880/I4880)</x:f>
        <x:v>0.18633066666666667</x:v>
      </x:c>
      <x:c r="P4880" s="30" t="n">
        <x:f>O4880*J4880*(1+M4880)</x:f>
        <x:v>0.8198549333333334</x:v>
      </x:c>
      <x:c r="Q4880" s="30" t="n">
        <x:f>P4880*N4880</x:f>
        <x:v>59.029555200000004</x:v>
      </x:c>
      <x:c r="R4880" s="19" t="str">
        <x:v>独立判定</x:v>
      </x:c>
    </x:row>
    <x:row r="4881" ht="19" customHeight="1">
      <x:c r="A4881" s="19" t="str">
        <x:v>D04877</x:v>
      </x:c>
      <x:c r="B4881" s="19" t="n">
        <x:v>10</x:v>
      </x:c>
      <x:c r="C4881" s="19" t="n">
        <x:v>3</x:v>
      </x:c>
      <x:c r="D4881" s="19" t="str">
        <x:v>C10-M027</x:v>
      </x:c>
      <x:c r="E4881" s="19" t="str">
        <x:v>崩轨拖链卒</x:v>
      </x:c>
      <x:c r="F4881" s="19" t="str">
        <x:v>普通</x:v>
      </x:c>
      <x:c r="G4881" s="19" t="str">
        <x:v>材料独立候选</x:v>
      </x:c>
      <x:c r="H4881" s="19" t="str">
        <x:v>技能残页</x:v>
      </x:c>
      <x:c r="I4881" s="22" t="n">
        <x:v>5000</x:v>
      </x:c>
      <x:c r="J4881" s="22" t="n">
        <x:v>1</x:v>
      </x:c>
      <x:c r="K4881" s="19" t="n">
        <x:v>1</x:v>
      </x:c>
      <x:c r="L4881" s="24" t="n">
        <x:v>93.16533333333334</x:v>
      </x:c>
      <x:c r="M4881" s="26" t="n">
        <x:v>0.1</x:v>
      </x:c>
      <x:c r="N4881" s="24" t="n">
        <x:v>72</x:v>
      </x:c>
      <x:c r="O4881" s="28" t="n">
        <x:f>MIN(1,L4881/I4881)</x:f>
        <x:v>0.018633066666666667</x:v>
      </x:c>
      <x:c r="P4881" s="30" t="n">
        <x:f>O4881*J4881*(1+M4881)</x:f>
        <x:v>0.020496373333333335</x:v>
      </x:c>
      <x:c r="Q4881" s="30" t="n">
        <x:f>P4881*N4881</x:f>
        <x:v>1.4757388800000002</x:v>
      </x:c>
      <x:c r="R4881" s="19" t="str">
        <x:v>独立判定</x:v>
      </x:c>
    </x:row>
    <x:row r="4882" ht="19" customHeight="1">
      <x:c r="A4882" s="19" t="str">
        <x:v>D04878</x:v>
      </x:c>
      <x:c r="B4882" s="19" t="n">
        <x:v>10</x:v>
      </x:c>
      <x:c r="C4882" s="19" t="n">
        <x:v>3</x:v>
      </x:c>
      <x:c r="D4882" s="19" t="str">
        <x:v>C10-M027</x:v>
      </x:c>
      <x:c r="E4882" s="19" t="str">
        <x:v>崩轨拖链卒</x:v>
      </x:c>
      <x:c r="F4882" s="19" t="str">
        <x:v>普通</x:v>
      </x:c>
      <x:c r="G4882" s="19" t="str">
        <x:v>材料独立候选</x:v>
      </x:c>
      <x:c r="H4882" s="19" t="str">
        <x:v>小卢恩</x:v>
      </x:c>
      <x:c r="I4882" s="22" t="n">
        <x:v>25000</x:v>
      </x:c>
      <x:c r="J4882" s="22" t="n">
        <x:v>1</x:v>
      </x:c>
      <x:c r="K4882" s="19" t="n">
        <x:v>1</x:v>
      </x:c>
      <x:c r="L4882" s="24" t="n">
        <x:v>93.16533333333334</x:v>
      </x:c>
      <x:c r="M4882" s="26" t="n">
        <x:v>0.1</x:v>
      </x:c>
      <x:c r="N4882" s="24" t="n">
        <x:v>72</x:v>
      </x:c>
      <x:c r="O4882" s="28" t="n">
        <x:f>MIN(1,L4882/I4882)</x:f>
        <x:v>0.0037266133333333333</x:v>
      </x:c>
      <x:c r="P4882" s="30" t="n">
        <x:f>O4882*J4882*(1+M4882)</x:f>
        <x:v>0.004099274666666667</x:v>
      </x:c>
      <x:c r="Q4882" s="30" t="n">
        <x:f>P4882*N4882</x:f>
        <x:v>0.29514777600000003</x:v>
      </x:c>
      <x:c r="R4882" s="19" t="str">
        <x:v>独立判定</x:v>
      </x:c>
    </x:row>
    <x:row r="4883" ht="19" customHeight="1">
      <x:c r="A4883" s="19" t="str">
        <x:v>D04879</x:v>
      </x:c>
      <x:c r="B4883" s="19" t="n">
        <x:v>10</x:v>
      </x:c>
      <x:c r="C4883" s="19" t="n">
        <x:v>3</x:v>
      </x:c>
      <x:c r="D4883" s="19" t="str">
        <x:v>C10-M027</x:v>
      </x:c>
      <x:c r="E4883" s="19" t="str">
        <x:v>崩轨拖链卒</x:v>
      </x:c>
      <x:c r="F4883" s="19" t="str">
        <x:v>普通</x:v>
      </x:c>
      <x:c r="G4883" s="19" t="str">
        <x:v>六神器公共池</x:v>
      </x:c>
      <x:c r="H4883" s="19" t="str">
        <x:v>POOL006</x:v>
      </x:c>
      <x:c r="I4883" s="22" t="n">
        <x:v>20000000</x:v>
      </x:c>
      <x:c r="J4883" s="22" t="n">
        <x:v>1</x:v>
      </x:c>
      <x:c r="K4883" s="19" t="n">
        <x:v>6</x:v>
      </x:c>
      <x:c r="L4883" s="24" t="n">
        <x:v>93.16533333333334</x:v>
      </x:c>
      <x:c r="M4883" s="26" t="n">
        <x:v>0.1</x:v>
      </x:c>
      <x:c r="N4883" s="24" t="n">
        <x:v>72</x:v>
      </x:c>
      <x:c r="O4883" s="28" t="n">
        <x:f>MIN(1,L4883/I4883)</x:f>
        <x:v>0.0000046582666666666665</x:v>
      </x:c>
      <x:c r="P4883" s="30" t="n">
        <x:f>O4883*J4883*(1+M4883)</x:f>
        <x:v>0.000005124093333333334</x:v>
      </x:c>
      <x:c r="Q4883" s="30" t="n">
        <x:f>P4883*N4883</x:f>
        <x:v>0.00036893472</x:v>
      </x:c>
      <x:c r="R4883" s="19" t="str">
        <x:v>六选一；非6个独立爆率</x:v>
      </x:c>
    </x:row>
    <x:row r="4884" ht="19" customHeight="1">
      <x:c r="A4884" s="19" t="str">
        <x:v>D04880</x:v>
      </x:c>
      <x:c r="B4884" s="19" t="n">
        <x:v>10</x:v>
      </x:c>
      <x:c r="C4884" s="19" t="n">
        <x:v>3</x:v>
      </x:c>
      <x:c r="D4884" s="19" t="str">
        <x:v>C10-M028</x:v>
      </x:c>
      <x:c r="E4884" s="19" t="str">
        <x:v>冷砧铆甲匠</x:v>
      </x:c>
      <x:c r="F4884" s="19" t="str">
        <x:v>普通</x:v>
      </x:c>
      <x:c r="G4884" s="19" t="str">
        <x:v>自身专属</x:v>
      </x:c>
      <x:c r="H4884" s="19" t="str">
        <x:v>冷砧铆甲衣</x:v>
      </x:c>
      <x:c r="I4884" s="22" t="n">
        <x:v>12000</x:v>
      </x:c>
      <x:c r="J4884" s="22" t="n">
        <x:v>1</x:v>
      </x:c>
      <x:c r="K4884" s="19" t="n">
        <x:v>1</x:v>
      </x:c>
      <x:c r="L4884" s="24" t="n">
        <x:v>93.16533333333334</x:v>
      </x:c>
      <x:c r="M4884" s="26" t="n">
        <x:v>0.1</x:v>
      </x:c>
      <x:c r="N4884" s="24" t="n">
        <x:v>72</x:v>
      </x:c>
      <x:c r="O4884" s="28" t="n">
        <x:f>MIN(1,L4884/I4884)</x:f>
        <x:v>0.007763777777777778</x:v>
      </x:c>
      <x:c r="P4884" s="30" t="n">
        <x:f>O4884*J4884*(1+M4884)</x:f>
        <x:v>0.008540155555555557</x:v>
      </x:c>
      <x:c r="Q4884" s="30" t="n">
        <x:f>P4884*N4884</x:f>
        <x:v>0.6148912000000001</x:v>
      </x:c>
      <x:c r="R4884" s="19" t="str">
        <x:v>独立判定</x:v>
      </x:c>
    </x:row>
    <x:row r="4885" ht="19" customHeight="1">
      <x:c r="A4885" s="19" t="str">
        <x:v>D04881</x:v>
      </x:c>
      <x:c r="B4885" s="19" t="n">
        <x:v>10</x:v>
      </x:c>
      <x:c r="C4885" s="19" t="n">
        <x:v>3</x:v>
      </x:c>
      <x:c r="D4885" s="19" t="str">
        <x:v>C10-M028</x:v>
      </x:c>
      <x:c r="E4885" s="19" t="str">
        <x:v>冷砧铆甲匠</x:v>
      </x:c>
      <x:c r="F4885" s="19" t="str">
        <x:v>普通</x:v>
      </x:c>
      <x:c r="G4885" s="19" t="str">
        <x:v>材料独立候选</x:v>
      </x:c>
      <x:c r="H4885" s="19" t="str">
        <x:v>王城金屑</x:v>
      </x:c>
      <x:c r="I4885" s="22" t="n">
        <x:v>1800</x:v>
      </x:c>
      <x:c r="J4885" s="22" t="n">
        <x:v>8</x:v>
      </x:c>
      <x:c r="K4885" s="19" t="n">
        <x:v>1</x:v>
      </x:c>
      <x:c r="L4885" s="24" t="n">
        <x:v>93.16533333333334</x:v>
      </x:c>
      <x:c r="M4885" s="26" t="n">
        <x:v>0.1</x:v>
      </x:c>
      <x:c r="N4885" s="24" t="n">
        <x:v>72</x:v>
      </x:c>
      <x:c r="O4885" s="28" t="n">
        <x:f>MIN(1,L4885/I4885)</x:f>
        <x:v>0.05175851851851852</x:v>
      </x:c>
      <x:c r="P4885" s="30" t="n">
        <x:f>O4885*J4885*(1+M4885)</x:f>
        <x:v>0.455474962962963</x:v>
      </x:c>
      <x:c r="Q4885" s="30" t="n">
        <x:f>P4885*N4885</x:f>
        <x:v>32.79419733333334</x:v>
      </x:c>
      <x:c r="R4885" s="19" t="str">
        <x:v>独立判定</x:v>
      </x:c>
    </x:row>
    <x:row r="4886" ht="19" customHeight="1">
      <x:c r="A4886" s="19" t="str">
        <x:v>D04882</x:v>
      </x:c>
      <x:c r="B4886" s="19" t="n">
        <x:v>10</x:v>
      </x:c>
      <x:c r="C4886" s="19" t="n">
        <x:v>3</x:v>
      </x:c>
      <x:c r="D4886" s="19" t="str">
        <x:v>C10-M028</x:v>
      </x:c>
      <x:c r="E4886" s="19" t="str">
        <x:v>冷砧铆甲匠</x:v>
      </x:c>
      <x:c r="F4886" s="19" t="str">
        <x:v>普通</x:v>
      </x:c>
      <x:c r="G4886" s="19" t="str">
        <x:v>材料独立候选</x:v>
      </x:c>
      <x:c r="H4886" s="19" t="str">
        <x:v>无名墓钉</x:v>
      </x:c>
      <x:c r="I4886" s="22" t="n">
        <x:v>2500</x:v>
      </x:c>
      <x:c r="J4886" s="22" t="n">
        <x:v>1</x:v>
      </x:c>
      <x:c r="K4886" s="19" t="n">
        <x:v>1</x:v>
      </x:c>
      <x:c r="L4886" s="24" t="n">
        <x:v>93.16533333333334</x:v>
      </x:c>
      <x:c r="M4886" s="26" t="n">
        <x:v>0.1</x:v>
      </x:c>
      <x:c r="N4886" s="24" t="n">
        <x:v>72</x:v>
      </x:c>
      <x:c r="O4886" s="28" t="n">
        <x:f>MIN(1,L4886/I4886)</x:f>
        <x:v>0.03726613333333333</x:v>
      </x:c>
      <x:c r="P4886" s="30" t="n">
        <x:f>O4886*J4886*(1+M4886)</x:f>
        <x:v>0.04099274666666667</x:v>
      </x:c>
      <x:c r="Q4886" s="30" t="n">
        <x:f>P4886*N4886</x:f>
        <x:v>2.9514777600000004</x:v>
      </x:c>
      <x:c r="R4886" s="19" t="str">
        <x:v>独立判定</x:v>
      </x:c>
    </x:row>
    <x:row r="4887" ht="19" customHeight="1">
      <x:c r="A4887" s="19" t="str">
        <x:v>D04883</x:v>
      </x:c>
      <x:c r="B4887" s="19" t="n">
        <x:v>10</x:v>
      </x:c>
      <x:c r="C4887" s="19" t="n">
        <x:v>3</x:v>
      </x:c>
      <x:c r="D4887" s="19" t="str">
        <x:v>C10-M028</x:v>
      </x:c>
      <x:c r="E4887" s="19" t="str">
        <x:v>冷砧铆甲匠</x:v>
      </x:c>
      <x:c r="F4887" s="19" t="str">
        <x:v>普通</x:v>
      </x:c>
      <x:c r="G4887" s="19" t="str">
        <x:v>材料独立候选</x:v>
      </x:c>
      <x:c r="H4887" s="19" t="str">
        <x:v>穹律鎏痕拓片</x:v>
      </x:c>
      <x:c r="I4887" s="22" t="n">
        <x:v>4000000</x:v>
      </x:c>
      <x:c r="J4887" s="22" t="n">
        <x:v>1</x:v>
      </x:c>
      <x:c r="K4887" s="19" t="n">
        <x:v>1</x:v>
      </x:c>
      <x:c r="L4887" s="24" t="n">
        <x:v>93.16533333333334</x:v>
      </x:c>
      <x:c r="M4887" s="26" t="n">
        <x:v>0.1</x:v>
      </x:c>
      <x:c r="N4887" s="24" t="n">
        <x:v>72</x:v>
      </x:c>
      <x:c r="O4887" s="28" t="n">
        <x:f>MIN(1,L4887/I4887)</x:f>
        <x:v>0.000023291333333333335</x:v>
      </x:c>
      <x:c r="P4887" s="30" t="n">
        <x:f>O4887*J4887*(1+M4887)</x:f>
        <x:v>0.00002562046666666667</x:v>
      </x:c>
      <x:c r="Q4887" s="30" t="n">
        <x:f>P4887*N4887</x:f>
        <x:v>0.0018446736000000002</x:v>
      </x:c>
      <x:c r="R4887" s="19" t="str">
        <x:v>独立判定</x:v>
      </x:c>
    </x:row>
    <x:row r="4888" ht="19" customHeight="1">
      <x:c r="A4888" s="19" t="str">
        <x:v>D04884</x:v>
      </x:c>
      <x:c r="B4888" s="19" t="n">
        <x:v>10</x:v>
      </x:c>
      <x:c r="C4888" s="19" t="n">
        <x:v>3</x:v>
      </x:c>
      <x:c r="D4888" s="19" t="str">
        <x:v>C10-M028</x:v>
      </x:c>
      <x:c r="E4888" s="19" t="str">
        <x:v>冷砧铆甲匠</x:v>
      </x:c>
      <x:c r="F4888" s="19" t="str">
        <x:v>普通</x:v>
      </x:c>
      <x:c r="G4888" s="19" t="str">
        <x:v>材料独立候选</x:v>
      </x:c>
      <x:c r="H4888" s="19" t="str">
        <x:v>野兽骨片</x:v>
      </x:c>
      <x:c r="I4888" s="22" t="n">
        <x:v>500</x:v>
      </x:c>
      <x:c r="J4888" s="22" t="n">
        <x:v>4</x:v>
      </x:c>
      <x:c r="K4888" s="19" t="n">
        <x:v>1</x:v>
      </x:c>
      <x:c r="L4888" s="24" t="n">
        <x:v>93.16533333333334</x:v>
      </x:c>
      <x:c r="M4888" s="26" t="n">
        <x:v>0.1</x:v>
      </x:c>
      <x:c r="N4888" s="24" t="n">
        <x:v>72</x:v>
      </x:c>
      <x:c r="O4888" s="28" t="n">
        <x:f>MIN(1,L4888/I4888)</x:f>
        <x:v>0.18633066666666667</x:v>
      </x:c>
      <x:c r="P4888" s="30" t="n">
        <x:f>O4888*J4888*(1+M4888)</x:f>
        <x:v>0.8198549333333334</x:v>
      </x:c>
      <x:c r="Q4888" s="30" t="n">
        <x:f>P4888*N4888</x:f>
        <x:v>59.029555200000004</x:v>
      </x:c>
      <x:c r="R4888" s="19" t="str">
        <x:v>独立判定</x:v>
      </x:c>
    </x:row>
    <x:row r="4889" ht="19" customHeight="1">
      <x:c r="A4889" s="19" t="str">
        <x:v>D04885</x:v>
      </x:c>
      <x:c r="B4889" s="19" t="n">
        <x:v>10</x:v>
      </x:c>
      <x:c r="C4889" s="19" t="n">
        <x:v>3</x:v>
      </x:c>
      <x:c r="D4889" s="19" t="str">
        <x:v>C10-M028</x:v>
      </x:c>
      <x:c r="E4889" s="19" t="str">
        <x:v>冷砧铆甲匠</x:v>
      </x:c>
      <x:c r="F4889" s="19" t="str">
        <x:v>普通</x:v>
      </x:c>
      <x:c r="G4889" s="19" t="str">
        <x:v>材料独立候选</x:v>
      </x:c>
      <x:c r="H4889" s="19" t="str">
        <x:v>技能残页</x:v>
      </x:c>
      <x:c r="I4889" s="22" t="n">
        <x:v>5000</x:v>
      </x:c>
      <x:c r="J4889" s="22" t="n">
        <x:v>1</x:v>
      </x:c>
      <x:c r="K4889" s="19" t="n">
        <x:v>1</x:v>
      </x:c>
      <x:c r="L4889" s="24" t="n">
        <x:v>93.16533333333334</x:v>
      </x:c>
      <x:c r="M4889" s="26" t="n">
        <x:v>0.1</x:v>
      </x:c>
      <x:c r="N4889" s="24" t="n">
        <x:v>72</x:v>
      </x:c>
      <x:c r="O4889" s="28" t="n">
        <x:f>MIN(1,L4889/I4889)</x:f>
        <x:v>0.018633066666666667</x:v>
      </x:c>
      <x:c r="P4889" s="30" t="n">
        <x:f>O4889*J4889*(1+M4889)</x:f>
        <x:v>0.020496373333333335</x:v>
      </x:c>
      <x:c r="Q4889" s="30" t="n">
        <x:f>P4889*N4889</x:f>
        <x:v>1.4757388800000002</x:v>
      </x:c>
      <x:c r="R4889" s="19" t="str">
        <x:v>独立判定</x:v>
      </x:c>
    </x:row>
    <x:row r="4890" ht="19" customHeight="1">
      <x:c r="A4890" s="19" t="str">
        <x:v>D04886</x:v>
      </x:c>
      <x:c r="B4890" s="19" t="n">
        <x:v>10</x:v>
      </x:c>
      <x:c r="C4890" s="19" t="n">
        <x:v>3</x:v>
      </x:c>
      <x:c r="D4890" s="19" t="str">
        <x:v>C10-M028</x:v>
      </x:c>
      <x:c r="E4890" s="19" t="str">
        <x:v>冷砧铆甲匠</x:v>
      </x:c>
      <x:c r="F4890" s="19" t="str">
        <x:v>普通</x:v>
      </x:c>
      <x:c r="G4890" s="19" t="str">
        <x:v>材料独立候选</x:v>
      </x:c>
      <x:c r="H4890" s="19" t="str">
        <x:v>小卢恩</x:v>
      </x:c>
      <x:c r="I4890" s="22" t="n">
        <x:v>25000</x:v>
      </x:c>
      <x:c r="J4890" s="22" t="n">
        <x:v>1</x:v>
      </x:c>
      <x:c r="K4890" s="19" t="n">
        <x:v>1</x:v>
      </x:c>
      <x:c r="L4890" s="24" t="n">
        <x:v>93.16533333333334</x:v>
      </x:c>
      <x:c r="M4890" s="26" t="n">
        <x:v>0.1</x:v>
      </x:c>
      <x:c r="N4890" s="24" t="n">
        <x:v>72</x:v>
      </x:c>
      <x:c r="O4890" s="28" t="n">
        <x:f>MIN(1,L4890/I4890)</x:f>
        <x:v>0.0037266133333333333</x:v>
      </x:c>
      <x:c r="P4890" s="30" t="n">
        <x:f>O4890*J4890*(1+M4890)</x:f>
        <x:v>0.004099274666666667</x:v>
      </x:c>
      <x:c r="Q4890" s="30" t="n">
        <x:f>P4890*N4890</x:f>
        <x:v>0.29514777600000003</x:v>
      </x:c>
      <x:c r="R4890" s="19" t="str">
        <x:v>独立判定</x:v>
      </x:c>
    </x:row>
    <x:row r="4891" ht="19" customHeight="1">
      <x:c r="A4891" s="19" t="str">
        <x:v>D04887</x:v>
      </x:c>
      <x:c r="B4891" s="19" t="n">
        <x:v>10</x:v>
      </x:c>
      <x:c r="C4891" s="19" t="n">
        <x:v>3</x:v>
      </x:c>
      <x:c r="D4891" s="19" t="str">
        <x:v>C10-M028</x:v>
      </x:c>
      <x:c r="E4891" s="19" t="str">
        <x:v>冷砧铆甲匠</x:v>
      </x:c>
      <x:c r="F4891" s="19" t="str">
        <x:v>普通</x:v>
      </x:c>
      <x:c r="G4891" s="19" t="str">
        <x:v>六神器公共池</x:v>
      </x:c>
      <x:c r="H4891" s="19" t="str">
        <x:v>POOL006</x:v>
      </x:c>
      <x:c r="I4891" s="22" t="n">
        <x:v>20000000</x:v>
      </x:c>
      <x:c r="J4891" s="22" t="n">
        <x:v>1</x:v>
      </x:c>
      <x:c r="K4891" s="19" t="n">
        <x:v>6</x:v>
      </x:c>
      <x:c r="L4891" s="24" t="n">
        <x:v>93.16533333333334</x:v>
      </x:c>
      <x:c r="M4891" s="26" t="n">
        <x:v>0.1</x:v>
      </x:c>
      <x:c r="N4891" s="24" t="n">
        <x:v>72</x:v>
      </x:c>
      <x:c r="O4891" s="28" t="n">
        <x:f>MIN(1,L4891/I4891)</x:f>
        <x:v>0.0000046582666666666665</x:v>
      </x:c>
      <x:c r="P4891" s="30" t="n">
        <x:f>O4891*J4891*(1+M4891)</x:f>
        <x:v>0.000005124093333333334</x:v>
      </x:c>
      <x:c r="Q4891" s="30" t="n">
        <x:f>P4891*N4891</x:f>
        <x:v>0.00036893472</x:v>
      </x:c>
      <x:c r="R4891" s="19" t="str">
        <x:v>六选一；非6个独立爆率</x:v>
      </x:c>
    </x:row>
    <x:row r="4892" ht="19" customHeight="1">
      <x:c r="A4892" s="19" t="str">
        <x:v>D04888</x:v>
      </x:c>
      <x:c r="B4892" s="19" t="n">
        <x:v>10</x:v>
      </x:c>
      <x:c r="C4892" s="19" t="n">
        <x:v>3</x:v>
      </x:c>
      <x:c r="D4892" s="19" t="str">
        <x:v>C10-M029</x:v>
      </x:c>
      <x:c r="E4892" s="19" t="str">
        <x:v>裂晶钻颚兽</x:v>
      </x:c>
      <x:c r="F4892" s="19" t="str">
        <x:v>普通</x:v>
      </x:c>
      <x:c r="G4892" s="19" t="str">
        <x:v>自身专属</x:v>
      </x:c>
      <x:c r="H4892" s="19" t="str">
        <x:v>裂晶钻颚刃</x:v>
      </x:c>
      <x:c r="I4892" s="22" t="n">
        <x:v>12000</x:v>
      </x:c>
      <x:c r="J4892" s="22" t="n">
        <x:v>1</x:v>
      </x:c>
      <x:c r="K4892" s="19" t="n">
        <x:v>1</x:v>
      </x:c>
      <x:c r="L4892" s="24" t="n">
        <x:v>93.16533333333334</x:v>
      </x:c>
      <x:c r="M4892" s="26" t="n">
        <x:v>0.1</x:v>
      </x:c>
      <x:c r="N4892" s="24" t="n">
        <x:v>72</x:v>
      </x:c>
      <x:c r="O4892" s="28" t="n">
        <x:f>MIN(1,L4892/I4892)</x:f>
        <x:v>0.007763777777777778</x:v>
      </x:c>
      <x:c r="P4892" s="30" t="n">
        <x:f>O4892*J4892*(1+M4892)</x:f>
        <x:v>0.008540155555555557</x:v>
      </x:c>
      <x:c r="Q4892" s="30" t="n">
        <x:f>P4892*N4892</x:f>
        <x:v>0.6148912000000001</x:v>
      </x:c>
      <x:c r="R4892" s="19" t="str">
        <x:v>独立判定</x:v>
      </x:c>
    </x:row>
    <x:row r="4893" ht="19" customHeight="1">
      <x:c r="A4893" s="19" t="str">
        <x:v>D04889</x:v>
      </x:c>
      <x:c r="B4893" s="19" t="n">
        <x:v>10</x:v>
      </x:c>
      <x:c r="C4893" s="19" t="n">
        <x:v>3</x:v>
      </x:c>
      <x:c r="D4893" s="19" t="str">
        <x:v>C10-M029</x:v>
      </x:c>
      <x:c r="E4893" s="19" t="str">
        <x:v>裂晶钻颚兽</x:v>
      </x:c>
      <x:c r="F4893" s="19" t="str">
        <x:v>普通</x:v>
      </x:c>
      <x:c r="G4893" s="19" t="str">
        <x:v>材料独立候选</x:v>
      </x:c>
      <x:c r="H4893" s="19" t="str">
        <x:v>王城金屑</x:v>
      </x:c>
      <x:c r="I4893" s="22" t="n">
        <x:v>1800</x:v>
      </x:c>
      <x:c r="J4893" s="22" t="n">
        <x:v>8</x:v>
      </x:c>
      <x:c r="K4893" s="19" t="n">
        <x:v>1</x:v>
      </x:c>
      <x:c r="L4893" s="24" t="n">
        <x:v>93.16533333333334</x:v>
      </x:c>
      <x:c r="M4893" s="26" t="n">
        <x:v>0.1</x:v>
      </x:c>
      <x:c r="N4893" s="24" t="n">
        <x:v>72</x:v>
      </x:c>
      <x:c r="O4893" s="28" t="n">
        <x:f>MIN(1,L4893/I4893)</x:f>
        <x:v>0.05175851851851852</x:v>
      </x:c>
      <x:c r="P4893" s="30" t="n">
        <x:f>O4893*J4893*(1+M4893)</x:f>
        <x:v>0.455474962962963</x:v>
      </x:c>
      <x:c r="Q4893" s="30" t="n">
        <x:f>P4893*N4893</x:f>
        <x:v>32.79419733333334</x:v>
      </x:c>
      <x:c r="R4893" s="19" t="str">
        <x:v>独立判定</x:v>
      </x:c>
    </x:row>
    <x:row r="4894" ht="19" customHeight="1">
      <x:c r="A4894" s="19" t="str">
        <x:v>D04890</x:v>
      </x:c>
      <x:c r="B4894" s="19" t="n">
        <x:v>10</x:v>
      </x:c>
      <x:c r="C4894" s="19" t="n">
        <x:v>3</x:v>
      </x:c>
      <x:c r="D4894" s="19" t="str">
        <x:v>C10-M029</x:v>
      </x:c>
      <x:c r="E4894" s="19" t="str">
        <x:v>裂晶钻颚兽</x:v>
      </x:c>
      <x:c r="F4894" s="19" t="str">
        <x:v>普通</x:v>
      </x:c>
      <x:c r="G4894" s="19" t="str">
        <x:v>材料独立候选</x:v>
      </x:c>
      <x:c r="H4894" s="19" t="str">
        <x:v>无名墓钉</x:v>
      </x:c>
      <x:c r="I4894" s="22" t="n">
        <x:v>2500</x:v>
      </x:c>
      <x:c r="J4894" s="22" t="n">
        <x:v>1</x:v>
      </x:c>
      <x:c r="K4894" s="19" t="n">
        <x:v>1</x:v>
      </x:c>
      <x:c r="L4894" s="24" t="n">
        <x:v>93.16533333333334</x:v>
      </x:c>
      <x:c r="M4894" s="26" t="n">
        <x:v>0.1</x:v>
      </x:c>
      <x:c r="N4894" s="24" t="n">
        <x:v>72</x:v>
      </x:c>
      <x:c r="O4894" s="28" t="n">
        <x:f>MIN(1,L4894/I4894)</x:f>
        <x:v>0.03726613333333333</x:v>
      </x:c>
      <x:c r="P4894" s="30" t="n">
        <x:f>O4894*J4894*(1+M4894)</x:f>
        <x:v>0.04099274666666667</x:v>
      </x:c>
      <x:c r="Q4894" s="30" t="n">
        <x:f>P4894*N4894</x:f>
        <x:v>2.9514777600000004</x:v>
      </x:c>
      <x:c r="R4894" s="19" t="str">
        <x:v>独立判定</x:v>
      </x:c>
    </x:row>
    <x:row r="4895" ht="19" customHeight="1">
      <x:c r="A4895" s="19" t="str">
        <x:v>D04891</x:v>
      </x:c>
      <x:c r="B4895" s="19" t="n">
        <x:v>10</x:v>
      </x:c>
      <x:c r="C4895" s="19" t="n">
        <x:v>3</x:v>
      </x:c>
      <x:c r="D4895" s="19" t="str">
        <x:v>C10-M029</x:v>
      </x:c>
      <x:c r="E4895" s="19" t="str">
        <x:v>裂晶钻颚兽</x:v>
      </x:c>
      <x:c r="F4895" s="19" t="str">
        <x:v>普通</x:v>
      </x:c>
      <x:c r="G4895" s="19" t="str">
        <x:v>材料独立候选</x:v>
      </x:c>
      <x:c r="H4895" s="19" t="str">
        <x:v>穹律鎏痕拓片</x:v>
      </x:c>
      <x:c r="I4895" s="22" t="n">
        <x:v>4000000</x:v>
      </x:c>
      <x:c r="J4895" s="22" t="n">
        <x:v>1</x:v>
      </x:c>
      <x:c r="K4895" s="19" t="n">
        <x:v>1</x:v>
      </x:c>
      <x:c r="L4895" s="24" t="n">
        <x:v>93.16533333333334</x:v>
      </x:c>
      <x:c r="M4895" s="26" t="n">
        <x:v>0.1</x:v>
      </x:c>
      <x:c r="N4895" s="24" t="n">
        <x:v>72</x:v>
      </x:c>
      <x:c r="O4895" s="28" t="n">
        <x:f>MIN(1,L4895/I4895)</x:f>
        <x:v>0.000023291333333333335</x:v>
      </x:c>
      <x:c r="P4895" s="30" t="n">
        <x:f>O4895*J4895*(1+M4895)</x:f>
        <x:v>0.00002562046666666667</x:v>
      </x:c>
      <x:c r="Q4895" s="30" t="n">
        <x:f>P4895*N4895</x:f>
        <x:v>0.0018446736000000002</x:v>
      </x:c>
      <x:c r="R4895" s="19" t="str">
        <x:v>独立判定</x:v>
      </x:c>
    </x:row>
    <x:row r="4896" ht="19" customHeight="1">
      <x:c r="A4896" s="19" t="str">
        <x:v>D04892</x:v>
      </x:c>
      <x:c r="B4896" s="19" t="n">
        <x:v>10</x:v>
      </x:c>
      <x:c r="C4896" s="19" t="n">
        <x:v>3</x:v>
      </x:c>
      <x:c r="D4896" s="19" t="str">
        <x:v>C10-M029</x:v>
      </x:c>
      <x:c r="E4896" s="19" t="str">
        <x:v>裂晶钻颚兽</x:v>
      </x:c>
      <x:c r="F4896" s="19" t="str">
        <x:v>普通</x:v>
      </x:c>
      <x:c r="G4896" s="19" t="str">
        <x:v>材料独立候选</x:v>
      </x:c>
      <x:c r="H4896" s="19" t="str">
        <x:v>野兽骨片</x:v>
      </x:c>
      <x:c r="I4896" s="22" t="n">
        <x:v>500</x:v>
      </x:c>
      <x:c r="J4896" s="22" t="n">
        <x:v>4</x:v>
      </x:c>
      <x:c r="K4896" s="19" t="n">
        <x:v>1</x:v>
      </x:c>
      <x:c r="L4896" s="24" t="n">
        <x:v>93.16533333333334</x:v>
      </x:c>
      <x:c r="M4896" s="26" t="n">
        <x:v>0.1</x:v>
      </x:c>
      <x:c r="N4896" s="24" t="n">
        <x:v>72</x:v>
      </x:c>
      <x:c r="O4896" s="28" t="n">
        <x:f>MIN(1,L4896/I4896)</x:f>
        <x:v>0.18633066666666667</x:v>
      </x:c>
      <x:c r="P4896" s="30" t="n">
        <x:f>O4896*J4896*(1+M4896)</x:f>
        <x:v>0.8198549333333334</x:v>
      </x:c>
      <x:c r="Q4896" s="30" t="n">
        <x:f>P4896*N4896</x:f>
        <x:v>59.029555200000004</x:v>
      </x:c>
      <x:c r="R4896" s="19" t="str">
        <x:v>独立判定</x:v>
      </x:c>
    </x:row>
    <x:row r="4897" ht="19" customHeight="1">
      <x:c r="A4897" s="19" t="str">
        <x:v>D04893</x:v>
      </x:c>
      <x:c r="B4897" s="19" t="n">
        <x:v>10</x:v>
      </x:c>
      <x:c r="C4897" s="19" t="n">
        <x:v>3</x:v>
      </x:c>
      <x:c r="D4897" s="19" t="str">
        <x:v>C10-M029</x:v>
      </x:c>
      <x:c r="E4897" s="19" t="str">
        <x:v>裂晶钻颚兽</x:v>
      </x:c>
      <x:c r="F4897" s="19" t="str">
        <x:v>普通</x:v>
      </x:c>
      <x:c r="G4897" s="19" t="str">
        <x:v>材料独立候选</x:v>
      </x:c>
      <x:c r="H4897" s="19" t="str">
        <x:v>技能残页</x:v>
      </x:c>
      <x:c r="I4897" s="22" t="n">
        <x:v>5000</x:v>
      </x:c>
      <x:c r="J4897" s="22" t="n">
        <x:v>1</x:v>
      </x:c>
      <x:c r="K4897" s="19" t="n">
        <x:v>1</x:v>
      </x:c>
      <x:c r="L4897" s="24" t="n">
        <x:v>93.16533333333334</x:v>
      </x:c>
      <x:c r="M4897" s="26" t="n">
        <x:v>0.1</x:v>
      </x:c>
      <x:c r="N4897" s="24" t="n">
        <x:v>72</x:v>
      </x:c>
      <x:c r="O4897" s="28" t="n">
        <x:f>MIN(1,L4897/I4897)</x:f>
        <x:v>0.018633066666666667</x:v>
      </x:c>
      <x:c r="P4897" s="30" t="n">
        <x:f>O4897*J4897*(1+M4897)</x:f>
        <x:v>0.020496373333333335</x:v>
      </x:c>
      <x:c r="Q4897" s="30" t="n">
        <x:f>P4897*N4897</x:f>
        <x:v>1.4757388800000002</x:v>
      </x:c>
      <x:c r="R4897" s="19" t="str">
        <x:v>独立判定</x:v>
      </x:c>
    </x:row>
    <x:row r="4898" ht="19" customHeight="1">
      <x:c r="A4898" s="19" t="str">
        <x:v>D04894</x:v>
      </x:c>
      <x:c r="B4898" s="19" t="n">
        <x:v>10</x:v>
      </x:c>
      <x:c r="C4898" s="19" t="n">
        <x:v>3</x:v>
      </x:c>
      <x:c r="D4898" s="19" t="str">
        <x:v>C10-M029</x:v>
      </x:c>
      <x:c r="E4898" s="19" t="str">
        <x:v>裂晶钻颚兽</x:v>
      </x:c>
      <x:c r="F4898" s="19" t="str">
        <x:v>普通</x:v>
      </x:c>
      <x:c r="G4898" s="19" t="str">
        <x:v>材料独立候选</x:v>
      </x:c>
      <x:c r="H4898" s="19" t="str">
        <x:v>小卢恩</x:v>
      </x:c>
      <x:c r="I4898" s="22" t="n">
        <x:v>25000</x:v>
      </x:c>
      <x:c r="J4898" s="22" t="n">
        <x:v>1</x:v>
      </x:c>
      <x:c r="K4898" s="19" t="n">
        <x:v>1</x:v>
      </x:c>
      <x:c r="L4898" s="24" t="n">
        <x:v>93.16533333333334</x:v>
      </x:c>
      <x:c r="M4898" s="26" t="n">
        <x:v>0.1</x:v>
      </x:c>
      <x:c r="N4898" s="24" t="n">
        <x:v>72</x:v>
      </x:c>
      <x:c r="O4898" s="28" t="n">
        <x:f>MIN(1,L4898/I4898)</x:f>
        <x:v>0.0037266133333333333</x:v>
      </x:c>
      <x:c r="P4898" s="30" t="n">
        <x:f>O4898*J4898*(1+M4898)</x:f>
        <x:v>0.004099274666666667</x:v>
      </x:c>
      <x:c r="Q4898" s="30" t="n">
        <x:f>P4898*N4898</x:f>
        <x:v>0.29514777600000003</x:v>
      </x:c>
      <x:c r="R4898" s="19" t="str">
        <x:v>独立判定</x:v>
      </x:c>
    </x:row>
    <x:row r="4899" ht="19" customHeight="1">
      <x:c r="A4899" s="19" t="str">
        <x:v>D04895</x:v>
      </x:c>
      <x:c r="B4899" s="19" t="n">
        <x:v>10</x:v>
      </x:c>
      <x:c r="C4899" s="19" t="n">
        <x:v>3</x:v>
      </x:c>
      <x:c r="D4899" s="19" t="str">
        <x:v>C10-M029</x:v>
      </x:c>
      <x:c r="E4899" s="19" t="str">
        <x:v>裂晶钻颚兽</x:v>
      </x:c>
      <x:c r="F4899" s="19" t="str">
        <x:v>普通</x:v>
      </x:c>
      <x:c r="G4899" s="19" t="str">
        <x:v>六神器公共池</x:v>
      </x:c>
      <x:c r="H4899" s="19" t="str">
        <x:v>POOL006</x:v>
      </x:c>
      <x:c r="I4899" s="22" t="n">
        <x:v>20000000</x:v>
      </x:c>
      <x:c r="J4899" s="22" t="n">
        <x:v>1</x:v>
      </x:c>
      <x:c r="K4899" s="19" t="n">
        <x:v>6</x:v>
      </x:c>
      <x:c r="L4899" s="24" t="n">
        <x:v>93.16533333333334</x:v>
      </x:c>
      <x:c r="M4899" s="26" t="n">
        <x:v>0.1</x:v>
      </x:c>
      <x:c r="N4899" s="24" t="n">
        <x:v>72</x:v>
      </x:c>
      <x:c r="O4899" s="28" t="n">
        <x:f>MIN(1,L4899/I4899)</x:f>
        <x:v>0.0000046582666666666665</x:v>
      </x:c>
      <x:c r="P4899" s="30" t="n">
        <x:f>O4899*J4899*(1+M4899)</x:f>
        <x:v>0.000005124093333333334</x:v>
      </x:c>
      <x:c r="Q4899" s="30" t="n">
        <x:f>P4899*N4899</x:f>
        <x:v>0.00036893472</x:v>
      </x:c>
      <x:c r="R4899" s="19" t="str">
        <x:v>六选一；非6个独立爆率</x:v>
      </x:c>
    </x:row>
    <x:row r="4900" ht="19" customHeight="1">
      <x:c r="A4900" s="19" t="str">
        <x:v>D04896</x:v>
      </x:c>
      <x:c r="B4900" s="19" t="n">
        <x:v>10</x:v>
      </x:c>
      <x:c r="C4900" s="19" t="n">
        <x:v>3</x:v>
      </x:c>
      <x:c r="D4900" s="19" t="str">
        <x:v>C10-M030</x:v>
      </x:c>
      <x:c r="E4900" s="19" t="str">
        <x:v>矿脉听金虫</x:v>
      </x:c>
      <x:c r="F4900" s="19" t="str">
        <x:v>普通</x:v>
      </x:c>
      <x:c r="G4900" s="19" t="str">
        <x:v>自身专属</x:v>
      </x:c>
      <x:c r="H4900" s="19" t="str">
        <x:v>听金矿纹坠</x:v>
      </x:c>
      <x:c r="I4900" s="22" t="n">
        <x:v>12000</x:v>
      </x:c>
      <x:c r="J4900" s="22" t="n">
        <x:v>1</x:v>
      </x:c>
      <x:c r="K4900" s="19" t="n">
        <x:v>1</x:v>
      </x:c>
      <x:c r="L4900" s="24" t="n">
        <x:v>93.16533333333334</x:v>
      </x:c>
      <x:c r="M4900" s="26" t="n">
        <x:v>0.1</x:v>
      </x:c>
      <x:c r="N4900" s="24" t="n">
        <x:v>72</x:v>
      </x:c>
      <x:c r="O4900" s="28" t="n">
        <x:f>MIN(1,L4900/I4900)</x:f>
        <x:v>0.007763777777777778</x:v>
      </x:c>
      <x:c r="P4900" s="30" t="n">
        <x:f>O4900*J4900*(1+M4900)</x:f>
        <x:v>0.008540155555555557</x:v>
      </x:c>
      <x:c r="Q4900" s="30" t="n">
        <x:f>P4900*N4900</x:f>
        <x:v>0.6148912000000001</x:v>
      </x:c>
      <x:c r="R4900" s="19" t="str">
        <x:v>独立判定</x:v>
      </x:c>
    </x:row>
    <x:row r="4901" ht="19" customHeight="1">
      <x:c r="A4901" s="19" t="str">
        <x:v>D04897</x:v>
      </x:c>
      <x:c r="B4901" s="19" t="n">
        <x:v>10</x:v>
      </x:c>
      <x:c r="C4901" s="19" t="n">
        <x:v>3</x:v>
      </x:c>
      <x:c r="D4901" s="19" t="str">
        <x:v>C10-M030</x:v>
      </x:c>
      <x:c r="E4901" s="19" t="str">
        <x:v>矿脉听金虫</x:v>
      </x:c>
      <x:c r="F4901" s="19" t="str">
        <x:v>普通</x:v>
      </x:c>
      <x:c r="G4901" s="19" t="str">
        <x:v>材料独立候选</x:v>
      </x:c>
      <x:c r="H4901" s="19" t="str">
        <x:v>王城金屑</x:v>
      </x:c>
      <x:c r="I4901" s="22" t="n">
        <x:v>1800</x:v>
      </x:c>
      <x:c r="J4901" s="22" t="n">
        <x:v>8</x:v>
      </x:c>
      <x:c r="K4901" s="19" t="n">
        <x:v>1</x:v>
      </x:c>
      <x:c r="L4901" s="24" t="n">
        <x:v>93.16533333333334</x:v>
      </x:c>
      <x:c r="M4901" s="26" t="n">
        <x:v>0.1</x:v>
      </x:c>
      <x:c r="N4901" s="24" t="n">
        <x:v>72</x:v>
      </x:c>
      <x:c r="O4901" s="28" t="n">
        <x:f>MIN(1,L4901/I4901)</x:f>
        <x:v>0.05175851851851852</x:v>
      </x:c>
      <x:c r="P4901" s="30" t="n">
        <x:f>O4901*J4901*(1+M4901)</x:f>
        <x:v>0.455474962962963</x:v>
      </x:c>
      <x:c r="Q4901" s="30" t="n">
        <x:f>P4901*N4901</x:f>
        <x:v>32.79419733333334</x:v>
      </x:c>
      <x:c r="R4901" s="19" t="str">
        <x:v>独立判定</x:v>
      </x:c>
    </x:row>
    <x:row r="4902" ht="19" customHeight="1">
      <x:c r="A4902" s="19" t="str">
        <x:v>D04898</x:v>
      </x:c>
      <x:c r="B4902" s="19" t="n">
        <x:v>10</x:v>
      </x:c>
      <x:c r="C4902" s="19" t="n">
        <x:v>3</x:v>
      </x:c>
      <x:c r="D4902" s="19" t="str">
        <x:v>C10-M030</x:v>
      </x:c>
      <x:c r="E4902" s="19" t="str">
        <x:v>矿脉听金虫</x:v>
      </x:c>
      <x:c r="F4902" s="19" t="str">
        <x:v>普通</x:v>
      </x:c>
      <x:c r="G4902" s="19" t="str">
        <x:v>材料独立候选</x:v>
      </x:c>
      <x:c r="H4902" s="19" t="str">
        <x:v>无名墓钉</x:v>
      </x:c>
      <x:c r="I4902" s="22" t="n">
        <x:v>2500</x:v>
      </x:c>
      <x:c r="J4902" s="22" t="n">
        <x:v>1</x:v>
      </x:c>
      <x:c r="K4902" s="19" t="n">
        <x:v>1</x:v>
      </x:c>
      <x:c r="L4902" s="24" t="n">
        <x:v>93.16533333333334</x:v>
      </x:c>
      <x:c r="M4902" s="26" t="n">
        <x:v>0.1</x:v>
      </x:c>
      <x:c r="N4902" s="24" t="n">
        <x:v>72</x:v>
      </x:c>
      <x:c r="O4902" s="28" t="n">
        <x:f>MIN(1,L4902/I4902)</x:f>
        <x:v>0.03726613333333333</x:v>
      </x:c>
      <x:c r="P4902" s="30" t="n">
        <x:f>O4902*J4902*(1+M4902)</x:f>
        <x:v>0.04099274666666667</x:v>
      </x:c>
      <x:c r="Q4902" s="30" t="n">
        <x:f>P4902*N4902</x:f>
        <x:v>2.9514777600000004</x:v>
      </x:c>
      <x:c r="R4902" s="19" t="str">
        <x:v>独立判定</x:v>
      </x:c>
    </x:row>
    <x:row r="4903" ht="19" customHeight="1">
      <x:c r="A4903" s="19" t="str">
        <x:v>D04899</x:v>
      </x:c>
      <x:c r="B4903" s="19" t="n">
        <x:v>10</x:v>
      </x:c>
      <x:c r="C4903" s="19" t="n">
        <x:v>3</x:v>
      </x:c>
      <x:c r="D4903" s="19" t="str">
        <x:v>C10-M030</x:v>
      </x:c>
      <x:c r="E4903" s="19" t="str">
        <x:v>矿脉听金虫</x:v>
      </x:c>
      <x:c r="F4903" s="19" t="str">
        <x:v>普通</x:v>
      </x:c>
      <x:c r="G4903" s="19" t="str">
        <x:v>材料独立候选</x:v>
      </x:c>
      <x:c r="H4903" s="19" t="str">
        <x:v>穹律鎏痕拓片</x:v>
      </x:c>
      <x:c r="I4903" s="22" t="n">
        <x:v>4000000</x:v>
      </x:c>
      <x:c r="J4903" s="22" t="n">
        <x:v>1</x:v>
      </x:c>
      <x:c r="K4903" s="19" t="n">
        <x:v>1</x:v>
      </x:c>
      <x:c r="L4903" s="24" t="n">
        <x:v>93.16533333333334</x:v>
      </x:c>
      <x:c r="M4903" s="26" t="n">
        <x:v>0.1</x:v>
      </x:c>
      <x:c r="N4903" s="24" t="n">
        <x:v>72</x:v>
      </x:c>
      <x:c r="O4903" s="28" t="n">
        <x:f>MIN(1,L4903/I4903)</x:f>
        <x:v>0.000023291333333333335</x:v>
      </x:c>
      <x:c r="P4903" s="30" t="n">
        <x:f>O4903*J4903*(1+M4903)</x:f>
        <x:v>0.00002562046666666667</x:v>
      </x:c>
      <x:c r="Q4903" s="30" t="n">
        <x:f>P4903*N4903</x:f>
        <x:v>0.0018446736000000002</x:v>
      </x:c>
      <x:c r="R4903" s="19" t="str">
        <x:v>独立判定</x:v>
      </x:c>
    </x:row>
    <x:row r="4904" ht="19" customHeight="1">
      <x:c r="A4904" s="19" t="str">
        <x:v>D04900</x:v>
      </x:c>
      <x:c r="B4904" s="19" t="n">
        <x:v>10</x:v>
      </x:c>
      <x:c r="C4904" s="19" t="n">
        <x:v>3</x:v>
      </x:c>
      <x:c r="D4904" s="19" t="str">
        <x:v>C10-M030</x:v>
      </x:c>
      <x:c r="E4904" s="19" t="str">
        <x:v>矿脉听金虫</x:v>
      </x:c>
      <x:c r="F4904" s="19" t="str">
        <x:v>普通</x:v>
      </x:c>
      <x:c r="G4904" s="19" t="str">
        <x:v>材料独立候选</x:v>
      </x:c>
      <x:c r="H4904" s="19" t="str">
        <x:v>野兽骨片</x:v>
      </x:c>
      <x:c r="I4904" s="22" t="n">
        <x:v>500</x:v>
      </x:c>
      <x:c r="J4904" s="22" t="n">
        <x:v>4</x:v>
      </x:c>
      <x:c r="K4904" s="19" t="n">
        <x:v>1</x:v>
      </x:c>
      <x:c r="L4904" s="24" t="n">
        <x:v>93.16533333333334</x:v>
      </x:c>
      <x:c r="M4904" s="26" t="n">
        <x:v>0.1</x:v>
      </x:c>
      <x:c r="N4904" s="24" t="n">
        <x:v>72</x:v>
      </x:c>
      <x:c r="O4904" s="28" t="n">
        <x:f>MIN(1,L4904/I4904)</x:f>
        <x:v>0.18633066666666667</x:v>
      </x:c>
      <x:c r="P4904" s="30" t="n">
        <x:f>O4904*J4904*(1+M4904)</x:f>
        <x:v>0.8198549333333334</x:v>
      </x:c>
      <x:c r="Q4904" s="30" t="n">
        <x:f>P4904*N4904</x:f>
        <x:v>59.029555200000004</x:v>
      </x:c>
      <x:c r="R4904" s="19" t="str">
        <x:v>独立判定</x:v>
      </x:c>
    </x:row>
    <x:row r="4905" ht="19" customHeight="1">
      <x:c r="A4905" s="19" t="str">
        <x:v>D04901</x:v>
      </x:c>
      <x:c r="B4905" s="19" t="n">
        <x:v>10</x:v>
      </x:c>
      <x:c r="C4905" s="19" t="n">
        <x:v>3</x:v>
      </x:c>
      <x:c r="D4905" s="19" t="str">
        <x:v>C10-M030</x:v>
      </x:c>
      <x:c r="E4905" s="19" t="str">
        <x:v>矿脉听金虫</x:v>
      </x:c>
      <x:c r="F4905" s="19" t="str">
        <x:v>普通</x:v>
      </x:c>
      <x:c r="G4905" s="19" t="str">
        <x:v>材料独立候选</x:v>
      </x:c>
      <x:c r="H4905" s="19" t="str">
        <x:v>技能残页</x:v>
      </x:c>
      <x:c r="I4905" s="22" t="n">
        <x:v>5000</x:v>
      </x:c>
      <x:c r="J4905" s="22" t="n">
        <x:v>1</x:v>
      </x:c>
      <x:c r="K4905" s="19" t="n">
        <x:v>1</x:v>
      </x:c>
      <x:c r="L4905" s="24" t="n">
        <x:v>93.16533333333334</x:v>
      </x:c>
      <x:c r="M4905" s="26" t="n">
        <x:v>0.1</x:v>
      </x:c>
      <x:c r="N4905" s="24" t="n">
        <x:v>72</x:v>
      </x:c>
      <x:c r="O4905" s="28" t="n">
        <x:f>MIN(1,L4905/I4905)</x:f>
        <x:v>0.018633066666666667</x:v>
      </x:c>
      <x:c r="P4905" s="30" t="n">
        <x:f>O4905*J4905*(1+M4905)</x:f>
        <x:v>0.020496373333333335</x:v>
      </x:c>
      <x:c r="Q4905" s="30" t="n">
        <x:f>P4905*N4905</x:f>
        <x:v>1.4757388800000002</x:v>
      </x:c>
      <x:c r="R4905" s="19" t="str">
        <x:v>独立判定</x:v>
      </x:c>
    </x:row>
    <x:row r="4906" ht="19" customHeight="1">
      <x:c r="A4906" s="19" t="str">
        <x:v>D04902</x:v>
      </x:c>
      <x:c r="B4906" s="19" t="n">
        <x:v>10</x:v>
      </x:c>
      <x:c r="C4906" s="19" t="n">
        <x:v>3</x:v>
      </x:c>
      <x:c r="D4906" s="19" t="str">
        <x:v>C10-M030</x:v>
      </x:c>
      <x:c r="E4906" s="19" t="str">
        <x:v>矿脉听金虫</x:v>
      </x:c>
      <x:c r="F4906" s="19" t="str">
        <x:v>普通</x:v>
      </x:c>
      <x:c r="G4906" s="19" t="str">
        <x:v>材料独立候选</x:v>
      </x:c>
      <x:c r="H4906" s="19" t="str">
        <x:v>小卢恩</x:v>
      </x:c>
      <x:c r="I4906" s="22" t="n">
        <x:v>25000</x:v>
      </x:c>
      <x:c r="J4906" s="22" t="n">
        <x:v>1</x:v>
      </x:c>
      <x:c r="K4906" s="19" t="n">
        <x:v>1</x:v>
      </x:c>
      <x:c r="L4906" s="24" t="n">
        <x:v>93.16533333333334</x:v>
      </x:c>
      <x:c r="M4906" s="26" t="n">
        <x:v>0.1</x:v>
      </x:c>
      <x:c r="N4906" s="24" t="n">
        <x:v>72</x:v>
      </x:c>
      <x:c r="O4906" s="28" t="n">
        <x:f>MIN(1,L4906/I4906)</x:f>
        <x:v>0.0037266133333333333</x:v>
      </x:c>
      <x:c r="P4906" s="30" t="n">
        <x:f>O4906*J4906*(1+M4906)</x:f>
        <x:v>0.004099274666666667</x:v>
      </x:c>
      <x:c r="Q4906" s="30" t="n">
        <x:f>P4906*N4906</x:f>
        <x:v>0.29514777600000003</x:v>
      </x:c>
      <x:c r="R4906" s="19" t="str">
        <x:v>独立判定</x:v>
      </x:c>
    </x:row>
    <x:row r="4907" ht="19" customHeight="1">
      <x:c r="A4907" s="19" t="str">
        <x:v>D04903</x:v>
      </x:c>
      <x:c r="B4907" s="19" t="n">
        <x:v>10</x:v>
      </x:c>
      <x:c r="C4907" s="19" t="n">
        <x:v>3</x:v>
      </x:c>
      <x:c r="D4907" s="19" t="str">
        <x:v>C10-M030</x:v>
      </x:c>
      <x:c r="E4907" s="19" t="str">
        <x:v>矿脉听金虫</x:v>
      </x:c>
      <x:c r="F4907" s="19" t="str">
        <x:v>普通</x:v>
      </x:c>
      <x:c r="G4907" s="19" t="str">
        <x:v>六神器公共池</x:v>
      </x:c>
      <x:c r="H4907" s="19" t="str">
        <x:v>POOL006</x:v>
      </x:c>
      <x:c r="I4907" s="22" t="n">
        <x:v>20000000</x:v>
      </x:c>
      <x:c r="J4907" s="22" t="n">
        <x:v>1</x:v>
      </x:c>
      <x:c r="K4907" s="19" t="n">
        <x:v>6</x:v>
      </x:c>
      <x:c r="L4907" s="24" t="n">
        <x:v>93.16533333333334</x:v>
      </x:c>
      <x:c r="M4907" s="26" t="n">
        <x:v>0.1</x:v>
      </x:c>
      <x:c r="N4907" s="24" t="n">
        <x:v>72</x:v>
      </x:c>
      <x:c r="O4907" s="28" t="n">
        <x:f>MIN(1,L4907/I4907)</x:f>
        <x:v>0.0000046582666666666665</x:v>
      </x:c>
      <x:c r="P4907" s="30" t="n">
        <x:f>O4907*J4907*(1+M4907)</x:f>
        <x:v>0.000005124093333333334</x:v>
      </x:c>
      <x:c r="Q4907" s="30" t="n">
        <x:f>P4907*N4907</x:f>
        <x:v>0.00036893472</x:v>
      </x:c>
      <x:c r="R4907" s="19" t="str">
        <x:v>六选一；非6个独立爆率</x:v>
      </x:c>
    </x:row>
    <x:row r="4908" ht="19" customHeight="1">
      <x:c r="A4908" s="19" t="str">
        <x:v>D04904</x:v>
      </x:c>
      <x:c r="B4908" s="19" t="n">
        <x:v>10</x:v>
      </x:c>
      <x:c r="C4908" s="19" t="n">
        <x:v>3</x:v>
      </x:c>
      <x:c r="D4908" s="19" t="str">
        <x:v>C10-M031</x:v>
      </x:c>
      <x:c r="E4908" s="19" t="str">
        <x:v>监坑鎏面骑</x:v>
      </x:c>
      <x:c r="F4908" s="19" t="str">
        <x:v>稀有</x:v>
      </x:c>
      <x:c r="G4908" s="19" t="str">
        <x:v>自身专属</x:v>
      </x:c>
      <x:c r="H4908" s="19" t="str">
        <x:v>鎏面监坑腰封</x:v>
      </x:c>
      <x:c r="I4908" s="22" t="n">
        <x:v>3000</x:v>
      </x:c>
      <x:c r="J4908" s="22" t="n">
        <x:v>1</x:v>
      </x:c>
      <x:c r="K4908" s="19" t="n">
        <x:v>1</x:v>
      </x:c>
      <x:c r="L4908" s="24" t="n">
        <x:v>93.16533333333334</x:v>
      </x:c>
      <x:c r="M4908" s="26" t="n">
        <x:v>0.1</x:v>
      </x:c>
      <x:c r="N4908" s="24" t="n">
        <x:v>12</x:v>
      </x:c>
      <x:c r="O4908" s="28" t="n">
        <x:f>MIN(1,L4908/I4908)</x:f>
        <x:v>0.031055111111111113</x:v>
      </x:c>
      <x:c r="P4908" s="30" t="n">
        <x:f>O4908*J4908*(1+M4908)</x:f>
        <x:v>0.03416062222222223</x:v>
      </x:c>
      <x:c r="Q4908" s="30" t="n">
        <x:f>P4908*N4908</x:f>
        <x:v>0.40992746666666674</x:v>
      </x:c>
      <x:c r="R4908" s="19" t="str">
        <x:v>独立判定</x:v>
      </x:c>
    </x:row>
    <x:row r="4909" ht="19" customHeight="1">
      <x:c r="A4909" s="19" t="str">
        <x:v>D04905</x:v>
      </x:c>
      <x:c r="B4909" s="19" t="n">
        <x:v>10</x:v>
      </x:c>
      <x:c r="C4909" s="19" t="n">
        <x:v>3</x:v>
      </x:c>
      <x:c r="D4909" s="19" t="str">
        <x:v>C10-M031</x:v>
      </x:c>
      <x:c r="E4909" s="19" t="str">
        <x:v>监坑鎏面骑</x:v>
      </x:c>
      <x:c r="F4909" s="19" t="str">
        <x:v>稀有</x:v>
      </x:c>
      <x:c r="G4909" s="19" t="str">
        <x:v>材料独立候选</x:v>
      </x:c>
      <x:c r="H4909" s="19" t="str">
        <x:v>王城金屑</x:v>
      </x:c>
      <x:c r="I4909" s="22" t="n">
        <x:v>1200</x:v>
      </x:c>
      <x:c r="J4909" s="22" t="n">
        <x:v>15</x:v>
      </x:c>
      <x:c r="K4909" s="19" t="n">
        <x:v>1</x:v>
      </x:c>
      <x:c r="L4909" s="24" t="n">
        <x:v>93.16533333333334</x:v>
      </x:c>
      <x:c r="M4909" s="26" t="n">
        <x:v>0.1</x:v>
      </x:c>
      <x:c r="N4909" s="24" t="n">
        <x:v>12</x:v>
      </x:c>
      <x:c r="O4909" s="28" t="n">
        <x:f>MIN(1,L4909/I4909)</x:f>
        <x:v>0.07763777777777778</x:v>
      </x:c>
      <x:c r="P4909" s="30" t="n">
        <x:f>O4909*J4909*(1+M4909)</x:f>
        <x:v>1.2810233333333336</x:v>
      </x:c>
      <x:c r="Q4909" s="30" t="n">
        <x:f>P4909*N4909</x:f>
        <x:v>15.372280000000003</x:v>
      </x:c>
      <x:c r="R4909" s="19" t="str">
        <x:v>独立判定</x:v>
      </x:c>
    </x:row>
    <x:row r="4910" ht="19" customHeight="1">
      <x:c r="A4910" s="19" t="str">
        <x:v>D04906</x:v>
      </x:c>
      <x:c r="B4910" s="19" t="n">
        <x:v>10</x:v>
      </x:c>
      <x:c r="C4910" s="19" t="n">
        <x:v>3</x:v>
      </x:c>
      <x:c r="D4910" s="19" t="str">
        <x:v>C10-M031</x:v>
      </x:c>
      <x:c r="E4910" s="19" t="str">
        <x:v>监坑鎏面骑</x:v>
      </x:c>
      <x:c r="F4910" s="19" t="str">
        <x:v>稀有</x:v>
      </x:c>
      <x:c r="G4910" s="19" t="str">
        <x:v>材料独立候选</x:v>
      </x:c>
      <x:c r="H4910" s="19" t="str">
        <x:v>王宫律文</x:v>
      </x:c>
      <x:c r="I4910" s="22" t="n">
        <x:v>800</x:v>
      </x:c>
      <x:c r="J4910" s="22" t="n">
        <x:v>1</x:v>
      </x:c>
      <x:c r="K4910" s="19" t="n">
        <x:v>1</x:v>
      </x:c>
      <x:c r="L4910" s="24" t="n">
        <x:v>93.16533333333334</x:v>
      </x:c>
      <x:c r="M4910" s="26" t="n">
        <x:v>0.1</x:v>
      </x:c>
      <x:c r="N4910" s="24" t="n">
        <x:v>12</x:v>
      </x:c>
      <x:c r="O4910" s="28" t="n">
        <x:f>MIN(1,L4910/I4910)</x:f>
        <x:v>0.11645666666666667</x:v>
      </x:c>
      <x:c r="P4910" s="30" t="n">
        <x:f>O4910*J4910*(1+M4910)</x:f>
        <x:v>0.12810233333333335</x:v>
      </x:c>
      <x:c r="Q4910" s="30" t="n">
        <x:f>P4910*N4910</x:f>
        <x:v>1.5372280000000003</x:v>
      </x:c>
      <x:c r="R4910" s="19" t="str">
        <x:v>独立判定</x:v>
      </x:c>
    </x:row>
    <x:row r="4911" ht="19" customHeight="1">
      <x:c r="A4911" s="19" t="str">
        <x:v>D04907</x:v>
      </x:c>
      <x:c r="B4911" s="19" t="n">
        <x:v>10</x:v>
      </x:c>
      <x:c r="C4911" s="19" t="n">
        <x:v>3</x:v>
      </x:c>
      <x:c r="D4911" s="19" t="str">
        <x:v>C10-M031</x:v>
      </x:c>
      <x:c r="E4911" s="19" t="str">
        <x:v>监坑鎏面骑</x:v>
      </x:c>
      <x:c r="F4911" s="19" t="str">
        <x:v>稀有</x:v>
      </x:c>
      <x:c r="G4911" s="19" t="str">
        <x:v>材料独立候选</x:v>
      </x:c>
      <x:c r="H4911" s="19" t="str">
        <x:v>旧渠阀芯</x:v>
      </x:c>
      <x:c r="I4911" s="22" t="n">
        <x:v>800</x:v>
      </x:c>
      <x:c r="J4911" s="22" t="n">
        <x:v>1</x:v>
      </x:c>
      <x:c r="K4911" s="19" t="n">
        <x:v>1</x:v>
      </x:c>
      <x:c r="L4911" s="24" t="n">
        <x:v>93.16533333333334</x:v>
      </x:c>
      <x:c r="M4911" s="26" t="n">
        <x:v>0.1</x:v>
      </x:c>
      <x:c r="N4911" s="24" t="n">
        <x:v>12</x:v>
      </x:c>
      <x:c r="O4911" s="28" t="n">
        <x:f>MIN(1,L4911/I4911)</x:f>
        <x:v>0.11645666666666667</x:v>
      </x:c>
      <x:c r="P4911" s="30" t="n">
        <x:f>O4911*J4911*(1+M4911)</x:f>
        <x:v>0.12810233333333335</x:v>
      </x:c>
      <x:c r="Q4911" s="30" t="n">
        <x:f>P4911*N4911</x:f>
        <x:v>1.5372280000000003</x:v>
      </x:c>
      <x:c r="R4911" s="19" t="str">
        <x:v>独立判定</x:v>
      </x:c>
    </x:row>
    <x:row r="4912" ht="19" customHeight="1">
      <x:c r="A4912" s="19" t="str">
        <x:v>D04908</x:v>
      </x:c>
      <x:c r="B4912" s="19" t="n">
        <x:v>10</x:v>
      </x:c>
      <x:c r="C4912" s="19" t="n">
        <x:v>3</x:v>
      </x:c>
      <x:c r="D4912" s="19" t="str">
        <x:v>C10-M031</x:v>
      </x:c>
      <x:c r="E4912" s="19" t="str">
        <x:v>监坑鎏面骑</x:v>
      </x:c>
      <x:c r="F4912" s="19" t="str">
        <x:v>稀有</x:v>
      </x:c>
      <x:c r="G4912" s="19" t="str">
        <x:v>材料独立候选</x:v>
      </x:c>
      <x:c r="H4912" s="19" t="str">
        <x:v>穹律鎏痕拓片</x:v>
      </x:c>
      <x:c r="I4912" s="22" t="n">
        <x:v>2500000</x:v>
      </x:c>
      <x:c r="J4912" s="22" t="n">
        <x:v>1</x:v>
      </x:c>
      <x:c r="K4912" s="19" t="n">
        <x:v>1</x:v>
      </x:c>
      <x:c r="L4912" s="24" t="n">
        <x:v>93.16533333333334</x:v>
      </x:c>
      <x:c r="M4912" s="26" t="n">
        <x:v>0.1</x:v>
      </x:c>
      <x:c r="N4912" s="24" t="n">
        <x:v>12</x:v>
      </x:c>
      <x:c r="O4912" s="28" t="n">
        <x:f>MIN(1,L4912/I4912)</x:f>
        <x:v>0.00003726613333333333</x:v>
      </x:c>
      <x:c r="P4912" s="30" t="n">
        <x:f>O4912*J4912*(1+M4912)</x:f>
        <x:v>0.00004099274666666667</x:v>
      </x:c>
      <x:c r="Q4912" s="30" t="n">
        <x:f>P4912*N4912</x:f>
        <x:v>0.00049191296</x:v>
      </x:c>
      <x:c r="R4912" s="19" t="str">
        <x:v>独立判定</x:v>
      </x:c>
    </x:row>
    <x:row r="4913" ht="19" customHeight="1">
      <x:c r="A4913" s="19" t="str">
        <x:v>D04909</x:v>
      </x:c>
      <x:c r="B4913" s="19" t="n">
        <x:v>10</x:v>
      </x:c>
      <x:c r="C4913" s="19" t="n">
        <x:v>3</x:v>
      </x:c>
      <x:c r="D4913" s="19" t="str">
        <x:v>C10-M031</x:v>
      </x:c>
      <x:c r="E4913" s="19" t="str">
        <x:v>监坑鎏面骑</x:v>
      </x:c>
      <x:c r="F4913" s="19" t="str">
        <x:v>稀有</x:v>
      </x:c>
      <x:c r="G4913" s="19" t="str">
        <x:v>材料独立候选</x:v>
      </x:c>
      <x:c r="H4913" s="19" t="str">
        <x:v>黄金树芽</x:v>
      </x:c>
      <x:c r="I4913" s="22" t="n">
        <x:v>3000</x:v>
      </x:c>
      <x:c r="J4913" s="22" t="n">
        <x:v>1</x:v>
      </x:c>
      <x:c r="K4913" s="19" t="n">
        <x:v>1</x:v>
      </x:c>
      <x:c r="L4913" s="24" t="n">
        <x:v>93.16533333333334</x:v>
      </x:c>
      <x:c r="M4913" s="26" t="n">
        <x:v>0.1</x:v>
      </x:c>
      <x:c r="N4913" s="24" t="n">
        <x:v>12</x:v>
      </x:c>
      <x:c r="O4913" s="28" t="n">
        <x:f>MIN(1,L4913/I4913)</x:f>
        <x:v>0.031055111111111113</x:v>
      </x:c>
      <x:c r="P4913" s="30" t="n">
        <x:f>O4913*J4913*(1+M4913)</x:f>
        <x:v>0.03416062222222223</x:v>
      </x:c>
      <x:c r="Q4913" s="30" t="n">
        <x:f>P4913*N4913</x:f>
        <x:v>0.40992746666666674</x:v>
      </x:c>
      <x:c r="R4913" s="19" t="str">
        <x:v>独立判定</x:v>
      </x:c>
    </x:row>
    <x:row r="4914" ht="19" customHeight="1">
      <x:c r="A4914" s="19" t="str">
        <x:v>D04910</x:v>
      </x:c>
      <x:c r="B4914" s="19" t="n">
        <x:v>10</x:v>
      </x:c>
      <x:c r="C4914" s="19" t="n">
        <x:v>3</x:v>
      </x:c>
      <x:c r="D4914" s="19" t="str">
        <x:v>C10-M031</x:v>
      </x:c>
      <x:c r="E4914" s="19" t="str">
        <x:v>监坑鎏面骑</x:v>
      </x:c>
      <x:c r="F4914" s="19" t="str">
        <x:v>稀有</x:v>
      </x:c>
      <x:c r="G4914" s="19" t="str">
        <x:v>材料独立候选</x:v>
      </x:c>
      <x:c r="H4914" s="19" t="str">
        <x:v>野兽骨片</x:v>
      </x:c>
      <x:c r="I4914" s="22" t="n">
        <x:v>300</x:v>
      </x:c>
      <x:c r="J4914" s="22" t="n">
        <x:v>4</x:v>
      </x:c>
      <x:c r="K4914" s="19" t="n">
        <x:v>1</x:v>
      </x:c>
      <x:c r="L4914" s="24" t="n">
        <x:v>93.16533333333334</x:v>
      </x:c>
      <x:c r="M4914" s="26" t="n">
        <x:v>0.1</x:v>
      </x:c>
      <x:c r="N4914" s="24" t="n">
        <x:v>12</x:v>
      </x:c>
      <x:c r="O4914" s="28" t="n">
        <x:f>MIN(1,L4914/I4914)</x:f>
        <x:v>0.3105511111111111</x:v>
      </x:c>
      <x:c r="P4914" s="30" t="n">
        <x:f>O4914*J4914*(1+M4914)</x:f>
        <x:v>1.366424888888889</x:v>
      </x:c>
      <x:c r="Q4914" s="30" t="n">
        <x:f>P4914*N4914</x:f>
        <x:v>16.39709866666667</x:v>
      </x:c>
      <x:c r="R4914" s="19" t="str">
        <x:v>独立判定</x:v>
      </x:c>
    </x:row>
    <x:row r="4915" ht="19" customHeight="1">
      <x:c r="A4915" s="19" t="str">
        <x:v>D04911</x:v>
      </x:c>
      <x:c r="B4915" s="19" t="n">
        <x:v>10</x:v>
      </x:c>
      <x:c r="C4915" s="19" t="n">
        <x:v>3</x:v>
      </x:c>
      <x:c r="D4915" s="19" t="str">
        <x:v>C10-M031</x:v>
      </x:c>
      <x:c r="E4915" s="19" t="str">
        <x:v>监坑鎏面骑</x:v>
      </x:c>
      <x:c r="F4915" s="19" t="str">
        <x:v>稀有</x:v>
      </x:c>
      <x:c r="G4915" s="19" t="str">
        <x:v>材料独立候选</x:v>
      </x:c>
      <x:c r="H4915" s="19" t="str">
        <x:v>技能残页</x:v>
      </x:c>
      <x:c r="I4915" s="22" t="n">
        <x:v>3000</x:v>
      </x:c>
      <x:c r="J4915" s="22" t="n">
        <x:v>1</x:v>
      </x:c>
      <x:c r="K4915" s="19" t="n">
        <x:v>1</x:v>
      </x:c>
      <x:c r="L4915" s="24" t="n">
        <x:v>93.16533333333334</x:v>
      </x:c>
      <x:c r="M4915" s="26" t="n">
        <x:v>0.1</x:v>
      </x:c>
      <x:c r="N4915" s="24" t="n">
        <x:v>12</x:v>
      </x:c>
      <x:c r="O4915" s="28" t="n">
        <x:f>MIN(1,L4915/I4915)</x:f>
        <x:v>0.031055111111111113</x:v>
      </x:c>
      <x:c r="P4915" s="30" t="n">
        <x:f>O4915*J4915*(1+M4915)</x:f>
        <x:v>0.03416062222222223</x:v>
      </x:c>
      <x:c r="Q4915" s="30" t="n">
        <x:f>P4915*N4915</x:f>
        <x:v>0.40992746666666674</x:v>
      </x:c>
      <x:c r="R4915" s="19" t="str">
        <x:v>独立判定</x:v>
      </x:c>
    </x:row>
    <x:row r="4916" ht="19" customHeight="1">
      <x:c r="A4916" s="19" t="str">
        <x:v>D04912</x:v>
      </x:c>
      <x:c r="B4916" s="19" t="n">
        <x:v>10</x:v>
      </x:c>
      <x:c r="C4916" s="19" t="n">
        <x:v>3</x:v>
      </x:c>
      <x:c r="D4916" s="19" t="str">
        <x:v>C10-M031</x:v>
      </x:c>
      <x:c r="E4916" s="19" t="str">
        <x:v>监坑鎏面骑</x:v>
      </x:c>
      <x:c r="F4916" s="19" t="str">
        <x:v>稀有</x:v>
      </x:c>
      <x:c r="G4916" s="19" t="str">
        <x:v>材料独立候选</x:v>
      </x:c>
      <x:c r="H4916" s="19" t="str">
        <x:v>小卢恩</x:v>
      </x:c>
      <x:c r="I4916" s="22" t="n">
        <x:v>18000</x:v>
      </x:c>
      <x:c r="J4916" s="22" t="n">
        <x:v>1</x:v>
      </x:c>
      <x:c r="K4916" s="19" t="n">
        <x:v>1</x:v>
      </x:c>
      <x:c r="L4916" s="24" t="n">
        <x:v>93.16533333333334</x:v>
      </x:c>
      <x:c r="M4916" s="26" t="n">
        <x:v>0.1</x:v>
      </x:c>
      <x:c r="N4916" s="24" t="n">
        <x:v>12</x:v>
      </x:c>
      <x:c r="O4916" s="28" t="n">
        <x:f>MIN(1,L4916/I4916)</x:f>
        <x:v>0.005175851851851852</x:v>
      </x:c>
      <x:c r="P4916" s="30" t="n">
        <x:f>O4916*J4916*(1+M4916)</x:f>
        <x:v>0.0056934370370370375</x:v>
      </x:c>
      <x:c r="Q4916" s="30" t="n">
        <x:f>P4916*N4916</x:f>
        <x:v>0.06832124444444446</x:v>
      </x:c>
      <x:c r="R4916" s="19" t="str">
        <x:v>独立判定</x:v>
      </x:c>
    </x:row>
    <x:row r="4917" ht="19" customHeight="1">
      <x:c r="A4917" s="19" t="str">
        <x:v>D04913</x:v>
      </x:c>
      <x:c r="B4917" s="19" t="n">
        <x:v>10</x:v>
      </x:c>
      <x:c r="C4917" s="19" t="n">
        <x:v>3</x:v>
      </x:c>
      <x:c r="D4917" s="19" t="str">
        <x:v>C10-M031</x:v>
      </x:c>
      <x:c r="E4917" s="19" t="str">
        <x:v>监坑鎏面骑</x:v>
      </x:c>
      <x:c r="F4917" s="19" t="str">
        <x:v>稀有</x:v>
      </x:c>
      <x:c r="G4917" s="19" t="str">
        <x:v>六神器公共池</x:v>
      </x:c>
      <x:c r="H4917" s="19" t="str">
        <x:v>POOL006</x:v>
      </x:c>
      <x:c r="I4917" s="22" t="n">
        <x:v>5000000</x:v>
      </x:c>
      <x:c r="J4917" s="22" t="n">
        <x:v>1</x:v>
      </x:c>
      <x:c r="K4917" s="19" t="n">
        <x:v>6</x:v>
      </x:c>
      <x:c r="L4917" s="24" t="n">
        <x:v>93.16533333333334</x:v>
      </x:c>
      <x:c r="M4917" s="26" t="n">
        <x:v>0.1</x:v>
      </x:c>
      <x:c r="N4917" s="24" t="n">
        <x:v>12</x:v>
      </x:c>
      <x:c r="O4917" s="28" t="n">
        <x:f>MIN(1,L4917/I4917)</x:f>
        <x:v>0.000018633066666666666</x:v>
      </x:c>
      <x:c r="P4917" s="30" t="n">
        <x:f>O4917*J4917*(1+M4917)</x:f>
        <x:v>0.000020496373333333335</x:v>
      </x:c>
      <x:c r="Q4917" s="30" t="n">
        <x:f>P4917*N4917</x:f>
        <x:v>0.00024595648</x:v>
      </x:c>
      <x:c r="R4917" s="19" t="str">
        <x:v>六选一；非6个独立爆率</x:v>
      </x:c>
    </x:row>
    <x:row r="4918" ht="19" customHeight="1">
      <x:c r="A4918" s="19" t="str">
        <x:v>D04914</x:v>
      </x:c>
      <x:c r="B4918" s="19" t="n">
        <x:v>10</x:v>
      </x:c>
      <x:c r="C4918" s="19" t="n">
        <x:v>3</x:v>
      </x:c>
      <x:c r="D4918" s="19" t="str">
        <x:v>C10-M032</x:v>
      </x:c>
      <x:c r="E4918" s="19" t="str">
        <x:v>空炉吐渣鬼</x:v>
      </x:c>
      <x:c r="F4918" s="19" t="str">
        <x:v>稀有</x:v>
      </x:c>
      <x:c r="G4918" s="19" t="str">
        <x:v>自身专属</x:v>
      </x:c>
      <x:c r="H4918" s="19" t="str">
        <x:v>空炉渣火镯</x:v>
      </x:c>
      <x:c r="I4918" s="22" t="n">
        <x:v>3000</x:v>
      </x:c>
      <x:c r="J4918" s="22" t="n">
        <x:v>1</x:v>
      </x:c>
      <x:c r="K4918" s="19" t="n">
        <x:v>1</x:v>
      </x:c>
      <x:c r="L4918" s="24" t="n">
        <x:v>93.16533333333334</x:v>
      </x:c>
      <x:c r="M4918" s="26" t="n">
        <x:v>0.1</x:v>
      </x:c>
      <x:c r="N4918" s="24" t="n">
        <x:v>12</x:v>
      </x:c>
      <x:c r="O4918" s="28" t="n">
        <x:f>MIN(1,L4918/I4918)</x:f>
        <x:v>0.031055111111111113</x:v>
      </x:c>
      <x:c r="P4918" s="30" t="n">
        <x:f>O4918*J4918*(1+M4918)</x:f>
        <x:v>0.03416062222222223</x:v>
      </x:c>
      <x:c r="Q4918" s="30" t="n">
        <x:f>P4918*N4918</x:f>
        <x:v>0.40992746666666674</x:v>
      </x:c>
      <x:c r="R4918" s="19" t="str">
        <x:v>独立判定</x:v>
      </x:c>
    </x:row>
    <x:row r="4919" ht="19" customHeight="1">
      <x:c r="A4919" s="19" t="str">
        <x:v>D04915</x:v>
      </x:c>
      <x:c r="B4919" s="19" t="n">
        <x:v>10</x:v>
      </x:c>
      <x:c r="C4919" s="19" t="n">
        <x:v>3</x:v>
      </x:c>
      <x:c r="D4919" s="19" t="str">
        <x:v>C10-M032</x:v>
      </x:c>
      <x:c r="E4919" s="19" t="str">
        <x:v>空炉吐渣鬼</x:v>
      </x:c>
      <x:c r="F4919" s="19" t="str">
        <x:v>稀有</x:v>
      </x:c>
      <x:c r="G4919" s="19" t="str">
        <x:v>材料独立候选</x:v>
      </x:c>
      <x:c r="H4919" s="19" t="str">
        <x:v>王城金屑</x:v>
      </x:c>
      <x:c r="I4919" s="22" t="n">
        <x:v>1200</x:v>
      </x:c>
      <x:c r="J4919" s="22" t="n">
        <x:v>15</x:v>
      </x:c>
      <x:c r="K4919" s="19" t="n">
        <x:v>1</x:v>
      </x:c>
      <x:c r="L4919" s="24" t="n">
        <x:v>93.16533333333334</x:v>
      </x:c>
      <x:c r="M4919" s="26" t="n">
        <x:v>0.1</x:v>
      </x:c>
      <x:c r="N4919" s="24" t="n">
        <x:v>12</x:v>
      </x:c>
      <x:c r="O4919" s="28" t="n">
        <x:f>MIN(1,L4919/I4919)</x:f>
        <x:v>0.07763777777777778</x:v>
      </x:c>
      <x:c r="P4919" s="30" t="n">
        <x:f>O4919*J4919*(1+M4919)</x:f>
        <x:v>1.2810233333333336</x:v>
      </x:c>
      <x:c r="Q4919" s="30" t="n">
        <x:f>P4919*N4919</x:f>
        <x:v>15.372280000000003</x:v>
      </x:c>
      <x:c r="R4919" s="19" t="str">
        <x:v>独立判定</x:v>
      </x:c>
    </x:row>
    <x:row r="4920" ht="19" customHeight="1">
      <x:c r="A4920" s="19" t="str">
        <x:v>D04916</x:v>
      </x:c>
      <x:c r="B4920" s="19" t="n">
        <x:v>10</x:v>
      </x:c>
      <x:c r="C4920" s="19" t="n">
        <x:v>3</x:v>
      </x:c>
      <x:c r="D4920" s="19" t="str">
        <x:v>C10-M032</x:v>
      </x:c>
      <x:c r="E4920" s="19" t="str">
        <x:v>空炉吐渣鬼</x:v>
      </x:c>
      <x:c r="F4920" s="19" t="str">
        <x:v>稀有</x:v>
      </x:c>
      <x:c r="G4920" s="19" t="str">
        <x:v>材料独立候选</x:v>
      </x:c>
      <x:c r="H4920" s="19" t="str">
        <x:v>王宫律文</x:v>
      </x:c>
      <x:c r="I4920" s="22" t="n">
        <x:v>800</x:v>
      </x:c>
      <x:c r="J4920" s="22" t="n">
        <x:v>1</x:v>
      </x:c>
      <x:c r="K4920" s="19" t="n">
        <x:v>1</x:v>
      </x:c>
      <x:c r="L4920" s="24" t="n">
        <x:v>93.16533333333334</x:v>
      </x:c>
      <x:c r="M4920" s="26" t="n">
        <x:v>0.1</x:v>
      </x:c>
      <x:c r="N4920" s="24" t="n">
        <x:v>12</x:v>
      </x:c>
      <x:c r="O4920" s="28" t="n">
        <x:f>MIN(1,L4920/I4920)</x:f>
        <x:v>0.11645666666666667</x:v>
      </x:c>
      <x:c r="P4920" s="30" t="n">
        <x:f>O4920*J4920*(1+M4920)</x:f>
        <x:v>0.12810233333333335</x:v>
      </x:c>
      <x:c r="Q4920" s="30" t="n">
        <x:f>P4920*N4920</x:f>
        <x:v>1.5372280000000003</x:v>
      </x:c>
      <x:c r="R4920" s="19" t="str">
        <x:v>独立判定</x:v>
      </x:c>
    </x:row>
    <x:row r="4921" ht="19" customHeight="1">
      <x:c r="A4921" s="19" t="str">
        <x:v>D04917</x:v>
      </x:c>
      <x:c r="B4921" s="19" t="n">
        <x:v>10</x:v>
      </x:c>
      <x:c r="C4921" s="19" t="n">
        <x:v>3</x:v>
      </x:c>
      <x:c r="D4921" s="19" t="str">
        <x:v>C10-M032</x:v>
      </x:c>
      <x:c r="E4921" s="19" t="str">
        <x:v>空炉吐渣鬼</x:v>
      </x:c>
      <x:c r="F4921" s="19" t="str">
        <x:v>稀有</x:v>
      </x:c>
      <x:c r="G4921" s="19" t="str">
        <x:v>材料独立候选</x:v>
      </x:c>
      <x:c r="H4921" s="19" t="str">
        <x:v>旧渠阀芯</x:v>
      </x:c>
      <x:c r="I4921" s="22" t="n">
        <x:v>800</x:v>
      </x:c>
      <x:c r="J4921" s="22" t="n">
        <x:v>1</x:v>
      </x:c>
      <x:c r="K4921" s="19" t="n">
        <x:v>1</x:v>
      </x:c>
      <x:c r="L4921" s="24" t="n">
        <x:v>93.16533333333334</x:v>
      </x:c>
      <x:c r="M4921" s="26" t="n">
        <x:v>0.1</x:v>
      </x:c>
      <x:c r="N4921" s="24" t="n">
        <x:v>12</x:v>
      </x:c>
      <x:c r="O4921" s="28" t="n">
        <x:f>MIN(1,L4921/I4921)</x:f>
        <x:v>0.11645666666666667</x:v>
      </x:c>
      <x:c r="P4921" s="30" t="n">
        <x:f>O4921*J4921*(1+M4921)</x:f>
        <x:v>0.12810233333333335</x:v>
      </x:c>
      <x:c r="Q4921" s="30" t="n">
        <x:f>P4921*N4921</x:f>
        <x:v>1.5372280000000003</x:v>
      </x:c>
      <x:c r="R4921" s="19" t="str">
        <x:v>独立判定</x:v>
      </x:c>
    </x:row>
    <x:row r="4922" ht="19" customHeight="1">
      <x:c r="A4922" s="19" t="str">
        <x:v>D04918</x:v>
      </x:c>
      <x:c r="B4922" s="19" t="n">
        <x:v>10</x:v>
      </x:c>
      <x:c r="C4922" s="19" t="n">
        <x:v>3</x:v>
      </x:c>
      <x:c r="D4922" s="19" t="str">
        <x:v>C10-M032</x:v>
      </x:c>
      <x:c r="E4922" s="19" t="str">
        <x:v>空炉吐渣鬼</x:v>
      </x:c>
      <x:c r="F4922" s="19" t="str">
        <x:v>稀有</x:v>
      </x:c>
      <x:c r="G4922" s="19" t="str">
        <x:v>材料独立候选</x:v>
      </x:c>
      <x:c r="H4922" s="19" t="str">
        <x:v>穹律鎏痕拓片</x:v>
      </x:c>
      <x:c r="I4922" s="22" t="n">
        <x:v>2500000</x:v>
      </x:c>
      <x:c r="J4922" s="22" t="n">
        <x:v>1</x:v>
      </x:c>
      <x:c r="K4922" s="19" t="n">
        <x:v>1</x:v>
      </x:c>
      <x:c r="L4922" s="24" t="n">
        <x:v>93.16533333333334</x:v>
      </x:c>
      <x:c r="M4922" s="26" t="n">
        <x:v>0.1</x:v>
      </x:c>
      <x:c r="N4922" s="24" t="n">
        <x:v>12</x:v>
      </x:c>
      <x:c r="O4922" s="28" t="n">
        <x:f>MIN(1,L4922/I4922)</x:f>
        <x:v>0.00003726613333333333</x:v>
      </x:c>
      <x:c r="P4922" s="30" t="n">
        <x:f>O4922*J4922*(1+M4922)</x:f>
        <x:v>0.00004099274666666667</x:v>
      </x:c>
      <x:c r="Q4922" s="30" t="n">
        <x:f>P4922*N4922</x:f>
        <x:v>0.00049191296</x:v>
      </x:c>
      <x:c r="R4922" s="19" t="str">
        <x:v>独立判定</x:v>
      </x:c>
    </x:row>
    <x:row r="4923" ht="19" customHeight="1">
      <x:c r="A4923" s="19" t="str">
        <x:v>D04919</x:v>
      </x:c>
      <x:c r="B4923" s="19" t="n">
        <x:v>10</x:v>
      </x:c>
      <x:c r="C4923" s="19" t="n">
        <x:v>3</x:v>
      </x:c>
      <x:c r="D4923" s="19" t="str">
        <x:v>C10-M032</x:v>
      </x:c>
      <x:c r="E4923" s="19" t="str">
        <x:v>空炉吐渣鬼</x:v>
      </x:c>
      <x:c r="F4923" s="19" t="str">
        <x:v>稀有</x:v>
      </x:c>
      <x:c r="G4923" s="19" t="str">
        <x:v>材料独立候选</x:v>
      </x:c>
      <x:c r="H4923" s="19" t="str">
        <x:v>黄金树芽</x:v>
      </x:c>
      <x:c r="I4923" s="22" t="n">
        <x:v>3000</x:v>
      </x:c>
      <x:c r="J4923" s="22" t="n">
        <x:v>1</x:v>
      </x:c>
      <x:c r="K4923" s="19" t="n">
        <x:v>1</x:v>
      </x:c>
      <x:c r="L4923" s="24" t="n">
        <x:v>93.16533333333334</x:v>
      </x:c>
      <x:c r="M4923" s="26" t="n">
        <x:v>0.1</x:v>
      </x:c>
      <x:c r="N4923" s="24" t="n">
        <x:v>12</x:v>
      </x:c>
      <x:c r="O4923" s="28" t="n">
        <x:f>MIN(1,L4923/I4923)</x:f>
        <x:v>0.031055111111111113</x:v>
      </x:c>
      <x:c r="P4923" s="30" t="n">
        <x:f>O4923*J4923*(1+M4923)</x:f>
        <x:v>0.03416062222222223</x:v>
      </x:c>
      <x:c r="Q4923" s="30" t="n">
        <x:f>P4923*N4923</x:f>
        <x:v>0.40992746666666674</x:v>
      </x:c>
      <x:c r="R4923" s="19" t="str">
        <x:v>独立判定</x:v>
      </x:c>
    </x:row>
    <x:row r="4924" ht="19" customHeight="1">
      <x:c r="A4924" s="19" t="str">
        <x:v>D04920</x:v>
      </x:c>
      <x:c r="B4924" s="19" t="n">
        <x:v>10</x:v>
      </x:c>
      <x:c r="C4924" s="19" t="n">
        <x:v>3</x:v>
      </x:c>
      <x:c r="D4924" s="19" t="str">
        <x:v>C10-M032</x:v>
      </x:c>
      <x:c r="E4924" s="19" t="str">
        <x:v>空炉吐渣鬼</x:v>
      </x:c>
      <x:c r="F4924" s="19" t="str">
        <x:v>稀有</x:v>
      </x:c>
      <x:c r="G4924" s="19" t="str">
        <x:v>材料独立候选</x:v>
      </x:c>
      <x:c r="H4924" s="19" t="str">
        <x:v>野兽骨片</x:v>
      </x:c>
      <x:c r="I4924" s="22" t="n">
        <x:v>300</x:v>
      </x:c>
      <x:c r="J4924" s="22" t="n">
        <x:v>4</x:v>
      </x:c>
      <x:c r="K4924" s="19" t="n">
        <x:v>1</x:v>
      </x:c>
      <x:c r="L4924" s="24" t="n">
        <x:v>93.16533333333334</x:v>
      </x:c>
      <x:c r="M4924" s="26" t="n">
        <x:v>0.1</x:v>
      </x:c>
      <x:c r="N4924" s="24" t="n">
        <x:v>12</x:v>
      </x:c>
      <x:c r="O4924" s="28" t="n">
        <x:f>MIN(1,L4924/I4924)</x:f>
        <x:v>0.3105511111111111</x:v>
      </x:c>
      <x:c r="P4924" s="30" t="n">
        <x:f>O4924*J4924*(1+M4924)</x:f>
        <x:v>1.366424888888889</x:v>
      </x:c>
      <x:c r="Q4924" s="30" t="n">
        <x:f>P4924*N4924</x:f>
        <x:v>16.39709866666667</x:v>
      </x:c>
      <x:c r="R4924" s="19" t="str">
        <x:v>独立判定</x:v>
      </x:c>
    </x:row>
    <x:row r="4925" ht="19" customHeight="1">
      <x:c r="A4925" s="19" t="str">
        <x:v>D04921</x:v>
      </x:c>
      <x:c r="B4925" s="19" t="n">
        <x:v>10</x:v>
      </x:c>
      <x:c r="C4925" s="19" t="n">
        <x:v>3</x:v>
      </x:c>
      <x:c r="D4925" s="19" t="str">
        <x:v>C10-M032</x:v>
      </x:c>
      <x:c r="E4925" s="19" t="str">
        <x:v>空炉吐渣鬼</x:v>
      </x:c>
      <x:c r="F4925" s="19" t="str">
        <x:v>稀有</x:v>
      </x:c>
      <x:c r="G4925" s="19" t="str">
        <x:v>材料独立候选</x:v>
      </x:c>
      <x:c r="H4925" s="19" t="str">
        <x:v>技能残页</x:v>
      </x:c>
      <x:c r="I4925" s="22" t="n">
        <x:v>3000</x:v>
      </x:c>
      <x:c r="J4925" s="22" t="n">
        <x:v>1</x:v>
      </x:c>
      <x:c r="K4925" s="19" t="n">
        <x:v>1</x:v>
      </x:c>
      <x:c r="L4925" s="24" t="n">
        <x:v>93.16533333333334</x:v>
      </x:c>
      <x:c r="M4925" s="26" t="n">
        <x:v>0.1</x:v>
      </x:c>
      <x:c r="N4925" s="24" t="n">
        <x:v>12</x:v>
      </x:c>
      <x:c r="O4925" s="28" t="n">
        <x:f>MIN(1,L4925/I4925)</x:f>
        <x:v>0.031055111111111113</x:v>
      </x:c>
      <x:c r="P4925" s="30" t="n">
        <x:f>O4925*J4925*(1+M4925)</x:f>
        <x:v>0.03416062222222223</x:v>
      </x:c>
      <x:c r="Q4925" s="30" t="n">
        <x:f>P4925*N4925</x:f>
        <x:v>0.40992746666666674</x:v>
      </x:c>
      <x:c r="R4925" s="19" t="str">
        <x:v>独立判定</x:v>
      </x:c>
    </x:row>
    <x:row r="4926" ht="19" customHeight="1">
      <x:c r="A4926" s="19" t="str">
        <x:v>D04922</x:v>
      </x:c>
      <x:c r="B4926" s="19" t="n">
        <x:v>10</x:v>
      </x:c>
      <x:c r="C4926" s="19" t="n">
        <x:v>3</x:v>
      </x:c>
      <x:c r="D4926" s="19" t="str">
        <x:v>C10-M032</x:v>
      </x:c>
      <x:c r="E4926" s="19" t="str">
        <x:v>空炉吐渣鬼</x:v>
      </x:c>
      <x:c r="F4926" s="19" t="str">
        <x:v>稀有</x:v>
      </x:c>
      <x:c r="G4926" s="19" t="str">
        <x:v>材料独立候选</x:v>
      </x:c>
      <x:c r="H4926" s="19" t="str">
        <x:v>小卢恩</x:v>
      </x:c>
      <x:c r="I4926" s="22" t="n">
        <x:v>18000</x:v>
      </x:c>
      <x:c r="J4926" s="22" t="n">
        <x:v>1</x:v>
      </x:c>
      <x:c r="K4926" s="19" t="n">
        <x:v>1</x:v>
      </x:c>
      <x:c r="L4926" s="24" t="n">
        <x:v>93.16533333333334</x:v>
      </x:c>
      <x:c r="M4926" s="26" t="n">
        <x:v>0.1</x:v>
      </x:c>
      <x:c r="N4926" s="24" t="n">
        <x:v>12</x:v>
      </x:c>
      <x:c r="O4926" s="28" t="n">
        <x:f>MIN(1,L4926/I4926)</x:f>
        <x:v>0.005175851851851852</x:v>
      </x:c>
      <x:c r="P4926" s="30" t="n">
        <x:f>O4926*J4926*(1+M4926)</x:f>
        <x:v>0.0056934370370370375</x:v>
      </x:c>
      <x:c r="Q4926" s="30" t="n">
        <x:f>P4926*N4926</x:f>
        <x:v>0.06832124444444446</x:v>
      </x:c>
      <x:c r="R4926" s="19" t="str">
        <x:v>独立判定</x:v>
      </x:c>
    </x:row>
    <x:row r="4927" ht="19" customHeight="1">
      <x:c r="A4927" s="19" t="str">
        <x:v>D04923</x:v>
      </x:c>
      <x:c r="B4927" s="19" t="n">
        <x:v>10</x:v>
      </x:c>
      <x:c r="C4927" s="19" t="n">
        <x:v>3</x:v>
      </x:c>
      <x:c r="D4927" s="19" t="str">
        <x:v>C10-M032</x:v>
      </x:c>
      <x:c r="E4927" s="19" t="str">
        <x:v>空炉吐渣鬼</x:v>
      </x:c>
      <x:c r="F4927" s="19" t="str">
        <x:v>稀有</x:v>
      </x:c>
      <x:c r="G4927" s="19" t="str">
        <x:v>六神器公共池</x:v>
      </x:c>
      <x:c r="H4927" s="19" t="str">
        <x:v>POOL006</x:v>
      </x:c>
      <x:c r="I4927" s="22" t="n">
        <x:v>5000000</x:v>
      </x:c>
      <x:c r="J4927" s="22" t="n">
        <x:v>1</x:v>
      </x:c>
      <x:c r="K4927" s="19" t="n">
        <x:v>6</x:v>
      </x:c>
      <x:c r="L4927" s="24" t="n">
        <x:v>93.16533333333334</x:v>
      </x:c>
      <x:c r="M4927" s="26" t="n">
        <x:v>0.1</x:v>
      </x:c>
      <x:c r="N4927" s="24" t="n">
        <x:v>12</x:v>
      </x:c>
      <x:c r="O4927" s="28" t="n">
        <x:f>MIN(1,L4927/I4927)</x:f>
        <x:v>0.000018633066666666666</x:v>
      </x:c>
      <x:c r="P4927" s="30" t="n">
        <x:f>O4927*J4927*(1+M4927)</x:f>
        <x:v>0.000020496373333333335</x:v>
      </x:c>
      <x:c r="Q4927" s="30" t="n">
        <x:f>P4927*N4927</x:f>
        <x:v>0.00024595648</x:v>
      </x:c>
      <x:c r="R4927" s="19" t="str">
        <x:v>六选一；非6个独立爆率</x:v>
      </x:c>
    </x:row>
    <x:row r="4928" ht="19" customHeight="1">
      <x:c r="A4928" s="19" t="str">
        <x:v>D04924</x:v>
      </x:c>
      <x:c r="B4928" s="19" t="n">
        <x:v>10</x:v>
      </x:c>
      <x:c r="C4928" s="19" t="n">
        <x:v>3</x:v>
      </x:c>
      <x:c r="D4928" s="19" t="str">
        <x:v>C10-M033</x:v>
      </x:c>
      <x:c r="E4928" s="19" t="str">
        <x:v>黑晶凿梦师</x:v>
      </x:c>
      <x:c r="F4928" s="19" t="str">
        <x:v>稀有</x:v>
      </x:c>
      <x:c r="G4928" s="19" t="str">
        <x:v>自身专属</x:v>
      </x:c>
      <x:c r="H4928" s="19" t="str">
        <x:v>黑晶凿梦戒</x:v>
      </x:c>
      <x:c r="I4928" s="22" t="n">
        <x:v>3000</x:v>
      </x:c>
      <x:c r="J4928" s="22" t="n">
        <x:v>1</x:v>
      </x:c>
      <x:c r="K4928" s="19" t="n">
        <x:v>1</x:v>
      </x:c>
      <x:c r="L4928" s="24" t="n">
        <x:v>93.16533333333334</x:v>
      </x:c>
      <x:c r="M4928" s="26" t="n">
        <x:v>0.1</x:v>
      </x:c>
      <x:c r="N4928" s="24" t="n">
        <x:v>12</x:v>
      </x:c>
      <x:c r="O4928" s="28" t="n">
        <x:f>MIN(1,L4928/I4928)</x:f>
        <x:v>0.031055111111111113</x:v>
      </x:c>
      <x:c r="P4928" s="30" t="n">
        <x:f>O4928*J4928*(1+M4928)</x:f>
        <x:v>0.03416062222222223</x:v>
      </x:c>
      <x:c r="Q4928" s="30" t="n">
        <x:f>P4928*N4928</x:f>
        <x:v>0.40992746666666674</x:v>
      </x:c>
      <x:c r="R4928" s="19" t="str">
        <x:v>独立判定</x:v>
      </x:c>
    </x:row>
    <x:row r="4929" ht="19" customHeight="1">
      <x:c r="A4929" s="19" t="str">
        <x:v>D04925</x:v>
      </x:c>
      <x:c r="B4929" s="19" t="n">
        <x:v>10</x:v>
      </x:c>
      <x:c r="C4929" s="19" t="n">
        <x:v>3</x:v>
      </x:c>
      <x:c r="D4929" s="19" t="str">
        <x:v>C10-M033</x:v>
      </x:c>
      <x:c r="E4929" s="19" t="str">
        <x:v>黑晶凿梦师</x:v>
      </x:c>
      <x:c r="F4929" s="19" t="str">
        <x:v>稀有</x:v>
      </x:c>
      <x:c r="G4929" s="19" t="str">
        <x:v>材料独立候选</x:v>
      </x:c>
      <x:c r="H4929" s="19" t="str">
        <x:v>王城金屑</x:v>
      </x:c>
      <x:c r="I4929" s="22" t="n">
        <x:v>1200</x:v>
      </x:c>
      <x:c r="J4929" s="22" t="n">
        <x:v>15</x:v>
      </x:c>
      <x:c r="K4929" s="19" t="n">
        <x:v>1</x:v>
      </x:c>
      <x:c r="L4929" s="24" t="n">
        <x:v>93.16533333333334</x:v>
      </x:c>
      <x:c r="M4929" s="26" t="n">
        <x:v>0.1</x:v>
      </x:c>
      <x:c r="N4929" s="24" t="n">
        <x:v>12</x:v>
      </x:c>
      <x:c r="O4929" s="28" t="n">
        <x:f>MIN(1,L4929/I4929)</x:f>
        <x:v>0.07763777777777778</x:v>
      </x:c>
      <x:c r="P4929" s="30" t="n">
        <x:f>O4929*J4929*(1+M4929)</x:f>
        <x:v>1.2810233333333336</x:v>
      </x:c>
      <x:c r="Q4929" s="30" t="n">
        <x:f>P4929*N4929</x:f>
        <x:v>15.372280000000003</x:v>
      </x:c>
      <x:c r="R4929" s="19" t="str">
        <x:v>独立判定</x:v>
      </x:c>
    </x:row>
    <x:row r="4930" ht="19" customHeight="1">
      <x:c r="A4930" s="19" t="str">
        <x:v>D04926</x:v>
      </x:c>
      <x:c r="B4930" s="19" t="n">
        <x:v>10</x:v>
      </x:c>
      <x:c r="C4930" s="19" t="n">
        <x:v>3</x:v>
      </x:c>
      <x:c r="D4930" s="19" t="str">
        <x:v>C10-M033</x:v>
      </x:c>
      <x:c r="E4930" s="19" t="str">
        <x:v>黑晶凿梦师</x:v>
      </x:c>
      <x:c r="F4930" s="19" t="str">
        <x:v>稀有</x:v>
      </x:c>
      <x:c r="G4930" s="19" t="str">
        <x:v>材料独立候选</x:v>
      </x:c>
      <x:c r="H4930" s="19" t="str">
        <x:v>王宫律文</x:v>
      </x:c>
      <x:c r="I4930" s="22" t="n">
        <x:v>800</x:v>
      </x:c>
      <x:c r="J4930" s="22" t="n">
        <x:v>1</x:v>
      </x:c>
      <x:c r="K4930" s="19" t="n">
        <x:v>1</x:v>
      </x:c>
      <x:c r="L4930" s="24" t="n">
        <x:v>93.16533333333334</x:v>
      </x:c>
      <x:c r="M4930" s="26" t="n">
        <x:v>0.1</x:v>
      </x:c>
      <x:c r="N4930" s="24" t="n">
        <x:v>12</x:v>
      </x:c>
      <x:c r="O4930" s="28" t="n">
        <x:f>MIN(1,L4930/I4930)</x:f>
        <x:v>0.11645666666666667</x:v>
      </x:c>
      <x:c r="P4930" s="30" t="n">
        <x:f>O4930*J4930*(1+M4930)</x:f>
        <x:v>0.12810233333333335</x:v>
      </x:c>
      <x:c r="Q4930" s="30" t="n">
        <x:f>P4930*N4930</x:f>
        <x:v>1.5372280000000003</x:v>
      </x:c>
      <x:c r="R4930" s="19" t="str">
        <x:v>独立判定</x:v>
      </x:c>
    </x:row>
    <x:row r="4931" ht="19" customHeight="1">
      <x:c r="A4931" s="19" t="str">
        <x:v>D04927</x:v>
      </x:c>
      <x:c r="B4931" s="19" t="n">
        <x:v>10</x:v>
      </x:c>
      <x:c r="C4931" s="19" t="n">
        <x:v>3</x:v>
      </x:c>
      <x:c r="D4931" s="19" t="str">
        <x:v>C10-M033</x:v>
      </x:c>
      <x:c r="E4931" s="19" t="str">
        <x:v>黑晶凿梦师</x:v>
      </x:c>
      <x:c r="F4931" s="19" t="str">
        <x:v>稀有</x:v>
      </x:c>
      <x:c r="G4931" s="19" t="str">
        <x:v>材料独立候选</x:v>
      </x:c>
      <x:c r="H4931" s="19" t="str">
        <x:v>旧渠阀芯</x:v>
      </x:c>
      <x:c r="I4931" s="22" t="n">
        <x:v>800</x:v>
      </x:c>
      <x:c r="J4931" s="22" t="n">
        <x:v>1</x:v>
      </x:c>
      <x:c r="K4931" s="19" t="n">
        <x:v>1</x:v>
      </x:c>
      <x:c r="L4931" s="24" t="n">
        <x:v>93.16533333333334</x:v>
      </x:c>
      <x:c r="M4931" s="26" t="n">
        <x:v>0.1</x:v>
      </x:c>
      <x:c r="N4931" s="24" t="n">
        <x:v>12</x:v>
      </x:c>
      <x:c r="O4931" s="28" t="n">
        <x:f>MIN(1,L4931/I4931)</x:f>
        <x:v>0.11645666666666667</x:v>
      </x:c>
      <x:c r="P4931" s="30" t="n">
        <x:f>O4931*J4931*(1+M4931)</x:f>
        <x:v>0.12810233333333335</x:v>
      </x:c>
      <x:c r="Q4931" s="30" t="n">
        <x:f>P4931*N4931</x:f>
        <x:v>1.5372280000000003</x:v>
      </x:c>
      <x:c r="R4931" s="19" t="str">
        <x:v>独立判定</x:v>
      </x:c>
    </x:row>
    <x:row r="4932" ht="19" customHeight="1">
      <x:c r="A4932" s="19" t="str">
        <x:v>D04928</x:v>
      </x:c>
      <x:c r="B4932" s="19" t="n">
        <x:v>10</x:v>
      </x:c>
      <x:c r="C4932" s="19" t="n">
        <x:v>3</x:v>
      </x:c>
      <x:c r="D4932" s="19" t="str">
        <x:v>C10-M033</x:v>
      </x:c>
      <x:c r="E4932" s="19" t="str">
        <x:v>黑晶凿梦师</x:v>
      </x:c>
      <x:c r="F4932" s="19" t="str">
        <x:v>稀有</x:v>
      </x:c>
      <x:c r="G4932" s="19" t="str">
        <x:v>材料独立候选</x:v>
      </x:c>
      <x:c r="H4932" s="19" t="str">
        <x:v>穹律鎏痕拓片</x:v>
      </x:c>
      <x:c r="I4932" s="22" t="n">
        <x:v>2500000</x:v>
      </x:c>
      <x:c r="J4932" s="22" t="n">
        <x:v>1</x:v>
      </x:c>
      <x:c r="K4932" s="19" t="n">
        <x:v>1</x:v>
      </x:c>
      <x:c r="L4932" s="24" t="n">
        <x:v>93.16533333333334</x:v>
      </x:c>
      <x:c r="M4932" s="26" t="n">
        <x:v>0.1</x:v>
      </x:c>
      <x:c r="N4932" s="24" t="n">
        <x:v>12</x:v>
      </x:c>
      <x:c r="O4932" s="28" t="n">
        <x:f>MIN(1,L4932/I4932)</x:f>
        <x:v>0.00003726613333333333</x:v>
      </x:c>
      <x:c r="P4932" s="30" t="n">
        <x:f>O4932*J4932*(1+M4932)</x:f>
        <x:v>0.00004099274666666667</x:v>
      </x:c>
      <x:c r="Q4932" s="30" t="n">
        <x:f>P4932*N4932</x:f>
        <x:v>0.00049191296</x:v>
      </x:c>
      <x:c r="R4932" s="19" t="str">
        <x:v>独立判定</x:v>
      </x:c>
    </x:row>
    <x:row r="4933" ht="19" customHeight="1">
      <x:c r="A4933" s="19" t="str">
        <x:v>D04929</x:v>
      </x:c>
      <x:c r="B4933" s="19" t="n">
        <x:v>10</x:v>
      </x:c>
      <x:c r="C4933" s="19" t="n">
        <x:v>3</x:v>
      </x:c>
      <x:c r="D4933" s="19" t="str">
        <x:v>C10-M033</x:v>
      </x:c>
      <x:c r="E4933" s="19" t="str">
        <x:v>黑晶凿梦师</x:v>
      </x:c>
      <x:c r="F4933" s="19" t="str">
        <x:v>稀有</x:v>
      </x:c>
      <x:c r="G4933" s="19" t="str">
        <x:v>材料独立候选</x:v>
      </x:c>
      <x:c r="H4933" s="19" t="str">
        <x:v>黄金树芽</x:v>
      </x:c>
      <x:c r="I4933" s="22" t="n">
        <x:v>3000</x:v>
      </x:c>
      <x:c r="J4933" s="22" t="n">
        <x:v>1</x:v>
      </x:c>
      <x:c r="K4933" s="19" t="n">
        <x:v>1</x:v>
      </x:c>
      <x:c r="L4933" s="24" t="n">
        <x:v>93.16533333333334</x:v>
      </x:c>
      <x:c r="M4933" s="26" t="n">
        <x:v>0.1</x:v>
      </x:c>
      <x:c r="N4933" s="24" t="n">
        <x:v>12</x:v>
      </x:c>
      <x:c r="O4933" s="28" t="n">
        <x:f>MIN(1,L4933/I4933)</x:f>
        <x:v>0.031055111111111113</x:v>
      </x:c>
      <x:c r="P4933" s="30" t="n">
        <x:f>O4933*J4933*(1+M4933)</x:f>
        <x:v>0.03416062222222223</x:v>
      </x:c>
      <x:c r="Q4933" s="30" t="n">
        <x:f>P4933*N4933</x:f>
        <x:v>0.40992746666666674</x:v>
      </x:c>
      <x:c r="R4933" s="19" t="str">
        <x:v>独立判定</x:v>
      </x:c>
    </x:row>
    <x:row r="4934" ht="19" customHeight="1">
      <x:c r="A4934" s="19" t="str">
        <x:v>D04930</x:v>
      </x:c>
      <x:c r="B4934" s="19" t="n">
        <x:v>10</x:v>
      </x:c>
      <x:c r="C4934" s="19" t="n">
        <x:v>3</x:v>
      </x:c>
      <x:c r="D4934" s="19" t="str">
        <x:v>C10-M033</x:v>
      </x:c>
      <x:c r="E4934" s="19" t="str">
        <x:v>黑晶凿梦师</x:v>
      </x:c>
      <x:c r="F4934" s="19" t="str">
        <x:v>稀有</x:v>
      </x:c>
      <x:c r="G4934" s="19" t="str">
        <x:v>材料独立候选</x:v>
      </x:c>
      <x:c r="H4934" s="19" t="str">
        <x:v>野兽骨片</x:v>
      </x:c>
      <x:c r="I4934" s="22" t="n">
        <x:v>300</x:v>
      </x:c>
      <x:c r="J4934" s="22" t="n">
        <x:v>4</x:v>
      </x:c>
      <x:c r="K4934" s="19" t="n">
        <x:v>1</x:v>
      </x:c>
      <x:c r="L4934" s="24" t="n">
        <x:v>93.16533333333334</x:v>
      </x:c>
      <x:c r="M4934" s="26" t="n">
        <x:v>0.1</x:v>
      </x:c>
      <x:c r="N4934" s="24" t="n">
        <x:v>12</x:v>
      </x:c>
      <x:c r="O4934" s="28" t="n">
        <x:f>MIN(1,L4934/I4934)</x:f>
        <x:v>0.3105511111111111</x:v>
      </x:c>
      <x:c r="P4934" s="30" t="n">
        <x:f>O4934*J4934*(1+M4934)</x:f>
        <x:v>1.366424888888889</x:v>
      </x:c>
      <x:c r="Q4934" s="30" t="n">
        <x:f>P4934*N4934</x:f>
        <x:v>16.39709866666667</x:v>
      </x:c>
      <x:c r="R4934" s="19" t="str">
        <x:v>独立判定</x:v>
      </x:c>
    </x:row>
    <x:row r="4935" ht="19" customHeight="1">
      <x:c r="A4935" s="19" t="str">
        <x:v>D04931</x:v>
      </x:c>
      <x:c r="B4935" s="19" t="n">
        <x:v>10</x:v>
      </x:c>
      <x:c r="C4935" s="19" t="n">
        <x:v>3</x:v>
      </x:c>
      <x:c r="D4935" s="19" t="str">
        <x:v>C10-M033</x:v>
      </x:c>
      <x:c r="E4935" s="19" t="str">
        <x:v>黑晶凿梦师</x:v>
      </x:c>
      <x:c r="F4935" s="19" t="str">
        <x:v>稀有</x:v>
      </x:c>
      <x:c r="G4935" s="19" t="str">
        <x:v>材料独立候选</x:v>
      </x:c>
      <x:c r="H4935" s="19" t="str">
        <x:v>技能残页</x:v>
      </x:c>
      <x:c r="I4935" s="22" t="n">
        <x:v>3000</x:v>
      </x:c>
      <x:c r="J4935" s="22" t="n">
        <x:v>1</x:v>
      </x:c>
      <x:c r="K4935" s="19" t="n">
        <x:v>1</x:v>
      </x:c>
      <x:c r="L4935" s="24" t="n">
        <x:v>93.16533333333334</x:v>
      </x:c>
      <x:c r="M4935" s="26" t="n">
        <x:v>0.1</x:v>
      </x:c>
      <x:c r="N4935" s="24" t="n">
        <x:v>12</x:v>
      </x:c>
      <x:c r="O4935" s="28" t="n">
        <x:f>MIN(1,L4935/I4935)</x:f>
        <x:v>0.031055111111111113</x:v>
      </x:c>
      <x:c r="P4935" s="30" t="n">
        <x:f>O4935*J4935*(1+M4935)</x:f>
        <x:v>0.03416062222222223</x:v>
      </x:c>
      <x:c r="Q4935" s="30" t="n">
        <x:f>P4935*N4935</x:f>
        <x:v>0.40992746666666674</x:v>
      </x:c>
      <x:c r="R4935" s="19" t="str">
        <x:v>独立判定</x:v>
      </x:c>
    </x:row>
    <x:row r="4936" ht="19" customHeight="1">
      <x:c r="A4936" s="19" t="str">
        <x:v>D04932</x:v>
      </x:c>
      <x:c r="B4936" s="19" t="n">
        <x:v>10</x:v>
      </x:c>
      <x:c r="C4936" s="19" t="n">
        <x:v>3</x:v>
      </x:c>
      <x:c r="D4936" s="19" t="str">
        <x:v>C10-M033</x:v>
      </x:c>
      <x:c r="E4936" s="19" t="str">
        <x:v>黑晶凿梦师</x:v>
      </x:c>
      <x:c r="F4936" s="19" t="str">
        <x:v>稀有</x:v>
      </x:c>
      <x:c r="G4936" s="19" t="str">
        <x:v>材料独立候选</x:v>
      </x:c>
      <x:c r="H4936" s="19" t="str">
        <x:v>小卢恩</x:v>
      </x:c>
      <x:c r="I4936" s="22" t="n">
        <x:v>18000</x:v>
      </x:c>
      <x:c r="J4936" s="22" t="n">
        <x:v>1</x:v>
      </x:c>
      <x:c r="K4936" s="19" t="n">
        <x:v>1</x:v>
      </x:c>
      <x:c r="L4936" s="24" t="n">
        <x:v>93.16533333333334</x:v>
      </x:c>
      <x:c r="M4936" s="26" t="n">
        <x:v>0.1</x:v>
      </x:c>
      <x:c r="N4936" s="24" t="n">
        <x:v>12</x:v>
      </x:c>
      <x:c r="O4936" s="28" t="n">
        <x:f>MIN(1,L4936/I4936)</x:f>
        <x:v>0.005175851851851852</x:v>
      </x:c>
      <x:c r="P4936" s="30" t="n">
        <x:f>O4936*J4936*(1+M4936)</x:f>
        <x:v>0.0056934370370370375</x:v>
      </x:c>
      <x:c r="Q4936" s="30" t="n">
        <x:f>P4936*N4936</x:f>
        <x:v>0.06832124444444446</x:v>
      </x:c>
      <x:c r="R4936" s="19" t="str">
        <x:v>独立判定</x:v>
      </x:c>
    </x:row>
    <x:row r="4937" ht="19" customHeight="1">
      <x:c r="A4937" s="19" t="str">
        <x:v>D04933</x:v>
      </x:c>
      <x:c r="B4937" s="19" t="n">
        <x:v>10</x:v>
      </x:c>
      <x:c r="C4937" s="19" t="n">
        <x:v>3</x:v>
      </x:c>
      <x:c r="D4937" s="19" t="str">
        <x:v>C10-M033</x:v>
      </x:c>
      <x:c r="E4937" s="19" t="str">
        <x:v>黑晶凿梦师</x:v>
      </x:c>
      <x:c r="F4937" s="19" t="str">
        <x:v>稀有</x:v>
      </x:c>
      <x:c r="G4937" s="19" t="str">
        <x:v>六神器公共池</x:v>
      </x:c>
      <x:c r="H4937" s="19" t="str">
        <x:v>POOL006</x:v>
      </x:c>
      <x:c r="I4937" s="22" t="n">
        <x:v>5000000</x:v>
      </x:c>
      <x:c r="J4937" s="22" t="n">
        <x:v>1</x:v>
      </x:c>
      <x:c r="K4937" s="19" t="n">
        <x:v>6</x:v>
      </x:c>
      <x:c r="L4937" s="24" t="n">
        <x:v>93.16533333333334</x:v>
      </x:c>
      <x:c r="M4937" s="26" t="n">
        <x:v>0.1</x:v>
      </x:c>
      <x:c r="N4937" s="24" t="n">
        <x:v>12</x:v>
      </x:c>
      <x:c r="O4937" s="28" t="n">
        <x:f>MIN(1,L4937/I4937)</x:f>
        <x:v>0.000018633066666666666</x:v>
      </x:c>
      <x:c r="P4937" s="30" t="n">
        <x:f>O4937*J4937*(1+M4937)</x:f>
        <x:v>0.000020496373333333335</x:v>
      </x:c>
      <x:c r="Q4937" s="30" t="n">
        <x:f>P4937*N4937</x:f>
        <x:v>0.00024595648</x:v>
      </x:c>
      <x:c r="R4937" s="19" t="str">
        <x:v>六选一；非6个独立爆率</x:v>
      </x:c>
    </x:row>
    <x:row r="4938" ht="19" customHeight="1">
      <x:c r="A4938" s="19" t="str">
        <x:v>D04934</x:v>
      </x:c>
      <x:c r="B4938" s="19" t="n">
        <x:v>10</x:v>
      </x:c>
      <x:c r="C4938" s="19" t="n">
        <x:v>3</x:v>
      </x:c>
      <x:c r="D4938" s="19" t="str">
        <x:v>C10-M034</x:v>
      </x:c>
      <x:c r="E4938" s="19" t="str">
        <x:v>王脉封勘使</x:v>
      </x:c>
      <x:c r="F4938" s="19" t="str">
        <x:v>稀有</x:v>
      </x:c>
      <x:c r="G4938" s="19" t="str">
        <x:v>自身专属</x:v>
      </x:c>
      <x:c r="H4938" s="19" t="str">
        <x:v>封勘金衡章</x:v>
      </x:c>
      <x:c r="I4938" s="22" t="n">
        <x:v>3000</x:v>
      </x:c>
      <x:c r="J4938" s="22" t="n">
        <x:v>1</x:v>
      </x:c>
      <x:c r="K4938" s="19" t="n">
        <x:v>1</x:v>
      </x:c>
      <x:c r="L4938" s="24" t="n">
        <x:v>93.16533333333334</x:v>
      </x:c>
      <x:c r="M4938" s="26" t="n">
        <x:v>0.1</x:v>
      </x:c>
      <x:c r="N4938" s="24" t="n">
        <x:v>12</x:v>
      </x:c>
      <x:c r="O4938" s="28" t="n">
        <x:f>MIN(1,L4938/I4938)</x:f>
        <x:v>0.031055111111111113</x:v>
      </x:c>
      <x:c r="P4938" s="30" t="n">
        <x:f>O4938*J4938*(1+M4938)</x:f>
        <x:v>0.03416062222222223</x:v>
      </x:c>
      <x:c r="Q4938" s="30" t="n">
        <x:f>P4938*N4938</x:f>
        <x:v>0.40992746666666674</x:v>
      </x:c>
      <x:c r="R4938" s="19" t="str">
        <x:v>独立判定</x:v>
      </x:c>
    </x:row>
    <x:row r="4939" ht="19" customHeight="1">
      <x:c r="A4939" s="19" t="str">
        <x:v>D04935</x:v>
      </x:c>
      <x:c r="B4939" s="19" t="n">
        <x:v>10</x:v>
      </x:c>
      <x:c r="C4939" s="19" t="n">
        <x:v>3</x:v>
      </x:c>
      <x:c r="D4939" s="19" t="str">
        <x:v>C10-M034</x:v>
      </x:c>
      <x:c r="E4939" s="19" t="str">
        <x:v>王脉封勘使</x:v>
      </x:c>
      <x:c r="F4939" s="19" t="str">
        <x:v>稀有</x:v>
      </x:c>
      <x:c r="G4939" s="19" t="str">
        <x:v>材料独立候选</x:v>
      </x:c>
      <x:c r="H4939" s="19" t="str">
        <x:v>王城金屑</x:v>
      </x:c>
      <x:c r="I4939" s="22" t="n">
        <x:v>1200</x:v>
      </x:c>
      <x:c r="J4939" s="22" t="n">
        <x:v>15</x:v>
      </x:c>
      <x:c r="K4939" s="19" t="n">
        <x:v>1</x:v>
      </x:c>
      <x:c r="L4939" s="24" t="n">
        <x:v>93.16533333333334</x:v>
      </x:c>
      <x:c r="M4939" s="26" t="n">
        <x:v>0.1</x:v>
      </x:c>
      <x:c r="N4939" s="24" t="n">
        <x:v>12</x:v>
      </x:c>
      <x:c r="O4939" s="28" t="n">
        <x:f>MIN(1,L4939/I4939)</x:f>
        <x:v>0.07763777777777778</x:v>
      </x:c>
      <x:c r="P4939" s="30" t="n">
        <x:f>O4939*J4939*(1+M4939)</x:f>
        <x:v>1.2810233333333336</x:v>
      </x:c>
      <x:c r="Q4939" s="30" t="n">
        <x:f>P4939*N4939</x:f>
        <x:v>15.372280000000003</x:v>
      </x:c>
      <x:c r="R4939" s="19" t="str">
        <x:v>独立判定</x:v>
      </x:c>
    </x:row>
    <x:row r="4940" ht="19" customHeight="1">
      <x:c r="A4940" s="19" t="str">
        <x:v>D04936</x:v>
      </x:c>
      <x:c r="B4940" s="19" t="n">
        <x:v>10</x:v>
      </x:c>
      <x:c r="C4940" s="19" t="n">
        <x:v>3</x:v>
      </x:c>
      <x:c r="D4940" s="19" t="str">
        <x:v>C10-M034</x:v>
      </x:c>
      <x:c r="E4940" s="19" t="str">
        <x:v>王脉封勘使</x:v>
      </x:c>
      <x:c r="F4940" s="19" t="str">
        <x:v>稀有</x:v>
      </x:c>
      <x:c r="G4940" s="19" t="str">
        <x:v>材料独立候选</x:v>
      </x:c>
      <x:c r="H4940" s="19" t="str">
        <x:v>王宫律文</x:v>
      </x:c>
      <x:c r="I4940" s="22" t="n">
        <x:v>800</x:v>
      </x:c>
      <x:c r="J4940" s="22" t="n">
        <x:v>1</x:v>
      </x:c>
      <x:c r="K4940" s="19" t="n">
        <x:v>1</x:v>
      </x:c>
      <x:c r="L4940" s="24" t="n">
        <x:v>93.16533333333334</x:v>
      </x:c>
      <x:c r="M4940" s="26" t="n">
        <x:v>0.1</x:v>
      </x:c>
      <x:c r="N4940" s="24" t="n">
        <x:v>12</x:v>
      </x:c>
      <x:c r="O4940" s="28" t="n">
        <x:f>MIN(1,L4940/I4940)</x:f>
        <x:v>0.11645666666666667</x:v>
      </x:c>
      <x:c r="P4940" s="30" t="n">
        <x:f>O4940*J4940*(1+M4940)</x:f>
        <x:v>0.12810233333333335</x:v>
      </x:c>
      <x:c r="Q4940" s="30" t="n">
        <x:f>P4940*N4940</x:f>
        <x:v>1.5372280000000003</x:v>
      </x:c>
      <x:c r="R4940" s="19" t="str">
        <x:v>独立判定</x:v>
      </x:c>
    </x:row>
    <x:row r="4941" ht="19" customHeight="1">
      <x:c r="A4941" s="19" t="str">
        <x:v>D04937</x:v>
      </x:c>
      <x:c r="B4941" s="19" t="n">
        <x:v>10</x:v>
      </x:c>
      <x:c r="C4941" s="19" t="n">
        <x:v>3</x:v>
      </x:c>
      <x:c r="D4941" s="19" t="str">
        <x:v>C10-M034</x:v>
      </x:c>
      <x:c r="E4941" s="19" t="str">
        <x:v>王脉封勘使</x:v>
      </x:c>
      <x:c r="F4941" s="19" t="str">
        <x:v>稀有</x:v>
      </x:c>
      <x:c r="G4941" s="19" t="str">
        <x:v>材料独立候选</x:v>
      </x:c>
      <x:c r="H4941" s="19" t="str">
        <x:v>旧渠阀芯</x:v>
      </x:c>
      <x:c r="I4941" s="22" t="n">
        <x:v>800</x:v>
      </x:c>
      <x:c r="J4941" s="22" t="n">
        <x:v>1</x:v>
      </x:c>
      <x:c r="K4941" s="19" t="n">
        <x:v>1</x:v>
      </x:c>
      <x:c r="L4941" s="24" t="n">
        <x:v>93.16533333333334</x:v>
      </x:c>
      <x:c r="M4941" s="26" t="n">
        <x:v>0.1</x:v>
      </x:c>
      <x:c r="N4941" s="24" t="n">
        <x:v>12</x:v>
      </x:c>
      <x:c r="O4941" s="28" t="n">
        <x:f>MIN(1,L4941/I4941)</x:f>
        <x:v>0.11645666666666667</x:v>
      </x:c>
      <x:c r="P4941" s="30" t="n">
        <x:f>O4941*J4941*(1+M4941)</x:f>
        <x:v>0.12810233333333335</x:v>
      </x:c>
      <x:c r="Q4941" s="30" t="n">
        <x:f>P4941*N4941</x:f>
        <x:v>1.5372280000000003</x:v>
      </x:c>
      <x:c r="R4941" s="19" t="str">
        <x:v>独立判定</x:v>
      </x:c>
    </x:row>
    <x:row r="4942" ht="19" customHeight="1">
      <x:c r="A4942" s="19" t="str">
        <x:v>D04938</x:v>
      </x:c>
      <x:c r="B4942" s="19" t="n">
        <x:v>10</x:v>
      </x:c>
      <x:c r="C4942" s="19" t="n">
        <x:v>3</x:v>
      </x:c>
      <x:c r="D4942" s="19" t="str">
        <x:v>C10-M034</x:v>
      </x:c>
      <x:c r="E4942" s="19" t="str">
        <x:v>王脉封勘使</x:v>
      </x:c>
      <x:c r="F4942" s="19" t="str">
        <x:v>稀有</x:v>
      </x:c>
      <x:c r="G4942" s="19" t="str">
        <x:v>材料独立候选</x:v>
      </x:c>
      <x:c r="H4942" s="19" t="str">
        <x:v>穹律鎏痕拓片</x:v>
      </x:c>
      <x:c r="I4942" s="22" t="n">
        <x:v>2500000</x:v>
      </x:c>
      <x:c r="J4942" s="22" t="n">
        <x:v>1</x:v>
      </x:c>
      <x:c r="K4942" s="19" t="n">
        <x:v>1</x:v>
      </x:c>
      <x:c r="L4942" s="24" t="n">
        <x:v>93.16533333333334</x:v>
      </x:c>
      <x:c r="M4942" s="26" t="n">
        <x:v>0.1</x:v>
      </x:c>
      <x:c r="N4942" s="24" t="n">
        <x:v>12</x:v>
      </x:c>
      <x:c r="O4942" s="28" t="n">
        <x:f>MIN(1,L4942/I4942)</x:f>
        <x:v>0.00003726613333333333</x:v>
      </x:c>
      <x:c r="P4942" s="30" t="n">
        <x:f>O4942*J4942*(1+M4942)</x:f>
        <x:v>0.00004099274666666667</x:v>
      </x:c>
      <x:c r="Q4942" s="30" t="n">
        <x:f>P4942*N4942</x:f>
        <x:v>0.00049191296</x:v>
      </x:c>
      <x:c r="R4942" s="19" t="str">
        <x:v>独立判定</x:v>
      </x:c>
    </x:row>
    <x:row r="4943" ht="19" customHeight="1">
      <x:c r="A4943" s="19" t="str">
        <x:v>D04939</x:v>
      </x:c>
      <x:c r="B4943" s="19" t="n">
        <x:v>10</x:v>
      </x:c>
      <x:c r="C4943" s="19" t="n">
        <x:v>3</x:v>
      </x:c>
      <x:c r="D4943" s="19" t="str">
        <x:v>C10-M034</x:v>
      </x:c>
      <x:c r="E4943" s="19" t="str">
        <x:v>王脉封勘使</x:v>
      </x:c>
      <x:c r="F4943" s="19" t="str">
        <x:v>稀有</x:v>
      </x:c>
      <x:c r="G4943" s="19" t="str">
        <x:v>材料独立候选</x:v>
      </x:c>
      <x:c r="H4943" s="19" t="str">
        <x:v>黄金树芽</x:v>
      </x:c>
      <x:c r="I4943" s="22" t="n">
        <x:v>3000</x:v>
      </x:c>
      <x:c r="J4943" s="22" t="n">
        <x:v>1</x:v>
      </x:c>
      <x:c r="K4943" s="19" t="n">
        <x:v>1</x:v>
      </x:c>
      <x:c r="L4943" s="24" t="n">
        <x:v>93.16533333333334</x:v>
      </x:c>
      <x:c r="M4943" s="26" t="n">
        <x:v>0.1</x:v>
      </x:c>
      <x:c r="N4943" s="24" t="n">
        <x:v>12</x:v>
      </x:c>
      <x:c r="O4943" s="28" t="n">
        <x:f>MIN(1,L4943/I4943)</x:f>
        <x:v>0.031055111111111113</x:v>
      </x:c>
      <x:c r="P4943" s="30" t="n">
        <x:f>O4943*J4943*(1+M4943)</x:f>
        <x:v>0.03416062222222223</x:v>
      </x:c>
      <x:c r="Q4943" s="30" t="n">
        <x:f>P4943*N4943</x:f>
        <x:v>0.40992746666666674</x:v>
      </x:c>
      <x:c r="R4943" s="19" t="str">
        <x:v>独立判定</x:v>
      </x:c>
    </x:row>
    <x:row r="4944" ht="19" customHeight="1">
      <x:c r="A4944" s="19" t="str">
        <x:v>D04940</x:v>
      </x:c>
      <x:c r="B4944" s="19" t="n">
        <x:v>10</x:v>
      </x:c>
      <x:c r="C4944" s="19" t="n">
        <x:v>3</x:v>
      </x:c>
      <x:c r="D4944" s="19" t="str">
        <x:v>C10-M034</x:v>
      </x:c>
      <x:c r="E4944" s="19" t="str">
        <x:v>王脉封勘使</x:v>
      </x:c>
      <x:c r="F4944" s="19" t="str">
        <x:v>稀有</x:v>
      </x:c>
      <x:c r="G4944" s="19" t="str">
        <x:v>材料独立候选</x:v>
      </x:c>
      <x:c r="H4944" s="19" t="str">
        <x:v>野兽骨片</x:v>
      </x:c>
      <x:c r="I4944" s="22" t="n">
        <x:v>300</x:v>
      </x:c>
      <x:c r="J4944" s="22" t="n">
        <x:v>4</x:v>
      </x:c>
      <x:c r="K4944" s="19" t="n">
        <x:v>1</x:v>
      </x:c>
      <x:c r="L4944" s="24" t="n">
        <x:v>93.16533333333334</x:v>
      </x:c>
      <x:c r="M4944" s="26" t="n">
        <x:v>0.1</x:v>
      </x:c>
      <x:c r="N4944" s="24" t="n">
        <x:v>12</x:v>
      </x:c>
      <x:c r="O4944" s="28" t="n">
        <x:f>MIN(1,L4944/I4944)</x:f>
        <x:v>0.3105511111111111</x:v>
      </x:c>
      <x:c r="P4944" s="30" t="n">
        <x:f>O4944*J4944*(1+M4944)</x:f>
        <x:v>1.366424888888889</x:v>
      </x:c>
      <x:c r="Q4944" s="30" t="n">
        <x:f>P4944*N4944</x:f>
        <x:v>16.39709866666667</x:v>
      </x:c>
      <x:c r="R4944" s="19" t="str">
        <x:v>独立判定</x:v>
      </x:c>
    </x:row>
    <x:row r="4945" ht="19" customHeight="1">
      <x:c r="A4945" s="19" t="str">
        <x:v>D04941</x:v>
      </x:c>
      <x:c r="B4945" s="19" t="n">
        <x:v>10</x:v>
      </x:c>
      <x:c r="C4945" s="19" t="n">
        <x:v>3</x:v>
      </x:c>
      <x:c r="D4945" s="19" t="str">
        <x:v>C10-M034</x:v>
      </x:c>
      <x:c r="E4945" s="19" t="str">
        <x:v>王脉封勘使</x:v>
      </x:c>
      <x:c r="F4945" s="19" t="str">
        <x:v>稀有</x:v>
      </x:c>
      <x:c r="G4945" s="19" t="str">
        <x:v>材料独立候选</x:v>
      </x:c>
      <x:c r="H4945" s="19" t="str">
        <x:v>技能残页</x:v>
      </x:c>
      <x:c r="I4945" s="22" t="n">
        <x:v>3000</x:v>
      </x:c>
      <x:c r="J4945" s="22" t="n">
        <x:v>1</x:v>
      </x:c>
      <x:c r="K4945" s="19" t="n">
        <x:v>1</x:v>
      </x:c>
      <x:c r="L4945" s="24" t="n">
        <x:v>93.16533333333334</x:v>
      </x:c>
      <x:c r="M4945" s="26" t="n">
        <x:v>0.1</x:v>
      </x:c>
      <x:c r="N4945" s="24" t="n">
        <x:v>12</x:v>
      </x:c>
      <x:c r="O4945" s="28" t="n">
        <x:f>MIN(1,L4945/I4945)</x:f>
        <x:v>0.031055111111111113</x:v>
      </x:c>
      <x:c r="P4945" s="30" t="n">
        <x:f>O4945*J4945*(1+M4945)</x:f>
        <x:v>0.03416062222222223</x:v>
      </x:c>
      <x:c r="Q4945" s="30" t="n">
        <x:f>P4945*N4945</x:f>
        <x:v>0.40992746666666674</x:v>
      </x:c>
      <x:c r="R4945" s="19" t="str">
        <x:v>独立判定</x:v>
      </x:c>
    </x:row>
    <x:row r="4946" ht="19" customHeight="1">
      <x:c r="A4946" s="19" t="str">
        <x:v>D04942</x:v>
      </x:c>
      <x:c r="B4946" s="19" t="n">
        <x:v>10</x:v>
      </x:c>
      <x:c r="C4946" s="19" t="n">
        <x:v>3</x:v>
      </x:c>
      <x:c r="D4946" s="19" t="str">
        <x:v>C10-M034</x:v>
      </x:c>
      <x:c r="E4946" s="19" t="str">
        <x:v>王脉封勘使</x:v>
      </x:c>
      <x:c r="F4946" s="19" t="str">
        <x:v>稀有</x:v>
      </x:c>
      <x:c r="G4946" s="19" t="str">
        <x:v>材料独立候选</x:v>
      </x:c>
      <x:c r="H4946" s="19" t="str">
        <x:v>小卢恩</x:v>
      </x:c>
      <x:c r="I4946" s="22" t="n">
        <x:v>18000</x:v>
      </x:c>
      <x:c r="J4946" s="22" t="n">
        <x:v>1</x:v>
      </x:c>
      <x:c r="K4946" s="19" t="n">
        <x:v>1</x:v>
      </x:c>
      <x:c r="L4946" s="24" t="n">
        <x:v>93.16533333333334</x:v>
      </x:c>
      <x:c r="M4946" s="26" t="n">
        <x:v>0.1</x:v>
      </x:c>
      <x:c r="N4946" s="24" t="n">
        <x:v>12</x:v>
      </x:c>
      <x:c r="O4946" s="28" t="n">
        <x:f>MIN(1,L4946/I4946)</x:f>
        <x:v>0.005175851851851852</x:v>
      </x:c>
      <x:c r="P4946" s="30" t="n">
        <x:f>O4946*J4946*(1+M4946)</x:f>
        <x:v>0.0056934370370370375</x:v>
      </x:c>
      <x:c r="Q4946" s="30" t="n">
        <x:f>P4946*N4946</x:f>
        <x:v>0.06832124444444446</x:v>
      </x:c>
      <x:c r="R4946" s="19" t="str">
        <x:v>独立判定</x:v>
      </x:c>
    </x:row>
    <x:row r="4947" ht="19" customHeight="1">
      <x:c r="A4947" s="19" t="str">
        <x:v>D04943</x:v>
      </x:c>
      <x:c r="B4947" s="19" t="n">
        <x:v>10</x:v>
      </x:c>
      <x:c r="C4947" s="19" t="n">
        <x:v>3</x:v>
      </x:c>
      <x:c r="D4947" s="19" t="str">
        <x:v>C10-M034</x:v>
      </x:c>
      <x:c r="E4947" s="19" t="str">
        <x:v>王脉封勘使</x:v>
      </x:c>
      <x:c r="F4947" s="19" t="str">
        <x:v>稀有</x:v>
      </x:c>
      <x:c r="G4947" s="19" t="str">
        <x:v>六神器公共池</x:v>
      </x:c>
      <x:c r="H4947" s="19" t="str">
        <x:v>POOL006</x:v>
      </x:c>
      <x:c r="I4947" s="22" t="n">
        <x:v>5000000</x:v>
      </x:c>
      <x:c r="J4947" s="22" t="n">
        <x:v>1</x:v>
      </x:c>
      <x:c r="K4947" s="19" t="n">
        <x:v>6</x:v>
      </x:c>
      <x:c r="L4947" s="24" t="n">
        <x:v>93.16533333333334</x:v>
      </x:c>
      <x:c r="M4947" s="26" t="n">
        <x:v>0.1</x:v>
      </x:c>
      <x:c r="N4947" s="24" t="n">
        <x:v>12</x:v>
      </x:c>
      <x:c r="O4947" s="28" t="n">
        <x:f>MIN(1,L4947/I4947)</x:f>
        <x:v>0.000018633066666666666</x:v>
      </x:c>
      <x:c r="P4947" s="30" t="n">
        <x:f>O4947*J4947*(1+M4947)</x:f>
        <x:v>0.000020496373333333335</x:v>
      </x:c>
      <x:c r="Q4947" s="30" t="n">
        <x:f>P4947*N4947</x:f>
        <x:v>0.00024595648</x:v>
      </x:c>
      <x:c r="R4947" s="19" t="str">
        <x:v>六选一；非6个独立爆率</x:v>
      </x:c>
    </x:row>
    <x:row r="4948" ht="19" customHeight="1">
      <x:c r="A4948" s="19" t="str">
        <x:v>D04944</x:v>
      </x:c>
      <x:c r="B4948" s="19" t="n">
        <x:v>10</x:v>
      </x:c>
      <x:c r="C4948" s="19" t="n">
        <x:v>3</x:v>
      </x:c>
      <x:c r="D4948" s="19" t="str">
        <x:v>C10-M035</x:v>
      </x:c>
      <x:c r="E4948" s="19" t="str">
        <x:v>深井百臂掘王</x:v>
      </x:c>
      <x:c r="F4948" s="19" t="str">
        <x:v>地图BOSS</x:v>
      </x:c>
      <x:c r="G4948" s="19" t="str">
        <x:v>自身专属</x:v>
      </x:c>
      <x:c r="H4948" s="19" t="str">
        <x:v>深井百臂灯笠</x:v>
      </x:c>
      <x:c r="I4948" s="22" t="n">
        <x:v>250</x:v>
      </x:c>
      <x:c r="J4948" s="22" t="n">
        <x:v>1</x:v>
      </x:c>
      <x:c r="K4948" s="19" t="n">
        <x:v>1</x:v>
      </x:c>
      <x:c r="L4948" s="24" t="n">
        <x:v>93.16533333333334</x:v>
      </x:c>
      <x:c r="M4948" s="26" t="n">
        <x:v>0.1</x:v>
      </x:c>
      <x:c r="N4948" s="24" t="n">
        <x:v>2</x:v>
      </x:c>
      <x:c r="O4948" s="28" t="n">
        <x:f>MIN(1,L4948/I4948)</x:f>
        <x:v>0.37266133333333334</x:v>
      </x:c>
      <x:c r="P4948" s="30" t="n">
        <x:f>O4948*J4948*(1+M4948)</x:f>
        <x:v>0.4099274666666667</x:v>
      </x:c>
      <x:c r="Q4948" s="30" t="n">
        <x:f>P4948*N4948</x:f>
        <x:v>0.8198549333333334</x:v>
      </x:c>
      <x:c r="R4948" s="19" t="str">
        <x:v>独立判定</x:v>
      </x:c>
    </x:row>
    <x:row r="4949" ht="19" customHeight="1">
      <x:c r="A4949" s="19" t="str">
        <x:v>D04945</x:v>
      </x:c>
      <x:c r="B4949" s="19" t="n">
        <x:v>10</x:v>
      </x:c>
      <x:c r="C4949" s="19" t="n">
        <x:v>3</x:v>
      </x:c>
      <x:c r="D4949" s="19" t="str">
        <x:v>C10-M035</x:v>
      </x:c>
      <x:c r="E4949" s="19" t="str">
        <x:v>深井百臂掘王</x:v>
      </x:c>
      <x:c r="F4949" s="19" t="str">
        <x:v>地图BOSS</x:v>
      </x:c>
      <x:c r="G4949" s="19" t="str">
        <x:v>本图普通兼掉候选</x:v>
      </x:c>
      <x:c r="H4949" s="19" t="str">
        <x:v>POOL082</x:v>
      </x:c>
      <x:c r="I4949" s="22" t="n">
        <x:v>250</x:v>
      </x:c>
      <x:c r="J4949" s="22" t="n">
        <x:v>1</x:v>
      </x:c>
      <x:c r="K4949" s="19" t="n">
        <x:v>1</x:v>
      </x:c>
      <x:c r="L4949" s="24" t="n">
        <x:v>93.16533333333334</x:v>
      </x:c>
      <x:c r="M4949" s="26" t="n">
        <x:v>0.1</x:v>
      </x:c>
      <x:c r="N4949" s="24" t="n">
        <x:v>2</x:v>
      </x:c>
      <x:c r="O4949" s="28" t="n">
        <x:f>MIN(1,L4949/I4949)</x:f>
        <x:v>0.37266133333333334</x:v>
      </x:c>
      <x:c r="P4949" s="30" t="n">
        <x:f>O4949*J4949*(1+M4949)</x:f>
        <x:v>0.4099274666666667</x:v>
      </x:c>
      <x:c r="Q4949" s="30" t="n">
        <x:f>P4949*N4949</x:f>
        <x:v>0.8198549333333334</x:v>
      </x:c>
      <x:c r="R4949" s="19" t="str">
        <x:v>单池选一</x:v>
      </x:c>
    </x:row>
    <x:row r="4950" ht="19" customHeight="1">
      <x:c r="A4950" s="19" t="str">
        <x:v>D04946</x:v>
      </x:c>
      <x:c r="B4950" s="19" t="n">
        <x:v>10</x:v>
      </x:c>
      <x:c r="C4950" s="19" t="n">
        <x:v>3</x:v>
      </x:c>
      <x:c r="D4950" s="19" t="str">
        <x:v>C10-M035</x:v>
      </x:c>
      <x:c r="E4950" s="19" t="str">
        <x:v>深井百臂掘王</x:v>
      </x:c>
      <x:c r="F4950" s="19" t="str">
        <x:v>地图BOSS</x:v>
      </x:c>
      <x:c r="G4950" s="19" t="str">
        <x:v>材料独立候选</x:v>
      </x:c>
      <x:c r="H4950" s="19" t="str">
        <x:v>王城金屑</x:v>
      </x:c>
      <x:c r="I4950" s="22" t="n">
        <x:v>600</x:v>
      </x:c>
      <x:c r="J4950" s="22" t="n">
        <x:v>30</x:v>
      </x:c>
      <x:c r="K4950" s="19" t="n">
        <x:v>1</x:v>
      </x:c>
      <x:c r="L4950" s="24" t="n">
        <x:v>93.16533333333334</x:v>
      </x:c>
      <x:c r="M4950" s="26" t="n">
        <x:v>0.1</x:v>
      </x:c>
      <x:c r="N4950" s="24" t="n">
        <x:v>2</x:v>
      </x:c>
      <x:c r="O4950" s="28" t="n">
        <x:f>MIN(1,L4950/I4950)</x:f>
        <x:v>0.15527555555555556</x:v>
      </x:c>
      <x:c r="P4950" s="30" t="n">
        <x:f>O4950*J4950*(1+M4950)</x:f>
        <x:v>5.1240933333333345</x:v>
      </x:c>
      <x:c r="Q4950" s="30" t="n">
        <x:f>P4950*N4950</x:f>
        <x:v>10.248186666666669</x:v>
      </x:c>
      <x:c r="R4950" s="19" t="str">
        <x:v>独立判定</x:v>
      </x:c>
    </x:row>
    <x:row r="4951" ht="19" customHeight="1">
      <x:c r="A4951" s="19" t="str">
        <x:v>D04947</x:v>
      </x:c>
      <x:c r="B4951" s="19" t="n">
        <x:v>10</x:v>
      </x:c>
      <x:c r="C4951" s="19" t="n">
        <x:v>3</x:v>
      </x:c>
      <x:c r="D4951" s="19" t="str">
        <x:v>C10-M035</x:v>
      </x:c>
      <x:c r="E4951" s="19" t="str">
        <x:v>深井百臂掘王</x:v>
      </x:c>
      <x:c r="F4951" s="19" t="str">
        <x:v>地图BOSS</x:v>
      </x:c>
      <x:c r="G4951" s="19" t="str">
        <x:v>材料独立候选</x:v>
      </x:c>
      <x:c r="H4951" s="19" t="str">
        <x:v>王宫律文</x:v>
      </x:c>
      <x:c r="I4951" s="22" t="n">
        <x:v>400</x:v>
      </x:c>
      <x:c r="J4951" s="22" t="n">
        <x:v>1</x:v>
      </x:c>
      <x:c r="K4951" s="19" t="n">
        <x:v>1</x:v>
      </x:c>
      <x:c r="L4951" s="24" t="n">
        <x:v>93.16533333333334</x:v>
      </x:c>
      <x:c r="M4951" s="26" t="n">
        <x:v>0.1</x:v>
      </x:c>
      <x:c r="N4951" s="24" t="n">
        <x:v>2</x:v>
      </x:c>
      <x:c r="O4951" s="28" t="n">
        <x:f>MIN(1,L4951/I4951)</x:f>
        <x:v>0.23291333333333333</x:v>
      </x:c>
      <x:c r="P4951" s="30" t="n">
        <x:f>O4951*J4951*(1+M4951)</x:f>
        <x:v>0.2562046666666667</x:v>
      </x:c>
      <x:c r="Q4951" s="30" t="n">
        <x:f>P4951*N4951</x:f>
        <x:v>0.5124093333333334</x:v>
      </x:c>
      <x:c r="R4951" s="19" t="str">
        <x:v>独立判定</x:v>
      </x:c>
    </x:row>
    <x:row r="4952" ht="19" customHeight="1">
      <x:c r="A4952" s="19" t="str">
        <x:v>D04948</x:v>
      </x:c>
      <x:c r="B4952" s="19" t="n">
        <x:v>10</x:v>
      </x:c>
      <x:c r="C4952" s="19" t="n">
        <x:v>3</x:v>
      </x:c>
      <x:c r="D4952" s="19" t="str">
        <x:v>C10-M035</x:v>
      </x:c>
      <x:c r="E4952" s="19" t="str">
        <x:v>深井百臂掘王</x:v>
      </x:c>
      <x:c r="F4952" s="19" t="str">
        <x:v>地图BOSS</x:v>
      </x:c>
      <x:c r="G4952" s="19" t="str">
        <x:v>材料独立候选</x:v>
      </x:c>
      <x:c r="H4952" s="19" t="str">
        <x:v>艾尔登王印</x:v>
      </x:c>
      <x:c r="I4952" s="22" t="n">
        <x:v>400</x:v>
      </x:c>
      <x:c r="J4952" s="22" t="n">
        <x:v>10</x:v>
      </x:c>
      <x:c r="K4952" s="19" t="n">
        <x:v>1</x:v>
      </x:c>
      <x:c r="L4952" s="24" t="n">
        <x:v>93.16533333333334</x:v>
      </x:c>
      <x:c r="M4952" s="26" t="n">
        <x:v>0.1</x:v>
      </x:c>
      <x:c r="N4952" s="24" t="n">
        <x:v>2</x:v>
      </x:c>
      <x:c r="O4952" s="28" t="n">
        <x:f>MIN(1,L4952/I4952)</x:f>
        <x:v>0.23291333333333333</x:v>
      </x:c>
      <x:c r="P4952" s="30" t="n">
        <x:f>O4952*J4952*(1+M4952)</x:f>
        <x:v>2.5620466666666672</x:v>
      </x:c>
      <x:c r="Q4952" s="30" t="n">
        <x:f>P4952*N4952</x:f>
        <x:v>5.1240933333333345</x:v>
      </x:c>
      <x:c r="R4952" s="19" t="str">
        <x:v>独立判定</x:v>
      </x:c>
    </x:row>
    <x:row r="4953" ht="19" customHeight="1">
      <x:c r="A4953" s="19" t="str">
        <x:v>D04949</x:v>
      </x:c>
      <x:c r="B4953" s="19" t="n">
        <x:v>10</x:v>
      </x:c>
      <x:c r="C4953" s="19" t="n">
        <x:v>3</x:v>
      </x:c>
      <x:c r="D4953" s="19" t="str">
        <x:v>C10-M035</x:v>
      </x:c>
      <x:c r="E4953" s="19" t="str">
        <x:v>深井百臂掘王</x:v>
      </x:c>
      <x:c r="F4953" s="19" t="str">
        <x:v>地图BOSS</x:v>
      </x:c>
      <x:c r="G4953" s="19" t="str">
        <x:v>材料独立候选</x:v>
      </x:c>
      <x:c r="H4953" s="19" t="str">
        <x:v>失温熔炉楔</x:v>
      </x:c>
      <x:c r="I4953" s="22" t="n">
        <x:v>400</x:v>
      </x:c>
      <x:c r="J4953" s="22" t="n">
        <x:v>4</x:v>
      </x:c>
      <x:c r="K4953" s="19" t="n">
        <x:v>1</x:v>
      </x:c>
      <x:c r="L4953" s="24" t="n">
        <x:v>93.16533333333334</x:v>
      </x:c>
      <x:c r="M4953" s="26" t="n">
        <x:v>0.1</x:v>
      </x:c>
      <x:c r="N4953" s="24" t="n">
        <x:v>2</x:v>
      </x:c>
      <x:c r="O4953" s="28" t="n">
        <x:f>MIN(1,L4953/I4953)</x:f>
        <x:v>0.23291333333333333</x:v>
      </x:c>
      <x:c r="P4953" s="30" t="n">
        <x:f>O4953*J4953*(1+M4953)</x:f>
        <x:v>1.0248186666666668</x:v>
      </x:c>
      <x:c r="Q4953" s="30" t="n">
        <x:f>P4953*N4953</x:f>
        <x:v>2.0496373333333335</x:v>
      </x:c>
      <x:c r="R4953" s="19" t="str">
        <x:v>独立判定</x:v>
      </x:c>
    </x:row>
    <x:row r="4954" ht="19" customHeight="1">
      <x:c r="A4954" s="19" t="str">
        <x:v>D04950</x:v>
      </x:c>
      <x:c r="B4954" s="19" t="n">
        <x:v>10</x:v>
      </x:c>
      <x:c r="C4954" s="19" t="n">
        <x:v>3</x:v>
      </x:c>
      <x:c r="D4954" s="19" t="str">
        <x:v>C10-M035</x:v>
      </x:c>
      <x:c r="E4954" s="19" t="str">
        <x:v>深井百臂掘王</x:v>
      </x:c>
      <x:c r="F4954" s="19" t="str">
        <x:v>地图BOSS</x:v>
      </x:c>
      <x:c r="G4954" s="19" t="str">
        <x:v>材料独立候选</x:v>
      </x:c>
      <x:c r="H4954" s="19" t="str">
        <x:v>穹律鎏痕拓片</x:v>
      </x:c>
      <x:c r="I4954" s="22" t="n">
        <x:v>1500000</x:v>
      </x:c>
      <x:c r="J4954" s="22" t="n">
        <x:v>1</x:v>
      </x:c>
      <x:c r="K4954" s="19" t="n">
        <x:v>1</x:v>
      </x:c>
      <x:c r="L4954" s="24" t="n">
        <x:v>93.16533333333334</x:v>
      </x:c>
      <x:c r="M4954" s="26" t="n">
        <x:v>0.1</x:v>
      </x:c>
      <x:c r="N4954" s="24" t="n">
        <x:v>2</x:v>
      </x:c>
      <x:c r="O4954" s="28" t="n">
        <x:f>MIN(1,L4954/I4954)</x:f>
        <x:v>0.00006211022222222222</x:v>
      </x:c>
      <x:c r="P4954" s="30" t="n">
        <x:f>O4954*J4954*(1+M4954)</x:f>
        <x:v>0.00006832124444444445</x:v>
      </x:c>
      <x:c r="Q4954" s="30" t="n">
        <x:f>P4954*N4954</x:f>
        <x:v>0.0001366424888888889</x:v>
      </x:c>
      <x:c r="R4954" s="19" t="str">
        <x:v>独立判定</x:v>
      </x:c>
    </x:row>
    <x:row r="4955" ht="19" customHeight="1">
      <x:c r="A4955" s="19" t="str">
        <x:v>D04951</x:v>
      </x:c>
      <x:c r="B4955" s="19" t="n">
        <x:v>10</x:v>
      </x:c>
      <x:c r="C4955" s="19" t="n">
        <x:v>3</x:v>
      </x:c>
      <x:c r="D4955" s="19" t="str">
        <x:v>C10-M035</x:v>
      </x:c>
      <x:c r="E4955" s="19" t="str">
        <x:v>深井百臂掘王</x:v>
      </x:c>
      <x:c r="F4955" s="19" t="str">
        <x:v>地图BOSS</x:v>
      </x:c>
      <x:c r="G4955" s="19" t="str">
        <x:v>材料独立候选</x:v>
      </x:c>
      <x:c r="H4955" s="19" t="str">
        <x:v>黄金树芽</x:v>
      </x:c>
      <x:c r="I4955" s="22" t="n">
        <x:v>1500</x:v>
      </x:c>
      <x:c r="J4955" s="22" t="n">
        <x:v>1</x:v>
      </x:c>
      <x:c r="K4955" s="19" t="n">
        <x:v>1</x:v>
      </x:c>
      <x:c r="L4955" s="24" t="n">
        <x:v>93.16533333333334</x:v>
      </x:c>
      <x:c r="M4955" s="26" t="n">
        <x:v>0.1</x:v>
      </x:c>
      <x:c r="N4955" s="24" t="n">
        <x:v>2</x:v>
      </x:c>
      <x:c r="O4955" s="28" t="n">
        <x:f>MIN(1,L4955/I4955)</x:f>
        <x:v>0.062110222222222226</x:v>
      </x:c>
      <x:c r="P4955" s="30" t="n">
        <x:f>O4955*J4955*(1+M4955)</x:f>
        <x:v>0.06832124444444446</x:v>
      </x:c>
      <x:c r="Q4955" s="30" t="n">
        <x:f>P4955*N4955</x:f>
        <x:v>0.1366424888888889</x:v>
      </x:c>
      <x:c r="R4955" s="19" t="str">
        <x:v>独立判定</x:v>
      </x:c>
    </x:row>
    <x:row r="4956" ht="19" customHeight="1">
      <x:c r="A4956" s="19" t="str">
        <x:v>D04952</x:v>
      </x:c>
      <x:c r="B4956" s="19" t="n">
        <x:v>10</x:v>
      </x:c>
      <x:c r="C4956" s="19" t="n">
        <x:v>3</x:v>
      </x:c>
      <x:c r="D4956" s="19" t="str">
        <x:v>C10-M035</x:v>
      </x:c>
      <x:c r="E4956" s="19" t="str">
        <x:v>深井百臂掘王</x:v>
      </x:c>
      <x:c r="F4956" s="19" t="str">
        <x:v>地图BOSS</x:v>
      </x:c>
      <x:c r="G4956" s="19" t="str">
        <x:v>材料独立候选</x:v>
      </x:c>
      <x:c r="H4956" s="19" t="str">
        <x:v>野兽骨片</x:v>
      </x:c>
      <x:c r="I4956" s="22" t="n">
        <x:v>180</x:v>
      </x:c>
      <x:c r="J4956" s="22" t="n">
        <x:v>4</x:v>
      </x:c>
      <x:c r="K4956" s="19" t="n">
        <x:v>1</x:v>
      </x:c>
      <x:c r="L4956" s="24" t="n">
        <x:v>93.16533333333334</x:v>
      </x:c>
      <x:c r="M4956" s="26" t="n">
        <x:v>0.1</x:v>
      </x:c>
      <x:c r="N4956" s="24" t="n">
        <x:v>2</x:v>
      </x:c>
      <x:c r="O4956" s="28" t="n">
        <x:f>MIN(1,L4956/I4956)</x:f>
        <x:v>0.5175851851851851</x:v>
      </x:c>
      <x:c r="P4956" s="30" t="n">
        <x:f>O4956*J4956*(1+M4956)</x:f>
        <x:v>2.2773748148148147</x:v>
      </x:c>
      <x:c r="Q4956" s="30" t="n">
        <x:f>P4956*N4956</x:f>
        <x:v>4.5547496296296295</x:v>
      </x:c>
      <x:c r="R4956" s="19" t="str">
        <x:v>独立判定</x:v>
      </x:c>
    </x:row>
    <x:row r="4957" ht="19" customHeight="1">
      <x:c r="A4957" s="19" t="str">
        <x:v>D04953</x:v>
      </x:c>
      <x:c r="B4957" s="19" t="n">
        <x:v>10</x:v>
      </x:c>
      <x:c r="C4957" s="19" t="n">
        <x:v>3</x:v>
      </x:c>
      <x:c r="D4957" s="19" t="str">
        <x:v>C10-M035</x:v>
      </x:c>
      <x:c r="E4957" s="19" t="str">
        <x:v>深井百臂掘王</x:v>
      </x:c>
      <x:c r="F4957" s="19" t="str">
        <x:v>地图BOSS</x:v>
      </x:c>
      <x:c r="G4957" s="19" t="str">
        <x:v>材料独立候选</x:v>
      </x:c>
      <x:c r="H4957" s="19" t="str">
        <x:v>技能残页</x:v>
      </x:c>
      <x:c r="I4957" s="22" t="n">
        <x:v>1500</x:v>
      </x:c>
      <x:c r="J4957" s="22" t="n">
        <x:v>1</x:v>
      </x:c>
      <x:c r="K4957" s="19" t="n">
        <x:v>1</x:v>
      </x:c>
      <x:c r="L4957" s="24" t="n">
        <x:v>93.16533333333334</x:v>
      </x:c>
      <x:c r="M4957" s="26" t="n">
        <x:v>0.1</x:v>
      </x:c>
      <x:c r="N4957" s="24" t="n">
        <x:v>2</x:v>
      </x:c>
      <x:c r="O4957" s="28" t="n">
        <x:f>MIN(1,L4957/I4957)</x:f>
        <x:v>0.062110222222222226</x:v>
      </x:c>
      <x:c r="P4957" s="30" t="n">
        <x:f>O4957*J4957*(1+M4957)</x:f>
        <x:v>0.06832124444444446</x:v>
      </x:c>
      <x:c r="Q4957" s="30" t="n">
        <x:f>P4957*N4957</x:f>
        <x:v>0.1366424888888889</x:v>
      </x:c>
      <x:c r="R4957" s="19" t="str">
        <x:v>独立判定</x:v>
      </x:c>
    </x:row>
    <x:row r="4958" ht="19" customHeight="1">
      <x:c r="A4958" s="19" t="str">
        <x:v>D04954</x:v>
      </x:c>
      <x:c r="B4958" s="19" t="n">
        <x:v>10</x:v>
      </x:c>
      <x:c r="C4958" s="19" t="n">
        <x:v>3</x:v>
      </x:c>
      <x:c r="D4958" s="19" t="str">
        <x:v>C10-M035</x:v>
      </x:c>
      <x:c r="E4958" s="19" t="str">
        <x:v>深井百臂掘王</x:v>
      </x:c>
      <x:c r="F4958" s="19" t="str">
        <x:v>地图BOSS</x:v>
      </x:c>
      <x:c r="G4958" s="19" t="str">
        <x:v>材料独立候选</x:v>
      </x:c>
      <x:c r="H4958" s="19" t="str">
        <x:v>宁姆格福誓页</x:v>
      </x:c>
      <x:c r="I4958" s="22" t="n">
        <x:v>1200</x:v>
      </x:c>
      <x:c r="J4958" s="22" t="n">
        <x:v>1</x:v>
      </x:c>
      <x:c r="K4958" s="19" t="n">
        <x:v>1</x:v>
      </x:c>
      <x:c r="L4958" s="24" t="n">
        <x:v>93.16533333333334</x:v>
      </x:c>
      <x:c r="M4958" s="26" t="n">
        <x:v>0.1</x:v>
      </x:c>
      <x:c r="N4958" s="24" t="n">
        <x:v>2</x:v>
      </x:c>
      <x:c r="O4958" s="28" t="n">
        <x:f>MIN(1,L4958/I4958)</x:f>
        <x:v>0.07763777777777778</x:v>
      </x:c>
      <x:c r="P4958" s="30" t="n">
        <x:f>O4958*J4958*(1+M4958)</x:f>
        <x:v>0.08540155555555556</x:v>
      </x:c>
      <x:c r="Q4958" s="30" t="n">
        <x:f>P4958*N4958</x:f>
        <x:v>0.17080311111111113</x:v>
      </x:c>
      <x:c r="R4958" s="19" t="str">
        <x:v>独立判定</x:v>
      </x:c>
    </x:row>
    <x:row r="4959" ht="19" customHeight="1">
      <x:c r="A4959" s="19" t="str">
        <x:v>D04955</x:v>
      </x:c>
      <x:c r="B4959" s="19" t="n">
        <x:v>10</x:v>
      </x:c>
      <x:c r="C4959" s="19" t="n">
        <x:v>3</x:v>
      </x:c>
      <x:c r="D4959" s="19" t="str">
        <x:v>C10-M035</x:v>
      </x:c>
      <x:c r="E4959" s="19" t="str">
        <x:v>深井百臂掘王</x:v>
      </x:c>
      <x:c r="F4959" s="19" t="str">
        <x:v>地图BOSS</x:v>
      </x:c>
      <x:c r="G4959" s="19" t="str">
        <x:v>材料独立候选</x:v>
      </x:c>
      <x:c r="H4959" s="19" t="str">
        <x:v>小卢恩</x:v>
      </x:c>
      <x:c r="I4959" s="22" t="n">
        <x:v>8000</x:v>
      </x:c>
      <x:c r="J4959" s="22" t="n">
        <x:v>1</x:v>
      </x:c>
      <x:c r="K4959" s="19" t="n">
        <x:v>1</x:v>
      </x:c>
      <x:c r="L4959" s="24" t="n">
        <x:v>93.16533333333334</x:v>
      </x:c>
      <x:c r="M4959" s="26" t="n">
        <x:v>0.1</x:v>
      </x:c>
      <x:c r="N4959" s="24" t="n">
        <x:v>2</x:v>
      </x:c>
      <x:c r="O4959" s="28" t="n">
        <x:f>MIN(1,L4959/I4959)</x:f>
        <x:v>0.011645666666666667</x:v>
      </x:c>
      <x:c r="P4959" s="30" t="n">
        <x:f>O4959*J4959*(1+M4959)</x:f>
        <x:v>0.012810233333333334</x:v>
      </x:c>
      <x:c r="Q4959" s="30" t="n">
        <x:f>P4959*N4959</x:f>
        <x:v>0.025620466666666668</x:v>
      </x:c>
      <x:c r="R4959" s="19" t="str">
        <x:v>独立判定</x:v>
      </x:c>
    </x:row>
    <x:row r="4960" ht="19" customHeight="1">
      <x:c r="A4960" s="19" t="str">
        <x:v>D04956</x:v>
      </x:c>
      <x:c r="B4960" s="19" t="n">
        <x:v>10</x:v>
      </x:c>
      <x:c r="C4960" s="19" t="n">
        <x:v>3</x:v>
      </x:c>
      <x:c r="D4960" s="19" t="str">
        <x:v>C10-M035</x:v>
      </x:c>
      <x:c r="E4960" s="19" t="str">
        <x:v>深井百臂掘王</x:v>
      </x:c>
      <x:c r="F4960" s="19" t="str">
        <x:v>地图BOSS</x:v>
      </x:c>
      <x:c r="G4960" s="19" t="str">
        <x:v>材料独立候选</x:v>
      </x:c>
      <x:c r="H4960" s="19" t="str">
        <x:v>大卢恩</x:v>
      </x:c>
      <x:c r="I4960" s="22" t="n">
        <x:v>800</x:v>
      </x:c>
      <x:c r="J4960" s="22" t="n">
        <x:v>1</x:v>
      </x:c>
      <x:c r="K4960" s="19" t="n">
        <x:v>1</x:v>
      </x:c>
      <x:c r="L4960" s="24" t="n">
        <x:v>93.16533333333334</x:v>
      </x:c>
      <x:c r="M4960" s="26" t="n">
        <x:v>0.1</x:v>
      </x:c>
      <x:c r="N4960" s="24" t="n">
        <x:v>2</x:v>
      </x:c>
      <x:c r="O4960" s="28" t="n">
        <x:f>MIN(1,L4960/I4960)</x:f>
        <x:v>0.11645666666666667</x:v>
      </x:c>
      <x:c r="P4960" s="30" t="n">
        <x:f>O4960*J4960*(1+M4960)</x:f>
        <x:v>0.12810233333333335</x:v>
      </x:c>
      <x:c r="Q4960" s="30" t="n">
        <x:f>P4960*N4960</x:f>
        <x:v>0.2562046666666667</x:v>
      </x:c>
      <x:c r="R4960" s="19" t="str">
        <x:v>独立判定</x:v>
      </x:c>
    </x:row>
    <x:row r="4961" ht="19" customHeight="1">
      <x:c r="A4961" s="19" t="str">
        <x:v>D04957</x:v>
      </x:c>
      <x:c r="B4961" s="19" t="n">
        <x:v>10</x:v>
      </x:c>
      <x:c r="C4961" s="19" t="n">
        <x:v>3</x:v>
      </x:c>
      <x:c r="D4961" s="19" t="str">
        <x:v>C10-M035</x:v>
      </x:c>
      <x:c r="E4961" s="19" t="str">
        <x:v>深井百臂掘王</x:v>
      </x:c>
      <x:c r="F4961" s="19" t="str">
        <x:v>地图BOSS</x:v>
      </x:c>
      <x:c r="G4961" s="19" t="str">
        <x:v>材料独立候选</x:v>
      </x:c>
      <x:c r="H4961" s="19" t="str">
        <x:v>巨人熔火卢恩</x:v>
      </x:c>
      <x:c r="I4961" s="22" t="n">
        <x:v>1200</x:v>
      </x:c>
      <x:c r="J4961" s="22" t="n">
        <x:v>1</x:v>
      </x:c>
      <x:c r="K4961" s="19" t="n">
        <x:v>1</x:v>
      </x:c>
      <x:c r="L4961" s="24" t="n">
        <x:v>93.16533333333334</x:v>
      </x:c>
      <x:c r="M4961" s="26" t="n">
        <x:v>0.1</x:v>
      </x:c>
      <x:c r="N4961" s="24" t="n">
        <x:v>2</x:v>
      </x:c>
      <x:c r="O4961" s="28" t="n">
        <x:f>MIN(1,L4961/I4961)</x:f>
        <x:v>0.07763777777777778</x:v>
      </x:c>
      <x:c r="P4961" s="30" t="n">
        <x:f>O4961*J4961*(1+M4961)</x:f>
        <x:v>0.08540155555555556</x:v>
      </x:c>
      <x:c r="Q4961" s="30" t="n">
        <x:f>P4961*N4961</x:f>
        <x:v>0.17080311111111113</x:v>
      </x:c>
      <x:c r="R4961" s="19" t="str">
        <x:v>独立判定</x:v>
      </x:c>
    </x:row>
    <x:row r="4962" ht="19" customHeight="1">
      <x:c r="A4962" s="19" t="str">
        <x:v>D04958</x:v>
      </x:c>
      <x:c r="B4962" s="19" t="n">
        <x:v>10</x:v>
      </x:c>
      <x:c r="C4962" s="19" t="n">
        <x:v>3</x:v>
      </x:c>
      <x:c r="D4962" s="19" t="str">
        <x:v>C10-M035</x:v>
      </x:c>
      <x:c r="E4962" s="19" t="str">
        <x:v>深井百臂掘王</x:v>
      </x:c>
      <x:c r="F4962" s="19" t="str">
        <x:v>地图BOSS</x:v>
      </x:c>
      <x:c r="G4962" s="19" t="str">
        <x:v>材料独立候选</x:v>
      </x:c>
      <x:c r="H4962" s="19" t="str">
        <x:v>黄金律法卢恩</x:v>
      </x:c>
      <x:c r="I4962" s="22" t="n">
        <x:v>400</x:v>
      </x:c>
      <x:c r="J4962" s="22" t="n">
        <x:v>15</x:v>
      </x:c>
      <x:c r="K4962" s="19" t="n">
        <x:v>1</x:v>
      </x:c>
      <x:c r="L4962" s="24" t="n">
        <x:v>93.16533333333334</x:v>
      </x:c>
      <x:c r="M4962" s="26" t="n">
        <x:v>0.1</x:v>
      </x:c>
      <x:c r="N4962" s="24" t="n">
        <x:v>2</x:v>
      </x:c>
      <x:c r="O4962" s="28" t="n">
        <x:f>MIN(1,L4962/I4962)</x:f>
        <x:v>0.23291333333333333</x:v>
      </x:c>
      <x:c r="P4962" s="30" t="n">
        <x:f>O4962*J4962*(1+M4962)</x:f>
        <x:v>3.8430700000000004</x:v>
      </x:c>
      <x:c r="Q4962" s="30" t="n">
        <x:f>P4962*N4962</x:f>
        <x:v>7.686140000000001</x:v>
      </x:c>
      <x:c r="R4962" s="19" t="str">
        <x:v>独立判定</x:v>
      </x:c>
    </x:row>
    <x:row r="4963" ht="19" customHeight="1">
      <x:c r="A4963" s="19" t="str">
        <x:v>D04959</x:v>
      </x:c>
      <x:c r="B4963" s="19" t="n">
        <x:v>10</x:v>
      </x:c>
      <x:c r="C4963" s="19" t="n">
        <x:v>3</x:v>
      </x:c>
      <x:c r="D4963" s="19" t="str">
        <x:v>C10-M035</x:v>
      </x:c>
      <x:c r="E4963" s="19" t="str">
        <x:v>深井百臂掘王</x:v>
      </x:c>
      <x:c r="F4963" s="19" t="str">
        <x:v>地图BOSS</x:v>
      </x:c>
      <x:c r="G4963" s="19" t="str">
        <x:v>六神器公共池</x:v>
      </x:c>
      <x:c r="H4963" s="19" t="str">
        <x:v>POOL006</x:v>
      </x:c>
      <x:c r="I4963" s="22" t="n">
        <x:v>200000</x:v>
      </x:c>
      <x:c r="J4963" s="22" t="n">
        <x:v>1</x:v>
      </x:c>
      <x:c r="K4963" s="19" t="n">
        <x:v>6</x:v>
      </x:c>
      <x:c r="L4963" s="24" t="n">
        <x:v>93.16533333333334</x:v>
      </x:c>
      <x:c r="M4963" s="26" t="n">
        <x:v>0.1</x:v>
      </x:c>
      <x:c r="N4963" s="24" t="n">
        <x:v>2</x:v>
      </x:c>
      <x:c r="O4963" s="28" t="n">
        <x:f>MIN(1,L4963/I4963)</x:f>
        <x:v>0.00046582666666666666</x:v>
      </x:c>
      <x:c r="P4963" s="30" t="n">
        <x:f>O4963*J4963*(1+M4963)</x:f>
        <x:v>0.0005124093333333334</x:v>
      </x:c>
      <x:c r="Q4963" s="30" t="n">
        <x:f>P4963*N4963</x:f>
        <x:v>0.0010248186666666668</x:v>
      </x:c>
      <x:c r="R4963" s="19" t="str">
        <x:v>六选一；非6个独立爆率</x:v>
      </x:c>
    </x:row>
    <x:row r="4964" ht="19" customHeight="1">
      <x:c r="A4964" s="19" t="str">
        <x:v>D04960</x:v>
      </x:c>
      <x:c r="B4964" s="19" t="n">
        <x:v>10</x:v>
      </x:c>
      <x:c r="C4964" s="19" t="n">
        <x:v>3</x:v>
      </x:c>
      <x:c r="D4964" s="19" t="str">
        <x:v>C10-M036</x:v>
      </x:c>
      <x:c r="E4964" s="19" t="str">
        <x:v>地脉熔冠巨像</x:v>
      </x:c>
      <x:c r="F4964" s="19" t="str">
        <x:v>地图BOSS</x:v>
      </x:c>
      <x:c r="G4964" s="19" t="str">
        <x:v>自身专属</x:v>
      </x:c>
      <x:c r="H4964" s="19" t="str">
        <x:v>熔冠镇脉巨锤</x:v>
      </x:c>
      <x:c r="I4964" s="22" t="n">
        <x:v>500</x:v>
      </x:c>
      <x:c r="J4964" s="22" t="n">
        <x:v>1</x:v>
      </x:c>
      <x:c r="K4964" s="19" t="n">
        <x:v>1</x:v>
      </x:c>
      <x:c r="L4964" s="24" t="n">
        <x:v>93.16533333333334</x:v>
      </x:c>
      <x:c r="M4964" s="26" t="n">
        <x:v>0.1</x:v>
      </x:c>
      <x:c r="N4964" s="24" t="n">
        <x:v>2</x:v>
      </x:c>
      <x:c r="O4964" s="28" t="n">
        <x:f>MIN(1,L4964/I4964)</x:f>
        <x:v>0.18633066666666667</x:v>
      </x:c>
      <x:c r="P4964" s="30" t="n">
        <x:f>O4964*J4964*(1+M4964)</x:f>
        <x:v>0.20496373333333334</x:v>
      </x:c>
      <x:c r="Q4964" s="30" t="n">
        <x:f>P4964*N4964</x:f>
        <x:v>0.4099274666666667</x:v>
      </x:c>
      <x:c r="R4964" s="19" t="str">
        <x:v>独立判定</x:v>
      </x:c>
    </x:row>
    <x:row r="4965" ht="19" customHeight="1">
      <x:c r="A4965" s="19" t="str">
        <x:v>D04961</x:v>
      </x:c>
      <x:c r="B4965" s="19" t="n">
        <x:v>10</x:v>
      </x:c>
      <x:c r="C4965" s="19" t="n">
        <x:v>3</x:v>
      </x:c>
      <x:c r="D4965" s="19" t="str">
        <x:v>C10-M036</x:v>
      </x:c>
      <x:c r="E4965" s="19" t="str">
        <x:v>地脉熔冠巨像</x:v>
      </x:c>
      <x:c r="F4965" s="19" t="str">
        <x:v>地图BOSS</x:v>
      </x:c>
      <x:c r="G4965" s="19" t="str">
        <x:v>自身专属</x:v>
      </x:c>
      <x:c r="H4965" s="19" t="str">
        <x:v>王座缄誓镯</x:v>
      </x:c>
      <x:c r="I4965" s="22" t="n">
        <x:v>500</x:v>
      </x:c>
      <x:c r="J4965" s="22" t="n">
        <x:v>1</x:v>
      </x:c>
      <x:c r="K4965" s="19" t="n">
        <x:v>1</x:v>
      </x:c>
      <x:c r="L4965" s="24" t="n">
        <x:v>93.16533333333334</x:v>
      </x:c>
      <x:c r="M4965" s="26" t="n">
        <x:v>0.1</x:v>
      </x:c>
      <x:c r="N4965" s="24" t="n">
        <x:v>2</x:v>
      </x:c>
      <x:c r="O4965" s="28" t="n">
        <x:f>MIN(1,L4965/I4965)</x:f>
        <x:v>0.18633066666666667</x:v>
      </x:c>
      <x:c r="P4965" s="30" t="n">
        <x:f>O4965*J4965*(1+M4965)</x:f>
        <x:v>0.20496373333333334</x:v>
      </x:c>
      <x:c r="Q4965" s="30" t="n">
        <x:f>P4965*N4965</x:f>
        <x:v>0.4099274666666667</x:v>
      </x:c>
      <x:c r="R4965" s="19" t="str">
        <x:v>独立判定</x:v>
      </x:c>
    </x:row>
    <x:row r="4966" ht="19" customHeight="1">
      <x:c r="A4966" s="19" t="str">
        <x:v>D04962</x:v>
      </x:c>
      <x:c r="B4966" s="19" t="n">
        <x:v>10</x:v>
      </x:c>
      <x:c r="C4966" s="19" t="n">
        <x:v>3</x:v>
      </x:c>
      <x:c r="D4966" s="19" t="str">
        <x:v>C10-M036</x:v>
      </x:c>
      <x:c r="E4966" s="19" t="str">
        <x:v>地脉熔冠巨像</x:v>
      </x:c>
      <x:c r="F4966" s="19" t="str">
        <x:v>地图BOSS</x:v>
      </x:c>
      <x:c r="G4966" s="19" t="str">
        <x:v>本图普通兼掉候选</x:v>
      </x:c>
      <x:c r="H4966" s="19" t="str">
        <x:v>POOL083</x:v>
      </x:c>
      <x:c r="I4966" s="22" t="n">
        <x:v>250</x:v>
      </x:c>
      <x:c r="J4966" s="22" t="n">
        <x:v>1</x:v>
      </x:c>
      <x:c r="K4966" s="19" t="n">
        <x:v>1</x:v>
      </x:c>
      <x:c r="L4966" s="24" t="n">
        <x:v>93.16533333333334</x:v>
      </x:c>
      <x:c r="M4966" s="26" t="n">
        <x:v>0.1</x:v>
      </x:c>
      <x:c r="N4966" s="24" t="n">
        <x:v>2</x:v>
      </x:c>
      <x:c r="O4966" s="28" t="n">
        <x:f>MIN(1,L4966/I4966)</x:f>
        <x:v>0.37266133333333334</x:v>
      </x:c>
      <x:c r="P4966" s="30" t="n">
        <x:f>O4966*J4966*(1+M4966)</x:f>
        <x:v>0.4099274666666667</x:v>
      </x:c>
      <x:c r="Q4966" s="30" t="n">
        <x:f>P4966*N4966</x:f>
        <x:v>0.8198549333333334</x:v>
      </x:c>
      <x:c r="R4966" s="19" t="str">
        <x:v>单池选一</x:v>
      </x:c>
    </x:row>
    <x:row r="4967" ht="19" customHeight="1">
      <x:c r="A4967" s="19" t="str">
        <x:v>D04963</x:v>
      </x:c>
      <x:c r="B4967" s="19" t="n">
        <x:v>10</x:v>
      </x:c>
      <x:c r="C4967" s="19" t="n">
        <x:v>3</x:v>
      </x:c>
      <x:c r="D4967" s="19" t="str">
        <x:v>C10-M036</x:v>
      </x:c>
      <x:c r="E4967" s="19" t="str">
        <x:v>地脉熔冠巨像</x:v>
      </x:c>
      <x:c r="F4967" s="19" t="str">
        <x:v>地图BOSS</x:v>
      </x:c>
      <x:c r="G4967" s="19" t="str">
        <x:v>材料独立候选</x:v>
      </x:c>
      <x:c r="H4967" s="19" t="str">
        <x:v>王城金屑</x:v>
      </x:c>
      <x:c r="I4967" s="22" t="n">
        <x:v>600</x:v>
      </x:c>
      <x:c r="J4967" s="22" t="n">
        <x:v>30</x:v>
      </x:c>
      <x:c r="K4967" s="19" t="n">
        <x:v>1</x:v>
      </x:c>
      <x:c r="L4967" s="24" t="n">
        <x:v>93.16533333333334</x:v>
      </x:c>
      <x:c r="M4967" s="26" t="n">
        <x:v>0.1</x:v>
      </x:c>
      <x:c r="N4967" s="24" t="n">
        <x:v>2</x:v>
      </x:c>
      <x:c r="O4967" s="28" t="n">
        <x:f>MIN(1,L4967/I4967)</x:f>
        <x:v>0.15527555555555556</x:v>
      </x:c>
      <x:c r="P4967" s="30" t="n">
        <x:f>O4967*J4967*(1+M4967)</x:f>
        <x:v>5.1240933333333345</x:v>
      </x:c>
      <x:c r="Q4967" s="30" t="n">
        <x:f>P4967*N4967</x:f>
        <x:v>10.248186666666669</x:v>
      </x:c>
      <x:c r="R4967" s="19" t="str">
        <x:v>独立判定</x:v>
      </x:c>
    </x:row>
    <x:row r="4968" ht="19" customHeight="1">
      <x:c r="A4968" s="19" t="str">
        <x:v>D04964</x:v>
      </x:c>
      <x:c r="B4968" s="19" t="n">
        <x:v>10</x:v>
      </x:c>
      <x:c r="C4968" s="19" t="n">
        <x:v>3</x:v>
      </x:c>
      <x:c r="D4968" s="19" t="str">
        <x:v>C10-M036</x:v>
      </x:c>
      <x:c r="E4968" s="19" t="str">
        <x:v>地脉熔冠巨像</x:v>
      </x:c>
      <x:c r="F4968" s="19" t="str">
        <x:v>地图BOSS</x:v>
      </x:c>
      <x:c r="G4968" s="19" t="str">
        <x:v>材料独立候选</x:v>
      </x:c>
      <x:c r="H4968" s="19" t="str">
        <x:v>王宫律文</x:v>
      </x:c>
      <x:c r="I4968" s="22" t="n">
        <x:v>400</x:v>
      </x:c>
      <x:c r="J4968" s="22" t="n">
        <x:v>1</x:v>
      </x:c>
      <x:c r="K4968" s="19" t="n">
        <x:v>1</x:v>
      </x:c>
      <x:c r="L4968" s="24" t="n">
        <x:v>93.16533333333334</x:v>
      </x:c>
      <x:c r="M4968" s="26" t="n">
        <x:v>0.1</x:v>
      </x:c>
      <x:c r="N4968" s="24" t="n">
        <x:v>2</x:v>
      </x:c>
      <x:c r="O4968" s="28" t="n">
        <x:f>MIN(1,L4968/I4968)</x:f>
        <x:v>0.23291333333333333</x:v>
      </x:c>
      <x:c r="P4968" s="30" t="n">
        <x:f>O4968*J4968*(1+M4968)</x:f>
        <x:v>0.2562046666666667</x:v>
      </x:c>
      <x:c r="Q4968" s="30" t="n">
        <x:f>P4968*N4968</x:f>
        <x:v>0.5124093333333334</x:v>
      </x:c>
      <x:c r="R4968" s="19" t="str">
        <x:v>独立判定</x:v>
      </x:c>
    </x:row>
    <x:row r="4969" ht="19" customHeight="1">
      <x:c r="A4969" s="19" t="str">
        <x:v>D04965</x:v>
      </x:c>
      <x:c r="B4969" s="19" t="n">
        <x:v>10</x:v>
      </x:c>
      <x:c r="C4969" s="19" t="n">
        <x:v>3</x:v>
      </x:c>
      <x:c r="D4969" s="19" t="str">
        <x:v>C10-M036</x:v>
      </x:c>
      <x:c r="E4969" s="19" t="str">
        <x:v>地脉熔冠巨像</x:v>
      </x:c>
      <x:c r="F4969" s="19" t="str">
        <x:v>地图BOSS</x:v>
      </x:c>
      <x:c r="G4969" s="19" t="str">
        <x:v>材料独立候选</x:v>
      </x:c>
      <x:c r="H4969" s="19" t="str">
        <x:v>艾尔登王印</x:v>
      </x:c>
      <x:c r="I4969" s="22" t="n">
        <x:v>400</x:v>
      </x:c>
      <x:c r="J4969" s="22" t="n">
        <x:v>10</x:v>
      </x:c>
      <x:c r="K4969" s="19" t="n">
        <x:v>1</x:v>
      </x:c>
      <x:c r="L4969" s="24" t="n">
        <x:v>93.16533333333334</x:v>
      </x:c>
      <x:c r="M4969" s="26" t="n">
        <x:v>0.1</x:v>
      </x:c>
      <x:c r="N4969" s="24" t="n">
        <x:v>2</x:v>
      </x:c>
      <x:c r="O4969" s="28" t="n">
        <x:f>MIN(1,L4969/I4969)</x:f>
        <x:v>0.23291333333333333</x:v>
      </x:c>
      <x:c r="P4969" s="30" t="n">
        <x:f>O4969*J4969*(1+M4969)</x:f>
        <x:v>2.5620466666666672</x:v>
      </x:c>
      <x:c r="Q4969" s="30" t="n">
        <x:f>P4969*N4969</x:f>
        <x:v>5.1240933333333345</x:v>
      </x:c>
      <x:c r="R4969" s="19" t="str">
        <x:v>独立判定</x:v>
      </x:c>
    </x:row>
    <x:row r="4970" ht="19" customHeight="1">
      <x:c r="A4970" s="19" t="str">
        <x:v>D04966</x:v>
      </x:c>
      <x:c r="B4970" s="19" t="n">
        <x:v>10</x:v>
      </x:c>
      <x:c r="C4970" s="19" t="n">
        <x:v>3</x:v>
      </x:c>
      <x:c r="D4970" s="19" t="str">
        <x:v>C10-M036</x:v>
      </x:c>
      <x:c r="E4970" s="19" t="str">
        <x:v>地脉熔冠巨像</x:v>
      </x:c>
      <x:c r="F4970" s="19" t="str">
        <x:v>地图BOSS</x:v>
      </x:c>
      <x:c r="G4970" s="19" t="str">
        <x:v>材料独立候选</x:v>
      </x:c>
      <x:c r="H4970" s="19" t="str">
        <x:v>失温熔炉楔</x:v>
      </x:c>
      <x:c r="I4970" s="22" t="n">
        <x:v>400</x:v>
      </x:c>
      <x:c r="J4970" s="22" t="n">
        <x:v>4</x:v>
      </x:c>
      <x:c r="K4970" s="19" t="n">
        <x:v>1</x:v>
      </x:c>
      <x:c r="L4970" s="24" t="n">
        <x:v>93.16533333333334</x:v>
      </x:c>
      <x:c r="M4970" s="26" t="n">
        <x:v>0.1</x:v>
      </x:c>
      <x:c r="N4970" s="24" t="n">
        <x:v>2</x:v>
      </x:c>
      <x:c r="O4970" s="28" t="n">
        <x:f>MIN(1,L4970/I4970)</x:f>
        <x:v>0.23291333333333333</x:v>
      </x:c>
      <x:c r="P4970" s="30" t="n">
        <x:f>O4970*J4970*(1+M4970)</x:f>
        <x:v>1.0248186666666668</x:v>
      </x:c>
      <x:c r="Q4970" s="30" t="n">
        <x:f>P4970*N4970</x:f>
        <x:v>2.0496373333333335</x:v>
      </x:c>
      <x:c r="R4970" s="19" t="str">
        <x:v>独立判定</x:v>
      </x:c>
    </x:row>
    <x:row r="4971" ht="19" customHeight="1">
      <x:c r="A4971" s="19" t="str">
        <x:v>D04967</x:v>
      </x:c>
      <x:c r="B4971" s="19" t="n">
        <x:v>10</x:v>
      </x:c>
      <x:c r="C4971" s="19" t="n">
        <x:v>3</x:v>
      </x:c>
      <x:c r="D4971" s="19" t="str">
        <x:v>C10-M036</x:v>
      </x:c>
      <x:c r="E4971" s="19" t="str">
        <x:v>地脉熔冠巨像</x:v>
      </x:c>
      <x:c r="F4971" s="19" t="str">
        <x:v>地图BOSS</x:v>
      </x:c>
      <x:c r="G4971" s="19" t="str">
        <x:v>材料独立候选</x:v>
      </x:c>
      <x:c r="H4971" s="19" t="str">
        <x:v>穹律鎏痕拓片</x:v>
      </x:c>
      <x:c r="I4971" s="22" t="n">
        <x:v>1500000</x:v>
      </x:c>
      <x:c r="J4971" s="22" t="n">
        <x:v>1</x:v>
      </x:c>
      <x:c r="K4971" s="19" t="n">
        <x:v>1</x:v>
      </x:c>
      <x:c r="L4971" s="24" t="n">
        <x:v>93.16533333333334</x:v>
      </x:c>
      <x:c r="M4971" s="26" t="n">
        <x:v>0.1</x:v>
      </x:c>
      <x:c r="N4971" s="24" t="n">
        <x:v>2</x:v>
      </x:c>
      <x:c r="O4971" s="28" t="n">
        <x:f>MIN(1,L4971/I4971)</x:f>
        <x:v>0.00006211022222222222</x:v>
      </x:c>
      <x:c r="P4971" s="30" t="n">
        <x:f>O4971*J4971*(1+M4971)</x:f>
        <x:v>0.00006832124444444445</x:v>
      </x:c>
      <x:c r="Q4971" s="30" t="n">
        <x:f>P4971*N4971</x:f>
        <x:v>0.0001366424888888889</x:v>
      </x:c>
      <x:c r="R4971" s="19" t="str">
        <x:v>独立判定</x:v>
      </x:c>
    </x:row>
    <x:row r="4972" ht="19" customHeight="1">
      <x:c r="A4972" s="19" t="str">
        <x:v>D04968</x:v>
      </x:c>
      <x:c r="B4972" s="19" t="n">
        <x:v>10</x:v>
      </x:c>
      <x:c r="C4972" s="19" t="n">
        <x:v>3</x:v>
      </x:c>
      <x:c r="D4972" s="19" t="str">
        <x:v>C10-M036</x:v>
      </x:c>
      <x:c r="E4972" s="19" t="str">
        <x:v>地脉熔冠巨像</x:v>
      </x:c>
      <x:c r="F4972" s="19" t="str">
        <x:v>地图BOSS</x:v>
      </x:c>
      <x:c r="G4972" s="19" t="str">
        <x:v>材料独立候选</x:v>
      </x:c>
      <x:c r="H4972" s="19" t="str">
        <x:v>黄金树芽</x:v>
      </x:c>
      <x:c r="I4972" s="22" t="n">
        <x:v>1500</x:v>
      </x:c>
      <x:c r="J4972" s="22" t="n">
        <x:v>1</x:v>
      </x:c>
      <x:c r="K4972" s="19" t="n">
        <x:v>1</x:v>
      </x:c>
      <x:c r="L4972" s="24" t="n">
        <x:v>93.16533333333334</x:v>
      </x:c>
      <x:c r="M4972" s="26" t="n">
        <x:v>0.1</x:v>
      </x:c>
      <x:c r="N4972" s="24" t="n">
        <x:v>2</x:v>
      </x:c>
      <x:c r="O4972" s="28" t="n">
        <x:f>MIN(1,L4972/I4972)</x:f>
        <x:v>0.062110222222222226</x:v>
      </x:c>
      <x:c r="P4972" s="30" t="n">
        <x:f>O4972*J4972*(1+M4972)</x:f>
        <x:v>0.06832124444444446</x:v>
      </x:c>
      <x:c r="Q4972" s="30" t="n">
        <x:f>P4972*N4972</x:f>
        <x:v>0.1366424888888889</x:v>
      </x:c>
      <x:c r="R4972" s="19" t="str">
        <x:v>独立判定</x:v>
      </x:c>
    </x:row>
    <x:row r="4973" ht="19" customHeight="1">
      <x:c r="A4973" s="19" t="str">
        <x:v>D04969</x:v>
      </x:c>
      <x:c r="B4973" s="19" t="n">
        <x:v>10</x:v>
      </x:c>
      <x:c r="C4973" s="19" t="n">
        <x:v>3</x:v>
      </x:c>
      <x:c r="D4973" s="19" t="str">
        <x:v>C10-M036</x:v>
      </x:c>
      <x:c r="E4973" s="19" t="str">
        <x:v>地脉熔冠巨像</x:v>
      </x:c>
      <x:c r="F4973" s="19" t="str">
        <x:v>地图BOSS</x:v>
      </x:c>
      <x:c r="G4973" s="19" t="str">
        <x:v>材料独立候选</x:v>
      </x:c>
      <x:c r="H4973" s="19" t="str">
        <x:v>野兽骨片</x:v>
      </x:c>
      <x:c r="I4973" s="22" t="n">
        <x:v>180</x:v>
      </x:c>
      <x:c r="J4973" s="22" t="n">
        <x:v>4</x:v>
      </x:c>
      <x:c r="K4973" s="19" t="n">
        <x:v>1</x:v>
      </x:c>
      <x:c r="L4973" s="24" t="n">
        <x:v>93.16533333333334</x:v>
      </x:c>
      <x:c r="M4973" s="26" t="n">
        <x:v>0.1</x:v>
      </x:c>
      <x:c r="N4973" s="24" t="n">
        <x:v>2</x:v>
      </x:c>
      <x:c r="O4973" s="28" t="n">
        <x:f>MIN(1,L4973/I4973)</x:f>
        <x:v>0.5175851851851851</x:v>
      </x:c>
      <x:c r="P4973" s="30" t="n">
        <x:f>O4973*J4973*(1+M4973)</x:f>
        <x:v>2.2773748148148147</x:v>
      </x:c>
      <x:c r="Q4973" s="30" t="n">
        <x:f>P4973*N4973</x:f>
        <x:v>4.5547496296296295</x:v>
      </x:c>
      <x:c r="R4973" s="19" t="str">
        <x:v>独立判定</x:v>
      </x:c>
    </x:row>
    <x:row r="4974" ht="19" customHeight="1">
      <x:c r="A4974" s="19" t="str">
        <x:v>D04970</x:v>
      </x:c>
      <x:c r="B4974" s="19" t="n">
        <x:v>10</x:v>
      </x:c>
      <x:c r="C4974" s="19" t="n">
        <x:v>3</x:v>
      </x:c>
      <x:c r="D4974" s="19" t="str">
        <x:v>C10-M036</x:v>
      </x:c>
      <x:c r="E4974" s="19" t="str">
        <x:v>地脉熔冠巨像</x:v>
      </x:c>
      <x:c r="F4974" s="19" t="str">
        <x:v>地图BOSS</x:v>
      </x:c>
      <x:c r="G4974" s="19" t="str">
        <x:v>材料独立候选</x:v>
      </x:c>
      <x:c r="H4974" s="19" t="str">
        <x:v>技能残页</x:v>
      </x:c>
      <x:c r="I4974" s="22" t="n">
        <x:v>1500</x:v>
      </x:c>
      <x:c r="J4974" s="22" t="n">
        <x:v>1</x:v>
      </x:c>
      <x:c r="K4974" s="19" t="n">
        <x:v>1</x:v>
      </x:c>
      <x:c r="L4974" s="24" t="n">
        <x:v>93.16533333333334</x:v>
      </x:c>
      <x:c r="M4974" s="26" t="n">
        <x:v>0.1</x:v>
      </x:c>
      <x:c r="N4974" s="24" t="n">
        <x:v>2</x:v>
      </x:c>
      <x:c r="O4974" s="28" t="n">
        <x:f>MIN(1,L4974/I4974)</x:f>
        <x:v>0.062110222222222226</x:v>
      </x:c>
      <x:c r="P4974" s="30" t="n">
        <x:f>O4974*J4974*(1+M4974)</x:f>
        <x:v>0.06832124444444446</x:v>
      </x:c>
      <x:c r="Q4974" s="30" t="n">
        <x:f>P4974*N4974</x:f>
        <x:v>0.1366424888888889</x:v>
      </x:c>
      <x:c r="R4974" s="19" t="str">
        <x:v>独立判定</x:v>
      </x:c>
    </x:row>
    <x:row r="4975" ht="19" customHeight="1">
      <x:c r="A4975" s="19" t="str">
        <x:v>D04971</x:v>
      </x:c>
      <x:c r="B4975" s="19" t="n">
        <x:v>10</x:v>
      </x:c>
      <x:c r="C4975" s="19" t="n">
        <x:v>3</x:v>
      </x:c>
      <x:c r="D4975" s="19" t="str">
        <x:v>C10-M036</x:v>
      </x:c>
      <x:c r="E4975" s="19" t="str">
        <x:v>地脉熔冠巨像</x:v>
      </x:c>
      <x:c r="F4975" s="19" t="str">
        <x:v>地图BOSS</x:v>
      </x:c>
      <x:c r="G4975" s="19" t="str">
        <x:v>材料独立候选</x:v>
      </x:c>
      <x:c r="H4975" s="19" t="str">
        <x:v>宁姆格福誓页</x:v>
      </x:c>
      <x:c r="I4975" s="22" t="n">
        <x:v>1200</x:v>
      </x:c>
      <x:c r="J4975" s="22" t="n">
        <x:v>1</x:v>
      </x:c>
      <x:c r="K4975" s="19" t="n">
        <x:v>1</x:v>
      </x:c>
      <x:c r="L4975" s="24" t="n">
        <x:v>93.16533333333334</x:v>
      </x:c>
      <x:c r="M4975" s="26" t="n">
        <x:v>0.1</x:v>
      </x:c>
      <x:c r="N4975" s="24" t="n">
        <x:v>2</x:v>
      </x:c>
      <x:c r="O4975" s="28" t="n">
        <x:f>MIN(1,L4975/I4975)</x:f>
        <x:v>0.07763777777777778</x:v>
      </x:c>
      <x:c r="P4975" s="30" t="n">
        <x:f>O4975*J4975*(1+M4975)</x:f>
        <x:v>0.08540155555555556</x:v>
      </x:c>
      <x:c r="Q4975" s="30" t="n">
        <x:f>P4975*N4975</x:f>
        <x:v>0.17080311111111113</x:v>
      </x:c>
      <x:c r="R4975" s="19" t="str">
        <x:v>独立判定</x:v>
      </x:c>
    </x:row>
    <x:row r="4976" ht="19" customHeight="1">
      <x:c r="A4976" s="19" t="str">
        <x:v>D04972</x:v>
      </x:c>
      <x:c r="B4976" s="19" t="n">
        <x:v>10</x:v>
      </x:c>
      <x:c r="C4976" s="19" t="n">
        <x:v>3</x:v>
      </x:c>
      <x:c r="D4976" s="19" t="str">
        <x:v>C10-M036</x:v>
      </x:c>
      <x:c r="E4976" s="19" t="str">
        <x:v>地脉熔冠巨像</x:v>
      </x:c>
      <x:c r="F4976" s="19" t="str">
        <x:v>地图BOSS</x:v>
      </x:c>
      <x:c r="G4976" s="19" t="str">
        <x:v>材料独立候选</x:v>
      </x:c>
      <x:c r="H4976" s="19" t="str">
        <x:v>小卢恩</x:v>
      </x:c>
      <x:c r="I4976" s="22" t="n">
        <x:v>8000</x:v>
      </x:c>
      <x:c r="J4976" s="22" t="n">
        <x:v>1</x:v>
      </x:c>
      <x:c r="K4976" s="19" t="n">
        <x:v>1</x:v>
      </x:c>
      <x:c r="L4976" s="24" t="n">
        <x:v>93.16533333333334</x:v>
      </x:c>
      <x:c r="M4976" s="26" t="n">
        <x:v>0.1</x:v>
      </x:c>
      <x:c r="N4976" s="24" t="n">
        <x:v>2</x:v>
      </x:c>
      <x:c r="O4976" s="28" t="n">
        <x:f>MIN(1,L4976/I4976)</x:f>
        <x:v>0.011645666666666667</x:v>
      </x:c>
      <x:c r="P4976" s="30" t="n">
        <x:f>O4976*J4976*(1+M4976)</x:f>
        <x:v>0.012810233333333334</x:v>
      </x:c>
      <x:c r="Q4976" s="30" t="n">
        <x:f>P4976*N4976</x:f>
        <x:v>0.025620466666666668</x:v>
      </x:c>
      <x:c r="R4976" s="19" t="str">
        <x:v>独立判定</x:v>
      </x:c>
    </x:row>
    <x:row r="4977" ht="19" customHeight="1">
      <x:c r="A4977" s="19" t="str">
        <x:v>D04973</x:v>
      </x:c>
      <x:c r="B4977" s="19" t="n">
        <x:v>10</x:v>
      </x:c>
      <x:c r="C4977" s="19" t="n">
        <x:v>3</x:v>
      </x:c>
      <x:c r="D4977" s="19" t="str">
        <x:v>C10-M036</x:v>
      </x:c>
      <x:c r="E4977" s="19" t="str">
        <x:v>地脉熔冠巨像</x:v>
      </x:c>
      <x:c r="F4977" s="19" t="str">
        <x:v>地图BOSS</x:v>
      </x:c>
      <x:c r="G4977" s="19" t="str">
        <x:v>材料独立候选</x:v>
      </x:c>
      <x:c r="H4977" s="19" t="str">
        <x:v>大卢恩</x:v>
      </x:c>
      <x:c r="I4977" s="22" t="n">
        <x:v>800</x:v>
      </x:c>
      <x:c r="J4977" s="22" t="n">
        <x:v>1</x:v>
      </x:c>
      <x:c r="K4977" s="19" t="n">
        <x:v>1</x:v>
      </x:c>
      <x:c r="L4977" s="24" t="n">
        <x:v>93.16533333333334</x:v>
      </x:c>
      <x:c r="M4977" s="26" t="n">
        <x:v>0.1</x:v>
      </x:c>
      <x:c r="N4977" s="24" t="n">
        <x:v>2</x:v>
      </x:c>
      <x:c r="O4977" s="28" t="n">
        <x:f>MIN(1,L4977/I4977)</x:f>
        <x:v>0.11645666666666667</x:v>
      </x:c>
      <x:c r="P4977" s="30" t="n">
        <x:f>O4977*J4977*(1+M4977)</x:f>
        <x:v>0.12810233333333335</x:v>
      </x:c>
      <x:c r="Q4977" s="30" t="n">
        <x:f>P4977*N4977</x:f>
        <x:v>0.2562046666666667</x:v>
      </x:c>
      <x:c r="R4977" s="19" t="str">
        <x:v>独立判定</x:v>
      </x:c>
    </x:row>
    <x:row r="4978" ht="19" customHeight="1">
      <x:c r="A4978" s="19" t="str">
        <x:v>D04974</x:v>
      </x:c>
      <x:c r="B4978" s="19" t="n">
        <x:v>10</x:v>
      </x:c>
      <x:c r="C4978" s="19" t="n">
        <x:v>3</x:v>
      </x:c>
      <x:c r="D4978" s="19" t="str">
        <x:v>C10-M036</x:v>
      </x:c>
      <x:c r="E4978" s="19" t="str">
        <x:v>地脉熔冠巨像</x:v>
      </x:c>
      <x:c r="F4978" s="19" t="str">
        <x:v>地图BOSS</x:v>
      </x:c>
      <x:c r="G4978" s="19" t="str">
        <x:v>材料独立候选</x:v>
      </x:c>
      <x:c r="H4978" s="19" t="str">
        <x:v>巨人熔火卢恩</x:v>
      </x:c>
      <x:c r="I4978" s="22" t="n">
        <x:v>1200</x:v>
      </x:c>
      <x:c r="J4978" s="22" t="n">
        <x:v>1</x:v>
      </x:c>
      <x:c r="K4978" s="19" t="n">
        <x:v>1</x:v>
      </x:c>
      <x:c r="L4978" s="24" t="n">
        <x:v>93.16533333333334</x:v>
      </x:c>
      <x:c r="M4978" s="26" t="n">
        <x:v>0.1</x:v>
      </x:c>
      <x:c r="N4978" s="24" t="n">
        <x:v>2</x:v>
      </x:c>
      <x:c r="O4978" s="28" t="n">
        <x:f>MIN(1,L4978/I4978)</x:f>
        <x:v>0.07763777777777778</x:v>
      </x:c>
      <x:c r="P4978" s="30" t="n">
        <x:f>O4978*J4978*(1+M4978)</x:f>
        <x:v>0.08540155555555556</x:v>
      </x:c>
      <x:c r="Q4978" s="30" t="n">
        <x:f>P4978*N4978</x:f>
        <x:v>0.17080311111111113</x:v>
      </x:c>
      <x:c r="R4978" s="19" t="str">
        <x:v>独立判定</x:v>
      </x:c>
    </x:row>
    <x:row r="4979" ht="19" customHeight="1">
      <x:c r="A4979" s="19" t="str">
        <x:v>D04975</x:v>
      </x:c>
      <x:c r="B4979" s="19" t="n">
        <x:v>10</x:v>
      </x:c>
      <x:c r="C4979" s="19" t="n">
        <x:v>3</x:v>
      </x:c>
      <x:c r="D4979" s="19" t="str">
        <x:v>C10-M036</x:v>
      </x:c>
      <x:c r="E4979" s="19" t="str">
        <x:v>地脉熔冠巨像</x:v>
      </x:c>
      <x:c r="F4979" s="19" t="str">
        <x:v>地图BOSS</x:v>
      </x:c>
      <x:c r="G4979" s="19" t="str">
        <x:v>材料独立候选</x:v>
      </x:c>
      <x:c r="H4979" s="19" t="str">
        <x:v>黄金律法卢恩</x:v>
      </x:c>
      <x:c r="I4979" s="22" t="n">
        <x:v>400</x:v>
      </x:c>
      <x:c r="J4979" s="22" t="n">
        <x:v>15</x:v>
      </x:c>
      <x:c r="K4979" s="19" t="n">
        <x:v>1</x:v>
      </x:c>
      <x:c r="L4979" s="24" t="n">
        <x:v>93.16533333333334</x:v>
      </x:c>
      <x:c r="M4979" s="26" t="n">
        <x:v>0.1</x:v>
      </x:c>
      <x:c r="N4979" s="24" t="n">
        <x:v>2</x:v>
      </x:c>
      <x:c r="O4979" s="28" t="n">
        <x:f>MIN(1,L4979/I4979)</x:f>
        <x:v>0.23291333333333333</x:v>
      </x:c>
      <x:c r="P4979" s="30" t="n">
        <x:f>O4979*J4979*(1+M4979)</x:f>
        <x:v>3.8430700000000004</x:v>
      </x:c>
      <x:c r="Q4979" s="30" t="n">
        <x:f>P4979*N4979</x:f>
        <x:v>7.686140000000001</x:v>
      </x:c>
      <x:c r="R4979" s="19" t="str">
        <x:v>独立判定</x:v>
      </x:c>
    </x:row>
    <x:row r="4980" ht="19" customHeight="1">
      <x:c r="A4980" s="19" t="str">
        <x:v>D04976</x:v>
      </x:c>
      <x:c r="B4980" s="19" t="n">
        <x:v>10</x:v>
      </x:c>
      <x:c r="C4980" s="19" t="n">
        <x:v>3</x:v>
      </x:c>
      <x:c r="D4980" s="19" t="str">
        <x:v>C10-M036</x:v>
      </x:c>
      <x:c r="E4980" s="19" t="str">
        <x:v>地脉熔冠巨像</x:v>
      </x:c>
      <x:c r="F4980" s="19" t="str">
        <x:v>地图BOSS</x:v>
      </x:c>
      <x:c r="G4980" s="19" t="str">
        <x:v>六神器公共池</x:v>
      </x:c>
      <x:c r="H4980" s="19" t="str">
        <x:v>POOL006</x:v>
      </x:c>
      <x:c r="I4980" s="22" t="n">
        <x:v>200000</x:v>
      </x:c>
      <x:c r="J4980" s="22" t="n">
        <x:v>1</x:v>
      </x:c>
      <x:c r="K4980" s="19" t="n">
        <x:v>6</x:v>
      </x:c>
      <x:c r="L4980" s="24" t="n">
        <x:v>93.16533333333334</x:v>
      </x:c>
      <x:c r="M4980" s="26" t="n">
        <x:v>0.1</x:v>
      </x:c>
      <x:c r="N4980" s="24" t="n">
        <x:v>2</x:v>
      </x:c>
      <x:c r="O4980" s="28" t="n">
        <x:f>MIN(1,L4980/I4980)</x:f>
        <x:v>0.00046582666666666666</x:v>
      </x:c>
      <x:c r="P4980" s="30" t="n">
        <x:f>O4980*J4980*(1+M4980)</x:f>
        <x:v>0.0005124093333333334</x:v>
      </x:c>
      <x:c r="Q4980" s="30" t="n">
        <x:f>P4980*N4980</x:f>
        <x:v>0.0010248186666666668</x:v>
      </x:c>
      <x:c r="R4980" s="19" t="str">
        <x:v>六选一；非6个独立爆率</x:v>
      </x:c>
    </x:row>
    <x:row r="4981" ht="19" customHeight="1">
      <x:c r="A4981" s="19" t="str">
        <x:v>D04977</x:v>
      </x:c>
      <x:c r="B4981" s="19" t="n">
        <x:v>10</x:v>
      </x:c>
      <x:c r="C4981" s="19" t="n">
        <x:v>4</x:v>
      </x:c>
      <x:c r="D4981" s="19" t="str">
        <x:v>C10-M037</x:v>
      </x:c>
      <x:c r="E4981" s="19" t="str">
        <x:v>石棺刮蜡侍</x:v>
      </x:c>
      <x:c r="F4981" s="19" t="str">
        <x:v>普通</x:v>
      </x:c>
      <x:c r="G4981" s="19" t="str">
        <x:v>自身专属</x:v>
      </x:c>
      <x:c r="H4981" s="19" t="str">
        <x:v>刮蜡墓烛匕</x:v>
      </x:c>
      <x:c r="I4981" s="22" t="n">
        <x:v>12000</x:v>
      </x:c>
      <x:c r="J4981" s="22" t="n">
        <x:v>1</x:v>
      </x:c>
      <x:c r="K4981" s="19" t="n">
        <x:v>1</x:v>
      </x:c>
      <x:c r="L4981" s="24" t="n">
        <x:v>105.896</x:v>
      </x:c>
      <x:c r="M4981" s="26" t="n">
        <x:v>0.1</x:v>
      </x:c>
      <x:c r="N4981" s="24" t="n">
        <x:v>72</x:v>
      </x:c>
      <x:c r="O4981" s="28" t="n">
        <x:f>MIN(1,L4981/I4981)</x:f>
        <x:v>0.008824666666666666</x:v>
      </x:c>
      <x:c r="P4981" s="30" t="n">
        <x:f>O4981*J4981*(1+M4981)</x:f>
        <x:v>0.009707133333333335</x:v>
      </x:c>
      <x:c r="Q4981" s="30" t="n">
        <x:f>P4981*N4981</x:f>
        <x:v>0.6989136000000001</x:v>
      </x:c>
      <x:c r="R4981" s="19" t="str">
        <x:v>独立判定</x:v>
      </x:c>
    </x:row>
    <x:row r="4982" ht="19" customHeight="1">
      <x:c r="A4982" s="19" t="str">
        <x:v>D04978</x:v>
      </x:c>
      <x:c r="B4982" s="19" t="n">
        <x:v>10</x:v>
      </x:c>
      <x:c r="C4982" s="19" t="n">
        <x:v>4</x:v>
      </x:c>
      <x:c r="D4982" s="19" t="str">
        <x:v>C10-M037</x:v>
      </x:c>
      <x:c r="E4982" s="19" t="str">
        <x:v>石棺刮蜡侍</x:v>
      </x:c>
      <x:c r="F4982" s="19" t="str">
        <x:v>普通</x:v>
      </x:c>
      <x:c r="G4982" s="19" t="str">
        <x:v>材料独立候选</x:v>
      </x:c>
      <x:c r="H4982" s="19" t="str">
        <x:v>王城金屑</x:v>
      </x:c>
      <x:c r="I4982" s="22" t="n">
        <x:v>2000</x:v>
      </x:c>
      <x:c r="J4982" s="22" t="n">
        <x:v>8</x:v>
      </x:c>
      <x:c r="K4982" s="19" t="n">
        <x:v>1</x:v>
      </x:c>
      <x:c r="L4982" s="24" t="n">
        <x:v>105.896</x:v>
      </x:c>
      <x:c r="M4982" s="26" t="n">
        <x:v>0.1</x:v>
      </x:c>
      <x:c r="N4982" s="24" t="n">
        <x:v>72</x:v>
      </x:c>
      <x:c r="O4982" s="28" t="n">
        <x:f>MIN(1,L4982/I4982)</x:f>
        <x:v>0.052948</x:v>
      </x:c>
      <x:c r="P4982" s="30" t="n">
        <x:f>O4982*J4982*(1+M4982)</x:f>
        <x:v>0.46594240000000003</x:v>
      </x:c>
      <x:c r="Q4982" s="30" t="n">
        <x:f>P4982*N4982</x:f>
        <x:v>33.5478528</x:v>
      </x:c>
      <x:c r="R4982" s="19" t="str">
        <x:v>独立判定</x:v>
      </x:c>
    </x:row>
    <x:row r="4983" ht="19" customHeight="1">
      <x:c r="A4983" s="19" t="str">
        <x:v>D04979</x:v>
      </x:c>
      <x:c r="B4983" s="19" t="n">
        <x:v>10</x:v>
      </x:c>
      <x:c r="C4983" s="19" t="n">
        <x:v>4</x:v>
      </x:c>
      <x:c r="D4983" s="19" t="str">
        <x:v>C10-M037</x:v>
      </x:c>
      <x:c r="E4983" s="19" t="str">
        <x:v>石棺刮蜡侍</x:v>
      </x:c>
      <x:c r="F4983" s="19" t="str">
        <x:v>普通</x:v>
      </x:c>
      <x:c r="G4983" s="19" t="str">
        <x:v>材料独立候选</x:v>
      </x:c>
      <x:c r="H4983" s="19" t="str">
        <x:v>无名墓钉</x:v>
      </x:c>
      <x:c r="I4983" s="22" t="n">
        <x:v>3000</x:v>
      </x:c>
      <x:c r="J4983" s="22" t="n">
        <x:v>1</x:v>
      </x:c>
      <x:c r="K4983" s="19" t="n">
        <x:v>1</x:v>
      </x:c>
      <x:c r="L4983" s="24" t="n">
        <x:v>105.896</x:v>
      </x:c>
      <x:c r="M4983" s="26" t="n">
        <x:v>0.1</x:v>
      </x:c>
      <x:c r="N4983" s="24" t="n">
        <x:v>72</x:v>
      </x:c>
      <x:c r="O4983" s="28" t="n">
        <x:f>MIN(1,L4983/I4983)</x:f>
        <x:v>0.035298666666666666</x:v>
      </x:c>
      <x:c r="P4983" s="30" t="n">
        <x:f>O4983*J4983*(1+M4983)</x:f>
        <x:v>0.03882853333333334</x:v>
      </x:c>
      <x:c r="Q4983" s="30" t="n">
        <x:f>P4983*N4983</x:f>
        <x:v>2.7956544000000005</x:v>
      </x:c>
      <x:c r="R4983" s="19" t="str">
        <x:v>独立判定</x:v>
      </x:c>
    </x:row>
    <x:row r="4984" ht="19" customHeight="1">
      <x:c r="A4984" s="19" t="str">
        <x:v>D04980</x:v>
      </x:c>
      <x:c r="B4984" s="19" t="n">
        <x:v>10</x:v>
      </x:c>
      <x:c r="C4984" s="19" t="n">
        <x:v>4</x:v>
      </x:c>
      <x:c r="D4984" s="19" t="str">
        <x:v>C10-M037</x:v>
      </x:c>
      <x:c r="E4984" s="19" t="str">
        <x:v>石棺刮蜡侍</x:v>
      </x:c>
      <x:c r="F4984" s="19" t="str">
        <x:v>普通</x:v>
      </x:c>
      <x:c r="G4984" s="19" t="str">
        <x:v>材料独立候选</x:v>
      </x:c>
      <x:c r="H4984" s="19" t="str">
        <x:v>穹律鎏痕拓片</x:v>
      </x:c>
      <x:c r="I4984" s="22" t="n">
        <x:v>5000000</x:v>
      </x:c>
      <x:c r="J4984" s="22" t="n">
        <x:v>1</x:v>
      </x:c>
      <x:c r="K4984" s="19" t="n">
        <x:v>1</x:v>
      </x:c>
      <x:c r="L4984" s="24" t="n">
        <x:v>105.896</x:v>
      </x:c>
      <x:c r="M4984" s="26" t="n">
        <x:v>0.1</x:v>
      </x:c>
      <x:c r="N4984" s="24" t="n">
        <x:v>72</x:v>
      </x:c>
      <x:c r="O4984" s="28" t="n">
        <x:f>MIN(1,L4984/I4984)</x:f>
        <x:v>0.0000211792</x:v>
      </x:c>
      <x:c r="P4984" s="30" t="n">
        <x:f>O4984*J4984*(1+M4984)</x:f>
        <x:v>0.00002329712</x:v>
      </x:c>
      <x:c r="Q4984" s="30" t="n">
        <x:f>P4984*N4984</x:f>
        <x:v>0.0016773926399999998</x:v>
      </x:c>
      <x:c r="R4984" s="19" t="str">
        <x:v>独立判定</x:v>
      </x:c>
    </x:row>
    <x:row r="4985" ht="19" customHeight="1">
      <x:c r="A4985" s="19" t="str">
        <x:v>D04981</x:v>
      </x:c>
      <x:c r="B4985" s="19" t="n">
        <x:v>10</x:v>
      </x:c>
      <x:c r="C4985" s="19" t="n">
        <x:v>4</x:v>
      </x:c>
      <x:c r="D4985" s="19" t="str">
        <x:v>C10-M037</x:v>
      </x:c>
      <x:c r="E4985" s="19" t="str">
        <x:v>石棺刮蜡侍</x:v>
      </x:c>
      <x:c r="F4985" s="19" t="str">
        <x:v>普通</x:v>
      </x:c>
      <x:c r="G4985" s="19" t="str">
        <x:v>材料独立候选</x:v>
      </x:c>
      <x:c r="H4985" s="19" t="str">
        <x:v>野兽骨片</x:v>
      </x:c>
      <x:c r="I4985" s="22" t="n">
        <x:v>600</x:v>
      </x:c>
      <x:c r="J4985" s="22" t="n">
        <x:v>4</x:v>
      </x:c>
      <x:c r="K4985" s="19" t="n">
        <x:v>1</x:v>
      </x:c>
      <x:c r="L4985" s="24" t="n">
        <x:v>105.896</x:v>
      </x:c>
      <x:c r="M4985" s="26" t="n">
        <x:v>0.1</x:v>
      </x:c>
      <x:c r="N4985" s="24" t="n">
        <x:v>72</x:v>
      </x:c>
      <x:c r="O4985" s="28" t="n">
        <x:f>MIN(1,L4985/I4985)</x:f>
        <x:v>0.17649333333333334</x:v>
      </x:c>
      <x:c r="P4985" s="30" t="n">
        <x:f>O4985*J4985*(1+M4985)</x:f>
        <x:v>0.7765706666666667</x:v>
      </x:c>
      <x:c r="Q4985" s="30" t="n">
        <x:f>P4985*N4985</x:f>
        <x:v>55.913088</x:v>
      </x:c>
      <x:c r="R4985" s="19" t="str">
        <x:v>独立判定</x:v>
      </x:c>
    </x:row>
    <x:row r="4986" ht="19" customHeight="1">
      <x:c r="A4986" s="19" t="str">
        <x:v>D04982</x:v>
      </x:c>
      <x:c r="B4986" s="19" t="n">
        <x:v>10</x:v>
      </x:c>
      <x:c r="C4986" s="19" t="n">
        <x:v>4</x:v>
      </x:c>
      <x:c r="D4986" s="19" t="str">
        <x:v>C10-M037</x:v>
      </x:c>
      <x:c r="E4986" s="19" t="str">
        <x:v>石棺刮蜡侍</x:v>
      </x:c>
      <x:c r="F4986" s="19" t="str">
        <x:v>普通</x:v>
      </x:c>
      <x:c r="G4986" s="19" t="str">
        <x:v>材料独立候选</x:v>
      </x:c>
      <x:c r="H4986" s="19" t="str">
        <x:v>技能残页</x:v>
      </x:c>
      <x:c r="I4986" s="22" t="n">
        <x:v>5000</x:v>
      </x:c>
      <x:c r="J4986" s="22" t="n">
        <x:v>1</x:v>
      </x:c>
      <x:c r="K4986" s="19" t="n">
        <x:v>1</x:v>
      </x:c>
      <x:c r="L4986" s="24" t="n">
        <x:v>105.896</x:v>
      </x:c>
      <x:c r="M4986" s="26" t="n">
        <x:v>0.1</x:v>
      </x:c>
      <x:c r="N4986" s="24" t="n">
        <x:v>72</x:v>
      </x:c>
      <x:c r="O4986" s="28" t="n">
        <x:f>MIN(1,L4986/I4986)</x:f>
        <x:v>0.0211792</x:v>
      </x:c>
      <x:c r="P4986" s="30" t="n">
        <x:f>O4986*J4986*(1+M4986)</x:f>
        <x:v>0.02329712</x:v>
      </x:c>
      <x:c r="Q4986" s="30" t="n">
        <x:f>P4986*N4986</x:f>
        <x:v>1.67739264</x:v>
      </x:c>
      <x:c r="R4986" s="19" t="str">
        <x:v>独立判定</x:v>
      </x:c>
    </x:row>
    <x:row r="4987" ht="19" customHeight="1">
      <x:c r="A4987" s="19" t="str">
        <x:v>D04983</x:v>
      </x:c>
      <x:c r="B4987" s="19" t="n">
        <x:v>10</x:v>
      </x:c>
      <x:c r="C4987" s="19" t="n">
        <x:v>4</x:v>
      </x:c>
      <x:c r="D4987" s="19" t="str">
        <x:v>C10-M037</x:v>
      </x:c>
      <x:c r="E4987" s="19" t="str">
        <x:v>石棺刮蜡侍</x:v>
      </x:c>
      <x:c r="F4987" s="19" t="str">
        <x:v>普通</x:v>
      </x:c>
      <x:c r="G4987" s="19" t="str">
        <x:v>材料独立候选</x:v>
      </x:c>
      <x:c r="H4987" s="19" t="str">
        <x:v>小卢恩</x:v>
      </x:c>
      <x:c r="I4987" s="22" t="n">
        <x:v>30000</x:v>
      </x:c>
      <x:c r="J4987" s="22" t="n">
        <x:v>1</x:v>
      </x:c>
      <x:c r="K4987" s="19" t="n">
        <x:v>1</x:v>
      </x:c>
      <x:c r="L4987" s="24" t="n">
        <x:v>105.896</x:v>
      </x:c>
      <x:c r="M4987" s="26" t="n">
        <x:v>0.1</x:v>
      </x:c>
      <x:c r="N4987" s="24" t="n">
        <x:v>72</x:v>
      </x:c>
      <x:c r="O4987" s="28" t="n">
        <x:f>MIN(1,L4987/I4987)</x:f>
        <x:v>0.0035298666666666667</x:v>
      </x:c>
      <x:c r="P4987" s="30" t="n">
        <x:f>O4987*J4987*(1+M4987)</x:f>
        <x:v>0.003882853333333334</x:v>
      </x:c>
      <x:c r="Q4987" s="30" t="n">
        <x:f>P4987*N4987</x:f>
        <x:v>0.27956544000000005</x:v>
      </x:c>
      <x:c r="R4987" s="19" t="str">
        <x:v>独立判定</x:v>
      </x:c>
    </x:row>
    <x:row r="4988" ht="19" customHeight="1">
      <x:c r="A4988" s="19" t="str">
        <x:v>D04984</x:v>
      </x:c>
      <x:c r="B4988" s="19" t="n">
        <x:v>10</x:v>
      </x:c>
      <x:c r="C4988" s="19" t="n">
        <x:v>4</x:v>
      </x:c>
      <x:c r="D4988" s="19" t="str">
        <x:v>C10-M037</x:v>
      </x:c>
      <x:c r="E4988" s="19" t="str">
        <x:v>石棺刮蜡侍</x:v>
      </x:c>
      <x:c r="F4988" s="19" t="str">
        <x:v>普通</x:v>
      </x:c>
      <x:c r="G4988" s="19" t="str">
        <x:v>六神器公共池</x:v>
      </x:c>
      <x:c r="H4988" s="19" t="str">
        <x:v>POOL006</x:v>
      </x:c>
      <x:c r="I4988" s="22" t="n">
        <x:v>20000000</x:v>
      </x:c>
      <x:c r="J4988" s="22" t="n">
        <x:v>1</x:v>
      </x:c>
      <x:c r="K4988" s="19" t="n">
        <x:v>6</x:v>
      </x:c>
      <x:c r="L4988" s="24" t="n">
        <x:v>105.896</x:v>
      </x:c>
      <x:c r="M4988" s="26" t="n">
        <x:v>0.1</x:v>
      </x:c>
      <x:c r="N4988" s="24" t="n">
        <x:v>72</x:v>
      </x:c>
      <x:c r="O4988" s="28" t="n">
        <x:f>MIN(1,L4988/I4988)</x:f>
        <x:v>0.0000052948</x:v>
      </x:c>
      <x:c r="P4988" s="30" t="n">
        <x:f>O4988*J4988*(1+M4988)</x:f>
        <x:v>0.00000582428</x:v>
      </x:c>
      <x:c r="Q4988" s="30" t="n">
        <x:f>P4988*N4988</x:f>
        <x:v>0.00041934815999999995</x:v>
      </x:c>
      <x:c r="R4988" s="19" t="str">
        <x:v>六选一；非6个独立爆率</x:v>
      </x:c>
    </x:row>
    <x:row r="4989" ht="19" customHeight="1">
      <x:c r="A4989" s="19" t="str">
        <x:v>D04985</x:v>
      </x:c>
      <x:c r="B4989" s="19" t="n">
        <x:v>10</x:v>
      </x:c>
      <x:c r="C4989" s="19" t="n">
        <x:v>4</x:v>
      </x:c>
      <x:c r="D4989" s="19" t="str">
        <x:v>C10-M038</x:v>
      </x:c>
      <x:c r="E4989" s="19" t="str">
        <x:v>眠碑缝尸媪</x:v>
      </x:c>
      <x:c r="F4989" s="19" t="str">
        <x:v>普通</x:v>
      </x:c>
      <x:c r="G4989" s="19" t="str">
        <x:v>自身专属</x:v>
      </x:c>
      <x:c r="H4989" s="19" t="str">
        <x:v>眠碑缝尸衣</x:v>
      </x:c>
      <x:c r="I4989" s="22" t="n">
        <x:v>12000</x:v>
      </x:c>
      <x:c r="J4989" s="22" t="n">
        <x:v>1</x:v>
      </x:c>
      <x:c r="K4989" s="19" t="n">
        <x:v>1</x:v>
      </x:c>
      <x:c r="L4989" s="24" t="n">
        <x:v>105.896</x:v>
      </x:c>
      <x:c r="M4989" s="26" t="n">
        <x:v>0.1</x:v>
      </x:c>
      <x:c r="N4989" s="24" t="n">
        <x:v>72</x:v>
      </x:c>
      <x:c r="O4989" s="28" t="n">
        <x:f>MIN(1,L4989/I4989)</x:f>
        <x:v>0.008824666666666666</x:v>
      </x:c>
      <x:c r="P4989" s="30" t="n">
        <x:f>O4989*J4989*(1+M4989)</x:f>
        <x:v>0.009707133333333335</x:v>
      </x:c>
      <x:c r="Q4989" s="30" t="n">
        <x:f>P4989*N4989</x:f>
        <x:v>0.6989136000000001</x:v>
      </x:c>
      <x:c r="R4989" s="19" t="str">
        <x:v>独立判定</x:v>
      </x:c>
    </x:row>
    <x:row r="4990" ht="19" customHeight="1">
      <x:c r="A4990" s="19" t="str">
        <x:v>D04986</x:v>
      </x:c>
      <x:c r="B4990" s="19" t="n">
        <x:v>10</x:v>
      </x:c>
      <x:c r="C4990" s="19" t="n">
        <x:v>4</x:v>
      </x:c>
      <x:c r="D4990" s="19" t="str">
        <x:v>C10-M038</x:v>
      </x:c>
      <x:c r="E4990" s="19" t="str">
        <x:v>眠碑缝尸媪</x:v>
      </x:c>
      <x:c r="F4990" s="19" t="str">
        <x:v>普通</x:v>
      </x:c>
      <x:c r="G4990" s="19" t="str">
        <x:v>材料独立候选</x:v>
      </x:c>
      <x:c r="H4990" s="19" t="str">
        <x:v>王城金屑</x:v>
      </x:c>
      <x:c r="I4990" s="22" t="n">
        <x:v>2000</x:v>
      </x:c>
      <x:c r="J4990" s="22" t="n">
        <x:v>8</x:v>
      </x:c>
      <x:c r="K4990" s="19" t="n">
        <x:v>1</x:v>
      </x:c>
      <x:c r="L4990" s="24" t="n">
        <x:v>105.896</x:v>
      </x:c>
      <x:c r="M4990" s="26" t="n">
        <x:v>0.1</x:v>
      </x:c>
      <x:c r="N4990" s="24" t="n">
        <x:v>72</x:v>
      </x:c>
      <x:c r="O4990" s="28" t="n">
        <x:f>MIN(1,L4990/I4990)</x:f>
        <x:v>0.052948</x:v>
      </x:c>
      <x:c r="P4990" s="30" t="n">
        <x:f>O4990*J4990*(1+M4990)</x:f>
        <x:v>0.46594240000000003</x:v>
      </x:c>
      <x:c r="Q4990" s="30" t="n">
        <x:f>P4990*N4990</x:f>
        <x:v>33.5478528</x:v>
      </x:c>
      <x:c r="R4990" s="19" t="str">
        <x:v>独立判定</x:v>
      </x:c>
    </x:row>
    <x:row r="4991" ht="19" customHeight="1">
      <x:c r="A4991" s="19" t="str">
        <x:v>D04987</x:v>
      </x:c>
      <x:c r="B4991" s="19" t="n">
        <x:v>10</x:v>
      </x:c>
      <x:c r="C4991" s="19" t="n">
        <x:v>4</x:v>
      </x:c>
      <x:c r="D4991" s="19" t="str">
        <x:v>C10-M038</x:v>
      </x:c>
      <x:c r="E4991" s="19" t="str">
        <x:v>眠碑缝尸媪</x:v>
      </x:c>
      <x:c r="F4991" s="19" t="str">
        <x:v>普通</x:v>
      </x:c>
      <x:c r="G4991" s="19" t="str">
        <x:v>材料独立候选</x:v>
      </x:c>
      <x:c r="H4991" s="19" t="str">
        <x:v>无名墓钉</x:v>
      </x:c>
      <x:c r="I4991" s="22" t="n">
        <x:v>3000</x:v>
      </x:c>
      <x:c r="J4991" s="22" t="n">
        <x:v>1</x:v>
      </x:c>
      <x:c r="K4991" s="19" t="n">
        <x:v>1</x:v>
      </x:c>
      <x:c r="L4991" s="24" t="n">
        <x:v>105.896</x:v>
      </x:c>
      <x:c r="M4991" s="26" t="n">
        <x:v>0.1</x:v>
      </x:c>
      <x:c r="N4991" s="24" t="n">
        <x:v>72</x:v>
      </x:c>
      <x:c r="O4991" s="28" t="n">
        <x:f>MIN(1,L4991/I4991)</x:f>
        <x:v>0.035298666666666666</x:v>
      </x:c>
      <x:c r="P4991" s="30" t="n">
        <x:f>O4991*J4991*(1+M4991)</x:f>
        <x:v>0.03882853333333334</x:v>
      </x:c>
      <x:c r="Q4991" s="30" t="n">
        <x:f>P4991*N4991</x:f>
        <x:v>2.7956544000000005</x:v>
      </x:c>
      <x:c r="R4991" s="19" t="str">
        <x:v>独立判定</x:v>
      </x:c>
    </x:row>
    <x:row r="4992" ht="19" customHeight="1">
      <x:c r="A4992" s="19" t="str">
        <x:v>D04988</x:v>
      </x:c>
      <x:c r="B4992" s="19" t="n">
        <x:v>10</x:v>
      </x:c>
      <x:c r="C4992" s="19" t="n">
        <x:v>4</x:v>
      </x:c>
      <x:c r="D4992" s="19" t="str">
        <x:v>C10-M038</x:v>
      </x:c>
      <x:c r="E4992" s="19" t="str">
        <x:v>眠碑缝尸媪</x:v>
      </x:c>
      <x:c r="F4992" s="19" t="str">
        <x:v>普通</x:v>
      </x:c>
      <x:c r="G4992" s="19" t="str">
        <x:v>材料独立候选</x:v>
      </x:c>
      <x:c r="H4992" s="19" t="str">
        <x:v>穹律鎏痕拓片</x:v>
      </x:c>
      <x:c r="I4992" s="22" t="n">
        <x:v>5000000</x:v>
      </x:c>
      <x:c r="J4992" s="22" t="n">
        <x:v>1</x:v>
      </x:c>
      <x:c r="K4992" s="19" t="n">
        <x:v>1</x:v>
      </x:c>
      <x:c r="L4992" s="24" t="n">
        <x:v>105.896</x:v>
      </x:c>
      <x:c r="M4992" s="26" t="n">
        <x:v>0.1</x:v>
      </x:c>
      <x:c r="N4992" s="24" t="n">
        <x:v>72</x:v>
      </x:c>
      <x:c r="O4992" s="28" t="n">
        <x:f>MIN(1,L4992/I4992)</x:f>
        <x:v>0.0000211792</x:v>
      </x:c>
      <x:c r="P4992" s="30" t="n">
        <x:f>O4992*J4992*(1+M4992)</x:f>
        <x:v>0.00002329712</x:v>
      </x:c>
      <x:c r="Q4992" s="30" t="n">
        <x:f>P4992*N4992</x:f>
        <x:v>0.0016773926399999998</x:v>
      </x:c>
      <x:c r="R4992" s="19" t="str">
        <x:v>独立判定</x:v>
      </x:c>
    </x:row>
    <x:row r="4993" ht="19" customHeight="1">
      <x:c r="A4993" s="19" t="str">
        <x:v>D04989</x:v>
      </x:c>
      <x:c r="B4993" s="19" t="n">
        <x:v>10</x:v>
      </x:c>
      <x:c r="C4993" s="19" t="n">
        <x:v>4</x:v>
      </x:c>
      <x:c r="D4993" s="19" t="str">
        <x:v>C10-M038</x:v>
      </x:c>
      <x:c r="E4993" s="19" t="str">
        <x:v>眠碑缝尸媪</x:v>
      </x:c>
      <x:c r="F4993" s="19" t="str">
        <x:v>普通</x:v>
      </x:c>
      <x:c r="G4993" s="19" t="str">
        <x:v>材料独立候选</x:v>
      </x:c>
      <x:c r="H4993" s="19" t="str">
        <x:v>野兽骨片</x:v>
      </x:c>
      <x:c r="I4993" s="22" t="n">
        <x:v>600</x:v>
      </x:c>
      <x:c r="J4993" s="22" t="n">
        <x:v>4</x:v>
      </x:c>
      <x:c r="K4993" s="19" t="n">
        <x:v>1</x:v>
      </x:c>
      <x:c r="L4993" s="24" t="n">
        <x:v>105.896</x:v>
      </x:c>
      <x:c r="M4993" s="26" t="n">
        <x:v>0.1</x:v>
      </x:c>
      <x:c r="N4993" s="24" t="n">
        <x:v>72</x:v>
      </x:c>
      <x:c r="O4993" s="28" t="n">
        <x:f>MIN(1,L4993/I4993)</x:f>
        <x:v>0.17649333333333334</x:v>
      </x:c>
      <x:c r="P4993" s="30" t="n">
        <x:f>O4993*J4993*(1+M4993)</x:f>
        <x:v>0.7765706666666667</x:v>
      </x:c>
      <x:c r="Q4993" s="30" t="n">
        <x:f>P4993*N4993</x:f>
        <x:v>55.913088</x:v>
      </x:c>
      <x:c r="R4993" s="19" t="str">
        <x:v>独立判定</x:v>
      </x:c>
    </x:row>
    <x:row r="4994" ht="19" customHeight="1">
      <x:c r="A4994" s="19" t="str">
        <x:v>D04990</x:v>
      </x:c>
      <x:c r="B4994" s="19" t="n">
        <x:v>10</x:v>
      </x:c>
      <x:c r="C4994" s="19" t="n">
        <x:v>4</x:v>
      </x:c>
      <x:c r="D4994" s="19" t="str">
        <x:v>C10-M038</x:v>
      </x:c>
      <x:c r="E4994" s="19" t="str">
        <x:v>眠碑缝尸媪</x:v>
      </x:c>
      <x:c r="F4994" s="19" t="str">
        <x:v>普通</x:v>
      </x:c>
      <x:c r="G4994" s="19" t="str">
        <x:v>材料独立候选</x:v>
      </x:c>
      <x:c r="H4994" s="19" t="str">
        <x:v>技能残页</x:v>
      </x:c>
      <x:c r="I4994" s="22" t="n">
        <x:v>5000</x:v>
      </x:c>
      <x:c r="J4994" s="22" t="n">
        <x:v>1</x:v>
      </x:c>
      <x:c r="K4994" s="19" t="n">
        <x:v>1</x:v>
      </x:c>
      <x:c r="L4994" s="24" t="n">
        <x:v>105.896</x:v>
      </x:c>
      <x:c r="M4994" s="26" t="n">
        <x:v>0.1</x:v>
      </x:c>
      <x:c r="N4994" s="24" t="n">
        <x:v>72</x:v>
      </x:c>
      <x:c r="O4994" s="28" t="n">
        <x:f>MIN(1,L4994/I4994)</x:f>
        <x:v>0.0211792</x:v>
      </x:c>
      <x:c r="P4994" s="30" t="n">
        <x:f>O4994*J4994*(1+M4994)</x:f>
        <x:v>0.02329712</x:v>
      </x:c>
      <x:c r="Q4994" s="30" t="n">
        <x:f>P4994*N4994</x:f>
        <x:v>1.67739264</x:v>
      </x:c>
      <x:c r="R4994" s="19" t="str">
        <x:v>独立判定</x:v>
      </x:c>
    </x:row>
    <x:row r="4995" ht="19" customHeight="1">
      <x:c r="A4995" s="19" t="str">
        <x:v>D04991</x:v>
      </x:c>
      <x:c r="B4995" s="19" t="n">
        <x:v>10</x:v>
      </x:c>
      <x:c r="C4995" s="19" t="n">
        <x:v>4</x:v>
      </x:c>
      <x:c r="D4995" s="19" t="str">
        <x:v>C10-M038</x:v>
      </x:c>
      <x:c r="E4995" s="19" t="str">
        <x:v>眠碑缝尸媪</x:v>
      </x:c>
      <x:c r="F4995" s="19" t="str">
        <x:v>普通</x:v>
      </x:c>
      <x:c r="G4995" s="19" t="str">
        <x:v>材料独立候选</x:v>
      </x:c>
      <x:c r="H4995" s="19" t="str">
        <x:v>小卢恩</x:v>
      </x:c>
      <x:c r="I4995" s="22" t="n">
        <x:v>30000</x:v>
      </x:c>
      <x:c r="J4995" s="22" t="n">
        <x:v>1</x:v>
      </x:c>
      <x:c r="K4995" s="19" t="n">
        <x:v>1</x:v>
      </x:c>
      <x:c r="L4995" s="24" t="n">
        <x:v>105.896</x:v>
      </x:c>
      <x:c r="M4995" s="26" t="n">
        <x:v>0.1</x:v>
      </x:c>
      <x:c r="N4995" s="24" t="n">
        <x:v>72</x:v>
      </x:c>
      <x:c r="O4995" s="28" t="n">
        <x:f>MIN(1,L4995/I4995)</x:f>
        <x:v>0.0035298666666666667</x:v>
      </x:c>
      <x:c r="P4995" s="30" t="n">
        <x:f>O4995*J4995*(1+M4995)</x:f>
        <x:v>0.003882853333333334</x:v>
      </x:c>
      <x:c r="Q4995" s="30" t="n">
        <x:f>P4995*N4995</x:f>
        <x:v>0.27956544000000005</x:v>
      </x:c>
      <x:c r="R4995" s="19" t="str">
        <x:v>独立判定</x:v>
      </x:c>
    </x:row>
    <x:row r="4996" ht="19" customHeight="1">
      <x:c r="A4996" s="19" t="str">
        <x:v>D04992</x:v>
      </x:c>
      <x:c r="B4996" s="19" t="n">
        <x:v>10</x:v>
      </x:c>
      <x:c r="C4996" s="19" t="n">
        <x:v>4</x:v>
      </x:c>
      <x:c r="D4996" s="19" t="str">
        <x:v>C10-M038</x:v>
      </x:c>
      <x:c r="E4996" s="19" t="str">
        <x:v>眠碑缝尸媪</x:v>
      </x:c>
      <x:c r="F4996" s="19" t="str">
        <x:v>普通</x:v>
      </x:c>
      <x:c r="G4996" s="19" t="str">
        <x:v>六神器公共池</x:v>
      </x:c>
      <x:c r="H4996" s="19" t="str">
        <x:v>POOL006</x:v>
      </x:c>
      <x:c r="I4996" s="22" t="n">
        <x:v>20000000</x:v>
      </x:c>
      <x:c r="J4996" s="22" t="n">
        <x:v>1</x:v>
      </x:c>
      <x:c r="K4996" s="19" t="n">
        <x:v>6</x:v>
      </x:c>
      <x:c r="L4996" s="24" t="n">
        <x:v>105.896</x:v>
      </x:c>
      <x:c r="M4996" s="26" t="n">
        <x:v>0.1</x:v>
      </x:c>
      <x:c r="N4996" s="24" t="n">
        <x:v>72</x:v>
      </x:c>
      <x:c r="O4996" s="28" t="n">
        <x:f>MIN(1,L4996/I4996)</x:f>
        <x:v>0.0000052948</x:v>
      </x:c>
      <x:c r="P4996" s="30" t="n">
        <x:f>O4996*J4996*(1+M4996)</x:f>
        <x:v>0.00000582428</x:v>
      </x:c>
      <x:c r="Q4996" s="30" t="n">
        <x:f>P4996*N4996</x:f>
        <x:v>0.00041934815999999995</x:v>
      </x:c>
      <x:c r="R4996" s="19" t="str">
        <x:v>六选一；非6个独立爆率</x:v>
      </x:c>
    </x:row>
    <x:row r="4997" ht="19" customHeight="1">
      <x:c r="A4997" s="19" t="str">
        <x:v>D04993</x:v>
      </x:c>
      <x:c r="B4997" s="19" t="n">
        <x:v>10</x:v>
      </x:c>
      <x:c r="C4997" s="19" t="n">
        <x:v>4</x:v>
      </x:c>
      <x:c r="D4997" s="19" t="str">
        <x:v>C10-M039</x:v>
      </x:c>
      <x:c r="E4997" s="19" t="str">
        <x:v>墓王执幡骨卫</x:v>
      </x:c>
      <x:c r="F4997" s="19" t="str">
        <x:v>普通</x:v>
      </x:c>
      <x:c r="G4997" s="19" t="str">
        <x:v>自身专属</x:v>
      </x:c>
      <x:c r="H4997" s="19" t="str">
        <x:v>执幡骨纹盔</x:v>
      </x:c>
      <x:c r="I4997" s="22" t="n">
        <x:v>12000</x:v>
      </x:c>
      <x:c r="J4997" s="22" t="n">
        <x:v>1</x:v>
      </x:c>
      <x:c r="K4997" s="19" t="n">
        <x:v>1</x:v>
      </x:c>
      <x:c r="L4997" s="24" t="n">
        <x:v>105.896</x:v>
      </x:c>
      <x:c r="M4997" s="26" t="n">
        <x:v>0.1</x:v>
      </x:c>
      <x:c r="N4997" s="24" t="n">
        <x:v>72</x:v>
      </x:c>
      <x:c r="O4997" s="28" t="n">
        <x:f>MIN(1,L4997/I4997)</x:f>
        <x:v>0.008824666666666666</x:v>
      </x:c>
      <x:c r="P4997" s="30" t="n">
        <x:f>O4997*J4997*(1+M4997)</x:f>
        <x:v>0.009707133333333335</x:v>
      </x:c>
      <x:c r="Q4997" s="30" t="n">
        <x:f>P4997*N4997</x:f>
        <x:v>0.6989136000000001</x:v>
      </x:c>
      <x:c r="R4997" s="19" t="str">
        <x:v>独立判定</x:v>
      </x:c>
    </x:row>
    <x:row r="4998" ht="19" customHeight="1">
      <x:c r="A4998" s="19" t="str">
        <x:v>D04994</x:v>
      </x:c>
      <x:c r="B4998" s="19" t="n">
        <x:v>10</x:v>
      </x:c>
      <x:c r="C4998" s="19" t="n">
        <x:v>4</x:v>
      </x:c>
      <x:c r="D4998" s="19" t="str">
        <x:v>C10-M039</x:v>
      </x:c>
      <x:c r="E4998" s="19" t="str">
        <x:v>墓王执幡骨卫</x:v>
      </x:c>
      <x:c r="F4998" s="19" t="str">
        <x:v>普通</x:v>
      </x:c>
      <x:c r="G4998" s="19" t="str">
        <x:v>材料独立候选</x:v>
      </x:c>
      <x:c r="H4998" s="19" t="str">
        <x:v>王城金屑</x:v>
      </x:c>
      <x:c r="I4998" s="22" t="n">
        <x:v>2000</x:v>
      </x:c>
      <x:c r="J4998" s="22" t="n">
        <x:v>8</x:v>
      </x:c>
      <x:c r="K4998" s="19" t="n">
        <x:v>1</x:v>
      </x:c>
      <x:c r="L4998" s="24" t="n">
        <x:v>105.896</x:v>
      </x:c>
      <x:c r="M4998" s="26" t="n">
        <x:v>0.1</x:v>
      </x:c>
      <x:c r="N4998" s="24" t="n">
        <x:v>72</x:v>
      </x:c>
      <x:c r="O4998" s="28" t="n">
        <x:f>MIN(1,L4998/I4998)</x:f>
        <x:v>0.052948</x:v>
      </x:c>
      <x:c r="P4998" s="30" t="n">
        <x:f>O4998*J4998*(1+M4998)</x:f>
        <x:v>0.46594240000000003</x:v>
      </x:c>
      <x:c r="Q4998" s="30" t="n">
        <x:f>P4998*N4998</x:f>
        <x:v>33.5478528</x:v>
      </x:c>
      <x:c r="R4998" s="19" t="str">
        <x:v>独立判定</x:v>
      </x:c>
    </x:row>
    <x:row r="4999" ht="19" customHeight="1">
      <x:c r="A4999" s="19" t="str">
        <x:v>D04995</x:v>
      </x:c>
      <x:c r="B4999" s="19" t="n">
        <x:v>10</x:v>
      </x:c>
      <x:c r="C4999" s="19" t="n">
        <x:v>4</x:v>
      </x:c>
      <x:c r="D4999" s="19" t="str">
        <x:v>C10-M039</x:v>
      </x:c>
      <x:c r="E4999" s="19" t="str">
        <x:v>墓王执幡骨卫</x:v>
      </x:c>
      <x:c r="F4999" s="19" t="str">
        <x:v>普通</x:v>
      </x:c>
      <x:c r="G4999" s="19" t="str">
        <x:v>材料独立候选</x:v>
      </x:c>
      <x:c r="H4999" s="19" t="str">
        <x:v>无名墓钉</x:v>
      </x:c>
      <x:c r="I4999" s="22" t="n">
        <x:v>3000</x:v>
      </x:c>
      <x:c r="J4999" s="22" t="n">
        <x:v>1</x:v>
      </x:c>
      <x:c r="K4999" s="19" t="n">
        <x:v>1</x:v>
      </x:c>
      <x:c r="L4999" s="24" t="n">
        <x:v>105.896</x:v>
      </x:c>
      <x:c r="M4999" s="26" t="n">
        <x:v>0.1</x:v>
      </x:c>
      <x:c r="N4999" s="24" t="n">
        <x:v>72</x:v>
      </x:c>
      <x:c r="O4999" s="28" t="n">
        <x:f>MIN(1,L4999/I4999)</x:f>
        <x:v>0.035298666666666666</x:v>
      </x:c>
      <x:c r="P4999" s="30" t="n">
        <x:f>O4999*J4999*(1+M4999)</x:f>
        <x:v>0.03882853333333334</x:v>
      </x:c>
      <x:c r="Q4999" s="30" t="n">
        <x:f>P4999*N4999</x:f>
        <x:v>2.7956544000000005</x:v>
      </x:c>
      <x:c r="R4999" s="19" t="str">
        <x:v>独立判定</x:v>
      </x:c>
    </x:row>
    <x:row r="5000" ht="19" customHeight="1">
      <x:c r="A5000" s="19" t="str">
        <x:v>D04996</x:v>
      </x:c>
      <x:c r="B5000" s="19" t="n">
        <x:v>10</x:v>
      </x:c>
      <x:c r="C5000" s="19" t="n">
        <x:v>4</x:v>
      </x:c>
      <x:c r="D5000" s="19" t="str">
        <x:v>C10-M039</x:v>
      </x:c>
      <x:c r="E5000" s="19" t="str">
        <x:v>墓王执幡骨卫</x:v>
      </x:c>
      <x:c r="F5000" s="19" t="str">
        <x:v>普通</x:v>
      </x:c>
      <x:c r="G5000" s="19" t="str">
        <x:v>材料独立候选</x:v>
      </x:c>
      <x:c r="H5000" s="19" t="str">
        <x:v>穹律鎏痕拓片</x:v>
      </x:c>
      <x:c r="I5000" s="22" t="n">
        <x:v>5000000</x:v>
      </x:c>
      <x:c r="J5000" s="22" t="n">
        <x:v>1</x:v>
      </x:c>
      <x:c r="K5000" s="19" t="n">
        <x:v>1</x:v>
      </x:c>
      <x:c r="L5000" s="24" t="n">
        <x:v>105.896</x:v>
      </x:c>
      <x:c r="M5000" s="26" t="n">
        <x:v>0.1</x:v>
      </x:c>
      <x:c r="N5000" s="24" t="n">
        <x:v>72</x:v>
      </x:c>
      <x:c r="O5000" s="28" t="n">
        <x:f>MIN(1,L5000/I5000)</x:f>
        <x:v>0.0000211792</x:v>
      </x:c>
      <x:c r="P5000" s="30" t="n">
        <x:f>O5000*J5000*(1+M5000)</x:f>
        <x:v>0.00002329712</x:v>
      </x:c>
      <x:c r="Q5000" s="30" t="n">
        <x:f>P5000*N5000</x:f>
        <x:v>0.0016773926399999998</x:v>
      </x:c>
      <x:c r="R5000" s="19" t="str">
        <x:v>独立判定</x:v>
      </x:c>
    </x:row>
    <x:row r="5001" ht="19" customHeight="1">
      <x:c r="A5001" s="19" t="str">
        <x:v>D04997</x:v>
      </x:c>
      <x:c r="B5001" s="19" t="n">
        <x:v>10</x:v>
      </x:c>
      <x:c r="C5001" s="19" t="n">
        <x:v>4</x:v>
      </x:c>
      <x:c r="D5001" s="19" t="str">
        <x:v>C10-M039</x:v>
      </x:c>
      <x:c r="E5001" s="19" t="str">
        <x:v>墓王执幡骨卫</x:v>
      </x:c>
      <x:c r="F5001" s="19" t="str">
        <x:v>普通</x:v>
      </x:c>
      <x:c r="G5001" s="19" t="str">
        <x:v>材料独立候选</x:v>
      </x:c>
      <x:c r="H5001" s="19" t="str">
        <x:v>野兽骨片</x:v>
      </x:c>
      <x:c r="I5001" s="22" t="n">
        <x:v>600</x:v>
      </x:c>
      <x:c r="J5001" s="22" t="n">
        <x:v>4</x:v>
      </x:c>
      <x:c r="K5001" s="19" t="n">
        <x:v>1</x:v>
      </x:c>
      <x:c r="L5001" s="24" t="n">
        <x:v>105.896</x:v>
      </x:c>
      <x:c r="M5001" s="26" t="n">
        <x:v>0.1</x:v>
      </x:c>
      <x:c r="N5001" s="24" t="n">
        <x:v>72</x:v>
      </x:c>
      <x:c r="O5001" s="28" t="n">
        <x:f>MIN(1,L5001/I5001)</x:f>
        <x:v>0.17649333333333334</x:v>
      </x:c>
      <x:c r="P5001" s="30" t="n">
        <x:f>O5001*J5001*(1+M5001)</x:f>
        <x:v>0.7765706666666667</x:v>
      </x:c>
      <x:c r="Q5001" s="30" t="n">
        <x:f>P5001*N5001</x:f>
        <x:v>55.913088</x:v>
      </x:c>
      <x:c r="R5001" s="19" t="str">
        <x:v>独立判定</x:v>
      </x:c>
    </x:row>
    <x:row r="5002" ht="19" customHeight="1">
      <x:c r="A5002" s="19" t="str">
        <x:v>D04998</x:v>
      </x:c>
      <x:c r="B5002" s="19" t="n">
        <x:v>10</x:v>
      </x:c>
      <x:c r="C5002" s="19" t="n">
        <x:v>4</x:v>
      </x:c>
      <x:c r="D5002" s="19" t="str">
        <x:v>C10-M039</x:v>
      </x:c>
      <x:c r="E5002" s="19" t="str">
        <x:v>墓王执幡骨卫</x:v>
      </x:c>
      <x:c r="F5002" s="19" t="str">
        <x:v>普通</x:v>
      </x:c>
      <x:c r="G5002" s="19" t="str">
        <x:v>材料独立候选</x:v>
      </x:c>
      <x:c r="H5002" s="19" t="str">
        <x:v>技能残页</x:v>
      </x:c>
      <x:c r="I5002" s="22" t="n">
        <x:v>5000</x:v>
      </x:c>
      <x:c r="J5002" s="22" t="n">
        <x:v>1</x:v>
      </x:c>
      <x:c r="K5002" s="19" t="n">
        <x:v>1</x:v>
      </x:c>
      <x:c r="L5002" s="24" t="n">
        <x:v>105.896</x:v>
      </x:c>
      <x:c r="M5002" s="26" t="n">
        <x:v>0.1</x:v>
      </x:c>
      <x:c r="N5002" s="24" t="n">
        <x:v>72</x:v>
      </x:c>
      <x:c r="O5002" s="28" t="n">
        <x:f>MIN(1,L5002/I5002)</x:f>
        <x:v>0.0211792</x:v>
      </x:c>
      <x:c r="P5002" s="30" t="n">
        <x:f>O5002*J5002*(1+M5002)</x:f>
        <x:v>0.02329712</x:v>
      </x:c>
      <x:c r="Q5002" s="30" t="n">
        <x:f>P5002*N5002</x:f>
        <x:v>1.67739264</x:v>
      </x:c>
      <x:c r="R5002" s="19" t="str">
        <x:v>独立判定</x:v>
      </x:c>
    </x:row>
    <x:row r="5003" ht="19" customHeight="1">
      <x:c r="A5003" s="19" t="str">
        <x:v>D04999</x:v>
      </x:c>
      <x:c r="B5003" s="19" t="n">
        <x:v>10</x:v>
      </x:c>
      <x:c r="C5003" s="19" t="n">
        <x:v>4</x:v>
      </x:c>
      <x:c r="D5003" s="19" t="str">
        <x:v>C10-M039</x:v>
      </x:c>
      <x:c r="E5003" s="19" t="str">
        <x:v>墓王执幡骨卫</x:v>
      </x:c>
      <x:c r="F5003" s="19" t="str">
        <x:v>普通</x:v>
      </x:c>
      <x:c r="G5003" s="19" t="str">
        <x:v>材料独立候选</x:v>
      </x:c>
      <x:c r="H5003" s="19" t="str">
        <x:v>小卢恩</x:v>
      </x:c>
      <x:c r="I5003" s="22" t="n">
        <x:v>30000</x:v>
      </x:c>
      <x:c r="J5003" s="22" t="n">
        <x:v>1</x:v>
      </x:c>
      <x:c r="K5003" s="19" t="n">
        <x:v>1</x:v>
      </x:c>
      <x:c r="L5003" s="24" t="n">
        <x:v>105.896</x:v>
      </x:c>
      <x:c r="M5003" s="26" t="n">
        <x:v>0.1</x:v>
      </x:c>
      <x:c r="N5003" s="24" t="n">
        <x:v>72</x:v>
      </x:c>
      <x:c r="O5003" s="28" t="n">
        <x:f>MIN(1,L5003/I5003)</x:f>
        <x:v>0.0035298666666666667</x:v>
      </x:c>
      <x:c r="P5003" s="30" t="n">
        <x:f>O5003*J5003*(1+M5003)</x:f>
        <x:v>0.003882853333333334</x:v>
      </x:c>
      <x:c r="Q5003" s="30" t="n">
        <x:f>P5003*N5003</x:f>
        <x:v>0.27956544000000005</x:v>
      </x:c>
      <x:c r="R5003" s="19" t="str">
        <x:v>独立判定</x:v>
      </x:c>
    </x:row>
    <x:row r="5004" ht="19" customHeight="1">
      <x:c r="A5004" s="19" t="str">
        <x:v>D05000</x:v>
      </x:c>
      <x:c r="B5004" s="19" t="n">
        <x:v>10</x:v>
      </x:c>
      <x:c r="C5004" s="19" t="n">
        <x:v>4</x:v>
      </x:c>
      <x:c r="D5004" s="19" t="str">
        <x:v>C10-M039</x:v>
      </x:c>
      <x:c r="E5004" s="19" t="str">
        <x:v>墓王执幡骨卫</x:v>
      </x:c>
      <x:c r="F5004" s="19" t="str">
        <x:v>普通</x:v>
      </x:c>
      <x:c r="G5004" s="19" t="str">
        <x:v>六神器公共池</x:v>
      </x:c>
      <x:c r="H5004" s="19" t="str">
        <x:v>POOL006</x:v>
      </x:c>
      <x:c r="I5004" s="22" t="n">
        <x:v>20000000</x:v>
      </x:c>
      <x:c r="J5004" s="22" t="n">
        <x:v>1</x:v>
      </x:c>
      <x:c r="K5004" s="19" t="n">
        <x:v>6</x:v>
      </x:c>
      <x:c r="L5004" s="24" t="n">
        <x:v>105.896</x:v>
      </x:c>
      <x:c r="M5004" s="26" t="n">
        <x:v>0.1</x:v>
      </x:c>
      <x:c r="N5004" s="24" t="n">
        <x:v>72</x:v>
      </x:c>
      <x:c r="O5004" s="28" t="n">
        <x:f>MIN(1,L5004/I5004)</x:f>
        <x:v>0.0000052948</x:v>
      </x:c>
      <x:c r="P5004" s="30" t="n">
        <x:f>O5004*J5004*(1+M5004)</x:f>
        <x:v>0.00000582428</x:v>
      </x:c>
      <x:c r="Q5004" s="30" t="n">
        <x:f>P5004*N5004</x:f>
        <x:v>0.00041934815999999995</x:v>
      </x:c>
      <x:c r="R5004" s="19" t="str">
        <x:v>六选一；非6个独立爆率</x:v>
      </x:c>
    </x:row>
    <x:row r="5005" ht="19" customHeight="1">
      <x:c r="A5005" s="19" t="str">
        <x:v>D05001</x:v>
      </x:c>
      <x:c r="B5005" s="19" t="n">
        <x:v>10</x:v>
      </x:c>
      <x:c r="C5005" s="19" t="n">
        <x:v>4</x:v>
      </x:c>
      <x:c r="D5005" s="19" t="str">
        <x:v>C10-M040</x:v>
      </x:c>
      <x:c r="E5005" s="19" t="str">
        <x:v>甬道噤歌蛾</x:v>
      </x:c>
      <x:c r="F5005" s="19" t="str">
        <x:v>普通</x:v>
      </x:c>
      <x:c r="G5005" s="19" t="str">
        <x:v>自身专属</x:v>
      </x:c>
      <x:c r="H5005" s="19" t="str">
        <x:v>噤歌幽绡坠</x:v>
      </x:c>
      <x:c r="I5005" s="22" t="n">
        <x:v>12000</x:v>
      </x:c>
      <x:c r="J5005" s="22" t="n">
        <x:v>1</x:v>
      </x:c>
      <x:c r="K5005" s="19" t="n">
        <x:v>1</x:v>
      </x:c>
      <x:c r="L5005" s="24" t="n">
        <x:v>105.896</x:v>
      </x:c>
      <x:c r="M5005" s="26" t="n">
        <x:v>0.1</x:v>
      </x:c>
      <x:c r="N5005" s="24" t="n">
        <x:v>72</x:v>
      </x:c>
      <x:c r="O5005" s="28" t="n">
        <x:f>MIN(1,L5005/I5005)</x:f>
        <x:v>0.008824666666666666</x:v>
      </x:c>
      <x:c r="P5005" s="30" t="n">
        <x:f>O5005*J5005*(1+M5005)</x:f>
        <x:v>0.009707133333333335</x:v>
      </x:c>
      <x:c r="Q5005" s="30" t="n">
        <x:f>P5005*N5005</x:f>
        <x:v>0.6989136000000001</x:v>
      </x:c>
      <x:c r="R5005" s="19" t="str">
        <x:v>独立判定</x:v>
      </x:c>
    </x:row>
    <x:row r="5006" ht="19" customHeight="1">
      <x:c r="A5006" s="19" t="str">
        <x:v>D05002</x:v>
      </x:c>
      <x:c r="B5006" s="19" t="n">
        <x:v>10</x:v>
      </x:c>
      <x:c r="C5006" s="19" t="n">
        <x:v>4</x:v>
      </x:c>
      <x:c r="D5006" s="19" t="str">
        <x:v>C10-M040</x:v>
      </x:c>
      <x:c r="E5006" s="19" t="str">
        <x:v>甬道噤歌蛾</x:v>
      </x:c>
      <x:c r="F5006" s="19" t="str">
        <x:v>普通</x:v>
      </x:c>
      <x:c r="G5006" s="19" t="str">
        <x:v>材料独立候选</x:v>
      </x:c>
      <x:c r="H5006" s="19" t="str">
        <x:v>王城金屑</x:v>
      </x:c>
      <x:c r="I5006" s="22" t="n">
        <x:v>2000</x:v>
      </x:c>
      <x:c r="J5006" s="22" t="n">
        <x:v>8</x:v>
      </x:c>
      <x:c r="K5006" s="19" t="n">
        <x:v>1</x:v>
      </x:c>
      <x:c r="L5006" s="24" t="n">
        <x:v>105.896</x:v>
      </x:c>
      <x:c r="M5006" s="26" t="n">
        <x:v>0.1</x:v>
      </x:c>
      <x:c r="N5006" s="24" t="n">
        <x:v>72</x:v>
      </x:c>
      <x:c r="O5006" s="28" t="n">
        <x:f>MIN(1,L5006/I5006)</x:f>
        <x:v>0.052948</x:v>
      </x:c>
      <x:c r="P5006" s="30" t="n">
        <x:f>O5006*J5006*(1+M5006)</x:f>
        <x:v>0.46594240000000003</x:v>
      </x:c>
      <x:c r="Q5006" s="30" t="n">
        <x:f>P5006*N5006</x:f>
        <x:v>33.5478528</x:v>
      </x:c>
      <x:c r="R5006" s="19" t="str">
        <x:v>独立判定</x:v>
      </x:c>
    </x:row>
    <x:row r="5007" ht="19" customHeight="1">
      <x:c r="A5007" s="19" t="str">
        <x:v>D05003</x:v>
      </x:c>
      <x:c r="B5007" s="19" t="n">
        <x:v>10</x:v>
      </x:c>
      <x:c r="C5007" s="19" t="n">
        <x:v>4</x:v>
      </x:c>
      <x:c r="D5007" s="19" t="str">
        <x:v>C10-M040</x:v>
      </x:c>
      <x:c r="E5007" s="19" t="str">
        <x:v>甬道噤歌蛾</x:v>
      </x:c>
      <x:c r="F5007" s="19" t="str">
        <x:v>普通</x:v>
      </x:c>
      <x:c r="G5007" s="19" t="str">
        <x:v>材料独立候选</x:v>
      </x:c>
      <x:c r="H5007" s="19" t="str">
        <x:v>无名墓钉</x:v>
      </x:c>
      <x:c r="I5007" s="22" t="n">
        <x:v>3000</x:v>
      </x:c>
      <x:c r="J5007" s="22" t="n">
        <x:v>1</x:v>
      </x:c>
      <x:c r="K5007" s="19" t="n">
        <x:v>1</x:v>
      </x:c>
      <x:c r="L5007" s="24" t="n">
        <x:v>105.896</x:v>
      </x:c>
      <x:c r="M5007" s="26" t="n">
        <x:v>0.1</x:v>
      </x:c>
      <x:c r="N5007" s="24" t="n">
        <x:v>72</x:v>
      </x:c>
      <x:c r="O5007" s="28" t="n">
        <x:f>MIN(1,L5007/I5007)</x:f>
        <x:v>0.035298666666666666</x:v>
      </x:c>
      <x:c r="P5007" s="30" t="n">
        <x:f>O5007*J5007*(1+M5007)</x:f>
        <x:v>0.03882853333333334</x:v>
      </x:c>
      <x:c r="Q5007" s="30" t="n">
        <x:f>P5007*N5007</x:f>
        <x:v>2.7956544000000005</x:v>
      </x:c>
      <x:c r="R5007" s="19" t="str">
        <x:v>独立判定</x:v>
      </x:c>
    </x:row>
    <x:row r="5008" ht="19" customHeight="1">
      <x:c r="A5008" s="19" t="str">
        <x:v>D05004</x:v>
      </x:c>
      <x:c r="B5008" s="19" t="n">
        <x:v>10</x:v>
      </x:c>
      <x:c r="C5008" s="19" t="n">
        <x:v>4</x:v>
      </x:c>
      <x:c r="D5008" s="19" t="str">
        <x:v>C10-M040</x:v>
      </x:c>
      <x:c r="E5008" s="19" t="str">
        <x:v>甬道噤歌蛾</x:v>
      </x:c>
      <x:c r="F5008" s="19" t="str">
        <x:v>普通</x:v>
      </x:c>
      <x:c r="G5008" s="19" t="str">
        <x:v>材料独立候选</x:v>
      </x:c>
      <x:c r="H5008" s="19" t="str">
        <x:v>穹律鎏痕拓片</x:v>
      </x:c>
      <x:c r="I5008" s="22" t="n">
        <x:v>5000000</x:v>
      </x:c>
      <x:c r="J5008" s="22" t="n">
        <x:v>1</x:v>
      </x:c>
      <x:c r="K5008" s="19" t="n">
        <x:v>1</x:v>
      </x:c>
      <x:c r="L5008" s="24" t="n">
        <x:v>105.896</x:v>
      </x:c>
      <x:c r="M5008" s="26" t="n">
        <x:v>0.1</x:v>
      </x:c>
      <x:c r="N5008" s="24" t="n">
        <x:v>72</x:v>
      </x:c>
      <x:c r="O5008" s="28" t="n">
        <x:f>MIN(1,L5008/I5008)</x:f>
        <x:v>0.0000211792</x:v>
      </x:c>
      <x:c r="P5008" s="30" t="n">
        <x:f>O5008*J5008*(1+M5008)</x:f>
        <x:v>0.00002329712</x:v>
      </x:c>
      <x:c r="Q5008" s="30" t="n">
        <x:f>P5008*N5008</x:f>
        <x:v>0.0016773926399999998</x:v>
      </x:c>
      <x:c r="R5008" s="19" t="str">
        <x:v>独立判定</x:v>
      </x:c>
    </x:row>
    <x:row r="5009" ht="19" customHeight="1">
      <x:c r="A5009" s="19" t="str">
        <x:v>D05005</x:v>
      </x:c>
      <x:c r="B5009" s="19" t="n">
        <x:v>10</x:v>
      </x:c>
      <x:c r="C5009" s="19" t="n">
        <x:v>4</x:v>
      </x:c>
      <x:c r="D5009" s="19" t="str">
        <x:v>C10-M040</x:v>
      </x:c>
      <x:c r="E5009" s="19" t="str">
        <x:v>甬道噤歌蛾</x:v>
      </x:c>
      <x:c r="F5009" s="19" t="str">
        <x:v>普通</x:v>
      </x:c>
      <x:c r="G5009" s="19" t="str">
        <x:v>材料独立候选</x:v>
      </x:c>
      <x:c r="H5009" s="19" t="str">
        <x:v>野兽骨片</x:v>
      </x:c>
      <x:c r="I5009" s="22" t="n">
        <x:v>600</x:v>
      </x:c>
      <x:c r="J5009" s="22" t="n">
        <x:v>4</x:v>
      </x:c>
      <x:c r="K5009" s="19" t="n">
        <x:v>1</x:v>
      </x:c>
      <x:c r="L5009" s="24" t="n">
        <x:v>105.896</x:v>
      </x:c>
      <x:c r="M5009" s="26" t="n">
        <x:v>0.1</x:v>
      </x:c>
      <x:c r="N5009" s="24" t="n">
        <x:v>72</x:v>
      </x:c>
      <x:c r="O5009" s="28" t="n">
        <x:f>MIN(1,L5009/I5009)</x:f>
        <x:v>0.17649333333333334</x:v>
      </x:c>
      <x:c r="P5009" s="30" t="n">
        <x:f>O5009*J5009*(1+M5009)</x:f>
        <x:v>0.7765706666666667</x:v>
      </x:c>
      <x:c r="Q5009" s="30" t="n">
        <x:f>P5009*N5009</x:f>
        <x:v>55.913088</x:v>
      </x:c>
      <x:c r="R5009" s="19" t="str">
        <x:v>独立判定</x:v>
      </x:c>
    </x:row>
    <x:row r="5010" ht="19" customHeight="1">
      <x:c r="A5010" s="19" t="str">
        <x:v>D05006</x:v>
      </x:c>
      <x:c r="B5010" s="19" t="n">
        <x:v>10</x:v>
      </x:c>
      <x:c r="C5010" s="19" t="n">
        <x:v>4</x:v>
      </x:c>
      <x:c r="D5010" s="19" t="str">
        <x:v>C10-M040</x:v>
      </x:c>
      <x:c r="E5010" s="19" t="str">
        <x:v>甬道噤歌蛾</x:v>
      </x:c>
      <x:c r="F5010" s="19" t="str">
        <x:v>普通</x:v>
      </x:c>
      <x:c r="G5010" s="19" t="str">
        <x:v>材料独立候选</x:v>
      </x:c>
      <x:c r="H5010" s="19" t="str">
        <x:v>技能残页</x:v>
      </x:c>
      <x:c r="I5010" s="22" t="n">
        <x:v>5000</x:v>
      </x:c>
      <x:c r="J5010" s="22" t="n">
        <x:v>1</x:v>
      </x:c>
      <x:c r="K5010" s="19" t="n">
        <x:v>1</x:v>
      </x:c>
      <x:c r="L5010" s="24" t="n">
        <x:v>105.896</x:v>
      </x:c>
      <x:c r="M5010" s="26" t="n">
        <x:v>0.1</x:v>
      </x:c>
      <x:c r="N5010" s="24" t="n">
        <x:v>72</x:v>
      </x:c>
      <x:c r="O5010" s="28" t="n">
        <x:f>MIN(1,L5010/I5010)</x:f>
        <x:v>0.0211792</x:v>
      </x:c>
      <x:c r="P5010" s="30" t="n">
        <x:f>O5010*J5010*(1+M5010)</x:f>
        <x:v>0.02329712</x:v>
      </x:c>
      <x:c r="Q5010" s="30" t="n">
        <x:f>P5010*N5010</x:f>
        <x:v>1.67739264</x:v>
      </x:c>
      <x:c r="R5010" s="19" t="str">
        <x:v>独立判定</x:v>
      </x:c>
    </x:row>
    <x:row r="5011" ht="19" customHeight="1">
      <x:c r="A5011" s="19" t="str">
        <x:v>D05007</x:v>
      </x:c>
      <x:c r="B5011" s="19" t="n">
        <x:v>10</x:v>
      </x:c>
      <x:c r="C5011" s="19" t="n">
        <x:v>4</x:v>
      </x:c>
      <x:c r="D5011" s="19" t="str">
        <x:v>C10-M040</x:v>
      </x:c>
      <x:c r="E5011" s="19" t="str">
        <x:v>甬道噤歌蛾</x:v>
      </x:c>
      <x:c r="F5011" s="19" t="str">
        <x:v>普通</x:v>
      </x:c>
      <x:c r="G5011" s="19" t="str">
        <x:v>材料独立候选</x:v>
      </x:c>
      <x:c r="H5011" s="19" t="str">
        <x:v>小卢恩</x:v>
      </x:c>
      <x:c r="I5011" s="22" t="n">
        <x:v>30000</x:v>
      </x:c>
      <x:c r="J5011" s="22" t="n">
        <x:v>1</x:v>
      </x:c>
      <x:c r="K5011" s="19" t="n">
        <x:v>1</x:v>
      </x:c>
      <x:c r="L5011" s="24" t="n">
        <x:v>105.896</x:v>
      </x:c>
      <x:c r="M5011" s="26" t="n">
        <x:v>0.1</x:v>
      </x:c>
      <x:c r="N5011" s="24" t="n">
        <x:v>72</x:v>
      </x:c>
      <x:c r="O5011" s="28" t="n">
        <x:f>MIN(1,L5011/I5011)</x:f>
        <x:v>0.0035298666666666667</x:v>
      </x:c>
      <x:c r="P5011" s="30" t="n">
        <x:f>O5011*J5011*(1+M5011)</x:f>
        <x:v>0.003882853333333334</x:v>
      </x:c>
      <x:c r="Q5011" s="30" t="n">
        <x:f>P5011*N5011</x:f>
        <x:v>0.27956544000000005</x:v>
      </x:c>
      <x:c r="R5011" s="19" t="str">
        <x:v>独立判定</x:v>
      </x:c>
    </x:row>
    <x:row r="5012" ht="19" customHeight="1">
      <x:c r="A5012" s="19" t="str">
        <x:v>D05008</x:v>
      </x:c>
      <x:c r="B5012" s="19" t="n">
        <x:v>10</x:v>
      </x:c>
      <x:c r="C5012" s="19" t="n">
        <x:v>4</x:v>
      </x:c>
      <x:c r="D5012" s="19" t="str">
        <x:v>C10-M040</x:v>
      </x:c>
      <x:c r="E5012" s="19" t="str">
        <x:v>甬道噤歌蛾</x:v>
      </x:c>
      <x:c r="F5012" s="19" t="str">
        <x:v>普通</x:v>
      </x:c>
      <x:c r="G5012" s="19" t="str">
        <x:v>六神器公共池</x:v>
      </x:c>
      <x:c r="H5012" s="19" t="str">
        <x:v>POOL006</x:v>
      </x:c>
      <x:c r="I5012" s="22" t="n">
        <x:v>20000000</x:v>
      </x:c>
      <x:c r="J5012" s="22" t="n">
        <x:v>1</x:v>
      </x:c>
      <x:c r="K5012" s="19" t="n">
        <x:v>6</x:v>
      </x:c>
      <x:c r="L5012" s="24" t="n">
        <x:v>105.896</x:v>
      </x:c>
      <x:c r="M5012" s="26" t="n">
        <x:v>0.1</x:v>
      </x:c>
      <x:c r="N5012" s="24" t="n">
        <x:v>72</x:v>
      </x:c>
      <x:c r="O5012" s="28" t="n">
        <x:f>MIN(1,L5012/I5012)</x:f>
        <x:v>0.0000052948</x:v>
      </x:c>
      <x:c r="P5012" s="30" t="n">
        <x:f>O5012*J5012*(1+M5012)</x:f>
        <x:v>0.00000582428</x:v>
      </x:c>
      <x:c r="Q5012" s="30" t="n">
        <x:f>P5012*N5012</x:f>
        <x:v>0.00041934815999999995</x:v>
      </x:c>
      <x:c r="R5012" s="19" t="str">
        <x:v>六选一；非6个独立爆率</x:v>
      </x:c>
    </x:row>
    <x:row r="5013" ht="19" customHeight="1">
      <x:c r="A5013" s="19" t="str">
        <x:v>D05009</x:v>
      </x:c>
      <x:c r="B5013" s="19" t="n">
        <x:v>10</x:v>
      </x:c>
      <x:c r="C5013" s="19" t="n">
        <x:v>4</x:v>
      </x:c>
      <x:c r="D5013" s="19" t="str">
        <x:v>C10-M041</x:v>
      </x:c>
      <x:c r="E5013" s="19" t="str">
        <x:v>寝室抱瓮童</x:v>
      </x:c>
      <x:c r="F5013" s="19" t="str">
        <x:v>普通</x:v>
      </x:c>
      <x:c r="G5013" s="19" t="str">
        <x:v>自身专属</x:v>
      </x:c>
      <x:c r="H5013" s="19" t="str">
        <x:v>抱瓮缚灵镯</x:v>
      </x:c>
      <x:c r="I5013" s="22" t="n">
        <x:v>12000</x:v>
      </x:c>
      <x:c r="J5013" s="22" t="n">
        <x:v>1</x:v>
      </x:c>
      <x:c r="K5013" s="19" t="n">
        <x:v>1</x:v>
      </x:c>
      <x:c r="L5013" s="24" t="n">
        <x:v>105.896</x:v>
      </x:c>
      <x:c r="M5013" s="26" t="n">
        <x:v>0.1</x:v>
      </x:c>
      <x:c r="N5013" s="24" t="n">
        <x:v>72</x:v>
      </x:c>
      <x:c r="O5013" s="28" t="n">
        <x:f>MIN(1,L5013/I5013)</x:f>
        <x:v>0.008824666666666666</x:v>
      </x:c>
      <x:c r="P5013" s="30" t="n">
        <x:f>O5013*J5013*(1+M5013)</x:f>
        <x:v>0.009707133333333335</x:v>
      </x:c>
      <x:c r="Q5013" s="30" t="n">
        <x:f>P5013*N5013</x:f>
        <x:v>0.6989136000000001</x:v>
      </x:c>
      <x:c r="R5013" s="19" t="str">
        <x:v>独立判定</x:v>
      </x:c>
    </x:row>
    <x:row r="5014" ht="19" customHeight="1">
      <x:c r="A5014" s="19" t="str">
        <x:v>D05010</x:v>
      </x:c>
      <x:c r="B5014" s="19" t="n">
        <x:v>10</x:v>
      </x:c>
      <x:c r="C5014" s="19" t="n">
        <x:v>4</x:v>
      </x:c>
      <x:c r="D5014" s="19" t="str">
        <x:v>C10-M041</x:v>
      </x:c>
      <x:c r="E5014" s="19" t="str">
        <x:v>寝室抱瓮童</x:v>
      </x:c>
      <x:c r="F5014" s="19" t="str">
        <x:v>普通</x:v>
      </x:c>
      <x:c r="G5014" s="19" t="str">
        <x:v>材料独立候选</x:v>
      </x:c>
      <x:c r="H5014" s="19" t="str">
        <x:v>王城金屑</x:v>
      </x:c>
      <x:c r="I5014" s="22" t="n">
        <x:v>2000</x:v>
      </x:c>
      <x:c r="J5014" s="22" t="n">
        <x:v>8</x:v>
      </x:c>
      <x:c r="K5014" s="19" t="n">
        <x:v>1</x:v>
      </x:c>
      <x:c r="L5014" s="24" t="n">
        <x:v>105.896</x:v>
      </x:c>
      <x:c r="M5014" s="26" t="n">
        <x:v>0.1</x:v>
      </x:c>
      <x:c r="N5014" s="24" t="n">
        <x:v>72</x:v>
      </x:c>
      <x:c r="O5014" s="28" t="n">
        <x:f>MIN(1,L5014/I5014)</x:f>
        <x:v>0.052948</x:v>
      </x:c>
      <x:c r="P5014" s="30" t="n">
        <x:f>O5014*J5014*(1+M5014)</x:f>
        <x:v>0.46594240000000003</x:v>
      </x:c>
      <x:c r="Q5014" s="30" t="n">
        <x:f>P5014*N5014</x:f>
        <x:v>33.5478528</x:v>
      </x:c>
      <x:c r="R5014" s="19" t="str">
        <x:v>独立判定</x:v>
      </x:c>
    </x:row>
    <x:row r="5015" ht="19" customHeight="1">
      <x:c r="A5015" s="19" t="str">
        <x:v>D05011</x:v>
      </x:c>
      <x:c r="B5015" s="19" t="n">
        <x:v>10</x:v>
      </x:c>
      <x:c r="C5015" s="19" t="n">
        <x:v>4</x:v>
      </x:c>
      <x:c r="D5015" s="19" t="str">
        <x:v>C10-M041</x:v>
      </x:c>
      <x:c r="E5015" s="19" t="str">
        <x:v>寝室抱瓮童</x:v>
      </x:c>
      <x:c r="F5015" s="19" t="str">
        <x:v>普通</x:v>
      </x:c>
      <x:c r="G5015" s="19" t="str">
        <x:v>材料独立候选</x:v>
      </x:c>
      <x:c r="H5015" s="19" t="str">
        <x:v>无名墓钉</x:v>
      </x:c>
      <x:c r="I5015" s="22" t="n">
        <x:v>3000</x:v>
      </x:c>
      <x:c r="J5015" s="22" t="n">
        <x:v>1</x:v>
      </x:c>
      <x:c r="K5015" s="19" t="n">
        <x:v>1</x:v>
      </x:c>
      <x:c r="L5015" s="24" t="n">
        <x:v>105.896</x:v>
      </x:c>
      <x:c r="M5015" s="26" t="n">
        <x:v>0.1</x:v>
      </x:c>
      <x:c r="N5015" s="24" t="n">
        <x:v>72</x:v>
      </x:c>
      <x:c r="O5015" s="28" t="n">
        <x:f>MIN(1,L5015/I5015)</x:f>
        <x:v>0.035298666666666666</x:v>
      </x:c>
      <x:c r="P5015" s="30" t="n">
        <x:f>O5015*J5015*(1+M5015)</x:f>
        <x:v>0.03882853333333334</x:v>
      </x:c>
      <x:c r="Q5015" s="30" t="n">
        <x:f>P5015*N5015</x:f>
        <x:v>2.7956544000000005</x:v>
      </x:c>
      <x:c r="R5015" s="19" t="str">
        <x:v>独立判定</x:v>
      </x:c>
    </x:row>
    <x:row r="5016" ht="19" customHeight="1">
      <x:c r="A5016" s="19" t="str">
        <x:v>D05012</x:v>
      </x:c>
      <x:c r="B5016" s="19" t="n">
        <x:v>10</x:v>
      </x:c>
      <x:c r="C5016" s="19" t="n">
        <x:v>4</x:v>
      </x:c>
      <x:c r="D5016" s="19" t="str">
        <x:v>C10-M041</x:v>
      </x:c>
      <x:c r="E5016" s="19" t="str">
        <x:v>寝室抱瓮童</x:v>
      </x:c>
      <x:c r="F5016" s="19" t="str">
        <x:v>普通</x:v>
      </x:c>
      <x:c r="G5016" s="19" t="str">
        <x:v>材料独立候选</x:v>
      </x:c>
      <x:c r="H5016" s="19" t="str">
        <x:v>穹律鎏痕拓片</x:v>
      </x:c>
      <x:c r="I5016" s="22" t="n">
        <x:v>5000000</x:v>
      </x:c>
      <x:c r="J5016" s="22" t="n">
        <x:v>1</x:v>
      </x:c>
      <x:c r="K5016" s="19" t="n">
        <x:v>1</x:v>
      </x:c>
      <x:c r="L5016" s="24" t="n">
        <x:v>105.896</x:v>
      </x:c>
      <x:c r="M5016" s="26" t="n">
        <x:v>0.1</x:v>
      </x:c>
      <x:c r="N5016" s="24" t="n">
        <x:v>72</x:v>
      </x:c>
      <x:c r="O5016" s="28" t="n">
        <x:f>MIN(1,L5016/I5016)</x:f>
        <x:v>0.0000211792</x:v>
      </x:c>
      <x:c r="P5016" s="30" t="n">
        <x:f>O5016*J5016*(1+M5016)</x:f>
        <x:v>0.00002329712</x:v>
      </x:c>
      <x:c r="Q5016" s="30" t="n">
        <x:f>P5016*N5016</x:f>
        <x:v>0.0016773926399999998</x:v>
      </x:c>
      <x:c r="R5016" s="19" t="str">
        <x:v>独立判定</x:v>
      </x:c>
    </x:row>
    <x:row r="5017" ht="19" customHeight="1">
      <x:c r="A5017" s="19" t="str">
        <x:v>D05013</x:v>
      </x:c>
      <x:c r="B5017" s="19" t="n">
        <x:v>10</x:v>
      </x:c>
      <x:c r="C5017" s="19" t="n">
        <x:v>4</x:v>
      </x:c>
      <x:c r="D5017" s="19" t="str">
        <x:v>C10-M041</x:v>
      </x:c>
      <x:c r="E5017" s="19" t="str">
        <x:v>寝室抱瓮童</x:v>
      </x:c>
      <x:c r="F5017" s="19" t="str">
        <x:v>普通</x:v>
      </x:c>
      <x:c r="G5017" s="19" t="str">
        <x:v>材料独立候选</x:v>
      </x:c>
      <x:c r="H5017" s="19" t="str">
        <x:v>野兽骨片</x:v>
      </x:c>
      <x:c r="I5017" s="22" t="n">
        <x:v>600</x:v>
      </x:c>
      <x:c r="J5017" s="22" t="n">
        <x:v>4</x:v>
      </x:c>
      <x:c r="K5017" s="19" t="n">
        <x:v>1</x:v>
      </x:c>
      <x:c r="L5017" s="24" t="n">
        <x:v>105.896</x:v>
      </x:c>
      <x:c r="M5017" s="26" t="n">
        <x:v>0.1</x:v>
      </x:c>
      <x:c r="N5017" s="24" t="n">
        <x:v>72</x:v>
      </x:c>
      <x:c r="O5017" s="28" t="n">
        <x:f>MIN(1,L5017/I5017)</x:f>
        <x:v>0.17649333333333334</x:v>
      </x:c>
      <x:c r="P5017" s="30" t="n">
        <x:f>O5017*J5017*(1+M5017)</x:f>
        <x:v>0.7765706666666667</x:v>
      </x:c>
      <x:c r="Q5017" s="30" t="n">
        <x:f>P5017*N5017</x:f>
        <x:v>55.913088</x:v>
      </x:c>
      <x:c r="R5017" s="19" t="str">
        <x:v>独立判定</x:v>
      </x:c>
    </x:row>
    <x:row r="5018" ht="19" customHeight="1">
      <x:c r="A5018" s="19" t="str">
        <x:v>D05014</x:v>
      </x:c>
      <x:c r="B5018" s="19" t="n">
        <x:v>10</x:v>
      </x:c>
      <x:c r="C5018" s="19" t="n">
        <x:v>4</x:v>
      </x:c>
      <x:c r="D5018" s="19" t="str">
        <x:v>C10-M041</x:v>
      </x:c>
      <x:c r="E5018" s="19" t="str">
        <x:v>寝室抱瓮童</x:v>
      </x:c>
      <x:c r="F5018" s="19" t="str">
        <x:v>普通</x:v>
      </x:c>
      <x:c r="G5018" s="19" t="str">
        <x:v>材料独立候选</x:v>
      </x:c>
      <x:c r="H5018" s="19" t="str">
        <x:v>技能残页</x:v>
      </x:c>
      <x:c r="I5018" s="22" t="n">
        <x:v>5000</x:v>
      </x:c>
      <x:c r="J5018" s="22" t="n">
        <x:v>1</x:v>
      </x:c>
      <x:c r="K5018" s="19" t="n">
        <x:v>1</x:v>
      </x:c>
      <x:c r="L5018" s="24" t="n">
        <x:v>105.896</x:v>
      </x:c>
      <x:c r="M5018" s="26" t="n">
        <x:v>0.1</x:v>
      </x:c>
      <x:c r="N5018" s="24" t="n">
        <x:v>72</x:v>
      </x:c>
      <x:c r="O5018" s="28" t="n">
        <x:f>MIN(1,L5018/I5018)</x:f>
        <x:v>0.0211792</x:v>
      </x:c>
      <x:c r="P5018" s="30" t="n">
        <x:f>O5018*J5018*(1+M5018)</x:f>
        <x:v>0.02329712</x:v>
      </x:c>
      <x:c r="Q5018" s="30" t="n">
        <x:f>P5018*N5018</x:f>
        <x:v>1.67739264</x:v>
      </x:c>
      <x:c r="R5018" s="19" t="str">
        <x:v>独立判定</x:v>
      </x:c>
    </x:row>
    <x:row r="5019" ht="19" customHeight="1">
      <x:c r="A5019" s="19" t="str">
        <x:v>D05015</x:v>
      </x:c>
      <x:c r="B5019" s="19" t="n">
        <x:v>10</x:v>
      </x:c>
      <x:c r="C5019" s="19" t="n">
        <x:v>4</x:v>
      </x:c>
      <x:c r="D5019" s="19" t="str">
        <x:v>C10-M041</x:v>
      </x:c>
      <x:c r="E5019" s="19" t="str">
        <x:v>寝室抱瓮童</x:v>
      </x:c>
      <x:c r="F5019" s="19" t="str">
        <x:v>普通</x:v>
      </x:c>
      <x:c r="G5019" s="19" t="str">
        <x:v>材料独立候选</x:v>
      </x:c>
      <x:c r="H5019" s="19" t="str">
        <x:v>小卢恩</x:v>
      </x:c>
      <x:c r="I5019" s="22" t="n">
        <x:v>30000</x:v>
      </x:c>
      <x:c r="J5019" s="22" t="n">
        <x:v>1</x:v>
      </x:c>
      <x:c r="K5019" s="19" t="n">
        <x:v>1</x:v>
      </x:c>
      <x:c r="L5019" s="24" t="n">
        <x:v>105.896</x:v>
      </x:c>
      <x:c r="M5019" s="26" t="n">
        <x:v>0.1</x:v>
      </x:c>
      <x:c r="N5019" s="24" t="n">
        <x:v>72</x:v>
      </x:c>
      <x:c r="O5019" s="28" t="n">
        <x:f>MIN(1,L5019/I5019)</x:f>
        <x:v>0.0035298666666666667</x:v>
      </x:c>
      <x:c r="P5019" s="30" t="n">
        <x:f>O5019*J5019*(1+M5019)</x:f>
        <x:v>0.003882853333333334</x:v>
      </x:c>
      <x:c r="Q5019" s="30" t="n">
        <x:f>P5019*N5019</x:f>
        <x:v>0.27956544000000005</x:v>
      </x:c>
      <x:c r="R5019" s="19" t="str">
        <x:v>独立判定</x:v>
      </x:c>
    </x:row>
    <x:row r="5020" ht="19" customHeight="1">
      <x:c r="A5020" s="19" t="str">
        <x:v>D05016</x:v>
      </x:c>
      <x:c r="B5020" s="19" t="n">
        <x:v>10</x:v>
      </x:c>
      <x:c r="C5020" s="19" t="n">
        <x:v>4</x:v>
      </x:c>
      <x:c r="D5020" s="19" t="str">
        <x:v>C10-M041</x:v>
      </x:c>
      <x:c r="E5020" s="19" t="str">
        <x:v>寝室抱瓮童</x:v>
      </x:c>
      <x:c r="F5020" s="19" t="str">
        <x:v>普通</x:v>
      </x:c>
      <x:c r="G5020" s="19" t="str">
        <x:v>六神器公共池</x:v>
      </x:c>
      <x:c r="H5020" s="19" t="str">
        <x:v>POOL006</x:v>
      </x:c>
      <x:c r="I5020" s="22" t="n">
        <x:v>20000000</x:v>
      </x:c>
      <x:c r="J5020" s="22" t="n">
        <x:v>1</x:v>
      </x:c>
      <x:c r="K5020" s="19" t="n">
        <x:v>6</x:v>
      </x:c>
      <x:c r="L5020" s="24" t="n">
        <x:v>105.896</x:v>
      </x:c>
      <x:c r="M5020" s="26" t="n">
        <x:v>0.1</x:v>
      </x:c>
      <x:c r="N5020" s="24" t="n">
        <x:v>72</x:v>
      </x:c>
      <x:c r="O5020" s="28" t="n">
        <x:f>MIN(1,L5020/I5020)</x:f>
        <x:v>0.0000052948</x:v>
      </x:c>
      <x:c r="P5020" s="30" t="n">
        <x:f>O5020*J5020*(1+M5020)</x:f>
        <x:v>0.00000582428</x:v>
      </x:c>
      <x:c r="Q5020" s="30" t="n">
        <x:f>P5020*N5020</x:f>
        <x:v>0.00041934815999999995</x:v>
      </x:c>
      <x:c r="R5020" s="19" t="str">
        <x:v>六选一；非6个独立爆率</x:v>
      </x:c>
    </x:row>
    <x:row r="5021" ht="19" customHeight="1">
      <x:c r="A5021" s="19" t="str">
        <x:v>D05017</x:v>
      </x:c>
      <x:c r="B5021" s="19" t="n">
        <x:v>10</x:v>
      </x:c>
      <x:c r="C5021" s="19" t="n">
        <x:v>4</x:v>
      </x:c>
      <x:c r="D5021" s="19" t="str">
        <x:v>C10-M042</x:v>
      </x:c>
      <x:c r="E5021" s="19" t="str">
        <x:v>枕陵掘指尸</x:v>
      </x:c>
      <x:c r="F5021" s="19" t="str">
        <x:v>普通</x:v>
      </x:c>
      <x:c r="G5021" s="19" t="str">
        <x:v>自身专属</x:v>
      </x:c>
      <x:c r="H5021" s="19" t="str">
        <x:v>枕陵掘痕靴</x:v>
      </x:c>
      <x:c r="I5021" s="22" t="n">
        <x:v>12000</x:v>
      </x:c>
      <x:c r="J5021" s="22" t="n">
        <x:v>1</x:v>
      </x:c>
      <x:c r="K5021" s="19" t="n">
        <x:v>1</x:v>
      </x:c>
      <x:c r="L5021" s="24" t="n">
        <x:v>105.896</x:v>
      </x:c>
      <x:c r="M5021" s="26" t="n">
        <x:v>0.1</x:v>
      </x:c>
      <x:c r="N5021" s="24" t="n">
        <x:v>72</x:v>
      </x:c>
      <x:c r="O5021" s="28" t="n">
        <x:f>MIN(1,L5021/I5021)</x:f>
        <x:v>0.008824666666666666</x:v>
      </x:c>
      <x:c r="P5021" s="30" t="n">
        <x:f>O5021*J5021*(1+M5021)</x:f>
        <x:v>0.009707133333333335</x:v>
      </x:c>
      <x:c r="Q5021" s="30" t="n">
        <x:f>P5021*N5021</x:f>
        <x:v>0.6989136000000001</x:v>
      </x:c>
      <x:c r="R5021" s="19" t="str">
        <x:v>独立判定</x:v>
      </x:c>
    </x:row>
    <x:row r="5022" ht="19" customHeight="1">
      <x:c r="A5022" s="19" t="str">
        <x:v>D05018</x:v>
      </x:c>
      <x:c r="B5022" s="19" t="n">
        <x:v>10</x:v>
      </x:c>
      <x:c r="C5022" s="19" t="n">
        <x:v>4</x:v>
      </x:c>
      <x:c r="D5022" s="19" t="str">
        <x:v>C10-M042</x:v>
      </x:c>
      <x:c r="E5022" s="19" t="str">
        <x:v>枕陵掘指尸</x:v>
      </x:c>
      <x:c r="F5022" s="19" t="str">
        <x:v>普通</x:v>
      </x:c>
      <x:c r="G5022" s="19" t="str">
        <x:v>材料独立候选</x:v>
      </x:c>
      <x:c r="H5022" s="19" t="str">
        <x:v>王城金屑</x:v>
      </x:c>
      <x:c r="I5022" s="22" t="n">
        <x:v>2000</x:v>
      </x:c>
      <x:c r="J5022" s="22" t="n">
        <x:v>8</x:v>
      </x:c>
      <x:c r="K5022" s="19" t="n">
        <x:v>1</x:v>
      </x:c>
      <x:c r="L5022" s="24" t="n">
        <x:v>105.896</x:v>
      </x:c>
      <x:c r="M5022" s="26" t="n">
        <x:v>0.1</x:v>
      </x:c>
      <x:c r="N5022" s="24" t="n">
        <x:v>72</x:v>
      </x:c>
      <x:c r="O5022" s="28" t="n">
        <x:f>MIN(1,L5022/I5022)</x:f>
        <x:v>0.052948</x:v>
      </x:c>
      <x:c r="P5022" s="30" t="n">
        <x:f>O5022*J5022*(1+M5022)</x:f>
        <x:v>0.46594240000000003</x:v>
      </x:c>
      <x:c r="Q5022" s="30" t="n">
        <x:f>P5022*N5022</x:f>
        <x:v>33.5478528</x:v>
      </x:c>
      <x:c r="R5022" s="19" t="str">
        <x:v>独立判定</x:v>
      </x:c>
    </x:row>
    <x:row r="5023" ht="19" customHeight="1">
      <x:c r="A5023" s="19" t="str">
        <x:v>D05019</x:v>
      </x:c>
      <x:c r="B5023" s="19" t="n">
        <x:v>10</x:v>
      </x:c>
      <x:c r="C5023" s="19" t="n">
        <x:v>4</x:v>
      </x:c>
      <x:c r="D5023" s="19" t="str">
        <x:v>C10-M042</x:v>
      </x:c>
      <x:c r="E5023" s="19" t="str">
        <x:v>枕陵掘指尸</x:v>
      </x:c>
      <x:c r="F5023" s="19" t="str">
        <x:v>普通</x:v>
      </x:c>
      <x:c r="G5023" s="19" t="str">
        <x:v>材料独立候选</x:v>
      </x:c>
      <x:c r="H5023" s="19" t="str">
        <x:v>无名墓钉</x:v>
      </x:c>
      <x:c r="I5023" s="22" t="n">
        <x:v>3000</x:v>
      </x:c>
      <x:c r="J5023" s="22" t="n">
        <x:v>1</x:v>
      </x:c>
      <x:c r="K5023" s="19" t="n">
        <x:v>1</x:v>
      </x:c>
      <x:c r="L5023" s="24" t="n">
        <x:v>105.896</x:v>
      </x:c>
      <x:c r="M5023" s="26" t="n">
        <x:v>0.1</x:v>
      </x:c>
      <x:c r="N5023" s="24" t="n">
        <x:v>72</x:v>
      </x:c>
      <x:c r="O5023" s="28" t="n">
        <x:f>MIN(1,L5023/I5023)</x:f>
        <x:v>0.035298666666666666</x:v>
      </x:c>
      <x:c r="P5023" s="30" t="n">
        <x:f>O5023*J5023*(1+M5023)</x:f>
        <x:v>0.03882853333333334</x:v>
      </x:c>
      <x:c r="Q5023" s="30" t="n">
        <x:f>P5023*N5023</x:f>
        <x:v>2.7956544000000005</x:v>
      </x:c>
      <x:c r="R5023" s="19" t="str">
        <x:v>独立判定</x:v>
      </x:c>
    </x:row>
    <x:row r="5024" ht="19" customHeight="1">
      <x:c r="A5024" s="19" t="str">
        <x:v>D05020</x:v>
      </x:c>
      <x:c r="B5024" s="19" t="n">
        <x:v>10</x:v>
      </x:c>
      <x:c r="C5024" s="19" t="n">
        <x:v>4</x:v>
      </x:c>
      <x:c r="D5024" s="19" t="str">
        <x:v>C10-M042</x:v>
      </x:c>
      <x:c r="E5024" s="19" t="str">
        <x:v>枕陵掘指尸</x:v>
      </x:c>
      <x:c r="F5024" s="19" t="str">
        <x:v>普通</x:v>
      </x:c>
      <x:c r="G5024" s="19" t="str">
        <x:v>材料独立候选</x:v>
      </x:c>
      <x:c r="H5024" s="19" t="str">
        <x:v>穹律鎏痕拓片</x:v>
      </x:c>
      <x:c r="I5024" s="22" t="n">
        <x:v>5000000</x:v>
      </x:c>
      <x:c r="J5024" s="22" t="n">
        <x:v>1</x:v>
      </x:c>
      <x:c r="K5024" s="19" t="n">
        <x:v>1</x:v>
      </x:c>
      <x:c r="L5024" s="24" t="n">
        <x:v>105.896</x:v>
      </x:c>
      <x:c r="M5024" s="26" t="n">
        <x:v>0.1</x:v>
      </x:c>
      <x:c r="N5024" s="24" t="n">
        <x:v>72</x:v>
      </x:c>
      <x:c r="O5024" s="28" t="n">
        <x:f>MIN(1,L5024/I5024)</x:f>
        <x:v>0.0000211792</x:v>
      </x:c>
      <x:c r="P5024" s="30" t="n">
        <x:f>O5024*J5024*(1+M5024)</x:f>
        <x:v>0.00002329712</x:v>
      </x:c>
      <x:c r="Q5024" s="30" t="n">
        <x:f>P5024*N5024</x:f>
        <x:v>0.0016773926399999998</x:v>
      </x:c>
      <x:c r="R5024" s="19" t="str">
        <x:v>独立判定</x:v>
      </x:c>
    </x:row>
    <x:row r="5025" ht="19" customHeight="1">
      <x:c r="A5025" s="19" t="str">
        <x:v>D05021</x:v>
      </x:c>
      <x:c r="B5025" s="19" t="n">
        <x:v>10</x:v>
      </x:c>
      <x:c r="C5025" s="19" t="n">
        <x:v>4</x:v>
      </x:c>
      <x:c r="D5025" s="19" t="str">
        <x:v>C10-M042</x:v>
      </x:c>
      <x:c r="E5025" s="19" t="str">
        <x:v>枕陵掘指尸</x:v>
      </x:c>
      <x:c r="F5025" s="19" t="str">
        <x:v>普通</x:v>
      </x:c>
      <x:c r="G5025" s="19" t="str">
        <x:v>材料独立候选</x:v>
      </x:c>
      <x:c r="H5025" s="19" t="str">
        <x:v>野兽骨片</x:v>
      </x:c>
      <x:c r="I5025" s="22" t="n">
        <x:v>600</x:v>
      </x:c>
      <x:c r="J5025" s="22" t="n">
        <x:v>4</x:v>
      </x:c>
      <x:c r="K5025" s="19" t="n">
        <x:v>1</x:v>
      </x:c>
      <x:c r="L5025" s="24" t="n">
        <x:v>105.896</x:v>
      </x:c>
      <x:c r="M5025" s="26" t="n">
        <x:v>0.1</x:v>
      </x:c>
      <x:c r="N5025" s="24" t="n">
        <x:v>72</x:v>
      </x:c>
      <x:c r="O5025" s="28" t="n">
        <x:f>MIN(1,L5025/I5025)</x:f>
        <x:v>0.17649333333333334</x:v>
      </x:c>
      <x:c r="P5025" s="30" t="n">
        <x:f>O5025*J5025*(1+M5025)</x:f>
        <x:v>0.7765706666666667</x:v>
      </x:c>
      <x:c r="Q5025" s="30" t="n">
        <x:f>P5025*N5025</x:f>
        <x:v>55.913088</x:v>
      </x:c>
      <x:c r="R5025" s="19" t="str">
        <x:v>独立判定</x:v>
      </x:c>
    </x:row>
    <x:row r="5026" ht="19" customHeight="1">
      <x:c r="A5026" s="19" t="str">
        <x:v>D05022</x:v>
      </x:c>
      <x:c r="B5026" s="19" t="n">
        <x:v>10</x:v>
      </x:c>
      <x:c r="C5026" s="19" t="n">
        <x:v>4</x:v>
      </x:c>
      <x:c r="D5026" s="19" t="str">
        <x:v>C10-M042</x:v>
      </x:c>
      <x:c r="E5026" s="19" t="str">
        <x:v>枕陵掘指尸</x:v>
      </x:c>
      <x:c r="F5026" s="19" t="str">
        <x:v>普通</x:v>
      </x:c>
      <x:c r="G5026" s="19" t="str">
        <x:v>材料独立候选</x:v>
      </x:c>
      <x:c r="H5026" s="19" t="str">
        <x:v>技能残页</x:v>
      </x:c>
      <x:c r="I5026" s="22" t="n">
        <x:v>5000</x:v>
      </x:c>
      <x:c r="J5026" s="22" t="n">
        <x:v>1</x:v>
      </x:c>
      <x:c r="K5026" s="19" t="n">
        <x:v>1</x:v>
      </x:c>
      <x:c r="L5026" s="24" t="n">
        <x:v>105.896</x:v>
      </x:c>
      <x:c r="M5026" s="26" t="n">
        <x:v>0.1</x:v>
      </x:c>
      <x:c r="N5026" s="24" t="n">
        <x:v>72</x:v>
      </x:c>
      <x:c r="O5026" s="28" t="n">
        <x:f>MIN(1,L5026/I5026)</x:f>
        <x:v>0.0211792</x:v>
      </x:c>
      <x:c r="P5026" s="30" t="n">
        <x:f>O5026*J5026*(1+M5026)</x:f>
        <x:v>0.02329712</x:v>
      </x:c>
      <x:c r="Q5026" s="30" t="n">
        <x:f>P5026*N5026</x:f>
        <x:v>1.67739264</x:v>
      </x:c>
      <x:c r="R5026" s="19" t="str">
        <x:v>独立判定</x:v>
      </x:c>
    </x:row>
    <x:row r="5027" ht="19" customHeight="1">
      <x:c r="A5027" s="19" t="str">
        <x:v>D05023</x:v>
      </x:c>
      <x:c r="B5027" s="19" t="n">
        <x:v>10</x:v>
      </x:c>
      <x:c r="C5027" s="19" t="n">
        <x:v>4</x:v>
      </x:c>
      <x:c r="D5027" s="19" t="str">
        <x:v>C10-M042</x:v>
      </x:c>
      <x:c r="E5027" s="19" t="str">
        <x:v>枕陵掘指尸</x:v>
      </x:c>
      <x:c r="F5027" s="19" t="str">
        <x:v>普通</x:v>
      </x:c>
      <x:c r="G5027" s="19" t="str">
        <x:v>材料独立候选</x:v>
      </x:c>
      <x:c r="H5027" s="19" t="str">
        <x:v>小卢恩</x:v>
      </x:c>
      <x:c r="I5027" s="22" t="n">
        <x:v>30000</x:v>
      </x:c>
      <x:c r="J5027" s="22" t="n">
        <x:v>1</x:v>
      </x:c>
      <x:c r="K5027" s="19" t="n">
        <x:v>1</x:v>
      </x:c>
      <x:c r="L5027" s="24" t="n">
        <x:v>105.896</x:v>
      </x:c>
      <x:c r="M5027" s="26" t="n">
        <x:v>0.1</x:v>
      </x:c>
      <x:c r="N5027" s="24" t="n">
        <x:v>72</x:v>
      </x:c>
      <x:c r="O5027" s="28" t="n">
        <x:f>MIN(1,L5027/I5027)</x:f>
        <x:v>0.0035298666666666667</x:v>
      </x:c>
      <x:c r="P5027" s="30" t="n">
        <x:f>O5027*J5027*(1+M5027)</x:f>
        <x:v>0.003882853333333334</x:v>
      </x:c>
      <x:c r="Q5027" s="30" t="n">
        <x:f>P5027*N5027</x:f>
        <x:v>0.27956544000000005</x:v>
      </x:c>
      <x:c r="R5027" s="19" t="str">
        <x:v>独立判定</x:v>
      </x:c>
    </x:row>
    <x:row r="5028" ht="19" customHeight="1">
      <x:c r="A5028" s="19" t="str">
        <x:v>D05024</x:v>
      </x:c>
      <x:c r="B5028" s="19" t="n">
        <x:v>10</x:v>
      </x:c>
      <x:c r="C5028" s="19" t="n">
        <x:v>4</x:v>
      </x:c>
      <x:c r="D5028" s="19" t="str">
        <x:v>C10-M042</x:v>
      </x:c>
      <x:c r="E5028" s="19" t="str">
        <x:v>枕陵掘指尸</x:v>
      </x:c>
      <x:c r="F5028" s="19" t="str">
        <x:v>普通</x:v>
      </x:c>
      <x:c r="G5028" s="19" t="str">
        <x:v>六神器公共池</x:v>
      </x:c>
      <x:c r="H5028" s="19" t="str">
        <x:v>POOL006</x:v>
      </x:c>
      <x:c r="I5028" s="22" t="n">
        <x:v>20000000</x:v>
      </x:c>
      <x:c r="J5028" s="22" t="n">
        <x:v>1</x:v>
      </x:c>
      <x:c r="K5028" s="19" t="n">
        <x:v>6</x:v>
      </x:c>
      <x:c r="L5028" s="24" t="n">
        <x:v>105.896</x:v>
      </x:c>
      <x:c r="M5028" s="26" t="n">
        <x:v>0.1</x:v>
      </x:c>
      <x:c r="N5028" s="24" t="n">
        <x:v>72</x:v>
      </x:c>
      <x:c r="O5028" s="28" t="n">
        <x:f>MIN(1,L5028/I5028)</x:f>
        <x:v>0.0000052948</x:v>
      </x:c>
      <x:c r="P5028" s="30" t="n">
        <x:f>O5028*J5028*(1+M5028)</x:f>
        <x:v>0.00000582428</x:v>
      </x:c>
      <x:c r="Q5028" s="30" t="n">
        <x:f>P5028*N5028</x:f>
        <x:v>0.00041934815999999995</x:v>
      </x:c>
      <x:c r="R5028" s="19" t="str">
        <x:v>六选一；非6个独立爆率</x:v>
      </x:c>
    </x:row>
    <x:row r="5029" ht="19" customHeight="1">
      <x:c r="A5029" s="19" t="str">
        <x:v>D05025</x:v>
      </x:c>
      <x:c r="B5029" s="19" t="n">
        <x:v>10</x:v>
      </x:c>
      <x:c r="C5029" s="19" t="n">
        <x:v>4</x:v>
      </x:c>
      <x:c r="D5029" s="19" t="str">
        <x:v>C10-M043</x:v>
      </x:c>
      <x:c r="E5029" s="19" t="str">
        <x:v>无烛守丧女</x:v>
      </x:c>
      <x:c r="F5029" s="19" t="str">
        <x:v>稀有</x:v>
      </x:c>
      <x:c r="G5029" s="19" t="str">
        <x:v>自身专属</x:v>
      </x:c>
      <x:c r="H5029" s="19" t="str">
        <x:v>无烛哀誓戒</x:v>
      </x:c>
      <x:c r="I5029" s="22" t="n">
        <x:v>3000</x:v>
      </x:c>
      <x:c r="J5029" s="22" t="n">
        <x:v>1</x:v>
      </x:c>
      <x:c r="K5029" s="19" t="n">
        <x:v>1</x:v>
      </x:c>
      <x:c r="L5029" s="24" t="n">
        <x:v>105.896</x:v>
      </x:c>
      <x:c r="M5029" s="26" t="n">
        <x:v>0.1</x:v>
      </x:c>
      <x:c r="N5029" s="24" t="n">
        <x:v>12</x:v>
      </x:c>
      <x:c r="O5029" s="28" t="n">
        <x:f>MIN(1,L5029/I5029)</x:f>
        <x:v>0.035298666666666666</x:v>
      </x:c>
      <x:c r="P5029" s="30" t="n">
        <x:f>O5029*J5029*(1+M5029)</x:f>
        <x:v>0.03882853333333334</x:v>
      </x:c>
      <x:c r="Q5029" s="30" t="n">
        <x:f>P5029*N5029</x:f>
        <x:v>0.4659424000000001</x:v>
      </x:c>
      <x:c r="R5029" s="19" t="str">
        <x:v>独立判定</x:v>
      </x:c>
    </x:row>
    <x:row r="5030" ht="19" customHeight="1">
      <x:c r="A5030" s="19" t="str">
        <x:v>D05026</x:v>
      </x:c>
      <x:c r="B5030" s="19" t="n">
        <x:v>10</x:v>
      </x:c>
      <x:c r="C5030" s="19" t="n">
        <x:v>4</x:v>
      </x:c>
      <x:c r="D5030" s="19" t="str">
        <x:v>C10-M043</x:v>
      </x:c>
      <x:c r="E5030" s="19" t="str">
        <x:v>无烛守丧女</x:v>
      </x:c>
      <x:c r="F5030" s="19" t="str">
        <x:v>稀有</x:v>
      </x:c>
      <x:c r="G5030" s="19" t="str">
        <x:v>材料独立候选</x:v>
      </x:c>
      <x:c r="H5030" s="19" t="str">
        <x:v>王城金屑</x:v>
      </x:c>
      <x:c r="I5030" s="22" t="n">
        <x:v>1500</x:v>
      </x:c>
      <x:c r="J5030" s="22" t="n">
        <x:v>15</x:v>
      </x:c>
      <x:c r="K5030" s="19" t="n">
        <x:v>1</x:v>
      </x:c>
      <x:c r="L5030" s="24" t="n">
        <x:v>105.896</x:v>
      </x:c>
      <x:c r="M5030" s="26" t="n">
        <x:v>0.1</x:v>
      </x:c>
      <x:c r="N5030" s="24" t="n">
        <x:v>12</x:v>
      </x:c>
      <x:c r="O5030" s="28" t="n">
        <x:f>MIN(1,L5030/I5030)</x:f>
        <x:v>0.07059733333333333</x:v>
      </x:c>
      <x:c r="P5030" s="30" t="n">
        <x:f>O5030*J5030*(1+M5030)</x:f>
        <x:v>1.164856</x:v>
      </x:c>
      <x:c r="Q5030" s="30" t="n">
        <x:f>P5030*N5030</x:f>
        <x:v>13.978271999999999</x:v>
      </x:c>
      <x:c r="R5030" s="19" t="str">
        <x:v>独立判定</x:v>
      </x:c>
    </x:row>
    <x:row r="5031" ht="19" customHeight="1">
      <x:c r="A5031" s="19" t="str">
        <x:v>D05027</x:v>
      </x:c>
      <x:c r="B5031" s="19" t="n">
        <x:v>10</x:v>
      </x:c>
      <x:c r="C5031" s="19" t="n">
        <x:v>4</x:v>
      </x:c>
      <x:c r="D5031" s="19" t="str">
        <x:v>C10-M043</x:v>
      </x:c>
      <x:c r="E5031" s="19" t="str">
        <x:v>无烛守丧女</x:v>
      </x:c>
      <x:c r="F5031" s="19" t="str">
        <x:v>稀有</x:v>
      </x:c>
      <x:c r="G5031" s="19" t="str">
        <x:v>材料独立候选</x:v>
      </x:c>
      <x:c r="H5031" s="19" t="str">
        <x:v>王宫律文</x:v>
      </x:c>
      <x:c r="I5031" s="22" t="n">
        <x:v>1000</x:v>
      </x:c>
      <x:c r="J5031" s="22" t="n">
        <x:v>1</x:v>
      </x:c>
      <x:c r="K5031" s="19" t="n">
        <x:v>1</x:v>
      </x:c>
      <x:c r="L5031" s="24" t="n">
        <x:v>105.896</x:v>
      </x:c>
      <x:c r="M5031" s="26" t="n">
        <x:v>0.1</x:v>
      </x:c>
      <x:c r="N5031" s="24" t="n">
        <x:v>12</x:v>
      </x:c>
      <x:c r="O5031" s="28" t="n">
        <x:f>MIN(1,L5031/I5031)</x:f>
        <x:v>0.105896</x:v>
      </x:c>
      <x:c r="P5031" s="30" t="n">
        <x:f>O5031*J5031*(1+M5031)</x:f>
        <x:v>0.11648560000000001</x:v>
      </x:c>
      <x:c r="Q5031" s="30" t="n">
        <x:f>P5031*N5031</x:f>
        <x:v>1.3978272</x:v>
      </x:c>
      <x:c r="R5031" s="19" t="str">
        <x:v>独立判定</x:v>
      </x:c>
    </x:row>
    <x:row r="5032" ht="19" customHeight="1">
      <x:c r="A5032" s="19" t="str">
        <x:v>D05028</x:v>
      </x:c>
      <x:c r="B5032" s="19" t="n">
        <x:v>10</x:v>
      </x:c>
      <x:c r="C5032" s="19" t="n">
        <x:v>4</x:v>
      </x:c>
      <x:c r="D5032" s="19" t="str">
        <x:v>C10-M043</x:v>
      </x:c>
      <x:c r="E5032" s="19" t="str">
        <x:v>无烛守丧女</x:v>
      </x:c>
      <x:c r="F5032" s="19" t="str">
        <x:v>稀有</x:v>
      </x:c>
      <x:c r="G5032" s="19" t="str">
        <x:v>材料独立候选</x:v>
      </x:c>
      <x:c r="H5032" s="19" t="str">
        <x:v>旧渠阀芯</x:v>
      </x:c>
      <x:c r="I5032" s="22" t="n">
        <x:v>800</x:v>
      </x:c>
      <x:c r="J5032" s="22" t="n">
        <x:v>1</x:v>
      </x:c>
      <x:c r="K5032" s="19" t="n">
        <x:v>1</x:v>
      </x:c>
      <x:c r="L5032" s="24" t="n">
        <x:v>105.896</x:v>
      </x:c>
      <x:c r="M5032" s="26" t="n">
        <x:v>0.1</x:v>
      </x:c>
      <x:c r="N5032" s="24" t="n">
        <x:v>12</x:v>
      </x:c>
      <x:c r="O5032" s="28" t="n">
        <x:f>MIN(1,L5032/I5032)</x:f>
        <x:v>0.13237</x:v>
      </x:c>
      <x:c r="P5032" s="30" t="n">
        <x:f>O5032*J5032*(1+M5032)</x:f>
        <x:v>0.145607</x:v>
      </x:c>
      <x:c r="Q5032" s="30" t="n">
        <x:f>P5032*N5032</x:f>
        <x:v>1.7472839999999998</x:v>
      </x:c>
      <x:c r="R5032" s="19" t="str">
        <x:v>独立判定</x:v>
      </x:c>
    </x:row>
    <x:row r="5033" ht="19" customHeight="1">
      <x:c r="A5033" s="19" t="str">
        <x:v>D05029</x:v>
      </x:c>
      <x:c r="B5033" s="19" t="n">
        <x:v>10</x:v>
      </x:c>
      <x:c r="C5033" s="19" t="n">
        <x:v>4</x:v>
      </x:c>
      <x:c r="D5033" s="19" t="str">
        <x:v>C10-M043</x:v>
      </x:c>
      <x:c r="E5033" s="19" t="str">
        <x:v>无烛守丧女</x:v>
      </x:c>
      <x:c r="F5033" s="19" t="str">
        <x:v>稀有</x:v>
      </x:c>
      <x:c r="G5033" s="19" t="str">
        <x:v>材料独立候选</x:v>
      </x:c>
      <x:c r="H5033" s="19" t="str">
        <x:v>穹律鎏痕拓片</x:v>
      </x:c>
      <x:c r="I5033" s="22" t="n">
        <x:v>3000000</x:v>
      </x:c>
      <x:c r="J5033" s="22" t="n">
        <x:v>1</x:v>
      </x:c>
      <x:c r="K5033" s="19" t="n">
        <x:v>1</x:v>
      </x:c>
      <x:c r="L5033" s="24" t="n">
        <x:v>105.896</x:v>
      </x:c>
      <x:c r="M5033" s="26" t="n">
        <x:v>0.1</x:v>
      </x:c>
      <x:c r="N5033" s="24" t="n">
        <x:v>12</x:v>
      </x:c>
      <x:c r="O5033" s="28" t="n">
        <x:f>MIN(1,L5033/I5033)</x:f>
        <x:v>0.00003529866666666667</x:v>
      </x:c>
      <x:c r="P5033" s="30" t="n">
        <x:f>O5033*J5033*(1+M5033)</x:f>
        <x:v>0.000038828533333333336</x:v>
      </x:c>
      <x:c r="Q5033" s="30" t="n">
        <x:f>P5033*N5033</x:f>
        <x:v>0.00046594240000000003</x:v>
      </x:c>
      <x:c r="R5033" s="19" t="str">
        <x:v>独立判定</x:v>
      </x:c>
    </x:row>
    <x:row r="5034" ht="19" customHeight="1">
      <x:c r="A5034" s="19" t="str">
        <x:v>D05030</x:v>
      </x:c>
      <x:c r="B5034" s="19" t="n">
        <x:v>10</x:v>
      </x:c>
      <x:c r="C5034" s="19" t="n">
        <x:v>4</x:v>
      </x:c>
      <x:c r="D5034" s="19" t="str">
        <x:v>C10-M043</x:v>
      </x:c>
      <x:c r="E5034" s="19" t="str">
        <x:v>无烛守丧女</x:v>
      </x:c>
      <x:c r="F5034" s="19" t="str">
        <x:v>稀有</x:v>
      </x:c>
      <x:c r="G5034" s="19" t="str">
        <x:v>材料独立候选</x:v>
      </x:c>
      <x:c r="H5034" s="19" t="str">
        <x:v>黄金树芽</x:v>
      </x:c>
      <x:c r="I5034" s="22" t="n">
        <x:v>3000</x:v>
      </x:c>
      <x:c r="J5034" s="22" t="n">
        <x:v>1</x:v>
      </x:c>
      <x:c r="K5034" s="19" t="n">
        <x:v>1</x:v>
      </x:c>
      <x:c r="L5034" s="24" t="n">
        <x:v>105.896</x:v>
      </x:c>
      <x:c r="M5034" s="26" t="n">
        <x:v>0.1</x:v>
      </x:c>
      <x:c r="N5034" s="24" t="n">
        <x:v>12</x:v>
      </x:c>
      <x:c r="O5034" s="28" t="n">
        <x:f>MIN(1,L5034/I5034)</x:f>
        <x:v>0.035298666666666666</x:v>
      </x:c>
      <x:c r="P5034" s="30" t="n">
        <x:f>O5034*J5034*(1+M5034)</x:f>
        <x:v>0.03882853333333334</x:v>
      </x:c>
      <x:c r="Q5034" s="30" t="n">
        <x:f>P5034*N5034</x:f>
        <x:v>0.4659424000000001</x:v>
      </x:c>
      <x:c r="R5034" s="19" t="str">
        <x:v>独立判定</x:v>
      </x:c>
    </x:row>
    <x:row r="5035" ht="19" customHeight="1">
      <x:c r="A5035" s="19" t="str">
        <x:v>D05031</x:v>
      </x:c>
      <x:c r="B5035" s="19" t="n">
        <x:v>10</x:v>
      </x:c>
      <x:c r="C5035" s="19" t="n">
        <x:v>4</x:v>
      </x:c>
      <x:c r="D5035" s="19" t="str">
        <x:v>C10-M043</x:v>
      </x:c>
      <x:c r="E5035" s="19" t="str">
        <x:v>无烛守丧女</x:v>
      </x:c>
      <x:c r="F5035" s="19" t="str">
        <x:v>稀有</x:v>
      </x:c>
      <x:c r="G5035" s="19" t="str">
        <x:v>材料独立候选</x:v>
      </x:c>
      <x:c r="H5035" s="19" t="str">
        <x:v>野兽骨片</x:v>
      </x:c>
      <x:c r="I5035" s="22" t="n">
        <x:v>400</x:v>
      </x:c>
      <x:c r="J5035" s="22" t="n">
        <x:v>4</x:v>
      </x:c>
      <x:c r="K5035" s="19" t="n">
        <x:v>1</x:v>
      </x:c>
      <x:c r="L5035" s="24" t="n">
        <x:v>105.896</x:v>
      </x:c>
      <x:c r="M5035" s="26" t="n">
        <x:v>0.1</x:v>
      </x:c>
      <x:c r="N5035" s="24" t="n">
        <x:v>12</x:v>
      </x:c>
      <x:c r="O5035" s="28" t="n">
        <x:f>MIN(1,L5035/I5035)</x:f>
        <x:v>0.26474</x:v>
      </x:c>
      <x:c r="P5035" s="30" t="n">
        <x:f>O5035*J5035*(1+M5035)</x:f>
        <x:v>1.164856</x:v>
      </x:c>
      <x:c r="Q5035" s="30" t="n">
        <x:f>P5035*N5035</x:f>
        <x:v>13.978271999999999</x:v>
      </x:c>
      <x:c r="R5035" s="19" t="str">
        <x:v>独立判定</x:v>
      </x:c>
    </x:row>
    <x:row r="5036" ht="19" customHeight="1">
      <x:c r="A5036" s="19" t="str">
        <x:v>D05032</x:v>
      </x:c>
      <x:c r="B5036" s="19" t="n">
        <x:v>10</x:v>
      </x:c>
      <x:c r="C5036" s="19" t="n">
        <x:v>4</x:v>
      </x:c>
      <x:c r="D5036" s="19" t="str">
        <x:v>C10-M043</x:v>
      </x:c>
      <x:c r="E5036" s="19" t="str">
        <x:v>无烛守丧女</x:v>
      </x:c>
      <x:c r="F5036" s="19" t="str">
        <x:v>稀有</x:v>
      </x:c>
      <x:c r="G5036" s="19" t="str">
        <x:v>材料独立候选</x:v>
      </x:c>
      <x:c r="H5036" s="19" t="str">
        <x:v>技能残页</x:v>
      </x:c>
      <x:c r="I5036" s="22" t="n">
        <x:v>3000</x:v>
      </x:c>
      <x:c r="J5036" s="22" t="n">
        <x:v>1</x:v>
      </x:c>
      <x:c r="K5036" s="19" t="n">
        <x:v>1</x:v>
      </x:c>
      <x:c r="L5036" s="24" t="n">
        <x:v>105.896</x:v>
      </x:c>
      <x:c r="M5036" s="26" t="n">
        <x:v>0.1</x:v>
      </x:c>
      <x:c r="N5036" s="24" t="n">
        <x:v>12</x:v>
      </x:c>
      <x:c r="O5036" s="28" t="n">
        <x:f>MIN(1,L5036/I5036)</x:f>
        <x:v>0.035298666666666666</x:v>
      </x:c>
      <x:c r="P5036" s="30" t="n">
        <x:f>O5036*J5036*(1+M5036)</x:f>
        <x:v>0.03882853333333334</x:v>
      </x:c>
      <x:c r="Q5036" s="30" t="n">
        <x:f>P5036*N5036</x:f>
        <x:v>0.4659424000000001</x:v>
      </x:c>
      <x:c r="R5036" s="19" t="str">
        <x:v>独立判定</x:v>
      </x:c>
    </x:row>
    <x:row r="5037" ht="19" customHeight="1">
      <x:c r="A5037" s="19" t="str">
        <x:v>D05033</x:v>
      </x:c>
      <x:c r="B5037" s="19" t="n">
        <x:v>10</x:v>
      </x:c>
      <x:c r="C5037" s="19" t="n">
        <x:v>4</x:v>
      </x:c>
      <x:c r="D5037" s="19" t="str">
        <x:v>C10-M043</x:v>
      </x:c>
      <x:c r="E5037" s="19" t="str">
        <x:v>无烛守丧女</x:v>
      </x:c>
      <x:c r="F5037" s="19" t="str">
        <x:v>稀有</x:v>
      </x:c>
      <x:c r="G5037" s="19" t="str">
        <x:v>材料独立候选</x:v>
      </x:c>
      <x:c r="H5037" s="19" t="str">
        <x:v>小卢恩</x:v>
      </x:c>
      <x:c r="I5037" s="22" t="n">
        <x:v>18000</x:v>
      </x:c>
      <x:c r="J5037" s="22" t="n">
        <x:v>1</x:v>
      </x:c>
      <x:c r="K5037" s="19" t="n">
        <x:v>1</x:v>
      </x:c>
      <x:c r="L5037" s="24" t="n">
        <x:v>105.896</x:v>
      </x:c>
      <x:c r="M5037" s="26" t="n">
        <x:v>0.1</x:v>
      </x:c>
      <x:c r="N5037" s="24" t="n">
        <x:v>12</x:v>
      </x:c>
      <x:c r="O5037" s="28" t="n">
        <x:f>MIN(1,L5037/I5037)</x:f>
        <x:v>0.0058831111111111115</x:v>
      </x:c>
      <x:c r="P5037" s="30" t="n">
        <x:f>O5037*J5037*(1+M5037)</x:f>
        <x:v>0.006471422222222223</x:v>
      </x:c>
      <x:c r="Q5037" s="30" t="n">
        <x:f>P5037*N5037</x:f>
        <x:v>0.07765706666666668</x:v>
      </x:c>
      <x:c r="R5037" s="19" t="str">
        <x:v>独立判定</x:v>
      </x:c>
    </x:row>
    <x:row r="5038" ht="19" customHeight="1">
      <x:c r="A5038" s="19" t="str">
        <x:v>D05034</x:v>
      </x:c>
      <x:c r="B5038" s="19" t="n">
        <x:v>10</x:v>
      </x:c>
      <x:c r="C5038" s="19" t="n">
        <x:v>4</x:v>
      </x:c>
      <x:c r="D5038" s="19" t="str">
        <x:v>C10-M043</x:v>
      </x:c>
      <x:c r="E5038" s="19" t="str">
        <x:v>无烛守丧女</x:v>
      </x:c>
      <x:c r="F5038" s="19" t="str">
        <x:v>稀有</x:v>
      </x:c>
      <x:c r="G5038" s="19" t="str">
        <x:v>六神器公共池</x:v>
      </x:c>
      <x:c r="H5038" s="19" t="str">
        <x:v>POOL006</x:v>
      </x:c>
      <x:c r="I5038" s="22" t="n">
        <x:v>5000000</x:v>
      </x:c>
      <x:c r="J5038" s="22" t="n">
        <x:v>1</x:v>
      </x:c>
      <x:c r="K5038" s="19" t="n">
        <x:v>6</x:v>
      </x:c>
      <x:c r="L5038" s="24" t="n">
        <x:v>105.896</x:v>
      </x:c>
      <x:c r="M5038" s="26" t="n">
        <x:v>0.1</x:v>
      </x:c>
      <x:c r="N5038" s="24" t="n">
        <x:v>12</x:v>
      </x:c>
      <x:c r="O5038" s="28" t="n">
        <x:f>MIN(1,L5038/I5038)</x:f>
        <x:v>0.0000211792</x:v>
      </x:c>
      <x:c r="P5038" s="30" t="n">
        <x:f>O5038*J5038*(1+M5038)</x:f>
        <x:v>0.00002329712</x:v>
      </x:c>
      <x:c r="Q5038" s="30" t="n">
        <x:f>P5038*N5038</x:f>
        <x:v>0.00027956544</x:v>
      </x:c>
      <x:c r="R5038" s="19" t="str">
        <x:v>六选一；非6个独立爆率</x:v>
      </x:c>
    </x:row>
    <x:row r="5039" ht="19" customHeight="1">
      <x:c r="A5039" s="19" t="str">
        <x:v>D05035</x:v>
      </x:c>
      <x:c r="B5039" s="19" t="n">
        <x:v>10</x:v>
      </x:c>
      <x:c r="C5039" s="19" t="n">
        <x:v>4</x:v>
      </x:c>
      <x:c r="D5039" s="19" t="str">
        <x:v>C10-M044</x:v>
      </x:c>
      <x:c r="E5039" s="19" t="str">
        <x:v>断碑驮棺兽</x:v>
      </x:c>
      <x:c r="F5039" s="19" t="str">
        <x:v>稀有</x:v>
      </x:c>
      <x:c r="G5039" s="19" t="str">
        <x:v>自身专属</x:v>
      </x:c>
      <x:c r="H5039" s="19" t="str">
        <x:v>断碑驮棺带</x:v>
      </x:c>
      <x:c r="I5039" s="22" t="n">
        <x:v>3000</x:v>
      </x:c>
      <x:c r="J5039" s="22" t="n">
        <x:v>1</x:v>
      </x:c>
      <x:c r="K5039" s="19" t="n">
        <x:v>1</x:v>
      </x:c>
      <x:c r="L5039" s="24" t="n">
        <x:v>105.896</x:v>
      </x:c>
      <x:c r="M5039" s="26" t="n">
        <x:v>0.1</x:v>
      </x:c>
      <x:c r="N5039" s="24" t="n">
        <x:v>12</x:v>
      </x:c>
      <x:c r="O5039" s="28" t="n">
        <x:f>MIN(1,L5039/I5039)</x:f>
        <x:v>0.035298666666666666</x:v>
      </x:c>
      <x:c r="P5039" s="30" t="n">
        <x:f>O5039*J5039*(1+M5039)</x:f>
        <x:v>0.03882853333333334</x:v>
      </x:c>
      <x:c r="Q5039" s="30" t="n">
        <x:f>P5039*N5039</x:f>
        <x:v>0.4659424000000001</x:v>
      </x:c>
      <x:c r="R5039" s="19" t="str">
        <x:v>独立判定</x:v>
      </x:c>
    </x:row>
    <x:row r="5040" ht="19" customHeight="1">
      <x:c r="A5040" s="19" t="str">
        <x:v>D05036</x:v>
      </x:c>
      <x:c r="B5040" s="19" t="n">
        <x:v>10</x:v>
      </x:c>
      <x:c r="C5040" s="19" t="n">
        <x:v>4</x:v>
      </x:c>
      <x:c r="D5040" s="19" t="str">
        <x:v>C10-M044</x:v>
      </x:c>
      <x:c r="E5040" s="19" t="str">
        <x:v>断碑驮棺兽</x:v>
      </x:c>
      <x:c r="F5040" s="19" t="str">
        <x:v>稀有</x:v>
      </x:c>
      <x:c r="G5040" s="19" t="str">
        <x:v>材料独立候选</x:v>
      </x:c>
      <x:c r="H5040" s="19" t="str">
        <x:v>王城金屑</x:v>
      </x:c>
      <x:c r="I5040" s="22" t="n">
        <x:v>1500</x:v>
      </x:c>
      <x:c r="J5040" s="22" t="n">
        <x:v>15</x:v>
      </x:c>
      <x:c r="K5040" s="19" t="n">
        <x:v>1</x:v>
      </x:c>
      <x:c r="L5040" s="24" t="n">
        <x:v>105.896</x:v>
      </x:c>
      <x:c r="M5040" s="26" t="n">
        <x:v>0.1</x:v>
      </x:c>
      <x:c r="N5040" s="24" t="n">
        <x:v>12</x:v>
      </x:c>
      <x:c r="O5040" s="28" t="n">
        <x:f>MIN(1,L5040/I5040)</x:f>
        <x:v>0.07059733333333333</x:v>
      </x:c>
      <x:c r="P5040" s="30" t="n">
        <x:f>O5040*J5040*(1+M5040)</x:f>
        <x:v>1.164856</x:v>
      </x:c>
      <x:c r="Q5040" s="30" t="n">
        <x:f>P5040*N5040</x:f>
        <x:v>13.978271999999999</x:v>
      </x:c>
      <x:c r="R5040" s="19" t="str">
        <x:v>独立判定</x:v>
      </x:c>
    </x:row>
    <x:row r="5041" ht="19" customHeight="1">
      <x:c r="A5041" s="19" t="str">
        <x:v>D05037</x:v>
      </x:c>
      <x:c r="B5041" s="19" t="n">
        <x:v>10</x:v>
      </x:c>
      <x:c r="C5041" s="19" t="n">
        <x:v>4</x:v>
      </x:c>
      <x:c r="D5041" s="19" t="str">
        <x:v>C10-M044</x:v>
      </x:c>
      <x:c r="E5041" s="19" t="str">
        <x:v>断碑驮棺兽</x:v>
      </x:c>
      <x:c r="F5041" s="19" t="str">
        <x:v>稀有</x:v>
      </x:c>
      <x:c r="G5041" s="19" t="str">
        <x:v>材料独立候选</x:v>
      </x:c>
      <x:c r="H5041" s="19" t="str">
        <x:v>王宫律文</x:v>
      </x:c>
      <x:c r="I5041" s="22" t="n">
        <x:v>1000</x:v>
      </x:c>
      <x:c r="J5041" s="22" t="n">
        <x:v>1</x:v>
      </x:c>
      <x:c r="K5041" s="19" t="n">
        <x:v>1</x:v>
      </x:c>
      <x:c r="L5041" s="24" t="n">
        <x:v>105.896</x:v>
      </x:c>
      <x:c r="M5041" s="26" t="n">
        <x:v>0.1</x:v>
      </x:c>
      <x:c r="N5041" s="24" t="n">
        <x:v>12</x:v>
      </x:c>
      <x:c r="O5041" s="28" t="n">
        <x:f>MIN(1,L5041/I5041)</x:f>
        <x:v>0.105896</x:v>
      </x:c>
      <x:c r="P5041" s="30" t="n">
        <x:f>O5041*J5041*(1+M5041)</x:f>
        <x:v>0.11648560000000001</x:v>
      </x:c>
      <x:c r="Q5041" s="30" t="n">
        <x:f>P5041*N5041</x:f>
        <x:v>1.3978272</x:v>
      </x:c>
      <x:c r="R5041" s="19" t="str">
        <x:v>独立判定</x:v>
      </x:c>
    </x:row>
    <x:row r="5042" ht="19" customHeight="1">
      <x:c r="A5042" s="19" t="str">
        <x:v>D05038</x:v>
      </x:c>
      <x:c r="B5042" s="19" t="n">
        <x:v>10</x:v>
      </x:c>
      <x:c r="C5042" s="19" t="n">
        <x:v>4</x:v>
      </x:c>
      <x:c r="D5042" s="19" t="str">
        <x:v>C10-M044</x:v>
      </x:c>
      <x:c r="E5042" s="19" t="str">
        <x:v>断碑驮棺兽</x:v>
      </x:c>
      <x:c r="F5042" s="19" t="str">
        <x:v>稀有</x:v>
      </x:c>
      <x:c r="G5042" s="19" t="str">
        <x:v>材料独立候选</x:v>
      </x:c>
      <x:c r="H5042" s="19" t="str">
        <x:v>旧渠阀芯</x:v>
      </x:c>
      <x:c r="I5042" s="22" t="n">
        <x:v>800</x:v>
      </x:c>
      <x:c r="J5042" s="22" t="n">
        <x:v>1</x:v>
      </x:c>
      <x:c r="K5042" s="19" t="n">
        <x:v>1</x:v>
      </x:c>
      <x:c r="L5042" s="24" t="n">
        <x:v>105.896</x:v>
      </x:c>
      <x:c r="M5042" s="26" t="n">
        <x:v>0.1</x:v>
      </x:c>
      <x:c r="N5042" s="24" t="n">
        <x:v>12</x:v>
      </x:c>
      <x:c r="O5042" s="28" t="n">
        <x:f>MIN(1,L5042/I5042)</x:f>
        <x:v>0.13237</x:v>
      </x:c>
      <x:c r="P5042" s="30" t="n">
        <x:f>O5042*J5042*(1+M5042)</x:f>
        <x:v>0.145607</x:v>
      </x:c>
      <x:c r="Q5042" s="30" t="n">
        <x:f>P5042*N5042</x:f>
        <x:v>1.7472839999999998</x:v>
      </x:c>
      <x:c r="R5042" s="19" t="str">
        <x:v>独立判定</x:v>
      </x:c>
    </x:row>
    <x:row r="5043" ht="19" customHeight="1">
      <x:c r="A5043" s="19" t="str">
        <x:v>D05039</x:v>
      </x:c>
      <x:c r="B5043" s="19" t="n">
        <x:v>10</x:v>
      </x:c>
      <x:c r="C5043" s="19" t="n">
        <x:v>4</x:v>
      </x:c>
      <x:c r="D5043" s="19" t="str">
        <x:v>C10-M044</x:v>
      </x:c>
      <x:c r="E5043" s="19" t="str">
        <x:v>断碑驮棺兽</x:v>
      </x:c>
      <x:c r="F5043" s="19" t="str">
        <x:v>稀有</x:v>
      </x:c>
      <x:c r="G5043" s="19" t="str">
        <x:v>材料独立候选</x:v>
      </x:c>
      <x:c r="H5043" s="19" t="str">
        <x:v>穹律鎏痕拓片</x:v>
      </x:c>
      <x:c r="I5043" s="22" t="n">
        <x:v>3000000</x:v>
      </x:c>
      <x:c r="J5043" s="22" t="n">
        <x:v>1</x:v>
      </x:c>
      <x:c r="K5043" s="19" t="n">
        <x:v>1</x:v>
      </x:c>
      <x:c r="L5043" s="24" t="n">
        <x:v>105.896</x:v>
      </x:c>
      <x:c r="M5043" s="26" t="n">
        <x:v>0.1</x:v>
      </x:c>
      <x:c r="N5043" s="24" t="n">
        <x:v>12</x:v>
      </x:c>
      <x:c r="O5043" s="28" t="n">
        <x:f>MIN(1,L5043/I5043)</x:f>
        <x:v>0.00003529866666666667</x:v>
      </x:c>
      <x:c r="P5043" s="30" t="n">
        <x:f>O5043*J5043*(1+M5043)</x:f>
        <x:v>0.000038828533333333336</x:v>
      </x:c>
      <x:c r="Q5043" s="30" t="n">
        <x:f>P5043*N5043</x:f>
        <x:v>0.00046594240000000003</x:v>
      </x:c>
      <x:c r="R5043" s="19" t="str">
        <x:v>独立判定</x:v>
      </x:c>
    </x:row>
    <x:row r="5044" ht="19" customHeight="1">
      <x:c r="A5044" s="19" t="str">
        <x:v>D05040</x:v>
      </x:c>
      <x:c r="B5044" s="19" t="n">
        <x:v>10</x:v>
      </x:c>
      <x:c r="C5044" s="19" t="n">
        <x:v>4</x:v>
      </x:c>
      <x:c r="D5044" s="19" t="str">
        <x:v>C10-M044</x:v>
      </x:c>
      <x:c r="E5044" s="19" t="str">
        <x:v>断碑驮棺兽</x:v>
      </x:c>
      <x:c r="F5044" s="19" t="str">
        <x:v>稀有</x:v>
      </x:c>
      <x:c r="G5044" s="19" t="str">
        <x:v>材料独立候选</x:v>
      </x:c>
      <x:c r="H5044" s="19" t="str">
        <x:v>黄金树芽</x:v>
      </x:c>
      <x:c r="I5044" s="22" t="n">
        <x:v>3000</x:v>
      </x:c>
      <x:c r="J5044" s="22" t="n">
        <x:v>1</x:v>
      </x:c>
      <x:c r="K5044" s="19" t="n">
        <x:v>1</x:v>
      </x:c>
      <x:c r="L5044" s="24" t="n">
        <x:v>105.896</x:v>
      </x:c>
      <x:c r="M5044" s="26" t="n">
        <x:v>0.1</x:v>
      </x:c>
      <x:c r="N5044" s="24" t="n">
        <x:v>12</x:v>
      </x:c>
      <x:c r="O5044" s="28" t="n">
        <x:f>MIN(1,L5044/I5044)</x:f>
        <x:v>0.035298666666666666</x:v>
      </x:c>
      <x:c r="P5044" s="30" t="n">
        <x:f>O5044*J5044*(1+M5044)</x:f>
        <x:v>0.03882853333333334</x:v>
      </x:c>
      <x:c r="Q5044" s="30" t="n">
        <x:f>P5044*N5044</x:f>
        <x:v>0.4659424000000001</x:v>
      </x:c>
      <x:c r="R5044" s="19" t="str">
        <x:v>独立判定</x:v>
      </x:c>
    </x:row>
    <x:row r="5045" ht="19" customHeight="1">
      <x:c r="A5045" s="19" t="str">
        <x:v>D05041</x:v>
      </x:c>
      <x:c r="B5045" s="19" t="n">
        <x:v>10</x:v>
      </x:c>
      <x:c r="C5045" s="19" t="n">
        <x:v>4</x:v>
      </x:c>
      <x:c r="D5045" s="19" t="str">
        <x:v>C10-M044</x:v>
      </x:c>
      <x:c r="E5045" s="19" t="str">
        <x:v>断碑驮棺兽</x:v>
      </x:c>
      <x:c r="F5045" s="19" t="str">
        <x:v>稀有</x:v>
      </x:c>
      <x:c r="G5045" s="19" t="str">
        <x:v>材料独立候选</x:v>
      </x:c>
      <x:c r="H5045" s="19" t="str">
        <x:v>野兽骨片</x:v>
      </x:c>
      <x:c r="I5045" s="22" t="n">
        <x:v>400</x:v>
      </x:c>
      <x:c r="J5045" s="22" t="n">
        <x:v>4</x:v>
      </x:c>
      <x:c r="K5045" s="19" t="n">
        <x:v>1</x:v>
      </x:c>
      <x:c r="L5045" s="24" t="n">
        <x:v>105.896</x:v>
      </x:c>
      <x:c r="M5045" s="26" t="n">
        <x:v>0.1</x:v>
      </x:c>
      <x:c r="N5045" s="24" t="n">
        <x:v>12</x:v>
      </x:c>
      <x:c r="O5045" s="28" t="n">
        <x:f>MIN(1,L5045/I5045)</x:f>
        <x:v>0.26474</x:v>
      </x:c>
      <x:c r="P5045" s="30" t="n">
        <x:f>O5045*J5045*(1+M5045)</x:f>
        <x:v>1.164856</x:v>
      </x:c>
      <x:c r="Q5045" s="30" t="n">
        <x:f>P5045*N5045</x:f>
        <x:v>13.978271999999999</x:v>
      </x:c>
      <x:c r="R5045" s="19" t="str">
        <x:v>独立判定</x:v>
      </x:c>
    </x:row>
    <x:row r="5046" ht="19" customHeight="1">
      <x:c r="A5046" s="19" t="str">
        <x:v>D05042</x:v>
      </x:c>
      <x:c r="B5046" s="19" t="n">
        <x:v>10</x:v>
      </x:c>
      <x:c r="C5046" s="19" t="n">
        <x:v>4</x:v>
      </x:c>
      <x:c r="D5046" s="19" t="str">
        <x:v>C10-M044</x:v>
      </x:c>
      <x:c r="E5046" s="19" t="str">
        <x:v>断碑驮棺兽</x:v>
      </x:c>
      <x:c r="F5046" s="19" t="str">
        <x:v>稀有</x:v>
      </x:c>
      <x:c r="G5046" s="19" t="str">
        <x:v>材料独立候选</x:v>
      </x:c>
      <x:c r="H5046" s="19" t="str">
        <x:v>技能残页</x:v>
      </x:c>
      <x:c r="I5046" s="22" t="n">
        <x:v>3000</x:v>
      </x:c>
      <x:c r="J5046" s="22" t="n">
        <x:v>1</x:v>
      </x:c>
      <x:c r="K5046" s="19" t="n">
        <x:v>1</x:v>
      </x:c>
      <x:c r="L5046" s="24" t="n">
        <x:v>105.896</x:v>
      </x:c>
      <x:c r="M5046" s="26" t="n">
        <x:v>0.1</x:v>
      </x:c>
      <x:c r="N5046" s="24" t="n">
        <x:v>12</x:v>
      </x:c>
      <x:c r="O5046" s="28" t="n">
        <x:f>MIN(1,L5046/I5046)</x:f>
        <x:v>0.035298666666666666</x:v>
      </x:c>
      <x:c r="P5046" s="30" t="n">
        <x:f>O5046*J5046*(1+M5046)</x:f>
        <x:v>0.03882853333333334</x:v>
      </x:c>
      <x:c r="Q5046" s="30" t="n">
        <x:f>P5046*N5046</x:f>
        <x:v>0.4659424000000001</x:v>
      </x:c>
      <x:c r="R5046" s="19" t="str">
        <x:v>独立判定</x:v>
      </x:c>
    </x:row>
    <x:row r="5047" ht="19" customHeight="1">
      <x:c r="A5047" s="19" t="str">
        <x:v>D05043</x:v>
      </x:c>
      <x:c r="B5047" s="19" t="n">
        <x:v>10</x:v>
      </x:c>
      <x:c r="C5047" s="19" t="n">
        <x:v>4</x:v>
      </x:c>
      <x:c r="D5047" s="19" t="str">
        <x:v>C10-M044</x:v>
      </x:c>
      <x:c r="E5047" s="19" t="str">
        <x:v>断碑驮棺兽</x:v>
      </x:c>
      <x:c r="F5047" s="19" t="str">
        <x:v>稀有</x:v>
      </x:c>
      <x:c r="G5047" s="19" t="str">
        <x:v>材料独立候选</x:v>
      </x:c>
      <x:c r="H5047" s="19" t="str">
        <x:v>小卢恩</x:v>
      </x:c>
      <x:c r="I5047" s="22" t="n">
        <x:v>18000</x:v>
      </x:c>
      <x:c r="J5047" s="22" t="n">
        <x:v>1</x:v>
      </x:c>
      <x:c r="K5047" s="19" t="n">
        <x:v>1</x:v>
      </x:c>
      <x:c r="L5047" s="24" t="n">
        <x:v>105.896</x:v>
      </x:c>
      <x:c r="M5047" s="26" t="n">
        <x:v>0.1</x:v>
      </x:c>
      <x:c r="N5047" s="24" t="n">
        <x:v>12</x:v>
      </x:c>
      <x:c r="O5047" s="28" t="n">
        <x:f>MIN(1,L5047/I5047)</x:f>
        <x:v>0.0058831111111111115</x:v>
      </x:c>
      <x:c r="P5047" s="30" t="n">
        <x:f>O5047*J5047*(1+M5047)</x:f>
        <x:v>0.006471422222222223</x:v>
      </x:c>
      <x:c r="Q5047" s="30" t="n">
        <x:f>P5047*N5047</x:f>
        <x:v>0.07765706666666668</x:v>
      </x:c>
      <x:c r="R5047" s="19" t="str">
        <x:v>独立判定</x:v>
      </x:c>
    </x:row>
    <x:row r="5048" ht="19" customHeight="1">
      <x:c r="A5048" s="19" t="str">
        <x:v>D05044</x:v>
      </x:c>
      <x:c r="B5048" s="19" t="n">
        <x:v>10</x:v>
      </x:c>
      <x:c r="C5048" s="19" t="n">
        <x:v>4</x:v>
      </x:c>
      <x:c r="D5048" s="19" t="str">
        <x:v>C10-M044</x:v>
      </x:c>
      <x:c r="E5048" s="19" t="str">
        <x:v>断碑驮棺兽</x:v>
      </x:c>
      <x:c r="F5048" s="19" t="str">
        <x:v>稀有</x:v>
      </x:c>
      <x:c r="G5048" s="19" t="str">
        <x:v>六神器公共池</x:v>
      </x:c>
      <x:c r="H5048" s="19" t="str">
        <x:v>POOL006</x:v>
      </x:c>
      <x:c r="I5048" s="22" t="n">
        <x:v>5000000</x:v>
      </x:c>
      <x:c r="J5048" s="22" t="n">
        <x:v>1</x:v>
      </x:c>
      <x:c r="K5048" s="19" t="n">
        <x:v>6</x:v>
      </x:c>
      <x:c r="L5048" s="24" t="n">
        <x:v>105.896</x:v>
      </x:c>
      <x:c r="M5048" s="26" t="n">
        <x:v>0.1</x:v>
      </x:c>
      <x:c r="N5048" s="24" t="n">
        <x:v>12</x:v>
      </x:c>
      <x:c r="O5048" s="28" t="n">
        <x:f>MIN(1,L5048/I5048)</x:f>
        <x:v>0.0000211792</x:v>
      </x:c>
      <x:c r="P5048" s="30" t="n">
        <x:f>O5048*J5048*(1+M5048)</x:f>
        <x:v>0.00002329712</x:v>
      </x:c>
      <x:c r="Q5048" s="30" t="n">
        <x:f>P5048*N5048</x:f>
        <x:v>0.00027956544</x:v>
      </x:c>
      <x:c r="R5048" s="19" t="str">
        <x:v>六选一；非6个独立爆率</x:v>
      </x:c>
    </x:row>
    <x:row r="5049" ht="19" customHeight="1">
      <x:c r="A5049" s="19" t="str">
        <x:v>D05045</x:v>
      </x:c>
      <x:c r="B5049" s="19" t="n">
        <x:v>10</x:v>
      </x:c>
      <x:c r="C5049" s="19" t="n">
        <x:v>4</x:v>
      </x:c>
      <x:c r="D5049" s="19" t="str">
        <x:v>C10-M045</x:v>
      </x:c>
      <x:c r="E5049" s="19" t="str">
        <x:v>王甬秤罪官</x:v>
      </x:c>
      <x:c r="F5049" s="19" t="str">
        <x:v>稀有</x:v>
      </x:c>
      <x:c r="G5049" s="19" t="str">
        <x:v>自身专属</x:v>
      </x:c>
      <x:c r="H5049" s="19" t="str">
        <x:v>秤罪墓律章</x:v>
      </x:c>
      <x:c r="I5049" s="22" t="n">
        <x:v>3000</x:v>
      </x:c>
      <x:c r="J5049" s="22" t="n">
        <x:v>1</x:v>
      </x:c>
      <x:c r="K5049" s="19" t="n">
        <x:v>1</x:v>
      </x:c>
      <x:c r="L5049" s="24" t="n">
        <x:v>105.896</x:v>
      </x:c>
      <x:c r="M5049" s="26" t="n">
        <x:v>0.1</x:v>
      </x:c>
      <x:c r="N5049" s="24" t="n">
        <x:v>12</x:v>
      </x:c>
      <x:c r="O5049" s="28" t="n">
        <x:f>MIN(1,L5049/I5049)</x:f>
        <x:v>0.035298666666666666</x:v>
      </x:c>
      <x:c r="P5049" s="30" t="n">
        <x:f>O5049*J5049*(1+M5049)</x:f>
        <x:v>0.03882853333333334</x:v>
      </x:c>
      <x:c r="Q5049" s="30" t="n">
        <x:f>P5049*N5049</x:f>
        <x:v>0.4659424000000001</x:v>
      </x:c>
      <x:c r="R5049" s="19" t="str">
        <x:v>独立判定</x:v>
      </x:c>
    </x:row>
    <x:row r="5050" ht="19" customHeight="1">
      <x:c r="A5050" s="19" t="str">
        <x:v>D05046</x:v>
      </x:c>
      <x:c r="B5050" s="19" t="n">
        <x:v>10</x:v>
      </x:c>
      <x:c r="C5050" s="19" t="n">
        <x:v>4</x:v>
      </x:c>
      <x:c r="D5050" s="19" t="str">
        <x:v>C10-M045</x:v>
      </x:c>
      <x:c r="E5050" s="19" t="str">
        <x:v>王甬秤罪官</x:v>
      </x:c>
      <x:c r="F5050" s="19" t="str">
        <x:v>稀有</x:v>
      </x:c>
      <x:c r="G5050" s="19" t="str">
        <x:v>材料独立候选</x:v>
      </x:c>
      <x:c r="H5050" s="19" t="str">
        <x:v>王城金屑</x:v>
      </x:c>
      <x:c r="I5050" s="22" t="n">
        <x:v>1500</x:v>
      </x:c>
      <x:c r="J5050" s="22" t="n">
        <x:v>15</x:v>
      </x:c>
      <x:c r="K5050" s="19" t="n">
        <x:v>1</x:v>
      </x:c>
      <x:c r="L5050" s="24" t="n">
        <x:v>105.896</x:v>
      </x:c>
      <x:c r="M5050" s="26" t="n">
        <x:v>0.1</x:v>
      </x:c>
      <x:c r="N5050" s="24" t="n">
        <x:v>12</x:v>
      </x:c>
      <x:c r="O5050" s="28" t="n">
        <x:f>MIN(1,L5050/I5050)</x:f>
        <x:v>0.07059733333333333</x:v>
      </x:c>
      <x:c r="P5050" s="30" t="n">
        <x:f>O5050*J5050*(1+M5050)</x:f>
        <x:v>1.164856</x:v>
      </x:c>
      <x:c r="Q5050" s="30" t="n">
        <x:f>P5050*N5050</x:f>
        <x:v>13.978271999999999</x:v>
      </x:c>
      <x:c r="R5050" s="19" t="str">
        <x:v>独立判定</x:v>
      </x:c>
    </x:row>
    <x:row r="5051" ht="19" customHeight="1">
      <x:c r="A5051" s="19" t="str">
        <x:v>D05047</x:v>
      </x:c>
      <x:c r="B5051" s="19" t="n">
        <x:v>10</x:v>
      </x:c>
      <x:c r="C5051" s="19" t="n">
        <x:v>4</x:v>
      </x:c>
      <x:c r="D5051" s="19" t="str">
        <x:v>C10-M045</x:v>
      </x:c>
      <x:c r="E5051" s="19" t="str">
        <x:v>王甬秤罪官</x:v>
      </x:c>
      <x:c r="F5051" s="19" t="str">
        <x:v>稀有</x:v>
      </x:c>
      <x:c r="G5051" s="19" t="str">
        <x:v>材料独立候选</x:v>
      </x:c>
      <x:c r="H5051" s="19" t="str">
        <x:v>王宫律文</x:v>
      </x:c>
      <x:c r="I5051" s="22" t="n">
        <x:v>1000</x:v>
      </x:c>
      <x:c r="J5051" s="22" t="n">
        <x:v>1</x:v>
      </x:c>
      <x:c r="K5051" s="19" t="n">
        <x:v>1</x:v>
      </x:c>
      <x:c r="L5051" s="24" t="n">
        <x:v>105.896</x:v>
      </x:c>
      <x:c r="M5051" s="26" t="n">
        <x:v>0.1</x:v>
      </x:c>
      <x:c r="N5051" s="24" t="n">
        <x:v>12</x:v>
      </x:c>
      <x:c r="O5051" s="28" t="n">
        <x:f>MIN(1,L5051/I5051)</x:f>
        <x:v>0.105896</x:v>
      </x:c>
      <x:c r="P5051" s="30" t="n">
        <x:f>O5051*J5051*(1+M5051)</x:f>
        <x:v>0.11648560000000001</x:v>
      </x:c>
      <x:c r="Q5051" s="30" t="n">
        <x:f>P5051*N5051</x:f>
        <x:v>1.3978272</x:v>
      </x:c>
      <x:c r="R5051" s="19" t="str">
        <x:v>独立判定</x:v>
      </x:c>
    </x:row>
    <x:row r="5052" ht="19" customHeight="1">
      <x:c r="A5052" s="19" t="str">
        <x:v>D05048</x:v>
      </x:c>
      <x:c r="B5052" s="19" t="n">
        <x:v>10</x:v>
      </x:c>
      <x:c r="C5052" s="19" t="n">
        <x:v>4</x:v>
      </x:c>
      <x:c r="D5052" s="19" t="str">
        <x:v>C10-M045</x:v>
      </x:c>
      <x:c r="E5052" s="19" t="str">
        <x:v>王甬秤罪官</x:v>
      </x:c>
      <x:c r="F5052" s="19" t="str">
        <x:v>稀有</x:v>
      </x:c>
      <x:c r="G5052" s="19" t="str">
        <x:v>材料独立候选</x:v>
      </x:c>
      <x:c r="H5052" s="19" t="str">
        <x:v>旧渠阀芯</x:v>
      </x:c>
      <x:c r="I5052" s="22" t="n">
        <x:v>800</x:v>
      </x:c>
      <x:c r="J5052" s="22" t="n">
        <x:v>1</x:v>
      </x:c>
      <x:c r="K5052" s="19" t="n">
        <x:v>1</x:v>
      </x:c>
      <x:c r="L5052" s="24" t="n">
        <x:v>105.896</x:v>
      </x:c>
      <x:c r="M5052" s="26" t="n">
        <x:v>0.1</x:v>
      </x:c>
      <x:c r="N5052" s="24" t="n">
        <x:v>12</x:v>
      </x:c>
      <x:c r="O5052" s="28" t="n">
        <x:f>MIN(1,L5052/I5052)</x:f>
        <x:v>0.13237</x:v>
      </x:c>
      <x:c r="P5052" s="30" t="n">
        <x:f>O5052*J5052*(1+M5052)</x:f>
        <x:v>0.145607</x:v>
      </x:c>
      <x:c r="Q5052" s="30" t="n">
        <x:f>P5052*N5052</x:f>
        <x:v>1.7472839999999998</x:v>
      </x:c>
      <x:c r="R5052" s="19" t="str">
        <x:v>独立判定</x:v>
      </x:c>
    </x:row>
    <x:row r="5053" ht="19" customHeight="1">
      <x:c r="A5053" s="19" t="str">
        <x:v>D05049</x:v>
      </x:c>
      <x:c r="B5053" s="19" t="n">
        <x:v>10</x:v>
      </x:c>
      <x:c r="C5053" s="19" t="n">
        <x:v>4</x:v>
      </x:c>
      <x:c r="D5053" s="19" t="str">
        <x:v>C10-M045</x:v>
      </x:c>
      <x:c r="E5053" s="19" t="str">
        <x:v>王甬秤罪官</x:v>
      </x:c>
      <x:c r="F5053" s="19" t="str">
        <x:v>稀有</x:v>
      </x:c>
      <x:c r="G5053" s="19" t="str">
        <x:v>材料独立候选</x:v>
      </x:c>
      <x:c r="H5053" s="19" t="str">
        <x:v>穹律鎏痕拓片</x:v>
      </x:c>
      <x:c r="I5053" s="22" t="n">
        <x:v>3000000</x:v>
      </x:c>
      <x:c r="J5053" s="22" t="n">
        <x:v>1</x:v>
      </x:c>
      <x:c r="K5053" s="19" t="n">
        <x:v>1</x:v>
      </x:c>
      <x:c r="L5053" s="24" t="n">
        <x:v>105.896</x:v>
      </x:c>
      <x:c r="M5053" s="26" t="n">
        <x:v>0.1</x:v>
      </x:c>
      <x:c r="N5053" s="24" t="n">
        <x:v>12</x:v>
      </x:c>
      <x:c r="O5053" s="28" t="n">
        <x:f>MIN(1,L5053/I5053)</x:f>
        <x:v>0.00003529866666666667</x:v>
      </x:c>
      <x:c r="P5053" s="30" t="n">
        <x:f>O5053*J5053*(1+M5053)</x:f>
        <x:v>0.000038828533333333336</x:v>
      </x:c>
      <x:c r="Q5053" s="30" t="n">
        <x:f>P5053*N5053</x:f>
        <x:v>0.00046594240000000003</x:v>
      </x:c>
      <x:c r="R5053" s="19" t="str">
        <x:v>独立判定</x:v>
      </x:c>
    </x:row>
    <x:row r="5054" ht="19" customHeight="1">
      <x:c r="A5054" s="19" t="str">
        <x:v>D05050</x:v>
      </x:c>
      <x:c r="B5054" s="19" t="n">
        <x:v>10</x:v>
      </x:c>
      <x:c r="C5054" s="19" t="n">
        <x:v>4</x:v>
      </x:c>
      <x:c r="D5054" s="19" t="str">
        <x:v>C10-M045</x:v>
      </x:c>
      <x:c r="E5054" s="19" t="str">
        <x:v>王甬秤罪官</x:v>
      </x:c>
      <x:c r="F5054" s="19" t="str">
        <x:v>稀有</x:v>
      </x:c>
      <x:c r="G5054" s="19" t="str">
        <x:v>材料独立候选</x:v>
      </x:c>
      <x:c r="H5054" s="19" t="str">
        <x:v>黄金树芽</x:v>
      </x:c>
      <x:c r="I5054" s="22" t="n">
        <x:v>3000</x:v>
      </x:c>
      <x:c r="J5054" s="22" t="n">
        <x:v>1</x:v>
      </x:c>
      <x:c r="K5054" s="19" t="n">
        <x:v>1</x:v>
      </x:c>
      <x:c r="L5054" s="24" t="n">
        <x:v>105.896</x:v>
      </x:c>
      <x:c r="M5054" s="26" t="n">
        <x:v>0.1</x:v>
      </x:c>
      <x:c r="N5054" s="24" t="n">
        <x:v>12</x:v>
      </x:c>
      <x:c r="O5054" s="28" t="n">
        <x:f>MIN(1,L5054/I5054)</x:f>
        <x:v>0.035298666666666666</x:v>
      </x:c>
      <x:c r="P5054" s="30" t="n">
        <x:f>O5054*J5054*(1+M5054)</x:f>
        <x:v>0.03882853333333334</x:v>
      </x:c>
      <x:c r="Q5054" s="30" t="n">
        <x:f>P5054*N5054</x:f>
        <x:v>0.4659424000000001</x:v>
      </x:c>
      <x:c r="R5054" s="19" t="str">
        <x:v>独立判定</x:v>
      </x:c>
    </x:row>
    <x:row r="5055" ht="19" customHeight="1">
      <x:c r="A5055" s="19" t="str">
        <x:v>D05051</x:v>
      </x:c>
      <x:c r="B5055" s="19" t="n">
        <x:v>10</x:v>
      </x:c>
      <x:c r="C5055" s="19" t="n">
        <x:v>4</x:v>
      </x:c>
      <x:c r="D5055" s="19" t="str">
        <x:v>C10-M045</x:v>
      </x:c>
      <x:c r="E5055" s="19" t="str">
        <x:v>王甬秤罪官</x:v>
      </x:c>
      <x:c r="F5055" s="19" t="str">
        <x:v>稀有</x:v>
      </x:c>
      <x:c r="G5055" s="19" t="str">
        <x:v>材料独立候选</x:v>
      </x:c>
      <x:c r="H5055" s="19" t="str">
        <x:v>野兽骨片</x:v>
      </x:c>
      <x:c r="I5055" s="22" t="n">
        <x:v>400</x:v>
      </x:c>
      <x:c r="J5055" s="22" t="n">
        <x:v>4</x:v>
      </x:c>
      <x:c r="K5055" s="19" t="n">
        <x:v>1</x:v>
      </x:c>
      <x:c r="L5055" s="24" t="n">
        <x:v>105.896</x:v>
      </x:c>
      <x:c r="M5055" s="26" t="n">
        <x:v>0.1</x:v>
      </x:c>
      <x:c r="N5055" s="24" t="n">
        <x:v>12</x:v>
      </x:c>
      <x:c r="O5055" s="28" t="n">
        <x:f>MIN(1,L5055/I5055)</x:f>
        <x:v>0.26474</x:v>
      </x:c>
      <x:c r="P5055" s="30" t="n">
        <x:f>O5055*J5055*(1+M5055)</x:f>
        <x:v>1.164856</x:v>
      </x:c>
      <x:c r="Q5055" s="30" t="n">
        <x:f>P5055*N5055</x:f>
        <x:v>13.978271999999999</x:v>
      </x:c>
      <x:c r="R5055" s="19" t="str">
        <x:v>独立判定</x:v>
      </x:c>
    </x:row>
    <x:row r="5056" ht="19" customHeight="1">
      <x:c r="A5056" s="19" t="str">
        <x:v>D05052</x:v>
      </x:c>
      <x:c r="B5056" s="19" t="n">
        <x:v>10</x:v>
      </x:c>
      <x:c r="C5056" s="19" t="n">
        <x:v>4</x:v>
      </x:c>
      <x:c r="D5056" s="19" t="str">
        <x:v>C10-M045</x:v>
      </x:c>
      <x:c r="E5056" s="19" t="str">
        <x:v>王甬秤罪官</x:v>
      </x:c>
      <x:c r="F5056" s="19" t="str">
        <x:v>稀有</x:v>
      </x:c>
      <x:c r="G5056" s="19" t="str">
        <x:v>材料独立候选</x:v>
      </x:c>
      <x:c r="H5056" s="19" t="str">
        <x:v>技能残页</x:v>
      </x:c>
      <x:c r="I5056" s="22" t="n">
        <x:v>3000</x:v>
      </x:c>
      <x:c r="J5056" s="22" t="n">
        <x:v>1</x:v>
      </x:c>
      <x:c r="K5056" s="19" t="n">
        <x:v>1</x:v>
      </x:c>
      <x:c r="L5056" s="24" t="n">
        <x:v>105.896</x:v>
      </x:c>
      <x:c r="M5056" s="26" t="n">
        <x:v>0.1</x:v>
      </x:c>
      <x:c r="N5056" s="24" t="n">
        <x:v>12</x:v>
      </x:c>
      <x:c r="O5056" s="28" t="n">
        <x:f>MIN(1,L5056/I5056)</x:f>
        <x:v>0.035298666666666666</x:v>
      </x:c>
      <x:c r="P5056" s="30" t="n">
        <x:f>O5056*J5056*(1+M5056)</x:f>
        <x:v>0.03882853333333334</x:v>
      </x:c>
      <x:c r="Q5056" s="30" t="n">
        <x:f>P5056*N5056</x:f>
        <x:v>0.4659424000000001</x:v>
      </x:c>
      <x:c r="R5056" s="19" t="str">
        <x:v>独立判定</x:v>
      </x:c>
    </x:row>
    <x:row r="5057" ht="19" customHeight="1">
      <x:c r="A5057" s="19" t="str">
        <x:v>D05053</x:v>
      </x:c>
      <x:c r="B5057" s="19" t="n">
        <x:v>10</x:v>
      </x:c>
      <x:c r="C5057" s="19" t="n">
        <x:v>4</x:v>
      </x:c>
      <x:c r="D5057" s="19" t="str">
        <x:v>C10-M045</x:v>
      </x:c>
      <x:c r="E5057" s="19" t="str">
        <x:v>王甬秤罪官</x:v>
      </x:c>
      <x:c r="F5057" s="19" t="str">
        <x:v>稀有</x:v>
      </x:c>
      <x:c r="G5057" s="19" t="str">
        <x:v>材料独立候选</x:v>
      </x:c>
      <x:c r="H5057" s="19" t="str">
        <x:v>小卢恩</x:v>
      </x:c>
      <x:c r="I5057" s="22" t="n">
        <x:v>18000</x:v>
      </x:c>
      <x:c r="J5057" s="22" t="n">
        <x:v>1</x:v>
      </x:c>
      <x:c r="K5057" s="19" t="n">
        <x:v>1</x:v>
      </x:c>
      <x:c r="L5057" s="24" t="n">
        <x:v>105.896</x:v>
      </x:c>
      <x:c r="M5057" s="26" t="n">
        <x:v>0.1</x:v>
      </x:c>
      <x:c r="N5057" s="24" t="n">
        <x:v>12</x:v>
      </x:c>
      <x:c r="O5057" s="28" t="n">
        <x:f>MIN(1,L5057/I5057)</x:f>
        <x:v>0.0058831111111111115</x:v>
      </x:c>
      <x:c r="P5057" s="30" t="n">
        <x:f>O5057*J5057*(1+M5057)</x:f>
        <x:v>0.006471422222222223</x:v>
      </x:c>
      <x:c r="Q5057" s="30" t="n">
        <x:f>P5057*N5057</x:f>
        <x:v>0.07765706666666668</x:v>
      </x:c>
      <x:c r="R5057" s="19" t="str">
        <x:v>独立判定</x:v>
      </x:c>
    </x:row>
    <x:row r="5058" ht="19" customHeight="1">
      <x:c r="A5058" s="19" t="str">
        <x:v>D05054</x:v>
      </x:c>
      <x:c r="B5058" s="19" t="n">
        <x:v>10</x:v>
      </x:c>
      <x:c r="C5058" s="19" t="n">
        <x:v>4</x:v>
      </x:c>
      <x:c r="D5058" s="19" t="str">
        <x:v>C10-M045</x:v>
      </x:c>
      <x:c r="E5058" s="19" t="str">
        <x:v>王甬秤罪官</x:v>
      </x:c>
      <x:c r="F5058" s="19" t="str">
        <x:v>稀有</x:v>
      </x:c>
      <x:c r="G5058" s="19" t="str">
        <x:v>六神器公共池</x:v>
      </x:c>
      <x:c r="H5058" s="19" t="str">
        <x:v>POOL006</x:v>
      </x:c>
      <x:c r="I5058" s="22" t="n">
        <x:v>5000000</x:v>
      </x:c>
      <x:c r="J5058" s="22" t="n">
        <x:v>1</x:v>
      </x:c>
      <x:c r="K5058" s="19" t="n">
        <x:v>6</x:v>
      </x:c>
      <x:c r="L5058" s="24" t="n">
        <x:v>105.896</x:v>
      </x:c>
      <x:c r="M5058" s="26" t="n">
        <x:v>0.1</x:v>
      </x:c>
      <x:c r="N5058" s="24" t="n">
        <x:v>12</x:v>
      </x:c>
      <x:c r="O5058" s="28" t="n">
        <x:f>MIN(1,L5058/I5058)</x:f>
        <x:v>0.0000211792</x:v>
      </x:c>
      <x:c r="P5058" s="30" t="n">
        <x:f>O5058*J5058*(1+M5058)</x:f>
        <x:v>0.00002329712</x:v>
      </x:c>
      <x:c r="Q5058" s="30" t="n">
        <x:f>P5058*N5058</x:f>
        <x:v>0.00027956544</x:v>
      </x:c>
      <x:c r="R5058" s="19" t="str">
        <x:v>六选一；非6个独立爆率</x:v>
      </x:c>
    </x:row>
    <x:row r="5059" ht="19" customHeight="1">
      <x:c r="A5059" s="19" t="str">
        <x:v>D05055</x:v>
      </x:c>
      <x:c r="B5059" s="19" t="n">
        <x:v>10</x:v>
      </x:c>
      <x:c r="C5059" s="19" t="n">
        <x:v>4</x:v>
      </x:c>
      <x:c r="D5059" s="19" t="str">
        <x:v>C10-M046</x:v>
      </x:c>
      <x:c r="E5059" s="19" t="str">
        <x:v>寝门返魂甲</x:v>
      </x:c>
      <x:c r="F5059" s="19" t="str">
        <x:v>稀有</x:v>
      </x:c>
      <x:c r="G5059" s="19" t="str">
        <x:v>自身专属</x:v>
      </x:c>
      <x:c r="H5059" s="19" t="str">
        <x:v>返魂寝门盾</x:v>
      </x:c>
      <x:c r="I5059" s="22" t="n">
        <x:v>3000</x:v>
      </x:c>
      <x:c r="J5059" s="22" t="n">
        <x:v>1</x:v>
      </x:c>
      <x:c r="K5059" s="19" t="n">
        <x:v>1</x:v>
      </x:c>
      <x:c r="L5059" s="24" t="n">
        <x:v>105.896</x:v>
      </x:c>
      <x:c r="M5059" s="26" t="n">
        <x:v>0.1</x:v>
      </x:c>
      <x:c r="N5059" s="24" t="n">
        <x:v>12</x:v>
      </x:c>
      <x:c r="O5059" s="28" t="n">
        <x:f>MIN(1,L5059/I5059)</x:f>
        <x:v>0.035298666666666666</x:v>
      </x:c>
      <x:c r="P5059" s="30" t="n">
        <x:f>O5059*J5059*(1+M5059)</x:f>
        <x:v>0.03882853333333334</x:v>
      </x:c>
      <x:c r="Q5059" s="30" t="n">
        <x:f>P5059*N5059</x:f>
        <x:v>0.4659424000000001</x:v>
      </x:c>
      <x:c r="R5059" s="19" t="str">
        <x:v>独立判定</x:v>
      </x:c>
    </x:row>
    <x:row r="5060" ht="19" customHeight="1">
      <x:c r="A5060" s="19" t="str">
        <x:v>D05056</x:v>
      </x:c>
      <x:c r="B5060" s="19" t="n">
        <x:v>10</x:v>
      </x:c>
      <x:c r="C5060" s="19" t="n">
        <x:v>4</x:v>
      </x:c>
      <x:c r="D5060" s="19" t="str">
        <x:v>C10-M046</x:v>
      </x:c>
      <x:c r="E5060" s="19" t="str">
        <x:v>寝门返魂甲</x:v>
      </x:c>
      <x:c r="F5060" s="19" t="str">
        <x:v>稀有</x:v>
      </x:c>
      <x:c r="G5060" s="19" t="str">
        <x:v>材料独立候选</x:v>
      </x:c>
      <x:c r="H5060" s="19" t="str">
        <x:v>王城金屑</x:v>
      </x:c>
      <x:c r="I5060" s="22" t="n">
        <x:v>1500</x:v>
      </x:c>
      <x:c r="J5060" s="22" t="n">
        <x:v>15</x:v>
      </x:c>
      <x:c r="K5060" s="19" t="n">
        <x:v>1</x:v>
      </x:c>
      <x:c r="L5060" s="24" t="n">
        <x:v>105.896</x:v>
      </x:c>
      <x:c r="M5060" s="26" t="n">
        <x:v>0.1</x:v>
      </x:c>
      <x:c r="N5060" s="24" t="n">
        <x:v>12</x:v>
      </x:c>
      <x:c r="O5060" s="28" t="n">
        <x:f>MIN(1,L5060/I5060)</x:f>
        <x:v>0.07059733333333333</x:v>
      </x:c>
      <x:c r="P5060" s="30" t="n">
        <x:f>O5060*J5060*(1+M5060)</x:f>
        <x:v>1.164856</x:v>
      </x:c>
      <x:c r="Q5060" s="30" t="n">
        <x:f>P5060*N5060</x:f>
        <x:v>13.978271999999999</x:v>
      </x:c>
      <x:c r="R5060" s="19" t="str">
        <x:v>独立判定</x:v>
      </x:c>
    </x:row>
    <x:row r="5061" ht="19" customHeight="1">
      <x:c r="A5061" s="19" t="str">
        <x:v>D05057</x:v>
      </x:c>
      <x:c r="B5061" s="19" t="n">
        <x:v>10</x:v>
      </x:c>
      <x:c r="C5061" s="19" t="n">
        <x:v>4</x:v>
      </x:c>
      <x:c r="D5061" s="19" t="str">
        <x:v>C10-M046</x:v>
      </x:c>
      <x:c r="E5061" s="19" t="str">
        <x:v>寝门返魂甲</x:v>
      </x:c>
      <x:c r="F5061" s="19" t="str">
        <x:v>稀有</x:v>
      </x:c>
      <x:c r="G5061" s="19" t="str">
        <x:v>材料独立候选</x:v>
      </x:c>
      <x:c r="H5061" s="19" t="str">
        <x:v>王宫律文</x:v>
      </x:c>
      <x:c r="I5061" s="22" t="n">
        <x:v>1000</x:v>
      </x:c>
      <x:c r="J5061" s="22" t="n">
        <x:v>1</x:v>
      </x:c>
      <x:c r="K5061" s="19" t="n">
        <x:v>1</x:v>
      </x:c>
      <x:c r="L5061" s="24" t="n">
        <x:v>105.896</x:v>
      </x:c>
      <x:c r="M5061" s="26" t="n">
        <x:v>0.1</x:v>
      </x:c>
      <x:c r="N5061" s="24" t="n">
        <x:v>12</x:v>
      </x:c>
      <x:c r="O5061" s="28" t="n">
        <x:f>MIN(1,L5061/I5061)</x:f>
        <x:v>0.105896</x:v>
      </x:c>
      <x:c r="P5061" s="30" t="n">
        <x:f>O5061*J5061*(1+M5061)</x:f>
        <x:v>0.11648560000000001</x:v>
      </x:c>
      <x:c r="Q5061" s="30" t="n">
        <x:f>P5061*N5061</x:f>
        <x:v>1.3978272</x:v>
      </x:c>
      <x:c r="R5061" s="19" t="str">
        <x:v>独立判定</x:v>
      </x:c>
    </x:row>
    <x:row r="5062" ht="19" customHeight="1">
      <x:c r="A5062" s="19" t="str">
        <x:v>D05058</x:v>
      </x:c>
      <x:c r="B5062" s="19" t="n">
        <x:v>10</x:v>
      </x:c>
      <x:c r="C5062" s="19" t="n">
        <x:v>4</x:v>
      </x:c>
      <x:c r="D5062" s="19" t="str">
        <x:v>C10-M046</x:v>
      </x:c>
      <x:c r="E5062" s="19" t="str">
        <x:v>寝门返魂甲</x:v>
      </x:c>
      <x:c r="F5062" s="19" t="str">
        <x:v>稀有</x:v>
      </x:c>
      <x:c r="G5062" s="19" t="str">
        <x:v>材料独立候选</x:v>
      </x:c>
      <x:c r="H5062" s="19" t="str">
        <x:v>旧渠阀芯</x:v>
      </x:c>
      <x:c r="I5062" s="22" t="n">
        <x:v>800</x:v>
      </x:c>
      <x:c r="J5062" s="22" t="n">
        <x:v>1</x:v>
      </x:c>
      <x:c r="K5062" s="19" t="n">
        <x:v>1</x:v>
      </x:c>
      <x:c r="L5062" s="24" t="n">
        <x:v>105.896</x:v>
      </x:c>
      <x:c r="M5062" s="26" t="n">
        <x:v>0.1</x:v>
      </x:c>
      <x:c r="N5062" s="24" t="n">
        <x:v>12</x:v>
      </x:c>
      <x:c r="O5062" s="28" t="n">
        <x:f>MIN(1,L5062/I5062)</x:f>
        <x:v>0.13237</x:v>
      </x:c>
      <x:c r="P5062" s="30" t="n">
        <x:f>O5062*J5062*(1+M5062)</x:f>
        <x:v>0.145607</x:v>
      </x:c>
      <x:c r="Q5062" s="30" t="n">
        <x:f>P5062*N5062</x:f>
        <x:v>1.7472839999999998</x:v>
      </x:c>
      <x:c r="R5062" s="19" t="str">
        <x:v>独立判定</x:v>
      </x:c>
    </x:row>
    <x:row r="5063" ht="19" customHeight="1">
      <x:c r="A5063" s="19" t="str">
        <x:v>D05059</x:v>
      </x:c>
      <x:c r="B5063" s="19" t="n">
        <x:v>10</x:v>
      </x:c>
      <x:c r="C5063" s="19" t="n">
        <x:v>4</x:v>
      </x:c>
      <x:c r="D5063" s="19" t="str">
        <x:v>C10-M046</x:v>
      </x:c>
      <x:c r="E5063" s="19" t="str">
        <x:v>寝门返魂甲</x:v>
      </x:c>
      <x:c r="F5063" s="19" t="str">
        <x:v>稀有</x:v>
      </x:c>
      <x:c r="G5063" s="19" t="str">
        <x:v>材料独立候选</x:v>
      </x:c>
      <x:c r="H5063" s="19" t="str">
        <x:v>穹律鎏痕拓片</x:v>
      </x:c>
      <x:c r="I5063" s="22" t="n">
        <x:v>3000000</x:v>
      </x:c>
      <x:c r="J5063" s="22" t="n">
        <x:v>1</x:v>
      </x:c>
      <x:c r="K5063" s="19" t="n">
        <x:v>1</x:v>
      </x:c>
      <x:c r="L5063" s="24" t="n">
        <x:v>105.896</x:v>
      </x:c>
      <x:c r="M5063" s="26" t="n">
        <x:v>0.1</x:v>
      </x:c>
      <x:c r="N5063" s="24" t="n">
        <x:v>12</x:v>
      </x:c>
      <x:c r="O5063" s="28" t="n">
        <x:f>MIN(1,L5063/I5063)</x:f>
        <x:v>0.00003529866666666667</x:v>
      </x:c>
      <x:c r="P5063" s="30" t="n">
        <x:f>O5063*J5063*(1+M5063)</x:f>
        <x:v>0.000038828533333333336</x:v>
      </x:c>
      <x:c r="Q5063" s="30" t="n">
        <x:f>P5063*N5063</x:f>
        <x:v>0.00046594240000000003</x:v>
      </x:c>
      <x:c r="R5063" s="19" t="str">
        <x:v>独立判定</x:v>
      </x:c>
    </x:row>
    <x:row r="5064" ht="19" customHeight="1">
      <x:c r="A5064" s="19" t="str">
        <x:v>D05060</x:v>
      </x:c>
      <x:c r="B5064" s="19" t="n">
        <x:v>10</x:v>
      </x:c>
      <x:c r="C5064" s="19" t="n">
        <x:v>4</x:v>
      </x:c>
      <x:c r="D5064" s="19" t="str">
        <x:v>C10-M046</x:v>
      </x:c>
      <x:c r="E5064" s="19" t="str">
        <x:v>寝门返魂甲</x:v>
      </x:c>
      <x:c r="F5064" s="19" t="str">
        <x:v>稀有</x:v>
      </x:c>
      <x:c r="G5064" s="19" t="str">
        <x:v>材料独立候选</x:v>
      </x:c>
      <x:c r="H5064" s="19" t="str">
        <x:v>黄金树芽</x:v>
      </x:c>
      <x:c r="I5064" s="22" t="n">
        <x:v>3000</x:v>
      </x:c>
      <x:c r="J5064" s="22" t="n">
        <x:v>1</x:v>
      </x:c>
      <x:c r="K5064" s="19" t="n">
        <x:v>1</x:v>
      </x:c>
      <x:c r="L5064" s="24" t="n">
        <x:v>105.896</x:v>
      </x:c>
      <x:c r="M5064" s="26" t="n">
        <x:v>0.1</x:v>
      </x:c>
      <x:c r="N5064" s="24" t="n">
        <x:v>12</x:v>
      </x:c>
      <x:c r="O5064" s="28" t="n">
        <x:f>MIN(1,L5064/I5064)</x:f>
        <x:v>0.035298666666666666</x:v>
      </x:c>
      <x:c r="P5064" s="30" t="n">
        <x:f>O5064*J5064*(1+M5064)</x:f>
        <x:v>0.03882853333333334</x:v>
      </x:c>
      <x:c r="Q5064" s="30" t="n">
        <x:f>P5064*N5064</x:f>
        <x:v>0.4659424000000001</x:v>
      </x:c>
      <x:c r="R5064" s="19" t="str">
        <x:v>独立判定</x:v>
      </x:c>
    </x:row>
    <x:row r="5065" ht="19" customHeight="1">
      <x:c r="A5065" s="19" t="str">
        <x:v>D05061</x:v>
      </x:c>
      <x:c r="B5065" s="19" t="n">
        <x:v>10</x:v>
      </x:c>
      <x:c r="C5065" s="19" t="n">
        <x:v>4</x:v>
      </x:c>
      <x:c r="D5065" s="19" t="str">
        <x:v>C10-M046</x:v>
      </x:c>
      <x:c r="E5065" s="19" t="str">
        <x:v>寝门返魂甲</x:v>
      </x:c>
      <x:c r="F5065" s="19" t="str">
        <x:v>稀有</x:v>
      </x:c>
      <x:c r="G5065" s="19" t="str">
        <x:v>材料独立候选</x:v>
      </x:c>
      <x:c r="H5065" s="19" t="str">
        <x:v>野兽骨片</x:v>
      </x:c>
      <x:c r="I5065" s="22" t="n">
        <x:v>400</x:v>
      </x:c>
      <x:c r="J5065" s="22" t="n">
        <x:v>4</x:v>
      </x:c>
      <x:c r="K5065" s="19" t="n">
        <x:v>1</x:v>
      </x:c>
      <x:c r="L5065" s="24" t="n">
        <x:v>105.896</x:v>
      </x:c>
      <x:c r="M5065" s="26" t="n">
        <x:v>0.1</x:v>
      </x:c>
      <x:c r="N5065" s="24" t="n">
        <x:v>12</x:v>
      </x:c>
      <x:c r="O5065" s="28" t="n">
        <x:f>MIN(1,L5065/I5065)</x:f>
        <x:v>0.26474</x:v>
      </x:c>
      <x:c r="P5065" s="30" t="n">
        <x:f>O5065*J5065*(1+M5065)</x:f>
        <x:v>1.164856</x:v>
      </x:c>
      <x:c r="Q5065" s="30" t="n">
        <x:f>P5065*N5065</x:f>
        <x:v>13.978271999999999</x:v>
      </x:c>
      <x:c r="R5065" s="19" t="str">
        <x:v>独立判定</x:v>
      </x:c>
    </x:row>
    <x:row r="5066" ht="19" customHeight="1">
      <x:c r="A5066" s="19" t="str">
        <x:v>D05062</x:v>
      </x:c>
      <x:c r="B5066" s="19" t="n">
        <x:v>10</x:v>
      </x:c>
      <x:c r="C5066" s="19" t="n">
        <x:v>4</x:v>
      </x:c>
      <x:c r="D5066" s="19" t="str">
        <x:v>C10-M046</x:v>
      </x:c>
      <x:c r="E5066" s="19" t="str">
        <x:v>寝门返魂甲</x:v>
      </x:c>
      <x:c r="F5066" s="19" t="str">
        <x:v>稀有</x:v>
      </x:c>
      <x:c r="G5066" s="19" t="str">
        <x:v>材料独立候选</x:v>
      </x:c>
      <x:c r="H5066" s="19" t="str">
        <x:v>技能残页</x:v>
      </x:c>
      <x:c r="I5066" s="22" t="n">
        <x:v>3000</x:v>
      </x:c>
      <x:c r="J5066" s="22" t="n">
        <x:v>1</x:v>
      </x:c>
      <x:c r="K5066" s="19" t="n">
        <x:v>1</x:v>
      </x:c>
      <x:c r="L5066" s="24" t="n">
        <x:v>105.896</x:v>
      </x:c>
      <x:c r="M5066" s="26" t="n">
        <x:v>0.1</x:v>
      </x:c>
      <x:c r="N5066" s="24" t="n">
        <x:v>12</x:v>
      </x:c>
      <x:c r="O5066" s="28" t="n">
        <x:f>MIN(1,L5066/I5066)</x:f>
        <x:v>0.035298666666666666</x:v>
      </x:c>
      <x:c r="P5066" s="30" t="n">
        <x:f>O5066*J5066*(1+M5066)</x:f>
        <x:v>0.03882853333333334</x:v>
      </x:c>
      <x:c r="Q5066" s="30" t="n">
        <x:f>P5066*N5066</x:f>
        <x:v>0.4659424000000001</x:v>
      </x:c>
      <x:c r="R5066" s="19" t="str">
        <x:v>独立判定</x:v>
      </x:c>
    </x:row>
    <x:row r="5067" ht="19" customHeight="1">
      <x:c r="A5067" s="19" t="str">
        <x:v>D05063</x:v>
      </x:c>
      <x:c r="B5067" s="19" t="n">
        <x:v>10</x:v>
      </x:c>
      <x:c r="C5067" s="19" t="n">
        <x:v>4</x:v>
      </x:c>
      <x:c r="D5067" s="19" t="str">
        <x:v>C10-M046</x:v>
      </x:c>
      <x:c r="E5067" s="19" t="str">
        <x:v>寝门返魂甲</x:v>
      </x:c>
      <x:c r="F5067" s="19" t="str">
        <x:v>稀有</x:v>
      </x:c>
      <x:c r="G5067" s="19" t="str">
        <x:v>材料独立候选</x:v>
      </x:c>
      <x:c r="H5067" s="19" t="str">
        <x:v>小卢恩</x:v>
      </x:c>
      <x:c r="I5067" s="22" t="n">
        <x:v>18000</x:v>
      </x:c>
      <x:c r="J5067" s="22" t="n">
        <x:v>1</x:v>
      </x:c>
      <x:c r="K5067" s="19" t="n">
        <x:v>1</x:v>
      </x:c>
      <x:c r="L5067" s="24" t="n">
        <x:v>105.896</x:v>
      </x:c>
      <x:c r="M5067" s="26" t="n">
        <x:v>0.1</x:v>
      </x:c>
      <x:c r="N5067" s="24" t="n">
        <x:v>12</x:v>
      </x:c>
      <x:c r="O5067" s="28" t="n">
        <x:f>MIN(1,L5067/I5067)</x:f>
        <x:v>0.0058831111111111115</x:v>
      </x:c>
      <x:c r="P5067" s="30" t="n">
        <x:f>O5067*J5067*(1+M5067)</x:f>
        <x:v>0.006471422222222223</x:v>
      </x:c>
      <x:c r="Q5067" s="30" t="n">
        <x:f>P5067*N5067</x:f>
        <x:v>0.07765706666666668</x:v>
      </x:c>
      <x:c r="R5067" s="19" t="str">
        <x:v>独立判定</x:v>
      </x:c>
    </x:row>
    <x:row r="5068" ht="19" customHeight="1">
      <x:c r="A5068" s="19" t="str">
        <x:v>D05064</x:v>
      </x:c>
      <x:c r="B5068" s="19" t="n">
        <x:v>10</x:v>
      </x:c>
      <x:c r="C5068" s="19" t="n">
        <x:v>4</x:v>
      </x:c>
      <x:c r="D5068" s="19" t="str">
        <x:v>C10-M046</x:v>
      </x:c>
      <x:c r="E5068" s="19" t="str">
        <x:v>寝门返魂甲</x:v>
      </x:c>
      <x:c r="F5068" s="19" t="str">
        <x:v>稀有</x:v>
      </x:c>
      <x:c r="G5068" s="19" t="str">
        <x:v>六神器公共池</x:v>
      </x:c>
      <x:c r="H5068" s="19" t="str">
        <x:v>POOL006</x:v>
      </x:c>
      <x:c r="I5068" s="22" t="n">
        <x:v>5000000</x:v>
      </x:c>
      <x:c r="J5068" s="22" t="n">
        <x:v>1</x:v>
      </x:c>
      <x:c r="K5068" s="19" t="n">
        <x:v>6</x:v>
      </x:c>
      <x:c r="L5068" s="24" t="n">
        <x:v>105.896</x:v>
      </x:c>
      <x:c r="M5068" s="26" t="n">
        <x:v>0.1</x:v>
      </x:c>
      <x:c r="N5068" s="24" t="n">
        <x:v>12</x:v>
      </x:c>
      <x:c r="O5068" s="28" t="n">
        <x:f>MIN(1,L5068/I5068)</x:f>
        <x:v>0.0000211792</x:v>
      </x:c>
      <x:c r="P5068" s="30" t="n">
        <x:f>O5068*J5068*(1+M5068)</x:f>
        <x:v>0.00002329712</x:v>
      </x:c>
      <x:c r="Q5068" s="30" t="n">
        <x:f>P5068*N5068</x:f>
        <x:v>0.00027956544</x:v>
      </x:c>
      <x:c r="R5068" s="19" t="str">
        <x:v>六选一；非6个独立爆率</x:v>
      </x:c>
    </x:row>
    <x:row r="5069" ht="19" customHeight="1">
      <x:c r="A5069" s="19" t="str">
        <x:v>D05065</x:v>
      </x:c>
      <x:c r="B5069" s="19" t="n">
        <x:v>10</x:v>
      </x:c>
      <x:c r="C5069" s="19" t="n">
        <x:v>4</x:v>
      </x:c>
      <x:c r="D5069" s="19" t="str">
        <x:v>C10-M047</x:v>
      </x:c>
      <x:c r="E5069" s="19" t="str">
        <x:v>不葬的甬道王妃</x:v>
      </x:c>
      <x:c r="F5069" s="19" t="str">
        <x:v>地图BOSS</x:v>
      </x:c>
      <x:c r="G5069" s="19" t="str">
        <x:v>自身专属</x:v>
      </x:c>
      <x:c r="H5069" s="19" t="str">
        <x:v>不葬王妃冥笠</x:v>
      </x:c>
      <x:c r="I5069" s="22" t="n">
        <x:v>250</x:v>
      </x:c>
      <x:c r="J5069" s="22" t="n">
        <x:v>1</x:v>
      </x:c>
      <x:c r="K5069" s="19" t="n">
        <x:v>1</x:v>
      </x:c>
      <x:c r="L5069" s="24" t="n">
        <x:v>105.896</x:v>
      </x:c>
      <x:c r="M5069" s="26" t="n">
        <x:v>0.1</x:v>
      </x:c>
      <x:c r="N5069" s="24" t="n">
        <x:v>2</x:v>
      </x:c>
      <x:c r="O5069" s="28" t="n">
        <x:f>MIN(1,L5069/I5069)</x:f>
        <x:v>0.423584</x:v>
      </x:c>
      <x:c r="P5069" s="30" t="n">
        <x:f>O5069*J5069*(1+M5069)</x:f>
        <x:v>0.46594240000000003</x:v>
      </x:c>
      <x:c r="Q5069" s="30" t="n">
        <x:f>P5069*N5069</x:f>
        <x:v>0.9318848000000001</x:v>
      </x:c>
      <x:c r="R5069" s="19" t="str">
        <x:v>独立判定</x:v>
      </x:c>
    </x:row>
    <x:row r="5070" ht="19" customHeight="1">
      <x:c r="A5070" s="19" t="str">
        <x:v>D05066</x:v>
      </x:c>
      <x:c r="B5070" s="19" t="n">
        <x:v>10</x:v>
      </x:c>
      <x:c r="C5070" s="19" t="n">
        <x:v>4</x:v>
      </x:c>
      <x:c r="D5070" s="19" t="str">
        <x:v>C10-M047</x:v>
      </x:c>
      <x:c r="E5070" s="19" t="str">
        <x:v>不葬的甬道王妃</x:v>
      </x:c>
      <x:c r="F5070" s="19" t="str">
        <x:v>地图BOSS</x:v>
      </x:c>
      <x:c r="G5070" s="19" t="str">
        <x:v>本图普通兼掉候选</x:v>
      </x:c>
      <x:c r="H5070" s="19" t="str">
        <x:v>POOL084</x:v>
      </x:c>
      <x:c r="I5070" s="22" t="n">
        <x:v>250</x:v>
      </x:c>
      <x:c r="J5070" s="22" t="n">
        <x:v>1</x:v>
      </x:c>
      <x:c r="K5070" s="19" t="n">
        <x:v>2</x:v>
      </x:c>
      <x:c r="L5070" s="24" t="n">
        <x:v>105.896</x:v>
      </x:c>
      <x:c r="M5070" s="26" t="n">
        <x:v>0.1</x:v>
      </x:c>
      <x:c r="N5070" s="24" t="n">
        <x:v>2</x:v>
      </x:c>
      <x:c r="O5070" s="28" t="n">
        <x:f>MIN(1,L5070/I5070)</x:f>
        <x:v>0.423584</x:v>
      </x:c>
      <x:c r="P5070" s="30" t="n">
        <x:f>O5070*J5070*(1+M5070)</x:f>
        <x:v>0.46594240000000003</x:v>
      </x:c>
      <x:c r="Q5070" s="30" t="n">
        <x:f>P5070*N5070</x:f>
        <x:v>0.9318848000000001</x:v>
      </x:c>
      <x:c r="R5070" s="19" t="str">
        <x:v>单池选一</x:v>
      </x:c>
    </x:row>
    <x:row r="5071" ht="19" customHeight="1">
      <x:c r="A5071" s="19" t="str">
        <x:v>D05067</x:v>
      </x:c>
      <x:c r="B5071" s="19" t="n">
        <x:v>10</x:v>
      </x:c>
      <x:c r="C5071" s="19" t="n">
        <x:v>4</x:v>
      </x:c>
      <x:c r="D5071" s="19" t="str">
        <x:v>C10-M047</x:v>
      </x:c>
      <x:c r="E5071" s="19" t="str">
        <x:v>不葬的甬道王妃</x:v>
      </x:c>
      <x:c r="F5071" s="19" t="str">
        <x:v>地图BOSS</x:v>
      </x:c>
      <x:c r="G5071" s="19" t="str">
        <x:v>材料独立候选</x:v>
      </x:c>
      <x:c r="H5071" s="19" t="str">
        <x:v>王城金屑</x:v>
      </x:c>
      <x:c r="I5071" s="22" t="n">
        <x:v>800</x:v>
      </x:c>
      <x:c r="J5071" s="22" t="n">
        <x:v>30</x:v>
      </x:c>
      <x:c r="K5071" s="19" t="n">
        <x:v>1</x:v>
      </x:c>
      <x:c r="L5071" s="24" t="n">
        <x:v>105.896</x:v>
      </x:c>
      <x:c r="M5071" s="26" t="n">
        <x:v>0.1</x:v>
      </x:c>
      <x:c r="N5071" s="24" t="n">
        <x:v>2</x:v>
      </x:c>
      <x:c r="O5071" s="28" t="n">
        <x:f>MIN(1,L5071/I5071)</x:f>
        <x:v>0.13237</x:v>
      </x:c>
      <x:c r="P5071" s="30" t="n">
        <x:f>O5071*J5071*(1+M5071)</x:f>
        <x:v>4.36821</x:v>
      </x:c>
      <x:c r="Q5071" s="30" t="n">
        <x:f>P5071*N5071</x:f>
        <x:v>8.73642</x:v>
      </x:c>
      <x:c r="R5071" s="19" t="str">
        <x:v>独立判定</x:v>
      </x:c>
    </x:row>
    <x:row r="5072" ht="19" customHeight="1">
      <x:c r="A5072" s="19" t="str">
        <x:v>D05068</x:v>
      </x:c>
      <x:c r="B5072" s="19" t="n">
        <x:v>10</x:v>
      </x:c>
      <x:c r="C5072" s="19" t="n">
        <x:v>4</x:v>
      </x:c>
      <x:c r="D5072" s="19" t="str">
        <x:v>C10-M047</x:v>
      </x:c>
      <x:c r="E5072" s="19" t="str">
        <x:v>不葬的甬道王妃</x:v>
      </x:c>
      <x:c r="F5072" s="19" t="str">
        <x:v>地图BOSS</x:v>
      </x:c>
      <x:c r="G5072" s="19" t="str">
        <x:v>材料独立候选</x:v>
      </x:c>
      <x:c r="H5072" s="19" t="str">
        <x:v>王宫律文</x:v>
      </x:c>
      <x:c r="I5072" s="22" t="n">
        <x:v>500</x:v>
      </x:c>
      <x:c r="J5072" s="22" t="n">
        <x:v>1</x:v>
      </x:c>
      <x:c r="K5072" s="19" t="n">
        <x:v>1</x:v>
      </x:c>
      <x:c r="L5072" s="24" t="n">
        <x:v>105.896</x:v>
      </x:c>
      <x:c r="M5072" s="26" t="n">
        <x:v>0.1</x:v>
      </x:c>
      <x:c r="N5072" s="24" t="n">
        <x:v>2</x:v>
      </x:c>
      <x:c r="O5072" s="28" t="n">
        <x:f>MIN(1,L5072/I5072)</x:f>
        <x:v>0.211792</x:v>
      </x:c>
      <x:c r="P5072" s="30" t="n">
        <x:f>O5072*J5072*(1+M5072)</x:f>
        <x:v>0.23297120000000002</x:v>
      </x:c>
      <x:c r="Q5072" s="30" t="n">
        <x:f>P5072*N5072</x:f>
        <x:v>0.46594240000000003</x:v>
      </x:c>
      <x:c r="R5072" s="19" t="str">
        <x:v>独立判定</x:v>
      </x:c>
    </x:row>
    <x:row r="5073" ht="19" customHeight="1">
      <x:c r="A5073" s="19" t="str">
        <x:v>D05069</x:v>
      </x:c>
      <x:c r="B5073" s="19" t="n">
        <x:v>10</x:v>
      </x:c>
      <x:c r="C5073" s="19" t="n">
        <x:v>4</x:v>
      </x:c>
      <x:c r="D5073" s="19" t="str">
        <x:v>C10-M047</x:v>
      </x:c>
      <x:c r="E5073" s="19" t="str">
        <x:v>不葬的甬道王妃</x:v>
      </x:c>
      <x:c r="F5073" s="19" t="str">
        <x:v>地图BOSS</x:v>
      </x:c>
      <x:c r="G5073" s="19" t="str">
        <x:v>材料独立候选</x:v>
      </x:c>
      <x:c r="H5073" s="19" t="str">
        <x:v>艾尔登王印</x:v>
      </x:c>
      <x:c r="I5073" s="22" t="n">
        <x:v>500</x:v>
      </x:c>
      <x:c r="J5073" s="22" t="n">
        <x:v>10</x:v>
      </x:c>
      <x:c r="K5073" s="19" t="n">
        <x:v>1</x:v>
      </x:c>
      <x:c r="L5073" s="24" t="n">
        <x:v>105.896</x:v>
      </x:c>
      <x:c r="M5073" s="26" t="n">
        <x:v>0.1</x:v>
      </x:c>
      <x:c r="N5073" s="24" t="n">
        <x:v>2</x:v>
      </x:c>
      <x:c r="O5073" s="28" t="n">
        <x:f>MIN(1,L5073/I5073)</x:f>
        <x:v>0.211792</x:v>
      </x:c>
      <x:c r="P5073" s="30" t="n">
        <x:f>O5073*J5073*(1+M5073)</x:f>
        <x:v>2.3297120000000007</x:v>
      </x:c>
      <x:c r="Q5073" s="30" t="n">
        <x:f>P5073*N5073</x:f>
        <x:v>4.659424000000001</x:v>
      </x:c>
      <x:c r="R5073" s="19" t="str">
        <x:v>独立判定</x:v>
      </x:c>
    </x:row>
    <x:row r="5074" ht="19" customHeight="1">
      <x:c r="A5074" s="19" t="str">
        <x:v>D05070</x:v>
      </x:c>
      <x:c r="B5074" s="19" t="n">
        <x:v>10</x:v>
      </x:c>
      <x:c r="C5074" s="19" t="n">
        <x:v>4</x:v>
      </x:c>
      <x:c r="D5074" s="19" t="str">
        <x:v>C10-M047</x:v>
      </x:c>
      <x:c r="E5074" s="19" t="str">
        <x:v>不葬的甬道王妃</x:v>
      </x:c>
      <x:c r="F5074" s="19" t="str">
        <x:v>地图BOSS</x:v>
      </x:c>
      <x:c r="G5074" s="19" t="str">
        <x:v>材料独立候选</x:v>
      </x:c>
      <x:c r="H5074" s="19" t="str">
        <x:v>失温熔炉楔</x:v>
      </x:c>
      <x:c r="I5074" s="22" t="n">
        <x:v>500</x:v>
      </x:c>
      <x:c r="J5074" s="22" t="n">
        <x:v>4</x:v>
      </x:c>
      <x:c r="K5074" s="19" t="n">
        <x:v>1</x:v>
      </x:c>
      <x:c r="L5074" s="24" t="n">
        <x:v>105.896</x:v>
      </x:c>
      <x:c r="M5074" s="26" t="n">
        <x:v>0.1</x:v>
      </x:c>
      <x:c r="N5074" s="24" t="n">
        <x:v>2</x:v>
      </x:c>
      <x:c r="O5074" s="28" t="n">
        <x:f>MIN(1,L5074/I5074)</x:f>
        <x:v>0.211792</x:v>
      </x:c>
      <x:c r="P5074" s="30" t="n">
        <x:f>O5074*J5074*(1+M5074)</x:f>
        <x:v>0.9318848000000001</x:v>
      </x:c>
      <x:c r="Q5074" s="30" t="n">
        <x:f>P5074*N5074</x:f>
        <x:v>1.8637696000000001</x:v>
      </x:c>
      <x:c r="R5074" s="19" t="str">
        <x:v>独立判定</x:v>
      </x:c>
    </x:row>
    <x:row r="5075" ht="19" customHeight="1">
      <x:c r="A5075" s="19" t="str">
        <x:v>D05071</x:v>
      </x:c>
      <x:c r="B5075" s="19" t="n">
        <x:v>10</x:v>
      </x:c>
      <x:c r="C5075" s="19" t="n">
        <x:v>4</x:v>
      </x:c>
      <x:c r="D5075" s="19" t="str">
        <x:v>C10-M047</x:v>
      </x:c>
      <x:c r="E5075" s="19" t="str">
        <x:v>不葬的甬道王妃</x:v>
      </x:c>
      <x:c r="F5075" s="19" t="str">
        <x:v>地图BOSS</x:v>
      </x:c>
      <x:c r="G5075" s="19" t="str">
        <x:v>材料独立候选</x:v>
      </x:c>
      <x:c r="H5075" s="19" t="str">
        <x:v>穹律鎏痕拓片</x:v>
      </x:c>
      <x:c r="I5075" s="22" t="n">
        <x:v>1500000</x:v>
      </x:c>
      <x:c r="J5075" s="22" t="n">
        <x:v>1</x:v>
      </x:c>
      <x:c r="K5075" s="19" t="n">
        <x:v>1</x:v>
      </x:c>
      <x:c r="L5075" s="24" t="n">
        <x:v>105.896</x:v>
      </x:c>
      <x:c r="M5075" s="26" t="n">
        <x:v>0.1</x:v>
      </x:c>
      <x:c r="N5075" s="24" t="n">
        <x:v>2</x:v>
      </x:c>
      <x:c r="O5075" s="28" t="n">
        <x:f>MIN(1,L5075/I5075)</x:f>
        <x:v>0.00007059733333333334</x:v>
      </x:c>
      <x:c r="P5075" s="30" t="n">
        <x:f>O5075*J5075*(1+M5075)</x:f>
        <x:v>0.00007765706666666667</x:v>
      </x:c>
      <x:c r="Q5075" s="30" t="n">
        <x:f>P5075*N5075</x:f>
        <x:v>0.00015531413333333334</x:v>
      </x:c>
      <x:c r="R5075" s="19" t="str">
        <x:v>独立判定</x:v>
      </x:c>
    </x:row>
    <x:row r="5076" ht="19" customHeight="1">
      <x:c r="A5076" s="19" t="str">
        <x:v>D05072</x:v>
      </x:c>
      <x:c r="B5076" s="19" t="n">
        <x:v>10</x:v>
      </x:c>
      <x:c r="C5076" s="19" t="n">
        <x:v>4</x:v>
      </x:c>
      <x:c r="D5076" s="19" t="str">
        <x:v>C10-M047</x:v>
      </x:c>
      <x:c r="E5076" s="19" t="str">
        <x:v>不葬的甬道王妃</x:v>
      </x:c>
      <x:c r="F5076" s="19" t="str">
        <x:v>地图BOSS</x:v>
      </x:c>
      <x:c r="G5076" s="19" t="str">
        <x:v>材料独立候选</x:v>
      </x:c>
      <x:c r="H5076" s="19" t="str">
        <x:v>黄金树芽</x:v>
      </x:c>
      <x:c r="I5076" s="22" t="n">
        <x:v>1800</x:v>
      </x:c>
      <x:c r="J5076" s="22" t="n">
        <x:v>1</x:v>
      </x:c>
      <x:c r="K5076" s="19" t="n">
        <x:v>1</x:v>
      </x:c>
      <x:c r="L5076" s="24" t="n">
        <x:v>105.896</x:v>
      </x:c>
      <x:c r="M5076" s="26" t="n">
        <x:v>0.1</x:v>
      </x:c>
      <x:c r="N5076" s="24" t="n">
        <x:v>2</x:v>
      </x:c>
      <x:c r="O5076" s="28" t="n">
        <x:f>MIN(1,L5076/I5076)</x:f>
        <x:v>0.05883111111111111</x:v>
      </x:c>
      <x:c r="P5076" s="30" t="n">
        <x:f>O5076*J5076*(1+M5076)</x:f>
        <x:v>0.06471422222222223</x:v>
      </x:c>
      <x:c r="Q5076" s="30" t="n">
        <x:f>P5076*N5076</x:f>
        <x:v>0.12942844444444446</x:v>
      </x:c>
      <x:c r="R5076" s="19" t="str">
        <x:v>独立判定</x:v>
      </x:c>
    </x:row>
    <x:row r="5077" ht="19" customHeight="1">
      <x:c r="A5077" s="19" t="str">
        <x:v>D05073</x:v>
      </x:c>
      <x:c r="B5077" s="19" t="n">
        <x:v>10</x:v>
      </x:c>
      <x:c r="C5077" s="19" t="n">
        <x:v>4</x:v>
      </x:c>
      <x:c r="D5077" s="19" t="str">
        <x:v>C10-M047</x:v>
      </x:c>
      <x:c r="E5077" s="19" t="str">
        <x:v>不葬的甬道王妃</x:v>
      </x:c>
      <x:c r="F5077" s="19" t="str">
        <x:v>地图BOSS</x:v>
      </x:c>
      <x:c r="G5077" s="19" t="str">
        <x:v>材料独立候选</x:v>
      </x:c>
      <x:c r="H5077" s="19" t="str">
        <x:v>野兽骨片</x:v>
      </x:c>
      <x:c r="I5077" s="22" t="n">
        <x:v>200</x:v>
      </x:c>
      <x:c r="J5077" s="22" t="n">
        <x:v>4</x:v>
      </x:c>
      <x:c r="K5077" s="19" t="n">
        <x:v>1</x:v>
      </x:c>
      <x:c r="L5077" s="24" t="n">
        <x:v>105.896</x:v>
      </x:c>
      <x:c r="M5077" s="26" t="n">
        <x:v>0.1</x:v>
      </x:c>
      <x:c r="N5077" s="24" t="n">
        <x:v>2</x:v>
      </x:c>
      <x:c r="O5077" s="28" t="n">
        <x:f>MIN(1,L5077/I5077)</x:f>
        <x:v>0.52948</x:v>
      </x:c>
      <x:c r="P5077" s="30" t="n">
        <x:f>O5077*J5077*(1+M5077)</x:f>
        <x:v>2.329712</x:v>
      </x:c>
      <x:c r="Q5077" s="30" t="n">
        <x:f>P5077*N5077</x:f>
        <x:v>4.659424</x:v>
      </x:c>
      <x:c r="R5077" s="19" t="str">
        <x:v>独立判定</x:v>
      </x:c>
    </x:row>
    <x:row r="5078" ht="19" customHeight="1">
      <x:c r="A5078" s="19" t="str">
        <x:v>D05074</x:v>
      </x:c>
      <x:c r="B5078" s="19" t="n">
        <x:v>10</x:v>
      </x:c>
      <x:c r="C5078" s="19" t="n">
        <x:v>4</x:v>
      </x:c>
      <x:c r="D5078" s="19" t="str">
        <x:v>C10-M047</x:v>
      </x:c>
      <x:c r="E5078" s="19" t="str">
        <x:v>不葬的甬道王妃</x:v>
      </x:c>
      <x:c r="F5078" s="19" t="str">
        <x:v>地图BOSS</x:v>
      </x:c>
      <x:c r="G5078" s="19" t="str">
        <x:v>材料独立候选</x:v>
      </x:c>
      <x:c r="H5078" s="19" t="str">
        <x:v>技能残页</x:v>
      </x:c>
      <x:c r="I5078" s="22" t="n">
        <x:v>1800</x:v>
      </x:c>
      <x:c r="J5078" s="22" t="n">
        <x:v>1</x:v>
      </x:c>
      <x:c r="K5078" s="19" t="n">
        <x:v>1</x:v>
      </x:c>
      <x:c r="L5078" s="24" t="n">
        <x:v>105.896</x:v>
      </x:c>
      <x:c r="M5078" s="26" t="n">
        <x:v>0.1</x:v>
      </x:c>
      <x:c r="N5078" s="24" t="n">
        <x:v>2</x:v>
      </x:c>
      <x:c r="O5078" s="28" t="n">
        <x:f>MIN(1,L5078/I5078)</x:f>
        <x:v>0.05883111111111111</x:v>
      </x:c>
      <x:c r="P5078" s="30" t="n">
        <x:f>O5078*J5078*(1+M5078)</x:f>
        <x:v>0.06471422222222223</x:v>
      </x:c>
      <x:c r="Q5078" s="30" t="n">
        <x:f>P5078*N5078</x:f>
        <x:v>0.12942844444444446</x:v>
      </x:c>
      <x:c r="R5078" s="19" t="str">
        <x:v>独立判定</x:v>
      </x:c>
    </x:row>
    <x:row r="5079" ht="19" customHeight="1">
      <x:c r="A5079" s="19" t="str">
        <x:v>D05075</x:v>
      </x:c>
      <x:c r="B5079" s="19" t="n">
        <x:v>10</x:v>
      </x:c>
      <x:c r="C5079" s="19" t="n">
        <x:v>4</x:v>
      </x:c>
      <x:c r="D5079" s="19" t="str">
        <x:v>C10-M047</x:v>
      </x:c>
      <x:c r="E5079" s="19" t="str">
        <x:v>不葬的甬道王妃</x:v>
      </x:c>
      <x:c r="F5079" s="19" t="str">
        <x:v>地图BOSS</x:v>
      </x:c>
      <x:c r="G5079" s="19" t="str">
        <x:v>材料独立候选</x:v>
      </x:c>
      <x:c r="H5079" s="19" t="str">
        <x:v>宁姆格福誓页</x:v>
      </x:c>
      <x:c r="I5079" s="22" t="n">
        <x:v>1200</x:v>
      </x:c>
      <x:c r="J5079" s="22" t="n">
        <x:v>1</x:v>
      </x:c>
      <x:c r="K5079" s="19" t="n">
        <x:v>1</x:v>
      </x:c>
      <x:c r="L5079" s="24" t="n">
        <x:v>105.896</x:v>
      </x:c>
      <x:c r="M5079" s="26" t="n">
        <x:v>0.1</x:v>
      </x:c>
      <x:c r="N5079" s="24" t="n">
        <x:v>2</x:v>
      </x:c>
      <x:c r="O5079" s="28" t="n">
        <x:f>MIN(1,L5079/I5079)</x:f>
        <x:v>0.08824666666666667</x:v>
      </x:c>
      <x:c r="P5079" s="30" t="n">
        <x:f>O5079*J5079*(1+M5079)</x:f>
        <x:v>0.09707133333333334</x:v>
      </x:c>
      <x:c r="Q5079" s="30" t="n">
        <x:f>P5079*N5079</x:f>
        <x:v>0.19414266666666669</x:v>
      </x:c>
      <x:c r="R5079" s="19" t="str">
        <x:v>独立判定</x:v>
      </x:c>
    </x:row>
    <x:row r="5080" ht="19" customHeight="1">
      <x:c r="A5080" s="19" t="str">
        <x:v>D05076</x:v>
      </x:c>
      <x:c r="B5080" s="19" t="n">
        <x:v>10</x:v>
      </x:c>
      <x:c r="C5080" s="19" t="n">
        <x:v>4</x:v>
      </x:c>
      <x:c r="D5080" s="19" t="str">
        <x:v>C10-M047</x:v>
      </x:c>
      <x:c r="E5080" s="19" t="str">
        <x:v>不葬的甬道王妃</x:v>
      </x:c>
      <x:c r="F5080" s="19" t="str">
        <x:v>地图BOSS</x:v>
      </x:c>
      <x:c r="G5080" s="19" t="str">
        <x:v>材料独立候选</x:v>
      </x:c>
      <x:c r="H5080" s="19" t="str">
        <x:v>小卢恩</x:v>
      </x:c>
      <x:c r="I5080" s="22" t="n">
        <x:v>10000</x:v>
      </x:c>
      <x:c r="J5080" s="22" t="n">
        <x:v>1</x:v>
      </x:c>
      <x:c r="K5080" s="19" t="n">
        <x:v>1</x:v>
      </x:c>
      <x:c r="L5080" s="24" t="n">
        <x:v>105.896</x:v>
      </x:c>
      <x:c r="M5080" s="26" t="n">
        <x:v>0.1</x:v>
      </x:c>
      <x:c r="N5080" s="24" t="n">
        <x:v>2</x:v>
      </x:c>
      <x:c r="O5080" s="28" t="n">
        <x:f>MIN(1,L5080/I5080)</x:f>
        <x:v>0.0105896</x:v>
      </x:c>
      <x:c r="P5080" s="30" t="n">
        <x:f>O5080*J5080*(1+M5080)</x:f>
        <x:v>0.01164856</x:v>
      </x:c>
      <x:c r="Q5080" s="30" t="n">
        <x:f>P5080*N5080</x:f>
        <x:v>0.02329712</x:v>
      </x:c>
      <x:c r="R5080" s="19" t="str">
        <x:v>独立判定</x:v>
      </x:c>
    </x:row>
    <x:row r="5081" ht="19" customHeight="1">
      <x:c r="A5081" s="19" t="str">
        <x:v>D05077</x:v>
      </x:c>
      <x:c r="B5081" s="19" t="n">
        <x:v>10</x:v>
      </x:c>
      <x:c r="C5081" s="19" t="n">
        <x:v>4</x:v>
      </x:c>
      <x:c r="D5081" s="19" t="str">
        <x:v>C10-M047</x:v>
      </x:c>
      <x:c r="E5081" s="19" t="str">
        <x:v>不葬的甬道王妃</x:v>
      </x:c>
      <x:c r="F5081" s="19" t="str">
        <x:v>地图BOSS</x:v>
      </x:c>
      <x:c r="G5081" s="19" t="str">
        <x:v>材料独立候选</x:v>
      </x:c>
      <x:c r="H5081" s="19" t="str">
        <x:v>大卢恩</x:v>
      </x:c>
      <x:c r="I5081" s="22" t="n">
        <x:v>1000</x:v>
      </x:c>
      <x:c r="J5081" s="22" t="n">
        <x:v>1</x:v>
      </x:c>
      <x:c r="K5081" s="19" t="n">
        <x:v>1</x:v>
      </x:c>
      <x:c r="L5081" s="24" t="n">
        <x:v>105.896</x:v>
      </x:c>
      <x:c r="M5081" s="26" t="n">
        <x:v>0.1</x:v>
      </x:c>
      <x:c r="N5081" s="24" t="n">
        <x:v>2</x:v>
      </x:c>
      <x:c r="O5081" s="28" t="n">
        <x:f>MIN(1,L5081/I5081)</x:f>
        <x:v>0.105896</x:v>
      </x:c>
      <x:c r="P5081" s="30" t="n">
        <x:f>O5081*J5081*(1+M5081)</x:f>
        <x:v>0.11648560000000001</x:v>
      </x:c>
      <x:c r="Q5081" s="30" t="n">
        <x:f>P5081*N5081</x:f>
        <x:v>0.23297120000000002</x:v>
      </x:c>
      <x:c r="R5081" s="19" t="str">
        <x:v>独立判定</x:v>
      </x:c>
    </x:row>
    <x:row r="5082" ht="19" customHeight="1">
      <x:c r="A5082" s="19" t="str">
        <x:v>D05078</x:v>
      </x:c>
      <x:c r="B5082" s="19" t="n">
        <x:v>10</x:v>
      </x:c>
      <x:c r="C5082" s="19" t="n">
        <x:v>4</x:v>
      </x:c>
      <x:c r="D5082" s="19" t="str">
        <x:v>C10-M047</x:v>
      </x:c>
      <x:c r="E5082" s="19" t="str">
        <x:v>不葬的甬道王妃</x:v>
      </x:c>
      <x:c r="F5082" s="19" t="str">
        <x:v>地图BOSS</x:v>
      </x:c>
      <x:c r="G5082" s="19" t="str">
        <x:v>材料独立候选</x:v>
      </x:c>
      <x:c r="H5082" s="19" t="str">
        <x:v>巨人熔火卢恩</x:v>
      </x:c>
      <x:c r="I5082" s="22" t="n">
        <x:v>1200</x:v>
      </x:c>
      <x:c r="J5082" s="22" t="n">
        <x:v>1</x:v>
      </x:c>
      <x:c r="K5082" s="19" t="n">
        <x:v>1</x:v>
      </x:c>
      <x:c r="L5082" s="24" t="n">
        <x:v>105.896</x:v>
      </x:c>
      <x:c r="M5082" s="26" t="n">
        <x:v>0.1</x:v>
      </x:c>
      <x:c r="N5082" s="24" t="n">
        <x:v>2</x:v>
      </x:c>
      <x:c r="O5082" s="28" t="n">
        <x:f>MIN(1,L5082/I5082)</x:f>
        <x:v>0.08824666666666667</x:v>
      </x:c>
      <x:c r="P5082" s="30" t="n">
        <x:f>O5082*J5082*(1+M5082)</x:f>
        <x:v>0.09707133333333334</x:v>
      </x:c>
      <x:c r="Q5082" s="30" t="n">
        <x:f>P5082*N5082</x:f>
        <x:v>0.19414266666666669</x:v>
      </x:c>
      <x:c r="R5082" s="19" t="str">
        <x:v>独立判定</x:v>
      </x:c>
    </x:row>
    <x:row r="5083" ht="19" customHeight="1">
      <x:c r="A5083" s="19" t="str">
        <x:v>D05079</x:v>
      </x:c>
      <x:c r="B5083" s="19" t="n">
        <x:v>10</x:v>
      </x:c>
      <x:c r="C5083" s="19" t="n">
        <x:v>4</x:v>
      </x:c>
      <x:c r="D5083" s="19" t="str">
        <x:v>C10-M047</x:v>
      </x:c>
      <x:c r="E5083" s="19" t="str">
        <x:v>不葬的甬道王妃</x:v>
      </x:c>
      <x:c r="F5083" s="19" t="str">
        <x:v>地图BOSS</x:v>
      </x:c>
      <x:c r="G5083" s="19" t="str">
        <x:v>材料独立候选</x:v>
      </x:c>
      <x:c r="H5083" s="19" t="str">
        <x:v>黄金律法卢恩</x:v>
      </x:c>
      <x:c r="I5083" s="22" t="n">
        <x:v>400</x:v>
      </x:c>
      <x:c r="J5083" s="22" t="n">
        <x:v>15</x:v>
      </x:c>
      <x:c r="K5083" s="19" t="n">
        <x:v>1</x:v>
      </x:c>
      <x:c r="L5083" s="24" t="n">
        <x:v>105.896</x:v>
      </x:c>
      <x:c r="M5083" s="26" t="n">
        <x:v>0.1</x:v>
      </x:c>
      <x:c r="N5083" s="24" t="n">
        <x:v>2</x:v>
      </x:c>
      <x:c r="O5083" s="28" t="n">
        <x:f>MIN(1,L5083/I5083)</x:f>
        <x:v>0.26474</x:v>
      </x:c>
      <x:c r="P5083" s="30" t="n">
        <x:f>O5083*J5083*(1+M5083)</x:f>
        <x:v>4.36821</x:v>
      </x:c>
      <x:c r="Q5083" s="30" t="n">
        <x:f>P5083*N5083</x:f>
        <x:v>8.73642</x:v>
      </x:c>
      <x:c r="R5083" s="19" t="str">
        <x:v>独立判定</x:v>
      </x:c>
    </x:row>
    <x:row r="5084" ht="19" customHeight="1">
      <x:c r="A5084" s="19" t="str">
        <x:v>D05080</x:v>
      </x:c>
      <x:c r="B5084" s="19" t="n">
        <x:v>10</x:v>
      </x:c>
      <x:c r="C5084" s="19" t="n">
        <x:v>4</x:v>
      </x:c>
      <x:c r="D5084" s="19" t="str">
        <x:v>C10-M047</x:v>
      </x:c>
      <x:c r="E5084" s="19" t="str">
        <x:v>不葬的甬道王妃</x:v>
      </x:c>
      <x:c r="F5084" s="19" t="str">
        <x:v>地图BOSS</x:v>
      </x:c>
      <x:c r="G5084" s="19" t="str">
        <x:v>六神器公共池</x:v>
      </x:c>
      <x:c r="H5084" s="19" t="str">
        <x:v>POOL006</x:v>
      </x:c>
      <x:c r="I5084" s="22" t="n">
        <x:v>200000</x:v>
      </x:c>
      <x:c r="J5084" s="22" t="n">
        <x:v>1</x:v>
      </x:c>
      <x:c r="K5084" s="19" t="n">
        <x:v>6</x:v>
      </x:c>
      <x:c r="L5084" s="24" t="n">
        <x:v>105.896</x:v>
      </x:c>
      <x:c r="M5084" s="26" t="n">
        <x:v>0.1</x:v>
      </x:c>
      <x:c r="N5084" s="24" t="n">
        <x:v>2</x:v>
      </x:c>
      <x:c r="O5084" s="28" t="n">
        <x:f>MIN(1,L5084/I5084)</x:f>
        <x:v>0.00052948</x:v>
      </x:c>
      <x:c r="P5084" s="30" t="n">
        <x:f>O5084*J5084*(1+M5084)</x:f>
        <x:v>0.0005824280000000001</x:v>
      </x:c>
      <x:c r="Q5084" s="30" t="n">
        <x:f>P5084*N5084</x:f>
        <x:v>0.0011648560000000001</x:v>
      </x:c>
      <x:c r="R5084" s="19" t="str">
        <x:v>六选一；非6个独立爆率</x:v>
      </x:c>
    </x:row>
    <x:row r="5085" ht="19" customHeight="1">
      <x:c r="A5085" s="19" t="str">
        <x:v>D05081</x:v>
      </x:c>
      <x:c r="B5085" s="19" t="n">
        <x:v>10</x:v>
      </x:c>
      <x:c r="C5085" s="19" t="n">
        <x:v>4</x:v>
      </x:c>
      <x:c r="D5085" s="19" t="str">
        <x:v>C10-M048</x:v>
      </x:c>
      <x:c r="E5085" s="19" t="str">
        <x:v>枯寝吞碑王</x:v>
      </x:c>
      <x:c r="F5085" s="19" t="str">
        <x:v>地图BOSS</x:v>
      </x:c>
      <x:c r="G5085" s="19" t="str">
        <x:v>自身专属</x:v>
      </x:c>
      <x:c r="H5085" s="19" t="str">
        <x:v>吞碑枯寝大氅</x:v>
      </x:c>
      <x:c r="I5085" s="22" t="n">
        <x:v>250</x:v>
      </x:c>
      <x:c r="J5085" s="22" t="n">
        <x:v>1</x:v>
      </x:c>
      <x:c r="K5085" s="19" t="n">
        <x:v>1</x:v>
      </x:c>
      <x:c r="L5085" s="24" t="n">
        <x:v>105.896</x:v>
      </x:c>
      <x:c r="M5085" s="26" t="n">
        <x:v>0.1</x:v>
      </x:c>
      <x:c r="N5085" s="24" t="n">
        <x:v>2</x:v>
      </x:c>
      <x:c r="O5085" s="28" t="n">
        <x:f>MIN(1,L5085/I5085)</x:f>
        <x:v>0.423584</x:v>
      </x:c>
      <x:c r="P5085" s="30" t="n">
        <x:f>O5085*J5085*(1+M5085)</x:f>
        <x:v>0.46594240000000003</x:v>
      </x:c>
      <x:c r="Q5085" s="30" t="n">
        <x:f>P5085*N5085</x:f>
        <x:v>0.9318848000000001</x:v>
      </x:c>
      <x:c r="R5085" s="19" t="str">
        <x:v>独立判定</x:v>
      </x:c>
    </x:row>
    <x:row r="5086" ht="19" customHeight="1">
      <x:c r="A5086" s="19" t="str">
        <x:v>D05082</x:v>
      </x:c>
      <x:c r="B5086" s="19" t="n">
        <x:v>10</x:v>
      </x:c>
      <x:c r="C5086" s="19" t="n">
        <x:v>4</x:v>
      </x:c>
      <x:c r="D5086" s="19" t="str">
        <x:v>C10-M048</x:v>
      </x:c>
      <x:c r="E5086" s="19" t="str">
        <x:v>枯寝吞碑王</x:v>
      </x:c>
      <x:c r="F5086" s="19" t="str">
        <x:v>地图BOSS</x:v>
      </x:c>
      <x:c r="G5086" s="19" t="str">
        <x:v>本图普通兼掉候选</x:v>
      </x:c>
      <x:c r="H5086" s="19" t="str">
        <x:v>POOL085</x:v>
      </x:c>
      <x:c r="I5086" s="22" t="n">
        <x:v>250</x:v>
      </x:c>
      <x:c r="J5086" s="22" t="n">
        <x:v>1</x:v>
      </x:c>
      <x:c r="K5086" s="19" t="n">
        <x:v>2</x:v>
      </x:c>
      <x:c r="L5086" s="24" t="n">
        <x:v>105.896</x:v>
      </x:c>
      <x:c r="M5086" s="26" t="n">
        <x:v>0.1</x:v>
      </x:c>
      <x:c r="N5086" s="24" t="n">
        <x:v>2</x:v>
      </x:c>
      <x:c r="O5086" s="28" t="n">
        <x:f>MIN(1,L5086/I5086)</x:f>
        <x:v>0.423584</x:v>
      </x:c>
      <x:c r="P5086" s="30" t="n">
        <x:f>O5086*J5086*(1+M5086)</x:f>
        <x:v>0.46594240000000003</x:v>
      </x:c>
      <x:c r="Q5086" s="30" t="n">
        <x:f>P5086*N5086</x:f>
        <x:v>0.9318848000000001</x:v>
      </x:c>
      <x:c r="R5086" s="19" t="str">
        <x:v>单池选一</x:v>
      </x:c>
    </x:row>
    <x:row r="5087" ht="19" customHeight="1">
      <x:c r="A5087" s="19" t="str">
        <x:v>D05083</x:v>
      </x:c>
      <x:c r="B5087" s="19" t="n">
        <x:v>10</x:v>
      </x:c>
      <x:c r="C5087" s="19" t="n">
        <x:v>4</x:v>
      </x:c>
      <x:c r="D5087" s="19" t="str">
        <x:v>C10-M048</x:v>
      </x:c>
      <x:c r="E5087" s="19" t="str">
        <x:v>枯寝吞碑王</x:v>
      </x:c>
      <x:c r="F5087" s="19" t="str">
        <x:v>地图BOSS</x:v>
      </x:c>
      <x:c r="G5087" s="19" t="str">
        <x:v>材料独立候选</x:v>
      </x:c>
      <x:c r="H5087" s="19" t="str">
        <x:v>王城金屑</x:v>
      </x:c>
      <x:c r="I5087" s="22" t="n">
        <x:v>800</x:v>
      </x:c>
      <x:c r="J5087" s="22" t="n">
        <x:v>30</x:v>
      </x:c>
      <x:c r="K5087" s="19" t="n">
        <x:v>1</x:v>
      </x:c>
      <x:c r="L5087" s="24" t="n">
        <x:v>105.896</x:v>
      </x:c>
      <x:c r="M5087" s="26" t="n">
        <x:v>0.1</x:v>
      </x:c>
      <x:c r="N5087" s="24" t="n">
        <x:v>2</x:v>
      </x:c>
      <x:c r="O5087" s="28" t="n">
        <x:f>MIN(1,L5087/I5087)</x:f>
        <x:v>0.13237</x:v>
      </x:c>
      <x:c r="P5087" s="30" t="n">
        <x:f>O5087*J5087*(1+M5087)</x:f>
        <x:v>4.36821</x:v>
      </x:c>
      <x:c r="Q5087" s="30" t="n">
        <x:f>P5087*N5087</x:f>
        <x:v>8.73642</x:v>
      </x:c>
      <x:c r="R5087" s="19" t="str">
        <x:v>独立判定</x:v>
      </x:c>
    </x:row>
    <x:row r="5088" ht="19" customHeight="1">
      <x:c r="A5088" s="19" t="str">
        <x:v>D05084</x:v>
      </x:c>
      <x:c r="B5088" s="19" t="n">
        <x:v>10</x:v>
      </x:c>
      <x:c r="C5088" s="19" t="n">
        <x:v>4</x:v>
      </x:c>
      <x:c r="D5088" s="19" t="str">
        <x:v>C10-M048</x:v>
      </x:c>
      <x:c r="E5088" s="19" t="str">
        <x:v>枯寝吞碑王</x:v>
      </x:c>
      <x:c r="F5088" s="19" t="str">
        <x:v>地图BOSS</x:v>
      </x:c>
      <x:c r="G5088" s="19" t="str">
        <x:v>材料独立候选</x:v>
      </x:c>
      <x:c r="H5088" s="19" t="str">
        <x:v>王宫律文</x:v>
      </x:c>
      <x:c r="I5088" s="22" t="n">
        <x:v>500</x:v>
      </x:c>
      <x:c r="J5088" s="22" t="n">
        <x:v>1</x:v>
      </x:c>
      <x:c r="K5088" s="19" t="n">
        <x:v>1</x:v>
      </x:c>
      <x:c r="L5088" s="24" t="n">
        <x:v>105.896</x:v>
      </x:c>
      <x:c r="M5088" s="26" t="n">
        <x:v>0.1</x:v>
      </x:c>
      <x:c r="N5088" s="24" t="n">
        <x:v>2</x:v>
      </x:c>
      <x:c r="O5088" s="28" t="n">
        <x:f>MIN(1,L5088/I5088)</x:f>
        <x:v>0.211792</x:v>
      </x:c>
      <x:c r="P5088" s="30" t="n">
        <x:f>O5088*J5088*(1+M5088)</x:f>
        <x:v>0.23297120000000002</x:v>
      </x:c>
      <x:c r="Q5088" s="30" t="n">
        <x:f>P5088*N5088</x:f>
        <x:v>0.46594240000000003</x:v>
      </x:c>
      <x:c r="R5088" s="19" t="str">
        <x:v>独立判定</x:v>
      </x:c>
    </x:row>
    <x:row r="5089" ht="19" customHeight="1">
      <x:c r="A5089" s="19" t="str">
        <x:v>D05085</x:v>
      </x:c>
      <x:c r="B5089" s="19" t="n">
        <x:v>10</x:v>
      </x:c>
      <x:c r="C5089" s="19" t="n">
        <x:v>4</x:v>
      </x:c>
      <x:c r="D5089" s="19" t="str">
        <x:v>C10-M048</x:v>
      </x:c>
      <x:c r="E5089" s="19" t="str">
        <x:v>枯寝吞碑王</x:v>
      </x:c>
      <x:c r="F5089" s="19" t="str">
        <x:v>地图BOSS</x:v>
      </x:c>
      <x:c r="G5089" s="19" t="str">
        <x:v>材料独立候选</x:v>
      </x:c>
      <x:c r="H5089" s="19" t="str">
        <x:v>艾尔登王印</x:v>
      </x:c>
      <x:c r="I5089" s="22" t="n">
        <x:v>500</x:v>
      </x:c>
      <x:c r="J5089" s="22" t="n">
        <x:v>10</x:v>
      </x:c>
      <x:c r="K5089" s="19" t="n">
        <x:v>1</x:v>
      </x:c>
      <x:c r="L5089" s="24" t="n">
        <x:v>105.896</x:v>
      </x:c>
      <x:c r="M5089" s="26" t="n">
        <x:v>0.1</x:v>
      </x:c>
      <x:c r="N5089" s="24" t="n">
        <x:v>2</x:v>
      </x:c>
      <x:c r="O5089" s="28" t="n">
        <x:f>MIN(1,L5089/I5089)</x:f>
        <x:v>0.211792</x:v>
      </x:c>
      <x:c r="P5089" s="30" t="n">
        <x:f>O5089*J5089*(1+M5089)</x:f>
        <x:v>2.3297120000000007</x:v>
      </x:c>
      <x:c r="Q5089" s="30" t="n">
        <x:f>P5089*N5089</x:f>
        <x:v>4.659424000000001</x:v>
      </x:c>
      <x:c r="R5089" s="19" t="str">
        <x:v>独立判定</x:v>
      </x:c>
    </x:row>
    <x:row r="5090" ht="19" customHeight="1">
      <x:c r="A5090" s="19" t="str">
        <x:v>D05086</x:v>
      </x:c>
      <x:c r="B5090" s="19" t="n">
        <x:v>10</x:v>
      </x:c>
      <x:c r="C5090" s="19" t="n">
        <x:v>4</x:v>
      </x:c>
      <x:c r="D5090" s="19" t="str">
        <x:v>C10-M048</x:v>
      </x:c>
      <x:c r="E5090" s="19" t="str">
        <x:v>枯寝吞碑王</x:v>
      </x:c>
      <x:c r="F5090" s="19" t="str">
        <x:v>地图BOSS</x:v>
      </x:c>
      <x:c r="G5090" s="19" t="str">
        <x:v>材料独立候选</x:v>
      </x:c>
      <x:c r="H5090" s="19" t="str">
        <x:v>失温熔炉楔</x:v>
      </x:c>
      <x:c r="I5090" s="22" t="n">
        <x:v>500</x:v>
      </x:c>
      <x:c r="J5090" s="22" t="n">
        <x:v>4</x:v>
      </x:c>
      <x:c r="K5090" s="19" t="n">
        <x:v>1</x:v>
      </x:c>
      <x:c r="L5090" s="24" t="n">
        <x:v>105.896</x:v>
      </x:c>
      <x:c r="M5090" s="26" t="n">
        <x:v>0.1</x:v>
      </x:c>
      <x:c r="N5090" s="24" t="n">
        <x:v>2</x:v>
      </x:c>
      <x:c r="O5090" s="28" t="n">
        <x:f>MIN(1,L5090/I5090)</x:f>
        <x:v>0.211792</x:v>
      </x:c>
      <x:c r="P5090" s="30" t="n">
        <x:f>O5090*J5090*(1+M5090)</x:f>
        <x:v>0.9318848000000001</x:v>
      </x:c>
      <x:c r="Q5090" s="30" t="n">
        <x:f>P5090*N5090</x:f>
        <x:v>1.8637696000000001</x:v>
      </x:c>
      <x:c r="R5090" s="19" t="str">
        <x:v>独立判定</x:v>
      </x:c>
    </x:row>
    <x:row r="5091" ht="19" customHeight="1">
      <x:c r="A5091" s="19" t="str">
        <x:v>D05087</x:v>
      </x:c>
      <x:c r="B5091" s="19" t="n">
        <x:v>10</x:v>
      </x:c>
      <x:c r="C5091" s="19" t="n">
        <x:v>4</x:v>
      </x:c>
      <x:c r="D5091" s="19" t="str">
        <x:v>C10-M048</x:v>
      </x:c>
      <x:c r="E5091" s="19" t="str">
        <x:v>枯寝吞碑王</x:v>
      </x:c>
      <x:c r="F5091" s="19" t="str">
        <x:v>地图BOSS</x:v>
      </x:c>
      <x:c r="G5091" s="19" t="str">
        <x:v>材料独立候选</x:v>
      </x:c>
      <x:c r="H5091" s="19" t="str">
        <x:v>穹律鎏痕拓片</x:v>
      </x:c>
      <x:c r="I5091" s="22" t="n">
        <x:v>1500000</x:v>
      </x:c>
      <x:c r="J5091" s="22" t="n">
        <x:v>1</x:v>
      </x:c>
      <x:c r="K5091" s="19" t="n">
        <x:v>1</x:v>
      </x:c>
      <x:c r="L5091" s="24" t="n">
        <x:v>105.896</x:v>
      </x:c>
      <x:c r="M5091" s="26" t="n">
        <x:v>0.1</x:v>
      </x:c>
      <x:c r="N5091" s="24" t="n">
        <x:v>2</x:v>
      </x:c>
      <x:c r="O5091" s="28" t="n">
        <x:f>MIN(1,L5091/I5091)</x:f>
        <x:v>0.00007059733333333334</x:v>
      </x:c>
      <x:c r="P5091" s="30" t="n">
        <x:f>O5091*J5091*(1+M5091)</x:f>
        <x:v>0.00007765706666666667</x:v>
      </x:c>
      <x:c r="Q5091" s="30" t="n">
        <x:f>P5091*N5091</x:f>
        <x:v>0.00015531413333333334</x:v>
      </x:c>
      <x:c r="R5091" s="19" t="str">
        <x:v>独立判定</x:v>
      </x:c>
    </x:row>
    <x:row r="5092" ht="19" customHeight="1">
      <x:c r="A5092" s="19" t="str">
        <x:v>D05088</x:v>
      </x:c>
      <x:c r="B5092" s="19" t="n">
        <x:v>10</x:v>
      </x:c>
      <x:c r="C5092" s="19" t="n">
        <x:v>4</x:v>
      </x:c>
      <x:c r="D5092" s="19" t="str">
        <x:v>C10-M048</x:v>
      </x:c>
      <x:c r="E5092" s="19" t="str">
        <x:v>枯寝吞碑王</x:v>
      </x:c>
      <x:c r="F5092" s="19" t="str">
        <x:v>地图BOSS</x:v>
      </x:c>
      <x:c r="G5092" s="19" t="str">
        <x:v>材料独立候选</x:v>
      </x:c>
      <x:c r="H5092" s="19" t="str">
        <x:v>黄金树芽</x:v>
      </x:c>
      <x:c r="I5092" s="22" t="n">
        <x:v>1800</x:v>
      </x:c>
      <x:c r="J5092" s="22" t="n">
        <x:v>1</x:v>
      </x:c>
      <x:c r="K5092" s="19" t="n">
        <x:v>1</x:v>
      </x:c>
      <x:c r="L5092" s="24" t="n">
        <x:v>105.896</x:v>
      </x:c>
      <x:c r="M5092" s="26" t="n">
        <x:v>0.1</x:v>
      </x:c>
      <x:c r="N5092" s="24" t="n">
        <x:v>2</x:v>
      </x:c>
      <x:c r="O5092" s="28" t="n">
        <x:f>MIN(1,L5092/I5092)</x:f>
        <x:v>0.05883111111111111</x:v>
      </x:c>
      <x:c r="P5092" s="30" t="n">
        <x:f>O5092*J5092*(1+M5092)</x:f>
        <x:v>0.06471422222222223</x:v>
      </x:c>
      <x:c r="Q5092" s="30" t="n">
        <x:f>P5092*N5092</x:f>
        <x:v>0.12942844444444446</x:v>
      </x:c>
      <x:c r="R5092" s="19" t="str">
        <x:v>独立判定</x:v>
      </x:c>
    </x:row>
    <x:row r="5093" ht="19" customHeight="1">
      <x:c r="A5093" s="19" t="str">
        <x:v>D05089</x:v>
      </x:c>
      <x:c r="B5093" s="19" t="n">
        <x:v>10</x:v>
      </x:c>
      <x:c r="C5093" s="19" t="n">
        <x:v>4</x:v>
      </x:c>
      <x:c r="D5093" s="19" t="str">
        <x:v>C10-M048</x:v>
      </x:c>
      <x:c r="E5093" s="19" t="str">
        <x:v>枯寝吞碑王</x:v>
      </x:c>
      <x:c r="F5093" s="19" t="str">
        <x:v>地图BOSS</x:v>
      </x:c>
      <x:c r="G5093" s="19" t="str">
        <x:v>材料独立候选</x:v>
      </x:c>
      <x:c r="H5093" s="19" t="str">
        <x:v>野兽骨片</x:v>
      </x:c>
      <x:c r="I5093" s="22" t="n">
        <x:v>200</x:v>
      </x:c>
      <x:c r="J5093" s="22" t="n">
        <x:v>4</x:v>
      </x:c>
      <x:c r="K5093" s="19" t="n">
        <x:v>1</x:v>
      </x:c>
      <x:c r="L5093" s="24" t="n">
        <x:v>105.896</x:v>
      </x:c>
      <x:c r="M5093" s="26" t="n">
        <x:v>0.1</x:v>
      </x:c>
      <x:c r="N5093" s="24" t="n">
        <x:v>2</x:v>
      </x:c>
      <x:c r="O5093" s="28" t="n">
        <x:f>MIN(1,L5093/I5093)</x:f>
        <x:v>0.52948</x:v>
      </x:c>
      <x:c r="P5093" s="30" t="n">
        <x:f>O5093*J5093*(1+M5093)</x:f>
        <x:v>2.329712</x:v>
      </x:c>
      <x:c r="Q5093" s="30" t="n">
        <x:f>P5093*N5093</x:f>
        <x:v>4.659424</x:v>
      </x:c>
      <x:c r="R5093" s="19" t="str">
        <x:v>独立判定</x:v>
      </x:c>
    </x:row>
    <x:row r="5094" ht="19" customHeight="1">
      <x:c r="A5094" s="19" t="str">
        <x:v>D05090</x:v>
      </x:c>
      <x:c r="B5094" s="19" t="n">
        <x:v>10</x:v>
      </x:c>
      <x:c r="C5094" s="19" t="n">
        <x:v>4</x:v>
      </x:c>
      <x:c r="D5094" s="19" t="str">
        <x:v>C10-M048</x:v>
      </x:c>
      <x:c r="E5094" s="19" t="str">
        <x:v>枯寝吞碑王</x:v>
      </x:c>
      <x:c r="F5094" s="19" t="str">
        <x:v>地图BOSS</x:v>
      </x:c>
      <x:c r="G5094" s="19" t="str">
        <x:v>材料独立候选</x:v>
      </x:c>
      <x:c r="H5094" s="19" t="str">
        <x:v>技能残页</x:v>
      </x:c>
      <x:c r="I5094" s="22" t="n">
        <x:v>1800</x:v>
      </x:c>
      <x:c r="J5094" s="22" t="n">
        <x:v>1</x:v>
      </x:c>
      <x:c r="K5094" s="19" t="n">
        <x:v>1</x:v>
      </x:c>
      <x:c r="L5094" s="24" t="n">
        <x:v>105.896</x:v>
      </x:c>
      <x:c r="M5094" s="26" t="n">
        <x:v>0.1</x:v>
      </x:c>
      <x:c r="N5094" s="24" t="n">
        <x:v>2</x:v>
      </x:c>
      <x:c r="O5094" s="28" t="n">
        <x:f>MIN(1,L5094/I5094)</x:f>
        <x:v>0.05883111111111111</x:v>
      </x:c>
      <x:c r="P5094" s="30" t="n">
        <x:f>O5094*J5094*(1+M5094)</x:f>
        <x:v>0.06471422222222223</x:v>
      </x:c>
      <x:c r="Q5094" s="30" t="n">
        <x:f>P5094*N5094</x:f>
        <x:v>0.12942844444444446</x:v>
      </x:c>
      <x:c r="R5094" s="19" t="str">
        <x:v>独立判定</x:v>
      </x:c>
    </x:row>
    <x:row r="5095" ht="19" customHeight="1">
      <x:c r="A5095" s="19" t="str">
        <x:v>D05091</x:v>
      </x:c>
      <x:c r="B5095" s="19" t="n">
        <x:v>10</x:v>
      </x:c>
      <x:c r="C5095" s="19" t="n">
        <x:v>4</x:v>
      </x:c>
      <x:c r="D5095" s="19" t="str">
        <x:v>C10-M048</x:v>
      </x:c>
      <x:c r="E5095" s="19" t="str">
        <x:v>枯寝吞碑王</x:v>
      </x:c>
      <x:c r="F5095" s="19" t="str">
        <x:v>地图BOSS</x:v>
      </x:c>
      <x:c r="G5095" s="19" t="str">
        <x:v>材料独立候选</x:v>
      </x:c>
      <x:c r="H5095" s="19" t="str">
        <x:v>宁姆格福誓页</x:v>
      </x:c>
      <x:c r="I5095" s="22" t="n">
        <x:v>1200</x:v>
      </x:c>
      <x:c r="J5095" s="22" t="n">
        <x:v>1</x:v>
      </x:c>
      <x:c r="K5095" s="19" t="n">
        <x:v>1</x:v>
      </x:c>
      <x:c r="L5095" s="24" t="n">
        <x:v>105.896</x:v>
      </x:c>
      <x:c r="M5095" s="26" t="n">
        <x:v>0.1</x:v>
      </x:c>
      <x:c r="N5095" s="24" t="n">
        <x:v>2</x:v>
      </x:c>
      <x:c r="O5095" s="28" t="n">
        <x:f>MIN(1,L5095/I5095)</x:f>
        <x:v>0.08824666666666667</x:v>
      </x:c>
      <x:c r="P5095" s="30" t="n">
        <x:f>O5095*J5095*(1+M5095)</x:f>
        <x:v>0.09707133333333334</x:v>
      </x:c>
      <x:c r="Q5095" s="30" t="n">
        <x:f>P5095*N5095</x:f>
        <x:v>0.19414266666666669</x:v>
      </x:c>
      <x:c r="R5095" s="19" t="str">
        <x:v>独立判定</x:v>
      </x:c>
    </x:row>
    <x:row r="5096" ht="19" customHeight="1">
      <x:c r="A5096" s="19" t="str">
        <x:v>D05092</x:v>
      </x:c>
      <x:c r="B5096" s="19" t="n">
        <x:v>10</x:v>
      </x:c>
      <x:c r="C5096" s="19" t="n">
        <x:v>4</x:v>
      </x:c>
      <x:c r="D5096" s="19" t="str">
        <x:v>C10-M048</x:v>
      </x:c>
      <x:c r="E5096" s="19" t="str">
        <x:v>枯寝吞碑王</x:v>
      </x:c>
      <x:c r="F5096" s="19" t="str">
        <x:v>地图BOSS</x:v>
      </x:c>
      <x:c r="G5096" s="19" t="str">
        <x:v>材料独立候选</x:v>
      </x:c>
      <x:c r="H5096" s="19" t="str">
        <x:v>小卢恩</x:v>
      </x:c>
      <x:c r="I5096" s="22" t="n">
        <x:v>10000</x:v>
      </x:c>
      <x:c r="J5096" s="22" t="n">
        <x:v>1</x:v>
      </x:c>
      <x:c r="K5096" s="19" t="n">
        <x:v>1</x:v>
      </x:c>
      <x:c r="L5096" s="24" t="n">
        <x:v>105.896</x:v>
      </x:c>
      <x:c r="M5096" s="26" t="n">
        <x:v>0.1</x:v>
      </x:c>
      <x:c r="N5096" s="24" t="n">
        <x:v>2</x:v>
      </x:c>
      <x:c r="O5096" s="28" t="n">
        <x:f>MIN(1,L5096/I5096)</x:f>
        <x:v>0.0105896</x:v>
      </x:c>
      <x:c r="P5096" s="30" t="n">
        <x:f>O5096*J5096*(1+M5096)</x:f>
        <x:v>0.01164856</x:v>
      </x:c>
      <x:c r="Q5096" s="30" t="n">
        <x:f>P5096*N5096</x:f>
        <x:v>0.02329712</x:v>
      </x:c>
      <x:c r="R5096" s="19" t="str">
        <x:v>独立判定</x:v>
      </x:c>
    </x:row>
    <x:row r="5097" ht="19" customHeight="1">
      <x:c r="A5097" s="19" t="str">
        <x:v>D05093</x:v>
      </x:c>
      <x:c r="B5097" s="19" t="n">
        <x:v>10</x:v>
      </x:c>
      <x:c r="C5097" s="19" t="n">
        <x:v>4</x:v>
      </x:c>
      <x:c r="D5097" s="19" t="str">
        <x:v>C10-M048</x:v>
      </x:c>
      <x:c r="E5097" s="19" t="str">
        <x:v>枯寝吞碑王</x:v>
      </x:c>
      <x:c r="F5097" s="19" t="str">
        <x:v>地图BOSS</x:v>
      </x:c>
      <x:c r="G5097" s="19" t="str">
        <x:v>材料独立候选</x:v>
      </x:c>
      <x:c r="H5097" s="19" t="str">
        <x:v>大卢恩</x:v>
      </x:c>
      <x:c r="I5097" s="22" t="n">
        <x:v>1000</x:v>
      </x:c>
      <x:c r="J5097" s="22" t="n">
        <x:v>1</x:v>
      </x:c>
      <x:c r="K5097" s="19" t="n">
        <x:v>1</x:v>
      </x:c>
      <x:c r="L5097" s="24" t="n">
        <x:v>105.896</x:v>
      </x:c>
      <x:c r="M5097" s="26" t="n">
        <x:v>0.1</x:v>
      </x:c>
      <x:c r="N5097" s="24" t="n">
        <x:v>2</x:v>
      </x:c>
      <x:c r="O5097" s="28" t="n">
        <x:f>MIN(1,L5097/I5097)</x:f>
        <x:v>0.105896</x:v>
      </x:c>
      <x:c r="P5097" s="30" t="n">
        <x:f>O5097*J5097*(1+M5097)</x:f>
        <x:v>0.11648560000000001</x:v>
      </x:c>
      <x:c r="Q5097" s="30" t="n">
        <x:f>P5097*N5097</x:f>
        <x:v>0.23297120000000002</x:v>
      </x:c>
      <x:c r="R5097" s="19" t="str">
        <x:v>独立判定</x:v>
      </x:c>
    </x:row>
    <x:row r="5098" ht="19" customHeight="1">
      <x:c r="A5098" s="19" t="str">
        <x:v>D05094</x:v>
      </x:c>
      <x:c r="B5098" s="19" t="n">
        <x:v>10</x:v>
      </x:c>
      <x:c r="C5098" s="19" t="n">
        <x:v>4</x:v>
      </x:c>
      <x:c r="D5098" s="19" t="str">
        <x:v>C10-M048</x:v>
      </x:c>
      <x:c r="E5098" s="19" t="str">
        <x:v>枯寝吞碑王</x:v>
      </x:c>
      <x:c r="F5098" s="19" t="str">
        <x:v>地图BOSS</x:v>
      </x:c>
      <x:c r="G5098" s="19" t="str">
        <x:v>材料独立候选</x:v>
      </x:c>
      <x:c r="H5098" s="19" t="str">
        <x:v>巨人熔火卢恩</x:v>
      </x:c>
      <x:c r="I5098" s="22" t="n">
        <x:v>1200</x:v>
      </x:c>
      <x:c r="J5098" s="22" t="n">
        <x:v>1</x:v>
      </x:c>
      <x:c r="K5098" s="19" t="n">
        <x:v>1</x:v>
      </x:c>
      <x:c r="L5098" s="24" t="n">
        <x:v>105.896</x:v>
      </x:c>
      <x:c r="M5098" s="26" t="n">
        <x:v>0.1</x:v>
      </x:c>
      <x:c r="N5098" s="24" t="n">
        <x:v>2</x:v>
      </x:c>
      <x:c r="O5098" s="28" t="n">
        <x:f>MIN(1,L5098/I5098)</x:f>
        <x:v>0.08824666666666667</x:v>
      </x:c>
      <x:c r="P5098" s="30" t="n">
        <x:f>O5098*J5098*(1+M5098)</x:f>
        <x:v>0.09707133333333334</x:v>
      </x:c>
      <x:c r="Q5098" s="30" t="n">
        <x:f>P5098*N5098</x:f>
        <x:v>0.19414266666666669</x:v>
      </x:c>
      <x:c r="R5098" s="19" t="str">
        <x:v>独立判定</x:v>
      </x:c>
    </x:row>
    <x:row r="5099" ht="19" customHeight="1">
      <x:c r="A5099" s="19" t="str">
        <x:v>D05095</x:v>
      </x:c>
      <x:c r="B5099" s="19" t="n">
        <x:v>10</x:v>
      </x:c>
      <x:c r="C5099" s="19" t="n">
        <x:v>4</x:v>
      </x:c>
      <x:c r="D5099" s="19" t="str">
        <x:v>C10-M048</x:v>
      </x:c>
      <x:c r="E5099" s="19" t="str">
        <x:v>枯寝吞碑王</x:v>
      </x:c>
      <x:c r="F5099" s="19" t="str">
        <x:v>地图BOSS</x:v>
      </x:c>
      <x:c r="G5099" s="19" t="str">
        <x:v>材料独立候选</x:v>
      </x:c>
      <x:c r="H5099" s="19" t="str">
        <x:v>黄金律法卢恩</x:v>
      </x:c>
      <x:c r="I5099" s="22" t="n">
        <x:v>400</x:v>
      </x:c>
      <x:c r="J5099" s="22" t="n">
        <x:v>15</x:v>
      </x:c>
      <x:c r="K5099" s="19" t="n">
        <x:v>1</x:v>
      </x:c>
      <x:c r="L5099" s="24" t="n">
        <x:v>105.896</x:v>
      </x:c>
      <x:c r="M5099" s="26" t="n">
        <x:v>0.1</x:v>
      </x:c>
      <x:c r="N5099" s="24" t="n">
        <x:v>2</x:v>
      </x:c>
      <x:c r="O5099" s="28" t="n">
        <x:f>MIN(1,L5099/I5099)</x:f>
        <x:v>0.26474</x:v>
      </x:c>
      <x:c r="P5099" s="30" t="n">
        <x:f>O5099*J5099*(1+M5099)</x:f>
        <x:v>4.36821</x:v>
      </x:c>
      <x:c r="Q5099" s="30" t="n">
        <x:f>P5099*N5099</x:f>
        <x:v>8.73642</x:v>
      </x:c>
      <x:c r="R5099" s="19" t="str">
        <x:v>独立判定</x:v>
      </x:c>
    </x:row>
    <x:row r="5100" ht="19" customHeight="1">
      <x:c r="A5100" s="19" t="str">
        <x:v>D05096</x:v>
      </x:c>
      <x:c r="B5100" s="19" t="n">
        <x:v>10</x:v>
      </x:c>
      <x:c r="C5100" s="19" t="n">
        <x:v>4</x:v>
      </x:c>
      <x:c r="D5100" s="19" t="str">
        <x:v>C10-M048</x:v>
      </x:c>
      <x:c r="E5100" s="19" t="str">
        <x:v>枯寝吞碑王</x:v>
      </x:c>
      <x:c r="F5100" s="19" t="str">
        <x:v>地图BOSS</x:v>
      </x:c>
      <x:c r="G5100" s="19" t="str">
        <x:v>六神器公共池</x:v>
      </x:c>
      <x:c r="H5100" s="19" t="str">
        <x:v>POOL006</x:v>
      </x:c>
      <x:c r="I5100" s="22" t="n">
        <x:v>200000</x:v>
      </x:c>
      <x:c r="J5100" s="22" t="n">
        <x:v>1</x:v>
      </x:c>
      <x:c r="K5100" s="19" t="n">
        <x:v>6</x:v>
      </x:c>
      <x:c r="L5100" s="24" t="n">
        <x:v>105.896</x:v>
      </x:c>
      <x:c r="M5100" s="26" t="n">
        <x:v>0.1</x:v>
      </x:c>
      <x:c r="N5100" s="24" t="n">
        <x:v>2</x:v>
      </x:c>
      <x:c r="O5100" s="28" t="n">
        <x:f>MIN(1,L5100/I5100)</x:f>
        <x:v>0.00052948</x:v>
      </x:c>
      <x:c r="P5100" s="30" t="n">
        <x:f>O5100*J5100*(1+M5100)</x:f>
        <x:v>0.0005824280000000001</x:v>
      </x:c>
      <x:c r="Q5100" s="30" t="n">
        <x:f>P5100*N5100</x:f>
        <x:v>0.0011648560000000001</x:v>
      </x:c>
      <x:c r="R5100" s="19" t="str">
        <x:v>六选一；非6个独立爆率</x:v>
      </x:c>
    </x:row>
    <x:row r="5101" ht="19" customHeight="1">
      <x:c r="A5101" s="19" t="str">
        <x:v>D05097</x:v>
      </x:c>
      <x:c r="B5101" s="19" t="n">
        <x:v>10</x:v>
      </x:c>
      <x:c r="C5101" s="19" t="n">
        <x:v>5</x:v>
      </x:c>
      <x:c r="D5101" s="19" t="str">
        <x:v>C10-M049</x:v>
      </x:c>
      <x:c r="E5101" s="19" t="str">
        <x:v>日轮扫阶侍</x:v>
      </x:c>
      <x:c r="F5101" s="19" t="str">
        <x:v>普通</x:v>
      </x:c>
      <x:c r="G5101" s="19" t="str">
        <x:v>自身专属</x:v>
      </x:c>
      <x:c r="H5101" s="19" t="str">
        <x:v>扫阶日轮刃</x:v>
      </x:c>
      <x:c r="I5101" s="22" t="n">
        <x:v>12000</x:v>
      </x:c>
      <x:c r="J5101" s="22" t="n">
        <x:v>1</x:v>
      </x:c>
      <x:c r="K5101" s="19" t="n">
        <x:v>1</x:v>
      </x:c>
      <x:c r="L5101" s="24" t="n">
        <x:v>105.61133333333333</x:v>
      </x:c>
      <x:c r="M5101" s="26" t="n">
        <x:v>0.1</x:v>
      </x:c>
      <x:c r="N5101" s="24" t="n">
        <x:v>72</x:v>
      </x:c>
      <x:c r="O5101" s="28" t="n">
        <x:f>MIN(1,L5101/I5101)</x:f>
        <x:v>0.008800944444444445</x:v>
      </x:c>
      <x:c r="P5101" s="30" t="n">
        <x:f>O5101*J5101*(1+M5101)</x:f>
        <x:v>0.009681038888888889</x:v>
      </x:c>
      <x:c r="Q5101" s="30" t="n">
        <x:f>P5101*N5101</x:f>
        <x:v>0.6970348</x:v>
      </x:c>
      <x:c r="R5101" s="19" t="str">
        <x:v>独立判定</x:v>
      </x:c>
    </x:row>
    <x:row r="5102" ht="19" customHeight="1">
      <x:c r="A5102" s="19" t="str">
        <x:v>D05098</x:v>
      </x:c>
      <x:c r="B5102" s="19" t="n">
        <x:v>10</x:v>
      </x:c>
      <x:c r="C5102" s="19" t="n">
        <x:v>5</x:v>
      </x:c>
      <x:c r="D5102" s="19" t="str">
        <x:v>C10-M049</x:v>
      </x:c>
      <x:c r="E5102" s="19" t="str">
        <x:v>日轮扫阶侍</x:v>
      </x:c>
      <x:c r="F5102" s="19" t="str">
        <x:v>普通</x:v>
      </x:c>
      <x:c r="G5102" s="19" t="str">
        <x:v>材料独立候选</x:v>
      </x:c>
      <x:c r="H5102" s="19" t="str">
        <x:v>王城金屑</x:v>
      </x:c>
      <x:c r="I5102" s="22" t="n">
        <x:v>2000</x:v>
      </x:c>
      <x:c r="J5102" s="22" t="n">
        <x:v>8</x:v>
      </x:c>
      <x:c r="K5102" s="19" t="n">
        <x:v>1</x:v>
      </x:c>
      <x:c r="L5102" s="24" t="n">
        <x:v>105.61133333333333</x:v>
      </x:c>
      <x:c r="M5102" s="26" t="n">
        <x:v>0.1</x:v>
      </x:c>
      <x:c r="N5102" s="24" t="n">
        <x:v>72</x:v>
      </x:c>
      <x:c r="O5102" s="28" t="n">
        <x:f>MIN(1,L5102/I5102)</x:f>
        <x:v>0.05280566666666667</x:v>
      </x:c>
      <x:c r="P5102" s="30" t="n">
        <x:f>O5102*J5102*(1+M5102)</x:f>
        <x:v>0.46468986666666673</x:v>
      </x:c>
      <x:c r="Q5102" s="30" t="n">
        <x:f>P5102*N5102</x:f>
        <x:v>33.457670400000005</x:v>
      </x:c>
      <x:c r="R5102" s="19" t="str">
        <x:v>独立判定</x:v>
      </x:c>
    </x:row>
    <x:row r="5103" ht="19" customHeight="1">
      <x:c r="A5103" s="19" t="str">
        <x:v>D05099</x:v>
      </x:c>
      <x:c r="B5103" s="19" t="n">
        <x:v>10</x:v>
      </x:c>
      <x:c r="C5103" s="19" t="n">
        <x:v>5</x:v>
      </x:c>
      <x:c r="D5103" s="19" t="str">
        <x:v>C10-M049</x:v>
      </x:c>
      <x:c r="E5103" s="19" t="str">
        <x:v>日轮扫阶侍</x:v>
      </x:c>
      <x:c r="F5103" s="19" t="str">
        <x:v>普通</x:v>
      </x:c>
      <x:c r="G5103" s="19" t="str">
        <x:v>材料独立候选</x:v>
      </x:c>
      <x:c r="H5103" s="19" t="str">
        <x:v>无名墓钉</x:v>
      </x:c>
      <x:c r="I5103" s="22" t="n">
        <x:v>3000</x:v>
      </x:c>
      <x:c r="J5103" s="22" t="n">
        <x:v>1</x:v>
      </x:c>
      <x:c r="K5103" s="19" t="n">
        <x:v>1</x:v>
      </x:c>
      <x:c r="L5103" s="24" t="n">
        <x:v>105.61133333333333</x:v>
      </x:c>
      <x:c r="M5103" s="26" t="n">
        <x:v>0.1</x:v>
      </x:c>
      <x:c r="N5103" s="24" t="n">
        <x:v>72</x:v>
      </x:c>
      <x:c r="O5103" s="28" t="n">
        <x:f>MIN(1,L5103/I5103)</x:f>
        <x:v>0.03520377777777778</x:v>
      </x:c>
      <x:c r="P5103" s="30" t="n">
        <x:f>O5103*J5103*(1+M5103)</x:f>
        <x:v>0.038724155555555556</x:v>
      </x:c>
      <x:c r="Q5103" s="30" t="n">
        <x:f>P5103*N5103</x:f>
        <x:v>2.7881392</x:v>
      </x:c>
      <x:c r="R5103" s="19" t="str">
        <x:v>独立判定</x:v>
      </x:c>
    </x:row>
    <x:row r="5104" ht="19" customHeight="1">
      <x:c r="A5104" s="19" t="str">
        <x:v>D05100</x:v>
      </x:c>
      <x:c r="B5104" s="19" t="n">
        <x:v>10</x:v>
      </x:c>
      <x:c r="C5104" s="19" t="n">
        <x:v>5</x:v>
      </x:c>
      <x:c r="D5104" s="19" t="str">
        <x:v>C10-M049</x:v>
      </x:c>
      <x:c r="E5104" s="19" t="str">
        <x:v>日轮扫阶侍</x:v>
      </x:c>
      <x:c r="F5104" s="19" t="str">
        <x:v>普通</x:v>
      </x:c>
      <x:c r="G5104" s="19" t="str">
        <x:v>材料独立候选</x:v>
      </x:c>
      <x:c r="H5104" s="19" t="str">
        <x:v>穹律鎏痕拓片</x:v>
      </x:c>
      <x:c r="I5104" s="22" t="n">
        <x:v>5000000</x:v>
      </x:c>
      <x:c r="J5104" s="22" t="n">
        <x:v>1</x:v>
      </x:c>
      <x:c r="K5104" s="19" t="n">
        <x:v>1</x:v>
      </x:c>
      <x:c r="L5104" s="24" t="n">
        <x:v>105.61133333333333</x:v>
      </x:c>
      <x:c r="M5104" s="26" t="n">
        <x:v>0.1</x:v>
      </x:c>
      <x:c r="N5104" s="24" t="n">
        <x:v>72</x:v>
      </x:c>
      <x:c r="O5104" s="28" t="n">
        <x:f>MIN(1,L5104/I5104)</x:f>
        <x:v>0.000021122266666666666</x:v>
      </x:c>
      <x:c r="P5104" s="30" t="n">
        <x:f>O5104*J5104*(1+M5104)</x:f>
        <x:v>0.000023234493333333333</x:v>
      </x:c>
      <x:c r="Q5104" s="30" t="n">
        <x:f>P5104*N5104</x:f>
        <x:v>0.00167288352</x:v>
      </x:c>
      <x:c r="R5104" s="19" t="str">
        <x:v>独立判定</x:v>
      </x:c>
    </x:row>
    <x:row r="5105" ht="19" customHeight="1">
      <x:c r="A5105" s="19" t="str">
        <x:v>D05101</x:v>
      </x:c>
      <x:c r="B5105" s="19" t="n">
        <x:v>10</x:v>
      </x:c>
      <x:c r="C5105" s="19" t="n">
        <x:v>5</x:v>
      </x:c>
      <x:c r="D5105" s="19" t="str">
        <x:v>C10-M049</x:v>
      </x:c>
      <x:c r="E5105" s="19" t="str">
        <x:v>日轮扫阶侍</x:v>
      </x:c>
      <x:c r="F5105" s="19" t="str">
        <x:v>普通</x:v>
      </x:c>
      <x:c r="G5105" s="19" t="str">
        <x:v>材料独立候选</x:v>
      </x:c>
      <x:c r="H5105" s="19" t="str">
        <x:v>野兽骨片</x:v>
      </x:c>
      <x:c r="I5105" s="22" t="n">
        <x:v>600</x:v>
      </x:c>
      <x:c r="J5105" s="22" t="n">
        <x:v>4</x:v>
      </x:c>
      <x:c r="K5105" s="19" t="n">
        <x:v>1</x:v>
      </x:c>
      <x:c r="L5105" s="24" t="n">
        <x:v>105.61133333333333</x:v>
      </x:c>
      <x:c r="M5105" s="26" t="n">
        <x:v>0.1</x:v>
      </x:c>
      <x:c r="N5105" s="24" t="n">
        <x:v>72</x:v>
      </x:c>
      <x:c r="O5105" s="28" t="n">
        <x:f>MIN(1,L5105/I5105)</x:f>
        <x:v>0.1760188888888889</x:v>
      </x:c>
      <x:c r="P5105" s="30" t="n">
        <x:f>O5105*J5105*(1+M5105)</x:f>
        <x:v>0.7744831111111112</x:v>
      </x:c>
      <x:c r="Q5105" s="30" t="n">
        <x:f>P5105*N5105</x:f>
        <x:v>55.76278400000001</x:v>
      </x:c>
      <x:c r="R5105" s="19" t="str">
        <x:v>独立判定</x:v>
      </x:c>
    </x:row>
    <x:row r="5106" ht="19" customHeight="1">
      <x:c r="A5106" s="19" t="str">
        <x:v>D05102</x:v>
      </x:c>
      <x:c r="B5106" s="19" t="n">
        <x:v>10</x:v>
      </x:c>
      <x:c r="C5106" s="19" t="n">
        <x:v>5</x:v>
      </x:c>
      <x:c r="D5106" s="19" t="str">
        <x:v>C10-M049</x:v>
      </x:c>
      <x:c r="E5106" s="19" t="str">
        <x:v>日轮扫阶侍</x:v>
      </x:c>
      <x:c r="F5106" s="19" t="str">
        <x:v>普通</x:v>
      </x:c>
      <x:c r="G5106" s="19" t="str">
        <x:v>材料独立候选</x:v>
      </x:c>
      <x:c r="H5106" s="19" t="str">
        <x:v>技能残页</x:v>
      </x:c>
      <x:c r="I5106" s="22" t="n">
        <x:v>5000</x:v>
      </x:c>
      <x:c r="J5106" s="22" t="n">
        <x:v>1</x:v>
      </x:c>
      <x:c r="K5106" s="19" t="n">
        <x:v>1</x:v>
      </x:c>
      <x:c r="L5106" s="24" t="n">
        <x:v>105.61133333333333</x:v>
      </x:c>
      <x:c r="M5106" s="26" t="n">
        <x:v>0.1</x:v>
      </x:c>
      <x:c r="N5106" s="24" t="n">
        <x:v>72</x:v>
      </x:c>
      <x:c r="O5106" s="28" t="n">
        <x:f>MIN(1,L5106/I5106)</x:f>
        <x:v>0.021122266666666667</x:v>
      </x:c>
      <x:c r="P5106" s="30" t="n">
        <x:f>O5106*J5106*(1+M5106)</x:f>
        <x:v>0.023234493333333335</x:v>
      </x:c>
      <x:c r="Q5106" s="30" t="n">
        <x:f>P5106*N5106</x:f>
        <x:v>1.67288352</x:v>
      </x:c>
      <x:c r="R5106" s="19" t="str">
        <x:v>独立判定</x:v>
      </x:c>
    </x:row>
    <x:row r="5107" ht="19" customHeight="1">
      <x:c r="A5107" s="19" t="str">
        <x:v>D05103</x:v>
      </x:c>
      <x:c r="B5107" s="19" t="n">
        <x:v>10</x:v>
      </x:c>
      <x:c r="C5107" s="19" t="n">
        <x:v>5</x:v>
      </x:c>
      <x:c r="D5107" s="19" t="str">
        <x:v>C10-M049</x:v>
      </x:c>
      <x:c r="E5107" s="19" t="str">
        <x:v>日轮扫阶侍</x:v>
      </x:c>
      <x:c r="F5107" s="19" t="str">
        <x:v>普通</x:v>
      </x:c>
      <x:c r="G5107" s="19" t="str">
        <x:v>材料独立候选</x:v>
      </x:c>
      <x:c r="H5107" s="19" t="str">
        <x:v>小卢恩</x:v>
      </x:c>
      <x:c r="I5107" s="22" t="n">
        <x:v>30000</x:v>
      </x:c>
      <x:c r="J5107" s="22" t="n">
        <x:v>1</x:v>
      </x:c>
      <x:c r="K5107" s="19" t="n">
        <x:v>1</x:v>
      </x:c>
      <x:c r="L5107" s="24" t="n">
        <x:v>105.61133333333333</x:v>
      </x:c>
      <x:c r="M5107" s="26" t="n">
        <x:v>0.1</x:v>
      </x:c>
      <x:c r="N5107" s="24" t="n">
        <x:v>72</x:v>
      </x:c>
      <x:c r="O5107" s="28" t="n">
        <x:f>MIN(1,L5107/I5107)</x:f>
        <x:v>0.003520377777777778</x:v>
      </x:c>
      <x:c r="P5107" s="30" t="n">
        <x:f>O5107*J5107*(1+M5107)</x:f>
        <x:v>0.003872415555555556</x:v>
      </x:c>
      <x:c r="Q5107" s="30" t="n">
        <x:f>P5107*N5107</x:f>
        <x:v>0.27881392000000005</x:v>
      </x:c>
      <x:c r="R5107" s="19" t="str">
        <x:v>独立判定</x:v>
      </x:c>
    </x:row>
    <x:row r="5108" ht="19" customHeight="1">
      <x:c r="A5108" s="19" t="str">
        <x:v>D05104</x:v>
      </x:c>
      <x:c r="B5108" s="19" t="n">
        <x:v>10</x:v>
      </x:c>
      <x:c r="C5108" s="19" t="n">
        <x:v>5</x:v>
      </x:c>
      <x:c r="D5108" s="19" t="str">
        <x:v>C10-M049</x:v>
      </x:c>
      <x:c r="E5108" s="19" t="str">
        <x:v>日轮扫阶侍</x:v>
      </x:c>
      <x:c r="F5108" s="19" t="str">
        <x:v>普通</x:v>
      </x:c>
      <x:c r="G5108" s="19" t="str">
        <x:v>六神器公共池</x:v>
      </x:c>
      <x:c r="H5108" s="19" t="str">
        <x:v>POOL006</x:v>
      </x:c>
      <x:c r="I5108" s="22" t="n">
        <x:v>20000000</x:v>
      </x:c>
      <x:c r="J5108" s="22" t="n">
        <x:v>1</x:v>
      </x:c>
      <x:c r="K5108" s="19" t="n">
        <x:v>6</x:v>
      </x:c>
      <x:c r="L5108" s="24" t="n">
        <x:v>105.61133333333333</x:v>
      </x:c>
      <x:c r="M5108" s="26" t="n">
        <x:v>0.1</x:v>
      </x:c>
      <x:c r="N5108" s="24" t="n">
        <x:v>72</x:v>
      </x:c>
      <x:c r="O5108" s="28" t="n">
        <x:f>MIN(1,L5108/I5108)</x:f>
        <x:v>0.0000052805666666666665</x:v>
      </x:c>
      <x:c r="P5108" s="30" t="n">
        <x:f>O5108*J5108*(1+M5108)</x:f>
        <x:v>0.000005808623333333333</x:v>
      </x:c>
      <x:c r="Q5108" s="30" t="n">
        <x:f>P5108*N5108</x:f>
        <x:v>0.00041822088</x:v>
      </x:c>
      <x:c r="R5108" s="19" t="str">
        <x:v>六选一；非6个独立爆率</x:v>
      </x:c>
    </x:row>
    <x:row r="5109" ht="19" customHeight="1">
      <x:c r="A5109" s="19" t="str">
        <x:v>D05105</x:v>
      </x:c>
      <x:c r="B5109" s="19" t="n">
        <x:v>10</x:v>
      </x:c>
      <x:c r="C5109" s="19" t="n">
        <x:v>5</x:v>
      </x:c>
      <x:c r="D5109" s="19" t="str">
        <x:v>C10-M050</x:v>
      </x:c>
      <x:c r="E5109" s="19" t="str">
        <x:v>金桂驯狮吏</x:v>
      </x:c>
      <x:c r="F5109" s="19" t="str">
        <x:v>普通</x:v>
      </x:c>
      <x:c r="G5109" s="19" t="str">
        <x:v>自身专属</x:v>
      </x:c>
      <x:c r="H5109" s="19" t="str">
        <x:v>金桂驯狮腕</x:v>
      </x:c>
      <x:c r="I5109" s="22" t="n">
        <x:v>12000</x:v>
      </x:c>
      <x:c r="J5109" s="22" t="n">
        <x:v>1</x:v>
      </x:c>
      <x:c r="K5109" s="19" t="n">
        <x:v>1</x:v>
      </x:c>
      <x:c r="L5109" s="24" t="n">
        <x:v>105.61133333333333</x:v>
      </x:c>
      <x:c r="M5109" s="26" t="n">
        <x:v>0.1</x:v>
      </x:c>
      <x:c r="N5109" s="24" t="n">
        <x:v>72</x:v>
      </x:c>
      <x:c r="O5109" s="28" t="n">
        <x:f>MIN(1,L5109/I5109)</x:f>
        <x:v>0.008800944444444445</x:v>
      </x:c>
      <x:c r="P5109" s="30" t="n">
        <x:f>O5109*J5109*(1+M5109)</x:f>
        <x:v>0.009681038888888889</x:v>
      </x:c>
      <x:c r="Q5109" s="30" t="n">
        <x:f>P5109*N5109</x:f>
        <x:v>0.6970348</x:v>
      </x:c>
      <x:c r="R5109" s="19" t="str">
        <x:v>独立判定</x:v>
      </x:c>
    </x:row>
    <x:row r="5110" ht="19" customHeight="1">
      <x:c r="A5110" s="19" t="str">
        <x:v>D05106</x:v>
      </x:c>
      <x:c r="B5110" s="19" t="n">
        <x:v>10</x:v>
      </x:c>
      <x:c r="C5110" s="19" t="n">
        <x:v>5</x:v>
      </x:c>
      <x:c r="D5110" s="19" t="str">
        <x:v>C10-M050</x:v>
      </x:c>
      <x:c r="E5110" s="19" t="str">
        <x:v>金桂驯狮吏</x:v>
      </x:c>
      <x:c r="F5110" s="19" t="str">
        <x:v>普通</x:v>
      </x:c>
      <x:c r="G5110" s="19" t="str">
        <x:v>材料独立候选</x:v>
      </x:c>
      <x:c r="H5110" s="19" t="str">
        <x:v>王城金屑</x:v>
      </x:c>
      <x:c r="I5110" s="22" t="n">
        <x:v>2000</x:v>
      </x:c>
      <x:c r="J5110" s="22" t="n">
        <x:v>8</x:v>
      </x:c>
      <x:c r="K5110" s="19" t="n">
        <x:v>1</x:v>
      </x:c>
      <x:c r="L5110" s="24" t="n">
        <x:v>105.61133333333333</x:v>
      </x:c>
      <x:c r="M5110" s="26" t="n">
        <x:v>0.1</x:v>
      </x:c>
      <x:c r="N5110" s="24" t="n">
        <x:v>72</x:v>
      </x:c>
      <x:c r="O5110" s="28" t="n">
        <x:f>MIN(1,L5110/I5110)</x:f>
        <x:v>0.05280566666666667</x:v>
      </x:c>
      <x:c r="P5110" s="30" t="n">
        <x:f>O5110*J5110*(1+M5110)</x:f>
        <x:v>0.46468986666666673</x:v>
      </x:c>
      <x:c r="Q5110" s="30" t="n">
        <x:f>P5110*N5110</x:f>
        <x:v>33.457670400000005</x:v>
      </x:c>
      <x:c r="R5110" s="19" t="str">
        <x:v>独立判定</x:v>
      </x:c>
    </x:row>
    <x:row r="5111" ht="19" customHeight="1">
      <x:c r="A5111" s="19" t="str">
        <x:v>D05107</x:v>
      </x:c>
      <x:c r="B5111" s="19" t="n">
        <x:v>10</x:v>
      </x:c>
      <x:c r="C5111" s="19" t="n">
        <x:v>5</x:v>
      </x:c>
      <x:c r="D5111" s="19" t="str">
        <x:v>C10-M050</x:v>
      </x:c>
      <x:c r="E5111" s="19" t="str">
        <x:v>金桂驯狮吏</x:v>
      </x:c>
      <x:c r="F5111" s="19" t="str">
        <x:v>普通</x:v>
      </x:c>
      <x:c r="G5111" s="19" t="str">
        <x:v>材料独立候选</x:v>
      </x:c>
      <x:c r="H5111" s="19" t="str">
        <x:v>无名墓钉</x:v>
      </x:c>
      <x:c r="I5111" s="22" t="n">
        <x:v>3000</x:v>
      </x:c>
      <x:c r="J5111" s="22" t="n">
        <x:v>1</x:v>
      </x:c>
      <x:c r="K5111" s="19" t="n">
        <x:v>1</x:v>
      </x:c>
      <x:c r="L5111" s="24" t="n">
        <x:v>105.61133333333333</x:v>
      </x:c>
      <x:c r="M5111" s="26" t="n">
        <x:v>0.1</x:v>
      </x:c>
      <x:c r="N5111" s="24" t="n">
        <x:v>72</x:v>
      </x:c>
      <x:c r="O5111" s="28" t="n">
        <x:f>MIN(1,L5111/I5111)</x:f>
        <x:v>0.03520377777777778</x:v>
      </x:c>
      <x:c r="P5111" s="30" t="n">
        <x:f>O5111*J5111*(1+M5111)</x:f>
        <x:v>0.038724155555555556</x:v>
      </x:c>
      <x:c r="Q5111" s="30" t="n">
        <x:f>P5111*N5111</x:f>
        <x:v>2.7881392</x:v>
      </x:c>
      <x:c r="R5111" s="19" t="str">
        <x:v>独立判定</x:v>
      </x:c>
    </x:row>
    <x:row r="5112" ht="19" customHeight="1">
      <x:c r="A5112" s="19" t="str">
        <x:v>D05108</x:v>
      </x:c>
      <x:c r="B5112" s="19" t="n">
        <x:v>10</x:v>
      </x:c>
      <x:c r="C5112" s="19" t="n">
        <x:v>5</x:v>
      </x:c>
      <x:c r="D5112" s="19" t="str">
        <x:v>C10-M050</x:v>
      </x:c>
      <x:c r="E5112" s="19" t="str">
        <x:v>金桂驯狮吏</x:v>
      </x:c>
      <x:c r="F5112" s="19" t="str">
        <x:v>普通</x:v>
      </x:c>
      <x:c r="G5112" s="19" t="str">
        <x:v>材料独立候选</x:v>
      </x:c>
      <x:c r="H5112" s="19" t="str">
        <x:v>穹律鎏痕拓片</x:v>
      </x:c>
      <x:c r="I5112" s="22" t="n">
        <x:v>5000000</x:v>
      </x:c>
      <x:c r="J5112" s="22" t="n">
        <x:v>1</x:v>
      </x:c>
      <x:c r="K5112" s="19" t="n">
        <x:v>1</x:v>
      </x:c>
      <x:c r="L5112" s="24" t="n">
        <x:v>105.61133333333333</x:v>
      </x:c>
      <x:c r="M5112" s="26" t="n">
        <x:v>0.1</x:v>
      </x:c>
      <x:c r="N5112" s="24" t="n">
        <x:v>72</x:v>
      </x:c>
      <x:c r="O5112" s="28" t="n">
        <x:f>MIN(1,L5112/I5112)</x:f>
        <x:v>0.000021122266666666666</x:v>
      </x:c>
      <x:c r="P5112" s="30" t="n">
        <x:f>O5112*J5112*(1+M5112)</x:f>
        <x:v>0.000023234493333333333</x:v>
      </x:c>
      <x:c r="Q5112" s="30" t="n">
        <x:f>P5112*N5112</x:f>
        <x:v>0.00167288352</x:v>
      </x:c>
      <x:c r="R5112" s="19" t="str">
        <x:v>独立判定</x:v>
      </x:c>
    </x:row>
    <x:row r="5113" ht="19" customHeight="1">
      <x:c r="A5113" s="19" t="str">
        <x:v>D05109</x:v>
      </x:c>
      <x:c r="B5113" s="19" t="n">
        <x:v>10</x:v>
      </x:c>
      <x:c r="C5113" s="19" t="n">
        <x:v>5</x:v>
      </x:c>
      <x:c r="D5113" s="19" t="str">
        <x:v>C10-M050</x:v>
      </x:c>
      <x:c r="E5113" s="19" t="str">
        <x:v>金桂驯狮吏</x:v>
      </x:c>
      <x:c r="F5113" s="19" t="str">
        <x:v>普通</x:v>
      </x:c>
      <x:c r="G5113" s="19" t="str">
        <x:v>材料独立候选</x:v>
      </x:c>
      <x:c r="H5113" s="19" t="str">
        <x:v>野兽骨片</x:v>
      </x:c>
      <x:c r="I5113" s="22" t="n">
        <x:v>600</x:v>
      </x:c>
      <x:c r="J5113" s="22" t="n">
        <x:v>4</x:v>
      </x:c>
      <x:c r="K5113" s="19" t="n">
        <x:v>1</x:v>
      </x:c>
      <x:c r="L5113" s="24" t="n">
        <x:v>105.61133333333333</x:v>
      </x:c>
      <x:c r="M5113" s="26" t="n">
        <x:v>0.1</x:v>
      </x:c>
      <x:c r="N5113" s="24" t="n">
        <x:v>72</x:v>
      </x:c>
      <x:c r="O5113" s="28" t="n">
        <x:f>MIN(1,L5113/I5113)</x:f>
        <x:v>0.1760188888888889</x:v>
      </x:c>
      <x:c r="P5113" s="30" t="n">
        <x:f>O5113*J5113*(1+M5113)</x:f>
        <x:v>0.7744831111111112</x:v>
      </x:c>
      <x:c r="Q5113" s="30" t="n">
        <x:f>P5113*N5113</x:f>
        <x:v>55.76278400000001</x:v>
      </x:c>
      <x:c r="R5113" s="19" t="str">
        <x:v>独立判定</x:v>
      </x:c>
    </x:row>
    <x:row r="5114" ht="19" customHeight="1">
      <x:c r="A5114" s="19" t="str">
        <x:v>D05110</x:v>
      </x:c>
      <x:c r="B5114" s="19" t="n">
        <x:v>10</x:v>
      </x:c>
      <x:c r="C5114" s="19" t="n">
        <x:v>5</x:v>
      </x:c>
      <x:c r="D5114" s="19" t="str">
        <x:v>C10-M050</x:v>
      </x:c>
      <x:c r="E5114" s="19" t="str">
        <x:v>金桂驯狮吏</x:v>
      </x:c>
      <x:c r="F5114" s="19" t="str">
        <x:v>普通</x:v>
      </x:c>
      <x:c r="G5114" s="19" t="str">
        <x:v>材料独立候选</x:v>
      </x:c>
      <x:c r="H5114" s="19" t="str">
        <x:v>技能残页</x:v>
      </x:c>
      <x:c r="I5114" s="22" t="n">
        <x:v>5000</x:v>
      </x:c>
      <x:c r="J5114" s="22" t="n">
        <x:v>1</x:v>
      </x:c>
      <x:c r="K5114" s="19" t="n">
        <x:v>1</x:v>
      </x:c>
      <x:c r="L5114" s="24" t="n">
        <x:v>105.61133333333333</x:v>
      </x:c>
      <x:c r="M5114" s="26" t="n">
        <x:v>0.1</x:v>
      </x:c>
      <x:c r="N5114" s="24" t="n">
        <x:v>72</x:v>
      </x:c>
      <x:c r="O5114" s="28" t="n">
        <x:f>MIN(1,L5114/I5114)</x:f>
        <x:v>0.021122266666666667</x:v>
      </x:c>
      <x:c r="P5114" s="30" t="n">
        <x:f>O5114*J5114*(1+M5114)</x:f>
        <x:v>0.023234493333333335</x:v>
      </x:c>
      <x:c r="Q5114" s="30" t="n">
        <x:f>P5114*N5114</x:f>
        <x:v>1.67288352</x:v>
      </x:c>
      <x:c r="R5114" s="19" t="str">
        <x:v>独立判定</x:v>
      </x:c>
    </x:row>
    <x:row r="5115" ht="19" customHeight="1">
      <x:c r="A5115" s="19" t="str">
        <x:v>D05111</x:v>
      </x:c>
      <x:c r="B5115" s="19" t="n">
        <x:v>10</x:v>
      </x:c>
      <x:c r="C5115" s="19" t="n">
        <x:v>5</x:v>
      </x:c>
      <x:c r="D5115" s="19" t="str">
        <x:v>C10-M050</x:v>
      </x:c>
      <x:c r="E5115" s="19" t="str">
        <x:v>金桂驯狮吏</x:v>
      </x:c>
      <x:c r="F5115" s="19" t="str">
        <x:v>普通</x:v>
      </x:c>
      <x:c r="G5115" s="19" t="str">
        <x:v>材料独立候选</x:v>
      </x:c>
      <x:c r="H5115" s="19" t="str">
        <x:v>小卢恩</x:v>
      </x:c>
      <x:c r="I5115" s="22" t="n">
        <x:v>30000</x:v>
      </x:c>
      <x:c r="J5115" s="22" t="n">
        <x:v>1</x:v>
      </x:c>
      <x:c r="K5115" s="19" t="n">
        <x:v>1</x:v>
      </x:c>
      <x:c r="L5115" s="24" t="n">
        <x:v>105.61133333333333</x:v>
      </x:c>
      <x:c r="M5115" s="26" t="n">
        <x:v>0.1</x:v>
      </x:c>
      <x:c r="N5115" s="24" t="n">
        <x:v>72</x:v>
      </x:c>
      <x:c r="O5115" s="28" t="n">
        <x:f>MIN(1,L5115/I5115)</x:f>
        <x:v>0.003520377777777778</x:v>
      </x:c>
      <x:c r="P5115" s="30" t="n">
        <x:f>O5115*J5115*(1+M5115)</x:f>
        <x:v>0.003872415555555556</x:v>
      </x:c>
      <x:c r="Q5115" s="30" t="n">
        <x:f>P5115*N5115</x:f>
        <x:v>0.27881392000000005</x:v>
      </x:c>
      <x:c r="R5115" s="19" t="str">
        <x:v>独立判定</x:v>
      </x:c>
    </x:row>
    <x:row r="5116" ht="19" customHeight="1">
      <x:c r="A5116" s="19" t="str">
        <x:v>D05112</x:v>
      </x:c>
      <x:c r="B5116" s="19" t="n">
        <x:v>10</x:v>
      </x:c>
      <x:c r="C5116" s="19" t="n">
        <x:v>5</x:v>
      </x:c>
      <x:c r="D5116" s="19" t="str">
        <x:v>C10-M050</x:v>
      </x:c>
      <x:c r="E5116" s="19" t="str">
        <x:v>金桂驯狮吏</x:v>
      </x:c>
      <x:c r="F5116" s="19" t="str">
        <x:v>普通</x:v>
      </x:c>
      <x:c r="G5116" s="19" t="str">
        <x:v>六神器公共池</x:v>
      </x:c>
      <x:c r="H5116" s="19" t="str">
        <x:v>POOL006</x:v>
      </x:c>
      <x:c r="I5116" s="22" t="n">
        <x:v>20000000</x:v>
      </x:c>
      <x:c r="J5116" s="22" t="n">
        <x:v>1</x:v>
      </x:c>
      <x:c r="K5116" s="19" t="n">
        <x:v>6</x:v>
      </x:c>
      <x:c r="L5116" s="24" t="n">
        <x:v>105.61133333333333</x:v>
      </x:c>
      <x:c r="M5116" s="26" t="n">
        <x:v>0.1</x:v>
      </x:c>
      <x:c r="N5116" s="24" t="n">
        <x:v>72</x:v>
      </x:c>
      <x:c r="O5116" s="28" t="n">
        <x:f>MIN(1,L5116/I5116)</x:f>
        <x:v>0.0000052805666666666665</x:v>
      </x:c>
      <x:c r="P5116" s="30" t="n">
        <x:f>O5116*J5116*(1+M5116)</x:f>
        <x:v>0.000005808623333333333</x:v>
      </x:c>
      <x:c r="Q5116" s="30" t="n">
        <x:f>P5116*N5116</x:f>
        <x:v>0.00041822088</x:v>
      </x:c>
      <x:c r="R5116" s="19" t="str">
        <x:v>六选一；非6个独立爆率</x:v>
      </x:c>
    </x:row>
    <x:row r="5117" ht="19" customHeight="1">
      <x:c r="A5117" s="19" t="str">
        <x:v>D05113</x:v>
      </x:c>
      <x:c r="B5117" s="19" t="n">
        <x:v>10</x:v>
      </x:c>
      <x:c r="C5117" s="19" t="n">
        <x:v>5</x:v>
      </x:c>
      <x:c r="D5117" s="19" t="str">
        <x:v>C10-M051</x:v>
      </x:c>
      <x:c r="E5117" s="19" t="str">
        <x:v>垂纱持香女</x:v>
      </x:c>
      <x:c r="F5117" s="19" t="str">
        <x:v>普通</x:v>
      </x:c>
      <x:c r="G5117" s="19" t="str">
        <x:v>自身专属</x:v>
      </x:c>
      <x:c r="H5117" s="19" t="str">
        <x:v>垂纱持香衣</x:v>
      </x:c>
      <x:c r="I5117" s="22" t="n">
        <x:v>12000</x:v>
      </x:c>
      <x:c r="J5117" s="22" t="n">
        <x:v>1</x:v>
      </x:c>
      <x:c r="K5117" s="19" t="n">
        <x:v>1</x:v>
      </x:c>
      <x:c r="L5117" s="24" t="n">
        <x:v>105.61133333333333</x:v>
      </x:c>
      <x:c r="M5117" s="26" t="n">
        <x:v>0.1</x:v>
      </x:c>
      <x:c r="N5117" s="24" t="n">
        <x:v>72</x:v>
      </x:c>
      <x:c r="O5117" s="28" t="n">
        <x:f>MIN(1,L5117/I5117)</x:f>
        <x:v>0.008800944444444445</x:v>
      </x:c>
      <x:c r="P5117" s="30" t="n">
        <x:f>O5117*J5117*(1+M5117)</x:f>
        <x:v>0.009681038888888889</x:v>
      </x:c>
      <x:c r="Q5117" s="30" t="n">
        <x:f>P5117*N5117</x:f>
        <x:v>0.6970348</x:v>
      </x:c>
      <x:c r="R5117" s="19" t="str">
        <x:v>独立判定</x:v>
      </x:c>
    </x:row>
    <x:row r="5118" ht="19" customHeight="1">
      <x:c r="A5118" s="19" t="str">
        <x:v>D05114</x:v>
      </x:c>
      <x:c r="B5118" s="19" t="n">
        <x:v>10</x:v>
      </x:c>
      <x:c r="C5118" s="19" t="n">
        <x:v>5</x:v>
      </x:c>
      <x:c r="D5118" s="19" t="str">
        <x:v>C10-M051</x:v>
      </x:c>
      <x:c r="E5118" s="19" t="str">
        <x:v>垂纱持香女</x:v>
      </x:c>
      <x:c r="F5118" s="19" t="str">
        <x:v>普通</x:v>
      </x:c>
      <x:c r="G5118" s="19" t="str">
        <x:v>材料独立候选</x:v>
      </x:c>
      <x:c r="H5118" s="19" t="str">
        <x:v>王城金屑</x:v>
      </x:c>
      <x:c r="I5118" s="22" t="n">
        <x:v>2000</x:v>
      </x:c>
      <x:c r="J5118" s="22" t="n">
        <x:v>8</x:v>
      </x:c>
      <x:c r="K5118" s="19" t="n">
        <x:v>1</x:v>
      </x:c>
      <x:c r="L5118" s="24" t="n">
        <x:v>105.61133333333333</x:v>
      </x:c>
      <x:c r="M5118" s="26" t="n">
        <x:v>0.1</x:v>
      </x:c>
      <x:c r="N5118" s="24" t="n">
        <x:v>72</x:v>
      </x:c>
      <x:c r="O5118" s="28" t="n">
        <x:f>MIN(1,L5118/I5118)</x:f>
        <x:v>0.05280566666666667</x:v>
      </x:c>
      <x:c r="P5118" s="30" t="n">
        <x:f>O5118*J5118*(1+M5118)</x:f>
        <x:v>0.46468986666666673</x:v>
      </x:c>
      <x:c r="Q5118" s="30" t="n">
        <x:f>P5118*N5118</x:f>
        <x:v>33.457670400000005</x:v>
      </x:c>
      <x:c r="R5118" s="19" t="str">
        <x:v>独立判定</x:v>
      </x:c>
    </x:row>
    <x:row r="5119" ht="19" customHeight="1">
      <x:c r="A5119" s="19" t="str">
        <x:v>D05115</x:v>
      </x:c>
      <x:c r="B5119" s="19" t="n">
        <x:v>10</x:v>
      </x:c>
      <x:c r="C5119" s="19" t="n">
        <x:v>5</x:v>
      </x:c>
      <x:c r="D5119" s="19" t="str">
        <x:v>C10-M051</x:v>
      </x:c>
      <x:c r="E5119" s="19" t="str">
        <x:v>垂纱持香女</x:v>
      </x:c>
      <x:c r="F5119" s="19" t="str">
        <x:v>普通</x:v>
      </x:c>
      <x:c r="G5119" s="19" t="str">
        <x:v>材料独立候选</x:v>
      </x:c>
      <x:c r="H5119" s="19" t="str">
        <x:v>无名墓钉</x:v>
      </x:c>
      <x:c r="I5119" s="22" t="n">
        <x:v>3000</x:v>
      </x:c>
      <x:c r="J5119" s="22" t="n">
        <x:v>1</x:v>
      </x:c>
      <x:c r="K5119" s="19" t="n">
        <x:v>1</x:v>
      </x:c>
      <x:c r="L5119" s="24" t="n">
        <x:v>105.61133333333333</x:v>
      </x:c>
      <x:c r="M5119" s="26" t="n">
        <x:v>0.1</x:v>
      </x:c>
      <x:c r="N5119" s="24" t="n">
        <x:v>72</x:v>
      </x:c>
      <x:c r="O5119" s="28" t="n">
        <x:f>MIN(1,L5119/I5119)</x:f>
        <x:v>0.03520377777777778</x:v>
      </x:c>
      <x:c r="P5119" s="30" t="n">
        <x:f>O5119*J5119*(1+M5119)</x:f>
        <x:v>0.038724155555555556</x:v>
      </x:c>
      <x:c r="Q5119" s="30" t="n">
        <x:f>P5119*N5119</x:f>
        <x:v>2.7881392</x:v>
      </x:c>
      <x:c r="R5119" s="19" t="str">
        <x:v>独立判定</x:v>
      </x:c>
    </x:row>
    <x:row r="5120" ht="19" customHeight="1">
      <x:c r="A5120" s="19" t="str">
        <x:v>D05116</x:v>
      </x:c>
      <x:c r="B5120" s="19" t="n">
        <x:v>10</x:v>
      </x:c>
      <x:c r="C5120" s="19" t="n">
        <x:v>5</x:v>
      </x:c>
      <x:c r="D5120" s="19" t="str">
        <x:v>C10-M051</x:v>
      </x:c>
      <x:c r="E5120" s="19" t="str">
        <x:v>垂纱持香女</x:v>
      </x:c>
      <x:c r="F5120" s="19" t="str">
        <x:v>普通</x:v>
      </x:c>
      <x:c r="G5120" s="19" t="str">
        <x:v>材料独立候选</x:v>
      </x:c>
      <x:c r="H5120" s="19" t="str">
        <x:v>穹律鎏痕拓片</x:v>
      </x:c>
      <x:c r="I5120" s="22" t="n">
        <x:v>5000000</x:v>
      </x:c>
      <x:c r="J5120" s="22" t="n">
        <x:v>1</x:v>
      </x:c>
      <x:c r="K5120" s="19" t="n">
        <x:v>1</x:v>
      </x:c>
      <x:c r="L5120" s="24" t="n">
        <x:v>105.61133333333333</x:v>
      </x:c>
      <x:c r="M5120" s="26" t="n">
        <x:v>0.1</x:v>
      </x:c>
      <x:c r="N5120" s="24" t="n">
        <x:v>72</x:v>
      </x:c>
      <x:c r="O5120" s="28" t="n">
        <x:f>MIN(1,L5120/I5120)</x:f>
        <x:v>0.000021122266666666666</x:v>
      </x:c>
      <x:c r="P5120" s="30" t="n">
        <x:f>O5120*J5120*(1+M5120)</x:f>
        <x:v>0.000023234493333333333</x:v>
      </x:c>
      <x:c r="Q5120" s="30" t="n">
        <x:f>P5120*N5120</x:f>
        <x:v>0.00167288352</x:v>
      </x:c>
      <x:c r="R5120" s="19" t="str">
        <x:v>独立判定</x:v>
      </x:c>
    </x:row>
    <x:row r="5121" ht="19" customHeight="1">
      <x:c r="A5121" s="19" t="str">
        <x:v>D05117</x:v>
      </x:c>
      <x:c r="B5121" s="19" t="n">
        <x:v>10</x:v>
      </x:c>
      <x:c r="C5121" s="19" t="n">
        <x:v>5</x:v>
      </x:c>
      <x:c r="D5121" s="19" t="str">
        <x:v>C10-M051</x:v>
      </x:c>
      <x:c r="E5121" s="19" t="str">
        <x:v>垂纱持香女</x:v>
      </x:c>
      <x:c r="F5121" s="19" t="str">
        <x:v>普通</x:v>
      </x:c>
      <x:c r="G5121" s="19" t="str">
        <x:v>材料独立候选</x:v>
      </x:c>
      <x:c r="H5121" s="19" t="str">
        <x:v>野兽骨片</x:v>
      </x:c>
      <x:c r="I5121" s="22" t="n">
        <x:v>600</x:v>
      </x:c>
      <x:c r="J5121" s="22" t="n">
        <x:v>4</x:v>
      </x:c>
      <x:c r="K5121" s="19" t="n">
        <x:v>1</x:v>
      </x:c>
      <x:c r="L5121" s="24" t="n">
        <x:v>105.61133333333333</x:v>
      </x:c>
      <x:c r="M5121" s="26" t="n">
        <x:v>0.1</x:v>
      </x:c>
      <x:c r="N5121" s="24" t="n">
        <x:v>72</x:v>
      </x:c>
      <x:c r="O5121" s="28" t="n">
        <x:f>MIN(1,L5121/I5121)</x:f>
        <x:v>0.1760188888888889</x:v>
      </x:c>
      <x:c r="P5121" s="30" t="n">
        <x:f>O5121*J5121*(1+M5121)</x:f>
        <x:v>0.7744831111111112</x:v>
      </x:c>
      <x:c r="Q5121" s="30" t="n">
        <x:f>P5121*N5121</x:f>
        <x:v>55.76278400000001</x:v>
      </x:c>
      <x:c r="R5121" s="19" t="str">
        <x:v>独立判定</x:v>
      </x:c>
    </x:row>
    <x:row r="5122" ht="19" customHeight="1">
      <x:c r="A5122" s="19" t="str">
        <x:v>D05118</x:v>
      </x:c>
      <x:c r="B5122" s="19" t="n">
        <x:v>10</x:v>
      </x:c>
      <x:c r="C5122" s="19" t="n">
        <x:v>5</x:v>
      </x:c>
      <x:c r="D5122" s="19" t="str">
        <x:v>C10-M051</x:v>
      </x:c>
      <x:c r="E5122" s="19" t="str">
        <x:v>垂纱持香女</x:v>
      </x:c>
      <x:c r="F5122" s="19" t="str">
        <x:v>普通</x:v>
      </x:c>
      <x:c r="G5122" s="19" t="str">
        <x:v>材料独立候选</x:v>
      </x:c>
      <x:c r="H5122" s="19" t="str">
        <x:v>技能残页</x:v>
      </x:c>
      <x:c r="I5122" s="22" t="n">
        <x:v>5000</x:v>
      </x:c>
      <x:c r="J5122" s="22" t="n">
        <x:v>1</x:v>
      </x:c>
      <x:c r="K5122" s="19" t="n">
        <x:v>1</x:v>
      </x:c>
      <x:c r="L5122" s="24" t="n">
        <x:v>105.61133333333333</x:v>
      </x:c>
      <x:c r="M5122" s="26" t="n">
        <x:v>0.1</x:v>
      </x:c>
      <x:c r="N5122" s="24" t="n">
        <x:v>72</x:v>
      </x:c>
      <x:c r="O5122" s="28" t="n">
        <x:f>MIN(1,L5122/I5122)</x:f>
        <x:v>0.021122266666666667</x:v>
      </x:c>
      <x:c r="P5122" s="30" t="n">
        <x:f>O5122*J5122*(1+M5122)</x:f>
        <x:v>0.023234493333333335</x:v>
      </x:c>
      <x:c r="Q5122" s="30" t="n">
        <x:f>P5122*N5122</x:f>
        <x:v>1.67288352</x:v>
      </x:c>
      <x:c r="R5122" s="19" t="str">
        <x:v>独立判定</x:v>
      </x:c>
    </x:row>
    <x:row r="5123" ht="19" customHeight="1">
      <x:c r="A5123" s="19" t="str">
        <x:v>D05119</x:v>
      </x:c>
      <x:c r="B5123" s="19" t="n">
        <x:v>10</x:v>
      </x:c>
      <x:c r="C5123" s="19" t="n">
        <x:v>5</x:v>
      </x:c>
      <x:c r="D5123" s="19" t="str">
        <x:v>C10-M051</x:v>
      </x:c>
      <x:c r="E5123" s="19" t="str">
        <x:v>垂纱持香女</x:v>
      </x:c>
      <x:c r="F5123" s="19" t="str">
        <x:v>普通</x:v>
      </x:c>
      <x:c r="G5123" s="19" t="str">
        <x:v>材料独立候选</x:v>
      </x:c>
      <x:c r="H5123" s="19" t="str">
        <x:v>小卢恩</x:v>
      </x:c>
      <x:c r="I5123" s="22" t="n">
        <x:v>30000</x:v>
      </x:c>
      <x:c r="J5123" s="22" t="n">
        <x:v>1</x:v>
      </x:c>
      <x:c r="K5123" s="19" t="n">
        <x:v>1</x:v>
      </x:c>
      <x:c r="L5123" s="24" t="n">
        <x:v>105.61133333333333</x:v>
      </x:c>
      <x:c r="M5123" s="26" t="n">
        <x:v>0.1</x:v>
      </x:c>
      <x:c r="N5123" s="24" t="n">
        <x:v>72</x:v>
      </x:c>
      <x:c r="O5123" s="28" t="n">
        <x:f>MIN(1,L5123/I5123)</x:f>
        <x:v>0.003520377777777778</x:v>
      </x:c>
      <x:c r="P5123" s="30" t="n">
        <x:f>O5123*J5123*(1+M5123)</x:f>
        <x:v>0.003872415555555556</x:v>
      </x:c>
      <x:c r="Q5123" s="30" t="n">
        <x:f>P5123*N5123</x:f>
        <x:v>0.27881392000000005</x:v>
      </x:c>
      <x:c r="R5123" s="19" t="str">
        <x:v>独立判定</x:v>
      </x:c>
    </x:row>
    <x:row r="5124" ht="19" customHeight="1">
      <x:c r="A5124" s="19" t="str">
        <x:v>D05120</x:v>
      </x:c>
      <x:c r="B5124" s="19" t="n">
        <x:v>10</x:v>
      </x:c>
      <x:c r="C5124" s="19" t="n">
        <x:v>5</x:v>
      </x:c>
      <x:c r="D5124" s="19" t="str">
        <x:v>C10-M051</x:v>
      </x:c>
      <x:c r="E5124" s="19" t="str">
        <x:v>垂纱持香女</x:v>
      </x:c>
      <x:c r="F5124" s="19" t="str">
        <x:v>普通</x:v>
      </x:c>
      <x:c r="G5124" s="19" t="str">
        <x:v>六神器公共池</x:v>
      </x:c>
      <x:c r="H5124" s="19" t="str">
        <x:v>POOL006</x:v>
      </x:c>
      <x:c r="I5124" s="22" t="n">
        <x:v>20000000</x:v>
      </x:c>
      <x:c r="J5124" s="22" t="n">
        <x:v>1</x:v>
      </x:c>
      <x:c r="K5124" s="19" t="n">
        <x:v>6</x:v>
      </x:c>
      <x:c r="L5124" s="24" t="n">
        <x:v>105.61133333333333</x:v>
      </x:c>
      <x:c r="M5124" s="26" t="n">
        <x:v>0.1</x:v>
      </x:c>
      <x:c r="N5124" s="24" t="n">
        <x:v>72</x:v>
      </x:c>
      <x:c r="O5124" s="28" t="n">
        <x:f>MIN(1,L5124/I5124)</x:f>
        <x:v>0.0000052805666666666665</x:v>
      </x:c>
      <x:c r="P5124" s="30" t="n">
        <x:f>O5124*J5124*(1+M5124)</x:f>
        <x:v>0.000005808623333333333</x:v>
      </x:c>
      <x:c r="Q5124" s="30" t="n">
        <x:f>P5124*N5124</x:f>
        <x:v>0.00041822088</x:v>
      </x:c>
      <x:c r="R5124" s="19" t="str">
        <x:v>六选一；非6个独立爆率</x:v>
      </x:c>
    </x:row>
    <x:row r="5125" ht="19" customHeight="1">
      <x:c r="A5125" s="19" t="str">
        <x:v>D05121</x:v>
      </x:c>
      <x:c r="B5125" s="19" t="n">
        <x:v>10</x:v>
      </x:c>
      <x:c r="C5125" s="19" t="n">
        <x:v>5</x:v>
      </x:c>
      <x:c r="D5125" s="19" t="str">
        <x:v>C10-M052</x:v>
      </x:c>
      <x:c r="E5125" s="19" t="str">
        <x:v>律烛诵壁僧</x:v>
      </x:c>
      <x:c r="F5125" s="19" t="str">
        <x:v>普通</x:v>
      </x:c>
      <x:c r="G5125" s="19" t="str">
        <x:v>自身专属</x:v>
      </x:c>
      <x:c r="H5125" s="19" t="str">
        <x:v>律烛诵壁冠</x:v>
      </x:c>
      <x:c r="I5125" s="22" t="n">
        <x:v>12000</x:v>
      </x:c>
      <x:c r="J5125" s="22" t="n">
        <x:v>1</x:v>
      </x:c>
      <x:c r="K5125" s="19" t="n">
        <x:v>1</x:v>
      </x:c>
      <x:c r="L5125" s="24" t="n">
        <x:v>105.61133333333333</x:v>
      </x:c>
      <x:c r="M5125" s="26" t="n">
        <x:v>0.1</x:v>
      </x:c>
      <x:c r="N5125" s="24" t="n">
        <x:v>72</x:v>
      </x:c>
      <x:c r="O5125" s="28" t="n">
        <x:f>MIN(1,L5125/I5125)</x:f>
        <x:v>0.008800944444444445</x:v>
      </x:c>
      <x:c r="P5125" s="30" t="n">
        <x:f>O5125*J5125*(1+M5125)</x:f>
        <x:v>0.009681038888888889</x:v>
      </x:c>
      <x:c r="Q5125" s="30" t="n">
        <x:f>P5125*N5125</x:f>
        <x:v>0.6970348</x:v>
      </x:c>
      <x:c r="R5125" s="19" t="str">
        <x:v>独立判定</x:v>
      </x:c>
    </x:row>
    <x:row r="5126" ht="19" customHeight="1">
      <x:c r="A5126" s="19" t="str">
        <x:v>D05122</x:v>
      </x:c>
      <x:c r="B5126" s="19" t="n">
        <x:v>10</x:v>
      </x:c>
      <x:c r="C5126" s="19" t="n">
        <x:v>5</x:v>
      </x:c>
      <x:c r="D5126" s="19" t="str">
        <x:v>C10-M052</x:v>
      </x:c>
      <x:c r="E5126" s="19" t="str">
        <x:v>律烛诵壁僧</x:v>
      </x:c>
      <x:c r="F5126" s="19" t="str">
        <x:v>普通</x:v>
      </x:c>
      <x:c r="G5126" s="19" t="str">
        <x:v>材料独立候选</x:v>
      </x:c>
      <x:c r="H5126" s="19" t="str">
        <x:v>王城金屑</x:v>
      </x:c>
      <x:c r="I5126" s="22" t="n">
        <x:v>2000</x:v>
      </x:c>
      <x:c r="J5126" s="22" t="n">
        <x:v>8</x:v>
      </x:c>
      <x:c r="K5126" s="19" t="n">
        <x:v>1</x:v>
      </x:c>
      <x:c r="L5126" s="24" t="n">
        <x:v>105.61133333333333</x:v>
      </x:c>
      <x:c r="M5126" s="26" t="n">
        <x:v>0.1</x:v>
      </x:c>
      <x:c r="N5126" s="24" t="n">
        <x:v>72</x:v>
      </x:c>
      <x:c r="O5126" s="28" t="n">
        <x:f>MIN(1,L5126/I5126)</x:f>
        <x:v>0.05280566666666667</x:v>
      </x:c>
      <x:c r="P5126" s="30" t="n">
        <x:f>O5126*J5126*(1+M5126)</x:f>
        <x:v>0.46468986666666673</x:v>
      </x:c>
      <x:c r="Q5126" s="30" t="n">
        <x:f>P5126*N5126</x:f>
        <x:v>33.457670400000005</x:v>
      </x:c>
      <x:c r="R5126" s="19" t="str">
        <x:v>独立判定</x:v>
      </x:c>
    </x:row>
    <x:row r="5127" ht="19" customHeight="1">
      <x:c r="A5127" s="19" t="str">
        <x:v>D05123</x:v>
      </x:c>
      <x:c r="B5127" s="19" t="n">
        <x:v>10</x:v>
      </x:c>
      <x:c r="C5127" s="19" t="n">
        <x:v>5</x:v>
      </x:c>
      <x:c r="D5127" s="19" t="str">
        <x:v>C10-M052</x:v>
      </x:c>
      <x:c r="E5127" s="19" t="str">
        <x:v>律烛诵壁僧</x:v>
      </x:c>
      <x:c r="F5127" s="19" t="str">
        <x:v>普通</x:v>
      </x:c>
      <x:c r="G5127" s="19" t="str">
        <x:v>材料独立候选</x:v>
      </x:c>
      <x:c r="H5127" s="19" t="str">
        <x:v>无名墓钉</x:v>
      </x:c>
      <x:c r="I5127" s="22" t="n">
        <x:v>3000</x:v>
      </x:c>
      <x:c r="J5127" s="22" t="n">
        <x:v>1</x:v>
      </x:c>
      <x:c r="K5127" s="19" t="n">
        <x:v>1</x:v>
      </x:c>
      <x:c r="L5127" s="24" t="n">
        <x:v>105.61133333333333</x:v>
      </x:c>
      <x:c r="M5127" s="26" t="n">
        <x:v>0.1</x:v>
      </x:c>
      <x:c r="N5127" s="24" t="n">
        <x:v>72</x:v>
      </x:c>
      <x:c r="O5127" s="28" t="n">
        <x:f>MIN(1,L5127/I5127)</x:f>
        <x:v>0.03520377777777778</x:v>
      </x:c>
      <x:c r="P5127" s="30" t="n">
        <x:f>O5127*J5127*(1+M5127)</x:f>
        <x:v>0.038724155555555556</x:v>
      </x:c>
      <x:c r="Q5127" s="30" t="n">
        <x:f>P5127*N5127</x:f>
        <x:v>2.7881392</x:v>
      </x:c>
      <x:c r="R5127" s="19" t="str">
        <x:v>独立判定</x:v>
      </x:c>
    </x:row>
    <x:row r="5128" ht="19" customHeight="1">
      <x:c r="A5128" s="19" t="str">
        <x:v>D05124</x:v>
      </x:c>
      <x:c r="B5128" s="19" t="n">
        <x:v>10</x:v>
      </x:c>
      <x:c r="C5128" s="19" t="n">
        <x:v>5</x:v>
      </x:c>
      <x:c r="D5128" s="19" t="str">
        <x:v>C10-M052</x:v>
      </x:c>
      <x:c r="E5128" s="19" t="str">
        <x:v>律烛诵壁僧</x:v>
      </x:c>
      <x:c r="F5128" s="19" t="str">
        <x:v>普通</x:v>
      </x:c>
      <x:c r="G5128" s="19" t="str">
        <x:v>材料独立候选</x:v>
      </x:c>
      <x:c r="H5128" s="19" t="str">
        <x:v>穹律鎏痕拓片</x:v>
      </x:c>
      <x:c r="I5128" s="22" t="n">
        <x:v>5000000</x:v>
      </x:c>
      <x:c r="J5128" s="22" t="n">
        <x:v>1</x:v>
      </x:c>
      <x:c r="K5128" s="19" t="n">
        <x:v>1</x:v>
      </x:c>
      <x:c r="L5128" s="24" t="n">
        <x:v>105.61133333333333</x:v>
      </x:c>
      <x:c r="M5128" s="26" t="n">
        <x:v>0.1</x:v>
      </x:c>
      <x:c r="N5128" s="24" t="n">
        <x:v>72</x:v>
      </x:c>
      <x:c r="O5128" s="28" t="n">
        <x:f>MIN(1,L5128/I5128)</x:f>
        <x:v>0.000021122266666666666</x:v>
      </x:c>
      <x:c r="P5128" s="30" t="n">
        <x:f>O5128*J5128*(1+M5128)</x:f>
        <x:v>0.000023234493333333333</x:v>
      </x:c>
      <x:c r="Q5128" s="30" t="n">
        <x:f>P5128*N5128</x:f>
        <x:v>0.00167288352</x:v>
      </x:c>
      <x:c r="R5128" s="19" t="str">
        <x:v>独立判定</x:v>
      </x:c>
    </x:row>
    <x:row r="5129" ht="19" customHeight="1">
      <x:c r="A5129" s="19" t="str">
        <x:v>D05125</x:v>
      </x:c>
      <x:c r="B5129" s="19" t="n">
        <x:v>10</x:v>
      </x:c>
      <x:c r="C5129" s="19" t="n">
        <x:v>5</x:v>
      </x:c>
      <x:c r="D5129" s="19" t="str">
        <x:v>C10-M052</x:v>
      </x:c>
      <x:c r="E5129" s="19" t="str">
        <x:v>律烛诵壁僧</x:v>
      </x:c>
      <x:c r="F5129" s="19" t="str">
        <x:v>普通</x:v>
      </x:c>
      <x:c r="G5129" s="19" t="str">
        <x:v>材料独立候选</x:v>
      </x:c>
      <x:c r="H5129" s="19" t="str">
        <x:v>野兽骨片</x:v>
      </x:c>
      <x:c r="I5129" s="22" t="n">
        <x:v>600</x:v>
      </x:c>
      <x:c r="J5129" s="22" t="n">
        <x:v>4</x:v>
      </x:c>
      <x:c r="K5129" s="19" t="n">
        <x:v>1</x:v>
      </x:c>
      <x:c r="L5129" s="24" t="n">
        <x:v>105.61133333333333</x:v>
      </x:c>
      <x:c r="M5129" s="26" t="n">
        <x:v>0.1</x:v>
      </x:c>
      <x:c r="N5129" s="24" t="n">
        <x:v>72</x:v>
      </x:c>
      <x:c r="O5129" s="28" t="n">
        <x:f>MIN(1,L5129/I5129)</x:f>
        <x:v>0.1760188888888889</x:v>
      </x:c>
      <x:c r="P5129" s="30" t="n">
        <x:f>O5129*J5129*(1+M5129)</x:f>
        <x:v>0.7744831111111112</x:v>
      </x:c>
      <x:c r="Q5129" s="30" t="n">
        <x:f>P5129*N5129</x:f>
        <x:v>55.76278400000001</x:v>
      </x:c>
      <x:c r="R5129" s="19" t="str">
        <x:v>独立判定</x:v>
      </x:c>
    </x:row>
    <x:row r="5130" ht="19" customHeight="1">
      <x:c r="A5130" s="19" t="str">
        <x:v>D05126</x:v>
      </x:c>
      <x:c r="B5130" s="19" t="n">
        <x:v>10</x:v>
      </x:c>
      <x:c r="C5130" s="19" t="n">
        <x:v>5</x:v>
      </x:c>
      <x:c r="D5130" s="19" t="str">
        <x:v>C10-M052</x:v>
      </x:c>
      <x:c r="E5130" s="19" t="str">
        <x:v>律烛诵壁僧</x:v>
      </x:c>
      <x:c r="F5130" s="19" t="str">
        <x:v>普通</x:v>
      </x:c>
      <x:c r="G5130" s="19" t="str">
        <x:v>材料独立候选</x:v>
      </x:c>
      <x:c r="H5130" s="19" t="str">
        <x:v>技能残页</x:v>
      </x:c>
      <x:c r="I5130" s="22" t="n">
        <x:v>5000</x:v>
      </x:c>
      <x:c r="J5130" s="22" t="n">
        <x:v>1</x:v>
      </x:c>
      <x:c r="K5130" s="19" t="n">
        <x:v>1</x:v>
      </x:c>
      <x:c r="L5130" s="24" t="n">
        <x:v>105.61133333333333</x:v>
      </x:c>
      <x:c r="M5130" s="26" t="n">
        <x:v>0.1</x:v>
      </x:c>
      <x:c r="N5130" s="24" t="n">
        <x:v>72</x:v>
      </x:c>
      <x:c r="O5130" s="28" t="n">
        <x:f>MIN(1,L5130/I5130)</x:f>
        <x:v>0.021122266666666667</x:v>
      </x:c>
      <x:c r="P5130" s="30" t="n">
        <x:f>O5130*J5130*(1+M5130)</x:f>
        <x:v>0.023234493333333335</x:v>
      </x:c>
      <x:c r="Q5130" s="30" t="n">
        <x:f>P5130*N5130</x:f>
        <x:v>1.67288352</x:v>
      </x:c>
      <x:c r="R5130" s="19" t="str">
        <x:v>独立判定</x:v>
      </x:c>
    </x:row>
    <x:row r="5131" ht="19" customHeight="1">
      <x:c r="A5131" s="19" t="str">
        <x:v>D05127</x:v>
      </x:c>
      <x:c r="B5131" s="19" t="n">
        <x:v>10</x:v>
      </x:c>
      <x:c r="C5131" s="19" t="n">
        <x:v>5</x:v>
      </x:c>
      <x:c r="D5131" s="19" t="str">
        <x:v>C10-M052</x:v>
      </x:c>
      <x:c r="E5131" s="19" t="str">
        <x:v>律烛诵壁僧</x:v>
      </x:c>
      <x:c r="F5131" s="19" t="str">
        <x:v>普通</x:v>
      </x:c>
      <x:c r="G5131" s="19" t="str">
        <x:v>材料独立候选</x:v>
      </x:c>
      <x:c r="H5131" s="19" t="str">
        <x:v>小卢恩</x:v>
      </x:c>
      <x:c r="I5131" s="22" t="n">
        <x:v>30000</x:v>
      </x:c>
      <x:c r="J5131" s="22" t="n">
        <x:v>1</x:v>
      </x:c>
      <x:c r="K5131" s="19" t="n">
        <x:v>1</x:v>
      </x:c>
      <x:c r="L5131" s="24" t="n">
        <x:v>105.61133333333333</x:v>
      </x:c>
      <x:c r="M5131" s="26" t="n">
        <x:v>0.1</x:v>
      </x:c>
      <x:c r="N5131" s="24" t="n">
        <x:v>72</x:v>
      </x:c>
      <x:c r="O5131" s="28" t="n">
        <x:f>MIN(1,L5131/I5131)</x:f>
        <x:v>0.003520377777777778</x:v>
      </x:c>
      <x:c r="P5131" s="30" t="n">
        <x:f>O5131*J5131*(1+M5131)</x:f>
        <x:v>0.003872415555555556</x:v>
      </x:c>
      <x:c r="Q5131" s="30" t="n">
        <x:f>P5131*N5131</x:f>
        <x:v>0.27881392000000005</x:v>
      </x:c>
      <x:c r="R5131" s="19" t="str">
        <x:v>独立判定</x:v>
      </x:c>
    </x:row>
    <x:row r="5132" ht="19" customHeight="1">
      <x:c r="A5132" s="19" t="str">
        <x:v>D05128</x:v>
      </x:c>
      <x:c r="B5132" s="19" t="n">
        <x:v>10</x:v>
      </x:c>
      <x:c r="C5132" s="19" t="n">
        <x:v>5</x:v>
      </x:c>
      <x:c r="D5132" s="19" t="str">
        <x:v>C10-M052</x:v>
      </x:c>
      <x:c r="E5132" s="19" t="str">
        <x:v>律烛诵壁僧</x:v>
      </x:c>
      <x:c r="F5132" s="19" t="str">
        <x:v>普通</x:v>
      </x:c>
      <x:c r="G5132" s="19" t="str">
        <x:v>六神器公共池</x:v>
      </x:c>
      <x:c r="H5132" s="19" t="str">
        <x:v>POOL006</x:v>
      </x:c>
      <x:c r="I5132" s="22" t="n">
        <x:v>20000000</x:v>
      </x:c>
      <x:c r="J5132" s="22" t="n">
        <x:v>1</x:v>
      </x:c>
      <x:c r="K5132" s="19" t="n">
        <x:v>6</x:v>
      </x:c>
      <x:c r="L5132" s="24" t="n">
        <x:v>105.61133333333333</x:v>
      </x:c>
      <x:c r="M5132" s="26" t="n">
        <x:v>0.1</x:v>
      </x:c>
      <x:c r="N5132" s="24" t="n">
        <x:v>72</x:v>
      </x:c>
      <x:c r="O5132" s="28" t="n">
        <x:f>MIN(1,L5132/I5132)</x:f>
        <x:v>0.0000052805666666666665</x:v>
      </x:c>
      <x:c r="P5132" s="30" t="n">
        <x:f>O5132*J5132*(1+M5132)</x:f>
        <x:v>0.000005808623333333333</x:v>
      </x:c>
      <x:c r="Q5132" s="30" t="n">
        <x:f>P5132*N5132</x:f>
        <x:v>0.00041822088</x:v>
      </x:c>
      <x:c r="R5132" s="19" t="str">
        <x:v>六选一；非6个独立爆率</x:v>
      </x:c>
    </x:row>
    <x:row r="5133" ht="19" customHeight="1">
      <x:c r="A5133" s="19" t="str">
        <x:v>D05129</x:v>
      </x:c>
      <x:c r="B5133" s="19" t="n">
        <x:v>10</x:v>
      </x:c>
      <x:c r="C5133" s="19" t="n">
        <x:v>5</x:v>
      </x:c>
      <x:c r="D5133" s="19" t="str">
        <x:v>C10-M053</x:v>
      </x:c>
      <x:c r="E5133" s="19" t="str">
        <x:v>前厅捧剑灵</x:v>
      </x:c>
      <x:c r="F5133" s="19" t="str">
        <x:v>普通</x:v>
      </x:c>
      <x:c r="G5133" s="19" t="str">
        <x:v>自身专属</x:v>
      </x:c>
      <x:c r="H5133" s="19" t="str">
        <x:v>捧剑护座盾</x:v>
      </x:c>
      <x:c r="I5133" s="22" t="n">
        <x:v>12000</x:v>
      </x:c>
      <x:c r="J5133" s="22" t="n">
        <x:v>1</x:v>
      </x:c>
      <x:c r="K5133" s="19" t="n">
        <x:v>1</x:v>
      </x:c>
      <x:c r="L5133" s="24" t="n">
        <x:v>105.61133333333333</x:v>
      </x:c>
      <x:c r="M5133" s="26" t="n">
        <x:v>0.1</x:v>
      </x:c>
      <x:c r="N5133" s="24" t="n">
        <x:v>72</x:v>
      </x:c>
      <x:c r="O5133" s="28" t="n">
        <x:f>MIN(1,L5133/I5133)</x:f>
        <x:v>0.008800944444444445</x:v>
      </x:c>
      <x:c r="P5133" s="30" t="n">
        <x:f>O5133*J5133*(1+M5133)</x:f>
        <x:v>0.009681038888888889</x:v>
      </x:c>
      <x:c r="Q5133" s="30" t="n">
        <x:f>P5133*N5133</x:f>
        <x:v>0.6970348</x:v>
      </x:c>
      <x:c r="R5133" s="19" t="str">
        <x:v>独立判定</x:v>
      </x:c>
    </x:row>
    <x:row r="5134" ht="19" customHeight="1">
      <x:c r="A5134" s="19" t="str">
        <x:v>D05130</x:v>
      </x:c>
      <x:c r="B5134" s="19" t="n">
        <x:v>10</x:v>
      </x:c>
      <x:c r="C5134" s="19" t="n">
        <x:v>5</x:v>
      </x:c>
      <x:c r="D5134" s="19" t="str">
        <x:v>C10-M053</x:v>
      </x:c>
      <x:c r="E5134" s="19" t="str">
        <x:v>前厅捧剑灵</x:v>
      </x:c>
      <x:c r="F5134" s="19" t="str">
        <x:v>普通</x:v>
      </x:c>
      <x:c r="G5134" s="19" t="str">
        <x:v>材料独立候选</x:v>
      </x:c>
      <x:c r="H5134" s="19" t="str">
        <x:v>王城金屑</x:v>
      </x:c>
      <x:c r="I5134" s="22" t="n">
        <x:v>2000</x:v>
      </x:c>
      <x:c r="J5134" s="22" t="n">
        <x:v>8</x:v>
      </x:c>
      <x:c r="K5134" s="19" t="n">
        <x:v>1</x:v>
      </x:c>
      <x:c r="L5134" s="24" t="n">
        <x:v>105.61133333333333</x:v>
      </x:c>
      <x:c r="M5134" s="26" t="n">
        <x:v>0.1</x:v>
      </x:c>
      <x:c r="N5134" s="24" t="n">
        <x:v>72</x:v>
      </x:c>
      <x:c r="O5134" s="28" t="n">
        <x:f>MIN(1,L5134/I5134)</x:f>
        <x:v>0.05280566666666667</x:v>
      </x:c>
      <x:c r="P5134" s="30" t="n">
        <x:f>O5134*J5134*(1+M5134)</x:f>
        <x:v>0.46468986666666673</x:v>
      </x:c>
      <x:c r="Q5134" s="30" t="n">
        <x:f>P5134*N5134</x:f>
        <x:v>33.457670400000005</x:v>
      </x:c>
      <x:c r="R5134" s="19" t="str">
        <x:v>独立判定</x:v>
      </x:c>
    </x:row>
    <x:row r="5135" ht="19" customHeight="1">
      <x:c r="A5135" s="19" t="str">
        <x:v>D05131</x:v>
      </x:c>
      <x:c r="B5135" s="19" t="n">
        <x:v>10</x:v>
      </x:c>
      <x:c r="C5135" s="19" t="n">
        <x:v>5</x:v>
      </x:c>
      <x:c r="D5135" s="19" t="str">
        <x:v>C10-M053</x:v>
      </x:c>
      <x:c r="E5135" s="19" t="str">
        <x:v>前厅捧剑灵</x:v>
      </x:c>
      <x:c r="F5135" s="19" t="str">
        <x:v>普通</x:v>
      </x:c>
      <x:c r="G5135" s="19" t="str">
        <x:v>材料独立候选</x:v>
      </x:c>
      <x:c r="H5135" s="19" t="str">
        <x:v>无名墓钉</x:v>
      </x:c>
      <x:c r="I5135" s="22" t="n">
        <x:v>3000</x:v>
      </x:c>
      <x:c r="J5135" s="22" t="n">
        <x:v>1</x:v>
      </x:c>
      <x:c r="K5135" s="19" t="n">
        <x:v>1</x:v>
      </x:c>
      <x:c r="L5135" s="24" t="n">
        <x:v>105.61133333333333</x:v>
      </x:c>
      <x:c r="M5135" s="26" t="n">
        <x:v>0.1</x:v>
      </x:c>
      <x:c r="N5135" s="24" t="n">
        <x:v>72</x:v>
      </x:c>
      <x:c r="O5135" s="28" t="n">
        <x:f>MIN(1,L5135/I5135)</x:f>
        <x:v>0.03520377777777778</x:v>
      </x:c>
      <x:c r="P5135" s="30" t="n">
        <x:f>O5135*J5135*(1+M5135)</x:f>
        <x:v>0.038724155555555556</x:v>
      </x:c>
      <x:c r="Q5135" s="30" t="n">
        <x:f>P5135*N5135</x:f>
        <x:v>2.7881392</x:v>
      </x:c>
      <x:c r="R5135" s="19" t="str">
        <x:v>独立判定</x:v>
      </x:c>
    </x:row>
    <x:row r="5136" ht="19" customHeight="1">
      <x:c r="A5136" s="19" t="str">
        <x:v>D05132</x:v>
      </x:c>
      <x:c r="B5136" s="19" t="n">
        <x:v>10</x:v>
      </x:c>
      <x:c r="C5136" s="19" t="n">
        <x:v>5</x:v>
      </x:c>
      <x:c r="D5136" s="19" t="str">
        <x:v>C10-M053</x:v>
      </x:c>
      <x:c r="E5136" s="19" t="str">
        <x:v>前厅捧剑灵</x:v>
      </x:c>
      <x:c r="F5136" s="19" t="str">
        <x:v>普通</x:v>
      </x:c>
      <x:c r="G5136" s="19" t="str">
        <x:v>材料独立候选</x:v>
      </x:c>
      <x:c r="H5136" s="19" t="str">
        <x:v>穹律鎏痕拓片</x:v>
      </x:c>
      <x:c r="I5136" s="22" t="n">
        <x:v>5000000</x:v>
      </x:c>
      <x:c r="J5136" s="22" t="n">
        <x:v>1</x:v>
      </x:c>
      <x:c r="K5136" s="19" t="n">
        <x:v>1</x:v>
      </x:c>
      <x:c r="L5136" s="24" t="n">
        <x:v>105.61133333333333</x:v>
      </x:c>
      <x:c r="M5136" s="26" t="n">
        <x:v>0.1</x:v>
      </x:c>
      <x:c r="N5136" s="24" t="n">
        <x:v>72</x:v>
      </x:c>
      <x:c r="O5136" s="28" t="n">
        <x:f>MIN(1,L5136/I5136)</x:f>
        <x:v>0.000021122266666666666</x:v>
      </x:c>
      <x:c r="P5136" s="30" t="n">
        <x:f>O5136*J5136*(1+M5136)</x:f>
        <x:v>0.000023234493333333333</x:v>
      </x:c>
      <x:c r="Q5136" s="30" t="n">
        <x:f>P5136*N5136</x:f>
        <x:v>0.00167288352</x:v>
      </x:c>
      <x:c r="R5136" s="19" t="str">
        <x:v>独立判定</x:v>
      </x:c>
    </x:row>
    <x:row r="5137" ht="19" customHeight="1">
      <x:c r="A5137" s="19" t="str">
        <x:v>D05133</x:v>
      </x:c>
      <x:c r="B5137" s="19" t="n">
        <x:v>10</x:v>
      </x:c>
      <x:c r="C5137" s="19" t="n">
        <x:v>5</x:v>
      </x:c>
      <x:c r="D5137" s="19" t="str">
        <x:v>C10-M053</x:v>
      </x:c>
      <x:c r="E5137" s="19" t="str">
        <x:v>前厅捧剑灵</x:v>
      </x:c>
      <x:c r="F5137" s="19" t="str">
        <x:v>普通</x:v>
      </x:c>
      <x:c r="G5137" s="19" t="str">
        <x:v>材料独立候选</x:v>
      </x:c>
      <x:c r="H5137" s="19" t="str">
        <x:v>野兽骨片</x:v>
      </x:c>
      <x:c r="I5137" s="22" t="n">
        <x:v>600</x:v>
      </x:c>
      <x:c r="J5137" s="22" t="n">
        <x:v>4</x:v>
      </x:c>
      <x:c r="K5137" s="19" t="n">
        <x:v>1</x:v>
      </x:c>
      <x:c r="L5137" s="24" t="n">
        <x:v>105.61133333333333</x:v>
      </x:c>
      <x:c r="M5137" s="26" t="n">
        <x:v>0.1</x:v>
      </x:c>
      <x:c r="N5137" s="24" t="n">
        <x:v>72</x:v>
      </x:c>
      <x:c r="O5137" s="28" t="n">
        <x:f>MIN(1,L5137/I5137)</x:f>
        <x:v>0.1760188888888889</x:v>
      </x:c>
      <x:c r="P5137" s="30" t="n">
        <x:f>O5137*J5137*(1+M5137)</x:f>
        <x:v>0.7744831111111112</x:v>
      </x:c>
      <x:c r="Q5137" s="30" t="n">
        <x:f>P5137*N5137</x:f>
        <x:v>55.76278400000001</x:v>
      </x:c>
      <x:c r="R5137" s="19" t="str">
        <x:v>独立判定</x:v>
      </x:c>
    </x:row>
    <x:row r="5138" ht="19" customHeight="1">
      <x:c r="A5138" s="19" t="str">
        <x:v>D05134</x:v>
      </x:c>
      <x:c r="B5138" s="19" t="n">
        <x:v>10</x:v>
      </x:c>
      <x:c r="C5138" s="19" t="n">
        <x:v>5</x:v>
      </x:c>
      <x:c r="D5138" s="19" t="str">
        <x:v>C10-M053</x:v>
      </x:c>
      <x:c r="E5138" s="19" t="str">
        <x:v>前厅捧剑灵</x:v>
      </x:c>
      <x:c r="F5138" s="19" t="str">
        <x:v>普通</x:v>
      </x:c>
      <x:c r="G5138" s="19" t="str">
        <x:v>材料独立候选</x:v>
      </x:c>
      <x:c r="H5138" s="19" t="str">
        <x:v>技能残页</x:v>
      </x:c>
      <x:c r="I5138" s="22" t="n">
        <x:v>5000</x:v>
      </x:c>
      <x:c r="J5138" s="22" t="n">
        <x:v>1</x:v>
      </x:c>
      <x:c r="K5138" s="19" t="n">
        <x:v>1</x:v>
      </x:c>
      <x:c r="L5138" s="24" t="n">
        <x:v>105.61133333333333</x:v>
      </x:c>
      <x:c r="M5138" s="26" t="n">
        <x:v>0.1</x:v>
      </x:c>
      <x:c r="N5138" s="24" t="n">
        <x:v>72</x:v>
      </x:c>
      <x:c r="O5138" s="28" t="n">
        <x:f>MIN(1,L5138/I5138)</x:f>
        <x:v>0.021122266666666667</x:v>
      </x:c>
      <x:c r="P5138" s="30" t="n">
        <x:f>O5138*J5138*(1+M5138)</x:f>
        <x:v>0.023234493333333335</x:v>
      </x:c>
      <x:c r="Q5138" s="30" t="n">
        <x:f>P5138*N5138</x:f>
        <x:v>1.67288352</x:v>
      </x:c>
      <x:c r="R5138" s="19" t="str">
        <x:v>独立判定</x:v>
      </x:c>
    </x:row>
    <x:row r="5139" ht="19" customHeight="1">
      <x:c r="A5139" s="19" t="str">
        <x:v>D05135</x:v>
      </x:c>
      <x:c r="B5139" s="19" t="n">
        <x:v>10</x:v>
      </x:c>
      <x:c r="C5139" s="19" t="n">
        <x:v>5</x:v>
      </x:c>
      <x:c r="D5139" s="19" t="str">
        <x:v>C10-M053</x:v>
      </x:c>
      <x:c r="E5139" s="19" t="str">
        <x:v>前厅捧剑灵</x:v>
      </x:c>
      <x:c r="F5139" s="19" t="str">
        <x:v>普通</x:v>
      </x:c>
      <x:c r="G5139" s="19" t="str">
        <x:v>材料独立候选</x:v>
      </x:c>
      <x:c r="H5139" s="19" t="str">
        <x:v>小卢恩</x:v>
      </x:c>
      <x:c r="I5139" s="22" t="n">
        <x:v>30000</x:v>
      </x:c>
      <x:c r="J5139" s="22" t="n">
        <x:v>1</x:v>
      </x:c>
      <x:c r="K5139" s="19" t="n">
        <x:v>1</x:v>
      </x:c>
      <x:c r="L5139" s="24" t="n">
        <x:v>105.61133333333333</x:v>
      </x:c>
      <x:c r="M5139" s="26" t="n">
        <x:v>0.1</x:v>
      </x:c>
      <x:c r="N5139" s="24" t="n">
        <x:v>72</x:v>
      </x:c>
      <x:c r="O5139" s="28" t="n">
        <x:f>MIN(1,L5139/I5139)</x:f>
        <x:v>0.003520377777777778</x:v>
      </x:c>
      <x:c r="P5139" s="30" t="n">
        <x:f>O5139*J5139*(1+M5139)</x:f>
        <x:v>0.003872415555555556</x:v>
      </x:c>
      <x:c r="Q5139" s="30" t="n">
        <x:f>P5139*N5139</x:f>
        <x:v>0.27881392000000005</x:v>
      </x:c>
      <x:c r="R5139" s="19" t="str">
        <x:v>独立判定</x:v>
      </x:c>
    </x:row>
    <x:row r="5140" ht="19" customHeight="1">
      <x:c r="A5140" s="19" t="str">
        <x:v>D05136</x:v>
      </x:c>
      <x:c r="B5140" s="19" t="n">
        <x:v>10</x:v>
      </x:c>
      <x:c r="C5140" s="19" t="n">
        <x:v>5</x:v>
      </x:c>
      <x:c r="D5140" s="19" t="str">
        <x:v>C10-M053</x:v>
      </x:c>
      <x:c r="E5140" s="19" t="str">
        <x:v>前厅捧剑灵</x:v>
      </x:c>
      <x:c r="F5140" s="19" t="str">
        <x:v>普通</x:v>
      </x:c>
      <x:c r="G5140" s="19" t="str">
        <x:v>六神器公共池</x:v>
      </x:c>
      <x:c r="H5140" s="19" t="str">
        <x:v>POOL006</x:v>
      </x:c>
      <x:c r="I5140" s="22" t="n">
        <x:v>20000000</x:v>
      </x:c>
      <x:c r="J5140" s="22" t="n">
        <x:v>1</x:v>
      </x:c>
      <x:c r="K5140" s="19" t="n">
        <x:v>6</x:v>
      </x:c>
      <x:c r="L5140" s="24" t="n">
        <x:v>105.61133333333333</x:v>
      </x:c>
      <x:c r="M5140" s="26" t="n">
        <x:v>0.1</x:v>
      </x:c>
      <x:c r="N5140" s="24" t="n">
        <x:v>72</x:v>
      </x:c>
      <x:c r="O5140" s="28" t="n">
        <x:f>MIN(1,L5140/I5140)</x:f>
        <x:v>0.0000052805666666666665</x:v>
      </x:c>
      <x:c r="P5140" s="30" t="n">
        <x:f>O5140*J5140*(1+M5140)</x:f>
        <x:v>0.000005808623333333333</x:v>
      </x:c>
      <x:c r="Q5140" s="30" t="n">
        <x:f>P5140*N5140</x:f>
        <x:v>0.00041822088</x:v>
      </x:c>
      <x:c r="R5140" s="19" t="str">
        <x:v>六选一；非6个独立爆率</x:v>
      </x:c>
    </x:row>
    <x:row r="5141" ht="19" customHeight="1">
      <x:c r="A5141" s="19" t="str">
        <x:v>D05137</x:v>
      </x:c>
      <x:c r="B5141" s="19" t="n">
        <x:v>10</x:v>
      </x:c>
      <x:c r="C5141" s="19" t="n">
        <x:v>5</x:v>
      </x:c>
      <x:c r="D5141" s="19" t="str">
        <x:v>C10-M054</x:v>
      </x:c>
      <x:c r="E5141" s="19" t="str">
        <x:v>王座拾辉甲</x:v>
      </x:c>
      <x:c r="F5141" s="19" t="str">
        <x:v>普通</x:v>
      </x:c>
      <x:c r="G5141" s="19" t="str">
        <x:v>自身专属</x:v>
      </x:c>
      <x:c r="H5141" s="19" t="str">
        <x:v>拾辉登阶靴</x:v>
      </x:c>
      <x:c r="I5141" s="22" t="n">
        <x:v>12000</x:v>
      </x:c>
      <x:c r="J5141" s="22" t="n">
        <x:v>1</x:v>
      </x:c>
      <x:c r="K5141" s="19" t="n">
        <x:v>1</x:v>
      </x:c>
      <x:c r="L5141" s="24" t="n">
        <x:v>105.61133333333333</x:v>
      </x:c>
      <x:c r="M5141" s="26" t="n">
        <x:v>0.1</x:v>
      </x:c>
      <x:c r="N5141" s="24" t="n">
        <x:v>72</x:v>
      </x:c>
      <x:c r="O5141" s="28" t="n">
        <x:f>MIN(1,L5141/I5141)</x:f>
        <x:v>0.008800944444444445</x:v>
      </x:c>
      <x:c r="P5141" s="30" t="n">
        <x:f>O5141*J5141*(1+M5141)</x:f>
        <x:v>0.009681038888888889</x:v>
      </x:c>
      <x:c r="Q5141" s="30" t="n">
        <x:f>P5141*N5141</x:f>
        <x:v>0.6970348</x:v>
      </x:c>
      <x:c r="R5141" s="19" t="str">
        <x:v>独立判定</x:v>
      </x:c>
    </x:row>
    <x:row r="5142" ht="19" customHeight="1">
      <x:c r="A5142" s="19" t="str">
        <x:v>D05138</x:v>
      </x:c>
      <x:c r="B5142" s="19" t="n">
        <x:v>10</x:v>
      </x:c>
      <x:c r="C5142" s="19" t="n">
        <x:v>5</x:v>
      </x:c>
      <x:c r="D5142" s="19" t="str">
        <x:v>C10-M054</x:v>
      </x:c>
      <x:c r="E5142" s="19" t="str">
        <x:v>王座拾辉甲</x:v>
      </x:c>
      <x:c r="F5142" s="19" t="str">
        <x:v>普通</x:v>
      </x:c>
      <x:c r="G5142" s="19" t="str">
        <x:v>材料独立候选</x:v>
      </x:c>
      <x:c r="H5142" s="19" t="str">
        <x:v>王城金屑</x:v>
      </x:c>
      <x:c r="I5142" s="22" t="n">
        <x:v>2000</x:v>
      </x:c>
      <x:c r="J5142" s="22" t="n">
        <x:v>8</x:v>
      </x:c>
      <x:c r="K5142" s="19" t="n">
        <x:v>1</x:v>
      </x:c>
      <x:c r="L5142" s="24" t="n">
        <x:v>105.61133333333333</x:v>
      </x:c>
      <x:c r="M5142" s="26" t="n">
        <x:v>0.1</x:v>
      </x:c>
      <x:c r="N5142" s="24" t="n">
        <x:v>72</x:v>
      </x:c>
      <x:c r="O5142" s="28" t="n">
        <x:f>MIN(1,L5142/I5142)</x:f>
        <x:v>0.05280566666666667</x:v>
      </x:c>
      <x:c r="P5142" s="30" t="n">
        <x:f>O5142*J5142*(1+M5142)</x:f>
        <x:v>0.46468986666666673</x:v>
      </x:c>
      <x:c r="Q5142" s="30" t="n">
        <x:f>P5142*N5142</x:f>
        <x:v>33.457670400000005</x:v>
      </x:c>
      <x:c r="R5142" s="19" t="str">
        <x:v>独立判定</x:v>
      </x:c>
    </x:row>
    <x:row r="5143" ht="19" customHeight="1">
      <x:c r="A5143" s="19" t="str">
        <x:v>D05139</x:v>
      </x:c>
      <x:c r="B5143" s="19" t="n">
        <x:v>10</x:v>
      </x:c>
      <x:c r="C5143" s="19" t="n">
        <x:v>5</x:v>
      </x:c>
      <x:c r="D5143" s="19" t="str">
        <x:v>C10-M054</x:v>
      </x:c>
      <x:c r="E5143" s="19" t="str">
        <x:v>王座拾辉甲</x:v>
      </x:c>
      <x:c r="F5143" s="19" t="str">
        <x:v>普通</x:v>
      </x:c>
      <x:c r="G5143" s="19" t="str">
        <x:v>材料独立候选</x:v>
      </x:c>
      <x:c r="H5143" s="19" t="str">
        <x:v>无名墓钉</x:v>
      </x:c>
      <x:c r="I5143" s="22" t="n">
        <x:v>3000</x:v>
      </x:c>
      <x:c r="J5143" s="22" t="n">
        <x:v>1</x:v>
      </x:c>
      <x:c r="K5143" s="19" t="n">
        <x:v>1</x:v>
      </x:c>
      <x:c r="L5143" s="24" t="n">
        <x:v>105.61133333333333</x:v>
      </x:c>
      <x:c r="M5143" s="26" t="n">
        <x:v>0.1</x:v>
      </x:c>
      <x:c r="N5143" s="24" t="n">
        <x:v>72</x:v>
      </x:c>
      <x:c r="O5143" s="28" t="n">
        <x:f>MIN(1,L5143/I5143)</x:f>
        <x:v>0.03520377777777778</x:v>
      </x:c>
      <x:c r="P5143" s="30" t="n">
        <x:f>O5143*J5143*(1+M5143)</x:f>
        <x:v>0.038724155555555556</x:v>
      </x:c>
      <x:c r="Q5143" s="30" t="n">
        <x:f>P5143*N5143</x:f>
        <x:v>2.7881392</x:v>
      </x:c>
      <x:c r="R5143" s="19" t="str">
        <x:v>独立判定</x:v>
      </x:c>
    </x:row>
    <x:row r="5144" ht="19" customHeight="1">
      <x:c r="A5144" s="19" t="str">
        <x:v>D05140</x:v>
      </x:c>
      <x:c r="B5144" s="19" t="n">
        <x:v>10</x:v>
      </x:c>
      <x:c r="C5144" s="19" t="n">
        <x:v>5</x:v>
      </x:c>
      <x:c r="D5144" s="19" t="str">
        <x:v>C10-M054</x:v>
      </x:c>
      <x:c r="E5144" s="19" t="str">
        <x:v>王座拾辉甲</x:v>
      </x:c>
      <x:c r="F5144" s="19" t="str">
        <x:v>普通</x:v>
      </x:c>
      <x:c r="G5144" s="19" t="str">
        <x:v>材料独立候选</x:v>
      </x:c>
      <x:c r="H5144" s="19" t="str">
        <x:v>穹律鎏痕拓片</x:v>
      </x:c>
      <x:c r="I5144" s="22" t="n">
        <x:v>5000000</x:v>
      </x:c>
      <x:c r="J5144" s="22" t="n">
        <x:v>1</x:v>
      </x:c>
      <x:c r="K5144" s="19" t="n">
        <x:v>1</x:v>
      </x:c>
      <x:c r="L5144" s="24" t="n">
        <x:v>105.61133333333333</x:v>
      </x:c>
      <x:c r="M5144" s="26" t="n">
        <x:v>0.1</x:v>
      </x:c>
      <x:c r="N5144" s="24" t="n">
        <x:v>72</x:v>
      </x:c>
      <x:c r="O5144" s="28" t="n">
        <x:f>MIN(1,L5144/I5144)</x:f>
        <x:v>0.000021122266666666666</x:v>
      </x:c>
      <x:c r="P5144" s="30" t="n">
        <x:f>O5144*J5144*(1+M5144)</x:f>
        <x:v>0.000023234493333333333</x:v>
      </x:c>
      <x:c r="Q5144" s="30" t="n">
        <x:f>P5144*N5144</x:f>
        <x:v>0.00167288352</x:v>
      </x:c>
      <x:c r="R5144" s="19" t="str">
        <x:v>独立判定</x:v>
      </x:c>
    </x:row>
    <x:row r="5145" ht="19" customHeight="1">
      <x:c r="A5145" s="19" t="str">
        <x:v>D05141</x:v>
      </x:c>
      <x:c r="B5145" s="19" t="n">
        <x:v>10</x:v>
      </x:c>
      <x:c r="C5145" s="19" t="n">
        <x:v>5</x:v>
      </x:c>
      <x:c r="D5145" s="19" t="str">
        <x:v>C10-M054</x:v>
      </x:c>
      <x:c r="E5145" s="19" t="str">
        <x:v>王座拾辉甲</x:v>
      </x:c>
      <x:c r="F5145" s="19" t="str">
        <x:v>普通</x:v>
      </x:c>
      <x:c r="G5145" s="19" t="str">
        <x:v>材料独立候选</x:v>
      </x:c>
      <x:c r="H5145" s="19" t="str">
        <x:v>野兽骨片</x:v>
      </x:c>
      <x:c r="I5145" s="22" t="n">
        <x:v>600</x:v>
      </x:c>
      <x:c r="J5145" s="22" t="n">
        <x:v>4</x:v>
      </x:c>
      <x:c r="K5145" s="19" t="n">
        <x:v>1</x:v>
      </x:c>
      <x:c r="L5145" s="24" t="n">
        <x:v>105.61133333333333</x:v>
      </x:c>
      <x:c r="M5145" s="26" t="n">
        <x:v>0.1</x:v>
      </x:c>
      <x:c r="N5145" s="24" t="n">
        <x:v>72</x:v>
      </x:c>
      <x:c r="O5145" s="28" t="n">
        <x:f>MIN(1,L5145/I5145)</x:f>
        <x:v>0.1760188888888889</x:v>
      </x:c>
      <x:c r="P5145" s="30" t="n">
        <x:f>O5145*J5145*(1+M5145)</x:f>
        <x:v>0.7744831111111112</x:v>
      </x:c>
      <x:c r="Q5145" s="30" t="n">
        <x:f>P5145*N5145</x:f>
        <x:v>55.76278400000001</x:v>
      </x:c>
      <x:c r="R5145" s="19" t="str">
        <x:v>独立判定</x:v>
      </x:c>
    </x:row>
    <x:row r="5146" ht="19" customHeight="1">
      <x:c r="A5146" s="19" t="str">
        <x:v>D05142</x:v>
      </x:c>
      <x:c r="B5146" s="19" t="n">
        <x:v>10</x:v>
      </x:c>
      <x:c r="C5146" s="19" t="n">
        <x:v>5</x:v>
      </x:c>
      <x:c r="D5146" s="19" t="str">
        <x:v>C10-M054</x:v>
      </x:c>
      <x:c r="E5146" s="19" t="str">
        <x:v>王座拾辉甲</x:v>
      </x:c>
      <x:c r="F5146" s="19" t="str">
        <x:v>普通</x:v>
      </x:c>
      <x:c r="G5146" s="19" t="str">
        <x:v>材料独立候选</x:v>
      </x:c>
      <x:c r="H5146" s="19" t="str">
        <x:v>技能残页</x:v>
      </x:c>
      <x:c r="I5146" s="22" t="n">
        <x:v>5000</x:v>
      </x:c>
      <x:c r="J5146" s="22" t="n">
        <x:v>1</x:v>
      </x:c>
      <x:c r="K5146" s="19" t="n">
        <x:v>1</x:v>
      </x:c>
      <x:c r="L5146" s="24" t="n">
        <x:v>105.61133333333333</x:v>
      </x:c>
      <x:c r="M5146" s="26" t="n">
        <x:v>0.1</x:v>
      </x:c>
      <x:c r="N5146" s="24" t="n">
        <x:v>72</x:v>
      </x:c>
      <x:c r="O5146" s="28" t="n">
        <x:f>MIN(1,L5146/I5146)</x:f>
        <x:v>0.021122266666666667</x:v>
      </x:c>
      <x:c r="P5146" s="30" t="n">
        <x:f>O5146*J5146*(1+M5146)</x:f>
        <x:v>0.023234493333333335</x:v>
      </x:c>
      <x:c r="Q5146" s="30" t="n">
        <x:f>P5146*N5146</x:f>
        <x:v>1.67288352</x:v>
      </x:c>
      <x:c r="R5146" s="19" t="str">
        <x:v>独立判定</x:v>
      </x:c>
    </x:row>
    <x:row r="5147" ht="19" customHeight="1">
      <x:c r="A5147" s="19" t="str">
        <x:v>D05143</x:v>
      </x:c>
      <x:c r="B5147" s="19" t="n">
        <x:v>10</x:v>
      </x:c>
      <x:c r="C5147" s="19" t="n">
        <x:v>5</x:v>
      </x:c>
      <x:c r="D5147" s="19" t="str">
        <x:v>C10-M054</x:v>
      </x:c>
      <x:c r="E5147" s="19" t="str">
        <x:v>王座拾辉甲</x:v>
      </x:c>
      <x:c r="F5147" s="19" t="str">
        <x:v>普通</x:v>
      </x:c>
      <x:c r="G5147" s="19" t="str">
        <x:v>材料独立候选</x:v>
      </x:c>
      <x:c r="H5147" s="19" t="str">
        <x:v>小卢恩</x:v>
      </x:c>
      <x:c r="I5147" s="22" t="n">
        <x:v>30000</x:v>
      </x:c>
      <x:c r="J5147" s="22" t="n">
        <x:v>1</x:v>
      </x:c>
      <x:c r="K5147" s="19" t="n">
        <x:v>1</x:v>
      </x:c>
      <x:c r="L5147" s="24" t="n">
        <x:v>105.61133333333333</x:v>
      </x:c>
      <x:c r="M5147" s="26" t="n">
        <x:v>0.1</x:v>
      </x:c>
      <x:c r="N5147" s="24" t="n">
        <x:v>72</x:v>
      </x:c>
      <x:c r="O5147" s="28" t="n">
        <x:f>MIN(1,L5147/I5147)</x:f>
        <x:v>0.003520377777777778</x:v>
      </x:c>
      <x:c r="P5147" s="30" t="n">
        <x:f>O5147*J5147*(1+M5147)</x:f>
        <x:v>0.003872415555555556</x:v>
      </x:c>
      <x:c r="Q5147" s="30" t="n">
        <x:f>P5147*N5147</x:f>
        <x:v>0.27881392000000005</x:v>
      </x:c>
      <x:c r="R5147" s="19" t="str">
        <x:v>独立判定</x:v>
      </x:c>
    </x:row>
    <x:row r="5148" ht="19" customHeight="1">
      <x:c r="A5148" s="19" t="str">
        <x:v>D05144</x:v>
      </x:c>
      <x:c r="B5148" s="19" t="n">
        <x:v>10</x:v>
      </x:c>
      <x:c r="C5148" s="19" t="n">
        <x:v>5</x:v>
      </x:c>
      <x:c r="D5148" s="19" t="str">
        <x:v>C10-M054</x:v>
      </x:c>
      <x:c r="E5148" s="19" t="str">
        <x:v>王座拾辉甲</x:v>
      </x:c>
      <x:c r="F5148" s="19" t="str">
        <x:v>普通</x:v>
      </x:c>
      <x:c r="G5148" s="19" t="str">
        <x:v>六神器公共池</x:v>
      </x:c>
      <x:c r="H5148" s="19" t="str">
        <x:v>POOL006</x:v>
      </x:c>
      <x:c r="I5148" s="22" t="n">
        <x:v>20000000</x:v>
      </x:c>
      <x:c r="J5148" s="22" t="n">
        <x:v>1</x:v>
      </x:c>
      <x:c r="K5148" s="19" t="n">
        <x:v>6</x:v>
      </x:c>
      <x:c r="L5148" s="24" t="n">
        <x:v>105.61133333333333</x:v>
      </x:c>
      <x:c r="M5148" s="26" t="n">
        <x:v>0.1</x:v>
      </x:c>
      <x:c r="N5148" s="24" t="n">
        <x:v>72</x:v>
      </x:c>
      <x:c r="O5148" s="28" t="n">
        <x:f>MIN(1,L5148/I5148)</x:f>
        <x:v>0.0000052805666666666665</x:v>
      </x:c>
      <x:c r="P5148" s="30" t="n">
        <x:f>O5148*J5148*(1+M5148)</x:f>
        <x:v>0.000005808623333333333</x:v>
      </x:c>
      <x:c r="Q5148" s="30" t="n">
        <x:f>P5148*N5148</x:f>
        <x:v>0.00041822088</x:v>
      </x:c>
      <x:c r="R5148" s="19" t="str">
        <x:v>六选一；非6个独立爆率</x:v>
      </x:c>
    </x:row>
    <x:row r="5149" ht="19" customHeight="1">
      <x:c r="A5149" s="19" t="str">
        <x:v>D05145</x:v>
      </x:c>
      <x:c r="B5149" s="19" t="n">
        <x:v>10</x:v>
      </x:c>
      <x:c r="C5149" s="19" t="n">
        <x:v>5</x:v>
      </x:c>
      <x:c r="D5149" s="19" t="str">
        <x:v>C10-M055</x:v>
      </x:c>
      <x:c r="E5149" s="19" t="str">
        <x:v>外庭熔桂狮</x:v>
      </x:c>
      <x:c r="F5149" s="19" t="str">
        <x:v>稀有</x:v>
      </x:c>
      <x:c r="G5149" s="19" t="str">
        <x:v>自身专属</x:v>
      </x:c>
      <x:c r="H5149" s="19" t="str">
        <x:v>熔桂狮鬃坠</x:v>
      </x:c>
      <x:c r="I5149" s="22" t="n">
        <x:v>3000</x:v>
      </x:c>
      <x:c r="J5149" s="22" t="n">
        <x:v>1</x:v>
      </x:c>
      <x:c r="K5149" s="19" t="n">
        <x:v>1</x:v>
      </x:c>
      <x:c r="L5149" s="24" t="n">
        <x:v>105.61133333333333</x:v>
      </x:c>
      <x:c r="M5149" s="26" t="n">
        <x:v>0.1</x:v>
      </x:c>
      <x:c r="N5149" s="24" t="n">
        <x:v>12</x:v>
      </x:c>
      <x:c r="O5149" s="28" t="n">
        <x:f>MIN(1,L5149/I5149)</x:f>
        <x:v>0.03520377777777778</x:v>
      </x:c>
      <x:c r="P5149" s="30" t="n">
        <x:f>O5149*J5149*(1+M5149)</x:f>
        <x:v>0.038724155555555556</x:v>
      </x:c>
      <x:c r="Q5149" s="30" t="n">
        <x:f>P5149*N5149</x:f>
        <x:v>0.4646898666666667</x:v>
      </x:c>
      <x:c r="R5149" s="19" t="str">
        <x:v>独立判定</x:v>
      </x:c>
    </x:row>
    <x:row r="5150" ht="19" customHeight="1">
      <x:c r="A5150" s="19" t="str">
        <x:v>D05146</x:v>
      </x:c>
      <x:c r="B5150" s="19" t="n">
        <x:v>10</x:v>
      </x:c>
      <x:c r="C5150" s="19" t="n">
        <x:v>5</x:v>
      </x:c>
      <x:c r="D5150" s="19" t="str">
        <x:v>C10-M055</x:v>
      </x:c>
      <x:c r="E5150" s="19" t="str">
        <x:v>外庭熔桂狮</x:v>
      </x:c>
      <x:c r="F5150" s="19" t="str">
        <x:v>稀有</x:v>
      </x:c>
      <x:c r="G5150" s="19" t="str">
        <x:v>材料独立候选</x:v>
      </x:c>
      <x:c r="H5150" s="19" t="str">
        <x:v>王城金屑</x:v>
      </x:c>
      <x:c r="I5150" s="22" t="n">
        <x:v>1200</x:v>
      </x:c>
      <x:c r="J5150" s="22" t="n">
        <x:v>15</x:v>
      </x:c>
      <x:c r="K5150" s="19" t="n">
        <x:v>1</x:v>
      </x:c>
      <x:c r="L5150" s="24" t="n">
        <x:v>105.61133333333333</x:v>
      </x:c>
      <x:c r="M5150" s="26" t="n">
        <x:v>0.1</x:v>
      </x:c>
      <x:c r="N5150" s="24" t="n">
        <x:v>12</x:v>
      </x:c>
      <x:c r="O5150" s="28" t="n">
        <x:f>MIN(1,L5150/I5150)</x:f>
        <x:v>0.08800944444444445</x:v>
      </x:c>
      <x:c r="P5150" s="30" t="n">
        <x:f>O5150*J5150*(1+M5150)</x:f>
        <x:v>1.4521558333333335</x:v>
      </x:c>
      <x:c r="Q5150" s="30" t="n">
        <x:f>P5150*N5150</x:f>
        <x:v>17.425870000000003</x:v>
      </x:c>
      <x:c r="R5150" s="19" t="str">
        <x:v>独立判定</x:v>
      </x:c>
    </x:row>
    <x:row r="5151" ht="19" customHeight="1">
      <x:c r="A5151" s="19" t="str">
        <x:v>D05147</x:v>
      </x:c>
      <x:c r="B5151" s="19" t="n">
        <x:v>10</x:v>
      </x:c>
      <x:c r="C5151" s="19" t="n">
        <x:v>5</x:v>
      </x:c>
      <x:c r="D5151" s="19" t="str">
        <x:v>C10-M055</x:v>
      </x:c>
      <x:c r="E5151" s="19" t="str">
        <x:v>外庭熔桂狮</x:v>
      </x:c>
      <x:c r="F5151" s="19" t="str">
        <x:v>稀有</x:v>
      </x:c>
      <x:c r="G5151" s="19" t="str">
        <x:v>材料独立候选</x:v>
      </x:c>
      <x:c r="H5151" s="19" t="str">
        <x:v>王宫律文</x:v>
      </x:c>
      <x:c r="I5151" s="22" t="n">
        <x:v>1000</x:v>
      </x:c>
      <x:c r="J5151" s="22" t="n">
        <x:v>1</x:v>
      </x:c>
      <x:c r="K5151" s="19" t="n">
        <x:v>1</x:v>
      </x:c>
      <x:c r="L5151" s="24" t="n">
        <x:v>105.61133333333333</x:v>
      </x:c>
      <x:c r="M5151" s="26" t="n">
        <x:v>0.1</x:v>
      </x:c>
      <x:c r="N5151" s="24" t="n">
        <x:v>12</x:v>
      </x:c>
      <x:c r="O5151" s="28" t="n">
        <x:f>MIN(1,L5151/I5151)</x:f>
        <x:v>0.10561133333333333</x:v>
      </x:c>
      <x:c r="P5151" s="30" t="n">
        <x:f>O5151*J5151*(1+M5151)</x:f>
        <x:v>0.11617246666666668</x:v>
      </x:c>
      <x:c r="Q5151" s="30" t="n">
        <x:f>P5151*N5151</x:f>
        <x:v>1.3940696000000001</x:v>
      </x:c>
      <x:c r="R5151" s="19" t="str">
        <x:v>独立判定</x:v>
      </x:c>
    </x:row>
    <x:row r="5152" ht="19" customHeight="1">
      <x:c r="A5152" s="19" t="str">
        <x:v>D05148</x:v>
      </x:c>
      <x:c r="B5152" s="19" t="n">
        <x:v>10</x:v>
      </x:c>
      <x:c r="C5152" s="19" t="n">
        <x:v>5</x:v>
      </x:c>
      <x:c r="D5152" s="19" t="str">
        <x:v>C10-M055</x:v>
      </x:c>
      <x:c r="E5152" s="19" t="str">
        <x:v>外庭熔桂狮</x:v>
      </x:c>
      <x:c r="F5152" s="19" t="str">
        <x:v>稀有</x:v>
      </x:c>
      <x:c r="G5152" s="19" t="str">
        <x:v>材料独立候选</x:v>
      </x:c>
      <x:c r="H5152" s="19" t="str">
        <x:v>旧渠阀芯</x:v>
      </x:c>
      <x:c r="I5152" s="22" t="n">
        <x:v>800</x:v>
      </x:c>
      <x:c r="J5152" s="22" t="n">
        <x:v>1</x:v>
      </x:c>
      <x:c r="K5152" s="19" t="n">
        <x:v>1</x:v>
      </x:c>
      <x:c r="L5152" s="24" t="n">
        <x:v>105.61133333333333</x:v>
      </x:c>
      <x:c r="M5152" s="26" t="n">
        <x:v>0.1</x:v>
      </x:c>
      <x:c r="N5152" s="24" t="n">
        <x:v>12</x:v>
      </x:c>
      <x:c r="O5152" s="28" t="n">
        <x:f>MIN(1,L5152/I5152)</x:f>
        <x:v>0.13201416666666665</x:v>
      </x:c>
      <x:c r="P5152" s="30" t="n">
        <x:f>O5152*J5152*(1+M5152)</x:f>
        <x:v>0.14521558333333334</x:v>
      </x:c>
      <x:c r="Q5152" s="30" t="n">
        <x:f>P5152*N5152</x:f>
        <x:v>1.742587</x:v>
      </x:c>
      <x:c r="R5152" s="19" t="str">
        <x:v>独立判定</x:v>
      </x:c>
    </x:row>
    <x:row r="5153" ht="19" customHeight="1">
      <x:c r="A5153" s="19" t="str">
        <x:v>D05149</x:v>
      </x:c>
      <x:c r="B5153" s="19" t="n">
        <x:v>10</x:v>
      </x:c>
      <x:c r="C5153" s="19" t="n">
        <x:v>5</x:v>
      </x:c>
      <x:c r="D5153" s="19" t="str">
        <x:v>C10-M055</x:v>
      </x:c>
      <x:c r="E5153" s="19" t="str">
        <x:v>外庭熔桂狮</x:v>
      </x:c>
      <x:c r="F5153" s="19" t="str">
        <x:v>稀有</x:v>
      </x:c>
      <x:c r="G5153" s="19" t="str">
        <x:v>材料独立候选</x:v>
      </x:c>
      <x:c r="H5153" s="19" t="str">
        <x:v>穹律鎏痕拓片</x:v>
      </x:c>
      <x:c r="I5153" s="22" t="n">
        <x:v>3000000</x:v>
      </x:c>
      <x:c r="J5153" s="22" t="n">
        <x:v>1</x:v>
      </x:c>
      <x:c r="K5153" s="19" t="n">
        <x:v>1</x:v>
      </x:c>
      <x:c r="L5153" s="24" t="n">
        <x:v>105.61133333333333</x:v>
      </x:c>
      <x:c r="M5153" s="26" t="n">
        <x:v>0.1</x:v>
      </x:c>
      <x:c r="N5153" s="24" t="n">
        <x:v>12</x:v>
      </x:c>
      <x:c r="O5153" s="28" t="n">
        <x:f>MIN(1,L5153/I5153)</x:f>
        <x:v>0.00003520377777777778</x:v>
      </x:c>
      <x:c r="P5153" s="30" t="n">
        <x:f>O5153*J5153*(1+M5153)</x:f>
        <x:v>0.00003872415555555556</x:v>
      </x:c>
      <x:c r="Q5153" s="30" t="n">
        <x:f>P5153*N5153</x:f>
        <x:v>0.0004646898666666667</x:v>
      </x:c>
      <x:c r="R5153" s="19" t="str">
        <x:v>独立判定</x:v>
      </x:c>
    </x:row>
    <x:row r="5154" ht="19" customHeight="1">
      <x:c r="A5154" s="19" t="str">
        <x:v>D05150</x:v>
      </x:c>
      <x:c r="B5154" s="19" t="n">
        <x:v>10</x:v>
      </x:c>
      <x:c r="C5154" s="19" t="n">
        <x:v>5</x:v>
      </x:c>
      <x:c r="D5154" s="19" t="str">
        <x:v>C10-M055</x:v>
      </x:c>
      <x:c r="E5154" s="19" t="str">
        <x:v>外庭熔桂狮</x:v>
      </x:c>
      <x:c r="F5154" s="19" t="str">
        <x:v>稀有</x:v>
      </x:c>
      <x:c r="G5154" s="19" t="str">
        <x:v>材料独立候选</x:v>
      </x:c>
      <x:c r="H5154" s="19" t="str">
        <x:v>黄金树芽</x:v>
      </x:c>
      <x:c r="I5154" s="22" t="n">
        <x:v>3000</x:v>
      </x:c>
      <x:c r="J5154" s="22" t="n">
        <x:v>1</x:v>
      </x:c>
      <x:c r="K5154" s="19" t="n">
        <x:v>1</x:v>
      </x:c>
      <x:c r="L5154" s="24" t="n">
        <x:v>105.61133333333333</x:v>
      </x:c>
      <x:c r="M5154" s="26" t="n">
        <x:v>0.1</x:v>
      </x:c>
      <x:c r="N5154" s="24" t="n">
        <x:v>12</x:v>
      </x:c>
      <x:c r="O5154" s="28" t="n">
        <x:f>MIN(1,L5154/I5154)</x:f>
        <x:v>0.03520377777777778</x:v>
      </x:c>
      <x:c r="P5154" s="30" t="n">
        <x:f>O5154*J5154*(1+M5154)</x:f>
        <x:v>0.038724155555555556</x:v>
      </x:c>
      <x:c r="Q5154" s="30" t="n">
        <x:f>P5154*N5154</x:f>
        <x:v>0.4646898666666667</x:v>
      </x:c>
      <x:c r="R5154" s="19" t="str">
        <x:v>独立判定</x:v>
      </x:c>
    </x:row>
    <x:row r="5155" ht="19" customHeight="1">
      <x:c r="A5155" s="19" t="str">
        <x:v>D05151</x:v>
      </x:c>
      <x:c r="B5155" s="19" t="n">
        <x:v>10</x:v>
      </x:c>
      <x:c r="C5155" s="19" t="n">
        <x:v>5</x:v>
      </x:c>
      <x:c r="D5155" s="19" t="str">
        <x:v>C10-M055</x:v>
      </x:c>
      <x:c r="E5155" s="19" t="str">
        <x:v>外庭熔桂狮</x:v>
      </x:c>
      <x:c r="F5155" s="19" t="str">
        <x:v>稀有</x:v>
      </x:c>
      <x:c r="G5155" s="19" t="str">
        <x:v>材料独立候选</x:v>
      </x:c>
      <x:c r="H5155" s="19" t="str">
        <x:v>野兽骨片</x:v>
      </x:c>
      <x:c r="I5155" s="22" t="n">
        <x:v>400</x:v>
      </x:c>
      <x:c r="J5155" s="22" t="n">
        <x:v>4</x:v>
      </x:c>
      <x:c r="K5155" s="19" t="n">
        <x:v>1</x:v>
      </x:c>
      <x:c r="L5155" s="24" t="n">
        <x:v>105.61133333333333</x:v>
      </x:c>
      <x:c r="M5155" s="26" t="n">
        <x:v>0.1</x:v>
      </x:c>
      <x:c r="N5155" s="24" t="n">
        <x:v>12</x:v>
      </x:c>
      <x:c r="O5155" s="28" t="n">
        <x:f>MIN(1,L5155/I5155)</x:f>
        <x:v>0.2640283333333333</x:v>
      </x:c>
      <x:c r="P5155" s="30" t="n">
        <x:f>O5155*J5155*(1+M5155)</x:f>
        <x:v>1.1617246666666667</x:v>
      </x:c>
      <x:c r="Q5155" s="30" t="n">
        <x:f>P5155*N5155</x:f>
        <x:v>13.940696</x:v>
      </x:c>
      <x:c r="R5155" s="19" t="str">
        <x:v>独立判定</x:v>
      </x:c>
    </x:row>
    <x:row r="5156" ht="19" customHeight="1">
      <x:c r="A5156" s="19" t="str">
        <x:v>D05152</x:v>
      </x:c>
      <x:c r="B5156" s="19" t="n">
        <x:v>10</x:v>
      </x:c>
      <x:c r="C5156" s="19" t="n">
        <x:v>5</x:v>
      </x:c>
      <x:c r="D5156" s="19" t="str">
        <x:v>C10-M055</x:v>
      </x:c>
      <x:c r="E5156" s="19" t="str">
        <x:v>外庭熔桂狮</x:v>
      </x:c>
      <x:c r="F5156" s="19" t="str">
        <x:v>稀有</x:v>
      </x:c>
      <x:c r="G5156" s="19" t="str">
        <x:v>材料独立候选</x:v>
      </x:c>
      <x:c r="H5156" s="19" t="str">
        <x:v>技能残页</x:v>
      </x:c>
      <x:c r="I5156" s="22" t="n">
        <x:v>3000</x:v>
      </x:c>
      <x:c r="J5156" s="22" t="n">
        <x:v>1</x:v>
      </x:c>
      <x:c r="K5156" s="19" t="n">
        <x:v>1</x:v>
      </x:c>
      <x:c r="L5156" s="24" t="n">
        <x:v>105.61133333333333</x:v>
      </x:c>
      <x:c r="M5156" s="26" t="n">
        <x:v>0.1</x:v>
      </x:c>
      <x:c r="N5156" s="24" t="n">
        <x:v>12</x:v>
      </x:c>
      <x:c r="O5156" s="28" t="n">
        <x:f>MIN(1,L5156/I5156)</x:f>
        <x:v>0.03520377777777778</x:v>
      </x:c>
      <x:c r="P5156" s="30" t="n">
        <x:f>O5156*J5156*(1+M5156)</x:f>
        <x:v>0.038724155555555556</x:v>
      </x:c>
      <x:c r="Q5156" s="30" t="n">
        <x:f>P5156*N5156</x:f>
        <x:v>0.4646898666666667</x:v>
      </x:c>
      <x:c r="R5156" s="19" t="str">
        <x:v>独立判定</x:v>
      </x:c>
    </x:row>
    <x:row r="5157" ht="19" customHeight="1">
      <x:c r="A5157" s="19" t="str">
        <x:v>D05153</x:v>
      </x:c>
      <x:c r="B5157" s="19" t="n">
        <x:v>10</x:v>
      </x:c>
      <x:c r="C5157" s="19" t="n">
        <x:v>5</x:v>
      </x:c>
      <x:c r="D5157" s="19" t="str">
        <x:v>C10-M055</x:v>
      </x:c>
      <x:c r="E5157" s="19" t="str">
        <x:v>外庭熔桂狮</x:v>
      </x:c>
      <x:c r="F5157" s="19" t="str">
        <x:v>稀有</x:v>
      </x:c>
      <x:c r="G5157" s="19" t="str">
        <x:v>材料独立候选</x:v>
      </x:c>
      <x:c r="H5157" s="19" t="str">
        <x:v>小卢恩</x:v>
      </x:c>
      <x:c r="I5157" s="22" t="n">
        <x:v>18000</x:v>
      </x:c>
      <x:c r="J5157" s="22" t="n">
        <x:v>1</x:v>
      </x:c>
      <x:c r="K5157" s="19" t="n">
        <x:v>1</x:v>
      </x:c>
      <x:c r="L5157" s="24" t="n">
        <x:v>105.61133333333333</x:v>
      </x:c>
      <x:c r="M5157" s="26" t="n">
        <x:v>0.1</x:v>
      </x:c>
      <x:c r="N5157" s="24" t="n">
        <x:v>12</x:v>
      </x:c>
      <x:c r="O5157" s="28" t="n">
        <x:f>MIN(1,L5157/I5157)</x:f>
        <x:v>0.005867296296296297</x:v>
      </x:c>
      <x:c r="P5157" s="30" t="n">
        <x:f>O5157*J5157*(1+M5157)</x:f>
        <x:v>0.006454025925925927</x:v>
      </x:c>
      <x:c r="Q5157" s="30" t="n">
        <x:f>P5157*N5157</x:f>
        <x:v>0.07744831111111111</x:v>
      </x:c>
      <x:c r="R5157" s="19" t="str">
        <x:v>独立判定</x:v>
      </x:c>
    </x:row>
    <x:row r="5158" ht="19" customHeight="1">
      <x:c r="A5158" s="19" t="str">
        <x:v>D05154</x:v>
      </x:c>
      <x:c r="B5158" s="19" t="n">
        <x:v>10</x:v>
      </x:c>
      <x:c r="C5158" s="19" t="n">
        <x:v>5</x:v>
      </x:c>
      <x:c r="D5158" s="19" t="str">
        <x:v>C10-M055</x:v>
      </x:c>
      <x:c r="E5158" s="19" t="str">
        <x:v>外庭熔桂狮</x:v>
      </x:c>
      <x:c r="F5158" s="19" t="str">
        <x:v>稀有</x:v>
      </x:c>
      <x:c r="G5158" s="19" t="str">
        <x:v>六神器公共池</x:v>
      </x:c>
      <x:c r="H5158" s="19" t="str">
        <x:v>POOL006</x:v>
      </x:c>
      <x:c r="I5158" s="22" t="n">
        <x:v>5000000</x:v>
      </x:c>
      <x:c r="J5158" s="22" t="n">
        <x:v>1</x:v>
      </x:c>
      <x:c r="K5158" s="19" t="n">
        <x:v>6</x:v>
      </x:c>
      <x:c r="L5158" s="24" t="n">
        <x:v>105.61133333333333</x:v>
      </x:c>
      <x:c r="M5158" s="26" t="n">
        <x:v>0.1</x:v>
      </x:c>
      <x:c r="N5158" s="24" t="n">
        <x:v>12</x:v>
      </x:c>
      <x:c r="O5158" s="28" t="n">
        <x:f>MIN(1,L5158/I5158)</x:f>
        <x:v>0.000021122266666666666</x:v>
      </x:c>
      <x:c r="P5158" s="30" t="n">
        <x:f>O5158*J5158*(1+M5158)</x:f>
        <x:v>0.000023234493333333333</x:v>
      </x:c>
      <x:c r="Q5158" s="30" t="n">
        <x:f>P5158*N5158</x:f>
        <x:v>0.00027881392</x:v>
      </x:c>
      <x:c r="R5158" s="19" t="str">
        <x:v>六选一；非6个独立爆率</x:v>
      </x:c>
    </x:row>
    <x:row r="5159" ht="19" customHeight="1">
      <x:c r="A5159" s="19" t="str">
        <x:v>D05155</x:v>
      </x:c>
      <x:c r="B5159" s="19" t="n">
        <x:v>10</x:v>
      </x:c>
      <x:c r="C5159" s="19" t="n">
        <x:v>5</x:v>
      </x:c>
      <x:c r="D5159" s="19" t="str">
        <x:v>C10-M056</x:v>
      </x:c>
      <x:c r="E5159" s="19" t="str">
        <x:v>内庭七帷掌仪</x:v>
      </x:c>
      <x:c r="F5159" s="19" t="str">
        <x:v>稀有</x:v>
      </x:c>
      <x:c r="G5159" s="19" t="str">
        <x:v>自身专属</x:v>
      </x:c>
      <x:c r="H5159" s="19" t="str">
        <x:v>七帷掌仪腰封</x:v>
      </x:c>
      <x:c r="I5159" s="22" t="n">
        <x:v>3000</x:v>
      </x:c>
      <x:c r="J5159" s="22" t="n">
        <x:v>1</x:v>
      </x:c>
      <x:c r="K5159" s="19" t="n">
        <x:v>1</x:v>
      </x:c>
      <x:c r="L5159" s="24" t="n">
        <x:v>105.61133333333333</x:v>
      </x:c>
      <x:c r="M5159" s="26" t="n">
        <x:v>0.1</x:v>
      </x:c>
      <x:c r="N5159" s="24" t="n">
        <x:v>12</x:v>
      </x:c>
      <x:c r="O5159" s="28" t="n">
        <x:f>MIN(1,L5159/I5159)</x:f>
        <x:v>0.03520377777777778</x:v>
      </x:c>
      <x:c r="P5159" s="30" t="n">
        <x:f>O5159*J5159*(1+M5159)</x:f>
        <x:v>0.038724155555555556</x:v>
      </x:c>
      <x:c r="Q5159" s="30" t="n">
        <x:f>P5159*N5159</x:f>
        <x:v>0.4646898666666667</x:v>
      </x:c>
      <x:c r="R5159" s="19" t="str">
        <x:v>独立判定</x:v>
      </x:c>
    </x:row>
    <x:row r="5160" ht="19" customHeight="1">
      <x:c r="A5160" s="19" t="str">
        <x:v>D05156</x:v>
      </x:c>
      <x:c r="B5160" s="19" t="n">
        <x:v>10</x:v>
      </x:c>
      <x:c r="C5160" s="19" t="n">
        <x:v>5</x:v>
      </x:c>
      <x:c r="D5160" s="19" t="str">
        <x:v>C10-M056</x:v>
      </x:c>
      <x:c r="E5160" s="19" t="str">
        <x:v>内庭七帷掌仪</x:v>
      </x:c>
      <x:c r="F5160" s="19" t="str">
        <x:v>稀有</x:v>
      </x:c>
      <x:c r="G5160" s="19" t="str">
        <x:v>材料独立候选</x:v>
      </x:c>
      <x:c r="H5160" s="19" t="str">
        <x:v>王城金屑</x:v>
      </x:c>
      <x:c r="I5160" s="22" t="n">
        <x:v>1200</x:v>
      </x:c>
      <x:c r="J5160" s="22" t="n">
        <x:v>15</x:v>
      </x:c>
      <x:c r="K5160" s="19" t="n">
        <x:v>1</x:v>
      </x:c>
      <x:c r="L5160" s="24" t="n">
        <x:v>105.61133333333333</x:v>
      </x:c>
      <x:c r="M5160" s="26" t="n">
        <x:v>0.1</x:v>
      </x:c>
      <x:c r="N5160" s="24" t="n">
        <x:v>12</x:v>
      </x:c>
      <x:c r="O5160" s="28" t="n">
        <x:f>MIN(1,L5160/I5160)</x:f>
        <x:v>0.08800944444444445</x:v>
      </x:c>
      <x:c r="P5160" s="30" t="n">
        <x:f>O5160*J5160*(1+M5160)</x:f>
        <x:v>1.4521558333333335</x:v>
      </x:c>
      <x:c r="Q5160" s="30" t="n">
        <x:f>P5160*N5160</x:f>
        <x:v>17.425870000000003</x:v>
      </x:c>
      <x:c r="R5160" s="19" t="str">
        <x:v>独立判定</x:v>
      </x:c>
    </x:row>
    <x:row r="5161" ht="19" customHeight="1">
      <x:c r="A5161" s="19" t="str">
        <x:v>D05157</x:v>
      </x:c>
      <x:c r="B5161" s="19" t="n">
        <x:v>10</x:v>
      </x:c>
      <x:c r="C5161" s="19" t="n">
        <x:v>5</x:v>
      </x:c>
      <x:c r="D5161" s="19" t="str">
        <x:v>C10-M056</x:v>
      </x:c>
      <x:c r="E5161" s="19" t="str">
        <x:v>内庭七帷掌仪</x:v>
      </x:c>
      <x:c r="F5161" s="19" t="str">
        <x:v>稀有</x:v>
      </x:c>
      <x:c r="G5161" s="19" t="str">
        <x:v>材料独立候选</x:v>
      </x:c>
      <x:c r="H5161" s="19" t="str">
        <x:v>王宫律文</x:v>
      </x:c>
      <x:c r="I5161" s="22" t="n">
        <x:v>1000</x:v>
      </x:c>
      <x:c r="J5161" s="22" t="n">
        <x:v>1</x:v>
      </x:c>
      <x:c r="K5161" s="19" t="n">
        <x:v>1</x:v>
      </x:c>
      <x:c r="L5161" s="24" t="n">
        <x:v>105.61133333333333</x:v>
      </x:c>
      <x:c r="M5161" s="26" t="n">
        <x:v>0.1</x:v>
      </x:c>
      <x:c r="N5161" s="24" t="n">
        <x:v>12</x:v>
      </x:c>
      <x:c r="O5161" s="28" t="n">
        <x:f>MIN(1,L5161/I5161)</x:f>
        <x:v>0.10561133333333333</x:v>
      </x:c>
      <x:c r="P5161" s="30" t="n">
        <x:f>O5161*J5161*(1+M5161)</x:f>
        <x:v>0.11617246666666668</x:v>
      </x:c>
      <x:c r="Q5161" s="30" t="n">
        <x:f>P5161*N5161</x:f>
        <x:v>1.3940696000000001</x:v>
      </x:c>
      <x:c r="R5161" s="19" t="str">
        <x:v>独立判定</x:v>
      </x:c>
    </x:row>
    <x:row r="5162" ht="19" customHeight="1">
      <x:c r="A5162" s="19" t="str">
        <x:v>D05158</x:v>
      </x:c>
      <x:c r="B5162" s="19" t="n">
        <x:v>10</x:v>
      </x:c>
      <x:c r="C5162" s="19" t="n">
        <x:v>5</x:v>
      </x:c>
      <x:c r="D5162" s="19" t="str">
        <x:v>C10-M056</x:v>
      </x:c>
      <x:c r="E5162" s="19" t="str">
        <x:v>内庭七帷掌仪</x:v>
      </x:c>
      <x:c r="F5162" s="19" t="str">
        <x:v>稀有</x:v>
      </x:c>
      <x:c r="G5162" s="19" t="str">
        <x:v>材料独立候选</x:v>
      </x:c>
      <x:c r="H5162" s="19" t="str">
        <x:v>旧渠阀芯</x:v>
      </x:c>
      <x:c r="I5162" s="22" t="n">
        <x:v>800</x:v>
      </x:c>
      <x:c r="J5162" s="22" t="n">
        <x:v>1</x:v>
      </x:c>
      <x:c r="K5162" s="19" t="n">
        <x:v>1</x:v>
      </x:c>
      <x:c r="L5162" s="24" t="n">
        <x:v>105.61133333333333</x:v>
      </x:c>
      <x:c r="M5162" s="26" t="n">
        <x:v>0.1</x:v>
      </x:c>
      <x:c r="N5162" s="24" t="n">
        <x:v>12</x:v>
      </x:c>
      <x:c r="O5162" s="28" t="n">
        <x:f>MIN(1,L5162/I5162)</x:f>
        <x:v>0.13201416666666665</x:v>
      </x:c>
      <x:c r="P5162" s="30" t="n">
        <x:f>O5162*J5162*(1+M5162)</x:f>
        <x:v>0.14521558333333334</x:v>
      </x:c>
      <x:c r="Q5162" s="30" t="n">
        <x:f>P5162*N5162</x:f>
        <x:v>1.742587</x:v>
      </x:c>
      <x:c r="R5162" s="19" t="str">
        <x:v>独立判定</x:v>
      </x:c>
    </x:row>
    <x:row r="5163" ht="19" customHeight="1">
      <x:c r="A5163" s="19" t="str">
        <x:v>D05159</x:v>
      </x:c>
      <x:c r="B5163" s="19" t="n">
        <x:v>10</x:v>
      </x:c>
      <x:c r="C5163" s="19" t="n">
        <x:v>5</x:v>
      </x:c>
      <x:c r="D5163" s="19" t="str">
        <x:v>C10-M056</x:v>
      </x:c>
      <x:c r="E5163" s="19" t="str">
        <x:v>内庭七帷掌仪</x:v>
      </x:c>
      <x:c r="F5163" s="19" t="str">
        <x:v>稀有</x:v>
      </x:c>
      <x:c r="G5163" s="19" t="str">
        <x:v>材料独立候选</x:v>
      </x:c>
      <x:c r="H5163" s="19" t="str">
        <x:v>穹律鎏痕拓片</x:v>
      </x:c>
      <x:c r="I5163" s="22" t="n">
        <x:v>3000000</x:v>
      </x:c>
      <x:c r="J5163" s="22" t="n">
        <x:v>1</x:v>
      </x:c>
      <x:c r="K5163" s="19" t="n">
        <x:v>1</x:v>
      </x:c>
      <x:c r="L5163" s="24" t="n">
        <x:v>105.61133333333333</x:v>
      </x:c>
      <x:c r="M5163" s="26" t="n">
        <x:v>0.1</x:v>
      </x:c>
      <x:c r="N5163" s="24" t="n">
        <x:v>12</x:v>
      </x:c>
      <x:c r="O5163" s="28" t="n">
        <x:f>MIN(1,L5163/I5163)</x:f>
        <x:v>0.00003520377777777778</x:v>
      </x:c>
      <x:c r="P5163" s="30" t="n">
        <x:f>O5163*J5163*(1+M5163)</x:f>
        <x:v>0.00003872415555555556</x:v>
      </x:c>
      <x:c r="Q5163" s="30" t="n">
        <x:f>P5163*N5163</x:f>
        <x:v>0.0004646898666666667</x:v>
      </x:c>
      <x:c r="R5163" s="19" t="str">
        <x:v>独立判定</x:v>
      </x:c>
    </x:row>
    <x:row r="5164" ht="19" customHeight="1">
      <x:c r="A5164" s="19" t="str">
        <x:v>D05160</x:v>
      </x:c>
      <x:c r="B5164" s="19" t="n">
        <x:v>10</x:v>
      </x:c>
      <x:c r="C5164" s="19" t="n">
        <x:v>5</x:v>
      </x:c>
      <x:c r="D5164" s="19" t="str">
        <x:v>C10-M056</x:v>
      </x:c>
      <x:c r="E5164" s="19" t="str">
        <x:v>内庭七帷掌仪</x:v>
      </x:c>
      <x:c r="F5164" s="19" t="str">
        <x:v>稀有</x:v>
      </x:c>
      <x:c r="G5164" s="19" t="str">
        <x:v>材料独立候选</x:v>
      </x:c>
      <x:c r="H5164" s="19" t="str">
        <x:v>黄金树芽</x:v>
      </x:c>
      <x:c r="I5164" s="22" t="n">
        <x:v>3000</x:v>
      </x:c>
      <x:c r="J5164" s="22" t="n">
        <x:v>1</x:v>
      </x:c>
      <x:c r="K5164" s="19" t="n">
        <x:v>1</x:v>
      </x:c>
      <x:c r="L5164" s="24" t="n">
        <x:v>105.61133333333333</x:v>
      </x:c>
      <x:c r="M5164" s="26" t="n">
        <x:v>0.1</x:v>
      </x:c>
      <x:c r="N5164" s="24" t="n">
        <x:v>12</x:v>
      </x:c>
      <x:c r="O5164" s="28" t="n">
        <x:f>MIN(1,L5164/I5164)</x:f>
        <x:v>0.03520377777777778</x:v>
      </x:c>
      <x:c r="P5164" s="30" t="n">
        <x:f>O5164*J5164*(1+M5164)</x:f>
        <x:v>0.038724155555555556</x:v>
      </x:c>
      <x:c r="Q5164" s="30" t="n">
        <x:f>P5164*N5164</x:f>
        <x:v>0.4646898666666667</x:v>
      </x:c>
      <x:c r="R5164" s="19" t="str">
        <x:v>独立判定</x:v>
      </x:c>
    </x:row>
    <x:row r="5165" ht="19" customHeight="1">
      <x:c r="A5165" s="19" t="str">
        <x:v>D05161</x:v>
      </x:c>
      <x:c r="B5165" s="19" t="n">
        <x:v>10</x:v>
      </x:c>
      <x:c r="C5165" s="19" t="n">
        <x:v>5</x:v>
      </x:c>
      <x:c r="D5165" s="19" t="str">
        <x:v>C10-M056</x:v>
      </x:c>
      <x:c r="E5165" s="19" t="str">
        <x:v>内庭七帷掌仪</x:v>
      </x:c>
      <x:c r="F5165" s="19" t="str">
        <x:v>稀有</x:v>
      </x:c>
      <x:c r="G5165" s="19" t="str">
        <x:v>材料独立候选</x:v>
      </x:c>
      <x:c r="H5165" s="19" t="str">
        <x:v>野兽骨片</x:v>
      </x:c>
      <x:c r="I5165" s="22" t="n">
        <x:v>400</x:v>
      </x:c>
      <x:c r="J5165" s="22" t="n">
        <x:v>4</x:v>
      </x:c>
      <x:c r="K5165" s="19" t="n">
        <x:v>1</x:v>
      </x:c>
      <x:c r="L5165" s="24" t="n">
        <x:v>105.61133333333333</x:v>
      </x:c>
      <x:c r="M5165" s="26" t="n">
        <x:v>0.1</x:v>
      </x:c>
      <x:c r="N5165" s="24" t="n">
        <x:v>12</x:v>
      </x:c>
      <x:c r="O5165" s="28" t="n">
        <x:f>MIN(1,L5165/I5165)</x:f>
        <x:v>0.2640283333333333</x:v>
      </x:c>
      <x:c r="P5165" s="30" t="n">
        <x:f>O5165*J5165*(1+M5165)</x:f>
        <x:v>1.1617246666666667</x:v>
      </x:c>
      <x:c r="Q5165" s="30" t="n">
        <x:f>P5165*N5165</x:f>
        <x:v>13.940696</x:v>
      </x:c>
      <x:c r="R5165" s="19" t="str">
        <x:v>独立判定</x:v>
      </x:c>
    </x:row>
    <x:row r="5166" ht="19" customHeight="1">
      <x:c r="A5166" s="19" t="str">
        <x:v>D05162</x:v>
      </x:c>
      <x:c r="B5166" s="19" t="n">
        <x:v>10</x:v>
      </x:c>
      <x:c r="C5166" s="19" t="n">
        <x:v>5</x:v>
      </x:c>
      <x:c r="D5166" s="19" t="str">
        <x:v>C10-M056</x:v>
      </x:c>
      <x:c r="E5166" s="19" t="str">
        <x:v>内庭七帷掌仪</x:v>
      </x:c>
      <x:c r="F5166" s="19" t="str">
        <x:v>稀有</x:v>
      </x:c>
      <x:c r="G5166" s="19" t="str">
        <x:v>材料独立候选</x:v>
      </x:c>
      <x:c r="H5166" s="19" t="str">
        <x:v>技能残页</x:v>
      </x:c>
      <x:c r="I5166" s="22" t="n">
        <x:v>3000</x:v>
      </x:c>
      <x:c r="J5166" s="22" t="n">
        <x:v>1</x:v>
      </x:c>
      <x:c r="K5166" s="19" t="n">
        <x:v>1</x:v>
      </x:c>
      <x:c r="L5166" s="24" t="n">
        <x:v>105.61133333333333</x:v>
      </x:c>
      <x:c r="M5166" s="26" t="n">
        <x:v>0.1</x:v>
      </x:c>
      <x:c r="N5166" s="24" t="n">
        <x:v>12</x:v>
      </x:c>
      <x:c r="O5166" s="28" t="n">
        <x:f>MIN(1,L5166/I5166)</x:f>
        <x:v>0.03520377777777778</x:v>
      </x:c>
      <x:c r="P5166" s="30" t="n">
        <x:f>O5166*J5166*(1+M5166)</x:f>
        <x:v>0.038724155555555556</x:v>
      </x:c>
      <x:c r="Q5166" s="30" t="n">
        <x:f>P5166*N5166</x:f>
        <x:v>0.4646898666666667</x:v>
      </x:c>
      <x:c r="R5166" s="19" t="str">
        <x:v>独立判定</x:v>
      </x:c>
    </x:row>
    <x:row r="5167" ht="19" customHeight="1">
      <x:c r="A5167" s="19" t="str">
        <x:v>D05163</x:v>
      </x:c>
      <x:c r="B5167" s="19" t="n">
        <x:v>10</x:v>
      </x:c>
      <x:c r="C5167" s="19" t="n">
        <x:v>5</x:v>
      </x:c>
      <x:c r="D5167" s="19" t="str">
        <x:v>C10-M056</x:v>
      </x:c>
      <x:c r="E5167" s="19" t="str">
        <x:v>内庭七帷掌仪</x:v>
      </x:c>
      <x:c r="F5167" s="19" t="str">
        <x:v>稀有</x:v>
      </x:c>
      <x:c r="G5167" s="19" t="str">
        <x:v>材料独立候选</x:v>
      </x:c>
      <x:c r="H5167" s="19" t="str">
        <x:v>小卢恩</x:v>
      </x:c>
      <x:c r="I5167" s="22" t="n">
        <x:v>18000</x:v>
      </x:c>
      <x:c r="J5167" s="22" t="n">
        <x:v>1</x:v>
      </x:c>
      <x:c r="K5167" s="19" t="n">
        <x:v>1</x:v>
      </x:c>
      <x:c r="L5167" s="24" t="n">
        <x:v>105.61133333333333</x:v>
      </x:c>
      <x:c r="M5167" s="26" t="n">
        <x:v>0.1</x:v>
      </x:c>
      <x:c r="N5167" s="24" t="n">
        <x:v>12</x:v>
      </x:c>
      <x:c r="O5167" s="28" t="n">
        <x:f>MIN(1,L5167/I5167)</x:f>
        <x:v>0.005867296296296297</x:v>
      </x:c>
      <x:c r="P5167" s="30" t="n">
        <x:f>O5167*J5167*(1+M5167)</x:f>
        <x:v>0.006454025925925927</x:v>
      </x:c>
      <x:c r="Q5167" s="30" t="n">
        <x:f>P5167*N5167</x:f>
        <x:v>0.07744831111111111</x:v>
      </x:c>
      <x:c r="R5167" s="19" t="str">
        <x:v>独立判定</x:v>
      </x:c>
    </x:row>
    <x:row r="5168" ht="19" customHeight="1">
      <x:c r="A5168" s="19" t="str">
        <x:v>D05164</x:v>
      </x:c>
      <x:c r="B5168" s="19" t="n">
        <x:v>10</x:v>
      </x:c>
      <x:c r="C5168" s="19" t="n">
        <x:v>5</x:v>
      </x:c>
      <x:c r="D5168" s="19" t="str">
        <x:v>C10-M056</x:v>
      </x:c>
      <x:c r="E5168" s="19" t="str">
        <x:v>内庭七帷掌仪</x:v>
      </x:c>
      <x:c r="F5168" s="19" t="str">
        <x:v>稀有</x:v>
      </x:c>
      <x:c r="G5168" s="19" t="str">
        <x:v>六神器公共池</x:v>
      </x:c>
      <x:c r="H5168" s="19" t="str">
        <x:v>POOL006</x:v>
      </x:c>
      <x:c r="I5168" s="22" t="n">
        <x:v>5000000</x:v>
      </x:c>
      <x:c r="J5168" s="22" t="n">
        <x:v>1</x:v>
      </x:c>
      <x:c r="K5168" s="19" t="n">
        <x:v>6</x:v>
      </x:c>
      <x:c r="L5168" s="24" t="n">
        <x:v>105.61133333333333</x:v>
      </x:c>
      <x:c r="M5168" s="26" t="n">
        <x:v>0.1</x:v>
      </x:c>
      <x:c r="N5168" s="24" t="n">
        <x:v>12</x:v>
      </x:c>
      <x:c r="O5168" s="28" t="n">
        <x:f>MIN(1,L5168/I5168)</x:f>
        <x:v>0.000021122266666666666</x:v>
      </x:c>
      <x:c r="P5168" s="30" t="n">
        <x:f>O5168*J5168*(1+M5168)</x:f>
        <x:v>0.000023234493333333333</x:v>
      </x:c>
      <x:c r="Q5168" s="30" t="n">
        <x:f>P5168*N5168</x:f>
        <x:v>0.00027881392</x:v>
      </x:c>
      <x:c r="R5168" s="19" t="str">
        <x:v>六选一；非6个独立爆率</x:v>
      </x:c>
    </x:row>
    <x:row r="5169" ht="19" customHeight="1">
      <x:c r="A5169" s="19" t="str">
        <x:v>D05165</x:v>
      </x:c>
      <x:c r="B5169" s="19" t="n">
        <x:v>10</x:v>
      </x:c>
      <x:c r="C5169" s="19" t="n">
        <x:v>5</x:v>
      </x:c>
      <x:c r="D5169" s="19" t="str">
        <x:v>C10-M057</x:v>
      </x:c>
      <x:c r="E5169" s="19" t="str">
        <x:v>深殿缄律书记</x:v>
      </x:c>
      <x:c r="F5169" s="19" t="str">
        <x:v>稀有</x:v>
      </x:c>
      <x:c r="G5169" s="19" t="str">
        <x:v>自身专属</x:v>
      </x:c>
      <x:c r="H5169" s="19" t="str">
        <x:v>缄律书记戒</x:v>
      </x:c>
      <x:c r="I5169" s="22" t="n">
        <x:v>3000</x:v>
      </x:c>
      <x:c r="J5169" s="22" t="n">
        <x:v>1</x:v>
      </x:c>
      <x:c r="K5169" s="19" t="n">
        <x:v>1</x:v>
      </x:c>
      <x:c r="L5169" s="24" t="n">
        <x:v>105.61133333333333</x:v>
      </x:c>
      <x:c r="M5169" s="26" t="n">
        <x:v>0.1</x:v>
      </x:c>
      <x:c r="N5169" s="24" t="n">
        <x:v>12</x:v>
      </x:c>
      <x:c r="O5169" s="28" t="n">
        <x:f>MIN(1,L5169/I5169)</x:f>
        <x:v>0.03520377777777778</x:v>
      </x:c>
      <x:c r="P5169" s="30" t="n">
        <x:f>O5169*J5169*(1+M5169)</x:f>
        <x:v>0.038724155555555556</x:v>
      </x:c>
      <x:c r="Q5169" s="30" t="n">
        <x:f>P5169*N5169</x:f>
        <x:v>0.4646898666666667</x:v>
      </x:c>
      <x:c r="R5169" s="19" t="str">
        <x:v>独立判定</x:v>
      </x:c>
    </x:row>
    <x:row r="5170" ht="19" customHeight="1">
      <x:c r="A5170" s="19" t="str">
        <x:v>D05166</x:v>
      </x:c>
      <x:c r="B5170" s="19" t="n">
        <x:v>10</x:v>
      </x:c>
      <x:c r="C5170" s="19" t="n">
        <x:v>5</x:v>
      </x:c>
      <x:c r="D5170" s="19" t="str">
        <x:v>C10-M057</x:v>
      </x:c>
      <x:c r="E5170" s="19" t="str">
        <x:v>深殿缄律书记</x:v>
      </x:c>
      <x:c r="F5170" s="19" t="str">
        <x:v>稀有</x:v>
      </x:c>
      <x:c r="G5170" s="19" t="str">
        <x:v>材料独立候选</x:v>
      </x:c>
      <x:c r="H5170" s="19" t="str">
        <x:v>王城金屑</x:v>
      </x:c>
      <x:c r="I5170" s="22" t="n">
        <x:v>1200</x:v>
      </x:c>
      <x:c r="J5170" s="22" t="n">
        <x:v>15</x:v>
      </x:c>
      <x:c r="K5170" s="19" t="n">
        <x:v>1</x:v>
      </x:c>
      <x:c r="L5170" s="24" t="n">
        <x:v>105.61133333333333</x:v>
      </x:c>
      <x:c r="M5170" s="26" t="n">
        <x:v>0.1</x:v>
      </x:c>
      <x:c r="N5170" s="24" t="n">
        <x:v>12</x:v>
      </x:c>
      <x:c r="O5170" s="28" t="n">
        <x:f>MIN(1,L5170/I5170)</x:f>
        <x:v>0.08800944444444445</x:v>
      </x:c>
      <x:c r="P5170" s="30" t="n">
        <x:f>O5170*J5170*(1+M5170)</x:f>
        <x:v>1.4521558333333335</x:v>
      </x:c>
      <x:c r="Q5170" s="30" t="n">
        <x:f>P5170*N5170</x:f>
        <x:v>17.425870000000003</x:v>
      </x:c>
      <x:c r="R5170" s="19" t="str">
        <x:v>独立判定</x:v>
      </x:c>
    </x:row>
    <x:row r="5171" ht="19" customHeight="1">
      <x:c r="A5171" s="19" t="str">
        <x:v>D05167</x:v>
      </x:c>
      <x:c r="B5171" s="19" t="n">
        <x:v>10</x:v>
      </x:c>
      <x:c r="C5171" s="19" t="n">
        <x:v>5</x:v>
      </x:c>
      <x:c r="D5171" s="19" t="str">
        <x:v>C10-M057</x:v>
      </x:c>
      <x:c r="E5171" s="19" t="str">
        <x:v>深殿缄律书记</x:v>
      </x:c>
      <x:c r="F5171" s="19" t="str">
        <x:v>稀有</x:v>
      </x:c>
      <x:c r="G5171" s="19" t="str">
        <x:v>材料独立候选</x:v>
      </x:c>
      <x:c r="H5171" s="19" t="str">
        <x:v>王宫律文</x:v>
      </x:c>
      <x:c r="I5171" s="22" t="n">
        <x:v>1000</x:v>
      </x:c>
      <x:c r="J5171" s="22" t="n">
        <x:v>1</x:v>
      </x:c>
      <x:c r="K5171" s="19" t="n">
        <x:v>1</x:v>
      </x:c>
      <x:c r="L5171" s="24" t="n">
        <x:v>105.61133333333333</x:v>
      </x:c>
      <x:c r="M5171" s="26" t="n">
        <x:v>0.1</x:v>
      </x:c>
      <x:c r="N5171" s="24" t="n">
        <x:v>12</x:v>
      </x:c>
      <x:c r="O5171" s="28" t="n">
        <x:f>MIN(1,L5171/I5171)</x:f>
        <x:v>0.10561133333333333</x:v>
      </x:c>
      <x:c r="P5171" s="30" t="n">
        <x:f>O5171*J5171*(1+M5171)</x:f>
        <x:v>0.11617246666666668</x:v>
      </x:c>
      <x:c r="Q5171" s="30" t="n">
        <x:f>P5171*N5171</x:f>
        <x:v>1.3940696000000001</x:v>
      </x:c>
      <x:c r="R5171" s="19" t="str">
        <x:v>独立判定</x:v>
      </x:c>
    </x:row>
    <x:row r="5172" ht="19" customHeight="1">
      <x:c r="A5172" s="19" t="str">
        <x:v>D05168</x:v>
      </x:c>
      <x:c r="B5172" s="19" t="n">
        <x:v>10</x:v>
      </x:c>
      <x:c r="C5172" s="19" t="n">
        <x:v>5</x:v>
      </x:c>
      <x:c r="D5172" s="19" t="str">
        <x:v>C10-M057</x:v>
      </x:c>
      <x:c r="E5172" s="19" t="str">
        <x:v>深殿缄律书记</x:v>
      </x:c>
      <x:c r="F5172" s="19" t="str">
        <x:v>稀有</x:v>
      </x:c>
      <x:c r="G5172" s="19" t="str">
        <x:v>材料独立候选</x:v>
      </x:c>
      <x:c r="H5172" s="19" t="str">
        <x:v>旧渠阀芯</x:v>
      </x:c>
      <x:c r="I5172" s="22" t="n">
        <x:v>800</x:v>
      </x:c>
      <x:c r="J5172" s="22" t="n">
        <x:v>1</x:v>
      </x:c>
      <x:c r="K5172" s="19" t="n">
        <x:v>1</x:v>
      </x:c>
      <x:c r="L5172" s="24" t="n">
        <x:v>105.61133333333333</x:v>
      </x:c>
      <x:c r="M5172" s="26" t="n">
        <x:v>0.1</x:v>
      </x:c>
      <x:c r="N5172" s="24" t="n">
        <x:v>12</x:v>
      </x:c>
      <x:c r="O5172" s="28" t="n">
        <x:f>MIN(1,L5172/I5172)</x:f>
        <x:v>0.13201416666666665</x:v>
      </x:c>
      <x:c r="P5172" s="30" t="n">
        <x:f>O5172*J5172*(1+M5172)</x:f>
        <x:v>0.14521558333333334</x:v>
      </x:c>
      <x:c r="Q5172" s="30" t="n">
        <x:f>P5172*N5172</x:f>
        <x:v>1.742587</x:v>
      </x:c>
      <x:c r="R5172" s="19" t="str">
        <x:v>独立判定</x:v>
      </x:c>
    </x:row>
    <x:row r="5173" ht="19" customHeight="1">
      <x:c r="A5173" s="19" t="str">
        <x:v>D05169</x:v>
      </x:c>
      <x:c r="B5173" s="19" t="n">
        <x:v>10</x:v>
      </x:c>
      <x:c r="C5173" s="19" t="n">
        <x:v>5</x:v>
      </x:c>
      <x:c r="D5173" s="19" t="str">
        <x:v>C10-M057</x:v>
      </x:c>
      <x:c r="E5173" s="19" t="str">
        <x:v>深殿缄律书记</x:v>
      </x:c>
      <x:c r="F5173" s="19" t="str">
        <x:v>稀有</x:v>
      </x:c>
      <x:c r="G5173" s="19" t="str">
        <x:v>材料独立候选</x:v>
      </x:c>
      <x:c r="H5173" s="19" t="str">
        <x:v>穹律鎏痕拓片</x:v>
      </x:c>
      <x:c r="I5173" s="22" t="n">
        <x:v>3000000</x:v>
      </x:c>
      <x:c r="J5173" s="22" t="n">
        <x:v>1</x:v>
      </x:c>
      <x:c r="K5173" s="19" t="n">
        <x:v>1</x:v>
      </x:c>
      <x:c r="L5173" s="24" t="n">
        <x:v>105.61133333333333</x:v>
      </x:c>
      <x:c r="M5173" s="26" t="n">
        <x:v>0.1</x:v>
      </x:c>
      <x:c r="N5173" s="24" t="n">
        <x:v>12</x:v>
      </x:c>
      <x:c r="O5173" s="28" t="n">
        <x:f>MIN(1,L5173/I5173)</x:f>
        <x:v>0.00003520377777777778</x:v>
      </x:c>
      <x:c r="P5173" s="30" t="n">
        <x:f>O5173*J5173*(1+M5173)</x:f>
        <x:v>0.00003872415555555556</x:v>
      </x:c>
      <x:c r="Q5173" s="30" t="n">
        <x:f>P5173*N5173</x:f>
        <x:v>0.0004646898666666667</x:v>
      </x:c>
      <x:c r="R5173" s="19" t="str">
        <x:v>独立判定</x:v>
      </x:c>
    </x:row>
    <x:row r="5174" ht="19" customHeight="1">
      <x:c r="A5174" s="19" t="str">
        <x:v>D05170</x:v>
      </x:c>
      <x:c r="B5174" s="19" t="n">
        <x:v>10</x:v>
      </x:c>
      <x:c r="C5174" s="19" t="n">
        <x:v>5</x:v>
      </x:c>
      <x:c r="D5174" s="19" t="str">
        <x:v>C10-M057</x:v>
      </x:c>
      <x:c r="E5174" s="19" t="str">
        <x:v>深殿缄律书记</x:v>
      </x:c>
      <x:c r="F5174" s="19" t="str">
        <x:v>稀有</x:v>
      </x:c>
      <x:c r="G5174" s="19" t="str">
        <x:v>材料独立候选</x:v>
      </x:c>
      <x:c r="H5174" s="19" t="str">
        <x:v>黄金树芽</x:v>
      </x:c>
      <x:c r="I5174" s="22" t="n">
        <x:v>3000</x:v>
      </x:c>
      <x:c r="J5174" s="22" t="n">
        <x:v>1</x:v>
      </x:c>
      <x:c r="K5174" s="19" t="n">
        <x:v>1</x:v>
      </x:c>
      <x:c r="L5174" s="24" t="n">
        <x:v>105.61133333333333</x:v>
      </x:c>
      <x:c r="M5174" s="26" t="n">
        <x:v>0.1</x:v>
      </x:c>
      <x:c r="N5174" s="24" t="n">
        <x:v>12</x:v>
      </x:c>
      <x:c r="O5174" s="28" t="n">
        <x:f>MIN(1,L5174/I5174)</x:f>
        <x:v>0.03520377777777778</x:v>
      </x:c>
      <x:c r="P5174" s="30" t="n">
        <x:f>O5174*J5174*(1+M5174)</x:f>
        <x:v>0.038724155555555556</x:v>
      </x:c>
      <x:c r="Q5174" s="30" t="n">
        <x:f>P5174*N5174</x:f>
        <x:v>0.4646898666666667</x:v>
      </x:c>
      <x:c r="R5174" s="19" t="str">
        <x:v>独立判定</x:v>
      </x:c>
    </x:row>
    <x:row r="5175" ht="19" customHeight="1">
      <x:c r="A5175" s="19" t="str">
        <x:v>D05171</x:v>
      </x:c>
      <x:c r="B5175" s="19" t="n">
        <x:v>10</x:v>
      </x:c>
      <x:c r="C5175" s="19" t="n">
        <x:v>5</x:v>
      </x:c>
      <x:c r="D5175" s="19" t="str">
        <x:v>C10-M057</x:v>
      </x:c>
      <x:c r="E5175" s="19" t="str">
        <x:v>深殿缄律书记</x:v>
      </x:c>
      <x:c r="F5175" s="19" t="str">
        <x:v>稀有</x:v>
      </x:c>
      <x:c r="G5175" s="19" t="str">
        <x:v>材料独立候选</x:v>
      </x:c>
      <x:c r="H5175" s="19" t="str">
        <x:v>野兽骨片</x:v>
      </x:c>
      <x:c r="I5175" s="22" t="n">
        <x:v>400</x:v>
      </x:c>
      <x:c r="J5175" s="22" t="n">
        <x:v>4</x:v>
      </x:c>
      <x:c r="K5175" s="19" t="n">
        <x:v>1</x:v>
      </x:c>
      <x:c r="L5175" s="24" t="n">
        <x:v>105.61133333333333</x:v>
      </x:c>
      <x:c r="M5175" s="26" t="n">
        <x:v>0.1</x:v>
      </x:c>
      <x:c r="N5175" s="24" t="n">
        <x:v>12</x:v>
      </x:c>
      <x:c r="O5175" s="28" t="n">
        <x:f>MIN(1,L5175/I5175)</x:f>
        <x:v>0.2640283333333333</x:v>
      </x:c>
      <x:c r="P5175" s="30" t="n">
        <x:f>O5175*J5175*(1+M5175)</x:f>
        <x:v>1.1617246666666667</x:v>
      </x:c>
      <x:c r="Q5175" s="30" t="n">
        <x:f>P5175*N5175</x:f>
        <x:v>13.940696</x:v>
      </x:c>
      <x:c r="R5175" s="19" t="str">
        <x:v>独立判定</x:v>
      </x:c>
    </x:row>
    <x:row r="5176" ht="19" customHeight="1">
      <x:c r="A5176" s="19" t="str">
        <x:v>D05172</x:v>
      </x:c>
      <x:c r="B5176" s="19" t="n">
        <x:v>10</x:v>
      </x:c>
      <x:c r="C5176" s="19" t="n">
        <x:v>5</x:v>
      </x:c>
      <x:c r="D5176" s="19" t="str">
        <x:v>C10-M057</x:v>
      </x:c>
      <x:c r="E5176" s="19" t="str">
        <x:v>深殿缄律书记</x:v>
      </x:c>
      <x:c r="F5176" s="19" t="str">
        <x:v>稀有</x:v>
      </x:c>
      <x:c r="G5176" s="19" t="str">
        <x:v>材料独立候选</x:v>
      </x:c>
      <x:c r="H5176" s="19" t="str">
        <x:v>技能残页</x:v>
      </x:c>
      <x:c r="I5176" s="22" t="n">
        <x:v>3000</x:v>
      </x:c>
      <x:c r="J5176" s="22" t="n">
        <x:v>1</x:v>
      </x:c>
      <x:c r="K5176" s="19" t="n">
        <x:v>1</x:v>
      </x:c>
      <x:c r="L5176" s="24" t="n">
        <x:v>105.61133333333333</x:v>
      </x:c>
      <x:c r="M5176" s="26" t="n">
        <x:v>0.1</x:v>
      </x:c>
      <x:c r="N5176" s="24" t="n">
        <x:v>12</x:v>
      </x:c>
      <x:c r="O5176" s="28" t="n">
        <x:f>MIN(1,L5176/I5176)</x:f>
        <x:v>0.03520377777777778</x:v>
      </x:c>
      <x:c r="P5176" s="30" t="n">
        <x:f>O5176*J5176*(1+M5176)</x:f>
        <x:v>0.038724155555555556</x:v>
      </x:c>
      <x:c r="Q5176" s="30" t="n">
        <x:f>P5176*N5176</x:f>
        <x:v>0.4646898666666667</x:v>
      </x:c>
      <x:c r="R5176" s="19" t="str">
        <x:v>独立判定</x:v>
      </x:c>
    </x:row>
    <x:row r="5177" ht="19" customHeight="1">
      <x:c r="A5177" s="19" t="str">
        <x:v>D05173</x:v>
      </x:c>
      <x:c r="B5177" s="19" t="n">
        <x:v>10</x:v>
      </x:c>
      <x:c r="C5177" s="19" t="n">
        <x:v>5</x:v>
      </x:c>
      <x:c r="D5177" s="19" t="str">
        <x:v>C10-M057</x:v>
      </x:c>
      <x:c r="E5177" s="19" t="str">
        <x:v>深殿缄律书记</x:v>
      </x:c>
      <x:c r="F5177" s="19" t="str">
        <x:v>稀有</x:v>
      </x:c>
      <x:c r="G5177" s="19" t="str">
        <x:v>材料独立候选</x:v>
      </x:c>
      <x:c r="H5177" s="19" t="str">
        <x:v>小卢恩</x:v>
      </x:c>
      <x:c r="I5177" s="22" t="n">
        <x:v>18000</x:v>
      </x:c>
      <x:c r="J5177" s="22" t="n">
        <x:v>1</x:v>
      </x:c>
      <x:c r="K5177" s="19" t="n">
        <x:v>1</x:v>
      </x:c>
      <x:c r="L5177" s="24" t="n">
        <x:v>105.61133333333333</x:v>
      </x:c>
      <x:c r="M5177" s="26" t="n">
        <x:v>0.1</x:v>
      </x:c>
      <x:c r="N5177" s="24" t="n">
        <x:v>12</x:v>
      </x:c>
      <x:c r="O5177" s="28" t="n">
        <x:f>MIN(1,L5177/I5177)</x:f>
        <x:v>0.005867296296296297</x:v>
      </x:c>
      <x:c r="P5177" s="30" t="n">
        <x:f>O5177*J5177*(1+M5177)</x:f>
        <x:v>0.006454025925925927</x:v>
      </x:c>
      <x:c r="Q5177" s="30" t="n">
        <x:f>P5177*N5177</x:f>
        <x:v>0.07744831111111111</x:v>
      </x:c>
      <x:c r="R5177" s="19" t="str">
        <x:v>独立判定</x:v>
      </x:c>
    </x:row>
    <x:row r="5178" ht="19" customHeight="1">
      <x:c r="A5178" s="19" t="str">
        <x:v>D05174</x:v>
      </x:c>
      <x:c r="B5178" s="19" t="n">
        <x:v>10</x:v>
      </x:c>
      <x:c r="C5178" s="19" t="n">
        <x:v>5</x:v>
      </x:c>
      <x:c r="D5178" s="19" t="str">
        <x:v>C10-M057</x:v>
      </x:c>
      <x:c r="E5178" s="19" t="str">
        <x:v>深殿缄律书记</x:v>
      </x:c>
      <x:c r="F5178" s="19" t="str">
        <x:v>稀有</x:v>
      </x:c>
      <x:c r="G5178" s="19" t="str">
        <x:v>六神器公共池</x:v>
      </x:c>
      <x:c r="H5178" s="19" t="str">
        <x:v>POOL006</x:v>
      </x:c>
      <x:c r="I5178" s="22" t="n">
        <x:v>5000000</x:v>
      </x:c>
      <x:c r="J5178" s="22" t="n">
        <x:v>1</x:v>
      </x:c>
      <x:c r="K5178" s="19" t="n">
        <x:v>6</x:v>
      </x:c>
      <x:c r="L5178" s="24" t="n">
        <x:v>105.61133333333333</x:v>
      </x:c>
      <x:c r="M5178" s="26" t="n">
        <x:v>0.1</x:v>
      </x:c>
      <x:c r="N5178" s="24" t="n">
        <x:v>12</x:v>
      </x:c>
      <x:c r="O5178" s="28" t="n">
        <x:f>MIN(1,L5178/I5178)</x:f>
        <x:v>0.000021122266666666666</x:v>
      </x:c>
      <x:c r="P5178" s="30" t="n">
        <x:f>O5178*J5178*(1+M5178)</x:f>
        <x:v>0.000023234493333333333</x:v>
      </x:c>
      <x:c r="Q5178" s="30" t="n">
        <x:f>P5178*N5178</x:f>
        <x:v>0.00027881392</x:v>
      </x:c>
      <x:c r="R5178" s="19" t="str">
        <x:v>六选一；非6个独立爆率</x:v>
      </x:c>
    </x:row>
    <x:row r="5179" ht="19" customHeight="1">
      <x:c r="A5179" s="19" t="str">
        <x:v>D05175</x:v>
      </x:c>
      <x:c r="B5179" s="19" t="n">
        <x:v>10</x:v>
      </x:c>
      <x:c r="C5179" s="19" t="n">
        <x:v>5</x:v>
      </x:c>
      <x:c r="D5179" s="19" t="str">
        <x:v>C10-M058</x:v>
      </x:c>
      <x:c r="E5179" s="19" t="str">
        <x:v>前厅无声执冠官</x:v>
      </x:c>
      <x:c r="F5179" s="19" t="str">
        <x:v>稀有</x:v>
      </x:c>
      <x:c r="G5179" s="19" t="str">
        <x:v>自身专属</x:v>
      </x:c>
      <x:c r="H5179" s="19" t="str">
        <x:v>无声执冠勋章</x:v>
      </x:c>
      <x:c r="I5179" s="22" t="n">
        <x:v>3000</x:v>
      </x:c>
      <x:c r="J5179" s="22" t="n">
        <x:v>1</x:v>
      </x:c>
      <x:c r="K5179" s="19" t="n">
        <x:v>1</x:v>
      </x:c>
      <x:c r="L5179" s="24" t="n">
        <x:v>105.61133333333333</x:v>
      </x:c>
      <x:c r="M5179" s="26" t="n">
        <x:v>0.1</x:v>
      </x:c>
      <x:c r="N5179" s="24" t="n">
        <x:v>12</x:v>
      </x:c>
      <x:c r="O5179" s="28" t="n">
        <x:f>MIN(1,L5179/I5179)</x:f>
        <x:v>0.03520377777777778</x:v>
      </x:c>
      <x:c r="P5179" s="30" t="n">
        <x:f>O5179*J5179*(1+M5179)</x:f>
        <x:v>0.038724155555555556</x:v>
      </x:c>
      <x:c r="Q5179" s="30" t="n">
        <x:f>P5179*N5179</x:f>
        <x:v>0.4646898666666667</x:v>
      </x:c>
      <x:c r="R5179" s="19" t="str">
        <x:v>独立判定</x:v>
      </x:c>
    </x:row>
    <x:row r="5180" ht="19" customHeight="1">
      <x:c r="A5180" s="19" t="str">
        <x:v>D05176</x:v>
      </x:c>
      <x:c r="B5180" s="19" t="n">
        <x:v>10</x:v>
      </x:c>
      <x:c r="C5180" s="19" t="n">
        <x:v>5</x:v>
      </x:c>
      <x:c r="D5180" s="19" t="str">
        <x:v>C10-M058</x:v>
      </x:c>
      <x:c r="E5180" s="19" t="str">
        <x:v>前厅无声执冠官</x:v>
      </x:c>
      <x:c r="F5180" s="19" t="str">
        <x:v>稀有</x:v>
      </x:c>
      <x:c r="G5180" s="19" t="str">
        <x:v>材料独立候选</x:v>
      </x:c>
      <x:c r="H5180" s="19" t="str">
        <x:v>王城金屑</x:v>
      </x:c>
      <x:c r="I5180" s="22" t="n">
        <x:v>1200</x:v>
      </x:c>
      <x:c r="J5180" s="22" t="n">
        <x:v>15</x:v>
      </x:c>
      <x:c r="K5180" s="19" t="n">
        <x:v>1</x:v>
      </x:c>
      <x:c r="L5180" s="24" t="n">
        <x:v>105.61133333333333</x:v>
      </x:c>
      <x:c r="M5180" s="26" t="n">
        <x:v>0.1</x:v>
      </x:c>
      <x:c r="N5180" s="24" t="n">
        <x:v>12</x:v>
      </x:c>
      <x:c r="O5180" s="28" t="n">
        <x:f>MIN(1,L5180/I5180)</x:f>
        <x:v>0.08800944444444445</x:v>
      </x:c>
      <x:c r="P5180" s="30" t="n">
        <x:f>O5180*J5180*(1+M5180)</x:f>
        <x:v>1.4521558333333335</x:v>
      </x:c>
      <x:c r="Q5180" s="30" t="n">
        <x:f>P5180*N5180</x:f>
        <x:v>17.425870000000003</x:v>
      </x:c>
      <x:c r="R5180" s="19" t="str">
        <x:v>独立判定</x:v>
      </x:c>
    </x:row>
    <x:row r="5181" ht="19" customHeight="1">
      <x:c r="A5181" s="19" t="str">
        <x:v>D05177</x:v>
      </x:c>
      <x:c r="B5181" s="19" t="n">
        <x:v>10</x:v>
      </x:c>
      <x:c r="C5181" s="19" t="n">
        <x:v>5</x:v>
      </x:c>
      <x:c r="D5181" s="19" t="str">
        <x:v>C10-M058</x:v>
      </x:c>
      <x:c r="E5181" s="19" t="str">
        <x:v>前厅无声执冠官</x:v>
      </x:c>
      <x:c r="F5181" s="19" t="str">
        <x:v>稀有</x:v>
      </x:c>
      <x:c r="G5181" s="19" t="str">
        <x:v>材料独立候选</x:v>
      </x:c>
      <x:c r="H5181" s="19" t="str">
        <x:v>王宫律文</x:v>
      </x:c>
      <x:c r="I5181" s="22" t="n">
        <x:v>1000</x:v>
      </x:c>
      <x:c r="J5181" s="22" t="n">
        <x:v>1</x:v>
      </x:c>
      <x:c r="K5181" s="19" t="n">
        <x:v>1</x:v>
      </x:c>
      <x:c r="L5181" s="24" t="n">
        <x:v>105.61133333333333</x:v>
      </x:c>
      <x:c r="M5181" s="26" t="n">
        <x:v>0.1</x:v>
      </x:c>
      <x:c r="N5181" s="24" t="n">
        <x:v>12</x:v>
      </x:c>
      <x:c r="O5181" s="28" t="n">
        <x:f>MIN(1,L5181/I5181)</x:f>
        <x:v>0.10561133333333333</x:v>
      </x:c>
      <x:c r="P5181" s="30" t="n">
        <x:f>O5181*J5181*(1+M5181)</x:f>
        <x:v>0.11617246666666668</x:v>
      </x:c>
      <x:c r="Q5181" s="30" t="n">
        <x:f>P5181*N5181</x:f>
        <x:v>1.3940696000000001</x:v>
      </x:c>
      <x:c r="R5181" s="19" t="str">
        <x:v>独立判定</x:v>
      </x:c>
    </x:row>
    <x:row r="5182" ht="19" customHeight="1">
      <x:c r="A5182" s="19" t="str">
        <x:v>D05178</x:v>
      </x:c>
      <x:c r="B5182" s="19" t="n">
        <x:v>10</x:v>
      </x:c>
      <x:c r="C5182" s="19" t="n">
        <x:v>5</x:v>
      </x:c>
      <x:c r="D5182" s="19" t="str">
        <x:v>C10-M058</x:v>
      </x:c>
      <x:c r="E5182" s="19" t="str">
        <x:v>前厅无声执冠官</x:v>
      </x:c>
      <x:c r="F5182" s="19" t="str">
        <x:v>稀有</x:v>
      </x:c>
      <x:c r="G5182" s="19" t="str">
        <x:v>材料独立候选</x:v>
      </x:c>
      <x:c r="H5182" s="19" t="str">
        <x:v>旧渠阀芯</x:v>
      </x:c>
      <x:c r="I5182" s="22" t="n">
        <x:v>800</x:v>
      </x:c>
      <x:c r="J5182" s="22" t="n">
        <x:v>1</x:v>
      </x:c>
      <x:c r="K5182" s="19" t="n">
        <x:v>1</x:v>
      </x:c>
      <x:c r="L5182" s="24" t="n">
        <x:v>105.61133333333333</x:v>
      </x:c>
      <x:c r="M5182" s="26" t="n">
        <x:v>0.1</x:v>
      </x:c>
      <x:c r="N5182" s="24" t="n">
        <x:v>12</x:v>
      </x:c>
      <x:c r="O5182" s="28" t="n">
        <x:f>MIN(1,L5182/I5182)</x:f>
        <x:v>0.13201416666666665</x:v>
      </x:c>
      <x:c r="P5182" s="30" t="n">
        <x:f>O5182*J5182*(1+M5182)</x:f>
        <x:v>0.14521558333333334</x:v>
      </x:c>
      <x:c r="Q5182" s="30" t="n">
        <x:f>P5182*N5182</x:f>
        <x:v>1.742587</x:v>
      </x:c>
      <x:c r="R5182" s="19" t="str">
        <x:v>独立判定</x:v>
      </x:c>
    </x:row>
    <x:row r="5183" ht="19" customHeight="1">
      <x:c r="A5183" s="19" t="str">
        <x:v>D05179</x:v>
      </x:c>
      <x:c r="B5183" s="19" t="n">
        <x:v>10</x:v>
      </x:c>
      <x:c r="C5183" s="19" t="n">
        <x:v>5</x:v>
      </x:c>
      <x:c r="D5183" s="19" t="str">
        <x:v>C10-M058</x:v>
      </x:c>
      <x:c r="E5183" s="19" t="str">
        <x:v>前厅无声执冠官</x:v>
      </x:c>
      <x:c r="F5183" s="19" t="str">
        <x:v>稀有</x:v>
      </x:c>
      <x:c r="G5183" s="19" t="str">
        <x:v>材料独立候选</x:v>
      </x:c>
      <x:c r="H5183" s="19" t="str">
        <x:v>穹律鎏痕拓片</x:v>
      </x:c>
      <x:c r="I5183" s="22" t="n">
        <x:v>3000000</x:v>
      </x:c>
      <x:c r="J5183" s="22" t="n">
        <x:v>1</x:v>
      </x:c>
      <x:c r="K5183" s="19" t="n">
        <x:v>1</x:v>
      </x:c>
      <x:c r="L5183" s="24" t="n">
        <x:v>105.61133333333333</x:v>
      </x:c>
      <x:c r="M5183" s="26" t="n">
        <x:v>0.1</x:v>
      </x:c>
      <x:c r="N5183" s="24" t="n">
        <x:v>12</x:v>
      </x:c>
      <x:c r="O5183" s="28" t="n">
        <x:f>MIN(1,L5183/I5183)</x:f>
        <x:v>0.00003520377777777778</x:v>
      </x:c>
      <x:c r="P5183" s="30" t="n">
        <x:f>O5183*J5183*(1+M5183)</x:f>
        <x:v>0.00003872415555555556</x:v>
      </x:c>
      <x:c r="Q5183" s="30" t="n">
        <x:f>P5183*N5183</x:f>
        <x:v>0.0004646898666666667</x:v>
      </x:c>
      <x:c r="R5183" s="19" t="str">
        <x:v>独立判定</x:v>
      </x:c>
    </x:row>
    <x:row r="5184" ht="19" customHeight="1">
      <x:c r="A5184" s="19" t="str">
        <x:v>D05180</x:v>
      </x:c>
      <x:c r="B5184" s="19" t="n">
        <x:v>10</x:v>
      </x:c>
      <x:c r="C5184" s="19" t="n">
        <x:v>5</x:v>
      </x:c>
      <x:c r="D5184" s="19" t="str">
        <x:v>C10-M058</x:v>
      </x:c>
      <x:c r="E5184" s="19" t="str">
        <x:v>前厅无声执冠官</x:v>
      </x:c>
      <x:c r="F5184" s="19" t="str">
        <x:v>稀有</x:v>
      </x:c>
      <x:c r="G5184" s="19" t="str">
        <x:v>材料独立候选</x:v>
      </x:c>
      <x:c r="H5184" s="19" t="str">
        <x:v>黄金树芽</x:v>
      </x:c>
      <x:c r="I5184" s="22" t="n">
        <x:v>3000</x:v>
      </x:c>
      <x:c r="J5184" s="22" t="n">
        <x:v>1</x:v>
      </x:c>
      <x:c r="K5184" s="19" t="n">
        <x:v>1</x:v>
      </x:c>
      <x:c r="L5184" s="24" t="n">
        <x:v>105.61133333333333</x:v>
      </x:c>
      <x:c r="M5184" s="26" t="n">
        <x:v>0.1</x:v>
      </x:c>
      <x:c r="N5184" s="24" t="n">
        <x:v>12</x:v>
      </x:c>
      <x:c r="O5184" s="28" t="n">
        <x:f>MIN(1,L5184/I5184)</x:f>
        <x:v>0.03520377777777778</x:v>
      </x:c>
      <x:c r="P5184" s="30" t="n">
        <x:f>O5184*J5184*(1+M5184)</x:f>
        <x:v>0.038724155555555556</x:v>
      </x:c>
      <x:c r="Q5184" s="30" t="n">
        <x:f>P5184*N5184</x:f>
        <x:v>0.4646898666666667</x:v>
      </x:c>
      <x:c r="R5184" s="19" t="str">
        <x:v>独立判定</x:v>
      </x:c>
    </x:row>
    <x:row r="5185" ht="19" customHeight="1">
      <x:c r="A5185" s="19" t="str">
        <x:v>D05181</x:v>
      </x:c>
      <x:c r="B5185" s="19" t="n">
        <x:v>10</x:v>
      </x:c>
      <x:c r="C5185" s="19" t="n">
        <x:v>5</x:v>
      </x:c>
      <x:c r="D5185" s="19" t="str">
        <x:v>C10-M058</x:v>
      </x:c>
      <x:c r="E5185" s="19" t="str">
        <x:v>前厅无声执冠官</x:v>
      </x:c>
      <x:c r="F5185" s="19" t="str">
        <x:v>稀有</x:v>
      </x:c>
      <x:c r="G5185" s="19" t="str">
        <x:v>材料独立候选</x:v>
      </x:c>
      <x:c r="H5185" s="19" t="str">
        <x:v>野兽骨片</x:v>
      </x:c>
      <x:c r="I5185" s="22" t="n">
        <x:v>400</x:v>
      </x:c>
      <x:c r="J5185" s="22" t="n">
        <x:v>4</x:v>
      </x:c>
      <x:c r="K5185" s="19" t="n">
        <x:v>1</x:v>
      </x:c>
      <x:c r="L5185" s="24" t="n">
        <x:v>105.61133333333333</x:v>
      </x:c>
      <x:c r="M5185" s="26" t="n">
        <x:v>0.1</x:v>
      </x:c>
      <x:c r="N5185" s="24" t="n">
        <x:v>12</x:v>
      </x:c>
      <x:c r="O5185" s="28" t="n">
        <x:f>MIN(1,L5185/I5185)</x:f>
        <x:v>0.2640283333333333</x:v>
      </x:c>
      <x:c r="P5185" s="30" t="n">
        <x:f>O5185*J5185*(1+M5185)</x:f>
        <x:v>1.1617246666666667</x:v>
      </x:c>
      <x:c r="Q5185" s="30" t="n">
        <x:f>P5185*N5185</x:f>
        <x:v>13.940696</x:v>
      </x:c>
      <x:c r="R5185" s="19" t="str">
        <x:v>独立判定</x:v>
      </x:c>
    </x:row>
    <x:row r="5186" ht="19" customHeight="1">
      <x:c r="A5186" s="19" t="str">
        <x:v>D05182</x:v>
      </x:c>
      <x:c r="B5186" s="19" t="n">
        <x:v>10</x:v>
      </x:c>
      <x:c r="C5186" s="19" t="n">
        <x:v>5</x:v>
      </x:c>
      <x:c r="D5186" s="19" t="str">
        <x:v>C10-M058</x:v>
      </x:c>
      <x:c r="E5186" s="19" t="str">
        <x:v>前厅无声执冠官</x:v>
      </x:c>
      <x:c r="F5186" s="19" t="str">
        <x:v>稀有</x:v>
      </x:c>
      <x:c r="G5186" s="19" t="str">
        <x:v>材料独立候选</x:v>
      </x:c>
      <x:c r="H5186" s="19" t="str">
        <x:v>技能残页</x:v>
      </x:c>
      <x:c r="I5186" s="22" t="n">
        <x:v>3000</x:v>
      </x:c>
      <x:c r="J5186" s="22" t="n">
        <x:v>1</x:v>
      </x:c>
      <x:c r="K5186" s="19" t="n">
        <x:v>1</x:v>
      </x:c>
      <x:c r="L5186" s="24" t="n">
        <x:v>105.61133333333333</x:v>
      </x:c>
      <x:c r="M5186" s="26" t="n">
        <x:v>0.1</x:v>
      </x:c>
      <x:c r="N5186" s="24" t="n">
        <x:v>12</x:v>
      </x:c>
      <x:c r="O5186" s="28" t="n">
        <x:f>MIN(1,L5186/I5186)</x:f>
        <x:v>0.03520377777777778</x:v>
      </x:c>
      <x:c r="P5186" s="30" t="n">
        <x:f>O5186*J5186*(1+M5186)</x:f>
        <x:v>0.038724155555555556</x:v>
      </x:c>
      <x:c r="Q5186" s="30" t="n">
        <x:f>P5186*N5186</x:f>
        <x:v>0.4646898666666667</x:v>
      </x:c>
      <x:c r="R5186" s="19" t="str">
        <x:v>独立判定</x:v>
      </x:c>
    </x:row>
    <x:row r="5187" ht="19" customHeight="1">
      <x:c r="A5187" s="19" t="str">
        <x:v>D05183</x:v>
      </x:c>
      <x:c r="B5187" s="19" t="n">
        <x:v>10</x:v>
      </x:c>
      <x:c r="C5187" s="19" t="n">
        <x:v>5</x:v>
      </x:c>
      <x:c r="D5187" s="19" t="str">
        <x:v>C10-M058</x:v>
      </x:c>
      <x:c r="E5187" s="19" t="str">
        <x:v>前厅无声执冠官</x:v>
      </x:c>
      <x:c r="F5187" s="19" t="str">
        <x:v>稀有</x:v>
      </x:c>
      <x:c r="G5187" s="19" t="str">
        <x:v>材料独立候选</x:v>
      </x:c>
      <x:c r="H5187" s="19" t="str">
        <x:v>小卢恩</x:v>
      </x:c>
      <x:c r="I5187" s="22" t="n">
        <x:v>18000</x:v>
      </x:c>
      <x:c r="J5187" s="22" t="n">
        <x:v>1</x:v>
      </x:c>
      <x:c r="K5187" s="19" t="n">
        <x:v>1</x:v>
      </x:c>
      <x:c r="L5187" s="24" t="n">
        <x:v>105.61133333333333</x:v>
      </x:c>
      <x:c r="M5187" s="26" t="n">
        <x:v>0.1</x:v>
      </x:c>
      <x:c r="N5187" s="24" t="n">
        <x:v>12</x:v>
      </x:c>
      <x:c r="O5187" s="28" t="n">
        <x:f>MIN(1,L5187/I5187)</x:f>
        <x:v>0.005867296296296297</x:v>
      </x:c>
      <x:c r="P5187" s="30" t="n">
        <x:f>O5187*J5187*(1+M5187)</x:f>
        <x:v>0.006454025925925927</x:v>
      </x:c>
      <x:c r="Q5187" s="30" t="n">
        <x:f>P5187*N5187</x:f>
        <x:v>0.07744831111111111</x:v>
      </x:c>
      <x:c r="R5187" s="19" t="str">
        <x:v>独立判定</x:v>
      </x:c>
    </x:row>
    <x:row r="5188" ht="19" customHeight="1">
      <x:c r="A5188" s="19" t="str">
        <x:v>D05184</x:v>
      </x:c>
      <x:c r="B5188" s="19" t="n">
        <x:v>10</x:v>
      </x:c>
      <x:c r="C5188" s="19" t="n">
        <x:v>5</x:v>
      </x:c>
      <x:c r="D5188" s="19" t="str">
        <x:v>C10-M058</x:v>
      </x:c>
      <x:c r="E5188" s="19" t="str">
        <x:v>前厅无声执冠官</x:v>
      </x:c>
      <x:c r="F5188" s="19" t="str">
        <x:v>稀有</x:v>
      </x:c>
      <x:c r="G5188" s="19" t="str">
        <x:v>六神器公共池</x:v>
      </x:c>
      <x:c r="H5188" s="19" t="str">
        <x:v>POOL006</x:v>
      </x:c>
      <x:c r="I5188" s="22" t="n">
        <x:v>5000000</x:v>
      </x:c>
      <x:c r="J5188" s="22" t="n">
        <x:v>1</x:v>
      </x:c>
      <x:c r="K5188" s="19" t="n">
        <x:v>6</x:v>
      </x:c>
      <x:c r="L5188" s="24" t="n">
        <x:v>105.61133333333333</x:v>
      </x:c>
      <x:c r="M5188" s="26" t="n">
        <x:v>0.1</x:v>
      </x:c>
      <x:c r="N5188" s="24" t="n">
        <x:v>12</x:v>
      </x:c>
      <x:c r="O5188" s="28" t="n">
        <x:f>MIN(1,L5188/I5188)</x:f>
        <x:v>0.000021122266666666666</x:v>
      </x:c>
      <x:c r="P5188" s="30" t="n">
        <x:f>O5188*J5188*(1+M5188)</x:f>
        <x:v>0.000023234493333333333</x:v>
      </x:c>
      <x:c r="Q5188" s="30" t="n">
        <x:f>P5188*N5188</x:f>
        <x:v>0.00027881392</x:v>
      </x:c>
      <x:c r="R5188" s="19" t="str">
        <x:v>六选一；非6个独立爆率</x:v>
      </x:c>
    </x:row>
    <x:row r="5189" ht="19" customHeight="1">
      <x:c r="A5189" s="19" t="str">
        <x:v>D05185</x:v>
      </x:c>
      <x:c r="B5189" s="19" t="n">
        <x:v>10</x:v>
      </x:c>
      <x:c r="C5189" s="19" t="n">
        <x:v>5</x:v>
      </x:c>
      <x:c r="D5189" s="19" t="str">
        <x:v>C10-M059</x:v>
      </x:c>
      <x:c r="E5189" s="19" t="str">
        <x:v>碎日门的黄金禁卫</x:v>
      </x:c>
      <x:c r="F5189" s="19" t="str">
        <x:v>地图BOSS</x:v>
      </x:c>
      <x:c r="G5189" s="19" t="str">
        <x:v>自身专属</x:v>
      </x:c>
      <x:c r="H5189" s="19" t="str">
        <x:v>碎日禁卫斗笠</x:v>
      </x:c>
      <x:c r="I5189" s="22" t="n">
        <x:v>500</x:v>
      </x:c>
      <x:c r="J5189" s="22" t="n">
        <x:v>1</x:v>
      </x:c>
      <x:c r="K5189" s="19" t="n">
        <x:v>1</x:v>
      </x:c>
      <x:c r="L5189" s="24" t="n">
        <x:v>105.61133333333333</x:v>
      </x:c>
      <x:c r="M5189" s="26" t="n">
        <x:v>0.1</x:v>
      </x:c>
      <x:c r="N5189" s="24" t="n">
        <x:v>2</x:v>
      </x:c>
      <x:c r="O5189" s="28" t="n">
        <x:f>MIN(1,L5189/I5189)</x:f>
        <x:v>0.21122266666666667</x:v>
      </x:c>
      <x:c r="P5189" s="30" t="n">
        <x:f>O5189*J5189*(1+M5189)</x:f>
        <x:v>0.23234493333333336</x:v>
      </x:c>
      <x:c r="Q5189" s="30" t="n">
        <x:f>P5189*N5189</x:f>
        <x:v>0.46468986666666673</x:v>
      </x:c>
      <x:c r="R5189" s="19" t="str">
        <x:v>独立判定</x:v>
      </x:c>
    </x:row>
    <x:row r="5190" ht="19" customHeight="1">
      <x:c r="A5190" s="19" t="str">
        <x:v>D05186</x:v>
      </x:c>
      <x:c r="B5190" s="19" t="n">
        <x:v>10</x:v>
      </x:c>
      <x:c r="C5190" s="19" t="n">
        <x:v>5</x:v>
      </x:c>
      <x:c r="D5190" s="19" t="str">
        <x:v>C10-M059</x:v>
      </x:c>
      <x:c r="E5190" s="19" t="str">
        <x:v>碎日门的黄金禁卫</x:v>
      </x:c>
      <x:c r="F5190" s="19" t="str">
        <x:v>地图BOSS</x:v>
      </x:c>
      <x:c r="G5190" s="19" t="str">
        <x:v>自身专属</x:v>
      </x:c>
      <x:c r="H5190" s="19" t="str">
        <x:v>诸王归寂戒</x:v>
      </x:c>
      <x:c r="I5190" s="22" t="n">
        <x:v>500</x:v>
      </x:c>
      <x:c r="J5190" s="22" t="n">
        <x:v>1</x:v>
      </x:c>
      <x:c r="K5190" s="19" t="n">
        <x:v>1</x:v>
      </x:c>
      <x:c r="L5190" s="24" t="n">
        <x:v>105.61133333333333</x:v>
      </x:c>
      <x:c r="M5190" s="26" t="n">
        <x:v>0.1</x:v>
      </x:c>
      <x:c r="N5190" s="24" t="n">
        <x:v>2</x:v>
      </x:c>
      <x:c r="O5190" s="28" t="n">
        <x:f>MIN(1,L5190/I5190)</x:f>
        <x:v>0.21122266666666667</x:v>
      </x:c>
      <x:c r="P5190" s="30" t="n">
        <x:f>O5190*J5190*(1+M5190)</x:f>
        <x:v>0.23234493333333336</x:v>
      </x:c>
      <x:c r="Q5190" s="30" t="n">
        <x:f>P5190*N5190</x:f>
        <x:v>0.46468986666666673</x:v>
      </x:c>
      <x:c r="R5190" s="19" t="str">
        <x:v>独立判定</x:v>
      </x:c>
    </x:row>
    <x:row r="5191" ht="19" customHeight="1">
      <x:c r="A5191" s="19" t="str">
        <x:v>D05187</x:v>
      </x:c>
      <x:c r="B5191" s="19" t="n">
        <x:v>10</x:v>
      </x:c>
      <x:c r="C5191" s="19" t="n">
        <x:v>5</x:v>
      </x:c>
      <x:c r="D5191" s="19" t="str">
        <x:v>C10-M059</x:v>
      </x:c>
      <x:c r="E5191" s="19" t="str">
        <x:v>碎日门的黄金禁卫</x:v>
      </x:c>
      <x:c r="F5191" s="19" t="str">
        <x:v>地图BOSS</x:v>
      </x:c>
      <x:c r="G5191" s="19" t="str">
        <x:v>本图普通兼掉候选</x:v>
      </x:c>
      <x:c r="H5191" s="19" t="str">
        <x:v>POOL086</x:v>
      </x:c>
      <x:c r="I5191" s="22" t="n">
        <x:v>250</x:v>
      </x:c>
      <x:c r="J5191" s="22" t="n">
        <x:v>1</x:v>
      </x:c>
      <x:c r="K5191" s="19" t="n">
        <x:v>1</x:v>
      </x:c>
      <x:c r="L5191" s="24" t="n">
        <x:v>105.61133333333333</x:v>
      </x:c>
      <x:c r="M5191" s="26" t="n">
        <x:v>0.1</x:v>
      </x:c>
      <x:c r="N5191" s="24" t="n">
        <x:v>2</x:v>
      </x:c>
      <x:c r="O5191" s="28" t="n">
        <x:f>MIN(1,L5191/I5191)</x:f>
        <x:v>0.42244533333333334</x:v>
      </x:c>
      <x:c r="P5191" s="30" t="n">
        <x:f>O5191*J5191*(1+M5191)</x:f>
        <x:v>0.46468986666666673</x:v>
      </x:c>
      <x:c r="Q5191" s="30" t="n">
        <x:f>P5191*N5191</x:f>
        <x:v>0.9293797333333335</x:v>
      </x:c>
      <x:c r="R5191" s="19" t="str">
        <x:v>单池选一</x:v>
      </x:c>
    </x:row>
    <x:row r="5192" ht="19" customHeight="1">
      <x:c r="A5192" s="19" t="str">
        <x:v>D05188</x:v>
      </x:c>
      <x:c r="B5192" s="19" t="n">
        <x:v>10</x:v>
      </x:c>
      <x:c r="C5192" s="19" t="n">
        <x:v>5</x:v>
      </x:c>
      <x:c r="D5192" s="19" t="str">
        <x:v>C10-M059</x:v>
      </x:c>
      <x:c r="E5192" s="19" t="str">
        <x:v>碎日门的黄金禁卫</x:v>
      </x:c>
      <x:c r="F5192" s="19" t="str">
        <x:v>地图BOSS</x:v>
      </x:c>
      <x:c r="G5192" s="19" t="str">
        <x:v>材料独立候选</x:v>
      </x:c>
      <x:c r="H5192" s="19" t="str">
        <x:v>王城金屑</x:v>
      </x:c>
      <x:c r="I5192" s="22" t="n">
        <x:v>800</x:v>
      </x:c>
      <x:c r="J5192" s="22" t="n">
        <x:v>30</x:v>
      </x:c>
      <x:c r="K5192" s="19" t="n">
        <x:v>1</x:v>
      </x:c>
      <x:c r="L5192" s="24" t="n">
        <x:v>105.61133333333333</x:v>
      </x:c>
      <x:c r="M5192" s="26" t="n">
        <x:v>0.1</x:v>
      </x:c>
      <x:c r="N5192" s="24" t="n">
        <x:v>2</x:v>
      </x:c>
      <x:c r="O5192" s="28" t="n">
        <x:f>MIN(1,L5192/I5192)</x:f>
        <x:v>0.13201416666666665</x:v>
      </x:c>
      <x:c r="P5192" s="30" t="n">
        <x:f>O5192*J5192*(1+M5192)</x:f>
        <x:v>4.3564675</x:v>
      </x:c>
      <x:c r="Q5192" s="30" t="n">
        <x:f>P5192*N5192</x:f>
        <x:v>8.712935</x:v>
      </x:c>
      <x:c r="R5192" s="19" t="str">
        <x:v>独立判定</x:v>
      </x:c>
    </x:row>
    <x:row r="5193" ht="19" customHeight="1">
      <x:c r="A5193" s="19" t="str">
        <x:v>D05189</x:v>
      </x:c>
      <x:c r="B5193" s="19" t="n">
        <x:v>10</x:v>
      </x:c>
      <x:c r="C5193" s="19" t="n">
        <x:v>5</x:v>
      </x:c>
      <x:c r="D5193" s="19" t="str">
        <x:v>C10-M059</x:v>
      </x:c>
      <x:c r="E5193" s="19" t="str">
        <x:v>碎日门的黄金禁卫</x:v>
      </x:c>
      <x:c r="F5193" s="19" t="str">
        <x:v>地图BOSS</x:v>
      </x:c>
      <x:c r="G5193" s="19" t="str">
        <x:v>材料独立候选</x:v>
      </x:c>
      <x:c r="H5193" s="19" t="str">
        <x:v>王宫律文</x:v>
      </x:c>
      <x:c r="I5193" s="22" t="n">
        <x:v>500</x:v>
      </x:c>
      <x:c r="J5193" s="22" t="n">
        <x:v>1</x:v>
      </x:c>
      <x:c r="K5193" s="19" t="n">
        <x:v>1</x:v>
      </x:c>
      <x:c r="L5193" s="24" t="n">
        <x:v>105.61133333333333</x:v>
      </x:c>
      <x:c r="M5193" s="26" t="n">
        <x:v>0.1</x:v>
      </x:c>
      <x:c r="N5193" s="24" t="n">
        <x:v>2</x:v>
      </x:c>
      <x:c r="O5193" s="28" t="n">
        <x:f>MIN(1,L5193/I5193)</x:f>
        <x:v>0.21122266666666667</x:v>
      </x:c>
      <x:c r="P5193" s="30" t="n">
        <x:f>O5193*J5193*(1+M5193)</x:f>
        <x:v>0.23234493333333336</x:v>
      </x:c>
      <x:c r="Q5193" s="30" t="n">
        <x:f>P5193*N5193</x:f>
        <x:v>0.46468986666666673</x:v>
      </x:c>
      <x:c r="R5193" s="19" t="str">
        <x:v>独立判定</x:v>
      </x:c>
    </x:row>
    <x:row r="5194" ht="19" customHeight="1">
      <x:c r="A5194" s="19" t="str">
        <x:v>D05190</x:v>
      </x:c>
      <x:c r="B5194" s="19" t="n">
        <x:v>10</x:v>
      </x:c>
      <x:c r="C5194" s="19" t="n">
        <x:v>5</x:v>
      </x:c>
      <x:c r="D5194" s="19" t="str">
        <x:v>C10-M059</x:v>
      </x:c>
      <x:c r="E5194" s="19" t="str">
        <x:v>碎日门的黄金禁卫</x:v>
      </x:c>
      <x:c r="F5194" s="19" t="str">
        <x:v>地图BOSS</x:v>
      </x:c>
      <x:c r="G5194" s="19" t="str">
        <x:v>材料独立候选</x:v>
      </x:c>
      <x:c r="H5194" s="19" t="str">
        <x:v>艾尔登王印</x:v>
      </x:c>
      <x:c r="I5194" s="22" t="n">
        <x:v>500</x:v>
      </x:c>
      <x:c r="J5194" s="22" t="n">
        <x:v>10</x:v>
      </x:c>
      <x:c r="K5194" s="19" t="n">
        <x:v>1</x:v>
      </x:c>
      <x:c r="L5194" s="24" t="n">
        <x:v>105.61133333333333</x:v>
      </x:c>
      <x:c r="M5194" s="26" t="n">
        <x:v>0.1</x:v>
      </x:c>
      <x:c r="N5194" s="24" t="n">
        <x:v>2</x:v>
      </x:c>
      <x:c r="O5194" s="28" t="n">
        <x:f>MIN(1,L5194/I5194)</x:f>
        <x:v>0.21122266666666667</x:v>
      </x:c>
      <x:c r="P5194" s="30" t="n">
        <x:f>O5194*J5194*(1+M5194)</x:f>
        <x:v>2.3234493333333335</x:v>
      </x:c>
      <x:c r="Q5194" s="30" t="n">
        <x:f>P5194*N5194</x:f>
        <x:v>4.646898666666667</x:v>
      </x:c>
      <x:c r="R5194" s="19" t="str">
        <x:v>独立判定</x:v>
      </x:c>
    </x:row>
    <x:row r="5195" ht="19" customHeight="1">
      <x:c r="A5195" s="19" t="str">
        <x:v>D05191</x:v>
      </x:c>
      <x:c r="B5195" s="19" t="n">
        <x:v>10</x:v>
      </x:c>
      <x:c r="C5195" s="19" t="n">
        <x:v>5</x:v>
      </x:c>
      <x:c r="D5195" s="19" t="str">
        <x:v>C10-M059</x:v>
      </x:c>
      <x:c r="E5195" s="19" t="str">
        <x:v>碎日门的黄金禁卫</x:v>
      </x:c>
      <x:c r="F5195" s="19" t="str">
        <x:v>地图BOSS</x:v>
      </x:c>
      <x:c r="G5195" s="19" t="str">
        <x:v>材料独立候选</x:v>
      </x:c>
      <x:c r="H5195" s="19" t="str">
        <x:v>失温熔炉楔</x:v>
      </x:c>
      <x:c r="I5195" s="22" t="n">
        <x:v>500</x:v>
      </x:c>
      <x:c r="J5195" s="22" t="n">
        <x:v>4</x:v>
      </x:c>
      <x:c r="K5195" s="19" t="n">
        <x:v>1</x:v>
      </x:c>
      <x:c r="L5195" s="24" t="n">
        <x:v>105.61133333333333</x:v>
      </x:c>
      <x:c r="M5195" s="26" t="n">
        <x:v>0.1</x:v>
      </x:c>
      <x:c r="N5195" s="24" t="n">
        <x:v>2</x:v>
      </x:c>
      <x:c r="O5195" s="28" t="n">
        <x:f>MIN(1,L5195/I5195)</x:f>
        <x:v>0.21122266666666667</x:v>
      </x:c>
      <x:c r="P5195" s="30" t="n">
        <x:f>O5195*J5195*(1+M5195)</x:f>
        <x:v>0.9293797333333335</x:v>
      </x:c>
      <x:c r="Q5195" s="30" t="n">
        <x:f>P5195*N5195</x:f>
        <x:v>1.858759466666667</x:v>
      </x:c>
      <x:c r="R5195" s="19" t="str">
        <x:v>独立判定</x:v>
      </x:c>
    </x:row>
    <x:row r="5196" ht="19" customHeight="1">
      <x:c r="A5196" s="19" t="str">
        <x:v>D05192</x:v>
      </x:c>
      <x:c r="B5196" s="19" t="n">
        <x:v>10</x:v>
      </x:c>
      <x:c r="C5196" s="19" t="n">
        <x:v>5</x:v>
      </x:c>
      <x:c r="D5196" s="19" t="str">
        <x:v>C10-M059</x:v>
      </x:c>
      <x:c r="E5196" s="19" t="str">
        <x:v>碎日门的黄金禁卫</x:v>
      </x:c>
      <x:c r="F5196" s="19" t="str">
        <x:v>地图BOSS</x:v>
      </x:c>
      <x:c r="G5196" s="19" t="str">
        <x:v>材料独立候选</x:v>
      </x:c>
      <x:c r="H5196" s="19" t="str">
        <x:v>穹律鎏痕拓片</x:v>
      </x:c>
      <x:c r="I5196" s="22" t="n">
        <x:v>1500000</x:v>
      </x:c>
      <x:c r="J5196" s="22" t="n">
        <x:v>1</x:v>
      </x:c>
      <x:c r="K5196" s="19" t="n">
        <x:v>1</x:v>
      </x:c>
      <x:c r="L5196" s="24" t="n">
        <x:v>105.61133333333333</x:v>
      </x:c>
      <x:c r="M5196" s="26" t="n">
        <x:v>0.1</x:v>
      </x:c>
      <x:c r="N5196" s="24" t="n">
        <x:v>2</x:v>
      </x:c>
      <x:c r="O5196" s="28" t="n">
        <x:f>MIN(1,L5196/I5196)</x:f>
        <x:v>0.00007040755555555556</x:v>
      </x:c>
      <x:c r="P5196" s="30" t="n">
        <x:f>O5196*J5196*(1+M5196)</x:f>
        <x:v>0.00007744831111111112</x:v>
      </x:c>
      <x:c r="Q5196" s="30" t="n">
        <x:f>P5196*N5196</x:f>
        <x:v>0.00015489662222222225</x:v>
      </x:c>
      <x:c r="R5196" s="19" t="str">
        <x:v>独立判定</x:v>
      </x:c>
    </x:row>
    <x:row r="5197" ht="19" customHeight="1">
      <x:c r="A5197" s="19" t="str">
        <x:v>D05193</x:v>
      </x:c>
      <x:c r="B5197" s="19" t="n">
        <x:v>10</x:v>
      </x:c>
      <x:c r="C5197" s="19" t="n">
        <x:v>5</x:v>
      </x:c>
      <x:c r="D5197" s="19" t="str">
        <x:v>C10-M059</x:v>
      </x:c>
      <x:c r="E5197" s="19" t="str">
        <x:v>碎日门的黄金禁卫</x:v>
      </x:c>
      <x:c r="F5197" s="19" t="str">
        <x:v>地图BOSS</x:v>
      </x:c>
      <x:c r="G5197" s="19" t="str">
        <x:v>材料独立候选</x:v>
      </x:c>
      <x:c r="H5197" s="19" t="str">
        <x:v>黄金树芽</x:v>
      </x:c>
      <x:c r="I5197" s="22" t="n">
        <x:v>1800</x:v>
      </x:c>
      <x:c r="J5197" s="22" t="n">
        <x:v>1</x:v>
      </x:c>
      <x:c r="K5197" s="19" t="n">
        <x:v>1</x:v>
      </x:c>
      <x:c r="L5197" s="24" t="n">
        <x:v>105.61133333333333</x:v>
      </x:c>
      <x:c r="M5197" s="26" t="n">
        <x:v>0.1</x:v>
      </x:c>
      <x:c r="N5197" s="24" t="n">
        <x:v>2</x:v>
      </x:c>
      <x:c r="O5197" s="28" t="n">
        <x:f>MIN(1,L5197/I5197)</x:f>
        <x:v>0.05867296296296296</x:v>
      </x:c>
      <x:c r="P5197" s="30" t="n">
        <x:f>O5197*J5197*(1+M5197)</x:f>
        <x:v>0.06454025925925927</x:v>
      </x:c>
      <x:c r="Q5197" s="30" t="n">
        <x:f>P5197*N5197</x:f>
        <x:v>0.12908051851851854</x:v>
      </x:c>
      <x:c r="R5197" s="19" t="str">
        <x:v>独立判定</x:v>
      </x:c>
    </x:row>
    <x:row r="5198" ht="19" customHeight="1">
      <x:c r="A5198" s="19" t="str">
        <x:v>D05194</x:v>
      </x:c>
      <x:c r="B5198" s="19" t="n">
        <x:v>10</x:v>
      </x:c>
      <x:c r="C5198" s="19" t="n">
        <x:v>5</x:v>
      </x:c>
      <x:c r="D5198" s="19" t="str">
        <x:v>C10-M059</x:v>
      </x:c>
      <x:c r="E5198" s="19" t="str">
        <x:v>碎日门的黄金禁卫</x:v>
      </x:c>
      <x:c r="F5198" s="19" t="str">
        <x:v>地图BOSS</x:v>
      </x:c>
      <x:c r="G5198" s="19" t="str">
        <x:v>材料独立候选</x:v>
      </x:c>
      <x:c r="H5198" s="19" t="str">
        <x:v>野兽骨片</x:v>
      </x:c>
      <x:c r="I5198" s="22" t="n">
        <x:v>200</x:v>
      </x:c>
      <x:c r="J5198" s="22" t="n">
        <x:v>4</x:v>
      </x:c>
      <x:c r="K5198" s="19" t="n">
        <x:v>1</x:v>
      </x:c>
      <x:c r="L5198" s="24" t="n">
        <x:v>105.61133333333333</x:v>
      </x:c>
      <x:c r="M5198" s="26" t="n">
        <x:v>0.1</x:v>
      </x:c>
      <x:c r="N5198" s="24" t="n">
        <x:v>2</x:v>
      </x:c>
      <x:c r="O5198" s="28" t="n">
        <x:f>MIN(1,L5198/I5198)</x:f>
        <x:v>0.5280566666666666</x:v>
      </x:c>
      <x:c r="P5198" s="30" t="n">
        <x:f>O5198*J5198*(1+M5198)</x:f>
        <x:v>2.3234493333333335</x:v>
      </x:c>
      <x:c r="Q5198" s="30" t="n">
        <x:f>P5198*N5198</x:f>
        <x:v>4.646898666666667</x:v>
      </x:c>
      <x:c r="R5198" s="19" t="str">
        <x:v>独立判定</x:v>
      </x:c>
    </x:row>
    <x:row r="5199" ht="19" customHeight="1">
      <x:c r="A5199" s="19" t="str">
        <x:v>D05195</x:v>
      </x:c>
      <x:c r="B5199" s="19" t="n">
        <x:v>10</x:v>
      </x:c>
      <x:c r="C5199" s="19" t="n">
        <x:v>5</x:v>
      </x:c>
      <x:c r="D5199" s="19" t="str">
        <x:v>C10-M059</x:v>
      </x:c>
      <x:c r="E5199" s="19" t="str">
        <x:v>碎日门的黄金禁卫</x:v>
      </x:c>
      <x:c r="F5199" s="19" t="str">
        <x:v>地图BOSS</x:v>
      </x:c>
      <x:c r="G5199" s="19" t="str">
        <x:v>材料独立候选</x:v>
      </x:c>
      <x:c r="H5199" s="19" t="str">
        <x:v>技能残页</x:v>
      </x:c>
      <x:c r="I5199" s="22" t="n">
        <x:v>1800</x:v>
      </x:c>
      <x:c r="J5199" s="22" t="n">
        <x:v>1</x:v>
      </x:c>
      <x:c r="K5199" s="19" t="n">
        <x:v>1</x:v>
      </x:c>
      <x:c r="L5199" s="24" t="n">
        <x:v>105.61133333333333</x:v>
      </x:c>
      <x:c r="M5199" s="26" t="n">
        <x:v>0.1</x:v>
      </x:c>
      <x:c r="N5199" s="24" t="n">
        <x:v>2</x:v>
      </x:c>
      <x:c r="O5199" s="28" t="n">
        <x:f>MIN(1,L5199/I5199)</x:f>
        <x:v>0.05867296296296296</x:v>
      </x:c>
      <x:c r="P5199" s="30" t="n">
        <x:f>O5199*J5199*(1+M5199)</x:f>
        <x:v>0.06454025925925927</x:v>
      </x:c>
      <x:c r="Q5199" s="30" t="n">
        <x:f>P5199*N5199</x:f>
        <x:v>0.12908051851851854</x:v>
      </x:c>
      <x:c r="R5199" s="19" t="str">
        <x:v>独立判定</x:v>
      </x:c>
    </x:row>
    <x:row r="5200" ht="19" customHeight="1">
      <x:c r="A5200" s="19" t="str">
        <x:v>D05196</x:v>
      </x:c>
      <x:c r="B5200" s="19" t="n">
        <x:v>10</x:v>
      </x:c>
      <x:c r="C5200" s="19" t="n">
        <x:v>5</x:v>
      </x:c>
      <x:c r="D5200" s="19" t="str">
        <x:v>C10-M059</x:v>
      </x:c>
      <x:c r="E5200" s="19" t="str">
        <x:v>碎日门的黄金禁卫</x:v>
      </x:c>
      <x:c r="F5200" s="19" t="str">
        <x:v>地图BOSS</x:v>
      </x:c>
      <x:c r="G5200" s="19" t="str">
        <x:v>材料独立候选</x:v>
      </x:c>
      <x:c r="H5200" s="19" t="str">
        <x:v>宁姆格福誓页</x:v>
      </x:c>
      <x:c r="I5200" s="22" t="n">
        <x:v>1200</x:v>
      </x:c>
      <x:c r="J5200" s="22" t="n">
        <x:v>1</x:v>
      </x:c>
      <x:c r="K5200" s="19" t="n">
        <x:v>1</x:v>
      </x:c>
      <x:c r="L5200" s="24" t="n">
        <x:v>105.61133333333333</x:v>
      </x:c>
      <x:c r="M5200" s="26" t="n">
        <x:v>0.1</x:v>
      </x:c>
      <x:c r="N5200" s="24" t="n">
        <x:v>2</x:v>
      </x:c>
      <x:c r="O5200" s="28" t="n">
        <x:f>MIN(1,L5200/I5200)</x:f>
        <x:v>0.08800944444444445</x:v>
      </x:c>
      <x:c r="P5200" s="30" t="n">
        <x:f>O5200*J5200*(1+M5200)</x:f>
        <x:v>0.0968103888888889</x:v>
      </x:c>
      <x:c r="Q5200" s="30" t="n">
        <x:f>P5200*N5200</x:f>
        <x:v>0.1936207777777778</x:v>
      </x:c>
      <x:c r="R5200" s="19" t="str">
        <x:v>独立判定</x:v>
      </x:c>
    </x:row>
    <x:row r="5201" ht="19" customHeight="1">
      <x:c r="A5201" s="19" t="str">
        <x:v>D05197</x:v>
      </x:c>
      <x:c r="B5201" s="19" t="n">
        <x:v>10</x:v>
      </x:c>
      <x:c r="C5201" s="19" t="n">
        <x:v>5</x:v>
      </x:c>
      <x:c r="D5201" s="19" t="str">
        <x:v>C10-M059</x:v>
      </x:c>
      <x:c r="E5201" s="19" t="str">
        <x:v>碎日门的黄金禁卫</x:v>
      </x:c>
      <x:c r="F5201" s="19" t="str">
        <x:v>地图BOSS</x:v>
      </x:c>
      <x:c r="G5201" s="19" t="str">
        <x:v>材料独立候选</x:v>
      </x:c>
      <x:c r="H5201" s="19" t="str">
        <x:v>小卢恩</x:v>
      </x:c>
      <x:c r="I5201" s="22" t="n">
        <x:v>10000</x:v>
      </x:c>
      <x:c r="J5201" s="22" t="n">
        <x:v>1</x:v>
      </x:c>
      <x:c r="K5201" s="19" t="n">
        <x:v>1</x:v>
      </x:c>
      <x:c r="L5201" s="24" t="n">
        <x:v>105.61133333333333</x:v>
      </x:c>
      <x:c r="M5201" s="26" t="n">
        <x:v>0.1</x:v>
      </x:c>
      <x:c r="N5201" s="24" t="n">
        <x:v>2</x:v>
      </x:c>
      <x:c r="O5201" s="28" t="n">
        <x:f>MIN(1,L5201/I5201)</x:f>
        <x:v>0.010561133333333333</x:v>
      </x:c>
      <x:c r="P5201" s="30" t="n">
        <x:f>O5201*J5201*(1+M5201)</x:f>
        <x:v>0.011617246666666668</x:v>
      </x:c>
      <x:c r="Q5201" s="30" t="n">
        <x:f>P5201*N5201</x:f>
        <x:v>0.023234493333333335</x:v>
      </x:c>
      <x:c r="R5201" s="19" t="str">
        <x:v>独立判定</x:v>
      </x:c>
    </x:row>
    <x:row r="5202" ht="19" customHeight="1">
      <x:c r="A5202" s="19" t="str">
        <x:v>D05198</x:v>
      </x:c>
      <x:c r="B5202" s="19" t="n">
        <x:v>10</x:v>
      </x:c>
      <x:c r="C5202" s="19" t="n">
        <x:v>5</x:v>
      </x:c>
      <x:c r="D5202" s="19" t="str">
        <x:v>C10-M059</x:v>
      </x:c>
      <x:c r="E5202" s="19" t="str">
        <x:v>碎日门的黄金禁卫</x:v>
      </x:c>
      <x:c r="F5202" s="19" t="str">
        <x:v>地图BOSS</x:v>
      </x:c>
      <x:c r="G5202" s="19" t="str">
        <x:v>材料独立候选</x:v>
      </x:c>
      <x:c r="H5202" s="19" t="str">
        <x:v>大卢恩</x:v>
      </x:c>
      <x:c r="I5202" s="22" t="n">
        <x:v>1000</x:v>
      </x:c>
      <x:c r="J5202" s="22" t="n">
        <x:v>1</x:v>
      </x:c>
      <x:c r="K5202" s="19" t="n">
        <x:v>1</x:v>
      </x:c>
      <x:c r="L5202" s="24" t="n">
        <x:v>105.61133333333333</x:v>
      </x:c>
      <x:c r="M5202" s="26" t="n">
        <x:v>0.1</x:v>
      </x:c>
      <x:c r="N5202" s="24" t="n">
        <x:v>2</x:v>
      </x:c>
      <x:c r="O5202" s="28" t="n">
        <x:f>MIN(1,L5202/I5202)</x:f>
        <x:v>0.10561133333333333</x:v>
      </x:c>
      <x:c r="P5202" s="30" t="n">
        <x:f>O5202*J5202*(1+M5202)</x:f>
        <x:v>0.11617246666666668</x:v>
      </x:c>
      <x:c r="Q5202" s="30" t="n">
        <x:f>P5202*N5202</x:f>
        <x:v>0.23234493333333336</x:v>
      </x:c>
      <x:c r="R5202" s="19" t="str">
        <x:v>独立判定</x:v>
      </x:c>
    </x:row>
    <x:row r="5203" ht="19" customHeight="1">
      <x:c r="A5203" s="19" t="str">
        <x:v>D05199</x:v>
      </x:c>
      <x:c r="B5203" s="19" t="n">
        <x:v>10</x:v>
      </x:c>
      <x:c r="C5203" s="19" t="n">
        <x:v>5</x:v>
      </x:c>
      <x:c r="D5203" s="19" t="str">
        <x:v>C10-M059</x:v>
      </x:c>
      <x:c r="E5203" s="19" t="str">
        <x:v>碎日门的黄金禁卫</x:v>
      </x:c>
      <x:c r="F5203" s="19" t="str">
        <x:v>地图BOSS</x:v>
      </x:c>
      <x:c r="G5203" s="19" t="str">
        <x:v>材料独立候选</x:v>
      </x:c>
      <x:c r="H5203" s="19" t="str">
        <x:v>巨人熔火卢恩</x:v>
      </x:c>
      <x:c r="I5203" s="22" t="n">
        <x:v>1200</x:v>
      </x:c>
      <x:c r="J5203" s="22" t="n">
        <x:v>1</x:v>
      </x:c>
      <x:c r="K5203" s="19" t="n">
        <x:v>1</x:v>
      </x:c>
      <x:c r="L5203" s="24" t="n">
        <x:v>105.61133333333333</x:v>
      </x:c>
      <x:c r="M5203" s="26" t="n">
        <x:v>0.1</x:v>
      </x:c>
      <x:c r="N5203" s="24" t="n">
        <x:v>2</x:v>
      </x:c>
      <x:c r="O5203" s="28" t="n">
        <x:f>MIN(1,L5203/I5203)</x:f>
        <x:v>0.08800944444444445</x:v>
      </x:c>
      <x:c r="P5203" s="30" t="n">
        <x:f>O5203*J5203*(1+M5203)</x:f>
        <x:v>0.0968103888888889</x:v>
      </x:c>
      <x:c r="Q5203" s="30" t="n">
        <x:f>P5203*N5203</x:f>
        <x:v>0.1936207777777778</x:v>
      </x:c>
      <x:c r="R5203" s="19" t="str">
        <x:v>独立判定</x:v>
      </x:c>
    </x:row>
    <x:row r="5204" ht="19" customHeight="1">
      <x:c r="A5204" s="19" t="str">
        <x:v>D05200</x:v>
      </x:c>
      <x:c r="B5204" s="19" t="n">
        <x:v>10</x:v>
      </x:c>
      <x:c r="C5204" s="19" t="n">
        <x:v>5</x:v>
      </x:c>
      <x:c r="D5204" s="19" t="str">
        <x:v>C10-M059</x:v>
      </x:c>
      <x:c r="E5204" s="19" t="str">
        <x:v>碎日门的黄金禁卫</x:v>
      </x:c>
      <x:c r="F5204" s="19" t="str">
        <x:v>地图BOSS</x:v>
      </x:c>
      <x:c r="G5204" s="19" t="str">
        <x:v>材料独立候选</x:v>
      </x:c>
      <x:c r="H5204" s="19" t="str">
        <x:v>黄金律法卢恩</x:v>
      </x:c>
      <x:c r="I5204" s="22" t="n">
        <x:v>400</x:v>
      </x:c>
      <x:c r="J5204" s="22" t="n">
        <x:v>15</x:v>
      </x:c>
      <x:c r="K5204" s="19" t="n">
        <x:v>1</x:v>
      </x:c>
      <x:c r="L5204" s="24" t="n">
        <x:v>105.61133333333333</x:v>
      </x:c>
      <x:c r="M5204" s="26" t="n">
        <x:v>0.1</x:v>
      </x:c>
      <x:c r="N5204" s="24" t="n">
        <x:v>2</x:v>
      </x:c>
      <x:c r="O5204" s="28" t="n">
        <x:f>MIN(1,L5204/I5204)</x:f>
        <x:v>0.2640283333333333</x:v>
      </x:c>
      <x:c r="P5204" s="30" t="n">
        <x:f>O5204*J5204*(1+M5204)</x:f>
        <x:v>4.3564675</x:v>
      </x:c>
      <x:c r="Q5204" s="30" t="n">
        <x:f>P5204*N5204</x:f>
        <x:v>8.712935</x:v>
      </x:c>
      <x:c r="R5204" s="19" t="str">
        <x:v>独立判定</x:v>
      </x:c>
    </x:row>
    <x:row r="5205" ht="19" customHeight="1">
      <x:c r="A5205" s="19" t="str">
        <x:v>D05201</x:v>
      </x:c>
      <x:c r="B5205" s="19" t="n">
        <x:v>10</x:v>
      </x:c>
      <x:c r="C5205" s="19" t="n">
        <x:v>5</x:v>
      </x:c>
      <x:c r="D5205" s="19" t="str">
        <x:v>C10-M059</x:v>
      </x:c>
      <x:c r="E5205" s="19" t="str">
        <x:v>碎日门的黄金禁卫</x:v>
      </x:c>
      <x:c r="F5205" s="19" t="str">
        <x:v>地图BOSS</x:v>
      </x:c>
      <x:c r="G5205" s="19" t="str">
        <x:v>六神器公共池</x:v>
      </x:c>
      <x:c r="H5205" s="19" t="str">
        <x:v>POOL006</x:v>
      </x:c>
      <x:c r="I5205" s="22" t="n">
        <x:v>200000</x:v>
      </x:c>
      <x:c r="J5205" s="22" t="n">
        <x:v>1</x:v>
      </x:c>
      <x:c r="K5205" s="19" t="n">
        <x:v>6</x:v>
      </x:c>
      <x:c r="L5205" s="24" t="n">
        <x:v>105.61133333333333</x:v>
      </x:c>
      <x:c r="M5205" s="26" t="n">
        <x:v>0.1</x:v>
      </x:c>
      <x:c r="N5205" s="24" t="n">
        <x:v>2</x:v>
      </x:c>
      <x:c r="O5205" s="28" t="n">
        <x:f>MIN(1,L5205/I5205)</x:f>
        <x:v>0.0005280566666666667</x:v>
      </x:c>
      <x:c r="P5205" s="30" t="n">
        <x:f>O5205*J5205*(1+M5205)</x:f>
        <x:v>0.0005808623333333334</x:v>
      </x:c>
      <x:c r="Q5205" s="30" t="n">
        <x:f>P5205*N5205</x:f>
        <x:v>0.0011617246666666668</x:v>
      </x:c>
      <x:c r="R5205" s="19" t="str">
        <x:v>六选一；非6个独立爆率</x:v>
      </x:c>
    </x:row>
    <x:row r="5206" ht="19" customHeight="1">
      <x:c r="A5206" s="19" t="str">
        <x:v>D05202</x:v>
      </x:c>
      <x:c r="B5206" s="19" t="n">
        <x:v>10</x:v>
      </x:c>
      <x:c r="C5206" s="19" t="n">
        <x:v>5</x:v>
      </x:c>
      <x:c r="D5206" s="19" t="str">
        <x:v>C10-M060</x:v>
      </x:c>
      <x:c r="E5206" s="19" t="str">
        <x:v>永辉帷后的空王</x:v>
      </x:c>
      <x:c r="F5206" s="19" t="str">
        <x:v>地图BOSS</x:v>
      </x:c>
      <x:c r="G5206" s="19" t="str">
        <x:v>自身专属</x:v>
      </x:c>
      <x:c r="H5206" s="19" t="str">
        <x:v>永辉空王礼服</x:v>
      </x:c>
      <x:c r="I5206" s="22" t="n">
        <x:v>500</x:v>
      </x:c>
      <x:c r="J5206" s="22" t="n">
        <x:v>1</x:v>
      </x:c>
      <x:c r="K5206" s="19" t="n">
        <x:v>1</x:v>
      </x:c>
      <x:c r="L5206" s="24" t="n">
        <x:v>105.61133333333333</x:v>
      </x:c>
      <x:c r="M5206" s="26" t="n">
        <x:v>0.1</x:v>
      </x:c>
      <x:c r="N5206" s="24" t="n">
        <x:v>2</x:v>
      </x:c>
      <x:c r="O5206" s="28" t="n">
        <x:f>MIN(1,L5206/I5206)</x:f>
        <x:v>0.21122266666666667</x:v>
      </x:c>
      <x:c r="P5206" s="30" t="n">
        <x:f>O5206*J5206*(1+M5206)</x:f>
        <x:v>0.23234493333333336</x:v>
      </x:c>
      <x:c r="Q5206" s="30" t="n">
        <x:f>P5206*N5206</x:f>
        <x:v>0.46468986666666673</x:v>
      </x:c>
      <x:c r="R5206" s="19" t="str">
        <x:v>独立判定</x:v>
      </x:c>
    </x:row>
    <x:row r="5207" ht="19" customHeight="1">
      <x:c r="A5207" s="19" t="str">
        <x:v>D05203</x:v>
      </x:c>
      <x:c r="B5207" s="19" t="n">
        <x:v>10</x:v>
      </x:c>
      <x:c r="C5207" s="19" t="n">
        <x:v>5</x:v>
      </x:c>
      <x:c r="D5207" s="19" t="str">
        <x:v>C10-M060</x:v>
      </x:c>
      <x:c r="E5207" s="19" t="str">
        <x:v>永辉帷后的空王</x:v>
      </x:c>
      <x:c r="F5207" s="19" t="str">
        <x:v>地图BOSS</x:v>
      </x:c>
      <x:c r="G5207" s="19" t="str">
        <x:v>自身专属</x:v>
      </x:c>
      <x:c r="H5207" s="19" t="str">
        <x:v>守律玄犬</x:v>
      </x:c>
      <x:c r="I5207" s="22" t="n">
        <x:v>500</x:v>
      </x:c>
      <x:c r="J5207" s="22" t="n">
        <x:v>1</x:v>
      </x:c>
      <x:c r="K5207" s="19" t="n">
        <x:v>1</x:v>
      </x:c>
      <x:c r="L5207" s="24" t="n">
        <x:v>105.61133333333333</x:v>
      </x:c>
      <x:c r="M5207" s="26" t="n">
        <x:v>0.1</x:v>
      </x:c>
      <x:c r="N5207" s="24" t="n">
        <x:v>2</x:v>
      </x:c>
      <x:c r="O5207" s="28" t="n">
        <x:f>MIN(1,L5207/I5207)</x:f>
        <x:v>0.21122266666666667</x:v>
      </x:c>
      <x:c r="P5207" s="30" t="n">
        <x:f>O5207*J5207*(1+M5207)</x:f>
        <x:v>0.23234493333333336</x:v>
      </x:c>
      <x:c r="Q5207" s="30" t="n">
        <x:f>P5207*N5207</x:f>
        <x:v>0.46468986666666673</x:v>
      </x:c>
      <x:c r="R5207" s="19" t="str">
        <x:v>独立判定</x:v>
      </x:c>
    </x:row>
    <x:row r="5208" ht="19" customHeight="1">
      <x:c r="A5208" s="19" t="str">
        <x:v>D05204</x:v>
      </x:c>
      <x:c r="B5208" s="19" t="n">
        <x:v>10</x:v>
      </x:c>
      <x:c r="C5208" s="19" t="n">
        <x:v>5</x:v>
      </x:c>
      <x:c r="D5208" s="19" t="str">
        <x:v>C10-M060</x:v>
      </x:c>
      <x:c r="E5208" s="19" t="str">
        <x:v>永辉帷后的空王</x:v>
      </x:c>
      <x:c r="F5208" s="19" t="str">
        <x:v>地图BOSS</x:v>
      </x:c>
      <x:c r="G5208" s="19" t="str">
        <x:v>本图普通兼掉候选</x:v>
      </x:c>
      <x:c r="H5208" s="19" t="str">
        <x:v>POOL087</x:v>
      </x:c>
      <x:c r="I5208" s="22" t="n">
        <x:v>250</x:v>
      </x:c>
      <x:c r="J5208" s="22" t="n">
        <x:v>1</x:v>
      </x:c>
      <x:c r="K5208" s="19" t="n">
        <x:v>1</x:v>
      </x:c>
      <x:c r="L5208" s="24" t="n">
        <x:v>105.61133333333333</x:v>
      </x:c>
      <x:c r="M5208" s="26" t="n">
        <x:v>0.1</x:v>
      </x:c>
      <x:c r="N5208" s="24" t="n">
        <x:v>2</x:v>
      </x:c>
      <x:c r="O5208" s="28" t="n">
        <x:f>MIN(1,L5208/I5208)</x:f>
        <x:v>0.42244533333333334</x:v>
      </x:c>
      <x:c r="P5208" s="30" t="n">
        <x:f>O5208*J5208*(1+M5208)</x:f>
        <x:v>0.46468986666666673</x:v>
      </x:c>
      <x:c r="Q5208" s="30" t="n">
        <x:f>P5208*N5208</x:f>
        <x:v>0.9293797333333335</x:v>
      </x:c>
      <x:c r="R5208" s="19" t="str">
        <x:v>单池选一</x:v>
      </x:c>
    </x:row>
    <x:row r="5209" ht="19" customHeight="1">
      <x:c r="A5209" s="19" t="str">
        <x:v>D05205</x:v>
      </x:c>
      <x:c r="B5209" s="19" t="n">
        <x:v>10</x:v>
      </x:c>
      <x:c r="C5209" s="19" t="n">
        <x:v>5</x:v>
      </x:c>
      <x:c r="D5209" s="19" t="str">
        <x:v>C10-M060</x:v>
      </x:c>
      <x:c r="E5209" s="19" t="str">
        <x:v>永辉帷后的空王</x:v>
      </x:c>
      <x:c r="F5209" s="19" t="str">
        <x:v>地图BOSS</x:v>
      </x:c>
      <x:c r="G5209" s="19" t="str">
        <x:v>材料独立候选</x:v>
      </x:c>
      <x:c r="H5209" s="19" t="str">
        <x:v>王城金屑</x:v>
      </x:c>
      <x:c r="I5209" s="22" t="n">
        <x:v>800</x:v>
      </x:c>
      <x:c r="J5209" s="22" t="n">
        <x:v>30</x:v>
      </x:c>
      <x:c r="K5209" s="19" t="n">
        <x:v>1</x:v>
      </x:c>
      <x:c r="L5209" s="24" t="n">
        <x:v>105.61133333333333</x:v>
      </x:c>
      <x:c r="M5209" s="26" t="n">
        <x:v>0.1</x:v>
      </x:c>
      <x:c r="N5209" s="24" t="n">
        <x:v>2</x:v>
      </x:c>
      <x:c r="O5209" s="28" t="n">
        <x:f>MIN(1,L5209/I5209)</x:f>
        <x:v>0.13201416666666665</x:v>
      </x:c>
      <x:c r="P5209" s="30" t="n">
        <x:f>O5209*J5209*(1+M5209)</x:f>
        <x:v>4.3564675</x:v>
      </x:c>
      <x:c r="Q5209" s="30" t="n">
        <x:f>P5209*N5209</x:f>
        <x:v>8.712935</x:v>
      </x:c>
      <x:c r="R5209" s="19" t="str">
        <x:v>独立判定</x:v>
      </x:c>
    </x:row>
    <x:row r="5210" ht="19" customHeight="1">
      <x:c r="A5210" s="19" t="str">
        <x:v>D05206</x:v>
      </x:c>
      <x:c r="B5210" s="19" t="n">
        <x:v>10</x:v>
      </x:c>
      <x:c r="C5210" s="19" t="n">
        <x:v>5</x:v>
      </x:c>
      <x:c r="D5210" s="19" t="str">
        <x:v>C10-M060</x:v>
      </x:c>
      <x:c r="E5210" s="19" t="str">
        <x:v>永辉帷后的空王</x:v>
      </x:c>
      <x:c r="F5210" s="19" t="str">
        <x:v>地图BOSS</x:v>
      </x:c>
      <x:c r="G5210" s="19" t="str">
        <x:v>材料独立候选</x:v>
      </x:c>
      <x:c r="H5210" s="19" t="str">
        <x:v>王宫律文</x:v>
      </x:c>
      <x:c r="I5210" s="22" t="n">
        <x:v>500</x:v>
      </x:c>
      <x:c r="J5210" s="22" t="n">
        <x:v>1</x:v>
      </x:c>
      <x:c r="K5210" s="19" t="n">
        <x:v>1</x:v>
      </x:c>
      <x:c r="L5210" s="24" t="n">
        <x:v>105.61133333333333</x:v>
      </x:c>
      <x:c r="M5210" s="26" t="n">
        <x:v>0.1</x:v>
      </x:c>
      <x:c r="N5210" s="24" t="n">
        <x:v>2</x:v>
      </x:c>
      <x:c r="O5210" s="28" t="n">
        <x:f>MIN(1,L5210/I5210)</x:f>
        <x:v>0.21122266666666667</x:v>
      </x:c>
      <x:c r="P5210" s="30" t="n">
        <x:f>O5210*J5210*(1+M5210)</x:f>
        <x:v>0.23234493333333336</x:v>
      </x:c>
      <x:c r="Q5210" s="30" t="n">
        <x:f>P5210*N5210</x:f>
        <x:v>0.46468986666666673</x:v>
      </x:c>
      <x:c r="R5210" s="19" t="str">
        <x:v>独立判定</x:v>
      </x:c>
    </x:row>
    <x:row r="5211" ht="19" customHeight="1">
      <x:c r="A5211" s="19" t="str">
        <x:v>D05207</x:v>
      </x:c>
      <x:c r="B5211" s="19" t="n">
        <x:v>10</x:v>
      </x:c>
      <x:c r="C5211" s="19" t="n">
        <x:v>5</x:v>
      </x:c>
      <x:c r="D5211" s="19" t="str">
        <x:v>C10-M060</x:v>
      </x:c>
      <x:c r="E5211" s="19" t="str">
        <x:v>永辉帷后的空王</x:v>
      </x:c>
      <x:c r="F5211" s="19" t="str">
        <x:v>地图BOSS</x:v>
      </x:c>
      <x:c r="G5211" s="19" t="str">
        <x:v>材料独立候选</x:v>
      </x:c>
      <x:c r="H5211" s="19" t="str">
        <x:v>艾尔登王印</x:v>
      </x:c>
      <x:c r="I5211" s="22" t="n">
        <x:v>500</x:v>
      </x:c>
      <x:c r="J5211" s="22" t="n">
        <x:v>10</x:v>
      </x:c>
      <x:c r="K5211" s="19" t="n">
        <x:v>1</x:v>
      </x:c>
      <x:c r="L5211" s="24" t="n">
        <x:v>105.61133333333333</x:v>
      </x:c>
      <x:c r="M5211" s="26" t="n">
        <x:v>0.1</x:v>
      </x:c>
      <x:c r="N5211" s="24" t="n">
        <x:v>2</x:v>
      </x:c>
      <x:c r="O5211" s="28" t="n">
        <x:f>MIN(1,L5211/I5211)</x:f>
        <x:v>0.21122266666666667</x:v>
      </x:c>
      <x:c r="P5211" s="30" t="n">
        <x:f>O5211*J5211*(1+M5211)</x:f>
        <x:v>2.3234493333333335</x:v>
      </x:c>
      <x:c r="Q5211" s="30" t="n">
        <x:f>P5211*N5211</x:f>
        <x:v>4.646898666666667</x:v>
      </x:c>
      <x:c r="R5211" s="19" t="str">
        <x:v>独立判定</x:v>
      </x:c>
    </x:row>
    <x:row r="5212" ht="19" customHeight="1">
      <x:c r="A5212" s="19" t="str">
        <x:v>D05208</x:v>
      </x:c>
      <x:c r="B5212" s="19" t="n">
        <x:v>10</x:v>
      </x:c>
      <x:c r="C5212" s="19" t="n">
        <x:v>5</x:v>
      </x:c>
      <x:c r="D5212" s="19" t="str">
        <x:v>C10-M060</x:v>
      </x:c>
      <x:c r="E5212" s="19" t="str">
        <x:v>永辉帷后的空王</x:v>
      </x:c>
      <x:c r="F5212" s="19" t="str">
        <x:v>地图BOSS</x:v>
      </x:c>
      <x:c r="G5212" s="19" t="str">
        <x:v>材料独立候选</x:v>
      </x:c>
      <x:c r="H5212" s="19" t="str">
        <x:v>失温熔炉楔</x:v>
      </x:c>
      <x:c r="I5212" s="22" t="n">
        <x:v>500</x:v>
      </x:c>
      <x:c r="J5212" s="22" t="n">
        <x:v>4</x:v>
      </x:c>
      <x:c r="K5212" s="19" t="n">
        <x:v>1</x:v>
      </x:c>
      <x:c r="L5212" s="24" t="n">
        <x:v>105.61133333333333</x:v>
      </x:c>
      <x:c r="M5212" s="26" t="n">
        <x:v>0.1</x:v>
      </x:c>
      <x:c r="N5212" s="24" t="n">
        <x:v>2</x:v>
      </x:c>
      <x:c r="O5212" s="28" t="n">
        <x:f>MIN(1,L5212/I5212)</x:f>
        <x:v>0.21122266666666667</x:v>
      </x:c>
      <x:c r="P5212" s="30" t="n">
        <x:f>O5212*J5212*(1+M5212)</x:f>
        <x:v>0.9293797333333335</x:v>
      </x:c>
      <x:c r="Q5212" s="30" t="n">
        <x:f>P5212*N5212</x:f>
        <x:v>1.858759466666667</x:v>
      </x:c>
      <x:c r="R5212" s="19" t="str">
        <x:v>独立判定</x:v>
      </x:c>
    </x:row>
    <x:row r="5213" ht="19" customHeight="1">
      <x:c r="A5213" s="19" t="str">
        <x:v>D05209</x:v>
      </x:c>
      <x:c r="B5213" s="19" t="n">
        <x:v>10</x:v>
      </x:c>
      <x:c r="C5213" s="19" t="n">
        <x:v>5</x:v>
      </x:c>
      <x:c r="D5213" s="19" t="str">
        <x:v>C10-M060</x:v>
      </x:c>
      <x:c r="E5213" s="19" t="str">
        <x:v>永辉帷后的空王</x:v>
      </x:c>
      <x:c r="F5213" s="19" t="str">
        <x:v>地图BOSS</x:v>
      </x:c>
      <x:c r="G5213" s="19" t="str">
        <x:v>材料独立候选</x:v>
      </x:c>
      <x:c r="H5213" s="19" t="str">
        <x:v>穹律鎏痕拓片</x:v>
      </x:c>
      <x:c r="I5213" s="22" t="n">
        <x:v>1500000</x:v>
      </x:c>
      <x:c r="J5213" s="22" t="n">
        <x:v>1</x:v>
      </x:c>
      <x:c r="K5213" s="19" t="n">
        <x:v>1</x:v>
      </x:c>
      <x:c r="L5213" s="24" t="n">
        <x:v>105.61133333333333</x:v>
      </x:c>
      <x:c r="M5213" s="26" t="n">
        <x:v>0.1</x:v>
      </x:c>
      <x:c r="N5213" s="24" t="n">
        <x:v>2</x:v>
      </x:c>
      <x:c r="O5213" s="28" t="n">
        <x:f>MIN(1,L5213/I5213)</x:f>
        <x:v>0.00007040755555555556</x:v>
      </x:c>
      <x:c r="P5213" s="30" t="n">
        <x:f>O5213*J5213*(1+M5213)</x:f>
        <x:v>0.00007744831111111112</x:v>
      </x:c>
      <x:c r="Q5213" s="30" t="n">
        <x:f>P5213*N5213</x:f>
        <x:v>0.00015489662222222225</x:v>
      </x:c>
      <x:c r="R5213" s="19" t="str">
        <x:v>独立判定</x:v>
      </x:c>
    </x:row>
    <x:row r="5214" ht="19" customHeight="1">
      <x:c r="A5214" s="19" t="str">
        <x:v>D05210</x:v>
      </x:c>
      <x:c r="B5214" s="19" t="n">
        <x:v>10</x:v>
      </x:c>
      <x:c r="C5214" s="19" t="n">
        <x:v>5</x:v>
      </x:c>
      <x:c r="D5214" s="19" t="str">
        <x:v>C10-M060</x:v>
      </x:c>
      <x:c r="E5214" s="19" t="str">
        <x:v>永辉帷后的空王</x:v>
      </x:c>
      <x:c r="F5214" s="19" t="str">
        <x:v>地图BOSS</x:v>
      </x:c>
      <x:c r="G5214" s="19" t="str">
        <x:v>材料独立候选</x:v>
      </x:c>
      <x:c r="H5214" s="19" t="str">
        <x:v>黄金树芽</x:v>
      </x:c>
      <x:c r="I5214" s="22" t="n">
        <x:v>1800</x:v>
      </x:c>
      <x:c r="J5214" s="22" t="n">
        <x:v>1</x:v>
      </x:c>
      <x:c r="K5214" s="19" t="n">
        <x:v>1</x:v>
      </x:c>
      <x:c r="L5214" s="24" t="n">
        <x:v>105.61133333333333</x:v>
      </x:c>
      <x:c r="M5214" s="26" t="n">
        <x:v>0.1</x:v>
      </x:c>
      <x:c r="N5214" s="24" t="n">
        <x:v>2</x:v>
      </x:c>
      <x:c r="O5214" s="28" t="n">
        <x:f>MIN(1,L5214/I5214)</x:f>
        <x:v>0.05867296296296296</x:v>
      </x:c>
      <x:c r="P5214" s="30" t="n">
        <x:f>O5214*J5214*(1+M5214)</x:f>
        <x:v>0.06454025925925927</x:v>
      </x:c>
      <x:c r="Q5214" s="30" t="n">
        <x:f>P5214*N5214</x:f>
        <x:v>0.12908051851851854</x:v>
      </x:c>
      <x:c r="R5214" s="19" t="str">
        <x:v>独立判定</x:v>
      </x:c>
    </x:row>
    <x:row r="5215" ht="19" customHeight="1">
      <x:c r="A5215" s="19" t="str">
        <x:v>D05211</x:v>
      </x:c>
      <x:c r="B5215" s="19" t="n">
        <x:v>10</x:v>
      </x:c>
      <x:c r="C5215" s="19" t="n">
        <x:v>5</x:v>
      </x:c>
      <x:c r="D5215" s="19" t="str">
        <x:v>C10-M060</x:v>
      </x:c>
      <x:c r="E5215" s="19" t="str">
        <x:v>永辉帷后的空王</x:v>
      </x:c>
      <x:c r="F5215" s="19" t="str">
        <x:v>地图BOSS</x:v>
      </x:c>
      <x:c r="G5215" s="19" t="str">
        <x:v>材料独立候选</x:v>
      </x:c>
      <x:c r="H5215" s="19" t="str">
        <x:v>野兽骨片</x:v>
      </x:c>
      <x:c r="I5215" s="22" t="n">
        <x:v>200</x:v>
      </x:c>
      <x:c r="J5215" s="22" t="n">
        <x:v>4</x:v>
      </x:c>
      <x:c r="K5215" s="19" t="n">
        <x:v>1</x:v>
      </x:c>
      <x:c r="L5215" s="24" t="n">
        <x:v>105.61133333333333</x:v>
      </x:c>
      <x:c r="M5215" s="26" t="n">
        <x:v>0.1</x:v>
      </x:c>
      <x:c r="N5215" s="24" t="n">
        <x:v>2</x:v>
      </x:c>
      <x:c r="O5215" s="28" t="n">
        <x:f>MIN(1,L5215/I5215)</x:f>
        <x:v>0.5280566666666666</x:v>
      </x:c>
      <x:c r="P5215" s="30" t="n">
        <x:f>O5215*J5215*(1+M5215)</x:f>
        <x:v>2.3234493333333335</x:v>
      </x:c>
      <x:c r="Q5215" s="30" t="n">
        <x:f>P5215*N5215</x:f>
        <x:v>4.646898666666667</x:v>
      </x:c>
      <x:c r="R5215" s="19" t="str">
        <x:v>独立判定</x:v>
      </x:c>
    </x:row>
    <x:row r="5216" ht="19" customHeight="1">
      <x:c r="A5216" s="19" t="str">
        <x:v>D05212</x:v>
      </x:c>
      <x:c r="B5216" s="19" t="n">
        <x:v>10</x:v>
      </x:c>
      <x:c r="C5216" s="19" t="n">
        <x:v>5</x:v>
      </x:c>
      <x:c r="D5216" s="19" t="str">
        <x:v>C10-M060</x:v>
      </x:c>
      <x:c r="E5216" s="19" t="str">
        <x:v>永辉帷后的空王</x:v>
      </x:c>
      <x:c r="F5216" s="19" t="str">
        <x:v>地图BOSS</x:v>
      </x:c>
      <x:c r="G5216" s="19" t="str">
        <x:v>材料独立候选</x:v>
      </x:c>
      <x:c r="H5216" s="19" t="str">
        <x:v>技能残页</x:v>
      </x:c>
      <x:c r="I5216" s="22" t="n">
        <x:v>1800</x:v>
      </x:c>
      <x:c r="J5216" s="22" t="n">
        <x:v>1</x:v>
      </x:c>
      <x:c r="K5216" s="19" t="n">
        <x:v>1</x:v>
      </x:c>
      <x:c r="L5216" s="24" t="n">
        <x:v>105.61133333333333</x:v>
      </x:c>
      <x:c r="M5216" s="26" t="n">
        <x:v>0.1</x:v>
      </x:c>
      <x:c r="N5216" s="24" t="n">
        <x:v>2</x:v>
      </x:c>
      <x:c r="O5216" s="28" t="n">
        <x:f>MIN(1,L5216/I5216)</x:f>
        <x:v>0.05867296296296296</x:v>
      </x:c>
      <x:c r="P5216" s="30" t="n">
        <x:f>O5216*J5216*(1+M5216)</x:f>
        <x:v>0.06454025925925927</x:v>
      </x:c>
      <x:c r="Q5216" s="30" t="n">
        <x:f>P5216*N5216</x:f>
        <x:v>0.12908051851851854</x:v>
      </x:c>
      <x:c r="R5216" s="19" t="str">
        <x:v>独立判定</x:v>
      </x:c>
    </x:row>
    <x:row r="5217" ht="19" customHeight="1">
      <x:c r="A5217" s="19" t="str">
        <x:v>D05213</x:v>
      </x:c>
      <x:c r="B5217" s="19" t="n">
        <x:v>10</x:v>
      </x:c>
      <x:c r="C5217" s="19" t="n">
        <x:v>5</x:v>
      </x:c>
      <x:c r="D5217" s="19" t="str">
        <x:v>C10-M060</x:v>
      </x:c>
      <x:c r="E5217" s="19" t="str">
        <x:v>永辉帷后的空王</x:v>
      </x:c>
      <x:c r="F5217" s="19" t="str">
        <x:v>地图BOSS</x:v>
      </x:c>
      <x:c r="G5217" s="19" t="str">
        <x:v>材料独立候选</x:v>
      </x:c>
      <x:c r="H5217" s="19" t="str">
        <x:v>宁姆格福誓页</x:v>
      </x:c>
      <x:c r="I5217" s="22" t="n">
        <x:v>1200</x:v>
      </x:c>
      <x:c r="J5217" s="22" t="n">
        <x:v>1</x:v>
      </x:c>
      <x:c r="K5217" s="19" t="n">
        <x:v>1</x:v>
      </x:c>
      <x:c r="L5217" s="24" t="n">
        <x:v>105.61133333333333</x:v>
      </x:c>
      <x:c r="M5217" s="26" t="n">
        <x:v>0.1</x:v>
      </x:c>
      <x:c r="N5217" s="24" t="n">
        <x:v>2</x:v>
      </x:c>
      <x:c r="O5217" s="28" t="n">
        <x:f>MIN(1,L5217/I5217)</x:f>
        <x:v>0.08800944444444445</x:v>
      </x:c>
      <x:c r="P5217" s="30" t="n">
        <x:f>O5217*J5217*(1+M5217)</x:f>
        <x:v>0.0968103888888889</x:v>
      </x:c>
      <x:c r="Q5217" s="30" t="n">
        <x:f>P5217*N5217</x:f>
        <x:v>0.1936207777777778</x:v>
      </x:c>
      <x:c r="R5217" s="19" t="str">
        <x:v>独立判定</x:v>
      </x:c>
    </x:row>
    <x:row r="5218" ht="19" customHeight="1">
      <x:c r="A5218" s="19" t="str">
        <x:v>D05214</x:v>
      </x:c>
      <x:c r="B5218" s="19" t="n">
        <x:v>10</x:v>
      </x:c>
      <x:c r="C5218" s="19" t="n">
        <x:v>5</x:v>
      </x:c>
      <x:c r="D5218" s="19" t="str">
        <x:v>C10-M060</x:v>
      </x:c>
      <x:c r="E5218" s="19" t="str">
        <x:v>永辉帷后的空王</x:v>
      </x:c>
      <x:c r="F5218" s="19" t="str">
        <x:v>地图BOSS</x:v>
      </x:c>
      <x:c r="G5218" s="19" t="str">
        <x:v>材料独立候选</x:v>
      </x:c>
      <x:c r="H5218" s="19" t="str">
        <x:v>小卢恩</x:v>
      </x:c>
      <x:c r="I5218" s="22" t="n">
        <x:v>10000</x:v>
      </x:c>
      <x:c r="J5218" s="22" t="n">
        <x:v>1</x:v>
      </x:c>
      <x:c r="K5218" s="19" t="n">
        <x:v>1</x:v>
      </x:c>
      <x:c r="L5218" s="24" t="n">
        <x:v>105.61133333333333</x:v>
      </x:c>
      <x:c r="M5218" s="26" t="n">
        <x:v>0.1</x:v>
      </x:c>
      <x:c r="N5218" s="24" t="n">
        <x:v>2</x:v>
      </x:c>
      <x:c r="O5218" s="28" t="n">
        <x:f>MIN(1,L5218/I5218)</x:f>
        <x:v>0.010561133333333333</x:v>
      </x:c>
      <x:c r="P5218" s="30" t="n">
        <x:f>O5218*J5218*(1+M5218)</x:f>
        <x:v>0.011617246666666668</x:v>
      </x:c>
      <x:c r="Q5218" s="30" t="n">
        <x:f>P5218*N5218</x:f>
        <x:v>0.023234493333333335</x:v>
      </x:c>
      <x:c r="R5218" s="19" t="str">
        <x:v>独立判定</x:v>
      </x:c>
    </x:row>
    <x:row r="5219" ht="19" customHeight="1">
      <x:c r="A5219" s="19" t="str">
        <x:v>D05215</x:v>
      </x:c>
      <x:c r="B5219" s="19" t="n">
        <x:v>10</x:v>
      </x:c>
      <x:c r="C5219" s="19" t="n">
        <x:v>5</x:v>
      </x:c>
      <x:c r="D5219" s="19" t="str">
        <x:v>C10-M060</x:v>
      </x:c>
      <x:c r="E5219" s="19" t="str">
        <x:v>永辉帷后的空王</x:v>
      </x:c>
      <x:c r="F5219" s="19" t="str">
        <x:v>地图BOSS</x:v>
      </x:c>
      <x:c r="G5219" s="19" t="str">
        <x:v>材料独立候选</x:v>
      </x:c>
      <x:c r="H5219" s="19" t="str">
        <x:v>大卢恩</x:v>
      </x:c>
      <x:c r="I5219" s="22" t="n">
        <x:v>1000</x:v>
      </x:c>
      <x:c r="J5219" s="22" t="n">
        <x:v>1</x:v>
      </x:c>
      <x:c r="K5219" s="19" t="n">
        <x:v>1</x:v>
      </x:c>
      <x:c r="L5219" s="24" t="n">
        <x:v>105.61133333333333</x:v>
      </x:c>
      <x:c r="M5219" s="26" t="n">
        <x:v>0.1</x:v>
      </x:c>
      <x:c r="N5219" s="24" t="n">
        <x:v>2</x:v>
      </x:c>
      <x:c r="O5219" s="28" t="n">
        <x:f>MIN(1,L5219/I5219)</x:f>
        <x:v>0.10561133333333333</x:v>
      </x:c>
      <x:c r="P5219" s="30" t="n">
        <x:f>O5219*J5219*(1+M5219)</x:f>
        <x:v>0.11617246666666668</x:v>
      </x:c>
      <x:c r="Q5219" s="30" t="n">
        <x:f>P5219*N5219</x:f>
        <x:v>0.23234493333333336</x:v>
      </x:c>
      <x:c r="R5219" s="19" t="str">
        <x:v>独立判定</x:v>
      </x:c>
    </x:row>
    <x:row r="5220" ht="19" customHeight="1">
      <x:c r="A5220" s="19" t="str">
        <x:v>D05216</x:v>
      </x:c>
      <x:c r="B5220" s="19" t="n">
        <x:v>10</x:v>
      </x:c>
      <x:c r="C5220" s="19" t="n">
        <x:v>5</x:v>
      </x:c>
      <x:c r="D5220" s="19" t="str">
        <x:v>C10-M060</x:v>
      </x:c>
      <x:c r="E5220" s="19" t="str">
        <x:v>永辉帷后的空王</x:v>
      </x:c>
      <x:c r="F5220" s="19" t="str">
        <x:v>地图BOSS</x:v>
      </x:c>
      <x:c r="G5220" s="19" t="str">
        <x:v>材料独立候选</x:v>
      </x:c>
      <x:c r="H5220" s="19" t="str">
        <x:v>巨人熔火卢恩</x:v>
      </x:c>
      <x:c r="I5220" s="22" t="n">
        <x:v>1200</x:v>
      </x:c>
      <x:c r="J5220" s="22" t="n">
        <x:v>1</x:v>
      </x:c>
      <x:c r="K5220" s="19" t="n">
        <x:v>1</x:v>
      </x:c>
      <x:c r="L5220" s="24" t="n">
        <x:v>105.61133333333333</x:v>
      </x:c>
      <x:c r="M5220" s="26" t="n">
        <x:v>0.1</x:v>
      </x:c>
      <x:c r="N5220" s="24" t="n">
        <x:v>2</x:v>
      </x:c>
      <x:c r="O5220" s="28" t="n">
        <x:f>MIN(1,L5220/I5220)</x:f>
        <x:v>0.08800944444444445</x:v>
      </x:c>
      <x:c r="P5220" s="30" t="n">
        <x:f>O5220*J5220*(1+M5220)</x:f>
        <x:v>0.0968103888888889</x:v>
      </x:c>
      <x:c r="Q5220" s="30" t="n">
        <x:f>P5220*N5220</x:f>
        <x:v>0.1936207777777778</x:v>
      </x:c>
      <x:c r="R5220" s="19" t="str">
        <x:v>独立判定</x:v>
      </x:c>
    </x:row>
    <x:row r="5221" ht="19" customHeight="1">
      <x:c r="A5221" s="19" t="str">
        <x:v>D05217</x:v>
      </x:c>
      <x:c r="B5221" s="19" t="n">
        <x:v>10</x:v>
      </x:c>
      <x:c r="C5221" s="19" t="n">
        <x:v>5</x:v>
      </x:c>
      <x:c r="D5221" s="19" t="str">
        <x:v>C10-M060</x:v>
      </x:c>
      <x:c r="E5221" s="19" t="str">
        <x:v>永辉帷后的空王</x:v>
      </x:c>
      <x:c r="F5221" s="19" t="str">
        <x:v>地图BOSS</x:v>
      </x:c>
      <x:c r="G5221" s="19" t="str">
        <x:v>材料独立候选</x:v>
      </x:c>
      <x:c r="H5221" s="19" t="str">
        <x:v>黄金律法卢恩</x:v>
      </x:c>
      <x:c r="I5221" s="22" t="n">
        <x:v>400</x:v>
      </x:c>
      <x:c r="J5221" s="22" t="n">
        <x:v>15</x:v>
      </x:c>
      <x:c r="K5221" s="19" t="n">
        <x:v>1</x:v>
      </x:c>
      <x:c r="L5221" s="24" t="n">
        <x:v>105.61133333333333</x:v>
      </x:c>
      <x:c r="M5221" s="26" t="n">
        <x:v>0.1</x:v>
      </x:c>
      <x:c r="N5221" s="24" t="n">
        <x:v>2</x:v>
      </x:c>
      <x:c r="O5221" s="28" t="n">
        <x:f>MIN(1,L5221/I5221)</x:f>
        <x:v>0.2640283333333333</x:v>
      </x:c>
      <x:c r="P5221" s="30" t="n">
        <x:f>O5221*J5221*(1+M5221)</x:f>
        <x:v>4.3564675</x:v>
      </x:c>
      <x:c r="Q5221" s="30" t="n">
        <x:f>P5221*N5221</x:f>
        <x:v>8.712935</x:v>
      </x:c>
      <x:c r="R5221" s="19" t="str">
        <x:v>独立判定</x:v>
      </x:c>
    </x:row>
    <x:row r="5222" ht="19" customHeight="1">
      <x:c r="A5222" s="19" t="str">
        <x:v>D05218</x:v>
      </x:c>
      <x:c r="B5222" s="19" t="n">
        <x:v>10</x:v>
      </x:c>
      <x:c r="C5222" s="19" t="n">
        <x:v>5</x:v>
      </x:c>
      <x:c r="D5222" s="19" t="str">
        <x:v>C10-M060</x:v>
      </x:c>
      <x:c r="E5222" s="19" t="str">
        <x:v>永辉帷后的空王</x:v>
      </x:c>
      <x:c r="F5222" s="19" t="str">
        <x:v>地图BOSS</x:v>
      </x:c>
      <x:c r="G5222" s="19" t="str">
        <x:v>六神器公共池</x:v>
      </x:c>
      <x:c r="H5222" s="19" t="str">
        <x:v>POOL006</x:v>
      </x:c>
      <x:c r="I5222" s="22" t="n">
        <x:v>200000</x:v>
      </x:c>
      <x:c r="J5222" s="22" t="n">
        <x:v>1</x:v>
      </x:c>
      <x:c r="K5222" s="19" t="n">
        <x:v>6</x:v>
      </x:c>
      <x:c r="L5222" s="24" t="n">
        <x:v>105.61133333333333</x:v>
      </x:c>
      <x:c r="M5222" s="26" t="n">
        <x:v>0.1</x:v>
      </x:c>
      <x:c r="N5222" s="24" t="n">
        <x:v>2</x:v>
      </x:c>
      <x:c r="O5222" s="28" t="n">
        <x:f>MIN(1,L5222/I5222)</x:f>
        <x:v>0.0005280566666666667</x:v>
      </x:c>
      <x:c r="P5222" s="30" t="n">
        <x:f>O5222*J5222*(1+M5222)</x:f>
        <x:v>0.0005808623333333334</x:v>
      </x:c>
      <x:c r="Q5222" s="30" t="n">
        <x:f>P5222*N5222</x:f>
        <x:v>0.0011617246666666668</x:v>
      </x:c>
      <x:c r="R5222" s="19" t="str">
        <x:v>六选一；非6个独立爆率</x:v>
      </x:c>
    </x:row>
    <x:row r="5223" ht="19" customHeight="1">
      <x:c r="A5223" s="19" t="str">
        <x:v>D05219</x:v>
      </x:c>
      <x:c r="B5223" s="19" t="n">
        <x:v>10</x:v>
      </x:c>
      <x:c r="C5223" s="19" t="n">
        <x:v>5</x:v>
      </x:c>
      <x:c r="D5223" s="19" t="str">
        <x:v>C10-M061</x:v>
      </x:c>
      <x:c r="E5223" s="19" t="str">
        <x:v>万冠终审者·萨洛恩</x:v>
      </x:c>
      <x:c r="F5223" s="19" t="str">
        <x:v>守关BOSS</x:v>
      </x:c>
      <x:c r="G5223" s="19" t="str">
        <x:v>自身专属</x:v>
      </x:c>
      <x:c r="H5223" s="19" t="str">
        <x:v>万冠终律圣刃</x:v>
      </x:c>
      <x:c r="I5223" s="22" t="n">
        <x:v>400</x:v>
      </x:c>
      <x:c r="J5223" s="22" t="n">
        <x:v>1</x:v>
      </x:c>
      <x:c r="K5223" s="19" t="n">
        <x:v>1</x:v>
      </x:c>
      <x:c r="L5223" s="24" t="n">
        <x:v>105.61133333333333</x:v>
      </x:c>
      <x:c r="M5223" s="26" t="n">
        <x:v>0.1</x:v>
      </x:c>
      <x:c r="N5223" s="24" t="n">
        <x:v>0</x:v>
      </x:c>
      <x:c r="O5223" s="28" t="n">
        <x:f>MIN(1,L5223/I5223)</x:f>
        <x:v>0.2640283333333333</x:v>
      </x:c>
      <x:c r="P5223" s="30" t="n">
        <x:f>O5223*J5223*(1+M5223)</x:f>
        <x:v>0.2904311666666667</x:v>
      </x:c>
      <x:c r="Q5223" s="30" t="n">
        <x:f>P5223*N5223</x:f>
        <x:v>0</x:v>
      </x:c>
      <x:c r="R5223" s="19" t="str">
        <x:v>独立判定</x:v>
      </x:c>
    </x:row>
    <x:row r="5224" ht="19" customHeight="1">
      <x:c r="A5224" s="19" t="str">
        <x:v>D05220</x:v>
      </x:c>
      <x:c r="B5224" s="19" t="n">
        <x:v>10</x:v>
      </x:c>
      <x:c r="C5224" s="19" t="n">
        <x:v>5</x:v>
      </x:c>
      <x:c r="D5224" s="19" t="str">
        <x:v>C10-M061</x:v>
      </x:c>
      <x:c r="E5224" s="19" t="str">
        <x:v>万冠终审者·萨洛恩</x:v>
      </x:c>
      <x:c r="F5224" s="19" t="str">
        <x:v>守关BOSS</x:v>
      </x:c>
      <x:c r="G5224" s="19" t="str">
        <x:v>自身专属</x:v>
      </x:c>
      <x:c r="H5224" s="19" t="str">
        <x:v>无冕仪剑</x:v>
      </x:c>
      <x:c r="I5224" s="22" t="n">
        <x:v>400</x:v>
      </x:c>
      <x:c r="J5224" s="22" t="n">
        <x:v>1</x:v>
      </x:c>
      <x:c r="K5224" s="19" t="n">
        <x:v>1</x:v>
      </x:c>
      <x:c r="L5224" s="24" t="n">
        <x:v>105.61133333333333</x:v>
      </x:c>
      <x:c r="M5224" s="26" t="n">
        <x:v>0.1</x:v>
      </x:c>
      <x:c r="N5224" s="24" t="n">
        <x:v>0</x:v>
      </x:c>
      <x:c r="O5224" s="28" t="n">
        <x:f>MIN(1,L5224/I5224)</x:f>
        <x:v>0.2640283333333333</x:v>
      </x:c>
      <x:c r="P5224" s="30" t="n">
        <x:f>O5224*J5224*(1+M5224)</x:f>
        <x:v>0.2904311666666667</x:v>
      </x:c>
      <x:c r="Q5224" s="30" t="n">
        <x:f>P5224*N5224</x:f>
        <x:v>0</x:v>
      </x:c>
      <x:c r="R5224" s="19" t="str">
        <x:v>独立判定</x:v>
      </x:c>
    </x:row>
    <x:row r="5225" ht="19" customHeight="1">
      <x:c r="A5225" s="19" t="str">
        <x:v>D05221</x:v>
      </x:c>
      <x:c r="B5225" s="19" t="n">
        <x:v>10</x:v>
      </x:c>
      <x:c r="C5225" s="19" t="n">
        <x:v>5</x:v>
      </x:c>
      <x:c r="D5225" s="19" t="str">
        <x:v>C10-M061</x:v>
      </x:c>
      <x:c r="E5225" s="19" t="str">
        <x:v>万冠终审者·萨洛恩</x:v>
      </x:c>
      <x:c r="F5225" s="19" t="str">
        <x:v>守关BOSS</x:v>
      </x:c>
      <x:c r="G5225" s="19" t="str">
        <x:v>自身专属</x:v>
      </x:c>
      <x:c r="H5225" s="19" t="str">
        <x:v>余律圣衣</x:v>
      </x:c>
      <x:c r="I5225" s="22" t="n">
        <x:v>400</x:v>
      </x:c>
      <x:c r="J5225" s="22" t="n">
        <x:v>1</x:v>
      </x:c>
      <x:c r="K5225" s="19" t="n">
        <x:v>1</x:v>
      </x:c>
      <x:c r="L5225" s="24" t="n">
        <x:v>105.61133333333333</x:v>
      </x:c>
      <x:c r="M5225" s="26" t="n">
        <x:v>0.1</x:v>
      </x:c>
      <x:c r="N5225" s="24" t="n">
        <x:v>0</x:v>
      </x:c>
      <x:c r="O5225" s="28" t="n">
        <x:f>MIN(1,L5225/I5225)</x:f>
        <x:v>0.2640283333333333</x:v>
      </x:c>
      <x:c r="P5225" s="30" t="n">
        <x:f>O5225*J5225*(1+M5225)</x:f>
        <x:v>0.2904311666666667</x:v>
      </x:c>
      <x:c r="Q5225" s="30" t="n">
        <x:f>P5225*N5225</x:f>
        <x:v>0</x:v>
      </x:c>
      <x:c r="R5225" s="19" t="str">
        <x:v>独立判定</x:v>
      </x:c>
    </x:row>
    <x:row r="5226" ht="19" customHeight="1">
      <x:c r="A5226" s="19" t="str">
        <x:v>D05222</x:v>
      </x:c>
      <x:c r="B5226" s="19" t="n">
        <x:v>10</x:v>
      </x:c>
      <x:c r="C5226" s="19" t="n">
        <x:v>5</x:v>
      </x:c>
      <x:c r="D5226" s="19" t="str">
        <x:v>C10-M061</x:v>
      </x:c>
      <x:c r="E5226" s="19" t="str">
        <x:v>万冠终审者·萨洛恩</x:v>
      </x:c>
      <x:c r="F5226" s="19" t="str">
        <x:v>守关BOSS</x:v>
      </x:c>
      <x:c r="G5226" s="19" t="str">
        <x:v>本图普通兼掉候选</x:v>
      </x:c>
      <x:c r="H5226" s="19" t="str">
        <x:v>POOL087</x:v>
      </x:c>
      <x:c r="I5226" s="22" t="n">
        <x:v>250</x:v>
      </x:c>
      <x:c r="J5226" s="22" t="n">
        <x:v>1</x:v>
      </x:c>
      <x:c r="K5226" s="19" t="n">
        <x:v>1</x:v>
      </x:c>
      <x:c r="L5226" s="24" t="n">
        <x:v>105.61133333333333</x:v>
      </x:c>
      <x:c r="M5226" s="26" t="n">
        <x:v>0.1</x:v>
      </x:c>
      <x:c r="N5226" s="24" t="n">
        <x:v>0</x:v>
      </x:c>
      <x:c r="O5226" s="28" t="n">
        <x:f>MIN(1,L5226/I5226)</x:f>
        <x:v>0.42244533333333334</x:v>
      </x:c>
      <x:c r="P5226" s="30" t="n">
        <x:f>O5226*J5226*(1+M5226)</x:f>
        <x:v>0.46468986666666673</x:v>
      </x:c>
      <x:c r="Q5226" s="30" t="n">
        <x:f>P5226*N5226</x:f>
        <x:v>0</x:v>
      </x:c>
      <x:c r="R5226" s="19" t="str">
        <x:v>单池选一</x:v>
      </x:c>
    </x:row>
    <x:row r="5227" ht="19" customHeight="1">
      <x:c r="A5227" s="19" t="str">
        <x:v>D05223</x:v>
      </x:c>
      <x:c r="B5227" s="19" t="n">
        <x:v>10</x:v>
      </x:c>
      <x:c r="C5227" s="19" t="n">
        <x:v>5</x:v>
      </x:c>
      <x:c r="D5227" s="19" t="str">
        <x:v>C10-M061</x:v>
      </x:c>
      <x:c r="E5227" s="19" t="str">
        <x:v>万冠终审者·萨洛恩</x:v>
      </x:c>
      <x:c r="F5227" s="19" t="str">
        <x:v>守关BOSS</x:v>
      </x:c>
      <x:c r="G5227" s="19" t="str">
        <x:v>材料独立候选</x:v>
      </x:c>
      <x:c r="H5227" s="19" t="str">
        <x:v>王城金屑</x:v>
      </x:c>
      <x:c r="I5227" s="22" t="n">
        <x:v>1</x:v>
      </x:c>
      <x:c r="J5227" s="22" t="n">
        <x:v>40</x:v>
      </x:c>
      <x:c r="K5227" s="19" t="n">
        <x:v>1</x:v>
      </x:c>
      <x:c r="L5227" s="24" t="n">
        <x:v>105.61133333333333</x:v>
      </x:c>
      <x:c r="M5227" s="26" t="n">
        <x:v>0.1</x:v>
      </x:c>
      <x:c r="N5227" s="24" t="n">
        <x:v>0</x:v>
      </x:c>
      <x:c r="O5227" s="28" t="n">
        <x:f>MIN(1,L5227/I5227)</x:f>
        <x:v>1</x:v>
      </x:c>
      <x:c r="P5227" s="30" t="n">
        <x:f>O5227*J5227*(1+M5227)</x:f>
        <x:v>44</x:v>
      </x:c>
      <x:c r="Q5227" s="30" t="n">
        <x:f>P5227*N5227</x:f>
        <x:v>0</x:v>
      </x:c>
      <x:c r="R5227" s="19" t="str">
        <x:v>独立判定</x:v>
      </x:c>
    </x:row>
    <x:row r="5228" ht="19" customHeight="1">
      <x:c r="A5228" s="19" t="str">
        <x:v>D05224</x:v>
      </x:c>
      <x:c r="B5228" s="19" t="n">
        <x:v>10</x:v>
      </x:c>
      <x:c r="C5228" s="19" t="n">
        <x:v>5</x:v>
      </x:c>
      <x:c r="D5228" s="19" t="str">
        <x:v>C10-M061</x:v>
      </x:c>
      <x:c r="E5228" s="19" t="str">
        <x:v>万冠终审者·萨洛恩</x:v>
      </x:c>
      <x:c r="F5228" s="19" t="str">
        <x:v>守关BOSS</x:v>
      </x:c>
      <x:c r="G5228" s="19" t="str">
        <x:v>材料独立候选</x:v>
      </x:c>
      <x:c r="H5228" s="19" t="str">
        <x:v>王宫律文</x:v>
      </x:c>
      <x:c r="I5228" s="22" t="n">
        <x:v>1</x:v>
      </x:c>
      <x:c r="J5228" s="22" t="n">
        <x:v>1</x:v>
      </x:c>
      <x:c r="K5228" s="19" t="n">
        <x:v>1</x:v>
      </x:c>
      <x:c r="L5228" s="24" t="n">
        <x:v>105.61133333333333</x:v>
      </x:c>
      <x:c r="M5228" s="26" t="n">
        <x:v>0.1</x:v>
      </x:c>
      <x:c r="N5228" s="24" t="n">
        <x:v>0</x:v>
      </x:c>
      <x:c r="O5228" s="28" t="n">
        <x:f>MIN(1,L5228/I5228)</x:f>
        <x:v>1</x:v>
      </x:c>
      <x:c r="P5228" s="30" t="n">
        <x:f>O5228*J5228*(1+M5228)</x:f>
        <x:v>1.1</x:v>
      </x:c>
      <x:c r="Q5228" s="30" t="n">
        <x:f>P5228*N5228</x:f>
        <x:v>0</x:v>
      </x:c>
      <x:c r="R5228" s="19" t="str">
        <x:v>独立判定</x:v>
      </x:c>
    </x:row>
    <x:row r="5229" ht="19" customHeight="1">
      <x:c r="A5229" s="19" t="str">
        <x:v>D05225</x:v>
      </x:c>
      <x:c r="B5229" s="19" t="n">
        <x:v>10</x:v>
      </x:c>
      <x:c r="C5229" s="19" t="n">
        <x:v>5</x:v>
      </x:c>
      <x:c r="D5229" s="19" t="str">
        <x:v>C10-M061</x:v>
      </x:c>
      <x:c r="E5229" s="19" t="str">
        <x:v>万冠终审者·萨洛恩</x:v>
      </x:c>
      <x:c r="F5229" s="19" t="str">
        <x:v>守关BOSS</x:v>
      </x:c>
      <x:c r="G5229" s="19" t="str">
        <x:v>材料独立候选</x:v>
      </x:c>
      <x:c r="H5229" s="19" t="str">
        <x:v>艾尔登王印</x:v>
      </x:c>
      <x:c r="I5229" s="22" t="n">
        <x:v>1</x:v>
      </x:c>
      <x:c r="J5229" s="22" t="n">
        <x:v>1</x:v>
      </x:c>
      <x:c r="K5229" s="19" t="n">
        <x:v>1</x:v>
      </x:c>
      <x:c r="L5229" s="24" t="n">
        <x:v>105.61133333333333</x:v>
      </x:c>
      <x:c r="M5229" s="26" t="n">
        <x:v>0.1</x:v>
      </x:c>
      <x:c r="N5229" s="24" t="n">
        <x:v>0</x:v>
      </x:c>
      <x:c r="O5229" s="28" t="n">
        <x:f>MIN(1,L5229/I5229)</x:f>
        <x:v>1</x:v>
      </x:c>
      <x:c r="P5229" s="30" t="n">
        <x:f>O5229*J5229*(1+M5229)</x:f>
        <x:v>1.1</x:v>
      </x:c>
      <x:c r="Q5229" s="30" t="n">
        <x:f>P5229*N5229</x:f>
        <x:v>0</x:v>
      </x:c>
      <x:c r="R5229" s="19" t="str">
        <x:v>独立判定</x:v>
      </x:c>
    </x:row>
    <x:row r="5230" ht="19" customHeight="1">
      <x:c r="A5230" s="19" t="str">
        <x:v>D05226</x:v>
      </x:c>
      <x:c r="B5230" s="19" t="n">
        <x:v>10</x:v>
      </x:c>
      <x:c r="C5230" s="19" t="n">
        <x:v>5</x:v>
      </x:c>
      <x:c r="D5230" s="19" t="str">
        <x:v>C10-M061</x:v>
      </x:c>
      <x:c r="E5230" s="19" t="str">
        <x:v>万冠终审者·萨洛恩</x:v>
      </x:c>
      <x:c r="F5230" s="19" t="str">
        <x:v>守关BOSS</x:v>
      </x:c>
      <x:c r="G5230" s="19" t="str">
        <x:v>材料独立候选</x:v>
      </x:c>
      <x:c r="H5230" s="19" t="str">
        <x:v>王宫断冠片</x:v>
      </x:c>
      <x:c r="I5230" s="22" t="n">
        <x:v>1</x:v>
      </x:c>
      <x:c r="J5230" s="22" t="n">
        <x:v>1</x:v>
      </x:c>
      <x:c r="K5230" s="19" t="n">
        <x:v>1</x:v>
      </x:c>
      <x:c r="L5230" s="24" t="n">
        <x:v>105.61133333333333</x:v>
      </x:c>
      <x:c r="M5230" s="26" t="n">
        <x:v>0.1</x:v>
      </x:c>
      <x:c r="N5230" s="24" t="n">
        <x:v>0</x:v>
      </x:c>
      <x:c r="O5230" s="28" t="n">
        <x:f>MIN(1,L5230/I5230)</x:f>
        <x:v>1</x:v>
      </x:c>
      <x:c r="P5230" s="30" t="n">
        <x:f>O5230*J5230*(1+M5230)</x:f>
        <x:v>1.1</x:v>
      </x:c>
      <x:c r="Q5230" s="30" t="n">
        <x:f>P5230*N5230</x:f>
        <x:v>0</x:v>
      </x:c>
      <x:c r="R5230" s="19" t="str">
        <x:v>独立判定</x:v>
      </x:c>
    </x:row>
    <x:row r="5231" ht="19" customHeight="1">
      <x:c r="A5231" s="19" t="str">
        <x:v>D05227</x:v>
      </x:c>
      <x:c r="B5231" s="19" t="n">
        <x:v>10</x:v>
      </x:c>
      <x:c r="C5231" s="19" t="n">
        <x:v>5</x:v>
      </x:c>
      <x:c r="D5231" s="19" t="str">
        <x:v>C10-M061</x:v>
      </x:c>
      <x:c r="E5231" s="19" t="str">
        <x:v>万冠终审者·萨洛恩</x:v>
      </x:c>
      <x:c r="F5231" s="19" t="str">
        <x:v>守关BOSS</x:v>
      </x:c>
      <x:c r="G5231" s="19" t="str">
        <x:v>材料独立候选</x:v>
      </x:c>
      <x:c r="H5231" s="19" t="str">
        <x:v>穹律鎏痕拓片</x:v>
      </x:c>
      <x:c r="I5231" s="22" t="n">
        <x:v>25000</x:v>
      </x:c>
      <x:c r="J5231" s="22" t="n">
        <x:v>1</x:v>
      </x:c>
      <x:c r="K5231" s="19" t="n">
        <x:v>1</x:v>
      </x:c>
      <x:c r="L5231" s="24" t="n">
        <x:v>105.61133333333333</x:v>
      </x:c>
      <x:c r="M5231" s="26" t="n">
        <x:v>0.1</x:v>
      </x:c>
      <x:c r="N5231" s="24" t="n">
        <x:v>0</x:v>
      </x:c>
      <x:c r="O5231" s="28" t="n">
        <x:f>MIN(1,L5231/I5231)</x:f>
        <x:v>0.004224453333333334</x:v>
      </x:c>
      <x:c r="P5231" s="30" t="n">
        <x:f>O5231*J5231*(1+M5231)</x:f>
        <x:v>0.004646898666666667</x:v>
      </x:c>
      <x:c r="Q5231" s="30" t="n">
        <x:f>P5231*N5231</x:f>
        <x:v>0</x:v>
      </x:c>
      <x:c r="R5231" s="19" t="str">
        <x:v>独立判定</x:v>
      </x:c>
    </x:row>
    <x:row r="5232" ht="19" customHeight="1">
      <x:c r="A5232" s="19" t="str">
        <x:v>D05228</x:v>
      </x:c>
      <x:c r="B5232" s="19" t="n">
        <x:v>10</x:v>
      </x:c>
      <x:c r="C5232" s="19" t="n">
        <x:v>5</x:v>
      </x:c>
      <x:c r="D5232" s="19" t="str">
        <x:v>C10-M061</x:v>
      </x:c>
      <x:c r="E5232" s="19" t="str">
        <x:v>万冠终审者·萨洛恩</x:v>
      </x:c>
      <x:c r="F5232" s="19" t="str">
        <x:v>守关BOSS</x:v>
      </x:c>
      <x:c r="G5232" s="19" t="str">
        <x:v>材料独立候选</x:v>
      </x:c>
      <x:c r="H5232" s="19" t="str">
        <x:v>黄金树芽</x:v>
      </x:c>
      <x:c r="I5232" s="22" t="n">
        <x:v>1</x:v>
      </x:c>
      <x:c r="J5232" s="22" t="n">
        <x:v>1</x:v>
      </x:c>
      <x:c r="K5232" s="19" t="n">
        <x:v>1</x:v>
      </x:c>
      <x:c r="L5232" s="24" t="n">
        <x:v>105.61133333333333</x:v>
      </x:c>
      <x:c r="M5232" s="26" t="n">
        <x:v>0.1</x:v>
      </x:c>
      <x:c r="N5232" s="24" t="n">
        <x:v>0</x:v>
      </x:c>
      <x:c r="O5232" s="28" t="n">
        <x:f>MIN(1,L5232/I5232)</x:f>
        <x:v>1</x:v>
      </x:c>
      <x:c r="P5232" s="30" t="n">
        <x:f>O5232*J5232*(1+M5232)</x:f>
        <x:v>1.1</x:v>
      </x:c>
      <x:c r="Q5232" s="30" t="n">
        <x:f>P5232*N5232</x:f>
        <x:v>0</x:v>
      </x:c>
      <x:c r="R5232" s="19" t="str">
        <x:v>独立判定</x:v>
      </x:c>
    </x:row>
    <x:row r="5233" ht="19" customHeight="1">
      <x:c r="A5233" s="19" t="str">
        <x:v>D05229</x:v>
      </x:c>
      <x:c r="B5233" s="19" t="n">
        <x:v>10</x:v>
      </x:c>
      <x:c r="C5233" s="19" t="n">
        <x:v>5</x:v>
      </x:c>
      <x:c r="D5233" s="19" t="str">
        <x:v>C10-M061</x:v>
      </x:c>
      <x:c r="E5233" s="19" t="str">
        <x:v>万冠终审者·萨洛恩</x:v>
      </x:c>
      <x:c r="F5233" s="19" t="str">
        <x:v>守关BOSS</x:v>
      </x:c>
      <x:c r="G5233" s="19" t="str">
        <x:v>六神器公共池</x:v>
      </x:c>
      <x:c r="H5233" s="19" t="str">
        <x:v>POOL006</x:v>
      </x:c>
      <x:c r="I5233" s="22" t="n">
        <x:v>40000</x:v>
      </x:c>
      <x:c r="J5233" s="22" t="n">
        <x:v>1</x:v>
      </x:c>
      <x:c r="K5233" s="19" t="n">
        <x:v>6</x:v>
      </x:c>
      <x:c r="L5233" s="24" t="n">
        <x:v>105.61133333333333</x:v>
      </x:c>
      <x:c r="M5233" s="26" t="n">
        <x:v>0.1</x:v>
      </x:c>
      <x:c r="N5233" s="24" t="n">
        <x:v>0</x:v>
      </x:c>
      <x:c r="O5233" s="28" t="n">
        <x:f>MIN(1,L5233/I5233)</x:f>
        <x:v>0.0026402833333333334</x:v>
      </x:c>
      <x:c r="P5233" s="30" t="n">
        <x:f>O5233*J5233*(1+M5233)</x:f>
        <x:v>0.002904311666666667</x:v>
      </x:c>
      <x:c r="Q5233" s="30" t="n">
        <x:f>P5233*N5233</x:f>
        <x:v>0</x:v>
      </x:c>
      <x:c r="R5233" s="19" t="str">
        <x:v>六选一；非6个独立爆率</x:v>
      </x:c>
    </x:row>
    <x:row r="5234" ht="19" customHeight="1">
      <x:c r="A5234" s="19" t="str">
        <x:v>D05230</x:v>
      </x:c>
      <x:c r="B5234" s="19" t="n">
        <x:v>1</x:v>
      </x:c>
      <x:c r="C5234" s="19" t="n">
        <x:v>1</x:v>
      </x:c>
      <x:c r="D5234" s="19" t="str">
        <x:v>EL-MON-SEA-001</x:v>
      </x:c>
      <x:c r="E5234" s="19" t="str">
        <x:v>盐蚀流民</x:v>
      </x:c>
      <x:c r="F5234" s="19" t="str">
        <x:v>普通</x:v>
      </x:c>
      <x:c r="G5234" s="19" t="str">
        <x:v>制式独立候选</x:v>
      </x:c>
      <x:c r="H5234" s="19" t="str">
        <x:v>POOL088</x:v>
      </x:c>
      <x:c r="I5234" s="22" t="n">
        <x:v>1000</x:v>
      </x:c>
      <x:c r="J5234" s="22" t="n">
        <x:v>1</x:v>
      </x:c>
      <x:c r="K5234" s="19" t="n">
        <x:v>32</x:v>
      </x:c>
      <x:c r="L5234" s="24" t="n">
        <x:v>11.5</x:v>
      </x:c>
      <x:c r="M5234" s="26" t="n">
        <x:v>0</x:v>
      </x:c>
      <x:c r="N5234" s="24" t="n">
        <x:v>71.73942994590593</x:v>
      </x:c>
      <x:c r="O5234" s="28" t="n">
        <x:f>MIN(1,L5234/I5234)</x:f>
        <x:v>0.0115</x:v>
      </x:c>
      <x:c r="P5234" s="30" t="n">
        <x:f>O5234*J5234*(1+M5234)</x:f>
        <x:v>0.0115</x:v>
      </x:c>
      <x:c r="Q5234" s="30" t="n">
        <x:f>P5234*N5234</x:f>
        <x:v>0.8250034443779182</x:v>
      </x:c>
      <x:c r="R5234" s="19" t="str">
        <x:v>单池选一</x:v>
      </x:c>
    </x:row>
    <x:row r="5235" ht="19" customHeight="1">
      <x:c r="A5235" s="19" t="str">
        <x:v>D05231</x:v>
      </x:c>
      <x:c r="B5235" s="19" t="n">
        <x:v>1</x:v>
      </x:c>
      <x:c r="C5235" s="19" t="n">
        <x:v>1</x:v>
      </x:c>
      <x:c r="D5235" s="19" t="str">
        <x:v>EL-MON-SEA-002</x:v>
      </x:c>
      <x:c r="E5235" s="19" t="str">
        <x:v>断桨弩手</x:v>
      </x:c>
      <x:c r="F5235" s="19" t="str">
        <x:v>普通</x:v>
      </x:c>
      <x:c r="G5235" s="19" t="str">
        <x:v>制式独立候选</x:v>
      </x:c>
      <x:c r="H5235" s="19" t="str">
        <x:v>POOL088</x:v>
      </x:c>
      <x:c r="I5235" s="22" t="n">
        <x:v>1000</x:v>
      </x:c>
      <x:c r="J5235" s="22" t="n">
        <x:v>1</x:v>
      </x:c>
      <x:c r="K5235" s="19" t="n">
        <x:v>32</x:v>
      </x:c>
      <x:c r="L5235" s="24" t="n">
        <x:v>11.5</x:v>
      </x:c>
      <x:c r="M5235" s="26" t="n">
        <x:v>0</x:v>
      </x:c>
      <x:c r="N5235" s="24" t="n">
        <x:v>72</x:v>
      </x:c>
      <x:c r="O5235" s="28" t="n">
        <x:f>MIN(1,L5235/I5235)</x:f>
        <x:v>0.0115</x:v>
      </x:c>
      <x:c r="P5235" s="30" t="n">
        <x:f>O5235*J5235*(1+M5235)</x:f>
        <x:v>0.0115</x:v>
      </x:c>
      <x:c r="Q5235" s="30" t="n">
        <x:f>P5235*N5235</x:f>
        <x:v>0.828</x:v>
      </x:c>
      <x:c r="R5235" s="19" t="str">
        <x:v>单池选一</x:v>
      </x:c>
    </x:row>
    <x:row r="5236" ht="19" customHeight="1">
      <x:c r="A5236" s="19" t="str">
        <x:v>D05232</x:v>
      </x:c>
      <x:c r="B5236" s="19" t="n">
        <x:v>1</x:v>
      </x:c>
      <x:c r="C5236" s="19" t="n">
        <x:v>1</x:v>
      </x:c>
      <x:c r="D5236" s="19" t="str">
        <x:v>EL-MON-SEA-003</x:v>
      </x:c>
      <x:c r="E5236" s="19" t="str">
        <x:v>漂流尸兵</x:v>
      </x:c>
      <x:c r="F5236" s="19" t="str">
        <x:v>普通</x:v>
      </x:c>
      <x:c r="G5236" s="19" t="str">
        <x:v>制式独立候选</x:v>
      </x:c>
      <x:c r="H5236" s="19" t="str">
        <x:v>POOL088</x:v>
      </x:c>
      <x:c r="I5236" s="22" t="n">
        <x:v>1000</x:v>
      </x:c>
      <x:c r="J5236" s="22" t="n">
        <x:v>1</x:v>
      </x:c>
      <x:c r="K5236" s="19" t="n">
        <x:v>32</x:v>
      </x:c>
      <x:c r="L5236" s="24" t="n">
        <x:v>11.5</x:v>
      </x:c>
      <x:c r="M5236" s="26" t="n">
        <x:v>0</x:v>
      </x:c>
      <x:c r="N5236" s="24" t="n">
        <x:v>60.97851545402004</x:v>
      </x:c>
      <x:c r="O5236" s="28" t="n">
        <x:f>MIN(1,L5236/I5236)</x:f>
        <x:v>0.0115</x:v>
      </x:c>
      <x:c r="P5236" s="30" t="n">
        <x:f>O5236*J5236*(1+M5236)</x:f>
        <x:v>0.0115</x:v>
      </x:c>
      <x:c r="Q5236" s="30" t="n">
        <x:f>P5236*N5236</x:f>
        <x:v>0.7012529277212305</x:v>
      </x:c>
      <x:c r="R5236" s="19" t="str">
        <x:v>单池选一</x:v>
      </x:c>
    </x:row>
    <x:row r="5237" ht="19" customHeight="1">
      <x:c r="A5237" s="19" t="str">
        <x:v>D05233</x:v>
      </x:c>
      <x:c r="B5237" s="19" t="n">
        <x:v>1</x:v>
      </x:c>
      <x:c r="C5237" s="19" t="n">
        <x:v>1</x:v>
      </x:c>
      <x:c r="D5237" s="19" t="str">
        <x:v>EL-MON-SEA-004</x:v>
      </x:c>
      <x:c r="E5237" s="19" t="str">
        <x:v>失乡猎犬</x:v>
      </x:c>
      <x:c r="F5237" s="19" t="str">
        <x:v>普通</x:v>
      </x:c>
      <x:c r="G5237" s="19" t="str">
        <x:v>制式独立候选</x:v>
      </x:c>
      <x:c r="H5237" s="19" t="str">
        <x:v>POOL088</x:v>
      </x:c>
      <x:c r="I5237" s="22" t="n">
        <x:v>1000</x:v>
      </x:c>
      <x:c r="J5237" s="22" t="n">
        <x:v>1</x:v>
      </x:c>
      <x:c r="K5237" s="19" t="n">
        <x:v>32</x:v>
      </x:c>
      <x:c r="L5237" s="24" t="n">
        <x:v>11.5</x:v>
      </x:c>
      <x:c r="M5237" s="26" t="n">
        <x:v>0</x:v>
      </x:c>
      <x:c r="N5237" s="24" t="n">
        <x:v>71.73942994590593</x:v>
      </x:c>
      <x:c r="O5237" s="28" t="n">
        <x:f>MIN(1,L5237/I5237)</x:f>
        <x:v>0.0115</x:v>
      </x:c>
      <x:c r="P5237" s="30" t="n">
        <x:f>O5237*J5237*(1+M5237)</x:f>
        <x:v>0.0115</x:v>
      </x:c>
      <x:c r="Q5237" s="30" t="n">
        <x:f>P5237*N5237</x:f>
        <x:v>0.8250034443779182</x:v>
      </x:c>
      <x:c r="R5237" s="19" t="str">
        <x:v>单池选一</x:v>
      </x:c>
    </x:row>
    <x:row r="5238" ht="19" customHeight="1">
      <x:c r="A5238" s="19" t="str">
        <x:v>D05234</x:v>
      </x:c>
      <x:c r="B5238" s="19" t="n">
        <x:v>1</x:v>
      </x:c>
      <x:c r="C5238" s="19" t="n">
        <x:v>1</x:v>
      </x:c>
      <x:c r="D5238" s="19" t="str">
        <x:v>EL-MON-SEA-005</x:v>
      </x:c>
      <x:c r="E5238" s="19" t="str">
        <x:v>腐潮巨蟹</x:v>
      </x:c>
      <x:c r="F5238" s="19" t="str">
        <x:v>普通</x:v>
      </x:c>
      <x:c r="G5238" s="19" t="str">
        <x:v>制式独立候选</x:v>
      </x:c>
      <x:c r="H5238" s="19" t="str">
        <x:v>POOL088</x:v>
      </x:c>
      <x:c r="I5238" s="22" t="n">
        <x:v>1000</x:v>
      </x:c>
      <x:c r="J5238" s="22" t="n">
        <x:v>1</x:v>
      </x:c>
      <x:c r="K5238" s="19" t="n">
        <x:v>32</x:v>
      </x:c>
      <x:c r="L5238" s="24" t="n">
        <x:v>11.5</x:v>
      </x:c>
      <x:c r="M5238" s="26" t="n">
        <x:v>0</x:v>
      </x:c>
      <x:c r="N5238" s="24" t="n">
        <x:v>60.97851545402004</x:v>
      </x:c>
      <x:c r="O5238" s="28" t="n">
        <x:f>MIN(1,L5238/I5238)</x:f>
        <x:v>0.0115</x:v>
      </x:c>
      <x:c r="P5238" s="30" t="n">
        <x:f>O5238*J5238*(1+M5238)</x:f>
        <x:v>0.0115</x:v>
      </x:c>
      <x:c r="Q5238" s="30" t="n">
        <x:f>P5238*N5238</x:f>
        <x:v>0.7012529277212305</x:v>
      </x:c>
      <x:c r="R5238" s="19" t="str">
        <x:v>单池选一</x:v>
      </x:c>
    </x:row>
    <x:row r="5239" ht="19" customHeight="1">
      <x:c r="A5239" s="19" t="str">
        <x:v>D05235</x:v>
      </x:c>
      <x:c r="B5239" s="19" t="n">
        <x:v>1</x:v>
      </x:c>
      <x:c r="C5239" s="19" t="n">
        <x:v>1</x:v>
      </x:c>
      <x:c r="D5239" s="19" t="str">
        <x:v>EL-MON-SEA-006</x:v>
      </x:c>
      <x:c r="E5239" s="19" t="str">
        <x:v>铁锚行刑者</x:v>
      </x:c>
      <x:c r="F5239" s="19" t="str">
        <x:v>稀有</x:v>
      </x:c>
      <x:c r="G5239" s="19" t="str">
        <x:v>制式独立候选</x:v>
      </x:c>
      <x:c r="H5239" s="19" t="str">
        <x:v>POOL088</x:v>
      </x:c>
      <x:c r="I5239" s="22" t="n">
        <x:v>500</x:v>
      </x:c>
      <x:c r="J5239" s="22" t="n">
        <x:v>1</x:v>
      </x:c>
      <x:c r="K5239" s="19" t="n">
        <x:v>32</x:v>
      </x:c>
      <x:c r="L5239" s="24" t="n">
        <x:v>11.5</x:v>
      </x:c>
      <x:c r="M5239" s="26" t="n">
        <x:v>0</x:v>
      </x:c>
      <x:c r="N5239" s="24" t="n">
        <x:v>6.601843977167103</x:v>
      </x:c>
      <x:c r="O5239" s="28" t="n">
        <x:f>MIN(1,L5239/I5239)</x:f>
        <x:v>0.023</x:v>
      </x:c>
      <x:c r="P5239" s="30" t="n">
        <x:f>O5239*J5239*(1+M5239)</x:f>
        <x:v>0.023</x:v>
      </x:c>
      <x:c r="Q5239" s="30" t="n">
        <x:f>P5239*N5239</x:f>
        <x:v>0.15184241147484337</x:v>
      </x:c>
      <x:c r="R5239" s="19" t="str">
        <x:v>单池选一</x:v>
      </x:c>
    </x:row>
    <x:row r="5240" ht="19" customHeight="1">
      <x:c r="A5240" s="19" t="str">
        <x:v>D05236</x:v>
      </x:c>
      <x:c r="B5240" s="19" t="n">
        <x:v>1</x:v>
      </x:c>
      <x:c r="C5240" s="19" t="n">
        <x:v>1</x:v>
      </x:c>
      <x:c r="D5240" s="19" t="str">
        <x:v>EL-MON-SEA-007</x:v>
      </x:c>
      <x:c r="E5240" s="19" t="str">
        <x:v>唤潮祷师</x:v>
      </x:c>
      <x:c r="F5240" s="19" t="str">
        <x:v>稀有</x:v>
      </x:c>
      <x:c r="G5240" s="19" t="str">
        <x:v>制式独立候选</x:v>
      </x:c>
      <x:c r="H5240" s="19" t="str">
        <x:v>POOL088</x:v>
      </x:c>
      <x:c r="I5240" s="22" t="n">
        <x:v>500</x:v>
      </x:c>
      <x:c r="J5240" s="22" t="n">
        <x:v>1</x:v>
      </x:c>
      <x:c r="K5240" s="19" t="n">
        <x:v>32</x:v>
      </x:c>
      <x:c r="L5240" s="24" t="n">
        <x:v>11.5</x:v>
      </x:c>
      <x:c r="M5240" s="26" t="n">
        <x:v>0</x:v>
      </x:c>
      <x:c r="N5240" s="24" t="n">
        <x:v>8.006491631883508</x:v>
      </x:c>
      <x:c r="O5240" s="28" t="n">
        <x:f>MIN(1,L5240/I5240)</x:f>
        <x:v>0.023</x:v>
      </x:c>
      <x:c r="P5240" s="30" t="n">
        <x:f>O5240*J5240*(1+M5240)</x:f>
        <x:v>0.023</x:v>
      </x:c>
      <x:c r="Q5240" s="30" t="n">
        <x:f>P5240*N5240</x:f>
        <x:v>0.18414930753332068</x:v>
      </x:c>
      <x:c r="R5240" s="19" t="str">
        <x:v>单池选一</x:v>
      </x:c>
    </x:row>
    <x:row r="5241" ht="19" customHeight="1">
      <x:c r="A5241" s="19" t="str">
        <x:v>D05237</x:v>
      </x:c>
      <x:c r="B5241" s="19" t="n">
        <x:v>1</x:v>
      </x:c>
      <x:c r="C5241" s="19" t="n">
        <x:v>1</x:v>
      </x:c>
      <x:c r="D5241" s="19" t="str">
        <x:v>EL-MON-SEA-008</x:v>
      </x:c>
      <x:c r="E5241" s="19" t="str">
        <x:v>沉船守财者</x:v>
      </x:c>
      <x:c r="F5241" s="19" t="str">
        <x:v>稀有</x:v>
      </x:c>
      <x:c r="G5241" s="19" t="str">
        <x:v>制式独立候选</x:v>
      </x:c>
      <x:c r="H5241" s="19" t="str">
        <x:v>POOL088</x:v>
      </x:c>
      <x:c r="I5241" s="22" t="n">
        <x:v>500</x:v>
      </x:c>
      <x:c r="J5241" s="22" t="n">
        <x:v>1</x:v>
      </x:c>
      <x:c r="K5241" s="19" t="n">
        <x:v>32</x:v>
      </x:c>
      <x:c r="L5241" s="24" t="n">
        <x:v>11.5</x:v>
      </x:c>
      <x:c r="M5241" s="26" t="n">
        <x:v>0</x:v>
      </x:c>
      <x:c r="N5241" s="24" t="n">
        <x:v>7.236636667279324</x:v>
      </x:c>
      <x:c r="O5241" s="28" t="n">
        <x:f>MIN(1,L5241/I5241)</x:f>
        <x:v>0.023</x:v>
      </x:c>
      <x:c r="P5241" s="30" t="n">
        <x:f>O5241*J5241*(1+M5241)</x:f>
        <x:v>0.023</x:v>
      </x:c>
      <x:c r="Q5241" s="30" t="n">
        <x:f>P5241*N5241</x:f>
        <x:v>0.16644264334742445</x:v>
      </x:c>
      <x:c r="R5241" s="19" t="str">
        <x:v>单池选一</x:v>
      </x:c>
    </x:row>
    <x:row r="5242" ht="19" customHeight="1">
      <x:c r="A5242" s="19" t="str">
        <x:v>D05238</x:v>
      </x:c>
      <x:c r="B5242" s="19" t="n">
        <x:v>1</x:v>
      </x:c>
      <x:c r="C5242" s="19" t="n">
        <x:v>1</x:v>
      </x:c>
      <x:c r="D5242" s="19" t="str">
        <x:v>EL-MON-SEA-009</x:v>
      </x:c>
      <x:c r="E5242" s="19" t="str">
        <x:v>海雾骑士</x:v>
      </x:c>
      <x:c r="F5242" s="19" t="str">
        <x:v>稀有</x:v>
      </x:c>
      <x:c r="G5242" s="19" t="str">
        <x:v>制式独立候选</x:v>
      </x:c>
      <x:c r="H5242" s="19" t="str">
        <x:v>POOL088</x:v>
      </x:c>
      <x:c r="I5242" s="22" t="n">
        <x:v>500</x:v>
      </x:c>
      <x:c r="J5242" s="22" t="n">
        <x:v>1</x:v>
      </x:c>
      <x:c r="K5242" s="19" t="n">
        <x:v>32</x:v>
      </x:c>
      <x:c r="L5242" s="24" t="n">
        <x:v>11.5</x:v>
      </x:c>
      <x:c r="M5242" s="26" t="n">
        <x:v>0</x:v>
      </x:c>
      <x:c r="N5242" s="24" t="n">
        <x:v>6.271751778308747</x:v>
      </x:c>
      <x:c r="O5242" s="28" t="n">
        <x:f>MIN(1,L5242/I5242)</x:f>
        <x:v>0.023</x:v>
      </x:c>
      <x:c r="P5242" s="30" t="n">
        <x:f>O5242*J5242*(1+M5242)</x:f>
        <x:v>0.023</x:v>
      </x:c>
      <x:c r="Q5242" s="30" t="n">
        <x:f>P5242*N5242</x:f>
        <x:v>0.1442502909011012</x:v>
      </x:c>
      <x:c r="R5242" s="19" t="str">
        <x:v>单池选一</x:v>
      </x:c>
    </x:row>
    <x:row r="5243" ht="19" customHeight="1">
      <x:c r="A5243" s="19" t="str">
        <x:v>D05239</x:v>
      </x:c>
      <x:c r="B5243" s="19" t="n">
        <x:v>1</x:v>
      </x:c>
      <x:c r="C5243" s="19" t="n">
        <x:v>1</x:v>
      </x:c>
      <x:c r="D5243" s="19" t="str">
        <x:v>EL-MON-SEA-010</x:v>
      </x:c>
      <x:c r="E5243" s="19" t="str">
        <x:v>断桅船长·赫恩</x:v>
      </x:c>
      <x:c r="F5243" s="19" t="str">
        <x:v>地图BOSS</x:v>
      </x:c>
      <x:c r="G5243" s="19" t="str">
        <x:v>制式独立候选</x:v>
      </x:c>
      <x:c r="H5243" s="19" t="str">
        <x:v>POOL088</x:v>
      </x:c>
      <x:c r="I5243" s="22" t="n">
        <x:v>150</x:v>
      </x:c>
      <x:c r="J5243" s="22" t="n">
        <x:v>1</x:v>
      </x:c>
      <x:c r="K5243" s="19" t="n">
        <x:v>32</x:v>
      </x:c>
      <x:c r="L5243" s="24" t="n">
        <x:v>11.5</x:v>
      </x:c>
      <x:c r="M5243" s="26" t="n">
        <x:v>0</x:v>
      </x:c>
      <x:c r="N5243" s="24" t="n">
        <x:v>2</x:v>
      </x:c>
      <x:c r="O5243" s="28" t="n">
        <x:f>MIN(1,L5243/I5243)</x:f>
        <x:v>0.07666666666666666</x:v>
      </x:c>
      <x:c r="P5243" s="30" t="n">
        <x:f>O5243*J5243*(1+M5243)</x:f>
        <x:v>0.07666666666666666</x:v>
      </x:c>
      <x:c r="Q5243" s="30" t="n">
        <x:f>P5243*N5243</x:f>
        <x:v>0.15333333333333332</x:v>
      </x:c>
      <x:c r="R5243" s="19" t="str">
        <x:v>单池选一</x:v>
      </x:c>
    </x:row>
    <x:row r="5244" ht="19" customHeight="1">
      <x:c r="A5244" s="19" t="str">
        <x:v>D05240</x:v>
      </x:c>
      <x:c r="B5244" s="19" t="n">
        <x:v>1</x:v>
      </x:c>
      <x:c r="C5244" s="19" t="n">
        <x:v>1</x:v>
      </x:c>
      <x:c r="D5244" s="19" t="str">
        <x:v>EL-MON-SEA-011</x:v>
      </x:c>
      <x:c r="E5244" s="19" t="str">
        <x:v>吞岸巨兽·格拉姆</x:v>
      </x:c>
      <x:c r="F5244" s="19" t="str">
        <x:v>地图BOSS</x:v>
      </x:c>
      <x:c r="G5244" s="19" t="str">
        <x:v>制式独立候选</x:v>
      </x:c>
      <x:c r="H5244" s="19" t="str">
        <x:v>POOL088</x:v>
      </x:c>
      <x:c r="I5244" s="22" t="n">
        <x:v>150</x:v>
      </x:c>
      <x:c r="J5244" s="22" t="n">
        <x:v>1</x:v>
      </x:c>
      <x:c r="K5244" s="19" t="n">
        <x:v>32</x:v>
      </x:c>
      <x:c r="L5244" s="24" t="n">
        <x:v>11.5</x:v>
      </x:c>
      <x:c r="M5244" s="26" t="n">
        <x:v>0</x:v>
      </x:c>
      <x:c r="N5244" s="24" t="n">
        <x:v>2</x:v>
      </x:c>
      <x:c r="O5244" s="28" t="n">
        <x:f>MIN(1,L5244/I5244)</x:f>
        <x:v>0.07666666666666666</x:v>
      </x:c>
      <x:c r="P5244" s="30" t="n">
        <x:f>O5244*J5244*(1+M5244)</x:f>
        <x:v>0.07666666666666666</x:v>
      </x:c>
      <x:c r="Q5244" s="30" t="n">
        <x:f>P5244*N5244</x:f>
        <x:v>0.15333333333333332</x:v>
      </x:c>
      <x:c r="R5244" s="19" t="str">
        <x:v>单池选一</x:v>
      </x:c>
    </x:row>
    <x:row r="5245" ht="19" customHeight="1">
      <x:c r="A5245" s="19" t="str">
        <x:v>D05241</x:v>
      </x:c>
      <x:c r="B5245" s="19" t="n">
        <x:v>1</x:v>
      </x:c>
      <x:c r="C5245" s="19" t="n">
        <x:v>2</x:v>
      </x:c>
      <x:c r="D5245" s="19" t="str">
        <x:v>EL-MON-CLIFF-001</x:v>
      </x:c>
      <x:c r="E5245" s="19" t="str">
        <x:v>风蚀守卫</x:v>
      </x:c>
      <x:c r="F5245" s="19" t="str">
        <x:v>普通</x:v>
      </x:c>
      <x:c r="G5245" s="19" t="str">
        <x:v>制式独立候选</x:v>
      </x:c>
      <x:c r="H5245" s="19" t="str">
        <x:v>POOL089</x:v>
      </x:c>
      <x:c r="I5245" s="22" t="n">
        <x:v>1800</x:v>
      </x:c>
      <x:c r="J5245" s="22" t="n">
        <x:v>1</x:v>
      </x:c>
      <x:c r="K5245" s="19" t="n">
        <x:v>32</x:v>
      </x:c>
      <x:c r="L5245" s="24" t="n">
        <x:v>11.5</x:v>
      </x:c>
      <x:c r="M5245" s="26" t="n">
        <x:v>0</x:v>
      </x:c>
      <x:c r="N5245" s="24" t="n">
        <x:v>66.5566069976355</x:v>
      </x:c>
      <x:c r="O5245" s="28" t="n">
        <x:f>MIN(1,L5245/I5245)</x:f>
        <x:v>0.006388888888888889</x:v>
      </x:c>
      <x:c r="P5245" s="30" t="n">
        <x:f>O5245*J5245*(1+M5245)</x:f>
        <x:v>0.006388888888888889</x:v>
      </x:c>
      <x:c r="Q5245" s="30" t="n">
        <x:f>P5245*N5245</x:f>
        <x:v>0.4252227669293379</x:v>
      </x:c>
      <x:c r="R5245" s="19" t="str">
        <x:v>单池选一</x:v>
      </x:c>
    </x:row>
    <x:row r="5246" ht="19" customHeight="1">
      <x:c r="A5246" s="19" t="str">
        <x:v>D05242</x:v>
      </x:c>
      <x:c r="B5246" s="19" t="n">
        <x:v>1</x:v>
      </x:c>
      <x:c r="C5246" s="19" t="n">
        <x:v>2</x:v>
      </x:c>
      <x:c r="D5246" s="19" t="str">
        <x:v>EL-MON-CLIFF-002</x:v>
      </x:c>
      <x:c r="E5246" s="19" t="str">
        <x:v>断崖弩手</x:v>
      </x:c>
      <x:c r="F5246" s="19" t="str">
        <x:v>普通</x:v>
      </x:c>
      <x:c r="G5246" s="19" t="str">
        <x:v>制式独立候选</x:v>
      </x:c>
      <x:c r="H5246" s="19" t="str">
        <x:v>POOL089</x:v>
      </x:c>
      <x:c r="I5246" s="22" t="n">
        <x:v>1800</x:v>
      </x:c>
      <x:c r="J5246" s="22" t="n">
        <x:v>1</x:v>
      </x:c>
      <x:c r="K5246" s="19" t="n">
        <x:v>32</x:v>
      </x:c>
      <x:c r="L5246" s="24" t="n">
        <x:v>11.5</x:v>
      </x:c>
      <x:c r="M5246" s="26" t="n">
        <x:v>0</x:v>
      </x:c>
      <x:c r="N5246" s="24" t="n">
        <x:v>66.5566069976355</x:v>
      </x:c>
      <x:c r="O5246" s="28" t="n">
        <x:f>MIN(1,L5246/I5246)</x:f>
        <x:v>0.006388888888888889</x:v>
      </x:c>
      <x:c r="P5246" s="30" t="n">
        <x:f>O5246*J5246*(1+M5246)</x:f>
        <x:v>0.006388888888888889</x:v>
      </x:c>
      <x:c r="Q5246" s="30" t="n">
        <x:f>P5246*N5246</x:f>
        <x:v>0.4252227669293379</x:v>
      </x:c>
      <x:c r="R5246" s="19" t="str">
        <x:v>单池选一</x:v>
      </x:c>
    </x:row>
    <x:row r="5247" ht="19" customHeight="1">
      <x:c r="A5247" s="19" t="str">
        <x:v>D05243</x:v>
      </x:c>
      <x:c r="B5247" s="19" t="n">
        <x:v>1</x:v>
      </x:c>
      <x:c r="C5247" s="19" t="n">
        <x:v>2</x:v>
      </x:c>
      <x:c r="D5247" s="19" t="str">
        <x:v>EL-MON-CLIFF-003</x:v>
      </x:c>
      <x:c r="E5247" s="19" t="str">
        <x:v>雷羽鹰</x:v>
      </x:c>
      <x:c r="F5247" s="19" t="str">
        <x:v>普通</x:v>
      </x:c>
      <x:c r="G5247" s="19" t="str">
        <x:v>制式独立候选</x:v>
      </x:c>
      <x:c r="H5247" s="19" t="str">
        <x:v>POOL089</x:v>
      </x:c>
      <x:c r="I5247" s="22" t="n">
        <x:v>1800</x:v>
      </x:c>
      <x:c r="J5247" s="22" t="n">
        <x:v>1</x:v>
      </x:c>
      <x:c r="K5247" s="19" t="n">
        <x:v>32</x:v>
      </x:c>
      <x:c r="L5247" s="24" t="n">
        <x:v>11.5</x:v>
      </x:c>
      <x:c r="M5247" s="26" t="n">
        <x:v>0</x:v>
      </x:c>
      <x:c r="N5247" s="24" t="n">
        <x:v>53.2452855981084</x:v>
      </x:c>
      <x:c r="O5247" s="28" t="n">
        <x:f>MIN(1,L5247/I5247)</x:f>
        <x:v>0.006388888888888889</x:v>
      </x:c>
      <x:c r="P5247" s="30" t="n">
        <x:f>O5247*J5247*(1+M5247)</x:f>
        <x:v>0.006388888888888889</x:v>
      </x:c>
      <x:c r="Q5247" s="30" t="n">
        <x:f>P5247*N5247</x:f>
        <x:v>0.3401782135434704</x:v>
      </x:c>
      <x:c r="R5247" s="19" t="str">
        <x:v>单池选一</x:v>
      </x:c>
    </x:row>
    <x:row r="5248" ht="19" customHeight="1">
      <x:c r="A5248" s="19" t="str">
        <x:v>D05244</x:v>
      </x:c>
      <x:c r="B5248" s="19" t="n">
        <x:v>1</x:v>
      </x:c>
      <x:c r="C5248" s="19" t="n">
        <x:v>2</x:v>
      </x:c>
      <x:c r="D5248" s="19" t="str">
        <x:v>EL-MON-CLIFF-004</x:v>
      </x:c>
      <x:c r="E5248" s="19" t="str">
        <x:v>狂风战奴</x:v>
      </x:c>
      <x:c r="F5248" s="19" t="str">
        <x:v>普通</x:v>
      </x:c>
      <x:c r="G5248" s="19" t="str">
        <x:v>制式独立候选</x:v>
      </x:c>
      <x:c r="H5248" s="19" t="str">
        <x:v>POOL089</x:v>
      </x:c>
      <x:c r="I5248" s="22" t="n">
        <x:v>1800</x:v>
      </x:c>
      <x:c r="J5248" s="22" t="n">
        <x:v>1</x:v>
      </x:c>
      <x:c r="K5248" s="19" t="n">
        <x:v>32</x:v>
      </x:c>
      <x:c r="L5248" s="24" t="n">
        <x:v>11.5</x:v>
      </x:c>
      <x:c r="M5248" s="26" t="n">
        <x:v>0</x:v>
      </x:c>
      <x:c r="N5248" s="24" t="n">
        <x:v>66.5566069976355</x:v>
      </x:c>
      <x:c r="O5248" s="28" t="n">
        <x:f>MIN(1,L5248/I5248)</x:f>
        <x:v>0.006388888888888889</x:v>
      </x:c>
      <x:c r="P5248" s="30" t="n">
        <x:f>O5248*J5248*(1+M5248)</x:f>
        <x:v>0.006388888888888889</x:v>
      </x:c>
      <x:c r="Q5248" s="30" t="n">
        <x:f>P5248*N5248</x:f>
        <x:v>0.4252227669293379</x:v>
      </x:c>
      <x:c r="R5248" s="19" t="str">
        <x:v>单池选一</x:v>
      </x:c>
    </x:row>
    <x:row r="5249" ht="19" customHeight="1">
      <x:c r="A5249" s="19" t="str">
        <x:v>D05245</x:v>
      </x:c>
      <x:c r="B5249" s="19" t="n">
        <x:v>1</x:v>
      </x:c>
      <x:c r="C5249" s="19" t="n">
        <x:v>2</x:v>
      </x:c>
      <x:c r="D5249" s="19" t="str">
        <x:v>EL-MON-CLIFF-005</x:v>
      </x:c>
      <x:c r="E5249" s="19" t="str">
        <x:v>坠崖亡兵</x:v>
      </x:c>
      <x:c r="F5249" s="19" t="str">
        <x:v>普通</x:v>
      </x:c>
      <x:c r="G5249" s="19" t="str">
        <x:v>制式独立候选</x:v>
      </x:c>
      <x:c r="H5249" s="19" t="str">
        <x:v>POOL089</x:v>
      </x:c>
      <x:c r="I5249" s="22" t="n">
        <x:v>1800</x:v>
      </x:c>
      <x:c r="J5249" s="22" t="n">
        <x:v>1</x:v>
      </x:c>
      <x:c r="K5249" s="19" t="n">
        <x:v>32</x:v>
      </x:c>
      <x:c r="L5249" s="24" t="n">
        <x:v>11.5</x:v>
      </x:c>
      <x:c r="M5249" s="26" t="n">
        <x:v>0</x:v>
      </x:c>
      <x:c r="N5249" s="24" t="n">
        <x:v>53.2452855981084</x:v>
      </x:c>
      <x:c r="O5249" s="28" t="n">
        <x:f>MIN(1,L5249/I5249)</x:f>
        <x:v>0.006388888888888889</x:v>
      </x:c>
      <x:c r="P5249" s="30" t="n">
        <x:f>O5249*J5249*(1+M5249)</x:f>
        <x:v>0.006388888888888889</x:v>
      </x:c>
      <x:c r="Q5249" s="30" t="n">
        <x:f>P5249*N5249</x:f>
        <x:v>0.3401782135434704</x:v>
      </x:c>
      <x:c r="R5249" s="19" t="str">
        <x:v>单池选一</x:v>
      </x:c>
    </x:row>
    <x:row r="5250" ht="19" customHeight="1">
      <x:c r="A5250" s="19" t="str">
        <x:v>D05246</x:v>
      </x:c>
      <x:c r="B5250" s="19" t="n">
        <x:v>1</x:v>
      </x:c>
      <x:c r="C5250" s="19" t="n">
        <x:v>2</x:v>
      </x:c>
      <x:c r="D5250" s="19" t="str">
        <x:v>EL-MON-CLIFF-006</x:v>
      </x:c>
      <x:c r="E5250" s="19" t="str">
        <x:v>崖穴石蜥</x:v>
      </x:c>
      <x:c r="F5250" s="19" t="str">
        <x:v>普通</x:v>
      </x:c>
      <x:c r="G5250" s="19" t="str">
        <x:v>制式独立候选</x:v>
      </x:c>
      <x:c r="H5250" s="19" t="str">
        <x:v>POOL089</x:v>
      </x:c>
      <x:c r="I5250" s="22" t="n">
        <x:v>1800</x:v>
      </x:c>
      <x:c r="J5250" s="22" t="n">
        <x:v>1</x:v>
      </x:c>
      <x:c r="K5250" s="19" t="n">
        <x:v>32</x:v>
      </x:c>
      <x:c r="L5250" s="24" t="n">
        <x:v>11.5</x:v>
      </x:c>
      <x:c r="M5250" s="26" t="n">
        <x:v>0</x:v>
      </x:c>
      <x:c r="N5250" s="24" t="n">
        <x:v>66.5566069976355</x:v>
      </x:c>
      <x:c r="O5250" s="28" t="n">
        <x:f>MIN(1,L5250/I5250)</x:f>
        <x:v>0.006388888888888889</x:v>
      </x:c>
      <x:c r="P5250" s="30" t="n">
        <x:f>O5250*J5250*(1+M5250)</x:f>
        <x:v>0.006388888888888889</x:v>
      </x:c>
      <x:c r="Q5250" s="30" t="n">
        <x:f>P5250*N5250</x:f>
        <x:v>0.4252227669293379</x:v>
      </x:c>
      <x:c r="R5250" s="19" t="str">
        <x:v>单池选一</x:v>
      </x:c>
    </x:row>
    <x:row r="5251" ht="19" customHeight="1">
      <x:c r="A5251" s="19" t="str">
        <x:v>D05247</x:v>
      </x:c>
      <x:c r="B5251" s="19" t="n">
        <x:v>1</x:v>
      </x:c>
      <x:c r="C5251" s="19" t="n">
        <x:v>2</x:v>
      </x:c>
      <x:c r="D5251" s="19" t="str">
        <x:v>EL-MON-CLIFF-007</x:v>
      </x:c>
      <x:c r="E5251" s="19" t="str">
        <x:v>逐雷骑士</x:v>
      </x:c>
      <x:c r="F5251" s="19" t="str">
        <x:v>稀有</x:v>
      </x:c>
      <x:c r="G5251" s="19" t="str">
        <x:v>制式独立候选</x:v>
      </x:c>
      <x:c r="H5251" s="19" t="str">
        <x:v>POOL089</x:v>
      </x:c>
      <x:c r="I5251" s="22" t="n">
        <x:v>1000</x:v>
      </x:c>
      <x:c r="J5251" s="22" t="n">
        <x:v>1</x:v>
      </x:c>
      <x:c r="K5251" s="19" t="n">
        <x:v>32</x:v>
      </x:c>
      <x:c r="L5251" s="24" t="n">
        <x:v>11.5</x:v>
      </x:c>
      <x:c r="M5251" s="26" t="n">
        <x:v>0</x:v>
      </x:c>
      <x:c r="N5251" s="24" t="n">
        <x:v>7.403939007475026</x:v>
      </x:c>
      <x:c r="O5251" s="28" t="n">
        <x:f>MIN(1,L5251/I5251)</x:f>
        <x:v>0.0115</x:v>
      </x:c>
      <x:c r="P5251" s="30" t="n">
        <x:f>O5251*J5251*(1+M5251)</x:f>
        <x:v>0.0115</x:v>
      </x:c>
      <x:c r="Q5251" s="30" t="n">
        <x:f>P5251*N5251</x:f>
        <x:v>0.0851452985859628</x:v>
      </x:c>
      <x:c r="R5251" s="19" t="str">
        <x:v>单池选一</x:v>
      </x:c>
    </x:row>
    <x:row r="5252" ht="19" customHeight="1">
      <x:c r="A5252" s="19" t="str">
        <x:v>D05248</x:v>
      </x:c>
      <x:c r="B5252" s="19" t="n">
        <x:v>1</x:v>
      </x:c>
      <x:c r="C5252" s="19" t="n">
        <x:v>2</x:v>
      </x:c>
      <x:c r="D5252" s="19" t="str">
        <x:v>EL-MON-CLIFF-008</x:v>
      </x:c>
      <x:c r="E5252" s="19" t="str">
        <x:v>风暴祭司</x:v>
      </x:c>
      <x:c r="F5252" s="19" t="str">
        <x:v>稀有</x:v>
      </x:c>
      <x:c r="G5252" s="19" t="str">
        <x:v>制式独立候选</x:v>
      </x:c>
      <x:c r="H5252" s="19" t="str">
        <x:v>POOL089</x:v>
      </x:c>
      <x:c r="I5252" s="22" t="n">
        <x:v>1000</x:v>
      </x:c>
      <x:c r="J5252" s="22" t="n">
        <x:v>1</x:v>
      </x:c>
      <x:c r="K5252" s="19" t="n">
        <x:v>32</x:v>
      </x:c>
      <x:c r="L5252" s="24" t="n">
        <x:v>11.5</x:v>
      </x:c>
      <x:c r="M5252" s="26" t="n">
        <x:v>0</x:v>
      </x:c>
      <x:c r="N5252" s="24" t="n">
        <x:v>6.432930613052072</x:v>
      </x:c>
      <x:c r="O5252" s="28" t="n">
        <x:f>MIN(1,L5252/I5252)</x:f>
        <x:v>0.0115</x:v>
      </x:c>
      <x:c r="P5252" s="30" t="n">
        <x:f>O5252*J5252*(1+M5252)</x:f>
        <x:v>0.0115</x:v>
      </x:c>
      <x:c r="Q5252" s="30" t="n">
        <x:f>P5252*N5252</x:f>
        <x:v>0.07397870205009882</x:v>
      </x:c>
      <x:c r="R5252" s="19" t="str">
        <x:v>单池选一</x:v>
      </x:c>
    </x:row>
    <x:row r="5253" ht="19" customHeight="1">
      <x:c r="A5253" s="19" t="str">
        <x:v>D05249</x:v>
      </x:c>
      <x:c r="B5253" s="19" t="n">
        <x:v>1</x:v>
      </x:c>
      <x:c r="C5253" s="19" t="n">
        <x:v>2</x:v>
      </x:c>
      <x:c r="D5253" s="19" t="str">
        <x:v>EL-MON-CLIFF-009</x:v>
      </x:c>
      <x:c r="E5253" s="19" t="str">
        <x:v>裂岩巨人</x:v>
      </x:c>
      <x:c r="F5253" s="19" t="str">
        <x:v>稀有</x:v>
      </x:c>
      <x:c r="G5253" s="19" t="str">
        <x:v>制式独立候选</x:v>
      </x:c>
      <x:c r="H5253" s="19" t="str">
        <x:v>POOL089</x:v>
      </x:c>
      <x:c r="I5253" s="22" t="n">
        <x:v>1000</x:v>
      </x:c>
      <x:c r="J5253" s="22" t="n">
        <x:v>1</x:v>
      </x:c>
      <x:c r="K5253" s="19" t="n">
        <x:v>32</x:v>
      </x:c>
      <x:c r="L5253" s="24" t="n">
        <x:v>11.5</x:v>
      </x:c>
      <x:c r="M5253" s="26" t="n">
        <x:v>0</x:v>
      </x:c>
      <x:c r="N5253" s="24" t="n">
        <x:v>7.403939007475026</x:v>
      </x:c>
      <x:c r="O5253" s="28" t="n">
        <x:f>MIN(1,L5253/I5253)</x:f>
        <x:v>0.0115</x:v>
      </x:c>
      <x:c r="P5253" s="30" t="n">
        <x:f>O5253*J5253*(1+M5253)</x:f>
        <x:v>0.0115</x:v>
      </x:c>
      <x:c r="Q5253" s="30" t="n">
        <x:f>P5253*N5253</x:f>
        <x:v>0.0851452985859628</x:v>
      </x:c>
      <x:c r="R5253" s="19" t="str">
        <x:v>单池选一</x:v>
      </x:c>
    </x:row>
    <x:row r="5254" ht="19" customHeight="1">
      <x:c r="A5254" s="19" t="str">
        <x:v>D05250</x:v>
      </x:c>
      <x:c r="B5254" s="19" t="n">
        <x:v>1</x:v>
      </x:c>
      <x:c r="C5254" s="19" t="n">
        <x:v>2</x:v>
      </x:c>
      <x:c r="D5254" s="19" t="str">
        <x:v>EL-MON-CLIFF-010</x:v>
      </x:c>
      <x:c r="E5254" s="19" t="str">
        <x:v>黑翼猎杀者</x:v>
      </x:c>
      <x:c r="F5254" s="19" t="str">
        <x:v>稀有</x:v>
      </x:c>
      <x:c r="G5254" s="19" t="str">
        <x:v>制式独立候选</x:v>
      </x:c>
      <x:c r="H5254" s="19" t="str">
        <x:v>POOL089</x:v>
      </x:c>
      <x:c r="I5254" s="22" t="n">
        <x:v>1000</x:v>
      </x:c>
      <x:c r="J5254" s="22" t="n">
        <x:v>1</x:v>
      </x:c>
      <x:c r="K5254" s="19" t="n">
        <x:v>32</x:v>
      </x:c>
      <x:c r="L5254" s="24" t="n">
        <x:v>11.5</x:v>
      </x:c>
      <x:c r="M5254" s="26" t="n">
        <x:v>0</x:v>
      </x:c>
      <x:c r="N5254" s="24" t="n">
        <x:v>8.175182654087008</x:v>
      </x:c>
      <x:c r="O5254" s="28" t="n">
        <x:f>MIN(1,L5254/I5254)</x:f>
        <x:v>0.0115</x:v>
      </x:c>
      <x:c r="P5254" s="30" t="n">
        <x:f>O5254*J5254*(1+M5254)</x:f>
        <x:v>0.0115</x:v>
      </x:c>
      <x:c r="Q5254" s="30" t="n">
        <x:f>P5254*N5254</x:f>
        <x:v>0.09401460052200059</x:v>
      </x:c>
      <x:c r="R5254" s="19" t="str">
        <x:v>单池选一</x:v>
      </x:c>
    </x:row>
    <x:row r="5255" ht="19" customHeight="1">
      <x:c r="A5255" s="19" t="str">
        <x:v>D05251</x:v>
      </x:c>
      <x:c r="B5255" s="19" t="n">
        <x:v>1</x:v>
      </x:c>
      <x:c r="C5255" s="19" t="n">
        <x:v>2</x:v>
      </x:c>
      <x:c r="D5255" s="19" t="str">
        <x:v>EL-MON-CLIFF-011</x:v>
      </x:c>
      <x:c r="E5255" s="19" t="str">
        <x:v>风暴执刑官·巴鲁克</x:v>
      </x:c>
      <x:c r="F5255" s="19" t="str">
        <x:v>地图BOSS</x:v>
      </x:c>
      <x:c r="G5255" s="19" t="str">
        <x:v>制式独立候选</x:v>
      </x:c>
      <x:c r="H5255" s="19" t="str">
        <x:v>POOL089</x:v>
      </x:c>
      <x:c r="I5255" s="22" t="n">
        <x:v>250</x:v>
      </x:c>
      <x:c r="J5255" s="22" t="n">
        <x:v>1</x:v>
      </x:c>
      <x:c r="K5255" s="19" t="n">
        <x:v>32</x:v>
      </x:c>
      <x:c r="L5255" s="24" t="n">
        <x:v>11.5</x:v>
      </x:c>
      <x:c r="M5255" s="26" t="n">
        <x:v>0</x:v>
      </x:c>
      <x:c r="N5255" s="24" t="n">
        <x:v>2</x:v>
      </x:c>
      <x:c r="O5255" s="28" t="n">
        <x:f>MIN(1,L5255/I5255)</x:f>
        <x:v>0.046</x:v>
      </x:c>
      <x:c r="P5255" s="30" t="n">
        <x:f>O5255*J5255*(1+M5255)</x:f>
        <x:v>0.046</x:v>
      </x:c>
      <x:c r="Q5255" s="30" t="n">
        <x:f>P5255*N5255</x:f>
        <x:v>0.092</x:v>
      </x:c>
      <x:c r="R5255" s="19" t="str">
        <x:v>单池选一</x:v>
      </x:c>
    </x:row>
    <x:row r="5256" ht="19" customHeight="1">
      <x:c r="A5256" s="19" t="str">
        <x:v>D05252</x:v>
      </x:c>
      <x:c r="B5256" s="19" t="n">
        <x:v>1</x:v>
      </x:c>
      <x:c r="C5256" s="19" t="n">
        <x:v>2</x:v>
      </x:c>
      <x:c r="D5256" s="19" t="str">
        <x:v>EL-MON-CLIFF-012</x:v>
      </x:c>
      <x:c r="E5256" s="19" t="str">
        <x:v>断崖古龙·赛尔</x:v>
      </x:c>
      <x:c r="F5256" s="19" t="str">
        <x:v>地图BOSS</x:v>
      </x:c>
      <x:c r="G5256" s="19" t="str">
        <x:v>制式独立候选</x:v>
      </x:c>
      <x:c r="H5256" s="19" t="str">
        <x:v>POOL089</x:v>
      </x:c>
      <x:c r="I5256" s="22" t="n">
        <x:v>250</x:v>
      </x:c>
      <x:c r="J5256" s="22" t="n">
        <x:v>1</x:v>
      </x:c>
      <x:c r="K5256" s="19" t="n">
        <x:v>32</x:v>
      </x:c>
      <x:c r="L5256" s="24" t="n">
        <x:v>11.5</x:v>
      </x:c>
      <x:c r="M5256" s="26" t="n">
        <x:v>0</x:v>
      </x:c>
      <x:c r="N5256" s="24" t="n">
        <x:v>2</x:v>
      </x:c>
      <x:c r="O5256" s="28" t="n">
        <x:f>MIN(1,L5256/I5256)</x:f>
        <x:v>0.046</x:v>
      </x:c>
      <x:c r="P5256" s="30" t="n">
        <x:f>O5256*J5256*(1+M5256)</x:f>
        <x:v>0.046</x:v>
      </x:c>
      <x:c r="Q5256" s="30" t="n">
        <x:f>P5256*N5256</x:f>
        <x:v>0.092</x:v>
      </x:c>
      <x:c r="R5256" s="19" t="str">
        <x:v>单池选一</x:v>
      </x:c>
    </x:row>
    <x:row r="5257" ht="19" customHeight="1">
      <x:c r="A5257" s="19" t="str">
        <x:v>D05253</x:v>
      </x:c>
      <x:c r="B5257" s="19" t="n">
        <x:v>1</x:v>
      </x:c>
      <x:c r="C5257" s="19" t="n">
        <x:v>3</x:v>
      </x:c>
      <x:c r="D5257" s="19" t="str">
        <x:v>EL-MON-COURT-001</x:v>
      </x:c>
      <x:c r="E5257" s="19" t="str">
        <x:v>溺亡禁卫</x:v>
      </x:c>
      <x:c r="F5257" s="19" t="str">
        <x:v>普通</x:v>
      </x:c>
      <x:c r="G5257" s="19" t="str">
        <x:v>制式独立候选</x:v>
      </x:c>
      <x:c r="H5257" s="19" t="str">
        <x:v>POOL090</x:v>
      </x:c>
      <x:c r="I5257" s="22" t="n">
        <x:v>5000</x:v>
      </x:c>
      <x:c r="J5257" s="22" t="n">
        <x:v>1</x:v>
      </x:c>
      <x:c r="K5257" s="19" t="n">
        <x:v>32</x:v>
      </x:c>
      <x:c r="L5257" s="24" t="n">
        <x:v>11.5</x:v>
      </x:c>
      <x:c r="M5257" s="26" t="n">
        <x:v>0</x:v>
      </x:c>
      <x:c r="N5257" s="24" t="n">
        <x:v>55.57985123612874</x:v>
      </x:c>
      <x:c r="O5257" s="28" t="n">
        <x:f>MIN(1,L5257/I5257)</x:f>
        <x:v>0.0023</x:v>
      </x:c>
      <x:c r="P5257" s="30" t="n">
        <x:f>O5257*J5257*(1+M5257)</x:f>
        <x:v>0.0023</x:v>
      </x:c>
      <x:c r="Q5257" s="30" t="n">
        <x:f>P5257*N5257</x:f>
        <x:v>0.1278336578430961</x:v>
      </x:c>
      <x:c r="R5257" s="19" t="str">
        <x:v>单池选一</x:v>
      </x:c>
    </x:row>
    <x:row r="5258" ht="19" customHeight="1">
      <x:c r="A5258" s="19" t="str">
        <x:v>D05254</x:v>
      </x:c>
      <x:c r="B5258" s="19" t="n">
        <x:v>1</x:v>
      </x:c>
      <x:c r="C5258" s="19" t="n">
        <x:v>3</x:v>
      </x:c>
      <x:c r="D5258" s="19" t="str">
        <x:v>EL-MON-COURT-002</x:v>
      </x:c>
      <x:c r="E5258" s="19" t="str">
        <x:v>沉宫侍从</x:v>
      </x:c>
      <x:c r="F5258" s="19" t="str">
        <x:v>普通</x:v>
      </x:c>
      <x:c r="G5258" s="19" t="str">
        <x:v>制式独立候选</x:v>
      </x:c>
      <x:c r="H5258" s="19" t="str">
        <x:v>POOL090</x:v>
      </x:c>
      <x:c r="I5258" s="22" t="n">
        <x:v>5000</x:v>
      </x:c>
      <x:c r="J5258" s="22" t="n">
        <x:v>1</x:v>
      </x:c>
      <x:c r="K5258" s="19" t="n">
        <x:v>32</x:v>
      </x:c>
      <x:c r="L5258" s="24" t="n">
        <x:v>11.5</x:v>
      </x:c>
      <x:c r="M5258" s="26" t="n">
        <x:v>0</x:v>
      </x:c>
      <x:c r="N5258" s="24" t="n">
        <x:v>63.91682892154805</x:v>
      </x:c>
      <x:c r="O5258" s="28" t="n">
        <x:f>MIN(1,L5258/I5258)</x:f>
        <x:v>0.0023</x:v>
      </x:c>
      <x:c r="P5258" s="30" t="n">
        <x:f>O5258*J5258*(1+M5258)</x:f>
        <x:v>0.0023</x:v>
      </x:c>
      <x:c r="Q5258" s="30" t="n">
        <x:f>P5258*N5258</x:f>
        <x:v>0.14700870651956052</x:v>
      </x:c>
      <x:c r="R5258" s="19" t="str">
        <x:v>单池选一</x:v>
      </x:c>
    </x:row>
    <x:row r="5259" ht="19" customHeight="1">
      <x:c r="A5259" s="19" t="str">
        <x:v>D05255</x:v>
      </x:c>
      <x:c r="B5259" s="19" t="n">
        <x:v>1</x:v>
      </x:c>
      <x:c r="C5259" s="19" t="n">
        <x:v>3</x:v>
      </x:c>
      <x:c r="D5259" s="19" t="str">
        <x:v>EL-MON-COURT-003</x:v>
      </x:c>
      <x:c r="E5259" s="19" t="str">
        <x:v>苔甲骑兵</x:v>
      </x:c>
      <x:c r="F5259" s="19" t="str">
        <x:v>普通</x:v>
      </x:c>
      <x:c r="G5259" s="19" t="str">
        <x:v>制式独立候选</x:v>
      </x:c>
      <x:c r="H5259" s="19" t="str">
        <x:v>POOL090</x:v>
      </x:c>
      <x:c r="I5259" s="22" t="n">
        <x:v>5000</x:v>
      </x:c>
      <x:c r="J5259" s="22" t="n">
        <x:v>1</x:v>
      </x:c>
      <x:c r="K5259" s="19" t="n">
        <x:v>32</x:v>
      </x:c>
      <x:c r="L5259" s="24" t="n">
        <x:v>11.5</x:v>
      </x:c>
      <x:c r="M5259" s="26" t="n">
        <x:v>0</x:v>
      </x:c>
      <x:c r="N5259" s="24" t="n">
        <x:v>55.57985123612874</x:v>
      </x:c>
      <x:c r="O5259" s="28" t="n">
        <x:f>MIN(1,L5259/I5259)</x:f>
        <x:v>0.0023</x:v>
      </x:c>
      <x:c r="P5259" s="30" t="n">
        <x:f>O5259*J5259*(1+M5259)</x:f>
        <x:v>0.0023</x:v>
      </x:c>
      <x:c r="Q5259" s="30" t="n">
        <x:f>P5259*N5259</x:f>
        <x:v>0.1278336578430961</x:v>
      </x:c>
      <x:c r="R5259" s="19" t="str">
        <x:v>单池选一</x:v>
      </x:c>
    </x:row>
    <x:row r="5260" ht="19" customHeight="1">
      <x:c r="A5260" s="19" t="str">
        <x:v>D05256</x:v>
      </x:c>
      <x:c r="B5260" s="19" t="n">
        <x:v>1</x:v>
      </x:c>
      <x:c r="C5260" s="19" t="n">
        <x:v>3</x:v>
      </x:c>
      <x:c r="D5260" s="19" t="str">
        <x:v>EL-MON-COURT-004</x:v>
      </x:c>
      <x:c r="E5260" s="19" t="str">
        <x:v>王庭咒师</x:v>
      </x:c>
      <x:c r="F5260" s="19" t="str">
        <x:v>普通</x:v>
      </x:c>
      <x:c r="G5260" s="19" t="str">
        <x:v>制式独立候选</x:v>
      </x:c>
      <x:c r="H5260" s="19" t="str">
        <x:v>POOL090</x:v>
      </x:c>
      <x:c r="I5260" s="22" t="n">
        <x:v>5000</x:v>
      </x:c>
      <x:c r="J5260" s="22" t="n">
        <x:v>1</x:v>
      </x:c>
      <x:c r="K5260" s="19" t="n">
        <x:v>32</x:v>
      </x:c>
      <x:c r="L5260" s="24" t="n">
        <x:v>11.5</x:v>
      </x:c>
      <x:c r="M5260" s="26" t="n">
        <x:v>0</x:v>
      </x:c>
      <x:c r="N5260" s="24" t="n">
        <x:v>58.10620811049823</x:v>
      </x:c>
      <x:c r="O5260" s="28" t="n">
        <x:f>MIN(1,L5260/I5260)</x:f>
        <x:v>0.0023</x:v>
      </x:c>
      <x:c r="P5260" s="30" t="n">
        <x:f>O5260*J5260*(1+M5260)</x:f>
        <x:v>0.0023</x:v>
      </x:c>
      <x:c r="Q5260" s="30" t="n">
        <x:f>P5260*N5260</x:f>
        <x:v>0.13364427865414594</x:v>
      </x:c>
      <x:c r="R5260" s="19" t="str">
        <x:v>单池选一</x:v>
      </x:c>
    </x:row>
    <x:row r="5261" ht="19" customHeight="1">
      <x:c r="A5261" s="19" t="str">
        <x:v>D05257</x:v>
      </x:c>
      <x:c r="B5261" s="19" t="n">
        <x:v>1</x:v>
      </x:c>
      <x:c r="C5261" s="19" t="n">
        <x:v>3</x:v>
      </x:c>
      <x:c r="D5261" s="19" t="str">
        <x:v>EL-MON-COURT-005</x:v>
      </x:c>
      <x:c r="E5261" s="19" t="str">
        <x:v>深水石像</x:v>
      </x:c>
      <x:c r="F5261" s="19" t="str">
        <x:v>普通</x:v>
      </x:c>
      <x:c r="G5261" s="19" t="str">
        <x:v>制式独立候选</x:v>
      </x:c>
      <x:c r="H5261" s="19" t="str">
        <x:v>POOL090</x:v>
      </x:c>
      <x:c r="I5261" s="22" t="n">
        <x:v>5000</x:v>
      </x:c>
      <x:c r="J5261" s="22" t="n">
        <x:v>1</x:v>
      </x:c>
      <x:c r="K5261" s="19" t="n">
        <x:v>32</x:v>
      </x:c>
      <x:c r="L5261" s="24" t="n">
        <x:v>11.5</x:v>
      </x:c>
      <x:c r="M5261" s="26" t="n">
        <x:v>0</x:v>
      </x:c>
      <x:c r="N5261" s="24" t="n">
        <x:v>63.91682892154805</x:v>
      </x:c>
      <x:c r="O5261" s="28" t="n">
        <x:f>MIN(1,L5261/I5261)</x:f>
        <x:v>0.0023</x:v>
      </x:c>
      <x:c r="P5261" s="30" t="n">
        <x:f>O5261*J5261*(1+M5261)</x:f>
        <x:v>0.0023</x:v>
      </x:c>
      <x:c r="Q5261" s="30" t="n">
        <x:f>P5261*N5261</x:f>
        <x:v>0.14700870651956052</x:v>
      </x:c>
      <x:c r="R5261" s="19" t="str">
        <x:v>单池选一</x:v>
      </x:c>
    </x:row>
    <x:row r="5262" ht="19" customHeight="1">
      <x:c r="A5262" s="19" t="str">
        <x:v>D05258</x:v>
      </x:c>
      <x:c r="B5262" s="19" t="n">
        <x:v>1</x:v>
      </x:c>
      <x:c r="C5262" s="19" t="n">
        <x:v>3</x:v>
      </x:c>
      <x:c r="D5262" s="19" t="str">
        <x:v>EL-MON-COURT-006</x:v>
      </x:c>
      <x:c r="E5262" s="19" t="str">
        <x:v>幽灯侍者</x:v>
      </x:c>
      <x:c r="F5262" s="19" t="str">
        <x:v>普通</x:v>
      </x:c>
      <x:c r="G5262" s="19" t="str">
        <x:v>制式独立候选</x:v>
      </x:c>
      <x:c r="H5262" s="19" t="str">
        <x:v>POOL090</x:v>
      </x:c>
      <x:c r="I5262" s="22" t="n">
        <x:v>5000</x:v>
      </x:c>
      <x:c r="J5262" s="22" t="n">
        <x:v>1</x:v>
      </x:c>
      <x:c r="K5262" s="19" t="n">
        <x:v>32</x:v>
      </x:c>
      <x:c r="L5262" s="24" t="n">
        <x:v>11.5</x:v>
      </x:c>
      <x:c r="M5262" s="26" t="n">
        <x:v>0</x:v>
      </x:c>
      <x:c r="N5262" s="24" t="n">
        <x:v>63.91682892154805</x:v>
      </x:c>
      <x:c r="O5262" s="28" t="n">
        <x:f>MIN(1,L5262/I5262)</x:f>
        <x:v>0.0023</x:v>
      </x:c>
      <x:c r="P5262" s="30" t="n">
        <x:f>O5262*J5262*(1+M5262)</x:f>
        <x:v>0.0023</x:v>
      </x:c>
      <x:c r="Q5262" s="30" t="n">
        <x:f>P5262*N5262</x:f>
        <x:v>0.14700870651956052</x:v>
      </x:c>
      <x:c r="R5262" s="19" t="str">
        <x:v>单池选一</x:v>
      </x:c>
    </x:row>
    <x:row r="5263" ht="19" customHeight="1">
      <x:c r="A5263" s="19" t="str">
        <x:v>D05259</x:v>
      </x:c>
      <x:c r="B5263" s="19" t="n">
        <x:v>1</x:v>
      </x:c>
      <x:c r="C5263" s="19" t="n">
        <x:v>3</x:v>
      </x:c>
      <x:c r="D5263" s="19" t="str">
        <x:v>EL-MON-COURT-007</x:v>
      </x:c>
      <x:c r="E5263" s="19" t="str">
        <x:v>失冠王子</x:v>
      </x:c>
      <x:c r="F5263" s="19" t="str">
        <x:v>稀有</x:v>
      </x:c>
      <x:c r="G5263" s="19" t="str">
        <x:v>制式独立候选</x:v>
      </x:c>
      <x:c r="H5263" s="19" t="str">
        <x:v>POOL090</x:v>
      </x:c>
      <x:c r="I5263" s="22" t="n">
        <x:v>2500</x:v>
      </x:c>
      <x:c r="J5263" s="22" t="n">
        <x:v>1</x:v>
      </x:c>
      <x:c r="K5263" s="19" t="n">
        <x:v>32</x:v>
      </x:c>
      <x:c r="L5263" s="24" t="n">
        <x:v>11.5</x:v>
      </x:c>
      <x:c r="M5263" s="26" t="n">
        <x:v>0</x:v>
      </x:c>
      <x:c r="N5263" s="24" t="n">
        <x:v>7.080317800292339</x:v>
      </x:c>
      <x:c r="O5263" s="28" t="n">
        <x:f>MIN(1,L5263/I5263)</x:f>
        <x:v>0.0046</x:v>
      </x:c>
      <x:c r="P5263" s="30" t="n">
        <x:f>O5263*J5263*(1+M5263)</x:f>
        <x:v>0.0046</x:v>
      </x:c>
      <x:c r="Q5263" s="30" t="n">
        <x:f>P5263*N5263</x:f>
        <x:v>0.03256946188134476</x:v>
      </x:c>
      <x:c r="R5263" s="19" t="str">
        <x:v>单池选一</x:v>
      </x:c>
    </x:row>
    <x:row r="5264" ht="19" customHeight="1">
      <x:c r="A5264" s="19" t="str">
        <x:v>D05260</x:v>
      </x:c>
      <x:c r="B5264" s="19" t="n">
        <x:v>1</x:v>
      </x:c>
      <x:c r="C5264" s="19" t="n">
        <x:v>3</x:v>
      </x:c>
      <x:c r="D5264" s="19" t="str">
        <x:v>EL-MON-COURT-008</x:v>
      </x:c>
      <x:c r="E5264" s="19" t="str">
        <x:v>深渊看守</x:v>
      </x:c>
      <x:c r="F5264" s="19" t="str">
        <x:v>稀有</x:v>
      </x:c>
      <x:c r="G5264" s="19" t="str">
        <x:v>制式独立候选</x:v>
      </x:c>
      <x:c r="H5264" s="19" t="str">
        <x:v>POOL090</x:v>
      </x:c>
      <x:c r="I5264" s="22" t="n">
        <x:v>2500</x:v>
      </x:c>
      <x:c r="J5264" s="22" t="n">
        <x:v>1</x:v>
      </x:c>
      <x:c r="K5264" s="19" t="n">
        <x:v>32</x:v>
      </x:c>
      <x:c r="L5264" s="24" t="n">
        <x:v>11.5</x:v>
      </x:c>
      <x:c r="M5264" s="26" t="n">
        <x:v>0</x:v>
      </x:c>
      <x:c r="N5264" s="24" t="n">
        <x:v>6.772477895931803</x:v>
      </x:c>
      <x:c r="O5264" s="28" t="n">
        <x:f>MIN(1,L5264/I5264)</x:f>
        <x:v>0.0046</x:v>
      </x:c>
      <x:c r="P5264" s="30" t="n">
        <x:f>O5264*J5264*(1+M5264)</x:f>
        <x:v>0.0046</x:v>
      </x:c>
      <x:c r="Q5264" s="30" t="n">
        <x:f>P5264*N5264</x:f>
        <x:v>0.03115339832128629</x:v>
      </x:c>
      <x:c r="R5264" s="19" t="str">
        <x:v>单池选一</x:v>
      </x:c>
    </x:row>
    <x:row r="5265" ht="19" customHeight="1">
      <x:c r="A5265" s="19" t="str">
        <x:v>D05261</x:v>
      </x:c>
      <x:c r="B5265" s="19" t="n">
        <x:v>1</x:v>
      </x:c>
      <x:c r="C5265" s="19" t="n">
        <x:v>3</x:v>
      </x:c>
      <x:c r="D5265" s="19" t="str">
        <x:v>EL-MON-COURT-009</x:v>
      </x:c>
      <x:c r="E5265" s="19" t="str">
        <x:v>王庭裁决官</x:v>
      </x:c>
      <x:c r="F5265" s="19" t="str">
        <x:v>稀有</x:v>
      </x:c>
      <x:c r="G5265" s="19" t="str">
        <x:v>制式独立候选</x:v>
      </x:c>
      <x:c r="H5265" s="19" t="str">
        <x:v>POOL090</x:v>
      </x:c>
      <x:c r="I5265" s="22" t="n">
        <x:v>2500</x:v>
      </x:c>
      <x:c r="J5265" s="22" t="n">
        <x:v>1</x:v>
      </x:c>
      <x:c r="K5265" s="19" t="n">
        <x:v>32</x:v>
      </x:c>
      <x:c r="L5265" s="24" t="n">
        <x:v>11.5</x:v>
      </x:c>
      <x:c r="M5265" s="26" t="n">
        <x:v>0</x:v>
      </x:c>
      <x:c r="N5265" s="24" t="n">
        <x:v>7.788349580321572</x:v>
      </x:c>
      <x:c r="O5265" s="28" t="n">
        <x:f>MIN(1,L5265/I5265)</x:f>
        <x:v>0.0046</x:v>
      </x:c>
      <x:c r="P5265" s="30" t="n">
        <x:f>O5265*J5265*(1+M5265)</x:f>
        <x:v>0.0046</x:v>
      </x:c>
      <x:c r="Q5265" s="30" t="n">
        <x:f>P5265*N5265</x:f>
        <x:v>0.03582640806947923</x:v>
      </x:c>
      <x:c r="R5265" s="19" t="str">
        <x:v>单池选一</x:v>
      </x:c>
    </x:row>
    <x:row r="5266" ht="19" customHeight="1">
      <x:c r="A5266" s="19" t="str">
        <x:v>D05262</x:v>
      </x:c>
      <x:c r="B5266" s="19" t="n">
        <x:v>1</x:v>
      </x:c>
      <x:c r="C5266" s="19" t="n">
        <x:v>3</x:v>
      </x:c>
      <x:c r="D5266" s="19" t="str">
        <x:v>EL-MON-COURT-010</x:v>
      </x:c>
      <x:c r="E5266" s="19" t="str">
        <x:v>沉默女祭司</x:v>
      </x:c>
      <x:c r="F5266" s="19" t="str">
        <x:v>稀有</x:v>
      </x:c>
      <x:c r="G5266" s="19" t="str">
        <x:v>制式独立候选</x:v>
      </x:c>
      <x:c r="H5266" s="19" t="str">
        <x:v>POOL090</x:v>
      </x:c>
      <x:c r="I5266" s="22" t="n">
        <x:v>2500</x:v>
      </x:c>
      <x:c r="J5266" s="22" t="n">
        <x:v>1</x:v>
      </x:c>
      <x:c r="K5266" s="19" t="n">
        <x:v>32</x:v>
      </x:c>
      <x:c r="L5266" s="24" t="n">
        <x:v>11.5</x:v>
      </x:c>
      <x:c r="M5266" s="26" t="n">
        <x:v>0</x:v>
      </x:c>
      <x:c r="N5266" s="24" t="n">
        <x:v>7.788349580321572</x:v>
      </x:c>
      <x:c r="O5266" s="28" t="n">
        <x:f>MIN(1,L5266/I5266)</x:f>
        <x:v>0.0046</x:v>
      </x:c>
      <x:c r="P5266" s="30" t="n">
        <x:f>O5266*J5266*(1+M5266)</x:f>
        <x:v>0.0046</x:v>
      </x:c>
      <x:c r="Q5266" s="30" t="n">
        <x:f>P5266*N5266</x:f>
        <x:v>0.03582640806947923</x:v>
      </x:c>
      <x:c r="R5266" s="19" t="str">
        <x:v>单池选一</x:v>
      </x:c>
    </x:row>
    <x:row r="5267" ht="19" customHeight="1">
      <x:c r="A5267" s="19" t="str">
        <x:v>D05263</x:v>
      </x:c>
      <x:c r="B5267" s="19" t="n">
        <x:v>1</x:v>
      </x:c>
      <x:c r="C5267" s="19" t="n">
        <x:v>3</x:v>
      </x:c>
      <x:c r="D5267" s="19" t="str">
        <x:v>EL-MON-COURT-011</x:v>
      </x:c>
      <x:c r="E5267" s="19" t="str">
        <x:v>溺王亲卫长·萨恩</x:v>
      </x:c>
      <x:c r="F5267" s="19" t="str">
        <x:v>地图BOSS</x:v>
      </x:c>
      <x:c r="G5267" s="19" t="str">
        <x:v>制式独立候选</x:v>
      </x:c>
      <x:c r="H5267" s="19" t="str">
        <x:v>POOL090</x:v>
      </x:c>
      <x:c r="I5267" s="22" t="n">
        <x:v>800</x:v>
      </x:c>
      <x:c r="J5267" s="22" t="n">
        <x:v>1</x:v>
      </x:c>
      <x:c r="K5267" s="19" t="n">
        <x:v>32</x:v>
      </x:c>
      <x:c r="L5267" s="24" t="n">
        <x:v>11.5</x:v>
      </x:c>
      <x:c r="M5267" s="26" t="n">
        <x:v>0</x:v>
      </x:c>
      <x:c r="N5267" s="24" t="n">
        <x:v>2</x:v>
      </x:c>
      <x:c r="O5267" s="28" t="n">
        <x:f>MIN(1,L5267/I5267)</x:f>
        <x:v>0.014375</x:v>
      </x:c>
      <x:c r="P5267" s="30" t="n">
        <x:f>O5267*J5267*(1+M5267)</x:f>
        <x:v>0.014375</x:v>
      </x:c>
      <x:c r="Q5267" s="30" t="n">
        <x:f>P5267*N5267</x:f>
        <x:v>0.02875</x:v>
      </x:c>
      <x:c r="R5267" s="19" t="str">
        <x:v>单池选一</x:v>
      </x:c>
    </x:row>
    <x:row r="5268" ht="19" customHeight="1">
      <x:c r="A5268" s="19" t="str">
        <x:v>D05264</x:v>
      </x:c>
      <x:c r="B5268" s="19" t="n">
        <x:v>1</x:v>
      </x:c>
      <x:c r="C5268" s="19" t="n">
        <x:v>3</x:v>
      </x:c>
      <x:c r="D5268" s="19" t="str">
        <x:v>EL-MON-COURT-012</x:v>
      </x:c>
      <x:c r="E5268" s="19" t="str">
        <x:v>深潮大祭司·伊莱娜</x:v>
      </x:c>
      <x:c r="F5268" s="19" t="str">
        <x:v>地图BOSS</x:v>
      </x:c>
      <x:c r="G5268" s="19" t="str">
        <x:v>制式独立候选</x:v>
      </x:c>
      <x:c r="H5268" s="19" t="str">
        <x:v>POOL090</x:v>
      </x:c>
      <x:c r="I5268" s="22" t="n">
        <x:v>800</x:v>
      </x:c>
      <x:c r="J5268" s="22" t="n">
        <x:v>1</x:v>
      </x:c>
      <x:c r="K5268" s="19" t="n">
        <x:v>32</x:v>
      </x:c>
      <x:c r="L5268" s="24" t="n">
        <x:v>11.5</x:v>
      </x:c>
      <x:c r="M5268" s="26" t="n">
        <x:v>0</x:v>
      </x:c>
      <x:c r="N5268" s="24" t="n">
        <x:v>2</x:v>
      </x:c>
      <x:c r="O5268" s="28" t="n">
        <x:f>MIN(1,L5268/I5268)</x:f>
        <x:v>0.014375</x:v>
      </x:c>
      <x:c r="P5268" s="30" t="n">
        <x:f>O5268*J5268*(1+M5268)</x:f>
        <x:v>0.014375</x:v>
      </x:c>
      <x:c r="Q5268" s="30" t="n">
        <x:f>P5268*N5268</x:f>
        <x:v>0.02875</x:v>
      </x:c>
      <x:c r="R5268" s="19" t="str">
        <x:v>单池选一</x:v>
      </x:c>
    </x:row>
    <x:row r="5269" ht="19" customHeight="1">
      <x:c r="A5269" s="19" t="str">
        <x:v>D05265</x:v>
      </x:c>
      <x:c r="B5269" s="19" t="n">
        <x:v>1</x:v>
      </x:c>
      <x:c r="C5269" s="19" t="n">
        <x:v>3</x:v>
      </x:c>
      <x:c r="D5269" s="19" t="str">
        <x:v>EL-MON-COURT-013</x:v>
      </x:c>
      <x:c r="E5269" s="19" t="str">
        <x:v>沉没之王·奥德里安</x:v>
      </x:c>
      <x:c r="F5269" s="19" t="str">
        <x:v>守关BOSS</x:v>
      </x:c>
      <x:c r="G5269" s="19" t="str">
        <x:v>制式独立候选</x:v>
      </x:c>
      <x:c r="H5269" s="19" t="str">
        <x:v>POOL090</x:v>
      </x:c>
      <x:c r="I5269" s="22" t="n">
        <x:v>60</x:v>
      </x:c>
      <x:c r="J5269" s="22" t="n">
        <x:v>1</x:v>
      </x:c>
      <x:c r="K5269" s="19" t="n">
        <x:v>32</x:v>
      </x:c>
      <x:c r="L5269" s="24" t="n">
        <x:v>11.5</x:v>
      </x:c>
      <x:c r="M5269" s="26" t="n">
        <x:v>0</x:v>
      </x:c>
      <x:c r="N5269" s="24" t="n">
        <x:v>0</x:v>
      </x:c>
      <x:c r="O5269" s="28" t="n">
        <x:f>MIN(1,L5269/I5269)</x:f>
        <x:v>0.19166666666666668</x:v>
      </x:c>
      <x:c r="P5269" s="30" t="n">
        <x:f>O5269*J5269*(1+M5269)</x:f>
        <x:v>0.19166666666666668</x:v>
      </x:c>
      <x:c r="Q5269" s="30" t="n">
        <x:f>P5269*N5269</x:f>
        <x:v>0</x:v>
      </x:c>
      <x:c r="R5269" s="19" t="str">
        <x:v>单池选一</x:v>
      </x:c>
    </x:row>
    <x:row r="5270" ht="19" customHeight="1">
      <x:c r="A5270" s="19" t="str">
        <x:v>D05266</x:v>
      </x:c>
      <x:c r="B5270" s="19" t="n">
        <x:v>2</x:v>
      </x:c>
      <x:c r="C5270" s="19" t="n">
        <x:v>1</x:v>
      </x:c>
      <x:c r="D5270" s="19" t="str">
        <x:v>EL-MON-LIM-GRAVE-001</x:v>
      </x:c>
      <x:c r="E5270" s="19" t="str">
        <x:v>褪色墓卒</x:v>
      </x:c>
      <x:c r="F5270" s="19" t="str">
        <x:v>普通</x:v>
      </x:c>
      <x:c r="G5270" s="19" t="str">
        <x:v>制式独立候选</x:v>
      </x:c>
      <x:c r="H5270" s="19" t="str">
        <x:v>POOL091</x:v>
      </x:c>
      <x:c r="I5270" s="22" t="n">
        <x:v>8000</x:v>
      </x:c>
      <x:c r="J5270" s="22" t="n">
        <x:v>1</x:v>
      </x:c>
      <x:c r="K5270" s="19" t="n">
        <x:v>16</x:v>
      </x:c>
      <x:c r="L5270" s="24" t="n">
        <x:v>13.799999999999999</x:v>
      </x:c>
      <x:c r="M5270" s="26" t="n">
        <x:v>0.1</x:v>
      </x:c>
      <x:c r="N5270" s="24" t="n">
        <x:v>72</x:v>
      </x:c>
      <x:c r="O5270" s="28" t="n">
        <x:f>MIN(1,L5270/I5270)</x:f>
        <x:v>0.001725</x:v>
      </x:c>
      <x:c r="P5270" s="30" t="n">
        <x:f>O5270*J5270*(1+M5270)</x:f>
        <x:v>0.0018975</x:v>
      </x:c>
      <x:c r="Q5270" s="30" t="n">
        <x:f>P5270*N5270</x:f>
        <x:v>0.13662000000000002</x:v>
      </x:c>
      <x:c r="R5270" s="19" t="str">
        <x:v>单池选一</x:v>
      </x:c>
    </x:row>
    <x:row r="5271" ht="19" customHeight="1">
      <x:c r="A5271" s="19" t="str">
        <x:v>D05267</x:v>
      </x:c>
      <x:c r="B5271" s="19" t="n">
        <x:v>2</x:v>
      </x:c>
      <x:c r="C5271" s="19" t="n">
        <x:v>1</x:v>
      </x:c>
      <x:c r="D5271" s="19" t="str">
        <x:v>EL-MON-LIM-GRAVE-002</x:v>
      </x:c>
      <x:c r="E5271" s="19" t="str">
        <x:v>漂泊腐尸</x:v>
      </x:c>
      <x:c r="F5271" s="19" t="str">
        <x:v>普通</x:v>
      </x:c>
      <x:c r="G5271" s="19" t="str">
        <x:v>制式独立候选</x:v>
      </x:c>
      <x:c r="H5271" s="19" t="str">
        <x:v>POOL091</x:v>
      </x:c>
      <x:c r="I5271" s="22" t="n">
        <x:v>8000</x:v>
      </x:c>
      <x:c r="J5271" s="22" t="n">
        <x:v>1</x:v>
      </x:c>
      <x:c r="K5271" s="19" t="n">
        <x:v>16</x:v>
      </x:c>
      <x:c r="L5271" s="24" t="n">
        <x:v>13.799999999999999</x:v>
      </x:c>
      <x:c r="M5271" s="26" t="n">
        <x:v>0.1</x:v>
      </x:c>
      <x:c r="N5271" s="24" t="n">
        <x:v>72</x:v>
      </x:c>
      <x:c r="O5271" s="28" t="n">
        <x:f>MIN(1,L5271/I5271)</x:f>
        <x:v>0.001725</x:v>
      </x:c>
      <x:c r="P5271" s="30" t="n">
        <x:f>O5271*J5271*(1+M5271)</x:f>
        <x:v>0.0018975</x:v>
      </x:c>
      <x:c r="Q5271" s="30" t="n">
        <x:f>P5271*N5271</x:f>
        <x:v>0.13662000000000002</x:v>
      </x:c>
      <x:c r="R5271" s="19" t="str">
        <x:v>单池选一</x:v>
      </x:c>
    </x:row>
    <x:row r="5272" ht="19" customHeight="1">
      <x:c r="A5272" s="19" t="str">
        <x:v>D05268</x:v>
      </x:c>
      <x:c r="B5272" s="19" t="n">
        <x:v>2</x:v>
      </x:c>
      <x:c r="C5272" s="19" t="n">
        <x:v>1</x:v>
      </x:c>
      <x:c r="D5272" s="19" t="str">
        <x:v>EL-MON-LIM-GRAVE-003</x:v>
      </x:c>
      <x:c r="E5272" s="19" t="str">
        <x:v>墓穴尖牙鬼</x:v>
      </x:c>
      <x:c r="F5272" s="19" t="str">
        <x:v>普通</x:v>
      </x:c>
      <x:c r="G5272" s="19" t="str">
        <x:v>制式独立候选</x:v>
      </x:c>
      <x:c r="H5272" s="19" t="str">
        <x:v>POOL091</x:v>
      </x:c>
      <x:c r="I5272" s="22" t="n">
        <x:v>8000</x:v>
      </x:c>
      <x:c r="J5272" s="22" t="n">
        <x:v>1</x:v>
      </x:c>
      <x:c r="K5272" s="19" t="n">
        <x:v>16</x:v>
      </x:c>
      <x:c r="L5272" s="24" t="n">
        <x:v>13.799999999999999</x:v>
      </x:c>
      <x:c r="M5272" s="26" t="n">
        <x:v>0.1</x:v>
      </x:c>
      <x:c r="N5272" s="24" t="n">
        <x:v>72</x:v>
      </x:c>
      <x:c r="O5272" s="28" t="n">
        <x:f>MIN(1,L5272/I5272)</x:f>
        <x:v>0.001725</x:v>
      </x:c>
      <x:c r="P5272" s="30" t="n">
        <x:f>O5272*J5272*(1+M5272)</x:f>
        <x:v>0.0018975</x:v>
      </x:c>
      <x:c r="Q5272" s="30" t="n">
        <x:f>P5272*N5272</x:f>
        <x:v>0.13662000000000002</x:v>
      </x:c>
      <x:c r="R5272" s="19" t="str">
        <x:v>单池选一</x:v>
      </x:c>
    </x:row>
    <x:row r="5273" ht="19" customHeight="1">
      <x:c r="A5273" s="19" t="str">
        <x:v>D05269</x:v>
      </x:c>
      <x:c r="B5273" s="19" t="n">
        <x:v>2</x:v>
      </x:c>
      <x:c r="C5273" s="19" t="n">
        <x:v>1</x:v>
      </x:c>
      <x:c r="D5273" s="19" t="str">
        <x:v>EL-MON-LIM-GRAVE-004</x:v>
      </x:c>
      <x:c r="E5273" s="19" t="str">
        <x:v>石肤守墓人</x:v>
      </x:c>
      <x:c r="F5273" s="19" t="str">
        <x:v>普通</x:v>
      </x:c>
      <x:c r="G5273" s="19" t="str">
        <x:v>制式独立候选</x:v>
      </x:c>
      <x:c r="H5273" s="19" t="str">
        <x:v>POOL091</x:v>
      </x:c>
      <x:c r="I5273" s="22" t="n">
        <x:v>8000</x:v>
      </x:c>
      <x:c r="J5273" s="22" t="n">
        <x:v>1</x:v>
      </x:c>
      <x:c r="K5273" s="19" t="n">
        <x:v>16</x:v>
      </x:c>
      <x:c r="L5273" s="24" t="n">
        <x:v>13.799999999999999</x:v>
      </x:c>
      <x:c r="M5273" s="26" t="n">
        <x:v>0.1</x:v>
      </x:c>
      <x:c r="N5273" s="24" t="n">
        <x:v>72</x:v>
      </x:c>
      <x:c r="O5273" s="28" t="n">
        <x:f>MIN(1,L5273/I5273)</x:f>
        <x:v>0.001725</x:v>
      </x:c>
      <x:c r="P5273" s="30" t="n">
        <x:f>O5273*J5273*(1+M5273)</x:f>
        <x:v>0.0018975</x:v>
      </x:c>
      <x:c r="Q5273" s="30" t="n">
        <x:f>P5273*N5273</x:f>
        <x:v>0.13662000000000002</x:v>
      </x:c>
      <x:c r="R5273" s="19" t="str">
        <x:v>单池选一</x:v>
      </x:c>
    </x:row>
    <x:row r="5274" ht="19" customHeight="1">
      <x:c r="A5274" s="19" t="str">
        <x:v>D05270</x:v>
      </x:c>
      <x:c r="B5274" s="19" t="n">
        <x:v>2</x:v>
      </x:c>
      <x:c r="C5274" s="19" t="n">
        <x:v>1</x:v>
      </x:c>
      <x:c r="D5274" s="19" t="str">
        <x:v>EL-MON-LIM-GRAVE-005</x:v>
      </x:c>
      <x:c r="E5274" s="19" t="str">
        <x:v>失乡弩尸</x:v>
      </x:c>
      <x:c r="F5274" s="19" t="str">
        <x:v>普通</x:v>
      </x:c>
      <x:c r="G5274" s="19" t="str">
        <x:v>制式独立候选</x:v>
      </x:c>
      <x:c r="H5274" s="19" t="str">
        <x:v>POOL091</x:v>
      </x:c>
      <x:c r="I5274" s="22" t="n">
        <x:v>8000</x:v>
      </x:c>
      <x:c r="J5274" s="22" t="n">
        <x:v>1</x:v>
      </x:c>
      <x:c r="K5274" s="19" t="n">
        <x:v>16</x:v>
      </x:c>
      <x:c r="L5274" s="24" t="n">
        <x:v>13.799999999999999</x:v>
      </x:c>
      <x:c r="M5274" s="26" t="n">
        <x:v>0.1</x:v>
      </x:c>
      <x:c r="N5274" s="24" t="n">
        <x:v>72</x:v>
      </x:c>
      <x:c r="O5274" s="28" t="n">
        <x:f>MIN(1,L5274/I5274)</x:f>
        <x:v>0.001725</x:v>
      </x:c>
      <x:c r="P5274" s="30" t="n">
        <x:f>O5274*J5274*(1+M5274)</x:f>
        <x:v>0.0018975</x:v>
      </x:c>
      <x:c r="Q5274" s="30" t="n">
        <x:f>P5274*N5274</x:f>
        <x:v>0.13662000000000002</x:v>
      </x:c>
      <x:c r="R5274" s="19" t="str">
        <x:v>单池选一</x:v>
      </x:c>
    </x:row>
    <x:row r="5275" ht="19" customHeight="1">
      <x:c r="A5275" s="19" t="str">
        <x:v>D05271</x:v>
      </x:c>
      <x:c r="B5275" s="19" t="n">
        <x:v>2</x:v>
      </x:c>
      <x:c r="C5275" s="19" t="n">
        <x:v>1</x:v>
      </x:c>
      <x:c r="D5275" s="19" t="str">
        <x:v>EL-MON-LIM-GRAVE-006</x:v>
      </x:c>
      <x:c r="E5275" s="19" t="str">
        <x:v>幽火墓蛾</x:v>
      </x:c>
      <x:c r="F5275" s="19" t="str">
        <x:v>普通</x:v>
      </x:c>
      <x:c r="G5275" s="19" t="str">
        <x:v>制式独立候选</x:v>
      </x:c>
      <x:c r="H5275" s="19" t="str">
        <x:v>POOL091</x:v>
      </x:c>
      <x:c r="I5275" s="22" t="n">
        <x:v>8000</x:v>
      </x:c>
      <x:c r="J5275" s="22" t="n">
        <x:v>1</x:v>
      </x:c>
      <x:c r="K5275" s="19" t="n">
        <x:v>16</x:v>
      </x:c>
      <x:c r="L5275" s="24" t="n">
        <x:v>13.799999999999999</x:v>
      </x:c>
      <x:c r="M5275" s="26" t="n">
        <x:v>0.1</x:v>
      </x:c>
      <x:c r="N5275" s="24" t="n">
        <x:v>72</x:v>
      </x:c>
      <x:c r="O5275" s="28" t="n">
        <x:f>MIN(1,L5275/I5275)</x:f>
        <x:v>0.001725</x:v>
      </x:c>
      <x:c r="P5275" s="30" t="n">
        <x:f>O5275*J5275*(1+M5275)</x:f>
        <x:v>0.0018975</x:v>
      </x:c>
      <x:c r="Q5275" s="30" t="n">
        <x:f>P5275*N5275</x:f>
        <x:v>0.13662000000000002</x:v>
      </x:c>
      <x:c r="R5275" s="19" t="str">
        <x:v>单池选一</x:v>
      </x:c>
    </x:row>
    <x:row r="5276" ht="19" customHeight="1">
      <x:c r="A5276" s="19" t="str">
        <x:v>D05272</x:v>
      </x:c>
      <x:c r="B5276" s="19" t="n">
        <x:v>2</x:v>
      </x:c>
      <x:c r="C5276" s="19" t="n">
        <x:v>1</x:v>
      </x:c>
      <x:c r="D5276" s="19" t="str">
        <x:v>EL-MON-LIM-GRAVE-007</x:v>
      </x:c>
      <x:c r="E5276" s="19" t="str">
        <x:v>归树看门犬</x:v>
      </x:c>
      <x:c r="F5276" s="19" t="str">
        <x:v>稀有</x:v>
      </x:c>
      <x:c r="G5276" s="19" t="str">
        <x:v>制式独立候选</x:v>
      </x:c>
      <x:c r="H5276" s="19" t="str">
        <x:v>POOL091</x:v>
      </x:c>
      <x:c r="I5276" s="22" t="n">
        <x:v>4000</x:v>
      </x:c>
      <x:c r="J5276" s="22" t="n">
        <x:v>1</x:v>
      </x:c>
      <x:c r="K5276" s="19" t="n">
        <x:v>16</x:v>
      </x:c>
      <x:c r="L5276" s="24" t="n">
        <x:v>13.799999999999999</x:v>
      </x:c>
      <x:c r="M5276" s="26" t="n">
        <x:v>0.1</x:v>
      </x:c>
      <x:c r="N5276" s="24" t="n">
        <x:v>11.539476758391105</x:v>
      </x:c>
      <x:c r="O5276" s="28" t="n">
        <x:f>MIN(1,L5276/I5276)</x:f>
        <x:v>0.00345</x:v>
      </x:c>
      <x:c r="P5276" s="30" t="n">
        <x:f>O5276*J5276*(1+M5276)</x:f>
        <x:v>0.003795</x:v>
      </x:c>
      <x:c r="Q5276" s="30" t="n">
        <x:f>P5276*N5276</x:f>
        <x:v>0.04379231429809425</x:v>
      </x:c>
      <x:c r="R5276" s="19" t="str">
        <x:v>单池选一</x:v>
      </x:c>
    </x:row>
    <x:row r="5277" ht="19" customHeight="1">
      <x:c r="A5277" s="19" t="str">
        <x:v>D05273</x:v>
      </x:c>
      <x:c r="B5277" s="19" t="n">
        <x:v>2</x:v>
      </x:c>
      <x:c r="C5277" s="19" t="n">
        <x:v>1</x:v>
      </x:c>
      <x:c r="D5277" s="19" t="str">
        <x:v>EL-MON-LIM-GRAVE-008</x:v>
      </x:c>
      <x:c r="E5277" s="19" t="str">
        <x:v>腐败树根兽</x:v>
      </x:c>
      <x:c r="F5277" s="19" t="str">
        <x:v>稀有</x:v>
      </x:c>
      <x:c r="G5277" s="19" t="str">
        <x:v>制式独立候选</x:v>
      </x:c>
      <x:c r="H5277" s="19" t="str">
        <x:v>POOL091</x:v>
      </x:c>
      <x:c r="I5277" s="22" t="n">
        <x:v>4000</x:v>
      </x:c>
      <x:c r="J5277" s="22" t="n">
        <x:v>1</x:v>
      </x:c>
      <x:c r="K5277" s="19" t="n">
        <x:v>16</x:v>
      </x:c>
      <x:c r="L5277" s="24" t="n">
        <x:v>13.799999999999999</x:v>
      </x:c>
      <x:c r="M5277" s="26" t="n">
        <x:v>0.1</x:v>
      </x:c>
      <x:c r="N5277" s="24" t="n">
        <x:v>12</x:v>
      </x:c>
      <x:c r="O5277" s="28" t="n">
        <x:f>MIN(1,L5277/I5277)</x:f>
        <x:v>0.00345</x:v>
      </x:c>
      <x:c r="P5277" s="30" t="n">
        <x:f>O5277*J5277*(1+M5277)</x:f>
        <x:v>0.003795</x:v>
      </x:c>
      <x:c r="Q5277" s="30" t="n">
        <x:f>P5277*N5277</x:f>
        <x:v>0.045540000000000004</x:v>
      </x:c>
      <x:c r="R5277" s="19" t="str">
        <x:v>单池选一</x:v>
      </x:c>
    </x:row>
    <x:row r="5278" ht="19" customHeight="1">
      <x:c r="A5278" s="19" t="str">
        <x:v>D05274</x:v>
      </x:c>
      <x:c r="B5278" s="19" t="n">
        <x:v>2</x:v>
      </x:c>
      <x:c r="C5278" s="19" t="n">
        <x:v>1</x:v>
      </x:c>
      <x:c r="D5278" s="19" t="str">
        <x:v>EL-MON-LIM-GRAVE-009</x:v>
      </x:c>
      <x:c r="E5278" s="19" t="str">
        <x:v>失乡熔炉骑士</x:v>
      </x:c>
      <x:c r="F5278" s="19" t="str">
        <x:v>稀有</x:v>
      </x:c>
      <x:c r="G5278" s="19" t="str">
        <x:v>制式独立候选</x:v>
      </x:c>
      <x:c r="H5278" s="19" t="str">
        <x:v>POOL091</x:v>
      </x:c>
      <x:c r="I5278" s="22" t="n">
        <x:v>4000</x:v>
      </x:c>
      <x:c r="J5278" s="22" t="n">
        <x:v>1</x:v>
      </x:c>
      <x:c r="K5278" s="19" t="n">
        <x:v>16</x:v>
      </x:c>
      <x:c r="L5278" s="24" t="n">
        <x:v>13.799999999999999</x:v>
      </x:c>
      <x:c r="M5278" s="26" t="n">
        <x:v>0.1</x:v>
      </x:c>
      <x:c r="N5278" s="24" t="n">
        <x:v>12</x:v>
      </x:c>
      <x:c r="O5278" s="28" t="n">
        <x:f>MIN(1,L5278/I5278)</x:f>
        <x:v>0.00345</x:v>
      </x:c>
      <x:c r="P5278" s="30" t="n">
        <x:f>O5278*J5278*(1+M5278)</x:f>
        <x:v>0.003795</x:v>
      </x:c>
      <x:c r="Q5278" s="30" t="n">
        <x:f>P5278*N5278</x:f>
        <x:v>0.045540000000000004</x:v>
      </x:c>
      <x:c r="R5278" s="19" t="str">
        <x:v>单池选一</x:v>
      </x:c>
    </x:row>
    <x:row r="5279" ht="19" customHeight="1">
      <x:c r="A5279" s="19" t="str">
        <x:v>D05275</x:v>
      </x:c>
      <x:c r="B5279" s="19" t="n">
        <x:v>2</x:v>
      </x:c>
      <x:c r="C5279" s="19" t="n">
        <x:v>1</x:v>
      </x:c>
      <x:c r="D5279" s="19" t="str">
        <x:v>EL-MON-LIM-GRAVE-010</x:v>
      </x:c>
      <x:c r="E5279" s="19" t="str">
        <x:v>英雄墓影</x:v>
      </x:c>
      <x:c r="F5279" s="19" t="str">
        <x:v>稀有</x:v>
      </x:c>
      <x:c r="G5279" s="19" t="str">
        <x:v>制式独立候选</x:v>
      </x:c>
      <x:c r="H5279" s="19" t="str">
        <x:v>POOL091</x:v>
      </x:c>
      <x:c r="I5279" s="22" t="n">
        <x:v>4000</x:v>
      </x:c>
      <x:c r="J5279" s="22" t="n">
        <x:v>1</x:v>
      </x:c>
      <x:c r="K5279" s="19" t="n">
        <x:v>16</x:v>
      </x:c>
      <x:c r="L5279" s="24" t="n">
        <x:v>13.799999999999999</x:v>
      </x:c>
      <x:c r="M5279" s="26" t="n">
        <x:v>0.1</x:v>
      </x:c>
      <x:c r="N5279" s="24" t="n">
        <x:v>11.539476758391105</x:v>
      </x:c>
      <x:c r="O5279" s="28" t="n">
        <x:f>MIN(1,L5279/I5279)</x:f>
        <x:v>0.00345</x:v>
      </x:c>
      <x:c r="P5279" s="30" t="n">
        <x:f>O5279*J5279*(1+M5279)</x:f>
        <x:v>0.003795</x:v>
      </x:c>
      <x:c r="Q5279" s="30" t="n">
        <x:f>P5279*N5279</x:f>
        <x:v>0.04379231429809425</x:v>
      </x:c>
      <x:c r="R5279" s="19" t="str">
        <x:v>单池选一</x:v>
      </x:c>
    </x:row>
    <x:row r="5280" ht="19" customHeight="1">
      <x:c r="A5280" s="19" t="str">
        <x:v>D05276</x:v>
      </x:c>
      <x:c r="B5280" s="19" t="n">
        <x:v>2</x:v>
      </x:c>
      <x:c r="C5280" s="19" t="n">
        <x:v>1</x:v>
      </x:c>
      <x:c r="D5280" s="19" t="str">
        <x:v>EL-MON-LIM-GRAVE-011</x:v>
      </x:c>
      <x:c r="E5280" s="19" t="str">
        <x:v>溃烂树灵·乌尔德</x:v>
      </x:c>
      <x:c r="F5280" s="19" t="str">
        <x:v>地图BOSS</x:v>
      </x:c>
      <x:c r="G5280" s="19" t="str">
        <x:v>制式独立候选</x:v>
      </x:c>
      <x:c r="H5280" s="19" t="str">
        <x:v>POOL091</x:v>
      </x:c>
      <x:c r="I5280" s="22" t="n">
        <x:v>1000</x:v>
      </x:c>
      <x:c r="J5280" s="22" t="n">
        <x:v>1</x:v>
      </x:c>
      <x:c r="K5280" s="19" t="n">
        <x:v>16</x:v>
      </x:c>
      <x:c r="L5280" s="24" t="n">
        <x:v>13.799999999999999</x:v>
      </x:c>
      <x:c r="M5280" s="26" t="n">
        <x:v>0.1</x:v>
      </x:c>
      <x:c r="N5280" s="24" t="n">
        <x:v>2</x:v>
      </x:c>
      <x:c r="O5280" s="28" t="n">
        <x:f>MIN(1,L5280/I5280)</x:f>
        <x:v>0.0138</x:v>
      </x:c>
      <x:c r="P5280" s="30" t="n">
        <x:f>O5280*J5280*(1+M5280)</x:f>
        <x:v>0.01518</x:v>
      </x:c>
      <x:c r="Q5280" s="30" t="n">
        <x:f>P5280*N5280</x:f>
        <x:v>0.03036</x:v>
      </x:c>
      <x:c r="R5280" s="19" t="str">
        <x:v>单池选一</x:v>
      </x:c>
    </x:row>
    <x:row r="5281" ht="19" customHeight="1">
      <x:c r="A5281" s="19" t="str">
        <x:v>D05277</x:v>
      </x:c>
      <x:c r="B5281" s="19" t="n">
        <x:v>2</x:v>
      </x:c>
      <x:c r="C5281" s="19" t="n">
        <x:v>1</x:v>
      </x:c>
      <x:c r="D5281" s="19" t="str">
        <x:v>EL-MON-LIM-GRAVE-012</x:v>
      </x:c>
      <x:c r="E5281" s="19" t="str">
        <x:v>接肢贵胄·格雷姆</x:v>
      </x:c>
      <x:c r="F5281" s="19" t="str">
        <x:v>地图BOSS</x:v>
      </x:c>
      <x:c r="G5281" s="19" t="str">
        <x:v>制式独立候选</x:v>
      </x:c>
      <x:c r="H5281" s="19" t="str">
        <x:v>POOL091</x:v>
      </x:c>
      <x:c r="I5281" s="22" t="n">
        <x:v>1000</x:v>
      </x:c>
      <x:c r="J5281" s="22" t="n">
        <x:v>1</x:v>
      </x:c>
      <x:c r="K5281" s="19" t="n">
        <x:v>16</x:v>
      </x:c>
      <x:c r="L5281" s="24" t="n">
        <x:v>13.799999999999999</x:v>
      </x:c>
      <x:c r="M5281" s="26" t="n">
        <x:v>0.1</x:v>
      </x:c>
      <x:c r="N5281" s="24" t="n">
        <x:v>2</x:v>
      </x:c>
      <x:c r="O5281" s="28" t="n">
        <x:f>MIN(1,L5281/I5281)</x:f>
        <x:v>0.0138</x:v>
      </x:c>
      <x:c r="P5281" s="30" t="n">
        <x:f>O5281*J5281*(1+M5281)</x:f>
        <x:v>0.01518</x:v>
      </x:c>
      <x:c r="Q5281" s="30" t="n">
        <x:f>P5281*N5281</x:f>
        <x:v>0.03036</x:v>
      </x:c>
      <x:c r="R5281" s="19" t="str">
        <x:v>单池选一</x:v>
      </x:c>
    </x:row>
    <x:row r="5282" ht="19" customHeight="1">
      <x:c r="A5282" s="19" t="str">
        <x:v>D05278</x:v>
      </x:c>
      <x:c r="B5282" s="19" t="n">
        <x:v>2</x:v>
      </x:c>
      <x:c r="C5282" s="19" t="n">
        <x:v>2</x:v>
      </x:c>
      <x:c r="D5282" s="19" t="str">
        <x:v>EL-MON-LIM-GATE-001</x:v>
      </x:c>
      <x:c r="E5282" s="19" t="str">
        <x:v>葛瑞克步兵</x:v>
      </x:c>
      <x:c r="F5282" s="19" t="str">
        <x:v>普通</x:v>
      </x:c>
      <x:c r="G5282" s="19" t="str">
        <x:v>制式独立候选</x:v>
      </x:c>
      <x:c r="H5282" s="19" t="str">
        <x:v>POOL092</x:v>
      </x:c>
      <x:c r="I5282" s="22" t="n">
        <x:v>12000</x:v>
      </x:c>
      <x:c r="J5282" s="22" t="n">
        <x:v>1</x:v>
      </x:c>
      <x:c r="K5282" s="19" t="n">
        <x:v>16</x:v>
      </x:c>
      <x:c r="L5282" s="24" t="n">
        <x:v>13.839999999999998</x:v>
      </x:c>
      <x:c r="M5282" s="26" t="n">
        <x:v>0.1</x:v>
      </x:c>
      <x:c r="N5282" s="24" t="n">
        <x:v>72</x:v>
      </x:c>
      <x:c r="O5282" s="28" t="n">
        <x:f>MIN(1,L5282/I5282)</x:f>
        <x:v>0.0011533333333333333</x:v>
      </x:c>
      <x:c r="P5282" s="30" t="n">
        <x:f>O5282*J5282*(1+M5282)</x:f>
        <x:v>0.0012686666666666666</x:v>
      </x:c>
      <x:c r="Q5282" s="30" t="n">
        <x:f>P5282*N5282</x:f>
        <x:v>0.091344</x:v>
      </x:c>
      <x:c r="R5282" s="19" t="str">
        <x:v>单池选一</x:v>
      </x:c>
    </x:row>
    <x:row r="5283" ht="19" customHeight="1">
      <x:c r="A5283" s="19" t="str">
        <x:v>D05279</x:v>
      </x:c>
      <x:c r="B5283" s="19" t="n">
        <x:v>2</x:v>
      </x:c>
      <x:c r="C5283" s="19" t="n">
        <x:v>2</x:v>
      </x:c>
      <x:c r="D5283" s="19" t="str">
        <x:v>EL-MON-LIM-GATE-002</x:v>
      </x:c>
      <x:c r="E5283" s="19" t="str">
        <x:v>关卡长枪兵</x:v>
      </x:c>
      <x:c r="F5283" s="19" t="str">
        <x:v>普通</x:v>
      </x:c>
      <x:c r="G5283" s="19" t="str">
        <x:v>制式独立候选</x:v>
      </x:c>
      <x:c r="H5283" s="19" t="str">
        <x:v>POOL092</x:v>
      </x:c>
      <x:c r="I5283" s="22" t="n">
        <x:v>12000</x:v>
      </x:c>
      <x:c r="J5283" s="22" t="n">
        <x:v>1</x:v>
      </x:c>
      <x:c r="K5283" s="19" t="n">
        <x:v>16</x:v>
      </x:c>
      <x:c r="L5283" s="24" t="n">
        <x:v>13.839999999999998</x:v>
      </x:c>
      <x:c r="M5283" s="26" t="n">
        <x:v>0.1</x:v>
      </x:c>
      <x:c r="N5283" s="24" t="n">
        <x:v>72</x:v>
      </x:c>
      <x:c r="O5283" s="28" t="n">
        <x:f>MIN(1,L5283/I5283)</x:f>
        <x:v>0.0011533333333333333</x:v>
      </x:c>
      <x:c r="P5283" s="30" t="n">
        <x:f>O5283*J5283*(1+M5283)</x:f>
        <x:v>0.0012686666666666666</x:v>
      </x:c>
      <x:c r="Q5283" s="30" t="n">
        <x:f>P5283*N5283</x:f>
        <x:v>0.091344</x:v>
      </x:c>
      <x:c r="R5283" s="19" t="str">
        <x:v>单池选一</x:v>
      </x:c>
    </x:row>
    <x:row r="5284" ht="19" customHeight="1">
      <x:c r="A5284" s="19" t="str">
        <x:v>D05280</x:v>
      </x:c>
      <x:c r="B5284" s="19" t="n">
        <x:v>2</x:v>
      </x:c>
      <x:c r="C5284" s="19" t="n">
        <x:v>2</x:v>
      </x:c>
      <x:c r="D5284" s="19" t="str">
        <x:v>EL-MON-LIM-GATE-003</x:v>
      </x:c>
      <x:c r="E5284" s="19" t="str">
        <x:v>废墟弩手</x:v>
      </x:c>
      <x:c r="F5284" s="19" t="str">
        <x:v>普通</x:v>
      </x:c>
      <x:c r="G5284" s="19" t="str">
        <x:v>制式独立候选</x:v>
      </x:c>
      <x:c r="H5284" s="19" t="str">
        <x:v>POOL092</x:v>
      </x:c>
      <x:c r="I5284" s="22" t="n">
        <x:v>12000</x:v>
      </x:c>
      <x:c r="J5284" s="22" t="n">
        <x:v>1</x:v>
      </x:c>
      <x:c r="K5284" s="19" t="n">
        <x:v>16</x:v>
      </x:c>
      <x:c r="L5284" s="24" t="n">
        <x:v>13.839999999999998</x:v>
      </x:c>
      <x:c r="M5284" s="26" t="n">
        <x:v>0.1</x:v>
      </x:c>
      <x:c r="N5284" s="24" t="n">
        <x:v>72</x:v>
      </x:c>
      <x:c r="O5284" s="28" t="n">
        <x:f>MIN(1,L5284/I5284)</x:f>
        <x:v>0.0011533333333333333</x:v>
      </x:c>
      <x:c r="P5284" s="30" t="n">
        <x:f>O5284*J5284*(1+M5284)</x:f>
        <x:v>0.0012686666666666666</x:v>
      </x:c>
      <x:c r="Q5284" s="30" t="n">
        <x:f>P5284*N5284</x:f>
        <x:v>0.091344</x:v>
      </x:c>
      <x:c r="R5284" s="19" t="str">
        <x:v>单池选一</x:v>
      </x:c>
    </x:row>
    <x:row r="5285" ht="19" customHeight="1">
      <x:c r="A5285" s="19" t="str">
        <x:v>D05281</x:v>
      </x:c>
      <x:c r="B5285" s="19" t="n">
        <x:v>2</x:v>
      </x:c>
      <x:c r="C5285" s="19" t="n">
        <x:v>2</x:v>
      </x:c>
      <x:c r="D5285" s="19" t="str">
        <x:v>EL-MON-LIM-GATE-004</x:v>
      </x:c>
      <x:c r="E5285" s="19" t="str">
        <x:v>风暴战狼</x:v>
      </x:c>
      <x:c r="F5285" s="19" t="str">
        <x:v>普通</x:v>
      </x:c>
      <x:c r="G5285" s="19" t="str">
        <x:v>制式独立候选</x:v>
      </x:c>
      <x:c r="H5285" s="19" t="str">
        <x:v>POOL092</x:v>
      </x:c>
      <x:c r="I5285" s="22" t="n">
        <x:v>12000</x:v>
      </x:c>
      <x:c r="J5285" s="22" t="n">
        <x:v>1</x:v>
      </x:c>
      <x:c r="K5285" s="19" t="n">
        <x:v>16</x:v>
      </x:c>
      <x:c r="L5285" s="24" t="n">
        <x:v>13.839999999999998</x:v>
      </x:c>
      <x:c r="M5285" s="26" t="n">
        <x:v>0.1</x:v>
      </x:c>
      <x:c r="N5285" s="24" t="n">
        <x:v>72</x:v>
      </x:c>
      <x:c r="O5285" s="28" t="n">
        <x:f>MIN(1,L5285/I5285)</x:f>
        <x:v>0.0011533333333333333</x:v>
      </x:c>
      <x:c r="P5285" s="30" t="n">
        <x:f>O5285*J5285*(1+M5285)</x:f>
        <x:v>0.0012686666666666666</x:v>
      </x:c>
      <x:c r="Q5285" s="30" t="n">
        <x:f>P5285*N5285</x:f>
        <x:v>0.091344</x:v>
      </x:c>
      <x:c r="R5285" s="19" t="str">
        <x:v>单池选一</x:v>
      </x:c>
    </x:row>
    <x:row r="5286" ht="19" customHeight="1">
      <x:c r="A5286" s="19" t="str">
        <x:v>D05282</x:v>
      </x:c>
      <x:c r="B5286" s="19" t="n">
        <x:v>2</x:v>
      </x:c>
      <x:c r="C5286" s="19" t="n">
        <x:v>2</x:v>
      </x:c>
      <x:c r="D5286" s="19" t="str">
        <x:v>EL-MON-LIM-GATE-005</x:v>
      </x:c>
      <x:c r="E5286" s="19" t="str">
        <x:v>流放军士</x:v>
      </x:c>
      <x:c r="F5286" s="19" t="str">
        <x:v>普通</x:v>
      </x:c>
      <x:c r="G5286" s="19" t="str">
        <x:v>制式独立候选</x:v>
      </x:c>
      <x:c r="H5286" s="19" t="str">
        <x:v>POOL092</x:v>
      </x:c>
      <x:c r="I5286" s="22" t="n">
        <x:v>12000</x:v>
      </x:c>
      <x:c r="J5286" s="22" t="n">
        <x:v>1</x:v>
      </x:c>
      <x:c r="K5286" s="19" t="n">
        <x:v>16</x:v>
      </x:c>
      <x:c r="L5286" s="24" t="n">
        <x:v>13.839999999999998</x:v>
      </x:c>
      <x:c r="M5286" s="26" t="n">
        <x:v>0.1</x:v>
      </x:c>
      <x:c r="N5286" s="24" t="n">
        <x:v>72</x:v>
      </x:c>
      <x:c r="O5286" s="28" t="n">
        <x:f>MIN(1,L5286/I5286)</x:f>
        <x:v>0.0011533333333333333</x:v>
      </x:c>
      <x:c r="P5286" s="30" t="n">
        <x:f>O5286*J5286*(1+M5286)</x:f>
        <x:v>0.0012686666666666666</x:v>
      </x:c>
      <x:c r="Q5286" s="30" t="n">
        <x:f>P5286*N5286</x:f>
        <x:v>0.091344</x:v>
      </x:c>
      <x:c r="R5286" s="19" t="str">
        <x:v>单池选一</x:v>
      </x:c>
    </x:row>
    <x:row r="5287" ht="19" customHeight="1">
      <x:c r="A5287" s="19" t="str">
        <x:v>D05283</x:v>
      </x:c>
      <x:c r="B5287" s="19" t="n">
        <x:v>2</x:v>
      </x:c>
      <x:c r="C5287" s="19" t="n">
        <x:v>2</x:v>
      </x:c>
      <x:c r="D5287" s="19" t="str">
        <x:v>EL-MON-LIM-GATE-006</x:v>
      </x:c>
      <x:c r="E5287" s="19" t="str">
        <x:v>断旗骑兵</x:v>
      </x:c>
      <x:c r="F5287" s="19" t="str">
        <x:v>普通</x:v>
      </x:c>
      <x:c r="G5287" s="19" t="str">
        <x:v>制式独立候选</x:v>
      </x:c>
      <x:c r="H5287" s="19" t="str">
        <x:v>POOL092</x:v>
      </x:c>
      <x:c r="I5287" s="22" t="n">
        <x:v>12000</x:v>
      </x:c>
      <x:c r="J5287" s="22" t="n">
        <x:v>1</x:v>
      </x:c>
      <x:c r="K5287" s="19" t="n">
        <x:v>16</x:v>
      </x:c>
      <x:c r="L5287" s="24" t="n">
        <x:v>13.839999999999998</x:v>
      </x:c>
      <x:c r="M5287" s="26" t="n">
        <x:v>0.1</x:v>
      </x:c>
      <x:c r="N5287" s="24" t="n">
        <x:v>72</x:v>
      </x:c>
      <x:c r="O5287" s="28" t="n">
        <x:f>MIN(1,L5287/I5287)</x:f>
        <x:v>0.0011533333333333333</x:v>
      </x:c>
      <x:c r="P5287" s="30" t="n">
        <x:f>O5287*J5287*(1+M5287)</x:f>
        <x:v>0.0012686666666666666</x:v>
      </x:c>
      <x:c r="Q5287" s="30" t="n">
        <x:f>P5287*N5287</x:f>
        <x:v>0.091344</x:v>
      </x:c>
      <x:c r="R5287" s="19" t="str">
        <x:v>单池选一</x:v>
      </x:c>
    </x:row>
    <x:row r="5288" ht="19" customHeight="1">
      <x:c r="A5288" s="19" t="str">
        <x:v>D05284</x:v>
      </x:c>
      <x:c r="B5288" s="19" t="n">
        <x:v>2</x:v>
      </x:c>
      <x:c r="C5288" s="19" t="n">
        <x:v>2</x:v>
      </x:c>
      <x:c r="D5288" s="19" t="str">
        <x:v>EL-MON-LIM-GATE-007</x:v>
      </x:c>
      <x:c r="E5288" s="19" t="str">
        <x:v>黄金重骑</x:v>
      </x:c>
      <x:c r="F5288" s="19" t="str">
        <x:v>稀有</x:v>
      </x:c>
      <x:c r="G5288" s="19" t="str">
        <x:v>制式独立候选</x:v>
      </x:c>
      <x:c r="H5288" s="19" t="str">
        <x:v>POOL092</x:v>
      </x:c>
      <x:c r="I5288" s="22" t="n">
        <x:v>6000</x:v>
      </x:c>
      <x:c r="J5288" s="22" t="n">
        <x:v>1</x:v>
      </x:c>
      <x:c r="K5288" s="19" t="n">
        <x:v>16</x:v>
      </x:c>
      <x:c r="L5288" s="24" t="n">
        <x:v>13.839999999999998</x:v>
      </x:c>
      <x:c r="M5288" s="26" t="n">
        <x:v>0.1</x:v>
      </x:c>
      <x:c r="N5288" s="24" t="n">
        <x:v>12</x:v>
      </x:c>
      <x:c r="O5288" s="28" t="n">
        <x:f>MIN(1,L5288/I5288)</x:f>
        <x:v>0.0023066666666666665</x:v>
      </x:c>
      <x:c r="P5288" s="30" t="n">
        <x:f>O5288*J5288*(1+M5288)</x:f>
        <x:v>0.0025373333333333333</x:v>
      </x:c>
      <x:c r="Q5288" s="30" t="n">
        <x:f>P5288*N5288</x:f>
        <x:v>0.030448</x:v>
      </x:c>
      <x:c r="R5288" s="19" t="str">
        <x:v>单池选一</x:v>
      </x:c>
    </x:row>
    <x:row r="5289" ht="19" customHeight="1">
      <x:c r="A5289" s="19" t="str">
        <x:v>D05285</x:v>
      </x:c>
      <x:c r="B5289" s="19" t="n">
        <x:v>2</x:v>
      </x:c>
      <x:c r="C5289" s="19" t="n">
        <x:v>2</x:v>
      </x:c>
      <x:c r="D5289" s="19" t="str">
        <x:v>EL-MON-LIM-GATE-008</x:v>
      </x:c>
      <x:c r="E5289" s="19" t="str">
        <x:v>失乡骑士</x:v>
      </x:c>
      <x:c r="F5289" s="19" t="str">
        <x:v>稀有</x:v>
      </x:c>
      <x:c r="G5289" s="19" t="str">
        <x:v>制式独立候选</x:v>
      </x:c>
      <x:c r="H5289" s="19" t="str">
        <x:v>POOL092</x:v>
      </x:c>
      <x:c r="I5289" s="22" t="n">
        <x:v>6000</x:v>
      </x:c>
      <x:c r="J5289" s="22" t="n">
        <x:v>1</x:v>
      </x:c>
      <x:c r="K5289" s="19" t="n">
        <x:v>16</x:v>
      </x:c>
      <x:c r="L5289" s="24" t="n">
        <x:v>13.839999999999998</x:v>
      </x:c>
      <x:c r="M5289" s="26" t="n">
        <x:v>0.1</x:v>
      </x:c>
      <x:c r="N5289" s="24" t="n">
        <x:v>12</x:v>
      </x:c>
      <x:c r="O5289" s="28" t="n">
        <x:f>MIN(1,L5289/I5289)</x:f>
        <x:v>0.0023066666666666665</x:v>
      </x:c>
      <x:c r="P5289" s="30" t="n">
        <x:f>O5289*J5289*(1+M5289)</x:f>
        <x:v>0.0025373333333333333</x:v>
      </x:c>
      <x:c r="Q5289" s="30" t="n">
        <x:f>P5289*N5289</x:f>
        <x:v>0.030448</x:v>
      </x:c>
      <x:c r="R5289" s="19" t="str">
        <x:v>单池选一</x:v>
      </x:c>
    </x:row>
    <x:row r="5290" ht="19" customHeight="1">
      <x:c r="A5290" s="19" t="str">
        <x:v>D05286</x:v>
      </x:c>
      <x:c r="B5290" s="19" t="n">
        <x:v>2</x:v>
      </x:c>
      <x:c r="C5290" s="19" t="n">
        <x:v>2</x:v>
      </x:c>
      <x:c r="D5290" s="19" t="str">
        <x:v>EL-MON-LIM-GATE-009</x:v>
      </x:c>
      <x:c r="E5290" s="19" t="str">
        <x:v>军营兽爪官</x:v>
      </x:c>
      <x:c r="F5290" s="19" t="str">
        <x:v>稀有</x:v>
      </x:c>
      <x:c r="G5290" s="19" t="str">
        <x:v>制式独立候选</x:v>
      </x:c>
      <x:c r="H5290" s="19" t="str">
        <x:v>POOL092</x:v>
      </x:c>
      <x:c r="I5290" s="22" t="n">
        <x:v>6000</x:v>
      </x:c>
      <x:c r="J5290" s="22" t="n">
        <x:v>1</x:v>
      </x:c>
      <x:c r="K5290" s="19" t="n">
        <x:v>16</x:v>
      </x:c>
      <x:c r="L5290" s="24" t="n">
        <x:v>13.839999999999998</x:v>
      </x:c>
      <x:c r="M5290" s="26" t="n">
        <x:v>0.1</x:v>
      </x:c>
      <x:c r="N5290" s="24" t="n">
        <x:v>11.344246099955937</x:v>
      </x:c>
      <x:c r="O5290" s="28" t="n">
        <x:f>MIN(1,L5290/I5290)</x:f>
        <x:v>0.0023066666666666665</x:v>
      </x:c>
      <x:c r="P5290" s="30" t="n">
        <x:f>O5290*J5290*(1+M5290)</x:f>
        <x:v>0.0025373333333333333</x:v>
      </x:c>
      <x:c r="Q5290" s="30" t="n">
        <x:f>P5290*N5290</x:f>
        <x:v>0.028784133770954862</x:v>
      </x:c>
      <x:c r="R5290" s="19" t="str">
        <x:v>单池选一</x:v>
      </x:c>
    </x:row>
    <x:row r="5291" ht="19" customHeight="1">
      <x:c r="A5291" s="19" t="str">
        <x:v>D05287</x:v>
      </x:c>
      <x:c r="B5291" s="19" t="n">
        <x:v>2</x:v>
      </x:c>
      <x:c r="C5291" s="19" t="n">
        <x:v>2</x:v>
      </x:c>
      <x:c r="D5291" s="19" t="str">
        <x:v>EL-MON-LIM-GATE-010</x:v>
      </x:c>
      <x:c r="E5291" s="19" t="str">
        <x:v>关隘战车</x:v>
      </x:c>
      <x:c r="F5291" s="19" t="str">
        <x:v>稀有</x:v>
      </x:c>
      <x:c r="G5291" s="19" t="str">
        <x:v>制式独立候选</x:v>
      </x:c>
      <x:c r="H5291" s="19" t="str">
        <x:v>POOL092</x:v>
      </x:c>
      <x:c r="I5291" s="22" t="n">
        <x:v>6000</x:v>
      </x:c>
      <x:c r="J5291" s="22" t="n">
        <x:v>1</x:v>
      </x:c>
      <x:c r="K5291" s="19" t="n">
        <x:v>16</x:v>
      </x:c>
      <x:c r="L5291" s="24" t="n">
        <x:v>13.839999999999998</x:v>
      </x:c>
      <x:c r="M5291" s="26" t="n">
        <x:v>0.1</x:v>
      </x:c>
      <x:c r="N5291" s="24" t="n">
        <x:v>10.150114931539523</x:v>
      </x:c>
      <x:c r="O5291" s="28" t="n">
        <x:f>MIN(1,L5291/I5291)</x:f>
        <x:v>0.0023066666666666665</x:v>
      </x:c>
      <x:c r="P5291" s="30" t="n">
        <x:f>O5291*J5291*(1+M5291)</x:f>
        <x:v>0.0025373333333333333</x:v>
      </x:c>
      <x:c r="Q5291" s="30" t="n">
        <x:f>P5291*N5291</x:f>
        <x:v>0.025754224952959617</x:v>
      </x:c>
      <x:c r="R5291" s="19" t="str">
        <x:v>单池选一</x:v>
      </x:c>
    </x:row>
    <x:row r="5292" ht="19" customHeight="1">
      <x:c r="A5292" s="19" t="str">
        <x:v>D05288</x:v>
      </x:c>
      <x:c r="B5292" s="19" t="n">
        <x:v>2</x:v>
      </x:c>
      <x:c r="C5292" s="19" t="n">
        <x:v>2</x:v>
      </x:c>
      <x:c r="D5292" s="19" t="str">
        <x:v>EL-MON-LIM-GATE-011</x:v>
      </x:c>
      <x:c r="E5292" s="19" t="str">
        <x:v>大树守卫·罗兰</x:v>
      </x:c>
      <x:c r="F5292" s="19" t="str">
        <x:v>地图BOSS</x:v>
      </x:c>
      <x:c r="G5292" s="19" t="str">
        <x:v>制式独立候选</x:v>
      </x:c>
      <x:c r="H5292" s="19" t="str">
        <x:v>POOL092</x:v>
      </x:c>
      <x:c r="I5292" s="22" t="n">
        <x:v>1800</x:v>
      </x:c>
      <x:c r="J5292" s="22" t="n">
        <x:v>1</x:v>
      </x:c>
      <x:c r="K5292" s="19" t="n">
        <x:v>16</x:v>
      </x:c>
      <x:c r="L5292" s="24" t="n">
        <x:v>13.839999999999998</x:v>
      </x:c>
      <x:c r="M5292" s="26" t="n">
        <x:v>0.1</x:v>
      </x:c>
      <x:c r="N5292" s="24" t="n">
        <x:v>2</x:v>
      </x:c>
      <x:c r="O5292" s="28" t="n">
        <x:f>MIN(1,L5292/I5292)</x:f>
        <x:v>0.0076888888888888875</x:v>
      </x:c>
      <x:c r="P5292" s="30" t="n">
        <x:f>O5292*J5292*(1+M5292)</x:f>
        <x:v>0.008457777777777778</x:v>
      </x:c>
      <x:c r="Q5292" s="30" t="n">
        <x:f>P5292*N5292</x:f>
        <x:v>0.016915555555555555</x:v>
      </x:c>
      <x:c r="R5292" s="19" t="str">
        <x:v>单池选一</x:v>
      </x:c>
    </x:row>
    <x:row r="5293" ht="19" customHeight="1">
      <x:c r="A5293" s="19" t="str">
        <x:v>D05289</x:v>
      </x:c>
      <x:c r="B5293" s="19" t="n">
        <x:v>2</x:v>
      </x:c>
      <x:c r="C5293" s="19" t="n">
        <x:v>2</x:v>
      </x:c>
      <x:c r="D5293" s="19" t="str">
        <x:v>EL-MON-LIM-GATE-012</x:v>
      </x:c>
      <x:c r="E5293" s="19" t="str">
        <x:v>黑夜骑兵·莫尔</x:v>
      </x:c>
      <x:c r="F5293" s="19" t="str">
        <x:v>地图BOSS</x:v>
      </x:c>
      <x:c r="G5293" s="19" t="str">
        <x:v>制式独立候选</x:v>
      </x:c>
      <x:c r="H5293" s="19" t="str">
        <x:v>POOL092</x:v>
      </x:c>
      <x:c r="I5293" s="22" t="n">
        <x:v>1800</x:v>
      </x:c>
      <x:c r="J5293" s="22" t="n">
        <x:v>1</x:v>
      </x:c>
      <x:c r="K5293" s="19" t="n">
        <x:v>16</x:v>
      </x:c>
      <x:c r="L5293" s="24" t="n">
        <x:v>13.839999999999998</x:v>
      </x:c>
      <x:c r="M5293" s="26" t="n">
        <x:v>0.1</x:v>
      </x:c>
      <x:c r="N5293" s="24" t="n">
        <x:v>2</x:v>
      </x:c>
      <x:c r="O5293" s="28" t="n">
        <x:f>MIN(1,L5293/I5293)</x:f>
        <x:v>0.0076888888888888875</x:v>
      </x:c>
      <x:c r="P5293" s="30" t="n">
        <x:f>O5293*J5293*(1+M5293)</x:f>
        <x:v>0.008457777777777778</x:v>
      </x:c>
      <x:c r="Q5293" s="30" t="n">
        <x:f>P5293*N5293</x:f>
        <x:v>0.016915555555555555</x:v>
      </x:c>
      <x:c r="R5293" s="19" t="str">
        <x:v>单池选一</x:v>
      </x:c>
    </x:row>
    <x:row r="5294" ht="19" customHeight="1">
      <x:c r="A5294" s="19" t="str">
        <x:v>D05290</x:v>
      </x:c>
      <x:c r="B5294" s="19" t="n">
        <x:v>2</x:v>
      </x:c>
      <x:c r="C5294" s="19" t="n">
        <x:v>3</x:v>
      </x:c>
      <x:c r="D5294" s="19" t="str">
        <x:v>EL-MON-LIM-MIST-001</x:v>
      </x:c>
      <x:c r="E5294" s="19" t="str">
        <x:v>雾林野狼</x:v>
      </x:c>
      <x:c r="F5294" s="19" t="str">
        <x:v>普通</x:v>
      </x:c>
      <x:c r="G5294" s="19" t="str">
        <x:v>制式独立候选</x:v>
      </x:c>
      <x:c r="H5294" s="19" t="str">
        <x:v>POOL093</x:v>
      </x:c>
      <x:c r="I5294" s="22" t="n">
        <x:v>18000</x:v>
      </x:c>
      <x:c r="J5294" s="22" t="n">
        <x:v>1</x:v>
      </x:c>
      <x:c r="K5294" s="19" t="n">
        <x:v>16</x:v>
      </x:c>
      <x:c r="L5294" s="24" t="n">
        <x:v>13.839999999999998</x:v>
      </x:c>
      <x:c r="M5294" s="26" t="n">
        <x:v>0.1</x:v>
      </x:c>
      <x:c r="N5294" s="24" t="n">
        <x:v>72</x:v>
      </x:c>
      <x:c r="O5294" s="28" t="n">
        <x:f>MIN(1,L5294/I5294)</x:f>
        <x:v>0.0007688888888888888</x:v>
      </x:c>
      <x:c r="P5294" s="30" t="n">
        <x:f>O5294*J5294*(1+M5294)</x:f>
        <x:v>0.0008457777777777778</x:v>
      </x:c>
      <x:c r="Q5294" s="30" t="n">
        <x:f>P5294*N5294</x:f>
        <x:v>0.060896</x:v>
      </x:c>
      <x:c r="R5294" s="19" t="str">
        <x:v>单池选一</x:v>
      </x:c>
    </x:row>
    <x:row r="5295" ht="19" customHeight="1">
      <x:c r="A5295" s="19" t="str">
        <x:v>D05291</x:v>
      </x:c>
      <x:c r="B5295" s="19" t="n">
        <x:v>2</x:v>
      </x:c>
      <x:c r="C5295" s="19" t="n">
        <x:v>3</x:v>
      </x:c>
      <x:c r="D5295" s="19" t="str">
        <x:v>EL-MON-LIM-MIST-002</x:v>
      </x:c>
      <x:c r="E5295" s="19" t="str">
        <x:v>卢恩巨熊</x:v>
      </x:c>
      <x:c r="F5295" s="19" t="str">
        <x:v>普通</x:v>
      </x:c>
      <x:c r="G5295" s="19" t="str">
        <x:v>制式独立候选</x:v>
      </x:c>
      <x:c r="H5295" s="19" t="str">
        <x:v>POOL093</x:v>
      </x:c>
      <x:c r="I5295" s="22" t="n">
        <x:v>18000</x:v>
      </x:c>
      <x:c r="J5295" s="22" t="n">
        <x:v>1</x:v>
      </x:c>
      <x:c r="K5295" s="19" t="n">
        <x:v>16</x:v>
      </x:c>
      <x:c r="L5295" s="24" t="n">
        <x:v>13.839999999999998</x:v>
      </x:c>
      <x:c r="M5295" s="26" t="n">
        <x:v>0.1</x:v>
      </x:c>
      <x:c r="N5295" s="24" t="n">
        <x:v>72</x:v>
      </x:c>
      <x:c r="O5295" s="28" t="n">
        <x:f>MIN(1,L5295/I5295)</x:f>
        <x:v>0.0007688888888888888</x:v>
      </x:c>
      <x:c r="P5295" s="30" t="n">
        <x:f>O5295*J5295*(1+M5295)</x:f>
        <x:v>0.0008457777777777778</x:v>
      </x:c>
      <x:c r="Q5295" s="30" t="n">
        <x:f>P5295*N5295</x:f>
        <x:v>0.060896</x:v>
      </x:c>
      <x:c r="R5295" s="19" t="str">
        <x:v>单池选一</x:v>
      </x:c>
    </x:row>
    <x:row r="5296" ht="19" customHeight="1">
      <x:c r="A5296" s="19" t="str">
        <x:v>D05292</x:v>
      </x:c>
      <x:c r="B5296" s="19" t="n">
        <x:v>2</x:v>
      </x:c>
      <x:c r="C5296" s="19" t="n">
        <x:v>3</x:v>
      </x:c>
      <x:c r="D5296" s="19" t="str">
        <x:v>EL-MON-LIM-MIST-003</x:v>
      </x:c>
      <x:c r="E5296" s="19" t="str">
        <x:v>祖灵鹿</x:v>
      </x:c>
      <x:c r="F5296" s="19" t="str">
        <x:v>普通</x:v>
      </x:c>
      <x:c r="G5296" s="19" t="str">
        <x:v>制式独立候选</x:v>
      </x:c>
      <x:c r="H5296" s="19" t="str">
        <x:v>POOL093</x:v>
      </x:c>
      <x:c r="I5296" s="22" t="n">
        <x:v>18000</x:v>
      </x:c>
      <x:c r="J5296" s="22" t="n">
        <x:v>1</x:v>
      </x:c>
      <x:c r="K5296" s="19" t="n">
        <x:v>16</x:v>
      </x:c>
      <x:c r="L5296" s="24" t="n">
        <x:v>13.839999999999998</x:v>
      </x:c>
      <x:c r="M5296" s="26" t="n">
        <x:v>0.1</x:v>
      </x:c>
      <x:c r="N5296" s="24" t="n">
        <x:v>72</x:v>
      </x:c>
      <x:c r="O5296" s="28" t="n">
        <x:f>MIN(1,L5296/I5296)</x:f>
        <x:v>0.0007688888888888888</x:v>
      </x:c>
      <x:c r="P5296" s="30" t="n">
        <x:f>O5296*J5296*(1+M5296)</x:f>
        <x:v>0.0008457777777777778</x:v>
      </x:c>
      <x:c r="Q5296" s="30" t="n">
        <x:f>P5296*N5296</x:f>
        <x:v>0.060896</x:v>
      </x:c>
      <x:c r="R5296" s="19" t="str">
        <x:v>单池选一</x:v>
      </x:c>
    </x:row>
    <x:row r="5297" ht="19" customHeight="1">
      <x:c r="A5297" s="19" t="str">
        <x:v>D05293</x:v>
      </x:c>
      <x:c r="B5297" s="19" t="n">
        <x:v>2</x:v>
      </x:c>
      <x:c r="C5297" s="19" t="n">
        <x:v>3</x:v>
      </x:c>
      <x:c r="D5297" s="19" t="str">
        <x:v>EL-MON-LIM-MIST-004</x:v>
      </x:c>
      <x:c r="E5297" s="19" t="str">
        <x:v>腐根树妖</x:v>
      </x:c>
      <x:c r="F5297" s="19" t="str">
        <x:v>普通</x:v>
      </x:c>
      <x:c r="G5297" s="19" t="str">
        <x:v>制式独立候选</x:v>
      </x:c>
      <x:c r="H5297" s="19" t="str">
        <x:v>POOL093</x:v>
      </x:c>
      <x:c r="I5297" s="22" t="n">
        <x:v>18000</x:v>
      </x:c>
      <x:c r="J5297" s="22" t="n">
        <x:v>1</x:v>
      </x:c>
      <x:c r="K5297" s="19" t="n">
        <x:v>16</x:v>
      </x:c>
      <x:c r="L5297" s="24" t="n">
        <x:v>13.839999999999998</x:v>
      </x:c>
      <x:c r="M5297" s="26" t="n">
        <x:v>0.1</x:v>
      </x:c>
      <x:c r="N5297" s="24" t="n">
        <x:v>72</x:v>
      </x:c>
      <x:c r="O5297" s="28" t="n">
        <x:f>MIN(1,L5297/I5297)</x:f>
        <x:v>0.0007688888888888888</x:v>
      </x:c>
      <x:c r="P5297" s="30" t="n">
        <x:f>O5297*J5297*(1+M5297)</x:f>
        <x:v>0.0008457777777777778</x:v>
      </x:c>
      <x:c r="Q5297" s="30" t="n">
        <x:f>P5297*N5297</x:f>
        <x:v>0.060896</x:v>
      </x:c>
      <x:c r="R5297" s="19" t="str">
        <x:v>单池选一</x:v>
      </x:c>
    </x:row>
    <x:row r="5298" ht="19" customHeight="1">
      <x:c r="A5298" s="19" t="str">
        <x:v>D05294</x:v>
      </x:c>
      <x:c r="B5298" s="19" t="n">
        <x:v>2</x:v>
      </x:c>
      <x:c r="C5298" s="19" t="n">
        <x:v>3</x:v>
      </x:c>
      <x:c r="D5298" s="19" t="str">
        <x:v>EL-MON-LIM-MIST-005</x:v>
      </x:c>
      <x:c r="E5298" s="19" t="str">
        <x:v>半兽哨兵</x:v>
      </x:c>
      <x:c r="F5298" s="19" t="str">
        <x:v>普通</x:v>
      </x:c>
      <x:c r="G5298" s="19" t="str">
        <x:v>制式独立候选</x:v>
      </x:c>
      <x:c r="H5298" s="19" t="str">
        <x:v>POOL093</x:v>
      </x:c>
      <x:c r="I5298" s="22" t="n">
        <x:v>18000</x:v>
      </x:c>
      <x:c r="J5298" s="22" t="n">
        <x:v>1</x:v>
      </x:c>
      <x:c r="K5298" s="19" t="n">
        <x:v>16</x:v>
      </x:c>
      <x:c r="L5298" s="24" t="n">
        <x:v>13.839999999999998</x:v>
      </x:c>
      <x:c r="M5298" s="26" t="n">
        <x:v>0.1</x:v>
      </x:c>
      <x:c r="N5298" s="24" t="n">
        <x:v>72</x:v>
      </x:c>
      <x:c r="O5298" s="28" t="n">
        <x:f>MIN(1,L5298/I5298)</x:f>
        <x:v>0.0007688888888888888</x:v>
      </x:c>
      <x:c r="P5298" s="30" t="n">
        <x:f>O5298*J5298*(1+M5298)</x:f>
        <x:v>0.0008457777777777778</x:v>
      </x:c>
      <x:c r="Q5298" s="30" t="n">
        <x:f>P5298*N5298</x:f>
        <x:v>0.060896</x:v>
      </x:c>
      <x:c r="R5298" s="19" t="str">
        <x:v>单池选一</x:v>
      </x:c>
    </x:row>
    <x:row r="5299" ht="19" customHeight="1">
      <x:c r="A5299" s="19" t="str">
        <x:v>D05295</x:v>
      </x:c>
      <x:c r="B5299" s="19" t="n">
        <x:v>2</x:v>
      </x:c>
      <x:c r="C5299" s="19" t="n">
        <x:v>3</x:v>
      </x:c>
      <x:c r="D5299" s="19" t="str">
        <x:v>EL-MON-LIM-MIST-006</x:v>
      </x:c>
      <x:c r="E5299" s="19" t="str">
        <x:v>林地毒花</x:v>
      </x:c>
      <x:c r="F5299" s="19" t="str">
        <x:v>普通</x:v>
      </x:c>
      <x:c r="G5299" s="19" t="str">
        <x:v>制式独立候选</x:v>
      </x:c>
      <x:c r="H5299" s="19" t="str">
        <x:v>POOL093</x:v>
      </x:c>
      <x:c r="I5299" s="22" t="n">
        <x:v>18000</x:v>
      </x:c>
      <x:c r="J5299" s="22" t="n">
        <x:v>1</x:v>
      </x:c>
      <x:c r="K5299" s="19" t="n">
        <x:v>16</x:v>
      </x:c>
      <x:c r="L5299" s="24" t="n">
        <x:v>13.839999999999998</x:v>
      </x:c>
      <x:c r="M5299" s="26" t="n">
        <x:v>0.1</x:v>
      </x:c>
      <x:c r="N5299" s="24" t="n">
        <x:v>72</x:v>
      </x:c>
      <x:c r="O5299" s="28" t="n">
        <x:f>MIN(1,L5299/I5299)</x:f>
        <x:v>0.0007688888888888888</x:v>
      </x:c>
      <x:c r="P5299" s="30" t="n">
        <x:f>O5299*J5299*(1+M5299)</x:f>
        <x:v>0.0008457777777777778</x:v>
      </x:c>
      <x:c r="Q5299" s="30" t="n">
        <x:f>P5299*N5299</x:f>
        <x:v>0.060896</x:v>
      </x:c>
      <x:c r="R5299" s="19" t="str">
        <x:v>单池选一</x:v>
      </x:c>
    </x:row>
    <x:row r="5300" ht="19" customHeight="1">
      <x:c r="A5300" s="19" t="str">
        <x:v>D05296</x:v>
      </x:c>
      <x:c r="B5300" s="19" t="n">
        <x:v>2</x:v>
      </x:c>
      <x:c r="C5300" s="19" t="n">
        <x:v>3</x:v>
      </x:c>
      <x:c r="D5300" s="19" t="str">
        <x:v>EL-MON-LIM-MIST-007</x:v>
      </x:c>
      <x:c r="E5300" s="19" t="str">
        <x:v>卢恩熊王</x:v>
      </x:c>
      <x:c r="F5300" s="19" t="str">
        <x:v>稀有</x:v>
      </x:c>
      <x:c r="G5300" s="19" t="str">
        <x:v>制式独立候选</x:v>
      </x:c>
      <x:c r="H5300" s="19" t="str">
        <x:v>POOL093</x:v>
      </x:c>
      <x:c r="I5300" s="22" t="n">
        <x:v>10000</x:v>
      </x:c>
      <x:c r="J5300" s="22" t="n">
        <x:v>1</x:v>
      </x:c>
      <x:c r="K5300" s="19" t="n">
        <x:v>16</x:v>
      </x:c>
      <x:c r="L5300" s="24" t="n">
        <x:v>13.839999999999998</x:v>
      </x:c>
      <x:c r="M5300" s="26" t="n">
        <x:v>0.1</x:v>
      </x:c>
      <x:c r="N5300" s="24" t="n">
        <x:v>11.205590639153453</x:v>
      </x:c>
      <x:c r="O5300" s="28" t="n">
        <x:f>MIN(1,L5300/I5300)</x:f>
        <x:v>0.0013839999999999998</x:v>
      </x:c>
      <x:c r="P5300" s="30" t="n">
        <x:f>O5300*J5300*(1+M5300)</x:f>
        <x:v>0.0015224</x:v>
      </x:c>
      <x:c r="Q5300" s="30" t="n">
        <x:f>P5300*N5300</x:f>
        <x:v>0.017059391189047216</x:v>
      </x:c>
      <x:c r="R5300" s="19" t="str">
        <x:v>单池选一</x:v>
      </x:c>
    </x:row>
    <x:row r="5301" ht="19" customHeight="1">
      <x:c r="A5301" s="19" t="str">
        <x:v>D05297</x:v>
      </x:c>
      <x:c r="B5301" s="19" t="n">
        <x:v>2</x:v>
      </x:c>
      <x:c r="C5301" s="19" t="n">
        <x:v>3</x:v>
      </x:c>
      <x:c r="D5301" s="19" t="str">
        <x:v>EL-MON-LIM-MIST-008</x:v>
      </x:c>
      <x:c r="E5301" s="19" t="str">
        <x:v>小黄金树化身</x:v>
      </x:c>
      <x:c r="F5301" s="19" t="str">
        <x:v>稀有</x:v>
      </x:c>
      <x:c r="G5301" s="19" t="str">
        <x:v>制式独立候选</x:v>
      </x:c>
      <x:c r="H5301" s="19" t="str">
        <x:v>POOL093</x:v>
      </x:c>
      <x:c r="I5301" s="22" t="n">
        <x:v>10000</x:v>
      </x:c>
      <x:c r="J5301" s="22" t="n">
        <x:v>1</x:v>
      </x:c>
      <x:c r="K5301" s="19" t="n">
        <x:v>16</x:v>
      </x:c>
      <x:c r="L5301" s="24" t="n">
        <x:v>13.839999999999998</x:v>
      </x:c>
      <x:c r="M5301" s="26" t="n">
        <x:v>0.1</x:v>
      </x:c>
      <x:c r="N5301" s="24" t="n">
        <x:v>11.205590639153453</x:v>
      </x:c>
      <x:c r="O5301" s="28" t="n">
        <x:f>MIN(1,L5301/I5301)</x:f>
        <x:v>0.0013839999999999998</x:v>
      </x:c>
      <x:c r="P5301" s="30" t="n">
        <x:f>O5301*J5301*(1+M5301)</x:f>
        <x:v>0.0015224</x:v>
      </x:c>
      <x:c r="Q5301" s="30" t="n">
        <x:f>P5301*N5301</x:f>
        <x:v>0.017059391189047216</x:v>
      </x:c>
      <x:c r="R5301" s="19" t="str">
        <x:v>单池选一</x:v>
      </x:c>
    </x:row>
    <x:row r="5302" ht="19" customHeight="1">
      <x:c r="A5302" s="19" t="str">
        <x:v>D05298</x:v>
      </x:c>
      <x:c r="B5302" s="19" t="n">
        <x:v>2</x:v>
      </x:c>
      <x:c r="C5302" s="19" t="n">
        <x:v>3</x:v>
      </x:c>
      <x:c r="D5302" s="19" t="str">
        <x:v>EL-MON-LIM-MIST-009</x:v>
      </x:c>
      <x:c r="E5302" s="19" t="str">
        <x:v>猎犬骑士·达瑞威尔</x:v>
      </x:c>
      <x:c r="F5302" s="19" t="str">
        <x:v>稀有</x:v>
      </x:c>
      <x:c r="G5302" s="19" t="str">
        <x:v>制式独立候选</x:v>
      </x:c>
      <x:c r="H5302" s="19" t="str">
        <x:v>POOL093</x:v>
      </x:c>
      <x:c r="I5302" s="22" t="n">
        <x:v>10000</x:v>
      </x:c>
      <x:c r="J5302" s="22" t="n">
        <x:v>1</x:v>
      </x:c>
      <x:c r="K5302" s="19" t="n">
        <x:v>16</x:v>
      </x:c>
      <x:c r="L5302" s="24" t="n">
        <x:v>13.839999999999998</x:v>
      </x:c>
      <x:c r="M5302" s="26" t="n">
        <x:v>0.1</x:v>
      </x:c>
      <x:c r="N5302" s="24" t="n">
        <x:v>10.37554688810505</x:v>
      </x:c>
      <x:c r="O5302" s="28" t="n">
        <x:f>MIN(1,L5302/I5302)</x:f>
        <x:v>0.0013839999999999998</x:v>
      </x:c>
      <x:c r="P5302" s="30" t="n">
        <x:f>O5302*J5302*(1+M5302)</x:f>
        <x:v>0.0015224</x:v>
      </x:c>
      <x:c r="Q5302" s="30" t="n">
        <x:f>P5302*N5302</x:f>
        <x:v>0.01579573258245113</x:v>
      </x:c>
      <x:c r="R5302" s="19" t="str">
        <x:v>单池选一</x:v>
      </x:c>
    </x:row>
    <x:row r="5303" ht="19" customHeight="1">
      <x:c r="A5303" s="19" t="str">
        <x:v>D05299</x:v>
      </x:c>
      <x:c r="B5303" s="19" t="n">
        <x:v>2</x:v>
      </x:c>
      <x:c r="C5303" s="19" t="n">
        <x:v>3</x:v>
      </x:c>
      <x:c r="D5303" s="19" t="str">
        <x:v>EL-MON-LIM-MIST-010</x:v>
      </x:c>
      <x:c r="E5303" s="19" t="str">
        <x:v>永眠祖灵</x:v>
      </x:c>
      <x:c r="F5303" s="19" t="str">
        <x:v>稀有</x:v>
      </x:c>
      <x:c r="G5303" s="19" t="str">
        <x:v>制式独立候选</x:v>
      </x:c>
      <x:c r="H5303" s="19" t="str">
        <x:v>POOL093</x:v>
      </x:c>
      <x:c r="I5303" s="22" t="n">
        <x:v>10000</x:v>
      </x:c>
      <x:c r="J5303" s="22" t="n">
        <x:v>1</x:v>
      </x:c>
      <x:c r="K5303" s="19" t="n">
        <x:v>16</x:v>
      </x:c>
      <x:c r="L5303" s="24" t="n">
        <x:v>13.839999999999998</x:v>
      </x:c>
      <x:c r="M5303" s="26" t="n">
        <x:v>0.1</x:v>
      </x:c>
      <x:c r="N5303" s="24" t="n">
        <x:v>11.205590639153453</x:v>
      </x:c>
      <x:c r="O5303" s="28" t="n">
        <x:f>MIN(1,L5303/I5303)</x:f>
        <x:v>0.0013839999999999998</x:v>
      </x:c>
      <x:c r="P5303" s="30" t="n">
        <x:f>O5303*J5303*(1+M5303)</x:f>
        <x:v>0.0015224</x:v>
      </x:c>
      <x:c r="Q5303" s="30" t="n">
        <x:f>P5303*N5303</x:f>
        <x:v>0.017059391189047216</x:v>
      </x:c>
      <x:c r="R5303" s="19" t="str">
        <x:v>单池选一</x:v>
      </x:c>
    </x:row>
    <x:row r="5304" ht="19" customHeight="1">
      <x:c r="A5304" s="19" t="str">
        <x:v>D05300</x:v>
      </x:c>
      <x:c r="B5304" s="19" t="n">
        <x:v>2</x:v>
      </x:c>
      <x:c r="C5304" s="19" t="n">
        <x:v>3</x:v>
      </x:c>
      <x:c r="D5304" s="19" t="str">
        <x:v>EL-MON-LIM-MIST-011</x:v>
      </x:c>
      <x:c r="E5304" s="19" t="str">
        <x:v>提比亚唤船人·赫洛</x:v>
      </x:c>
      <x:c r="F5304" s="19" t="str">
        <x:v>地图BOSS</x:v>
      </x:c>
      <x:c r="G5304" s="19" t="str">
        <x:v>制式独立候选</x:v>
      </x:c>
      <x:c r="H5304" s="19" t="str">
        <x:v>POOL093</x:v>
      </x:c>
      <x:c r="I5304" s="22" t="n">
        <x:v>3000</x:v>
      </x:c>
      <x:c r="J5304" s="22" t="n">
        <x:v>1</x:v>
      </x:c>
      <x:c r="K5304" s="19" t="n">
        <x:v>16</x:v>
      </x:c>
      <x:c r="L5304" s="24" t="n">
        <x:v>13.839999999999998</x:v>
      </x:c>
      <x:c r="M5304" s="26" t="n">
        <x:v>0.1</x:v>
      </x:c>
      <x:c r="N5304" s="24" t="n">
        <x:v>2</x:v>
      </x:c>
      <x:c r="O5304" s="28" t="n">
        <x:f>MIN(1,L5304/I5304)</x:f>
        <x:v>0.004613333333333333</x:v>
      </x:c>
      <x:c r="P5304" s="30" t="n">
        <x:f>O5304*J5304*(1+M5304)</x:f>
        <x:v>0.0050746666666666666</x:v>
      </x:c>
      <x:c r="Q5304" s="30" t="n">
        <x:f>P5304*N5304</x:f>
        <x:v>0.010149333333333333</x:v>
      </x:c>
      <x:c r="R5304" s="19" t="str">
        <x:v>单池选一</x:v>
      </x:c>
    </x:row>
    <x:row r="5305" ht="19" customHeight="1">
      <x:c r="A5305" s="19" t="str">
        <x:v>D05301</x:v>
      </x:c>
      <x:c r="B5305" s="19" t="n">
        <x:v>2</x:v>
      </x:c>
      <x:c r="C5305" s="19" t="n">
        <x:v>3</x:v>
      </x:c>
      <x:c r="D5305" s="19" t="str">
        <x:v>EL-MON-LIM-MIST-012</x:v>
      </x:c>
      <x:c r="E5305" s="19" t="str">
        <x:v>雾林熔炉骑士·奥德</x:v>
      </x:c>
      <x:c r="F5305" s="19" t="str">
        <x:v>地图BOSS</x:v>
      </x:c>
      <x:c r="G5305" s="19" t="str">
        <x:v>制式独立候选</x:v>
      </x:c>
      <x:c r="H5305" s="19" t="str">
        <x:v>POOL093</x:v>
      </x:c>
      <x:c r="I5305" s="22" t="n">
        <x:v>3000</x:v>
      </x:c>
      <x:c r="J5305" s="22" t="n">
        <x:v>1</x:v>
      </x:c>
      <x:c r="K5305" s="19" t="n">
        <x:v>16</x:v>
      </x:c>
      <x:c r="L5305" s="24" t="n">
        <x:v>13.839999999999998</x:v>
      </x:c>
      <x:c r="M5305" s="26" t="n">
        <x:v>0.1</x:v>
      </x:c>
      <x:c r="N5305" s="24" t="n">
        <x:v>2</x:v>
      </x:c>
      <x:c r="O5305" s="28" t="n">
        <x:f>MIN(1,L5305/I5305)</x:f>
        <x:v>0.004613333333333333</x:v>
      </x:c>
      <x:c r="P5305" s="30" t="n">
        <x:f>O5305*J5305*(1+M5305)</x:f>
        <x:v>0.0050746666666666666</x:v>
      </x:c>
      <x:c r="Q5305" s="30" t="n">
        <x:f>P5305*N5305</x:f>
        <x:v>0.010149333333333333</x:v>
      </x:c>
      <x:c r="R5305" s="19" t="str">
        <x:v>单池选一</x:v>
      </x:c>
    </x:row>
    <x:row r="5306" ht="19" customHeight="1">
      <x:c r="A5306" s="19" t="str">
        <x:v>D05302</x:v>
      </x:c>
      <x:c r="B5306" s="19" t="n">
        <x:v>2</x:v>
      </x:c>
      <x:c r="C5306" s="19" t="n">
        <x:v>4</x:v>
      </x:c>
      <x:c r="D5306" s="19" t="str">
        <x:v>EL-MON-LIM-STORM-001</x:v>
      </x:c>
      <x:c r="E5306" s="19" t="str">
        <x:v>风暴鹰</x:v>
      </x:c>
      <x:c r="F5306" s="19" t="str">
        <x:v>普通</x:v>
      </x:c>
      <x:c r="G5306" s="19" t="str">
        <x:v>制式独立候选</x:v>
      </x:c>
      <x:c r="H5306" s="19" t="str">
        <x:v>POOL094</x:v>
      </x:c>
      <x:c r="I5306" s="22" t="n">
        <x:v>30000</x:v>
      </x:c>
      <x:c r="J5306" s="22" t="n">
        <x:v>1</x:v>
      </x:c>
      <x:c r="K5306" s="19" t="n">
        <x:v>16</x:v>
      </x:c>
      <x:c r="L5306" s="24" t="n">
        <x:v>13.799999999999999</x:v>
      </x:c>
      <x:c r="M5306" s="26" t="n">
        <x:v>0.1</x:v>
      </x:c>
      <x:c r="N5306" s="24" t="n">
        <x:v>72</x:v>
      </x:c>
      <x:c r="O5306" s="28" t="n">
        <x:f>MIN(1,L5306/I5306)</x:f>
        <x:v>0.00045999999999999996</x:v>
      </x:c>
      <x:c r="P5306" s="30" t="n">
        <x:f>O5306*J5306*(1+M5306)</x:f>
        <x:v>0.000506</x:v>
      </x:c>
      <x:c r="Q5306" s="30" t="n">
        <x:f>P5306*N5306</x:f>
        <x:v>0.036432000000000006</x:v>
      </x:c>
      <x:c r="R5306" s="19" t="str">
        <x:v>单池选一</x:v>
      </x:c>
    </x:row>
    <x:row r="5307" ht="19" customHeight="1">
      <x:c r="A5307" s="19" t="str">
        <x:v>D05303</x:v>
      </x:c>
      <x:c r="B5307" s="19" t="n">
        <x:v>2</x:v>
      </x:c>
      <x:c r="C5307" s="19" t="n">
        <x:v>4</x:v>
      </x:c>
      <x:c r="D5307" s="19" t="str">
        <x:v>EL-MON-LIM-STORM-002</x:v>
      </x:c>
      <x:c r="E5307" s="19" t="str">
        <x:v>雷羽战鹰</x:v>
      </x:c>
      <x:c r="F5307" s="19" t="str">
        <x:v>普通</x:v>
      </x:c>
      <x:c r="G5307" s="19" t="str">
        <x:v>制式独立候选</x:v>
      </x:c>
      <x:c r="H5307" s="19" t="str">
        <x:v>POOL094</x:v>
      </x:c>
      <x:c r="I5307" s="22" t="n">
        <x:v>30000</x:v>
      </x:c>
      <x:c r="J5307" s="22" t="n">
        <x:v>1</x:v>
      </x:c>
      <x:c r="K5307" s="19" t="n">
        <x:v>16</x:v>
      </x:c>
      <x:c r="L5307" s="24" t="n">
        <x:v>13.799999999999999</x:v>
      </x:c>
      <x:c r="M5307" s="26" t="n">
        <x:v>0.1</x:v>
      </x:c>
      <x:c r="N5307" s="24" t="n">
        <x:v>72</x:v>
      </x:c>
      <x:c r="O5307" s="28" t="n">
        <x:f>MIN(1,L5307/I5307)</x:f>
        <x:v>0.00045999999999999996</x:v>
      </x:c>
      <x:c r="P5307" s="30" t="n">
        <x:f>O5307*J5307*(1+M5307)</x:f>
        <x:v>0.000506</x:v>
      </x:c>
      <x:c r="Q5307" s="30" t="n">
        <x:f>P5307*N5307</x:f>
        <x:v>0.036432000000000006</x:v>
      </x:c>
      <x:c r="R5307" s="19" t="str">
        <x:v>单池选一</x:v>
      </x:c>
    </x:row>
    <x:row r="5308" ht="19" customHeight="1">
      <x:c r="A5308" s="19" t="str">
        <x:v>D05304</x:v>
      </x:c>
      <x:c r="B5308" s="19" t="n">
        <x:v>2</x:v>
      </x:c>
      <x:c r="C5308" s="19" t="n">
        <x:v>4</x:v>
      </x:c>
      <x:c r="D5308" s="19" t="str">
        <x:v>EL-MON-LIM-STORM-003</x:v>
      </x:c>
      <x:c r="E5308" s="19" t="str">
        <x:v>山谷巨人</x:v>
      </x:c>
      <x:c r="F5308" s="19" t="str">
        <x:v>普通</x:v>
      </x:c>
      <x:c r="G5308" s="19" t="str">
        <x:v>制式独立候选</x:v>
      </x:c>
      <x:c r="H5308" s="19" t="str">
        <x:v>POOL094</x:v>
      </x:c>
      <x:c r="I5308" s="22" t="n">
        <x:v>30000</x:v>
      </x:c>
      <x:c r="J5308" s="22" t="n">
        <x:v>1</x:v>
      </x:c>
      <x:c r="K5308" s="19" t="n">
        <x:v>16</x:v>
      </x:c>
      <x:c r="L5308" s="24" t="n">
        <x:v>13.799999999999999</x:v>
      </x:c>
      <x:c r="M5308" s="26" t="n">
        <x:v>0.1</x:v>
      </x:c>
      <x:c r="N5308" s="24" t="n">
        <x:v>72</x:v>
      </x:c>
      <x:c r="O5308" s="28" t="n">
        <x:f>MIN(1,L5308/I5308)</x:f>
        <x:v>0.00045999999999999996</x:v>
      </x:c>
      <x:c r="P5308" s="30" t="n">
        <x:f>O5308*J5308*(1+M5308)</x:f>
        <x:v>0.000506</x:v>
      </x:c>
      <x:c r="Q5308" s="30" t="n">
        <x:f>P5308*N5308</x:f>
        <x:v>0.036432000000000006</x:v>
      </x:c>
      <x:c r="R5308" s="19" t="str">
        <x:v>单池选一</x:v>
      </x:c>
    </x:row>
    <x:row r="5309" ht="19" customHeight="1">
      <x:c r="A5309" s="19" t="str">
        <x:v>D05305</x:v>
      </x:c>
      <x:c r="B5309" s="19" t="n">
        <x:v>2</x:v>
      </x:c>
      <x:c r="C5309" s="19" t="n">
        <x:v>4</x:v>
      </x:c>
      <x:c r="D5309" s="19" t="str">
        <x:v>EL-MON-LIM-STORM-004</x:v>
      </x:c>
      <x:c r="E5309" s="19" t="str">
        <x:v>风蚀山羊</x:v>
      </x:c>
      <x:c r="F5309" s="19" t="str">
        <x:v>普通</x:v>
      </x:c>
      <x:c r="G5309" s="19" t="str">
        <x:v>制式独立候选</x:v>
      </x:c>
      <x:c r="H5309" s="19" t="str">
        <x:v>POOL094</x:v>
      </x:c>
      <x:c r="I5309" s="22" t="n">
        <x:v>30000</x:v>
      </x:c>
      <x:c r="J5309" s="22" t="n">
        <x:v>1</x:v>
      </x:c>
      <x:c r="K5309" s="19" t="n">
        <x:v>16</x:v>
      </x:c>
      <x:c r="L5309" s="24" t="n">
        <x:v>13.799999999999999</x:v>
      </x:c>
      <x:c r="M5309" s="26" t="n">
        <x:v>0.1</x:v>
      </x:c>
      <x:c r="N5309" s="24" t="n">
        <x:v>72</x:v>
      </x:c>
      <x:c r="O5309" s="28" t="n">
        <x:f>MIN(1,L5309/I5309)</x:f>
        <x:v>0.00045999999999999996</x:v>
      </x:c>
      <x:c r="P5309" s="30" t="n">
        <x:f>O5309*J5309*(1+M5309)</x:f>
        <x:v>0.000506</x:v>
      </x:c>
      <x:c r="Q5309" s="30" t="n">
        <x:f>P5309*N5309</x:f>
        <x:v>0.036432000000000006</x:v>
      </x:c>
      <x:c r="R5309" s="19" t="str">
        <x:v>单池选一</x:v>
      </x:c>
    </x:row>
    <x:row r="5310" ht="19" customHeight="1">
      <x:c r="A5310" s="19" t="str">
        <x:v>D05306</x:v>
      </x:c>
      <x:c r="B5310" s="19" t="n">
        <x:v>2</x:v>
      </x:c>
      <x:c r="C5310" s="19" t="n">
        <x:v>4</x:v>
      </x:c>
      <x:c r="D5310" s="19" t="str">
        <x:v>EL-MON-LIM-STORM-005</x:v>
      </x:c>
      <x:c r="E5310" s="19" t="str">
        <x:v>风暴流寇</x:v>
      </x:c>
      <x:c r="F5310" s="19" t="str">
        <x:v>普通</x:v>
      </x:c>
      <x:c r="G5310" s="19" t="str">
        <x:v>制式独立候选</x:v>
      </x:c>
      <x:c r="H5310" s="19" t="str">
        <x:v>POOL094</x:v>
      </x:c>
      <x:c r="I5310" s="22" t="n">
        <x:v>30000</x:v>
      </x:c>
      <x:c r="J5310" s="22" t="n">
        <x:v>1</x:v>
      </x:c>
      <x:c r="K5310" s="19" t="n">
        <x:v>16</x:v>
      </x:c>
      <x:c r="L5310" s="24" t="n">
        <x:v>13.799999999999999</x:v>
      </x:c>
      <x:c r="M5310" s="26" t="n">
        <x:v>0.1</x:v>
      </x:c>
      <x:c r="N5310" s="24" t="n">
        <x:v>72</x:v>
      </x:c>
      <x:c r="O5310" s="28" t="n">
        <x:f>MIN(1,L5310/I5310)</x:f>
        <x:v>0.00045999999999999996</x:v>
      </x:c>
      <x:c r="P5310" s="30" t="n">
        <x:f>O5310*J5310*(1+M5310)</x:f>
        <x:v>0.000506</x:v>
      </x:c>
      <x:c r="Q5310" s="30" t="n">
        <x:f>P5310*N5310</x:f>
        <x:v>0.036432000000000006</x:v>
      </x:c>
      <x:c r="R5310" s="19" t="str">
        <x:v>单池选一</x:v>
      </x:c>
    </x:row>
    <x:row r="5311" ht="19" customHeight="1">
      <x:c r="A5311" s="19" t="str">
        <x:v>D05307</x:v>
      </x:c>
      <x:c r="B5311" s="19" t="n">
        <x:v>2</x:v>
      </x:c>
      <x:c r="C5311" s="19" t="n">
        <x:v>4</x:v>
      </x:c>
      <x:c r="D5311" s="19" t="str">
        <x:v>EL-MON-LIM-STORM-006</x:v>
      </x:c>
      <x:c r="E5311" s="19" t="str">
        <x:v>雷痕石蜥</x:v>
      </x:c>
      <x:c r="F5311" s="19" t="str">
        <x:v>普通</x:v>
      </x:c>
      <x:c r="G5311" s="19" t="str">
        <x:v>制式独立候选</x:v>
      </x:c>
      <x:c r="H5311" s="19" t="str">
        <x:v>POOL094</x:v>
      </x:c>
      <x:c r="I5311" s="22" t="n">
        <x:v>30000</x:v>
      </x:c>
      <x:c r="J5311" s="22" t="n">
        <x:v>1</x:v>
      </x:c>
      <x:c r="K5311" s="19" t="n">
        <x:v>16</x:v>
      </x:c>
      <x:c r="L5311" s="24" t="n">
        <x:v>13.799999999999999</x:v>
      </x:c>
      <x:c r="M5311" s="26" t="n">
        <x:v>0.1</x:v>
      </x:c>
      <x:c r="N5311" s="24" t="n">
        <x:v>72</x:v>
      </x:c>
      <x:c r="O5311" s="28" t="n">
        <x:f>MIN(1,L5311/I5311)</x:f>
        <x:v>0.00045999999999999996</x:v>
      </x:c>
      <x:c r="P5311" s="30" t="n">
        <x:f>O5311*J5311*(1+M5311)</x:f>
        <x:v>0.000506</x:v>
      </x:c>
      <x:c r="Q5311" s="30" t="n">
        <x:f>P5311*N5311</x:f>
        <x:v>0.036432000000000006</x:v>
      </x:c>
      <x:c r="R5311" s="19" t="str">
        <x:v>单池选一</x:v>
      </x:c>
    </x:row>
    <x:row r="5312" ht="19" customHeight="1">
      <x:c r="A5312" s="19" t="str">
        <x:v>D05308</x:v>
      </x:c>
      <x:c r="B5312" s="19" t="n">
        <x:v>2</x:v>
      </x:c>
      <x:c r="C5312" s="19" t="n">
        <x:v>4</x:v>
      </x:c>
      <x:c r="D5312" s="19" t="str">
        <x:v>EL-MON-LIM-STORM-007</x:v>
      </x:c>
      <x:c r="E5312" s="19" t="str">
        <x:v>山妖统领</x:v>
      </x:c>
      <x:c r="F5312" s="19" t="str">
        <x:v>稀有</x:v>
      </x:c>
      <x:c r="G5312" s="19" t="str">
        <x:v>制式独立候选</x:v>
      </x:c>
      <x:c r="H5312" s="19" t="str">
        <x:v>POOL094</x:v>
      </x:c>
      <x:c r="I5312" s="22" t="n">
        <x:v>15000</x:v>
      </x:c>
      <x:c r="J5312" s="22" t="n">
        <x:v>1</x:v>
      </x:c>
      <x:c r="K5312" s="19" t="n">
        <x:v>16</x:v>
      </x:c>
      <x:c r="L5312" s="24" t="n">
        <x:v>13.799999999999999</x:v>
      </x:c>
      <x:c r="M5312" s="26" t="n">
        <x:v>0.1</x:v>
      </x:c>
      <x:c r="N5312" s="24" t="n">
        <x:v>10.224967412845931</x:v>
      </x:c>
      <x:c r="O5312" s="28" t="n">
        <x:f>MIN(1,L5312/I5312)</x:f>
        <x:v>0.0009199999999999999</x:v>
      </x:c>
      <x:c r="P5312" s="30" t="n">
        <x:f>O5312*J5312*(1+M5312)</x:f>
        <x:v>0.001012</x:v>
      </x:c>
      <x:c r="Q5312" s="30" t="n">
        <x:f>P5312*N5312</x:f>
        <x:v>0.010347667021800084</x:v>
      </x:c>
      <x:c r="R5312" s="19" t="str">
        <x:v>单池选一</x:v>
      </x:c>
    </x:row>
    <x:row r="5313" ht="19" customHeight="1">
      <x:c r="A5313" s="19" t="str">
        <x:v>D05309</x:v>
      </x:c>
      <x:c r="B5313" s="19" t="n">
        <x:v>2</x:v>
      </x:c>
      <x:c r="C5313" s="19" t="n">
        <x:v>4</x:v>
      </x:c>
      <x:c r="D5313" s="19" t="str">
        <x:v>EL-MON-LIM-STORM-008</x:v>
      </x:c>
      <x:c r="E5313" s="19" t="str">
        <x:v>战鹰驯兽师</x:v>
      </x:c>
      <x:c r="F5313" s="19" t="str">
        <x:v>稀有</x:v>
      </x:c>
      <x:c r="G5313" s="19" t="str">
        <x:v>制式独立候选</x:v>
      </x:c>
      <x:c r="H5313" s="19" t="str">
        <x:v>POOL094</x:v>
      </x:c>
      <x:c r="I5313" s="22" t="n">
        <x:v>15000</x:v>
      </x:c>
      <x:c r="J5313" s="22" t="n">
        <x:v>1</x:v>
      </x:c>
      <x:c r="K5313" s="19" t="n">
        <x:v>16</x:v>
      </x:c>
      <x:c r="L5313" s="24" t="n">
        <x:v>13.799999999999999</x:v>
      </x:c>
      <x:c r="M5313" s="26" t="n">
        <x:v>0.1</x:v>
      </x:c>
      <x:c r="N5313" s="24" t="n">
        <x:v>12</x:v>
      </x:c>
      <x:c r="O5313" s="28" t="n">
        <x:f>MIN(1,L5313/I5313)</x:f>
        <x:v>0.0009199999999999999</x:v>
      </x:c>
      <x:c r="P5313" s="30" t="n">
        <x:f>O5313*J5313*(1+M5313)</x:f>
        <x:v>0.001012</x:v>
      </x:c>
      <x:c r="Q5313" s="30" t="n">
        <x:f>P5313*N5313</x:f>
        <x:v>0.012144000000000002</x:v>
      </x:c>
      <x:c r="R5313" s="19" t="str">
        <x:v>单池选一</x:v>
      </x:c>
    </x:row>
    <x:row r="5314" ht="19" customHeight="1">
      <x:c r="A5314" s="19" t="str">
        <x:v>D05310</x:v>
      </x:c>
      <x:c r="B5314" s="19" t="n">
        <x:v>2</x:v>
      </x:c>
      <x:c r="C5314" s="19" t="n">
        <x:v>4</x:v>
      </x:c>
      <x:c r="D5314" s="19" t="str">
        <x:v>EL-MON-LIM-STORM-009</x:v>
      </x:c>
      <x:c r="E5314" s="19" t="str">
        <x:v>熔炉百夫长</x:v>
      </x:c>
      <x:c r="F5314" s="19" t="str">
        <x:v>稀有</x:v>
      </x:c>
      <x:c r="G5314" s="19" t="str">
        <x:v>制式独立候选</x:v>
      </x:c>
      <x:c r="H5314" s="19" t="str">
        <x:v>POOL094</x:v>
      </x:c>
      <x:c r="I5314" s="22" t="n">
        <x:v>15000</x:v>
      </x:c>
      <x:c r="J5314" s="22" t="n">
        <x:v>1</x:v>
      </x:c>
      <x:c r="K5314" s="19" t="n">
        <x:v>16</x:v>
      </x:c>
      <x:c r="L5314" s="24" t="n">
        <x:v>13.799999999999999</x:v>
      </x:c>
      <x:c r="M5314" s="26" t="n">
        <x:v>0.1</x:v>
      </x:c>
      <x:c r="N5314" s="24" t="n">
        <x:v>10.224967412845931</x:v>
      </x:c>
      <x:c r="O5314" s="28" t="n">
        <x:f>MIN(1,L5314/I5314)</x:f>
        <x:v>0.0009199999999999999</x:v>
      </x:c>
      <x:c r="P5314" s="30" t="n">
        <x:f>O5314*J5314*(1+M5314)</x:f>
        <x:v>0.001012</x:v>
      </x:c>
      <x:c r="Q5314" s="30" t="n">
        <x:f>P5314*N5314</x:f>
        <x:v>0.010347667021800084</x:v>
      </x:c>
      <x:c r="R5314" s="19" t="str">
        <x:v>单池选一</x:v>
      </x:c>
    </x:row>
    <x:row r="5315" ht="19" customHeight="1">
      <x:c r="A5315" s="19" t="str">
        <x:v>D05311</x:v>
      </x:c>
      <x:c r="B5315" s="19" t="n">
        <x:v>2</x:v>
      </x:c>
      <x:c r="C5315" s="19" t="n">
        <x:v>4</x:v>
      </x:c>
      <x:c r="D5315" s="19" t="str">
        <x:v>EL-MON-LIM-STORM-010</x:v>
      </x:c>
      <x:c r="E5315" s="19" t="str">
        <x:v>死亡仪鸟</x:v>
      </x:c>
      <x:c r="F5315" s="19" t="str">
        <x:v>稀有</x:v>
      </x:c>
      <x:c r="G5315" s="19" t="str">
        <x:v>制式独立候选</x:v>
      </x:c>
      <x:c r="H5315" s="19" t="str">
        <x:v>POOL094</x:v>
      </x:c>
      <x:c r="I5315" s="22" t="n">
        <x:v>15000</x:v>
      </x:c>
      <x:c r="J5315" s="22" t="n">
        <x:v>1</x:v>
      </x:c>
      <x:c r="K5315" s="19" t="n">
        <x:v>16</x:v>
      </x:c>
      <x:c r="L5315" s="24" t="n">
        <x:v>13.799999999999999</x:v>
      </x:c>
      <x:c r="M5315" s="26" t="n">
        <x:v>0.1</x:v>
      </x:c>
      <x:c r="N5315" s="24" t="n">
        <x:v>12</x:v>
      </x:c>
      <x:c r="O5315" s="28" t="n">
        <x:f>MIN(1,L5315/I5315)</x:f>
        <x:v>0.0009199999999999999</x:v>
      </x:c>
      <x:c r="P5315" s="30" t="n">
        <x:f>O5315*J5315*(1+M5315)</x:f>
        <x:v>0.001012</x:v>
      </x:c>
      <x:c r="Q5315" s="30" t="n">
        <x:f>P5315*N5315</x:f>
        <x:v>0.012144000000000002</x:v>
      </x:c>
      <x:c r="R5315" s="19" t="str">
        <x:v>单池选一</x:v>
      </x:c>
    </x:row>
    <x:row r="5316" ht="19" customHeight="1">
      <x:c r="A5316" s="19" t="str">
        <x:v>D05312</x:v>
      </x:c>
      <x:c r="B5316" s="19" t="n">
        <x:v>2</x:v>
      </x:c>
      <x:c r="C5316" s="19" t="n">
        <x:v>4</x:v>
      </x:c>
      <x:c r="D5316" s="19" t="str">
        <x:v>EL-MON-LIM-STORM-011</x:v>
      </x:c>
      <x:c r="E5316" s="19" t="str">
        <x:v>风暴君王·奥雷格</x:v>
      </x:c>
      <x:c r="F5316" s="19" t="str">
        <x:v>地图BOSS</x:v>
      </x:c>
      <x:c r="G5316" s="19" t="str">
        <x:v>制式独立候选</x:v>
      </x:c>
      <x:c r="H5316" s="19" t="str">
        <x:v>POOL094</x:v>
      </x:c>
      <x:c r="I5316" s="22" t="n">
        <x:v>4000</x:v>
      </x:c>
      <x:c r="J5316" s="22" t="n">
        <x:v>1</x:v>
      </x:c>
      <x:c r="K5316" s="19" t="n">
        <x:v>16</x:v>
      </x:c>
      <x:c r="L5316" s="24" t="n">
        <x:v>13.799999999999999</x:v>
      </x:c>
      <x:c r="M5316" s="26" t="n">
        <x:v>0.1</x:v>
      </x:c>
      <x:c r="N5316" s="24" t="n">
        <x:v>2</x:v>
      </x:c>
      <x:c r="O5316" s="28" t="n">
        <x:f>MIN(1,L5316/I5316)</x:f>
        <x:v>0.00345</x:v>
      </x:c>
      <x:c r="P5316" s="30" t="n">
        <x:f>O5316*J5316*(1+M5316)</x:f>
        <x:v>0.003795</x:v>
      </x:c>
      <x:c r="Q5316" s="30" t="n">
        <x:f>P5316*N5316</x:f>
        <x:v>0.00759</x:v>
      </x:c>
      <x:c r="R5316" s="19" t="str">
        <x:v>单池选一</x:v>
      </x:c>
    </x:row>
    <x:row r="5317" ht="19" customHeight="1">
      <x:c r="A5317" s="19" t="str">
        <x:v>D05313</x:v>
      </x:c>
      <x:c r="B5317" s="19" t="n">
        <x:v>2</x:v>
      </x:c>
      <x:c r="C5317" s="19" t="n">
        <x:v>4</x:v>
      </x:c>
      <x:c r="D5317" s="19" t="str">
        <x:v>EL-MON-LIM-STORM-012</x:v>
      </x:c>
      <x:c r="E5317" s="19" t="str">
        <x:v>恶兆妖鬼·玛尔基特</x:v>
      </x:c>
      <x:c r="F5317" s="19" t="str">
        <x:v>地图BOSS</x:v>
      </x:c>
      <x:c r="G5317" s="19" t="str">
        <x:v>制式独立候选</x:v>
      </x:c>
      <x:c r="H5317" s="19" t="str">
        <x:v>POOL094</x:v>
      </x:c>
      <x:c r="I5317" s="22" t="n">
        <x:v>4000</x:v>
      </x:c>
      <x:c r="J5317" s="22" t="n">
        <x:v>1</x:v>
      </x:c>
      <x:c r="K5317" s="19" t="n">
        <x:v>16</x:v>
      </x:c>
      <x:c r="L5317" s="24" t="n">
        <x:v>13.799999999999999</x:v>
      </x:c>
      <x:c r="M5317" s="26" t="n">
        <x:v>0.1</x:v>
      </x:c>
      <x:c r="N5317" s="24" t="n">
        <x:v>2</x:v>
      </x:c>
      <x:c r="O5317" s="28" t="n">
        <x:f>MIN(1,L5317/I5317)</x:f>
        <x:v>0.00345</x:v>
      </x:c>
      <x:c r="P5317" s="30" t="n">
        <x:f>O5317*J5317*(1+M5317)</x:f>
        <x:v>0.003795</x:v>
      </x:c>
      <x:c r="Q5317" s="30" t="n">
        <x:f>P5317*N5317</x:f>
        <x:v>0.00759</x:v>
      </x:c>
      <x:c r="R5317" s="19" t="str">
        <x:v>单池选一</x:v>
      </x:c>
    </x:row>
    <x:row r="5318" ht="19" customHeight="1">
      <x:c r="A5318" s="19" t="str">
        <x:v>D05314</x:v>
      </x:c>
      <x:c r="B5318" s="19" t="n">
        <x:v>2</x:v>
      </x:c>
      <x:c r="C5318" s="19" t="n">
        <x:v>5</x:v>
      </x:c>
      <x:c r="D5318" s="19" t="str">
        <x:v>EL-MON-LIM-CASTLE-001</x:v>
      </x:c>
      <x:c r="E5318" s="19" t="str">
        <x:v>王城流刑兵</x:v>
      </x:c>
      <x:c r="F5318" s="19" t="str">
        <x:v>普通</x:v>
      </x:c>
      <x:c r="G5318" s="19" t="str">
        <x:v>制式独立候选</x:v>
      </x:c>
      <x:c r="H5318" s="19" t="str">
        <x:v>POOL095</x:v>
      </x:c>
      <x:c r="I5318" s="22" t="n">
        <x:v>40000</x:v>
      </x:c>
      <x:c r="J5318" s="22" t="n">
        <x:v>1</x:v>
      </x:c>
      <x:c r="K5318" s="19" t="n">
        <x:v>16</x:v>
      </x:c>
      <x:c r="L5318" s="24" t="n">
        <x:v>13.799999999999999</x:v>
      </x:c>
      <x:c r="M5318" s="26" t="n">
        <x:v>0.1</x:v>
      </x:c>
      <x:c r="N5318" s="24" t="n">
        <x:v>72</x:v>
      </x:c>
      <x:c r="O5318" s="28" t="n">
        <x:f>MIN(1,L5318/I5318)</x:f>
        <x:v>0.000345</x:v>
      </x:c>
      <x:c r="P5318" s="30" t="n">
        <x:f>O5318*J5318*(1+M5318)</x:f>
        <x:v>0.0003795</x:v>
      </x:c>
      <x:c r="Q5318" s="30" t="n">
        <x:f>P5318*N5318</x:f>
        <x:v>0.027324</x:v>
      </x:c>
      <x:c r="R5318" s="19" t="str">
        <x:v>单池选一</x:v>
      </x:c>
    </x:row>
    <x:row r="5319" ht="19" customHeight="1">
      <x:c r="A5319" s="19" t="str">
        <x:v>D05315</x:v>
      </x:c>
      <x:c r="B5319" s="19" t="n">
        <x:v>2</x:v>
      </x:c>
      <x:c r="C5319" s="19" t="n">
        <x:v>5</x:v>
      </x:c>
      <x:c r="D5319" s="19" t="str">
        <x:v>EL-MON-LIM-CASTLE-002</x:v>
      </x:c>
      <x:c r="E5319" s="19" t="str">
        <x:v>失乡斧卫</x:v>
      </x:c>
      <x:c r="F5319" s="19" t="str">
        <x:v>普通</x:v>
      </x:c>
      <x:c r="G5319" s="19" t="str">
        <x:v>制式独立候选</x:v>
      </x:c>
      <x:c r="H5319" s="19" t="str">
        <x:v>POOL095</x:v>
      </x:c>
      <x:c r="I5319" s="22" t="n">
        <x:v>40000</x:v>
      </x:c>
      <x:c r="J5319" s="22" t="n">
        <x:v>1</x:v>
      </x:c>
      <x:c r="K5319" s="19" t="n">
        <x:v>16</x:v>
      </x:c>
      <x:c r="L5319" s="24" t="n">
        <x:v>13.799999999999999</x:v>
      </x:c>
      <x:c r="M5319" s="26" t="n">
        <x:v>0.1</x:v>
      </x:c>
      <x:c r="N5319" s="24" t="n">
        <x:v>72</x:v>
      </x:c>
      <x:c r="O5319" s="28" t="n">
        <x:f>MIN(1,L5319/I5319)</x:f>
        <x:v>0.000345</x:v>
      </x:c>
      <x:c r="P5319" s="30" t="n">
        <x:f>O5319*J5319*(1+M5319)</x:f>
        <x:v>0.0003795</x:v>
      </x:c>
      <x:c r="Q5319" s="30" t="n">
        <x:f>P5319*N5319</x:f>
        <x:v>0.027324</x:v>
      </x:c>
      <x:c r="R5319" s="19" t="str">
        <x:v>单池选一</x:v>
      </x:c>
    </x:row>
    <x:row r="5320" ht="19" customHeight="1">
      <x:c r="A5320" s="19" t="str">
        <x:v>D05316</x:v>
      </x:c>
      <x:c r="B5320" s="19" t="n">
        <x:v>2</x:v>
      </x:c>
      <x:c r="C5320" s="19" t="n">
        <x:v>5</x:v>
      </x:c>
      <x:c r="D5320" s="19" t="str">
        <x:v>EL-MON-LIM-CASTLE-003</x:v>
      </x:c>
      <x:c r="E5320" s="19" t="str">
        <x:v>火药弩兵</x:v>
      </x:c>
      <x:c r="F5320" s="19" t="str">
        <x:v>普通</x:v>
      </x:c>
      <x:c r="G5320" s="19" t="str">
        <x:v>制式独立候选</x:v>
      </x:c>
      <x:c r="H5320" s="19" t="str">
        <x:v>POOL095</x:v>
      </x:c>
      <x:c r="I5320" s="22" t="n">
        <x:v>40000</x:v>
      </x:c>
      <x:c r="J5320" s="22" t="n">
        <x:v>1</x:v>
      </x:c>
      <x:c r="K5320" s="19" t="n">
        <x:v>16</x:v>
      </x:c>
      <x:c r="L5320" s="24" t="n">
        <x:v>13.799999999999999</x:v>
      </x:c>
      <x:c r="M5320" s="26" t="n">
        <x:v>0.1</x:v>
      </x:c>
      <x:c r="N5320" s="24" t="n">
        <x:v>72</x:v>
      </x:c>
      <x:c r="O5320" s="28" t="n">
        <x:f>MIN(1,L5320/I5320)</x:f>
        <x:v>0.000345</x:v>
      </x:c>
      <x:c r="P5320" s="30" t="n">
        <x:f>O5320*J5320*(1+M5320)</x:f>
        <x:v>0.0003795</x:v>
      </x:c>
      <x:c r="Q5320" s="30" t="n">
        <x:f>P5320*N5320</x:f>
        <x:v>0.027324</x:v>
      </x:c>
      <x:c r="R5320" s="19" t="str">
        <x:v>单池选一</x:v>
      </x:c>
    </x:row>
    <x:row r="5321" ht="19" customHeight="1">
      <x:c r="A5321" s="19" t="str">
        <x:v>D05317</x:v>
      </x:c>
      <x:c r="B5321" s="19" t="n">
        <x:v>2</x:v>
      </x:c>
      <x:c r="C5321" s="19" t="n">
        <x:v>5</x:v>
      </x:c>
      <x:c r="D5321" s="19" t="str">
        <x:v>EL-MON-LIM-CASTLE-004</x:v>
      </x:c>
      <x:c r="E5321" s="19" t="str">
        <x:v>刀翼战鹰</x:v>
      </x:c>
      <x:c r="F5321" s="19" t="str">
        <x:v>普通</x:v>
      </x:c>
      <x:c r="G5321" s="19" t="str">
        <x:v>制式独立候选</x:v>
      </x:c>
      <x:c r="H5321" s="19" t="str">
        <x:v>POOL095</x:v>
      </x:c>
      <x:c r="I5321" s="22" t="n">
        <x:v>40000</x:v>
      </x:c>
      <x:c r="J5321" s="22" t="n">
        <x:v>1</x:v>
      </x:c>
      <x:c r="K5321" s="19" t="n">
        <x:v>16</x:v>
      </x:c>
      <x:c r="L5321" s="24" t="n">
        <x:v>13.799999999999999</x:v>
      </x:c>
      <x:c r="M5321" s="26" t="n">
        <x:v>0.1</x:v>
      </x:c>
      <x:c r="N5321" s="24" t="n">
        <x:v>72</x:v>
      </x:c>
      <x:c r="O5321" s="28" t="n">
        <x:f>MIN(1,L5321/I5321)</x:f>
        <x:v>0.000345</x:v>
      </x:c>
      <x:c r="P5321" s="30" t="n">
        <x:f>O5321*J5321*(1+M5321)</x:f>
        <x:v>0.0003795</x:v>
      </x:c>
      <x:c r="Q5321" s="30" t="n">
        <x:f>P5321*N5321</x:f>
        <x:v>0.027324</x:v>
      </x:c>
      <x:c r="R5321" s="19" t="str">
        <x:v>单池选一</x:v>
      </x:c>
    </x:row>
    <x:row r="5322" ht="19" customHeight="1">
      <x:c r="A5322" s="19" t="str">
        <x:v>D05318</x:v>
      </x:c>
      <x:c r="B5322" s="19" t="n">
        <x:v>2</x:v>
      </x:c>
      <x:c r="C5322" s="19" t="n">
        <x:v>5</x:v>
      </x:c>
      <x:c r="D5322" s="19" t="str">
        <x:v>EL-MON-LIM-CASTLE-005</x:v>
      </x:c>
      <x:c r="E5322" s="19" t="str">
        <x:v>接肢侍从</x:v>
      </x:c>
      <x:c r="F5322" s="19" t="str">
        <x:v>普通</x:v>
      </x:c>
      <x:c r="G5322" s="19" t="str">
        <x:v>制式独立候选</x:v>
      </x:c>
      <x:c r="H5322" s="19" t="str">
        <x:v>POOL095</x:v>
      </x:c>
      <x:c r="I5322" s="22" t="n">
        <x:v>40000</x:v>
      </x:c>
      <x:c r="J5322" s="22" t="n">
        <x:v>1</x:v>
      </x:c>
      <x:c r="K5322" s="19" t="n">
        <x:v>16</x:v>
      </x:c>
      <x:c r="L5322" s="24" t="n">
        <x:v>13.799999999999999</x:v>
      </x:c>
      <x:c r="M5322" s="26" t="n">
        <x:v>0.1</x:v>
      </x:c>
      <x:c r="N5322" s="24" t="n">
        <x:v>72</x:v>
      </x:c>
      <x:c r="O5322" s="28" t="n">
        <x:f>MIN(1,L5322/I5322)</x:f>
        <x:v>0.000345</x:v>
      </x:c>
      <x:c r="P5322" s="30" t="n">
        <x:f>O5322*J5322*(1+M5322)</x:f>
        <x:v>0.0003795</x:v>
      </x:c>
      <x:c r="Q5322" s="30" t="n">
        <x:f>P5322*N5322</x:f>
        <x:v>0.027324</x:v>
      </x:c>
      <x:c r="R5322" s="19" t="str">
        <x:v>单池选一</x:v>
      </x:c>
    </x:row>
    <x:row r="5323" ht="19" customHeight="1">
      <x:c r="A5323" s="19" t="str">
        <x:v>D05319</x:v>
      </x:c>
      <x:c r="B5323" s="19" t="n">
        <x:v>2</x:v>
      </x:c>
      <x:c r="C5323" s="19" t="n">
        <x:v>5</x:v>
      </x:c>
      <x:c r="D5323" s="19" t="str">
        <x:v>EL-MON-LIM-CASTLE-006</x:v>
      </x:c>
      <x:c r="E5323" s="19" t="str">
        <x:v>王城禁卫</x:v>
      </x:c>
      <x:c r="F5323" s="19" t="str">
        <x:v>普通</x:v>
      </x:c>
      <x:c r="G5323" s="19" t="str">
        <x:v>制式独立候选</x:v>
      </x:c>
      <x:c r="H5323" s="19" t="str">
        <x:v>POOL095</x:v>
      </x:c>
      <x:c r="I5323" s="22" t="n">
        <x:v>40000</x:v>
      </x:c>
      <x:c r="J5323" s="22" t="n">
        <x:v>1</x:v>
      </x:c>
      <x:c r="K5323" s="19" t="n">
        <x:v>16</x:v>
      </x:c>
      <x:c r="L5323" s="24" t="n">
        <x:v>13.799999999999999</x:v>
      </x:c>
      <x:c r="M5323" s="26" t="n">
        <x:v>0.1</x:v>
      </x:c>
      <x:c r="N5323" s="24" t="n">
        <x:v>72</x:v>
      </x:c>
      <x:c r="O5323" s="28" t="n">
        <x:f>MIN(1,L5323/I5323)</x:f>
        <x:v>0.000345</x:v>
      </x:c>
      <x:c r="P5323" s="30" t="n">
        <x:f>O5323*J5323*(1+M5323)</x:f>
        <x:v>0.0003795</x:v>
      </x:c>
      <x:c r="Q5323" s="30" t="n">
        <x:f>P5323*N5323</x:f>
        <x:v>0.027324</x:v>
      </x:c>
      <x:c r="R5323" s="19" t="str">
        <x:v>单池选一</x:v>
      </x:c>
    </x:row>
    <x:row r="5324" ht="19" customHeight="1">
      <x:c r="A5324" s="19" t="str">
        <x:v>D05320</x:v>
      </x:c>
      <x:c r="B5324" s="19" t="n">
        <x:v>2</x:v>
      </x:c>
      <x:c r="C5324" s="19" t="n">
        <x:v>5</x:v>
      </x:c>
      <x:c r="D5324" s="19" t="str">
        <x:v>EL-MON-LIM-CASTLE-007</x:v>
      </x:c>
      <x:c r="E5324" s="19" t="str">
        <x:v>失乡骑士长</x:v>
      </x:c>
      <x:c r="F5324" s="19" t="str">
        <x:v>稀有</x:v>
      </x:c>
      <x:c r="G5324" s="19" t="str">
        <x:v>制式独立候选</x:v>
      </x:c>
      <x:c r="H5324" s="19" t="str">
        <x:v>POOL095</x:v>
      </x:c>
      <x:c r="I5324" s="22" t="n">
        <x:v>20000</x:v>
      </x:c>
      <x:c r="J5324" s="22" t="n">
        <x:v>1</x:v>
      </x:c>
      <x:c r="K5324" s="19" t="n">
        <x:v>16</x:v>
      </x:c>
      <x:c r="L5324" s="24" t="n">
        <x:v>13.799999999999999</x:v>
      </x:c>
      <x:c r="M5324" s="26" t="n">
        <x:v>0.1</x:v>
      </x:c>
      <x:c r="N5324" s="24" t="n">
        <x:v>10.157296777148728</x:v>
      </x:c>
      <x:c r="O5324" s="28" t="n">
        <x:f>MIN(1,L5324/I5324)</x:f>
        <x:v>0.00069</x:v>
      </x:c>
      <x:c r="P5324" s="30" t="n">
        <x:f>O5324*J5324*(1+M5324)</x:f>
        <x:v>0.000759</x:v>
      </x:c>
      <x:c r="Q5324" s="30" t="n">
        <x:f>P5324*N5324</x:f>
        <x:v>0.007709388253855884</x:v>
      </x:c>
      <x:c r="R5324" s="19" t="str">
        <x:v>单池选一</x:v>
      </x:c>
    </x:row>
    <x:row r="5325" ht="19" customHeight="1">
      <x:c r="A5325" s="19" t="str">
        <x:v>D05321</x:v>
      </x:c>
      <x:c r="B5325" s="19" t="n">
        <x:v>2</x:v>
      </x:c>
      <x:c r="C5325" s="19" t="n">
        <x:v>5</x:v>
      </x:c>
      <x:c r="D5325" s="19" t="str">
        <x:v>EL-MON-LIM-CASTLE-008</x:v>
      </x:c>
      <x:c r="E5325" s="19" t="str">
        <x:v>接肢狮卫</x:v>
      </x:c>
      <x:c r="F5325" s="19" t="str">
        <x:v>稀有</x:v>
      </x:c>
      <x:c r="G5325" s="19" t="str">
        <x:v>制式独立候选</x:v>
      </x:c>
      <x:c r="H5325" s="19" t="str">
        <x:v>POOL095</x:v>
      </x:c>
      <x:c r="I5325" s="22" t="n">
        <x:v>20000</x:v>
      </x:c>
      <x:c r="J5325" s="22" t="n">
        <x:v>1</x:v>
      </x:c>
      <x:c r="K5325" s="19" t="n">
        <x:v>16</x:v>
      </x:c>
      <x:c r="L5325" s="24" t="n">
        <x:v>13.799999999999999</x:v>
      </x:c>
      <x:c r="M5325" s="26" t="n">
        <x:v>0.1</x:v>
      </x:c>
      <x:c r="N5325" s="24" t="n">
        <x:v>10.157296777148728</x:v>
      </x:c>
      <x:c r="O5325" s="28" t="n">
        <x:f>MIN(1,L5325/I5325)</x:f>
        <x:v>0.00069</x:v>
      </x:c>
      <x:c r="P5325" s="30" t="n">
        <x:f>O5325*J5325*(1+M5325)</x:f>
        <x:v>0.000759</x:v>
      </x:c>
      <x:c r="Q5325" s="30" t="n">
        <x:f>P5325*N5325</x:f>
        <x:v>0.007709388253855884</x:v>
      </x:c>
      <x:c r="R5325" s="19" t="str">
        <x:v>单池选一</x:v>
      </x:c>
    </x:row>
    <x:row r="5326" ht="19" customHeight="1">
      <x:c r="A5326" s="19" t="str">
        <x:v>D05322</x:v>
      </x:c>
      <x:c r="B5326" s="19" t="n">
        <x:v>2</x:v>
      </x:c>
      <x:c r="C5326" s="19" t="n">
        <x:v>5</x:v>
      </x:c>
      <x:c r="D5326" s="19" t="str">
        <x:v>EL-MON-LIM-CASTLE-009</x:v>
      </x:c>
      <x:c r="E5326" s="19" t="str">
        <x:v>黑焰礼拜官</x:v>
      </x:c>
      <x:c r="F5326" s="19" t="str">
        <x:v>稀有</x:v>
      </x:c>
      <x:c r="G5326" s="19" t="str">
        <x:v>制式独立候选</x:v>
      </x:c>
      <x:c r="H5326" s="19" t="str">
        <x:v>POOL095</x:v>
      </x:c>
      <x:c r="I5326" s="22" t="n">
        <x:v>20000</x:v>
      </x:c>
      <x:c r="J5326" s="22" t="n">
        <x:v>1</x:v>
      </x:c>
      <x:c r="K5326" s="19" t="n">
        <x:v>16</x:v>
      </x:c>
      <x:c r="L5326" s="24" t="n">
        <x:v>13.799999999999999</x:v>
      </x:c>
      <x:c r="M5326" s="26" t="n">
        <x:v>0.1</x:v>
      </x:c>
      <x:c r="N5326" s="24" t="n">
        <x:v>10.157296777148728</x:v>
      </x:c>
      <x:c r="O5326" s="28" t="n">
        <x:f>MIN(1,L5326/I5326)</x:f>
        <x:v>0.00069</x:v>
      </x:c>
      <x:c r="P5326" s="30" t="n">
        <x:f>O5326*J5326*(1+M5326)</x:f>
        <x:v>0.000759</x:v>
      </x:c>
      <x:c r="Q5326" s="30" t="n">
        <x:f>P5326*N5326</x:f>
        <x:v>0.007709388253855884</x:v>
      </x:c>
      <x:c r="R5326" s="19" t="str">
        <x:v>单池选一</x:v>
      </x:c>
    </x:row>
    <x:row r="5327" ht="19" customHeight="1">
      <x:c r="A5327" s="19" t="str">
        <x:v>D05323</x:v>
      </x:c>
      <x:c r="B5327" s="19" t="n">
        <x:v>2</x:v>
      </x:c>
      <x:c r="C5327" s="19" t="n">
        <x:v>5</x:v>
      </x:c>
      <x:c r="D5327" s="19" t="str">
        <x:v>EL-MON-LIM-CASTLE-010</x:v>
      </x:c>
      <x:c r="E5327" s="19" t="str">
        <x:v>王城执刑官</x:v>
      </x:c>
      <x:c r="F5327" s="19" t="str">
        <x:v>稀有</x:v>
      </x:c>
      <x:c r="G5327" s="19" t="str">
        <x:v>制式独立候选</x:v>
      </x:c>
      <x:c r="H5327" s="19" t="str">
        <x:v>POOL095</x:v>
      </x:c>
      <x:c r="I5327" s="22" t="n">
        <x:v>20000</x:v>
      </x:c>
      <x:c r="J5327" s="22" t="n">
        <x:v>1</x:v>
      </x:c>
      <x:c r="K5327" s="19" t="n">
        <x:v>16</x:v>
      </x:c>
      <x:c r="L5327" s="24" t="n">
        <x:v>13.799999999999999</x:v>
      </x:c>
      <x:c r="M5327" s="26" t="n">
        <x:v>0.1</x:v>
      </x:c>
      <x:c r="N5327" s="24" t="n">
        <x:v>10.665161616006165</x:v>
      </x:c>
      <x:c r="O5327" s="28" t="n">
        <x:f>MIN(1,L5327/I5327)</x:f>
        <x:v>0.00069</x:v>
      </x:c>
      <x:c r="P5327" s="30" t="n">
        <x:f>O5327*J5327*(1+M5327)</x:f>
        <x:v>0.000759</x:v>
      </x:c>
      <x:c r="Q5327" s="30" t="n">
        <x:f>P5327*N5327</x:f>
        <x:v>0.00809485766654868</x:v>
      </x:c>
      <x:c r="R5327" s="19" t="str">
        <x:v>单池选一</x:v>
      </x:c>
    </x:row>
    <x:row r="5328" ht="19" customHeight="1">
      <x:c r="A5328" s="19" t="str">
        <x:v>D05324</x:v>
      </x:c>
      <x:c r="B5328" s="19" t="n">
        <x:v>2</x:v>
      </x:c>
      <x:c r="C5328" s="19" t="n">
        <x:v>5</x:v>
      </x:c>
      <x:c r="D5328" s="19" t="str">
        <x:v>EL-MON-LIM-CASTLE-011</x:v>
      </x:c>
      <x:c r="E5328" s="19" t="str">
        <x:v>接肢兽将·戈德温</x:v>
      </x:c>
      <x:c r="F5328" s="19" t="str">
        <x:v>地图BOSS</x:v>
      </x:c>
      <x:c r="G5328" s="19" t="str">
        <x:v>制式独立候选</x:v>
      </x:c>
      <x:c r="H5328" s="19" t="str">
        <x:v>POOL095</x:v>
      </x:c>
      <x:c r="I5328" s="22" t="n">
        <x:v>6000</x:v>
      </x:c>
      <x:c r="J5328" s="22" t="n">
        <x:v>1</x:v>
      </x:c>
      <x:c r="K5328" s="19" t="n">
        <x:v>16</x:v>
      </x:c>
      <x:c r="L5328" s="24" t="n">
        <x:v>13.799999999999999</x:v>
      </x:c>
      <x:c r="M5328" s="26" t="n">
        <x:v>0.1</x:v>
      </x:c>
      <x:c r="N5328" s="24" t="n">
        <x:v>2</x:v>
      </x:c>
      <x:c r="O5328" s="28" t="n">
        <x:f>MIN(1,L5328/I5328)</x:f>
        <x:v>0.0023</x:v>
      </x:c>
      <x:c r="P5328" s="30" t="n">
        <x:f>O5328*J5328*(1+M5328)</x:f>
        <x:v>0.00253</x:v>
      </x:c>
      <x:c r="Q5328" s="30" t="n">
        <x:f>P5328*N5328</x:f>
        <x:v>0.00506</x:v>
      </x:c>
      <x:c r="R5328" s="19" t="str">
        <x:v>单池选一</x:v>
      </x:c>
    </x:row>
    <x:row r="5329" ht="19" customHeight="1">
      <x:c r="A5329" s="19" t="str">
        <x:v>D05325</x:v>
      </x:c>
      <x:c r="B5329" s="19" t="n">
        <x:v>2</x:v>
      </x:c>
      <x:c r="C5329" s="19" t="n">
        <x:v>5</x:v>
      </x:c>
      <x:c r="D5329" s="19" t="str">
        <x:v>EL-MON-LIM-CASTLE-012</x:v>
      </x:c>
      <x:c r="E5329" s="19" t="str">
        <x:v>失乡统帅·欧尼尔</x:v>
      </x:c>
      <x:c r="F5329" s="19" t="str">
        <x:v>地图BOSS</x:v>
      </x:c>
      <x:c r="G5329" s="19" t="str">
        <x:v>制式独立候选</x:v>
      </x:c>
      <x:c r="H5329" s="19" t="str">
        <x:v>POOL095</x:v>
      </x:c>
      <x:c r="I5329" s="22" t="n">
        <x:v>6000</x:v>
      </x:c>
      <x:c r="J5329" s="22" t="n">
        <x:v>1</x:v>
      </x:c>
      <x:c r="K5329" s="19" t="n">
        <x:v>16</x:v>
      </x:c>
      <x:c r="L5329" s="24" t="n">
        <x:v>13.799999999999999</x:v>
      </x:c>
      <x:c r="M5329" s="26" t="n">
        <x:v>0.1</x:v>
      </x:c>
      <x:c r="N5329" s="24" t="n">
        <x:v>2</x:v>
      </x:c>
      <x:c r="O5329" s="28" t="n">
        <x:f>MIN(1,L5329/I5329)</x:f>
        <x:v>0.0023</x:v>
      </x:c>
      <x:c r="P5329" s="30" t="n">
        <x:f>O5329*J5329*(1+M5329)</x:f>
        <x:v>0.00253</x:v>
      </x:c>
      <x:c r="Q5329" s="30" t="n">
        <x:f>P5329*N5329</x:f>
        <x:v>0.00506</x:v>
      </x:c>
      <x:c r="R5329" s="19" t="str">
        <x:v>单池选一</x:v>
      </x:c>
    </x:row>
    <x:row r="5330" ht="19" customHeight="1">
      <x:c r="A5330" s="19" t="str">
        <x:v>D05326</x:v>
      </x:c>
      <x:c r="B5330" s="19" t="n">
        <x:v>2</x:v>
      </x:c>
      <x:c r="C5330" s="19" t="n">
        <x:v>5</x:v>
      </x:c>
      <x:c r="D5330" s="19" t="str">
        <x:v>EL-MON-LIM-CASTLE-013</x:v>
      </x:c>
      <x:c r="E5330" s="19" t="str">
        <x:v>接肢君王·葛瑞克</x:v>
      </x:c>
      <x:c r="F5330" s="19" t="str">
        <x:v>守关BOSS</x:v>
      </x:c>
      <x:c r="G5330" s="19" t="str">
        <x:v>制式独立候选</x:v>
      </x:c>
      <x:c r="H5330" s="19" t="str">
        <x:v>POOL095</x:v>
      </x:c>
      <x:c r="I5330" s="22" t="n">
        <x:v>60</x:v>
      </x:c>
      <x:c r="J5330" s="22" t="n">
        <x:v>1</x:v>
      </x:c>
      <x:c r="K5330" s="19" t="n">
        <x:v>16</x:v>
      </x:c>
      <x:c r="L5330" s="24" t="n">
        <x:v>13.799999999999999</x:v>
      </x:c>
      <x:c r="M5330" s="26" t="n">
        <x:v>0.1</x:v>
      </x:c>
      <x:c r="N5330" s="24" t="n">
        <x:v>0</x:v>
      </x:c>
      <x:c r="O5330" s="28" t="n">
        <x:f>MIN(1,L5330/I5330)</x:f>
        <x:v>0.22999999999999998</x:v>
      </x:c>
      <x:c r="P5330" s="30" t="n">
        <x:f>O5330*J5330*(1+M5330)</x:f>
        <x:v>0.253</x:v>
      </x:c>
      <x:c r="Q5330" s="30" t="n">
        <x:f>P5330*N5330</x:f>
        <x:v>0</x:v>
      </x:c>
      <x:c r="R5330" s="19" t="str">
        <x:v>单池选一</x:v>
      </x:c>
    </x:row>
    <x:row r="5331" ht="19" customHeight="1">
      <x:c r="A5331" s="19" t="str">
        <x:v>D05327</x:v>
      </x:c>
      <x:c r="B5331" s="19" t="n">
        <x:v>2</x:v>
      </x:c>
      <x:c r="C5331" s="19" t="n">
        <x:v>1</x:v>
      </x:c>
      <x:c r="D5331" s="19" t="str">
        <x:v>EL-MON-LIM-GRAVE-007</x:v>
      </x:c>
      <x:c r="E5331" s="19" t="str">
        <x:v>归树看门犬</x:v>
      </x:c>
      <x:c r="F5331" s="19" t="str">
        <x:v>稀有</x:v>
      </x:c>
      <x:c r="G5331" s="19" t="str">
        <x:v>称号卷</x:v>
      </x:c>
      <x:c r="H5331" s="19" t="str">
        <x:v>[称号]墓门守誓</x:v>
      </x:c>
      <x:c r="I5331" s="22" t="n">
        <x:v>600</x:v>
      </x:c>
      <x:c r="J5331" s="22" t="n">
        <x:v>1</x:v>
      </x:c>
      <x:c r="K5331" s="19" t="n">
        <x:v>1</x:v>
      </x:c>
      <x:c r="L5331" s="24" t="n">
        <x:v>13.799999999999999</x:v>
      </x:c>
      <x:c r="M5331" s="26" t="n">
        <x:v>0.1</x:v>
      </x:c>
      <x:c r="N5331" s="24" t="n">
        <x:v>11.539476758391105</x:v>
      </x:c>
      <x:c r="O5331" s="28" t="n">
        <x:f>MIN(1,L5331/I5331)</x:f>
        <x:v>0.023</x:v>
      </x:c>
      <x:c r="P5331" s="30" t="n">
        <x:f>O5331*J5331*(1+M5331)</x:f>
        <x:v>0.025300000000000003</x:v>
      </x:c>
      <x:c r="Q5331" s="30" t="n">
        <x:f>P5331*N5331</x:f>
        <x:v>0.29194876198729497</x:v>
      </x:c>
      <x:c r="R5331" s="19" t="str">
        <x:v>独立判定</x:v>
      </x:c>
    </x:row>
    <x:row r="5332" ht="19" customHeight="1">
      <x:c r="A5332" s="19" t="str">
        <x:v>D05328</x:v>
      </x:c>
      <x:c r="B5332" s="19" t="n">
        <x:v>2</x:v>
      </x:c>
      <x:c r="C5332" s="19" t="n">
        <x:v>1</x:v>
      </x:c>
      <x:c r="D5332" s="19" t="str">
        <x:v>EL-MON-LIM-GRAVE-011</x:v>
      </x:c>
      <x:c r="E5332" s="19" t="str">
        <x:v>溃烂树灵·乌尔德</x:v>
      </x:c>
      <x:c r="F5332" s="19" t="str">
        <x:v>地图BOSS</x:v>
      </x:c>
      <x:c r="G5332" s="19" t="str">
        <x:v>称号卷</x:v>
      </x:c>
      <x:c r="H5332" s="19" t="str">
        <x:v>[称号]腐根不眠</x:v>
      </x:c>
      <x:c r="I5332" s="22" t="n">
        <x:v>250</x:v>
      </x:c>
      <x:c r="J5332" s="22" t="n">
        <x:v>1</x:v>
      </x:c>
      <x:c r="K5332" s="19" t="n">
        <x:v>1</x:v>
      </x:c>
      <x:c r="L5332" s="24" t="n">
        <x:v>13.799999999999999</x:v>
      </x:c>
      <x:c r="M5332" s="26" t="n">
        <x:v>0.1</x:v>
      </x:c>
      <x:c r="N5332" s="24" t="n">
        <x:v>2</x:v>
      </x:c>
      <x:c r="O5332" s="28" t="n">
        <x:f>MIN(1,L5332/I5332)</x:f>
        <x:v>0.0552</x:v>
      </x:c>
      <x:c r="P5332" s="30" t="n">
        <x:f>O5332*J5332*(1+M5332)</x:f>
        <x:v>0.06072</x:v>
      </x:c>
      <x:c r="Q5332" s="30" t="n">
        <x:f>P5332*N5332</x:f>
        <x:v>0.12144</x:v>
      </x:c>
      <x:c r="R5332" s="19" t="str">
        <x:v>独立判定</x:v>
      </x:c>
    </x:row>
    <x:row r="5333" ht="19" customHeight="1">
      <x:c r="A5333" s="19" t="str">
        <x:v>D05329</x:v>
      </x:c>
      <x:c r="B5333" s="19" t="n">
        <x:v>2</x:v>
      </x:c>
      <x:c r="C5333" s="19" t="n">
        <x:v>1</x:v>
      </x:c>
      <x:c r="D5333" s="19" t="str">
        <x:v>EL-MON-LIM-GRAVE-012</x:v>
      </x:c>
      <x:c r="E5333" s="19" t="str">
        <x:v>接肢贵胄·格雷姆</x:v>
      </x:c>
      <x:c r="F5333" s="19" t="str">
        <x:v>地图BOSS</x:v>
      </x:c>
      <x:c r="G5333" s="19" t="str">
        <x:v>称号卷</x:v>
      </x:c>
      <x:c r="H5333" s="19" t="str">
        <x:v>[称号]百臂遗嗣</x:v>
      </x:c>
      <x:c r="I5333" s="22" t="n">
        <x:v>250</x:v>
      </x:c>
      <x:c r="J5333" s="22" t="n">
        <x:v>1</x:v>
      </x:c>
      <x:c r="K5333" s="19" t="n">
        <x:v>1</x:v>
      </x:c>
      <x:c r="L5333" s="24" t="n">
        <x:v>13.799999999999999</x:v>
      </x:c>
      <x:c r="M5333" s="26" t="n">
        <x:v>0.1</x:v>
      </x:c>
      <x:c r="N5333" s="24" t="n">
        <x:v>2</x:v>
      </x:c>
      <x:c r="O5333" s="28" t="n">
        <x:f>MIN(1,L5333/I5333)</x:f>
        <x:v>0.0552</x:v>
      </x:c>
      <x:c r="P5333" s="30" t="n">
        <x:f>O5333*J5333*(1+M5333)</x:f>
        <x:v>0.06072</x:v>
      </x:c>
      <x:c r="Q5333" s="30" t="n">
        <x:f>P5333*N5333</x:f>
        <x:v>0.12144</x:v>
      </x:c>
      <x:c r="R5333" s="19" t="str">
        <x:v>独立判定</x:v>
      </x:c>
    </x:row>
    <x:row r="5334" ht="19" customHeight="1">
      <x:c r="A5334" s="19" t="str">
        <x:v>D05330</x:v>
      </x:c>
      <x:c r="B5334" s="19" t="n">
        <x:v>2</x:v>
      </x:c>
      <x:c r="C5334" s="19" t="n">
        <x:v>2</x:v>
      </x:c>
      <x:c r="D5334" s="19" t="str">
        <x:v>EL-MON-LIM-GATE-007</x:v>
      </x:c>
      <x:c r="E5334" s="19" t="str">
        <x:v>黄金重骑</x:v>
      </x:c>
      <x:c r="F5334" s="19" t="str">
        <x:v>稀有</x:v>
      </x:c>
      <x:c r="G5334" s="19" t="str">
        <x:v>称号卷</x:v>
      </x:c>
      <x:c r="H5334" s="19" t="str">
        <x:v>[称号]金甲破阵</x:v>
      </x:c>
      <x:c r="I5334" s="22" t="n">
        <x:v>600</x:v>
      </x:c>
      <x:c r="J5334" s="22" t="n">
        <x:v>1</x:v>
      </x:c>
      <x:c r="K5334" s="19" t="n">
        <x:v>1</x:v>
      </x:c>
      <x:c r="L5334" s="24" t="n">
        <x:v>13.839999999999998</x:v>
      </x:c>
      <x:c r="M5334" s="26" t="n">
        <x:v>0.1</x:v>
      </x:c>
      <x:c r="N5334" s="24" t="n">
        <x:v>12</x:v>
      </x:c>
      <x:c r="O5334" s="28" t="n">
        <x:f>MIN(1,L5334/I5334)</x:f>
        <x:v>0.023066666666666662</x:v>
      </x:c>
      <x:c r="P5334" s="30" t="n">
        <x:f>O5334*J5334*(1+M5334)</x:f>
        <x:v>0.02537333333333333</x:v>
      </x:c>
      <x:c r="Q5334" s="30" t="n">
        <x:f>P5334*N5334</x:f>
        <x:v>0.30448</x:v>
      </x:c>
      <x:c r="R5334" s="19" t="str">
        <x:v>独立判定</x:v>
      </x:c>
    </x:row>
    <x:row r="5335" ht="19" customHeight="1">
      <x:c r="A5335" s="19" t="str">
        <x:v>D05331</x:v>
      </x:c>
      <x:c r="B5335" s="19" t="n">
        <x:v>2</x:v>
      </x:c>
      <x:c r="C5335" s="19" t="n">
        <x:v>2</x:v>
      </x:c>
      <x:c r="D5335" s="19" t="str">
        <x:v>EL-MON-LIM-GATE-011</x:v>
      </x:c>
      <x:c r="E5335" s="19" t="str">
        <x:v>大树守卫·罗兰</x:v>
      </x:c>
      <x:c r="F5335" s="19" t="str">
        <x:v>地图BOSS</x:v>
      </x:c>
      <x:c r="G5335" s="19" t="str">
        <x:v>称号卷</x:v>
      </x:c>
      <x:c r="H5335" s="19" t="str">
        <x:v>[称号]黄金长戟</x:v>
      </x:c>
      <x:c r="I5335" s="22" t="n">
        <x:v>250</x:v>
      </x:c>
      <x:c r="J5335" s="22" t="n">
        <x:v>1</x:v>
      </x:c>
      <x:c r="K5335" s="19" t="n">
        <x:v>1</x:v>
      </x:c>
      <x:c r="L5335" s="24" t="n">
        <x:v>13.839999999999998</x:v>
      </x:c>
      <x:c r="M5335" s="26" t="n">
        <x:v>0.1</x:v>
      </x:c>
      <x:c r="N5335" s="24" t="n">
        <x:v>2</x:v>
      </x:c>
      <x:c r="O5335" s="28" t="n">
        <x:f>MIN(1,L5335/I5335)</x:f>
        <x:v>0.05535999999999999</x:v>
      </x:c>
      <x:c r="P5335" s="30" t="n">
        <x:f>O5335*J5335*(1+M5335)</x:f>
        <x:v>0.060896</x:v>
      </x:c>
      <x:c r="Q5335" s="30" t="n">
        <x:f>P5335*N5335</x:f>
        <x:v>0.121792</x:v>
      </x:c>
      <x:c r="R5335" s="19" t="str">
        <x:v>独立判定</x:v>
      </x:c>
    </x:row>
    <x:row r="5336" ht="19" customHeight="1">
      <x:c r="A5336" s="19" t="str">
        <x:v>D05332</x:v>
      </x:c>
      <x:c r="B5336" s="19" t="n">
        <x:v>2</x:v>
      </x:c>
      <x:c r="C5336" s="19" t="n">
        <x:v>2</x:v>
      </x:c>
      <x:c r="D5336" s="19" t="str">
        <x:v>EL-MON-LIM-GATE-012</x:v>
      </x:c>
      <x:c r="E5336" s="19" t="str">
        <x:v>黑夜骑兵·莫尔</x:v>
      </x:c>
      <x:c r="F5336" s="19" t="str">
        <x:v>地图BOSS</x:v>
      </x:c>
      <x:c r="G5336" s="19" t="str">
        <x:v>称号卷</x:v>
      </x:c>
      <x:c r="H5336" s="19" t="str">
        <x:v>[称号]无月追猎</x:v>
      </x:c>
      <x:c r="I5336" s="22" t="n">
        <x:v>250</x:v>
      </x:c>
      <x:c r="J5336" s="22" t="n">
        <x:v>1</x:v>
      </x:c>
      <x:c r="K5336" s="19" t="n">
        <x:v>1</x:v>
      </x:c>
      <x:c r="L5336" s="24" t="n">
        <x:v>13.839999999999998</x:v>
      </x:c>
      <x:c r="M5336" s="26" t="n">
        <x:v>0.1</x:v>
      </x:c>
      <x:c r="N5336" s="24" t="n">
        <x:v>2</x:v>
      </x:c>
      <x:c r="O5336" s="28" t="n">
        <x:f>MIN(1,L5336/I5336)</x:f>
        <x:v>0.05535999999999999</x:v>
      </x:c>
      <x:c r="P5336" s="30" t="n">
        <x:f>O5336*J5336*(1+M5336)</x:f>
        <x:v>0.060896</x:v>
      </x:c>
      <x:c r="Q5336" s="30" t="n">
        <x:f>P5336*N5336</x:f>
        <x:v>0.121792</x:v>
      </x:c>
      <x:c r="R5336" s="19" t="str">
        <x:v>独立判定</x:v>
      </x:c>
    </x:row>
    <x:row r="5337" ht="19" customHeight="1">
      <x:c r="A5337" s="19" t="str">
        <x:v>D05333</x:v>
      </x:c>
      <x:c r="B5337" s="19" t="n">
        <x:v>2</x:v>
      </x:c>
      <x:c r="C5337" s="19" t="n">
        <x:v>3</x:v>
      </x:c>
      <x:c r="D5337" s="19" t="str">
        <x:v>EL-MON-LIM-MIST-007</x:v>
      </x:c>
      <x:c r="E5337" s="19" t="str">
        <x:v>卢恩熊王</x:v>
      </x:c>
      <x:c r="F5337" s="19" t="str">
        <x:v>稀有</x:v>
      </x:c>
      <x:c r="G5337" s="19" t="str">
        <x:v>称号卷</x:v>
      </x:c>
      <x:c r="H5337" s="19" t="str">
        <x:v>[称号]雾林暴君</x:v>
      </x:c>
      <x:c r="I5337" s="22" t="n">
        <x:v>600</x:v>
      </x:c>
      <x:c r="J5337" s="22" t="n">
        <x:v>1</x:v>
      </x:c>
      <x:c r="K5337" s="19" t="n">
        <x:v>1</x:v>
      </x:c>
      <x:c r="L5337" s="24" t="n">
        <x:v>13.839999999999998</x:v>
      </x:c>
      <x:c r="M5337" s="26" t="n">
        <x:v>0.1</x:v>
      </x:c>
      <x:c r="N5337" s="24" t="n">
        <x:v>11.205590639153453</x:v>
      </x:c>
      <x:c r="O5337" s="28" t="n">
        <x:f>MIN(1,L5337/I5337)</x:f>
        <x:v>0.023066666666666662</x:v>
      </x:c>
      <x:c r="P5337" s="30" t="n">
        <x:f>O5337*J5337*(1+M5337)</x:f>
        <x:v>0.02537333333333333</x:v>
      </x:c>
      <x:c r="Q5337" s="30" t="n">
        <x:f>P5337*N5337</x:f>
        <x:v>0.28432318648412025</x:v>
      </x:c>
      <x:c r="R5337" s="19" t="str">
        <x:v>独立判定</x:v>
      </x:c>
    </x:row>
    <x:row r="5338" ht="19" customHeight="1">
      <x:c r="A5338" s="19" t="str">
        <x:v>D05334</x:v>
      </x:c>
      <x:c r="B5338" s="19" t="n">
        <x:v>2</x:v>
      </x:c>
      <x:c r="C5338" s="19" t="n">
        <x:v>3</x:v>
      </x:c>
      <x:c r="D5338" s="19" t="str">
        <x:v>EL-MON-LIM-MIST-011</x:v>
      </x:c>
      <x:c r="E5338" s="19" t="str">
        <x:v>提比亚唤船人·赫洛</x:v>
      </x:c>
      <x:c r="F5338" s="19" t="str">
        <x:v>地图BOSS</x:v>
      </x:c>
      <x:c r="G5338" s="19" t="str">
        <x:v>称号卷</x:v>
      </x:c>
      <x:c r="H5338" s="19" t="str">
        <x:v>[称号]死水引魂</x:v>
      </x:c>
      <x:c r="I5338" s="22" t="n">
        <x:v>250</x:v>
      </x:c>
      <x:c r="J5338" s="22" t="n">
        <x:v>1</x:v>
      </x:c>
      <x:c r="K5338" s="19" t="n">
        <x:v>1</x:v>
      </x:c>
      <x:c r="L5338" s="24" t="n">
        <x:v>13.839999999999998</x:v>
      </x:c>
      <x:c r="M5338" s="26" t="n">
        <x:v>0.1</x:v>
      </x:c>
      <x:c r="N5338" s="24" t="n">
        <x:v>2</x:v>
      </x:c>
      <x:c r="O5338" s="28" t="n">
        <x:f>MIN(1,L5338/I5338)</x:f>
        <x:v>0.05535999999999999</x:v>
      </x:c>
      <x:c r="P5338" s="30" t="n">
        <x:f>O5338*J5338*(1+M5338)</x:f>
        <x:v>0.060896</x:v>
      </x:c>
      <x:c r="Q5338" s="30" t="n">
        <x:f>P5338*N5338</x:f>
        <x:v>0.121792</x:v>
      </x:c>
      <x:c r="R5338" s="19" t="str">
        <x:v>独立判定</x:v>
      </x:c>
    </x:row>
    <x:row r="5339" ht="19" customHeight="1">
      <x:c r="A5339" s="19" t="str">
        <x:v>D05335</x:v>
      </x:c>
      <x:c r="B5339" s="19" t="n">
        <x:v>2</x:v>
      </x:c>
      <x:c r="C5339" s="19" t="n">
        <x:v>3</x:v>
      </x:c>
      <x:c r="D5339" s="19" t="str">
        <x:v>EL-MON-LIM-MIST-012</x:v>
      </x:c>
      <x:c r="E5339" s="19" t="str">
        <x:v>雾林熔炉骑士·奥德</x:v>
      </x:c>
      <x:c r="F5339" s="19" t="str">
        <x:v>地图BOSS</x:v>
      </x:c>
      <x:c r="G5339" s="19" t="str">
        <x:v>称号卷</x:v>
      </x:c>
      <x:c r="H5339" s="19" t="str">
        <x:v>[称号]初火铸身</x:v>
      </x:c>
      <x:c r="I5339" s="22" t="n">
        <x:v>250</x:v>
      </x:c>
      <x:c r="J5339" s="22" t="n">
        <x:v>1</x:v>
      </x:c>
      <x:c r="K5339" s="19" t="n">
        <x:v>1</x:v>
      </x:c>
      <x:c r="L5339" s="24" t="n">
        <x:v>13.839999999999998</x:v>
      </x:c>
      <x:c r="M5339" s="26" t="n">
        <x:v>0.1</x:v>
      </x:c>
      <x:c r="N5339" s="24" t="n">
        <x:v>2</x:v>
      </x:c>
      <x:c r="O5339" s="28" t="n">
        <x:f>MIN(1,L5339/I5339)</x:f>
        <x:v>0.05535999999999999</x:v>
      </x:c>
      <x:c r="P5339" s="30" t="n">
        <x:f>O5339*J5339*(1+M5339)</x:f>
        <x:v>0.060896</x:v>
      </x:c>
      <x:c r="Q5339" s="30" t="n">
        <x:f>P5339*N5339</x:f>
        <x:v>0.121792</x:v>
      </x:c>
      <x:c r="R5339" s="19" t="str">
        <x:v>独立判定</x:v>
      </x:c>
    </x:row>
    <x:row r="5340" ht="19" customHeight="1">
      <x:c r="A5340" s="19" t="str">
        <x:v>D05336</x:v>
      </x:c>
      <x:c r="B5340" s="19" t="n">
        <x:v>2</x:v>
      </x:c>
      <x:c r="C5340" s="19" t="n">
        <x:v>4</x:v>
      </x:c>
      <x:c r="D5340" s="19" t="str">
        <x:v>EL-MON-LIM-STORM-010</x:v>
      </x:c>
      <x:c r="E5340" s="19" t="str">
        <x:v>死亡仪鸟</x:v>
      </x:c>
      <x:c r="F5340" s="19" t="str">
        <x:v>稀有</x:v>
      </x:c>
      <x:c r="G5340" s="19" t="str">
        <x:v>称号卷</x:v>
      </x:c>
      <x:c r="H5340" s="19" t="str">
        <x:v>[称号]黑翼葬日</x:v>
      </x:c>
      <x:c r="I5340" s="22" t="n">
        <x:v>600</x:v>
      </x:c>
      <x:c r="J5340" s="22" t="n">
        <x:v>1</x:v>
      </x:c>
      <x:c r="K5340" s="19" t="n">
        <x:v>1</x:v>
      </x:c>
      <x:c r="L5340" s="24" t="n">
        <x:v>13.799999999999999</x:v>
      </x:c>
      <x:c r="M5340" s="26" t="n">
        <x:v>0.1</x:v>
      </x:c>
      <x:c r="N5340" s="24" t="n">
        <x:v>12</x:v>
      </x:c>
      <x:c r="O5340" s="28" t="n">
        <x:f>MIN(1,L5340/I5340)</x:f>
        <x:v>0.023</x:v>
      </x:c>
      <x:c r="P5340" s="30" t="n">
        <x:f>O5340*J5340*(1+M5340)</x:f>
        <x:v>0.025300000000000003</x:v>
      </x:c>
      <x:c r="Q5340" s="30" t="n">
        <x:f>P5340*N5340</x:f>
        <x:v>0.30360000000000004</x:v>
      </x:c>
      <x:c r="R5340" s="19" t="str">
        <x:v>独立判定</x:v>
      </x:c>
    </x:row>
    <x:row r="5341" ht="19" customHeight="1">
      <x:c r="A5341" s="19" t="str">
        <x:v>D05337</x:v>
      </x:c>
      <x:c r="B5341" s="19" t="n">
        <x:v>2</x:v>
      </x:c>
      <x:c r="C5341" s="19" t="n">
        <x:v>4</x:v>
      </x:c>
      <x:c r="D5341" s="19" t="str">
        <x:v>EL-MON-LIM-STORM-011</x:v>
      </x:c>
      <x:c r="E5341" s="19" t="str">
        <x:v>风暴君王·奥雷格</x:v>
      </x:c>
      <x:c r="F5341" s="19" t="str">
        <x:v>地图BOSS</x:v>
      </x:c>
      <x:c r="G5341" s="19" t="str">
        <x:v>称号卷</x:v>
      </x:c>
      <x:c r="H5341" s="19" t="str">
        <x:v>[称号]雷冠之主</x:v>
      </x:c>
      <x:c r="I5341" s="22" t="n">
        <x:v>250</x:v>
      </x:c>
      <x:c r="J5341" s="22" t="n">
        <x:v>1</x:v>
      </x:c>
      <x:c r="K5341" s="19" t="n">
        <x:v>1</x:v>
      </x:c>
      <x:c r="L5341" s="24" t="n">
        <x:v>13.799999999999999</x:v>
      </x:c>
      <x:c r="M5341" s="26" t="n">
        <x:v>0.1</x:v>
      </x:c>
      <x:c r="N5341" s="24" t="n">
        <x:v>2</x:v>
      </x:c>
      <x:c r="O5341" s="28" t="n">
        <x:f>MIN(1,L5341/I5341)</x:f>
        <x:v>0.0552</x:v>
      </x:c>
      <x:c r="P5341" s="30" t="n">
        <x:f>O5341*J5341*(1+M5341)</x:f>
        <x:v>0.06072</x:v>
      </x:c>
      <x:c r="Q5341" s="30" t="n">
        <x:f>P5341*N5341</x:f>
        <x:v>0.12144</x:v>
      </x:c>
      <x:c r="R5341" s="19" t="str">
        <x:v>独立判定</x:v>
      </x:c>
    </x:row>
    <x:row r="5342" ht="19" customHeight="1">
      <x:c r="A5342" s="19" t="str">
        <x:v>D05338</x:v>
      </x:c>
      <x:c r="B5342" s="19" t="n">
        <x:v>2</x:v>
      </x:c>
      <x:c r="C5342" s="19" t="n">
        <x:v>4</x:v>
      </x:c>
      <x:c r="D5342" s="19" t="str">
        <x:v>EL-MON-LIM-STORM-012</x:v>
      </x:c>
      <x:c r="E5342" s="19" t="str">
        <x:v>恶兆妖鬼·玛尔基特</x:v>
      </x:c>
      <x:c r="F5342" s="19" t="str">
        <x:v>地图BOSS</x:v>
      </x:c>
      <x:c r="G5342" s="19" t="str">
        <x:v>称号卷</x:v>
      </x:c>
      <x:c r="H5342" s="19" t="str">
        <x:v>[称号]恶兆之印</x:v>
      </x:c>
      <x:c r="I5342" s="22" t="n">
        <x:v>250</x:v>
      </x:c>
      <x:c r="J5342" s="22" t="n">
        <x:v>1</x:v>
      </x:c>
      <x:c r="K5342" s="19" t="n">
        <x:v>1</x:v>
      </x:c>
      <x:c r="L5342" s="24" t="n">
        <x:v>13.799999999999999</x:v>
      </x:c>
      <x:c r="M5342" s="26" t="n">
        <x:v>0.1</x:v>
      </x:c>
      <x:c r="N5342" s="24" t="n">
        <x:v>2</x:v>
      </x:c>
      <x:c r="O5342" s="28" t="n">
        <x:f>MIN(1,L5342/I5342)</x:f>
        <x:v>0.0552</x:v>
      </x:c>
      <x:c r="P5342" s="30" t="n">
        <x:f>O5342*J5342*(1+M5342)</x:f>
        <x:v>0.06072</x:v>
      </x:c>
      <x:c r="Q5342" s="30" t="n">
        <x:f>P5342*N5342</x:f>
        <x:v>0.12144</x:v>
      </x:c>
      <x:c r="R5342" s="19" t="str">
        <x:v>独立判定</x:v>
      </x:c>
    </x:row>
    <x:row r="5343" ht="19" customHeight="1">
      <x:c r="A5343" s="19" t="str">
        <x:v>D05339</x:v>
      </x:c>
      <x:c r="B5343" s="19" t="n">
        <x:v>2</x:v>
      </x:c>
      <x:c r="C5343" s="19" t="n">
        <x:v>5</x:v>
      </x:c>
      <x:c r="D5343" s="19" t="str">
        <x:v>EL-MON-LIM-CASTLE-007</x:v>
      </x:c>
      <x:c r="E5343" s="19" t="str">
        <x:v>失乡骑士长</x:v>
      </x:c>
      <x:c r="F5343" s="19" t="str">
        <x:v>稀有</x:v>
      </x:c>
      <x:c r="G5343" s="19" t="str">
        <x:v>称号卷</x:v>
      </x:c>
      <x:c r="H5343" s="19" t="str">
        <x:v>[称号]失乡统帅</x:v>
      </x:c>
      <x:c r="I5343" s="22" t="n">
        <x:v>600</x:v>
      </x:c>
      <x:c r="J5343" s="22" t="n">
        <x:v>1</x:v>
      </x:c>
      <x:c r="K5343" s="19" t="n">
        <x:v>1</x:v>
      </x:c>
      <x:c r="L5343" s="24" t="n">
        <x:v>13.799999999999999</x:v>
      </x:c>
      <x:c r="M5343" s="26" t="n">
        <x:v>0.1</x:v>
      </x:c>
      <x:c r="N5343" s="24" t="n">
        <x:v>10.157296777148728</x:v>
      </x:c>
      <x:c r="O5343" s="28" t="n">
        <x:f>MIN(1,L5343/I5343)</x:f>
        <x:v>0.023</x:v>
      </x:c>
      <x:c r="P5343" s="30" t="n">
        <x:f>O5343*J5343*(1+M5343)</x:f>
        <x:v>0.025300000000000003</x:v>
      </x:c>
      <x:c r="Q5343" s="30" t="n">
        <x:f>P5343*N5343</x:f>
        <x:v>0.25697960846186285</x:v>
      </x:c>
      <x:c r="R5343" s="19" t="str">
        <x:v>独立判定</x:v>
      </x:c>
    </x:row>
    <x:row r="5344" ht="19" customHeight="1">
      <x:c r="A5344" s="19" t="str">
        <x:v>D05340</x:v>
      </x:c>
      <x:c r="B5344" s="19" t="n">
        <x:v>2</x:v>
      </x:c>
      <x:c r="C5344" s="19" t="n">
        <x:v>5</x:v>
      </x:c>
      <x:c r="D5344" s="19" t="str">
        <x:v>EL-MON-LIM-CASTLE-011</x:v>
      </x:c>
      <x:c r="E5344" s="19" t="str">
        <x:v>接肢兽将·戈德温</x:v>
      </x:c>
      <x:c r="F5344" s="19" t="str">
        <x:v>地图BOSS</x:v>
      </x:c>
      <x:c r="G5344" s="19" t="str">
        <x:v>称号卷</x:v>
      </x:c>
      <x:c r="H5344" s="19" t="str">
        <x:v>[称号]百骸兽王</x:v>
      </x:c>
      <x:c r="I5344" s="22" t="n">
        <x:v>250</x:v>
      </x:c>
      <x:c r="J5344" s="22" t="n">
        <x:v>1</x:v>
      </x:c>
      <x:c r="K5344" s="19" t="n">
        <x:v>1</x:v>
      </x:c>
      <x:c r="L5344" s="24" t="n">
        <x:v>13.799999999999999</x:v>
      </x:c>
      <x:c r="M5344" s="26" t="n">
        <x:v>0.1</x:v>
      </x:c>
      <x:c r="N5344" s="24" t="n">
        <x:v>2</x:v>
      </x:c>
      <x:c r="O5344" s="28" t="n">
        <x:f>MIN(1,L5344/I5344)</x:f>
        <x:v>0.0552</x:v>
      </x:c>
      <x:c r="P5344" s="30" t="n">
        <x:f>O5344*J5344*(1+M5344)</x:f>
        <x:v>0.06072</x:v>
      </x:c>
      <x:c r="Q5344" s="30" t="n">
        <x:f>P5344*N5344</x:f>
        <x:v>0.12144</x:v>
      </x:c>
      <x:c r="R5344" s="19" t="str">
        <x:v>独立判定</x:v>
      </x:c>
    </x:row>
    <x:row r="5345" ht="19" customHeight="1">
      <x:c r="A5345" s="19" t="str">
        <x:v>D05341</x:v>
      </x:c>
      <x:c r="B5345" s="19" t="n">
        <x:v>2</x:v>
      </x:c>
      <x:c r="C5345" s="19" t="n">
        <x:v>5</x:v>
      </x:c>
      <x:c r="D5345" s="19" t="str">
        <x:v>EL-MON-LIM-CASTLE-012</x:v>
      </x:c>
      <x:c r="E5345" s="19" t="str">
        <x:v>失乡统帅·欧尼尔</x:v>
      </x:c>
      <x:c r="F5345" s="19" t="str">
        <x:v>地图BOSS</x:v>
      </x:c>
      <x:c r="G5345" s="19" t="str">
        <x:v>称号卷</x:v>
      </x:c>
      <x:c r="H5345" s="19" t="str">
        <x:v>[称号]王城战魂</x:v>
      </x:c>
      <x:c r="I5345" s="22" t="n">
        <x:v>250</x:v>
      </x:c>
      <x:c r="J5345" s="22" t="n">
        <x:v>1</x:v>
      </x:c>
      <x:c r="K5345" s="19" t="n">
        <x:v>1</x:v>
      </x:c>
      <x:c r="L5345" s="24" t="n">
        <x:v>13.799999999999999</x:v>
      </x:c>
      <x:c r="M5345" s="26" t="n">
        <x:v>0.1</x:v>
      </x:c>
      <x:c r="N5345" s="24" t="n">
        <x:v>2</x:v>
      </x:c>
      <x:c r="O5345" s="28" t="n">
        <x:f>MIN(1,L5345/I5345)</x:f>
        <x:v>0.0552</x:v>
      </x:c>
      <x:c r="P5345" s="30" t="n">
        <x:f>O5345*J5345*(1+M5345)</x:f>
        <x:v>0.06072</x:v>
      </x:c>
      <x:c r="Q5345" s="30" t="n">
        <x:f>P5345*N5345</x:f>
        <x:v>0.12144</x:v>
      </x:c>
      <x:c r="R5345" s="19" t="str">
        <x:v>独立判定</x:v>
      </x:c>
    </x:row>
    <x:row r="5346" ht="19" customHeight="1">
      <x:c r="A5346" s="19" t="str">
        <x:v>D05342</x:v>
      </x:c>
      <x:c r="B5346" s="19" t="n">
        <x:v>2</x:v>
      </x:c>
      <x:c r="C5346" s="19" t="n">
        <x:v>5</x:v>
      </x:c>
      <x:c r="D5346" s="19" t="str">
        <x:v>EL-MON-LIM-CASTLE-013</x:v>
      </x:c>
      <x:c r="E5346" s="19" t="str">
        <x:v>接肢君王·葛瑞克</x:v>
      </x:c>
      <x:c r="F5346" s="19" t="str">
        <x:v>守关BOSS</x:v>
      </x:c>
      <x:c r="G5346" s="19" t="str">
        <x:v>称号卷</x:v>
      </x:c>
      <x:c r="H5346" s="19" t="str">
        <x:v>[称号]接肢弑王</x:v>
      </x:c>
      <x:c r="I5346" s="22" t="n">
        <x:v>180</x:v>
      </x:c>
      <x:c r="J5346" s="22" t="n">
        <x:v>1</x:v>
      </x:c>
      <x:c r="K5346" s="19" t="n">
        <x:v>1</x:v>
      </x:c>
      <x:c r="L5346" s="24" t="n">
        <x:v>13.799999999999999</x:v>
      </x:c>
      <x:c r="M5346" s="26" t="n">
        <x:v>0.1</x:v>
      </x:c>
      <x:c r="N5346" s="24" t="n">
        <x:v>0</x:v>
      </x:c>
      <x:c r="O5346" s="28" t="n">
        <x:f>MIN(1,L5346/I5346)</x:f>
        <x:v>0.07666666666666666</x:v>
      </x:c>
      <x:c r="P5346" s="30" t="n">
        <x:f>O5346*J5346*(1+M5346)</x:f>
        <x:v>0.08433333333333333</x:v>
      </x:c>
      <x:c r="Q5346" s="30" t="n">
        <x:f>P5346*N5346</x:f>
        <x:v>0</x:v>
      </x:c>
      <x:c r="R5346" s="19" t="str">
        <x:v>独立判定</x:v>
      </x:c>
    </x:row>
    <x:row r="5347" ht="19" customHeight="1">
      <x:c r="A5347" s="19" t="str">
        <x:v>D05343</x:v>
      </x:c>
      <x:c r="B5347" s="19" t="n">
        <x:v>1</x:v>
      </x:c>
      <x:c r="C5347" s="19" t="n">
        <x:v>3</x:v>
      </x:c>
      <x:c r="D5347" s="19" t="str">
        <x:v>EL-MON-COURT-013</x:v>
      </x:c>
      <x:c r="E5347" s="19" t="str">
        <x:v>沉没之王·奥德里安</x:v>
      </x:c>
      <x:c r="F5347" s="19" t="str">
        <x:v>守关BOSS</x:v>
      </x:c>
      <x:c r="G5347" s="19" t="str">
        <x:v>称号卷</x:v>
      </x:c>
      <x:c r="H5347" s="19" t="str">
        <x:v>[称号]沉没王权</x:v>
      </x:c>
      <x:c r="I5347" s="22" t="n">
        <x:v>150</x:v>
      </x:c>
      <x:c r="J5347" s="22" t="n">
        <x:v>1</x:v>
      </x:c>
      <x:c r="K5347" s="19" t="n">
        <x:v>1</x:v>
      </x:c>
      <x:c r="L5347" s="24" t="n">
        <x:v>11.5</x:v>
      </x:c>
      <x:c r="M5347" s="26" t="n">
        <x:v>0</x:v>
      </x:c>
      <x:c r="N5347" s="24" t="n">
        <x:v>0</x:v>
      </x:c>
      <x:c r="O5347" s="28" t="n">
        <x:f>MIN(1,L5347/I5347)</x:f>
        <x:v>0.07666666666666666</x:v>
      </x:c>
      <x:c r="P5347" s="30" t="n">
        <x:f>O5347*J5347*(1+M5347)</x:f>
        <x:v>0.07666666666666666</x:v>
      </x:c>
      <x:c r="Q5347" s="30" t="n">
        <x:f>P5347*N5347</x:f>
        <x:v>0</x:v>
      </x:c>
      <x:c r="R5347" s="19" t="str">
        <x:v>独立判定</x:v>
      </x:c>
    </x:row>
    <x:row r="5348" ht="19" customHeight="1">
      <x:c r="A5348" s="19" t="str">
        <x:v>D05344</x:v>
      </x:c>
      <x:c r="B5348" s="19" t="n">
        <x:v>3</x:v>
      </x:c>
      <x:c r="C5348" s="19" t="n">
        <x:v>6</x:v>
      </x:c>
      <x:c r="D5348" s="19" t="str">
        <x:v>C03-M073</x:v>
      </x:c>
      <x:c r="E5348" s="19" t="str">
        <x:v>西境征服者·戈德里安</x:v>
      </x:c>
      <x:c r="F5348" s="19" t="str">
        <x:v>守关BOSS</x:v>
      </x:c>
      <x:c r="G5348" s="19" t="str">
        <x:v>称号卷</x:v>
      </x:c>
      <x:c r="H5348" s="19" t="str">
        <x:v>[称号]西境征服者</x:v>
      </x:c>
      <x:c r="I5348" s="22" t="n">
        <x:v>200</x:v>
      </x:c>
      <x:c r="J5348" s="22" t="n">
        <x:v>1</x:v>
      </x:c>
      <x:c r="K5348" s="19" t="n">
        <x:v>1</x:v>
      </x:c>
      <x:c r="L5348" s="24" t="n">
        <x:v>17.25</x:v>
      </x:c>
      <x:c r="M5348" s="26" t="n">
        <x:v>0.1</x:v>
      </x:c>
      <x:c r="N5348" s="24" t="n">
        <x:v>0</x:v>
      </x:c>
      <x:c r="O5348" s="28" t="n">
        <x:f>MIN(1,L5348/I5348)</x:f>
        <x:v>0.08625</x:v>
      </x:c>
      <x:c r="P5348" s="30" t="n">
        <x:f>O5348*J5348*(1+M5348)</x:f>
        <x:v>0.094875</x:v>
      </x:c>
      <x:c r="Q5348" s="30" t="n">
        <x:f>P5348*N5348</x:f>
        <x:v>0</x:v>
      </x:c>
      <x:c r="R5348" s="19" t="str">
        <x:v>独立判定</x:v>
      </x:c>
    </x:row>
    <x:row r="5349" ht="19" customHeight="1">
      <x:c r="A5349" s="19" t="str">
        <x:v>D05345</x:v>
      </x:c>
      <x:c r="B5349" s="19" t="n">
        <x:v>4</x:v>
      </x:c>
      <x:c r="C5349" s="19" t="n">
        <x:v>6</x:v>
      </x:c>
      <x:c r="D5349" s="19" t="str">
        <x:v>C04-M073</x:v>
      </x:c>
      <x:c r="E5349" s="19" t="str">
        <x:v>闭潮王·莱弥恩</x:v>
      </x:c>
      <x:c r="F5349" s="19" t="str">
        <x:v>守关BOSS</x:v>
      </x:c>
      <x:c r="G5349" s="19" t="str">
        <x:v>称号卷</x:v>
      </x:c>
      <x:c r="H5349" s="19" t="str">
        <x:v>[称号]闭潮之王</x:v>
      </x:c>
      <x:c r="I5349" s="22" t="n">
        <x:v>250</x:v>
      </x:c>
      <x:c r="J5349" s="22" t="n">
        <x:v>1</x:v>
      </x:c>
      <x:c r="K5349" s="19" t="n">
        <x:v>1</x:v>
      </x:c>
      <x:c r="L5349" s="24" t="n">
        <x:v>21.849999999999998</x:v>
      </x:c>
      <x:c r="M5349" s="26" t="n">
        <x:v>0.1</x:v>
      </x:c>
      <x:c r="N5349" s="24" t="n">
        <x:v>0</x:v>
      </x:c>
      <x:c r="O5349" s="28" t="n">
        <x:f>MIN(1,L5349/I5349)</x:f>
        <x:v>0.08739999999999999</x:v>
      </x:c>
      <x:c r="P5349" s="30" t="n">
        <x:f>O5349*J5349*(1+M5349)</x:f>
        <x:v>0.09614</x:v>
      </x:c>
      <x:c r="Q5349" s="30" t="n">
        <x:f>P5349*N5349</x:f>
        <x:v>0</x:v>
      </x:c>
      <x:c r="R5349" s="19" t="str">
        <x:v>独立判定</x:v>
      </x:c>
    </x:row>
    <x:row r="5350" ht="19" customHeight="1">
      <x:c r="A5350" s="19" t="str">
        <x:v>D05346</x:v>
      </x:c>
      <x:c r="B5350" s="19" t="n">
        <x:v>5</x:v>
      </x:c>
      <x:c r="C5350" s="19" t="n">
        <x:v>6</x:v>
      </x:c>
      <x:c r="D5350" s="19" t="str">
        <x:v>C05-M073</x:v>
      </x:c>
      <x:c r="E5350" s="19" t="str">
        <x:v>寒镜终誓王</x:v>
      </x:c>
      <x:c r="F5350" s="19" t="str">
        <x:v>守关BOSS</x:v>
      </x:c>
      <x:c r="G5350" s="19" t="str">
        <x:v>称号卷</x:v>
      </x:c>
      <x:c r="H5350" s="19" t="str">
        <x:v>[称号]寒镜终誓</x:v>
      </x:c>
      <x:c r="I5350" s="22" t="n">
        <x:v>400</x:v>
      </x:c>
      <x:c r="J5350" s="22" t="n">
        <x:v>1</x:v>
      </x:c>
      <x:c r="K5350" s="19" t="n">
        <x:v>1</x:v>
      </x:c>
      <x:c r="L5350" s="24" t="n">
        <x:v>29.33733333333333</x:v>
      </x:c>
      <x:c r="M5350" s="26" t="n">
        <x:v>0.1</x:v>
      </x:c>
      <x:c r="N5350" s="24" t="n">
        <x:v>0</x:v>
      </x:c>
      <x:c r="O5350" s="28" t="n">
        <x:f>MIN(1,L5350/I5350)</x:f>
        <x:v>0.07334333333333333</x:v>
      </x:c>
      <x:c r="P5350" s="30" t="n">
        <x:f>O5350*J5350*(1+M5350)</x:f>
        <x:v>0.08067766666666668</x:v>
      </x:c>
      <x:c r="Q5350" s="30" t="n">
        <x:f>P5350*N5350</x:f>
        <x:v>0</x:v>
      </x:c>
      <x:c r="R5350" s="19" t="str">
        <x:v>独立判定</x:v>
      </x:c>
    </x:row>
    <x:row r="5351" ht="19" customHeight="1">
      <x:c r="A5351" s="19" t="str">
        <x:v>D05347</x:v>
      </x:c>
      <x:c r="B5351" s="19" t="n">
        <x:v>6</x:v>
      </x:c>
      <x:c r="C5351" s="19" t="n">
        <x:v>3</x:v>
      </x:c>
      <x:c r="D5351" s="19" t="str">
        <x:v>C06-M037</x:v>
      </x:c>
      <x:c r="E5351" s="19" t="str">
        <x:v>碎星狮王·拉塔恩</x:v>
      </x:c>
      <x:c r="F5351" s="19" t="str">
        <x:v>守关BOSS</x:v>
      </x:c>
      <x:c r="G5351" s="19" t="str">
        <x:v>称号卷</x:v>
      </x:c>
      <x:c r="H5351" s="19" t="str">
        <x:v>[称号]碎星狮王</x:v>
      </x:c>
      <x:c r="I5351" s="22" t="n">
        <x:v>500</x:v>
      </x:c>
      <x:c r="J5351" s="22" t="n">
        <x:v>1</x:v>
      </x:c>
      <x:c r="K5351" s="19" t="n">
        <x:v>1</x:v>
      </x:c>
      <x:c r="L5351" s="24" t="n">
        <x:v>39.63466666666666</x:v>
      </x:c>
      <x:c r="M5351" s="26" t="n">
        <x:v>0.1</x:v>
      </x:c>
      <x:c r="N5351" s="24" t="n">
        <x:v>0</x:v>
      </x:c>
      <x:c r="O5351" s="28" t="n">
        <x:f>MIN(1,L5351/I5351)</x:f>
        <x:v>0.07926933333333332</x:v>
      </x:c>
      <x:c r="P5351" s="30" t="n">
        <x:f>O5351*J5351*(1+M5351)</x:f>
        <x:v>0.08719626666666666</x:v>
      </x:c>
      <x:c r="Q5351" s="30" t="n">
        <x:f>P5351*N5351</x:f>
        <x:v>0</x:v>
      </x:c>
      <x:c r="R5351" s="19" t="str">
        <x:v>独立判定</x:v>
      </x:c>
    </x:row>
    <x:row r="5352" ht="19" customHeight="1">
      <x:c r="A5352" s="19" t="str">
        <x:v>D05348</x:v>
      </x:c>
      <x:c r="B5352" s="19" t="n">
        <x:v>7</x:v>
      </x:c>
      <x:c r="C5352" s="19" t="n">
        <x:v>3</x:v>
      </x:c>
      <x:c r="D5352" s="19" t="str">
        <x:v>C07-M037</x:v>
      </x:c>
      <x:c r="E5352" s="19" t="str">
        <x:v>化圣霜王·埃琉斯</x:v>
      </x:c>
      <x:c r="F5352" s="19" t="str">
        <x:v>守关BOSS</x:v>
      </x:c>
      <x:c r="G5352" s="19" t="str">
        <x:v>称号卷</x:v>
      </x:c>
      <x:c r="H5352" s="19" t="str">
        <x:v>[称号]化圣霜王</x:v>
      </x:c>
      <x:c r="I5352" s="22" t="n">
        <x:v>600</x:v>
      </x:c>
      <x:c r="J5352" s="22" t="n">
        <x:v>1</x:v>
      </x:c>
      <x:c r="K5352" s="19" t="n">
        <x:v>1</x:v>
      </x:c>
      <x:c r="L5352" s="24" t="n">
        <x:v>49.547</x:v>
      </x:c>
      <x:c r="M5352" s="26" t="n">
        <x:v>0.1</x:v>
      </x:c>
      <x:c r="N5352" s="24" t="n">
        <x:v>0</x:v>
      </x:c>
      <x:c r="O5352" s="28" t="n">
        <x:f>MIN(1,L5352/I5352)</x:f>
        <x:v>0.08257833333333332</x:v>
      </x:c>
      <x:c r="P5352" s="30" t="n">
        <x:f>O5352*J5352*(1+M5352)</x:f>
        <x:v>0.09083616666666666</x:v>
      </x:c>
      <x:c r="Q5352" s="30" t="n">
        <x:f>P5352*N5352</x:f>
        <x:v>0</x:v>
      </x:c>
      <x:c r="R5352" s="19" t="str">
        <x:v>独立判定</x:v>
      </x:c>
    </x:row>
    <x:row r="5353" ht="19" customHeight="1">
      <x:c r="A5353" s="19" t="str">
        <x:v>D05349</x:v>
      </x:c>
      <x:c r="B5353" s="19" t="n">
        <x:v>8</x:v>
      </x:c>
      <x:c r="C5353" s="19" t="n">
        <x:v>4</x:v>
      </x:c>
      <x:c r="D5353" s="19" t="str">
        <x:v>C08-M049</x:v>
      </x:c>
      <x:c r="E5353" s="19" t="str">
        <x:v>吞日霜王·乌尔迈</x:v>
      </x:c>
      <x:c r="F5353" s="19" t="str">
        <x:v>守关BOSS</x:v>
      </x:c>
      <x:c r="G5353" s="19" t="str">
        <x:v>称号卷</x:v>
      </x:c>
      <x:c r="H5353" s="19" t="str">
        <x:v>[称号]吞日霜王</x:v>
      </x:c>
      <x:c r="I5353" s="22" t="n">
        <x:v>800</x:v>
      </x:c>
      <x:c r="J5353" s="22" t="n">
        <x:v>1</x:v>
      </x:c>
      <x:c r="K5353" s="19" t="n">
        <x:v>1</x:v>
      </x:c>
      <x:c r="L5353" s="24" t="n">
        <x:v>62.474999999999994</x:v>
      </x:c>
      <x:c r="M5353" s="26" t="n">
        <x:v>0.1</x:v>
      </x:c>
      <x:c r="N5353" s="24" t="n">
        <x:v>0</x:v>
      </x:c>
      <x:c r="O5353" s="28" t="n">
        <x:f>MIN(1,L5353/I5353)</x:f>
        <x:v>0.07809374999999999</x:v>
      </x:c>
      <x:c r="P5353" s="30" t="n">
        <x:f>O5353*J5353*(1+M5353)</x:f>
        <x:v>0.085903125</x:v>
      </x:c>
      <x:c r="Q5353" s="30" t="n">
        <x:f>P5353*N5353</x:f>
        <x:v>0</x:v>
      </x:c>
      <x:c r="R5353" s="19" t="str">
        <x:v>独立判定</x:v>
      </x:c>
    </x:row>
    <x:row r="5354" ht="19" customHeight="1">
      <x:c r="A5354" s="19" t="str">
        <x:v>D05350</x:v>
      </x:c>
      <x:c r="B5354" s="19" t="n">
        <x:v>9</x:v>
      </x:c>
      <x:c r="C5354" s="19" t="n">
        <x:v>5</x:v>
      </x:c>
      <x:c r="D5354" s="19" t="str">
        <x:v>C09-M061</x:v>
      </x:c>
      <x:c r="E5354" s="19" t="str">
        <x:v>鎏日王城之影·阿尔维萨</x:v>
      </x:c>
      <x:c r="F5354" s="19" t="str">
        <x:v>守关BOSS</x:v>
      </x:c>
      <x:c r="G5354" s="19" t="str">
        <x:v>称号卷</x:v>
      </x:c>
      <x:c r="H5354" s="19" t="str">
        <x:v>[称号]鎏日王城之影</x:v>
      </x:c>
      <x:c r="I5354" s="22" t="n">
        <x:v>1000</x:v>
      </x:c>
      <x:c r="J5354" s="22" t="n">
        <x:v>1</x:v>
      </x:c>
      <x:c r="K5354" s="19" t="n">
        <x:v>1</x:v>
      </x:c>
      <x:c r="L5354" s="24" t="n">
        <x:v>74.05799999999999</x:v>
      </x:c>
      <x:c r="M5354" s="26" t="n">
        <x:v>0.1</x:v>
      </x:c>
      <x:c r="N5354" s="24" t="n">
        <x:v>0</x:v>
      </x:c>
      <x:c r="O5354" s="28" t="n">
        <x:f>MIN(1,L5354/I5354)</x:f>
        <x:v>0.074058</x:v>
      </x:c>
      <x:c r="P5354" s="30" t="n">
        <x:f>O5354*J5354*(1+M5354)</x:f>
        <x:v>0.0814638</x:v>
      </x:c>
      <x:c r="Q5354" s="30" t="n">
        <x:f>P5354*N5354</x:f>
        <x:v>0</x:v>
      </x:c>
      <x:c r="R5354" s="19" t="str">
        <x:v>独立判定</x:v>
      </x:c>
    </x:row>
    <x:row r="5355" ht="19" customHeight="1">
      <x:c r="A5355" s="19" t="str">
        <x:v>D05351</x:v>
      </x:c>
      <x:c r="B5355" s="19" t="n">
        <x:v>10</x:v>
      </x:c>
      <x:c r="C5355" s="19" t="n">
        <x:v>5</x:v>
      </x:c>
      <x:c r="D5355" s="19" t="str">
        <x:v>C10-M061</x:v>
      </x:c>
      <x:c r="E5355" s="19" t="str">
        <x:v>万冠终审者·萨洛恩</x:v>
      </x:c>
      <x:c r="F5355" s="19" t="str">
        <x:v>守关BOSS</x:v>
      </x:c>
      <x:c r="G5355" s="19" t="str">
        <x:v>称号卷</x:v>
      </x:c>
      <x:c r="H5355" s="19" t="str">
        <x:v>[称号]万冠终审</x:v>
      </x:c>
      <x:c r="I5355" s="22" t="n">
        <x:v>1200</x:v>
      </x:c>
      <x:c r="J5355" s="22" t="n">
        <x:v>1</x:v>
      </x:c>
      <x:c r="K5355" s="19" t="n">
        <x:v>1</x:v>
      </x:c>
      <x:c r="L5355" s="24" t="n">
        <x:v>105.61133333333333</x:v>
      </x:c>
      <x:c r="M5355" s="26" t="n">
        <x:v>0.1</x:v>
      </x:c>
      <x:c r="N5355" s="24" t="n">
        <x:v>0</x:v>
      </x:c>
      <x:c r="O5355" s="28" t="n">
        <x:f>MIN(1,L5355/I5355)</x:f>
        <x:v>0.08800944444444445</x:v>
      </x:c>
      <x:c r="P5355" s="30" t="n">
        <x:f>O5355*J5355*(1+M5355)</x:f>
        <x:v>0.0968103888888889</x:v>
      </x:c>
      <x:c r="Q5355" s="30" t="n">
        <x:f>P5355*N5355</x:f>
        <x:v>0</x:v>
      </x:c>
      <x:c r="R5355" s="19" t="str">
        <x:v>独立判定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015c2a3190e5419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4" hidden="0" customWidth="1"/>
    <x:col min="4" max="4" width="12" hidden="0" customWidth="1"/>
    <x:col min="5" max="5" width="12" hidden="0" customWidth="1"/>
    <x:col min="6" max="6" width="16" hidden="0" customWidth="1"/>
  </x:cols>
  <x:sheetData>
    <x:row r="1" ht="30" customHeight="1">
      <x:c r="A1" s="4" t="str">
        <x:v>02 · 候选池</x:v>
      </x:c>
      <x:c r="B1" s="4"/>
      <x:c r="C1" s="4"/>
      <x:c r="D1" s="4"/>
      <x:c r="E1" s="4"/>
      <x:c r="F1" s="4"/>
    </x:row>
    <x:row r="2" ht="34" customHeight="1">
      <x:c r="A2" s="9" t="str">
        <x:v>只有父触发接受爆率加成，池内按权重选一件；同一候选关系不能展开成额外独立掉率。</x:v>
      </x:c>
      <x:c r="B2" s="9"/>
      <x:c r="C2" s="9"/>
      <x:c r="D2" s="9"/>
      <x:c r="E2" s="9"/>
      <x:c r="F2" s="9"/>
    </x:row>
    <x:row r="4" ht="30" customHeight="1">
      <x:c r="A4" s="14" t="str">
        <x:v>池ID</x:v>
      </x:c>
      <x:c r="B4" s="14" t="str">
        <x:v>类型</x:v>
      </x:c>
      <x:c r="C4" s="14" t="str">
        <x:v>真实物品名</x:v>
      </x:c>
      <x:c r="D4" s="14" t="str">
        <x:v>权重</x:v>
      </x:c>
      <x:c r="E4" s="14" t="str">
        <x:v>总权重</x:v>
      </x:c>
      <x:c r="F4" s="14" t="str">
        <x:v>池内概率</x:v>
      </x:c>
    </x:row>
    <x:row r="5" ht="19" customHeight="1">
      <x:c r="A5" s="19" t="str">
        <x:v>POOL001</x:v>
      </x:c>
      <x:c r="B5" s="19" t="str">
        <x:v>本图普通兼掉候选</x:v>
      </x:c>
      <x:c r="C5" s="19" t="str">
        <x:v>漂流尸甲</x:v>
      </x:c>
      <x:c r="D5" s="19" t="n">
        <x:v>1</x:v>
      </x:c>
      <x:c r="E5" s="19" t="n">
        <x:v>3</x:v>
      </x:c>
      <x:c r="F5" s="32" t="n">
        <x:f>D5/E5</x:f>
        <x:v>0.3333333333333333</x:v>
      </x:c>
    </x:row>
    <x:row r="6" ht="19" customHeight="1">
      <x:c r="A6" s="19" t="str">
        <x:v>POOL001</x:v>
      </x:c>
      <x:c r="B6" s="19" t="str">
        <x:v>本图普通兼掉候选</x:v>
      </x:c>
      <x:c r="C6" s="19" t="str">
        <x:v>猎犬骨戒</x:v>
      </x:c>
      <x:c r="D6" s="19" t="n">
        <x:v>1</x:v>
      </x:c>
      <x:c r="E6" s="19" t="n">
        <x:v>3</x:v>
      </x:c>
      <x:c r="F6" s="32" t="n">
        <x:f>D6/E6</x:f>
        <x:v>0.3333333333333333</x:v>
      </x:c>
    </x:row>
    <x:row r="7" ht="19" customHeight="1">
      <x:c r="A7" s="19" t="str">
        <x:v>POOL001</x:v>
      </x:c>
      <x:c r="B7" s="19" t="str">
        <x:v>本图普通兼掉候选</x:v>
      </x:c>
      <x:c r="C7" s="19" t="str">
        <x:v>腐潮钳镯</x:v>
      </x:c>
      <x:c r="D7" s="19" t="n">
        <x:v>1</x:v>
      </x:c>
      <x:c r="E7" s="19" t="n">
        <x:v>3</x:v>
      </x:c>
      <x:c r="F7" s="32" t="n">
        <x:f>D7/E7</x:f>
        <x:v>0.3333333333333333</x:v>
      </x:c>
    </x:row>
    <x:row r="8" ht="19" customHeight="1">
      <x:c r="A8" s="19" t="str">
        <x:v>POOL002</x:v>
      </x:c>
      <x:c r="B8" s="19" t="str">
        <x:v>本图普通兼掉候选</x:v>
      </x:c>
      <x:c r="C8" s="19" t="str">
        <x:v>腐潮钳镯</x:v>
      </x:c>
      <x:c r="D8" s="19" t="n">
        <x:v>1</x:v>
      </x:c>
      <x:c r="E8" s="19" t="n">
        <x:v>1</x:v>
      </x:c>
      <x:c r="F8" s="32" t="n">
        <x:f>D8/E8</x:f>
        <x:v>1</x:v>
      </x:c>
    </x:row>
    <x:row r="9" ht="19" customHeight="1">
      <x:c r="A9" s="19" t="str">
        <x:v>POOL003</x:v>
      </x:c>
      <x:c r="B9" s="19" t="str">
        <x:v>本图普通兼掉候选</x:v>
      </x:c>
      <x:c r="C9" s="19" t="str">
        <x:v>断崖束带</x:v>
      </x:c>
      <x:c r="D9" s="19" t="n">
        <x:v>1</x:v>
      </x:c>
      <x:c r="E9" s="19" t="n">
        <x:v>6</x:v>
      </x:c>
      <x:c r="F9" s="32" t="n">
        <x:f>D9/E9</x:f>
        <x:v>0.16666666666666666</x:v>
      </x:c>
    </x:row>
    <x:row r="10" ht="19" customHeight="1">
      <x:c r="A10" s="19" t="str">
        <x:v>POOL003</x:v>
      </x:c>
      <x:c r="B10" s="19" t="str">
        <x:v>本图普通兼掉候选</x:v>
      </x:c>
      <x:c r="C10" s="19" t="str">
        <x:v>狂风骨戒</x:v>
      </x:c>
      <x:c r="D10" s="19" t="n">
        <x:v>1</x:v>
      </x:c>
      <x:c r="E10" s="19" t="n">
        <x:v>6</x:v>
      </x:c>
      <x:c r="F10" s="32" t="n">
        <x:f>D10/E10</x:f>
        <x:v>0.16666666666666666</x:v>
      </x:c>
    </x:row>
    <x:row r="11" ht="19" customHeight="1">
      <x:c r="A11" s="19" t="str">
        <x:v>POOL003</x:v>
      </x:c>
      <x:c r="B11" s="19" t="str">
        <x:v>本图普通兼掉候选</x:v>
      </x:c>
      <x:c r="C11" s="19" t="str">
        <x:v>石蜥面巾</x:v>
      </x:c>
      <x:c r="D11" s="19" t="n">
        <x:v>1</x:v>
      </x:c>
      <x:c r="E11" s="19" t="n">
        <x:v>6</x:v>
      </x:c>
      <x:c r="F11" s="32" t="n">
        <x:f>D11/E11</x:f>
        <x:v>0.16666666666666666</x:v>
      </x:c>
    </x:row>
    <x:row r="12" ht="19" customHeight="1">
      <x:c r="A12" s="19" t="str">
        <x:v>POOL003</x:v>
      </x:c>
      <x:c r="B12" s="19" t="str">
        <x:v>本图普通兼掉候选</x:v>
      </x:c>
      <x:c r="C12" s="19" t="str">
        <x:v>雷羽护腕</x:v>
      </x:c>
      <x:c r="D12" s="19" t="n">
        <x:v>1</x:v>
      </x:c>
      <x:c r="E12" s="19" t="n">
        <x:v>6</x:v>
      </x:c>
      <x:c r="F12" s="32" t="n">
        <x:f>D12/E12</x:f>
        <x:v>0.16666666666666666</x:v>
      </x:c>
    </x:row>
    <x:row r="13" ht="19" customHeight="1">
      <x:c r="A13" s="19" t="str">
        <x:v>POOL003</x:v>
      </x:c>
      <x:c r="B13" s="19" t="str">
        <x:v>本图普通兼掉候选</x:v>
      </x:c>
      <x:c r="C13" s="19" t="str">
        <x:v>风蚀盔</x:v>
      </x:c>
      <x:c r="D13" s="19" t="n">
        <x:v>1</x:v>
      </x:c>
      <x:c r="E13" s="19" t="n">
        <x:v>6</x:v>
      </x:c>
      <x:c r="F13" s="32" t="n">
        <x:f>D13/E13</x:f>
        <x:v>0.16666666666666666</x:v>
      </x:c>
    </x:row>
    <x:row r="14" ht="19" customHeight="1">
      <x:c r="A14" s="19" t="str">
        <x:v>POOL003</x:v>
      </x:c>
      <x:c r="B14" s="19" t="str">
        <x:v>本图普通兼掉候选</x:v>
      </x:c>
      <x:c r="C14" s="19" t="str">
        <x:v>鹰眼链</x:v>
      </x:c>
      <x:c r="D14" s="19" t="n">
        <x:v>1</x:v>
      </x:c>
      <x:c r="E14" s="19" t="n">
        <x:v>6</x:v>
      </x:c>
      <x:c r="F14" s="32" t="n">
        <x:f>D14/E14</x:f>
        <x:v>0.16666666666666666</x:v>
      </x:c>
    </x:row>
    <x:row r="15" ht="19" customHeight="1">
      <x:c r="A15" s="19" t="str">
        <x:v>POOL004</x:v>
      </x:c>
      <x:c r="B15" s="19" t="str">
        <x:v>本图普通兼掉候选</x:v>
      </x:c>
      <x:c r="C15" s="19" t="str">
        <x:v>沉宫项链</x:v>
      </x:c>
      <x:c r="D15" s="19" t="n">
        <x:v>1</x:v>
      </x:c>
      <x:c r="E15" s="19" t="n">
        <x:v>5</x:v>
      </x:c>
      <x:c r="F15" s="32" t="n">
        <x:f>D15/E15</x:f>
        <x:v>0.2</x:v>
      </x:c>
    </x:row>
    <x:row r="16" ht="19" customHeight="1">
      <x:c r="A16" s="19" t="str">
        <x:v>POOL004</x:v>
      </x:c>
      <x:c r="B16" s="19" t="str">
        <x:v>本图普通兼掉候选</x:v>
      </x:c>
      <x:c r="C16" s="19" t="str">
        <x:v>深水束带</x:v>
      </x:c>
      <x:c r="D16" s="19" t="n">
        <x:v>1</x:v>
      </x:c>
      <x:c r="E16" s="19" t="n">
        <x:v>5</x:v>
      </x:c>
      <x:c r="F16" s="32" t="n">
        <x:f>D16/E16</x:f>
        <x:v>0.2</x:v>
      </x:c>
    </x:row>
    <x:row r="17" ht="19" customHeight="1">
      <x:c r="A17" s="19" t="str">
        <x:v>POOL004</x:v>
      </x:c>
      <x:c r="B17" s="19" t="str">
        <x:v>本图普通兼掉候选</x:v>
      </x:c>
      <x:c r="C17" s="19" t="str">
        <x:v>溺亡王盔</x:v>
      </x:c>
      <x:c r="D17" s="19" t="n">
        <x:v>1</x:v>
      </x:c>
      <x:c r="E17" s="19" t="n">
        <x:v>5</x:v>
      </x:c>
      <x:c r="F17" s="32" t="n">
        <x:f>D17/E17</x:f>
        <x:v>0.2</x:v>
      </x:c>
    </x:row>
    <x:row r="18" ht="19" customHeight="1">
      <x:c r="A18" s="19" t="str">
        <x:v>POOL004</x:v>
      </x:c>
      <x:c r="B18" s="19" t="str">
        <x:v>本图普通兼掉候选</x:v>
      </x:c>
      <x:c r="C18" s="19" t="str">
        <x:v>王庭秘戒</x:v>
      </x:c>
      <x:c r="D18" s="19" t="n">
        <x:v>1</x:v>
      </x:c>
      <x:c r="E18" s="19" t="n">
        <x:v>5</x:v>
      </x:c>
      <x:c r="F18" s="32" t="n">
        <x:f>D18/E18</x:f>
        <x:v>0.2</x:v>
      </x:c>
    </x:row>
    <x:row r="19" ht="19" customHeight="1">
      <x:c r="A19" s="19" t="str">
        <x:v>POOL004</x:v>
      </x:c>
      <x:c r="B19" s="19" t="str">
        <x:v>本图普通兼掉候选</x:v>
      </x:c>
      <x:c r="C19" s="19" t="str">
        <x:v>苔痕护腕</x:v>
      </x:c>
      <x:c r="D19" s="19" t="n">
        <x:v>1</x:v>
      </x:c>
      <x:c r="E19" s="19" t="n">
        <x:v>5</x:v>
      </x:c>
      <x:c r="F19" s="32" t="n">
        <x:f>D19/E19</x:f>
        <x:v>0.2</x:v>
      </x:c>
    </x:row>
    <x:row r="20" ht="19" customHeight="1">
      <x:c r="A20" s="19" t="str">
        <x:v>POOL005</x:v>
      </x:c>
      <x:c r="B20" s="19" t="str">
        <x:v>本图普通兼掉候选</x:v>
      </x:c>
      <x:c r="C20" s="19" t="str">
        <x:v>幽灯面巾</x:v>
      </x:c>
      <x:c r="D20" s="19" t="n">
        <x:v>1</x:v>
      </x:c>
      <x:c r="E20" s="19" t="n">
        <x:v>6</x:v>
      </x:c>
      <x:c r="F20" s="32" t="n">
        <x:f>D20/E20</x:f>
        <x:v>0.16666666666666666</x:v>
      </x:c>
    </x:row>
    <x:row r="21" ht="19" customHeight="1">
      <x:c r="A21" s="19" t="str">
        <x:v>POOL005</x:v>
      </x:c>
      <x:c r="B21" s="19" t="str">
        <x:v>本图普通兼掉候选</x:v>
      </x:c>
      <x:c r="C21" s="19" t="str">
        <x:v>沉宫项链</x:v>
      </x:c>
      <x:c r="D21" s="19" t="n">
        <x:v>1</x:v>
      </x:c>
      <x:c r="E21" s="19" t="n">
        <x:v>6</x:v>
      </x:c>
      <x:c r="F21" s="32" t="n">
        <x:f>D21/E21</x:f>
        <x:v>0.16666666666666666</x:v>
      </x:c>
    </x:row>
    <x:row r="22" ht="19" customHeight="1">
      <x:c r="A22" s="19" t="str">
        <x:v>POOL005</x:v>
      </x:c>
      <x:c r="B22" s="19" t="str">
        <x:v>本图普通兼掉候选</x:v>
      </x:c>
      <x:c r="C22" s="19" t="str">
        <x:v>深水束带</x:v>
      </x:c>
      <x:c r="D22" s="19" t="n">
        <x:v>1</x:v>
      </x:c>
      <x:c r="E22" s="19" t="n">
        <x:v>6</x:v>
      </x:c>
      <x:c r="F22" s="32" t="n">
        <x:f>D22/E22</x:f>
        <x:v>0.16666666666666666</x:v>
      </x:c>
    </x:row>
    <x:row r="23" ht="19" customHeight="1">
      <x:c r="A23" s="19" t="str">
        <x:v>POOL005</x:v>
      </x:c>
      <x:c r="B23" s="19" t="str">
        <x:v>本图普通兼掉候选</x:v>
      </x:c>
      <x:c r="C23" s="19" t="str">
        <x:v>溺亡王盔</x:v>
      </x:c>
      <x:c r="D23" s="19" t="n">
        <x:v>1</x:v>
      </x:c>
      <x:c r="E23" s="19" t="n">
        <x:v>6</x:v>
      </x:c>
      <x:c r="F23" s="32" t="n">
        <x:f>D23/E23</x:f>
        <x:v>0.16666666666666666</x:v>
      </x:c>
    </x:row>
    <x:row r="24" ht="19" customHeight="1">
      <x:c r="A24" s="19" t="str">
        <x:v>POOL005</x:v>
      </x:c>
      <x:c r="B24" s="19" t="str">
        <x:v>本图普通兼掉候选</x:v>
      </x:c>
      <x:c r="C24" s="19" t="str">
        <x:v>王庭秘戒</x:v>
      </x:c>
      <x:c r="D24" s="19" t="n">
        <x:v>1</x:v>
      </x:c>
      <x:c r="E24" s="19" t="n">
        <x:v>6</x:v>
      </x:c>
      <x:c r="F24" s="32" t="n">
        <x:f>D24/E24</x:f>
        <x:v>0.16666666666666666</x:v>
      </x:c>
    </x:row>
    <x:row r="25" ht="19" customHeight="1">
      <x:c r="A25" s="19" t="str">
        <x:v>POOL005</x:v>
      </x:c>
      <x:c r="B25" s="19" t="str">
        <x:v>本图普通兼掉候选</x:v>
      </x:c>
      <x:c r="C25" s="19" t="str">
        <x:v>苔痕护腕</x:v>
      </x:c>
      <x:c r="D25" s="19" t="n">
        <x:v>1</x:v>
      </x:c>
      <x:c r="E25" s="19" t="n">
        <x:v>6</x:v>
      </x:c>
      <x:c r="F25" s="32" t="n">
        <x:f>D25/E25</x:f>
        <x:v>0.16666666666666666</x:v>
      </x:c>
    </x:row>
    <x:row r="26" ht="19" customHeight="1">
      <x:c r="A26" s="19" t="str">
        <x:v>POOL006</x:v>
      </x:c>
      <x:c r="B26" s="19" t="str">
        <x:v>六神器公共池</x:v>
      </x:c>
      <x:c r="C26" s="19" t="str">
        <x:v>玛莲妮亚的大卢恩</x:v>
      </x:c>
      <x:c r="D26" s="19" t="n">
        <x:v>1</x:v>
      </x:c>
      <x:c r="E26" s="19" t="n">
        <x:v>6</x:v>
      </x:c>
      <x:c r="F26" s="32" t="n">
        <x:f>D26/E26</x:f>
        <x:v>0.16666666666666666</x:v>
      </x:c>
    </x:row>
    <x:row r="27" ht="19" customHeight="1">
      <x:c r="A27" s="19" t="str">
        <x:v>POOL006</x:v>
      </x:c>
      <x:c r="B27" s="19" t="str">
        <x:v>六神器公共池</x:v>
      </x:c>
      <x:c r="C27" s="19" t="str">
        <x:v>拉塔恩的大卢恩</x:v>
      </x:c>
      <x:c r="D27" s="19" t="n">
        <x:v>1</x:v>
      </x:c>
      <x:c r="E27" s="19" t="n">
        <x:v>6</x:v>
      </x:c>
      <x:c r="F27" s="32" t="n">
        <x:f>D27/E27</x:f>
        <x:v>0.16666666666666666</x:v>
      </x:c>
    </x:row>
    <x:row r="28" ht="19" customHeight="1">
      <x:c r="A28" s="19" t="str">
        <x:v>POOL006</x:v>
      </x:c>
      <x:c r="B28" s="19" t="str">
        <x:v>六神器公共池</x:v>
      </x:c>
      <x:c r="C28" s="19" t="str">
        <x:v>蒙葛特的大卢恩</x:v>
      </x:c>
      <x:c r="D28" s="19" t="n">
        <x:v>1</x:v>
      </x:c>
      <x:c r="E28" s="19" t="n">
        <x:v>6</x:v>
      </x:c>
      <x:c r="F28" s="32" t="n">
        <x:f>D28/E28</x:f>
        <x:v>0.16666666666666666</x:v>
      </x:c>
    </x:row>
    <x:row r="29" ht="19" customHeight="1">
      <x:c r="A29" s="19" t="str">
        <x:v>POOL006</x:v>
      </x:c>
      <x:c r="B29" s="19" t="str">
        <x:v>六神器公共池</x:v>
      </x:c>
      <x:c r="C29" s="19" t="str">
        <x:v>蒙格的大卢恩</x:v>
      </x:c>
      <x:c r="D29" s="19" t="n">
        <x:v>1</x:v>
      </x:c>
      <x:c r="E29" s="19" t="n">
        <x:v>6</x:v>
      </x:c>
      <x:c r="F29" s="32" t="n">
        <x:f>D29/E29</x:f>
        <x:v>0.16666666666666666</x:v>
      </x:c>
    </x:row>
    <x:row r="30" ht="19" customHeight="1">
      <x:c r="A30" s="19" t="str">
        <x:v>POOL006</x:v>
      </x:c>
      <x:c r="B30" s="19" t="str">
        <x:v>六神器公共池</x:v>
      </x:c>
      <x:c r="C30" s="19" t="str">
        <x:v>拉卡德的大卢恩</x:v>
      </x:c>
      <x:c r="D30" s="19" t="n">
        <x:v>1</x:v>
      </x:c>
      <x:c r="E30" s="19" t="n">
        <x:v>6</x:v>
      </x:c>
      <x:c r="F30" s="32" t="n">
        <x:f>D30/E30</x:f>
        <x:v>0.16666666666666666</x:v>
      </x:c>
    </x:row>
    <x:row r="31" ht="19" customHeight="1">
      <x:c r="A31" s="19" t="str">
        <x:v>POOL006</x:v>
      </x:c>
      <x:c r="B31" s="19" t="str">
        <x:v>六神器公共池</x:v>
      </x:c>
      <x:c r="C31" s="19" t="str">
        <x:v>葛瑞克的大卢恩</x:v>
      </x:c>
      <x:c r="D31" s="19" t="n">
        <x:v>1</x:v>
      </x:c>
      <x:c r="E31" s="19" t="n">
        <x:v>6</x:v>
      </x:c>
      <x:c r="F31" s="32" t="n">
        <x:f>D31/E31</x:f>
        <x:v>0.16666666666666666</x:v>
      </x:c>
    </x:row>
    <x:row r="32" ht="19" customHeight="1">
      <x:c r="A32" s="19" t="str">
        <x:v>POOL007</x:v>
      </x:c>
      <x:c r="B32" s="19" t="str">
        <x:v>本图普通兼掉候选</x:v>
      </x:c>
      <x:c r="C32" s="19" t="str">
        <x:v>幽火鳞镯</x:v>
      </x:c>
      <x:c r="D32" s="19" t="n">
        <x:v>1</x:v>
      </x:c>
      <x:c r="E32" s="19" t="n">
        <x:v>2</x:v>
      </x:c>
      <x:c r="F32" s="32" t="n">
        <x:f>D32/E32</x:f>
        <x:v>0.5</x:v>
      </x:c>
    </x:row>
    <x:row r="33" ht="19" customHeight="1">
      <x:c r="A33" s="19" t="str">
        <x:v>POOL007</x:v>
      </x:c>
      <x:c r="B33" s="19" t="str">
        <x:v>本图普通兼掉候选</x:v>
      </x:c>
      <x:c r="C33" s="19" t="str">
        <x:v>归乡弩戒</x:v>
      </x:c>
      <x:c r="D33" s="19" t="n">
        <x:v>1</x:v>
      </x:c>
      <x:c r="E33" s="19" t="n">
        <x:v>2</x:v>
      </x:c>
      <x:c r="F33" s="32" t="n">
        <x:f>D33/E33</x:f>
        <x:v>0.5</x:v>
      </x:c>
    </x:row>
    <x:row r="34" ht="19" customHeight="1">
      <x:c r="A34" s="19" t="str">
        <x:v>POOL008</x:v>
      </x:c>
      <x:c r="B34" s="19" t="str">
        <x:v>本图普通兼掉候选</x:v>
      </x:c>
      <x:c r="C34" s="19" t="str">
        <x:v>断旗马戒</x:v>
      </x:c>
      <x:c r="D34" s="19" t="n">
        <x:v>1</x:v>
      </x:c>
      <x:c r="E34" s="19" t="n">
        <x:v>2</x:v>
      </x:c>
      <x:c r="F34" s="32" t="n">
        <x:f>D34/E34</x:f>
        <x:v>0.5</x:v>
      </x:c>
    </x:row>
    <x:row r="35" ht="19" customHeight="1">
      <x:c r="A35" s="19" t="str">
        <x:v>POOL008</x:v>
      </x:c>
      <x:c r="B35" s="19" t="str">
        <x:v>本图普通兼掉候选</x:v>
      </x:c>
      <x:c r="C35" s="19" t="str">
        <x:v>流放腕铠</x:v>
      </x:c>
      <x:c r="D35" s="19" t="n">
        <x:v>1</x:v>
      </x:c>
      <x:c r="E35" s="19" t="n">
        <x:v>2</x:v>
      </x:c>
      <x:c r="F35" s="32" t="n">
        <x:f>D35/E35</x:f>
        <x:v>0.5</x:v>
      </x:c>
    </x:row>
    <x:row r="36" ht="19" customHeight="1">
      <x:c r="A36" s="19" t="str">
        <x:v>POOL009</x:v>
      </x:c>
      <x:c r="B36" s="19" t="str">
        <x:v>本图普通兼掉候选</x:v>
      </x:c>
      <x:c r="C36" s="19" t="str">
        <x:v>半兽战勋</x:v>
      </x:c>
      <x:c r="D36" s="19" t="n">
        <x:v>1</x:v>
      </x:c>
      <x:c r="E36" s="19" t="n">
        <x:v>2</x:v>
      </x:c>
      <x:c r="F36" s="32" t="n">
        <x:f>D36/E36</x:f>
        <x:v>0.5</x:v>
      </x:c>
    </x:row>
    <x:row r="37" ht="19" customHeight="1">
      <x:c r="A37" s="19" t="str">
        <x:v>POOL009</x:v>
      </x:c>
      <x:c r="B37" s="19" t="str">
        <x:v>本图普通兼掉候选</x:v>
      </x:c>
      <x:c r="C37" s="19" t="str">
        <x:v>毒花巨盾</x:v>
      </x:c>
      <x:c r="D37" s="19" t="n">
        <x:v>1</x:v>
      </x:c>
      <x:c r="E37" s="19" t="n">
        <x:v>2</x:v>
      </x:c>
      <x:c r="F37" s="32" t="n">
        <x:f>D37/E37</x:f>
        <x:v>0.5</x:v>
      </x:c>
    </x:row>
    <x:row r="38" ht="19" customHeight="1">
      <x:c r="A38" s="19" t="str">
        <x:v>POOL010</x:v>
      </x:c>
      <x:c r="B38" s="19" t="str">
        <x:v>本图普通兼掉候选</x:v>
      </x:c>
      <x:c r="C38" s="19" t="str">
        <x:v>流寇束带</x:v>
      </x:c>
      <x:c r="D38" s="19" t="n">
        <x:v>1</x:v>
      </x:c>
      <x:c r="E38" s="19" t="n">
        <x:v>2</x:v>
      </x:c>
      <x:c r="F38" s="32" t="n">
        <x:f>D38/E38</x:f>
        <x:v>0.5</x:v>
      </x:c>
    </x:row>
    <x:row r="39" ht="19" customHeight="1">
      <x:c r="A39" s="19" t="str">
        <x:v>POOL010</x:v>
      </x:c>
      <x:c r="B39" s="19" t="str">
        <x:v>本图普通兼掉候选</x:v>
      </x:c>
      <x:c r="C39" s="19" t="str">
        <x:v>雷痕石盾</x:v>
      </x:c>
      <x:c r="D39" s="19" t="n">
        <x:v>1</x:v>
      </x:c>
      <x:c r="E39" s="19" t="n">
        <x:v>2</x:v>
      </x:c>
      <x:c r="F39" s="32" t="n">
        <x:f>D39/E39</x:f>
        <x:v>0.5</x:v>
      </x:c>
    </x:row>
    <x:row r="40" ht="19" customHeight="1">
      <x:c r="A40" s="19" t="str">
        <x:v>POOL011</x:v>
      </x:c>
      <x:c r="B40" s="19" t="str">
        <x:v>本图普通兼掉候选</x:v>
      </x:c>
      <x:c r="C40" s="19" t="str">
        <x:v>百指腕甲</x:v>
      </x:c>
      <x:c r="D40" s="19" t="n">
        <x:v>1</x:v>
      </x:c>
      <x:c r="E40" s="19" t="n">
        <x:v>2</x:v>
      </x:c>
      <x:c r="F40" s="32" t="n">
        <x:f>D40/E40</x:f>
        <x:v>0.5</x:v>
      </x:c>
    </x:row>
    <x:row r="41" ht="19" customHeight="1">
      <x:c r="A41" s="19" t="str">
        <x:v>POOL011</x:v>
      </x:c>
      <x:c r="B41" s="19" t="str">
        <x:v>本图普通兼掉候选</x:v>
      </x:c>
      <x:c r="C41" s="19" t="str">
        <x:v>禁卫誓戒</x:v>
      </x:c>
      <x:c r="D41" s="19" t="n">
        <x:v>1</x:v>
      </x:c>
      <x:c r="E41" s="19" t="n">
        <x:v>2</x:v>
      </x:c>
      <x:c r="F41" s="32" t="n">
        <x:f>D41/E41</x:f>
        <x:v>0.5</x:v>
      </x:c>
    </x:row>
    <x:row r="42" ht="19" customHeight="1">
      <x:c r="A42" s="19" t="str">
        <x:v>POOL012</x:v>
      </x:c>
      <x:c r="B42" s="19" t="str">
        <x:v>本图普通兼掉候选</x:v>
      </x:c>
      <x:c r="C42" s="19" t="str">
        <x:v>断旗战链</x:v>
      </x:c>
      <x:c r="D42" s="19" t="n">
        <x:v>1</x:v>
      </x:c>
      <x:c r="E42" s="19" t="n">
        <x:v>1</x:v>
      </x:c>
      <x:c r="F42" s="32" t="n">
        <x:f>D42/E42</x:f>
        <x:v>1</x:v>
      </x:c>
    </x:row>
    <x:row r="43" ht="19" customHeight="1">
      <x:c r="A43" s="19" t="str">
        <x:v>POOL013</x:v>
      </x:c>
      <x:c r="B43" s="19" t="str">
        <x:v>本图普通兼掉候选</x:v>
      </x:c>
      <x:c r="C43" s="19" t="str">
        <x:v>锈甲腰封</x:v>
      </x:c>
      <x:c r="D43" s="19" t="n">
        <x:v>1</x:v>
      </x:c>
      <x:c r="E43" s="19" t="n">
        <x:v>1</x:v>
      </x:c>
      <x:c r="F43" s="32" t="n">
        <x:f>D43/E43</x:f>
        <x:v>1</x:v>
      </x:c>
    </x:row>
    <x:row r="44" ht="19" customHeight="1">
      <x:c r="A44" s="19" t="str">
        <x:v>POOL014</x:v>
      </x:c>
      <x:c r="B44" s="19" t="str">
        <x:v>本图普通兼掉候选</x:v>
      </x:c>
      <x:c r="C44" s="19" t="str">
        <x:v>裂羽护腕</x:v>
      </x:c>
      <x:c r="D44" s="19" t="n">
        <x:v>1</x:v>
      </x:c>
      <x:c r="E44" s="19" t="n">
        <x:v>1</x:v>
      </x:c>
      <x:c r="F44" s="32" t="n">
        <x:f>D44/E44</x:f>
        <x:v>1</x:v>
      </x:c>
    </x:row>
    <x:row r="45" ht="19" customHeight="1">
      <x:c r="A45" s="19" t="str">
        <x:v>POOL015</x:v>
      </x:c>
      <x:c r="B45" s="19" t="str">
        <x:v>本图普通兼掉候选</x:v>
      </x:c>
      <x:c r="C45" s="19" t="str">
        <x:v>海崖祷链</x:v>
      </x:c>
      <x:c r="D45" s="19" t="n">
        <x:v>1</x:v>
      </x:c>
      <x:c r="E45" s="19" t="n">
        <x:v>1</x:v>
      </x:c>
      <x:c r="F45" s="32" t="n">
        <x:f>D45/E45</x:f>
        <x:v>1</x:v>
      </x:c>
    </x:row>
    <x:row r="46" ht="19" customHeight="1">
      <x:c r="A46" s="19" t="str">
        <x:v>POOL016</x:v>
      </x:c>
      <x:c r="B46" s="19" t="str">
        <x:v>本图普通兼掉候选</x:v>
      </x:c>
      <x:c r="C46" s="19" t="str">
        <x:v>荒商护符</x:v>
      </x:c>
      <x:c r="D46" s="19" t="n">
        <x:v>1</x:v>
      </x:c>
      <x:c r="E46" s="19" t="n">
        <x:v>2</x:v>
      </x:c>
      <x:c r="F46" s="32" t="n">
        <x:f>D46/E46</x:f>
        <x:v>0.5</x:v>
      </x:c>
    </x:row>
    <x:row r="47" ht="19" customHeight="1">
      <x:c r="A47" s="19" t="str">
        <x:v>POOL016</x:v>
      </x:c>
      <x:c r="B47" s="19" t="str">
        <x:v>本图普通兼掉候选</x:v>
      </x:c>
      <x:c r="C47" s="19" t="str">
        <x:v>驮货重甲</x:v>
      </x:c>
      <x:c r="D47" s="19" t="n">
        <x:v>1</x:v>
      </x:c>
      <x:c r="E47" s="19" t="n">
        <x:v>2</x:v>
      </x:c>
      <x:c r="F47" s="32" t="n">
        <x:f>D47/E47</x:f>
        <x:v>0.5</x:v>
      </x:c>
    </x:row>
    <x:row r="48" ht="19" customHeight="1">
      <x:c r="A48" s="19" t="str">
        <x:v>POOL017</x:v>
      </x:c>
      <x:c r="B48" s="19" t="str">
        <x:v>本图普通兼掉候选</x:v>
      </x:c>
      <x:c r="C48" s="19" t="str">
        <x:v>断轮弩机</x:v>
      </x:c>
      <x:c r="D48" s="19" t="n">
        <x:v>1</x:v>
      </x:c>
      <x:c r="E48" s="19" t="n">
        <x:v>2</x:v>
      </x:c>
      <x:c r="F48" s="32" t="n">
        <x:f>D48/E48</x:f>
        <x:v>0.5</x:v>
      </x:c>
    </x:row>
    <x:row r="49" ht="19" customHeight="1">
      <x:c r="A49" s="19" t="str">
        <x:v>POOL017</x:v>
      </x:c>
      <x:c r="B49" s="19" t="str">
        <x:v>本图普通兼掉候选</x:v>
      </x:c>
      <x:c r="C49" s="19" t="str">
        <x:v>营火牙戒</x:v>
      </x:c>
      <x:c r="D49" s="19" t="n">
        <x:v>1</x:v>
      </x:c>
      <x:c r="E49" s="19" t="n">
        <x:v>2</x:v>
      </x:c>
      <x:c r="F49" s="32" t="n">
        <x:f>D49/E49</x:f>
        <x:v>0.5</x:v>
      </x:c>
    </x:row>
    <x:row r="50" ht="19" customHeight="1">
      <x:c r="A50" s="19" t="str">
        <x:v>POOL018</x:v>
      </x:c>
      <x:c r="B50" s="19" t="str">
        <x:v>本图普通兼掉候选</x:v>
      </x:c>
      <x:c r="C50" s="19" t="str">
        <x:v>战壕骨甲</x:v>
      </x:c>
      <x:c r="D50" s="19" t="n">
        <x:v>1</x:v>
      </x:c>
      <x:c r="E50" s="19" t="n">
        <x:v>2</x:v>
      </x:c>
      <x:c r="F50" s="32" t="n">
        <x:f>D50/E50</x:f>
        <x:v>0.5</x:v>
      </x:c>
    </x:row>
    <x:row r="51" ht="19" customHeight="1">
      <x:c r="A51" s="19" t="str">
        <x:v>POOL018</x:v>
      </x:c>
      <x:c r="B51" s="19" t="str">
        <x:v>本图普通兼掉候选</x:v>
      </x:c>
      <x:c r="C51" s="19" t="str">
        <x:v>无首号角</x:v>
      </x:c>
      <x:c r="D51" s="19" t="n">
        <x:v>1</x:v>
      </x:c>
      <x:c r="E51" s="19" t="n">
        <x:v>2</x:v>
      </x:c>
      <x:c r="F51" s="32" t="n">
        <x:f>D51/E51</x:f>
        <x:v>0.5</x:v>
      </x:c>
    </x:row>
    <x:row r="52" ht="19" customHeight="1">
      <x:c r="A52" s="19" t="str">
        <x:v>POOL019</x:v>
      </x:c>
      <x:c r="B52" s="19" t="str">
        <x:v>本图普通兼掉候选</x:v>
      </x:c>
      <x:c r="C52" s="19" t="str">
        <x:v>墓旗头冠</x:v>
      </x:c>
      <x:c r="D52" s="19" t="n">
        <x:v>1</x:v>
      </x:c>
      <x:c r="E52" s="19" t="n">
        <x:v>2</x:v>
      </x:c>
      <x:c r="F52" s="32" t="n">
        <x:f>D52/E52</x:f>
        <x:v>0.5</x:v>
      </x:c>
    </x:row>
    <x:row r="53" ht="19" customHeight="1">
      <x:c r="A53" s="19" t="str">
        <x:v>POOL019</x:v>
      </x:c>
      <x:c r="B53" s="19" t="str">
        <x:v>本图普通兼掉候选</x:v>
      </x:c>
      <x:c r="C53" s="19" t="str">
        <x:v>英灵马靴</x:v>
      </x:c>
      <x:c r="D53" s="19" t="n">
        <x:v>1</x:v>
      </x:c>
      <x:c r="E53" s="19" t="n">
        <x:v>2</x:v>
      </x:c>
      <x:c r="F53" s="32" t="n">
        <x:f>D53/E53</x:f>
        <x:v>0.5</x:v>
      </x:c>
    </x:row>
    <x:row r="54" ht="19" customHeight="1">
      <x:c r="A54" s="19" t="str">
        <x:v>POOL020</x:v>
      </x:c>
      <x:c r="B54" s="19" t="str">
        <x:v>本图普通兼掉候选</x:v>
      </x:c>
      <x:c r="C54" s="19" t="str">
        <x:v>回廊石盔</x:v>
      </x:c>
      <x:c r="D54" s="19" t="n">
        <x:v>1</x:v>
      </x:c>
      <x:c r="E54" s="19" t="n">
        <x:v>2</x:v>
      </x:c>
      <x:c r="F54" s="32" t="n">
        <x:f>D54/E54</x:f>
        <x:v>0.5</x:v>
      </x:c>
    </x:row>
    <x:row r="55" ht="19" customHeight="1">
      <x:c r="A55" s="19" t="str">
        <x:v>POOL020</x:v>
      </x:c>
      <x:c r="B55" s="19" t="str">
        <x:v>本图普通兼掉候选</x:v>
      </x:c>
      <x:c r="C55" s="19" t="str">
        <x:v>边墙牙戒</x:v>
      </x:c>
      <x:c r="D55" s="19" t="n">
        <x:v>1</x:v>
      </x:c>
      <x:c r="E55" s="19" t="n">
        <x:v>2</x:v>
      </x:c>
      <x:c r="F55" s="32" t="n">
        <x:f>D55/E55</x:f>
        <x:v>0.5</x:v>
      </x:c>
    </x:row>
    <x:row r="56" ht="19" customHeight="1">
      <x:c r="A56" s="19" t="str">
        <x:v>POOL021</x:v>
      </x:c>
      <x:c r="B56" s="19" t="str">
        <x:v>本图普通兼掉候选</x:v>
      </x:c>
      <x:c r="C56" s="19" t="str">
        <x:v>掘墓铁镯</x:v>
      </x:c>
      <x:c r="D56" s="19" t="n">
        <x:v>1</x:v>
      </x:c>
      <x:c r="E56" s="19" t="n">
        <x:v>2</x:v>
      </x:c>
      <x:c r="F56" s="32" t="n">
        <x:f>D56/E56</x:f>
        <x:v>0.5</x:v>
      </x:c>
    </x:row>
    <x:row r="57" ht="19" customHeight="1">
      <x:c r="A57" s="19" t="str">
        <x:v>POOL021</x:v>
      </x:c>
      <x:c r="B57" s="19" t="str">
        <x:v>本图普通兼掉候选</x:v>
      </x:c>
      <x:c r="C57" s="19" t="str">
        <x:v>铜门束带</x:v>
      </x:c>
      <x:c r="D57" s="19" t="n">
        <x:v>1</x:v>
      </x:c>
      <x:c r="E57" s="19" t="n">
        <x:v>2</x:v>
      </x:c>
      <x:c r="F57" s="32" t="n">
        <x:f>D57/E57</x:f>
        <x:v>0.5</x:v>
      </x:c>
    </x:row>
    <x:row r="58" ht="19" customHeight="1">
      <x:c r="A58" s="19" t="str">
        <x:v>POOL022</x:v>
      </x:c>
      <x:c r="B58" s="19" t="str">
        <x:v>本图普通兼掉候选</x:v>
      </x:c>
      <x:c r="C58" s="19" t="str">
        <x:v>圣露护腕</x:v>
      </x:c>
      <x:c r="D58" s="19" t="n">
        <x:v>1</x:v>
      </x:c>
      <x:c r="E58" s="19" t="n">
        <x:v>2</x:v>
      </x:c>
      <x:c r="F58" s="32" t="n">
        <x:f>D58/E58</x:f>
        <x:v>0.5</x:v>
      </x:c>
    </x:row>
    <x:row r="59" ht="19" customHeight="1">
      <x:c r="A59" s="19" t="str">
        <x:v>POOL022</x:v>
      </x:c>
      <x:c r="B59" s="19" t="str">
        <x:v>本图普通兼掉候选</x:v>
      </x:c>
      <x:c r="C59" s="19" t="str">
        <x:v>镀金羽冠</x:v>
      </x:c>
      <x:c r="D59" s="19" t="n">
        <x:v>1</x:v>
      </x:c>
      <x:c r="E59" s="19" t="n">
        <x:v>2</x:v>
      </x:c>
      <x:c r="F59" s="32" t="n">
        <x:f>D59/E59</x:f>
        <x:v>0.5</x:v>
      </x:c>
    </x:row>
    <x:row r="60" ht="19" customHeight="1">
      <x:c r="A60" s="19" t="str">
        <x:v>POOL023</x:v>
      </x:c>
      <x:c r="B60" s="19" t="str">
        <x:v>本图普通兼掉候选</x:v>
      </x:c>
      <x:c r="C60" s="19" t="str">
        <x:v>执炬勋章</x:v>
      </x:c>
      <x:c r="D60" s="19" t="n">
        <x:v>1</x:v>
      </x:c>
      <x:c r="E60" s="19" t="n">
        <x:v>2</x:v>
      </x:c>
      <x:c r="F60" s="32" t="n">
        <x:f>D60/E60</x:f>
        <x:v>0.5</x:v>
      </x:c>
    </x:row>
    <x:row r="61" ht="19" customHeight="1">
      <x:c r="A61" s="19" t="str">
        <x:v>POOL023</x:v>
      </x:c>
      <x:c r="B61" s="19" t="str">
        <x:v>本图普通兼掉候选</x:v>
      </x:c>
      <x:c r="C61" s="19" t="str">
        <x:v>赐福战靴</x:v>
      </x:c>
      <x:c r="D61" s="19" t="n">
        <x:v>1</x:v>
      </x:c>
      <x:c r="E61" s="19" t="n">
        <x:v>2</x:v>
      </x:c>
      <x:c r="F61" s="32" t="n">
        <x:f>D61/E61</x:f>
        <x:v>0.5</x:v>
      </x:c>
    </x:row>
    <x:row r="62" ht="19" customHeight="1">
      <x:c r="A62" s="19" t="str">
        <x:v>POOL024</x:v>
      </x:c>
      <x:c r="B62" s="19" t="str">
        <x:v>本图普通兼掉候选</x:v>
      </x:c>
      <x:c r="C62" s="19" t="str">
        <x:v>沼鹿苔冠</x:v>
      </x:c>
      <x:c r="D62" s="19" t="n">
        <x:v>1</x:v>
      </x:c>
      <x:c r="E62" s="19" t="n">
        <x:v>3</x:v>
      </x:c>
      <x:c r="F62" s="32" t="n">
        <x:f>D62/E62</x:f>
        <x:v>0.3333333333333333</x:v>
      </x:c>
    </x:row>
    <x:row r="63" ht="19" customHeight="1">
      <x:c r="A63" s="19" t="str">
        <x:v>POOL024</x:v>
      </x:c>
      <x:c r="B63" s="19" t="str">
        <x:v>本图普通兼掉候选</x:v>
      </x:c>
      <x:c r="C63" s="19" t="str">
        <x:v>芦针腕环</x:v>
      </x:c>
      <x:c r="D63" s="19" t="n">
        <x:v>1</x:v>
      </x:c>
      <x:c r="E63" s="19" t="n">
        <x:v>3</x:v>
      </x:c>
      <x:c r="F63" s="32" t="n">
        <x:f>D63/E63</x:f>
        <x:v>0.3333333333333333</x:v>
      </x:c>
    </x:row>
    <x:row r="64" ht="19" customHeight="1">
      <x:c r="A64" s="19" t="str">
        <x:v>POOL024</x:v>
      </x:c>
      <x:c r="B64" s="19" t="str">
        <x:v>本图普通兼掉候选</x:v>
      </x:c>
      <x:c r="C64" s="19" t="str">
        <x:v>雾脚蹼靴</x:v>
      </x:c>
      <x:c r="D64" s="19" t="n">
        <x:v>1</x:v>
      </x:c>
      <x:c r="E64" s="19" t="n">
        <x:v>3</x:v>
      </x:c>
      <x:c r="F64" s="32" t="n">
        <x:f>D64/E64</x:f>
        <x:v>0.3333333333333333</x:v>
      </x:c>
    </x:row>
    <x:row r="65" ht="19" customHeight="1">
      <x:c r="A65" s="19" t="str">
        <x:v>POOL025</x:v>
      </x:c>
      <x:c r="B65" s="19" t="str">
        <x:v>本图普通兼掉候选</x:v>
      </x:c>
      <x:c r="C65" s="19" t="str">
        <x:v>吸潮血戒</x:v>
      </x:c>
      <x:c r="D65" s="19" t="n">
        <x:v>1</x:v>
      </x:c>
      <x:c r="E65" s="19" t="n">
        <x:v>3</x:v>
      </x:c>
      <x:c r="F65" s="32" t="n">
        <x:f>D65/E65</x:f>
        <x:v>0.3333333333333333</x:v>
      </x:c>
    </x:row>
    <x:row r="66" ht="19" customHeight="1">
      <x:c r="A66" s="19" t="str">
        <x:v>POOL025</x:v>
      </x:c>
      <x:c r="B66" s="19" t="str">
        <x:v>本图普通兼掉候选</x:v>
      </x:c>
      <x:c r="C66" s="19" t="str">
        <x:v>盲采藕刀</x:v>
      </x:c>
      <x:c r="D66" s="19" t="n">
        <x:v>1</x:v>
      </x:c>
      <x:c r="E66" s="19" t="n">
        <x:v>3</x:v>
      </x:c>
      <x:c r="F66" s="32" t="n">
        <x:f>D66/E66</x:f>
        <x:v>0.3333333333333333</x:v>
      </x:c>
    </x:row>
    <x:row r="67" ht="19" customHeight="1">
      <x:c r="A67" s="19" t="str">
        <x:v>POOL025</x:v>
      </x:c>
      <x:c r="B67" s="19" t="str">
        <x:v>本图普通兼掉候选</x:v>
      </x:c>
      <x:c r="C67" s="19" t="str">
        <x:v>青壳沼盾</x:v>
      </x:c>
      <x:c r="D67" s="19" t="n">
        <x:v>1</x:v>
      </x:c>
      <x:c r="E67" s="19" t="n">
        <x:v>3</x:v>
      </x:c>
      <x:c r="F67" s="32" t="n">
        <x:f>D67/E67</x:f>
        <x:v>0.3333333333333333</x:v>
      </x:c>
    </x:row>
    <x:row r="68" ht="19" customHeight="1">
      <x:c r="A68" s="19" t="str">
        <x:v>POOL026</x:v>
      </x:c>
      <x:c r="B68" s="19" t="str">
        <x:v>本图普通兼掉候选</x:v>
      </x:c>
      <x:c r="C68" s="19" t="str">
        <x:v>沉钟祭袍</x:v>
      </x:c>
      <x:c r="D68" s="19" t="n">
        <x:v>1</x:v>
      </x:c>
      <x:c r="E68" s="19" t="n">
        <x:v>2</x:v>
      </x:c>
      <x:c r="F68" s="32" t="n">
        <x:f>D68/E68</x:f>
        <x:v>0.5</x:v>
      </x:c>
    </x:row>
    <x:row r="69" ht="19" customHeight="1">
      <x:c r="A69" s="19" t="str">
        <x:v>POOL026</x:v>
      </x:c>
      <x:c r="B69" s="19" t="str">
        <x:v>本图普通兼掉候选</x:v>
      </x:c>
      <x:c r="C69" s="19" t="str">
        <x:v>浸廊手弩</x:v>
      </x:c>
      <x:c r="D69" s="19" t="n">
        <x:v>1</x:v>
      </x:c>
      <x:c r="E69" s="19" t="n">
        <x:v>2</x:v>
      </x:c>
      <x:c r="F69" s="32" t="n">
        <x:f>D69/E69</x:f>
        <x:v>0.5</x:v>
      </x:c>
    </x:row>
    <x:row r="70" ht="19" customHeight="1">
      <x:c r="A70" s="19" t="str">
        <x:v>POOL027</x:v>
      </x:c>
      <x:c r="B70" s="19" t="str">
        <x:v>本图普通兼掉候选</x:v>
      </x:c>
      <x:c r="C70" s="19" t="str">
        <x:v>供盏腕轮</x:v>
      </x:c>
      <x:c r="D70" s="19" t="n">
        <x:v>1</x:v>
      </x:c>
      <x:c r="E70" s="19" t="n">
        <x:v>2</x:v>
      </x:c>
      <x:c r="F70" s="32" t="n">
        <x:f>D70/E70</x:f>
        <x:v>0.5</x:v>
      </x:c>
    </x:row>
    <x:row r="71" ht="19" customHeight="1">
      <x:c r="A71" s="19" t="str">
        <x:v>POOL027</x:v>
      </x:c>
      <x:c r="B71" s="19" t="str">
        <x:v>本图普通兼掉候选</x:v>
      </x:c>
      <x:c r="C71" s="19" t="str">
        <x:v>盲鱼鳍靴</x:v>
      </x:c>
      <x:c r="D71" s="19" t="n">
        <x:v>1</x:v>
      </x:c>
      <x:c r="E71" s="19" t="n">
        <x:v>2</x:v>
      </x:c>
      <x:c r="F71" s="32" t="n">
        <x:f>D71/E71</x:f>
        <x:v>0.5</x:v>
      </x:c>
    </x:row>
    <x:row r="72" ht="19" customHeight="1">
      <x:c r="A72" s="19" t="str">
        <x:v>POOL028</x:v>
      </x:c>
      <x:c r="B72" s="19" t="str">
        <x:v>本图普通兼掉候选</x:v>
      </x:c>
      <x:c r="C72" s="19" t="str">
        <x:v>凿舱铁锤</x:v>
      </x:c>
      <x:c r="D72" s="19" t="n">
        <x:v>1</x:v>
      </x:c>
      <x:c r="E72" s="19" t="n">
        <x:v>2</x:v>
      </x:c>
      <x:c r="F72" s="32" t="n">
        <x:f>D72/E72</x:f>
        <x:v>0.5</x:v>
      </x:c>
    </x:row>
    <x:row r="73" ht="19" customHeight="1">
      <x:c r="A73" s="19" t="str">
        <x:v>POOL028</x:v>
      </x:c>
      <x:c r="B73" s="19" t="str">
        <x:v>本图普通兼掉候选</x:v>
      </x:c>
      <x:c r="C73" s="19" t="str">
        <x:v>怨灯项链</x:v>
      </x:c>
      <x:c r="D73" s="19" t="n">
        <x:v>1</x:v>
      </x:c>
      <x:c r="E73" s="19" t="n">
        <x:v>2</x:v>
      </x:c>
      <x:c r="F73" s="32" t="n">
        <x:f>D73/E73</x:f>
        <x:v>0.5</x:v>
      </x:c>
    </x:row>
    <x:row r="74" ht="19" customHeight="1">
      <x:c r="A74" s="19" t="str">
        <x:v>POOL029</x:v>
      </x:c>
      <x:c r="B74" s="19" t="str">
        <x:v>本图普通兼掉候选</x:v>
      </x:c>
      <x:c r="C74" s="19" t="str">
        <x:v>墓舱壳盾</x:v>
      </x:c>
      <x:c r="D74" s="19" t="n">
        <x:v>1</x:v>
      </x:c>
      <x:c r="E74" s="19" t="n">
        <x:v>2</x:v>
      </x:c>
      <x:c r="F74" s="32" t="n">
        <x:f>D74/E74</x:f>
        <x:v>0.5</x:v>
      </x:c>
    </x:row>
    <x:row r="75" ht="19" customHeight="1">
      <x:c r="A75" s="19" t="str">
        <x:v>POOL029</x:v>
      </x:c>
      <x:c r="B75" s="19" t="str">
        <x:v>本图普通兼掉候选</x:v>
      </x:c>
      <x:c r="C75" s="19" t="str">
        <x:v>盐裹尸衣</x:v>
      </x:c>
      <x:c r="D75" s="19" t="n">
        <x:v>1</x:v>
      </x:c>
      <x:c r="E75" s="19" t="n">
        <x:v>2</x:v>
      </x:c>
      <x:c r="F75" s="32" t="n">
        <x:f>D75/E75</x:f>
        <x:v>0.5</x:v>
      </x:c>
    </x:row>
    <x:row r="76" ht="19" customHeight="1">
      <x:c r="A76" s="19" t="str">
        <x:v>POOL030</x:v>
      </x:c>
      <x:c r="B76" s="19" t="str">
        <x:v>本图普通兼掉候选</x:v>
      </x:c>
      <x:c r="C76" s="19" t="str">
        <x:v>引魂铜铃链</x:v>
      </x:c>
      <x:c r="D76" s="19" t="n">
        <x:v>1</x:v>
      </x:c>
      <x:c r="E76" s="19" t="n">
        <x:v>2</x:v>
      </x:c>
      <x:c r="F76" s="32" t="n">
        <x:f>D76/E76</x:f>
        <x:v>0.5</x:v>
      </x:c>
    </x:row>
    <x:row r="77" ht="19" customHeight="1">
      <x:c r="A77" s="19" t="str">
        <x:v>POOL030</x:v>
      </x:c>
      <x:c r="B77" s="19" t="str">
        <x:v>本图普通兼掉候选</x:v>
      </x:c>
      <x:c r="C77" s="19" t="str">
        <x:v>舀魂铜瓢</x:v>
      </x:c>
      <x:c r="D77" s="19" t="n">
        <x:v>1</x:v>
      </x:c>
      <x:c r="E77" s="19" t="n">
        <x:v>2</x:v>
      </x:c>
      <x:c r="F77" s="32" t="n">
        <x:f>D77/E77</x:f>
        <x:v>0.5</x:v>
      </x:c>
    </x:row>
    <x:row r="78" ht="19" customHeight="1">
      <x:c r="A78" s="19" t="str">
        <x:v>POOL031</x:v>
      </x:c>
      <x:c r="B78" s="19" t="str">
        <x:v>本图普通兼掉候选</x:v>
      </x:c>
      <x:c r="C78" s="19" t="str">
        <x:v>梦蛾踏水靴</x:v>
      </x:c>
      <x:c r="D78" s="19" t="n">
        <x:v>1</x:v>
      </x:c>
      <x:c r="E78" s="19" t="n">
        <x:v>2</x:v>
      </x:c>
      <x:c r="F78" s="32" t="n">
        <x:f>D78/E78</x:f>
        <x:v>0.5</x:v>
      </x:c>
    </x:row>
    <x:row r="79" ht="19" customHeight="1">
      <x:c r="A79" s="19" t="str">
        <x:v>POOL031</x:v>
      </x:c>
      <x:c r="B79" s="19" t="str">
        <x:v>本图普通兼掉候选</x:v>
      </x:c>
      <x:c r="C79" s="19" t="str">
        <x:v>蜡封尸衣</x:v>
      </x:c>
      <x:c r="D79" s="19" t="n">
        <x:v>1</x:v>
      </x:c>
      <x:c r="E79" s="19" t="n">
        <x:v>2</x:v>
      </x:c>
      <x:c r="F79" s="32" t="n">
        <x:f>D79/E79</x:f>
        <x:v>0.5</x:v>
      </x:c>
    </x:row>
    <x:row r="80" ht="19" customHeight="1">
      <x:c r="A80" s="19" t="str">
        <x:v>POOL032</x:v>
      </x:c>
      <x:c r="B80" s="19" t="str">
        <x:v>本图普通兼掉候选</x:v>
      </x:c>
      <x:c r="C80" s="19" t="str">
        <x:v>拾珠客斗笠</x:v>
      </x:c>
      <x:c r="D80" s="19" t="n">
        <x:v>1</x:v>
      </x:c>
      <x:c r="E80" s="19" t="n">
        <x:v>2</x:v>
      </x:c>
      <x:c r="F80" s="32" t="n">
        <x:f>D80/E80</x:f>
        <x:v>0.5</x:v>
      </x:c>
    </x:row>
    <x:row r="81" ht="19" customHeight="1">
      <x:c r="A81" s="19" t="str">
        <x:v>POOL032</x:v>
      </x:c>
      <x:c r="B81" s="19" t="str">
        <x:v>本图普通兼掉候选</x:v>
      </x:c>
      <x:c r="C81" s="19" t="str">
        <x:v>月蛙刺弩</x:v>
      </x:c>
      <x:c r="D81" s="19" t="n">
        <x:v>1</x:v>
      </x:c>
      <x:c r="E81" s="19" t="n">
        <x:v>2</x:v>
      </x:c>
      <x:c r="F81" s="32" t="n">
        <x:f>D81/E81</x:f>
        <x:v>0.5</x:v>
      </x:c>
    </x:row>
    <x:row r="82" ht="19" customHeight="1">
      <x:c r="A82" s="19" t="str">
        <x:v>POOL033</x:v>
      </x:c>
      <x:c r="B82" s="19" t="str">
        <x:v>本图普通兼掉候选</x:v>
      </x:c>
      <x:c r="C82" s="19" t="str">
        <x:v>伏流鳞靴</x:v>
      </x:c>
      <x:c r="D82" s="19" t="n">
        <x:v>1</x:v>
      </x:c>
      <x:c r="E82" s="19" t="n">
        <x:v>2</x:v>
      </x:c>
      <x:c r="F82" s="32" t="n">
        <x:f>D82/E82</x:f>
        <x:v>0.5</x:v>
      </x:c>
    </x:row>
    <x:row r="83" ht="19" customHeight="1">
      <x:c r="A83" s="19" t="str">
        <x:v>POOL033</x:v>
      </x:c>
      <x:c r="B83" s="19" t="str">
        <x:v>本图普通兼掉候选</x:v>
      </x:c>
      <x:c r="C83" s="19" t="str">
        <x:v>盔虾壳帽</x:v>
      </x:c>
      <x:c r="D83" s="19" t="n">
        <x:v>1</x:v>
      </x:c>
      <x:c r="E83" s="19" t="n">
        <x:v>2</x:v>
      </x:c>
      <x:c r="F83" s="32" t="n">
        <x:f>D83/E83</x:f>
        <x:v>0.5</x:v>
      </x:c>
    </x:row>
    <x:row r="84" ht="19" customHeight="1">
      <x:c r="A84" s="19" t="str">
        <x:v>POOL034</x:v>
      </x:c>
      <x:c r="B84" s="19" t="str">
        <x:v>本图普通兼掉候选</x:v>
      </x:c>
      <x:c r="C84" s="19" t="str">
        <x:v>守渠锈衣</x:v>
      </x:c>
      <x:c r="D84" s="19" t="n">
        <x:v>1</x:v>
      </x:c>
      <x:c r="E84" s="19" t="n">
        <x:v>2</x:v>
      </x:c>
      <x:c r="F84" s="32" t="n">
        <x:f>D84/E84</x:f>
        <x:v>0.5</x:v>
      </x:c>
    </x:row>
    <x:row r="85" ht="19" customHeight="1">
      <x:c r="A85" s="19" t="str">
        <x:v>POOL034</x:v>
      </x:c>
      <x:c r="B85" s="19" t="str">
        <x:v>本图普通兼掉候选</x:v>
      </x:c>
      <x:c r="C85" s="19" t="str">
        <x:v>滤水蚌盔</x:v>
      </x:c>
      <x:c r="D85" s="19" t="n">
        <x:v>1</x:v>
      </x:c>
      <x:c r="E85" s="19" t="n">
        <x:v>2</x:v>
      </x:c>
      <x:c r="F85" s="32" t="n">
        <x:f>D85/E85</x:f>
        <x:v>0.5</x:v>
      </x:c>
    </x:row>
    <x:row r="86" ht="19" customHeight="1">
      <x:c r="A86" s="19" t="str">
        <x:v>POOL035</x:v>
      </x:c>
      <x:c r="B86" s="19" t="str">
        <x:v>本图普通兼掉候选</x:v>
      </x:c>
      <x:c r="C86" s="19" t="str">
        <x:v>封门泥履</x:v>
      </x:c>
      <x:c r="D86" s="19" t="n">
        <x:v>1</x:v>
      </x:c>
      <x:c r="E86" s="19" t="n">
        <x:v>2</x:v>
      </x:c>
      <x:c r="F86" s="32" t="n">
        <x:f>D86/E86</x:f>
        <x:v>0.5</x:v>
      </x:c>
    </x:row>
    <x:row r="87" ht="19" customHeight="1">
      <x:c r="A87" s="19" t="str">
        <x:v>POOL035</x:v>
      </x:c>
      <x:c r="B87" s="19" t="str">
        <x:v>本图普通兼掉候选</x:v>
      </x:c>
      <x:c r="C87" s="19" t="str">
        <x:v>幽灯鱼坠</x:v>
      </x:c>
      <x:c r="D87" s="19" t="n">
        <x:v>1</x:v>
      </x:c>
      <x:c r="E87" s="19" t="n">
        <x:v>2</x:v>
      </x:c>
      <x:c r="F87" s="32" t="n">
        <x:f>D87/E87</x:f>
        <x:v>0.5</x:v>
      </x:c>
    </x:row>
    <x:row r="88" ht="19" customHeight="1">
      <x:c r="A88" s="19" t="str">
        <x:v>POOL036</x:v>
      </x:c>
      <x:c r="B88" s="19" t="str">
        <x:v>本图普通兼掉候选</x:v>
      </x:c>
      <x:c r="C88" s="19" t="str">
        <x:v>凝露蛾月坠</x:v>
      </x:c>
      <x:c r="D88" s="19" t="n">
        <x:v>1</x:v>
      </x:c>
      <x:c r="E88" s="19" t="n">
        <x:v>2</x:v>
      </x:c>
      <x:c r="F88" s="32" t="n">
        <x:f>D88/E88</x:f>
        <x:v>0.5</x:v>
      </x:c>
    </x:row>
    <x:row r="89" ht="19" customHeight="1">
      <x:c r="A89" s="19" t="str">
        <x:v>POOL036</x:v>
      </x:c>
      <x:c r="B89" s="19" t="str">
        <x:v>本图普通兼掉候选</x:v>
      </x:c>
      <x:c r="C89" s="19" t="str">
        <x:v>月翳提灯笠</x:v>
      </x:c>
      <x:c r="D89" s="19" t="n">
        <x:v>1</x:v>
      </x:c>
      <x:c r="E89" s="19" t="n">
        <x:v>2</x:v>
      </x:c>
      <x:c r="F89" s="32" t="n">
        <x:f>D89/E89</x:f>
        <x:v>0.5</x:v>
      </x:c>
    </x:row>
    <x:row r="90" ht="19" customHeight="1">
      <x:c r="A90" s="19" t="str">
        <x:v>POOL037</x:v>
      </x:c>
      <x:c r="B90" s="19" t="str">
        <x:v>本图普通兼掉候选</x:v>
      </x:c>
      <x:c r="C90" s="19" t="str">
        <x:v>涟影回波戒</x:v>
      </x:c>
      <x:c r="D90" s="19" t="n">
        <x:v>1</x:v>
      </x:c>
      <x:c r="E90" s="19" t="n">
        <x:v>2</x:v>
      </x:c>
      <x:c r="F90" s="32" t="n">
        <x:f>D90/E90</x:f>
        <x:v>0.5</x:v>
      </x:c>
    </x:row>
    <x:row r="91" ht="19" customHeight="1">
      <x:c r="A91" s="19" t="str">
        <x:v>POOL037</x:v>
      </x:c>
      <x:c r="B91" s="19" t="str">
        <x:v>本图普通兼掉候选</x:v>
      </x:c>
      <x:c r="C91" s="19" t="str">
        <x:v>静盏银纹镯</x:v>
      </x:c>
      <x:c r="D91" s="19" t="n">
        <x:v>1</x:v>
      </x:c>
      <x:c r="E91" s="19" t="n">
        <x:v>2</x:v>
      </x:c>
      <x:c r="F91" s="32" t="n">
        <x:f>D91/E91</x:f>
        <x:v>0.5</x:v>
      </x:c>
    </x:row>
    <x:row r="92" ht="19" customHeight="1">
      <x:c r="A92" s="19" t="str">
        <x:v>POOL038</x:v>
      </x:c>
      <x:c r="B92" s="19" t="str">
        <x:v>本图普通兼掉候选</x:v>
      </x:c>
      <x:c r="C92" s="19" t="str">
        <x:v>辉壳束腰</x:v>
      </x:c>
      <x:c r="D92" s="19" t="n">
        <x:v>1</x:v>
      </x:c>
      <x:c r="E92" s="19" t="n">
        <x:v>1</x:v>
      </x:c>
      <x:c r="F92" s="32" t="n">
        <x:f>D92/E92</x:f>
        <x:v>1</x:v>
      </x:c>
    </x:row>
    <x:row r="93" ht="19" customHeight="1">
      <x:c r="A93" s="19" t="str">
        <x:v>POOL039</x:v>
      </x:c>
      <x:c r="B93" s="19" t="str">
        <x:v>本图普通兼掉候选</x:v>
      </x:c>
      <x:c r="C93" s="19" t="str">
        <x:v>悬晶祭辉笠</x:v>
      </x:c>
      <x:c r="D93" s="19" t="n">
        <x:v>1</x:v>
      </x:c>
      <x:c r="E93" s="19" t="n">
        <x:v>1</x:v>
      </x:c>
      <x:c r="F93" s="32" t="n">
        <x:f>D93/E93</x:f>
        <x:v>1</x:v>
      </x:c>
    </x:row>
    <x:row r="94" ht="19" customHeight="1">
      <x:c r="A94" s="19" t="str">
        <x:v>POOL040</x:v>
      </x:c>
      <x:c r="B94" s="19" t="str">
        <x:v>本图普通兼掉候选</x:v>
      </x:c>
      <x:c r="C94" s="19" t="str">
        <x:v>缄印粉屑戒</x:v>
      </x:c>
      <x:c r="D94" s="19" t="n">
        <x:v>1</x:v>
      </x:c>
      <x:c r="E94" s="19" t="n">
        <x:v>2</x:v>
      </x:c>
      <x:c r="F94" s="32" t="n">
        <x:f>D94/E94</x:f>
        <x:v>0.5</x:v>
      </x:c>
    </x:row>
    <x:row r="95" ht="19" customHeight="1">
      <x:c r="A95" s="19" t="str">
        <x:v>POOL040</x:v>
      </x:c>
      <x:c r="B95" s="19" t="str">
        <x:v>本图普通兼掉候选</x:v>
      </x:c>
      <x:c r="C95" s="19" t="str">
        <x:v>缄咒讲台盾</x:v>
      </x:c>
      <x:c r="D95" s="19" t="n">
        <x:v>1</x:v>
      </x:c>
      <x:c r="E95" s="19" t="n">
        <x:v>2</x:v>
      </x:c>
      <x:c r="F95" s="32" t="n">
        <x:f>D95/E95</x:f>
        <x:v>0.5</x:v>
      </x:c>
    </x:row>
    <x:row r="96" ht="19" customHeight="1">
      <x:c r="A96" s="19" t="str">
        <x:v>POOL041</x:v>
      </x:c>
      <x:c r="B96" s="19" t="str">
        <x:v>本图普通兼掉候选</x:v>
      </x:c>
      <x:c r="C96" s="19" t="str">
        <x:v>卷蠹轻步履</x:v>
      </x:c>
      <x:c r="D96" s="19" t="n">
        <x:v>1</x:v>
      </x:c>
      <x:c r="E96" s="19" t="n">
        <x:v>2</x:v>
      </x:c>
      <x:c r="F96" s="32" t="n">
        <x:f>D96/E96</x:f>
        <x:v>0.5</x:v>
      </x:c>
    </x:row>
    <x:row r="97" ht="19" customHeight="1">
      <x:c r="A97" s="19" t="str">
        <x:v>POOL041</x:v>
      </x:c>
      <x:c r="B97" s="19" t="str">
        <x:v>本图普通兼掉候选</x:v>
      </x:c>
      <x:c r="C97" s="19" t="str">
        <x:v>锁页秘文链</x:v>
      </x:c>
      <x:c r="D97" s="19" t="n">
        <x:v>1</x:v>
      </x:c>
      <x:c r="E97" s="19" t="n">
        <x:v>2</x:v>
      </x:c>
      <x:c r="F97" s="32" t="n">
        <x:f>D97/E97</x:f>
        <x:v>0.5</x:v>
      </x:c>
    </x:row>
    <x:row r="98" ht="19" customHeight="1">
      <x:c r="A98" s="19" t="str">
        <x:v>POOL042</x:v>
      </x:c>
      <x:c r="B98" s="19" t="str">
        <x:v>本图普通兼掉候选</x:v>
      </x:c>
      <x:c r="C98" s="19" t="str">
        <x:v>噤语灯芯坠</x:v>
      </x:c>
      <x:c r="D98" s="19" t="n">
        <x:v>1</x:v>
      </x:c>
      <x:c r="E98" s="19" t="n">
        <x:v>2</x:v>
      </x:c>
      <x:c r="F98" s="32" t="n">
        <x:f>D98/E98</x:f>
        <x:v>0.5</x:v>
      </x:c>
    </x:row>
    <x:row r="99" ht="19" customHeight="1">
      <x:c r="A99" s="19" t="str">
        <x:v>POOL042</x:v>
      </x:c>
      <x:c r="B99" s="19" t="str">
        <x:v>本图普通兼掉候选</x:v>
      </x:c>
      <x:c r="C99" s="19" t="str">
        <x:v>巡卷傀书盾</x:v>
      </x:c>
      <x:c r="D99" s="19" t="n">
        <x:v>1</x:v>
      </x:c>
      <x:c r="E99" s="19" t="n">
        <x:v>2</x:v>
      </x:c>
      <x:c r="F99" s="32" t="n">
        <x:f>D99/E99</x:f>
        <x:v>0.5</x:v>
      </x:c>
    </x:row>
    <x:row r="100" ht="19" customHeight="1">
      <x:c r="A100" s="19" t="str">
        <x:v>POOL043</x:v>
      </x:c>
      <x:c r="B100" s="19" t="str">
        <x:v>本图普通兼掉候选</x:v>
      </x:c>
      <x:c r="C100" s="19" t="str">
        <x:v>墨潮藏页镯</x:v>
      </x:c>
      <x:c r="D100" s="19" t="n">
        <x:v>1</x:v>
      </x:c>
      <x:c r="E100" s="19" t="n">
        <x:v>2</x:v>
      </x:c>
      <x:c r="F100" s="32" t="n">
        <x:f>D100/E100</x:f>
        <x:v>0.5</x:v>
      </x:c>
    </x:row>
    <x:row r="101" ht="19" customHeight="1">
      <x:c r="A101" s="19" t="str">
        <x:v>POOL043</x:v>
      </x:c>
      <x:c r="B101" s="19" t="str">
        <x:v>本图普通兼掉候选</x:v>
      </x:c>
      <x:c r="C101" s="19" t="str">
        <x:v>夹页月痕戒</x:v>
      </x:c>
      <x:c r="D101" s="19" t="n">
        <x:v>1</x:v>
      </x:c>
      <x:c r="E101" s="19" t="n">
        <x:v>2</x:v>
      </x:c>
      <x:c r="F101" s="32" t="n">
        <x:f>D101/E101</x:f>
        <x:v>0.5</x:v>
      </x:c>
    </x:row>
    <x:row r="102" ht="19" customHeight="1">
      <x:c r="A102" s="19" t="str">
        <x:v>POOL044</x:v>
      </x:c>
      <x:c r="B102" s="19" t="str">
        <x:v>本图普通兼掉候选</x:v>
      </x:c>
      <x:c r="C102" s="19" t="str">
        <x:v>月华流扇笠</x:v>
      </x:c>
      <x:c r="D102" s="19" t="n">
        <x:v>1</x:v>
      </x:c>
      <x:c r="E102" s="19" t="n">
        <x:v>2</x:v>
      </x:c>
      <x:c r="F102" s="32" t="n">
        <x:f>D102/E102</x:f>
        <x:v>0.5</x:v>
      </x:c>
    </x:row>
    <x:row r="103" ht="19" customHeight="1">
      <x:c r="A103" s="19" t="str">
        <x:v>POOL044</x:v>
      </x:c>
      <x:c r="B103" s="19" t="str">
        <x:v>本图普通兼掉候选</x:v>
      </x:c>
      <x:c r="C103" s="19" t="str">
        <x:v>浮光鲛纹镯</x:v>
      </x:c>
      <x:c r="D103" s="19" t="n">
        <x:v>1</x:v>
      </x:c>
      <x:c r="E103" s="19" t="n">
        <x:v>2</x:v>
      </x:c>
      <x:c r="F103" s="32" t="n">
        <x:f>D103/E103</x:f>
        <x:v>0.5</x:v>
      </x:c>
    </x:row>
    <x:row r="104" ht="19" customHeight="1">
      <x:c r="A104" s="19" t="str">
        <x:v>POOL045</x:v>
      </x:c>
      <x:c r="B104" s="19" t="str">
        <x:v>本图普通兼掉候选</x:v>
      </x:c>
      <x:c r="C104" s="19" t="str">
        <x:v>月镜游鱼戒</x:v>
      </x:c>
      <x:c r="D104" s="19" t="n">
        <x:v>1</x:v>
      </x:c>
      <x:c r="E104" s="19" t="n">
        <x:v>2</x:v>
      </x:c>
      <x:c r="F104" s="32" t="n">
        <x:f>D104/E104</x:f>
        <x:v>0.5</x:v>
      </x:c>
    </x:row>
    <x:row r="105" ht="19" customHeight="1">
      <x:c r="A105" s="19" t="str">
        <x:v>POOL045</x:v>
      </x:c>
      <x:c r="B105" s="19" t="str">
        <x:v>本图普通兼掉候选</x:v>
      </x:c>
      <x:c r="C105" s="19" t="str">
        <x:v>澄潮祭步履</x:v>
      </x:c>
      <x:c r="D105" s="19" t="n">
        <x:v>1</x:v>
      </x:c>
      <x:c r="E105" s="19" t="n">
        <x:v>2</x:v>
      </x:c>
      <x:c r="F105" s="32" t="n">
        <x:f>D105/E105</x:f>
        <x:v>0.5</x:v>
      </x:c>
    </x:row>
    <x:row r="106" ht="19" customHeight="1">
      <x:c r="A106" s="19" t="str">
        <x:v>POOL046</x:v>
      </x:c>
      <x:c r="B106" s="19" t="str">
        <x:v>本图普通兼掉候选</x:v>
      </x:c>
      <x:c r="C106" s="19" t="str">
        <x:v>噬辉蛾蚀月笠</x:v>
      </x:c>
      <x:c r="D106" s="19" t="n">
        <x:v>1</x:v>
      </x:c>
      <x:c r="E106" s="19" t="n">
        <x:v>1</x:v>
      </x:c>
      <x:c r="F106" s="32" t="n">
        <x:f>D106/E106</x:f>
        <x:v>1</x:v>
      </x:c>
    </x:row>
    <x:row r="107" ht="19" customHeight="1">
      <x:c r="A107" s="19" t="str">
        <x:v>POOL047</x:v>
      </x:c>
      <x:c r="B107" s="19" t="str">
        <x:v>本图普通兼掉候选</x:v>
      </x:c>
      <x:c r="C107" s="19" t="str">
        <x:v>守星残灵戒</x:v>
      </x:c>
      <x:c r="D107" s="19" t="n">
        <x:v>1</x:v>
      </x:c>
      <x:c r="E107" s="19" t="n">
        <x:v>1</x:v>
      </x:c>
      <x:c r="F107" s="32" t="n">
        <x:f>D107/E107</x:f>
        <x:v>1</x:v>
      </x:c>
    </x:row>
    <x:row r="108" ht="19" customHeight="1">
      <x:c r="A108" s="19" t="str">
        <x:v>POOL048</x:v>
      </x:c>
      <x:c r="B108" s="19" t="str">
        <x:v>本图普通兼掉候选</x:v>
      </x:c>
      <x:c r="C108" s="19" t="str">
        <x:v>执炭腰封</x:v>
      </x:c>
      <x:c r="D108" s="19" t="n">
        <x:v>1</x:v>
      </x:c>
      <x:c r="E108" s="19" t="n">
        <x:v>1</x:v>
      </x:c>
      <x:c r="F108" s="32" t="n">
        <x:f>D108/E108</x:f>
        <x:v>1</x:v>
      </x:c>
    </x:row>
    <x:row r="109" ht="19" customHeight="1">
      <x:c r="A109" s="19" t="str">
        <x:v>POOL049</x:v>
      </x:c>
      <x:c r="B109" s="19" t="str">
        <x:v>本图普通兼掉候选</x:v>
      </x:c>
      <x:c r="C109" s="19" t="str">
        <x:v>赤螯腕甲</x:v>
      </x:c>
      <x:c r="D109" s="19" t="n">
        <x:v>1</x:v>
      </x:c>
      <x:c r="E109" s="19" t="n">
        <x:v>1</x:v>
      </x:c>
      <x:c r="F109" s="32" t="n">
        <x:f>D109/E109</x:f>
        <x:v>1</x:v>
      </x:c>
    </x:row>
    <x:row r="110" ht="19" customHeight="1">
      <x:c r="A110" s="19" t="str">
        <x:v>POOL050</x:v>
      </x:c>
      <x:c r="B110" s="19" t="str">
        <x:v>本图普通兼掉候选</x:v>
      </x:c>
      <x:c r="C110" s="19" t="str">
        <x:v>血菌腕轮</x:v>
      </x:c>
      <x:c r="D110" s="19" t="n">
        <x:v>1</x:v>
      </x:c>
      <x:c r="E110" s="19" t="n">
        <x:v>1</x:v>
      </x:c>
      <x:c r="F110" s="32" t="n">
        <x:f>D110/E110</x:f>
        <x:v>1</x:v>
      </x:c>
    </x:row>
    <x:row r="111" ht="19" customHeight="1">
      <x:c r="A111" s="19" t="str">
        <x:v>POOL051</x:v>
      </x:c>
      <x:c r="B111" s="19" t="str">
        <x:v>本图普通兼掉候选</x:v>
      </x:c>
      <x:c r="C111" s="19" t="str">
        <x:v>烙印斗笠</x:v>
      </x:c>
      <x:c r="D111" s="19" t="n">
        <x:v>1</x:v>
      </x:c>
      <x:c r="E111" s="19" t="n">
        <x:v>1</x:v>
      </x:c>
      <x:c r="F111" s="32" t="n">
        <x:f>D111/E111</x:f>
        <x:v>1</x:v>
      </x:c>
    </x:row>
    <x:row r="112" ht="19" customHeight="1">
      <x:c r="A112" s="19" t="str">
        <x:v>POOL052</x:v>
      </x:c>
      <x:c r="B112" s="19" t="str">
        <x:v>本图普通兼掉候选</x:v>
      </x:c>
      <x:c r="C112" s="19" t="str">
        <x:v>护卵鳞衣</x:v>
      </x:c>
      <x:c r="D112" s="19" t="n">
        <x:v>1</x:v>
      </x:c>
      <x:c r="E112" s="19" t="n">
        <x:v>1</x:v>
      </x:c>
      <x:c r="F112" s="32" t="n">
        <x:f>D112/E112</x:f>
        <x:v>1</x:v>
      </x:c>
    </x:row>
    <x:row r="113" ht="19" customHeight="1">
      <x:c r="A113" s="19" t="str">
        <x:v>POOL053</x:v>
      </x:c>
      <x:c r="B113" s="19" t="str">
        <x:v>本图普通兼掉候选</x:v>
      </x:c>
      <x:c r="C113" s="19" t="str">
        <x:v>神殿焰矛</x:v>
      </x:c>
      <x:c r="D113" s="19" t="n">
        <x:v>1</x:v>
      </x:c>
      <x:c r="E113" s="19" t="n">
        <x:v>1</x:v>
      </x:c>
      <x:c r="F113" s="32" t="n">
        <x:f>D113/E113</x:f>
        <x:v>1</x:v>
      </x:c>
    </x:row>
    <x:row r="114" ht="19" customHeight="1">
      <x:c r="A114" s="19" t="str">
        <x:v>POOL054</x:v>
      </x:c>
      <x:c r="B114" s="19" t="str">
        <x:v>本图普通兼掉候选</x:v>
      </x:c>
      <x:c r="C114" s="19" t="str">
        <x:v>掘冰腰带</x:v>
      </x:c>
      <x:c r="D114" s="19" t="n">
        <x:v>1</x:v>
      </x:c>
      <x:c r="E114" s="19" t="n">
        <x:v>1</x:v>
      </x:c>
      <x:c r="F114" s="32" t="n">
        <x:f>D114/E114</x:f>
        <x:v>1</x:v>
      </x:c>
    </x:row>
    <x:row r="115" ht="19" customHeight="1">
      <x:c r="A115" s="19" t="str">
        <x:v>POOL055</x:v>
      </x:c>
      <x:c r="B115" s="19" t="str">
        <x:v>本图普通兼掉候选</x:v>
      </x:c>
      <x:c r="C115" s="19" t="str">
        <x:v>白烛礼冠</x:v>
      </x:c>
      <x:c r="D115" s="19" t="n">
        <x:v>1</x:v>
      </x:c>
      <x:c r="E115" s="19" t="n">
        <x:v>1</x:v>
      </x:c>
      <x:c r="F115" s="32" t="n">
        <x:f>D115/E115</x:f>
        <x:v>1</x:v>
      </x:c>
    </x:row>
    <x:row r="116" ht="19" customHeight="1">
      <x:c r="A116" s="19" t="str">
        <x:v>POOL056</x:v>
      </x:c>
      <x:c r="B116" s="19" t="str">
        <x:v>本图普通兼掉候选</x:v>
      </x:c>
      <x:c r="C116" s="19" t="str">
        <x:v>逐光雪衣</x:v>
      </x:c>
      <x:c r="D116" s="19" t="n">
        <x:v>1</x:v>
      </x:c>
      <x:c r="E116" s="19" t="n">
        <x:v>1</x:v>
      </x:c>
      <x:c r="F116" s="32" t="n">
        <x:f>D116/E116</x:f>
        <x:v>1</x:v>
      </x:c>
    </x:row>
    <x:row r="117" ht="19" customHeight="1">
      <x:c r="A117" s="19" t="str">
        <x:v>POOL057</x:v>
      </x:c>
      <x:c r="B117" s="19" t="str">
        <x:v>本图普通兼掉候选</x:v>
      </x:c>
      <x:c r="C117" s="19" t="str">
        <x:v>守碑斗笠</x:v>
      </x:c>
      <x:c r="D117" s="19" t="n">
        <x:v>1</x:v>
      </x:c>
      <x:c r="E117" s="19" t="n">
        <x:v>1</x:v>
      </x:c>
      <x:c r="F117" s="32" t="n">
        <x:f>D117/E117</x:f>
        <x:v>1</x:v>
      </x:c>
    </x:row>
    <x:row r="118" ht="19" customHeight="1">
      <x:c r="A118" s="19" t="str">
        <x:v>POOL058</x:v>
      </x:c>
      <x:c r="B118" s="19" t="str">
        <x:v>本图普通兼掉候选</x:v>
      </x:c>
      <x:c r="C118" s="19" t="str">
        <x:v>守烛项链</x:v>
      </x:c>
      <x:c r="D118" s="19" t="n">
        <x:v>1</x:v>
      </x:c>
      <x:c r="E118" s="19" t="n">
        <x:v>1</x:v>
      </x:c>
      <x:c r="F118" s="32" t="n">
        <x:f>D118/E118</x:f>
        <x:v>1</x:v>
      </x:c>
    </x:row>
    <x:row r="119" ht="19" customHeight="1">
      <x:c r="A119" s="19" t="str">
        <x:v>POOL059</x:v>
      </x:c>
      <x:c r="B119" s="19" t="str">
        <x:v>本图普通兼掉候选</x:v>
      </x:c>
      <x:c r="C119" s="19" t="str">
        <x:v>白甲战衣</x:v>
      </x:c>
      <x:c r="D119" s="19" t="n">
        <x:v>1</x:v>
      </x:c>
      <x:c r="E119" s="19" t="n">
        <x:v>1</x:v>
      </x:c>
      <x:c r="F119" s="32" t="n">
        <x:f>D119/E119</x:f>
        <x:v>1</x:v>
      </x:c>
    </x:row>
    <x:row r="120" ht="19" customHeight="1">
      <x:c r="A120" s="19" t="str">
        <x:v>POOL060</x:v>
      </x:c>
      <x:c r="B120" s="19" t="str">
        <x:v>本图普通兼掉候选</x:v>
      </x:c>
      <x:c r="C120" s="19" t="str">
        <x:v>青隼翎盔</x:v>
      </x:c>
      <x:c r="D120" s="19" t="n">
        <x:v>1</x:v>
      </x:c>
      <x:c r="E120" s="19" t="n">
        <x:v>1</x:v>
      </x:c>
      <x:c r="F120" s="32" t="n">
        <x:f>D120/E120</x:f>
        <x:v>1</x:v>
      </x:c>
    </x:row>
    <x:row r="121" ht="19" customHeight="1">
      <x:c r="A121" s="19" t="str">
        <x:v>POOL061</x:v>
      </x:c>
      <x:c r="B121" s="19" t="str">
        <x:v>本图普通兼掉候选</x:v>
      </x:c>
      <x:c r="C121" s="19" t="str">
        <x:v>霜烛垂链</x:v>
      </x:c>
      <x:c r="D121" s="19" t="n">
        <x:v>1</x:v>
      </x:c>
      <x:c r="E121" s="19" t="n">
        <x:v>1</x:v>
      </x:c>
      <x:c r="F121" s="32" t="n">
        <x:f>D121/E121</x:f>
        <x:v>1</x:v>
      </x:c>
    </x:row>
    <x:row r="122" ht="19" customHeight="1">
      <x:c r="A122" s="19" t="str">
        <x:v>POOL062</x:v>
      </x:c>
      <x:c r="B122" s="19" t="str">
        <x:v>本图普通兼掉候选</x:v>
      </x:c>
      <x:c r="C122" s="19" t="str">
        <x:v>寒翼听风坠</x:v>
      </x:c>
      <x:c r="D122" s="19" t="n">
        <x:v>1</x:v>
      </x:c>
      <x:c r="E122" s="19" t="n">
        <x:v>1</x:v>
      </x:c>
      <x:c r="F122" s="32" t="n">
        <x:f>D122/E122</x:f>
        <x:v>1</x:v>
      </x:c>
    </x:row>
    <x:row r="123" ht="19" customHeight="1">
      <x:c r="A123" s="19" t="str">
        <x:v>POOL063</x:v>
      </x:c>
      <x:c r="B123" s="19" t="str">
        <x:v>本图普通兼掉候选</x:v>
      </x:c>
      <x:c r="C123" s="19" t="str">
        <x:v>残斧魂腕环</x:v>
      </x:c>
      <x:c r="D123" s="19" t="n">
        <x:v>1</x:v>
      </x:c>
      <x:c r="E123" s="19" t="n">
        <x:v>1</x:v>
      </x:c>
      <x:c r="F123" s="32" t="n">
        <x:f>D123/E123</x:f>
        <x:v>1</x:v>
      </x:c>
    </x:row>
    <x:row r="124" ht="19" customHeight="1">
      <x:c r="A124" s="19" t="str">
        <x:v>POOL064</x:v>
      </x:c>
      <x:c r="B124" s="19" t="str">
        <x:v>本图普通兼掉候选</x:v>
      </x:c>
      <x:c r="C124" s="19" t="str">
        <x:v>石髯记事镯</x:v>
      </x:c>
      <x:c r="D124" s="19" t="n">
        <x:v>1</x:v>
      </x:c>
      <x:c r="E124" s="19" t="n">
        <x:v>1</x:v>
      </x:c>
      <x:c r="F124" s="32" t="n">
        <x:f>D124/E124</x:f>
        <x:v>1</x:v>
      </x:c>
    </x:row>
    <x:row r="125" ht="19" customHeight="1">
      <x:c r="A125" s="19" t="str">
        <x:v>POOL065</x:v>
      </x:c>
      <x:c r="B125" s="19" t="str">
        <x:v>本图普通兼掉候选</x:v>
      </x:c>
      <x:c r="C125" s="19" t="str">
        <x:v>寒灯侍履</x:v>
      </x:c>
      <x:c r="D125" s="19" t="n">
        <x:v>1</x:v>
      </x:c>
      <x:c r="E125" s="19" t="n">
        <x:v>1</x:v>
      </x:c>
      <x:c r="F125" s="32" t="n">
        <x:f>D125/E125</x:f>
        <x:v>1</x:v>
      </x:c>
    </x:row>
    <x:row r="126" ht="19" customHeight="1">
      <x:c r="A126" s="19" t="str">
        <x:v>POOL066</x:v>
      </x:c>
      <x:c r="B126" s="19" t="str">
        <x:v>本图普通兼掉候选</x:v>
      </x:c>
      <x:c r="C126" s="19" t="str">
        <x:v>巡烛官灯坠</x:v>
      </x:c>
      <x:c r="D126" s="19" t="n">
        <x:v>1</x:v>
      </x:c>
      <x:c r="E126" s="19" t="n">
        <x:v>2</x:v>
      </x:c>
      <x:c r="F126" s="32" t="n">
        <x:f>D126/E126</x:f>
        <x:v>0.5</x:v>
      </x:c>
    </x:row>
    <x:row r="127" ht="19" customHeight="1">
      <x:c r="A127" s="19" t="str">
        <x:v>POOL066</x:v>
      </x:c>
      <x:c r="B127" s="19" t="str">
        <x:v>本图普通兼掉候选</x:v>
      </x:c>
      <x:c r="C127" s="19" t="str">
        <x:v>白毡宫衣</x:v>
      </x:c>
      <x:c r="D127" s="19" t="n">
        <x:v>1</x:v>
      </x:c>
      <x:c r="E127" s="19" t="n">
        <x:v>2</x:v>
      </x:c>
      <x:c r="F127" s="32" t="n">
        <x:f>D127/E127</x:f>
        <x:v>0.5</x:v>
      </x:c>
    </x:row>
    <x:row r="128" ht="19" customHeight="1">
      <x:c r="A128" s="19" t="str">
        <x:v>POOL067</x:v>
      </x:c>
      <x:c r="B128" s="19" t="str">
        <x:v>本图普通兼掉候选</x:v>
      </x:c>
      <x:c r="C128" s="19" t="str">
        <x:v>冰铃童腕镯</x:v>
      </x:c>
      <x:c r="D128" s="19" t="n">
        <x:v>1</x:v>
      </x:c>
      <x:c r="E128" s="19" t="n">
        <x:v>2</x:v>
      </x:c>
      <x:c r="F128" s="32" t="n">
        <x:f>D128/E128</x:f>
        <x:v>0.5</x:v>
      </x:c>
    </x:row>
    <x:row r="129" ht="19" customHeight="1">
      <x:c r="A129" s="19" t="str">
        <x:v>POOL067</x:v>
      </x:c>
      <x:c r="B129" s="19" t="str">
        <x:v>本图普通兼掉候选</x:v>
      </x:c>
      <x:c r="C129" s="19" t="str">
        <x:v>负碑王座盾</x:v>
      </x:c>
      <x:c r="D129" s="19" t="n">
        <x:v>1</x:v>
      </x:c>
      <x:c r="E129" s="19" t="n">
        <x:v>2</x:v>
      </x:c>
      <x:c r="F129" s="32" t="n">
        <x:f>D129/E129</x:f>
        <x:v>0.5</x:v>
      </x:c>
    </x:row>
    <x:row r="130" ht="19" customHeight="1">
      <x:c r="A130" s="19" t="str">
        <x:v>POOL068</x:v>
      </x:c>
      <x:c r="B130" s="19" t="str">
        <x:v>本图普通兼掉候选</x:v>
      </x:c>
      <x:c r="C130" s="19" t="str">
        <x:v>鎏苔守陵衣</x:v>
      </x:c>
      <x:c r="D130" s="19" t="n">
        <x:v>1</x:v>
      </x:c>
      <x:c r="E130" s="19" t="n">
        <x:v>1</x:v>
      </x:c>
      <x:c r="F130" s="32" t="n">
        <x:f>D130/E130</x:f>
        <x:v>1</x:v>
      </x:c>
    </x:row>
    <x:row r="131" ht="19" customHeight="1">
      <x:c r="A131" s="19" t="str">
        <x:v>POOL069</x:v>
      </x:c>
      <x:c r="B131" s="19" t="str">
        <x:v>本图普通兼掉候选</x:v>
      </x:c>
      <x:c r="C131" s="19" t="str">
        <x:v>衔烛鸦羽坠</x:v>
      </x:c>
      <x:c r="D131" s="19" t="n">
        <x:v>1</x:v>
      </x:c>
      <x:c r="E131" s="19" t="n">
        <x:v>1</x:v>
      </x:c>
      <x:c r="F131" s="32" t="n">
        <x:f>D131/E131</x:f>
        <x:v>1</x:v>
      </x:c>
    </x:row>
    <x:row r="132" ht="19" customHeight="1">
      <x:c r="A132" s="19" t="str">
        <x:v>POOL070</x:v>
      </x:c>
      <x:c r="B132" s="19" t="str">
        <x:v>本图普通兼掉候选</x:v>
      </x:c>
      <x:c r="C132" s="19" t="str">
        <x:v>负筐矿奴衣</x:v>
      </x:c>
      <x:c r="D132" s="19" t="n">
        <x:v>1</x:v>
      </x:c>
      <x:c r="E132" s="19" t="n">
        <x:v>1</x:v>
      </x:c>
      <x:c r="F132" s="32" t="n">
        <x:f>D132/E132</x:f>
        <x:v>1</x:v>
      </x:c>
    </x:row>
    <x:row r="133" ht="19" customHeight="1">
      <x:c r="A133" s="19" t="str">
        <x:v>POOL071</x:v>
      </x:c>
      <x:c r="B133" s="19" t="str">
        <x:v>本图普通兼掉候选</x:v>
      </x:c>
      <x:c r="C133" s="19" t="str">
        <x:v>晶背层岩盾</x:v>
      </x:c>
      <x:c r="D133" s="19" t="n">
        <x:v>1</x:v>
      </x:c>
      <x:c r="E133" s="19" t="n">
        <x:v>1</x:v>
      </x:c>
      <x:c r="F133" s="32" t="n">
        <x:f>D133/E133</x:f>
        <x:v>1</x:v>
      </x:c>
    </x:row>
    <x:row r="134" ht="19" customHeight="1">
      <x:c r="A134" s="19" t="str">
        <x:v>POOL072</x:v>
      </x:c>
      <x:c r="B134" s="19" t="str">
        <x:v>本图普通兼掉候选</x:v>
      </x:c>
      <x:c r="C134" s="19" t="str">
        <x:v>壁龛守烛坠</x:v>
      </x:c>
      <x:c r="D134" s="19" t="n">
        <x:v>1</x:v>
      </x:c>
      <x:c r="E134" s="19" t="n">
        <x:v>2</x:v>
      </x:c>
      <x:c r="F134" s="32" t="n">
        <x:f>D134/E134</x:f>
        <x:v>0.5</x:v>
      </x:c>
    </x:row>
    <x:row r="135" ht="19" customHeight="1">
      <x:c r="A135" s="19" t="str">
        <x:v>POOL072</x:v>
      </x:c>
      <x:c r="B135" s="19" t="str">
        <x:v>本图普通兼掉候选</x:v>
      </x:c>
      <x:c r="C135" s="19" t="str">
        <x:v>扶棺铜纹盾</x:v>
      </x:c>
      <x:c r="D135" s="19" t="n">
        <x:v>1</x:v>
      </x:c>
      <x:c r="E135" s="19" t="n">
        <x:v>2</x:v>
      </x:c>
      <x:c r="F135" s="32" t="n">
        <x:f>D135/E135</x:f>
        <x:v>0.5</x:v>
      </x:c>
    </x:row>
    <x:row r="136" ht="19" customHeight="1">
      <x:c r="A136" s="19" t="str">
        <x:v>POOL073</x:v>
      </x:c>
      <x:c r="B136" s="19" t="str">
        <x:v>本图普通兼掉候选</x:v>
      </x:c>
      <x:c r="C136" s="19" t="str">
        <x:v>敛袍侍素衣</x:v>
      </x:c>
      <x:c r="D136" s="19" t="n">
        <x:v>1</x:v>
      </x:c>
      <x:c r="E136" s="19" t="n">
        <x:v>2</x:v>
      </x:c>
      <x:c r="F136" s="32" t="n">
        <x:f>D136/E136</x:f>
        <x:v>0.5</x:v>
      </x:c>
    </x:row>
    <x:row r="137" ht="19" customHeight="1">
      <x:c r="A137" s="19" t="str">
        <x:v>POOL073</x:v>
      </x:c>
      <x:c r="B137" s="19" t="str">
        <x:v>本图普通兼掉候选</x:v>
      </x:c>
      <x:c r="C137" s="19" t="str">
        <x:v>葬犬衔骨镯</x:v>
      </x:c>
      <x:c r="D137" s="19" t="n">
        <x:v>1</x:v>
      </x:c>
      <x:c r="E137" s="19" t="n">
        <x:v>2</x:v>
      </x:c>
      <x:c r="F137" s="32" t="n">
        <x:f>D137/E137</x:f>
        <x:v>0.5</x:v>
      </x:c>
    </x:row>
    <x:row r="138" ht="19" customHeight="1">
      <x:c r="A138" s="19" t="str">
        <x:v>POOL074</x:v>
      </x:c>
      <x:c r="B138" s="19" t="str">
        <x:v>本图普通兼掉候选</x:v>
      </x:c>
      <x:c r="C138" s="19" t="str">
        <x:v>金面僧宝盔</x:v>
      </x:c>
      <x:c r="D138" s="19" t="n">
        <x:v>1</x:v>
      </x:c>
      <x:c r="E138" s="19" t="n">
        <x:v>1</x:v>
      </x:c>
      <x:c r="F138" s="32" t="n">
        <x:f>D138/E138</x:f>
        <x:v>1</x:v>
      </x:c>
    </x:row>
    <x:row r="139" ht="19" customHeight="1">
      <x:c r="A139" s="19" t="str">
        <x:v>POOL075</x:v>
      </x:c>
      <x:c r="B139" s="19" t="str">
        <x:v>本图普通兼掉候选</x:v>
      </x:c>
      <x:c r="C139" s="19" t="str">
        <x:v>祷弓手日轮弓</x:v>
      </x:c>
      <x:c r="D139" s="19" t="n">
        <x:v>1</x:v>
      </x:c>
      <x:c r="E139" s="19" t="n">
        <x:v>1</x:v>
      </x:c>
      <x:c r="F139" s="32" t="n">
        <x:f>D139/E139</x:f>
        <x:v>1</x:v>
      </x:c>
    </x:row>
    <x:row r="140" ht="19" customHeight="1">
      <x:c r="A140" s="19" t="str">
        <x:v>POOL076</x:v>
      </x:c>
      <x:c r="B140" s="19" t="str">
        <x:v>本图普通兼掉候选</x:v>
      </x:c>
      <x:c r="C140" s="19" t="str">
        <x:v>壁垒号手盔</x:v>
      </x:c>
      <x:c r="D140" s="19" t="n">
        <x:v>1</x:v>
      </x:c>
      <x:c r="E140" s="19" t="n">
        <x:v>1</x:v>
      </x:c>
      <x:c r="F140" s="32" t="n">
        <x:f>D140/E140</x:f>
        <x:v>1</x:v>
      </x:c>
    </x:row>
    <x:row r="141" ht="19" customHeight="1">
      <x:c r="A141" s="19" t="str">
        <x:v>POOL077</x:v>
      </x:c>
      <x:c r="B141" s="19" t="str">
        <x:v>本图普通兼掉候选</x:v>
      </x:c>
      <x:c r="C141" s="19" t="str">
        <x:v>锁链关门甲</x:v>
      </x:c>
      <x:c r="D141" s="19" t="n">
        <x:v>1</x:v>
      </x:c>
      <x:c r="E141" s="19" t="n">
        <x:v>1</x:v>
      </x:c>
      <x:c r="F141" s="32" t="n">
        <x:f>D141/E141</x:f>
        <x:v>1</x:v>
      </x:c>
    </x:row>
    <x:row r="142" ht="19" customHeight="1">
      <x:c r="A142" s="19" t="str">
        <x:v>POOL078</x:v>
      </x:c>
      <x:c r="B142" s="19" t="str">
        <x:v>本图普通兼掉候选</x:v>
      </x:c>
      <x:c r="C142" s="19" t="str">
        <x:v>伏砖旧革靴</x:v>
      </x:c>
      <x:c r="D142" s="19" t="n">
        <x:v>1</x:v>
      </x:c>
      <x:c r="E142" s="19" t="n">
        <x:v>2</x:v>
      </x:c>
      <x:c r="F142" s="32" t="n">
        <x:f>D142/E142</x:f>
        <x:v>0.5</x:v>
      </x:c>
    </x:row>
    <x:row r="143" ht="19" customHeight="1">
      <x:c r="A143" s="19" t="str">
        <x:v>POOL078</x:v>
      </x:c>
      <x:c r="B143" s="19" t="str">
        <x:v>本图普通兼掉候选</x:v>
      </x:c>
      <x:c r="C143" s="19" t="str">
        <x:v>缚铃窄项圈</x:v>
      </x:c>
      <x:c r="D143" s="19" t="n">
        <x:v>1</x:v>
      </x:c>
      <x:c r="E143" s="19" t="n">
        <x:v>2</x:v>
      </x:c>
      <x:c r="F143" s="32" t="n">
        <x:f>D143/E143</x:f>
        <x:v>0.5</x:v>
      </x:c>
    </x:row>
    <x:row r="144" ht="19" customHeight="1">
      <x:c r="A144" s="19" t="str">
        <x:v>POOL079</x:v>
      </x:c>
      <x:c r="B144" s="19" t="str">
        <x:v>本图普通兼掉候选</x:v>
      </x:c>
      <x:c r="C144" s="19" t="str">
        <x:v>淤甲闸工衣</x:v>
      </x:c>
      <x:c r="D144" s="19" t="n">
        <x:v>1</x:v>
      </x:c>
      <x:c r="E144" s="19" t="n">
        <x:v>2</x:v>
      </x:c>
      <x:c r="F144" s="32" t="n">
        <x:f>D144/E144</x:f>
        <x:v>0.5</x:v>
      </x:c>
    </x:row>
    <x:row r="145" ht="19" customHeight="1">
      <x:c r="A145" s="19" t="str">
        <x:v>POOL079</x:v>
      </x:c>
      <x:c r="B145" s="19" t="str">
        <x:v>本图普通兼掉候选</x:v>
      </x:c>
      <x:c r="C145" s="19" t="str">
        <x:v>链轮束腰</x:v>
      </x:c>
      <x:c r="D145" s="19" t="n">
        <x:v>1</x:v>
      </x:c>
      <x:c r="E145" s="19" t="n">
        <x:v>2</x:v>
      </x:c>
      <x:c r="F145" s="32" t="n">
        <x:f>D145/E145</x:f>
        <x:v>0.5</x:v>
      </x:c>
    </x:row>
    <x:row r="146" ht="19" customHeight="1">
      <x:c r="A146" s="19" t="str">
        <x:v>POOL080</x:v>
      </x:c>
      <x:c r="B146" s="19" t="str">
        <x:v>本图普通兼掉候选</x:v>
      </x:c>
      <x:c r="C146" s="19" t="str">
        <x:v>锈槽踏污靴</x:v>
      </x:c>
      <x:c r="D146" s="19" t="n">
        <x:v>1</x:v>
      </x:c>
      <x:c r="E146" s="19" t="n">
        <x:v>2</x:v>
      </x:c>
      <x:c r="F146" s="32" t="n">
        <x:f>D146/E146</x:f>
        <x:v>0.5</x:v>
      </x:c>
    </x:row>
    <x:row r="147" ht="19" customHeight="1">
      <x:c r="A147" s="19" t="str">
        <x:v>POOL080</x:v>
      </x:c>
      <x:c r="B147" s="19" t="str">
        <x:v>本图普通兼掉候选</x:v>
      </x:c>
      <x:c r="C147" s="19" t="str">
        <x:v>鸣管鳞盔</x:v>
      </x:c>
      <x:c r="D147" s="19" t="n">
        <x:v>1</x:v>
      </x:c>
      <x:c r="E147" s="19" t="n">
        <x:v>2</x:v>
      </x:c>
      <x:c r="F147" s="32" t="n">
        <x:f>D147/E147</x:f>
        <x:v>0.5</x:v>
      </x:c>
    </x:row>
    <x:row r="148" ht="19" customHeight="1">
      <x:c r="A148" s="19" t="str">
        <x:v>POOL081</x:v>
      </x:c>
      <x:c r="B148" s="19" t="str">
        <x:v>本图普通兼掉候选</x:v>
      </x:c>
      <x:c r="C148" s="19" t="str">
        <x:v>盘阀锁流带</x:v>
      </x:c>
      <x:c r="D148" s="19" t="n">
        <x:v>1</x:v>
      </x:c>
      <x:c r="E148" s="19" t="n">
        <x:v>2</x:v>
      </x:c>
      <x:c r="F148" s="32" t="n">
        <x:f>D148/E148</x:f>
        <x:v>0.5</x:v>
      </x:c>
    </x:row>
    <x:row r="149" ht="19" customHeight="1">
      <x:c r="A149" s="19" t="str">
        <x:v>POOL081</x:v>
      </x:c>
      <x:c r="B149" s="19" t="str">
        <x:v>本图普通兼掉候选</x:v>
      </x:c>
      <x:c r="C149" s="19" t="str">
        <x:v>窥灯浊辉坠</x:v>
      </x:c>
      <x:c r="D149" s="19" t="n">
        <x:v>1</x:v>
      </x:c>
      <x:c r="E149" s="19" t="n">
        <x:v>2</x:v>
      </x:c>
      <x:c r="F149" s="32" t="n">
        <x:f>D149/E149</x:f>
        <x:v>0.5</x:v>
      </x:c>
    </x:row>
    <x:row r="150" ht="19" customHeight="1">
      <x:c r="A150" s="19" t="str">
        <x:v>POOL082</x:v>
      </x:c>
      <x:c r="B150" s="19" t="str">
        <x:v>本图普通兼掉候选</x:v>
      </x:c>
      <x:c r="C150" s="19" t="str">
        <x:v>裂晶钻颚刃</x:v>
      </x:c>
      <x:c r="D150" s="19" t="n">
        <x:v>1</x:v>
      </x:c>
      <x:c r="E150" s="19" t="n">
        <x:v>1</x:v>
      </x:c>
      <x:c r="F150" s="32" t="n">
        <x:f>D150/E150</x:f>
        <x:v>1</x:v>
      </x:c>
    </x:row>
    <x:row r="151" ht="19" customHeight="1">
      <x:c r="A151" s="19" t="str">
        <x:v>POOL083</x:v>
      </x:c>
      <x:c r="B151" s="19" t="str">
        <x:v>本图普通兼掉候选</x:v>
      </x:c>
      <x:c r="C151" s="19" t="str">
        <x:v>听金矿纹坠</x:v>
      </x:c>
      <x:c r="D151" s="19" t="n">
        <x:v>1</x:v>
      </x:c>
      <x:c r="E151" s="19" t="n">
        <x:v>1</x:v>
      </x:c>
      <x:c r="F151" s="32" t="n">
        <x:f>D151/E151</x:f>
        <x:v>1</x:v>
      </x:c>
    </x:row>
    <x:row r="152" ht="19" customHeight="1">
      <x:c r="A152" s="19" t="str">
        <x:v>POOL084</x:v>
      </x:c>
      <x:c r="B152" s="19" t="str">
        <x:v>本图普通兼掉候选</x:v>
      </x:c>
      <x:c r="C152" s="19" t="str">
        <x:v>噤歌幽绡坠</x:v>
      </x:c>
      <x:c r="D152" s="19" t="n">
        <x:v>1</x:v>
      </x:c>
      <x:c r="E152" s="19" t="n">
        <x:v>2</x:v>
      </x:c>
      <x:c r="F152" s="32" t="n">
        <x:f>D152/E152</x:f>
        <x:v>0.5</x:v>
      </x:c>
    </x:row>
    <x:row r="153" ht="19" customHeight="1">
      <x:c r="A153" s="19" t="str">
        <x:v>POOL084</x:v>
      </x:c>
      <x:c r="B153" s="19" t="str">
        <x:v>本图普通兼掉候选</x:v>
      </x:c>
      <x:c r="C153" s="19" t="str">
        <x:v>执幡骨纹盔</x:v>
      </x:c>
      <x:c r="D153" s="19" t="n">
        <x:v>1</x:v>
      </x:c>
      <x:c r="E153" s="19" t="n">
        <x:v>2</x:v>
      </x:c>
      <x:c r="F153" s="32" t="n">
        <x:f>D153/E153</x:f>
        <x:v>0.5</x:v>
      </x:c>
    </x:row>
    <x:row r="154" ht="19" customHeight="1">
      <x:c r="A154" s="19" t="str">
        <x:v>POOL085</x:v>
      </x:c>
      <x:c r="B154" s="19" t="str">
        <x:v>本图普通兼掉候选</x:v>
      </x:c>
      <x:c r="C154" s="19" t="str">
        <x:v>抱瓮缚灵镯</x:v>
      </x:c>
      <x:c r="D154" s="19" t="n">
        <x:v>1</x:v>
      </x:c>
      <x:c r="E154" s="19" t="n">
        <x:v>2</x:v>
      </x:c>
      <x:c r="F154" s="32" t="n">
        <x:f>D154/E154</x:f>
        <x:v>0.5</x:v>
      </x:c>
    </x:row>
    <x:row r="155" ht="19" customHeight="1">
      <x:c r="A155" s="19" t="str">
        <x:v>POOL085</x:v>
      </x:c>
      <x:c r="B155" s="19" t="str">
        <x:v>本图普通兼掉候选</x:v>
      </x:c>
      <x:c r="C155" s="19" t="str">
        <x:v>枕陵掘痕靴</x:v>
      </x:c>
      <x:c r="D155" s="19" t="n">
        <x:v>1</x:v>
      </x:c>
      <x:c r="E155" s="19" t="n">
        <x:v>2</x:v>
      </x:c>
      <x:c r="F155" s="32" t="n">
        <x:f>D155/E155</x:f>
        <x:v>0.5</x:v>
      </x:c>
    </x:row>
    <x:row r="156" ht="19" customHeight="1">
      <x:c r="A156" s="19" t="str">
        <x:v>POOL086</x:v>
      </x:c>
      <x:c r="B156" s="19" t="str">
        <x:v>本图普通兼掉候选</x:v>
      </x:c>
      <x:c r="C156" s="19" t="str">
        <x:v>捧剑护座盾</x:v>
      </x:c>
      <x:c r="D156" s="19" t="n">
        <x:v>1</x:v>
      </x:c>
      <x:c r="E156" s="19" t="n">
        <x:v>1</x:v>
      </x:c>
      <x:c r="F156" s="32" t="n">
        <x:f>D156/E156</x:f>
        <x:v>1</x:v>
      </x:c>
    </x:row>
    <x:row r="157" ht="19" customHeight="1">
      <x:c r="A157" s="19" t="str">
        <x:v>POOL087</x:v>
      </x:c>
      <x:c r="B157" s="19" t="str">
        <x:v>本图普通兼掉候选</x:v>
      </x:c>
      <x:c r="C157" s="19" t="str">
        <x:v>拾辉登阶靴</x:v>
      </x:c>
      <x:c r="D157" s="19" t="n">
        <x:v>1</x:v>
      </x:c>
      <x:c r="E157" s="19" t="n">
        <x:v>1</x:v>
      </x:c>
      <x:c r="F157" s="32" t="n">
        <x:f>D157/E157</x:f>
        <x:v>1</x:v>
      </x:c>
    </x:row>
    <x:row r="158" ht="19" customHeight="1">
      <x:c r="A158" s="19" t="str">
        <x:v>POOL088</x:v>
      </x:c>
      <x:c r="B158" s="19" t="str">
        <x:v>制式独立候选</x:v>
      </x:c>
      <x:c r="C158" s="19" t="str">
        <x:v>褪色旅人直剑</x:v>
      </x:c>
      <x:c r="D158" s="19" t="n">
        <x:v>1</x:v>
      </x:c>
      <x:c r="E158" s="19" t="n">
        <x:v>32</x:v>
      </x:c>
      <x:c r="F158" s="32" t="n">
        <x:f>D158/E158</x:f>
        <x:v>0.03125</x:v>
      </x:c>
    </x:row>
    <x:row r="159" ht="19" customHeight="1">
      <x:c r="A159" s="19" t="str">
        <x:v>POOL088</x:v>
      </x:c>
      <x:c r="B159" s="19" t="str">
        <x:v>制式独立候选</x:v>
      </x:c>
      <x:c r="C159" s="19" t="str">
        <x:v>褪色旅人战甲</x:v>
      </x:c>
      <x:c r="D159" s="19" t="n">
        <x:v>1</x:v>
      </x:c>
      <x:c r="E159" s="19" t="n">
        <x:v>32</x:v>
      </x:c>
      <x:c r="F159" s="32" t="n">
        <x:f>D159/E159</x:f>
        <x:v>0.03125</x:v>
      </x:c>
    </x:row>
    <x:row r="160" ht="19" customHeight="1">
      <x:c r="A160" s="19" t="str">
        <x:v>POOL088</x:v>
      </x:c>
      <x:c r="B160" s="19" t="str">
        <x:v>制式独立候选</x:v>
      </x:c>
      <x:c r="C160" s="19" t="str">
        <x:v>褪色旅人战盔</x:v>
      </x:c>
      <x:c r="D160" s="19" t="n">
        <x:v>1</x:v>
      </x:c>
      <x:c r="E160" s="19" t="n">
        <x:v>32</x:v>
      </x:c>
      <x:c r="F160" s="32" t="n">
        <x:f>D160/E160</x:f>
        <x:v>0.03125</x:v>
      </x:c>
    </x:row>
    <x:row r="161" ht="19" customHeight="1">
      <x:c r="A161" s="19" t="str">
        <x:v>POOL088</x:v>
      </x:c>
      <x:c r="B161" s="19" t="str">
        <x:v>制式独立候选</x:v>
      </x:c>
      <x:c r="C161" s="19" t="str">
        <x:v>褪色旅人项链</x:v>
      </x:c>
      <x:c r="D161" s="19" t="n">
        <x:v>1</x:v>
      </x:c>
      <x:c r="E161" s="19" t="n">
        <x:v>32</x:v>
      </x:c>
      <x:c r="F161" s="32" t="n">
        <x:f>D161/E161</x:f>
        <x:v>0.03125</x:v>
      </x:c>
    </x:row>
    <x:row r="162" ht="19" customHeight="1">
      <x:c r="A162" s="19" t="str">
        <x:v>POOL088</x:v>
      </x:c>
      <x:c r="B162" s="19" t="str">
        <x:v>制式独立候选</x:v>
      </x:c>
      <x:c r="C162" s="19" t="str">
        <x:v>褪色旅人腕甲</x:v>
      </x:c>
      <x:c r="D162" s="19" t="n">
        <x:v>1</x:v>
      </x:c>
      <x:c r="E162" s="19" t="n">
        <x:v>32</x:v>
      </x:c>
      <x:c r="F162" s="32" t="n">
        <x:f>D162/E162</x:f>
        <x:v>0.03125</x:v>
      </x:c>
    </x:row>
    <x:row r="163" ht="19" customHeight="1">
      <x:c r="A163" s="19" t="str">
        <x:v>POOL088</x:v>
      </x:c>
      <x:c r="B163" s="19" t="str">
        <x:v>制式独立候选</x:v>
      </x:c>
      <x:c r="C163" s="19" t="str">
        <x:v>褪色旅人戒指</x:v>
      </x:c>
      <x:c r="D163" s="19" t="n">
        <x:v>1</x:v>
      </x:c>
      <x:c r="E163" s="19" t="n">
        <x:v>32</x:v>
      </x:c>
      <x:c r="F163" s="32" t="n">
        <x:f>D163/E163</x:f>
        <x:v>0.03125</x:v>
      </x:c>
    </x:row>
    <x:row r="164" ht="19" customHeight="1">
      <x:c r="A164" s="19" t="str">
        <x:v>POOL088</x:v>
      </x:c>
      <x:c r="B164" s="19" t="str">
        <x:v>制式独立候选</x:v>
      </x:c>
      <x:c r="C164" s="19" t="str">
        <x:v>褪色旅人腰带</x:v>
      </x:c>
      <x:c r="D164" s="19" t="n">
        <x:v>1</x:v>
      </x:c>
      <x:c r="E164" s="19" t="n">
        <x:v>32</x:v>
      </x:c>
      <x:c r="F164" s="32" t="n">
        <x:f>D164/E164</x:f>
        <x:v>0.03125</x:v>
      </x:c>
    </x:row>
    <x:row r="165" ht="19" customHeight="1">
      <x:c r="A165" s="19" t="str">
        <x:v>POOL088</x:v>
      </x:c>
      <x:c r="B165" s="19" t="str">
        <x:v>制式独立候选</x:v>
      </x:c>
      <x:c r="C165" s="19" t="str">
        <x:v>褪色旅人战靴</x:v>
      </x:c>
      <x:c r="D165" s="19" t="n">
        <x:v>1</x:v>
      </x:c>
      <x:c r="E165" s="19" t="n">
        <x:v>32</x:v>
      </x:c>
      <x:c r="F165" s="32" t="n">
        <x:f>D165/E165</x:f>
        <x:v>0.03125</x:v>
      </x:c>
    </x:row>
    <x:row r="166" ht="19" customHeight="1">
      <x:c r="A166" s="19" t="str">
        <x:v>POOL088</x:v>
      </x:c>
      <x:c r="B166" s="19" t="str">
        <x:v>制式独立候选</x:v>
      </x:c>
      <x:c r="C166" s="19" t="str">
        <x:v>失乡战士长剑</x:v>
      </x:c>
      <x:c r="D166" s="19" t="n">
        <x:v>1</x:v>
      </x:c>
      <x:c r="E166" s="19" t="n">
        <x:v>32</x:v>
      </x:c>
      <x:c r="F166" s="32" t="n">
        <x:f>D166/E166</x:f>
        <x:v>0.03125</x:v>
      </x:c>
    </x:row>
    <x:row r="167" ht="19" customHeight="1">
      <x:c r="A167" s="19" t="str">
        <x:v>POOL088</x:v>
      </x:c>
      <x:c r="B167" s="19" t="str">
        <x:v>制式独立候选</x:v>
      </x:c>
      <x:c r="C167" s="19" t="str">
        <x:v>失乡战士战甲</x:v>
      </x:c>
      <x:c r="D167" s="19" t="n">
        <x:v>1</x:v>
      </x:c>
      <x:c r="E167" s="19" t="n">
        <x:v>32</x:v>
      </x:c>
      <x:c r="F167" s="32" t="n">
        <x:f>D167/E167</x:f>
        <x:v>0.03125</x:v>
      </x:c>
    </x:row>
    <x:row r="168" ht="19" customHeight="1">
      <x:c r="A168" s="19" t="str">
        <x:v>POOL088</x:v>
      </x:c>
      <x:c r="B168" s="19" t="str">
        <x:v>制式独立候选</x:v>
      </x:c>
      <x:c r="C168" s="19" t="str">
        <x:v>失乡战士战盔</x:v>
      </x:c>
      <x:c r="D168" s="19" t="n">
        <x:v>1</x:v>
      </x:c>
      <x:c r="E168" s="19" t="n">
        <x:v>32</x:v>
      </x:c>
      <x:c r="F168" s="32" t="n">
        <x:f>D168/E168</x:f>
        <x:v>0.03125</x:v>
      </x:c>
    </x:row>
    <x:row r="169" ht="19" customHeight="1">
      <x:c r="A169" s="19" t="str">
        <x:v>POOL088</x:v>
      </x:c>
      <x:c r="B169" s="19" t="str">
        <x:v>制式独立候选</x:v>
      </x:c>
      <x:c r="C169" s="19" t="str">
        <x:v>失乡战士项链</x:v>
      </x:c>
      <x:c r="D169" s="19" t="n">
        <x:v>1</x:v>
      </x:c>
      <x:c r="E169" s="19" t="n">
        <x:v>32</x:v>
      </x:c>
      <x:c r="F169" s="32" t="n">
        <x:f>D169/E169</x:f>
        <x:v>0.03125</x:v>
      </x:c>
    </x:row>
    <x:row r="170" ht="19" customHeight="1">
      <x:c r="A170" s="19" t="str">
        <x:v>POOL088</x:v>
      </x:c>
      <x:c r="B170" s="19" t="str">
        <x:v>制式独立候选</x:v>
      </x:c>
      <x:c r="C170" s="19" t="str">
        <x:v>失乡战士腕甲</x:v>
      </x:c>
      <x:c r="D170" s="19" t="n">
        <x:v>1</x:v>
      </x:c>
      <x:c r="E170" s="19" t="n">
        <x:v>32</x:v>
      </x:c>
      <x:c r="F170" s="32" t="n">
        <x:f>D170/E170</x:f>
        <x:v>0.03125</x:v>
      </x:c>
    </x:row>
    <x:row r="171" ht="19" customHeight="1">
      <x:c r="A171" s="19" t="str">
        <x:v>POOL088</x:v>
      </x:c>
      <x:c r="B171" s="19" t="str">
        <x:v>制式独立候选</x:v>
      </x:c>
      <x:c r="C171" s="19" t="str">
        <x:v>失乡战士戒指</x:v>
      </x:c>
      <x:c r="D171" s="19" t="n">
        <x:v>1</x:v>
      </x:c>
      <x:c r="E171" s="19" t="n">
        <x:v>32</x:v>
      </x:c>
      <x:c r="F171" s="32" t="n">
        <x:f>D171/E171</x:f>
        <x:v>0.03125</x:v>
      </x:c>
    </x:row>
    <x:row r="172" ht="19" customHeight="1">
      <x:c r="A172" s="19" t="str">
        <x:v>POOL088</x:v>
      </x:c>
      <x:c r="B172" s="19" t="str">
        <x:v>制式独立候选</x:v>
      </x:c>
      <x:c r="C172" s="19" t="str">
        <x:v>失乡战士腰带</x:v>
      </x:c>
      <x:c r="D172" s="19" t="n">
        <x:v>1</x:v>
      </x:c>
      <x:c r="E172" s="19" t="n">
        <x:v>32</x:v>
      </x:c>
      <x:c r="F172" s="32" t="n">
        <x:f>D172/E172</x:f>
        <x:v>0.03125</x:v>
      </x:c>
    </x:row>
    <x:row r="173" ht="19" customHeight="1">
      <x:c r="A173" s="19" t="str">
        <x:v>POOL088</x:v>
      </x:c>
      <x:c r="B173" s="19" t="str">
        <x:v>制式独立候选</x:v>
      </x:c>
      <x:c r="C173" s="19" t="str">
        <x:v>失乡战士战靴</x:v>
      </x:c>
      <x:c r="D173" s="19" t="n">
        <x:v>1</x:v>
      </x:c>
      <x:c r="E173" s="19" t="n">
        <x:v>32</x:v>
      </x:c>
      <x:c r="F173" s="32" t="n">
        <x:f>D173/E173</x:f>
        <x:v>0.03125</x:v>
      </x:c>
    </x:row>
    <x:row r="174" ht="19" customHeight="1">
      <x:c r="A174" s="19" t="str">
        <x:v>POOL088</x:v>
      </x:c>
      <x:c r="B174" s="19" t="str">
        <x:v>制式独立候选</x:v>
      </x:c>
      <x:c r="C174" s="19" t="str">
        <x:v>漂流守卫战刃</x:v>
      </x:c>
      <x:c r="D174" s="19" t="n">
        <x:v>1</x:v>
      </x:c>
      <x:c r="E174" s="19" t="n">
        <x:v>32</x:v>
      </x:c>
      <x:c r="F174" s="32" t="n">
        <x:f>D174/E174</x:f>
        <x:v>0.03125</x:v>
      </x:c>
    </x:row>
    <x:row r="175" ht="19" customHeight="1">
      <x:c r="A175" s="19" t="str">
        <x:v>POOL088</x:v>
      </x:c>
      <x:c r="B175" s="19" t="str">
        <x:v>制式独立候选</x:v>
      </x:c>
      <x:c r="C175" s="19" t="str">
        <x:v>漂流守卫战甲</x:v>
      </x:c>
      <x:c r="D175" s="19" t="n">
        <x:v>1</x:v>
      </x:c>
      <x:c r="E175" s="19" t="n">
        <x:v>32</x:v>
      </x:c>
      <x:c r="F175" s="32" t="n">
        <x:f>D175/E175</x:f>
        <x:v>0.03125</x:v>
      </x:c>
    </x:row>
    <x:row r="176" ht="19" customHeight="1">
      <x:c r="A176" s="19" t="str">
        <x:v>POOL088</x:v>
      </x:c>
      <x:c r="B176" s="19" t="str">
        <x:v>制式独立候选</x:v>
      </x:c>
      <x:c r="C176" s="19" t="str">
        <x:v>漂流守卫战盔</x:v>
      </x:c>
      <x:c r="D176" s="19" t="n">
        <x:v>1</x:v>
      </x:c>
      <x:c r="E176" s="19" t="n">
        <x:v>32</x:v>
      </x:c>
      <x:c r="F176" s="32" t="n">
        <x:f>D176/E176</x:f>
        <x:v>0.03125</x:v>
      </x:c>
    </x:row>
    <x:row r="177" ht="19" customHeight="1">
      <x:c r="A177" s="19" t="str">
        <x:v>POOL088</x:v>
      </x:c>
      <x:c r="B177" s="19" t="str">
        <x:v>制式独立候选</x:v>
      </x:c>
      <x:c r="C177" s="19" t="str">
        <x:v>漂流守卫项链</x:v>
      </x:c>
      <x:c r="D177" s="19" t="n">
        <x:v>1</x:v>
      </x:c>
      <x:c r="E177" s="19" t="n">
        <x:v>32</x:v>
      </x:c>
      <x:c r="F177" s="32" t="n">
        <x:f>D177/E177</x:f>
        <x:v>0.03125</x:v>
      </x:c>
    </x:row>
    <x:row r="178" ht="19" customHeight="1">
      <x:c r="A178" s="19" t="str">
        <x:v>POOL088</x:v>
      </x:c>
      <x:c r="B178" s="19" t="str">
        <x:v>制式独立候选</x:v>
      </x:c>
      <x:c r="C178" s="19" t="str">
        <x:v>漂流守卫腕甲</x:v>
      </x:c>
      <x:c r="D178" s="19" t="n">
        <x:v>1</x:v>
      </x:c>
      <x:c r="E178" s="19" t="n">
        <x:v>32</x:v>
      </x:c>
      <x:c r="F178" s="32" t="n">
        <x:f>D178/E178</x:f>
        <x:v>0.03125</x:v>
      </x:c>
    </x:row>
    <x:row r="179" ht="19" customHeight="1">
      <x:c r="A179" s="19" t="str">
        <x:v>POOL088</x:v>
      </x:c>
      <x:c r="B179" s="19" t="str">
        <x:v>制式独立候选</x:v>
      </x:c>
      <x:c r="C179" s="19" t="str">
        <x:v>漂流守卫戒指</x:v>
      </x:c>
      <x:c r="D179" s="19" t="n">
        <x:v>1</x:v>
      </x:c>
      <x:c r="E179" s="19" t="n">
        <x:v>32</x:v>
      </x:c>
      <x:c r="F179" s="32" t="n">
        <x:f>D179/E179</x:f>
        <x:v>0.03125</x:v>
      </x:c>
    </x:row>
    <x:row r="180" ht="19" customHeight="1">
      <x:c r="A180" s="19" t="str">
        <x:v>POOL088</x:v>
      </x:c>
      <x:c r="B180" s="19" t="str">
        <x:v>制式独立候选</x:v>
      </x:c>
      <x:c r="C180" s="19" t="str">
        <x:v>漂流守卫腰带</x:v>
      </x:c>
      <x:c r="D180" s="19" t="n">
        <x:v>1</x:v>
      </x:c>
      <x:c r="E180" s="19" t="n">
        <x:v>32</x:v>
      </x:c>
      <x:c r="F180" s="32" t="n">
        <x:f>D180/E180</x:f>
        <x:v>0.03125</x:v>
      </x:c>
    </x:row>
    <x:row r="181" ht="19" customHeight="1">
      <x:c r="A181" s="19" t="str">
        <x:v>POOL088</x:v>
      </x:c>
      <x:c r="B181" s="19" t="str">
        <x:v>制式独立候选</x:v>
      </x:c>
      <x:c r="C181" s="19" t="str">
        <x:v>漂流守卫战靴</x:v>
      </x:c>
      <x:c r="D181" s="19" t="n">
        <x:v>1</x:v>
      </x:c>
      <x:c r="E181" s="19" t="n">
        <x:v>32</x:v>
      </x:c>
      <x:c r="F181" s="32" t="n">
        <x:f>D181/E181</x:f>
        <x:v>0.03125</x:v>
      </x:c>
    </x:row>
    <x:row r="182" ht="19" customHeight="1">
      <x:c r="A182" s="19" t="str">
        <x:v>POOL088</x:v>
      </x:c>
      <x:c r="B182" s="19" t="str">
        <x:v>制式独立候选</x:v>
      </x:c>
      <x:c r="C182" s="19" t="str">
        <x:v>断崖铁卫重剑</x:v>
      </x:c>
      <x:c r="D182" s="19" t="n">
        <x:v>1</x:v>
      </x:c>
      <x:c r="E182" s="19" t="n">
        <x:v>32</x:v>
      </x:c>
      <x:c r="F182" s="32" t="n">
        <x:f>D182/E182</x:f>
        <x:v>0.03125</x:v>
      </x:c>
    </x:row>
    <x:row r="183" ht="19" customHeight="1">
      <x:c r="A183" s="19" t="str">
        <x:v>POOL088</x:v>
      </x:c>
      <x:c r="B183" s="19" t="str">
        <x:v>制式独立候选</x:v>
      </x:c>
      <x:c r="C183" s="19" t="str">
        <x:v>断崖铁卫战甲</x:v>
      </x:c>
      <x:c r="D183" s="19" t="n">
        <x:v>1</x:v>
      </x:c>
      <x:c r="E183" s="19" t="n">
        <x:v>32</x:v>
      </x:c>
      <x:c r="F183" s="32" t="n">
        <x:f>D183/E183</x:f>
        <x:v>0.03125</x:v>
      </x:c>
    </x:row>
    <x:row r="184" ht="19" customHeight="1">
      <x:c r="A184" s="19" t="str">
        <x:v>POOL088</x:v>
      </x:c>
      <x:c r="B184" s="19" t="str">
        <x:v>制式独立候选</x:v>
      </x:c>
      <x:c r="C184" s="19" t="str">
        <x:v>断崖铁卫战盔</x:v>
      </x:c>
      <x:c r="D184" s="19" t="n">
        <x:v>1</x:v>
      </x:c>
      <x:c r="E184" s="19" t="n">
        <x:v>32</x:v>
      </x:c>
      <x:c r="F184" s="32" t="n">
        <x:f>D184/E184</x:f>
        <x:v>0.03125</x:v>
      </x:c>
    </x:row>
    <x:row r="185" ht="19" customHeight="1">
      <x:c r="A185" s="19" t="str">
        <x:v>POOL088</x:v>
      </x:c>
      <x:c r="B185" s="19" t="str">
        <x:v>制式独立候选</x:v>
      </x:c>
      <x:c r="C185" s="19" t="str">
        <x:v>断崖铁卫项链</x:v>
      </x:c>
      <x:c r="D185" s="19" t="n">
        <x:v>1</x:v>
      </x:c>
      <x:c r="E185" s="19" t="n">
        <x:v>32</x:v>
      </x:c>
      <x:c r="F185" s="32" t="n">
        <x:f>D185/E185</x:f>
        <x:v>0.03125</x:v>
      </x:c>
    </x:row>
    <x:row r="186" ht="19" customHeight="1">
      <x:c r="A186" s="19" t="str">
        <x:v>POOL088</x:v>
      </x:c>
      <x:c r="B186" s="19" t="str">
        <x:v>制式独立候选</x:v>
      </x:c>
      <x:c r="C186" s="19" t="str">
        <x:v>断崖铁卫腕甲</x:v>
      </x:c>
      <x:c r="D186" s="19" t="n">
        <x:v>1</x:v>
      </x:c>
      <x:c r="E186" s="19" t="n">
        <x:v>32</x:v>
      </x:c>
      <x:c r="F186" s="32" t="n">
        <x:f>D186/E186</x:f>
        <x:v>0.03125</x:v>
      </x:c>
    </x:row>
    <x:row r="187" ht="19" customHeight="1">
      <x:c r="A187" s="19" t="str">
        <x:v>POOL088</x:v>
      </x:c>
      <x:c r="B187" s="19" t="str">
        <x:v>制式独立候选</x:v>
      </x:c>
      <x:c r="C187" s="19" t="str">
        <x:v>断崖铁卫戒指</x:v>
      </x:c>
      <x:c r="D187" s="19" t="n">
        <x:v>1</x:v>
      </x:c>
      <x:c r="E187" s="19" t="n">
        <x:v>32</x:v>
      </x:c>
      <x:c r="F187" s="32" t="n">
        <x:f>D187/E187</x:f>
        <x:v>0.03125</x:v>
      </x:c>
    </x:row>
    <x:row r="188" ht="19" customHeight="1">
      <x:c r="A188" s="19" t="str">
        <x:v>POOL088</x:v>
      </x:c>
      <x:c r="B188" s="19" t="str">
        <x:v>制式独立候选</x:v>
      </x:c>
      <x:c r="C188" s="19" t="str">
        <x:v>断崖铁卫腰带</x:v>
      </x:c>
      <x:c r="D188" s="19" t="n">
        <x:v>1</x:v>
      </x:c>
      <x:c r="E188" s="19" t="n">
        <x:v>32</x:v>
      </x:c>
      <x:c r="F188" s="32" t="n">
        <x:f>D188/E188</x:f>
        <x:v>0.03125</x:v>
      </x:c>
    </x:row>
    <x:row r="189" ht="19" customHeight="1">
      <x:c r="A189" s="19" t="str">
        <x:v>POOL088</x:v>
      </x:c>
      <x:c r="B189" s="19" t="str">
        <x:v>制式独立候选</x:v>
      </x:c>
      <x:c r="C189" s="19" t="str">
        <x:v>断崖铁卫战靴</x:v>
      </x:c>
      <x:c r="D189" s="19" t="n">
        <x:v>1</x:v>
      </x:c>
      <x:c r="E189" s="19" t="n">
        <x:v>32</x:v>
      </x:c>
      <x:c r="F189" s="32" t="n">
        <x:f>D189/E189</x:f>
        <x:v>0.03125</x:v>
      </x:c>
    </x:row>
    <x:row r="190" ht="19" customHeight="1">
      <x:c r="A190" s="19" t="str">
        <x:v>POOL089</x:v>
      </x:c>
      <x:c r="B190" s="19" t="str">
        <x:v>制式独立候选</x:v>
      </x:c>
      <x:c r="C190" s="19" t="str">
        <x:v>断崖铁卫重剑</x:v>
      </x:c>
      <x:c r="D190" s="19" t="n">
        <x:v>1</x:v>
      </x:c>
      <x:c r="E190" s="19" t="n">
        <x:v>32</x:v>
      </x:c>
      <x:c r="F190" s="32" t="n">
        <x:f>D190/E190</x:f>
        <x:v>0.03125</x:v>
      </x:c>
    </x:row>
    <x:row r="191" ht="19" customHeight="1">
      <x:c r="A191" s="19" t="str">
        <x:v>POOL089</x:v>
      </x:c>
      <x:c r="B191" s="19" t="str">
        <x:v>制式独立候选</x:v>
      </x:c>
      <x:c r="C191" s="19" t="str">
        <x:v>断崖铁卫战甲</x:v>
      </x:c>
      <x:c r="D191" s="19" t="n">
        <x:v>1</x:v>
      </x:c>
      <x:c r="E191" s="19" t="n">
        <x:v>32</x:v>
      </x:c>
      <x:c r="F191" s="32" t="n">
        <x:f>D191/E191</x:f>
        <x:v>0.03125</x:v>
      </x:c>
    </x:row>
    <x:row r="192" ht="19" customHeight="1">
      <x:c r="A192" s="19" t="str">
        <x:v>POOL089</x:v>
      </x:c>
      <x:c r="B192" s="19" t="str">
        <x:v>制式独立候选</x:v>
      </x:c>
      <x:c r="C192" s="19" t="str">
        <x:v>断崖铁卫战盔</x:v>
      </x:c>
      <x:c r="D192" s="19" t="n">
        <x:v>1</x:v>
      </x:c>
      <x:c r="E192" s="19" t="n">
        <x:v>32</x:v>
      </x:c>
      <x:c r="F192" s="32" t="n">
        <x:f>D192/E192</x:f>
        <x:v>0.03125</x:v>
      </x:c>
    </x:row>
    <x:row r="193" ht="19" customHeight="1">
      <x:c r="A193" s="19" t="str">
        <x:v>POOL089</x:v>
      </x:c>
      <x:c r="B193" s="19" t="str">
        <x:v>制式独立候选</x:v>
      </x:c>
      <x:c r="C193" s="19" t="str">
        <x:v>断崖铁卫项链</x:v>
      </x:c>
      <x:c r="D193" s="19" t="n">
        <x:v>1</x:v>
      </x:c>
      <x:c r="E193" s="19" t="n">
        <x:v>32</x:v>
      </x:c>
      <x:c r="F193" s="32" t="n">
        <x:f>D193/E193</x:f>
        <x:v>0.03125</x:v>
      </x:c>
    </x:row>
    <x:row r="194" ht="19" customHeight="1">
      <x:c r="A194" s="19" t="str">
        <x:v>POOL089</x:v>
      </x:c>
      <x:c r="B194" s="19" t="str">
        <x:v>制式独立候选</x:v>
      </x:c>
      <x:c r="C194" s="19" t="str">
        <x:v>断崖铁卫腕甲</x:v>
      </x:c>
      <x:c r="D194" s="19" t="n">
        <x:v>1</x:v>
      </x:c>
      <x:c r="E194" s="19" t="n">
        <x:v>32</x:v>
      </x:c>
      <x:c r="F194" s="32" t="n">
        <x:f>D194/E194</x:f>
        <x:v>0.03125</x:v>
      </x:c>
    </x:row>
    <x:row r="195" ht="19" customHeight="1">
      <x:c r="A195" s="19" t="str">
        <x:v>POOL089</x:v>
      </x:c>
      <x:c r="B195" s="19" t="str">
        <x:v>制式独立候选</x:v>
      </x:c>
      <x:c r="C195" s="19" t="str">
        <x:v>断崖铁卫戒指</x:v>
      </x:c>
      <x:c r="D195" s="19" t="n">
        <x:v>1</x:v>
      </x:c>
      <x:c r="E195" s="19" t="n">
        <x:v>32</x:v>
      </x:c>
      <x:c r="F195" s="32" t="n">
        <x:f>D195/E195</x:f>
        <x:v>0.03125</x:v>
      </x:c>
    </x:row>
    <x:row r="196" ht="19" customHeight="1">
      <x:c r="A196" s="19" t="str">
        <x:v>POOL089</x:v>
      </x:c>
      <x:c r="B196" s="19" t="str">
        <x:v>制式独立候选</x:v>
      </x:c>
      <x:c r="C196" s="19" t="str">
        <x:v>断崖铁卫腰带</x:v>
      </x:c>
      <x:c r="D196" s="19" t="n">
        <x:v>1</x:v>
      </x:c>
      <x:c r="E196" s="19" t="n">
        <x:v>32</x:v>
      </x:c>
      <x:c r="F196" s="32" t="n">
        <x:f>D196/E196</x:f>
        <x:v>0.03125</x:v>
      </x:c>
    </x:row>
    <x:row r="197" ht="19" customHeight="1">
      <x:c r="A197" s="19" t="str">
        <x:v>POOL089</x:v>
      </x:c>
      <x:c r="B197" s="19" t="str">
        <x:v>制式独立候选</x:v>
      </x:c>
      <x:c r="C197" s="19" t="str">
        <x:v>断崖铁卫战靴</x:v>
      </x:c>
      <x:c r="D197" s="19" t="n">
        <x:v>1</x:v>
      </x:c>
      <x:c r="E197" s="19" t="n">
        <x:v>32</x:v>
      </x:c>
      <x:c r="F197" s="32" t="n">
        <x:f>D197/E197</x:f>
        <x:v>0.03125</x:v>
      </x:c>
    </x:row>
    <x:row r="198" ht="19" customHeight="1">
      <x:c r="A198" s="19" t="str">
        <x:v>POOL089</x:v>
      </x:c>
      <x:c r="B198" s="19" t="str">
        <x:v>制式独立候选</x:v>
      </x:c>
      <x:c r="C198" s="19" t="str">
        <x:v>风暴骑士剑</x:v>
      </x:c>
      <x:c r="D198" s="19" t="n">
        <x:v>1</x:v>
      </x:c>
      <x:c r="E198" s="19" t="n">
        <x:v>32</x:v>
      </x:c>
      <x:c r="F198" s="32" t="n">
        <x:f>D198/E198</x:f>
        <x:v>0.03125</x:v>
      </x:c>
    </x:row>
    <x:row r="199" ht="19" customHeight="1">
      <x:c r="A199" s="19" t="str">
        <x:v>POOL089</x:v>
      </x:c>
      <x:c r="B199" s="19" t="str">
        <x:v>制式独立候选</x:v>
      </x:c>
      <x:c r="C199" s="19" t="str">
        <x:v>风暴骑士战甲</x:v>
      </x:c>
      <x:c r="D199" s="19" t="n">
        <x:v>1</x:v>
      </x:c>
      <x:c r="E199" s="19" t="n">
        <x:v>32</x:v>
      </x:c>
      <x:c r="F199" s="32" t="n">
        <x:f>D199/E199</x:f>
        <x:v>0.03125</x:v>
      </x:c>
    </x:row>
    <x:row r="200" ht="19" customHeight="1">
      <x:c r="A200" s="19" t="str">
        <x:v>POOL089</x:v>
      </x:c>
      <x:c r="B200" s="19" t="str">
        <x:v>制式独立候选</x:v>
      </x:c>
      <x:c r="C200" s="19" t="str">
        <x:v>风暴骑士战盔</x:v>
      </x:c>
      <x:c r="D200" s="19" t="n">
        <x:v>1</x:v>
      </x:c>
      <x:c r="E200" s="19" t="n">
        <x:v>32</x:v>
      </x:c>
      <x:c r="F200" s="32" t="n">
        <x:f>D200/E200</x:f>
        <x:v>0.03125</x:v>
      </x:c>
    </x:row>
    <x:row r="201" ht="19" customHeight="1">
      <x:c r="A201" s="19" t="str">
        <x:v>POOL089</x:v>
      </x:c>
      <x:c r="B201" s="19" t="str">
        <x:v>制式独立候选</x:v>
      </x:c>
      <x:c r="C201" s="19" t="str">
        <x:v>风暴骑士项链</x:v>
      </x:c>
      <x:c r="D201" s="19" t="n">
        <x:v>1</x:v>
      </x:c>
      <x:c r="E201" s="19" t="n">
        <x:v>32</x:v>
      </x:c>
      <x:c r="F201" s="32" t="n">
        <x:f>D201/E201</x:f>
        <x:v>0.03125</x:v>
      </x:c>
    </x:row>
    <x:row r="202" ht="19" customHeight="1">
      <x:c r="A202" s="19" t="str">
        <x:v>POOL089</x:v>
      </x:c>
      <x:c r="B202" s="19" t="str">
        <x:v>制式独立候选</x:v>
      </x:c>
      <x:c r="C202" s="19" t="str">
        <x:v>风暴骑士腕甲</x:v>
      </x:c>
      <x:c r="D202" s="19" t="n">
        <x:v>1</x:v>
      </x:c>
      <x:c r="E202" s="19" t="n">
        <x:v>32</x:v>
      </x:c>
      <x:c r="F202" s="32" t="n">
        <x:f>D202/E202</x:f>
        <x:v>0.03125</x:v>
      </x:c>
    </x:row>
    <x:row r="203" ht="19" customHeight="1">
      <x:c r="A203" s="19" t="str">
        <x:v>POOL089</x:v>
      </x:c>
      <x:c r="B203" s="19" t="str">
        <x:v>制式独立候选</x:v>
      </x:c>
      <x:c r="C203" s="19" t="str">
        <x:v>风暴骑士戒指</x:v>
      </x:c>
      <x:c r="D203" s="19" t="n">
        <x:v>1</x:v>
      </x:c>
      <x:c r="E203" s="19" t="n">
        <x:v>32</x:v>
      </x:c>
      <x:c r="F203" s="32" t="n">
        <x:f>D203/E203</x:f>
        <x:v>0.03125</x:v>
      </x:c>
    </x:row>
    <x:row r="204" ht="19" customHeight="1">
      <x:c r="A204" s="19" t="str">
        <x:v>POOL089</x:v>
      </x:c>
      <x:c r="B204" s="19" t="str">
        <x:v>制式独立候选</x:v>
      </x:c>
      <x:c r="C204" s="19" t="str">
        <x:v>风暴骑士腰带</x:v>
      </x:c>
      <x:c r="D204" s="19" t="n">
        <x:v>1</x:v>
      </x:c>
      <x:c r="E204" s="19" t="n">
        <x:v>32</x:v>
      </x:c>
      <x:c r="F204" s="32" t="n">
        <x:f>D204/E204</x:f>
        <x:v>0.03125</x:v>
      </x:c>
    </x:row>
    <x:row r="205" ht="19" customHeight="1">
      <x:c r="A205" s="19" t="str">
        <x:v>POOL089</x:v>
      </x:c>
      <x:c r="B205" s="19" t="str">
        <x:v>制式独立候选</x:v>
      </x:c>
      <x:c r="C205" s="19" t="str">
        <x:v>风暴骑士战靴</x:v>
      </x:c>
      <x:c r="D205" s="19" t="n">
        <x:v>1</x:v>
      </x:c>
      <x:c r="E205" s="19" t="n">
        <x:v>32</x:v>
      </x:c>
      <x:c r="F205" s="32" t="n">
        <x:f>D205/E205</x:f>
        <x:v>0.03125</x:v>
      </x:c>
    </x:row>
    <x:row r="206" ht="19" customHeight="1">
      <x:c r="A206" s="19" t="str">
        <x:v>POOL089</x:v>
      </x:c>
      <x:c r="B206" s="19" t="str">
        <x:v>制式独立候选</x:v>
      </x:c>
      <x:c r="C206" s="19" t="str">
        <x:v>海雾战团战刃</x:v>
      </x:c>
      <x:c r="D206" s="19" t="n">
        <x:v>1</x:v>
      </x:c>
      <x:c r="E206" s="19" t="n">
        <x:v>32</x:v>
      </x:c>
      <x:c r="F206" s="32" t="n">
        <x:f>D206/E206</x:f>
        <x:v>0.03125</x:v>
      </x:c>
    </x:row>
    <x:row r="207" ht="19" customHeight="1">
      <x:c r="A207" s="19" t="str">
        <x:v>POOL089</x:v>
      </x:c>
      <x:c r="B207" s="19" t="str">
        <x:v>制式独立候选</x:v>
      </x:c>
      <x:c r="C207" s="19" t="str">
        <x:v>海雾战团战甲</x:v>
      </x:c>
      <x:c r="D207" s="19" t="n">
        <x:v>1</x:v>
      </x:c>
      <x:c r="E207" s="19" t="n">
        <x:v>32</x:v>
      </x:c>
      <x:c r="F207" s="32" t="n">
        <x:f>D207/E207</x:f>
        <x:v>0.03125</x:v>
      </x:c>
    </x:row>
    <x:row r="208" ht="19" customHeight="1">
      <x:c r="A208" s="19" t="str">
        <x:v>POOL089</x:v>
      </x:c>
      <x:c r="B208" s="19" t="str">
        <x:v>制式独立候选</x:v>
      </x:c>
      <x:c r="C208" s="19" t="str">
        <x:v>海雾战团战盔</x:v>
      </x:c>
      <x:c r="D208" s="19" t="n">
        <x:v>1</x:v>
      </x:c>
      <x:c r="E208" s="19" t="n">
        <x:v>32</x:v>
      </x:c>
      <x:c r="F208" s="32" t="n">
        <x:f>D208/E208</x:f>
        <x:v>0.03125</x:v>
      </x:c>
    </x:row>
    <x:row r="209" ht="19" customHeight="1">
      <x:c r="A209" s="19" t="str">
        <x:v>POOL089</x:v>
      </x:c>
      <x:c r="B209" s="19" t="str">
        <x:v>制式独立候选</x:v>
      </x:c>
      <x:c r="C209" s="19" t="str">
        <x:v>海雾战团项链</x:v>
      </x:c>
      <x:c r="D209" s="19" t="n">
        <x:v>1</x:v>
      </x:c>
      <x:c r="E209" s="19" t="n">
        <x:v>32</x:v>
      </x:c>
      <x:c r="F209" s="32" t="n">
        <x:f>D209/E209</x:f>
        <x:v>0.03125</x:v>
      </x:c>
    </x:row>
    <x:row r="210" ht="19" customHeight="1">
      <x:c r="A210" s="19" t="str">
        <x:v>POOL089</x:v>
      </x:c>
      <x:c r="B210" s="19" t="str">
        <x:v>制式独立候选</x:v>
      </x:c>
      <x:c r="C210" s="19" t="str">
        <x:v>海雾战团腕甲</x:v>
      </x:c>
      <x:c r="D210" s="19" t="n">
        <x:v>1</x:v>
      </x:c>
      <x:c r="E210" s="19" t="n">
        <x:v>32</x:v>
      </x:c>
      <x:c r="F210" s="32" t="n">
        <x:f>D210/E210</x:f>
        <x:v>0.03125</x:v>
      </x:c>
    </x:row>
    <x:row r="211" ht="19" customHeight="1">
      <x:c r="A211" s="19" t="str">
        <x:v>POOL089</x:v>
      </x:c>
      <x:c r="B211" s="19" t="str">
        <x:v>制式独立候选</x:v>
      </x:c>
      <x:c r="C211" s="19" t="str">
        <x:v>海雾战团戒指</x:v>
      </x:c>
      <x:c r="D211" s="19" t="n">
        <x:v>1</x:v>
      </x:c>
      <x:c r="E211" s="19" t="n">
        <x:v>32</x:v>
      </x:c>
      <x:c r="F211" s="32" t="n">
        <x:f>D211/E211</x:f>
        <x:v>0.03125</x:v>
      </x:c>
    </x:row>
    <x:row r="212" ht="19" customHeight="1">
      <x:c r="A212" s="19" t="str">
        <x:v>POOL089</x:v>
      </x:c>
      <x:c r="B212" s="19" t="str">
        <x:v>制式独立候选</x:v>
      </x:c>
      <x:c r="C212" s="19" t="str">
        <x:v>海雾战团腰带</x:v>
      </x:c>
      <x:c r="D212" s="19" t="n">
        <x:v>1</x:v>
      </x:c>
      <x:c r="E212" s="19" t="n">
        <x:v>32</x:v>
      </x:c>
      <x:c r="F212" s="32" t="n">
        <x:f>D212/E212</x:f>
        <x:v>0.03125</x:v>
      </x:c>
    </x:row>
    <x:row r="213" ht="19" customHeight="1">
      <x:c r="A213" s="19" t="str">
        <x:v>POOL089</x:v>
      </x:c>
      <x:c r="B213" s="19" t="str">
        <x:v>制式独立候选</x:v>
      </x:c>
      <x:c r="C213" s="19" t="str">
        <x:v>海雾战团战靴</x:v>
      </x:c>
      <x:c r="D213" s="19" t="n">
        <x:v>1</x:v>
      </x:c>
      <x:c r="E213" s="19" t="n">
        <x:v>32</x:v>
      </x:c>
      <x:c r="F213" s="32" t="n">
        <x:f>D213/E213</x:f>
        <x:v>0.03125</x:v>
      </x:c>
    </x:row>
    <x:row r="214" ht="19" customHeight="1">
      <x:c r="A214" s="19" t="str">
        <x:v>POOL089</x:v>
      </x:c>
      <x:c r="B214" s="19" t="str">
        <x:v>制式独立候选</x:v>
      </x:c>
      <x:c r="C214" s="19" t="str">
        <x:v>沉船守卫古剑</x:v>
      </x:c>
      <x:c r="D214" s="19" t="n">
        <x:v>1</x:v>
      </x:c>
      <x:c r="E214" s="19" t="n">
        <x:v>32</x:v>
      </x:c>
      <x:c r="F214" s="32" t="n">
        <x:f>D214/E214</x:f>
        <x:v>0.03125</x:v>
      </x:c>
    </x:row>
    <x:row r="215" ht="19" customHeight="1">
      <x:c r="A215" s="19" t="str">
        <x:v>POOL089</x:v>
      </x:c>
      <x:c r="B215" s="19" t="str">
        <x:v>制式独立候选</x:v>
      </x:c>
      <x:c r="C215" s="19" t="str">
        <x:v>沉船守卫战甲</x:v>
      </x:c>
      <x:c r="D215" s="19" t="n">
        <x:v>1</x:v>
      </x:c>
      <x:c r="E215" s="19" t="n">
        <x:v>32</x:v>
      </x:c>
      <x:c r="F215" s="32" t="n">
        <x:f>D215/E215</x:f>
        <x:v>0.03125</x:v>
      </x:c>
    </x:row>
    <x:row r="216" ht="19" customHeight="1">
      <x:c r="A216" s="19" t="str">
        <x:v>POOL089</x:v>
      </x:c>
      <x:c r="B216" s="19" t="str">
        <x:v>制式独立候选</x:v>
      </x:c>
      <x:c r="C216" s="19" t="str">
        <x:v>沉船守卫战盔</x:v>
      </x:c>
      <x:c r="D216" s="19" t="n">
        <x:v>1</x:v>
      </x:c>
      <x:c r="E216" s="19" t="n">
        <x:v>32</x:v>
      </x:c>
      <x:c r="F216" s="32" t="n">
        <x:f>D216/E216</x:f>
        <x:v>0.03125</x:v>
      </x:c>
    </x:row>
    <x:row r="217" ht="19" customHeight="1">
      <x:c r="A217" s="19" t="str">
        <x:v>POOL089</x:v>
      </x:c>
      <x:c r="B217" s="19" t="str">
        <x:v>制式独立候选</x:v>
      </x:c>
      <x:c r="C217" s="19" t="str">
        <x:v>沉船守卫项链</x:v>
      </x:c>
      <x:c r="D217" s="19" t="n">
        <x:v>1</x:v>
      </x:c>
      <x:c r="E217" s="19" t="n">
        <x:v>32</x:v>
      </x:c>
      <x:c r="F217" s="32" t="n">
        <x:f>D217/E217</x:f>
        <x:v>0.03125</x:v>
      </x:c>
    </x:row>
    <x:row r="218" ht="19" customHeight="1">
      <x:c r="A218" s="19" t="str">
        <x:v>POOL089</x:v>
      </x:c>
      <x:c r="B218" s="19" t="str">
        <x:v>制式独立候选</x:v>
      </x:c>
      <x:c r="C218" s="19" t="str">
        <x:v>沉船守卫腕甲</x:v>
      </x:c>
      <x:c r="D218" s="19" t="n">
        <x:v>1</x:v>
      </x:c>
      <x:c r="E218" s="19" t="n">
        <x:v>32</x:v>
      </x:c>
      <x:c r="F218" s="32" t="n">
        <x:f>D218/E218</x:f>
        <x:v>0.03125</x:v>
      </x:c>
    </x:row>
    <x:row r="219" ht="19" customHeight="1">
      <x:c r="A219" s="19" t="str">
        <x:v>POOL089</x:v>
      </x:c>
      <x:c r="B219" s="19" t="str">
        <x:v>制式独立候选</x:v>
      </x:c>
      <x:c r="C219" s="19" t="str">
        <x:v>沉船守卫戒指</x:v>
      </x:c>
      <x:c r="D219" s="19" t="n">
        <x:v>1</x:v>
      </x:c>
      <x:c r="E219" s="19" t="n">
        <x:v>32</x:v>
      </x:c>
      <x:c r="F219" s="32" t="n">
        <x:f>D219/E219</x:f>
        <x:v>0.03125</x:v>
      </x:c>
    </x:row>
    <x:row r="220" ht="19" customHeight="1">
      <x:c r="A220" s="19" t="str">
        <x:v>POOL089</x:v>
      </x:c>
      <x:c r="B220" s="19" t="str">
        <x:v>制式独立候选</x:v>
      </x:c>
      <x:c r="C220" s="19" t="str">
        <x:v>沉船守卫腰带</x:v>
      </x:c>
      <x:c r="D220" s="19" t="n">
        <x:v>1</x:v>
      </x:c>
      <x:c r="E220" s="19" t="n">
        <x:v>32</x:v>
      </x:c>
      <x:c r="F220" s="32" t="n">
        <x:f>D220/E220</x:f>
        <x:v>0.03125</x:v>
      </x:c>
    </x:row>
    <x:row r="221" ht="19" customHeight="1">
      <x:c r="A221" s="19" t="str">
        <x:v>POOL089</x:v>
      </x:c>
      <x:c r="B221" s="19" t="str">
        <x:v>制式独立候选</x:v>
      </x:c>
      <x:c r="C221" s="19" t="str">
        <x:v>沉船守卫战靴</x:v>
      </x:c>
      <x:c r="D221" s="19" t="n">
        <x:v>1</x:v>
      </x:c>
      <x:c r="E221" s="19" t="n">
        <x:v>32</x:v>
      </x:c>
      <x:c r="F221" s="32" t="n">
        <x:f>D221/E221</x:f>
        <x:v>0.03125</x:v>
      </x:c>
    </x:row>
    <x:row r="222" ht="19" customHeight="1">
      <x:c r="A222" s="19" t="str">
        <x:v>POOL090</x:v>
      </x:c>
      <x:c r="B222" s="19" t="str">
        <x:v>制式独立候选</x:v>
      </x:c>
      <x:c r="C222" s="19" t="str">
        <x:v>沉船守卫古剑</x:v>
      </x:c>
      <x:c r="D222" s="19" t="n">
        <x:v>1</x:v>
      </x:c>
      <x:c r="E222" s="19" t="n">
        <x:v>32</x:v>
      </x:c>
      <x:c r="F222" s="32" t="n">
        <x:f>D222/E222</x:f>
        <x:v>0.03125</x:v>
      </x:c>
    </x:row>
    <x:row r="223" ht="19" customHeight="1">
      <x:c r="A223" s="19" t="str">
        <x:v>POOL090</x:v>
      </x:c>
      <x:c r="B223" s="19" t="str">
        <x:v>制式独立候选</x:v>
      </x:c>
      <x:c r="C223" s="19" t="str">
        <x:v>沉船守卫战甲</x:v>
      </x:c>
      <x:c r="D223" s="19" t="n">
        <x:v>1</x:v>
      </x:c>
      <x:c r="E223" s="19" t="n">
        <x:v>32</x:v>
      </x:c>
      <x:c r="F223" s="32" t="n">
        <x:f>D223/E223</x:f>
        <x:v>0.03125</x:v>
      </x:c>
    </x:row>
    <x:row r="224" ht="19" customHeight="1">
      <x:c r="A224" s="19" t="str">
        <x:v>POOL090</x:v>
      </x:c>
      <x:c r="B224" s="19" t="str">
        <x:v>制式独立候选</x:v>
      </x:c>
      <x:c r="C224" s="19" t="str">
        <x:v>沉船守卫战盔</x:v>
      </x:c>
      <x:c r="D224" s="19" t="n">
        <x:v>1</x:v>
      </x:c>
      <x:c r="E224" s="19" t="n">
        <x:v>32</x:v>
      </x:c>
      <x:c r="F224" s="32" t="n">
        <x:f>D224/E224</x:f>
        <x:v>0.03125</x:v>
      </x:c>
    </x:row>
    <x:row r="225" ht="19" customHeight="1">
      <x:c r="A225" s="19" t="str">
        <x:v>POOL090</x:v>
      </x:c>
      <x:c r="B225" s="19" t="str">
        <x:v>制式独立候选</x:v>
      </x:c>
      <x:c r="C225" s="19" t="str">
        <x:v>沉船守卫项链</x:v>
      </x:c>
      <x:c r="D225" s="19" t="n">
        <x:v>1</x:v>
      </x:c>
      <x:c r="E225" s="19" t="n">
        <x:v>32</x:v>
      </x:c>
      <x:c r="F225" s="32" t="n">
        <x:f>D225/E225</x:f>
        <x:v>0.03125</x:v>
      </x:c>
    </x:row>
    <x:row r="226" ht="19" customHeight="1">
      <x:c r="A226" s="19" t="str">
        <x:v>POOL090</x:v>
      </x:c>
      <x:c r="B226" s="19" t="str">
        <x:v>制式独立候选</x:v>
      </x:c>
      <x:c r="C226" s="19" t="str">
        <x:v>沉船守卫腕甲</x:v>
      </x:c>
      <x:c r="D226" s="19" t="n">
        <x:v>1</x:v>
      </x:c>
      <x:c r="E226" s="19" t="n">
        <x:v>32</x:v>
      </x:c>
      <x:c r="F226" s="32" t="n">
        <x:f>D226/E226</x:f>
        <x:v>0.03125</x:v>
      </x:c>
    </x:row>
    <x:row r="227" ht="19" customHeight="1">
      <x:c r="A227" s="19" t="str">
        <x:v>POOL090</x:v>
      </x:c>
      <x:c r="B227" s="19" t="str">
        <x:v>制式独立候选</x:v>
      </x:c>
      <x:c r="C227" s="19" t="str">
        <x:v>沉船守卫戒指</x:v>
      </x:c>
      <x:c r="D227" s="19" t="n">
        <x:v>1</x:v>
      </x:c>
      <x:c r="E227" s="19" t="n">
        <x:v>32</x:v>
      </x:c>
      <x:c r="F227" s="32" t="n">
        <x:f>D227/E227</x:f>
        <x:v>0.03125</x:v>
      </x:c>
    </x:row>
    <x:row r="228" ht="19" customHeight="1">
      <x:c r="A228" s="19" t="str">
        <x:v>POOL090</x:v>
      </x:c>
      <x:c r="B228" s="19" t="str">
        <x:v>制式独立候选</x:v>
      </x:c>
      <x:c r="C228" s="19" t="str">
        <x:v>沉船守卫腰带</x:v>
      </x:c>
      <x:c r="D228" s="19" t="n">
        <x:v>1</x:v>
      </x:c>
      <x:c r="E228" s="19" t="n">
        <x:v>32</x:v>
      </x:c>
      <x:c r="F228" s="32" t="n">
        <x:f>D228/E228</x:f>
        <x:v>0.03125</x:v>
      </x:c>
    </x:row>
    <x:row r="229" ht="19" customHeight="1">
      <x:c r="A229" s="19" t="str">
        <x:v>POOL090</x:v>
      </x:c>
      <x:c r="B229" s="19" t="str">
        <x:v>制式独立候选</x:v>
      </x:c>
      <x:c r="C229" s="19" t="str">
        <x:v>沉船守卫战靴</x:v>
      </x:c>
      <x:c r="D229" s="19" t="n">
        <x:v>1</x:v>
      </x:c>
      <x:c r="E229" s="19" t="n">
        <x:v>32</x:v>
      </x:c>
      <x:c r="F229" s="32" t="n">
        <x:f>D229/E229</x:f>
        <x:v>0.03125</x:v>
      </x:c>
    </x:row>
    <x:row r="230" ht="19" customHeight="1">
      <x:c r="A230" s="19" t="str">
        <x:v>POOL090</x:v>
      </x:c>
      <x:c r="B230" s="19" t="str">
        <x:v>制式独立候选</x:v>
      </x:c>
      <x:c r="C230" s="19" t="str">
        <x:v>古礁卫士长剑</x:v>
      </x:c>
      <x:c r="D230" s="19" t="n">
        <x:v>1</x:v>
      </x:c>
      <x:c r="E230" s="19" t="n">
        <x:v>32</x:v>
      </x:c>
      <x:c r="F230" s="32" t="n">
        <x:f>D230/E230</x:f>
        <x:v>0.03125</x:v>
      </x:c>
    </x:row>
    <x:row r="231" ht="19" customHeight="1">
      <x:c r="A231" s="19" t="str">
        <x:v>POOL090</x:v>
      </x:c>
      <x:c r="B231" s="19" t="str">
        <x:v>制式独立候选</x:v>
      </x:c>
      <x:c r="C231" s="19" t="str">
        <x:v>古礁卫士战甲</x:v>
      </x:c>
      <x:c r="D231" s="19" t="n">
        <x:v>1</x:v>
      </x:c>
      <x:c r="E231" s="19" t="n">
        <x:v>32</x:v>
      </x:c>
      <x:c r="F231" s="32" t="n">
        <x:f>D231/E231</x:f>
        <x:v>0.03125</x:v>
      </x:c>
    </x:row>
    <x:row r="232" ht="19" customHeight="1">
      <x:c r="A232" s="19" t="str">
        <x:v>POOL090</x:v>
      </x:c>
      <x:c r="B232" s="19" t="str">
        <x:v>制式独立候选</x:v>
      </x:c>
      <x:c r="C232" s="19" t="str">
        <x:v>古礁卫士战盔</x:v>
      </x:c>
      <x:c r="D232" s="19" t="n">
        <x:v>1</x:v>
      </x:c>
      <x:c r="E232" s="19" t="n">
        <x:v>32</x:v>
      </x:c>
      <x:c r="F232" s="32" t="n">
        <x:f>D232/E232</x:f>
        <x:v>0.03125</x:v>
      </x:c>
    </x:row>
    <x:row r="233" ht="19" customHeight="1">
      <x:c r="A233" s="19" t="str">
        <x:v>POOL090</x:v>
      </x:c>
      <x:c r="B233" s="19" t="str">
        <x:v>制式独立候选</x:v>
      </x:c>
      <x:c r="C233" s="19" t="str">
        <x:v>古礁卫士项链</x:v>
      </x:c>
      <x:c r="D233" s="19" t="n">
        <x:v>1</x:v>
      </x:c>
      <x:c r="E233" s="19" t="n">
        <x:v>32</x:v>
      </x:c>
      <x:c r="F233" s="32" t="n">
        <x:f>D233/E233</x:f>
        <x:v>0.03125</x:v>
      </x:c>
    </x:row>
    <x:row r="234" ht="19" customHeight="1">
      <x:c r="A234" s="19" t="str">
        <x:v>POOL090</x:v>
      </x:c>
      <x:c r="B234" s="19" t="str">
        <x:v>制式独立候选</x:v>
      </x:c>
      <x:c r="C234" s="19" t="str">
        <x:v>古礁卫士腕甲</x:v>
      </x:c>
      <x:c r="D234" s="19" t="n">
        <x:v>1</x:v>
      </x:c>
      <x:c r="E234" s="19" t="n">
        <x:v>32</x:v>
      </x:c>
      <x:c r="F234" s="32" t="n">
        <x:f>D234/E234</x:f>
        <x:v>0.03125</x:v>
      </x:c>
    </x:row>
    <x:row r="235" ht="19" customHeight="1">
      <x:c r="A235" s="19" t="str">
        <x:v>POOL090</x:v>
      </x:c>
      <x:c r="B235" s="19" t="str">
        <x:v>制式独立候选</x:v>
      </x:c>
      <x:c r="C235" s="19" t="str">
        <x:v>古礁卫士戒指</x:v>
      </x:c>
      <x:c r="D235" s="19" t="n">
        <x:v>1</x:v>
      </x:c>
      <x:c r="E235" s="19" t="n">
        <x:v>32</x:v>
      </x:c>
      <x:c r="F235" s="32" t="n">
        <x:f>D235/E235</x:f>
        <x:v>0.03125</x:v>
      </x:c>
    </x:row>
    <x:row r="236" ht="19" customHeight="1">
      <x:c r="A236" s="19" t="str">
        <x:v>POOL090</x:v>
      </x:c>
      <x:c r="B236" s="19" t="str">
        <x:v>制式独立候选</x:v>
      </x:c>
      <x:c r="C236" s="19" t="str">
        <x:v>古礁卫士腰带</x:v>
      </x:c>
      <x:c r="D236" s="19" t="n">
        <x:v>1</x:v>
      </x:c>
      <x:c r="E236" s="19" t="n">
        <x:v>32</x:v>
      </x:c>
      <x:c r="F236" s="32" t="n">
        <x:f>D236/E236</x:f>
        <x:v>0.03125</x:v>
      </x:c>
    </x:row>
    <x:row r="237" ht="19" customHeight="1">
      <x:c r="A237" s="19" t="str">
        <x:v>POOL090</x:v>
      </x:c>
      <x:c r="B237" s="19" t="str">
        <x:v>制式独立候选</x:v>
      </x:c>
      <x:c r="C237" s="19" t="str">
        <x:v>古礁卫士战靴</x:v>
      </x:c>
      <x:c r="D237" s="19" t="n">
        <x:v>1</x:v>
      </x:c>
      <x:c r="E237" s="19" t="n">
        <x:v>32</x:v>
      </x:c>
      <x:c r="F237" s="32" t="n">
        <x:f>D237/E237</x:f>
        <x:v>0.03125</x:v>
      </x:c>
    </x:row>
    <x:row r="238" ht="19" customHeight="1">
      <x:c r="A238" s="19" t="str">
        <x:v>POOL090</x:v>
      </x:c>
      <x:c r="B238" s="19" t="str">
        <x:v>制式独立候选</x:v>
      </x:c>
      <x:c r="C238" s="19" t="str">
        <x:v>失落禁卫剑</x:v>
      </x:c>
      <x:c r="D238" s="19" t="n">
        <x:v>1</x:v>
      </x:c>
      <x:c r="E238" s="19" t="n">
        <x:v>32</x:v>
      </x:c>
      <x:c r="F238" s="32" t="n">
        <x:f>D238/E238</x:f>
        <x:v>0.03125</x:v>
      </x:c>
    </x:row>
    <x:row r="239" ht="19" customHeight="1">
      <x:c r="A239" s="19" t="str">
        <x:v>POOL090</x:v>
      </x:c>
      <x:c r="B239" s="19" t="str">
        <x:v>制式独立候选</x:v>
      </x:c>
      <x:c r="C239" s="19" t="str">
        <x:v>失落禁卫战甲</x:v>
      </x:c>
      <x:c r="D239" s="19" t="n">
        <x:v>1</x:v>
      </x:c>
      <x:c r="E239" s="19" t="n">
        <x:v>32</x:v>
      </x:c>
      <x:c r="F239" s="32" t="n">
        <x:f>D239/E239</x:f>
        <x:v>0.03125</x:v>
      </x:c>
    </x:row>
    <x:row r="240" ht="19" customHeight="1">
      <x:c r="A240" s="19" t="str">
        <x:v>POOL090</x:v>
      </x:c>
      <x:c r="B240" s="19" t="str">
        <x:v>制式独立候选</x:v>
      </x:c>
      <x:c r="C240" s="19" t="str">
        <x:v>失落禁卫战盔</x:v>
      </x:c>
      <x:c r="D240" s="19" t="n">
        <x:v>1</x:v>
      </x:c>
      <x:c r="E240" s="19" t="n">
        <x:v>32</x:v>
      </x:c>
      <x:c r="F240" s="32" t="n">
        <x:f>D240/E240</x:f>
        <x:v>0.03125</x:v>
      </x:c>
    </x:row>
    <x:row r="241" ht="19" customHeight="1">
      <x:c r="A241" s="19" t="str">
        <x:v>POOL090</x:v>
      </x:c>
      <x:c r="B241" s="19" t="str">
        <x:v>制式独立候选</x:v>
      </x:c>
      <x:c r="C241" s="19" t="str">
        <x:v>失落禁卫项链</x:v>
      </x:c>
      <x:c r="D241" s="19" t="n">
        <x:v>1</x:v>
      </x:c>
      <x:c r="E241" s="19" t="n">
        <x:v>32</x:v>
      </x:c>
      <x:c r="F241" s="32" t="n">
        <x:f>D241/E241</x:f>
        <x:v>0.03125</x:v>
      </x:c>
    </x:row>
    <x:row r="242" ht="19" customHeight="1">
      <x:c r="A242" s="19" t="str">
        <x:v>POOL090</x:v>
      </x:c>
      <x:c r="B242" s="19" t="str">
        <x:v>制式独立候选</x:v>
      </x:c>
      <x:c r="C242" s="19" t="str">
        <x:v>失落禁卫腕甲</x:v>
      </x:c>
      <x:c r="D242" s="19" t="n">
        <x:v>1</x:v>
      </x:c>
      <x:c r="E242" s="19" t="n">
        <x:v>32</x:v>
      </x:c>
      <x:c r="F242" s="32" t="n">
        <x:f>D242/E242</x:f>
        <x:v>0.03125</x:v>
      </x:c>
    </x:row>
    <x:row r="243" ht="19" customHeight="1">
      <x:c r="A243" s="19" t="str">
        <x:v>POOL090</x:v>
      </x:c>
      <x:c r="B243" s="19" t="str">
        <x:v>制式独立候选</x:v>
      </x:c>
      <x:c r="C243" s="19" t="str">
        <x:v>失落禁卫戒指</x:v>
      </x:c>
      <x:c r="D243" s="19" t="n">
        <x:v>1</x:v>
      </x:c>
      <x:c r="E243" s="19" t="n">
        <x:v>32</x:v>
      </x:c>
      <x:c r="F243" s="32" t="n">
        <x:f>D243/E243</x:f>
        <x:v>0.03125</x:v>
      </x:c>
    </x:row>
    <x:row r="244" ht="19" customHeight="1">
      <x:c r="A244" s="19" t="str">
        <x:v>POOL090</x:v>
      </x:c>
      <x:c r="B244" s="19" t="str">
        <x:v>制式独立候选</x:v>
      </x:c>
      <x:c r="C244" s="19" t="str">
        <x:v>失落禁卫腰带</x:v>
      </x:c>
      <x:c r="D244" s="19" t="n">
        <x:v>1</x:v>
      </x:c>
      <x:c r="E244" s="19" t="n">
        <x:v>32</x:v>
      </x:c>
      <x:c r="F244" s="32" t="n">
        <x:f>D244/E244</x:f>
        <x:v>0.03125</x:v>
      </x:c>
    </x:row>
    <x:row r="245" ht="19" customHeight="1">
      <x:c r="A245" s="19" t="str">
        <x:v>POOL090</x:v>
      </x:c>
      <x:c r="B245" s="19" t="str">
        <x:v>制式独立候选</x:v>
      </x:c>
      <x:c r="C245" s="19" t="str">
        <x:v>失落禁卫战靴</x:v>
      </x:c>
      <x:c r="D245" s="19" t="n">
        <x:v>1</x:v>
      </x:c>
      <x:c r="E245" s="19" t="n">
        <x:v>32</x:v>
      </x:c>
      <x:c r="F245" s="32" t="n">
        <x:f>D245/E245</x:f>
        <x:v>0.03125</x:v>
      </x:c>
    </x:row>
    <x:row r="246" ht="19" customHeight="1">
      <x:c r="A246" s="19" t="str">
        <x:v>POOL090</x:v>
      </x:c>
      <x:c r="B246" s="19" t="str">
        <x:v>制式独立候选</x:v>
      </x:c>
      <x:c r="C246" s="19" t="str">
        <x:v>王庭侍从剑</x:v>
      </x:c>
      <x:c r="D246" s="19" t="n">
        <x:v>1</x:v>
      </x:c>
      <x:c r="E246" s="19" t="n">
        <x:v>32</x:v>
      </x:c>
      <x:c r="F246" s="32" t="n">
        <x:f>D246/E246</x:f>
        <x:v>0.03125</x:v>
      </x:c>
    </x:row>
    <x:row r="247" ht="19" customHeight="1">
      <x:c r="A247" s="19" t="str">
        <x:v>POOL090</x:v>
      </x:c>
      <x:c r="B247" s="19" t="str">
        <x:v>制式独立候选</x:v>
      </x:c>
      <x:c r="C247" s="19" t="str">
        <x:v>王庭侍从战甲</x:v>
      </x:c>
      <x:c r="D247" s="19" t="n">
        <x:v>1</x:v>
      </x:c>
      <x:c r="E247" s="19" t="n">
        <x:v>32</x:v>
      </x:c>
      <x:c r="F247" s="32" t="n">
        <x:f>D247/E247</x:f>
        <x:v>0.03125</x:v>
      </x:c>
    </x:row>
    <x:row r="248" ht="19" customHeight="1">
      <x:c r="A248" s="19" t="str">
        <x:v>POOL090</x:v>
      </x:c>
      <x:c r="B248" s="19" t="str">
        <x:v>制式独立候选</x:v>
      </x:c>
      <x:c r="C248" s="19" t="str">
        <x:v>王庭侍从战盔</x:v>
      </x:c>
      <x:c r="D248" s="19" t="n">
        <x:v>1</x:v>
      </x:c>
      <x:c r="E248" s="19" t="n">
        <x:v>32</x:v>
      </x:c>
      <x:c r="F248" s="32" t="n">
        <x:f>D248/E248</x:f>
        <x:v>0.03125</x:v>
      </x:c>
    </x:row>
    <x:row r="249" ht="19" customHeight="1">
      <x:c r="A249" s="19" t="str">
        <x:v>POOL090</x:v>
      </x:c>
      <x:c r="B249" s="19" t="str">
        <x:v>制式独立候选</x:v>
      </x:c>
      <x:c r="C249" s="19" t="str">
        <x:v>王庭侍从项链</x:v>
      </x:c>
      <x:c r="D249" s="19" t="n">
        <x:v>1</x:v>
      </x:c>
      <x:c r="E249" s="19" t="n">
        <x:v>32</x:v>
      </x:c>
      <x:c r="F249" s="32" t="n">
        <x:f>D249/E249</x:f>
        <x:v>0.03125</x:v>
      </x:c>
    </x:row>
    <x:row r="250" ht="19" customHeight="1">
      <x:c r="A250" s="19" t="str">
        <x:v>POOL090</x:v>
      </x:c>
      <x:c r="B250" s="19" t="str">
        <x:v>制式独立候选</x:v>
      </x:c>
      <x:c r="C250" s="19" t="str">
        <x:v>王庭侍从腕甲</x:v>
      </x:c>
      <x:c r="D250" s="19" t="n">
        <x:v>1</x:v>
      </x:c>
      <x:c r="E250" s="19" t="n">
        <x:v>32</x:v>
      </x:c>
      <x:c r="F250" s="32" t="n">
        <x:f>D250/E250</x:f>
        <x:v>0.03125</x:v>
      </x:c>
    </x:row>
    <x:row r="251" ht="19" customHeight="1">
      <x:c r="A251" s="19" t="str">
        <x:v>POOL090</x:v>
      </x:c>
      <x:c r="B251" s="19" t="str">
        <x:v>制式独立候选</x:v>
      </x:c>
      <x:c r="C251" s="19" t="str">
        <x:v>王庭侍从戒指</x:v>
      </x:c>
      <x:c r="D251" s="19" t="n">
        <x:v>1</x:v>
      </x:c>
      <x:c r="E251" s="19" t="n">
        <x:v>32</x:v>
      </x:c>
      <x:c r="F251" s="32" t="n">
        <x:f>D251/E251</x:f>
        <x:v>0.03125</x:v>
      </x:c>
    </x:row>
    <x:row r="252" ht="19" customHeight="1">
      <x:c r="A252" s="19" t="str">
        <x:v>POOL090</x:v>
      </x:c>
      <x:c r="B252" s="19" t="str">
        <x:v>制式独立候选</x:v>
      </x:c>
      <x:c r="C252" s="19" t="str">
        <x:v>王庭侍从腰带</x:v>
      </x:c>
      <x:c r="D252" s="19" t="n">
        <x:v>1</x:v>
      </x:c>
      <x:c r="E252" s="19" t="n">
        <x:v>32</x:v>
      </x:c>
      <x:c r="F252" s="32" t="n">
        <x:f>D252/E252</x:f>
        <x:v>0.03125</x:v>
      </x:c>
    </x:row>
    <x:row r="253" ht="19" customHeight="1">
      <x:c r="A253" s="19" t="str">
        <x:v>POOL090</x:v>
      </x:c>
      <x:c r="B253" s="19" t="str">
        <x:v>制式独立候选</x:v>
      </x:c>
      <x:c r="C253" s="19" t="str">
        <x:v>王庭侍从战靴</x:v>
      </x:c>
      <x:c r="D253" s="19" t="n">
        <x:v>1</x:v>
      </x:c>
      <x:c r="E253" s="19" t="n">
        <x:v>32</x:v>
      </x:c>
      <x:c r="F253" s="32" t="n">
        <x:f>D253/E253</x:f>
        <x:v>0.03125</x:v>
      </x:c>
    </x:row>
    <x:row r="254" ht="19" customHeight="1">
      <x:c r="A254" s="19" t="str">
        <x:v>POOL091</x:v>
      </x:c>
      <x:c r="B254" s="19" t="str">
        <x:v>制式独立候选</x:v>
      </x:c>
      <x:c r="C254" s="19" t="str">
        <x:v>黄金戍卫剑</x:v>
      </x:c>
      <x:c r="D254" s="19" t="n">
        <x:v>1</x:v>
      </x:c>
      <x:c r="E254" s="19" t="n">
        <x:v>16</x:v>
      </x:c>
      <x:c r="F254" s="32" t="n">
        <x:f>D254/E254</x:f>
        <x:v>0.0625</x:v>
      </x:c>
    </x:row>
    <x:row r="255" ht="19" customHeight="1">
      <x:c r="A255" s="19" t="str">
        <x:v>POOL091</x:v>
      </x:c>
      <x:c r="B255" s="19" t="str">
        <x:v>制式独立候选</x:v>
      </x:c>
      <x:c r="C255" s="19" t="str">
        <x:v>黄金戍卫战甲</x:v>
      </x:c>
      <x:c r="D255" s="19" t="n">
        <x:v>1</x:v>
      </x:c>
      <x:c r="E255" s="19" t="n">
        <x:v>16</x:v>
      </x:c>
      <x:c r="F255" s="32" t="n">
        <x:f>D255/E255</x:f>
        <x:v>0.0625</x:v>
      </x:c>
    </x:row>
    <x:row r="256" ht="19" customHeight="1">
      <x:c r="A256" s="19" t="str">
        <x:v>POOL091</x:v>
      </x:c>
      <x:c r="B256" s="19" t="str">
        <x:v>制式独立候选</x:v>
      </x:c>
      <x:c r="C256" s="19" t="str">
        <x:v>黄金戍卫战盔</x:v>
      </x:c>
      <x:c r="D256" s="19" t="n">
        <x:v>1</x:v>
      </x:c>
      <x:c r="E256" s="19" t="n">
        <x:v>16</x:v>
      </x:c>
      <x:c r="F256" s="32" t="n">
        <x:f>D256/E256</x:f>
        <x:v>0.0625</x:v>
      </x:c>
    </x:row>
    <x:row r="257" ht="19" customHeight="1">
      <x:c r="A257" s="19" t="str">
        <x:v>POOL091</x:v>
      </x:c>
      <x:c r="B257" s="19" t="str">
        <x:v>制式独立候选</x:v>
      </x:c>
      <x:c r="C257" s="19" t="str">
        <x:v>黄金戍卫项链</x:v>
      </x:c>
      <x:c r="D257" s="19" t="n">
        <x:v>1</x:v>
      </x:c>
      <x:c r="E257" s="19" t="n">
        <x:v>16</x:v>
      </x:c>
      <x:c r="F257" s="32" t="n">
        <x:f>D257/E257</x:f>
        <x:v>0.0625</x:v>
      </x:c>
    </x:row>
    <x:row r="258" ht="19" customHeight="1">
      <x:c r="A258" s="19" t="str">
        <x:v>POOL091</x:v>
      </x:c>
      <x:c r="B258" s="19" t="str">
        <x:v>制式独立候选</x:v>
      </x:c>
      <x:c r="C258" s="19" t="str">
        <x:v>黄金戍卫腕甲</x:v>
      </x:c>
      <x:c r="D258" s="19" t="n">
        <x:v>1</x:v>
      </x:c>
      <x:c r="E258" s="19" t="n">
        <x:v>16</x:v>
      </x:c>
      <x:c r="F258" s="32" t="n">
        <x:f>D258/E258</x:f>
        <x:v>0.0625</x:v>
      </x:c>
    </x:row>
    <x:row r="259" ht="19" customHeight="1">
      <x:c r="A259" s="19" t="str">
        <x:v>POOL091</x:v>
      </x:c>
      <x:c r="B259" s="19" t="str">
        <x:v>制式独立候选</x:v>
      </x:c>
      <x:c r="C259" s="19" t="str">
        <x:v>黄金戍卫戒指</x:v>
      </x:c>
      <x:c r="D259" s="19" t="n">
        <x:v>1</x:v>
      </x:c>
      <x:c r="E259" s="19" t="n">
        <x:v>16</x:v>
      </x:c>
      <x:c r="F259" s="32" t="n">
        <x:f>D259/E259</x:f>
        <x:v>0.0625</x:v>
      </x:c>
    </x:row>
    <x:row r="260" ht="19" customHeight="1">
      <x:c r="A260" s="19" t="str">
        <x:v>POOL091</x:v>
      </x:c>
      <x:c r="B260" s="19" t="str">
        <x:v>制式独立候选</x:v>
      </x:c>
      <x:c r="C260" s="19" t="str">
        <x:v>黄金戍卫腰带</x:v>
      </x:c>
      <x:c r="D260" s="19" t="n">
        <x:v>1</x:v>
      </x:c>
      <x:c r="E260" s="19" t="n">
        <x:v>16</x:v>
      </x:c>
      <x:c r="F260" s="32" t="n">
        <x:f>D260/E260</x:f>
        <x:v>0.0625</x:v>
      </x:c>
    </x:row>
    <x:row r="261" ht="19" customHeight="1">
      <x:c r="A261" s="19" t="str">
        <x:v>POOL091</x:v>
      </x:c>
      <x:c r="B261" s="19" t="str">
        <x:v>制式独立候选</x:v>
      </x:c>
      <x:c r="C261" s="19" t="str">
        <x:v>黄金戍卫战靴</x:v>
      </x:c>
      <x:c r="D261" s="19" t="n">
        <x:v>1</x:v>
      </x:c>
      <x:c r="E261" s="19" t="n">
        <x:v>16</x:v>
      </x:c>
      <x:c r="F261" s="32" t="n">
        <x:f>D261/E261</x:f>
        <x:v>0.0625</x:v>
      </x:c>
    </x:row>
    <x:row r="262" ht="19" customHeight="1">
      <x:c r="A262" s="19" t="str">
        <x:v>POOL091</x:v>
      </x:c>
      <x:c r="B262" s="19" t="str">
        <x:v>制式独立候选</x:v>
      </x:c>
      <x:c r="C262" s="19" t="str">
        <x:v>圣树先锋刃</x:v>
      </x:c>
      <x:c r="D262" s="19" t="n">
        <x:v>1</x:v>
      </x:c>
      <x:c r="E262" s="19" t="n">
        <x:v>16</x:v>
      </x:c>
      <x:c r="F262" s="32" t="n">
        <x:f>D262/E262</x:f>
        <x:v>0.0625</x:v>
      </x:c>
    </x:row>
    <x:row r="263" ht="19" customHeight="1">
      <x:c r="A263" s="19" t="str">
        <x:v>POOL091</x:v>
      </x:c>
      <x:c r="B263" s="19" t="str">
        <x:v>制式独立候选</x:v>
      </x:c>
      <x:c r="C263" s="19" t="str">
        <x:v>圣树先锋战甲</x:v>
      </x:c>
      <x:c r="D263" s="19" t="n">
        <x:v>1</x:v>
      </x:c>
      <x:c r="E263" s="19" t="n">
        <x:v>16</x:v>
      </x:c>
      <x:c r="F263" s="32" t="n">
        <x:f>D263/E263</x:f>
        <x:v>0.0625</x:v>
      </x:c>
    </x:row>
    <x:row r="264" ht="19" customHeight="1">
      <x:c r="A264" s="19" t="str">
        <x:v>POOL091</x:v>
      </x:c>
      <x:c r="B264" s="19" t="str">
        <x:v>制式独立候选</x:v>
      </x:c>
      <x:c r="C264" s="19" t="str">
        <x:v>圣树先锋战盔</x:v>
      </x:c>
      <x:c r="D264" s="19" t="n">
        <x:v>1</x:v>
      </x:c>
      <x:c r="E264" s="19" t="n">
        <x:v>16</x:v>
      </x:c>
      <x:c r="F264" s="32" t="n">
        <x:f>D264/E264</x:f>
        <x:v>0.0625</x:v>
      </x:c>
    </x:row>
    <x:row r="265" ht="19" customHeight="1">
      <x:c r="A265" s="19" t="str">
        <x:v>POOL091</x:v>
      </x:c>
      <x:c r="B265" s="19" t="str">
        <x:v>制式独立候选</x:v>
      </x:c>
      <x:c r="C265" s="19" t="str">
        <x:v>圣树先锋项链</x:v>
      </x:c>
      <x:c r="D265" s="19" t="n">
        <x:v>1</x:v>
      </x:c>
      <x:c r="E265" s="19" t="n">
        <x:v>16</x:v>
      </x:c>
      <x:c r="F265" s="32" t="n">
        <x:f>D265/E265</x:f>
        <x:v>0.0625</x:v>
      </x:c>
    </x:row>
    <x:row r="266" ht="19" customHeight="1">
      <x:c r="A266" s="19" t="str">
        <x:v>POOL091</x:v>
      </x:c>
      <x:c r="B266" s="19" t="str">
        <x:v>制式独立候选</x:v>
      </x:c>
      <x:c r="C266" s="19" t="str">
        <x:v>圣树先锋腕甲</x:v>
      </x:c>
      <x:c r="D266" s="19" t="n">
        <x:v>1</x:v>
      </x:c>
      <x:c r="E266" s="19" t="n">
        <x:v>16</x:v>
      </x:c>
      <x:c r="F266" s="32" t="n">
        <x:f>D266/E266</x:f>
        <x:v>0.0625</x:v>
      </x:c>
    </x:row>
    <x:row r="267" ht="19" customHeight="1">
      <x:c r="A267" s="19" t="str">
        <x:v>POOL091</x:v>
      </x:c>
      <x:c r="B267" s="19" t="str">
        <x:v>制式独立候选</x:v>
      </x:c>
      <x:c r="C267" s="19" t="str">
        <x:v>圣树先锋戒指</x:v>
      </x:c>
      <x:c r="D267" s="19" t="n">
        <x:v>1</x:v>
      </x:c>
      <x:c r="E267" s="19" t="n">
        <x:v>16</x:v>
      </x:c>
      <x:c r="F267" s="32" t="n">
        <x:f>D267/E267</x:f>
        <x:v>0.0625</x:v>
      </x:c>
    </x:row>
    <x:row r="268" ht="19" customHeight="1">
      <x:c r="A268" s="19" t="str">
        <x:v>POOL091</x:v>
      </x:c>
      <x:c r="B268" s="19" t="str">
        <x:v>制式独立候选</x:v>
      </x:c>
      <x:c r="C268" s="19" t="str">
        <x:v>圣树先锋腰带</x:v>
      </x:c>
      <x:c r="D268" s="19" t="n">
        <x:v>1</x:v>
      </x:c>
      <x:c r="E268" s="19" t="n">
        <x:v>16</x:v>
      </x:c>
      <x:c r="F268" s="32" t="n">
        <x:f>D268/E268</x:f>
        <x:v>0.0625</x:v>
      </x:c>
    </x:row>
    <x:row r="269" ht="19" customHeight="1">
      <x:c r="A269" s="19" t="str">
        <x:v>POOL091</x:v>
      </x:c>
      <x:c r="B269" s="19" t="str">
        <x:v>制式独立候选</x:v>
      </x:c>
      <x:c r="C269" s="19" t="str">
        <x:v>圣树先锋战靴</x:v>
      </x:c>
      <x:c r="D269" s="19" t="n">
        <x:v>1</x:v>
      </x:c>
      <x:c r="E269" s="19" t="n">
        <x:v>16</x:v>
      </x:c>
      <x:c r="F269" s="32" t="n">
        <x:f>D269/E269</x:f>
        <x:v>0.0625</x:v>
      </x:c>
    </x:row>
    <x:row r="270" ht="19" customHeight="1">
      <x:c r="A270" s="19" t="str">
        <x:v>POOL092</x:v>
      </x:c>
      <x:c r="B270" s="19" t="str">
        <x:v>制式独立候选</x:v>
      </x:c>
      <x:c r="C270" s="19" t="str">
        <x:v>卢恩骑士剑</x:v>
      </x:c>
      <x:c r="D270" s="19" t="n">
        <x:v>1</x:v>
      </x:c>
      <x:c r="E270" s="19" t="n">
        <x:v>16</x:v>
      </x:c>
      <x:c r="F270" s="32" t="n">
        <x:f>D270/E270</x:f>
        <x:v>0.0625</x:v>
      </x:c>
    </x:row>
    <x:row r="271" ht="19" customHeight="1">
      <x:c r="A271" s="19" t="str">
        <x:v>POOL092</x:v>
      </x:c>
      <x:c r="B271" s="19" t="str">
        <x:v>制式独立候选</x:v>
      </x:c>
      <x:c r="C271" s="19" t="str">
        <x:v>卢恩骑士战甲</x:v>
      </x:c>
      <x:c r="D271" s="19" t="n">
        <x:v>1</x:v>
      </x:c>
      <x:c r="E271" s="19" t="n">
        <x:v>16</x:v>
      </x:c>
      <x:c r="F271" s="32" t="n">
        <x:f>D271/E271</x:f>
        <x:v>0.0625</x:v>
      </x:c>
    </x:row>
    <x:row r="272" ht="19" customHeight="1">
      <x:c r="A272" s="19" t="str">
        <x:v>POOL092</x:v>
      </x:c>
      <x:c r="B272" s="19" t="str">
        <x:v>制式独立候选</x:v>
      </x:c>
      <x:c r="C272" s="19" t="str">
        <x:v>卢恩骑士战盔</x:v>
      </x:c>
      <x:c r="D272" s="19" t="n">
        <x:v>1</x:v>
      </x:c>
      <x:c r="E272" s="19" t="n">
        <x:v>16</x:v>
      </x:c>
      <x:c r="F272" s="32" t="n">
        <x:f>D272/E272</x:f>
        <x:v>0.0625</x:v>
      </x:c>
    </x:row>
    <x:row r="273" ht="19" customHeight="1">
      <x:c r="A273" s="19" t="str">
        <x:v>POOL092</x:v>
      </x:c>
      <x:c r="B273" s="19" t="str">
        <x:v>制式独立候选</x:v>
      </x:c>
      <x:c r="C273" s="19" t="str">
        <x:v>卢恩骑士项链</x:v>
      </x:c>
      <x:c r="D273" s="19" t="n">
        <x:v>1</x:v>
      </x:c>
      <x:c r="E273" s="19" t="n">
        <x:v>16</x:v>
      </x:c>
      <x:c r="F273" s="32" t="n">
        <x:f>D273/E273</x:f>
        <x:v>0.0625</x:v>
      </x:c>
    </x:row>
    <x:row r="274" ht="19" customHeight="1">
      <x:c r="A274" s="19" t="str">
        <x:v>POOL092</x:v>
      </x:c>
      <x:c r="B274" s="19" t="str">
        <x:v>制式独立候选</x:v>
      </x:c>
      <x:c r="C274" s="19" t="str">
        <x:v>卢恩骑士腕甲</x:v>
      </x:c>
      <x:c r="D274" s="19" t="n">
        <x:v>1</x:v>
      </x:c>
      <x:c r="E274" s="19" t="n">
        <x:v>16</x:v>
      </x:c>
      <x:c r="F274" s="32" t="n">
        <x:f>D274/E274</x:f>
        <x:v>0.0625</x:v>
      </x:c>
    </x:row>
    <x:row r="275" ht="19" customHeight="1">
      <x:c r="A275" s="19" t="str">
        <x:v>POOL092</x:v>
      </x:c>
      <x:c r="B275" s="19" t="str">
        <x:v>制式独立候选</x:v>
      </x:c>
      <x:c r="C275" s="19" t="str">
        <x:v>卢恩骑士戒指</x:v>
      </x:c>
      <x:c r="D275" s="19" t="n">
        <x:v>1</x:v>
      </x:c>
      <x:c r="E275" s="19" t="n">
        <x:v>16</x:v>
      </x:c>
      <x:c r="F275" s="32" t="n">
        <x:f>D275/E275</x:f>
        <x:v>0.0625</x:v>
      </x:c>
    </x:row>
    <x:row r="276" ht="19" customHeight="1">
      <x:c r="A276" s="19" t="str">
        <x:v>POOL092</x:v>
      </x:c>
      <x:c r="B276" s="19" t="str">
        <x:v>制式独立候选</x:v>
      </x:c>
      <x:c r="C276" s="19" t="str">
        <x:v>卢恩骑士腰带</x:v>
      </x:c>
      <x:c r="D276" s="19" t="n">
        <x:v>1</x:v>
      </x:c>
      <x:c r="E276" s="19" t="n">
        <x:v>16</x:v>
      </x:c>
      <x:c r="F276" s="32" t="n">
        <x:f>D276/E276</x:f>
        <x:v>0.0625</x:v>
      </x:c>
    </x:row>
    <x:row r="277" ht="19" customHeight="1">
      <x:c r="A277" s="19" t="str">
        <x:v>POOL092</x:v>
      </x:c>
      <x:c r="B277" s="19" t="str">
        <x:v>制式独立候选</x:v>
      </x:c>
      <x:c r="C277" s="19" t="str">
        <x:v>卢恩骑士战靴</x:v>
      </x:c>
      <x:c r="D277" s="19" t="n">
        <x:v>1</x:v>
      </x:c>
      <x:c r="E277" s="19" t="n">
        <x:v>16</x:v>
      </x:c>
      <x:c r="F277" s="32" t="n">
        <x:f>D277/E277</x:f>
        <x:v>0.0625</x:v>
      </x:c>
    </x:row>
    <x:row r="278" ht="19" customHeight="1">
      <x:c r="A278" s="19" t="str">
        <x:v>POOL092</x:v>
      </x:c>
      <x:c r="B278" s="19" t="str">
        <x:v>制式独立候选</x:v>
      </x:c>
      <x:c r="C278" s="19" t="str">
        <x:v>黑焰军士刃</x:v>
      </x:c>
      <x:c r="D278" s="19" t="n">
        <x:v>1</x:v>
      </x:c>
      <x:c r="E278" s="19" t="n">
        <x:v>16</x:v>
      </x:c>
      <x:c r="F278" s="32" t="n">
        <x:f>D278/E278</x:f>
        <x:v>0.0625</x:v>
      </x:c>
    </x:row>
    <x:row r="279" ht="19" customHeight="1">
      <x:c r="A279" s="19" t="str">
        <x:v>POOL092</x:v>
      </x:c>
      <x:c r="B279" s="19" t="str">
        <x:v>制式独立候选</x:v>
      </x:c>
      <x:c r="C279" s="19" t="str">
        <x:v>黑焰军士战甲</x:v>
      </x:c>
      <x:c r="D279" s="19" t="n">
        <x:v>1</x:v>
      </x:c>
      <x:c r="E279" s="19" t="n">
        <x:v>16</x:v>
      </x:c>
      <x:c r="F279" s="32" t="n">
        <x:f>D279/E279</x:f>
        <x:v>0.0625</x:v>
      </x:c>
    </x:row>
    <x:row r="280" ht="19" customHeight="1">
      <x:c r="A280" s="19" t="str">
        <x:v>POOL092</x:v>
      </x:c>
      <x:c r="B280" s="19" t="str">
        <x:v>制式独立候选</x:v>
      </x:c>
      <x:c r="C280" s="19" t="str">
        <x:v>黑焰军士战盔</x:v>
      </x:c>
      <x:c r="D280" s="19" t="n">
        <x:v>1</x:v>
      </x:c>
      <x:c r="E280" s="19" t="n">
        <x:v>16</x:v>
      </x:c>
      <x:c r="F280" s="32" t="n">
        <x:f>D280/E280</x:f>
        <x:v>0.0625</x:v>
      </x:c>
    </x:row>
    <x:row r="281" ht="19" customHeight="1">
      <x:c r="A281" s="19" t="str">
        <x:v>POOL092</x:v>
      </x:c>
      <x:c r="B281" s="19" t="str">
        <x:v>制式独立候选</x:v>
      </x:c>
      <x:c r="C281" s="19" t="str">
        <x:v>黑焰军士项链</x:v>
      </x:c>
      <x:c r="D281" s="19" t="n">
        <x:v>1</x:v>
      </x:c>
      <x:c r="E281" s="19" t="n">
        <x:v>16</x:v>
      </x:c>
      <x:c r="F281" s="32" t="n">
        <x:f>D281/E281</x:f>
        <x:v>0.0625</x:v>
      </x:c>
    </x:row>
    <x:row r="282" ht="19" customHeight="1">
      <x:c r="A282" s="19" t="str">
        <x:v>POOL092</x:v>
      </x:c>
      <x:c r="B282" s="19" t="str">
        <x:v>制式独立候选</x:v>
      </x:c>
      <x:c r="C282" s="19" t="str">
        <x:v>黑焰军士腕甲</x:v>
      </x:c>
      <x:c r="D282" s="19" t="n">
        <x:v>1</x:v>
      </x:c>
      <x:c r="E282" s="19" t="n">
        <x:v>16</x:v>
      </x:c>
      <x:c r="F282" s="32" t="n">
        <x:f>D282/E282</x:f>
        <x:v>0.0625</x:v>
      </x:c>
    </x:row>
    <x:row r="283" ht="19" customHeight="1">
      <x:c r="A283" s="19" t="str">
        <x:v>POOL092</x:v>
      </x:c>
      <x:c r="B283" s="19" t="str">
        <x:v>制式独立候选</x:v>
      </x:c>
      <x:c r="C283" s="19" t="str">
        <x:v>黑焰军士戒指</x:v>
      </x:c>
      <x:c r="D283" s="19" t="n">
        <x:v>1</x:v>
      </x:c>
      <x:c r="E283" s="19" t="n">
        <x:v>16</x:v>
      </x:c>
      <x:c r="F283" s="32" t="n">
        <x:f>D283/E283</x:f>
        <x:v>0.0625</x:v>
      </x:c>
    </x:row>
    <x:row r="284" ht="19" customHeight="1">
      <x:c r="A284" s="19" t="str">
        <x:v>POOL092</x:v>
      </x:c>
      <x:c r="B284" s="19" t="str">
        <x:v>制式独立候选</x:v>
      </x:c>
      <x:c r="C284" s="19" t="str">
        <x:v>黑焰军士腰带</x:v>
      </x:c>
      <x:c r="D284" s="19" t="n">
        <x:v>1</x:v>
      </x:c>
      <x:c r="E284" s="19" t="n">
        <x:v>16</x:v>
      </x:c>
      <x:c r="F284" s="32" t="n">
        <x:f>D284/E284</x:f>
        <x:v>0.0625</x:v>
      </x:c>
    </x:row>
    <x:row r="285" ht="19" customHeight="1">
      <x:c r="A285" s="19" t="str">
        <x:v>POOL092</x:v>
      </x:c>
      <x:c r="B285" s="19" t="str">
        <x:v>制式独立候选</x:v>
      </x:c>
      <x:c r="C285" s="19" t="str">
        <x:v>黑焰军士战靴</x:v>
      </x:c>
      <x:c r="D285" s="19" t="n">
        <x:v>1</x:v>
      </x:c>
      <x:c r="E285" s="19" t="n">
        <x:v>16</x:v>
      </x:c>
      <x:c r="F285" s="32" t="n">
        <x:f>D285/E285</x:f>
        <x:v>0.0625</x:v>
      </x:c>
    </x:row>
    <x:row r="286" ht="19" customHeight="1">
      <x:c r="A286" s="19" t="str">
        <x:v>POOL093</x:v>
      </x:c>
      <x:c r="B286" s="19" t="str">
        <x:v>制式独立候选</x:v>
      </x:c>
      <x:c r="C286" s="19" t="str">
        <x:v>猩红卫士剑</x:v>
      </x:c>
      <x:c r="D286" s="19" t="n">
        <x:v>1</x:v>
      </x:c>
      <x:c r="E286" s="19" t="n">
        <x:v>16</x:v>
      </x:c>
      <x:c r="F286" s="32" t="n">
        <x:f>D286/E286</x:f>
        <x:v>0.0625</x:v>
      </x:c>
    </x:row>
    <x:row r="287" ht="19" customHeight="1">
      <x:c r="A287" s="19" t="str">
        <x:v>POOL093</x:v>
      </x:c>
      <x:c r="B287" s="19" t="str">
        <x:v>制式独立候选</x:v>
      </x:c>
      <x:c r="C287" s="19" t="str">
        <x:v>猩红卫士战甲</x:v>
      </x:c>
      <x:c r="D287" s="19" t="n">
        <x:v>1</x:v>
      </x:c>
      <x:c r="E287" s="19" t="n">
        <x:v>16</x:v>
      </x:c>
      <x:c r="F287" s="32" t="n">
        <x:f>D287/E287</x:f>
        <x:v>0.0625</x:v>
      </x:c>
    </x:row>
    <x:row r="288" ht="19" customHeight="1">
      <x:c r="A288" s="19" t="str">
        <x:v>POOL093</x:v>
      </x:c>
      <x:c r="B288" s="19" t="str">
        <x:v>制式独立候选</x:v>
      </x:c>
      <x:c r="C288" s="19" t="str">
        <x:v>猩红卫士战盔</x:v>
      </x:c>
      <x:c r="D288" s="19" t="n">
        <x:v>1</x:v>
      </x:c>
      <x:c r="E288" s="19" t="n">
        <x:v>16</x:v>
      </x:c>
      <x:c r="F288" s="32" t="n">
        <x:f>D288/E288</x:f>
        <x:v>0.0625</x:v>
      </x:c>
    </x:row>
    <x:row r="289" ht="19" customHeight="1">
      <x:c r="A289" s="19" t="str">
        <x:v>POOL093</x:v>
      </x:c>
      <x:c r="B289" s="19" t="str">
        <x:v>制式独立候选</x:v>
      </x:c>
      <x:c r="C289" s="19" t="str">
        <x:v>猩红卫士项链</x:v>
      </x:c>
      <x:c r="D289" s="19" t="n">
        <x:v>1</x:v>
      </x:c>
      <x:c r="E289" s="19" t="n">
        <x:v>16</x:v>
      </x:c>
      <x:c r="F289" s="32" t="n">
        <x:f>D289/E289</x:f>
        <x:v>0.0625</x:v>
      </x:c>
    </x:row>
    <x:row r="290" ht="19" customHeight="1">
      <x:c r="A290" s="19" t="str">
        <x:v>POOL093</x:v>
      </x:c>
      <x:c r="B290" s="19" t="str">
        <x:v>制式独立候选</x:v>
      </x:c>
      <x:c r="C290" s="19" t="str">
        <x:v>猩红卫士腕甲</x:v>
      </x:c>
      <x:c r="D290" s="19" t="n">
        <x:v>1</x:v>
      </x:c>
      <x:c r="E290" s="19" t="n">
        <x:v>16</x:v>
      </x:c>
      <x:c r="F290" s="32" t="n">
        <x:f>D290/E290</x:f>
        <x:v>0.0625</x:v>
      </x:c>
    </x:row>
    <x:row r="291" ht="19" customHeight="1">
      <x:c r="A291" s="19" t="str">
        <x:v>POOL093</x:v>
      </x:c>
      <x:c r="B291" s="19" t="str">
        <x:v>制式独立候选</x:v>
      </x:c>
      <x:c r="C291" s="19" t="str">
        <x:v>猩红卫士戒指</x:v>
      </x:c>
      <x:c r="D291" s="19" t="n">
        <x:v>1</x:v>
      </x:c>
      <x:c r="E291" s="19" t="n">
        <x:v>16</x:v>
      </x:c>
      <x:c r="F291" s="32" t="n">
        <x:f>D291/E291</x:f>
        <x:v>0.0625</x:v>
      </x:c>
    </x:row>
    <x:row r="292" ht="19" customHeight="1">
      <x:c r="A292" s="19" t="str">
        <x:v>POOL093</x:v>
      </x:c>
      <x:c r="B292" s="19" t="str">
        <x:v>制式独立候选</x:v>
      </x:c>
      <x:c r="C292" s="19" t="str">
        <x:v>猩红卫士腰带</x:v>
      </x:c>
      <x:c r="D292" s="19" t="n">
        <x:v>1</x:v>
      </x:c>
      <x:c r="E292" s="19" t="n">
        <x:v>16</x:v>
      </x:c>
      <x:c r="F292" s="32" t="n">
        <x:f>D292/E292</x:f>
        <x:v>0.0625</x:v>
      </x:c>
    </x:row>
    <x:row r="293" ht="19" customHeight="1">
      <x:c r="A293" s="19" t="str">
        <x:v>POOL093</x:v>
      </x:c>
      <x:c r="B293" s="19" t="str">
        <x:v>制式独立候选</x:v>
      </x:c>
      <x:c r="C293" s="19" t="str">
        <x:v>猩红卫士战靴</x:v>
      </x:c>
      <x:c r="D293" s="19" t="n">
        <x:v>1</x:v>
      </x:c>
      <x:c r="E293" s="19" t="n">
        <x:v>16</x:v>
      </x:c>
      <x:c r="F293" s="32" t="n">
        <x:f>D293/E293</x:f>
        <x:v>0.0625</x:v>
      </x:c>
    </x:row>
    <x:row r="294" ht="19" customHeight="1">
      <x:c r="A294" s="19" t="str">
        <x:v>POOL093</x:v>
      </x:c>
      <x:c r="B294" s="19" t="str">
        <x:v>制式独立候选</x:v>
      </x:c>
      <x:c r="C294" s="19" t="str">
        <x:v>冻原斗士刃</x:v>
      </x:c>
      <x:c r="D294" s="19" t="n">
        <x:v>1</x:v>
      </x:c>
      <x:c r="E294" s="19" t="n">
        <x:v>16</x:v>
      </x:c>
      <x:c r="F294" s="32" t="n">
        <x:f>D294/E294</x:f>
        <x:v>0.0625</x:v>
      </x:c>
    </x:row>
    <x:row r="295" ht="19" customHeight="1">
      <x:c r="A295" s="19" t="str">
        <x:v>POOL093</x:v>
      </x:c>
      <x:c r="B295" s="19" t="str">
        <x:v>制式独立候选</x:v>
      </x:c>
      <x:c r="C295" s="19" t="str">
        <x:v>冻原斗士战甲</x:v>
      </x:c>
      <x:c r="D295" s="19" t="n">
        <x:v>1</x:v>
      </x:c>
      <x:c r="E295" s="19" t="n">
        <x:v>16</x:v>
      </x:c>
      <x:c r="F295" s="32" t="n">
        <x:f>D295/E295</x:f>
        <x:v>0.0625</x:v>
      </x:c>
    </x:row>
    <x:row r="296" ht="19" customHeight="1">
      <x:c r="A296" s="19" t="str">
        <x:v>POOL093</x:v>
      </x:c>
      <x:c r="B296" s="19" t="str">
        <x:v>制式独立候选</x:v>
      </x:c>
      <x:c r="C296" s="19" t="str">
        <x:v>冻原斗士战盔</x:v>
      </x:c>
      <x:c r="D296" s="19" t="n">
        <x:v>1</x:v>
      </x:c>
      <x:c r="E296" s="19" t="n">
        <x:v>16</x:v>
      </x:c>
      <x:c r="F296" s="32" t="n">
        <x:f>D296/E296</x:f>
        <x:v>0.0625</x:v>
      </x:c>
    </x:row>
    <x:row r="297" ht="19" customHeight="1">
      <x:c r="A297" s="19" t="str">
        <x:v>POOL093</x:v>
      </x:c>
      <x:c r="B297" s="19" t="str">
        <x:v>制式独立候选</x:v>
      </x:c>
      <x:c r="C297" s="19" t="str">
        <x:v>冻原斗士项链</x:v>
      </x:c>
      <x:c r="D297" s="19" t="n">
        <x:v>1</x:v>
      </x:c>
      <x:c r="E297" s="19" t="n">
        <x:v>16</x:v>
      </x:c>
      <x:c r="F297" s="32" t="n">
        <x:f>D297/E297</x:f>
        <x:v>0.0625</x:v>
      </x:c>
    </x:row>
    <x:row r="298" ht="19" customHeight="1">
      <x:c r="A298" s="19" t="str">
        <x:v>POOL093</x:v>
      </x:c>
      <x:c r="B298" s="19" t="str">
        <x:v>制式独立候选</x:v>
      </x:c>
      <x:c r="C298" s="19" t="str">
        <x:v>冻原斗士腕甲</x:v>
      </x:c>
      <x:c r="D298" s="19" t="n">
        <x:v>1</x:v>
      </x:c>
      <x:c r="E298" s="19" t="n">
        <x:v>16</x:v>
      </x:c>
      <x:c r="F298" s="32" t="n">
        <x:f>D298/E298</x:f>
        <x:v>0.0625</x:v>
      </x:c>
    </x:row>
    <x:row r="299" ht="19" customHeight="1">
      <x:c r="A299" s="19" t="str">
        <x:v>POOL093</x:v>
      </x:c>
      <x:c r="B299" s="19" t="str">
        <x:v>制式独立候选</x:v>
      </x:c>
      <x:c r="C299" s="19" t="str">
        <x:v>冻原斗士戒指</x:v>
      </x:c>
      <x:c r="D299" s="19" t="n">
        <x:v>1</x:v>
      </x:c>
      <x:c r="E299" s="19" t="n">
        <x:v>16</x:v>
      </x:c>
      <x:c r="F299" s="32" t="n">
        <x:f>D299/E299</x:f>
        <x:v>0.0625</x:v>
      </x:c>
    </x:row>
    <x:row r="300" ht="19" customHeight="1">
      <x:c r="A300" s="19" t="str">
        <x:v>POOL093</x:v>
      </x:c>
      <x:c r="B300" s="19" t="str">
        <x:v>制式独立候选</x:v>
      </x:c>
      <x:c r="C300" s="19" t="str">
        <x:v>冻原斗士腰带</x:v>
      </x:c>
      <x:c r="D300" s="19" t="n">
        <x:v>1</x:v>
      </x:c>
      <x:c r="E300" s="19" t="n">
        <x:v>16</x:v>
      </x:c>
      <x:c r="F300" s="32" t="n">
        <x:f>D300/E300</x:f>
        <x:v>0.0625</x:v>
      </x:c>
    </x:row>
    <x:row r="301" ht="19" customHeight="1">
      <x:c r="A301" s="19" t="str">
        <x:v>POOL093</x:v>
      </x:c>
      <x:c r="B301" s="19" t="str">
        <x:v>制式独立候选</x:v>
      </x:c>
      <x:c r="C301" s="19" t="str">
        <x:v>冻原斗士战靴</x:v>
      </x:c>
      <x:c r="D301" s="19" t="n">
        <x:v>1</x:v>
      </x:c>
      <x:c r="E301" s="19" t="n">
        <x:v>16</x:v>
      </x:c>
      <x:c r="F301" s="32" t="n">
        <x:f>D301/E301</x:f>
        <x:v>0.0625</x:v>
      </x:c>
    </x:row>
    <x:row r="302" ht="19" customHeight="1">
      <x:c r="A302" s="19" t="str">
        <x:v>POOL094</x:v>
      </x:c>
      <x:c r="B302" s="19" t="str">
        <x:v>制式独立候选</x:v>
      </x:c>
      <x:c r="C302" s="19" t="str">
        <x:v>古龙近卫剑</x:v>
      </x:c>
      <x:c r="D302" s="19" t="n">
        <x:v>1</x:v>
      </x:c>
      <x:c r="E302" s="19" t="n">
        <x:v>16</x:v>
      </x:c>
      <x:c r="F302" s="32" t="n">
        <x:f>D302/E302</x:f>
        <x:v>0.0625</x:v>
      </x:c>
    </x:row>
    <x:row r="303" ht="19" customHeight="1">
      <x:c r="A303" s="19" t="str">
        <x:v>POOL094</x:v>
      </x:c>
      <x:c r="B303" s="19" t="str">
        <x:v>制式独立候选</x:v>
      </x:c>
      <x:c r="C303" s="19" t="str">
        <x:v>古龙近卫战甲</x:v>
      </x:c>
      <x:c r="D303" s="19" t="n">
        <x:v>1</x:v>
      </x:c>
      <x:c r="E303" s="19" t="n">
        <x:v>16</x:v>
      </x:c>
      <x:c r="F303" s="32" t="n">
        <x:f>D303/E303</x:f>
        <x:v>0.0625</x:v>
      </x:c>
    </x:row>
    <x:row r="304" ht="19" customHeight="1">
      <x:c r="A304" s="19" t="str">
        <x:v>POOL094</x:v>
      </x:c>
      <x:c r="B304" s="19" t="str">
        <x:v>制式独立候选</x:v>
      </x:c>
      <x:c r="C304" s="19" t="str">
        <x:v>古龙近卫战盔</x:v>
      </x:c>
      <x:c r="D304" s="19" t="n">
        <x:v>1</x:v>
      </x:c>
      <x:c r="E304" s="19" t="n">
        <x:v>16</x:v>
      </x:c>
      <x:c r="F304" s="32" t="n">
        <x:f>D304/E304</x:f>
        <x:v>0.0625</x:v>
      </x:c>
    </x:row>
    <x:row r="305" ht="19" customHeight="1">
      <x:c r="A305" s="19" t="str">
        <x:v>POOL094</x:v>
      </x:c>
      <x:c r="B305" s="19" t="str">
        <x:v>制式独立候选</x:v>
      </x:c>
      <x:c r="C305" s="19" t="str">
        <x:v>古龙近卫项链</x:v>
      </x:c>
      <x:c r="D305" s="19" t="n">
        <x:v>1</x:v>
      </x:c>
      <x:c r="E305" s="19" t="n">
        <x:v>16</x:v>
      </x:c>
      <x:c r="F305" s="32" t="n">
        <x:f>D305/E305</x:f>
        <x:v>0.0625</x:v>
      </x:c>
    </x:row>
    <x:row r="306" ht="19" customHeight="1">
      <x:c r="A306" s="19" t="str">
        <x:v>POOL094</x:v>
      </x:c>
      <x:c r="B306" s="19" t="str">
        <x:v>制式独立候选</x:v>
      </x:c>
      <x:c r="C306" s="19" t="str">
        <x:v>古龙近卫腕甲</x:v>
      </x:c>
      <x:c r="D306" s="19" t="n">
        <x:v>1</x:v>
      </x:c>
      <x:c r="E306" s="19" t="n">
        <x:v>16</x:v>
      </x:c>
      <x:c r="F306" s="32" t="n">
        <x:f>D306/E306</x:f>
        <x:v>0.0625</x:v>
      </x:c>
    </x:row>
    <x:row r="307" ht="19" customHeight="1">
      <x:c r="A307" s="19" t="str">
        <x:v>POOL094</x:v>
      </x:c>
      <x:c r="B307" s="19" t="str">
        <x:v>制式独立候选</x:v>
      </x:c>
      <x:c r="C307" s="19" t="str">
        <x:v>古龙近卫戒指</x:v>
      </x:c>
      <x:c r="D307" s="19" t="n">
        <x:v>1</x:v>
      </x:c>
      <x:c r="E307" s="19" t="n">
        <x:v>16</x:v>
      </x:c>
      <x:c r="F307" s="32" t="n">
        <x:f>D307/E307</x:f>
        <x:v>0.0625</x:v>
      </x:c>
    </x:row>
    <x:row r="308" ht="19" customHeight="1">
      <x:c r="A308" s="19" t="str">
        <x:v>POOL094</x:v>
      </x:c>
      <x:c r="B308" s="19" t="str">
        <x:v>制式独立候选</x:v>
      </x:c>
      <x:c r="C308" s="19" t="str">
        <x:v>古龙近卫腰带</x:v>
      </x:c>
      <x:c r="D308" s="19" t="n">
        <x:v>1</x:v>
      </x:c>
      <x:c r="E308" s="19" t="n">
        <x:v>16</x:v>
      </x:c>
      <x:c r="F308" s="32" t="n">
        <x:f>D308/E308</x:f>
        <x:v>0.0625</x:v>
      </x:c>
    </x:row>
    <x:row r="309" ht="19" customHeight="1">
      <x:c r="A309" s="19" t="str">
        <x:v>POOL094</x:v>
      </x:c>
      <x:c r="B309" s="19" t="str">
        <x:v>制式独立候选</x:v>
      </x:c>
      <x:c r="C309" s="19" t="str">
        <x:v>古龙近卫战靴</x:v>
      </x:c>
      <x:c r="D309" s="19" t="n">
        <x:v>1</x:v>
      </x:c>
      <x:c r="E309" s="19" t="n">
        <x:v>16</x:v>
      </x:c>
      <x:c r="F309" s="32" t="n">
        <x:f>D309/E309</x:f>
        <x:v>0.0625</x:v>
      </x:c>
    </x:row>
    <x:row r="310" ht="19" customHeight="1">
      <x:c r="A310" s="19" t="str">
        <x:v>POOL094</x:v>
      </x:c>
      <x:c r="B310" s="19" t="str">
        <x:v>制式独立候选</x:v>
      </x:c>
      <x:c r="C310" s="19" t="str">
        <x:v>神授征服剑</x:v>
      </x:c>
      <x:c r="D310" s="19" t="n">
        <x:v>1</x:v>
      </x:c>
      <x:c r="E310" s="19" t="n">
        <x:v>16</x:v>
      </x:c>
      <x:c r="F310" s="32" t="n">
        <x:f>D310/E310</x:f>
        <x:v>0.0625</x:v>
      </x:c>
    </x:row>
    <x:row r="311" ht="19" customHeight="1">
      <x:c r="A311" s="19" t="str">
        <x:v>POOL094</x:v>
      </x:c>
      <x:c r="B311" s="19" t="str">
        <x:v>制式独立候选</x:v>
      </x:c>
      <x:c r="C311" s="19" t="str">
        <x:v>神授征服战甲</x:v>
      </x:c>
      <x:c r="D311" s="19" t="n">
        <x:v>1</x:v>
      </x:c>
      <x:c r="E311" s="19" t="n">
        <x:v>16</x:v>
      </x:c>
      <x:c r="F311" s="32" t="n">
        <x:f>D311/E311</x:f>
        <x:v>0.0625</x:v>
      </x:c>
    </x:row>
    <x:row r="312" ht="19" customHeight="1">
      <x:c r="A312" s="19" t="str">
        <x:v>POOL094</x:v>
      </x:c>
      <x:c r="B312" s="19" t="str">
        <x:v>制式独立候选</x:v>
      </x:c>
      <x:c r="C312" s="19" t="str">
        <x:v>神授征服战盔</x:v>
      </x:c>
      <x:c r="D312" s="19" t="n">
        <x:v>1</x:v>
      </x:c>
      <x:c r="E312" s="19" t="n">
        <x:v>16</x:v>
      </x:c>
      <x:c r="F312" s="32" t="n">
        <x:f>D312/E312</x:f>
        <x:v>0.0625</x:v>
      </x:c>
    </x:row>
    <x:row r="313" ht="19" customHeight="1">
      <x:c r="A313" s="19" t="str">
        <x:v>POOL094</x:v>
      </x:c>
      <x:c r="B313" s="19" t="str">
        <x:v>制式独立候选</x:v>
      </x:c>
      <x:c r="C313" s="19" t="str">
        <x:v>神授征服项链</x:v>
      </x:c>
      <x:c r="D313" s="19" t="n">
        <x:v>1</x:v>
      </x:c>
      <x:c r="E313" s="19" t="n">
        <x:v>16</x:v>
      </x:c>
      <x:c r="F313" s="32" t="n">
        <x:f>D313/E313</x:f>
        <x:v>0.0625</x:v>
      </x:c>
    </x:row>
    <x:row r="314" ht="19" customHeight="1">
      <x:c r="A314" s="19" t="str">
        <x:v>POOL094</x:v>
      </x:c>
      <x:c r="B314" s="19" t="str">
        <x:v>制式独立候选</x:v>
      </x:c>
      <x:c r="C314" s="19" t="str">
        <x:v>神授征服腕甲</x:v>
      </x:c>
      <x:c r="D314" s="19" t="n">
        <x:v>1</x:v>
      </x:c>
      <x:c r="E314" s="19" t="n">
        <x:v>16</x:v>
      </x:c>
      <x:c r="F314" s="32" t="n">
        <x:f>D314/E314</x:f>
        <x:v>0.0625</x:v>
      </x:c>
    </x:row>
    <x:row r="315" ht="19" customHeight="1">
      <x:c r="A315" s="19" t="str">
        <x:v>POOL094</x:v>
      </x:c>
      <x:c r="B315" s="19" t="str">
        <x:v>制式独立候选</x:v>
      </x:c>
      <x:c r="C315" s="19" t="str">
        <x:v>神授征服戒指</x:v>
      </x:c>
      <x:c r="D315" s="19" t="n">
        <x:v>1</x:v>
      </x:c>
      <x:c r="E315" s="19" t="n">
        <x:v>16</x:v>
      </x:c>
      <x:c r="F315" s="32" t="n">
        <x:f>D315/E315</x:f>
        <x:v>0.0625</x:v>
      </x:c>
    </x:row>
    <x:row r="316" ht="19" customHeight="1">
      <x:c r="A316" s="19" t="str">
        <x:v>POOL094</x:v>
      </x:c>
      <x:c r="B316" s="19" t="str">
        <x:v>制式独立候选</x:v>
      </x:c>
      <x:c r="C316" s="19" t="str">
        <x:v>神授征服腰带</x:v>
      </x:c>
      <x:c r="D316" s="19" t="n">
        <x:v>1</x:v>
      </x:c>
      <x:c r="E316" s="19" t="n">
        <x:v>16</x:v>
      </x:c>
      <x:c r="F316" s="32" t="n">
        <x:f>D316/E316</x:f>
        <x:v>0.0625</x:v>
      </x:c>
    </x:row>
    <x:row r="317" ht="19" customHeight="1">
      <x:c r="A317" s="19" t="str">
        <x:v>POOL094</x:v>
      </x:c>
      <x:c r="B317" s="19" t="str">
        <x:v>制式独立候选</x:v>
      </x:c>
      <x:c r="C317" s="19" t="str">
        <x:v>神授征服战靴</x:v>
      </x:c>
      <x:c r="D317" s="19" t="n">
        <x:v>1</x:v>
      </x:c>
      <x:c r="E317" s="19" t="n">
        <x:v>16</x:v>
      </x:c>
      <x:c r="F317" s="32" t="n">
        <x:f>D317/E317</x:f>
        <x:v>0.0625</x:v>
      </x:c>
    </x:row>
    <x:row r="318" ht="19" customHeight="1">
      <x:c r="A318" s="19" t="str">
        <x:v>POOL095</x:v>
      </x:c>
      <x:c r="B318" s="19" t="str">
        <x:v>制式独立候选</x:v>
      </x:c>
      <x:c r="C318" s="19" t="str">
        <x:v>法环禁军剑</x:v>
      </x:c>
      <x:c r="D318" s="19" t="n">
        <x:v>1</x:v>
      </x:c>
      <x:c r="E318" s="19" t="n">
        <x:v>16</x:v>
      </x:c>
      <x:c r="F318" s="32" t="n">
        <x:f>D318/E318</x:f>
        <x:v>0.0625</x:v>
      </x:c>
    </x:row>
    <x:row r="319" ht="19" customHeight="1">
      <x:c r="A319" s="19" t="str">
        <x:v>POOL095</x:v>
      </x:c>
      <x:c r="B319" s="19" t="str">
        <x:v>制式独立候选</x:v>
      </x:c>
      <x:c r="C319" s="19" t="str">
        <x:v>法环禁军战甲</x:v>
      </x:c>
      <x:c r="D319" s="19" t="n">
        <x:v>1</x:v>
      </x:c>
      <x:c r="E319" s="19" t="n">
        <x:v>16</x:v>
      </x:c>
      <x:c r="F319" s="32" t="n">
        <x:f>D319/E319</x:f>
        <x:v>0.0625</x:v>
      </x:c>
    </x:row>
    <x:row r="320" ht="19" customHeight="1">
      <x:c r="A320" s="19" t="str">
        <x:v>POOL095</x:v>
      </x:c>
      <x:c r="B320" s="19" t="str">
        <x:v>制式独立候选</x:v>
      </x:c>
      <x:c r="C320" s="19" t="str">
        <x:v>法环禁军战盔</x:v>
      </x:c>
      <x:c r="D320" s="19" t="n">
        <x:v>1</x:v>
      </x:c>
      <x:c r="E320" s="19" t="n">
        <x:v>16</x:v>
      </x:c>
      <x:c r="F320" s="32" t="n">
        <x:f>D320/E320</x:f>
        <x:v>0.0625</x:v>
      </x:c>
    </x:row>
    <x:row r="321" ht="19" customHeight="1">
      <x:c r="A321" s="19" t="str">
        <x:v>POOL095</x:v>
      </x:c>
      <x:c r="B321" s="19" t="str">
        <x:v>制式独立候选</x:v>
      </x:c>
      <x:c r="C321" s="19" t="str">
        <x:v>法环禁军项链</x:v>
      </x:c>
      <x:c r="D321" s="19" t="n">
        <x:v>1</x:v>
      </x:c>
      <x:c r="E321" s="19" t="n">
        <x:v>16</x:v>
      </x:c>
      <x:c r="F321" s="32" t="n">
        <x:f>D321/E321</x:f>
        <x:v>0.0625</x:v>
      </x:c>
    </x:row>
    <x:row r="322" ht="19" customHeight="1">
      <x:c r="A322" s="19" t="str">
        <x:v>POOL095</x:v>
      </x:c>
      <x:c r="B322" s="19" t="str">
        <x:v>制式独立候选</x:v>
      </x:c>
      <x:c r="C322" s="19" t="str">
        <x:v>法环禁军腕甲</x:v>
      </x:c>
      <x:c r="D322" s="19" t="n">
        <x:v>1</x:v>
      </x:c>
      <x:c r="E322" s="19" t="n">
        <x:v>16</x:v>
      </x:c>
      <x:c r="F322" s="32" t="n">
        <x:f>D322/E322</x:f>
        <x:v>0.0625</x:v>
      </x:c>
    </x:row>
    <x:row r="323" ht="19" customHeight="1">
      <x:c r="A323" s="19" t="str">
        <x:v>POOL095</x:v>
      </x:c>
      <x:c r="B323" s="19" t="str">
        <x:v>制式独立候选</x:v>
      </x:c>
      <x:c r="C323" s="19" t="str">
        <x:v>法环禁军戒指</x:v>
      </x:c>
      <x:c r="D323" s="19" t="n">
        <x:v>1</x:v>
      </x:c>
      <x:c r="E323" s="19" t="n">
        <x:v>16</x:v>
      </x:c>
      <x:c r="F323" s="32" t="n">
        <x:f>D323/E323</x:f>
        <x:v>0.0625</x:v>
      </x:c>
    </x:row>
    <x:row r="324" ht="19" customHeight="1">
      <x:c r="A324" s="19" t="str">
        <x:v>POOL095</x:v>
      </x:c>
      <x:c r="B324" s="19" t="str">
        <x:v>制式独立候选</x:v>
      </x:c>
      <x:c r="C324" s="19" t="str">
        <x:v>法环禁军腰带</x:v>
      </x:c>
      <x:c r="D324" s="19" t="n">
        <x:v>1</x:v>
      </x:c>
      <x:c r="E324" s="19" t="n">
        <x:v>16</x:v>
      </x:c>
      <x:c r="F324" s="32" t="n">
        <x:f>D324/E324</x:f>
        <x:v>0.0625</x:v>
      </x:c>
    </x:row>
    <x:row r="325" ht="19" customHeight="1">
      <x:c r="A325" s="19" t="str">
        <x:v>POOL095</x:v>
      </x:c>
      <x:c r="B325" s="19" t="str">
        <x:v>制式独立候选</x:v>
      </x:c>
      <x:c r="C325" s="19" t="str">
        <x:v>法环禁军战靴</x:v>
      </x:c>
      <x:c r="D325" s="19" t="n">
        <x:v>1</x:v>
      </x:c>
      <x:c r="E325" s="19" t="n">
        <x:v>16</x:v>
      </x:c>
      <x:c r="F325" s="32" t="n">
        <x:f>D325/E325</x:f>
        <x:v>0.0625</x:v>
      </x:c>
    </x:row>
    <x:row r="326" ht="19" customHeight="1">
      <x:c r="A326" s="19" t="str">
        <x:v>POOL095</x:v>
      </x:c>
      <x:c r="B326" s="19" t="str">
        <x:v>制式独立候选</x:v>
      </x:c>
      <x:c r="C326" s="19" t="str">
        <x:v>王庭统领剑</x:v>
      </x:c>
      <x:c r="D326" s="19" t="n">
        <x:v>1</x:v>
      </x:c>
      <x:c r="E326" s="19" t="n">
        <x:v>16</x:v>
      </x:c>
      <x:c r="F326" s="32" t="n">
        <x:f>D326/E326</x:f>
        <x:v>0.0625</x:v>
      </x:c>
    </x:row>
    <x:row r="327" ht="19" customHeight="1">
      <x:c r="A327" s="19" t="str">
        <x:v>POOL095</x:v>
      </x:c>
      <x:c r="B327" s="19" t="str">
        <x:v>制式独立候选</x:v>
      </x:c>
      <x:c r="C327" s="19" t="str">
        <x:v>王庭统领战甲</x:v>
      </x:c>
      <x:c r="D327" s="19" t="n">
        <x:v>1</x:v>
      </x:c>
      <x:c r="E327" s="19" t="n">
        <x:v>16</x:v>
      </x:c>
      <x:c r="F327" s="32" t="n">
        <x:f>D327/E327</x:f>
        <x:v>0.0625</x:v>
      </x:c>
    </x:row>
    <x:row r="328" ht="19" customHeight="1">
      <x:c r="A328" s="19" t="str">
        <x:v>POOL095</x:v>
      </x:c>
      <x:c r="B328" s="19" t="str">
        <x:v>制式独立候选</x:v>
      </x:c>
      <x:c r="C328" s="19" t="str">
        <x:v>王庭统领战盔</x:v>
      </x:c>
      <x:c r="D328" s="19" t="n">
        <x:v>1</x:v>
      </x:c>
      <x:c r="E328" s="19" t="n">
        <x:v>16</x:v>
      </x:c>
      <x:c r="F328" s="32" t="n">
        <x:f>D328/E328</x:f>
        <x:v>0.0625</x:v>
      </x:c>
    </x:row>
    <x:row r="329" ht="19" customHeight="1">
      <x:c r="A329" s="19" t="str">
        <x:v>POOL095</x:v>
      </x:c>
      <x:c r="B329" s="19" t="str">
        <x:v>制式独立候选</x:v>
      </x:c>
      <x:c r="C329" s="19" t="str">
        <x:v>王庭统领项链</x:v>
      </x:c>
      <x:c r="D329" s="19" t="n">
        <x:v>1</x:v>
      </x:c>
      <x:c r="E329" s="19" t="n">
        <x:v>16</x:v>
      </x:c>
      <x:c r="F329" s="32" t="n">
        <x:f>D329/E329</x:f>
        <x:v>0.0625</x:v>
      </x:c>
    </x:row>
    <x:row r="330" ht="19" customHeight="1">
      <x:c r="A330" s="19" t="str">
        <x:v>POOL095</x:v>
      </x:c>
      <x:c r="B330" s="19" t="str">
        <x:v>制式独立候选</x:v>
      </x:c>
      <x:c r="C330" s="19" t="str">
        <x:v>王庭统领腕甲</x:v>
      </x:c>
      <x:c r="D330" s="19" t="n">
        <x:v>1</x:v>
      </x:c>
      <x:c r="E330" s="19" t="n">
        <x:v>16</x:v>
      </x:c>
      <x:c r="F330" s="32" t="n">
        <x:f>D330/E330</x:f>
        <x:v>0.0625</x:v>
      </x:c>
    </x:row>
    <x:row r="331" ht="19" customHeight="1">
      <x:c r="A331" s="19" t="str">
        <x:v>POOL095</x:v>
      </x:c>
      <x:c r="B331" s="19" t="str">
        <x:v>制式独立候选</x:v>
      </x:c>
      <x:c r="C331" s="19" t="str">
        <x:v>王庭统领戒指</x:v>
      </x:c>
      <x:c r="D331" s="19" t="n">
        <x:v>1</x:v>
      </x:c>
      <x:c r="E331" s="19" t="n">
        <x:v>16</x:v>
      </x:c>
      <x:c r="F331" s="32" t="n">
        <x:f>D331/E331</x:f>
        <x:v>0.0625</x:v>
      </x:c>
    </x:row>
    <x:row r="332" ht="19" customHeight="1">
      <x:c r="A332" s="19" t="str">
        <x:v>POOL095</x:v>
      </x:c>
      <x:c r="B332" s="19" t="str">
        <x:v>制式独立候选</x:v>
      </x:c>
      <x:c r="C332" s="19" t="str">
        <x:v>王庭统领腰带</x:v>
      </x:c>
      <x:c r="D332" s="19" t="n">
        <x:v>1</x:v>
      </x:c>
      <x:c r="E332" s="19" t="n">
        <x:v>16</x:v>
      </x:c>
      <x:c r="F332" s="32" t="n">
        <x:f>D332/E332</x:f>
        <x:v>0.0625</x:v>
      </x:c>
    </x:row>
    <x:row r="333" ht="19" customHeight="1">
      <x:c r="A333" s="19" t="str">
        <x:v>POOL095</x:v>
      </x:c>
      <x:c r="B333" s="19" t="str">
        <x:v>制式独立候选</x:v>
      </x:c>
      <x:c r="C333" s="19" t="str">
        <x:v>王庭统领战靴</x:v>
      </x:c>
      <x:c r="D333" s="19" t="n">
        <x:v>1</x:v>
      </x:c>
      <x:c r="E333" s="19" t="n">
        <x:v>16</x:v>
      </x:c>
      <x:c r="F333" s="32" t="n">
        <x:f>D333/E333</x:f>
        <x:v>0.0625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37db3c2c8aa448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0" hidden="0" customWidth="1"/>
    <x:col min="3" max="3" width="8" hidden="0" customWidth="1"/>
    <x:col min="4" max="4" width="8" hidden="0" customWidth="1"/>
    <x:col min="5" max="5" width="13" hidden="0" customWidth="1"/>
    <x:col min="6" max="6" width="18" hidden="0" customWidth="1"/>
    <x:col min="7" max="7" width="21" hidden="0" customWidth="1"/>
    <x:col min="8" max="8" width="18" hidden="0" customWidth="1"/>
    <x:col min="9" max="9" width="20" hidden="0" customWidth="1"/>
    <x:col min="10" max="10" width="20" hidden="0" customWidth="1"/>
    <x:col min="11" max="11" width="16" hidden="0" customWidth="1"/>
  </x:cols>
  <x:sheetData>
    <x:row r="1" ht="30" customHeight="1">
      <x:c r="A1" s="4" t="str">
        <x:v>03 · 击杀与刷新假设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9" t="str">
        <x:v>数量/刷新为本轮供给预算，不宣称本机Mongen已按此部署。多人争夺另有50%供给对照；输出2倍已包含在TTK，不重复乘。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30" customHeight="1">
      <x:c r="A4" s="14" t="str">
        <x:v>怪物ID</x:v>
      </x:c>
      <x:c r="B4" s="14" t="str">
        <x:v>怪名</x:v>
      </x:c>
      <x:c r="C4" s="14" t="str">
        <x:v>大陆</x:v>
      </x:c>
      <x:c r="D4" s="14" t="str">
        <x:v>组序</x:v>
      </x:c>
      <x:c r="E4" s="14" t="str">
        <x:v>类型</x:v>
      </x:c>
      <x:c r="F4" s="14" t="str">
        <x:v>沿用参考TTK秒</x:v>
      </x:c>
      <x:c r="G4" s="14" t="str">
        <x:v>可用同时数量假设</x:v>
      </x:c>
      <x:c r="H4" s="14" t="str">
        <x:v>刷新秒假设</x:v>
      </x:c>
      <x:c r="I4" s="14" t="str">
        <x:v>供给上限每小时</x:v>
      </x:c>
      <x:c r="J4" s="14" t="str">
        <x:v>采用击杀每小时</x:v>
      </x:c>
      <x:c r="K4" s="14" t="str">
        <x:v>人物输入ID</x:v>
      </x:c>
    </x:row>
    <x:row r="5" ht="19" customHeight="1">
      <x:c r="A5" s="19" t="str">
        <x:v>EL-MON-SEA-001</x:v>
      </x:c>
      <x:c r="B5" s="19" t="str">
        <x:v>盐蚀流民</x:v>
      </x:c>
      <x:c r="C5" s="19" t="n">
        <x:v>1</x:v>
      </x:c>
      <x:c r="D5" s="19" t="n">
        <x:v>1</x:v>
      </x:c>
      <x:c r="E5" s="19" t="str">
        <x:v>普通</x:v>
      </x:c>
      <x:c r="F5" s="34" t="n">
        <x:v>7.226151648973123</x:v>
      </x:c>
      <x:c r="G5" s="19" t="n">
        <x:v>12</x:v>
      </x:c>
      <x:c r="H5" s="19" t="n">
        <x:v>600</x:v>
      </x:c>
      <x:c r="I5" s="24" t="n">
        <x:f>G5*3600/H5</x:f>
        <x:v>72</x:v>
      </x:c>
      <x:c r="J5" s="24" t="n">
        <x:v>71.73942994590593</x:v>
      </x:c>
      <x:c r="K5" s="19" t="str">
        <x:v>P0003</x:v>
      </x:c>
    </x:row>
    <x:row r="6" ht="19" customHeight="1">
      <x:c r="A6" s="19" t="str">
        <x:v>EL-MON-SEA-002</x:v>
      </x:c>
      <x:c r="B6" s="19" t="str">
        <x:v>断桨弩手</x:v>
      </x:c>
      <x:c r="C6" s="19" t="n">
        <x:v>1</x:v>
      </x:c>
      <x:c r="D6" s="19" t="n">
        <x:v>1</x:v>
      </x:c>
      <x:c r="E6" s="19" t="str">
        <x:v>普通</x:v>
      </x:c>
      <x:c r="F6" s="34" t="n">
        <x:v>6.80108390491588</x:v>
      </x:c>
      <x:c r="G6" s="19" t="n">
        <x:v>12</x:v>
      </x:c>
      <x:c r="H6" s="19" t="n">
        <x:v>600</x:v>
      </x:c>
      <x:c r="I6" s="24" t="n">
        <x:f>G6*3600/H6</x:f>
        <x:v>72</x:v>
      </x:c>
      <x:c r="J6" s="24" t="n">
        <x:v>72</x:v>
      </x:c>
      <x:c r="K6" s="19" t="str">
        <x:v>P0003</x:v>
      </x:c>
    </x:row>
    <x:row r="7" ht="19" customHeight="1">
      <x:c r="A7" s="19" t="str">
        <x:v>EL-MON-SEA-003</x:v>
      </x:c>
      <x:c r="B7" s="19" t="str">
        <x:v>漂流尸兵</x:v>
      </x:c>
      <x:c r="C7" s="19" t="n">
        <x:v>1</x:v>
      </x:c>
      <x:c r="D7" s="19" t="n">
        <x:v>1</x:v>
      </x:c>
      <x:c r="E7" s="19" t="str">
        <x:v>普通</x:v>
      </x:c>
      <x:c r="F7" s="34" t="n">
        <x:v>8.50135488114485</x:v>
      </x:c>
      <x:c r="G7" s="19" t="n">
        <x:v>12</x:v>
      </x:c>
      <x:c r="H7" s="19" t="n">
        <x:v>600</x:v>
      </x:c>
      <x:c r="I7" s="24" t="n">
        <x:f>G7*3600/H7</x:f>
        <x:v>72</x:v>
      </x:c>
      <x:c r="J7" s="24" t="n">
        <x:v>60.97851545402004</x:v>
      </x:c>
      <x:c r="K7" s="19" t="str">
        <x:v>P0003</x:v>
      </x:c>
    </x:row>
    <x:row r="8" ht="19" customHeight="1">
      <x:c r="A8" s="19" t="str">
        <x:v>EL-MON-SEA-004</x:v>
      </x:c>
      <x:c r="B8" s="19" t="str">
        <x:v>失乡猎犬</x:v>
      </x:c>
      <x:c r="C8" s="19" t="n">
        <x:v>1</x:v>
      </x:c>
      <x:c r="D8" s="19" t="n">
        <x:v>1</x:v>
      </x:c>
      <x:c r="E8" s="19" t="str">
        <x:v>普通</x:v>
      </x:c>
      <x:c r="F8" s="34" t="n">
        <x:v>7.226151648973123</x:v>
      </x:c>
      <x:c r="G8" s="19" t="n">
        <x:v>12</x:v>
      </x:c>
      <x:c r="H8" s="19" t="n">
        <x:v>600</x:v>
      </x:c>
      <x:c r="I8" s="24" t="n">
        <x:f>G8*3600/H8</x:f>
        <x:v>72</x:v>
      </x:c>
      <x:c r="J8" s="24" t="n">
        <x:v>71.73942994590593</x:v>
      </x:c>
      <x:c r="K8" s="19" t="str">
        <x:v>P0003</x:v>
      </x:c>
    </x:row>
    <x:row r="9" ht="19" customHeight="1">
      <x:c r="A9" s="19" t="str">
        <x:v>EL-MON-SEA-005</x:v>
      </x:c>
      <x:c r="B9" s="19" t="str">
        <x:v>腐潮巨蟹</x:v>
      </x:c>
      <x:c r="C9" s="19" t="n">
        <x:v>1</x:v>
      </x:c>
      <x:c r="D9" s="19" t="n">
        <x:v>1</x:v>
      </x:c>
      <x:c r="E9" s="19" t="str">
        <x:v>普通</x:v>
      </x:c>
      <x:c r="F9" s="34" t="n">
        <x:v>8.50135488114485</x:v>
      </x:c>
      <x:c r="G9" s="19" t="n">
        <x:v>12</x:v>
      </x:c>
      <x:c r="H9" s="19" t="n">
        <x:v>600</x:v>
      </x:c>
      <x:c r="I9" s="24" t="n">
        <x:f>G9*3600/H9</x:f>
        <x:v>72</x:v>
      </x:c>
      <x:c r="J9" s="24" t="n">
        <x:v>60.97851545402004</x:v>
      </x:c>
      <x:c r="K9" s="19" t="str">
        <x:v>P0003</x:v>
      </x:c>
    </x:row>
    <x:row r="10" ht="19" customHeight="1">
      <x:c r="A10" s="19" t="str">
        <x:v>EL-MON-SEA-006</x:v>
      </x:c>
      <x:c r="B10" s="19" t="str">
        <x:v>铁锚行刑者</x:v>
      </x:c>
      <x:c r="C10" s="19" t="n">
        <x:v>1</x:v>
      </x:c>
      <x:c r="D10" s="19" t="n">
        <x:v>1</x:v>
      </x:c>
      <x:c r="E10" s="19" t="str">
        <x:v>稀有</x:v>
      </x:c>
      <x:c r="F10" s="34" t="n">
        <x:v>24.53859869459007</x:v>
      </x:c>
      <x:c r="G10" s="19" t="n">
        <x:v>2</x:v>
      </x:c>
      <x:c r="H10" s="19" t="n">
        <x:v>600</x:v>
      </x:c>
      <x:c r="I10" s="24" t="n">
        <x:f>G10*3600/H10</x:f>
        <x:v>12</x:v>
      </x:c>
      <x:c r="J10" s="24" t="n">
        <x:v>6.601843977167103</x:v>
      </x:c>
      <x:c r="K10" s="19" t="str">
        <x:v>P0003</x:v>
      </x:c>
    </x:row>
    <x:row r="11" ht="19" customHeight="1">
      <x:c r="A11" s="19" t="str">
        <x:v>EL-MON-SEA-007</x:v>
      </x:c>
      <x:c r="B11" s="19" t="str">
        <x:v>唤潮祷师</x:v>
      </x:c>
      <x:c r="C11" s="19" t="n">
        <x:v>1</x:v>
      </x:c>
      <x:c r="D11" s="19" t="n">
        <x:v>1</x:v>
      </x:c>
      <x:c r="E11" s="19" t="str">
        <x:v>稀有</x:v>
      </x:c>
      <x:c r="F11" s="34" t="n">
        <x:v>20.233581379749708</x:v>
      </x:c>
      <x:c r="G11" s="19" t="n">
        <x:v>2</x:v>
      </x:c>
      <x:c r="H11" s="19" t="n">
        <x:v>600</x:v>
      </x:c>
      <x:c r="I11" s="24" t="n">
        <x:f>G11*3600/H11</x:f>
        <x:v>12</x:v>
      </x:c>
      <x:c r="J11" s="24" t="n">
        <x:v>8.006491631883508</x:v>
      </x:c>
      <x:c r="K11" s="19" t="str">
        <x:v>P0003</x:v>
      </x:c>
    </x:row>
    <x:row r="12" ht="19" customHeight="1">
      <x:c r="A12" s="19" t="str">
        <x:v>EL-MON-SEA-008</x:v>
      </x:c>
      <x:c r="B12" s="19" t="str">
        <x:v>沉船守财者</x:v>
      </x:c>
      <x:c r="C12" s="19" t="n">
        <x:v>1</x:v>
      </x:c>
      <x:c r="D12" s="19" t="n">
        <x:v>1</x:v>
      </x:c>
      <x:c r="E12" s="19" t="str">
        <x:v>稀有</x:v>
      </x:c>
      <x:c r="F12" s="34" t="n">
        <x:v>22.38609003716989</x:v>
      </x:c>
      <x:c r="G12" s="19" t="n">
        <x:v>2</x:v>
      </x:c>
      <x:c r="H12" s="19" t="n">
        <x:v>600</x:v>
      </x:c>
      <x:c r="I12" s="24" t="n">
        <x:f>G12*3600/H12</x:f>
        <x:v>12</x:v>
      </x:c>
      <x:c r="J12" s="24" t="n">
        <x:v>7.236636667279324</x:v>
      </x:c>
      <x:c r="K12" s="19" t="str">
        <x:v>P0003</x:v>
      </x:c>
    </x:row>
    <x:row r="13" ht="19" customHeight="1">
      <x:c r="A13" s="19" t="str">
        <x:v>EL-MON-SEA-009</x:v>
      </x:c>
      <x:c r="B13" s="19" t="str">
        <x:v>海雾骑士</x:v>
      </x:c>
      <x:c r="C13" s="19" t="n">
        <x:v>1</x:v>
      </x:c>
      <x:c r="D13" s="19" t="n">
        <x:v>1</x:v>
      </x:c>
      <x:c r="E13" s="19" t="str">
        <x:v>稀有</x:v>
      </x:c>
      <x:c r="F13" s="34" t="n">
        <x:v>25.83010388904218</x:v>
      </x:c>
      <x:c r="G13" s="19" t="n">
        <x:v>2</x:v>
      </x:c>
      <x:c r="H13" s="19" t="n">
        <x:v>600</x:v>
      </x:c>
      <x:c r="I13" s="24" t="n">
        <x:f>G13*3600/H13</x:f>
        <x:v>12</x:v>
      </x:c>
      <x:c r="J13" s="24" t="n">
        <x:v>6.271751778308747</x:v>
      </x:c>
      <x:c r="K13" s="19" t="str">
        <x:v>P0003</x:v>
      </x:c>
    </x:row>
    <x:row r="14" ht="19" customHeight="1">
      <x:c r="A14" s="19" t="str">
        <x:v>EL-MON-SEA-010</x:v>
      </x:c>
      <x:c r="B14" s="19" t="str">
        <x:v>断桅船长·赫恩</x:v>
      </x:c>
      <x:c r="C14" s="19" t="n">
        <x:v>1</x:v>
      </x:c>
      <x:c r="D14" s="19" t="n">
        <x:v>1</x:v>
      </x:c>
      <x:c r="E14" s="19" t="str">
        <x:v>地图BOSS</x:v>
      </x:c>
      <x:c r="F14" s="34" t="n">
        <x:v>84.08667256397466</x:v>
      </x:c>
      <x:c r="G14" s="19" t="n">
        <x:v>1</x:v>
      </x:c>
      <x:c r="H14" s="19" t="n">
        <x:v>1800</x:v>
      </x:c>
      <x:c r="I14" s="24" t="n">
        <x:f>G14*3600/H14</x:f>
        <x:v>2</x:v>
      </x:c>
      <x:c r="J14" s="24" t="n">
        <x:v>2</x:v>
      </x:c>
      <x:c r="K14" s="19" t="str">
        <x:v>P0003</x:v>
      </x:c>
    </x:row>
    <x:row r="15" ht="19" customHeight="1">
      <x:c r="A15" s="19" t="str">
        <x:v>EL-MON-SEA-011</x:v>
      </x:c>
      <x:c r="B15" s="19" t="str">
        <x:v>吞岸巨兽·格拉姆</x:v>
      </x:c>
      <x:c r="C15" s="19" t="n">
        <x:v>1</x:v>
      </x:c>
      <x:c r="D15" s="19" t="n">
        <x:v>1</x:v>
      </x:c>
      <x:c r="E15" s="19" t="str">
        <x:v>地图BOSS</x:v>
      </x:c>
      <x:c r="F15" s="34" t="n">
        <x:v>75.6780053075772</x:v>
      </x:c>
      <x:c r="G15" s="19" t="n">
        <x:v>1</x:v>
      </x:c>
      <x:c r="H15" s="19" t="n">
        <x:v>1800</x:v>
      </x:c>
      <x:c r="I15" s="24" t="n">
        <x:f>G15*3600/H15</x:f>
        <x:v>2</x:v>
      </x:c>
      <x:c r="J15" s="24" t="n">
        <x:v>2</x:v>
      </x:c>
      <x:c r="K15" s="19" t="str">
        <x:v>P0003</x:v>
      </x:c>
    </x:row>
    <x:row r="16" ht="19" customHeight="1">
      <x:c r="A16" s="19" t="str">
        <x:v>EL-MON-CLIFF-001</x:v>
      </x:c>
      <x:c r="B16" s="19" t="str">
        <x:v>风蚀守卫</x:v>
      </x:c>
      <x:c r="C16" s="19" t="n">
        <x:v>1</x:v>
      </x:c>
      <x:c r="D16" s="19" t="n">
        <x:v>2</x:v>
      </x:c>
      <x:c r="E16" s="19" t="str">
        <x:v>普通</x:v>
      </x:c>
      <x:c r="F16" s="34" t="n">
        <x:v>6.4907154899790385</x:v>
      </x:c>
      <x:c r="G16" s="19" t="n">
        <x:v>12</x:v>
      </x:c>
      <x:c r="H16" s="19" t="n">
        <x:v>600</x:v>
      </x:c>
      <x:c r="I16" s="24" t="n">
        <x:f>G16*3600/H16</x:f>
        <x:v>72</x:v>
      </x:c>
      <x:c r="J16" s="24" t="n">
        <x:v>66.5566069976355</x:v>
      </x:c>
      <x:c r="K16" s="19" t="str">
        <x:v>P0009</x:v>
      </x:c>
    </x:row>
    <x:row r="17" ht="19" customHeight="1">
      <x:c r="A17" s="19" t="str">
        <x:v>EL-MON-CLIFF-002</x:v>
      </x:c>
      <x:c r="B17" s="19" t="str">
        <x:v>断崖弩手</x:v>
      </x:c>
      <x:c r="C17" s="19" t="n">
        <x:v>1</x:v>
      </x:c>
      <x:c r="D17" s="19" t="n">
        <x:v>2</x:v>
      </x:c>
      <x:c r="E17" s="19" t="str">
        <x:v>普通</x:v>
      </x:c>
      <x:c r="F17" s="34" t="n">
        <x:v>6.4907154899790385</x:v>
      </x:c>
      <x:c r="G17" s="19" t="n">
        <x:v>12</x:v>
      </x:c>
      <x:c r="H17" s="19" t="n">
        <x:v>600</x:v>
      </x:c>
      <x:c r="I17" s="24" t="n">
        <x:f>G17*3600/H17</x:f>
        <x:v>72</x:v>
      </x:c>
      <x:c r="J17" s="24" t="n">
        <x:v>66.5566069976355</x:v>
      </x:c>
      <x:c r="K17" s="19" t="str">
        <x:v>P0009</x:v>
      </x:c>
    </x:row>
    <x:row r="18" ht="19" customHeight="1">
      <x:c r="A18" s="19" t="str">
        <x:v>EL-MON-CLIFF-003</x:v>
      </x:c>
      <x:c r="B18" s="19" t="str">
        <x:v>雷羽鹰</x:v>
      </x:c>
      <x:c r="C18" s="19" t="n">
        <x:v>1</x:v>
      </x:c>
      <x:c r="D18" s="19" t="n">
        <x:v>2</x:v>
      </x:c>
      <x:c r="E18" s="19" t="str">
        <x:v>普通</x:v>
      </x:c>
      <x:c r="F18" s="34" t="n">
        <x:v>8.113394362473798</x:v>
      </x:c>
      <x:c r="G18" s="19" t="n">
        <x:v>12</x:v>
      </x:c>
      <x:c r="H18" s="19" t="n">
        <x:v>600</x:v>
      </x:c>
      <x:c r="I18" s="24" t="n">
        <x:f>G18*3600/H18</x:f>
        <x:v>72</x:v>
      </x:c>
      <x:c r="J18" s="24" t="n">
        <x:v>53.2452855981084</x:v>
      </x:c>
      <x:c r="K18" s="19" t="str">
        <x:v>P0009</x:v>
      </x:c>
    </x:row>
    <x:row r="19" ht="19" customHeight="1">
      <x:c r="A19" s="19" t="str">
        <x:v>EL-MON-CLIFF-004</x:v>
      </x:c>
      <x:c r="B19" s="19" t="str">
        <x:v>狂风战奴</x:v>
      </x:c>
      <x:c r="C19" s="19" t="n">
        <x:v>1</x:v>
      </x:c>
      <x:c r="D19" s="19" t="n">
        <x:v>2</x:v>
      </x:c>
      <x:c r="E19" s="19" t="str">
        <x:v>普通</x:v>
      </x:c>
      <x:c r="F19" s="34" t="n">
        <x:v>6.4907154899790385</x:v>
      </x:c>
      <x:c r="G19" s="19" t="n">
        <x:v>12</x:v>
      </x:c>
      <x:c r="H19" s="19" t="n">
        <x:v>600</x:v>
      </x:c>
      <x:c r="I19" s="24" t="n">
        <x:f>G19*3600/H19</x:f>
        <x:v>72</x:v>
      </x:c>
      <x:c r="J19" s="24" t="n">
        <x:v>66.5566069976355</x:v>
      </x:c>
      <x:c r="K19" s="19" t="str">
        <x:v>P0009</x:v>
      </x:c>
    </x:row>
    <x:row r="20" ht="19" customHeight="1">
      <x:c r="A20" s="19" t="str">
        <x:v>EL-MON-CLIFF-005</x:v>
      </x:c>
      <x:c r="B20" s="19" t="str">
        <x:v>坠崖亡兵</x:v>
      </x:c>
      <x:c r="C20" s="19" t="n">
        <x:v>1</x:v>
      </x:c>
      <x:c r="D20" s="19" t="n">
        <x:v>2</x:v>
      </x:c>
      <x:c r="E20" s="19" t="str">
        <x:v>普通</x:v>
      </x:c>
      <x:c r="F20" s="34" t="n">
        <x:v>8.113394362473798</x:v>
      </x:c>
      <x:c r="G20" s="19" t="n">
        <x:v>12</x:v>
      </x:c>
      <x:c r="H20" s="19" t="n">
        <x:v>600</x:v>
      </x:c>
      <x:c r="I20" s="24" t="n">
        <x:f>G20*3600/H20</x:f>
        <x:v>72</x:v>
      </x:c>
      <x:c r="J20" s="24" t="n">
        <x:v>53.2452855981084</x:v>
      </x:c>
      <x:c r="K20" s="19" t="str">
        <x:v>P0009</x:v>
      </x:c>
    </x:row>
    <x:row r="21" ht="19" customHeight="1">
      <x:c r="A21" s="19" t="str">
        <x:v>EL-MON-CLIFF-006</x:v>
      </x:c>
      <x:c r="B21" s="19" t="str">
        <x:v>崖穴石蜥</x:v>
      </x:c>
      <x:c r="C21" s="19" t="n">
        <x:v>1</x:v>
      </x:c>
      <x:c r="D21" s="19" t="n">
        <x:v>2</x:v>
      </x:c>
      <x:c r="E21" s="19" t="str">
        <x:v>普通</x:v>
      </x:c>
      <x:c r="F21" s="34" t="n">
        <x:v>6.4907154899790385</x:v>
      </x:c>
      <x:c r="G21" s="19" t="n">
        <x:v>12</x:v>
      </x:c>
      <x:c r="H21" s="19" t="n">
        <x:v>600</x:v>
      </x:c>
      <x:c r="I21" s="24" t="n">
        <x:f>G21*3600/H21</x:f>
        <x:v>72</x:v>
      </x:c>
      <x:c r="J21" s="24" t="n">
        <x:v>66.5566069976355</x:v>
      </x:c>
      <x:c r="K21" s="19" t="str">
        <x:v>P0009</x:v>
      </x:c>
    </x:row>
    <x:row r="22" ht="19" customHeight="1">
      <x:c r="A22" s="19" t="str">
        <x:v>EL-MON-CLIFF-007</x:v>
      </x:c>
      <x:c r="B22" s="19" t="str">
        <x:v>逐雷骑士</x:v>
      </x:c>
      <x:c r="C22" s="19" t="n">
        <x:v>1</x:v>
      </x:c>
      <x:c r="D22" s="19" t="n">
        <x:v>2</x:v>
      </x:c>
      <x:c r="E22" s="19" t="str">
        <x:v>稀有</x:v>
      </x:c>
      <x:c r="F22" s="34" t="n">
        <x:v>21.880245074472466</x:v>
      </x:c>
      <x:c r="G22" s="19" t="n">
        <x:v>2</x:v>
      </x:c>
      <x:c r="H22" s="19" t="n">
        <x:v>600</x:v>
      </x:c>
      <x:c r="I22" s="24" t="n">
        <x:f>G22*3600/H22</x:f>
        <x:v>12</x:v>
      </x:c>
      <x:c r="J22" s="24" t="n">
        <x:v>7.403939007475026</x:v>
      </x:c>
      <x:c r="K22" s="19" t="str">
        <x:v>P0009</x:v>
      </x:c>
    </x:row>
    <x:row r="23" ht="19" customHeight="1">
      <x:c r="A23" s="19" t="str">
        <x:v>EL-MON-CLIFF-008</x:v>
      </x:c>
      <x:c r="B23" s="19" t="str">
        <x:v>风暴祭司</x:v>
      </x:c>
      <x:c r="C23" s="19" t="n">
        <x:v>1</x:v>
      </x:c>
      <x:c r="D23" s="19" t="n">
        <x:v>2</x:v>
      </x:c>
      <x:c r="E23" s="19" t="str">
        <x:v>稀有</x:v>
      </x:c>
      <x:c r="F23" s="34" t="n">
        <x:v>25.18292357627963</x:v>
      </x:c>
      <x:c r="G23" s="19" t="n">
        <x:v>2</x:v>
      </x:c>
      <x:c r="H23" s="19" t="n">
        <x:v>600</x:v>
      </x:c>
      <x:c r="I23" s="24" t="n">
        <x:f>G23*3600/H23</x:f>
        <x:v>12</x:v>
      </x:c>
      <x:c r="J23" s="24" t="n">
        <x:v>6.432930613052072</x:v>
      </x:c>
      <x:c r="K23" s="19" t="str">
        <x:v>P0009</x:v>
      </x:c>
    </x:row>
    <x:row r="24" ht="19" customHeight="1">
      <x:c r="A24" s="19" t="str">
        <x:v>EL-MON-CLIFF-009</x:v>
      </x:c>
      <x:c r="B24" s="19" t="str">
        <x:v>裂岩巨人</x:v>
      </x:c>
      <x:c r="C24" s="19" t="n">
        <x:v>1</x:v>
      </x:c>
      <x:c r="D24" s="19" t="n">
        <x:v>2</x:v>
      </x:c>
      <x:c r="E24" s="19" t="str">
        <x:v>稀有</x:v>
      </x:c>
      <x:c r="F24" s="34" t="n">
        <x:v>21.880245074472466</x:v>
      </x:c>
      <x:c r="G24" s="19" t="n">
        <x:v>2</x:v>
      </x:c>
      <x:c r="H24" s="19" t="n">
        <x:v>600</x:v>
      </x:c>
      <x:c r="I24" s="24" t="n">
        <x:f>G24*3600/H24</x:f>
        <x:v>12</x:v>
      </x:c>
      <x:c r="J24" s="24" t="n">
        <x:v>7.403939007475026</x:v>
      </x:c>
      <x:c r="K24" s="19" t="str">
        <x:v>P0009</x:v>
      </x:c>
    </x:row>
    <x:row r="25" ht="19" customHeight="1">
      <x:c r="A25" s="19" t="str">
        <x:v>EL-MON-CLIFF-010</x:v>
      </x:c>
      <x:c r="B25" s="19" t="str">
        <x:v>黑翼猎杀者</x:v>
      </x:c>
      <x:c r="C25" s="19" t="n">
        <x:v>1</x:v>
      </x:c>
      <x:c r="D25" s="19" t="n">
        <x:v>2</x:v>
      </x:c>
      <x:c r="E25" s="19" t="str">
        <x:v>稀有</x:v>
      </x:c>
      <x:c r="F25" s="34" t="n">
        <x:v>19.816071010842986</x:v>
      </x:c>
      <x:c r="G25" s="19" t="n">
        <x:v>2</x:v>
      </x:c>
      <x:c r="H25" s="19" t="n">
        <x:v>600</x:v>
      </x:c>
      <x:c r="I25" s="24" t="n">
        <x:f>G25*3600/H25</x:f>
        <x:v>12</x:v>
      </x:c>
      <x:c r="J25" s="24" t="n">
        <x:v>8.175182654087008</x:v>
      </x:c>
      <x:c r="K25" s="19" t="str">
        <x:v>P0009</x:v>
      </x:c>
    </x:row>
    <x:row r="26" ht="19" customHeight="1">
      <x:c r="A26" s="19" t="str">
        <x:v>EL-MON-CLIFF-011</x:v>
      </x:c>
      <x:c r="B26" s="19" t="str">
        <x:v>风暴执刑官·巴鲁克</x:v>
      </x:c>
      <x:c r="C26" s="19" t="n">
        <x:v>1</x:v>
      </x:c>
      <x:c r="D26" s="19" t="n">
        <x:v>2</x:v>
      </x:c>
      <x:c r="E26" s="19" t="str">
        <x:v>地图BOSS</x:v>
      </x:c>
      <x:c r="F26" s="34" t="n">
        <x:v>85.40817709731337</x:v>
      </x:c>
      <x:c r="G26" s="19" t="n">
        <x:v>1</x:v>
      </x:c>
      <x:c r="H26" s="19" t="n">
        <x:v>1800</x:v>
      </x:c>
      <x:c r="I26" s="24" t="n">
        <x:f>G26*3600/H26</x:f>
        <x:v>2</x:v>
      </x:c>
      <x:c r="J26" s="24" t="n">
        <x:v>2</x:v>
      </x:c>
      <x:c r="K26" s="19" t="str">
        <x:v>P0009</x:v>
      </x:c>
    </x:row>
    <x:row r="27" ht="19" customHeight="1">
      <x:c r="A27" s="19" t="str">
        <x:v>EL-MON-CLIFF-012</x:v>
      </x:c>
      <x:c r="B27" s="19" t="str">
        <x:v>断崖古龙·赛尔</x:v>
      </x:c>
      <x:c r="C27" s="19" t="n">
        <x:v>1</x:v>
      </x:c>
      <x:c r="D27" s="19" t="n">
        <x:v>2</x:v>
      </x:c>
      <x:c r="E27" s="19" t="str">
        <x:v>地图BOSS</x:v>
      </x:c>
      <x:c r="F27" s="34" t="n">
        <x:v>67.61480686870641</x:v>
      </x:c>
      <x:c r="G27" s="19" t="n">
        <x:v>1</x:v>
      </x:c>
      <x:c r="H27" s="19" t="n">
        <x:v>1800</x:v>
      </x:c>
      <x:c r="I27" s="24" t="n">
        <x:f>G27*3600/H27</x:f>
        <x:v>2</x:v>
      </x:c>
      <x:c r="J27" s="24" t="n">
        <x:v>2</x:v>
      </x:c>
      <x:c r="K27" s="19" t="str">
        <x:v>P0009</x:v>
      </x:c>
    </x:row>
    <x:row r="28" ht="19" customHeight="1">
      <x:c r="A28" s="19" t="str">
        <x:v>EL-MON-COURT-001</x:v>
      </x:c>
      <x:c r="B28" s="19" t="str">
        <x:v>溺亡禁卫</x:v>
      </x:c>
      <x:c r="C28" s="19" t="n">
        <x:v>1</x:v>
      </x:c>
      <x:c r="D28" s="19" t="n">
        <x:v>3</x:v>
      </x:c>
      <x:c r="E28" s="19" t="str">
        <x:v>普通</x:v>
      </x:c>
      <x:c r="F28" s="34" t="n">
        <x:v>7.772600868697283</x:v>
      </x:c>
      <x:c r="G28" s="19" t="n">
        <x:v>12</x:v>
      </x:c>
      <x:c r="H28" s="19" t="n">
        <x:v>600</x:v>
      </x:c>
      <x:c r="I28" s="24" t="n">
        <x:f>G28*3600/H28</x:f>
        <x:v>72</x:v>
      </x:c>
      <x:c r="J28" s="24" t="n">
        <x:v>55.57985123612874</x:v>
      </x:c>
      <x:c r="K28" s="19" t="str">
        <x:v>P0015</x:v>
      </x:c>
    </x:row>
    <x:row r="29" ht="19" customHeight="1">
      <x:c r="A29" s="19" t="str">
        <x:v>EL-MON-COURT-002</x:v>
      </x:c>
      <x:c r="B29" s="19" t="str">
        <x:v>沉宫侍从</x:v>
      </x:c>
      <x:c r="C29" s="19" t="n">
        <x:v>1</x:v>
      </x:c>
      <x:c r="D29" s="19" t="n">
        <x:v>3</x:v>
      </x:c>
      <x:c r="E29" s="19" t="str">
        <x:v>普通</x:v>
      </x:c>
      <x:c r="F29" s="34" t="n">
        <x:v>6.758783364084594</x:v>
      </x:c>
      <x:c r="G29" s="19" t="n">
        <x:v>12</x:v>
      </x:c>
      <x:c r="H29" s="19" t="n">
        <x:v>600</x:v>
      </x:c>
      <x:c r="I29" s="24" t="n">
        <x:f>G29*3600/H29</x:f>
        <x:v>72</x:v>
      </x:c>
      <x:c r="J29" s="24" t="n">
        <x:v>63.91682892154805</x:v>
      </x:c>
      <x:c r="K29" s="19" t="str">
        <x:v>P0015</x:v>
      </x:c>
    </x:row>
    <x:row r="30" ht="19" customHeight="1">
      <x:c r="A30" s="19" t="str">
        <x:v>EL-MON-COURT-003</x:v>
      </x:c>
      <x:c r="B30" s="19" t="str">
        <x:v>苔甲骑兵</x:v>
      </x:c>
      <x:c r="C30" s="19" t="n">
        <x:v>1</x:v>
      </x:c>
      <x:c r="D30" s="19" t="n">
        <x:v>3</x:v>
      </x:c>
      <x:c r="E30" s="19" t="str">
        <x:v>普通</x:v>
      </x:c>
      <x:c r="F30" s="34" t="n">
        <x:v>7.772600868697283</x:v>
      </x:c>
      <x:c r="G30" s="19" t="n">
        <x:v>12</x:v>
      </x:c>
      <x:c r="H30" s="19" t="n">
        <x:v>600</x:v>
      </x:c>
      <x:c r="I30" s="24" t="n">
        <x:f>G30*3600/H30</x:f>
        <x:v>72</x:v>
      </x:c>
      <x:c r="J30" s="24" t="n">
        <x:v>55.57985123612874</x:v>
      </x:c>
      <x:c r="K30" s="19" t="str">
        <x:v>P0015</x:v>
      </x:c>
    </x:row>
    <x:row r="31" ht="19" customHeight="1">
      <x:c r="A31" s="19" t="str">
        <x:v>EL-MON-COURT-004</x:v>
      </x:c>
      <x:c r="B31" s="19" t="str">
        <x:v>王庭咒师</x:v>
      </x:c>
      <x:c r="C31" s="19" t="n">
        <x:v>1</x:v>
      </x:c>
      <x:c r="D31" s="19" t="n">
        <x:v>3</x:v>
      </x:c>
      <x:c r="E31" s="19" t="str">
        <x:v>普通</x:v>
      </x:c>
      <x:c r="F31" s="34" t="n">
        <x:v>7.434661700493053</x:v>
      </x:c>
      <x:c r="G31" s="19" t="n">
        <x:v>12</x:v>
      </x:c>
      <x:c r="H31" s="19" t="n">
        <x:v>600</x:v>
      </x:c>
      <x:c r="I31" s="24" t="n">
        <x:f>G31*3600/H31</x:f>
        <x:v>72</x:v>
      </x:c>
      <x:c r="J31" s="24" t="n">
        <x:v>58.10620811049823</x:v>
      </x:c>
      <x:c r="K31" s="19" t="str">
        <x:v>P0015</x:v>
      </x:c>
    </x:row>
    <x:row r="32" ht="19" customHeight="1">
      <x:c r="A32" s="19" t="str">
        <x:v>EL-MON-COURT-005</x:v>
      </x:c>
      <x:c r="B32" s="19" t="str">
        <x:v>深水石像</x:v>
      </x:c>
      <x:c r="C32" s="19" t="n">
        <x:v>1</x:v>
      </x:c>
      <x:c r="D32" s="19" t="n">
        <x:v>3</x:v>
      </x:c>
      <x:c r="E32" s="19" t="str">
        <x:v>普通</x:v>
      </x:c>
      <x:c r="F32" s="34" t="n">
        <x:v>6.758783364084594</x:v>
      </x:c>
      <x:c r="G32" s="19" t="n">
        <x:v>12</x:v>
      </x:c>
      <x:c r="H32" s="19" t="n">
        <x:v>600</x:v>
      </x:c>
      <x:c r="I32" s="24" t="n">
        <x:f>G32*3600/H32</x:f>
        <x:v>72</x:v>
      </x:c>
      <x:c r="J32" s="24" t="n">
        <x:v>63.91682892154805</x:v>
      </x:c>
      <x:c r="K32" s="19" t="str">
        <x:v>P0015</x:v>
      </x:c>
    </x:row>
    <x:row r="33" ht="19" customHeight="1">
      <x:c r="A33" s="19" t="str">
        <x:v>EL-MON-COURT-006</x:v>
      </x:c>
      <x:c r="B33" s="19" t="str">
        <x:v>幽灯侍者</x:v>
      </x:c>
      <x:c r="C33" s="19" t="n">
        <x:v>1</x:v>
      </x:c>
      <x:c r="D33" s="19" t="n">
        <x:v>3</x:v>
      </x:c>
      <x:c r="E33" s="19" t="str">
        <x:v>普通</x:v>
      </x:c>
      <x:c r="F33" s="34" t="n">
        <x:v>6.758783364084594</x:v>
      </x:c>
      <x:c r="G33" s="19" t="n">
        <x:v>12</x:v>
      </x:c>
      <x:c r="H33" s="19" t="n">
        <x:v>600</x:v>
      </x:c>
      <x:c r="I33" s="24" t="n">
        <x:f>G33*3600/H33</x:f>
        <x:v>72</x:v>
      </x:c>
      <x:c r="J33" s="24" t="n">
        <x:v>63.91682892154805</x:v>
      </x:c>
      <x:c r="K33" s="19" t="str">
        <x:v>P0015</x:v>
      </x:c>
    </x:row>
    <x:row r="34" ht="19" customHeight="1">
      <x:c r="A34" s="19" t="str">
        <x:v>EL-MON-COURT-007</x:v>
      </x:c>
      <x:c r="B34" s="19" t="str">
        <x:v>失冠王子</x:v>
      </x:c>
      <x:c r="C34" s="19" t="n">
        <x:v>1</x:v>
      </x:c>
      <x:c r="D34" s="19" t="n">
        <x:v>3</x:v>
      </x:c>
      <x:c r="E34" s="19" t="str">
        <x:v>稀有</x:v>
      </x:c>
      <x:c r="F34" s="34" t="n">
        <x:v>22.88032890180596</x:v>
      </x:c>
      <x:c r="G34" s="19" t="n">
        <x:v>2</x:v>
      </x:c>
      <x:c r="H34" s="19" t="n">
        <x:v>600</x:v>
      </x:c>
      <x:c r="I34" s="24" t="n">
        <x:f>G34*3600/H34</x:f>
        <x:v>12</x:v>
      </x:c>
      <x:c r="J34" s="24" t="n">
        <x:v>7.080317800292339</x:v>
      </x:c>
      <x:c r="K34" s="19" t="str">
        <x:v>P0015</x:v>
      </x:c>
    </x:row>
    <x:row r="35" ht="19" customHeight="1">
      <x:c r="A35" s="19" t="str">
        <x:v>EL-MON-COURT-008</x:v>
      </x:c>
      <x:c r="B35" s="19" t="str">
        <x:v>深渊看守</x:v>
      </x:c>
      <x:c r="C35" s="19" t="n">
        <x:v>1</x:v>
      </x:c>
      <x:c r="D35" s="19" t="n">
        <x:v>3</x:v>
      </x:c>
      <x:c r="E35" s="19" t="str">
        <x:v>稀有</x:v>
      </x:c>
      <x:c r="F35" s="34" t="n">
        <x:v>23.92034385188805</x:v>
      </x:c>
      <x:c r="G35" s="19" t="n">
        <x:v>2</x:v>
      </x:c>
      <x:c r="H35" s="19" t="n">
        <x:v>600</x:v>
      </x:c>
      <x:c r="I35" s="24" t="n">
        <x:f>G35*3600/H35</x:f>
        <x:v>12</x:v>
      </x:c>
      <x:c r="J35" s="24" t="n">
        <x:v>6.772477895931803</x:v>
      </x:c>
      <x:c r="K35" s="19" t="str">
        <x:v>P0015</x:v>
      </x:c>
    </x:row>
    <x:row r="36" ht="19" customHeight="1">
      <x:c r="A36" s="19" t="str">
        <x:v>EL-MON-COURT-009</x:v>
      </x:c>
      <x:c r="B36" s="19" t="str">
        <x:v>王庭裁决官</x:v>
      </x:c>
      <x:c r="C36" s="19" t="n">
        <x:v>1</x:v>
      </x:c>
      <x:c r="D36" s="19" t="n">
        <x:v>3</x:v>
      </x:c>
      <x:c r="E36" s="19" t="str">
        <x:v>稀有</x:v>
      </x:c>
      <x:c r="F36" s="34" t="n">
        <x:v>20.800299001641783</x:v>
      </x:c>
      <x:c r="G36" s="19" t="n">
        <x:v>2</x:v>
      </x:c>
      <x:c r="H36" s="19" t="n">
        <x:v>600</x:v>
      </x:c>
      <x:c r="I36" s="24" t="n">
        <x:f>G36*3600/H36</x:f>
        <x:v>12</x:v>
      </x:c>
      <x:c r="J36" s="24" t="n">
        <x:v>7.788349580321572</x:v>
      </x:c>
      <x:c r="K36" s="19" t="str">
        <x:v>P0015</x:v>
      </x:c>
    </x:row>
    <x:row r="37" ht="19" customHeight="1">
      <x:c r="A37" s="19" t="str">
        <x:v>EL-MON-COURT-010</x:v>
      </x:c>
      <x:c r="B37" s="19" t="str">
        <x:v>沉默女祭司</x:v>
      </x:c>
      <x:c r="C37" s="19" t="n">
        <x:v>1</x:v>
      </x:c>
      <x:c r="D37" s="19" t="n">
        <x:v>3</x:v>
      </x:c>
      <x:c r="E37" s="19" t="str">
        <x:v>稀有</x:v>
      </x:c>
      <x:c r="F37" s="34" t="n">
        <x:v>20.800299001641783</x:v>
      </x:c>
      <x:c r="G37" s="19" t="n">
        <x:v>2</x:v>
      </x:c>
      <x:c r="H37" s="19" t="n">
        <x:v>600</x:v>
      </x:c>
      <x:c r="I37" s="24" t="n">
        <x:f>G37*3600/H37</x:f>
        <x:v>12</x:v>
      </x:c>
      <x:c r="J37" s="24" t="n">
        <x:v>7.788349580321572</x:v>
      </x:c>
      <x:c r="K37" s="19" t="str">
        <x:v>P0015</x:v>
      </x:c>
    </x:row>
    <x:row r="38" ht="19" customHeight="1">
      <x:c r="A38" s="19" t="str">
        <x:v>EL-MON-COURT-011</x:v>
      </x:c>
      <x:c r="B38" s="19" t="str">
        <x:v>溺王亲卫长·萨恩</x:v>
      </x:c>
      <x:c r="C38" s="19" t="n">
        <x:v>1</x:v>
      </x:c>
      <x:c r="D38" s="19" t="n">
        <x:v>3</x:v>
      </x:c>
      <x:c r="E38" s="19" t="str">
        <x:v>地图BOSS</x:v>
      </x:c>
      <x:c r="F38" s="34" t="n">
        <x:v>83.03318225338106</x:v>
      </x:c>
      <x:c r="G38" s="19" t="n">
        <x:v>1</x:v>
      </x:c>
      <x:c r="H38" s="19" t="n">
        <x:v>1800</x:v>
      </x:c>
      <x:c r="I38" s="24" t="n">
        <x:f>G38*3600/H38</x:f>
        <x:v>2</x:v>
      </x:c>
      <x:c r="J38" s="24" t="n">
        <x:v>2</x:v>
      </x:c>
      <x:c r="K38" s="19" t="str">
        <x:v>P0015</x:v>
      </x:c>
    </x:row>
    <x:row r="39" ht="19" customHeight="1">
      <x:c r="A39" s="19" t="str">
        <x:v>EL-MON-COURT-012</x:v>
      </x:c>
      <x:c r="B39" s="19" t="str">
        <x:v>深潮大祭司·伊莱娜</x:v>
      </x:c>
      <x:c r="C39" s="19" t="n">
        <x:v>1</x:v>
      </x:c>
      <x:c r="D39" s="19" t="n">
        <x:v>3</x:v>
      </x:c>
      <x:c r="E39" s="19" t="str">
        <x:v>地图BOSS</x:v>
      </x:c>
      <x:c r="F39" s="34" t="n">
        <x:v>71.58032952877677</x:v>
      </x:c>
      <x:c r="G39" s="19" t="n">
        <x:v>1</x:v>
      </x:c>
      <x:c r="H39" s="19" t="n">
        <x:v>1800</x:v>
      </x:c>
      <x:c r="I39" s="24" t="n">
        <x:f>G39*3600/H39</x:f>
        <x:v>2</x:v>
      </x:c>
      <x:c r="J39" s="24" t="n">
        <x:v>2</x:v>
      </x:c>
      <x:c r="K39" s="19" t="str">
        <x:v>P0015</x:v>
      </x:c>
    </x:row>
    <x:row r="40" ht="19" customHeight="1">
      <x:c r="A40" s="19" t="str">
        <x:v>EL-MON-COURT-013</x:v>
      </x:c>
      <x:c r="B40" s="19" t="str">
        <x:v>沉没之王·奥德里安</x:v>
      </x:c>
      <x:c r="C40" s="19" t="n">
        <x:v>1</x:v>
      </x:c>
      <x:c r="D40" s="19" t="n">
        <x:v>3</x:v>
      </x:c>
      <x:c r="E40" s="19" t="str">
        <x:v>守关BOSS</x:v>
      </x:c>
      <x:c r="F40" s="34" t="n">
        <x:v>90.47044104395238</x:v>
      </x:c>
      <x:c r="G40" s="19" t="n">
        <x:v>1</x:v>
      </x:c>
      <x:c r="H40" s="19" t="n">
        <x:v>7200</x:v>
      </x:c>
      <x:c r="I40" s="24" t="n">
        <x:f>G40*3600/H40</x:f>
        <x:v>0.5</x:v>
      </x:c>
      <x:c r="J40" s="24" t="n">
        <x:v>0</x:v>
      </x:c>
      <x:c r="K40" s="19" t="str">
        <x:v>P0015</x:v>
      </x:c>
    </x:row>
    <x:row r="41" ht="19" customHeight="1">
      <x:c r="A41" s="19" t="str">
        <x:v>EL-MON-LIM-GRAVE-001</x:v>
      </x:c>
      <x:c r="B41" s="19" t="str">
        <x:v>褪色墓卒</x:v>
      </x:c>
      <x:c r="C41" s="19" t="n">
        <x:v>2</x:v>
      </x:c>
      <x:c r="D41" s="19" t="n">
        <x:v>1</x:v>
      </x:c>
      <x:c r="E41" s="19" t="str">
        <x:v>普通</x:v>
      </x:c>
      <x:c r="F41" s="34" t="n">
        <x:v>4.10507144747069</x:v>
      </x:c>
      <x:c r="G41" s="19" t="n">
        <x:v>12</x:v>
      </x:c>
      <x:c r="H41" s="19" t="n">
        <x:v>600</x:v>
      </x:c>
      <x:c r="I41" s="24" t="n">
        <x:f>G41*3600/H41</x:f>
        <x:v>72</x:v>
      </x:c>
      <x:c r="J41" s="24" t="n">
        <x:v>72</x:v>
      </x:c>
      <x:c r="K41" s="19" t="str">
        <x:v>P0027</x:v>
      </x:c>
    </x:row>
    <x:row r="42" ht="19" customHeight="1">
      <x:c r="A42" s="19" t="str">
        <x:v>EL-MON-LIM-GRAVE-002</x:v>
      </x:c>
      <x:c r="B42" s="19" t="str">
        <x:v>漂泊腐尸</x:v>
      </x:c>
      <x:c r="C42" s="19" t="n">
        <x:v>2</x:v>
      </x:c>
      <x:c r="D42" s="19" t="n">
        <x:v>1</x:v>
      </x:c>
      <x:c r="E42" s="19" t="str">
        <x:v>普通</x:v>
      </x:c>
      <x:c r="F42" s="34" t="n">
        <x:v>4.51557859221776</x:v>
      </x:c>
      <x:c r="G42" s="19" t="n">
        <x:v>12</x:v>
      </x:c>
      <x:c r="H42" s="19" t="n">
        <x:v>600</x:v>
      </x:c>
      <x:c r="I42" s="24" t="n">
        <x:f>G42*3600/H42</x:f>
        <x:v>72</x:v>
      </x:c>
      <x:c r="J42" s="24" t="n">
        <x:v>72</x:v>
      </x:c>
      <x:c r="K42" s="19" t="str">
        <x:v>P0027</x:v>
      </x:c>
    </x:row>
    <x:row r="43" ht="19" customHeight="1">
      <x:c r="A43" s="19" t="str">
        <x:v>EL-MON-LIM-GRAVE-003</x:v>
      </x:c>
      <x:c r="B43" s="19" t="str">
        <x:v>墓穴尖牙鬼</x:v>
      </x:c>
      <x:c r="C43" s="19" t="n">
        <x:v>2</x:v>
      </x:c>
      <x:c r="D43" s="19" t="n">
        <x:v>1</x:v>
      </x:c>
      <x:c r="E43" s="19" t="str">
        <x:v>普通</x:v>
      </x:c>
      <x:c r="F43" s="34" t="n">
        <x:v>4.51557859221776</x:v>
      </x:c>
      <x:c r="G43" s="19" t="n">
        <x:v>12</x:v>
      </x:c>
      <x:c r="H43" s="19" t="n">
        <x:v>600</x:v>
      </x:c>
      <x:c r="I43" s="24" t="n">
        <x:f>G43*3600/H43</x:f>
        <x:v>72</x:v>
      </x:c>
      <x:c r="J43" s="24" t="n">
        <x:v>72</x:v>
      </x:c>
      <x:c r="K43" s="19" t="str">
        <x:v>P0027</x:v>
      </x:c>
    </x:row>
    <x:row r="44" ht="19" customHeight="1">
      <x:c r="A44" s="19" t="str">
        <x:v>EL-MON-LIM-GRAVE-004</x:v>
      </x:c>
      <x:c r="B44" s="19" t="str">
        <x:v>石肤守墓人</x:v>
      </x:c>
      <x:c r="C44" s="19" t="n">
        <x:v>2</x:v>
      </x:c>
      <x:c r="D44" s="19" t="n">
        <x:v>1</x:v>
      </x:c>
      <x:c r="E44" s="19" t="str">
        <x:v>普通</x:v>
      </x:c>
      <x:c r="F44" s="34" t="n">
        <x:v>3.8314000176393113</x:v>
      </x:c>
      <x:c r="G44" s="19" t="n">
        <x:v>12</x:v>
      </x:c>
      <x:c r="H44" s="19" t="n">
        <x:v>600</x:v>
      </x:c>
      <x:c r="I44" s="24" t="n">
        <x:f>G44*3600/H44</x:f>
        <x:v>72</x:v>
      </x:c>
      <x:c r="J44" s="24" t="n">
        <x:v>72</x:v>
      </x:c>
      <x:c r="K44" s="19" t="str">
        <x:v>P0027</x:v>
      </x:c>
    </x:row>
    <x:row r="45" ht="19" customHeight="1">
      <x:c r="A45" s="19" t="str">
        <x:v>EL-MON-LIM-GRAVE-005</x:v>
      </x:c>
      <x:c r="B45" s="19" t="str">
        <x:v>失乡弩尸</x:v>
      </x:c>
      <x:c r="C45" s="19" t="n">
        <x:v>2</x:v>
      </x:c>
      <x:c r="D45" s="19" t="n">
        <x:v>1</x:v>
      </x:c>
      <x:c r="E45" s="19" t="str">
        <x:v>普通</x:v>
      </x:c>
      <x:c r="F45" s="34" t="n">
        <x:v>4.10507144747069</x:v>
      </x:c>
      <x:c r="G45" s="19" t="n">
        <x:v>12</x:v>
      </x:c>
      <x:c r="H45" s="19" t="n">
        <x:v>600</x:v>
      </x:c>
      <x:c r="I45" s="24" t="n">
        <x:f>G45*3600/H45</x:f>
        <x:v>72</x:v>
      </x:c>
      <x:c r="J45" s="24" t="n">
        <x:v>72</x:v>
      </x:c>
      <x:c r="K45" s="19" t="str">
        <x:v>P0027</x:v>
      </x:c>
    </x:row>
    <x:row r="46" ht="19" customHeight="1">
      <x:c r="A46" s="19" t="str">
        <x:v>EL-MON-LIM-GRAVE-006</x:v>
      </x:c>
      <x:c r="B46" s="19" t="str">
        <x:v>幽火墓蛾</x:v>
      </x:c>
      <x:c r="C46" s="19" t="n">
        <x:v>2</x:v>
      </x:c>
      <x:c r="D46" s="19" t="n">
        <x:v>1</x:v>
      </x:c>
      <x:c r="E46" s="19" t="str">
        <x:v>普通</x:v>
      </x:c>
      <x:c r="F46" s="34" t="n">
        <x:v>3.8314000176393113</x:v>
      </x:c>
      <x:c r="G46" s="19" t="n">
        <x:v>12</x:v>
      </x:c>
      <x:c r="H46" s="19" t="n">
        <x:v>600</x:v>
      </x:c>
      <x:c r="I46" s="24" t="n">
        <x:f>G46*3600/H46</x:f>
        <x:v>72</x:v>
      </x:c>
      <x:c r="J46" s="24" t="n">
        <x:v>72</x:v>
      </x:c>
      <x:c r="K46" s="19" t="str">
        <x:v>P0027</x:v>
      </x:c>
    </x:row>
    <x:row r="47" ht="19" customHeight="1">
      <x:c r="A47" s="19" t="str">
        <x:v>EL-MON-LIM-GRAVE-007</x:v>
      </x:c>
      <x:c r="B47" s="19" t="str">
        <x:v>归树看门犬</x:v>
      </x:c>
      <x:c r="C47" s="19" t="n">
        <x:v>2</x:v>
      </x:c>
      <x:c r="D47" s="19" t="n">
        <x:v>1</x:v>
      </x:c>
      <x:c r="E47" s="19" t="str">
        <x:v>稀有</x:v>
      </x:c>
      <x:c r="F47" s="34" t="n">
        <x:v>14.038764789070635</x:v>
      </x:c>
      <x:c r="G47" s="19" t="n">
        <x:v>2</x:v>
      </x:c>
      <x:c r="H47" s="19" t="n">
        <x:v>600</x:v>
      </x:c>
      <x:c r="I47" s="24" t="n">
        <x:f>G47*3600/H47</x:f>
        <x:v>12</x:v>
      </x:c>
      <x:c r="J47" s="24" t="n">
        <x:v>11.539476758391105</x:v>
      </x:c>
      <x:c r="K47" s="19" t="str">
        <x:v>P0027</x:v>
      </x:c>
    </x:row>
    <x:row r="48" ht="19" customHeight="1">
      <x:c r="A48" s="19" t="str">
        <x:v>EL-MON-LIM-GRAVE-008</x:v>
      </x:c>
      <x:c r="B48" s="19" t="str">
        <x:v>腐败树根兽</x:v>
      </x:c>
      <x:c r="C48" s="19" t="n">
        <x:v>2</x:v>
      </x:c>
      <x:c r="D48" s="19" t="n">
        <x:v>1</x:v>
      </x:c>
      <x:c r="E48" s="19" t="str">
        <x:v>稀有</x:v>
      </x:c>
      <x:c r="F48" s="34" t="n">
        <x:v>12.283919190436807</x:v>
      </x:c>
      <x:c r="G48" s="19" t="n">
        <x:v>2</x:v>
      </x:c>
      <x:c r="H48" s="19" t="n">
        <x:v>600</x:v>
      </x:c>
      <x:c r="I48" s="24" t="n">
        <x:f>G48*3600/H48</x:f>
        <x:v>12</x:v>
      </x:c>
      <x:c r="J48" s="24" t="n">
        <x:v>12</x:v>
      </x:c>
      <x:c r="K48" s="19" t="str">
        <x:v>P0027</x:v>
      </x:c>
    </x:row>
    <x:row r="49" ht="19" customHeight="1">
      <x:c r="A49" s="19" t="str">
        <x:v>EL-MON-LIM-GRAVE-009</x:v>
      </x:c>
      <x:c r="B49" s="19" t="str">
        <x:v>失乡熔炉骑士</x:v>
      </x:c>
      <x:c r="C49" s="19" t="n">
        <x:v>2</x:v>
      </x:c>
      <x:c r="D49" s="19" t="n">
        <x:v>1</x:v>
      </x:c>
      <x:c r="E49" s="19" t="str">
        <x:v>稀有</x:v>
      </x:c>
      <x:c r="F49" s="34" t="n">
        <x:v>10.967784991461434</x:v>
      </x:c>
      <x:c r="G49" s="19" t="n">
        <x:v>2</x:v>
      </x:c>
      <x:c r="H49" s="19" t="n">
        <x:v>600</x:v>
      </x:c>
      <x:c r="I49" s="24" t="n">
        <x:f>G49*3600/H49</x:f>
        <x:v>12</x:v>
      </x:c>
      <x:c r="J49" s="24" t="n">
        <x:v>12</x:v>
      </x:c>
      <x:c r="K49" s="19" t="str">
        <x:v>P0027</x:v>
      </x:c>
    </x:row>
    <x:row r="50" ht="19" customHeight="1">
      <x:c r="A50" s="19" t="str">
        <x:v>EL-MON-LIM-GRAVE-010</x:v>
      </x:c>
      <x:c r="B50" s="19" t="str">
        <x:v>英雄墓影</x:v>
      </x:c>
      <x:c r="C50" s="19" t="n">
        <x:v>2</x:v>
      </x:c>
      <x:c r="D50" s="19" t="n">
        <x:v>1</x:v>
      </x:c>
      <x:c r="E50" s="19" t="str">
        <x:v>稀有</x:v>
      </x:c>
      <x:c r="F50" s="34" t="n">
        <x:v>14.038764789070635</x:v>
      </x:c>
      <x:c r="G50" s="19" t="n">
        <x:v>2</x:v>
      </x:c>
      <x:c r="H50" s="19" t="n">
        <x:v>600</x:v>
      </x:c>
      <x:c r="I50" s="24" t="n">
        <x:f>G50*3600/H50</x:f>
        <x:v>12</x:v>
      </x:c>
      <x:c r="J50" s="24" t="n">
        <x:v>11.539476758391105</x:v>
      </x:c>
      <x:c r="K50" s="19" t="str">
        <x:v>P0027</x:v>
      </x:c>
    </x:row>
    <x:row r="51" ht="19" customHeight="1">
      <x:c r="A51" s="19" t="str">
        <x:v>EL-MON-LIM-GRAVE-011</x:v>
      </x:c>
      <x:c r="B51" s="19" t="str">
        <x:v>溃烂树灵·乌尔德</x:v>
      </x:c>
      <x:c r="C51" s="19" t="n">
        <x:v>2</x:v>
      </x:c>
      <x:c r="D51" s="19" t="n">
        <x:v>1</x:v>
      </x:c>
      <x:c r="E51" s="19" t="str">
        <x:v>地图BOSS</x:v>
      </x:c>
      <x:c r="F51" s="34" t="n">
        <x:v>81.50182084007068</x:v>
      </x:c>
      <x:c r="G51" s="19" t="n">
        <x:v>1</x:v>
      </x:c>
      <x:c r="H51" s="19" t="n">
        <x:v>1800</x:v>
      </x:c>
      <x:c r="I51" s="24" t="n">
        <x:f>G51*3600/H51</x:f>
        <x:v>2</x:v>
      </x:c>
      <x:c r="J51" s="24" t="n">
        <x:v>2</x:v>
      </x:c>
      <x:c r="K51" s="19" t="str">
        <x:v>P0027</x:v>
      </x:c>
    </x:row>
    <x:row r="52" ht="19" customHeight="1">
      <x:c r="A52" s="19" t="str">
        <x:v>EL-MON-LIM-GRAVE-012</x:v>
      </x:c>
      <x:c r="B52" s="19" t="str">
        <x:v>接肢贵胄·格雷姆</x:v>
      </x:c>
      <x:c r="C52" s="19" t="n">
        <x:v>2</x:v>
      </x:c>
      <x:c r="D52" s="19" t="n">
        <x:v>1</x:v>
      </x:c>
      <x:c r="E52" s="19" t="str">
        <x:v>地图BOSS</x:v>
      </x:c>
      <x:c r="F52" s="34" t="n">
        <x:v>89.65200292407773</x:v>
      </x:c>
      <x:c r="G52" s="19" t="n">
        <x:v>1</x:v>
      </x:c>
      <x:c r="H52" s="19" t="n">
        <x:v>1800</x:v>
      </x:c>
      <x:c r="I52" s="24" t="n">
        <x:f>G52*3600/H52</x:f>
        <x:v>2</x:v>
      </x:c>
      <x:c r="J52" s="24" t="n">
        <x:v>2</x:v>
      </x:c>
      <x:c r="K52" s="19" t="str">
        <x:v>P0027</x:v>
      </x:c>
    </x:row>
    <x:row r="53" ht="19" customHeight="1">
      <x:c r="A53" s="19" t="str">
        <x:v>EL-MON-LIM-GATE-001</x:v>
      </x:c>
      <x:c r="B53" s="19" t="str">
        <x:v>葛瑞克步兵</x:v>
      </x:c>
      <x:c r="C53" s="19" t="n">
        <x:v>2</x:v>
      </x:c>
      <x:c r="D53" s="19" t="n">
        <x:v>2</x:v>
      </x:c>
      <x:c r="E53" s="19" t="str">
        <x:v>普通</x:v>
      </x:c>
      <x:c r="F53" s="34" t="n">
        <x:v>4.7207066657484535</x:v>
      </x:c>
      <x:c r="G53" s="19" t="n">
        <x:v>12</x:v>
      </x:c>
      <x:c r="H53" s="19" t="n">
        <x:v>600</x:v>
      </x:c>
      <x:c r="I53" s="24" t="n">
        <x:f>G53*3600/H53</x:f>
        <x:v>72</x:v>
      </x:c>
      <x:c r="J53" s="24" t="n">
        <x:v>72</x:v>
      </x:c>
      <x:c r="K53" s="19" t="str">
        <x:v>P0033</x:v>
      </x:c>
    </x:row>
    <x:row r="54" ht="19" customHeight="1">
      <x:c r="A54" s="19" t="str">
        <x:v>EL-MON-LIM-GATE-002</x:v>
      </x:c>
      <x:c r="B54" s="19" t="str">
        <x:v>关卡长枪兵</x:v>
      </x:c>
      <x:c r="C54" s="19" t="n">
        <x:v>2</x:v>
      </x:c>
      <x:c r="D54" s="19" t="n">
        <x:v>2</x:v>
      </x:c>
      <x:c r="E54" s="19" t="str">
        <x:v>普通</x:v>
      </x:c>
      <x:c r="F54" s="34" t="n">
        <x:v>5.192777332323299</x:v>
      </x:c>
      <x:c r="G54" s="19" t="n">
        <x:v>12</x:v>
      </x:c>
      <x:c r="H54" s="19" t="n">
        <x:v>600</x:v>
      </x:c>
      <x:c r="I54" s="24" t="n">
        <x:f>G54*3600/H54</x:f>
        <x:v>72</x:v>
      </x:c>
      <x:c r="J54" s="24" t="n">
        <x:v>72</x:v>
      </x:c>
      <x:c r="K54" s="19" t="str">
        <x:v>P0033</x:v>
      </x:c>
    </x:row>
    <x:row r="55" ht="19" customHeight="1">
      <x:c r="A55" s="19" t="str">
        <x:v>EL-MON-LIM-GATE-003</x:v>
      </x:c>
      <x:c r="B55" s="19" t="str">
        <x:v>废墟弩手</x:v>
      </x:c>
      <x:c r="C55" s="19" t="n">
        <x:v>2</x:v>
      </x:c>
      <x:c r="D55" s="19" t="n">
        <x:v>2</x:v>
      </x:c>
      <x:c r="E55" s="19" t="str">
        <x:v>普通</x:v>
      </x:c>
      <x:c r="F55" s="34" t="n">
        <x:v>5.428812665610722</x:v>
      </x:c>
      <x:c r="G55" s="19" t="n">
        <x:v>12</x:v>
      </x:c>
      <x:c r="H55" s="19" t="n">
        <x:v>600</x:v>
      </x:c>
      <x:c r="I55" s="24" t="n">
        <x:f>G55*3600/H55</x:f>
        <x:v>72</x:v>
      </x:c>
      <x:c r="J55" s="24" t="n">
        <x:v>72</x:v>
      </x:c>
      <x:c r="K55" s="19" t="str">
        <x:v>P0033</x:v>
      </x:c>
    </x:row>
    <x:row r="56" ht="19" customHeight="1">
      <x:c r="A56" s="19" t="str">
        <x:v>EL-MON-LIM-GATE-004</x:v>
      </x:c>
      <x:c r="B56" s="19" t="str">
        <x:v>风暴战狼</x:v>
      </x:c>
      <x:c r="C56" s="19" t="n">
        <x:v>2</x:v>
      </x:c>
      <x:c r="D56" s="19" t="n">
        <x:v>2</x:v>
      </x:c>
      <x:c r="E56" s="19" t="str">
        <x:v>普通</x:v>
      </x:c>
      <x:c r="F56" s="34" t="n">
        <x:v>4.484671332461032</x:v>
      </x:c>
      <x:c r="G56" s="19" t="n">
        <x:v>12</x:v>
      </x:c>
      <x:c r="H56" s="19" t="n">
        <x:v>600</x:v>
      </x:c>
      <x:c r="I56" s="24" t="n">
        <x:f>G56*3600/H56</x:f>
        <x:v>72</x:v>
      </x:c>
      <x:c r="J56" s="24" t="n">
        <x:v>72</x:v>
      </x:c>
      <x:c r="K56" s="19" t="str">
        <x:v>P0033</x:v>
      </x:c>
    </x:row>
    <x:row r="57" ht="19" customHeight="1">
      <x:c r="A57" s="19" t="str">
        <x:v>EL-MON-LIM-GATE-005</x:v>
      </x:c>
      <x:c r="B57" s="19" t="str">
        <x:v>流放军士</x:v>
      </x:c>
      <x:c r="C57" s="19" t="n">
        <x:v>2</x:v>
      </x:c>
      <x:c r="D57" s="19" t="n">
        <x:v>2</x:v>
      </x:c>
      <x:c r="E57" s="19" t="str">
        <x:v>普通</x:v>
      </x:c>
      <x:c r="F57" s="34" t="n">
        <x:v>4.248635999173609</x:v>
      </x:c>
      <x:c r="G57" s="19" t="n">
        <x:v>12</x:v>
      </x:c>
      <x:c r="H57" s="19" t="n">
        <x:v>600</x:v>
      </x:c>
      <x:c r="I57" s="24" t="n">
        <x:f>G57*3600/H57</x:f>
        <x:v>72</x:v>
      </x:c>
      <x:c r="J57" s="24" t="n">
        <x:v>72</x:v>
      </x:c>
      <x:c r="K57" s="19" t="str">
        <x:v>P0033</x:v>
      </x:c>
    </x:row>
    <x:row r="58" ht="19" customHeight="1">
      <x:c r="A58" s="19" t="str">
        <x:v>EL-MON-LIM-GATE-006</x:v>
      </x:c>
      <x:c r="B58" s="19" t="str">
        <x:v>断旗骑兵</x:v>
      </x:c>
      <x:c r="C58" s="19" t="n">
        <x:v>2</x:v>
      </x:c>
      <x:c r="D58" s="19" t="n">
        <x:v>2</x:v>
      </x:c>
      <x:c r="E58" s="19" t="str">
        <x:v>普通</x:v>
      </x:c>
      <x:c r="F58" s="34" t="n">
        <x:v>4.484671332461032</x:v>
      </x:c>
      <x:c r="G58" s="19" t="n">
        <x:v>12</x:v>
      </x:c>
      <x:c r="H58" s="19" t="n">
        <x:v>600</x:v>
      </x:c>
      <x:c r="I58" s="24" t="n">
        <x:f>G58*3600/H58</x:f>
        <x:v>72</x:v>
      </x:c>
      <x:c r="J58" s="24" t="n">
        <x:v>72</x:v>
      </x:c>
      <x:c r="K58" s="19" t="str">
        <x:v>P0033</x:v>
      </x:c>
    </x:row>
    <x:row r="59" ht="19" customHeight="1">
      <x:c r="A59" s="19" t="str">
        <x:v>EL-MON-LIM-GATE-007</x:v>
      </x:c>
      <x:c r="B59" s="19" t="str">
        <x:v>黄金重骑</x:v>
      </x:c>
      <x:c r="C59" s="19" t="n">
        <x:v>2</x:v>
      </x:c>
      <x:c r="D59" s="19" t="n">
        <x:v>2</x:v>
      </x:c>
      <x:c r="E59" s="19" t="str">
        <x:v>稀有</x:v>
      </x:c>
      <x:c r="F59" s="34" t="n">
        <x:v>12.600324006647162</x:v>
      </x:c>
      <x:c r="G59" s="19" t="n">
        <x:v>2</x:v>
      </x:c>
      <x:c r="H59" s="19" t="n">
        <x:v>600</x:v>
      </x:c>
      <x:c r="I59" s="24" t="n">
        <x:f>G59*3600/H59</x:f>
        <x:v>12</x:v>
      </x:c>
      <x:c r="J59" s="24" t="n">
        <x:v>12</x:v>
      </x:c>
      <x:c r="K59" s="19" t="str">
        <x:v>P0033</x:v>
      </x:c>
    </x:row>
    <x:row r="60" ht="19" customHeight="1">
      <x:c r="A60" s="19" t="str">
        <x:v>EL-MON-LIM-GATE-008</x:v>
      </x:c>
      <x:c r="B60" s="19" t="str">
        <x:v>失乡骑士</x:v>
      </x:c>
      <x:c r="C60" s="19" t="n">
        <x:v>2</x:v>
      </x:c>
      <x:c r="D60" s="19" t="n">
        <x:v>2</x:v>
      </x:c>
      <x:c r="E60" s="19" t="str">
        <x:v>稀有</x:v>
      </x:c>
      <x:c r="F60" s="34" t="n">
        <x:v>13.440345607090306</x:v>
      </x:c>
      <x:c r="G60" s="19" t="n">
        <x:v>2</x:v>
      </x:c>
      <x:c r="H60" s="19" t="n">
        <x:v>600</x:v>
      </x:c>
      <x:c r="I60" s="24" t="n">
        <x:f>G60*3600/H60</x:f>
        <x:v>12</x:v>
      </x:c>
      <x:c r="J60" s="24" t="n">
        <x:v>12</x:v>
      </x:c>
      <x:c r="K60" s="19" t="str">
        <x:v>P0033</x:v>
      </x:c>
    </x:row>
    <x:row r="61" ht="19" customHeight="1">
      <x:c r="A61" s="19" t="str">
        <x:v>EL-MON-LIM-GATE-009</x:v>
      </x:c>
      <x:c r="B61" s="19" t="str">
        <x:v>军营兽爪官</x:v>
      </x:c>
      <x:c r="C61" s="19" t="n">
        <x:v>2</x:v>
      </x:c>
      <x:c r="D61" s="19" t="n">
        <x:v>2</x:v>
      </x:c>
      <x:c r="E61" s="19" t="str">
        <x:v>稀有</x:v>
      </x:c>
      <x:c r="F61" s="34" t="n">
        <x:v>14.28036720753345</x:v>
      </x:c>
      <x:c r="G61" s="19" t="n">
        <x:v>2</x:v>
      </x:c>
      <x:c r="H61" s="19" t="n">
        <x:v>600</x:v>
      </x:c>
      <x:c r="I61" s="24" t="n">
        <x:f>G61*3600/H61</x:f>
        <x:v>12</x:v>
      </x:c>
      <x:c r="J61" s="24" t="n">
        <x:v>11.344246099955937</x:v>
      </x:c>
      <x:c r="K61" s="19" t="str">
        <x:v>P0033</x:v>
      </x:c>
    </x:row>
    <x:row r="62" ht="19" customHeight="1">
      <x:c r="A62" s="19" t="str">
        <x:v>EL-MON-LIM-GATE-010</x:v>
      </x:c>
      <x:c r="B62" s="19" t="str">
        <x:v>关隘战车</x:v>
      </x:c>
      <x:c r="C62" s="19" t="n">
        <x:v>2</x:v>
      </x:c>
      <x:c r="D62" s="19" t="n">
        <x:v>2</x:v>
      </x:c>
      <x:c r="E62" s="19" t="str">
        <x:v>稀有</x:v>
      </x:c>
      <x:c r="F62" s="34" t="n">
        <x:v>15.960410408419738</x:v>
      </x:c>
      <x:c r="G62" s="19" t="n">
        <x:v>2</x:v>
      </x:c>
      <x:c r="H62" s="19" t="n">
        <x:v>600</x:v>
      </x:c>
      <x:c r="I62" s="24" t="n">
        <x:f>G62*3600/H62</x:f>
        <x:v>12</x:v>
      </x:c>
      <x:c r="J62" s="24" t="n">
        <x:v>10.150114931539523</x:v>
      </x:c>
      <x:c r="K62" s="19" t="str">
        <x:v>P0033</x:v>
      </x:c>
    </x:row>
    <x:row r="63" ht="19" customHeight="1">
      <x:c r="A63" s="19" t="str">
        <x:v>EL-MON-LIM-GATE-011</x:v>
      </x:c>
      <x:c r="B63" s="19" t="str">
        <x:v>大树守卫·罗兰</x:v>
      </x:c>
      <x:c r="C63" s="19" t="n">
        <x:v>2</x:v>
      </x:c>
      <x:c r="D63" s="19" t="n">
        <x:v>2</x:v>
      </x:c>
      <x:c r="E63" s="19" t="str">
        <x:v>地图BOSS</x:v>
      </x:c>
      <x:c r="F63" s="34" t="n">
        <x:v>87.10198737404957</x:v>
      </x:c>
      <x:c r="G63" s="19" t="n">
        <x:v>1</x:v>
      </x:c>
      <x:c r="H63" s="19" t="n">
        <x:v>1800</x:v>
      </x:c>
      <x:c r="I63" s="24" t="n">
        <x:f>G63*3600/H63</x:f>
        <x:v>2</x:v>
      </x:c>
      <x:c r="J63" s="24" t="n">
        <x:v>2</x:v>
      </x:c>
      <x:c r="K63" s="19" t="str">
        <x:v>P0033</x:v>
      </x:c>
    </x:row>
    <x:row r="64" ht="19" customHeight="1">
      <x:c r="A64" s="19" t="str">
        <x:v>EL-MON-LIM-GATE-012</x:v>
      </x:c>
      <x:c r="B64" s="19" t="str">
        <x:v>黑夜骑兵·莫尔</x:v>
      </x:c>
      <x:c r="C64" s="19" t="n">
        <x:v>2</x:v>
      </x:c>
      <x:c r="D64" s="19" t="n">
        <x:v>2</x:v>
      </x:c>
      <x:c r="E64" s="19" t="str">
        <x:v>地图BOSS</x:v>
      </x:c>
      <x:c r="F64" s="34" t="n">
        <x:v>81.2951882157796</x:v>
      </x:c>
      <x:c r="G64" s="19" t="n">
        <x:v>1</x:v>
      </x:c>
      <x:c r="H64" s="19" t="n">
        <x:v>1800</x:v>
      </x:c>
      <x:c r="I64" s="24" t="n">
        <x:f>G64*3600/H64</x:f>
        <x:v>2</x:v>
      </x:c>
      <x:c r="J64" s="24" t="n">
        <x:v>2</x:v>
      </x:c>
      <x:c r="K64" s="19" t="str">
        <x:v>P0033</x:v>
      </x:c>
    </x:row>
    <x:row r="65" ht="19" customHeight="1">
      <x:c r="A65" s="19" t="str">
        <x:v>EL-MON-LIM-MIST-001</x:v>
      </x:c>
      <x:c r="B65" s="19" t="str">
        <x:v>雾林野狼</x:v>
      </x:c>
      <x:c r="C65" s="19" t="n">
        <x:v>2</x:v>
      </x:c>
      <x:c r="D65" s="19" t="n">
        <x:v>3</x:v>
      </x:c>
      <x:c r="E65" s="19" t="str">
        <x:v>普通</x:v>
      </x:c>
      <x:c r="F65" s="34" t="n">
        <x:v>5.418871030786381</x:v>
      </x:c>
      <x:c r="G65" s="19" t="n">
        <x:v>12</x:v>
      </x:c>
      <x:c r="H65" s="19" t="n">
        <x:v>600</x:v>
      </x:c>
      <x:c r="I65" s="24" t="n">
        <x:f>G65*3600/H65</x:f>
        <x:v>72</x:v>
      </x:c>
      <x:c r="J65" s="24" t="n">
        <x:v>72</x:v>
      </x:c>
      <x:c r="K65" s="19" t="str">
        <x:v>P0039</x:v>
      </x:c>
    </x:row>
    <x:row r="66" ht="19" customHeight="1">
      <x:c r="A66" s="19" t="str">
        <x:v>EL-MON-LIM-MIST-002</x:v>
      </x:c>
      <x:c r="B66" s="19" t="str">
        <x:v>卢恩巨熊</x:v>
      </x:c>
      <x:c r="C66" s="19" t="n">
        <x:v>2</x:v>
      </x:c>
      <x:c r="D66" s="19" t="n">
        <x:v>3</x:v>
      </x:c>
      <x:c r="E66" s="19" t="str">
        <x:v>普通</x:v>
      </x:c>
      <x:c r="F66" s="34" t="n">
        <x:v>5.202116189554926</x:v>
      </x:c>
      <x:c r="G66" s="19" t="n">
        <x:v>12</x:v>
      </x:c>
      <x:c r="H66" s="19" t="n">
        <x:v>600</x:v>
      </x:c>
      <x:c r="I66" s="24" t="n">
        <x:f>G66*3600/H66</x:f>
        <x:v>72</x:v>
      </x:c>
      <x:c r="J66" s="24" t="n">
        <x:v>72</x:v>
      </x:c>
      <x:c r="K66" s="19" t="str">
        <x:v>P0039</x:v>
      </x:c>
    </x:row>
    <x:row r="67" ht="19" customHeight="1">
      <x:c r="A67" s="19" t="str">
        <x:v>EL-MON-LIM-MIST-003</x:v>
      </x:c>
      <x:c r="B67" s="19" t="str">
        <x:v>祖灵鹿</x:v>
      </x:c>
      <x:c r="C67" s="19" t="n">
        <x:v>2</x:v>
      </x:c>
      <x:c r="D67" s="19" t="n">
        <x:v>3</x:v>
      </x:c>
      <x:c r="E67" s="19" t="str">
        <x:v>普通</x:v>
      </x:c>
      <x:c r="F67" s="34" t="n">
        <x:v>4.714417796784152</x:v>
      </x:c>
      <x:c r="G67" s="19" t="n">
        <x:v>12</x:v>
      </x:c>
      <x:c r="H67" s="19" t="n">
        <x:v>600</x:v>
      </x:c>
      <x:c r="I67" s="24" t="n">
        <x:f>G67*3600/H67</x:f>
        <x:v>72</x:v>
      </x:c>
      <x:c r="J67" s="24" t="n">
        <x:v>72</x:v>
      </x:c>
      <x:c r="K67" s="19" t="str">
        <x:v>P0039</x:v>
      </x:c>
    </x:row>
    <x:row r="68" ht="19" customHeight="1">
      <x:c r="A68" s="19" t="str">
        <x:v>EL-MON-LIM-MIST-004</x:v>
      </x:c>
      <x:c r="B68" s="19" t="str">
        <x:v>腐根树妖</x:v>
      </x:c>
      <x:c r="C68" s="19" t="n">
        <x:v>2</x:v>
      </x:c>
      <x:c r="D68" s="19" t="n">
        <x:v>3</x:v>
      </x:c>
      <x:c r="E68" s="19" t="str">
        <x:v>普通</x:v>
      </x:c>
      <x:c r="F68" s="34" t="n">
        <x:v>4.714417796784152</x:v>
      </x:c>
      <x:c r="G68" s="19" t="n">
        <x:v>12</x:v>
      </x:c>
      <x:c r="H68" s="19" t="n">
        <x:v>600</x:v>
      </x:c>
      <x:c r="I68" s="24" t="n">
        <x:f>G68*3600/H68</x:f>
        <x:v>72</x:v>
      </x:c>
      <x:c r="J68" s="24" t="n">
        <x:v>72</x:v>
      </x:c>
      <x:c r="K68" s="19" t="str">
        <x:v>P0039</x:v>
      </x:c>
    </x:row>
    <x:row r="69" ht="19" customHeight="1">
      <x:c r="A69" s="19" t="str">
        <x:v>EL-MON-LIM-MIST-005</x:v>
      </x:c>
      <x:c r="B69" s="19" t="str">
        <x:v>半兽哨兵</x:v>
      </x:c>
      <x:c r="C69" s="19" t="n">
        <x:v>2</x:v>
      </x:c>
      <x:c r="D69" s="19" t="n">
        <x:v>3</x:v>
      </x:c>
      <x:c r="E69" s="19" t="str">
        <x:v>普通</x:v>
      </x:c>
      <x:c r="F69" s="34" t="n">
        <x:v>4.497662955552697</x:v>
      </x:c>
      <x:c r="G69" s="19" t="n">
        <x:v>12</x:v>
      </x:c>
      <x:c r="H69" s="19" t="n">
        <x:v>600</x:v>
      </x:c>
      <x:c r="I69" s="24" t="n">
        <x:f>G69*3600/H69</x:f>
        <x:v>72</x:v>
      </x:c>
      <x:c r="J69" s="24" t="n">
        <x:v>72</x:v>
      </x:c>
      <x:c r="K69" s="19" t="str">
        <x:v>P0039</x:v>
      </x:c>
    </x:row>
    <x:row r="70" ht="19" customHeight="1">
      <x:c r="A70" s="19" t="str">
        <x:v>EL-MON-LIM-MIST-006</x:v>
      </x:c>
      <x:c r="B70" s="19" t="str">
        <x:v>林地毒花</x:v>
      </x:c>
      <x:c r="C70" s="19" t="n">
        <x:v>2</x:v>
      </x:c>
      <x:c r="D70" s="19" t="n">
        <x:v>3</x:v>
      </x:c>
      <x:c r="E70" s="19" t="str">
        <x:v>普通</x:v>
      </x:c>
      <x:c r="F70" s="34" t="n">
        <x:v>5.418871030786381</x:v>
      </x:c>
      <x:c r="G70" s="19" t="n">
        <x:v>12</x:v>
      </x:c>
      <x:c r="H70" s="19" t="n">
        <x:v>600</x:v>
      </x:c>
      <x:c r="I70" s="24" t="n">
        <x:f>G70*3600/H70</x:f>
        <x:v>72</x:v>
      </x:c>
      <x:c r="J70" s="24" t="n">
        <x:v>72</x:v>
      </x:c>
      <x:c r="K70" s="19" t="str">
        <x:v>P0039</x:v>
      </x:c>
    </x:row>
    <x:row r="71" ht="19" customHeight="1">
      <x:c r="A71" s="19" t="str">
        <x:v>EL-MON-LIM-MIST-007</x:v>
      </x:c>
      <x:c r="B71" s="19" t="str">
        <x:v>卢恩熊王</x:v>
      </x:c>
      <x:c r="C71" s="19" t="n">
        <x:v>2</x:v>
      </x:c>
      <x:c r="D71" s="19" t="n">
        <x:v>3</x:v>
      </x:c>
      <x:c r="E71" s="19" t="str">
        <x:v>稀有</x:v>
      </x:c>
      <x:c r="F71" s="34" t="n">
        <x:v>14.457069262726394</x:v>
      </x:c>
      <x:c r="G71" s="19" t="n">
        <x:v>2</x:v>
      </x:c>
      <x:c r="H71" s="19" t="n">
        <x:v>600</x:v>
      </x:c>
      <x:c r="I71" s="24" t="n">
        <x:f>G71*3600/H71</x:f>
        <x:v>12</x:v>
      </x:c>
      <x:c r="J71" s="24" t="n">
        <x:v>11.205590639153453</x:v>
      </x:c>
      <x:c r="K71" s="19" t="str">
        <x:v>P0039</x:v>
      </x:c>
    </x:row>
    <x:row r="72" ht="19" customHeight="1">
      <x:c r="A72" s="19" t="str">
        <x:v>EL-MON-LIM-MIST-008</x:v>
      </x:c>
      <x:c r="B72" s="19" t="str">
        <x:v>小黄金树化身</x:v>
      </x:c>
      <x:c r="C72" s="19" t="n">
        <x:v>2</x:v>
      </x:c>
      <x:c r="D72" s="19" t="n">
        <x:v>3</x:v>
      </x:c>
      <x:c r="E72" s="19" t="str">
        <x:v>稀有</x:v>
      </x:c>
      <x:c r="F72" s="34" t="n">
        <x:v>14.457069262726394</x:v>
      </x:c>
      <x:c r="G72" s="19" t="n">
        <x:v>2</x:v>
      </x:c>
      <x:c r="H72" s="19" t="n">
        <x:v>600</x:v>
      </x:c>
      <x:c r="I72" s="24" t="n">
        <x:f>G72*3600/H72</x:f>
        <x:v>12</x:v>
      </x:c>
      <x:c r="J72" s="24" t="n">
        <x:v>11.205590639153453</x:v>
      </x:c>
      <x:c r="K72" s="19" t="str">
        <x:v>P0039</x:v>
      </x:c>
    </x:row>
    <x:row r="73" ht="19" customHeight="1">
      <x:c r="A73" s="19" t="str">
        <x:v>EL-MON-LIM-MIST-009</x:v>
      </x:c>
      <x:c r="B73" s="19" t="str">
        <x:v>猎犬骑士·达瑞威尔</x:v>
      </x:c>
      <x:c r="C73" s="19" t="n">
        <x:v>2</x:v>
      </x:c>
      <x:c r="D73" s="19" t="n">
        <x:v>3</x:v>
      </x:c>
      <x:c r="E73" s="19" t="str">
        <x:v>稀有</x:v>
      </x:c>
      <x:c r="F73" s="34" t="n">
        <x:v>15.613634803744505</x:v>
      </x:c>
      <x:c r="G73" s="19" t="n">
        <x:v>2</x:v>
      </x:c>
      <x:c r="H73" s="19" t="n">
        <x:v>600</x:v>
      </x:c>
      <x:c r="I73" s="24" t="n">
        <x:f>G73*3600/H73</x:f>
        <x:v>12</x:v>
      </x:c>
      <x:c r="J73" s="24" t="n">
        <x:v>10.37554688810505</x:v>
      </x:c>
      <x:c r="K73" s="19" t="str">
        <x:v>P0039</x:v>
      </x:c>
    </x:row>
    <x:row r="74" ht="19" customHeight="1">
      <x:c r="A74" s="19" t="str">
        <x:v>EL-MON-LIM-MIST-010</x:v>
      </x:c>
      <x:c r="B74" s="19" t="str">
        <x:v>永眠祖灵</x:v>
      </x:c>
      <x:c r="C74" s="19" t="n">
        <x:v>2</x:v>
      </x:c>
      <x:c r="D74" s="19" t="n">
        <x:v>3</x:v>
      </x:c>
      <x:c r="E74" s="19" t="str">
        <x:v>稀有</x:v>
      </x:c>
      <x:c r="F74" s="34" t="n">
        <x:v>14.457069262726394</x:v>
      </x:c>
      <x:c r="G74" s="19" t="n">
        <x:v>2</x:v>
      </x:c>
      <x:c r="H74" s="19" t="n">
        <x:v>600</x:v>
      </x:c>
      <x:c r="I74" s="24" t="n">
        <x:f>G74*3600/H74</x:f>
        <x:v>12</x:v>
      </x:c>
      <x:c r="J74" s="24" t="n">
        <x:v>11.205590639153453</x:v>
      </x:c>
      <x:c r="K74" s="19" t="str">
        <x:v>P0039</x:v>
      </x:c>
    </x:row>
    <x:row r="75" ht="19" customHeight="1">
      <x:c r="A75" s="19" t="str">
        <x:v>EL-MON-LIM-MIST-011</x:v>
      </x:c>
      <x:c r="B75" s="19" t="str">
        <x:v>提比亚唤船人·赫洛</x:v>
      </x:c>
      <x:c r="C75" s="19" t="n">
        <x:v>2</x:v>
      </x:c>
      <x:c r="D75" s="19" t="n">
        <x:v>3</x:v>
      </x:c>
      <x:c r="E75" s="19" t="str">
        <x:v>地图BOSS</x:v>
      </x:c>
      <x:c r="F75" s="34" t="n">
        <x:v>67.28903988495142</x:v>
      </x:c>
      <x:c r="G75" s="19" t="n">
        <x:v>1</x:v>
      </x:c>
      <x:c r="H75" s="19" t="n">
        <x:v>1800</x:v>
      </x:c>
      <x:c r="I75" s="24" t="n">
        <x:f>G75*3600/H75</x:f>
        <x:v>2</x:v>
      </x:c>
      <x:c r="J75" s="24" t="n">
        <x:v>2</x:v>
      </x:c>
      <x:c r="K75" s="19" t="str">
        <x:v>P0039</x:v>
      </x:c>
    </x:row>
    <x:row r="76" ht="19" customHeight="1">
      <x:c r="A76" s="19" t="str">
        <x:v>EL-MON-LIM-MIST-012</x:v>
      </x:c>
      <x:c r="B76" s="19" t="str">
        <x:v>雾林熔炉骑士·奥德</x:v>
      </x:c>
      <x:c r="C76" s="19" t="n">
        <x:v>2</x:v>
      </x:c>
      <x:c r="D76" s="19" t="n">
        <x:v>3</x:v>
      </x:c>
      <x:c r="E76" s="19" t="str">
        <x:v>地图BOSS</x:v>
      </x:c>
      <x:c r="F76" s="34" t="n">
        <x:v>74.60306595940267</x:v>
      </x:c>
      <x:c r="G76" s="19" t="n">
        <x:v>1</x:v>
      </x:c>
      <x:c r="H76" s="19" t="n">
        <x:v>1800</x:v>
      </x:c>
      <x:c r="I76" s="24" t="n">
        <x:f>G76*3600/H76</x:f>
        <x:v>2</x:v>
      </x:c>
      <x:c r="J76" s="24" t="n">
        <x:v>2</x:v>
      </x:c>
      <x:c r="K76" s="19" t="str">
        <x:v>P0039</x:v>
      </x:c>
    </x:row>
    <x:row r="77" ht="19" customHeight="1">
      <x:c r="A77" s="19" t="str">
        <x:v>EL-MON-LIM-STORM-001</x:v>
      </x:c>
      <x:c r="B77" s="19" t="str">
        <x:v>风暴鹰</x:v>
      </x:c>
      <x:c r="C77" s="19" t="n">
        <x:v>2</x:v>
      </x:c>
      <x:c r="D77" s="19" t="n">
        <x:v>4</x:v>
      </x:c>
      <x:c r="E77" s="19" t="str">
        <x:v>普通</x:v>
      </x:c>
      <x:c r="F77" s="34" t="n">
        <x:v>5.185219808451928</x:v>
      </x:c>
      <x:c r="G77" s="19" t="n">
        <x:v>12</x:v>
      </x:c>
      <x:c r="H77" s="19" t="n">
        <x:v>600</x:v>
      </x:c>
      <x:c r="I77" s="24" t="n">
        <x:f>G77*3600/H77</x:f>
        <x:v>72</x:v>
      </x:c>
      <x:c r="J77" s="24" t="n">
        <x:v>72</x:v>
      </x:c>
      <x:c r="K77" s="19" t="str">
        <x:v>P0045</x:v>
      </x:c>
    </x:row>
    <x:row r="78" ht="19" customHeight="1">
      <x:c r="A78" s="19" t="str">
        <x:v>EL-MON-LIM-STORM-002</x:v>
      </x:c>
      <x:c r="B78" s="19" t="str">
        <x:v>雷羽战鹰</x:v>
      </x:c>
      <x:c r="C78" s="19" t="n">
        <x:v>2</x:v>
      </x:c>
      <x:c r="D78" s="19" t="n">
        <x:v>4</x:v>
      </x:c>
      <x:c r="E78" s="19" t="str">
        <x:v>普通</x:v>
      </x:c>
      <x:c r="F78" s="34" t="n">
        <x:v>5.185219808451928</x:v>
      </x:c>
      <x:c r="G78" s="19" t="n">
        <x:v>12</x:v>
      </x:c>
      <x:c r="H78" s="19" t="n">
        <x:v>600</x:v>
      </x:c>
      <x:c r="I78" s="24" t="n">
        <x:f>G78*3600/H78</x:f>
        <x:v>72</x:v>
      </x:c>
      <x:c r="J78" s="24" t="n">
        <x:v>72</x:v>
      </x:c>
      <x:c r="K78" s="19" t="str">
        <x:v>P0045</x:v>
      </x:c>
    </x:row>
    <x:row r="79" ht="19" customHeight="1">
      <x:c r="A79" s="19" t="str">
        <x:v>EL-MON-LIM-STORM-003</x:v>
      </x:c>
      <x:c r="B79" s="19" t="str">
        <x:v>山谷巨人</x:v>
      </x:c>
      <x:c r="C79" s="19" t="n">
        <x:v>2</x:v>
      </x:c>
      <x:c r="D79" s="19" t="n">
        <x:v>4</x:v>
      </x:c>
      <x:c r="E79" s="19" t="str">
        <x:v>普通</x:v>
      </x:c>
      <x:c r="F79" s="34" t="n">
        <x:v>5.185219808451928</x:v>
      </x:c>
      <x:c r="G79" s="19" t="n">
        <x:v>12</x:v>
      </x:c>
      <x:c r="H79" s="19" t="n">
        <x:v>600</x:v>
      </x:c>
      <x:c r="I79" s="24" t="n">
        <x:f>G79*3600/H79</x:f>
        <x:v>72</x:v>
      </x:c>
      <x:c r="J79" s="24" t="n">
        <x:v>72</x:v>
      </x:c>
      <x:c r="K79" s="19" t="str">
        <x:v>P0045</x:v>
      </x:c>
    </x:row>
    <x:row r="80" ht="19" customHeight="1">
      <x:c r="A80" s="19" t="str">
        <x:v>EL-MON-LIM-STORM-004</x:v>
      </x:c>
      <x:c r="B80" s="19" t="str">
        <x:v>风蚀山羊</x:v>
      </x:c>
      <x:c r="C80" s="19" t="n">
        <x:v>2</x:v>
      </x:c>
      <x:c r="D80" s="19" t="n">
        <x:v>4</x:v>
      </x:c>
      <x:c r="E80" s="19" t="str">
        <x:v>普通</x:v>
      </x:c>
      <x:c r="F80" s="34" t="n">
        <x:v>5.185219808451928</x:v>
      </x:c>
      <x:c r="G80" s="19" t="n">
        <x:v>12</x:v>
      </x:c>
      <x:c r="H80" s="19" t="n">
        <x:v>600</x:v>
      </x:c>
      <x:c r="I80" s="24" t="n">
        <x:f>G80*3600/H80</x:f>
        <x:v>72</x:v>
      </x:c>
      <x:c r="J80" s="24" t="n">
        <x:v>72</x:v>
      </x:c>
      <x:c r="K80" s="19" t="str">
        <x:v>P0045</x:v>
      </x:c>
    </x:row>
    <x:row r="81" ht="19" customHeight="1">
      <x:c r="A81" s="19" t="str">
        <x:v>EL-MON-LIM-STORM-005</x:v>
      </x:c>
      <x:c r="B81" s="19" t="str">
        <x:v>风暴流寇</x:v>
      </x:c>
      <x:c r="C81" s="19" t="n">
        <x:v>2</x:v>
      </x:c>
      <x:c r="D81" s="19" t="n">
        <x:v>4</x:v>
      </x:c>
      <x:c r="E81" s="19" t="str">
        <x:v>普通</x:v>
      </x:c>
      <x:c r="F81" s="34" t="n">
        <x:v>4.537067332395437</x:v>
      </x:c>
      <x:c r="G81" s="19" t="n">
        <x:v>12</x:v>
      </x:c>
      <x:c r="H81" s="19" t="n">
        <x:v>600</x:v>
      </x:c>
      <x:c r="I81" s="24" t="n">
        <x:f>G81*3600/H81</x:f>
        <x:v>72</x:v>
      </x:c>
      <x:c r="J81" s="24" t="n">
        <x:v>72</x:v>
      </x:c>
      <x:c r="K81" s="19" t="str">
        <x:v>P0045</x:v>
      </x:c>
    </x:row>
    <x:row r="82" ht="19" customHeight="1">
      <x:c r="A82" s="19" t="str">
        <x:v>EL-MON-LIM-STORM-006</x:v>
      </x:c>
      <x:c r="B82" s="19" t="str">
        <x:v>雷痕石蜥</x:v>
      </x:c>
      <x:c r="C82" s="19" t="n">
        <x:v>2</x:v>
      </x:c>
      <x:c r="D82" s="19" t="n">
        <x:v>4</x:v>
      </x:c>
      <x:c r="E82" s="19" t="str">
        <x:v>普通</x:v>
      </x:c>
      <x:c r="F82" s="34" t="n">
        <x:v>5.185219808451928</x:v>
      </x:c>
      <x:c r="G82" s="19" t="n">
        <x:v>12</x:v>
      </x:c>
      <x:c r="H82" s="19" t="n">
        <x:v>600</x:v>
      </x:c>
      <x:c r="I82" s="24" t="n">
        <x:f>G82*3600/H82</x:f>
        <x:v>72</x:v>
      </x:c>
      <x:c r="J82" s="24" t="n">
        <x:v>72</x:v>
      </x:c>
      <x:c r="K82" s="19" t="str">
        <x:v>P0045</x:v>
      </x:c>
    </x:row>
    <x:row r="83" ht="19" customHeight="1">
      <x:c r="A83" s="19" t="str">
        <x:v>EL-MON-LIM-STORM-007</x:v>
      </x:c>
      <x:c r="B83" s="19" t="str">
        <x:v>山妖统领</x:v>
      </x:c>
      <x:c r="C83" s="19" t="n">
        <x:v>2</x:v>
      </x:c>
      <x:c r="D83" s="19" t="n">
        <x:v>4</x:v>
      </x:c>
      <x:c r="E83" s="19" t="str">
        <x:v>稀有</x:v>
      </x:c>
      <x:c r="F83" s="34" t="n">
        <x:v>15.843571275980262</x:v>
      </x:c>
      <x:c r="G83" s="19" t="n">
        <x:v>2</x:v>
      </x:c>
      <x:c r="H83" s="19" t="n">
        <x:v>600</x:v>
      </x:c>
      <x:c r="I83" s="24" t="n">
        <x:f>G83*3600/H83</x:f>
        <x:v>12</x:v>
      </x:c>
      <x:c r="J83" s="24" t="n">
        <x:v>10.224967412845931</x:v>
      </x:c>
      <x:c r="K83" s="19" t="str">
        <x:v>P0045</x:v>
      </x:c>
    </x:row>
    <x:row r="84" ht="19" customHeight="1">
      <x:c r="A84" s="19" t="str">
        <x:v>EL-MON-LIM-STORM-008</x:v>
      </x:c>
      <x:c r="B84" s="19" t="str">
        <x:v>战鹰驯兽师</x:v>
      </x:c>
      <x:c r="C84" s="19" t="n">
        <x:v>2</x:v>
      </x:c>
      <x:c r="D84" s="19" t="n">
        <x:v>4</x:v>
      </x:c>
      <x:c r="E84" s="19" t="str">
        <x:v>稀有</x:v>
      </x:c>
      <x:c r="F84" s="34" t="n">
        <x:v>13.08816757580978</x:v>
      </x:c>
      <x:c r="G84" s="19" t="n">
        <x:v>2</x:v>
      </x:c>
      <x:c r="H84" s="19" t="n">
        <x:v>600</x:v>
      </x:c>
      <x:c r="I84" s="24" t="n">
        <x:f>G84*3600/H84</x:f>
        <x:v>12</x:v>
      </x:c>
      <x:c r="J84" s="24" t="n">
        <x:v>12</x:v>
      </x:c>
      <x:c r="K84" s="19" t="str">
        <x:v>P0045</x:v>
      </x:c>
    </x:row>
    <x:row r="85" ht="19" customHeight="1">
      <x:c r="A85" s="19" t="str">
        <x:v>EL-MON-LIM-STORM-009</x:v>
      </x:c>
      <x:c r="B85" s="19" t="str">
        <x:v>熔炉百夫长</x:v>
      </x:c>
      <x:c r="C85" s="19" t="n">
        <x:v>2</x:v>
      </x:c>
      <x:c r="D85" s="19" t="n">
        <x:v>4</x:v>
      </x:c>
      <x:c r="E85" s="19" t="str">
        <x:v>稀有</x:v>
      </x:c>
      <x:c r="F85" s="34" t="n">
        <x:v>15.843571275980262</x:v>
      </x:c>
      <x:c r="G85" s="19" t="n">
        <x:v>2</x:v>
      </x:c>
      <x:c r="H85" s="19" t="n">
        <x:v>600</x:v>
      </x:c>
      <x:c r="I85" s="24" t="n">
        <x:f>G85*3600/H85</x:f>
        <x:v>12</x:v>
      </x:c>
      <x:c r="J85" s="24" t="n">
        <x:v>10.224967412845931</x:v>
      </x:c>
      <x:c r="K85" s="19" t="str">
        <x:v>P0045</x:v>
      </x:c>
    </x:row>
    <x:row r="86" ht="19" customHeight="1">
      <x:c r="A86" s="19" t="str">
        <x:v>EL-MON-LIM-STORM-010</x:v>
      </x:c>
      <x:c r="B86" s="19" t="str">
        <x:v>死亡仪鸟</x:v>
      </x:c>
      <x:c r="C86" s="19" t="n">
        <x:v>2</x:v>
      </x:c>
      <x:c r="D86" s="19" t="n">
        <x:v>4</x:v>
      </x:c>
      <x:c r="E86" s="19" t="str">
        <x:v>稀有</x:v>
      </x:c>
      <x:c r="F86" s="34" t="n">
        <x:v>13.08816757580978</x:v>
      </x:c>
      <x:c r="G86" s="19" t="n">
        <x:v>2</x:v>
      </x:c>
      <x:c r="H86" s="19" t="n">
        <x:v>600</x:v>
      </x:c>
      <x:c r="I86" s="24" t="n">
        <x:f>G86*3600/H86</x:f>
        <x:v>12</x:v>
      </x:c>
      <x:c r="J86" s="24" t="n">
        <x:v>12</x:v>
      </x:c>
      <x:c r="K86" s="19" t="str">
        <x:v>P0045</x:v>
      </x:c>
    </x:row>
    <x:row r="87" ht="19" customHeight="1">
      <x:c r="A87" s="19" t="str">
        <x:v>EL-MON-LIM-STORM-011</x:v>
      </x:c>
      <x:c r="B87" s="19" t="str">
        <x:v>风暴君王·奥雷格</x:v>
      </x:c>
      <x:c r="C87" s="19" t="n">
        <x:v>2</x:v>
      </x:c>
      <x:c r="D87" s="19" t="n">
        <x:v>4</x:v>
      </x:c>
      <x:c r="E87" s="19" t="str">
        <x:v>地图BOSS</x:v>
      </x:c>
      <x:c r="F87" s="34" t="n">
        <x:v>67.3864315714367</x:v>
      </x:c>
      <x:c r="G87" s="19" t="n">
        <x:v>1</x:v>
      </x:c>
      <x:c r="H87" s="19" t="n">
        <x:v>1800</x:v>
      </x:c>
      <x:c r="I87" s="24" t="n">
        <x:f>G87*3600/H87</x:f>
        <x:v>2</x:v>
      </x:c>
      <x:c r="J87" s="24" t="n">
        <x:v>2</x:v>
      </x:c>
      <x:c r="K87" s="19" t="str">
        <x:v>P0045</x:v>
      </x:c>
    </x:row>
    <x:row r="88" ht="19" customHeight="1">
      <x:c r="A88" s="19" t="str">
        <x:v>EL-MON-LIM-STORM-012</x:v>
      </x:c>
      <x:c r="B88" s="19" t="str">
        <x:v>恶兆妖鬼·玛尔基特</x:v>
      </x:c>
      <x:c r="C88" s="19" t="n">
        <x:v>2</x:v>
      </x:c>
      <x:c r="D88" s="19" t="n">
        <x:v>4</x:v>
      </x:c>
      <x:c r="E88" s="19" t="str">
        <x:v>地图BOSS</x:v>
      </x:c>
      <x:c r="F88" s="34" t="n">
        <x:v>75.43257265459332</x:v>
      </x:c>
      <x:c r="G88" s="19" t="n">
        <x:v>1</x:v>
      </x:c>
      <x:c r="H88" s="19" t="n">
        <x:v>1800</x:v>
      </x:c>
      <x:c r="I88" s="24" t="n">
        <x:f>G88*3600/H88</x:f>
        <x:v>2</x:v>
      </x:c>
      <x:c r="J88" s="24" t="n">
        <x:v>2</x:v>
      </x:c>
      <x:c r="K88" s="19" t="str">
        <x:v>P0045</x:v>
      </x:c>
    </x:row>
    <x:row r="89" ht="19" customHeight="1">
      <x:c r="A89" s="19" t="str">
        <x:v>EL-MON-LIM-CASTLE-001</x:v>
      </x:c>
      <x:c r="B89" s="19" t="str">
        <x:v>王城流刑兵</x:v>
      </x:c>
      <x:c r="C89" s="19" t="n">
        <x:v>2</x:v>
      </x:c>
      <x:c r="D89" s="19" t="n">
        <x:v>5</x:v>
      </x:c>
      <x:c r="E89" s="19" t="str">
        <x:v>普通</x:v>
      </x:c>
      <x:c r="F89" s="34" t="n">
        <x:v>4.44448239752375</x:v>
      </x:c>
      <x:c r="G89" s="19" t="n">
        <x:v>12</x:v>
      </x:c>
      <x:c r="H89" s="19" t="n">
        <x:v>600</x:v>
      </x:c>
      <x:c r="I89" s="24" t="n">
        <x:f>G89*3600/H89</x:f>
        <x:v>72</x:v>
      </x:c>
      <x:c r="J89" s="24" t="n">
        <x:v>72</x:v>
      </x:c>
      <x:c r="K89" s="19" t="str">
        <x:v>P0051</x:v>
      </x:c>
    </x:row>
    <x:row r="90" ht="19" customHeight="1">
      <x:c r="A90" s="19" t="str">
        <x:v>EL-MON-LIM-CASTLE-002</x:v>
      </x:c>
      <x:c r="B90" s="19" t="str">
        <x:v>失乡斧卫</x:v>
      </x:c>
      <x:c r="C90" s="19" t="n">
        <x:v>2</x:v>
      </x:c>
      <x:c r="D90" s="19" t="n">
        <x:v>5</x:v>
      </x:c>
      <x:c r="E90" s="19" t="str">
        <x:v>普通</x:v>
      </x:c>
      <x:c r="F90" s="34" t="n">
        <x:v>4.977820285226599</x:v>
      </x:c>
      <x:c r="G90" s="19" t="n">
        <x:v>12</x:v>
      </x:c>
      <x:c r="H90" s="19" t="n">
        <x:v>600</x:v>
      </x:c>
      <x:c r="I90" s="24" t="n">
        <x:f>G90*3600/H90</x:f>
        <x:v>72</x:v>
      </x:c>
      <x:c r="J90" s="24" t="n">
        <x:v>72</x:v>
      </x:c>
      <x:c r="K90" s="19" t="str">
        <x:v>P0051</x:v>
      </x:c>
    </x:row>
    <x:row r="91" ht="19" customHeight="1">
      <x:c r="A91" s="19" t="str">
        <x:v>EL-MON-LIM-CASTLE-003</x:v>
      </x:c>
      <x:c r="B91" s="19" t="str">
        <x:v>火药弩兵</x:v>
      </x:c>
      <x:c r="C91" s="19" t="n">
        <x:v>2</x:v>
      </x:c>
      <x:c r="D91" s="19" t="n">
        <x:v>5</x:v>
      </x:c>
      <x:c r="E91" s="19" t="str">
        <x:v>普通</x:v>
      </x:c>
      <x:c r="F91" s="34" t="n">
        <x:v>5.333378877028499</x:v>
      </x:c>
      <x:c r="G91" s="19" t="n">
        <x:v>12</x:v>
      </x:c>
      <x:c r="H91" s="19" t="n">
        <x:v>600</x:v>
      </x:c>
      <x:c r="I91" s="24" t="n">
        <x:f>G91*3600/H91</x:f>
        <x:v>72</x:v>
      </x:c>
      <x:c r="J91" s="24" t="n">
        <x:v>72</x:v>
      </x:c>
      <x:c r="K91" s="19" t="str">
        <x:v>P0051</x:v>
      </x:c>
    </x:row>
    <x:row r="92" ht="19" customHeight="1">
      <x:c r="A92" s="19" t="str">
        <x:v>EL-MON-LIM-CASTLE-004</x:v>
      </x:c>
      <x:c r="B92" s="19" t="str">
        <x:v>刀翼战鹰</x:v>
      </x:c>
      <x:c r="C92" s="19" t="n">
        <x:v>2</x:v>
      </x:c>
      <x:c r="D92" s="19" t="n">
        <x:v>5</x:v>
      </x:c>
      <x:c r="E92" s="19" t="str">
        <x:v>普通</x:v>
      </x:c>
      <x:c r="F92" s="34" t="n">
        <x:v>4.977820285226599</x:v>
      </x:c>
      <x:c r="G92" s="19" t="n">
        <x:v>12</x:v>
      </x:c>
      <x:c r="H92" s="19" t="n">
        <x:v>600</x:v>
      </x:c>
      <x:c r="I92" s="24" t="n">
        <x:f>G92*3600/H92</x:f>
        <x:v>72</x:v>
      </x:c>
      <x:c r="J92" s="24" t="n">
        <x:v>72</x:v>
      </x:c>
      <x:c r="K92" s="19" t="str">
        <x:v>P0051</x:v>
      </x:c>
    </x:row>
    <x:row r="93" ht="19" customHeight="1">
      <x:c r="A93" s="19" t="str">
        <x:v>EL-MON-LIM-CASTLE-005</x:v>
      </x:c>
      <x:c r="B93" s="19" t="str">
        <x:v>接肢侍从</x:v>
      </x:c>
      <x:c r="C93" s="19" t="n">
        <x:v>2</x:v>
      </x:c>
      <x:c r="D93" s="19" t="n">
        <x:v>5</x:v>
      </x:c>
      <x:c r="E93" s="19" t="str">
        <x:v>普通</x:v>
      </x:c>
      <x:c r="F93" s="34" t="n">
        <x:v>4.44448239752375</x:v>
      </x:c>
      <x:c r="G93" s="19" t="n">
        <x:v>12</x:v>
      </x:c>
      <x:c r="H93" s="19" t="n">
        <x:v>600</x:v>
      </x:c>
      <x:c r="I93" s="24" t="n">
        <x:f>G93*3600/H93</x:f>
        <x:v>72</x:v>
      </x:c>
      <x:c r="J93" s="24" t="n">
        <x:v>72</x:v>
      </x:c>
      <x:c r="K93" s="19" t="str">
        <x:v>P0051</x:v>
      </x:c>
    </x:row>
    <x:row r="94" ht="19" customHeight="1">
      <x:c r="A94" s="19" t="str">
        <x:v>EL-MON-LIM-CASTLE-006</x:v>
      </x:c>
      <x:c r="B94" s="19" t="str">
        <x:v>王城禁卫</x:v>
      </x:c>
      <x:c r="C94" s="19" t="n">
        <x:v>2</x:v>
      </x:c>
      <x:c r="D94" s="19" t="n">
        <x:v>5</x:v>
      </x:c>
      <x:c r="E94" s="19" t="str">
        <x:v>普通</x:v>
      </x:c>
      <x:c r="F94" s="34" t="n">
        <x:v>4.44448239752375</x:v>
      </x:c>
      <x:c r="G94" s="19" t="n">
        <x:v>12</x:v>
      </x:c>
      <x:c r="H94" s="19" t="n">
        <x:v>600</x:v>
      </x:c>
      <x:c r="I94" s="24" t="n">
        <x:f>G94*3600/H94</x:f>
        <x:v>72</x:v>
      </x:c>
      <x:c r="J94" s="24" t="n">
        <x:v>72</x:v>
      </x:c>
      <x:c r="K94" s="19" t="str">
        <x:v>P0051</x:v>
      </x:c>
    </x:row>
    <x:row r="95" ht="19" customHeight="1">
      <x:c r="A95" s="19" t="str">
        <x:v>EL-MON-LIM-CASTLE-007</x:v>
      </x:c>
      <x:c r="B95" s="19" t="str">
        <x:v>失乡骑士长</x:v>
      </x:c>
      <x:c r="C95" s="19" t="n">
        <x:v>2</x:v>
      </x:c>
      <x:c r="D95" s="19" t="n">
        <x:v>5</x:v>
      </x:c>
      <x:c r="E95" s="19" t="str">
        <x:v>稀有</x:v>
      </x:c>
      <x:c r="F95" s="34" t="n">
        <x:v>15.949125397660703</x:v>
      </x:c>
      <x:c r="G95" s="19" t="n">
        <x:v>2</x:v>
      </x:c>
      <x:c r="H95" s="19" t="n">
        <x:v>600</x:v>
      </x:c>
      <x:c r="I95" s="24" t="n">
        <x:f>G95*3600/H95</x:f>
        <x:v>12</x:v>
      </x:c>
      <x:c r="J95" s="24" t="n">
        <x:v>10.157296777148728</x:v>
      </x:c>
      <x:c r="K95" s="19" t="str">
        <x:v>P0051</x:v>
      </x:c>
    </x:row>
    <x:row r="96" ht="19" customHeight="1">
      <x:c r="A96" s="19" t="str">
        <x:v>EL-MON-LIM-CASTLE-008</x:v>
      </x:c>
      <x:c r="B96" s="19" t="str">
        <x:v>接肢狮卫</x:v>
      </x:c>
      <x:c r="C96" s="19" t="n">
        <x:v>2</x:v>
      </x:c>
      <x:c r="D96" s="19" t="n">
        <x:v>5</x:v>
      </x:c>
      <x:c r="E96" s="19" t="str">
        <x:v>稀有</x:v>
      </x:c>
      <x:c r="F96" s="34" t="n">
        <x:v>15.949125397660703</x:v>
      </x:c>
      <x:c r="G96" s="19" t="n">
        <x:v>2</x:v>
      </x:c>
      <x:c r="H96" s="19" t="n">
        <x:v>600</x:v>
      </x:c>
      <x:c r="I96" s="24" t="n">
        <x:f>G96*3600/H96</x:f>
        <x:v>12</x:v>
      </x:c>
      <x:c r="J96" s="24" t="n">
        <x:v>10.157296777148728</x:v>
      </x:c>
      <x:c r="K96" s="19" t="str">
        <x:v>P0051</x:v>
      </x:c>
    </x:row>
    <x:row r="97" ht="19" customHeight="1">
      <x:c r="A97" s="19" t="str">
        <x:v>EL-MON-LIM-CASTLE-009</x:v>
      </x:c>
      <x:c r="B97" s="19" t="str">
        <x:v>黑焰礼拜官</x:v>
      </x:c>
      <x:c r="C97" s="19" t="n">
        <x:v>2</x:v>
      </x:c>
      <x:c r="D97" s="19" t="n">
        <x:v>5</x:v>
      </x:c>
      <x:c r="E97" s="19" t="str">
        <x:v>稀有</x:v>
      </x:c>
      <x:c r="F97" s="34" t="n">
        <x:v>15.949125397660703</x:v>
      </x:c>
      <x:c r="G97" s="19" t="n">
        <x:v>2</x:v>
      </x:c>
      <x:c r="H97" s="19" t="n">
        <x:v>600</x:v>
      </x:c>
      <x:c r="I97" s="24" t="n">
        <x:f>G97*3600/H97</x:f>
        <x:v>12</x:v>
      </x:c>
      <x:c r="J97" s="24" t="n">
        <x:v>10.157296777148728</x:v>
      </x:c>
      <x:c r="K97" s="19" t="str">
        <x:v>P0051</x:v>
      </x:c>
    </x:row>
    <x:row r="98" ht="19" customHeight="1">
      <x:c r="A98" s="19" t="str">
        <x:v>EL-MON-LIM-CASTLE-010</x:v>
      </x:c>
      <x:c r="B98" s="19" t="str">
        <x:v>王城执刑官</x:v>
      </x:c>
      <x:c r="C98" s="19" t="n">
        <x:v>2</x:v>
      </x:c>
      <x:c r="D98" s="19" t="n">
        <x:v>5</x:v>
      </x:c>
      <x:c r="E98" s="19" t="str">
        <x:v>稀有</x:v>
      </x:c>
      <x:c r="F98" s="34" t="n">
        <x:v>15.189643235867337</x:v>
      </x:c>
      <x:c r="G98" s="19" t="n">
        <x:v>2</x:v>
      </x:c>
      <x:c r="H98" s="19" t="n">
        <x:v>600</x:v>
      </x:c>
      <x:c r="I98" s="24" t="n">
        <x:f>G98*3600/H98</x:f>
        <x:v>12</x:v>
      </x:c>
      <x:c r="J98" s="24" t="n">
        <x:v>10.665161616006165</x:v>
      </x:c>
      <x:c r="K98" s="19" t="str">
        <x:v>P0051</x:v>
      </x:c>
    </x:row>
    <x:row r="99" ht="19" customHeight="1">
      <x:c r="A99" s="19" t="str">
        <x:v>EL-MON-LIM-CASTLE-011</x:v>
      </x:c>
      <x:c r="B99" s="19" t="str">
        <x:v>接肢兽将·戈德温</x:v>
      </x:c>
      <x:c r="C99" s="19" t="n">
        <x:v>2</x:v>
      </x:c>
      <x:c r="D99" s="19" t="n">
        <x:v>5</x:v>
      </x:c>
      <x:c r="E99" s="19" t="str">
        <x:v>地图BOSS</x:v>
      </x:c>
      <x:c r="F99" s="34" t="n">
        <x:v>67.10257887806345</x:v>
      </x:c>
      <x:c r="G99" s="19" t="n">
        <x:v>1</x:v>
      </x:c>
      <x:c r="H99" s="19" t="n">
        <x:v>1800</x:v>
      </x:c>
      <x:c r="I99" s="24" t="n">
        <x:f>G99*3600/H99</x:f>
        <x:v>2</x:v>
      </x:c>
      <x:c r="J99" s="24" t="n">
        <x:v>2</x:v>
      </x:c>
      <x:c r="K99" s="19" t="str">
        <x:v>P0051</x:v>
      </x:c>
    </x:row>
    <x:row r="100" ht="19" customHeight="1">
      <x:c r="A100" s="19" t="str">
        <x:v>EL-MON-LIM-CASTLE-012</x:v>
      </x:c>
      <x:c r="B100" s="19" t="str">
        <x:v>失乡统帅·欧尼尔</x:v>
      </x:c>
      <x:c r="C100" s="19" t="n">
        <x:v>2</x:v>
      </x:c>
      <x:c r="D100" s="19" t="n">
        <x:v>5</x:v>
      </x:c>
      <x:c r="E100" s="19" t="str">
        <x:v>地图BOSS</x:v>
      </x:c>
      <x:c r="F100" s="34" t="n">
        <x:v>85.89130096392121</x:v>
      </x:c>
      <x:c r="G100" s="19" t="n">
        <x:v>1</x:v>
      </x:c>
      <x:c r="H100" s="19" t="n">
        <x:v>1800</x:v>
      </x:c>
      <x:c r="I100" s="24" t="n">
        <x:f>G100*3600/H100</x:f>
        <x:v>2</x:v>
      </x:c>
      <x:c r="J100" s="24" t="n">
        <x:v>2</x:v>
      </x:c>
      <x:c r="K100" s="19" t="str">
        <x:v>P0051</x:v>
      </x:c>
    </x:row>
    <x:row r="101" ht="19" customHeight="1">
      <x:c r="A101" s="19" t="str">
        <x:v>EL-MON-LIM-CASTLE-013</x:v>
      </x:c>
      <x:c r="B101" s="19" t="str">
        <x:v>接肢君王·葛瑞克</x:v>
      </x:c>
      <x:c r="C101" s="19" t="n">
        <x:v>2</x:v>
      </x:c>
      <x:c r="D101" s="19" t="n">
        <x:v>5</x:v>
      </x:c>
      <x:c r="E101" s="19" t="str">
        <x:v>守关BOSS</x:v>
      </x:c>
      <x:c r="F101" s="34" t="n">
        <x:v>150.49574349636188</x:v>
      </x:c>
      <x:c r="G101" s="19" t="n">
        <x:v>1</x:v>
      </x:c>
      <x:c r="H101" s="19" t="n">
        <x:v>7200</x:v>
      </x:c>
      <x:c r="I101" s="24" t="n">
        <x:f>G101*3600/H101</x:f>
        <x:v>0.5</x:v>
      </x:c>
      <x:c r="J101" s="24" t="n">
        <x:v>0</x:v>
      </x:c>
      <x:c r="K101" s="19" t="str">
        <x:v>P0051</x:v>
      </x:c>
    </x:row>
    <x:row r="102" ht="19" customHeight="1">
      <x:c r="A102" s="19" t="str">
        <x:v>C03-M001</x:v>
      </x:c>
      <x:c r="B102" s="19" t="str">
        <x:v>荒原拾骨者</x:v>
      </x:c>
      <x:c r="C102" s="19" t="n">
        <x:v>3</x:v>
      </x:c>
      <x:c r="D102" s="19" t="n">
        <x:v>1</x:v>
      </x:c>
      <x:c r="E102" s="19" t="str">
        <x:v>普通</x:v>
      </x:c>
      <x:c r="F102" s="34" t="n">
        <x:v>5.083262772281507</x:v>
      </x:c>
      <x:c r="G102" s="19" t="n">
        <x:v>12</x:v>
      </x:c>
      <x:c r="H102" s="19" t="n">
        <x:v>600</x:v>
      </x:c>
      <x:c r="I102" s="24" t="n">
        <x:f>G102*3600/H102</x:f>
        <x:v>72</x:v>
      </x:c>
      <x:c r="J102" s="24" t="n">
        <x:v>72</x:v>
      </x:c>
      <x:c r="K102" s="19" t="str">
        <x:v>P0063</x:v>
      </x:c>
    </x:row>
    <x:row r="103" ht="19" customHeight="1">
      <x:c r="A103" s="19" t="str">
        <x:v>C03-M002</x:v>
      </x:c>
      <x:c r="B103" s="19" t="str">
        <x:v>断旗步兵</x:v>
      </x:c>
      <x:c r="C103" s="19" t="n">
        <x:v>3</x:v>
      </x:c>
      <x:c r="D103" s="19" t="n">
        <x:v>1</x:v>
      </x:c>
      <x:c r="E103" s="19" t="str">
        <x:v>普通</x:v>
      </x:c>
      <x:c r="F103" s="34" t="n">
        <x:v>4.172827648887804</x:v>
      </x:c>
      <x:c r="G103" s="19" t="n">
        <x:v>12</x:v>
      </x:c>
      <x:c r="H103" s="19" t="n">
        <x:v>600</x:v>
      </x:c>
      <x:c r="I103" s="24" t="n">
        <x:f>G103*3600/H103</x:f>
        <x:v>72</x:v>
      </x:c>
      <x:c r="J103" s="24" t="n">
        <x:v>72</x:v>
      </x:c>
      <x:c r="K103" s="19" t="str">
        <x:v>P0063</x:v>
      </x:c>
    </x:row>
    <x:row r="104" ht="19" customHeight="1">
      <x:c r="A104" s="19" t="str">
        <x:v>C03-M003</x:v>
      </x:c>
      <x:c r="B104" s="19" t="str">
        <x:v>风沙掠夺者</x:v>
      </x:c>
      <x:c r="C104" s="19" t="n">
        <x:v>3</x:v>
      </x:c>
      <x:c r="D104" s="19" t="n">
        <x:v>1</x:v>
      </x:c>
      <x:c r="E104" s="19" t="str">
        <x:v>普通</x:v>
      </x:c>
      <x:c r="F104" s="34" t="n">
        <x:v>4.628045210584655</x:v>
      </x:c>
      <x:c r="G104" s="19" t="n">
        <x:v>12</x:v>
      </x:c>
      <x:c r="H104" s="19" t="n">
        <x:v>600</x:v>
      </x:c>
      <x:c r="I104" s="24" t="n">
        <x:f>G104*3600/H104</x:f>
        <x:v>72</x:v>
      </x:c>
      <x:c r="J104" s="24" t="n">
        <x:v>72</x:v>
      </x:c>
      <x:c r="K104" s="19" t="str">
        <x:v>P0063</x:v>
      </x:c>
    </x:row>
    <x:row r="105" ht="19" customHeight="1">
      <x:c r="A105" s="19" t="str">
        <x:v>C03-M004</x:v>
      </x:c>
      <x:c r="B105" s="19" t="str">
        <x:v>铁蹄战马</x:v>
      </x:c>
      <x:c r="C105" s="19" t="n">
        <x:v>3</x:v>
      </x:c>
      <x:c r="D105" s="19" t="n">
        <x:v>1</x:v>
      </x:c>
      <x:c r="E105" s="19" t="str">
        <x:v>普通</x:v>
      </x:c>
      <x:c r="F105" s="34" t="n">
        <x:v>4.40043642973623</x:v>
      </x:c>
      <x:c r="G105" s="19" t="n">
        <x:v>12</x:v>
      </x:c>
      <x:c r="H105" s="19" t="n">
        <x:v>600</x:v>
      </x:c>
      <x:c r="I105" s="24" t="n">
        <x:f>G105*3600/H105</x:f>
        <x:v>72</x:v>
      </x:c>
      <x:c r="J105" s="24" t="n">
        <x:v>72</x:v>
      </x:c>
      <x:c r="K105" s="19" t="str">
        <x:v>P0063</x:v>
      </x:c>
    </x:row>
    <x:row r="106" ht="19" customHeight="1">
      <x:c r="A106" s="19" t="str">
        <x:v>C03-M005</x:v>
      </x:c>
      <x:c r="B106" s="19" t="str">
        <x:v>枯草狼</x:v>
      </x:c>
      <x:c r="C106" s="19" t="n">
        <x:v>3</x:v>
      </x:c>
      <x:c r="D106" s="19" t="n">
        <x:v>1</x:v>
      </x:c>
      <x:c r="E106" s="19" t="str">
        <x:v>普通</x:v>
      </x:c>
      <x:c r="F106" s="34" t="n">
        <x:v>4.40043642973623</x:v>
      </x:c>
      <x:c r="G106" s="19" t="n">
        <x:v>12</x:v>
      </x:c>
      <x:c r="H106" s="19" t="n">
        <x:v>600</x:v>
      </x:c>
      <x:c r="I106" s="24" t="n">
        <x:f>G106*3600/H106</x:f>
        <x:v>72</x:v>
      </x:c>
      <x:c r="J106" s="24" t="n">
        <x:v>72</x:v>
      </x:c>
      <x:c r="K106" s="19" t="str">
        <x:v>P0063</x:v>
      </x:c>
    </x:row>
    <x:row r="107" ht="19" customHeight="1">
      <x:c r="A107" s="19" t="str">
        <x:v>C03-M006</x:v>
      </x:c>
      <x:c r="B107" s="19" t="str">
        <x:v>锈甲逃兵</x:v>
      </x:c>
      <x:c r="C107" s="19" t="n">
        <x:v>3</x:v>
      </x:c>
      <x:c r="D107" s="19" t="n">
        <x:v>1</x:v>
      </x:c>
      <x:c r="E107" s="19" t="str">
        <x:v>普通</x:v>
      </x:c>
      <x:c r="F107" s="34" t="n">
        <x:v>4.40043642973623</x:v>
      </x:c>
      <x:c r="G107" s="19" t="n">
        <x:v>12</x:v>
      </x:c>
      <x:c r="H107" s="19" t="n">
        <x:v>600</x:v>
      </x:c>
      <x:c r="I107" s="24" t="n">
        <x:f>G107*3600/H107</x:f>
        <x:v>72</x:v>
      </x:c>
      <x:c r="J107" s="24" t="n">
        <x:v>72</x:v>
      </x:c>
      <x:c r="K107" s="19" t="str">
        <x:v>P0063</x:v>
      </x:c>
    </x:row>
    <x:row r="108" ht="19" customHeight="1">
      <x:c r="A108" s="19" t="str">
        <x:v>C03-M007</x:v>
      </x:c>
      <x:c r="B108" s="19" t="str">
        <x:v>西境旗卫</x:v>
      </x:c>
      <x:c r="C108" s="19" t="n">
        <x:v>3</x:v>
      </x:c>
      <x:c r="D108" s="19" t="n">
        <x:v>1</x:v>
      </x:c>
      <x:c r="E108" s="19" t="str">
        <x:v>稀有</x:v>
      </x:c>
      <x:c r="F108" s="34" t="n">
        <x:v>16.159942957427933</x:v>
      </x:c>
      <x:c r="G108" s="19" t="n">
        <x:v>2</x:v>
      </x:c>
      <x:c r="H108" s="19" t="n">
        <x:v>600</x:v>
      </x:c>
      <x:c r="I108" s="24" t="n">
        <x:f>G108*3600/H108</x:f>
        <x:v>12</x:v>
      </x:c>
      <x:c r="J108" s="24" t="n">
        <x:v>10.024787861366587</x:v>
      </x:c>
      <x:c r="K108" s="19" t="str">
        <x:v>P0063</x:v>
      </x:c>
    </x:row>
    <x:row r="109" ht="19" customHeight="1">
      <x:c r="A109" s="19" t="str">
        <x:v>C03-M008</x:v>
      </x:c>
      <x:c r="B109" s="19" t="str">
        <x:v>独眼弩将</x:v>
      </x:c>
      <x:c r="C109" s="19" t="n">
        <x:v>3</x:v>
      </x:c>
      <x:c r="D109" s="19" t="n">
        <x:v>1</x:v>
      </x:c>
      <x:c r="E109" s="19" t="str">
        <x:v>稀有</x:v>
      </x:c>
      <x:c r="F109" s="34" t="n">
        <x:v>13.735951513813744</x:v>
      </x:c>
      <x:c r="G109" s="19" t="n">
        <x:v>2</x:v>
      </x:c>
      <x:c r="H109" s="19" t="n">
        <x:v>600</x:v>
      </x:c>
      <x:c r="I109" s="24" t="n">
        <x:f>G109*3600/H109</x:f>
        <x:v>12</x:v>
      </x:c>
      <x:c r="J109" s="24" t="n">
        <x:v>11.793868072195984</x:v>
      </x:c>
      <x:c r="K109" s="19" t="str">
        <x:v>P0063</x:v>
      </x:c>
    </x:row>
    <x:row r="110" ht="19" customHeight="1">
      <x:c r="A110" s="19" t="str">
        <x:v>C03-M009</x:v>
      </x:c>
      <x:c r="B110" s="19" t="str">
        <x:v>荒风骑士</x:v>
      </x:c>
      <x:c r="C110" s="19" t="n">
        <x:v>3</x:v>
      </x:c>
      <x:c r="D110" s="19" t="n">
        <x:v>1</x:v>
      </x:c>
      <x:c r="E110" s="19" t="str">
        <x:v>稀有</x:v>
      </x:c>
      <x:c r="F110" s="34" t="n">
        <x:v>12.119957218070951</x:v>
      </x:c>
      <x:c r="G110" s="19" t="n">
        <x:v>2</x:v>
      </x:c>
      <x:c r="H110" s="19" t="n">
        <x:v>600</x:v>
      </x:c>
      <x:c r="I110" s="24" t="n">
        <x:f>G110*3600/H110</x:f>
        <x:v>12</x:v>
      </x:c>
      <x:c r="J110" s="24" t="n">
        <x:v>12</x:v>
      </x:c>
      <x:c r="K110" s="19" t="str">
        <x:v>P0063</x:v>
      </x:c>
    </x:row>
    <x:row r="111" ht="19" customHeight="1">
      <x:c r="A111" s="19" t="str">
        <x:v>C03-M010</x:v>
      </x:c>
      <x:c r="B111" s="19" t="str">
        <x:v>战场收尸官</x:v>
      </x:c>
      <x:c r="C111" s="19" t="n">
        <x:v>3</x:v>
      </x:c>
      <x:c r="D111" s="19" t="n">
        <x:v>1</x:v>
      </x:c>
      <x:c r="E111" s="19" t="str">
        <x:v>稀有</x:v>
      </x:c>
      <x:c r="F111" s="34" t="n">
        <x:v>12.119957218070951</x:v>
      </x:c>
      <x:c r="G111" s="19" t="n">
        <x:v>2</x:v>
      </x:c>
      <x:c r="H111" s="19" t="n">
        <x:v>600</x:v>
      </x:c>
      <x:c r="I111" s="24" t="n">
        <x:f>G111*3600/H111</x:f>
        <x:v>12</x:v>
      </x:c>
      <x:c r="J111" s="24" t="n">
        <x:v>12</x:v>
      </x:c>
      <x:c r="K111" s="19" t="str">
        <x:v>P0063</x:v>
      </x:c>
    </x:row>
    <x:row r="112" ht="19" customHeight="1">
      <x:c r="A112" s="19" t="str">
        <x:v>C03-M011</x:v>
      </x:c>
      <x:c r="B112" s="19" t="str">
        <x:v>断旗统领·瓦伦</x:v>
      </x:c>
      <x:c r="C112" s="19" t="n">
        <x:v>3</x:v>
      </x:c>
      <x:c r="D112" s="19" t="n">
        <x:v>1</x:v>
      </x:c>
      <x:c r="E112" s="19" t="str">
        <x:v>地图BOSS</x:v>
      </x:c>
      <x:c r="F112" s="34" t="n">
        <x:v>89.69097946897654</x:v>
      </x:c>
      <x:c r="G112" s="19" t="n">
        <x:v>1</x:v>
      </x:c>
      <x:c r="H112" s="19" t="n">
        <x:v>1800</x:v>
      </x:c>
      <x:c r="I112" s="24" t="n">
        <x:f>G112*3600/H112</x:f>
        <x:v>2</x:v>
      </x:c>
      <x:c r="J112" s="24" t="n">
        <x:v>2</x:v>
      </x:c>
      <x:c r="K112" s="19" t="str">
        <x:v>P0063</x:v>
      </x:c>
    </x:row>
    <x:row r="113" ht="19" customHeight="1">
      <x:c r="A113" s="19" t="str">
        <x:v>C03-M012</x:v>
      </x:c>
      <x:c r="B113" s="19" t="str">
        <x:v>荒原巨犀·莫赫</x:v>
      </x:c>
      <x:c r="C113" s="19" t="n">
        <x:v>3</x:v>
      </x:c>
      <x:c r="D113" s="19" t="n">
        <x:v>1</x:v>
      </x:c>
      <x:c r="E113" s="19" t="str">
        <x:v>地图BOSS</x:v>
      </x:c>
      <x:c r="F113" s="34" t="n">
        <x:v>70.93741103455417</x:v>
      </x:c>
      <x:c r="G113" s="19" t="n">
        <x:v>1</x:v>
      </x:c>
      <x:c r="H113" s="19" t="n">
        <x:v>1800</x:v>
      </x:c>
      <x:c r="I113" s="24" t="n">
        <x:f>G113*3600/H113</x:f>
        <x:v>2</x:v>
      </x:c>
      <x:c r="J113" s="24" t="n">
        <x:v>2</x:v>
      </x:c>
      <x:c r="K113" s="19" t="str">
        <x:v>P0063</x:v>
      </x:c>
    </x:row>
    <x:row r="114" ht="19" customHeight="1">
      <x:c r="A114" s="19" t="str">
        <x:v>C03-M013</x:v>
      </x:c>
      <x:c r="B114" s="19" t="str">
        <x:v>海崖盐工</x:v>
      </x:c>
      <x:c r="C114" s="19" t="n">
        <x:v>3</x:v>
      </x:c>
      <x:c r="D114" s="19" t="n">
        <x:v>2</x:v>
      </x:c>
      <x:c r="E114" s="19" t="str">
        <x:v>普通</x:v>
      </x:c>
      <x:c r="F114" s="34" t="n">
        <x:v>4.36930789813714</x:v>
      </x:c>
      <x:c r="G114" s="19" t="n">
        <x:v>12</x:v>
      </x:c>
      <x:c r="H114" s="19" t="n">
        <x:v>600</x:v>
      </x:c>
      <x:c r="I114" s="24" t="n">
        <x:f>G114*3600/H114</x:f>
        <x:v>72</x:v>
      </x:c>
      <x:c r="J114" s="24" t="n">
        <x:v>72</x:v>
      </x:c>
      <x:c r="K114" s="19" t="str">
        <x:v>P0069</x:v>
      </x:c>
    </x:row>
    <x:row r="115" ht="19" customHeight="1">
      <x:c r="A115" s="19" t="str">
        <x:v>C03-M014</x:v>
      </x:c>
      <x:c r="B115" s="19" t="str">
        <x:v>逐风矛兵</x:v>
      </x:c>
      <x:c r="C115" s="19" t="n">
        <x:v>3</x:v>
      </x:c>
      <x:c r="D115" s="19" t="n">
        <x:v>2</x:v>
      </x:c>
      <x:c r="E115" s="19" t="str">
        <x:v>普通</x:v>
      </x:c>
      <x:c r="F115" s="34" t="n">
        <x:v>4.5877732930439965</x:v>
      </x:c>
      <x:c r="G115" s="19" t="n">
        <x:v>12</x:v>
      </x:c>
      <x:c r="H115" s="19" t="n">
        <x:v>600</x:v>
      </x:c>
      <x:c r="I115" s="24" t="n">
        <x:f>G115*3600/H115</x:f>
        <x:v>72</x:v>
      </x:c>
      <x:c r="J115" s="24" t="n">
        <x:v>72</x:v>
      </x:c>
      <x:c r="K115" s="19" t="str">
        <x:v>P0069</x:v>
      </x:c>
    </x:row>
    <x:row r="116" ht="19" customHeight="1">
      <x:c r="A116" s="19" t="str">
        <x:v>C03-M015</x:v>
      </x:c>
      <x:c r="B116" s="19" t="str">
        <x:v>裂羽海鹰</x:v>
      </x:c>
      <x:c r="C116" s="19" t="n">
        <x:v>3</x:v>
      </x:c>
      <x:c r="D116" s="19" t="n">
        <x:v>2</x:v>
      </x:c>
      <x:c r="E116" s="19" t="str">
        <x:v>普通</x:v>
      </x:c>
      <x:c r="F116" s="34" t="n">
        <x:v>4.150842503230282</x:v>
      </x:c>
      <x:c r="G116" s="19" t="n">
        <x:v>12</x:v>
      </x:c>
      <x:c r="H116" s="19" t="n">
        <x:v>600</x:v>
      </x:c>
      <x:c r="I116" s="24" t="n">
        <x:f>G116*3600/H116</x:f>
        <x:v>72</x:v>
      </x:c>
      <x:c r="J116" s="24" t="n">
        <x:v>72</x:v>
      </x:c>
      <x:c r="K116" s="19" t="str">
        <x:v>P0069</x:v>
      </x:c>
    </x:row>
    <x:row r="117" ht="19" customHeight="1">
      <x:c r="A117" s="19" t="str">
        <x:v>C03-M016</x:v>
      </x:c>
      <x:c r="B117" s="19" t="str">
        <x:v>潮穴石蜥</x:v>
      </x:c>
      <x:c r="C117" s="19" t="n">
        <x:v>3</x:v>
      </x:c>
      <x:c r="D117" s="19" t="n">
        <x:v>2</x:v>
      </x:c>
      <x:c r="E117" s="19" t="str">
        <x:v>普通</x:v>
      </x:c>
      <x:c r="F117" s="34" t="n">
        <x:v>5.315991276066853</x:v>
      </x:c>
      <x:c r="G117" s="19" t="n">
        <x:v>12</x:v>
      </x:c>
      <x:c r="H117" s="19" t="n">
        <x:v>600</x:v>
      </x:c>
      <x:c r="I117" s="24" t="n">
        <x:f>G117*3600/H117</x:f>
        <x:v>72</x:v>
      </x:c>
      <x:c r="J117" s="24" t="n">
        <x:v>72</x:v>
      </x:c>
      <x:c r="K117" s="19" t="str">
        <x:v>P0069</x:v>
      </x:c>
    </x:row>
    <x:row r="118" ht="19" customHeight="1">
      <x:c r="A118" s="19" t="str">
        <x:v>C03-M017</x:v>
      </x:c>
      <x:c r="B118" s="19" t="str">
        <x:v>断索流徒</x:v>
      </x:c>
      <x:c r="C118" s="19" t="n">
        <x:v>3</x:v>
      </x:c>
      <x:c r="D118" s="19" t="n">
        <x:v>2</x:v>
      </x:c>
      <x:c r="E118" s="19" t="str">
        <x:v>普通</x:v>
      </x:c>
      <x:c r="F118" s="34" t="n">
        <x:v>5.315991276066853</x:v>
      </x:c>
      <x:c r="G118" s="19" t="n">
        <x:v>12</x:v>
      </x:c>
      <x:c r="H118" s="19" t="n">
        <x:v>600</x:v>
      </x:c>
      <x:c r="I118" s="24" t="n">
        <x:f>G118*3600/H118</x:f>
        <x:v>72</x:v>
      </x:c>
      <x:c r="J118" s="24" t="n">
        <x:v>72</x:v>
      </x:c>
      <x:c r="K118" s="19" t="str">
        <x:v>P0069</x:v>
      </x:c>
    </x:row>
    <x:row r="119" ht="19" customHeight="1">
      <x:c r="A119" s="19" t="str">
        <x:v>C03-M018</x:v>
      </x:c>
      <x:c r="B119" s="19" t="str">
        <x:v>崖边祷徒</x:v>
      </x:c>
      <x:c r="C119" s="19" t="n">
        <x:v>3</x:v>
      </x:c>
      <x:c r="D119" s="19" t="n">
        <x:v>2</x:v>
      </x:c>
      <x:c r="E119" s="19" t="str">
        <x:v>普通</x:v>
      </x:c>
      <x:c r="F119" s="34" t="n">
        <x:v>5.097525881159997</x:v>
      </x:c>
      <x:c r="G119" s="19" t="n">
        <x:v>12</x:v>
      </x:c>
      <x:c r="H119" s="19" t="n">
        <x:v>600</x:v>
      </x:c>
      <x:c r="I119" s="24" t="n">
        <x:f>G119*3600/H119</x:f>
        <x:v>72</x:v>
      </x:c>
      <x:c r="J119" s="24" t="n">
        <x:v>72</x:v>
      </x:c>
      <x:c r="K119" s="19" t="str">
        <x:v>P0069</x:v>
      </x:c>
    </x:row>
    <x:row r="120" ht="19" customHeight="1">
      <x:c r="A120" s="19" t="str">
        <x:v>C03-M019</x:v>
      </x:c>
      <x:c r="B120" s="19" t="str">
        <x:v>风蚀守望者</x:v>
      </x:c>
      <x:c r="C120" s="19" t="n">
        <x:v>3</x:v>
      </x:c>
      <x:c r="D120" s="19" t="n">
        <x:v>2</x:v>
      </x:c>
      <x:c r="E120" s="19" t="str">
        <x:v>稀有</x:v>
      </x:c>
      <x:c r="F120" s="34" t="n">
        <x:v>12.4408057574787</x:v>
      </x:c>
      <x:c r="G120" s="19" t="n">
        <x:v>2</x:v>
      </x:c>
      <x:c r="H120" s="19" t="n">
        <x:v>600</x:v>
      </x:c>
      <x:c r="I120" s="24" t="n">
        <x:f>G120*3600/H120</x:f>
        <x:v>12</x:v>
      </x:c>
      <x:c r="J120" s="24" t="n">
        <x:v>12</x:v>
      </x:c>
      <x:c r="K120" s="19" t="str">
        <x:v>P0069</x:v>
      </x:c>
    </x:row>
    <x:row r="121" ht="19" customHeight="1">
      <x:c r="A121" s="19" t="str">
        <x:v>C03-M020</x:v>
      </x:c>
      <x:c r="B121" s="19" t="str">
        <x:v>斩浪骑士</x:v>
      </x:c>
      <x:c r="C121" s="19" t="n">
        <x:v>3</x:v>
      </x:c>
      <x:c r="D121" s="19" t="n">
        <x:v>2</x:v>
      </x:c>
      <x:c r="E121" s="19" t="str">
        <x:v>稀有</x:v>
      </x:c>
      <x:c r="F121" s="34" t="n">
        <x:v>13.995906477163537</x:v>
      </x:c>
      <x:c r="G121" s="19" t="n">
        <x:v>2</x:v>
      </x:c>
      <x:c r="H121" s="19" t="n">
        <x:v>600</x:v>
      </x:c>
      <x:c r="I121" s="24" t="n">
        <x:f>G121*3600/H121</x:f>
        <x:v>12</x:v>
      </x:c>
      <x:c r="J121" s="24" t="n">
        <x:v>11.574812982948107</x:v>
      </x:c>
      <x:c r="K121" s="19" t="str">
        <x:v>P0069</x:v>
      </x:c>
    </x:row>
    <x:row r="122" ht="19" customHeight="1">
      <x:c r="A122" s="19" t="str">
        <x:v>C03-M021</x:v>
      </x:c>
      <x:c r="B122" s="19" t="str">
        <x:v>海雾猎手</x:v>
      </x:c>
      <x:c r="C122" s="19" t="n">
        <x:v>3</x:v>
      </x:c>
      <x:c r="D122" s="19" t="n">
        <x:v>2</x:v>
      </x:c>
      <x:c r="E122" s="19" t="str">
        <x:v>稀有</x:v>
      </x:c>
      <x:c r="F122" s="34" t="n">
        <x:v>15.551007196848374</x:v>
      </x:c>
      <x:c r="G122" s="19" t="n">
        <x:v>2</x:v>
      </x:c>
      <x:c r="H122" s="19" t="n">
        <x:v>600</x:v>
      </x:c>
      <x:c r="I122" s="24" t="n">
        <x:f>G122*3600/H122</x:f>
        <x:v>12</x:v>
      </x:c>
      <x:c r="J122" s="24" t="n">
        <x:v>10.417331684653295</x:v>
      </x:c>
      <x:c r="K122" s="19" t="str">
        <x:v>P0069</x:v>
      </x:c>
    </x:row>
    <x:row r="123" ht="19" customHeight="1">
      <x:c r="A123" s="19" t="str">
        <x:v>C03-M022</x:v>
      </x:c>
      <x:c r="B123" s="19" t="str">
        <x:v>雷崖祭司</x:v>
      </x:c>
      <x:c r="C123" s="19" t="n">
        <x:v>3</x:v>
      </x:c>
      <x:c r="D123" s="19" t="n">
        <x:v>2</x:v>
      </x:c>
      <x:c r="E123" s="19" t="str">
        <x:v>稀有</x:v>
      </x:c>
      <x:c r="F123" s="34" t="n">
        <x:v>13.218356117321118</x:v>
      </x:c>
      <x:c r="G123" s="19" t="n">
        <x:v>2</x:v>
      </x:c>
      <x:c r="H123" s="19" t="n">
        <x:v>600</x:v>
      </x:c>
      <x:c r="I123" s="24" t="n">
        <x:f>G123*3600/H123</x:f>
        <x:v>12</x:v>
      </x:c>
      <x:c r="J123" s="24" t="n">
        <x:v>12</x:v>
      </x:c>
      <x:c r="K123" s="19" t="str">
        <x:v>P0069</x:v>
      </x:c>
    </x:row>
    <x:row r="124" ht="19" customHeight="1">
      <x:c r="A124" s="19" t="str">
        <x:v>C03-M023</x:v>
      </x:c>
      <x:c r="B124" s="19" t="str">
        <x:v>裂风执旗官·卡恩</x:v>
      </x:c>
      <x:c r="C124" s="19" t="n">
        <x:v>3</x:v>
      </x:c>
      <x:c r="D124" s="19" t="n">
        <x:v>2</x:v>
      </x:c>
      <x:c r="E124" s="19" t="str">
        <x:v>地图BOSS</x:v>
      </x:c>
      <x:c r="F124" s="34" t="n">
        <x:v>70.12970642040239</x:v>
      </x:c>
      <x:c r="G124" s="19" t="n">
        <x:v>1</x:v>
      </x:c>
      <x:c r="H124" s="19" t="n">
        <x:v>1800</x:v>
      </x:c>
      <x:c r="I124" s="24" t="n">
        <x:f>G124*3600/H124</x:f>
        <x:v>2</x:v>
      </x:c>
      <x:c r="J124" s="24" t="n">
        <x:v>2</x:v>
      </x:c>
      <x:c r="K124" s="19" t="str">
        <x:v>P0069</x:v>
      </x:c>
    </x:row>
    <x:row r="125" ht="19" customHeight="1">
      <x:c r="A125" s="19" t="str">
        <x:v>C03-M024</x:v>
      </x:c>
      <x:c r="B125" s="19" t="str">
        <x:v>啸海古翼·塞洛</x:v>
      </x:c>
      <x:c r="C125" s="19" t="n">
        <x:v>3</x:v>
      </x:c>
      <x:c r="D125" s="19" t="n">
        <x:v>2</x:v>
      </x:c>
      <x:c r="E125" s="19" t="str">
        <x:v>地图BOSS</x:v>
      </x:c>
      <x:c r="F125" s="34" t="n">
        <x:v>70.12970642040239</x:v>
      </x:c>
      <x:c r="G125" s="19" t="n">
        <x:v>1</x:v>
      </x:c>
      <x:c r="H125" s="19" t="n">
        <x:v>1800</x:v>
      </x:c>
      <x:c r="I125" s="24" t="n">
        <x:f>G125*3600/H125</x:f>
        <x:v>2</x:v>
      </x:c>
      <x:c r="J125" s="24" t="n">
        <x:v>2</x:v>
      </x:c>
      <x:c r="K125" s="19" t="str">
        <x:v>P0069</x:v>
      </x:c>
    </x:row>
    <x:row r="126" ht="19" customHeight="1">
      <x:c r="A126" s="19" t="str">
        <x:v>C03-M025</x:v>
      </x:c>
      <x:c r="B126" s="19" t="str">
        <x:v>驿道苦役</x:v>
      </x:c>
      <x:c r="C126" s="19" t="n">
        <x:v>3</x:v>
      </x:c>
      <x:c r="D126" s="19" t="n">
        <x:v>3</x:v>
      </x:c>
      <x:c r="E126" s="19" t="str">
        <x:v>普通</x:v>
      </x:c>
      <x:c r="F126" s="34" t="n">
        <x:v>5.210310769139989</x:v>
      </x:c>
      <x:c r="G126" s="19" t="n">
        <x:v>12</x:v>
      </x:c>
      <x:c r="H126" s="19" t="n">
        <x:v>600</x:v>
      </x:c>
      <x:c r="I126" s="24" t="n">
        <x:f>G126*3600/H126</x:f>
        <x:v>72</x:v>
      </x:c>
      <x:c r="J126" s="24" t="n">
        <x:v>72</x:v>
      </x:c>
      <x:c r="K126" s="19" t="str">
        <x:v>P0075</x:v>
      </x:c>
    </x:row>
    <x:row r="127" ht="19" customHeight="1">
      <x:c r="A127" s="19" t="str">
        <x:v>C03-M026</x:v>
      </x:c>
      <x:c r="B127" s="19" t="str">
        <x:v>荒商护卫</x:v>
      </x:c>
      <x:c r="C127" s="19" t="n">
        <x:v>3</x:v>
      </x:c>
      <x:c r="D127" s="19" t="n">
        <x:v>3</x:v>
      </x:c>
      <x:c r="E127" s="19" t="str">
        <x:v>普通</x:v>
      </x:c>
      <x:c r="F127" s="34" t="n">
        <x:v>4.551535844306198</x:v>
      </x:c>
      <x:c r="G127" s="19" t="n">
        <x:v>12</x:v>
      </x:c>
      <x:c r="H127" s="19" t="n">
        <x:v>600</x:v>
      </x:c>
      <x:c r="I127" s="24" t="n">
        <x:f>G127*3600/H127</x:f>
        <x:v>72</x:v>
      </x:c>
      <x:c r="J127" s="24" t="n">
        <x:v>72</x:v>
      </x:c>
      <x:c r="K127" s="19" t="str">
        <x:v>P0075</x:v>
      </x:c>
    </x:row>
    <x:row r="128" ht="19" customHeight="1">
      <x:c r="A128" s="19" t="str">
        <x:v>C03-M027</x:v>
      </x:c>
      <x:c r="B128" s="19" t="str">
        <x:v>灰篷盗匪</x:v>
      </x:c>
      <x:c r="C128" s="19" t="n">
        <x:v>3</x:v>
      </x:c>
      <x:c r="D128" s="19" t="n">
        <x:v>3</x:v>
      </x:c>
      <x:c r="E128" s="19" t="str">
        <x:v>普通</x:v>
      </x:c>
      <x:c r="F128" s="34" t="n">
        <x:v>4.551535844306198</x:v>
      </x:c>
      <x:c r="G128" s="19" t="n">
        <x:v>12</x:v>
      </x:c>
      <x:c r="H128" s="19" t="n">
        <x:v>600</x:v>
      </x:c>
      <x:c r="I128" s="24" t="n">
        <x:f>G128*3600/H128</x:f>
        <x:v>72</x:v>
      </x:c>
      <x:c r="J128" s="24" t="n">
        <x:v>72</x:v>
      </x:c>
      <x:c r="K128" s="19" t="str">
        <x:v>P0075</x:v>
      </x:c>
    </x:row>
    <x:row r="129" ht="19" customHeight="1">
      <x:c r="A129" s="19" t="str">
        <x:v>C03-M028</x:v>
      </x:c>
      <x:c r="B129" s="19" t="str">
        <x:v>驮货尸兵</x:v>
      </x:c>
      <x:c r="C129" s="19" t="n">
        <x:v>3</x:v>
      </x:c>
      <x:c r="D129" s="19" t="n">
        <x:v>3</x:v>
      </x:c>
      <x:c r="E129" s="19" t="str">
        <x:v>普通</x:v>
      </x:c>
      <x:c r="F129" s="34" t="n">
        <x:v>4.07242680806344</x:v>
      </x:c>
      <x:c r="G129" s="19" t="n">
        <x:v>12</x:v>
      </x:c>
      <x:c r="H129" s="19" t="n">
        <x:v>600</x:v>
      </x:c>
      <x:c r="I129" s="24" t="n">
        <x:f>G129*3600/H129</x:f>
        <x:v>72</x:v>
      </x:c>
      <x:c r="J129" s="24" t="n">
        <x:v>72</x:v>
      </x:c>
      <x:c r="K129" s="19" t="str">
        <x:v>P0075</x:v>
      </x:c>
    </x:row>
    <x:row r="130" ht="19" customHeight="1">
      <x:c r="A130" s="19" t="str">
        <x:v>C03-M029</x:v>
      </x:c>
      <x:c r="B130" s="19" t="str">
        <x:v>营火猎犬</x:v>
      </x:c>
      <x:c r="C130" s="19" t="n">
        <x:v>3</x:v>
      </x:c>
      <x:c r="D130" s="19" t="n">
        <x:v>3</x:v>
      </x:c>
      <x:c r="E130" s="19" t="str">
        <x:v>普通</x:v>
      </x:c>
      <x:c r="F130" s="34" t="n">
        <x:v>4.551535844306198</x:v>
      </x:c>
      <x:c r="G130" s="19" t="n">
        <x:v>12</x:v>
      </x:c>
      <x:c r="H130" s="19" t="n">
        <x:v>600</x:v>
      </x:c>
      <x:c r="I130" s="24" t="n">
        <x:f>G130*3600/H130</x:f>
        <x:v>72</x:v>
      </x:c>
      <x:c r="J130" s="24" t="n">
        <x:v>72</x:v>
      </x:c>
      <x:c r="K130" s="19" t="str">
        <x:v>P0075</x:v>
      </x:c>
    </x:row>
    <x:row r="131" ht="19" customHeight="1">
      <x:c r="A131" s="19" t="str">
        <x:v>C03-M030</x:v>
      </x:c>
      <x:c r="B131" s="19" t="str">
        <x:v>断轮弩手</x:v>
      </x:c>
      <x:c r="C131" s="19" t="n">
        <x:v>3</x:v>
      </x:c>
      <x:c r="D131" s="19" t="n">
        <x:v>3</x:v>
      </x:c>
      <x:c r="E131" s="19" t="str">
        <x:v>普通</x:v>
      </x:c>
      <x:c r="F131" s="34" t="n">
        <x:v>4.311981326184819</x:v>
      </x:c>
      <x:c r="G131" s="19" t="n">
        <x:v>12</x:v>
      </x:c>
      <x:c r="H131" s="19" t="n">
        <x:v>600</x:v>
      </x:c>
      <x:c r="I131" s="24" t="n">
        <x:f>G131*3600/H131</x:f>
        <x:v>72</x:v>
      </x:c>
      <x:c r="J131" s="24" t="n">
        <x:v>72</x:v>
      </x:c>
      <x:c r="K131" s="19" t="str">
        <x:v>P0075</x:v>
      </x:c>
    </x:row>
    <x:row r="132" ht="19" customHeight="1">
      <x:c r="A132" s="19" t="str">
        <x:v>C03-M031</x:v>
      </x:c>
      <x:c r="B132" s="19" t="str">
        <x:v>火漆追缉者</x:v>
      </x:c>
      <x:c r="C132" s="19" t="n">
        <x:v>3</x:v>
      </x:c>
      <x:c r="D132" s="19" t="n">
        <x:v>3</x:v>
      </x:c>
      <x:c r="E132" s="19" t="str">
        <x:v>稀有</x:v>
      </x:c>
      <x:c r="F132" s="34" t="n">
        <x:v>15.944601747626292</x:v>
      </x:c>
      <x:c r="G132" s="19" t="n">
        <x:v>2</x:v>
      </x:c>
      <x:c r="H132" s="19" t="n">
        <x:v>600</x:v>
      </x:c>
      <x:c r="I132" s="24" t="n">
        <x:f>G132*3600/H132</x:f>
        <x:v>12</x:v>
      </x:c>
      <x:c r="J132" s="24" t="n">
        <x:v>10.160178508322876</x:v>
      </x:c>
      <x:c r="K132" s="19" t="str">
        <x:v>P0075</x:v>
      </x:c>
    </x:row>
    <x:row r="133" ht="19" customHeight="1">
      <x:c r="A133" s="19" t="str">
        <x:v>C03-M032</x:v>
      </x:c>
      <x:c r="B133" s="19" t="str">
        <x:v>商队叛骑</x:v>
      </x:c>
      <x:c r="C133" s="19" t="n">
        <x:v>3</x:v>
      </x:c>
      <x:c r="D133" s="19" t="n">
        <x:v>3</x:v>
      </x:c>
      <x:c r="E133" s="19" t="str">
        <x:v>稀有</x:v>
      </x:c>
      <x:c r="F133" s="34" t="n">
        <x:v>12.755681398101034</x:v>
      </x:c>
      <x:c r="G133" s="19" t="n">
        <x:v>2</x:v>
      </x:c>
      <x:c r="H133" s="19" t="n">
        <x:v>600</x:v>
      </x:c>
      <x:c r="I133" s="24" t="n">
        <x:f>G133*3600/H133</x:f>
        <x:v>12</x:v>
      </x:c>
      <x:c r="J133" s="24" t="n">
        <x:v>12</x:v>
      </x:c>
      <x:c r="K133" s="19" t="str">
        <x:v>P0075</x:v>
      </x:c>
    </x:row>
    <x:row r="134" ht="19" customHeight="1">
      <x:c r="A134" s="19" t="str">
        <x:v>C03-M033</x:v>
      </x:c>
      <x:c r="B134" s="19" t="str">
        <x:v>断路劫首</x:v>
      </x:c>
      <x:c r="C134" s="19" t="n">
        <x:v>3</x:v>
      </x:c>
      <x:c r="D134" s="19" t="n">
        <x:v>3</x:v>
      </x:c>
      <x:c r="E134" s="19" t="str">
        <x:v>稀有</x:v>
      </x:c>
      <x:c r="F134" s="34" t="n">
        <x:v>12.755681398101034</x:v>
      </x:c>
      <x:c r="G134" s="19" t="n">
        <x:v>2</x:v>
      </x:c>
      <x:c r="H134" s="19" t="n">
        <x:v>600</x:v>
      </x:c>
      <x:c r="I134" s="24" t="n">
        <x:f>G134*3600/H134</x:f>
        <x:v>12</x:v>
      </x:c>
      <x:c r="J134" s="24" t="n">
        <x:v>12</x:v>
      </x:c>
      <x:c r="K134" s="19" t="str">
        <x:v>P0075</x:v>
      </x:c>
    </x:row>
    <x:row r="135" ht="19" customHeight="1">
      <x:c r="A135" s="19" t="str">
        <x:v>C03-M034</x:v>
      </x:c>
      <x:c r="B135" s="19" t="str">
        <x:v>黑帐术士</x:v>
      </x:c>
      <x:c r="C135" s="19" t="n">
        <x:v>3</x:v>
      </x:c>
      <x:c r="D135" s="19" t="n">
        <x:v>3</x:v>
      </x:c>
      <x:c r="E135" s="19" t="str">
        <x:v>稀有</x:v>
      </x:c>
      <x:c r="F135" s="34" t="n">
        <x:v>14.66903360781619</x:v>
      </x:c>
      <x:c r="G135" s="19" t="n">
        <x:v>2</x:v>
      </x:c>
      <x:c r="H135" s="19" t="n">
        <x:v>600</x:v>
      </x:c>
      <x:c r="I135" s="24" t="n">
        <x:f>G135*3600/H135</x:f>
        <x:v>12</x:v>
      </x:c>
      <x:c r="J135" s="24" t="n">
        <x:v>11.043672291655298</x:v>
      </x:c>
      <x:c r="K135" s="19" t="str">
        <x:v>P0075</x:v>
      </x:c>
    </x:row>
    <x:row r="136" ht="19" customHeight="1">
      <x:c r="A136" s="19" t="str">
        <x:v>C03-M035</x:v>
      </x:c>
      <x:c r="B136" s="19" t="str">
        <x:v>无路佣兵王·赫托</x:v>
      </x:c>
      <x:c r="C136" s="19" t="n">
        <x:v>3</x:v>
      </x:c>
      <x:c r="D136" s="19" t="n">
        <x:v>3</x:v>
      </x:c>
      <x:c r="E136" s="19" t="str">
        <x:v>地图BOSS</x:v>
      </x:c>
      <x:c r="F136" s="34" t="n">
        <x:v>72.88315772661618</x:v>
      </x:c>
      <x:c r="G136" s="19" t="n">
        <x:v>1</x:v>
      </x:c>
      <x:c r="H136" s="19" t="n">
        <x:v>1800</x:v>
      </x:c>
      <x:c r="I136" s="24" t="n">
        <x:f>G136*3600/H136</x:f>
        <x:v>2</x:v>
      </x:c>
      <x:c r="J136" s="24" t="n">
        <x:v>2</x:v>
      </x:c>
      <x:c r="K136" s="19" t="str">
        <x:v>P0075</x:v>
      </x:c>
    </x:row>
    <x:row r="137" ht="19" customHeight="1">
      <x:c r="A137" s="19" t="str">
        <x:v>C03-M036</x:v>
      </x:c>
      <x:c r="B137" s="19" t="str">
        <x:v>赤篷巨像·马尔</x:v>
      </x:c>
      <x:c r="C137" s="19" t="n">
        <x:v>3</x:v>
      </x:c>
      <x:c r="D137" s="19" t="n">
        <x:v>3</x:v>
      </x:c>
      <x:c r="E137" s="19" t="str">
        <x:v>地图BOSS</x:v>
      </x:c>
      <x:c r="F137" s="34" t="n">
        <x:v>81.9935524424432</x:v>
      </x:c>
      <x:c r="G137" s="19" t="n">
        <x:v>1</x:v>
      </x:c>
      <x:c r="H137" s="19" t="n">
        <x:v>1800</x:v>
      </x:c>
      <x:c r="I137" s="24" t="n">
        <x:f>G137*3600/H137</x:f>
        <x:v>2</x:v>
      </x:c>
      <x:c r="J137" s="24" t="n">
        <x:v>2</x:v>
      </x:c>
      <x:c r="K137" s="19" t="str">
        <x:v>P0075</x:v>
      </x:c>
    </x:row>
    <x:row r="138" ht="19" customHeight="1">
      <x:c r="A138" s="19" t="str">
        <x:v>C03-M037</x:v>
      </x:c>
      <x:c r="B138" s="19" t="str">
        <x:v>残阵兵魂</x:v>
      </x:c>
      <x:c r="C138" s="19" t="n">
        <x:v>3</x:v>
      </x:c>
      <x:c r="D138" s="19" t="n">
        <x:v>4</x:v>
      </x:c>
      <x:c r="E138" s="19" t="str">
        <x:v>普通</x:v>
      </x:c>
      <x:c r="F138" s="34" t="n">
        <x:v>4.524116878175268</x:v>
      </x:c>
      <x:c r="G138" s="19" t="n">
        <x:v>12</x:v>
      </x:c>
      <x:c r="H138" s="19" t="n">
        <x:v>600</x:v>
      </x:c>
      <x:c r="I138" s="24" t="n">
        <x:f>G138*3600/H138</x:f>
        <x:v>72</x:v>
      </x:c>
      <x:c r="J138" s="24" t="n">
        <x:v>72</x:v>
      </x:c>
      <x:c r="K138" s="19" t="str">
        <x:v>P0081</x:v>
      </x:c>
    </x:row>
    <x:row r="139" ht="19" customHeight="1">
      <x:c r="A139" s="19" t="str">
        <x:v>C03-M038</x:v>
      </x:c>
      <x:c r="B139" s="19" t="str">
        <x:v>折戟亡卒</x:v>
      </x:c>
      <x:c r="C139" s="19" t="n">
        <x:v>3</x:v>
      </x:c>
      <x:c r="D139" s="19" t="n">
        <x:v>4</x:v>
      </x:c>
      <x:c r="E139" s="19" t="str">
        <x:v>普通</x:v>
      </x:c>
      <x:c r="F139" s="34" t="n">
        <x:v>4.524116878175268</x:v>
      </x:c>
      <x:c r="G139" s="19" t="n">
        <x:v>12</x:v>
      </x:c>
      <x:c r="H139" s="19" t="n">
        <x:v>600</x:v>
      </x:c>
      <x:c r="I139" s="24" t="n">
        <x:f>G139*3600/H139</x:f>
        <x:v>72</x:v>
      </x:c>
      <x:c r="J139" s="24" t="n">
        <x:v>72</x:v>
      </x:c>
      <x:c r="K139" s="19" t="str">
        <x:v>P0081</x:v>
      </x:c>
    </x:row>
    <x:row r="140" ht="19" customHeight="1">
      <x:c r="A140" s="19" t="str">
        <x:v>C03-M039</x:v>
      </x:c>
      <x:c r="B140" s="19" t="str">
        <x:v>战壕腐尸</x:v>
      </x:c>
      <x:c r="C140" s="19" t="n">
        <x:v>3</x:v>
      </x:c>
      <x:c r="D140" s="19" t="n">
        <x:v>4</x:v>
      </x:c>
      <x:c r="E140" s="19" t="str">
        <x:v>普通</x:v>
      </x:c>
      <x:c r="F140" s="34" t="n">
        <x:v>4.3356120082512986</x:v>
      </x:c>
      <x:c r="G140" s="19" t="n">
        <x:v>12</x:v>
      </x:c>
      <x:c r="H140" s="19" t="n">
        <x:v>600</x:v>
      </x:c>
      <x:c r="I140" s="24" t="n">
        <x:f>G140*3600/H140</x:f>
        <x:v>72</x:v>
      </x:c>
      <x:c r="J140" s="24" t="n">
        <x:v>72</x:v>
      </x:c>
      <x:c r="K140" s="19" t="str">
        <x:v>P0081</x:v>
      </x:c>
    </x:row>
    <x:row r="141" ht="19" customHeight="1">
      <x:c r="A141" s="19" t="str">
        <x:v>C03-M040</x:v>
      </x:c>
      <x:c r="B141" s="19" t="str">
        <x:v>无首号手</x:v>
      </x:c>
      <x:c r="C141" s="19" t="n">
        <x:v>3</x:v>
      </x:c>
      <x:c r="D141" s="19" t="n">
        <x:v>4</x:v>
      </x:c>
      <x:c r="E141" s="19" t="str">
        <x:v>普通</x:v>
      </x:c>
      <x:c r="F141" s="34" t="n">
        <x:v>5.183883922909161</x:v>
      </x:c>
      <x:c r="G141" s="19" t="n">
        <x:v>12</x:v>
      </x:c>
      <x:c r="H141" s="19" t="n">
        <x:v>600</x:v>
      </x:c>
      <x:c r="I141" s="24" t="n">
        <x:f>G141*3600/H141</x:f>
        <x:v>72</x:v>
      </x:c>
      <x:c r="J141" s="24" t="n">
        <x:v>72</x:v>
      </x:c>
      <x:c r="K141" s="19" t="str">
        <x:v>P0081</x:v>
      </x:c>
    </x:row>
    <x:row r="142" ht="19" customHeight="1">
      <x:c r="A142" s="19" t="str">
        <x:v>C03-M041</x:v>
      </x:c>
      <x:c r="B142" s="19" t="str">
        <x:v>墓旗守卫</x:v>
      </x:c>
      <x:c r="C142" s="19" t="n">
        <x:v>3</x:v>
      </x:c>
      <x:c r="D142" s="19" t="n">
        <x:v>4</x:v>
      </x:c>
      <x:c r="E142" s="19" t="str">
        <x:v>普通</x:v>
      </x:c>
      <x:c r="F142" s="34" t="n">
        <x:v>4.0999809208463365</x:v>
      </x:c>
      <x:c r="G142" s="19" t="n">
        <x:v>12</x:v>
      </x:c>
      <x:c r="H142" s="19" t="n">
        <x:v>600</x:v>
      </x:c>
      <x:c r="I142" s="24" t="n">
        <x:f>G142*3600/H142</x:f>
        <x:v>72</x:v>
      </x:c>
      <x:c r="J142" s="24" t="n">
        <x:v>72</x:v>
      </x:c>
      <x:c r="K142" s="19" t="str">
        <x:v>P0081</x:v>
      </x:c>
    </x:row>
    <x:row r="143" ht="19" customHeight="1">
      <x:c r="A143" s="19" t="str">
        <x:v>C03-M042</x:v>
      </x:c>
      <x:c r="B143" s="19" t="str">
        <x:v>英灵战马</x:v>
      </x:c>
      <x:c r="C143" s="19" t="n">
        <x:v>3</x:v>
      </x:c>
      <x:c r="D143" s="19" t="n">
        <x:v>4</x:v>
      </x:c>
      <x:c r="E143" s="19" t="str">
        <x:v>普通</x:v>
      </x:c>
      <x:c r="F143" s="34" t="n">
        <x:v>5.183883922909161</x:v>
      </x:c>
      <x:c r="G143" s="19" t="n">
        <x:v>12</x:v>
      </x:c>
      <x:c r="H143" s="19" t="n">
        <x:v>600</x:v>
      </x:c>
      <x:c r="I143" s="24" t="n">
        <x:f>G143*3600/H143</x:f>
        <x:v>72</x:v>
      </x:c>
      <x:c r="J143" s="24" t="n">
        <x:v>72</x:v>
      </x:c>
      <x:c r="K143" s="19" t="str">
        <x:v>P0081</x:v>
      </x:c>
    </x:row>
    <x:row r="144" ht="19" customHeight="1">
      <x:c r="A144" s="19" t="str">
        <x:v>C03-M043</x:v>
      </x:c>
      <x:c r="B144" s="19" t="str">
        <x:v>百战英魂</x:v>
      </x:c>
      <x:c r="C144" s="19" t="n">
        <x:v>3</x:v>
      </x:c>
      <x:c r="D144" s="19" t="n">
        <x:v>4</x:v>
      </x:c>
      <x:c r="E144" s="19" t="str">
        <x:v>稀有</x:v>
      </x:c>
      <x:c r="F144" s="34" t="n">
        <x:v>15.06072328401169</x:v>
      </x:c>
      <x:c r="G144" s="19" t="n">
        <x:v>2</x:v>
      </x:c>
      <x:c r="H144" s="19" t="n">
        <x:v>600</x:v>
      </x:c>
      <x:c r="I144" s="24" t="n">
        <x:f>G144*3600/H144</x:f>
        <x:v>12</x:v>
      </x:c>
      <x:c r="J144" s="24" t="n">
        <x:v>10.756455513127815</x:v>
      </x:c>
      <x:c r="K144" s="19" t="str">
        <x:v>P0081</x:v>
      </x:c>
    </x:row>
    <x:row r="145" ht="19" customHeight="1">
      <x:c r="A145" s="19" t="str">
        <x:v>C03-M044</x:v>
      </x:c>
      <x:c r="B145" s="19" t="str">
        <x:v>亡阵旗官</x:v>
      </x:c>
      <x:c r="C145" s="19" t="n">
        <x:v>3</x:v>
      </x:c>
      <x:c r="D145" s="19" t="n">
        <x:v>4</x:v>
      </x:c>
      <x:c r="E145" s="19" t="str">
        <x:v>稀有</x:v>
      </x:c>
      <x:c r="F145" s="34" t="n">
        <x:v>13.052626846143465</x:v>
      </x:c>
      <x:c r="G145" s="19" t="n">
        <x:v>2</x:v>
      </x:c>
      <x:c r="H145" s="19" t="n">
        <x:v>600</x:v>
      </x:c>
      <x:c r="I145" s="24" t="n">
        <x:f>G145*3600/H145</x:f>
        <x:v>12</x:v>
      </x:c>
      <x:c r="J145" s="24" t="n">
        <x:v>12</x:v>
      </x:c>
      <x:c r="K145" s="19" t="str">
        <x:v>P0081</x:v>
      </x:c>
    </x:row>
    <x:row r="146" ht="19" customHeight="1">
      <x:c r="A146" s="19" t="str">
        <x:v>C03-M045</x:v>
      </x:c>
      <x:c r="B146" s="19" t="str">
        <x:v>誓死卫士</x:v>
      </x:c>
      <x:c r="C146" s="19" t="n">
        <x:v>3</x:v>
      </x:c>
      <x:c r="D146" s="19" t="n">
        <x:v>4</x:v>
      </x:c>
      <x:c r="E146" s="19" t="str">
        <x:v>稀有</x:v>
      </x:c>
      <x:c r="F146" s="34" t="n">
        <x:v>15.06072328401169</x:v>
      </x:c>
      <x:c r="G146" s="19" t="n">
        <x:v>2</x:v>
      </x:c>
      <x:c r="H146" s="19" t="n">
        <x:v>600</x:v>
      </x:c>
      <x:c r="I146" s="24" t="n">
        <x:f>G146*3600/H146</x:f>
        <x:v>12</x:v>
      </x:c>
      <x:c r="J146" s="24" t="n">
        <x:v>10.756455513127815</x:v>
      </x:c>
      <x:c r="K146" s="19" t="str">
        <x:v>P0081</x:v>
      </x:c>
    </x:row>
    <x:row r="147" ht="19" customHeight="1">
      <x:c r="A147" s="19" t="str">
        <x:v>C03-M046</x:v>
      </x:c>
      <x:c r="B147" s="19" t="str">
        <x:v>祭坛唤魂师</x:v>
      </x:c>
      <x:c r="C147" s="19" t="n">
        <x:v>3</x:v>
      </x:c>
      <x:c r="D147" s="19" t="n">
        <x:v>4</x:v>
      </x:c>
      <x:c r="E147" s="19" t="str">
        <x:v>稀有</x:v>
      </x:c>
      <x:c r="F147" s="34" t="n">
        <x:v>13.554650955610521</x:v>
      </x:c>
      <x:c r="G147" s="19" t="n">
        <x:v>2</x:v>
      </x:c>
      <x:c r="H147" s="19" t="n">
        <x:v>600</x:v>
      </x:c>
      <x:c r="I147" s="24" t="n">
        <x:f>G147*3600/H147</x:f>
        <x:v>12</x:v>
      </x:c>
      <x:c r="J147" s="24" t="n">
        <x:v>11.951617236808683</x:v>
      </x:c>
      <x:c r="K147" s="19" t="str">
        <x:v>P0081</x:v>
      </x:c>
    </x:row>
    <x:row r="148" ht="19" customHeight="1">
      <x:c r="A148" s="19" t="str">
        <x:v>C03-M047</x:v>
      </x:c>
      <x:c r="B148" s="19" t="str">
        <x:v>古战将·雷戈</x:v>
      </x:c>
      <x:c r="C148" s="19" t="n">
        <x:v>3</x:v>
      </x:c>
      <x:c r="D148" s="19" t="n">
        <x:v>4</x:v>
      </x:c>
      <x:c r="E148" s="19" t="str">
        <x:v>地图BOSS</x:v>
      </x:c>
      <x:c r="F148" s="34" t="n">
        <x:v>86.77128035116601</x:v>
      </x:c>
      <x:c r="G148" s="19" t="n">
        <x:v>1</x:v>
      </x:c>
      <x:c r="H148" s="19" t="n">
        <x:v>1800</x:v>
      </x:c>
      <x:c r="I148" s="24" t="n">
        <x:f>G148*3600/H148</x:f>
        <x:v>2</x:v>
      </x:c>
      <x:c r="J148" s="24" t="n">
        <x:v>2</x:v>
      </x:c>
      <x:c r="K148" s="19" t="str">
        <x:v>P0081</x:v>
      </x:c>
    </x:row>
    <x:row r="149" ht="19" customHeight="1">
      <x:c r="A149" s="19" t="str">
        <x:v>C03-M048</x:v>
      </x:c>
      <x:c r="B149" s="19" t="str">
        <x:v>千军怨灵·阿萨</x:v>
      </x:c>
      <x:c r="C149" s="19" t="n">
        <x:v>3</x:v>
      </x:c>
      <x:c r="D149" s="19" t="n">
        <x:v>4</x:v>
      </x:c>
      <x:c r="E149" s="19" t="str">
        <x:v>地图BOSS</x:v>
      </x:c>
      <x:c r="F149" s="34" t="n">
        <x:v>68.69393027800643</x:v>
      </x:c>
      <x:c r="G149" s="19" t="n">
        <x:v>1</x:v>
      </x:c>
      <x:c r="H149" s="19" t="n">
        <x:v>1800</x:v>
      </x:c>
      <x:c r="I149" s="24" t="n">
        <x:f>G149*3600/H149</x:f>
        <x:v>2</x:v>
      </x:c>
      <x:c r="J149" s="24" t="n">
        <x:v>2</x:v>
      </x:c>
      <x:c r="K149" s="19" t="str">
        <x:v>P0081</x:v>
      </x:c>
    </x:row>
    <x:row r="150" ht="19" customHeight="1">
      <x:c r="A150" s="19" t="str">
        <x:v>C03-M049</x:v>
      </x:c>
      <x:c r="B150" s="19" t="str">
        <x:v>古垒戍兵</x:v>
      </x:c>
      <x:c r="C150" s="19" t="n">
        <x:v>3</x:v>
      </x:c>
      <x:c r="D150" s="19" t="n">
        <x:v>5</x:v>
      </x:c>
      <x:c r="E150" s="19" t="str">
        <x:v>普通</x:v>
      </x:c>
      <x:c r="F150" s="34" t="n">
        <x:v>4.000174156377872</x:v>
      </x:c>
      <x:c r="G150" s="19" t="n">
        <x:v>12</x:v>
      </x:c>
      <x:c r="H150" s="19" t="n">
        <x:v>600</x:v>
      </x:c>
      <x:c r="I150" s="24" t="n">
        <x:f>G150*3600/H150</x:f>
        <x:v>72</x:v>
      </x:c>
      <x:c r="J150" s="24" t="n">
        <x:v>72</x:v>
      </x:c>
      <x:c r="K150" s="19" t="str">
        <x:v>P0087</x:v>
      </x:c>
    </x:row>
    <x:row r="151" ht="19" customHeight="1">
      <x:c r="A151" s="19" t="str">
        <x:v>C03-M050</x:v>
      </x:c>
      <x:c r="B151" s="19" t="str">
        <x:v>风沙箭手</x:v>
      </x:c>
      <x:c r="C151" s="19" t="n">
        <x:v>3</x:v>
      </x:c>
      <x:c r="D151" s="19" t="n">
        <x:v>5</x:v>
      </x:c>
      <x:c r="E151" s="19" t="str">
        <x:v>普通</x:v>
      </x:c>
      <x:c r="F151" s="34" t="n">
        <x:v>4.666869849107517</x:v>
      </x:c>
      <x:c r="G151" s="19" t="n">
        <x:v>12</x:v>
      </x:c>
      <x:c r="H151" s="19" t="n">
        <x:v>600</x:v>
      </x:c>
      <x:c r="I151" s="24" t="n">
        <x:f>G151*3600/H151</x:f>
        <x:v>72</x:v>
      </x:c>
      <x:c r="J151" s="24" t="n">
        <x:v>72</x:v>
      </x:c>
      <x:c r="K151" s="19" t="str">
        <x:v>P0087</x:v>
      </x:c>
    </x:row>
    <x:row r="152" ht="19" customHeight="1">
      <x:c r="A152" s="19" t="str">
        <x:v>C03-M051</x:v>
      </x:c>
      <x:c r="B152" s="19" t="str">
        <x:v>回廊石卫</x:v>
      </x:c>
      <x:c r="C152" s="19" t="n">
        <x:v>3</x:v>
      </x:c>
      <x:c r="D152" s="19" t="n">
        <x:v>5</x:v>
      </x:c>
      <x:c r="E152" s="19" t="str">
        <x:v>普通</x:v>
      </x:c>
      <x:c r="F152" s="34" t="n">
        <x:v>4.000174156377872</x:v>
      </x:c>
      <x:c r="G152" s="19" t="n">
        <x:v>12</x:v>
      </x:c>
      <x:c r="H152" s="19" t="n">
        <x:v>600</x:v>
      </x:c>
      <x:c r="I152" s="24" t="n">
        <x:f>G152*3600/H152</x:f>
        <x:v>72</x:v>
      </x:c>
      <x:c r="J152" s="24" t="n">
        <x:v>72</x:v>
      </x:c>
      <x:c r="K152" s="19" t="str">
        <x:v>P0087</x:v>
      </x:c>
    </x:row>
    <x:row r="153" ht="19" customHeight="1">
      <x:c r="A153" s="19" t="str">
        <x:v>C03-M052</x:v>
      </x:c>
      <x:c r="B153" s="19" t="str">
        <x:v>地宫掘墓人</x:v>
      </x:c>
      <x:c r="C153" s="19" t="n">
        <x:v>3</x:v>
      </x:c>
      <x:c r="D153" s="19" t="n">
        <x:v>5</x:v>
      </x:c>
      <x:c r="E153" s="19" t="str">
        <x:v>普通</x:v>
      </x:c>
      <x:c r="F153" s="34" t="n">
        <x:v>4.666869849107517</x:v>
      </x:c>
      <x:c r="G153" s="19" t="n">
        <x:v>12</x:v>
      </x:c>
      <x:c r="H153" s="19" t="n">
        <x:v>600</x:v>
      </x:c>
      <x:c r="I153" s="24" t="n">
        <x:f>G153*3600/H153</x:f>
        <x:v>72</x:v>
      </x:c>
      <x:c r="J153" s="24" t="n">
        <x:v>72</x:v>
      </x:c>
      <x:c r="K153" s="19" t="str">
        <x:v>P0087</x:v>
      </x:c>
    </x:row>
    <x:row r="154" ht="19" customHeight="1">
      <x:c r="A154" s="19" t="str">
        <x:v>C03-M053</x:v>
      </x:c>
      <x:c r="B154" s="19" t="str">
        <x:v>边墙猎犬</x:v>
      </x:c>
      <x:c r="C154" s="19" t="n">
        <x:v>3</x:v>
      </x:c>
      <x:c r="D154" s="19" t="n">
        <x:v>5</x:v>
      </x:c>
      <x:c r="E154" s="19" t="str">
        <x:v>普通</x:v>
      </x:c>
      <x:c r="F154" s="34" t="n">
        <x:v>5.333565541837163</x:v>
      </x:c>
      <x:c r="G154" s="19" t="n">
        <x:v>12</x:v>
      </x:c>
      <x:c r="H154" s="19" t="n">
        <x:v>600</x:v>
      </x:c>
      <x:c r="I154" s="24" t="n">
        <x:f>G154*3600/H154</x:f>
        <x:v>72</x:v>
      </x:c>
      <x:c r="J154" s="24" t="n">
        <x:v>72</x:v>
      </x:c>
      <x:c r="K154" s="19" t="str">
        <x:v>P0087</x:v>
      </x:c>
    </x:row>
    <x:row r="155" ht="19" customHeight="1">
      <x:c r="A155" s="19" t="str">
        <x:v>C03-M054</x:v>
      </x:c>
      <x:c r="B155" s="19" t="str">
        <x:v>铜门守卒</x:v>
      </x:c>
      <x:c r="C155" s="19" t="n">
        <x:v>3</x:v>
      </x:c>
      <x:c r="D155" s="19" t="n">
        <x:v>5</x:v>
      </x:c>
      <x:c r="E155" s="19" t="str">
        <x:v>普通</x:v>
      </x:c>
      <x:c r="F155" s="34" t="n">
        <x:v>4.000174156377872</x:v>
      </x:c>
      <x:c r="G155" s="19" t="n">
        <x:v>12</x:v>
      </x:c>
      <x:c r="H155" s="19" t="n">
        <x:v>600</x:v>
      </x:c>
      <x:c r="I155" s="24" t="n">
        <x:f>G155*3600/H155</x:f>
        <x:v>72</x:v>
      </x:c>
      <x:c r="J155" s="24" t="n">
        <x:v>72</x:v>
      </x:c>
      <x:c r="K155" s="19" t="str">
        <x:v>P0087</x:v>
      </x:c>
    </x:row>
    <x:row r="156" ht="19" customHeight="1">
      <x:c r="A156" s="19" t="str">
        <x:v>C03-M055</x:v>
      </x:c>
      <x:c r="B156" s="19" t="str">
        <x:v>古垒百夫长</x:v>
      </x:c>
      <x:c r="C156" s="19" t="n">
        <x:v>3</x:v>
      </x:c>
      <x:c r="D156" s="19" t="n">
        <x:v>5</x:v>
      </x:c>
      <x:c r="E156" s="19" t="str">
        <x:v>稀有</x:v>
      </x:c>
      <x:c r="F156" s="34" t="n">
        <x:v>12.79159733664662</x:v>
      </x:c>
      <x:c r="G156" s="19" t="n">
        <x:v>2</x:v>
      </x:c>
      <x:c r="H156" s="19" t="n">
        <x:v>600</x:v>
      </x:c>
      <x:c r="I156" s="24" t="n">
        <x:f>G156*3600/H156</x:f>
        <x:v>12</x:v>
      </x:c>
      <x:c r="J156" s="24" t="n">
        <x:v>12</x:v>
      </x:c>
      <x:c r="K156" s="19" t="str">
        <x:v>P0087</x:v>
      </x:c>
    </x:row>
    <x:row r="157" ht="19" customHeight="1">
      <x:c r="A157" s="19" t="str">
        <x:v>C03-M056</x:v>
      </x:c>
      <x:c r="B157" s="19" t="str">
        <x:v>风蚀刑官</x:v>
      </x:c>
      <x:c r="C157" s="19" t="n">
        <x:v>3</x:v>
      </x:c>
      <x:c r="D157" s="19" t="n">
        <x:v>5</x:v>
      </x:c>
      <x:c r="E157" s="19" t="str">
        <x:v>稀有</x:v>
      </x:c>
      <x:c r="F157" s="34" t="n">
        <x:v>15.634174522568092</x:v>
      </x:c>
      <x:c r="G157" s="19" t="n">
        <x:v>2</x:v>
      </x:c>
      <x:c r="H157" s="19" t="n">
        <x:v>600</x:v>
      </x:c>
      <x:c r="I157" s="24" t="n">
        <x:f>G157*3600/H157</x:f>
        <x:v>12</x:v>
      </x:c>
      <x:c r="J157" s="24" t="n">
        <x:v>10.361915799657432</x:v>
      </x:c>
      <x:c r="K157" s="19" t="str">
        <x:v>P0087</x:v>
      </x:c>
    </x:row>
    <x:row r="158" ht="19" customHeight="1">
      <x:c r="A158" s="19" t="str">
        <x:v>C03-M057</x:v>
      </x:c>
      <x:c r="B158" s="19" t="str">
        <x:v>地宫镇魂者</x:v>
      </x:c>
      <x:c r="C158" s="19" t="n">
        <x:v>3</x:v>
      </x:c>
      <x:c r="D158" s="19" t="n">
        <x:v>5</x:v>
      </x:c>
      <x:c r="E158" s="19" t="str">
        <x:v>稀有</x:v>
      </x:c>
      <x:c r="F158" s="34" t="n">
        <x:v>12.79159733664662</x:v>
      </x:c>
      <x:c r="G158" s="19" t="n">
        <x:v>2</x:v>
      </x:c>
      <x:c r="H158" s="19" t="n">
        <x:v>600</x:v>
      </x:c>
      <x:c r="I158" s="24" t="n">
        <x:f>G158*3600/H158</x:f>
        <x:v>12</x:v>
      </x:c>
      <x:c r="J158" s="24" t="n">
        <x:v>12</x:v>
      </x:c>
      <x:c r="K158" s="19" t="str">
        <x:v>P0087</x:v>
      </x:c>
    </x:row>
    <x:row r="159" ht="19" customHeight="1">
      <x:c r="A159" s="19" t="str">
        <x:v>C03-M058</x:v>
      </x:c>
      <x:c r="B159" s="19" t="str">
        <x:v>边境铜像</x:v>
      </x:c>
      <x:c r="C159" s="19" t="n">
        <x:v>3</x:v>
      </x:c>
      <x:c r="D159" s="19" t="n">
        <x:v>5</x:v>
      </x:c>
      <x:c r="E159" s="19" t="str">
        <x:v>稀有</x:v>
      </x:c>
      <x:c r="F159" s="34" t="n">
        <x:v>15.634174522568092</x:v>
      </x:c>
      <x:c r="G159" s="19" t="n">
        <x:v>2</x:v>
      </x:c>
      <x:c r="H159" s="19" t="n">
        <x:v>600</x:v>
      </x:c>
      <x:c r="I159" s="24" t="n">
        <x:f>G159*3600/H159</x:f>
        <x:v>12</x:v>
      </x:c>
      <x:c r="J159" s="24" t="n">
        <x:v>10.361915799657432</x:v>
      </x:c>
      <x:c r="K159" s="19" t="str">
        <x:v>P0087</x:v>
      </x:c>
    </x:row>
    <x:row r="160" ht="19" customHeight="1">
      <x:c r="A160" s="19" t="str">
        <x:v>C03-M059</x:v>
      </x:c>
      <x:c r="B160" s="19" t="str">
        <x:v>无归守将·布兰</x:v>
      </x:c>
      <x:c r="C160" s="19" t="n">
        <x:v>3</x:v>
      </x:c>
      <x:c r="D160" s="19" t="n">
        <x:v>5</x:v>
      </x:c>
      <x:c r="E160" s="19" t="str">
        <x:v>地图BOSS</x:v>
      </x:c>
      <x:c r="F160" s="34" t="n">
        <x:v>68.17834036767115</x:v>
      </x:c>
      <x:c r="G160" s="19" t="n">
        <x:v>1</x:v>
      </x:c>
      <x:c r="H160" s="19" t="n">
        <x:v>1800</x:v>
      </x:c>
      <x:c r="I160" s="24" t="n">
        <x:f>G160*3600/H160</x:f>
        <x:v>2</x:v>
      </x:c>
      <x:c r="J160" s="24" t="n">
        <x:v>2</x:v>
      </x:c>
      <x:c r="K160" s="19" t="str">
        <x:v>P0087</x:v>
      </x:c>
    </x:row>
    <x:row r="161" ht="19" customHeight="1">
      <x:c r="A161" s="19" t="str">
        <x:v>C03-M060</x:v>
      </x:c>
      <x:c r="B161" s="19" t="str">
        <x:v>古垒石王·迦姆</x:v>
      </x:c>
      <x:c r="C161" s="19" t="n">
        <x:v>3</x:v>
      </x:c>
      <x:c r="D161" s="19" t="n">
        <x:v>5</x:v>
      </x:c>
      <x:c r="E161" s="19" t="str">
        <x:v>地图BOSS</x:v>
      </x:c>
      <x:c r="F161" s="34" t="n">
        <x:v>74.37637131018671</x:v>
      </x:c>
      <x:c r="G161" s="19" t="n">
        <x:v>1</x:v>
      </x:c>
      <x:c r="H161" s="19" t="n">
        <x:v>1800</x:v>
      </x:c>
      <x:c r="I161" s="24" t="n">
        <x:f>G161*3600/H161</x:f>
        <x:v>2</x:v>
      </x:c>
      <x:c r="J161" s="24" t="n">
        <x:v>2</x:v>
      </x:c>
      <x:c r="K161" s="19" t="str">
        <x:v>P0087</x:v>
      </x:c>
    </x:row>
    <x:row r="162" ht="19" customHeight="1">
      <x:c r="A162" s="19" t="str">
        <x:v>C03-M061</x:v>
      </x:c>
      <x:c r="B162" s="19" t="str">
        <x:v>金叶哨兵</x:v>
      </x:c>
      <x:c r="C162" s="19" t="n">
        <x:v>3</x:v>
      </x:c>
      <x:c r="D162" s="19" t="n">
        <x:v>6</x:v>
      </x:c>
      <x:c r="E162" s="19" t="str">
        <x:v>普通</x:v>
      </x:c>
      <x:c r="F162" s="34" t="n">
        <x:v>4.442425327935069</x:v>
      </x:c>
      <x:c r="G162" s="19" t="n">
        <x:v>12</x:v>
      </x:c>
      <x:c r="H162" s="19" t="n">
        <x:v>600</x:v>
      </x:c>
      <x:c r="I162" s="24" t="n">
        <x:f>G162*3600/H162</x:f>
        <x:v>72</x:v>
      </x:c>
      <x:c r="J162" s="24" t="n">
        <x:v>72</x:v>
      </x:c>
      <x:c r="K162" s="19" t="str">
        <x:v>P0093</x:v>
      </x:c>
    </x:row>
    <x:row r="163" ht="19" customHeight="1">
      <x:c r="A163" s="19" t="str">
        <x:v>C03-M062</x:v>
      </x:c>
      <x:c r="B163" s="19" t="str">
        <x:v>王树弩卫</x:v>
      </x:c>
      <x:c r="C163" s="19" t="n">
        <x:v>3</x:v>
      </x:c>
      <x:c r="D163" s="19" t="n">
        <x:v>6</x:v>
      </x:c>
      <x:c r="E163" s="19" t="str">
        <x:v>普通</x:v>
      </x:c>
      <x:c r="F163" s="34" t="n">
        <x:v>4.442425327935069</x:v>
      </x:c>
      <x:c r="G163" s="19" t="n">
        <x:v>12</x:v>
      </x:c>
      <x:c r="H163" s="19" t="n">
        <x:v>600</x:v>
      </x:c>
      <x:c r="I163" s="24" t="n">
        <x:f>G163*3600/H163</x:f>
        <x:v>72</x:v>
      </x:c>
      <x:c r="J163" s="24" t="n">
        <x:v>72</x:v>
      </x:c>
      <x:c r="K163" s="19" t="str">
        <x:v>P0093</x:v>
      </x:c>
    </x:row>
    <x:row r="164" ht="19" customHeight="1">
      <x:c r="A164" s="19" t="str">
        <x:v>C03-M063</x:v>
      </x:c>
      <x:c r="B164" s="19" t="str">
        <x:v>圣露侍从</x:v>
      </x:c>
      <x:c r="C164" s="19" t="n">
        <x:v>3</x:v>
      </x:c>
      <x:c r="D164" s="19" t="n">
        <x:v>6</x:v>
      </x:c>
      <x:c r="E164" s="19" t="str">
        <x:v>普通</x:v>
      </x:c>
      <x:c r="F164" s="34" t="n">
        <x:v>5.330910393522083</x:v>
      </x:c>
      <x:c r="G164" s="19" t="n">
        <x:v>12</x:v>
      </x:c>
      <x:c r="H164" s="19" t="n">
        <x:v>600</x:v>
      </x:c>
      <x:c r="I164" s="24" t="n">
        <x:f>G164*3600/H164</x:f>
        <x:v>72</x:v>
      </x:c>
      <x:c r="J164" s="24" t="n">
        <x:v>72</x:v>
      </x:c>
      <x:c r="K164" s="19" t="str">
        <x:v>P0093</x:v>
      </x:c>
    </x:row>
    <x:row r="165" ht="19" customHeight="1">
      <x:c r="A165" s="19" t="str">
        <x:v>C03-M064</x:v>
      </x:c>
      <x:c r="B165" s="19" t="str">
        <x:v>镀金战鹰</x:v>
      </x:c>
      <x:c r="C165" s="19" t="n">
        <x:v>3</x:v>
      </x:c>
      <x:c r="D165" s="19" t="n">
        <x:v>6</x:v>
      </x:c>
      <x:c r="E165" s="19" t="str">
        <x:v>普通</x:v>
      </x:c>
      <x:c r="F165" s="34" t="n">
        <x:v>4.442425327935069</x:v>
      </x:c>
      <x:c r="G165" s="19" t="n">
        <x:v>12</x:v>
      </x:c>
      <x:c r="H165" s="19" t="n">
        <x:v>600</x:v>
      </x:c>
      <x:c r="I165" s="24" t="n">
        <x:f>G165*3600/H165</x:f>
        <x:v>72</x:v>
      </x:c>
      <x:c r="J165" s="24" t="n">
        <x:v>72</x:v>
      </x:c>
      <x:c r="K165" s="19" t="str">
        <x:v>P0093</x:v>
      </x:c>
    </x:row>
    <x:row r="166" ht="19" customHeight="1">
      <x:c r="A166" s="19" t="str">
        <x:v>C03-M065</x:v>
      </x:c>
      <x:c r="B166" s="19" t="str">
        <x:v>赐福骑兵</x:v>
      </x:c>
      <x:c r="C166" s="19" t="n">
        <x:v>3</x:v>
      </x:c>
      <x:c r="D166" s="19" t="n">
        <x:v>6</x:v>
      </x:c>
      <x:c r="E166" s="19" t="str">
        <x:v>普通</x:v>
      </x:c>
      <x:c r="F166" s="34" t="n">
        <x:v>6.902961176961642</x:v>
      </x:c>
      <x:c r="G166" s="19" t="n">
        <x:v>12</x:v>
      </x:c>
      <x:c r="H166" s="19" t="n">
        <x:v>600</x:v>
      </x:c>
      <x:c r="I166" s="24" t="n">
        <x:f>G166*3600/H166</x:f>
        <x:v>72</x:v>
      </x:c>
      <x:c r="J166" s="24" t="n">
        <x:v>62.58183827569287</x:v>
      </x:c>
      <x:c r="K166" s="19" t="str">
        <x:v>P0093</x:v>
      </x:c>
    </x:row>
    <x:row r="167" ht="19" customHeight="1">
      <x:c r="A167" s="19" t="str">
        <x:v>C03-M066</x:v>
      </x:c>
      <x:c r="B167" s="19" t="str">
        <x:v>哨垒执炬者</x:v>
      </x:c>
      <x:c r="C167" s="19" t="n">
        <x:v>3</x:v>
      </x:c>
      <x:c r="D167" s="19" t="n">
        <x:v>6</x:v>
      </x:c>
      <x:c r="E167" s="19" t="str">
        <x:v>普通</x:v>
      </x:c>
      <x:c r="F167" s="34" t="n">
        <x:v>6.090848097319096</x:v>
      </x:c>
      <x:c r="G167" s="19" t="n">
        <x:v>12</x:v>
      </x:c>
      <x:c r="H167" s="19" t="n">
        <x:v>600</x:v>
      </x:c>
      <x:c r="I167" s="24" t="n">
        <x:f>G167*3600/H167</x:f>
        <x:v>72</x:v>
      </x:c>
      <x:c r="J167" s="24" t="n">
        <x:v>70.92608337911858</x:v>
      </x:c>
      <x:c r="K167" s="19" t="str">
        <x:v>P0093</x:v>
      </x:c>
    </x:row>
    <x:row r="168" ht="19" customHeight="1">
      <x:c r="A168" s="19" t="str">
        <x:v>C03-M067</x:v>
      </x:c>
      <x:c r="B168" s="19" t="str">
        <x:v>黄金树旗卫</x:v>
      </x:c>
      <x:c r="C168" s="19" t="n">
        <x:v>3</x:v>
      </x:c>
      <x:c r="D168" s="19" t="n">
        <x:v>6</x:v>
      </x:c>
      <x:c r="E168" s="19" t="str">
        <x:v>稀有</x:v>
      </x:c>
      <x:c r="F168" s="34" t="n">
        <x:v>12.947754474792378</x:v>
      </x:c>
      <x:c r="G168" s="19" t="n">
        <x:v>2</x:v>
      </x:c>
      <x:c r="H168" s="19" t="n">
        <x:v>600</x:v>
      </x:c>
      <x:c r="I168" s="24" t="n">
        <x:f>G168*3600/H168</x:f>
        <x:v>12</x:v>
      </x:c>
      <x:c r="J168" s="24" t="n">
        <x:v>12</x:v>
      </x:c>
      <x:c r="K168" s="19" t="str">
        <x:v>P0093</x:v>
      </x:c>
    </x:row>
    <x:row r="169" ht="19" customHeight="1">
      <x:c r="A169" s="19" t="str">
        <x:v>C03-M068</x:v>
      </x:c>
      <x:c r="B169" s="19" t="str">
        <x:v>圣律监军</x:v>
      </x:c>
      <x:c r="C169" s="19" t="n">
        <x:v>3</x:v>
      </x:c>
      <x:c r="D169" s="19" t="n">
        <x:v>6</x:v>
      </x:c>
      <x:c r="E169" s="19" t="str">
        <x:v>稀有</x:v>
      </x:c>
      <x:c r="F169" s="34" t="n">
        <x:v>15.789944481454118</x:v>
      </x:c>
      <x:c r="G169" s="19" t="n">
        <x:v>2</x:v>
      </x:c>
      <x:c r="H169" s="19" t="n">
        <x:v>600</x:v>
      </x:c>
      <x:c r="I169" s="24" t="n">
        <x:f>G169*3600/H169</x:f>
        <x:v>12</x:v>
      </x:c>
      <x:c r="J169" s="24" t="n">
        <x:v>10.259694085072628</x:v>
      </x:c>
      <x:c r="K169" s="19" t="str">
        <x:v>P0093</x:v>
      </x:c>
    </x:row>
    <x:row r="170" ht="19" customHeight="1">
      <x:c r="A170" s="19" t="str">
        <x:v>C03-M069</x:v>
      </x:c>
      <x:c r="B170" s="19" t="str">
        <x:v>赐福守门人</x:v>
      </x:c>
      <x:c r="C170" s="19" t="n">
        <x:v>3</x:v>
      </x:c>
      <x:c r="D170" s="19" t="n">
        <x:v>6</x:v>
      </x:c>
      <x:c r="E170" s="19" t="str">
        <x:v>稀有</x:v>
      </x:c>
      <x:c r="F170" s="34" t="n">
        <x:v>17.752196128415516</x:v>
      </x:c>
      <x:c r="G170" s="19" t="n">
        <x:v>2</x:v>
      </x:c>
      <x:c r="H170" s="19" t="n">
        <x:v>600</x:v>
      </x:c>
      <x:c r="I170" s="24" t="n">
        <x:f>G170*3600/H170</x:f>
        <x:v>12</x:v>
      </x:c>
      <x:c r="J170" s="24" t="n">
        <x:v>9.125631489654989</x:v>
      </x:c>
      <x:c r="K170" s="19" t="str">
        <x:v>P0093</x:v>
      </x:c>
    </x:row>
    <x:row r="171" ht="19" customHeight="1">
      <x:c r="A171" s="19" t="str">
        <x:v>C03-M070</x:v>
      </x:c>
      <x:c r="B171" s="19" t="str">
        <x:v>哨垒祷告师</x:v>
      </x:c>
      <x:c r="C171" s="19" t="n">
        <x:v>3</x:v>
      </x:c>
      <x:c r="D171" s="19" t="n">
        <x:v>6</x:v>
      </x:c>
      <x:c r="E171" s="19" t="str">
        <x:v>稀有</x:v>
      </x:c>
      <x:c r="F171" s="34" t="n">
        <x:v>21.64901966879941</x:v>
      </x:c>
      <x:c r="G171" s="19" t="n">
        <x:v>2</x:v>
      </x:c>
      <x:c r="H171" s="19" t="n">
        <x:v>600</x:v>
      </x:c>
      <x:c r="I171" s="24" t="n">
        <x:f>G171*3600/H171</x:f>
        <x:v>12</x:v>
      </x:c>
      <x:c r="J171" s="24" t="n">
        <x:v>7.48301782151709</x:v>
      </x:c>
      <x:c r="K171" s="19" t="str">
        <x:v>P0093</x:v>
      </x:c>
    </x:row>
    <x:row r="172" ht="19" customHeight="1">
      <x:c r="A172" s="19" t="str">
        <x:v>C03-M071</x:v>
      </x:c>
      <x:c r="B172" s="19" t="str">
        <x:v>金叶统帅·艾德</x:v>
      </x:c>
      <x:c r="C172" s="19" t="n">
        <x:v>3</x:v>
      </x:c>
      <x:c r="D172" s="19" t="n">
        <x:v>6</x:v>
      </x:c>
      <x:c r="E172" s="19" t="str">
        <x:v>地图BOSS</x:v>
      </x:c>
      <x:c r="F172" s="34" t="n">
        <x:v>85.11417461895745</x:v>
      </x:c>
      <x:c r="G172" s="19" t="n">
        <x:v>1</x:v>
      </x:c>
      <x:c r="H172" s="19" t="n">
        <x:v>1800</x:v>
      </x:c>
      <x:c r="I172" s="24" t="n">
        <x:f>G172*3600/H172</x:f>
        <x:v>2</x:v>
      </x:c>
      <x:c r="J172" s="24" t="n">
        <x:v>2</x:v>
      </x:c>
      <x:c r="K172" s="19" t="str">
        <x:v>P0093</x:v>
      </x:c>
    </x:row>
    <x:row r="173" ht="19" customHeight="1">
      <x:c r="A173" s="19" t="str">
        <x:v>C03-M072</x:v>
      </x:c>
      <x:c r="B173" s="19" t="str">
        <x:v>黄金树化身·洛恩</x:v>
      </x:c>
      <x:c r="C173" s="19" t="n">
        <x:v>3</x:v>
      </x:c>
      <x:c r="D173" s="19" t="n">
        <x:v>6</x:v>
      </x:c>
      <x:c r="E173" s="19" t="str">
        <x:v>地图BOSS</x:v>
      </x:c>
      <x:c r="F173" s="34" t="n">
        <x:v>72.93559686766494</x:v>
      </x:c>
      <x:c r="G173" s="19" t="n">
        <x:v>1</x:v>
      </x:c>
      <x:c r="H173" s="19" t="n">
        <x:v>1800</x:v>
      </x:c>
      <x:c r="I173" s="24" t="n">
        <x:f>G173*3600/H173</x:f>
        <x:v>2</x:v>
      </x:c>
      <x:c r="J173" s="24" t="n">
        <x:v>2</x:v>
      </x:c>
      <x:c r="K173" s="19" t="str">
        <x:v>P0093</x:v>
      </x:c>
    </x:row>
    <x:row r="174" ht="19" customHeight="1">
      <x:c r="A174" s="19" t="str">
        <x:v>C03-M073</x:v>
      </x:c>
      <x:c r="B174" s="19" t="str">
        <x:v>西境征服者·戈德里安</x:v>
      </x:c>
      <x:c r="C174" s="19" t="n">
        <x:v>3</x:v>
      </x:c>
      <x:c r="D174" s="19" t="n">
        <x:v>6</x:v>
      </x:c>
      <x:c r="E174" s="19" t="str">
        <x:v>守关BOSS</x:v>
      </x:c>
      <x:c r="F174" s="34" t="n">
        <x:v>179.51619997998222</x:v>
      </x:c>
      <x:c r="G174" s="19" t="n">
        <x:v>1</x:v>
      </x:c>
      <x:c r="H174" s="19" t="n">
        <x:v>7200</x:v>
      </x:c>
      <x:c r="I174" s="24" t="n">
        <x:f>G174*3600/H174</x:f>
        <x:v>0.5</x:v>
      </x:c>
      <x:c r="J174" s="24" t="n">
        <x:v>0</x:v>
      </x:c>
      <x:c r="K174" s="19" t="str">
        <x:v>P0093</x:v>
      </x:c>
    </x:row>
    <x:row r="175" ht="19" customHeight="1">
      <x:c r="A175" s="19" t="str">
        <x:v>C04-M001</x:v>
      </x:c>
      <x:c r="B175" s="19" t="str">
        <x:v>雾脚泥蛙</x:v>
      </x:c>
      <x:c r="C175" s="19" t="n">
        <x:v>4</x:v>
      </x:c>
      <x:c r="D175" s="19" t="n">
        <x:v>1</x:v>
      </x:c>
      <x:c r="E175" s="19" t="str">
        <x:v>普通</x:v>
      </x:c>
      <x:c r="F175" s="34" t="n">
        <x:v>4.369425580097378</x:v>
      </x:c>
      <x:c r="G175" s="19" t="n">
        <x:v>12</x:v>
      </x:c>
      <x:c r="H175" s="19" t="n">
        <x:v>600</x:v>
      </x:c>
      <x:c r="I175" s="24" t="n">
        <x:f>G175*3600/H175</x:f>
        <x:v>72</x:v>
      </x:c>
      <x:c r="J175" s="24" t="n">
        <x:v>72</x:v>
      </x:c>
      <x:c r="K175" s="19" t="str">
        <x:v>P0105</x:v>
      </x:c>
    </x:row>
    <x:row r="176" ht="19" customHeight="1">
      <x:c r="A176" s="19" t="str">
        <x:v>C04-M002</x:v>
      </x:c>
      <x:c r="B176" s="19" t="str">
        <x:v>苔冠沼鹿</x:v>
      </x:c>
      <x:c r="C176" s="19" t="n">
        <x:v>4</x:v>
      </x:c>
      <x:c r="D176" s="19" t="n">
        <x:v>1</x:v>
      </x:c>
      <x:c r="E176" s="19" t="str">
        <x:v>普通</x:v>
      </x:c>
      <x:c r="F176" s="34" t="n">
        <x:v>4.045764426016091</x:v>
      </x:c>
      <x:c r="G176" s="19" t="n">
        <x:v>12</x:v>
      </x:c>
      <x:c r="H176" s="19" t="n">
        <x:v>600</x:v>
      </x:c>
      <x:c r="I176" s="24" t="n">
        <x:f>G176*3600/H176</x:f>
        <x:v>72</x:v>
      </x:c>
      <x:c r="J176" s="24" t="n">
        <x:v>72</x:v>
      </x:c>
      <x:c r="K176" s="19" t="str">
        <x:v>P0105</x:v>
      </x:c>
    </x:row>
    <x:row r="177" ht="19" customHeight="1">
      <x:c r="A177" s="19" t="str">
        <x:v>C04-M003</x:v>
      </x:c>
      <x:c r="B177" s="19" t="str">
        <x:v>潮沟芦妖</x:v>
      </x:c>
      <x:c r="C177" s="19" t="n">
        <x:v>4</x:v>
      </x:c>
      <x:c r="D177" s="19" t="n">
        <x:v>1</x:v>
      </x:c>
      <x:c r="E177" s="19" t="str">
        <x:v>普通</x:v>
      </x:c>
      <x:c r="F177" s="34" t="n">
        <x:v>4.369425580097378</x:v>
      </x:c>
      <x:c r="G177" s="19" t="n">
        <x:v>12</x:v>
      </x:c>
      <x:c r="H177" s="19" t="n">
        <x:v>600</x:v>
      </x:c>
      <x:c r="I177" s="24" t="n">
        <x:f>G177*3600/H177</x:f>
        <x:v>72</x:v>
      </x:c>
      <x:c r="J177" s="24" t="n">
        <x:v>72</x:v>
      </x:c>
      <x:c r="K177" s="19" t="str">
        <x:v>P0105</x:v>
      </x:c>
    </x:row>
    <x:row r="178" ht="19" customHeight="1">
      <x:c r="A178" s="19" t="str">
        <x:v>C04-M004</x:v>
      </x:c>
      <x:c r="B178" s="19" t="str">
        <x:v>腐雾钳虾</x:v>
      </x:c>
      <x:c r="C178" s="19" t="n">
        <x:v>4</x:v>
      </x:c>
      <x:c r="D178" s="19" t="n">
        <x:v>1</x:v>
      </x:c>
      <x:c r="E178" s="19" t="str">
        <x:v>普通</x:v>
      </x:c>
      <x:c r="F178" s="34" t="n">
        <x:v>4.045764426016091</x:v>
      </x:c>
      <x:c r="G178" s="19" t="n">
        <x:v>12</x:v>
      </x:c>
      <x:c r="H178" s="19" t="n">
        <x:v>600</x:v>
      </x:c>
      <x:c r="I178" s="24" t="n">
        <x:f>G178*3600/H178</x:f>
        <x:v>72</x:v>
      </x:c>
      <x:c r="J178" s="24" t="n">
        <x:v>72</x:v>
      </x:c>
      <x:c r="K178" s="19" t="str">
        <x:v>P0105</x:v>
      </x:c>
    </x:row>
    <x:row r="179" ht="19" customHeight="1">
      <x:c r="A179" s="19" t="str">
        <x:v>C04-M005</x:v>
      </x:c>
      <x:c r="B179" s="19" t="str">
        <x:v>烂泽水蛭</x:v>
      </x:c>
      <x:c r="C179" s="19" t="n">
        <x:v>4</x:v>
      </x:c>
      <x:c r="D179" s="19" t="n">
        <x:v>1</x:v>
      </x:c>
      <x:c r="E179" s="19" t="str">
        <x:v>普通</x:v>
      </x:c>
      <x:c r="F179" s="34" t="n">
        <x:v>4.531256157138022</x:v>
      </x:c>
      <x:c r="G179" s="19" t="n">
        <x:v>12</x:v>
      </x:c>
      <x:c r="H179" s="19" t="n">
        <x:v>600</x:v>
      </x:c>
      <x:c r="I179" s="24" t="n">
        <x:f>G179*3600/H179</x:f>
        <x:v>72</x:v>
      </x:c>
      <x:c r="J179" s="24" t="n">
        <x:v>72</x:v>
      </x:c>
      <x:c r="K179" s="19" t="str">
        <x:v>P0105</x:v>
      </x:c>
    </x:row>
    <x:row r="180" ht="19" customHeight="1">
      <x:c r="A180" s="19" t="str">
        <x:v>C04-M006</x:v>
      </x:c>
      <x:c r="B180" s="19" t="str">
        <x:v>蒙眼采藕人</x:v>
      </x:c>
      <x:c r="C180" s="19" t="n">
        <x:v>4</x:v>
      </x:c>
      <x:c r="D180" s="19" t="n">
        <x:v>1</x:v>
      </x:c>
      <x:c r="E180" s="19" t="str">
        <x:v>普通</x:v>
      </x:c>
      <x:c r="F180" s="34" t="n">
        <x:v>4.531256157138022</x:v>
      </x:c>
      <x:c r="G180" s="19" t="n">
        <x:v>12</x:v>
      </x:c>
      <x:c r="H180" s="19" t="n">
        <x:v>600</x:v>
      </x:c>
      <x:c r="I180" s="24" t="n">
        <x:f>G180*3600/H180</x:f>
        <x:v>72</x:v>
      </x:c>
      <x:c r="J180" s="24" t="n">
        <x:v>72</x:v>
      </x:c>
      <x:c r="K180" s="19" t="str">
        <x:v>P0105</x:v>
      </x:c>
    </x:row>
    <x:row r="181" ht="19" customHeight="1">
      <x:c r="A181" s="19" t="str">
        <x:v>C04-M007</x:v>
      </x:c>
      <x:c r="B181" s="19" t="str">
        <x:v>雾纱水巫</x:v>
      </x:c>
      <x:c r="C181" s="19" t="n">
        <x:v>4</x:v>
      </x:c>
      <x:c r="D181" s="19" t="n">
        <x:v>1</x:v>
      </x:c>
      <x:c r="E181" s="19" t="str">
        <x:v>稀有</x:v>
      </x:c>
      <x:c r="F181" s="34" t="n">
        <x:v>12.984708621895242</x:v>
      </x:c>
      <x:c r="G181" s="19" t="n">
        <x:v>2</x:v>
      </x:c>
      <x:c r="H181" s="19" t="n">
        <x:v>600</x:v>
      </x:c>
      <x:c r="I181" s="24" t="n">
        <x:f>G181*3600/H181</x:f>
        <x:v>12</x:v>
      </x:c>
      <x:c r="J181" s="24" t="n">
        <x:v>12</x:v>
      </x:c>
      <x:c r="K181" s="19" t="str">
        <x:v>P0105</x:v>
      </x:c>
    </x:row>
    <x:row r="182" ht="19" customHeight="1">
      <x:c r="A182" s="19" t="str">
        <x:v>C04-M008</x:v>
      </x:c>
      <x:c r="B182" s="19" t="str">
        <x:v>银腹塘鳄</x:v>
      </x:c>
      <x:c r="C182" s="19" t="n">
        <x:v>4</x:v>
      </x:c>
      <x:c r="D182" s="19" t="n">
        <x:v>1</x:v>
      </x:c>
      <x:c r="E182" s="19" t="str">
        <x:v>稀有</x:v>
      </x:c>
      <x:c r="F182" s="34" t="n">
        <x:v>13.67722641506299</x:v>
      </x:c>
      <x:c r="G182" s="19" t="n">
        <x:v>2</x:v>
      </x:c>
      <x:c r="H182" s="19" t="n">
        <x:v>600</x:v>
      </x:c>
      <x:c r="I182" s="24" t="n">
        <x:f>G182*3600/H182</x:f>
        <x:v>12</x:v>
      </x:c>
      <x:c r="J182" s="24" t="n">
        <x:v>11.844506706534178</x:v>
      </x:c>
      <x:c r="K182" s="19" t="str">
        <x:v>P0105</x:v>
      </x:c>
    </x:row>
    <x:row r="183" ht="19" customHeight="1">
      <x:c r="A183" s="19" t="str">
        <x:v>C04-M009</x:v>
      </x:c>
      <x:c r="B183" s="19" t="str">
        <x:v>腐泽孢母</x:v>
      </x:c>
      <x:c r="C183" s="19" t="n">
        <x:v>4</x:v>
      </x:c>
      <x:c r="D183" s="19" t="n">
        <x:v>1</x:v>
      </x:c>
      <x:c r="E183" s="19" t="str">
        <x:v>稀有</x:v>
      </x:c>
      <x:c r="F183" s="34" t="n">
        <x:v>15.062262001398482</x:v>
      </x:c>
      <x:c r="G183" s="19" t="n">
        <x:v>2</x:v>
      </x:c>
      <x:c r="H183" s="19" t="n">
        <x:v>600</x:v>
      </x:c>
      <x:c r="I183" s="24" t="n">
        <x:f>G183*3600/H183</x:f>
        <x:v>12</x:v>
      </x:c>
      <x:c r="J183" s="24" t="n">
        <x:v>10.755356664554025</x:v>
      </x:c>
      <x:c r="K183" s="19" t="str">
        <x:v>P0105</x:v>
      </x:c>
    </x:row>
    <x:row r="184" ht="19" customHeight="1">
      <x:c r="A184" s="19" t="str">
        <x:v>C04-M010</x:v>
      </x:c>
      <x:c r="B184" s="19" t="str">
        <x:v>提灯溺客</x:v>
      </x:c>
      <x:c r="C184" s="19" t="n">
        <x:v>4</x:v>
      </x:c>
      <x:c r="D184" s="19" t="n">
        <x:v>1</x:v>
      </x:c>
      <x:c r="E184" s="19" t="str">
        <x:v>稀有</x:v>
      </x:c>
      <x:c r="F184" s="34" t="n">
        <x:v>15.062262001398482</x:v>
      </x:c>
      <x:c r="G184" s="19" t="n">
        <x:v>2</x:v>
      </x:c>
      <x:c r="H184" s="19" t="n">
        <x:v>600</x:v>
      </x:c>
      <x:c r="I184" s="24" t="n">
        <x:f>G184*3600/H184</x:f>
        <x:v>12</x:v>
      </x:c>
      <x:c r="J184" s="24" t="n">
        <x:v>10.755356664554025</x:v>
      </x:c>
      <x:c r="K184" s="19" t="str">
        <x:v>P0105</x:v>
      </x:c>
    </x:row>
    <x:row r="185" ht="19" customHeight="1">
      <x:c r="A185" s="19" t="str">
        <x:v>C04-M011</x:v>
      </x:c>
      <x:c r="B185" s="19" t="str">
        <x:v>潮痕猎首·葛弥</x:v>
      </x:c>
      <x:c r="C185" s="19" t="n">
        <x:v>4</x:v>
      </x:c>
      <x:c r="D185" s="19" t="n">
        <x:v>1</x:v>
      </x:c>
      <x:c r="E185" s="19" t="str">
        <x:v>地图BOSS</x:v>
      </x:c>
      <x:c r="F185" s="34" t="n">
        <x:v>86.44348835298496</x:v>
      </x:c>
      <x:c r="G185" s="19" t="n">
        <x:v>1</x:v>
      </x:c>
      <x:c r="H185" s="19" t="n">
        <x:v>1800</x:v>
      </x:c>
      <x:c r="I185" s="24" t="n">
        <x:f>G185*3600/H185</x:f>
        <x:v>2</x:v>
      </x:c>
      <x:c r="J185" s="24" t="n">
        <x:v>2</x:v>
      </x:c>
      <x:c r="K185" s="19" t="str">
        <x:v>P0105</x:v>
      </x:c>
    </x:row>
    <x:row r="186" ht="19" customHeight="1">
      <x:c r="A186" s="19" t="str">
        <x:v>C04-M012</x:v>
      </x:c>
      <x:c r="B186" s="19" t="str">
        <x:v>沼冠腐龙·弥瑟</x:v>
      </x:c>
      <x:c r="C186" s="19" t="n">
        <x:v>4</x:v>
      </x:c>
      <x:c r="D186" s="19" t="n">
        <x:v>1</x:v>
      </x:c>
      <x:c r="E186" s="19" t="str">
        <x:v>地图BOSS</x:v>
      </x:c>
      <x:c r="F186" s="34" t="n">
        <x:v>71.81459032401828</x:v>
      </x:c>
      <x:c r="G186" s="19" t="n">
        <x:v>1</x:v>
      </x:c>
      <x:c r="H186" s="19" t="n">
        <x:v>1800</x:v>
      </x:c>
      <x:c r="I186" s="24" t="n">
        <x:f>G186*3600/H186</x:f>
        <x:v>2</x:v>
      </x:c>
      <x:c r="J186" s="24" t="n">
        <x:v>2</x:v>
      </x:c>
      <x:c r="K186" s="19" t="str">
        <x:v>P0105</x:v>
      </x:c>
    </x:row>
    <x:row r="187" ht="19" customHeight="1">
      <x:c r="A187" s="19" t="str">
        <x:v>C04-M013</x:v>
      </x:c>
      <x:c r="B187" s="19" t="str">
        <x:v>潜碑拾荒者</x:v>
      </x:c>
      <x:c r="C187" s="19" t="n">
        <x:v>4</x:v>
      </x:c>
      <x:c r="D187" s="19" t="n">
        <x:v>2</x:v>
      </x:c>
      <x:c r="E187" s="19" t="str">
        <x:v>普通</x:v>
      </x:c>
      <x:c r="F187" s="34" t="n">
        <x:v>4.1394075220073</x:v>
      </x:c>
      <x:c r="G187" s="19" t="n">
        <x:v>12</x:v>
      </x:c>
      <x:c r="H187" s="19" t="n">
        <x:v>600</x:v>
      </x:c>
      <x:c r="I187" s="24" t="n">
        <x:f>G187*3600/H187</x:f>
        <x:v>72</x:v>
      </x:c>
      <x:c r="J187" s="24" t="n">
        <x:v>72</x:v>
      </x:c>
      <x:c r="K187" s="19" t="str">
        <x:v>P0111</x:v>
      </x:c>
    </x:row>
    <x:row r="188" ht="19" customHeight="1">
      <x:c r="A188" s="19" t="str">
        <x:v>C04-M014</x:v>
      </x:c>
      <x:c r="B188" s="19" t="str">
        <x:v>藻甲石仆</x:v>
      </x:c>
      <x:c r="C188" s="19" t="n">
        <x:v>4</x:v>
      </x:c>
      <x:c r="D188" s="19" t="n">
        <x:v>2</x:v>
      </x:c>
      <x:c r="E188" s="19" t="str">
        <x:v>普通</x:v>
      </x:c>
      <x:c r="F188" s="34" t="n">
        <x:v>4.1394075220073</x:v>
      </x:c>
      <x:c r="G188" s="19" t="n">
        <x:v>12</x:v>
      </x:c>
      <x:c r="H188" s="19" t="n">
        <x:v>600</x:v>
      </x:c>
      <x:c r="I188" s="24" t="n">
        <x:f>G188*3600/H188</x:f>
        <x:v>72</x:v>
      </x:c>
      <x:c r="J188" s="24" t="n">
        <x:v>72</x:v>
      </x:c>
      <x:c r="K188" s="19" t="str">
        <x:v>P0111</x:v>
      </x:c>
    </x:row>
    <x:row r="189" ht="19" customHeight="1">
      <x:c r="A189" s="19" t="str">
        <x:v>C04-M015</x:v>
      </x:c>
      <x:c r="B189" s="19" t="str">
        <x:v>回廊水弩手</x:v>
      </x:c>
      <x:c r="C189" s="19" t="n">
        <x:v>4</x:v>
      </x:c>
      <x:c r="D189" s="19" t="n">
        <x:v>2</x:v>
      </x:c>
      <x:c r="E189" s="19" t="str">
        <x:v>普通</x:v>
      </x:c>
      <x:c r="F189" s="34" t="n">
        <x:v>4.1394075220073</x:v>
      </x:c>
      <x:c r="G189" s="19" t="n">
        <x:v>12</x:v>
      </x:c>
      <x:c r="H189" s="19" t="n">
        <x:v>600</x:v>
      </x:c>
      <x:c r="I189" s="24" t="n">
        <x:f>G189*3600/H189</x:f>
        <x:v>72</x:v>
      </x:c>
      <x:c r="J189" s="24" t="n">
        <x:v>72</x:v>
      </x:c>
      <x:c r="K189" s="19" t="str">
        <x:v>P0111</x:v>
      </x:c>
    </x:row>
    <x:row r="190" ht="19" customHeight="1">
      <x:c r="A190" s="19" t="str">
        <x:v>C04-M016</x:v>
      </x:c>
      <x:c r="B190" s="19" t="str">
        <x:v>沉钟侍祭</x:v>
      </x:c>
      <x:c r="C190" s="19" t="n">
        <x:v>4</x:v>
      </x:c>
      <x:c r="D190" s="19" t="n">
        <x:v>2</x:v>
      </x:c>
      <x:c r="E190" s="19" t="str">
        <x:v>普通</x:v>
      </x:c>
      <x:c r="F190" s="34" t="n">
        <x:v>4.1394075220073</x:v>
      </x:c>
      <x:c r="G190" s="19" t="n">
        <x:v>12</x:v>
      </x:c>
      <x:c r="H190" s="19" t="n">
        <x:v>600</x:v>
      </x:c>
      <x:c r="I190" s="24" t="n">
        <x:f>G190*3600/H190</x:f>
        <x:v>72</x:v>
      </x:c>
      <x:c r="J190" s="24" t="n">
        <x:v>72</x:v>
      </x:c>
      <x:c r="K190" s="19" t="str">
        <x:v>P0111</x:v>
      </x:c>
    </x:row>
    <x:row r="191" ht="19" customHeight="1">
      <x:c r="A191" s="19" t="str">
        <x:v>C04-M017</x:v>
      </x:c>
      <x:c r="B191" s="19" t="str">
        <x:v>祭坛盲鱼</x:v>
      </x:c>
      <x:c r="C191" s="19" t="n">
        <x:v>4</x:v>
      </x:c>
      <x:c r="D191" s="19" t="n">
        <x:v>2</x:v>
      </x:c>
      <x:c r="E191" s="19" t="str">
        <x:v>普通</x:v>
      </x:c>
      <x:c r="F191" s="34" t="n">
        <x:v>4.1394075220073</x:v>
      </x:c>
      <x:c r="G191" s="19" t="n">
        <x:v>12</x:v>
      </x:c>
      <x:c r="H191" s="19" t="n">
        <x:v>600</x:v>
      </x:c>
      <x:c r="I191" s="24" t="n">
        <x:f>G191*3600/H191</x:f>
        <x:v>72</x:v>
      </x:c>
      <x:c r="J191" s="24" t="n">
        <x:v>72</x:v>
      </x:c>
      <x:c r="K191" s="19" t="str">
        <x:v>P0111</x:v>
      </x:c>
    </x:row>
    <x:row r="192" ht="19" customHeight="1">
      <x:c r="A192" s="19" t="str">
        <x:v>C04-M018</x:v>
      </x:c>
      <x:c r="B192" s="19" t="str">
        <x:v>捧盏泥俑</x:v>
      </x:c>
      <x:c r="C192" s="19" t="n">
        <x:v>4</x:v>
      </x:c>
      <x:c r="D192" s="19" t="n">
        <x:v>2</x:v>
      </x:c>
      <x:c r="E192" s="19" t="str">
        <x:v>普通</x:v>
      </x:c>
      <x:c r="F192" s="34" t="n">
        <x:v>4.582915470793797</x:v>
      </x:c>
      <x:c r="G192" s="19" t="n">
        <x:v>12</x:v>
      </x:c>
      <x:c r="H192" s="19" t="n">
        <x:v>600</x:v>
      </x:c>
      <x:c r="I192" s="24" t="n">
        <x:f>G192*3600/H192</x:f>
        <x:v>72</x:v>
      </x:c>
      <x:c r="J192" s="24" t="n">
        <x:v>72</x:v>
      </x:c>
      <x:c r="K192" s="19" t="str">
        <x:v>P0111</x:v>
      </x:c>
    </x:row>
    <x:row r="193" ht="19" customHeight="1">
      <x:c r="A193" s="19" t="str">
        <x:v>C04-M019</x:v>
      </x:c>
      <x:c r="B193" s="19" t="str">
        <x:v>碑林巡潮官</x:v>
      </x:c>
      <x:c r="C193" s="19" t="n">
        <x:v>4</x:v>
      </x:c>
      <x:c r="D193" s="19" t="n">
        <x:v>2</x:v>
      </x:c>
      <x:c r="E193" s="19" t="str">
        <x:v>稀有</x:v>
      </x:c>
      <x:c r="F193" s="34" t="n">
        <x:v>15.613877641398359</x:v>
      </x:c>
      <x:c r="G193" s="19" t="n">
        <x:v>2</x:v>
      </x:c>
      <x:c r="H193" s="19" t="n">
        <x:v>600</x:v>
      </x:c>
      <x:c r="I193" s="24" t="n">
        <x:f>G193*3600/H193</x:f>
        <x:v>12</x:v>
      </x:c>
      <x:c r="J193" s="24" t="n">
        <x:v>10.37538552053694</x:v>
      </x:c>
      <x:c r="K193" s="19" t="str">
        <x:v>P0111</x:v>
      </x:c>
    </x:row>
    <x:row r="194" ht="19" customHeight="1">
      <x:c r="A194" s="19" t="str">
        <x:v>C04-M020</x:v>
      </x:c>
      <x:c r="B194" s="19" t="str">
        <x:v>断链湖狮</x:v>
      </x:c>
      <x:c r="C194" s="19" t="n">
        <x:v>4</x:v>
      </x:c>
      <x:c r="D194" s="19" t="n">
        <x:v>2</x:v>
      </x:c>
      <x:c r="E194" s="19" t="str">
        <x:v>稀有</x:v>
      </x:c>
      <x:c r="F194" s="34" t="n">
        <x:v>12.93270673327945</x:v>
      </x:c>
      <x:c r="G194" s="19" t="n">
        <x:v>2</x:v>
      </x:c>
      <x:c r="H194" s="19" t="n">
        <x:v>600</x:v>
      </x:c>
      <x:c r="I194" s="24" t="n">
        <x:f>G194*3600/H194</x:f>
        <x:v>12</x:v>
      </x:c>
      <x:c r="J194" s="24" t="n">
        <x:v>12</x:v>
      </x:c>
      <x:c r="K194" s="19" t="str">
        <x:v>P0111</x:v>
      </x:c>
    </x:row>
    <x:row r="195" ht="19" customHeight="1">
      <x:c r="A195" s="19" t="str">
        <x:v>C04-M021</x:v>
      </x:c>
      <x:c r="B195" s="19" t="str">
        <x:v>蓝焰祷亡者</x:v>
      </x:c>
      <x:c r="C195" s="19" t="n">
        <x:v>4</x:v>
      </x:c>
      <x:c r="D195" s="19" t="n">
        <x:v>2</x:v>
      </x:c>
      <x:c r="E195" s="19" t="str">
        <x:v>稀有</x:v>
      </x:c>
      <x:c r="F195" s="34" t="n">
        <x:v>13.563570476366252</x:v>
      </x:c>
      <x:c r="G195" s="19" t="n">
        <x:v>2</x:v>
      </x:c>
      <x:c r="H195" s="19" t="n">
        <x:v>600</x:v>
      </x:c>
      <x:c r="I195" s="24" t="n">
        <x:f>G195*3600/H195</x:f>
        <x:v>12</x:v>
      </x:c>
      <x:c r="J195" s="24" t="n">
        <x:v>11.943757750385547</x:v>
      </x:c>
      <x:c r="K195" s="19" t="str">
        <x:v>P0111</x:v>
      </x:c>
    </x:row>
    <x:row r="196" ht="19" customHeight="1">
      <x:c r="A196" s="19" t="str">
        <x:v>C04-M022</x:v>
      </x:c>
      <x:c r="B196" s="19" t="str">
        <x:v>祭池双生螯</x:v>
      </x:c>
      <x:c r="C196" s="19" t="n">
        <x:v>4</x:v>
      </x:c>
      <x:c r="D196" s="19" t="n">
        <x:v>2</x:v>
      </x:c>
      <x:c r="E196" s="19" t="str">
        <x:v>稀有</x:v>
      </x:c>
      <x:c r="F196" s="34" t="n">
        <x:v>15.613877641398359</x:v>
      </x:c>
      <x:c r="G196" s="19" t="n">
        <x:v>2</x:v>
      </x:c>
      <x:c r="H196" s="19" t="n">
        <x:v>600</x:v>
      </x:c>
      <x:c r="I196" s="24" t="n">
        <x:f>G196*3600/H196</x:f>
        <x:v>12</x:v>
      </x:c>
      <x:c r="J196" s="24" t="n">
        <x:v>10.37538552053694</x:v>
      </x:c>
      <x:c r="K196" s="19" t="str">
        <x:v>P0111</x:v>
      </x:c>
    </x:row>
    <x:row r="197" ht="19" customHeight="1">
      <x:c r="A197" s="19" t="str">
        <x:v>C04-M023</x:v>
      </x:c>
      <x:c r="B197" s="19" t="str">
        <x:v>淹廊判官·摩汶</x:v>
      </x:c>
      <x:c r="C197" s="19" t="n">
        <x:v>4</x:v>
      </x:c>
      <x:c r="D197" s="19" t="n">
        <x:v>2</x:v>
      </x:c>
      <x:c r="E197" s="19" t="str">
        <x:v>地图BOSS</x:v>
      </x:c>
      <x:c r="F197" s="34" t="n">
        <x:v>71.01172507141663</x:v>
      </x:c>
      <x:c r="G197" s="19" t="n">
        <x:v>1</x:v>
      </x:c>
      <x:c r="H197" s="19" t="n">
        <x:v>1800</x:v>
      </x:c>
      <x:c r="I197" s="24" t="n">
        <x:f>G197*3600/H197</x:f>
        <x:v>2</x:v>
      </x:c>
      <x:c r="J197" s="24" t="n">
        <x:v>2</x:v>
      </x:c>
      <x:c r="K197" s="19" t="str">
        <x:v>P0111</x:v>
      </x:c>
    </x:row>
    <x:row r="198" ht="19" customHeight="1">
      <x:c r="A198" s="19" t="str">
        <x:v>C04-M024</x:v>
      </x:c>
      <x:c r="B198" s="19" t="str">
        <x:v>无声湖后·塞芙拉</x:v>
      </x:c>
      <x:c r="C198" s="19" t="n">
        <x:v>4</x:v>
      </x:c>
      <x:c r="D198" s="19" t="n">
        <x:v>2</x:v>
      </x:c>
      <x:c r="E198" s="19" t="str">
        <x:v>地图BOSS</x:v>
      </x:c>
      <x:c r="F198" s="34" t="n">
        <x:v>86.0748182683838</x:v>
      </x:c>
      <x:c r="G198" s="19" t="n">
        <x:v>1</x:v>
      </x:c>
      <x:c r="H198" s="19" t="n">
        <x:v>1800</x:v>
      </x:c>
      <x:c r="I198" s="24" t="n">
        <x:f>G198*3600/H198</x:f>
        <x:v>2</x:v>
      </x:c>
      <x:c r="J198" s="24" t="n">
        <x:v>2</x:v>
      </x:c>
      <x:c r="K198" s="19" t="str">
        <x:v>P0111</x:v>
      </x:c>
    </x:row>
    <x:row r="199" ht="19" customHeight="1">
      <x:c r="A199" s="19" t="str">
        <x:v>C04-M025</x:v>
      </x:c>
      <x:c r="B199" s="19" t="str">
        <x:v>破帆水手</x:v>
      </x:c>
      <x:c r="C199" s="19" t="n">
        <x:v>4</x:v>
      </x:c>
      <x:c r="D199" s="19" t="n">
        <x:v>3</x:v>
      </x:c>
      <x:c r="E199" s="19" t="str">
        <x:v>普通</x:v>
      </x:c>
      <x:c r="F199" s="34" t="n">
        <x:v>4.355817459830496</x:v>
      </x:c>
      <x:c r="G199" s="19" t="n">
        <x:v>12</x:v>
      </x:c>
      <x:c r="H199" s="19" t="n">
        <x:v>600</x:v>
      </x:c>
      <x:c r="I199" s="24" t="n">
        <x:f>G199*3600/H199</x:f>
        <x:v>72</x:v>
      </x:c>
      <x:c r="J199" s="24" t="n">
        <x:v>72</x:v>
      </x:c>
      <x:c r="K199" s="19" t="str">
        <x:v>P0117</x:v>
      </x:c>
    </x:row>
    <x:row r="200" ht="19" customHeight="1">
      <x:c r="A200" s="19" t="str">
        <x:v>C04-M026</x:v>
      </x:c>
      <x:c r="B200" s="19" t="str">
        <x:v>缠藻桅猴</x:v>
      </x:c>
      <x:c r="C200" s="19" t="n">
        <x:v>4</x:v>
      </x:c>
      <x:c r="D200" s="19" t="n">
        <x:v>3</x:v>
      </x:c>
      <x:c r="E200" s="19" t="str">
        <x:v>普通</x:v>
      </x:c>
      <x:c r="F200" s="34" t="n">
        <x:v>5.205733061748642</x:v>
      </x:c>
      <x:c r="G200" s="19" t="n">
        <x:v>12</x:v>
      </x:c>
      <x:c r="H200" s="19" t="n">
        <x:v>600</x:v>
      </x:c>
      <x:c r="I200" s="24" t="n">
        <x:f>G200*3600/H200</x:f>
        <x:v>72</x:v>
      </x:c>
      <x:c r="J200" s="24" t="n">
        <x:v>72</x:v>
      </x:c>
      <x:c r="K200" s="19" t="str">
        <x:v>P0117</x:v>
      </x:c>
    </x:row>
    <x:row r="201" ht="19" customHeight="1">
      <x:c r="A201" s="19" t="str">
        <x:v>C04-M027</x:v>
      </x:c>
      <x:c r="B201" s="19" t="str">
        <x:v>舱门凿击者</x:v>
      </x:c>
      <x:c r="C201" s="19" t="n">
        <x:v>4</x:v>
      </x:c>
      <x:c r="D201" s="19" t="n">
        <x:v>3</x:v>
      </x:c>
      <x:c r="E201" s="19" t="str">
        <x:v>普通</x:v>
      </x:c>
      <x:c r="F201" s="34" t="n">
        <x:v>4.355817459830496</x:v>
      </x:c>
      <x:c r="G201" s="19" t="n">
        <x:v>12</x:v>
      </x:c>
      <x:c r="H201" s="19" t="n">
        <x:v>600</x:v>
      </x:c>
      <x:c r="I201" s="24" t="n">
        <x:f>G201*3600/H201</x:f>
        <x:v>72</x:v>
      </x:c>
      <x:c r="J201" s="24" t="n">
        <x:v>72</x:v>
      </x:c>
      <x:c r="K201" s="19" t="str">
        <x:v>P0117</x:v>
      </x:c>
    </x:row>
    <x:row r="202" ht="19" customHeight="1">
      <x:c r="A202" s="19" t="str">
        <x:v>C04-M028</x:v>
      </x:c>
      <x:c r="B202" s="19" t="str">
        <x:v>油灯怨影</x:v>
      </x:c>
      <x:c r="C202" s="19" t="n">
        <x:v>4</x:v>
      </x:c>
      <x:c r="D202" s="19" t="n">
        <x:v>3</x:v>
      </x:c>
      <x:c r="E202" s="19" t="str">
        <x:v>普通</x:v>
      </x:c>
      <x:c r="F202" s="34" t="n">
        <x:v>4.5682963603100335</x:v>
      </x:c>
      <x:c r="G202" s="19" t="n">
        <x:v>12</x:v>
      </x:c>
      <x:c r="H202" s="19" t="n">
        <x:v>600</x:v>
      </x:c>
      <x:c r="I202" s="24" t="n">
        <x:f>G202*3600/H202</x:f>
        <x:v>72</x:v>
      </x:c>
      <x:c r="J202" s="24" t="n">
        <x:v>72</x:v>
      </x:c>
      <x:c r="K202" s="19" t="str">
        <x:v>P0117</x:v>
      </x:c>
    </x:row>
    <x:row r="203" ht="19" customHeight="1">
      <x:c r="A203" s="19" t="str">
        <x:v>C04-M029</x:v>
      </x:c>
      <x:c r="B203" s="19" t="str">
        <x:v>墓舱寄居蟹</x:v>
      </x:c>
      <x:c r="C203" s="19" t="n">
        <x:v>4</x:v>
      </x:c>
      <x:c r="D203" s="19" t="n">
        <x:v>3</x:v>
      </x:c>
      <x:c r="E203" s="19" t="str">
        <x:v>普通</x:v>
      </x:c>
      <x:c r="F203" s="34" t="n">
        <x:v>4.5682963603100335</x:v>
      </x:c>
      <x:c r="G203" s="19" t="n">
        <x:v>12</x:v>
      </x:c>
      <x:c r="H203" s="19" t="n">
        <x:v>600</x:v>
      </x:c>
      <x:c r="I203" s="24" t="n">
        <x:f>G203*3600/H203</x:f>
        <x:v>72</x:v>
      </x:c>
      <x:c r="J203" s="24" t="n">
        <x:v>72</x:v>
      </x:c>
      <x:c r="K203" s="19" t="str">
        <x:v>P0117</x:v>
      </x:c>
    </x:row>
    <x:row r="204" ht="19" customHeight="1">
      <x:c r="A204" s="19" t="str">
        <x:v>C04-M030</x:v>
      </x:c>
      <x:c r="B204" s="19" t="str">
        <x:v>裹布船尸</x:v>
      </x:c>
      <x:c r="C204" s="19" t="n">
        <x:v>4</x:v>
      </x:c>
      <x:c r="D204" s="19" t="n">
        <x:v>3</x:v>
      </x:c>
      <x:c r="E204" s="19" t="str">
        <x:v>普通</x:v>
      </x:c>
      <x:c r="F204" s="34" t="n">
        <x:v>5.205733061748642</x:v>
      </x:c>
      <x:c r="G204" s="19" t="n">
        <x:v>12</x:v>
      </x:c>
      <x:c r="H204" s="19" t="n">
        <x:v>600</x:v>
      </x:c>
      <x:c r="I204" s="24" t="n">
        <x:f>G204*3600/H204</x:f>
        <x:v>72</x:v>
      </x:c>
      <x:c r="J204" s="24" t="n">
        <x:v>72</x:v>
      </x:c>
      <x:c r="K204" s="19" t="str">
        <x:v>P0117</x:v>
      </x:c>
    </x:row>
    <x:row r="205" ht="19" customHeight="1">
      <x:c r="A205" s="19" t="str">
        <x:v>C04-M031</x:v>
      </x:c>
      <x:c r="B205" s="19" t="str">
        <x:v>白鳍劫舟客</x:v>
      </x:c>
      <x:c r="C205" s="19" t="n">
        <x:v>4</x:v>
      </x:c>
      <x:c r="D205" s="19" t="n">
        <x:v>3</x:v>
      </x:c>
      <x:c r="E205" s="19" t="str">
        <x:v>稀有</x:v>
      </x:c>
      <x:c r="F205" s="34" t="n">
        <x:v>14.731932810311928</x:v>
      </x:c>
      <x:c r="G205" s="19" t="n">
        <x:v>2</x:v>
      </x:c>
      <x:c r="H205" s="19" t="n">
        <x:v>600</x:v>
      </x:c>
      <x:c r="I205" s="24" t="n">
        <x:f>G205*3600/H205</x:f>
        <x:v>12</x:v>
      </x:c>
      <x:c r="J205" s="24" t="n">
        <x:v>10.996520421719863</x:v>
      </x:c>
      <x:c r="K205" s="19" t="str">
        <x:v>P0117</x:v>
      </x:c>
    </x:row>
    <x:row r="206" ht="19" customHeight="1">
      <x:c r="A206" s="19" t="str">
        <x:v>C04-M032</x:v>
      </x:c>
      <x:c r="B206" s="19" t="str">
        <x:v>抱舵老幽魂</x:v>
      </x:c>
      <x:c r="C206" s="19" t="n">
        <x:v>4</x:v>
      </x:c>
      <x:c r="D206" s="19" t="n">
        <x:v>3</x:v>
      </x:c>
      <x:c r="E206" s="19" t="str">
        <x:v>稀有</x:v>
      </x:c>
      <x:c r="F206" s="34" t="n">
        <x:v>12.465481608725478</x:v>
      </x:c>
      <x:c r="G206" s="19" t="n">
        <x:v>2</x:v>
      </x:c>
      <x:c r="H206" s="19" t="n">
        <x:v>600</x:v>
      </x:c>
      <x:c r="I206" s="24" t="n">
        <x:f>G206*3600/H206</x:f>
        <x:v>12</x:v>
      </x:c>
      <x:c r="J206" s="24" t="n">
        <x:v>12</x:v>
      </x:c>
      <x:c r="K206" s="19" t="str">
        <x:v>P0117</x:v>
      </x:c>
    </x:row>
    <x:row r="207" ht="19" customHeight="1">
      <x:c r="A207" s="19" t="str">
        <x:v>C04-M033</x:v>
      </x:c>
      <x:c r="B207" s="19" t="str">
        <x:v>棺板伏行者</x:v>
      </x:c>
      <x:c r="C207" s="19" t="n">
        <x:v>4</x:v>
      </x:c>
      <x:c r="D207" s="19" t="n">
        <x:v>3</x:v>
      </x:c>
      <x:c r="E207" s="19" t="str">
        <x:v>稀有</x:v>
      </x:c>
      <x:c r="F207" s="34" t="n">
        <x:v>14.731932810311928</x:v>
      </x:c>
      <x:c r="G207" s="19" t="n">
        <x:v>2</x:v>
      </x:c>
      <x:c r="H207" s="19" t="n">
        <x:v>600</x:v>
      </x:c>
      <x:c r="I207" s="24" t="n">
        <x:f>G207*3600/H207</x:f>
        <x:v>12</x:v>
      </x:c>
      <x:c r="J207" s="24" t="n">
        <x:v>10.996520421719863</x:v>
      </x:c>
      <x:c r="K207" s="19" t="str">
        <x:v>P0117</x:v>
      </x:c>
    </x:row>
    <x:row r="208" ht="19" customHeight="1">
      <x:c r="A208" s="19" t="str">
        <x:v>C04-M034</x:v>
      </x:c>
      <x:c r="B208" s="19" t="str">
        <x:v>啃锚深渊鱼</x:v>
      </x:c>
      <x:c r="C208" s="19" t="n">
        <x:v>4</x:v>
      </x:c>
      <x:c r="D208" s="19" t="n">
        <x:v>3</x:v>
      </x:c>
      <x:c r="E208" s="19" t="str">
        <x:v>稀有</x:v>
      </x:c>
      <x:c r="F208" s="34" t="n">
        <x:v>12.465481608725478</x:v>
      </x:c>
      <x:c r="G208" s="19" t="n">
        <x:v>2</x:v>
      </x:c>
      <x:c r="H208" s="19" t="n">
        <x:v>600</x:v>
      </x:c>
      <x:c r="I208" s="24" t="n">
        <x:f>G208*3600/H208</x:f>
        <x:v>12</x:v>
      </x:c>
      <x:c r="J208" s="24" t="n">
        <x:v>12</x:v>
      </x:c>
      <x:c r="K208" s="19" t="str">
        <x:v>P0117</x:v>
      </x:c>
    </x:row>
    <x:row r="209" ht="19" customHeight="1">
      <x:c r="A209" s="19" t="str">
        <x:v>C04-M035</x:v>
      </x:c>
      <x:c r="B209" s="19" t="str">
        <x:v>锁舱船长·奥杜</x:v>
      </x:c>
      <x:c r="C209" s="19" t="n">
        <x:v>4</x:v>
      </x:c>
      <x:c r="D209" s="19" t="n">
        <x:v>3</x:v>
      </x:c>
      <x:c r="E209" s="19" t="str">
        <x:v>地图BOSS</x:v>
      </x:c>
      <x:c r="F209" s="34" t="n">
        <x:v>74.80477587808981</x:v>
      </x:c>
      <x:c r="G209" s="19" t="n">
        <x:v>1</x:v>
      </x:c>
      <x:c r="H209" s="19" t="n">
        <x:v>1800</x:v>
      </x:c>
      <x:c r="I209" s="24" t="n">
        <x:f>G209*3600/H209</x:f>
        <x:v>2</x:v>
      </x:c>
      <x:c r="J209" s="24" t="n">
        <x:v>2</x:v>
      </x:c>
      <x:c r="K209" s="19" t="str">
        <x:v>P0117</x:v>
      </x:c>
    </x:row>
    <x:row r="210" ht="19" customHeight="1">
      <x:c r="A210" s="19" t="str">
        <x:v>C04-M036</x:v>
      </x:c>
      <x:c r="B210" s="19" t="str">
        <x:v>亡舟新娘·伊蕾莎</x:v>
      </x:c>
      <x:c r="C210" s="19" t="n">
        <x:v>4</x:v>
      </x:c>
      <x:c r="D210" s="19" t="n">
        <x:v>3</x:v>
      </x:c>
      <x:c r="E210" s="19" t="str">
        <x:v>地图BOSS</x:v>
      </x:c>
      <x:c r="F210" s="34" t="n">
        <x:v>88.47876716763312</x:v>
      </x:c>
      <x:c r="G210" s="19" t="n">
        <x:v>1</x:v>
      </x:c>
      <x:c r="H210" s="19" t="n">
        <x:v>1800</x:v>
      </x:c>
      <x:c r="I210" s="24" t="n">
        <x:f>G210*3600/H210</x:f>
        <x:v>2</x:v>
      </x:c>
      <x:c r="J210" s="24" t="n">
        <x:v>2</x:v>
      </x:c>
      <x:c r="K210" s="19" t="str">
        <x:v>P0117</x:v>
      </x:c>
    </x:row>
    <x:row r="211" ht="19" customHeight="1">
      <x:c r="A211" s="19" t="str">
        <x:v>C04-M037</x:v>
      </x:c>
      <x:c r="B211" s="19" t="str">
        <x:v>磷火甲板兵</x:v>
      </x:c>
      <x:c r="C211" s="19" t="n">
        <x:v>4</x:v>
      </x:c>
      <x:c r="D211" s="19" t="n">
        <x:v>4</x:v>
      </x:c>
      <x:c r="E211" s="19" t="str">
        <x:v>普通</x:v>
      </x:c>
      <x:c r="F211" s="34" t="n">
        <x:v>5.2286104011778605</x:v>
      </x:c>
      <x:c r="G211" s="19" t="n">
        <x:v>12</x:v>
      </x:c>
      <x:c r="H211" s="19" t="n">
        <x:v>600</x:v>
      </x:c>
      <x:c r="I211" s="24" t="n">
        <x:f>G211*3600/H211</x:f>
        <x:v>72</x:v>
      </x:c>
      <x:c r="J211" s="24" t="n">
        <x:v>72</x:v>
      </x:c>
      <x:c r="K211" s="19" t="str">
        <x:v>P0123</x:v>
      </x:c>
    </x:row>
    <x:row r="212" ht="19" customHeight="1">
      <x:c r="A212" s="19" t="str">
        <x:v>C04-M038</x:v>
      </x:c>
      <x:c r="B212" s="19" t="str">
        <x:v>船骸骨鸥</x:v>
      </x:c>
      <x:c r="C212" s="19" t="n">
        <x:v>4</x:v>
      </x:c>
      <x:c r="D212" s="19" t="n">
        <x:v>4</x:v>
      </x:c>
      <x:c r="E212" s="19" t="str">
        <x:v>普通</x:v>
      </x:c>
      <x:c r="F212" s="34" t="n">
        <x:v>4.494770344872196</x:v>
      </x:c>
      <x:c r="G212" s="19" t="n">
        <x:v>12</x:v>
      </x:c>
      <x:c r="H212" s="19" t="n">
        <x:v>600</x:v>
      </x:c>
      <x:c r="I212" s="24" t="n">
        <x:f>G212*3600/H212</x:f>
        <x:v>72</x:v>
      </x:c>
      <x:c r="J212" s="24" t="n">
        <x:v>72</x:v>
      </x:c>
      <x:c r="K212" s="19" t="str">
        <x:v>P0123</x:v>
      </x:c>
    </x:row>
    <x:row r="213" ht="19" customHeight="1">
      <x:c r="A213" s="19" t="str">
        <x:v>C04-M039</x:v>
      </x:c>
      <x:c r="B213" s="19" t="str">
        <x:v>漏舱舀水鬼</x:v>
      </x:c>
      <x:c r="C213" s="19" t="n">
        <x:v>4</x:v>
      </x:c>
      <x:c r="D213" s="19" t="n">
        <x:v>4</x:v>
      </x:c>
      <x:c r="E213" s="19" t="str">
        <x:v>普通</x:v>
      </x:c>
      <x:c r="F213" s="34" t="n">
        <x:v>4.953420380063236</x:v>
      </x:c>
      <x:c r="G213" s="19" t="n">
        <x:v>12</x:v>
      </x:c>
      <x:c r="H213" s="19" t="n">
        <x:v>600</x:v>
      </x:c>
      <x:c r="I213" s="24" t="n">
        <x:f>G213*3600/H213</x:f>
        <x:v>72</x:v>
      </x:c>
      <x:c r="J213" s="24" t="n">
        <x:v>72</x:v>
      </x:c>
      <x:c r="K213" s="19" t="str">
        <x:v>P0123</x:v>
      </x:c>
    </x:row>
    <x:row r="214" ht="19" customHeight="1">
      <x:c r="A214" s="19" t="str">
        <x:v>C04-M040</x:v>
      </x:c>
      <x:c r="B214" s="19" t="str">
        <x:v>铜铃引魂童</x:v>
      </x:c>
      <x:c r="C214" s="19" t="n">
        <x:v>4</x:v>
      </x:c>
      <x:c r="D214" s="19" t="n">
        <x:v>4</x:v>
      </x:c>
      <x:c r="E214" s="19" t="str">
        <x:v>普通</x:v>
      </x:c>
      <x:c r="F214" s="34" t="n">
        <x:v>5.2286104011778605</x:v>
      </x:c>
      <x:c r="G214" s="19" t="n">
        <x:v>12</x:v>
      </x:c>
      <x:c r="H214" s="19" t="n">
        <x:v>600</x:v>
      </x:c>
      <x:c r="I214" s="24" t="n">
        <x:f>G214*3600/H214</x:f>
        <x:v>72</x:v>
      </x:c>
      <x:c r="J214" s="24" t="n">
        <x:v>72</x:v>
      </x:c>
      <x:c r="K214" s="19" t="str">
        <x:v>P0123</x:v>
      </x:c>
    </x:row>
    <x:row r="215" ht="19" customHeight="1">
      <x:c r="A215" s="19" t="str">
        <x:v>C04-M041</x:v>
      </x:c>
      <x:c r="B215" s="19" t="str">
        <x:v>密舱蜡尸</x:v>
      </x:c>
      <x:c r="C215" s="19" t="n">
        <x:v>4</x:v>
      </x:c>
      <x:c r="D215" s="19" t="n">
        <x:v>4</x:v>
      </x:c>
      <x:c r="E215" s="19" t="str">
        <x:v>普通</x:v>
      </x:c>
      <x:c r="F215" s="34" t="n">
        <x:v>5.2286104011778605</x:v>
      </x:c>
      <x:c r="G215" s="19" t="n">
        <x:v>12</x:v>
      </x:c>
      <x:c r="H215" s="19" t="n">
        <x:v>600</x:v>
      </x:c>
      <x:c r="I215" s="24" t="n">
        <x:f>G215*3600/H215</x:f>
        <x:v>72</x:v>
      </x:c>
      <x:c r="J215" s="24" t="n">
        <x:v>72</x:v>
      </x:c>
      <x:c r="K215" s="19" t="str">
        <x:v>P0123</x:v>
      </x:c>
    </x:row>
    <x:row r="216" ht="19" customHeight="1">
      <x:c r="A216" s="19" t="str">
        <x:v>C04-M042</x:v>
      </x:c>
      <x:c r="B216" s="19" t="str">
        <x:v>食梦船蛾</x:v>
      </x:c>
      <x:c r="C216" s="19" t="n">
        <x:v>4</x:v>
      </x:c>
      <x:c r="D216" s="19" t="n">
        <x:v>4</x:v>
      </x:c>
      <x:c r="E216" s="19" t="str">
        <x:v>普通</x:v>
      </x:c>
      <x:c r="F216" s="34" t="n">
        <x:v>5.2286104011778605</x:v>
      </x:c>
      <x:c r="G216" s="19" t="n">
        <x:v>12</x:v>
      </x:c>
      <x:c r="H216" s="19" t="n">
        <x:v>600</x:v>
      </x:c>
      <x:c r="I216" s="24" t="n">
        <x:f>G216*3600/H216</x:f>
        <x:v>72</x:v>
      </x:c>
      <x:c r="J216" s="24" t="n">
        <x:v>72</x:v>
      </x:c>
      <x:c r="K216" s="19" t="str">
        <x:v>P0123</x:v>
      </x:c>
    </x:row>
    <x:row r="217" ht="19" customHeight="1">
      <x:c r="A217" s="19" t="str">
        <x:v>C04-M043</x:v>
      </x:c>
      <x:c r="B217" s="19" t="str">
        <x:v>倒吊瞭望手</x:v>
      </x:c>
      <x:c r="C217" s="19" t="n">
        <x:v>4</x:v>
      </x:c>
      <x:c r="D217" s="19" t="n">
        <x:v>4</x:v>
      </x:c>
      <x:c r="E217" s="19" t="str">
        <x:v>稀有</x:v>
      </x:c>
      <x:c r="F217" s="34" t="n">
        <x:v>12.723857466693314</x:v>
      </x:c>
      <x:c r="G217" s="19" t="n">
        <x:v>2</x:v>
      </x:c>
      <x:c r="H217" s="19" t="n">
        <x:v>600</x:v>
      </x:c>
      <x:c r="I217" s="24" t="n">
        <x:f>G217*3600/H217</x:f>
        <x:v>12</x:v>
      </x:c>
      <x:c r="J217" s="24" t="n">
        <x:v>12</x:v>
      </x:c>
      <x:c r="K217" s="19" t="str">
        <x:v>P0123</x:v>
      </x:c>
    </x:row>
    <x:row r="218" ht="19" customHeight="1">
      <x:c r="A218" s="19" t="str">
        <x:v>C04-M044</x:v>
      </x:c>
      <x:c r="B218" s="19" t="str">
        <x:v>无面桨官</x:v>
      </x:c>
      <x:c r="C218" s="19" t="n">
        <x:v>4</x:v>
      </x:c>
      <x:c r="D218" s="19" t="n">
        <x:v>4</x:v>
      </x:c>
      <x:c r="E218" s="19" t="str">
        <x:v>稀有</x:v>
      </x:c>
      <x:c r="F218" s="34" t="n">
        <x:v>12.723857466693314</x:v>
      </x:c>
      <x:c r="G218" s="19" t="n">
        <x:v>2</x:v>
      </x:c>
      <x:c r="H218" s="19" t="n">
        <x:v>600</x:v>
      </x:c>
      <x:c r="I218" s="24" t="n">
        <x:f>G218*3600/H218</x:f>
        <x:v>12</x:v>
      </x:c>
      <x:c r="J218" s="24" t="n">
        <x:v>12</x:v>
      </x:c>
      <x:c r="K218" s="19" t="str">
        <x:v>P0123</x:v>
      </x:c>
    </x:row>
    <x:row r="219" ht="19" customHeight="1">
      <x:c r="A219" s="19" t="str">
        <x:v>C04-M045</x:v>
      </x:c>
      <x:c r="B219" s="19" t="str">
        <x:v>舱壁缝合怪</x:v>
      </x:c>
      <x:c r="C219" s="19" t="n">
        <x:v>4</x:v>
      </x:c>
      <x:c r="D219" s="19" t="n">
        <x:v>4</x:v>
      </x:c>
      <x:c r="E219" s="19" t="str">
        <x:v>稀有</x:v>
      </x:c>
      <x:c r="F219" s="34" t="n">
        <x:v>13.70261573336203</x:v>
      </x:c>
      <x:c r="G219" s="19" t="n">
        <x:v>2</x:v>
      </x:c>
      <x:c r="H219" s="19" t="n">
        <x:v>600</x:v>
      </x:c>
      <x:c r="I219" s="24" t="n">
        <x:f>G219*3600/H219</x:f>
        <x:v>12</x:v>
      </x:c>
      <x:c r="J219" s="24" t="n">
        <x:v>11.822560243412168</x:v>
      </x:c>
      <x:c r="K219" s="19" t="str">
        <x:v>P0123</x:v>
      </x:c>
    </x:row>
    <x:row r="220" ht="19" customHeight="1">
      <x:c r="A220" s="19" t="str">
        <x:v>C04-M046</x:v>
      </x:c>
      <x:c r="B220" s="19" t="str">
        <x:v>黑帆招魂师</x:v>
      </x:c>
      <x:c r="C220" s="19" t="n">
        <x:v>4</x:v>
      </x:c>
      <x:c r="D220" s="19" t="n">
        <x:v>4</x:v>
      </x:c>
      <x:c r="E220" s="19" t="str">
        <x:v>稀有</x:v>
      </x:c>
      <x:c r="F220" s="34" t="n">
        <x:v>13.70261573336203</x:v>
      </x:c>
      <x:c r="G220" s="19" t="n">
        <x:v>2</x:v>
      </x:c>
      <x:c r="H220" s="19" t="n">
        <x:v>600</x:v>
      </x:c>
      <x:c r="I220" s="24" t="n">
        <x:f>G220*3600/H220</x:f>
        <x:v>12</x:v>
      </x:c>
      <x:c r="J220" s="24" t="n">
        <x:v>11.822560243412168</x:v>
      </x:c>
      <x:c r="K220" s="19" t="str">
        <x:v>P0123</x:v>
      </x:c>
    </x:row>
    <x:row r="221" ht="19" customHeight="1">
      <x:c r="A221" s="19" t="str">
        <x:v>C04-M047</x:v>
      </x:c>
      <x:c r="B221" s="19" t="str">
        <x:v>幽舵大副·赫岚</x:v>
      </x:c>
      <x:c r="C221" s="19" t="n">
        <x:v>4</x:v>
      </x:c>
      <x:c r="D221" s="19" t="n">
        <x:v>4</x:v>
      </x:c>
      <x:c r="E221" s="19" t="str">
        <x:v>地图BOSS</x:v>
      </x:c>
      <x:c r="F221" s="34" t="n">
        <x:v>84.83335554416105</x:v>
      </x:c>
      <x:c r="G221" s="19" t="n">
        <x:v>1</x:v>
      </x:c>
      <x:c r="H221" s="19" t="n">
        <x:v>1800</x:v>
      </x:c>
      <x:c r="I221" s="24" t="n">
        <x:f>G221*3600/H221</x:f>
        <x:v>2</x:v>
      </x:c>
      <x:c r="J221" s="24" t="n">
        <x:v>2</x:v>
      </x:c>
      <x:c r="K221" s="19" t="str">
        <x:v>P0123</x:v>
      </x:c>
    </x:row>
    <x:row r="222" ht="19" customHeight="1">
      <x:c r="A222" s="19" t="str">
        <x:v>C04-M048</x:v>
      </x:c>
      <x:c r="B222" s="19" t="str">
        <x:v>百舱吞魂者·沃姆</x:v>
      </x:c>
      <x:c r="C222" s="19" t="n">
        <x:v>4</x:v>
      </x:c>
      <x:c r="D222" s="19" t="n">
        <x:v>4</x:v>
      </x:c>
      <x:c r="E222" s="19" t="str">
        <x:v>地图BOSS</x:v>
      </x:c>
      <x:c r="F222" s="34" t="n">
        <x:v>84.83335554416105</x:v>
      </x:c>
      <x:c r="G222" s="19" t="n">
        <x:v>1</x:v>
      </x:c>
      <x:c r="H222" s="19" t="n">
        <x:v>1800</x:v>
      </x:c>
      <x:c r="I222" s="24" t="n">
        <x:f>G222*3600/H222</x:f>
        <x:v>2</x:v>
      </x:c>
      <x:c r="J222" s="24" t="n">
        <x:v>2</x:v>
      </x:c>
      <x:c r="K222" s="19" t="str">
        <x:v>P0123</x:v>
      </x:c>
    </x:row>
    <x:row r="223" ht="19" customHeight="1">
      <x:c r="A223" s="19" t="str">
        <x:v>C04-M049</x:v>
      </x:c>
      <x:c r="B223" s="19" t="str">
        <x:v>水闸巡守</x:v>
      </x:c>
      <x:c r="C223" s="19" t="n">
        <x:v>4</x:v>
      </x:c>
      <x:c r="D223" s="19" t="n">
        <x:v>5</x:v>
      </x:c>
      <x:c r="E223" s="19" t="str">
        <x:v>普通</x:v>
      </x:c>
      <x:c r="F223" s="34" t="n">
        <x:v>5.217528532916281</x:v>
      </x:c>
      <x:c r="G223" s="19" t="n">
        <x:v>12</x:v>
      </x:c>
      <x:c r="H223" s="19" t="n">
        <x:v>600</x:v>
      </x:c>
      <x:c r="I223" s="24" t="n">
        <x:f>G223*3600/H223</x:f>
        <x:v>72</x:v>
      </x:c>
      <x:c r="J223" s="24" t="n">
        <x:v>72</x:v>
      </x:c>
      <x:c r="K223" s="19" t="str">
        <x:v>P0129</x:v>
      </x:c>
    </x:row>
    <x:row r="224" ht="19" customHeight="1">
      <x:c r="A224" s="19" t="str">
        <x:v>C04-M050</x:v>
      </x:c>
      <x:c r="B224" s="19" t="str">
        <x:v>涡背鳗犬</x:v>
      </x:c>
      <x:c r="C224" s="19" t="n">
        <x:v>4</x:v>
      </x:c>
      <x:c r="D224" s="19" t="n">
        <x:v>5</x:v>
      </x:c>
      <x:c r="E224" s="19" t="str">
        <x:v>普通</x:v>
      </x:c>
      <x:c r="F224" s="34" t="n">
        <x:v>4.548614618439834</x:v>
      </x:c>
      <x:c r="G224" s="19" t="n">
        <x:v>12</x:v>
      </x:c>
      <x:c r="H224" s="19" t="n">
        <x:v>600</x:v>
      </x:c>
      <x:c r="I224" s="24" t="n">
        <x:f>G224*3600/H224</x:f>
        <x:v>72</x:v>
      </x:c>
      <x:c r="J224" s="24" t="n">
        <x:v>72</x:v>
      </x:c>
      <x:c r="K224" s="19" t="str">
        <x:v>P0129</x:v>
      </x:c>
    </x:row>
    <x:row r="225" ht="19" customHeight="1">
      <x:c r="A225" s="19" t="str">
        <x:v>C04-M051</x:v>
      </x:c>
      <x:c r="B225" s="19" t="str">
        <x:v>月河箭蛙</x:v>
      </x:c>
      <x:c r="C225" s="19" t="n">
        <x:v>4</x:v>
      </x:c>
      <x:c r="D225" s="19" t="n">
        <x:v>5</x:v>
      </x:c>
      <x:c r="E225" s="19" t="str">
        <x:v>普通</x:v>
      </x:c>
      <x:c r="F225" s="34" t="n">
        <x:v>5.217528532916281</x:v>
      </x:c>
      <x:c r="G225" s="19" t="n">
        <x:v>12</x:v>
      </x:c>
      <x:c r="H225" s="19" t="n">
        <x:v>600</x:v>
      </x:c>
      <x:c r="I225" s="24" t="n">
        <x:f>G225*3600/H225</x:f>
        <x:v>72</x:v>
      </x:c>
      <x:c r="J225" s="24" t="n">
        <x:v>72</x:v>
      </x:c>
      <x:c r="K225" s="19" t="str">
        <x:v>P0129</x:v>
      </x:c>
    </x:row>
    <x:row r="226" ht="19" customHeight="1">
      <x:c r="A226" s="19" t="str">
        <x:v>C04-M052</x:v>
      </x:c>
      <x:c r="B226" s="19" t="str">
        <x:v>暗径拾珠客</x:v>
      </x:c>
      <x:c r="C226" s="19" t="n">
        <x:v>4</x:v>
      </x:c>
      <x:c r="D226" s="19" t="n">
        <x:v>5</x:v>
      </x:c>
      <x:c r="E226" s="19" t="str">
        <x:v>普通</x:v>
      </x:c>
      <x:c r="F226" s="34" t="n">
        <x:v>5.0168543585733465</x:v>
      </x:c>
      <x:c r="G226" s="19" t="n">
        <x:v>12</x:v>
      </x:c>
      <x:c r="H226" s="19" t="n">
        <x:v>600</x:v>
      </x:c>
      <x:c r="I226" s="24" t="n">
        <x:f>G226*3600/H226</x:f>
        <x:v>72</x:v>
      </x:c>
      <x:c r="J226" s="24" t="n">
        <x:v>72</x:v>
      </x:c>
      <x:c r="K226" s="19" t="str">
        <x:v>P0129</x:v>
      </x:c>
    </x:row>
    <x:row r="227" ht="19" customHeight="1">
      <x:c r="A227" s="19" t="str">
        <x:v>C04-M053</x:v>
      </x:c>
      <x:c r="B227" s="19" t="str">
        <x:v>渊口盔虾</x:v>
      </x:c>
      <x:c r="C227" s="19" t="n">
        <x:v>4</x:v>
      </x:c>
      <x:c r="D227" s="19" t="n">
        <x:v>5</x:v>
      </x:c>
      <x:c r="E227" s="19" t="str">
        <x:v>普通</x:v>
      </x:c>
      <x:c r="F227" s="34" t="n">
        <x:v>5.217528532916281</x:v>
      </x:c>
      <x:c r="G227" s="19" t="n">
        <x:v>12</x:v>
      </x:c>
      <x:c r="H227" s="19" t="n">
        <x:v>600</x:v>
      </x:c>
      <x:c r="I227" s="24" t="n">
        <x:f>G227*3600/H227</x:f>
        <x:v>72</x:v>
      </x:c>
      <x:c r="J227" s="24" t="n">
        <x:v>72</x:v>
      </x:c>
      <x:c r="K227" s="19" t="str">
        <x:v>P0129</x:v>
      </x:c>
    </x:row>
    <x:row r="228" ht="19" customHeight="1">
      <x:c r="A228" s="19" t="str">
        <x:v>C04-M054</x:v>
      </x:c>
      <x:c r="B228" s="19" t="str">
        <x:v>伏流石鳗</x:v>
      </x:c>
      <x:c r="C228" s="19" t="n">
        <x:v>4</x:v>
      </x:c>
      <x:c r="D228" s="19" t="n">
        <x:v>5</x:v>
      </x:c>
      <x:c r="E228" s="19" t="str">
        <x:v>普通</x:v>
      </x:c>
      <x:c r="F228" s="34" t="n">
        <x:v>4.080374878306322</x:v>
      </x:c>
      <x:c r="G228" s="19" t="n">
        <x:v>12</x:v>
      </x:c>
      <x:c r="H228" s="19" t="n">
        <x:v>600</x:v>
      </x:c>
      <x:c r="I228" s="24" t="n">
        <x:f>G228*3600/H228</x:f>
        <x:v>72</x:v>
      </x:c>
      <x:c r="J228" s="24" t="n">
        <x:v>72</x:v>
      </x:c>
      <x:c r="K228" s="19" t="str">
        <x:v>P0129</x:v>
      </x:c>
    </x:row>
    <x:row r="229" ht="19" customHeight="1">
      <x:c r="A229" s="19" t="str">
        <x:v>C04-M055</x:v>
      </x:c>
      <x:c r="B229" s="19" t="str">
        <x:v>断闸铁卫</x:v>
      </x:c>
      <x:c r="C229" s="19" t="n">
        <x:v>4</x:v>
      </x:c>
      <x:c r="D229" s="19" t="n">
        <x:v>5</x:v>
      </x:c>
      <x:c r="E229" s="19" t="str">
        <x:v>稀有</x:v>
      </x:c>
      <x:c r="F229" s="34" t="n">
        <x:v>13.574249187157987</x:v>
      </x:c>
      <x:c r="G229" s="19" t="n">
        <x:v>2</x:v>
      </x:c>
      <x:c r="H229" s="19" t="n">
        <x:v>600</x:v>
      </x:c>
      <x:c r="I229" s="24" t="n">
        <x:f>G229*3600/H229</x:f>
        <x:v>12</x:v>
      </x:c>
      <x:c r="J229" s="24" t="n">
        <x:v>11.934361729064266</x:v>
      </x:c>
      <x:c r="K229" s="19" t="str">
        <x:v>P0129</x:v>
      </x:c>
    </x:row>
    <x:row r="230" ht="19" customHeight="1">
      <x:c r="A230" s="19" t="str">
        <x:v>C04-M056</x:v>
      </x:c>
      <x:c r="B230" s="19" t="str">
        <x:v>月痕水咒师</x:v>
      </x:c>
      <x:c r="C230" s="19" t="n">
        <x:v>4</x:v>
      </x:c>
      <x:c r="D230" s="19" t="n">
        <x:v>5</x:v>
      </x:c>
      <x:c r="E230" s="19" t="str">
        <x:v>稀有</x:v>
      </x:c>
      <x:c r="F230" s="34" t="n">
        <x:v>13.574249187157987</x:v>
      </x:c>
      <x:c r="G230" s="19" t="n">
        <x:v>2</x:v>
      </x:c>
      <x:c r="H230" s="19" t="n">
        <x:v>600</x:v>
      </x:c>
      <x:c r="I230" s="24" t="n">
        <x:f>G230*3600/H230</x:f>
        <x:v>12</x:v>
      </x:c>
      <x:c r="J230" s="24" t="n">
        <x:v>11.934361729064266</x:v>
      </x:c>
      <x:c r="K230" s="19" t="str">
        <x:v>P0129</x:v>
      </x:c>
    </x:row>
    <x:row r="231" ht="19" customHeight="1">
      <x:c r="A231" s="19" t="str">
        <x:v>C04-M057</x:v>
      </x:c>
      <x:c r="B231" s="19" t="str">
        <x:v>渊声诱猎者</x:v>
      </x:c>
      <x:c r="C231" s="19" t="n">
        <x:v>4</x:v>
      </x:c>
      <x:c r="D231" s="19" t="n">
        <x:v>5</x:v>
      </x:c>
      <x:c r="E231" s="19" t="str">
        <x:v>稀有</x:v>
      </x:c>
      <x:c r="F231" s="34" t="n">
        <x:v>12.145380851667673</x:v>
      </x:c>
      <x:c r="G231" s="19" t="n">
        <x:v>2</x:v>
      </x:c>
      <x:c r="H231" s="19" t="n">
        <x:v>600</x:v>
      </x:c>
      <x:c r="I231" s="24" t="n">
        <x:f>G231*3600/H231</x:f>
        <x:v>12</x:v>
      </x:c>
      <x:c r="J231" s="24" t="n">
        <x:v>12</x:v>
      </x:c>
      <x:c r="K231" s="19" t="str">
        <x:v>P0129</x:v>
      </x:c>
    </x:row>
    <x:row r="232" ht="19" customHeight="1">
      <x:c r="A232" s="19" t="str">
        <x:v>C04-M058</x:v>
      </x:c>
      <x:c r="B232" s="19" t="str">
        <x:v>吞灯巨鲶</x:v>
      </x:c>
      <x:c r="C232" s="19" t="n">
        <x:v>4</x:v>
      </x:c>
      <x:c r="D232" s="19" t="n">
        <x:v>5</x:v>
      </x:c>
      <x:c r="E232" s="19" t="str">
        <x:v>稀有</x:v>
      </x:c>
      <x:c r="F232" s="34" t="n">
        <x:v>15.003117522648303</x:v>
      </x:c>
      <x:c r="G232" s="19" t="n">
        <x:v>2</x:v>
      </x:c>
      <x:c r="H232" s="19" t="n">
        <x:v>600</x:v>
      </x:c>
      <x:c r="I232" s="24" t="n">
        <x:f>G232*3600/H232</x:f>
        <x:v>12</x:v>
      </x:c>
      <x:c r="J232" s="24" t="n">
        <x:v>10.797755850105764</x:v>
      </x:c>
      <x:c r="K232" s="19" t="str">
        <x:v>P0129</x:v>
      </x:c>
    </x:row>
    <x:row r="233" ht="19" customHeight="1">
      <x:c r="A233" s="19" t="str">
        <x:v>C04-M059</x:v>
      </x:c>
      <x:c r="B233" s="19" t="str">
        <x:v>暗河剑师·罗缇</x:v>
      </x:c>
      <x:c r="C233" s="19" t="n">
        <x:v>4</x:v>
      </x:c>
      <x:c r="D233" s="19" t="n">
        <x:v>5</x:v>
      </x:c>
      <x:c r="E233" s="19" t="str">
        <x:v>地图BOSS</x:v>
      </x:c>
      <x:c r="F233" s="34" t="n">
        <x:v>76.96613188846358</x:v>
      </x:c>
      <x:c r="G233" s="19" t="n">
        <x:v>1</x:v>
      </x:c>
      <x:c r="H233" s="19" t="n">
        <x:v>1800</x:v>
      </x:c>
      <x:c r="I233" s="24" t="n">
        <x:f>G233*3600/H233</x:f>
        <x:v>2</x:v>
      </x:c>
      <x:c r="J233" s="24" t="n">
        <x:v>2</x:v>
      </x:c>
      <x:c r="K233" s="19" t="str">
        <x:v>P0129</x:v>
      </x:c>
    </x:row>
    <x:row r="234" ht="19" customHeight="1">
      <x:c r="A234" s="19" t="str">
        <x:v>C04-M060</x:v>
      </x:c>
      <x:c r="B234" s="19" t="str">
        <x:v>渊口老蛟·涅珈</x:v>
      </x:c>
      <x:c r="C234" s="19" t="n">
        <x:v>4</x:v>
      </x:c>
      <x:c r="D234" s="19" t="n">
        <x:v>5</x:v>
      </x:c>
      <x:c r="E234" s="19" t="str">
        <x:v>地图BOSS</x:v>
      </x:c>
      <x:c r="F234" s="34" t="n">
        <x:v>81.01698093522482</x:v>
      </x:c>
      <x:c r="G234" s="19" t="n">
        <x:v>1</x:v>
      </x:c>
      <x:c r="H234" s="19" t="n">
        <x:v>1800</x:v>
      </x:c>
      <x:c r="I234" s="24" t="n">
        <x:f>G234*3600/H234</x:f>
        <x:v>2</x:v>
      </x:c>
      <x:c r="J234" s="24" t="n">
        <x:v>2</x:v>
      </x:c>
      <x:c r="K234" s="19" t="str">
        <x:v>P0129</x:v>
      </x:c>
    </x:row>
    <x:row r="235" ht="19" customHeight="1">
      <x:c r="A235" s="19" t="str">
        <x:v>C04-M061</x:v>
      </x:c>
      <x:c r="B235" s="19" t="str">
        <x:v>摸壁潜行者</x:v>
      </x:c>
      <x:c r="C235" s="19" t="n">
        <x:v>4</x:v>
      </x:c>
      <x:c r="D235" s="19" t="n">
        <x:v>6</x:v>
      </x:c>
      <x:c r="E235" s="19" t="str">
        <x:v>普通</x:v>
      </x:c>
      <x:c r="F235" s="34" t="n">
        <x:v>4.951530715606625</x:v>
      </x:c>
      <x:c r="G235" s="19" t="n">
        <x:v>12</x:v>
      </x:c>
      <x:c r="H235" s="19" t="n">
        <x:v>600</x:v>
      </x:c>
      <x:c r="I235" s="24" t="n">
        <x:f>G235*3600/H235</x:f>
        <x:v>72</x:v>
      </x:c>
      <x:c r="J235" s="24" t="n">
        <x:v>72</x:v>
      </x:c>
      <x:c r="K235" s="19" t="str">
        <x:v>P0135</x:v>
      </x:c>
    </x:row>
    <x:row r="236" ht="19" customHeight="1">
      <x:c r="A236" s="19" t="str">
        <x:v>C04-M062</x:v>
      </x:c>
      <x:c r="B236" s="19" t="str">
        <x:v>砾壳穴龟</x:v>
      </x:c>
      <x:c r="C236" s="19" t="n">
        <x:v>4</x:v>
      </x:c>
      <x:c r="D236" s="19" t="n">
        <x:v>6</x:v>
      </x:c>
      <x:c r="E236" s="19" t="str">
        <x:v>普通</x:v>
      </x:c>
      <x:c r="F236" s="34" t="n">
        <x:v>4.096266319274571</x:v>
      </x:c>
      <x:c r="G236" s="19" t="n">
        <x:v>12</x:v>
      </x:c>
      <x:c r="H236" s="19" t="n">
        <x:v>600</x:v>
      </x:c>
      <x:c r="I236" s="24" t="n">
        <x:f>G236*3600/H236</x:f>
        <x:v>72</x:v>
      </x:c>
      <x:c r="J236" s="24" t="n">
        <x:v>72</x:v>
      </x:c>
      <x:c r="K236" s="19" t="str">
        <x:v>P0135</x:v>
      </x:c>
    </x:row>
    <x:row r="237" ht="19" customHeight="1">
      <x:c r="A237" s="19" t="str">
        <x:v>C04-M063</x:v>
      </x:c>
      <x:c r="B237" s="19" t="str">
        <x:v>暗渠滤水蚌</x:v>
      </x:c>
      <x:c r="C237" s="19" t="n">
        <x:v>4</x:v>
      </x:c>
      <x:c r="D237" s="19" t="n">
        <x:v>6</x:v>
      </x:c>
      <x:c r="E237" s="19" t="str">
        <x:v>普通</x:v>
      </x:c>
      <x:c r="F237" s="34" t="n">
        <x:v>4.321335897256691</x:v>
      </x:c>
      <x:c r="G237" s="19" t="n">
        <x:v>12</x:v>
      </x:c>
      <x:c r="H237" s="19" t="n">
        <x:v>600</x:v>
      </x:c>
      <x:c r="I237" s="24" t="n">
        <x:f>G237*3600/H237</x:f>
        <x:v>72</x:v>
      </x:c>
      <x:c r="J237" s="24" t="n">
        <x:v>72</x:v>
      </x:c>
      <x:c r="K237" s="19" t="str">
        <x:v>P0135</x:v>
      </x:c>
    </x:row>
    <x:row r="238" ht="19" customHeight="1">
      <x:c r="A238" s="19" t="str">
        <x:v>C04-M064</x:v>
      </x:c>
      <x:c r="B238" s="19" t="str">
        <x:v>锈闸守渠人</x:v>
      </x:c>
      <x:c r="C238" s="19" t="n">
        <x:v>4</x:v>
      </x:c>
      <x:c r="D238" s="19" t="n">
        <x:v>6</x:v>
      </x:c>
      <x:c r="E238" s="19" t="str">
        <x:v>普通</x:v>
      </x:c>
      <x:c r="F238" s="34" t="n">
        <x:v>4.951530715606625</x:v>
      </x:c>
      <x:c r="G238" s="19" t="n">
        <x:v>12</x:v>
      </x:c>
      <x:c r="H238" s="19" t="n">
        <x:v>600</x:v>
      </x:c>
      <x:c r="I238" s="24" t="n">
        <x:f>G238*3600/H238</x:f>
        <x:v>72</x:v>
      </x:c>
      <x:c r="J238" s="24" t="n">
        <x:v>72</x:v>
      </x:c>
      <x:c r="K238" s="19" t="str">
        <x:v>P0135</x:v>
      </x:c>
    </x:row>
    <x:row r="239" ht="19" customHeight="1">
      <x:c r="A239" s="19" t="str">
        <x:v>C04-M065</x:v>
      </x:c>
      <x:c r="B239" s="19" t="str">
        <x:v>秘室灯笼鱼</x:v>
      </x:c>
      <x:c r="C239" s="19" t="n">
        <x:v>4</x:v>
      </x:c>
      <x:c r="D239" s="19" t="n">
        <x:v>6</x:v>
      </x:c>
      <x:c r="E239" s="19" t="str">
        <x:v>普通</x:v>
      </x:c>
      <x:c r="F239" s="34" t="n">
        <x:v>5.619946586922223</x:v>
      </x:c>
      <x:c r="G239" s="19" t="n">
        <x:v>12</x:v>
      </x:c>
      <x:c r="H239" s="19" t="n">
        <x:v>600</x:v>
      </x:c>
      <x:c r="I239" s="24" t="n">
        <x:f>G239*3600/H239</x:f>
        <x:v>72</x:v>
      </x:c>
      <x:c r="J239" s="24" t="n">
        <x:v>72</x:v>
      </x:c>
      <x:c r="K239" s="19" t="str">
        <x:v>P0135</x:v>
      </x:c>
    </x:row>
    <x:row r="240" ht="19" customHeight="1">
      <x:c r="A240" s="19" t="str">
        <x:v>C04-M066</x:v>
      </x:c>
      <x:c r="B240" s="19" t="str">
        <x:v>封门泥塑</x:v>
      </x:c>
      <x:c r="C240" s="19" t="n">
        <x:v>4</x:v>
      </x:c>
      <x:c r="D240" s="19" t="n">
        <x:v>6</x:v>
      </x:c>
      <x:c r="E240" s="19" t="str">
        <x:v>普通</x:v>
      </x:c>
      <x:c r="F240" s="34" t="n">
        <x:v>5.619946586922223</x:v>
      </x:c>
      <x:c r="G240" s="19" t="n">
        <x:v>12</x:v>
      </x:c>
      <x:c r="H240" s="19" t="n">
        <x:v>600</x:v>
      </x:c>
      <x:c r="I240" s="24" t="n">
        <x:f>G240*3600/H240</x:f>
        <x:v>72</x:v>
      </x:c>
      <x:c r="J240" s="24" t="n">
        <x:v>72</x:v>
      </x:c>
      <x:c r="K240" s="19" t="str">
        <x:v>P0135</x:v>
      </x:c>
    </x:row>
    <x:row r="241" ht="19" customHeight="1">
      <x:c r="A241" s="19" t="str">
        <x:v>C04-M067</x:v>
      </x:c>
      <x:c r="B241" s="19" t="str">
        <x:v>回声盗墓客</x:v>
      </x:c>
      <x:c r="C241" s="19" t="n">
        <x:v>4</x:v>
      </x:c>
      <x:c r="D241" s="19" t="n">
        <x:v>6</x:v>
      </x:c>
      <x:c r="E241" s="19" t="str">
        <x:v>稀有</x:v>
      </x:c>
      <x:c r="F241" s="34" t="n">
        <x:v>12.926937517539056</x:v>
      </x:c>
      <x:c r="G241" s="19" t="n">
        <x:v>2</x:v>
      </x:c>
      <x:c r="H241" s="19" t="n">
        <x:v>600</x:v>
      </x:c>
      <x:c r="I241" s="24" t="n">
        <x:f>G241*3600/H241</x:f>
        <x:v>12</x:v>
      </x:c>
      <x:c r="J241" s="24" t="n">
        <x:v>12</x:v>
      </x:c>
      <x:c r="K241" s="19" t="str">
        <x:v>P0135</x:v>
      </x:c>
    </x:row>
    <x:row r="242" ht="19" customHeight="1">
      <x:c r="A242" s="19" t="str">
        <x:v>C04-M068</x:v>
      </x:c>
      <x:c r="B242" s="19" t="str">
        <x:v>暗渠缚链僧</x:v>
      </x:c>
      <x:c r="C242" s="19" t="n">
        <x:v>4</x:v>
      </x:c>
      <x:c r="D242" s="19" t="n">
        <x:v>6</x:v>
      </x:c>
      <x:c r="E242" s="19" t="str">
        <x:v>稀有</x:v>
      </x:c>
      <x:c r="F242" s="34" t="n">
        <x:v>12.926937517539056</x:v>
      </x:c>
      <x:c r="G242" s="19" t="n">
        <x:v>2</x:v>
      </x:c>
      <x:c r="H242" s="19" t="n">
        <x:v>600</x:v>
      </x:c>
      <x:c r="I242" s="24" t="n">
        <x:f>G242*3600/H242</x:f>
        <x:v>12</x:v>
      </x:c>
      <x:c r="J242" s="24" t="n">
        <x:v>12</x:v>
      </x:c>
      <x:c r="K242" s="19" t="str">
        <x:v>P0135</x:v>
      </x:c>
    </x:row>
    <x:row r="243" ht="19" customHeight="1">
      <x:c r="A243" s="19" t="str">
        <x:v>C04-M069</x:v>
      </x:c>
      <x:c r="B243" s="19" t="str">
        <x:v>抱钥湖尸</x:v>
      </x:c>
      <x:c r="C243" s="19" t="n">
        <x:v>4</x:v>
      </x:c>
      <x:c r="D243" s="19" t="n">
        <x:v>6</x:v>
      </x:c>
      <x:c r="E243" s="19" t="str">
        <x:v>稀有</x:v>
      </x:c>
      <x:c r="F243" s="34" t="n">
        <x:v>18.392210135161378</x:v>
      </x:c>
      <x:c r="G243" s="19" t="n">
        <x:v>2</x:v>
      </x:c>
      <x:c r="H243" s="19" t="n">
        <x:v>600</x:v>
      </x:c>
      <x:c r="I243" s="24" t="n">
        <x:f>G243*3600/H243</x:f>
        <x:v>12</x:v>
      </x:c>
      <x:c r="J243" s="24" t="n">
        <x:v>8.808076833044435</x:v>
      </x:c>
      <x:c r="K243" s="19" t="str">
        <x:v>P0135</x:v>
      </x:c>
    </x:row>
    <x:row r="244" ht="19" customHeight="1">
      <x:c r="A244" s="19" t="str">
        <x:v>C04-M070</x:v>
      </x:c>
      <x:c r="B244" s="19" t="str">
        <x:v>噬门泥怪</x:v>
      </x:c>
      <x:c r="C244" s="19" t="n">
        <x:v>4</x:v>
      </x:c>
      <x:c r="D244" s="19" t="n">
        <x:v>6</x:v>
      </x:c>
      <x:c r="E244" s="19" t="str">
        <x:v>稀有</x:v>
      </x:c>
      <x:c r="F244" s="34" t="n">
        <x:v>18.392210135161378</x:v>
      </x:c>
      <x:c r="G244" s="19" t="n">
        <x:v>2</x:v>
      </x:c>
      <x:c r="H244" s="19" t="n">
        <x:v>600</x:v>
      </x:c>
      <x:c r="I244" s="24" t="n">
        <x:f>G244*3600/H244</x:f>
        <x:v>12</x:v>
      </x:c>
      <x:c r="J244" s="24" t="n">
        <x:v>8.808076833044435</x:v>
      </x:c>
      <x:c r="K244" s="19" t="str">
        <x:v>P0135</x:v>
      </x:c>
    </x:row>
    <x:row r="245" ht="19" customHeight="1">
      <x:c r="A245" s="19" t="str">
        <x:v>C04-M071</x:v>
      </x:c>
      <x:c r="B245" s="19" t="str">
        <x:v>沉渠守誓者·阿涅</x:v>
      </x:c>
      <x:c r="C245" s="19" t="n">
        <x:v>4</x:v>
      </x:c>
      <x:c r="D245" s="19" t="n">
        <x:v>6</x:v>
      </x:c>
      <x:c r="E245" s="19" t="str">
        <x:v>地图BOSS</x:v>
      </x:c>
      <x:c r="F245" s="34" t="n">
        <x:v>71.72986573291915</x:v>
      </x:c>
      <x:c r="G245" s="19" t="n">
        <x:v>1</x:v>
      </x:c>
      <x:c r="H245" s="19" t="n">
        <x:v>1800</x:v>
      </x:c>
      <x:c r="I245" s="24" t="n">
        <x:f>G245*3600/H245</x:f>
        <x:v>2</x:v>
      </x:c>
      <x:c r="J245" s="24" t="n">
        <x:v>2</x:v>
      </x:c>
      <x:c r="K245" s="19" t="str">
        <x:v>P0135</x:v>
      </x:c>
    </x:row>
    <x:row r="246" ht="19" customHeight="1">
      <x:c r="A246" s="19" t="str">
        <x:v>C04-M072</x:v>
      </x:c>
      <x:c r="B246" s="19" t="str">
        <x:v>封室水镜姬·弥洛</x:v>
      </x:c>
      <x:c r="C246" s="19" t="n">
        <x:v>4</x:v>
      </x:c>
      <x:c r="D246" s="19" t="n">
        <x:v>6</x:v>
      </x:c>
      <x:c r="E246" s="19" t="str">
        <x:v>地图BOSS</x:v>
      </x:c>
      <x:c r="F246" s="34" t="n">
        <x:v>75.12737930656439</x:v>
      </x:c>
      <x:c r="G246" s="19" t="n">
        <x:v>1</x:v>
      </x:c>
      <x:c r="H246" s="19" t="n">
        <x:v>1800</x:v>
      </x:c>
      <x:c r="I246" s="24" t="n">
        <x:f>G246*3600/H246</x:f>
        <x:v>2</x:v>
      </x:c>
      <x:c r="J246" s="24" t="n">
        <x:v>2</x:v>
      </x:c>
      <x:c r="K246" s="19" t="str">
        <x:v>P0135</x:v>
      </x:c>
    </x:row>
    <x:row r="247" ht="19" customHeight="1">
      <x:c r="A247" s="19" t="str">
        <x:v>C04-M073</x:v>
      </x:c>
      <x:c r="B247" s="19" t="str">
        <x:v>闭潮王·莱弥恩</x:v>
      </x:c>
      <x:c r="C247" s="19" t="n">
        <x:v>4</x:v>
      </x:c>
      <x:c r="D247" s="19" t="n">
        <x:v>6</x:v>
      </x:c>
      <x:c r="E247" s="19" t="str">
        <x:v>守关BOSS</x:v>
      </x:c>
      <x:c r="F247" s="34" t="n">
        <x:v>211.01970339860318</x:v>
      </x:c>
      <x:c r="G247" s="19" t="n">
        <x:v>1</x:v>
      </x:c>
      <x:c r="H247" s="19" t="n">
        <x:v>7200</x:v>
      </x:c>
      <x:c r="I247" s="24" t="n">
        <x:f>G247*3600/H247</x:f>
        <x:v>0.5</x:v>
      </x:c>
      <x:c r="J247" s="24" t="n">
        <x:v>0</x:v>
      </x:c>
      <x:c r="K247" s="19" t="str">
        <x:v>P0135</x:v>
      </x:c>
    </x:row>
    <x:row r="248" ht="19" customHeight="1">
      <x:c r="A248" s="19" t="str">
        <x:v>C05-M001</x:v>
      </x:c>
      <x:c r="B248" s="19" t="str">
        <x:v>雾汐游魂</x:v>
      </x:c>
      <x:c r="C248" s="19" t="n">
        <x:v>5</x:v>
      </x:c>
      <x:c r="D248" s="19" t="n">
        <x:v>1</x:v>
      </x:c>
      <x:c r="E248" s="19" t="str">
        <x:v>普通</x:v>
      </x:c>
      <x:c r="F248" s="34" t="n">
        <x:v>4.5703808366373355</x:v>
      </x:c>
      <x:c r="G248" s="19" t="n">
        <x:v>12</x:v>
      </x:c>
      <x:c r="H248" s="19" t="n">
        <x:v>600</x:v>
      </x:c>
      <x:c r="I248" s="24" t="n">
        <x:f>G248*3600/H248</x:f>
        <x:v>72</x:v>
      </x:c>
      <x:c r="J248" s="24" t="n">
        <x:v>72</x:v>
      </x:c>
      <x:c r="K248" s="19" t="str">
        <x:v>P0147</x:v>
      </x:c>
    </x:row>
    <x:row r="249" ht="19" customHeight="1">
      <x:c r="A249" s="19" t="str">
        <x:v>C05-M002</x:v>
      </x:c>
      <x:c r="B249" s="19" t="str">
        <x:v>水庭苔甲蟹</x:v>
      </x:c>
      <x:c r="C249" s="19" t="n">
        <x:v>5</x:v>
      </x:c>
      <x:c r="D249" s="19" t="n">
        <x:v>1</x:v>
      </x:c>
      <x:c r="E249" s="19" t="str">
        <x:v>普通</x:v>
      </x:c>
      <x:c r="F249" s="34" t="n">
        <x:v>4.097582819054163</x:v>
      </x:c>
      <x:c r="G249" s="19" t="n">
        <x:v>12</x:v>
      </x:c>
      <x:c r="H249" s="19" t="n">
        <x:v>600</x:v>
      </x:c>
      <x:c r="I249" s="24" t="n">
        <x:f>G249*3600/H249</x:f>
        <x:v>72</x:v>
      </x:c>
      <x:c r="J249" s="24" t="n">
        <x:v>72</x:v>
      </x:c>
      <x:c r="K249" s="19" t="str">
        <x:v>P0147</x:v>
      </x:c>
    </x:row>
    <x:row r="250" ht="19" customHeight="1">
      <x:c r="A250" s="19" t="str">
        <x:v>C05-M003</x:v>
      </x:c>
      <x:c r="B250" s="19" t="str">
        <x:v>月雾提灯侍</x:v>
      </x:c>
      <x:c r="C250" s="19" t="n">
        <x:v>5</x:v>
      </x:c>
      <x:c r="D250" s="19" t="n">
        <x:v>1</x:v>
      </x:c>
      <x:c r="E250" s="19" t="str">
        <x:v>普通</x:v>
      </x:c>
      <x:c r="F250" s="34" t="n">
        <x:v>4.885579515026118</x:v>
      </x:c>
      <x:c r="G250" s="19" t="n">
        <x:v>12</x:v>
      </x:c>
      <x:c r="H250" s="19" t="n">
        <x:v>600</x:v>
      </x:c>
      <x:c r="I250" s="24" t="n">
        <x:f>G250*3600/H250</x:f>
        <x:v>72</x:v>
      </x:c>
      <x:c r="J250" s="24" t="n">
        <x:v>72</x:v>
      </x:c>
      <x:c r="K250" s="19" t="str">
        <x:v>P0147</x:v>
      </x:c>
    </x:row>
    <x:row r="251" ht="19" customHeight="1">
      <x:c r="A251" s="19" t="str">
        <x:v>C05-M004</x:v>
      </x:c>
      <x:c r="B251" s="19" t="str">
        <x:v>回廊凝露蛾</x:v>
      </x:c>
      <x:c r="C251" s="19" t="n">
        <x:v>5</x:v>
      </x:c>
      <x:c r="D251" s="19" t="n">
        <x:v>1</x:v>
      </x:c>
      <x:c r="E251" s="19" t="str">
        <x:v>普通</x:v>
      </x:c>
      <x:c r="F251" s="34" t="n">
        <x:v>4.5703808366373355</x:v>
      </x:c>
      <x:c r="G251" s="19" t="n">
        <x:v>12</x:v>
      </x:c>
      <x:c r="H251" s="19" t="n">
        <x:v>600</x:v>
      </x:c>
      <x:c r="I251" s="24" t="n">
        <x:f>G251*3600/H251</x:f>
        <x:v>72</x:v>
      </x:c>
      <x:c r="J251" s="24" t="n">
        <x:v>72</x:v>
      </x:c>
      <x:c r="K251" s="19" t="str">
        <x:v>P0147</x:v>
      </x:c>
    </x:row>
    <x:row r="252" ht="19" customHeight="1">
      <x:c r="A252" s="19" t="str">
        <x:v>C05-M005</x:v>
      </x:c>
      <x:c r="B252" s="19" t="str">
        <x:v>静月执盏者</x:v>
      </x:c>
      <x:c r="C252" s="19" t="n">
        <x:v>5</x:v>
      </x:c>
      <x:c r="D252" s="19" t="n">
        <x:v>1</x:v>
      </x:c>
      <x:c r="E252" s="19" t="str">
        <x:v>普通</x:v>
      </x:c>
      <x:c r="F252" s="34" t="n">
        <x:v>4.5703808366373355</x:v>
      </x:c>
      <x:c r="G252" s="19" t="n">
        <x:v>12</x:v>
      </x:c>
      <x:c r="H252" s="19" t="n">
        <x:v>600</x:v>
      </x:c>
      <x:c r="I252" s="24" t="n">
        <x:f>G252*3600/H252</x:f>
        <x:v>72</x:v>
      </x:c>
      <x:c r="J252" s="24" t="n">
        <x:v>72</x:v>
      </x:c>
      <x:c r="K252" s="19" t="str">
        <x:v>P0147</x:v>
      </x:c>
    </x:row>
    <x:row r="253" ht="19" customHeight="1">
      <x:c r="A253" s="19" t="str">
        <x:v>C05-M006</x:v>
      </x:c>
      <x:c r="B253" s="19" t="str">
        <x:v>祭庭涟影</x:v>
      </x:c>
      <x:c r="C253" s="19" t="n">
        <x:v>5</x:v>
      </x:c>
      <x:c r="D253" s="19" t="n">
        <x:v>1</x:v>
      </x:c>
      <x:c r="E253" s="19" t="str">
        <x:v>普通</x:v>
      </x:c>
      <x:c r="F253" s="34" t="n">
        <x:v>5.200778193414899</x:v>
      </x:c>
      <x:c r="G253" s="19" t="n">
        <x:v>12</x:v>
      </x:c>
      <x:c r="H253" s="19" t="n">
        <x:v>600</x:v>
      </x:c>
      <x:c r="I253" s="24" t="n">
        <x:f>G253*3600/H253</x:f>
        <x:v>72</x:v>
      </x:c>
      <x:c r="J253" s="24" t="n">
        <x:v>72</x:v>
      </x:c>
      <x:c r="K253" s="19" t="str">
        <x:v>P0147</x:v>
      </x:c>
    </x:row>
    <x:row r="254" ht="19" customHeight="1">
      <x:c r="A254" s="19" t="str">
        <x:v>C05-M007</x:v>
      </x:c>
      <x:c r="B254" s="19" t="str">
        <x:v>银雾汲月兽</x:v>
      </x:c>
      <x:c r="C254" s="19" t="n">
        <x:v>5</x:v>
      </x:c>
      <x:c r="D254" s="19" t="n">
        <x:v>1</x:v>
      </x:c>
      <x:c r="E254" s="19" t="str">
        <x:v>稀有</x:v>
      </x:c>
      <x:c r="F254" s="34" t="n">
        <x:v>13.464933856034573</x:v>
      </x:c>
      <x:c r="G254" s="19" t="n">
        <x:v>2</x:v>
      </x:c>
      <x:c r="H254" s="19" t="n">
        <x:v>600</x:v>
      </x:c>
      <x:c r="I254" s="24" t="n">
        <x:f>G254*3600/H254</x:f>
        <x:v>12</x:v>
      </x:c>
      <x:c r="J254" s="24" t="n">
        <x:v>12</x:v>
      </x:c>
      <x:c r="K254" s="19" t="str">
        <x:v>P0147</x:v>
      </x:c>
    </x:row>
    <x:row r="255" ht="19" customHeight="1">
      <x:c r="A255" s="19" t="str">
        <x:v>C05-M008</x:v>
      </x:c>
      <x:c r="B255" s="19" t="str">
        <x:v>镜荷守梦灵</x:v>
      </x:c>
      <x:c r="C255" s="19" t="n">
        <x:v>5</x:v>
      </x:c>
      <x:c r="D255" s="19" t="n">
        <x:v>1</x:v>
      </x:c>
      <x:c r="E255" s="19" t="str">
        <x:v>稀有</x:v>
      </x:c>
      <x:c r="F255" s="34" t="n">
        <x:v>14.81142724163803</x:v>
      </x:c>
      <x:c r="G255" s="19" t="n">
        <x:v>2</x:v>
      </x:c>
      <x:c r="H255" s="19" t="n">
        <x:v>600</x:v>
      </x:c>
      <x:c r="I255" s="24" t="n">
        <x:f>G255*3600/H255</x:f>
        <x:v>12</x:v>
      </x:c>
      <x:c r="J255" s="24" t="n">
        <x:v>10.937500981983964</x:v>
      </x:c>
      <x:c r="K255" s="19" t="str">
        <x:v>P0147</x:v>
      </x:c>
    </x:row>
    <x:row r="256" ht="19" customHeight="1">
      <x:c r="A256" s="19" t="str">
        <x:v>C05-M009</x:v>
      </x:c>
      <x:c r="B256" s="19" t="str">
        <x:v>月纱回声女官</x:v>
      </x:c>
      <x:c r="C256" s="19" t="n">
        <x:v>5</x:v>
      </x:c>
      <x:c r="D256" s="19" t="n">
        <x:v>1</x:v>
      </x:c>
      <x:c r="E256" s="19" t="str">
        <x:v>稀有</x:v>
      </x:c>
      <x:c r="F256" s="34" t="n">
        <x:v>15.484673934439758</x:v>
      </x:c>
      <x:c r="G256" s="19" t="n">
        <x:v>2</x:v>
      </x:c>
      <x:c r="H256" s="19" t="n">
        <x:v>600</x:v>
      </x:c>
      <x:c r="I256" s="24" t="n">
        <x:f>G256*3600/H256</x:f>
        <x:v>12</x:v>
      </x:c>
      <x:c r="J256" s="24" t="n">
        <x:v>10.46195746102814</x:v>
      </x:c>
      <x:c r="K256" s="19" t="str">
        <x:v>P0147</x:v>
      </x:c>
    </x:row>
    <x:row r="257" ht="19" customHeight="1">
      <x:c r="A257" s="19" t="str">
        <x:v>C05-M010</x:v>
      </x:c>
      <x:c r="B257" s="19" t="str">
        <x:v>静潮祷月祭司</x:v>
      </x:c>
      <x:c r="C257" s="19" t="n">
        <x:v>5</x:v>
      </x:c>
      <x:c r="D257" s="19" t="n">
        <x:v>1</x:v>
      </x:c>
      <x:c r="E257" s="19" t="str">
        <x:v>稀有</x:v>
      </x:c>
      <x:c r="F257" s="34" t="n">
        <x:v>15.484673934439758</x:v>
      </x:c>
      <x:c r="G257" s="19" t="n">
        <x:v>2</x:v>
      </x:c>
      <x:c r="H257" s="19" t="n">
        <x:v>600</x:v>
      </x:c>
      <x:c r="I257" s="24" t="n">
        <x:f>G257*3600/H257</x:f>
        <x:v>12</x:v>
      </x:c>
      <x:c r="J257" s="24" t="n">
        <x:v>10.46195746102814</x:v>
      </x:c>
      <x:c r="K257" s="19" t="str">
        <x:v>P0147</x:v>
      </x:c>
    </x:row>
    <x:row r="258" ht="19" customHeight="1">
      <x:c r="A258" s="19" t="str">
        <x:v>C05-M011</x:v>
      </x:c>
      <x:c r="B258" s="19" t="str">
        <x:v>雾冠巡庭侯</x:v>
      </x:c>
      <x:c r="C258" s="19" t="n">
        <x:v>5</x:v>
      </x:c>
      <x:c r="D258" s="19" t="n">
        <x:v>1</x:v>
      </x:c>
      <x:c r="E258" s="19" t="str">
        <x:v>地图BOSS</x:v>
      </x:c>
      <x:c r="F258" s="34" t="n">
        <x:v>81.7641362023425</x:v>
      </x:c>
      <x:c r="G258" s="19" t="n">
        <x:v>1</x:v>
      </x:c>
      <x:c r="H258" s="19" t="n">
        <x:v>1800</x:v>
      </x:c>
      <x:c r="I258" s="24" t="n">
        <x:f>G258*3600/H258</x:f>
        <x:v>2</x:v>
      </x:c>
      <x:c r="J258" s="24" t="n">
        <x:v>2</x:v>
      </x:c>
      <x:c r="K258" s="19" t="str">
        <x:v>P0147</x:v>
      </x:c>
    </x:row>
    <x:row r="259" ht="19" customHeight="1">
      <x:c r="A259" s="19" t="str">
        <x:v>C05-M012</x:v>
      </x:c>
      <x:c r="B259" s="19" t="str">
        <x:v>沉月镜池圣母</x:v>
      </x:c>
      <x:c r="C259" s="19" t="n">
        <x:v>5</x:v>
      </x:c>
      <x:c r="D259" s="19" t="n">
        <x:v>1</x:v>
      </x:c>
      <x:c r="E259" s="19" t="str">
        <x:v>地图BOSS</x:v>
      </x:c>
      <x:c r="F259" s="34" t="n">
        <x:v>81.7641362023425</x:v>
      </x:c>
      <x:c r="G259" s="19" t="n">
        <x:v>1</x:v>
      </x:c>
      <x:c r="H259" s="19" t="n">
        <x:v>1800</x:v>
      </x:c>
      <x:c r="I259" s="24" t="n">
        <x:f>G259*3600/H259</x:f>
        <x:v>2</x:v>
      </x:c>
      <x:c r="J259" s="24" t="n">
        <x:v>2</x:v>
      </x:c>
      <x:c r="K259" s="19" t="str">
        <x:v>P0147</x:v>
      </x:c>
    </x:row>
    <x:row r="260" ht="19" customHeight="1">
      <x:c r="A260" s="19" t="str">
        <x:v>C05-M013</x:v>
      </x:c>
      <x:c r="B260" s="19" t="str">
        <x:v>碎辉穴蜥</x:v>
      </x:c>
      <x:c r="C260" s="19" t="n">
        <x:v>5</x:v>
      </x:c>
      <x:c r="D260" s="19" t="n">
        <x:v>2</x:v>
      </x:c>
      <x:c r="E260" s="19" t="str">
        <x:v>普通</x:v>
      </x:c>
      <x:c r="F260" s="34" t="n">
        <x:v>4.5703808366373355</x:v>
      </x:c>
      <x:c r="G260" s="19" t="n">
        <x:v>12</x:v>
      </x:c>
      <x:c r="H260" s="19" t="n">
        <x:v>600</x:v>
      </x:c>
      <x:c r="I260" s="24" t="n">
        <x:f>G260*3600/H260</x:f>
        <x:v>72</x:v>
      </x:c>
      <x:c r="J260" s="24" t="n">
        <x:v>72</x:v>
      </x:c>
      <x:c r="K260" s="19" t="str">
        <x:v>P0153</x:v>
      </x:c>
    </x:row>
    <x:row r="261" ht="19" customHeight="1">
      <x:c r="A261" s="19" t="str">
        <x:v>C05-M014</x:v>
      </x:c>
      <x:c r="B261" s="19" t="str">
        <x:v>遗迹刻晶奴</x:v>
      </x:c>
      <x:c r="C261" s="19" t="n">
        <x:v>5</x:v>
      </x:c>
      <x:c r="D261" s="19" t="n">
        <x:v>2</x:v>
      </x:c>
      <x:c r="E261" s="19" t="str">
        <x:v>普通</x:v>
      </x:c>
      <x:c r="F261" s="34" t="n">
        <x:v>4.255182158248553</x:v>
      </x:c>
      <x:c r="G261" s="19" t="n">
        <x:v>12</x:v>
      </x:c>
      <x:c r="H261" s="19" t="n">
        <x:v>600</x:v>
      </x:c>
      <x:c r="I261" s="24" t="n">
        <x:f>G261*3600/H261</x:f>
        <x:v>72</x:v>
      </x:c>
      <x:c r="J261" s="24" t="n">
        <x:v>72</x:v>
      </x:c>
      <x:c r="K261" s="19" t="str">
        <x:v>P0153</x:v>
      </x:c>
    </x:row>
    <x:row r="262" ht="19" customHeight="1">
      <x:c r="A262" s="19" t="str">
        <x:v>C05-M015</x:v>
      </x:c>
      <x:c r="B262" s="19" t="str">
        <x:v>晶廊折光蝶</x:v>
      </x:c>
      <x:c r="C262" s="19" t="n">
        <x:v>5</x:v>
      </x:c>
      <x:c r="D262" s="19" t="n">
        <x:v>2</x:v>
      </x:c>
      <x:c r="E262" s="19" t="str">
        <x:v>普通</x:v>
      </x:c>
      <x:c r="F262" s="34" t="n">
        <x:v>4.255182158248553</x:v>
      </x:c>
      <x:c r="G262" s="19" t="n">
        <x:v>12</x:v>
      </x:c>
      <x:c r="H262" s="19" t="n">
        <x:v>600</x:v>
      </x:c>
      <x:c r="I262" s="24" t="n">
        <x:f>G262*3600/H262</x:f>
        <x:v>72</x:v>
      </x:c>
      <x:c r="J262" s="24" t="n">
        <x:v>72</x:v>
      </x:c>
      <x:c r="K262" s="19" t="str">
        <x:v>P0153</x:v>
      </x:c>
    </x:row>
    <x:row r="263" ht="19" customHeight="1">
      <x:c r="A263" s="19" t="str">
        <x:v>C05-M016</x:v>
      </x:c>
      <x:c r="B263" s="19" t="str">
        <x:v>前庭砾晶守卒</x:v>
      </x:c>
      <x:c r="C263" s="19" t="n">
        <x:v>5</x:v>
      </x:c>
      <x:c r="D263" s="19" t="n">
        <x:v>2</x:v>
      </x:c>
      <x:c r="E263" s="19" t="str">
        <x:v>普通</x:v>
      </x:c>
      <x:c r="F263" s="34" t="n">
        <x:v>4.885579515026118</x:v>
      </x:c>
      <x:c r="G263" s="19" t="n">
        <x:v>12</x:v>
      </x:c>
      <x:c r="H263" s="19" t="n">
        <x:v>600</x:v>
      </x:c>
      <x:c r="I263" s="24" t="n">
        <x:f>G263*3600/H263</x:f>
        <x:v>72</x:v>
      </x:c>
      <x:c r="J263" s="24" t="n">
        <x:v>72</x:v>
      </x:c>
      <x:c r="K263" s="19" t="str">
        <x:v>P0153</x:v>
      </x:c>
    </x:row>
    <x:row r="264" ht="19" customHeight="1">
      <x:c r="A264" s="19" t="str">
        <x:v>C05-M017</x:v>
      </x:c>
      <x:c r="B264" s="19" t="str">
        <x:v>内院辉壳犬</x:v>
      </x:c>
      <x:c r="C264" s="19" t="n">
        <x:v>5</x:v>
      </x:c>
      <x:c r="D264" s="19" t="n">
        <x:v>2</x:v>
      </x:c>
      <x:c r="E264" s="19" t="str">
        <x:v>普通</x:v>
      </x:c>
      <x:c r="F264" s="34" t="n">
        <x:v>4.255182158248553</x:v>
      </x:c>
      <x:c r="G264" s="19" t="n">
        <x:v>12</x:v>
      </x:c>
      <x:c r="H264" s="19" t="n">
        <x:v>600</x:v>
      </x:c>
      <x:c r="I264" s="24" t="n">
        <x:f>G264*3600/H264</x:f>
        <x:v>72</x:v>
      </x:c>
      <x:c r="J264" s="24" t="n">
        <x:v>72</x:v>
      </x:c>
      <x:c r="K264" s="19" t="str">
        <x:v>P0153</x:v>
      </x:c>
    </x:row>
    <x:row r="265" ht="19" customHeight="1">
      <x:c r="A265" s="19" t="str">
        <x:v>C05-M018</x:v>
      </x:c>
      <x:c r="B265" s="19" t="str">
        <x:v>圣坛悬晶灵</x:v>
      </x:c>
      <x:c r="C265" s="19" t="n">
        <x:v>5</x:v>
      </x:c>
      <x:c r="D265" s="19" t="n">
        <x:v>2</x:v>
      </x:c>
      <x:c r="E265" s="19" t="str">
        <x:v>普通</x:v>
      </x:c>
      <x:c r="F265" s="34" t="n">
        <x:v>4.255182158248553</x:v>
      </x:c>
      <x:c r="G265" s="19" t="n">
        <x:v>12</x:v>
      </x:c>
      <x:c r="H265" s="19" t="n">
        <x:v>600</x:v>
      </x:c>
      <x:c r="I265" s="24" t="n">
        <x:f>G265*3600/H265</x:f>
        <x:v>72</x:v>
      </x:c>
      <x:c r="J265" s="24" t="n">
        <x:v>72</x:v>
      </x:c>
      <x:c r="K265" s="19" t="str">
        <x:v>P0153</x:v>
      </x:c>
    </x:row>
    <x:row r="266" ht="19" customHeight="1">
      <x:c r="A266" s="19" t="str">
        <x:v>C05-M019</x:v>
      </x:c>
      <x:c r="B266" s="19" t="str">
        <x:v>青曜啮辉兽</x:v>
      </x:c>
      <x:c r="C266" s="19" t="n">
        <x:v>5</x:v>
      </x:c>
      <x:c r="D266" s="19" t="n">
        <x:v>2</x:v>
      </x:c>
      <x:c r="E266" s="19" t="str">
        <x:v>稀有</x:v>
      </x:c>
      <x:c r="F266" s="34" t="n">
        <x:v>14.81142724163803</x:v>
      </x:c>
      <x:c r="G266" s="19" t="n">
        <x:v>2</x:v>
      </x:c>
      <x:c r="H266" s="19" t="n">
        <x:v>600</x:v>
      </x:c>
      <x:c r="I266" s="24" t="n">
        <x:f>G266*3600/H266</x:f>
        <x:v>12</x:v>
      </x:c>
      <x:c r="J266" s="24" t="n">
        <x:v>10.937500981983964</x:v>
      </x:c>
      <x:c r="K266" s="19" t="str">
        <x:v>P0153</x:v>
      </x:c>
    </x:row>
    <x:row r="267" ht="19" customHeight="1">
      <x:c r="A267" s="19" t="str">
        <x:v>C05-M020</x:v>
      </x:c>
      <x:c r="B267" s="19" t="str">
        <x:v>棱光长廊术士</x:v>
      </x:c>
      <x:c r="C267" s="19" t="n">
        <x:v>5</x:v>
      </x:c>
      <x:c r="D267" s="19" t="n">
        <x:v>2</x:v>
      </x:c>
      <x:c r="E267" s="19" t="str">
        <x:v>稀有</x:v>
      </x:c>
      <x:c r="F267" s="34" t="n">
        <x:v>15.484673934439758</x:v>
      </x:c>
      <x:c r="G267" s="19" t="n">
        <x:v>2</x:v>
      </x:c>
      <x:c r="H267" s="19" t="n">
        <x:v>600</x:v>
      </x:c>
      <x:c r="I267" s="24" t="n">
        <x:f>G267*3600/H267</x:f>
        <x:v>12</x:v>
      </x:c>
      <x:c r="J267" s="24" t="n">
        <x:v>10.46195746102814</x:v>
      </x:c>
      <x:c r="K267" s="19" t="str">
        <x:v>P0153</x:v>
      </x:c>
    </x:row>
    <x:row r="268" ht="19" customHeight="1">
      <x:c r="A268" s="19" t="str">
        <x:v>C05-M021</x:v>
      </x:c>
      <x:c r="B268" s="19" t="str">
        <x:v>学院前庭晶戟卫</x:v>
      </x:c>
      <x:c r="C268" s="19" t="n">
        <x:v>5</x:v>
      </x:c>
      <x:c r="D268" s="19" t="n">
        <x:v>2</x:v>
      </x:c>
      <x:c r="E268" s="19" t="str">
        <x:v>稀有</x:v>
      </x:c>
      <x:c r="F268" s="34" t="n">
        <x:v>12.791687163232844</x:v>
      </x:c>
      <x:c r="G268" s="19" t="n">
        <x:v>2</x:v>
      </x:c>
      <x:c r="H268" s="19" t="n">
        <x:v>600</x:v>
      </x:c>
      <x:c r="I268" s="24" t="n">
        <x:f>G268*3600/H268</x:f>
        <x:v>12</x:v>
      </x:c>
      <x:c r="J268" s="24" t="n">
        <x:v>12</x:v>
      </x:c>
      <x:c r="K268" s="19" t="str">
        <x:v>P0153</x:v>
      </x:c>
    </x:row>
    <x:row r="269" ht="19" customHeight="1">
      <x:c r="A269" s="19" t="str">
        <x:v>C05-M022</x:v>
      </x:c>
      <x:c r="B269" s="19" t="str">
        <x:v>内院辉核铸像</x:v>
      </x:c>
      <x:c r="C269" s="19" t="n">
        <x:v>5</x:v>
      </x:c>
      <x:c r="D269" s="19" t="n">
        <x:v>2</x:v>
      </x:c>
      <x:c r="E269" s="19" t="str">
        <x:v>稀有</x:v>
      </x:c>
      <x:c r="F269" s="34" t="n">
        <x:v>15.484673934439758</x:v>
      </x:c>
      <x:c r="G269" s="19" t="n">
        <x:v>2</x:v>
      </x:c>
      <x:c r="H269" s="19" t="n">
        <x:v>600</x:v>
      </x:c>
      <x:c r="I269" s="24" t="n">
        <x:f>G269*3600/H269</x:f>
        <x:v>12</x:v>
      </x:c>
      <x:c r="J269" s="24" t="n">
        <x:v>10.46195746102814</x:v>
      </x:c>
      <x:c r="K269" s="19" t="str">
        <x:v>P0153</x:v>
      </x:c>
    </x:row>
    <x:row r="270" ht="19" customHeight="1">
      <x:c r="A270" s="19" t="str">
        <x:v>C05-M023</x:v>
      </x:c>
      <x:c r="B270" s="19" t="str">
        <x:v>裂辉古院监</x:v>
      </x:c>
      <x:c r="C270" s="19" t="n">
        <x:v>5</x:v>
      </x:c>
      <x:c r="D270" s="19" t="n">
        <x:v>2</x:v>
      </x:c>
      <x:c r="E270" s="19" t="str">
        <x:v>地图BOSS</x:v>
      </x:c>
      <x:c r="F270" s="34" t="n">
        <x:v>71.90008805979733</x:v>
      </x:c>
      <x:c r="G270" s="19" t="n">
        <x:v>1</x:v>
      </x:c>
      <x:c r="H270" s="19" t="n">
        <x:v>1800</x:v>
      </x:c>
      <x:c r="I270" s="24" t="n">
        <x:f>G270*3600/H270</x:f>
        <x:v>2</x:v>
      </x:c>
      <x:c r="J270" s="24" t="n">
        <x:v>2</x:v>
      </x:c>
      <x:c r="K270" s="19" t="str">
        <x:v>P0153</x:v>
      </x:c>
    </x:row>
    <x:row r="271" ht="19" customHeight="1">
      <x:c r="A271" s="19" t="str">
        <x:v>C05-M024</x:v>
      </x:c>
      <x:c r="B271" s="19" t="str">
        <x:v>万棱圣坛龙蜥</x:v>
      </x:c>
      <x:c r="C271" s="19" t="n">
        <x:v>5</x:v>
      </x:c>
      <x:c r="D271" s="19" t="n">
        <x:v>2</x:v>
      </x:c>
      <x:c r="E271" s="19" t="str">
        <x:v>地图BOSS</x:v>
      </x:c>
      <x:c r="F271" s="34" t="n">
        <x:v>86.57357541893963</x:v>
      </x:c>
      <x:c r="G271" s="19" t="n">
        <x:v>1</x:v>
      </x:c>
      <x:c r="H271" s="19" t="n">
        <x:v>1800</x:v>
      </x:c>
      <x:c r="I271" s="24" t="n">
        <x:f>G271*3600/H271</x:f>
        <x:v>2</x:v>
      </x:c>
      <x:c r="J271" s="24" t="n">
        <x:v>2</x:v>
      </x:c>
      <x:c r="K271" s="19" t="str">
        <x:v>P0153</x:v>
      </x:c>
    </x:row>
    <x:row r="272" ht="19" customHeight="1">
      <x:c r="A272" s="19" t="str">
        <x:v>C05-M025</x:v>
      </x:c>
      <x:c r="B272" s="19" t="str">
        <x:v>墨羽抄录仆</x:v>
      </x:c>
      <x:c r="C272" s="19" t="n">
        <x:v>5</x:v>
      </x:c>
      <x:c r="D272" s="19" t="n">
        <x:v>3</x:v>
      </x:c>
      <x:c r="E272" s="19" t="str">
        <x:v>普通</x:v>
      </x:c>
      <x:c r="F272" s="34" t="n">
        <x:v>5.065106097804712</x:v>
      </x:c>
      <x:c r="G272" s="19" t="n">
        <x:v>12</x:v>
      </x:c>
      <x:c r="H272" s="19" t="n">
        <x:v>600</x:v>
      </x:c>
      <x:c r="I272" s="24" t="n">
        <x:f>G272*3600/H272</x:f>
        <x:v>72</x:v>
      </x:c>
      <x:c r="J272" s="24" t="n">
        <x:v>72</x:v>
      </x:c>
      <x:c r="K272" s="19" t="str">
        <x:v>P0159</x:v>
      </x:c>
    </x:row>
    <x:row r="273" ht="19" customHeight="1">
      <x:c r="A273" s="19" t="str">
        <x:v>C05-M026</x:v>
      </x:c>
      <x:c r="B273" s="19" t="str">
        <x:v>回廊试术生</x:v>
      </x:c>
      <x:c r="C273" s="19" t="n">
        <x:v>5</x:v>
      </x:c>
      <x:c r="D273" s="19" t="n">
        <x:v>3</x:v>
      </x:c>
      <x:c r="E273" s="19" t="str">
        <x:v>普通</x:v>
      </x:c>
      <x:c r="F273" s="34" t="n">
        <x:v>4.93181383207301</x:v>
      </x:c>
      <x:c r="G273" s="19" t="n">
        <x:v>12</x:v>
      </x:c>
      <x:c r="H273" s="19" t="n">
        <x:v>600</x:v>
      </x:c>
      <x:c r="I273" s="24" t="n">
        <x:f>G273*3600/H273</x:f>
        <x:v>72</x:v>
      </x:c>
      <x:c r="J273" s="24" t="n">
        <x:v>72</x:v>
      </x:c>
      <x:c r="K273" s="19" t="str">
        <x:v>P0159</x:v>
      </x:c>
    </x:row>
    <x:row r="274" ht="19" customHeight="1">
      <x:c r="A274" s="19" t="str">
        <x:v>C05-M027</x:v>
      </x:c>
      <x:c r="B274" s="19" t="str">
        <x:v>封印粉笔灵</x:v>
      </x:c>
      <x:c r="C274" s="19" t="n">
        <x:v>5</x:v>
      </x:c>
      <x:c r="D274" s="19" t="n">
        <x:v>3</x:v>
      </x:c>
      <x:c r="E274" s="19" t="str">
        <x:v>普通</x:v>
      </x:c>
      <x:c r="F274" s="34" t="n">
        <x:v>3.9987679719510885</x:v>
      </x:c>
      <x:c r="G274" s="19" t="n">
        <x:v>12</x:v>
      </x:c>
      <x:c r="H274" s="19" t="n">
        <x:v>600</x:v>
      </x:c>
      <x:c r="I274" s="24" t="n">
        <x:f>G274*3600/H274</x:f>
        <x:v>72</x:v>
      </x:c>
      <x:c r="J274" s="24" t="n">
        <x:v>72</x:v>
      </x:c>
      <x:c r="K274" s="19" t="str">
        <x:v>P0159</x:v>
      </x:c>
    </x:row>
    <x:row r="275" ht="19" customHeight="1">
      <x:c r="A275" s="19" t="str">
        <x:v>C05-M028</x:v>
      </x:c>
      <x:c r="B275" s="19" t="str">
        <x:v>讲堂缄咒像</x:v>
      </x:c>
      <x:c r="C275" s="19" t="n">
        <x:v>5</x:v>
      </x:c>
      <x:c r="D275" s="19" t="n">
        <x:v>3</x:v>
      </x:c>
      <x:c r="E275" s="19" t="str">
        <x:v>普通</x:v>
      </x:c>
      <x:c r="F275" s="34" t="n">
        <x:v>4.398644769146197</x:v>
      </x:c>
      <x:c r="G275" s="19" t="n">
        <x:v>12</x:v>
      </x:c>
      <x:c r="H275" s="19" t="n">
        <x:v>600</x:v>
      </x:c>
      <x:c r="I275" s="24" t="n">
        <x:f>G275*3600/H275</x:f>
        <x:v>72</x:v>
      </x:c>
      <x:c r="J275" s="24" t="n">
        <x:v>72</x:v>
      </x:c>
      <x:c r="K275" s="19" t="str">
        <x:v>P0159</x:v>
      </x:c>
    </x:row>
    <x:row r="276" ht="19" customHeight="1">
      <x:c r="A276" s="19" t="str">
        <x:v>C05-M029</x:v>
      </x:c>
      <x:c r="B276" s="19" t="str">
        <x:v>密室卷轴蠹</x:v>
      </x:c>
      <x:c r="C276" s="19" t="n">
        <x:v>5</x:v>
      </x:c>
      <x:c r="D276" s="19" t="n">
        <x:v>3</x:v>
      </x:c>
      <x:c r="E276" s="19" t="str">
        <x:v>普通</x:v>
      </x:c>
      <x:c r="F276" s="34" t="n">
        <x:v>4.93181383207301</x:v>
      </x:c>
      <x:c r="G276" s="19" t="n">
        <x:v>12</x:v>
      </x:c>
      <x:c r="H276" s="19" t="n">
        <x:v>600</x:v>
      </x:c>
      <x:c r="I276" s="24" t="n">
        <x:f>G276*3600/H276</x:f>
        <x:v>72</x:v>
      </x:c>
      <x:c r="J276" s="24" t="n">
        <x:v>72</x:v>
      </x:c>
      <x:c r="K276" s="19" t="str">
        <x:v>P0159</x:v>
      </x:c>
    </x:row>
    <x:row r="277" ht="19" customHeight="1">
      <x:c r="A277" s="19" t="str">
        <x:v>C05-M030</x:v>
      </x:c>
      <x:c r="B277" s="19" t="str">
        <x:v>学院锁页卫</x:v>
      </x:c>
      <x:c r="C277" s="19" t="n">
        <x:v>5</x:v>
      </x:c>
      <x:c r="D277" s="19" t="n">
        <x:v>3</x:v>
      </x:c>
      <x:c r="E277" s="19" t="str">
        <x:v>普通</x:v>
      </x:c>
      <x:c r="F277" s="34" t="n">
        <x:v>4.398644769146197</x:v>
      </x:c>
      <x:c r="G277" s="19" t="n">
        <x:v>12</x:v>
      </x:c>
      <x:c r="H277" s="19" t="n">
        <x:v>600</x:v>
      </x:c>
      <x:c r="I277" s="24" t="n">
        <x:f>G277*3600/H277</x:f>
        <x:v>72</x:v>
      </x:c>
      <x:c r="J277" s="24" t="n">
        <x:v>72</x:v>
      </x:c>
      <x:c r="K277" s="19" t="str">
        <x:v>P0159</x:v>
      </x:c>
    </x:row>
    <x:row r="278" ht="19" customHeight="1">
      <x:c r="A278" s="19" t="str">
        <x:v>C05-M031</x:v>
      </x:c>
      <x:c r="B278" s="19" t="str">
        <x:v>银规巡课官</x:v>
      </x:c>
      <x:c r="C278" s="19" t="n">
        <x:v>5</x:v>
      </x:c>
      <x:c r="D278" s="19" t="n">
        <x:v>3</x:v>
      </x:c>
      <x:c r="E278" s="19" t="str">
        <x:v>稀有</x:v>
      </x:c>
      <x:c r="F278" s="34" t="n">
        <x:v>13.336442511905062</x:v>
      </x:c>
      <x:c r="G278" s="19" t="n">
        <x:v>2</x:v>
      </x:c>
      <x:c r="H278" s="19" t="n">
        <x:v>600</x:v>
      </x:c>
      <x:c r="I278" s="24" t="n">
        <x:f>G278*3600/H278</x:f>
        <x:v>12</x:v>
      </x:c>
      <x:c r="J278" s="24" t="n">
        <x:v>12</x:v>
      </x:c>
      <x:c r="K278" s="19" t="str">
        <x:v>P0159</x:v>
      </x:c>
    </x:row>
    <x:row r="279" ht="19" customHeight="1">
      <x:c r="A279" s="19" t="str">
        <x:v>C05-M032</x:v>
      </x:c>
      <x:c r="B279" s="19" t="str">
        <x:v>封讲禁声师</x:v>
      </x:c>
      <x:c r="C279" s="19" t="n">
        <x:v>5</x:v>
      </x:c>
      <x:c r="D279" s="19" t="n">
        <x:v>3</x:v>
      </x:c>
      <x:c r="E279" s="19" t="str">
        <x:v>稀有</x:v>
      </x:c>
      <x:c r="F279" s="34" t="n">
        <x:v>12.627057271910113</x:v>
      </x:c>
      <x:c r="G279" s="19" t="n">
        <x:v>2</x:v>
      </x:c>
      <x:c r="H279" s="19" t="n">
        <x:v>600</x:v>
      </x:c>
      <x:c r="I279" s="24" t="n">
        <x:f>G279*3600/H279</x:f>
        <x:v>12</x:v>
      </x:c>
      <x:c r="J279" s="24" t="n">
        <x:v>12</x:v>
      </x:c>
      <x:c r="K279" s="19" t="str">
        <x:v>P0159</x:v>
      </x:c>
    </x:row>
    <x:row r="280" ht="19" customHeight="1">
      <x:c r="A280" s="19" t="str">
        <x:v>C05-M033</x:v>
      </x:c>
      <x:c r="B280" s="19" t="str">
        <x:v>密室倒书客</x:v>
      </x:c>
      <x:c r="C280" s="19" t="n">
        <x:v>5</x:v>
      </x:c>
      <x:c r="D280" s="19" t="n">
        <x:v>3</x:v>
      </x:c>
      <x:c r="E280" s="19" t="str">
        <x:v>稀有</x:v>
      </x:c>
      <x:c r="F280" s="34" t="n">
        <x:v>14.187704799899004</x:v>
      </x:c>
      <x:c r="G280" s="19" t="n">
        <x:v>2</x:v>
      </x:c>
      <x:c r="H280" s="19" t="n">
        <x:v>600</x:v>
      </x:c>
      <x:c r="I280" s="24" t="n">
        <x:f>G280*3600/H280</x:f>
        <x:v>12</x:v>
      </x:c>
      <x:c r="J280" s="24" t="n">
        <x:v>11.418337376257872</x:v>
      </x:c>
      <x:c r="K280" s="19" t="str">
        <x:v>P0159</x:v>
      </x:c>
    </x:row>
    <x:row r="281" ht="19" customHeight="1">
      <x:c r="A281" s="19" t="str">
        <x:v>C05-M034</x:v>
      </x:c>
      <x:c r="B281" s="19" t="str">
        <x:v>星墨活页兽</x:v>
      </x:c>
      <x:c r="C281" s="19" t="n">
        <x:v>5</x:v>
      </x:c>
      <x:c r="D281" s="19" t="n">
        <x:v>3</x:v>
      </x:c>
      <x:c r="E281" s="19" t="str">
        <x:v>稀有</x:v>
      </x:c>
      <x:c r="F281" s="34" t="n">
        <x:v>11.917672031915163</x:v>
      </x:c>
      <x:c r="G281" s="19" t="n">
        <x:v>2</x:v>
      </x:c>
      <x:c r="H281" s="19" t="n">
        <x:v>600</x:v>
      </x:c>
      <x:c r="I281" s="24" t="n">
        <x:f>G281*3600/H281</x:f>
        <x:v>12</x:v>
      </x:c>
      <x:c r="J281" s="24" t="n">
        <x:v>12</x:v>
      </x:c>
      <x:c r="K281" s="19" t="str">
        <x:v>P0159</x:v>
      </x:c>
    </x:row>
    <x:row r="282" ht="19" customHeight="1">
      <x:c r="A282" s="19" t="str">
        <x:v>C05-M035</x:v>
      </x:c>
      <x:c r="B282" s="19" t="str">
        <x:v>七印讲堂监</x:v>
      </x:c>
      <x:c r="C282" s="19" t="n">
        <x:v>5</x:v>
      </x:c>
      <x:c r="D282" s="19" t="n">
        <x:v>3</x:v>
      </x:c>
      <x:c r="E282" s="19" t="str">
        <x:v>地图BOSS</x:v>
      </x:c>
      <x:c r="F282" s="34" t="n">
        <x:v>71.20155093530431</x:v>
      </x:c>
      <x:c r="G282" s="19" t="n">
        <x:v>1</x:v>
      </x:c>
      <x:c r="H282" s="19" t="n">
        <x:v>1800</x:v>
      </x:c>
      <x:c r="I282" s="24" t="n">
        <x:f>G282*3600/H282</x:f>
        <x:v>2</x:v>
      </x:c>
      <x:c r="J282" s="24" t="n">
        <x:v>2</x:v>
      </x:c>
      <x:c r="K282" s="19" t="str">
        <x:v>P0159</x:v>
      </x:c>
    </x:row>
    <x:row r="283" ht="19" customHeight="1">
      <x:c r="A283" s="19" t="str">
        <x:v>C05-M036</x:v>
      </x:c>
      <x:c r="B283" s="19" t="str">
        <x:v>逆页密室导师</x:v>
      </x:c>
      <x:c r="C283" s="19" t="n">
        <x:v>5</x:v>
      </x:c>
      <x:c r="D283" s="19" t="n">
        <x:v>3</x:v>
      </x:c>
      <x:c r="E283" s="19" t="str">
        <x:v>地图BOSS</x:v>
      </x:c>
      <x:c r="F283" s="34" t="n">
        <x:v>75.29359409250571</x:v>
      </x:c>
      <x:c r="G283" s="19" t="n">
        <x:v>1</x:v>
      </x:c>
      <x:c r="H283" s="19" t="n">
        <x:v>1800</x:v>
      </x:c>
      <x:c r="I283" s="24" t="n">
        <x:f>G283*3600/H283</x:f>
        <x:v>2</x:v>
      </x:c>
      <x:c r="J283" s="24" t="n">
        <x:v>2</x:v>
      </x:c>
      <x:c r="K283" s="19" t="str">
        <x:v>P0159</x:v>
      </x:c>
    </x:row>
    <x:row r="284" ht="19" customHeight="1">
      <x:c r="A284" s="19" t="str">
        <x:v>C05-M037</x:v>
      </x:c>
      <x:c r="B284" s="19" t="str">
        <x:v>月尘理卷童</x:v>
      </x:c>
      <x:c r="C284" s="19" t="n">
        <x:v>5</x:v>
      </x:c>
      <x:c r="D284" s="19" t="n">
        <x:v>4</x:v>
      </x:c>
      <x:c r="E284" s="19" t="str">
        <x:v>普通</x:v>
      </x:c>
      <x:c r="F284" s="34" t="n">
        <x:v>3.9821331445141177</x:v>
      </x:c>
      <x:c r="G284" s="19" t="n">
        <x:v>12</x:v>
      </x:c>
      <x:c r="H284" s="19" t="n">
        <x:v>600</x:v>
      </x:c>
      <x:c r="I284" s="24" t="n">
        <x:f>G284*3600/H284</x:f>
        <x:v>72</x:v>
      </x:c>
      <x:c r="J284" s="24" t="n">
        <x:v>72</x:v>
      </x:c>
      <x:c r="K284" s="19" t="str">
        <x:v>P0165</x:v>
      </x:c>
    </x:row>
    <x:row r="285" ht="19" customHeight="1">
      <x:c r="A285" s="19" t="str">
        <x:v>C05-M038</x:v>
      </x:c>
      <x:c r="B285" s="19" t="str">
        <x:v>银页栖书鸦</x:v>
      </x:c>
      <x:c r="C285" s="19" t="n">
        <x:v>5</x:v>
      </x:c>
      <x:c r="D285" s="19" t="n">
        <x:v>4</x:v>
      </x:c>
      <x:c r="E285" s="19" t="str">
        <x:v>普通</x:v>
      </x:c>
      <x:c r="F285" s="34" t="n">
        <x:v>5.1435886449974015</x:v>
      </x:c>
      <x:c r="G285" s="19" t="n">
        <x:v>12</x:v>
      </x:c>
      <x:c r="H285" s="19" t="n">
        <x:v>600</x:v>
      </x:c>
      <x:c r="I285" s="24" t="n">
        <x:f>G285*3600/H285</x:f>
        <x:v>72</x:v>
      </x:c>
      <x:c r="J285" s="24" t="n">
        <x:v>72</x:v>
      </x:c>
      <x:c r="K285" s="19" t="str">
        <x:v>P0165</x:v>
      </x:c>
    </x:row>
    <x:row r="286" ht="19" customHeight="1">
      <x:c r="A286" s="19" t="str">
        <x:v>C05-M039</x:v>
      </x:c>
      <x:c r="B286" s="19" t="str">
        <x:v>禁书噤语灯</x:v>
      </x:c>
      <x:c r="C286" s="19" t="n">
        <x:v>5</x:v>
      </x:c>
      <x:c r="D286" s="19" t="n">
        <x:v>4</x:v>
      </x:c>
      <x:c r="E286" s="19" t="str">
        <x:v>普通</x:v>
      </x:c>
      <x:c r="F286" s="34" t="n">
        <x:v>5.1435886449974015</x:v>
      </x:c>
      <x:c r="G286" s="19" t="n">
        <x:v>12</x:v>
      </x:c>
      <x:c r="H286" s="19" t="n">
        <x:v>600</x:v>
      </x:c>
      <x:c r="I286" s="24" t="n">
        <x:f>G286*3600/H286</x:f>
        <x:v>72</x:v>
      </x:c>
      <x:c r="J286" s="24" t="n">
        <x:v>72</x:v>
      </x:c>
      <x:c r="K286" s="19" t="str">
        <x:v>P0165</x:v>
      </x:c>
    </x:row>
    <x:row r="287" ht="19" customHeight="1">
      <x:c r="A287" s="19" t="str">
        <x:v>C05-M040</x:v>
      </x:c>
      <x:c r="B287" s="19" t="str">
        <x:v>回廊巡卷傀</x:v>
      </x:c>
      <x:c r="C287" s="19" t="n">
        <x:v>5</x:v>
      </x:c>
      <x:c r="D287" s="19" t="n">
        <x:v>4</x:v>
      </x:c>
      <x:c r="E287" s="19" t="str">
        <x:v>普通</x:v>
      </x:c>
      <x:c r="F287" s="34" t="n">
        <x:v>4.479899787578383</x:v>
      </x:c>
      <x:c r="G287" s="19" t="n">
        <x:v>12</x:v>
      </x:c>
      <x:c r="H287" s="19" t="n">
        <x:v>600</x:v>
      </x:c>
      <x:c r="I287" s="24" t="n">
        <x:f>G287*3600/H287</x:f>
        <x:v>72</x:v>
      </x:c>
      <x:c r="J287" s="24" t="n">
        <x:v>72</x:v>
      </x:c>
      <x:c r="K287" s="19" t="str">
        <x:v>P0165</x:v>
      </x:c>
    </x:row>
    <x:row r="288" ht="19" customHeight="1">
      <x:c r="A288" s="19" t="str">
        <x:v>C05-M041</x:v>
      </x:c>
      <x:c r="B288" s="19" t="str">
        <x:v>藏书室墨潮蛭</x:v>
      </x:c>
      <x:c r="C288" s="19" t="n">
        <x:v>5</x:v>
      </x:c>
      <x:c r="D288" s="19" t="n">
        <x:v>4</x:v>
      </x:c>
      <x:c r="E288" s="19" t="str">
        <x:v>普通</x:v>
      </x:c>
      <x:c r="F288" s="34" t="n">
        <x:v>4.23101646604625</x:v>
      </x:c>
      <x:c r="G288" s="19" t="n">
        <x:v>12</x:v>
      </x:c>
      <x:c r="H288" s="19" t="n">
        <x:v>600</x:v>
      </x:c>
      <x:c r="I288" s="24" t="n">
        <x:f>G288*3600/H288</x:f>
        <x:v>72</x:v>
      </x:c>
      <x:c r="J288" s="24" t="n">
        <x:v>72</x:v>
      </x:c>
      <x:c r="K288" s="19" t="str">
        <x:v>P0165</x:v>
      </x:c>
    </x:row>
    <x:row r="289" ht="19" customHeight="1">
      <x:c r="A289" s="19" t="str">
        <x:v>C05-M042</x:v>
      </x:c>
      <x:c r="B289" s="19" t="str">
        <x:v>满月夹页灵</x:v>
      </x:c>
      <x:c r="C289" s="19" t="n">
        <x:v>5</x:v>
      </x:c>
      <x:c r="D289" s="19" t="n">
        <x:v>4</x:v>
      </x:c>
      <x:c r="E289" s="19" t="str">
        <x:v>普通</x:v>
      </x:c>
      <x:c r="F289" s="34" t="n">
        <x:v>4.89470532346527</x:v>
      </x:c>
      <x:c r="G289" s="19" t="n">
        <x:v>12</x:v>
      </x:c>
      <x:c r="H289" s="19" t="n">
        <x:v>600</x:v>
      </x:c>
      <x:c r="I289" s="24" t="n">
        <x:f>G289*3600/H289</x:f>
        <x:v>72</x:v>
      </x:c>
      <x:c r="J289" s="24" t="n">
        <x:v>72</x:v>
      </x:c>
      <x:c r="K289" s="19" t="str">
        <x:v>P0165</x:v>
      </x:c>
    </x:row>
    <x:row r="290" ht="19" customHeight="1">
      <x:c r="A290" s="19" t="str">
        <x:v>C05-M043</x:v>
      </x:c>
      <x:c r="B290" s="19" t="str">
        <x:v>月相编目师</x:v>
      </x:c>
      <x:c r="C290" s="19" t="n">
        <x:v>5</x:v>
      </x:c>
      <x:c r="D290" s="19" t="n">
        <x:v>4</x:v>
      </x:c>
      <x:c r="E290" s="19" t="str">
        <x:v>稀有</x:v>
      </x:c>
      <x:c r="F290" s="34" t="n">
        <x:v>15.059781064225533</x:v>
      </x:c>
      <x:c r="G290" s="19" t="n">
        <x:v>2</x:v>
      </x:c>
      <x:c r="H290" s="19" t="n">
        <x:v>600</x:v>
      </x:c>
      <x:c r="I290" s="24" t="n">
        <x:f>G290*3600/H290</x:f>
        <x:v>12</x:v>
      </x:c>
      <x:c r="J290" s="24" t="n">
        <x:v>10.757128494041028</x:v>
      </x:c>
      <x:c r="K290" s="19" t="str">
        <x:v>P0165</x:v>
      </x:c>
    </x:row>
    <x:row r="291" ht="19" customHeight="1">
      <x:c r="A291" s="19" t="str">
        <x:v>C05-M044</x:v>
      </x:c>
      <x:c r="B291" s="19" t="str">
        <x:v>禁页蚀字兽</x:v>
      </x:c>
      <x:c r="C291" s="19" t="n">
        <x:v>5</x:v>
      </x:c>
      <x:c r="D291" s="19" t="n">
        <x:v>4</x:v>
      </x:c>
      <x:c r="E291" s="19" t="str">
        <x:v>稀有</x:v>
      </x:c>
      <x:c r="F291" s="34" t="n">
        <x:v>15.059781064225533</x:v>
      </x:c>
      <x:c r="G291" s="19" t="n">
        <x:v>2</x:v>
      </x:c>
      <x:c r="H291" s="19" t="n">
        <x:v>600</x:v>
      </x:c>
      <x:c r="I291" s="24" t="n">
        <x:f>G291*3600/H291</x:f>
        <x:v>12</x:v>
      </x:c>
      <x:c r="J291" s="24" t="n">
        <x:v>10.757128494041028</x:v>
      </x:c>
      <x:c r="K291" s="19" t="str">
        <x:v>P0165</x:v>
      </x:c>
    </x:row>
    <x:row r="292" ht="19" customHeight="1">
      <x:c r="A292" s="19" t="str">
        <x:v>C05-M045</x:v>
      </x:c>
      <x:c r="B292" s="19" t="str">
        <x:v>藏卷沉思者</x:v>
      </x:c>
      <x:c r="C292" s="19" t="n">
        <x:v>5</x:v>
      </x:c>
      <x:c r="D292" s="19" t="n">
        <x:v>4</x:v>
      </x:c>
      <x:c r="E292" s="19" t="str">
        <x:v>稀有</x:v>
      </x:c>
      <x:c r="F292" s="34" t="n">
        <x:v>15.059781064225533</x:v>
      </x:c>
      <x:c r="G292" s="19" t="n">
        <x:v>2</x:v>
      </x:c>
      <x:c r="H292" s="19" t="n">
        <x:v>600</x:v>
      </x:c>
      <x:c r="I292" s="24" t="n">
        <x:f>G292*3600/H292</x:f>
        <x:v>12</x:v>
      </x:c>
      <x:c r="J292" s="24" t="n">
        <x:v>10.757128494041028</x:v>
      </x:c>
      <x:c r="K292" s="19" t="str">
        <x:v>P0165</x:v>
      </x:c>
    </x:row>
    <x:row r="293" ht="19" customHeight="1">
      <x:c r="A293" s="19" t="str">
        <x:v>C05-M046</x:v>
      </x:c>
      <x:c r="B293" s="19" t="str">
        <x:v>银书长尾猫</x:v>
      </x:c>
      <x:c r="C293" s="19" t="n">
        <x:v>5</x:v>
      </x:c>
      <x:c r="D293" s="19" t="n">
        <x:v>4</x:v>
      </x:c>
      <x:c r="E293" s="19" t="str">
        <x:v>稀有</x:v>
      </x:c>
      <x:c r="F293" s="34" t="n">
        <x:v>15.059781064225533</x:v>
      </x:c>
      <x:c r="G293" s="19" t="n">
        <x:v>2</x:v>
      </x:c>
      <x:c r="H293" s="19" t="n">
        <x:v>600</x:v>
      </x:c>
      <x:c r="I293" s="24" t="n">
        <x:f>G293*3600/H293</x:f>
        <x:v>12</x:v>
      </x:c>
      <x:c r="J293" s="24" t="n">
        <x:v>10.757128494041028</x:v>
      </x:c>
      <x:c r="K293" s="19" t="str">
        <x:v>P0165</x:v>
      </x:c>
    </x:row>
    <x:row r="294" ht="19" customHeight="1">
      <x:c r="A294" s="19" t="str">
        <x:v>C05-M047</x:v>
      </x:c>
      <x:c r="B294" s="19" t="str">
        <x:v>无声禁典司</x:v>
      </x:c>
      <x:c r="C294" s="19" t="n">
        <x:v>5</x:v>
      </x:c>
      <x:c r="D294" s="19" t="n">
        <x:v>4</x:v>
      </x:c>
      <x:c r="E294" s="19" t="str">
        <x:v>地图BOSS</x:v>
      </x:c>
      <x:c r="F294" s="34" t="n">
        <x:v>88.92831850963297</x:v>
      </x:c>
      <x:c r="G294" s="19" t="n">
        <x:v>1</x:v>
      </x:c>
      <x:c r="H294" s="19" t="n">
        <x:v>1800</x:v>
      </x:c>
      <x:c r="I294" s="24" t="n">
        <x:f>G294*3600/H294</x:f>
        <x:v>2</x:v>
      </x:c>
      <x:c r="J294" s="24" t="n">
        <x:v>2</x:v>
      </x:c>
      <x:c r="K294" s="19" t="str">
        <x:v>P0165</x:v>
      </x:c>
    </x:row>
    <x:row r="295" ht="19" customHeight="1">
      <x:c r="A295" s="19" t="str">
        <x:v>C05-M048</x:v>
      </x:c>
      <x:c r="B295" s="19" t="str">
        <x:v>满月万卷君</x:v>
      </x:c>
      <x:c r="C295" s="19" t="n">
        <x:v>5</x:v>
      </x:c>
      <x:c r="D295" s="19" t="n">
        <x:v>4</x:v>
      </x:c>
      <x:c r="E295" s="19" t="str">
        <x:v>地图BOSS</x:v>
      </x:c>
      <x:c r="F295" s="34" t="n">
        <x:v>71.14265480770638</x:v>
      </x:c>
      <x:c r="G295" s="19" t="n">
        <x:v>1</x:v>
      </x:c>
      <x:c r="H295" s="19" t="n">
        <x:v>1800</x:v>
      </x:c>
      <x:c r="I295" s="24" t="n">
        <x:f>G295*3600/H295</x:f>
        <x:v>2</x:v>
      </x:c>
      <x:c r="J295" s="24" t="n">
        <x:v>2</x:v>
      </x:c>
      <x:c r="K295" s="19" t="str">
        <x:v>P0165</x:v>
      </x:c>
    </x:row>
    <x:row r="296" ht="19" customHeight="1">
      <x:c r="A296" s="19" t="str">
        <x:v>C05-M049</x:v>
      </x:c>
      <x:c r="B296" s="19" t="str">
        <x:v>月影鳞侍</x:v>
      </x:c>
      <x:c r="C296" s="19" t="n">
        <x:v>5</x:v>
      </x:c>
      <x:c r="D296" s="19" t="n">
        <x:v>5</x:v>
      </x:c>
      <x:c r="E296" s="19" t="str">
        <x:v>普通</x:v>
      </x:c>
      <x:c r="F296" s="34" t="n">
        <x:v>4.853910477522101</x:v>
      </x:c>
      <x:c r="G296" s="19" t="n">
        <x:v>12</x:v>
      </x:c>
      <x:c r="H296" s="19" t="n">
        <x:v>600</x:v>
      </x:c>
      <x:c r="I296" s="24" t="n">
        <x:f>G296*3600/H296</x:f>
        <x:v>72</x:v>
      </x:c>
      <x:c r="J296" s="24" t="n">
        <x:v>72</x:v>
      </x:c>
      <x:c r="K296" s="19" t="str">
        <x:v>P0171</x:v>
      </x:c>
    </x:row>
    <x:row r="297" ht="19" customHeight="1">
      <x:c r="A297" s="19" t="str">
        <x:v>C05-M050</x:v>
      </x:c>
      <x:c r="B297" s="19" t="str">
        <x:v>水宫涡纹螺</x:v>
      </x:c>
      <x:c r="C297" s="19" t="n">
        <x:v>5</x:v>
      </x:c>
      <x:c r="D297" s="19" t="n">
        <x:v>5</x:v>
      </x:c>
      <x:c r="E297" s="19" t="str">
        <x:v>普通</x:v>
      </x:c>
      <x:c r="F297" s="34" t="n">
        <x:v>5.1235721707177735</x:v>
      </x:c>
      <x:c r="G297" s="19" t="n">
        <x:v>12</x:v>
      </x:c>
      <x:c r="H297" s="19" t="n">
        <x:v>600</x:v>
      </x:c>
      <x:c r="I297" s="24" t="n">
        <x:f>G297*3600/H297</x:f>
        <x:v>72</x:v>
      </x:c>
      <x:c r="J297" s="24" t="n">
        <x:v>72</x:v>
      </x:c>
      <x:c r="K297" s="19" t="str">
        <x:v>P0171</x:v>
      </x:c>
    </x:row>
    <x:row r="298" ht="19" customHeight="1">
      <x:c r="A298" s="19" t="str">
        <x:v>C05-M051</x:v>
      </x:c>
      <x:c r="B298" s="19" t="str">
        <x:v>月华执扇女使</x:v>
      </x:c>
      <x:c r="C298" s="19" t="n">
        <x:v>5</x:v>
      </x:c>
      <x:c r="D298" s="19" t="n">
        <x:v>5</x:v>
      </x:c>
      <x:c r="E298" s="19" t="str">
        <x:v>普通</x:v>
      </x:c>
      <x:c r="F298" s="34" t="n">
        <x:v>4.2471716678318385</x:v>
      </x:c>
      <x:c r="G298" s="19" t="n">
        <x:v>12</x:v>
      </x:c>
      <x:c r="H298" s="19" t="n">
        <x:v>600</x:v>
      </x:c>
      <x:c r="I298" s="24" t="n">
        <x:f>G298*3600/H298</x:f>
        <x:v>72</x:v>
      </x:c>
      <x:c r="J298" s="24" t="n">
        <x:v>72</x:v>
      </x:c>
      <x:c r="K298" s="19" t="str">
        <x:v>P0171</x:v>
      </x:c>
    </x:row>
    <x:row r="299" ht="19" customHeight="1">
      <x:c r="A299" s="19" t="str">
        <x:v>C05-M052</x:v>
      </x:c>
      <x:c r="B299" s="19" t="str">
        <x:v>内殿浮光鲛兵</x:v>
      </x:c>
      <x:c r="C299" s="19" t="n">
        <x:v>5</x:v>
      </x:c>
      <x:c r="D299" s="19" t="n">
        <x:v>5</x:v>
      </x:c>
      <x:c r="E299" s="19" t="str">
        <x:v>普通</x:v>
      </x:c>
      <x:c r="F299" s="34" t="n">
        <x:v>4.853910477522101</x:v>
      </x:c>
      <x:c r="G299" s="19" t="n">
        <x:v>12</x:v>
      </x:c>
      <x:c r="H299" s="19" t="n">
        <x:v>600</x:v>
      </x:c>
      <x:c r="I299" s="24" t="n">
        <x:f>G299*3600/H299</x:f>
        <x:v>72</x:v>
      </x:c>
      <x:c r="J299" s="24" t="n">
        <x:v>72</x:v>
      </x:c>
      <x:c r="K299" s="19" t="str">
        <x:v>P0171</x:v>
      </x:c>
    </x:row>
    <x:row r="300" ht="19" customHeight="1">
      <x:c r="A300" s="19" t="str">
        <x:v>C05-M053</x:v>
      </x:c>
      <x:c r="B300" s="19" t="str">
        <x:v>圣殿澄潮祭从</x:v>
      </x:c>
      <x:c r="C300" s="19" t="n">
        <x:v>5</x:v>
      </x:c>
      <x:c r="D300" s="19" t="n">
        <x:v>5</x:v>
      </x:c>
      <x:c r="E300" s="19" t="str">
        <x:v>普通</x:v>
      </x:c>
      <x:c r="F300" s="34" t="n">
        <x:v>4.449417937728593</x:v>
      </x:c>
      <x:c r="G300" s="19" t="n">
        <x:v>12</x:v>
      </x:c>
      <x:c r="H300" s="19" t="n">
        <x:v>600</x:v>
      </x:c>
      <x:c r="I300" s="24" t="n">
        <x:f>G300*3600/H300</x:f>
        <x:v>72</x:v>
      </x:c>
      <x:c r="J300" s="24" t="n">
        <x:v>72</x:v>
      </x:c>
      <x:c r="K300" s="19" t="str">
        <x:v>P0171</x:v>
      </x:c>
    </x:row>
    <x:row r="301" ht="19" customHeight="1">
      <x:c r="A301" s="19" t="str">
        <x:v>C05-M054</x:v>
      </x:c>
      <x:c r="B301" s="19" t="str">
        <x:v>月镜游鱼灵</x:v>
      </x:c>
      <x:c r="C301" s="19" t="n">
        <x:v>5</x:v>
      </x:c>
      <x:c r="D301" s="19" t="n">
        <x:v>5</x:v>
      </x:c>
      <x:c r="E301" s="19" t="str">
        <x:v>普通</x:v>
      </x:c>
      <x:c r="F301" s="34" t="n">
        <x:v>3.9775099746361664</x:v>
      </x:c>
      <x:c r="G301" s="19" t="n">
        <x:v>12</x:v>
      </x:c>
      <x:c r="H301" s="19" t="n">
        <x:v>600</x:v>
      </x:c>
      <x:c r="I301" s="24" t="n">
        <x:f>G301*3600/H301</x:f>
        <x:v>72</x:v>
      </x:c>
      <x:c r="J301" s="24" t="n">
        <x:v>72</x:v>
      </x:c>
      <x:c r="K301" s="19" t="str">
        <x:v>P0171</x:v>
      </x:c>
    </x:row>
    <x:row r="302" ht="19" customHeight="1">
      <x:c r="A302" s="19" t="str">
        <x:v>C05-M055</x:v>
      </x:c>
      <x:c r="B302" s="19" t="str">
        <x:v>影潮伏宫兽</x:v>
      </x:c>
      <x:c r="C302" s="19" t="n">
        <x:v>5</x:v>
      </x:c>
      <x:c r="D302" s="19" t="n">
        <x:v>5</x:v>
      </x:c>
      <x:c r="E302" s="19" t="str">
        <x:v>稀有</x:v>
      </x:c>
      <x:c r="F302" s="34" t="n">
        <x:v>12.270054013543973</x:v>
      </x:c>
      <x:c r="G302" s="19" t="n">
        <x:v>2</x:v>
      </x:c>
      <x:c r="H302" s="19" t="n">
        <x:v>600</x:v>
      </x:c>
      <x:c r="I302" s="24" t="n">
        <x:f>G302*3600/H302</x:f>
        <x:v>12</x:v>
      </x:c>
      <x:c r="J302" s="24" t="n">
        <x:v>12</x:v>
      </x:c>
      <x:c r="K302" s="19" t="str">
        <x:v>P0171</x:v>
      </x:c>
    </x:row>
    <x:row r="303" ht="19" customHeight="1">
      <x:c r="A303" s="19" t="str">
        <x:v>C05-M056</x:v>
      </x:c>
      <x:c r="B303" s="19" t="str">
        <x:v>月华凝霜乐师</x:v>
      </x:c>
      <x:c r="C303" s="19" t="n">
        <x:v>5</x:v>
      </x:c>
      <x:c r="D303" s="19" t="n">
        <x:v>5</x:v>
      </x:c>
      <x:c r="E303" s="19" t="str">
        <x:v>稀有</x:v>
      </x:c>
      <x:c r="F303" s="34" t="n">
        <x:v>12.270054013543973</x:v>
      </x:c>
      <x:c r="G303" s="19" t="n">
        <x:v>2</x:v>
      </x:c>
      <x:c r="H303" s="19" t="n">
        <x:v>600</x:v>
      </x:c>
      <x:c r="I303" s="24" t="n">
        <x:f>G303*3600/H303</x:f>
        <x:v>12</x:v>
      </x:c>
      <x:c r="J303" s="24" t="n">
        <x:v>12</x:v>
      </x:c>
      <x:c r="K303" s="19" t="str">
        <x:v>P0171</x:v>
      </x:c>
    </x:row>
    <x:row r="304" ht="19" customHeight="1">
      <x:c r="A304" s="19" t="str">
        <x:v>C05-M057</x:v>
      </x:c>
      <x:c r="B304" s="19" t="str">
        <x:v>圣殿悬月卫</x:v>
      </x:c>
      <x:c r="C304" s="19" t="n">
        <x:v>5</x:v>
      </x:c>
      <x:c r="D304" s="19" t="n">
        <x:v>5</x:v>
      </x:c>
      <x:c r="E304" s="19" t="str">
        <x:v>稀有</x:v>
      </x:c>
      <x:c r="F304" s="34" t="n">
        <x:v>15.157125546142554</x:v>
      </x:c>
      <x:c r="G304" s="19" t="n">
        <x:v>2</x:v>
      </x:c>
      <x:c r="H304" s="19" t="n">
        <x:v>600</x:v>
      </x:c>
      <x:c r="I304" s="24" t="n">
        <x:f>G304*3600/H304</x:f>
        <x:v>12</x:v>
      </x:c>
      <x:c r="J304" s="24" t="n">
        <x:v>10.688042367058742</x:v>
      </x:c>
      <x:c r="K304" s="19" t="str">
        <x:v>P0171</x:v>
      </x:c>
    </x:row>
    <x:row r="305" ht="19" customHeight="1">
      <x:c r="A305" s="19" t="str">
        <x:v>C05-M058</x:v>
      </x:c>
      <x:c r="B305" s="19" t="str">
        <x:v>琉潮白鳍巫</x:v>
      </x:c>
      <x:c r="C305" s="19" t="n">
        <x:v>5</x:v>
      </x:c>
      <x:c r="D305" s="19" t="n">
        <x:v>5</x:v>
      </x:c>
      <x:c r="E305" s="19" t="str">
        <x:v>稀有</x:v>
      </x:c>
      <x:c r="F305" s="34" t="n">
        <x:v>15.157125546142554</x:v>
      </x:c>
      <x:c r="G305" s="19" t="n">
        <x:v>2</x:v>
      </x:c>
      <x:c r="H305" s="19" t="n">
        <x:v>600</x:v>
      </x:c>
      <x:c r="I305" s="24" t="n">
        <x:f>G305*3600/H305</x:f>
        <x:v>12</x:v>
      </x:c>
      <x:c r="J305" s="24" t="n">
        <x:v>10.688042367058742</x:v>
      </x:c>
      <x:c r="K305" s="19" t="str">
        <x:v>P0171</x:v>
      </x:c>
    </x:row>
    <x:row r="306" ht="19" customHeight="1">
      <x:c r="A306" s="19" t="str">
        <x:v>C05-M059</x:v>
      </x:c>
      <x:c r="B306" s="19" t="str">
        <x:v>月华内殿掌灯君</x:v>
      </x:c>
      <x:c r="C306" s="19" t="n">
        <x:v>5</x:v>
      </x:c>
      <x:c r="D306" s="19" t="n">
        <x:v>5</x:v>
      </x:c>
      <x:c r="E306" s="19" t="str">
        <x:v>地图BOSS</x:v>
      </x:c>
      <x:c r="F306" s="34" t="n">
        <x:v>71.00850253248393</x:v>
      </x:c>
      <x:c r="G306" s="19" t="n">
        <x:v>1</x:v>
      </x:c>
      <x:c r="H306" s="19" t="n">
        <x:v>1800</x:v>
      </x:c>
      <x:c r="I306" s="24" t="n">
        <x:f>G306*3600/H306</x:f>
        <x:v>2</x:v>
      </x:c>
      <x:c r="J306" s="24" t="n">
        <x:v>2</x:v>
      </x:c>
      <x:c r="K306" s="19" t="str">
        <x:v>P0171</x:v>
      </x:c>
    </x:row>
    <x:row r="307" ht="19" customHeight="1">
      <x:c r="A307" s="19" t="str">
        <x:v>C05-M060</x:v>
      </x:c>
      <x:c r="B307" s="19" t="str">
        <x:v>影宫深潮王女</x:v>
      </x:c>
      <x:c r="C307" s="19" t="n">
        <x:v>5</x:v>
      </x:c>
      <x:c r="D307" s="19" t="n">
        <x:v>5</x:v>
      </x:c>
      <x:c r="E307" s="19" t="str">
        <x:v>地图BOSS</x:v>
      </x:c>
      <x:c r="F307" s="34" t="n">
        <x:v>64.55318412043994</x:v>
      </x:c>
      <x:c r="G307" s="19" t="n">
        <x:v>1</x:v>
      </x:c>
      <x:c r="H307" s="19" t="n">
        <x:v>1800</x:v>
      </x:c>
      <x:c r="I307" s="24" t="n">
        <x:f>G307*3600/H307</x:f>
        <x:v>2</x:v>
      </x:c>
      <x:c r="J307" s="24" t="n">
        <x:v>2</x:v>
      </x:c>
      <x:c r="K307" s="19" t="str">
        <x:v>P0171</x:v>
      </x:c>
    </x:row>
    <x:row r="308" ht="19" customHeight="1">
      <x:c r="A308" s="19" t="str">
        <x:v>C05-M061</x:v>
      </x:c>
      <x:c r="B308" s="19" t="str">
        <x:v>禁域蓝焰猎犬</x:v>
      </x:c>
      <x:c r="C308" s="19" t="n">
        <x:v>5</x:v>
      </x:c>
      <x:c r="D308" s="19" t="n">
        <x:v>6</x:v>
      </x:c>
      <x:c r="E308" s="19" t="str">
        <x:v>普通</x:v>
      </x:c>
      <x:c r="F308" s="34" t="n">
        <x:v>4.191157096265838</x:v>
      </x:c>
      <x:c r="G308" s="19" t="n">
        <x:v>12</x:v>
      </x:c>
      <x:c r="H308" s="19" t="n">
        <x:v>600</x:v>
      </x:c>
      <x:c r="I308" s="24" t="n">
        <x:f>G308*3600/H308</x:f>
        <x:v>72</x:v>
      </x:c>
      <x:c r="J308" s="24" t="n">
        <x:v>72</x:v>
      </x:c>
      <x:c r="K308" s="19" t="str">
        <x:v>P0177</x:v>
      </x:c>
    </x:row>
    <x:row r="309" ht="19" customHeight="1">
      <x:c r="A309" s="19" t="str">
        <x:v>C05-M062</x:v>
      </x:c>
      <x:c r="B309" s="19" t="str">
        <x:v>卡利亚断誓侍</x:v>
      </x:c>
      <x:c r="C309" s="19" t="n">
        <x:v>5</x:v>
      </x:c>
      <x:c r="D309" s="19" t="n">
        <x:v>6</x:v>
      </x:c>
      <x:c r="E309" s="19" t="str">
        <x:v>普通</x:v>
      </x:c>
      <x:c r="F309" s="34" t="n">
        <x:v>5.089262188322803</x:v>
      </x:c>
      <x:c r="G309" s="19" t="n">
        <x:v>12</x:v>
      </x:c>
      <x:c r="H309" s="19" t="n">
        <x:v>600</x:v>
      </x:c>
      <x:c r="I309" s="24" t="n">
        <x:f>G309*3600/H309</x:f>
        <x:v>72</x:v>
      </x:c>
      <x:c r="J309" s="24" t="n">
        <x:v>72</x:v>
      </x:c>
      <x:c r="K309" s="19" t="str">
        <x:v>P0177</x:v>
      </x:c>
    </x:row>
    <x:row r="310" ht="19" customHeight="1">
      <x:c r="A310" s="19" t="str">
        <x:v>C05-M063</x:v>
      </x:c>
      <x:c r="B310" s="19" t="str">
        <x:v>回廊折月傀</x:v>
      </x:c>
      <x:c r="C310" s="19" t="n">
        <x:v>5</x:v>
      </x:c>
      <x:c r="D310" s="19" t="n">
        <x:v>6</x:v>
      </x:c>
      <x:c r="E310" s="19" t="str">
        <x:v>普通</x:v>
      </x:c>
      <x:c r="F310" s="34" t="n">
        <x:v>4.011536077854445</x:v>
      </x:c>
      <x:c r="G310" s="19" t="n">
        <x:v>12</x:v>
      </x:c>
      <x:c r="H310" s="19" t="n">
        <x:v>600</x:v>
      </x:c>
      <x:c r="I310" s="24" t="n">
        <x:f>G310*3600/H310</x:f>
        <x:v>72</x:v>
      </x:c>
      <x:c r="J310" s="24" t="n">
        <x:v>72</x:v>
      </x:c>
      <x:c r="K310" s="19" t="str">
        <x:v>P0177</x:v>
      </x:c>
    </x:row>
    <x:row r="311" ht="19" customHeight="1">
      <x:c r="A311" s="19" t="str">
        <x:v>C05-M064</x:v>
      </x:c>
      <x:c r="B311" s="19" t="str">
        <x:v>封印庭银纹卒</x:v>
      </x:c>
      <x:c r="C311" s="19" t="n">
        <x:v>5</x:v>
      </x:c>
      <x:c r="D311" s="19" t="n">
        <x:v>6</x:v>
      </x:c>
      <x:c r="E311" s="19" t="str">
        <x:v>普通</x:v>
      </x:c>
      <x:c r="F311" s="34" t="n">
        <x:v>4.430651787481029</x:v>
      </x:c>
      <x:c r="G311" s="19" t="n">
        <x:v>12</x:v>
      </x:c>
      <x:c r="H311" s="19" t="n">
        <x:v>600</x:v>
      </x:c>
      <x:c r="I311" s="24" t="n">
        <x:f>G311*3600/H311</x:f>
        <x:v>72</x:v>
      </x:c>
      <x:c r="J311" s="24" t="n">
        <x:v>72</x:v>
      </x:c>
      <x:c r="K311" s="19" t="str">
        <x:v>P0177</x:v>
      </x:c>
    </x:row>
    <x:row r="312" ht="19" customHeight="1">
      <x:c r="A312" s="19" t="str">
        <x:v>C05-M065</x:v>
      </x:c>
      <x:c r="B312" s="19" t="str">
        <x:v>月蚀殿噬辉蛾</x:v>
      </x:c>
      <x:c r="C312" s="19" t="n">
        <x:v>5</x:v>
      </x:c>
      <x:c r="D312" s="19" t="n">
        <x:v>6</x:v>
      </x:c>
      <x:c r="E312" s="19" t="str">
        <x:v>普通</x:v>
      </x:c>
      <x:c r="F312" s="34" t="n">
        <x:v>4.430651787481029</x:v>
      </x:c>
      <x:c r="G312" s="19" t="n">
        <x:v>12</x:v>
      </x:c>
      <x:c r="H312" s="19" t="n">
        <x:v>600</x:v>
      </x:c>
      <x:c r="I312" s="24" t="n">
        <x:f>G312*3600/H312</x:f>
        <x:v>72</x:v>
      </x:c>
      <x:c r="J312" s="24" t="n">
        <x:v>72</x:v>
      </x:c>
      <x:c r="K312" s="19" t="str">
        <x:v>P0177</x:v>
      </x:c>
    </x:row>
    <x:row r="313" ht="19" customHeight="1">
      <x:c r="A313" s="19" t="str">
        <x:v>C05-M066</x:v>
      </x:c>
      <x:c r="B313" s="19" t="str">
        <x:v>圣所守星残灵</x:v>
      </x:c>
      <x:c r="C313" s="19" t="n">
        <x:v>5</x:v>
      </x:c>
      <x:c r="D313" s="19" t="n">
        <x:v>6</x:v>
      </x:c>
      <x:c r="E313" s="19" t="str">
        <x:v>普通</x:v>
      </x:c>
      <x:c r="F313" s="34" t="n">
        <x:v>7.086092109308879</x:v>
      </x:c>
      <x:c r="G313" s="19" t="n">
        <x:v>12</x:v>
      </x:c>
      <x:c r="H313" s="19" t="n">
        <x:v>600</x:v>
      </x:c>
      <x:c r="I313" s="24" t="n">
        <x:f>G313*3600/H313</x:f>
        <x:v>72</x:v>
      </x:c>
      <x:c r="J313" s="24" t="n">
        <x:v>60.964491194305666</x:v>
      </x:c>
      <x:c r="K313" s="19" t="str">
        <x:v>P0177</x:v>
      </x:c>
    </x:row>
    <x:row r="314" ht="19" customHeight="1">
      <x:c r="A314" s="19" t="str">
        <x:v>C05-M067</x:v>
      </x:c>
      <x:c r="B314" s="19" t="str">
        <x:v>王室镜刃使</x:v>
      </x:c>
      <x:c r="C314" s="19" t="n">
        <x:v>5</x:v>
      </x:c>
      <x:c r="D314" s="19" t="n">
        <x:v>6</x:v>
      </x:c>
      <x:c r="E314" s="19" t="str">
        <x:v>稀有</x:v>
      </x:c>
      <x:c r="F314" s="34" t="n">
        <x:v>14.724855857095452</x:v>
      </x:c>
      <x:c r="G314" s="19" t="n">
        <x:v>2</x:v>
      </x:c>
      <x:c r="H314" s="19" t="n">
        <x:v>600</x:v>
      </x:c>
      <x:c r="I314" s="24" t="n">
        <x:f>G314*3600/H314</x:f>
        <x:v>12</x:v>
      </x:c>
      <x:c r="J314" s="24" t="n">
        <x:v>11.00180548945321</x:v>
      </x:c>
      <x:c r="K314" s="19" t="str">
        <x:v>P0177</x:v>
      </x:c>
    </x:row>
    <x:row r="315" ht="19" customHeight="1">
      <x:c r="A315" s="19" t="str">
        <x:v>C05-M068</x:v>
      </x:c>
      <x:c r="B315" s="19" t="str">
        <x:v>禁域缄门法官</x:v>
      </x:c>
      <x:c r="C315" s="19" t="n">
        <x:v>5</x:v>
      </x:c>
      <x:c r="D315" s="19" t="n">
        <x:v>6</x:v>
      </x:c>
      <x:c r="E315" s="19" t="str">
        <x:v>稀有</x:v>
      </x:c>
      <x:c r="F315" s="34" t="n">
        <x:v>12.804222484430827</x:v>
      </x:c>
      <x:c r="G315" s="19" t="n">
        <x:v>2</x:v>
      </x:c>
      <x:c r="H315" s="19" t="n">
        <x:v>600</x:v>
      </x:c>
      <x:c r="I315" s="24" t="n">
        <x:f>G315*3600/H315</x:f>
        <x:v>12</x:v>
      </x:c>
      <x:c r="J315" s="24" t="n">
        <x:v>12</x:v>
      </x:c>
      <x:c r="K315" s="19" t="str">
        <x:v>P0177</x:v>
      </x:c>
    </x:row>
    <x:row r="316" ht="19" customHeight="1">
      <x:c r="A316" s="19" t="str">
        <x:v>C05-M069</x:v>
      </x:c>
      <x:c r="B316" s="19" t="str">
        <x:v>封庭月契巫</x:v>
      </x:c>
      <x:c r="C316" s="19" t="n">
        <x:v>5</x:v>
      </x:c>
      <x:c r="D316" s="19" t="n">
        <x:v>6</x:v>
      </x:c>
      <x:c r="E316" s="19" t="str">
        <x:v>稀有</x:v>
      </x:c>
      <x:c r="F316" s="34" t="n">
        <x:v>12.164011360209287</x:v>
      </x:c>
      <x:c r="G316" s="19" t="n">
        <x:v>2</x:v>
      </x:c>
      <x:c r="H316" s="19" t="n">
        <x:v>600</x:v>
      </x:c>
      <x:c r="I316" s="24" t="n">
        <x:f>G316*3600/H316</x:f>
        <x:v>12</x:v>
      </x:c>
      <x:c r="J316" s="24" t="n">
        <x:v>12</x:v>
      </x:c>
      <x:c r="K316" s="19" t="str">
        <x:v>P0177</x:v>
      </x:c>
    </x:row>
    <x:row r="317" ht="19" customHeight="1">
      <x:c r="A317" s="19" t="str">
        <x:v>C05-M070</x:v>
      </x:c>
      <x:c r="B317" s="19" t="str">
        <x:v>密殿蚀冠兽</x:v>
      </x:c>
      <x:c r="C317" s="19" t="n">
        <x:v>5</x:v>
      </x:c>
      <x:c r="D317" s="19" t="n">
        <x:v>6</x:v>
      </x:c>
      <x:c r="E317" s="19" t="str">
        <x:v>稀有</x:v>
      </x:c>
      <x:c r="F317" s="34" t="n">
        <x:v>14.724855857095452</x:v>
      </x:c>
      <x:c r="G317" s="19" t="n">
        <x:v>2</x:v>
      </x:c>
      <x:c r="H317" s="19" t="n">
        <x:v>600</x:v>
      </x:c>
      <x:c r="I317" s="24" t="n">
        <x:f>G317*3600/H317</x:f>
        <x:v>12</x:v>
      </x:c>
      <x:c r="J317" s="24" t="n">
        <x:v>11.00180548945321</x:v>
      </x:c>
      <x:c r="K317" s="19" t="str">
        <x:v>P0177</x:v>
      </x:c>
    </x:row>
    <x:row r="318" ht="19" customHeight="1">
      <x:c r="A318" s="19" t="str">
        <x:v>C05-M071</x:v>
      </x:c>
      <x:c r="B318" s="19" t="str">
        <x:v>月蚀密殿司冕</x:v>
      </x:c>
      <x:c r="C318" s="19" t="n">
        <x:v>5</x:v>
      </x:c>
      <x:c r="D318" s="19" t="n">
        <x:v>6</x:v>
      </x:c>
      <x:c r="E318" s="19" t="str">
        <x:v>地图BOSS</x:v>
      </x:c>
      <x:c r="F318" s="34" t="n">
        <x:v>73.00961204062759</x:v>
      </x:c>
      <x:c r="G318" s="19" t="n">
        <x:v>1</x:v>
      </x:c>
      <x:c r="H318" s="19" t="n">
        <x:v>1800</x:v>
      </x:c>
      <x:c r="I318" s="24" t="n">
        <x:f>G318*3600/H318</x:f>
        <x:v>2</x:v>
      </x:c>
      <x:c r="J318" s="24" t="n">
        <x:v>2</x:v>
      </x:c>
      <x:c r="K318" s="19" t="str">
        <x:v>P0177</x:v>
      </x:c>
    </x:row>
    <x:row r="319" ht="19" customHeight="1">
      <x:c r="A319" s="19" t="str">
        <x:v>C05-M072</x:v>
      </x:c>
      <x:c r="B319" s="19" t="str">
        <x:v>卡利亚圣所摄政灵</x:v>
      </x:c>
      <x:c r="C319" s="19" t="n">
        <x:v>5</x:v>
      </x:c>
      <x:c r="D319" s="19" t="n">
        <x:v>6</x:v>
      </x:c>
      <x:c r="E319" s="19" t="str">
        <x:v>地图BOSS</x:v>
      </x:c>
      <x:c r="F319" s="34" t="n">
        <x:v>86.59163689767722</x:v>
      </x:c>
      <x:c r="G319" s="19" t="n">
        <x:v>1</x:v>
      </x:c>
      <x:c r="H319" s="19" t="n">
        <x:v>1800</x:v>
      </x:c>
      <x:c r="I319" s="24" t="n">
        <x:f>G319*3600/H319</x:f>
        <x:v>2</x:v>
      </x:c>
      <x:c r="J319" s="24" t="n">
        <x:v>2</x:v>
      </x:c>
      <x:c r="K319" s="19" t="str">
        <x:v>P0177</x:v>
      </x:c>
    </x:row>
    <x:row r="320" ht="19" customHeight="1">
      <x:c r="A320" s="19" t="str">
        <x:v>C05-M073</x:v>
      </x:c>
      <x:c r="B320" s="19" t="str">
        <x:v>寒镜终誓王</x:v>
      </x:c>
      <x:c r="C320" s="19" t="n">
        <x:v>5</x:v>
      </x:c>
      <x:c r="D320" s="19" t="n">
        <x:v>6</x:v>
      </x:c>
      <x:c r="E320" s="19" t="str">
        <x:v>守关BOSS</x:v>
      </x:c>
      <x:c r="F320" s="34" t="n">
        <x:v>241.22346730120012</x:v>
      </x:c>
      <x:c r="G320" s="19" t="n">
        <x:v>1</x:v>
      </x:c>
      <x:c r="H320" s="19" t="n">
        <x:v>7200</x:v>
      </x:c>
      <x:c r="I320" s="24" t="n">
        <x:f>G320*3600/H320</x:f>
        <x:v>0.5</x:v>
      </x:c>
      <x:c r="J320" s="24" t="n">
        <x:v>0</x:v>
      </x:c>
      <x:c r="K320" s="19" t="str">
        <x:v>P0177</x:v>
      </x:c>
    </x:row>
    <x:row r="321" ht="19" customHeight="1">
      <x:c r="A321" s="19" t="str">
        <x:v>C06-M001</x:v>
      </x:c>
      <x:c r="B321" s="19" t="str">
        <x:v>熔原灰背兽</x:v>
      </x:c>
      <x:c r="C321" s="19" t="n">
        <x:v>6</x:v>
      </x:c>
      <x:c r="D321" s="19" t="n">
        <x:v>1</x:v>
      </x:c>
      <x:c r="E321" s="19" t="str">
        <x:v>普通</x:v>
      </x:c>
      <x:c r="F321" s="34" t="n">
        <x:v>4.191698735393927</x:v>
      </x:c>
      <x:c r="G321" s="19" t="n">
        <x:v>12</x:v>
      </x:c>
      <x:c r="H321" s="19" t="n">
        <x:v>600</x:v>
      </x:c>
      <x:c r="I321" s="24" t="n">
        <x:f>G321*3600/H321</x:f>
        <x:v>72</x:v>
      </x:c>
      <x:c r="J321" s="24" t="n">
        <x:v>72</x:v>
      </x:c>
      <x:c r="K321" s="19" t="str">
        <x:v>P0189</x:v>
      </x:c>
    </x:row>
    <x:row r="322" ht="19" customHeight="1">
      <x:c r="A322" s="19" t="str">
        <x:v>C06-M002</x:v>
      </x:c>
      <x:c r="B322" s="19" t="str">
        <x:v>焦土拾骸兵</x:v>
      </x:c>
      <x:c r="C322" s="19" t="n">
        <x:v>6</x:v>
      </x:c>
      <x:c r="D322" s="19" t="n">
        <x:v>1</x:v>
      </x:c>
      <x:c r="E322" s="19" t="str">
        <x:v>普通</x:v>
      </x:c>
      <x:c r="F322" s="34" t="n">
        <x:v>4.06467756159411</x:v>
      </x:c>
      <x:c r="G322" s="19" t="n">
        <x:v>12</x:v>
      </x:c>
      <x:c r="H322" s="19" t="n">
        <x:v>600</x:v>
      </x:c>
      <x:c r="I322" s="24" t="n">
        <x:f>G322*3600/H322</x:f>
        <x:v>72</x:v>
      </x:c>
      <x:c r="J322" s="24" t="n">
        <x:v>72</x:v>
      </x:c>
      <x:c r="K322" s="19" t="str">
        <x:v>P0189</x:v>
      </x:c>
    </x:row>
    <x:row r="323" ht="19" customHeight="1">
      <x:c r="A323" s="19" t="str">
        <x:v>C06-M003</x:v>
      </x:c>
      <x:c r="B323" s="19" t="str">
        <x:v>岩河爬鳞者</x:v>
      </x:c>
      <x:c r="C323" s="19" t="n">
        <x:v>6</x:v>
      </x:c>
      <x:c r="D323" s="19" t="n">
        <x:v>1</x:v>
      </x:c>
      <x:c r="E323" s="19" t="str">
        <x:v>普通</x:v>
      </x:c>
      <x:c r="F323" s="34" t="n">
        <x:v>4.06467756159411</x:v>
      </x:c>
      <x:c r="G323" s="19" t="n">
        <x:v>12</x:v>
      </x:c>
      <x:c r="H323" s="19" t="n">
        <x:v>600</x:v>
      </x:c>
      <x:c r="I323" s="24" t="n">
        <x:f>G323*3600/H323</x:f>
        <x:v>72</x:v>
      </x:c>
      <x:c r="J323" s="24" t="n">
        <x:v>72</x:v>
      </x:c>
      <x:c r="K323" s="19" t="str">
        <x:v>P0189</x:v>
      </x:c>
    </x:row>
    <x:row r="324" ht="19" customHeight="1">
      <x:c r="A324" s="19" t="str">
        <x:v>C06-M004</x:v>
      </x:c>
      <x:c r="B324" s="19" t="str">
        <x:v>祭场执炭徒</x:v>
      </x:c>
      <x:c r="C324" s="19" t="n">
        <x:v>6</x:v>
      </x:c>
      <x:c r="D324" s="19" t="n">
        <x:v>1</x:v>
      </x:c>
      <x:c r="E324" s="19" t="str">
        <x:v>普通</x:v>
      </x:c>
      <x:c r="F324" s="34" t="n">
        <x:v>3.6836140401946627</x:v>
      </x:c>
      <x:c r="G324" s="19" t="n">
        <x:v>12</x:v>
      </x:c>
      <x:c r="H324" s="19" t="n">
        <x:v>600</x:v>
      </x:c>
      <x:c r="I324" s="24" t="n">
        <x:f>G324*3600/H324</x:f>
        <x:v>72</x:v>
      </x:c>
      <x:c r="J324" s="24" t="n">
        <x:v>72</x:v>
      </x:c>
      <x:c r="K324" s="19" t="str">
        <x:v>P0189</x:v>
      </x:c>
    </x:row>
    <x:row r="325" ht="19" customHeight="1">
      <x:c r="A325" s="19" t="str">
        <x:v>C06-M005</x:v>
      </x:c>
      <x:c r="B325" s="19" t="str">
        <x:v>熔心赤螯虫</x:v>
      </x:c>
      <x:c r="C325" s="19" t="n">
        <x:v>6</x:v>
      </x:c>
      <x:c r="D325" s="19" t="n">
        <x:v>1</x:v>
      </x:c>
      <x:c r="E325" s="19" t="str">
        <x:v>普通</x:v>
      </x:c>
      <x:c r="F325" s="34" t="n">
        <x:v>3.5565928663948467</x:v>
      </x:c>
      <x:c r="G325" s="19" t="n">
        <x:v>12</x:v>
      </x:c>
      <x:c r="H325" s="19" t="n">
        <x:v>600</x:v>
      </x:c>
      <x:c r="I325" s="24" t="n">
        <x:f>G325*3600/H325</x:f>
        <x:v>72</x:v>
      </x:c>
      <x:c r="J325" s="24" t="n">
        <x:v>72</x:v>
      </x:c>
      <x:c r="K325" s="19" t="str">
        <x:v>P0189</x:v>
      </x:c>
    </x:row>
    <x:row r="326" ht="19" customHeight="1">
      <x:c r="A326" s="19" t="str">
        <x:v>C06-M006</x:v>
      </x:c>
      <x:c r="B326" s="19" t="str">
        <x:v>血尘游猎手</x:v>
      </x:c>
      <x:c r="C326" s="19" t="n">
        <x:v>6</x:v>
      </x:c>
      <x:c r="D326" s="19" t="n">
        <x:v>1</x:v>
      </x:c>
      <x:c r="E326" s="19" t="str">
        <x:v>普通</x:v>
      </x:c>
      <x:c r="F326" s="34" t="n">
        <x:v>3.6836140401946627</x:v>
      </x:c>
      <x:c r="G326" s="19" t="n">
        <x:v>12</x:v>
      </x:c>
      <x:c r="H326" s="19" t="n">
        <x:v>600</x:v>
      </x:c>
      <x:c r="I326" s="24" t="n">
        <x:f>G326*3600/H326</x:f>
        <x:v>72</x:v>
      </x:c>
      <x:c r="J326" s="24" t="n">
        <x:v>72</x:v>
      </x:c>
      <x:c r="K326" s="19" t="str">
        <x:v>P0189</x:v>
      </x:c>
    </x:row>
    <x:row r="327" ht="19" customHeight="1">
      <x:c r="A327" s="19" t="str">
        <x:v>C06-M007</x:v>
      </x:c>
      <x:c r="B327" s="19" t="str">
        <x:v>赤棘狂战士</x:v>
      </x:c>
      <x:c r="C327" s="19" t="n">
        <x:v>6</x:v>
      </x:c>
      <x:c r="D327" s="19" t="n">
        <x:v>1</x:v>
      </x:c>
      <x:c r="E327" s="19" t="str">
        <x:v>稀有</x:v>
      </x:c>
      <x:c r="F327" s="34" t="n">
        <x:v>10.578928494717573</x:v>
      </x:c>
      <x:c r="G327" s="19" t="n">
        <x:v>2</x:v>
      </x:c>
      <x:c r="H327" s="19" t="n">
        <x:v>600</x:v>
      </x:c>
      <x:c r="I327" s="24" t="n">
        <x:f>G327*3600/H327</x:f>
        <x:v>12</x:v>
      </x:c>
      <x:c r="J327" s="24" t="n">
        <x:v>12</x:v>
      </x:c>
      <x:c r="K327" s="19" t="str">
        <x:v>P0189</x:v>
      </x:c>
    </x:row>
    <x:row r="328" ht="19" customHeight="1">
      <x:c r="A328" s="19" t="str">
        <x:v>C06-M008</x:v>
      </x:c>
      <x:c r="B328" s="19" t="str">
        <x:v>焦脉咒炎师</x:v>
      </x:c>
      <x:c r="C328" s="19" t="n">
        <x:v>6</x:v>
      </x:c>
      <x:c r="D328" s="19" t="n">
        <x:v>1</x:v>
      </x:c>
      <x:c r="E328" s="19" t="str">
        <x:v>稀有</x:v>
      </x:c>
      <x:c r="F328" s="34" t="n">
        <x:v>12.206455955443353</x:v>
      </x:c>
      <x:c r="G328" s="19" t="n">
        <x:v>2</x:v>
      </x:c>
      <x:c r="H328" s="19" t="n">
        <x:v>600</x:v>
      </x:c>
      <x:c r="I328" s="24" t="n">
        <x:f>G328*3600/H328</x:f>
        <x:v>12</x:v>
      </x:c>
      <x:c r="J328" s="24" t="n">
        <x:v>12</x:v>
      </x:c>
      <x:c r="K328" s="19" t="str">
        <x:v>P0189</x:v>
      </x:c>
    </x:row>
    <x:row r="329" ht="19" customHeight="1">
      <x:c r="A329" s="19" t="str">
        <x:v>C06-M009</x:v>
      </x:c>
      <x:c r="B329" s="19" t="str">
        <x:v>岩浆负甲兽</x:v>
      </x:c>
      <x:c r="C329" s="19" t="n">
        <x:v>6</x:v>
      </x:c>
      <x:c r="D329" s="19" t="n">
        <x:v>1</x:v>
      </x:c>
      <x:c r="E329" s="19" t="str">
        <x:v>稀有</x:v>
      </x:c>
      <x:c r="F329" s="34" t="n">
        <x:v>12.748965109018613</x:v>
      </x:c>
      <x:c r="G329" s="19" t="n">
        <x:v>2</x:v>
      </x:c>
      <x:c r="H329" s="19" t="n">
        <x:v>600</x:v>
      </x:c>
      <x:c r="I329" s="24" t="n">
        <x:f>G329*3600/H329</x:f>
        <x:v>12</x:v>
      </x:c>
      <x:c r="J329" s="24" t="n">
        <x:v>12</x:v>
      </x:c>
      <x:c r="K329" s="19" t="str">
        <x:v>P0189</x:v>
      </x:c>
    </x:row>
    <x:row r="330" ht="19" customHeight="1">
      <x:c r="A330" s="19" t="str">
        <x:v>C06-M010</x:v>
      </x:c>
      <x:c r="B330" s="19" t="str">
        <x:v>灰烬裁决官</x:v>
      </x:c>
      <x:c r="C330" s="19" t="n">
        <x:v>6</x:v>
      </x:c>
      <x:c r="D330" s="19" t="n">
        <x:v>1</x:v>
      </x:c>
      <x:c r="E330" s="19" t="str">
        <x:v>稀有</x:v>
      </x:c>
      <x:c r="F330" s="34" t="n">
        <x:v>10.578928494717573</x:v>
      </x:c>
      <x:c r="G330" s="19" t="n">
        <x:v>2</x:v>
      </x:c>
      <x:c r="H330" s="19" t="n">
        <x:v>600</x:v>
      </x:c>
      <x:c r="I330" s="24" t="n">
        <x:f>G330*3600/H330</x:f>
        <x:v>12</x:v>
      </x:c>
      <x:c r="J330" s="24" t="n">
        <x:v>12</x:v>
      </x:c>
      <x:c r="K330" s="19" t="str">
        <x:v>P0189</x:v>
      </x:c>
    </x:row>
    <x:row r="331" ht="19" customHeight="1">
      <x:c r="A331" s="19" t="str">
        <x:v>C06-M011</x:v>
      </x:c>
      <x:c r="B331" s="19" t="str">
        <x:v>火蚀巨像·巴洛</x:v>
      </x:c>
      <x:c r="C331" s="19" t="n">
        <x:v>6</x:v>
      </x:c>
      <x:c r="D331" s="19" t="n">
        <x:v>1</x:v>
      </x:c>
      <x:c r="E331" s="19" t="str">
        <x:v>地图BOSS</x:v>
      </x:c>
      <x:c r="F331" s="34" t="n">
        <x:v>85.8902096300829</x:v>
      </x:c>
      <x:c r="G331" s="19" t="n">
        <x:v>1</x:v>
      </x:c>
      <x:c r="H331" s="19" t="n">
        <x:v>1800</x:v>
      </x:c>
      <x:c r="I331" s="24" t="n">
        <x:f>G331*3600/H331</x:f>
        <x:v>2</x:v>
      </x:c>
      <x:c r="J331" s="24" t="n">
        <x:v>2</x:v>
      </x:c>
      <x:c r="K331" s="19" t="str">
        <x:v>P0189</x:v>
      </x:c>
    </x:row>
    <x:row r="332" ht="19" customHeight="1">
      <x:c r="A332" s="19" t="str">
        <x:v>C06-M012</x:v>
      </x:c>
      <x:c r="B332" s="19" t="str">
        <x:v>猩红熔母·瑟芮</x:v>
      </x:c>
      <x:c r="C332" s="19" t="n">
        <x:v>6</x:v>
      </x:c>
      <x:c r="D332" s="19" t="n">
        <x:v>1</x:v>
      </x:c>
      <x:c r="E332" s="19" t="str">
        <x:v>地图BOSS</x:v>
      </x:c>
      <x:c r="F332" s="34" t="n">
        <x:v>82.52196611517769</x:v>
      </x:c>
      <x:c r="G332" s="19" t="n">
        <x:v>1</x:v>
      </x:c>
      <x:c r="H332" s="19" t="n">
        <x:v>1800</x:v>
      </x:c>
      <x:c r="I332" s="24" t="n">
        <x:f>G332*3600/H332</x:f>
        <x:v>2</x:v>
      </x:c>
      <x:c r="J332" s="24" t="n">
        <x:v>2</x:v>
      </x:c>
      <x:c r="K332" s="19" t="str">
        <x:v>P0189</x:v>
      </x:c>
    </x:row>
    <x:row r="333" ht="19" customHeight="1">
      <x:c r="A333" s="19" t="str">
        <x:v>C06-M013</x:v>
      </x:c>
      <x:c r="B333" s="19" t="str">
        <x:v>腐狱囚徒</x:v>
      </x:c>
      <x:c r="C333" s="19" t="n">
        <x:v>6</x:v>
      </x:c>
      <x:c r="D333" s="19" t="n">
        <x:v>2</x:v>
      </x:c>
      <x:c r="E333" s="19" t="str">
        <x:v>普通</x:v>
      </x:c>
      <x:c r="F333" s="34" t="n">
        <x:v>3.691450451385276</x:v>
      </x:c>
      <x:c r="G333" s="19" t="n">
        <x:v>12</x:v>
      </x:c>
      <x:c r="H333" s="19" t="n">
        <x:v>600</x:v>
      </x:c>
      <x:c r="I333" s="24" t="n">
        <x:f>G333*3600/H333</x:f>
        <x:v>72</x:v>
      </x:c>
      <x:c r="J333" s="24" t="n">
        <x:v>72</x:v>
      </x:c>
      <x:c r="K333" s="19" t="str">
        <x:v>P0195</x:v>
      </x:c>
    </x:row>
    <x:row r="334" ht="19" customHeight="1">
      <x:c r="A334" s="19" t="str">
        <x:v>C06-M014</x:v>
      </x:c>
      <x:c r="B334" s="19" t="str">
        <x:v>灼腐行刑兵</x:v>
      </x:c>
      <x:c r="C334" s="19" t="n">
        <x:v>6</x:v>
      </x:c>
      <x:c r="D334" s="19" t="n">
        <x:v>2</x:v>
      </x:c>
      <x:c r="E334" s="19" t="str">
        <x:v>普通</x:v>
      </x:c>
      <x:c r="F334" s="34" t="n">
        <x:v>3.5596129352643735</x:v>
      </x:c>
      <x:c r="G334" s="19" t="n">
        <x:v>12</x:v>
      </x:c>
      <x:c r="H334" s="19" t="n">
        <x:v>600</x:v>
      </x:c>
      <x:c r="I334" s="24" t="n">
        <x:f>G334*3600/H334</x:f>
        <x:v>72</x:v>
      </x:c>
      <x:c r="J334" s="24" t="n">
        <x:v>72</x:v>
      </x:c>
      <x:c r="K334" s="19" t="str">
        <x:v>P0195</x:v>
      </x:c>
    </x:row>
    <x:row r="335" ht="19" customHeight="1">
      <x:c r="A335" s="19" t="str">
        <x:v>C06-M015</x:v>
      </x:c>
      <x:c r="B335" s="19" t="str">
        <x:v>深渊熔壳虫</x:v>
      </x:c>
      <x:c r="C335" s="19" t="n">
        <x:v>6</x:v>
      </x:c>
      <x:c r="D335" s="19" t="n">
        <x:v>2</x:v>
      </x:c>
      <x:c r="E335" s="19" t="str">
        <x:v>普通</x:v>
      </x:c>
      <x:c r="F335" s="34" t="n">
        <x:v>4.218800515868887</x:v>
      </x:c>
      <x:c r="G335" s="19" t="n">
        <x:v>12</x:v>
      </x:c>
      <x:c r="H335" s="19" t="n">
        <x:v>600</x:v>
      </x:c>
      <x:c r="I335" s="24" t="n">
        <x:f>G335*3600/H335</x:f>
        <x:v>72</x:v>
      </x:c>
      <x:c r="J335" s="24" t="n">
        <x:v>72</x:v>
      </x:c>
      <x:c r="K335" s="19" t="str">
        <x:v>P0195</x:v>
      </x:c>
    </x:row>
    <x:row r="336" ht="19" customHeight="1">
      <x:c r="A336" s="19" t="str">
        <x:v>C06-M016</x:v>
      </x:c>
      <x:c r="B336" s="19" t="str">
        <x:v>内域血菌兽</x:v>
      </x:c>
      <x:c r="C336" s="19" t="n">
        <x:v>6</x:v>
      </x:c>
      <x:c r="D336" s="19" t="n">
        <x:v>2</x:v>
      </x:c>
      <x:c r="E336" s="19" t="str">
        <x:v>普通</x:v>
      </x:c>
      <x:c r="F336" s="34" t="n">
        <x:v>3.691450451385276</x:v>
      </x:c>
      <x:c r="G336" s="19" t="n">
        <x:v>12</x:v>
      </x:c>
      <x:c r="H336" s="19" t="n">
        <x:v>600</x:v>
      </x:c>
      <x:c r="I336" s="24" t="n">
        <x:f>G336*3600/H336</x:f>
        <x:v>72</x:v>
      </x:c>
      <x:c r="J336" s="24" t="n">
        <x:v>72</x:v>
      </x:c>
      <x:c r="K336" s="19" t="str">
        <x:v>P0195</x:v>
      </x:c>
    </x:row>
    <x:row r="337" ht="19" customHeight="1">
      <x:c r="A337" s="19" t="str">
        <x:v>C06-M017</x:v>
      </x:c>
      <x:c r="B337" s="19" t="str">
        <x:v>熔心烙印僧</x:v>
      </x:c>
      <x:c r="C337" s="19" t="n">
        <x:v>6</x:v>
      </x:c>
      <x:c r="D337" s="19" t="n">
        <x:v>2</x:v>
      </x:c>
      <x:c r="E337" s="19" t="str">
        <x:v>普通</x:v>
      </x:c>
      <x:c r="F337" s="34" t="n">
        <x:v>3.2959379030225677</x:v>
      </x:c>
      <x:c r="G337" s="19" t="n">
        <x:v>12</x:v>
      </x:c>
      <x:c r="H337" s="19" t="n">
        <x:v>600</x:v>
      </x:c>
      <x:c r="I337" s="24" t="n">
        <x:f>G337*3600/H337</x:f>
        <x:v>72</x:v>
      </x:c>
      <x:c r="J337" s="24" t="n">
        <x:v>72</x:v>
      </x:c>
      <x:c r="K337" s="19" t="str">
        <x:v>P0195</x:v>
      </x:c>
    </x:row>
    <x:row r="338" ht="19" customHeight="1">
      <x:c r="A338" s="19" t="str">
        <x:v>C06-M018</x:v>
      </x:c>
      <x:c r="B338" s="19" t="str">
        <x:v>火狱锁门卒</x:v>
      </x:c>
      <x:c r="C338" s="19" t="n">
        <x:v>6</x:v>
      </x:c>
      <x:c r="D338" s="19" t="n">
        <x:v>2</x:v>
      </x:c>
      <x:c r="E338" s="19" t="str">
        <x:v>普通</x:v>
      </x:c>
      <x:c r="F338" s="34" t="n">
        <x:v>4.218800515868887</x:v>
      </x:c>
      <x:c r="G338" s="19" t="n">
        <x:v>12</x:v>
      </x:c>
      <x:c r="H338" s="19" t="n">
        <x:v>600</x:v>
      </x:c>
      <x:c r="I338" s="24" t="n">
        <x:f>G338*3600/H338</x:f>
        <x:v>72</x:v>
      </x:c>
      <x:c r="J338" s="24" t="n">
        <x:v>72</x:v>
      </x:c>
      <x:c r="K338" s="19" t="str">
        <x:v>P0195</x:v>
      </x:c>
    </x:row>
    <x:row r="339" ht="19" customHeight="1">
      <x:c r="A339" s="19" t="str">
        <x:v>C06-M019</x:v>
      </x:c>
      <x:c r="B339" s="19" t="str">
        <x:v>瘴焰缝尸匠</x:v>
      </x:c>
      <x:c r="C339" s="19" t="n">
        <x:v>6</x:v>
      </x:c>
      <x:c r="D339" s="19" t="n">
        <x:v>2</x:v>
      </x:c>
      <x:c r="E339" s="19" t="str">
        <x:v>稀有</x:v>
      </x:c>
      <x:c r="F339" s="34" t="n">
        <x:v>12.807794384063452</x:v>
      </x:c>
      <x:c r="G339" s="19" t="n">
        <x:v>2</x:v>
      </x:c>
      <x:c r="H339" s="19" t="n">
        <x:v>600</x:v>
      </x:c>
      <x:c r="I339" s="24" t="n">
        <x:f>G339*3600/H339</x:f>
        <x:v>12</x:v>
      </x:c>
      <x:c r="J339" s="24" t="n">
        <x:v>12</x:v>
      </x:c>
      <x:c r="K339" s="19" t="str">
        <x:v>P0195</x:v>
      </x:c>
    </x:row>
    <x:row r="340" ht="19" customHeight="1">
      <x:c r="A340" s="19" t="str">
        <x:v>C06-M020</x:v>
      </x:c>
      <x:c r="B340" s="19" t="str">
        <x:v>灼骨狱卒长</x:v>
      </x:c>
      <x:c r="C340" s="19" t="n">
        <x:v>6</x:v>
      </x:c>
      <x:c r="D340" s="19" t="n">
        <x:v>2</x:v>
      </x:c>
      <x:c r="E340" s="19" t="str">
        <x:v>稀有</x:v>
      </x:c>
      <x:c r="F340" s="34" t="n">
        <x:v>9.992894519434122</x:v>
      </x:c>
      <x:c r="G340" s="19" t="n">
        <x:v>2</x:v>
      </x:c>
      <x:c r="H340" s="19" t="n">
        <x:v>600</x:v>
      </x:c>
      <x:c r="I340" s="24" t="n">
        <x:f>G340*3600/H340</x:f>
        <x:v>12</x:v>
      </x:c>
      <x:c r="J340" s="24" t="n">
        <x:v>12</x:v>
      </x:c>
      <x:c r="K340" s="19" t="str">
        <x:v>P0195</x:v>
      </x:c>
    </x:row>
    <x:row r="341" ht="19" customHeight="1">
      <x:c r="A341" s="19" t="str">
        <x:v>C06-M021</x:v>
      </x:c>
      <x:c r="B341" s="19" t="str">
        <x:v>深渊熔喉兽</x:v>
      </x:c>
      <x:c r="C341" s="19" t="n">
        <x:v>6</x:v>
      </x:c>
      <x:c r="D341" s="19" t="n">
        <x:v>2</x:v>
      </x:c>
      <x:c r="E341" s="19" t="str">
        <x:v>稀有</x:v>
      </x:c>
      <x:c r="F341" s="34" t="n">
        <x:v>12.244814411137586</x:v>
      </x:c>
      <x:c r="G341" s="19" t="n">
        <x:v>2</x:v>
      </x:c>
      <x:c r="H341" s="19" t="n">
        <x:v>600</x:v>
      </x:c>
      <x:c r="I341" s="24" t="n">
        <x:f>G341*3600/H341</x:f>
        <x:v>12</x:v>
      </x:c>
      <x:c r="J341" s="24" t="n">
        <x:v>12</x:v>
      </x:c>
      <x:c r="K341" s="19" t="str">
        <x:v>P0195</x:v>
      </x:c>
    </x:row>
    <x:row r="342" ht="19" customHeight="1">
      <x:c r="A342" s="19" t="str">
        <x:v>C06-M022</x:v>
      </x:c>
      <x:c r="B342" s="19" t="str">
        <x:v>赤腐祷刑官</x:v>
      </x:c>
      <x:c r="C342" s="19" t="n">
        <x:v>6</x:v>
      </x:c>
      <x:c r="D342" s="19" t="n">
        <x:v>2</x:v>
      </x:c>
      <x:c r="E342" s="19" t="str">
        <x:v>稀有</x:v>
      </x:c>
      <x:c r="F342" s="34" t="n">
        <x:v>12.807794384063452</x:v>
      </x:c>
      <x:c r="G342" s="19" t="n">
        <x:v>2</x:v>
      </x:c>
      <x:c r="H342" s="19" t="n">
        <x:v>600</x:v>
      </x:c>
      <x:c r="I342" s="24" t="n">
        <x:f>G342*3600/H342</x:f>
        <x:v>12</x:v>
      </x:c>
      <x:c r="J342" s="24" t="n">
        <x:v>12</x:v>
      </x:c>
      <x:c r="K342" s="19" t="str">
        <x:v>P0195</x:v>
      </x:c>
    </x:row>
    <x:row r="343" ht="19" customHeight="1">
      <x:c r="A343" s="19" t="str">
        <x:v>C06-M023</x:v>
      </x:c>
      <x:c r="B343" s="19" t="str">
        <x:v>腐败火侯·伊弗</x:v>
      </x:c>
      <x:c r="C343" s="19" t="n">
        <x:v>6</x:v>
      </x:c>
      <x:c r="D343" s="19" t="n">
        <x:v>2</x:v>
      </x:c>
      <x:c r="E343" s="19" t="str">
        <x:v>地图BOSS</x:v>
      </x:c>
      <x:c r="F343" s="34" t="n">
        <x:v>85.83799063666082</x:v>
      </x:c>
      <x:c r="G343" s="19" t="n">
        <x:v>1</x:v>
      </x:c>
      <x:c r="H343" s="19" t="n">
        <x:v>1800</x:v>
      </x:c>
      <x:c r="I343" s="24" t="n">
        <x:f>G343*3600/H343</x:f>
        <x:v>2</x:v>
      </x:c>
      <x:c r="J343" s="24" t="n">
        <x:v>2</x:v>
      </x:c>
      <x:c r="K343" s="19" t="str">
        <x:v>P0195</x:v>
      </x:c>
    </x:row>
    <x:row r="344" ht="19" customHeight="1">
      <x:c r="A344" s="19" t="str">
        <x:v>C06-M024</x:v>
      </x:c>
      <x:c r="B344" s="19" t="str">
        <x:v>熔心狱主·塞维拉</x:v>
      </x:c>
      <x:c r="C344" s="19" t="n">
        <x:v>6</x:v>
      </x:c>
      <x:c r="D344" s="19" t="n">
        <x:v>2</x:v>
      </x:c>
      <x:c r="E344" s="19" t="str">
        <x:v>地图BOSS</x:v>
      </x:c>
      <x:c r="F344" s="34" t="n">
        <x:v>85.83799063666082</x:v>
      </x:c>
      <x:c r="G344" s="19" t="n">
        <x:v>1</x:v>
      </x:c>
      <x:c r="H344" s="19" t="n">
        <x:v>1800</x:v>
      </x:c>
      <x:c r="I344" s="24" t="n">
        <x:f>G344*3600/H344</x:f>
        <x:v>2</x:v>
      </x:c>
      <x:c r="J344" s="24" t="n">
        <x:v>2</x:v>
      </x:c>
      <x:c r="K344" s="19" t="str">
        <x:v>P0195</x:v>
      </x:c>
    </x:row>
    <x:row r="345" ht="19" customHeight="1">
      <x:c r="A345" s="19" t="str">
        <x:v>C06-M025</x:v>
      </x:c>
      <x:c r="B345" s="19" t="str">
        <x:v>龙窟烬鳞兽</x:v>
      </x:c>
      <x:c r="C345" s="19" t="n">
        <x:v>6</x:v>
      </x:c>
      <x:c r="D345" s="19" t="n">
        <x:v>3</x:v>
      </x:c>
      <x:c r="E345" s="19" t="str">
        <x:v>普通</x:v>
      </x:c>
      <x:c r="F345" s="34" t="n">
        <x:v>3.7371228487739367</x:v>
      </x:c>
      <x:c r="G345" s="19" t="n">
        <x:v>12</x:v>
      </x:c>
      <x:c r="H345" s="19" t="n">
        <x:v>600</x:v>
      </x:c>
      <x:c r="I345" s="24" t="n">
        <x:f>G345*3600/H345</x:f>
        <x:v>72</x:v>
      </x:c>
      <x:c r="J345" s="24" t="n">
        <x:v>72</x:v>
      </x:c>
      <x:c r="K345" s="19" t="str">
        <x:v>P0201</x:v>
      </x:c>
    </x:row>
    <x:row r="346" ht="19" customHeight="1">
      <x:c r="A346" s="19" t="str">
        <x:v>C06-M026</x:v>
      </x:c>
      <x:c r="B346" s="19" t="str">
        <x:v>崎路红狮兵</x:v>
      </x:c>
      <x:c r="C346" s="19" t="n">
        <x:v>6</x:v>
      </x:c>
      <x:c r="D346" s="19" t="n">
        <x:v>3</x:v>
      </x:c>
      <x:c r="E346" s="19" t="str">
        <x:v>普通</x:v>
      </x:c>
      <x:c r="F346" s="34" t="n">
        <x:v>3.7371228487739367</x:v>
      </x:c>
      <x:c r="G346" s="19" t="n">
        <x:v>12</x:v>
      </x:c>
      <x:c r="H346" s="19" t="n">
        <x:v>600</x:v>
      </x:c>
      <x:c r="I346" s="24" t="n">
        <x:f>G346*3600/H346</x:f>
        <x:v>72</x:v>
      </x:c>
      <x:c r="J346" s="24" t="n">
        <x:v>72</x:v>
      </x:c>
      <x:c r="K346" s="19" t="str">
        <x:v>P0201</x:v>
      </x:c>
    </x:row>
    <x:row r="347" ht="19" customHeight="1">
      <x:c r="A347" s="19" t="str">
        <x:v>C06-M027</x:v>
      </x:c>
      <x:c r="B347" s="19" t="str">
        <x:v>回廊火弩卫</x:v>
      </x:c>
      <x:c r="C347" s="19" t="n">
        <x:v>6</x:v>
      </x:c>
      <x:c r="D347" s="19" t="n">
        <x:v>3</x:v>
      </x:c>
      <x:c r="E347" s="19" t="str">
        <x:v>普通</x:v>
      </x:c>
      <x:c r="F347" s="34" t="n">
        <x:v>3.7371228487739367</x:v>
      </x:c>
      <x:c r="G347" s="19" t="n">
        <x:v>12</x:v>
      </x:c>
      <x:c r="H347" s="19" t="n">
        <x:v>600</x:v>
      </x:c>
      <x:c r="I347" s="24" t="n">
        <x:f>G347*3600/H347</x:f>
        <x:v>72</x:v>
      </x:c>
      <x:c r="J347" s="24" t="n">
        <x:v>72</x:v>
      </x:c>
      <x:c r="K347" s="19" t="str">
        <x:v>P0201</x:v>
      </x:c>
    </x:row>
    <x:row r="348" ht="19" customHeight="1">
      <x:c r="A348" s="19" t="str">
        <x:v>C06-M028</x:v>
      </x:c>
      <x:c r="B348" s="19" t="str">
        <x:v>龙巢护卵兽</x:v>
      </x:c>
      <x:c r="C348" s="19" t="n">
        <x:v>6</x:v>
      </x:c>
      <x:c r="D348" s="19" t="n">
        <x:v>3</x:v>
      </x:c>
      <x:c r="E348" s="19" t="str">
        <x:v>普通</x:v>
      </x:c>
      <x:c r="F348" s="34" t="n">
        <x:v>3.7371228487739367</x:v>
      </x:c>
      <x:c r="G348" s="19" t="n">
        <x:v>12</x:v>
      </x:c>
      <x:c r="H348" s="19" t="n">
        <x:v>600</x:v>
      </x:c>
      <x:c r="I348" s="24" t="n">
        <x:f>G348*3600/H348</x:f>
        <x:v>72</x:v>
      </x:c>
      <x:c r="J348" s="24" t="n">
        <x:v>72</x:v>
      </x:c>
      <x:c r="K348" s="19" t="str">
        <x:v>P0201</x:v>
      </x:c>
    </x:row>
    <x:row r="349" ht="19" customHeight="1">
      <x:c r="A349" s="19" t="str">
        <x:v>C06-M029</x:v>
      </x:c>
      <x:c r="B349" s="19" t="str">
        <x:v>神殿执矛僧</x:v>
      </x:c>
      <x:c r="C349" s="19" t="n">
        <x:v>6</x:v>
      </x:c>
      <x:c r="D349" s="19" t="n">
        <x:v>3</x:v>
      </x:c>
      <x:c r="E349" s="19" t="str">
        <x:v>普通</x:v>
      </x:c>
      <x:c r="F349" s="34" t="n">
        <x:v>5.832420451066074</x:v>
      </x:c>
      <x:c r="G349" s="19" t="n">
        <x:v>12</x:v>
      </x:c>
      <x:c r="H349" s="19" t="n">
        <x:v>600</x:v>
      </x:c>
      <x:c r="I349" s="24" t="n">
        <x:f>G349*3600/H349</x:f>
        <x:v>72</x:v>
      </x:c>
      <x:c r="J349" s="24" t="n">
        <x:v>72</x:v>
      </x:c>
      <x:c r="K349" s="19" t="str">
        <x:v>P0201</x:v>
      </x:c>
    </x:row>
    <x:row r="350" ht="19" customHeight="1">
      <x:c r="A350" s="19" t="str">
        <x:v>C06-M030</x:v>
      </x:c>
      <x:c r="B350" s="19" t="str">
        <x:v>赤鬃巡巢者</x:v>
      </x:c>
      <x:c r="C350" s="19" t="n">
        <x:v>6</x:v>
      </x:c>
      <x:c r="D350" s="19" t="n">
        <x:v>3</x:v>
      </x:c>
      <x:c r="E350" s="19" t="str">
        <x:v>普通</x:v>
      </x:c>
      <x:c r="F350" s="34" t="n">
        <x:v>4.048549752838431</x:v>
      </x:c>
      <x:c r="G350" s="19" t="n">
        <x:v>12</x:v>
      </x:c>
      <x:c r="H350" s="19" t="n">
        <x:v>600</x:v>
      </x:c>
      <x:c r="I350" s="24" t="n">
        <x:f>G350*3600/H350</x:f>
        <x:v>72</x:v>
      </x:c>
      <x:c r="J350" s="24" t="n">
        <x:v>72</x:v>
      </x:c>
      <x:c r="K350" s="19" t="str">
        <x:v>P0201</x:v>
      </x:c>
    </x:row>
    <x:row r="351" ht="19" customHeight="1">
      <x:c r="A351" s="19" t="str">
        <x:v>C06-M031</x:v>
      </x:c>
      <x:c r="B351" s="19" t="str">
        <x:v>龙火驯兽师</x:v>
      </x:c>
      <x:c r="C351" s="19" t="n">
        <x:v>6</x:v>
      </x:c>
      <x:c r="D351" s="19" t="n">
        <x:v>3</x:v>
      </x:c>
      <x:c r="E351" s="19" t="str">
        <x:v>稀有</x:v>
      </x:c>
      <x:c r="F351" s="34" t="n">
        <x:v>12.198896272148087</x:v>
      </x:c>
      <x:c r="G351" s="19" t="n">
        <x:v>2</x:v>
      </x:c>
      <x:c r="H351" s="19" t="n">
        <x:v>600</x:v>
      </x:c>
      <x:c r="I351" s="24" t="n">
        <x:f>G351*3600/H351</x:f>
        <x:v>12</x:v>
      </x:c>
      <x:c r="J351" s="24" t="n">
        <x:v>12</x:v>
      </x:c>
      <x:c r="K351" s="19" t="str">
        <x:v>P0201</x:v>
      </x:c>
    </x:row>
    <x:row r="352" ht="19" customHeight="1">
      <x:c r="A352" s="19" t="str">
        <x:v>C06-M032</x:v>
      </x:c>
      <x:c r="B352" s="19" t="str">
        <x:v>红狮斩翼骑</x:v>
      </x:c>
      <x:c r="C352" s="19" t="n">
        <x:v>6</x:v>
      </x:c>
      <x:c r="D352" s="19" t="n">
        <x:v>3</x:v>
      </x:c>
      <x:c r="E352" s="19" t="str">
        <x:v>稀有</x:v>
      </x:c>
      <x:c r="F352" s="34" t="n">
        <x:v>12.198896272148087</x:v>
      </x:c>
      <x:c r="G352" s="19" t="n">
        <x:v>2</x:v>
      </x:c>
      <x:c r="H352" s="19" t="n">
        <x:v>600</x:v>
      </x:c>
      <x:c r="I352" s="24" t="n">
        <x:f>G352*3600/H352</x:f>
        <x:v>12</x:v>
      </x:c>
      <x:c r="J352" s="24" t="n">
        <x:v>12</x:v>
      </x:c>
      <x:c r="K352" s="19" t="str">
        <x:v>P0201</x:v>
      </x:c>
    </x:row>
    <x:row r="353" ht="19" customHeight="1">
      <x:c r="A353" s="19" t="str">
        <x:v>C06-M033</x:v>
      </x:c>
      <x:c r="B353" s="19" t="str">
        <x:v>赤焰鳞甲将</x:v>
      </x:c>
      <x:c r="C353" s="19" t="n">
        <x:v>6</x:v>
      </x:c>
      <x:c r="D353" s="19" t="n">
        <x:v>3</x:v>
      </x:c>
      <x:c r="E353" s="19" t="str">
        <x:v>稀有</x:v>
      </x:c>
      <x:c r="F353" s="34" t="n">
        <x:v>10.535410416855166</x:v>
      </x:c>
      <x:c r="G353" s="19" t="n">
        <x:v>2</x:v>
      </x:c>
      <x:c r="H353" s="19" t="n">
        <x:v>600</x:v>
      </x:c>
      <x:c r="I353" s="24" t="n">
        <x:f>G353*3600/H353</x:f>
        <x:v>12</x:v>
      </x:c>
      <x:c r="J353" s="24" t="n">
        <x:v>12</x:v>
      </x:c>
      <x:c r="K353" s="19" t="str">
        <x:v>P0201</x:v>
      </x:c>
    </x:row>
    <x:row r="354" ht="19" customHeight="1">
      <x:c r="A354" s="19" t="str">
        <x:v>C06-M034</x:v>
      </x:c>
      <x:c r="B354" s="19" t="str">
        <x:v>龙巢血祭司</x:v>
      </x:c>
      <x:c r="C354" s="19" t="n">
        <x:v>6</x:v>
      </x:c>
      <x:c r="D354" s="19" t="n">
        <x:v>3</x:v>
      </x:c>
      <x:c r="E354" s="19" t="str">
        <x:v>稀有</x:v>
      </x:c>
      <x:c r="F354" s="34" t="n">
        <x:v>12.198896272148087</x:v>
      </x:c>
      <x:c r="G354" s="19" t="n">
        <x:v>2</x:v>
      </x:c>
      <x:c r="H354" s="19" t="n">
        <x:v>600</x:v>
      </x:c>
      <x:c r="I354" s="24" t="n">
        <x:f>G354*3600/H354</x:f>
        <x:v>12</x:v>
      </x:c>
      <x:c r="J354" s="24" t="n">
        <x:v>12</x:v>
      </x:c>
      <x:c r="K354" s="19" t="str">
        <x:v>P0201</x:v>
      </x:c>
    </x:row>
    <x:row r="355" ht="19" customHeight="1">
      <x:c r="A355" s="19" t="str">
        <x:v>C06-M035</x:v>
      </x:c>
      <x:c r="B355" s="19" t="str">
        <x:v>焚翼古龙·阿格纳</x:v>
      </x:c>
      <x:c r="C355" s="19" t="n">
        <x:v>6</x:v>
      </x:c>
      <x:c r="D355" s="19" t="n">
        <x:v>3</x:v>
      </x:c>
      <x:c r="E355" s="19" t="str">
        <x:v>地图BOSS</x:v>
      </x:c>
      <x:c r="F355" s="34" t="n">
        <x:v>66.27845753470667</x:v>
      </x:c>
      <x:c r="G355" s="19" t="n">
        <x:v>1</x:v>
      </x:c>
      <x:c r="H355" s="19" t="n">
        <x:v>1800</x:v>
      </x:c>
      <x:c r="I355" s="24" t="n">
        <x:f>G355*3600/H355</x:f>
        <x:v>2</x:v>
      </x:c>
      <x:c r="J355" s="24" t="n">
        <x:v>2</x:v>
      </x:c>
      <x:c r="K355" s="19" t="str">
        <x:v>P0201</x:v>
      </x:c>
    </x:row>
    <x:row r="356" ht="19" customHeight="1">
      <x:c r="A356" s="19" t="str">
        <x:v>C06-M036</x:v>
      </x:c>
      <x:c r="B356" s="19" t="str">
        <x:v>红狮圣兽·雷奥尼斯</x:v>
      </x:c>
      <x:c r="C356" s="19" t="n">
        <x:v>6</x:v>
      </x:c>
      <x:c r="D356" s="19" t="n">
        <x:v>3</x:v>
      </x:c>
      <x:c r="E356" s="19" t="str">
        <x:v>地图BOSS</x:v>
      </x:c>
      <x:c r="F356" s="34" t="n">
        <x:v>67.54346693775881</x:v>
      </x:c>
      <x:c r="G356" s="19" t="n">
        <x:v>1</x:v>
      </x:c>
      <x:c r="H356" s="19" t="n">
        <x:v>1800</x:v>
      </x:c>
      <x:c r="I356" s="24" t="n">
        <x:f>G356*3600/H356</x:f>
        <x:v>2</x:v>
      </x:c>
      <x:c r="J356" s="24" t="n">
        <x:v>2</x:v>
      </x:c>
      <x:c r="K356" s="19" t="str">
        <x:v>P0201</x:v>
      </x:c>
    </x:row>
    <x:row r="357" ht="19" customHeight="1">
      <x:c r="A357" s="19" t="str">
        <x:v>C06-M037</x:v>
      </x:c>
      <x:c r="B357" s="19" t="str">
        <x:v>碎星狮王·拉塔恩</x:v>
      </x:c>
      <x:c r="C357" s="19" t="n">
        <x:v>6</x:v>
      </x:c>
      <x:c r="D357" s="19" t="n">
        <x:v>3</x:v>
      </x:c>
      <x:c r="E357" s="19" t="str">
        <x:v>守关BOSS</x:v>
      </x:c>
      <x:c r="F357" s="34" t="n">
        <x:v>271.4229747968889</x:v>
      </x:c>
      <x:c r="G357" s="19" t="n">
        <x:v>1</x:v>
      </x:c>
      <x:c r="H357" s="19" t="n">
        <x:v>7200</x:v>
      </x:c>
      <x:c r="I357" s="24" t="n">
        <x:f>G357*3600/H357</x:f>
        <x:v>0.5</x:v>
      </x:c>
      <x:c r="J357" s="24" t="n">
        <x:v>0</x:v>
      </x:c>
      <x:c r="K357" s="19" t="str">
        <x:v>P0201</x:v>
      </x:c>
    </x:row>
    <x:row r="358" ht="19" customHeight="1">
      <x:c r="A358" s="19" t="str">
        <x:v>C07-M001</x:v>
      </x:c>
      <x:c r="B358" s="19" t="str">
        <x:v>雪原冻角鹿</x:v>
      </x:c>
      <x:c r="C358" s="19" t="n">
        <x:v>7</x:v>
      </x:c>
      <x:c r="D358" s="19" t="n">
        <x:v>1</x:v>
      </x:c>
      <x:c r="E358" s="19" t="str">
        <x:v>普通</x:v>
      </x:c>
      <x:c r="F358" s="34" t="n">
        <x:v>2.9926312200761505</x:v>
      </x:c>
      <x:c r="G358" s="19" t="n">
        <x:v>12</x:v>
      </x:c>
      <x:c r="H358" s="19" t="n">
        <x:v>600</x:v>
      </x:c>
      <x:c r="I358" s="24" t="n">
        <x:f>G358*3600/H358</x:f>
        <x:v>72</x:v>
      </x:c>
      <x:c r="J358" s="24" t="n">
        <x:v>72</x:v>
      </x:c>
      <x:c r="K358" s="19" t="str">
        <x:v>P0213</x:v>
      </x:c>
    </x:row>
    <x:row r="359" ht="19" customHeight="1">
      <x:c r="A359" s="19" t="str">
        <x:v>C07-M002</x:v>
      </x:c>
      <x:c r="B359" s="19" t="str">
        <x:v>霜风放逐兵</x:v>
      </x:c>
      <x:c r="C359" s="19" t="n">
        <x:v>7</x:v>
      </x:c>
      <x:c r="D359" s="19" t="n">
        <x:v>1</x:v>
      </x:c>
      <x:c r="E359" s="19" t="str">
        <x:v>普通</x:v>
      </x:c>
      <x:c r="F359" s="34" t="n">
        <x:v>2.7432452850698046</x:v>
      </x:c>
      <x:c r="G359" s="19" t="n">
        <x:v>12</x:v>
      </x:c>
      <x:c r="H359" s="19" t="n">
        <x:v>600</x:v>
      </x:c>
      <x:c r="I359" s="24" t="n">
        <x:f>G359*3600/H359</x:f>
        <x:v>72</x:v>
      </x:c>
      <x:c r="J359" s="24" t="n">
        <x:v>72</x:v>
      </x:c>
      <x:c r="K359" s="19" t="str">
        <x:v>P0213</x:v>
      </x:c>
    </x:row>
    <x:row r="360" ht="19" customHeight="1">
      <x:c r="A360" s="19" t="str">
        <x:v>C07-M003</x:v>
      </x:c>
      <x:c r="B360" s="19" t="str">
        <x:v>冻土掘冰徒</x:v>
      </x:c>
      <x:c r="C360" s="19" t="n">
        <x:v>7</x:v>
      </x:c>
      <x:c r="D360" s="19" t="n">
        <x:v>1</x:v>
      </x:c>
      <x:c r="E360" s="19" t="str">
        <x:v>普通</x:v>
      </x:c>
      <x:c r="F360" s="34" t="n">
        <x:v>3.491403090088842</x:v>
      </x:c>
      <x:c r="G360" s="19" t="n">
        <x:v>12</x:v>
      </x:c>
      <x:c r="H360" s="19" t="n">
        <x:v>600</x:v>
      </x:c>
      <x:c r="I360" s="24" t="n">
        <x:f>G360*3600/H360</x:f>
        <x:v>72</x:v>
      </x:c>
      <x:c r="J360" s="24" t="n">
        <x:v>72</x:v>
      </x:c>
      <x:c r="K360" s="19" t="str">
        <x:v>P0213</x:v>
      </x:c>
    </x:row>
    <x:row r="361" ht="19" customHeight="1">
      <x:c r="A361" s="19" t="str">
        <x:v>C07-M004</x:v>
      </x:c>
      <x:c r="B361" s="19" t="str">
        <x:v>祭场白烛侍</x:v>
      </x:c>
      <x:c r="C361" s="19" t="n">
        <x:v>7</x:v>
      </x:c>
      <x:c r="D361" s="19" t="n">
        <x:v>1</x:v>
      </x:c>
      <x:c r="E361" s="19" t="str">
        <x:v>普通</x:v>
      </x:c>
      <x:c r="F361" s="34" t="n">
        <x:v>2.7432452850698046</x:v>
      </x:c>
      <x:c r="G361" s="19" t="n">
        <x:v>12</x:v>
      </x:c>
      <x:c r="H361" s="19" t="n">
        <x:v>600</x:v>
      </x:c>
      <x:c r="I361" s="24" t="n">
        <x:f>G361*3600/H361</x:f>
        <x:v>72</x:v>
      </x:c>
      <x:c r="J361" s="24" t="n">
        <x:v>72</x:v>
      </x:c>
      <x:c r="K361" s="19" t="str">
        <x:v>P0213</x:v>
      </x:c>
    </x:row>
    <x:row r="362" ht="19" customHeight="1">
      <x:c r="A362" s="19" t="str">
        <x:v>C07-M005</x:v>
      </x:c>
      <x:c r="B362" s="19" t="str">
        <x:v>苍鬃雪狼</x:v>
      </x:c>
      <x:c r="C362" s="19" t="n">
        <x:v>7</x:v>
      </x:c>
      <x:c r="D362" s="19" t="n">
        <x:v>1</x:v>
      </x:c>
      <x:c r="E362" s="19" t="str">
        <x:v>普通</x:v>
      </x:c>
      <x:c r="F362" s="34" t="n">
        <x:v>3.491403090088842</x:v>
      </x:c>
      <x:c r="G362" s="19" t="n">
        <x:v>12</x:v>
      </x:c>
      <x:c r="H362" s="19" t="n">
        <x:v>600</x:v>
      </x:c>
      <x:c r="I362" s="24" t="n">
        <x:f>G362*3600/H362</x:f>
        <x:v>72</x:v>
      </x:c>
      <x:c r="J362" s="24" t="n">
        <x:v>72</x:v>
      </x:c>
      <x:c r="K362" s="19" t="str">
        <x:v>P0213</x:v>
      </x:c>
    </x:row>
    <x:row r="363" ht="19" customHeight="1">
      <x:c r="A363" s="19" t="str">
        <x:v>C07-M006</x:v>
      </x:c>
      <x:c r="B363" s="19" t="str">
        <x:v>寒羽巡猎鹰</x:v>
      </x:c>
      <x:c r="C363" s="19" t="n">
        <x:v>7</x:v>
      </x:c>
      <x:c r="D363" s="19" t="n">
        <x:v>1</x:v>
      </x:c>
      <x:c r="E363" s="19" t="str">
        <x:v>普通</x:v>
      </x:c>
      <x:c r="F363" s="34" t="n">
        <x:v>3.491403090088842</x:v>
      </x:c>
      <x:c r="G363" s="19" t="n">
        <x:v>12</x:v>
      </x:c>
      <x:c r="H363" s="19" t="n">
        <x:v>600</x:v>
      </x:c>
      <x:c r="I363" s="24" t="n">
        <x:f>G363*3600/H363</x:f>
        <x:v>72</x:v>
      </x:c>
      <x:c r="J363" s="24" t="n">
        <x:v>72</x:v>
      </x:c>
      <x:c r="K363" s="19" t="str">
        <x:v>P0213</x:v>
      </x:c>
    </x:row>
    <x:row r="364" ht="19" customHeight="1">
      <x:c r="A364" s="19" t="str">
        <x:v>C07-M007</x:v>
      </x:c>
      <x:c r="B364" s="19" t="str">
        <x:v>白霜重甲卫</x:v>
      </x:c>
      <x:c r="C364" s="19" t="n">
        <x:v>7</x:v>
      </x:c>
      <x:c r="D364" s="19" t="n">
        <x:v>1</x:v>
      </x:c>
      <x:c r="E364" s="19" t="str">
        <x:v>稀有</x:v>
      </x:c>
      <x:c r="F364" s="34" t="n">
        <x:v>8.788787370111665</x:v>
      </x:c>
      <x:c r="G364" s="19" t="n">
        <x:v>2</x:v>
      </x:c>
      <x:c r="H364" s="19" t="n">
        <x:v>600</x:v>
      </x:c>
      <x:c r="I364" s="24" t="n">
        <x:f>G364*3600/H364</x:f>
        <x:v>12</x:v>
      </x:c>
      <x:c r="J364" s="24" t="n">
        <x:v>12</x:v>
      </x:c>
      <x:c r="K364" s="19" t="str">
        <x:v>P0213</x:v>
      </x:c>
    </x:row>
    <x:row r="365" ht="19" customHeight="1">
      <x:c r="A365" s="19" t="str">
        <x:v>C07-M008</x:v>
      </x:c>
      <x:c r="B365" s="19" t="str">
        <x:v>霜风号角骑</x:v>
      </x:c>
      <x:c r="C365" s="19" t="n">
        <x:v>7</x:v>
      </x:c>
      <x:c r="D365" s="19" t="n">
        <x:v>1</x:v>
      </x:c>
      <x:c r="E365" s="19" t="str">
        <x:v>稀有</x:v>
      </x:c>
      <x:c r="F365" s="34" t="n">
        <x:v>10.653075600135352</x:v>
      </x:c>
      <x:c r="G365" s="19" t="n">
        <x:v>2</x:v>
      </x:c>
      <x:c r="H365" s="19" t="n">
        <x:v>600</x:v>
      </x:c>
      <x:c r="I365" s="24" t="n">
        <x:f>G365*3600/H365</x:f>
        <x:v>12</x:v>
      </x:c>
      <x:c r="J365" s="24" t="n">
        <x:v>12</x:v>
      </x:c>
      <x:c r="K365" s="19" t="str">
        <x:v>P0213</x:v>
      </x:c>
    </x:row>
    <x:row r="366" ht="19" customHeight="1">
      <x:c r="A366" s="19" t="str">
        <x:v>C07-M009</x:v>
      </x:c>
      <x:c r="B366" s="19" t="str">
        <x:v>冻土晶背熊</x:v>
      </x:c>
      <x:c r="C366" s="19" t="n">
        <x:v>7</x:v>
      </x:c>
      <x:c r="D366" s="19" t="n">
        <x:v>1</x:v>
      </x:c>
      <x:c r="E366" s="19" t="str">
        <x:v>稀有</x:v>
      </x:c>
      <x:c r="F366" s="34" t="n">
        <x:v>10.120421820128584</x:v>
      </x:c>
      <x:c r="G366" s="19" t="n">
        <x:v>2</x:v>
      </x:c>
      <x:c r="H366" s="19" t="n">
        <x:v>600</x:v>
      </x:c>
      <x:c r="I366" s="24" t="n">
        <x:f>G366*3600/H366</x:f>
        <x:v>12</x:v>
      </x:c>
      <x:c r="J366" s="24" t="n">
        <x:v>12</x:v>
      </x:c>
      <x:c r="K366" s="19" t="str">
        <x:v>P0213</x:v>
      </x:c>
    </x:row>
    <x:row r="367" ht="19" customHeight="1">
      <x:c r="A367" s="19" t="str">
        <x:v>C07-M010</x:v>
      </x:c>
      <x:c r="B367" s="19" t="str">
        <x:v>苍白祭司</x:v>
      </x:c>
      <x:c r="C367" s="19" t="n">
        <x:v>7</x:v>
      </x:c>
      <x:c r="D367" s="19" t="n">
        <x:v>1</x:v>
      </x:c>
      <x:c r="E367" s="19" t="str">
        <x:v>稀有</x:v>
      </x:c>
      <x:c r="F367" s="34" t="n">
        <x:v>10.653075600135352</x:v>
      </x:c>
      <x:c r="G367" s="19" t="n">
        <x:v>2</x:v>
      </x:c>
      <x:c r="H367" s="19" t="n">
        <x:v>600</x:v>
      </x:c>
      <x:c r="I367" s="24" t="n">
        <x:f>G367*3600/H367</x:f>
        <x:v>12</x:v>
      </x:c>
      <x:c r="J367" s="24" t="n">
        <x:v>12</x:v>
      </x:c>
      <x:c r="K367" s="19" t="str">
        <x:v>P0213</x:v>
      </x:c>
    </x:row>
    <x:row r="368" ht="19" customHeight="1">
      <x:c r="A368" s="19" t="str">
        <x:v>C07-M011</x:v>
      </x:c>
      <x:c r="B368" s="19" t="str">
        <x:v>雪墓巨人·赫洛</x:v>
      </x:c>
      <x:c r="C368" s="19" t="n">
        <x:v>7</x:v>
      </x:c>
      <x:c r="D368" s="19" t="n">
        <x:v>1</x:v>
      </x:c>
      <x:c r="E368" s="19" t="str">
        <x:v>地图BOSS</x:v>
      </x:c>
      <x:c r="F368" s="34" t="n">
        <x:v>67.3247819250756</x:v>
      </x:c>
      <x:c r="G368" s="19" t="n">
        <x:v>1</x:v>
      </x:c>
      <x:c r="H368" s="19" t="n">
        <x:v>1800</x:v>
      </x:c>
      <x:c r="I368" s="24" t="n">
        <x:f>G368*3600/H368</x:f>
        <x:v>2</x:v>
      </x:c>
      <x:c r="J368" s="24" t="n">
        <x:v>2</x:v>
      </x:c>
      <x:c r="K368" s="19" t="str">
        <x:v>P0213</x:v>
      </x:c>
    </x:row>
    <x:row r="369" ht="19" customHeight="1">
      <x:c r="A369" s="19" t="str">
        <x:v>C07-M012</x:v>
      </x:c>
      <x:c r="B369" s="19" t="str">
        <x:v>苍白鹿王·艾尔维</x:v>
      </x:c>
      <x:c r="C369" s="19" t="n">
        <x:v>7</x:v>
      </x:c>
      <x:c r="D369" s="19" t="n">
        <x:v>1</x:v>
      </x:c>
      <x:c r="E369" s="19" t="str">
        <x:v>地图BOSS</x:v>
      </x:c>
      <x:c r="F369" s="34" t="n">
        <x:v>67.3247819250756</x:v>
      </x:c>
      <x:c r="G369" s="19" t="n">
        <x:v>1</x:v>
      </x:c>
      <x:c r="H369" s="19" t="n">
        <x:v>1800</x:v>
      </x:c>
      <x:c r="I369" s="24" t="n">
        <x:f>G369*3600/H369</x:f>
        <x:v>2</x:v>
      </x:c>
      <x:c r="J369" s="24" t="n">
        <x:v>2</x:v>
      </x:c>
      <x:c r="K369" s="19" t="str">
        <x:v>P0213</x:v>
      </x:c>
    </x:row>
    <x:row r="370" ht="19" customHeight="1">
      <x:c r="A370" s="19" t="str">
        <x:v>C07-M013</x:v>
      </x:c>
      <x:c r="B370" s="19" t="str">
        <x:v>荒境雪壳虫</x:v>
      </x:c>
      <x:c r="C370" s="19" t="n">
        <x:v>7</x:v>
      </x:c>
      <x:c r="D370" s="19" t="n">
        <x:v>2</x:v>
      </x:c>
      <x:c r="E370" s="19" t="str">
        <x:v>普通</x:v>
      </x:c>
      <x:c r="F370" s="34" t="n">
        <x:v>3.491403090088842</x:v>
      </x:c>
      <x:c r="G370" s="19" t="n">
        <x:v>12</x:v>
      </x:c>
      <x:c r="H370" s="19" t="n">
        <x:v>600</x:v>
      </x:c>
      <x:c r="I370" s="24" t="n">
        <x:f>G370*3600/H370</x:f>
        <x:v>72</x:v>
      </x:c>
      <x:c r="J370" s="24" t="n">
        <x:v>72</x:v>
      </x:c>
      <x:c r="K370" s="19" t="str">
        <x:v>P0219</x:v>
      </x:c>
    </x:row>
    <x:row r="371" ht="19" customHeight="1">
      <x:c r="A371" s="19" t="str">
        <x:v>C07-M014</x:v>
      </x:c>
      <x:c r="B371" s="19" t="str">
        <x:v>冰封流亡者</x:v>
      </x:c>
      <x:c r="C371" s="19" t="n">
        <x:v>7</x:v>
      </x:c>
      <x:c r="D371" s="19" t="n">
        <x:v>2</x:v>
      </x:c>
      <x:c r="E371" s="19" t="str">
        <x:v>普通</x:v>
      </x:c>
      <x:c r="F371" s="34" t="n">
        <x:v>2.9926312200761505</x:v>
      </x:c>
      <x:c r="G371" s="19" t="n">
        <x:v>12</x:v>
      </x:c>
      <x:c r="H371" s="19" t="n">
        <x:v>600</x:v>
      </x:c>
      <x:c r="I371" s="24" t="n">
        <x:f>G371*3600/H371</x:f>
        <x:v>72</x:v>
      </x:c>
      <x:c r="J371" s="24" t="n">
        <x:v>72</x:v>
      </x:c>
      <x:c r="K371" s="19" t="str">
        <x:v>P0219</x:v>
      </x:c>
    </x:row>
    <x:row r="372" ht="19" customHeight="1">
      <x:c r="A372" s="19" t="str">
        <x:v>C07-M015</x:v>
      </x:c>
      <x:c r="B372" s="19" t="str">
        <x:v>极昼逐光兽</x:v>
      </x:c>
      <x:c r="C372" s="19" t="n">
        <x:v>7</x:v>
      </x:c>
      <x:c r="D372" s="19" t="n">
        <x:v>2</x:v>
      </x:c>
      <x:c r="E372" s="19" t="str">
        <x:v>普通</x:v>
      </x:c>
      <x:c r="F372" s="34" t="n">
        <x:v>2.9926312200761505</x:v>
      </x:c>
      <x:c r="G372" s="19" t="n">
        <x:v>12</x:v>
      </x:c>
      <x:c r="H372" s="19" t="n">
        <x:v>600</x:v>
      </x:c>
      <x:c r="I372" s="24" t="n">
        <x:f>G372*3600/H372</x:f>
        <x:v>72</x:v>
      </x:c>
      <x:c r="J372" s="24" t="n">
        <x:v>72</x:v>
      </x:c>
      <x:c r="K372" s="19" t="str">
        <x:v>P0219</x:v>
      </x:c>
    </x:row>
    <x:row r="373" ht="19" customHeight="1">
      <x:c r="A373" s="19" t="str">
        <x:v>C07-M016</x:v>
      </x:c>
      <x:c r="B373" s="19" t="str">
        <x:v>圣域守碑人</x:v>
      </x:c>
      <x:c r="C373" s="19" t="n">
        <x:v>7</x:v>
      </x:c>
      <x:c r="D373" s="19" t="n">
        <x:v>2</x:v>
      </x:c>
      <x:c r="E373" s="19" t="str">
        <x:v>普通</x:v>
      </x:c>
      <x:c r="F373" s="34" t="n">
        <x:v>2.9926312200761505</x:v>
      </x:c>
      <x:c r="G373" s="19" t="n">
        <x:v>12</x:v>
      </x:c>
      <x:c r="H373" s="19" t="n">
        <x:v>600</x:v>
      </x:c>
      <x:c r="I373" s="24" t="n">
        <x:f>G373*3600/H373</x:f>
        <x:v>72</x:v>
      </x:c>
      <x:c r="J373" s="24" t="n">
        <x:v>72</x:v>
      </x:c>
      <x:c r="K373" s="19" t="str">
        <x:v>P0219</x:v>
      </x:c>
    </x:row>
    <x:row r="374" ht="19" customHeight="1">
      <x:c r="A374" s="19" t="str">
        <x:v>C07-M017</x:v>
      </x:c>
      <x:c r="B374" s="19" t="str">
        <x:v>永冻霜牙狼</x:v>
      </x:c>
      <x:c r="C374" s="19" t="n">
        <x:v>7</x:v>
      </x:c>
      <x:c r="D374" s="19" t="n">
        <x:v>2</x:v>
      </x:c>
      <x:c r="E374" s="19" t="str">
        <x:v>普通</x:v>
      </x:c>
      <x:c r="F374" s="34" t="n">
        <x:v>2.7432452850698046</x:v>
      </x:c>
      <x:c r="G374" s="19" t="n">
        <x:v>12</x:v>
      </x:c>
      <x:c r="H374" s="19" t="n">
        <x:v>600</x:v>
      </x:c>
      <x:c r="I374" s="24" t="n">
        <x:f>G374*3600/H374</x:f>
        <x:v>72</x:v>
      </x:c>
      <x:c r="J374" s="24" t="n">
        <x:v>72</x:v>
      </x:c>
      <x:c r="K374" s="19" t="str">
        <x:v>P0219</x:v>
      </x:c>
    </x:row>
    <x:row r="375" ht="19" customHeight="1">
      <x:c r="A375" s="19" t="str">
        <x:v>C07-M018</x:v>
      </x:c>
      <x:c r="B375" s="19" t="str">
        <x:v>旷野寒弓手</x:v>
      </x:c>
      <x:c r="C375" s="19" t="n">
        <x:v>7</x:v>
      </x:c>
      <x:c r="D375" s="19" t="n">
        <x:v>2</x:v>
      </x:c>
      <x:c r="E375" s="19" t="str">
        <x:v>普通</x:v>
      </x:c>
      <x:c r="F375" s="34" t="n">
        <x:v>2.7432452850698046</x:v>
      </x:c>
      <x:c r="G375" s="19" t="n">
        <x:v>12</x:v>
      </x:c>
      <x:c r="H375" s="19" t="n">
        <x:v>600</x:v>
      </x:c>
      <x:c r="I375" s="24" t="n">
        <x:f>G375*3600/H375</x:f>
        <x:v>72</x:v>
      </x:c>
      <x:c r="J375" s="24" t="n">
        <x:v>72</x:v>
      </x:c>
      <x:c r="K375" s="19" t="str">
        <x:v>P0219</x:v>
      </x:c>
    </x:row>
    <x:row r="376" ht="19" customHeight="1">
      <x:c r="A376" s="19" t="str">
        <x:v>C07-M019</x:v>
      </x:c>
      <x:c r="B376" s="19" t="str">
        <x:v>荒境冰甲犀</x:v>
      </x:c>
      <x:c r="C376" s="19" t="n">
        <x:v>7</x:v>
      </x:c>
      <x:c r="D376" s="19" t="n">
        <x:v>2</x:v>
      </x:c>
      <x:c r="E376" s="19" t="str">
        <x:v>稀有</x:v>
      </x:c>
      <x:c r="F376" s="34" t="n">
        <x:v>9.321441150118433</x:v>
      </x:c>
      <x:c r="G376" s="19" t="n">
        <x:v>2</x:v>
      </x:c>
      <x:c r="H376" s="19" t="n">
        <x:v>600</x:v>
      </x:c>
      <x:c r="I376" s="24" t="n">
        <x:f>G376*3600/H376</x:f>
        <x:v>12</x:v>
      </x:c>
      <x:c r="J376" s="24" t="n">
        <x:v>12</x:v>
      </x:c>
      <x:c r="K376" s="19" t="str">
        <x:v>P0219</x:v>
      </x:c>
    </x:row>
    <x:row r="377" ht="19" customHeight="1">
      <x:c r="A377" s="19" t="str">
        <x:v>C07-M020</x:v>
      </x:c>
      <x:c r="B377" s="19" t="str">
        <x:v>冰封审判骑</x:v>
      </x:c>
      <x:c r="C377" s="19" t="n">
        <x:v>7</x:v>
      </x:c>
      <x:c r="D377" s="19" t="n">
        <x:v>2</x:v>
      </x:c>
      <x:c r="E377" s="19" t="str">
        <x:v>稀有</x:v>
      </x:c>
      <x:c r="F377" s="34" t="n">
        <x:v>10.653075600135352</x:v>
      </x:c>
      <x:c r="G377" s="19" t="n">
        <x:v>2</x:v>
      </x:c>
      <x:c r="H377" s="19" t="n">
        <x:v>600</x:v>
      </x:c>
      <x:c r="I377" s="24" t="n">
        <x:f>G377*3600/H377</x:f>
        <x:v>12</x:v>
      </x:c>
      <x:c r="J377" s="24" t="n">
        <x:v>12</x:v>
      </x:c>
      <x:c r="K377" s="19" t="str">
        <x:v>P0219</x:v>
      </x:c>
    </x:row>
    <x:row r="378" ht="19" customHeight="1">
      <x:c r="A378" s="19" t="str">
        <x:v>C07-M021</x:v>
      </x:c>
      <x:c r="B378" s="19" t="str">
        <x:v>极昼白翼鹫</x:v>
      </x:c>
      <x:c r="C378" s="19" t="n">
        <x:v>7</x:v>
      </x:c>
      <x:c r="D378" s="19" t="n">
        <x:v>2</x:v>
      </x:c>
      <x:c r="E378" s="19" t="str">
        <x:v>稀有</x:v>
      </x:c>
      <x:c r="F378" s="34" t="n">
        <x:v>8.256133590104898</x:v>
      </x:c>
      <x:c r="G378" s="19" t="n">
        <x:v>2</x:v>
      </x:c>
      <x:c r="H378" s="19" t="n">
        <x:v>600</x:v>
      </x:c>
      <x:c r="I378" s="24" t="n">
        <x:f>G378*3600/H378</x:f>
        <x:v>12</x:v>
      </x:c>
      <x:c r="J378" s="24" t="n">
        <x:v>12</x:v>
      </x:c>
      <x:c r="K378" s="19" t="str">
        <x:v>P0219</x:v>
      </x:c>
    </x:row>
    <x:row r="379" ht="19" customHeight="1">
      <x:c r="A379" s="19" t="str">
        <x:v>C07-M022</x:v>
      </x:c>
      <x:c r="B379" s="19" t="str">
        <x:v>圣域默祷师</x:v>
      </x:c>
      <x:c r="C379" s="19" t="n">
        <x:v>7</x:v>
      </x:c>
      <x:c r="D379" s="19" t="n">
        <x:v>2</x:v>
      </x:c>
      <x:c r="E379" s="19" t="str">
        <x:v>稀有</x:v>
      </x:c>
      <x:c r="F379" s="34" t="n">
        <x:v>10.120421820128584</x:v>
      </x:c>
      <x:c r="G379" s="19" t="n">
        <x:v>2</x:v>
      </x:c>
      <x:c r="H379" s="19" t="n">
        <x:v>600</x:v>
      </x:c>
      <x:c r="I379" s="24" t="n">
        <x:f>G379*3600/H379</x:f>
        <x:v>12</x:v>
      </x:c>
      <x:c r="J379" s="24" t="n">
        <x:v>12</x:v>
      </x:c>
      <x:c r="K379" s="19" t="str">
        <x:v>P0219</x:v>
      </x:c>
    </x:row>
    <x:row r="380" ht="19" customHeight="1">
      <x:c r="A380" s="19" t="str">
        <x:v>C07-M023</x:v>
      </x:c>
      <x:c r="B380" s="19" t="str">
        <x:v>极昼雪后·芙蕾</x:v>
      </x:c>
      <x:c r="C380" s="19" t="n">
        <x:v>7</x:v>
      </x:c>
      <x:c r="D380" s="19" t="n">
        <x:v>2</x:v>
      </x:c>
      <x:c r="E380" s="19" t="str">
        <x:v>地图BOSS</x:v>
      </x:c>
      <x:c r="F380" s="34" t="n">
        <x:v>82.49596409025371</x:v>
      </x:c>
      <x:c r="G380" s="19" t="n">
        <x:v>1</x:v>
      </x:c>
      <x:c r="H380" s="19" t="n">
        <x:v>1800</x:v>
      </x:c>
      <x:c r="I380" s="24" t="n">
        <x:f>G380*3600/H380</x:f>
        <x:v>2</x:v>
      </x:c>
      <x:c r="J380" s="24" t="n">
        <x:v>2</x:v>
      </x:c>
      <x:c r="K380" s="19" t="str">
        <x:v>P0219</x:v>
      </x:c>
    </x:row>
    <x:row r="381" ht="19" customHeight="1">
      <x:c r="A381" s="19" t="str">
        <x:v>C07-M024</x:v>
      </x:c>
      <x:c r="B381" s="19" t="str">
        <x:v>永冻圣兽·乌尔</x:v>
      </x:c>
      <x:c r="C381" s="19" t="n">
        <x:v>7</x:v>
      </x:c>
      <x:c r="D381" s="19" t="n">
        <x:v>2</x:v>
      </x:c>
      <x:c r="E381" s="19" t="str">
        <x:v>地图BOSS</x:v>
      </x:c>
      <x:c r="F381" s="34" t="n">
        <x:v>86.08274513765603</x:v>
      </x:c>
      <x:c r="G381" s="19" t="n">
        <x:v>1</x:v>
      </x:c>
      <x:c r="H381" s="19" t="n">
        <x:v>1800</x:v>
      </x:c>
      <x:c r="I381" s="24" t="n">
        <x:f>G381*3600/H381</x:f>
        <x:v>2</x:v>
      </x:c>
      <x:c r="J381" s="24" t="n">
        <x:v>2</x:v>
      </x:c>
      <x:c r="K381" s="19" t="str">
        <x:v>P0219</x:v>
      </x:c>
    </x:row>
    <x:row r="382" ht="19" customHeight="1">
      <x:c r="A382" s="19" t="str">
        <x:v>C07-M025</x:v>
      </x:c>
      <x:c r="B382" s="19" t="str">
        <x:v>禁域冻喉兽</x:v>
      </x:c>
      <x:c r="C382" s="19" t="n">
        <x:v>7</x:v>
      </x:c>
      <x:c r="D382" s="19" t="n">
        <x:v>3</x:v>
      </x:c>
      <x:c r="E382" s="19" t="str">
        <x:v>普通</x:v>
      </x:c>
      <x:c r="F382" s="34" t="n">
        <x:v>2.883162462786651</x:v>
      </x:c>
      <x:c r="G382" s="19" t="n">
        <x:v>12</x:v>
      </x:c>
      <x:c r="H382" s="19" t="n">
        <x:v>600</x:v>
      </x:c>
      <x:c r="I382" s="24" t="n">
        <x:f>G382*3600/H382</x:f>
        <x:v>72</x:v>
      </x:c>
      <x:c r="J382" s="24" t="n">
        <x:v>72</x:v>
      </x:c>
      <x:c r="K382" s="19" t="str">
        <x:v>P0225</x:v>
      </x:c>
    </x:row>
    <x:row r="383" ht="19" customHeight="1">
      <x:c r="A383" s="19" t="str">
        <x:v>C07-M026</x:v>
      </x:c>
      <x:c r="B383" s="19" t="str">
        <x:v>雾界迷途兵</x:v>
      </x:c>
      <x:c r="C383" s="19" t="n">
        <x:v>7</x:v>
      </x:c>
      <x:c r="D383" s="19" t="n">
        <x:v>3</x:v>
      </x:c>
      <x:c r="E383" s="19" t="str">
        <x:v>普通</x:v>
      </x:c>
      <x:c r="F383" s="34" t="n">
        <x:v>2.883162462786651</x:v>
      </x:c>
      <x:c r="G383" s="19" t="n">
        <x:v>12</x:v>
      </x:c>
      <x:c r="H383" s="19" t="n">
        <x:v>600</x:v>
      </x:c>
      <x:c r="I383" s="24" t="n">
        <x:f>G383*3600/H383</x:f>
        <x:v>72</x:v>
      </x:c>
      <x:c r="J383" s="24" t="n">
        <x:v>72</x:v>
      </x:c>
      <x:c r="K383" s="19" t="str">
        <x:v>P0225</x:v>
      </x:c>
    </x:row>
    <x:row r="384" ht="19" customHeight="1">
      <x:c r="A384" s="19" t="str">
        <x:v>C07-M027</x:v>
      </x:c>
      <x:c r="B384" s="19" t="str">
        <x:v>寒狱锁链卒</x:v>
      </x:c>
      <x:c r="C384" s="19" t="n">
        <x:v>7</x:v>
      </x:c>
      <x:c r="D384" s="19" t="n">
        <x:v>3</x:v>
      </x:c>
      <x:c r="E384" s="19" t="str">
        <x:v>普通</x:v>
      </x:c>
      <x:c r="F384" s="34" t="n">
        <x:v>3.267584124491538</x:v>
      </x:c>
      <x:c r="G384" s="19" t="n">
        <x:v>12</x:v>
      </x:c>
      <x:c r="H384" s="19" t="n">
        <x:v>600</x:v>
      </x:c>
      <x:c r="I384" s="24" t="n">
        <x:f>G384*3600/H384</x:f>
        <x:v>72</x:v>
      </x:c>
      <x:c r="J384" s="24" t="n">
        <x:v>72</x:v>
      </x:c>
      <x:c r="K384" s="19" t="str">
        <x:v>P0225</x:v>
      </x:c>
    </x:row>
    <x:row r="385" ht="19" customHeight="1">
      <x:c r="A385" s="19" t="str">
        <x:v>C07-M028</x:v>
      </x:c>
      <x:c r="B385" s="19" t="str">
        <x:v>祭坛守烛女</x:v>
      </x:c>
      <x:c r="C385" s="19" t="n">
        <x:v>7</x:v>
      </x:c>
      <x:c r="D385" s="19" t="n">
        <x:v>3</x:v>
      </x:c>
      <x:c r="E385" s="19" t="str">
        <x:v>普通</x:v>
      </x:c>
      <x:c r="F385" s="34" t="n">
        <x:v>2.6909516319342077</x:v>
      </x:c>
      <x:c r="G385" s="19" t="n">
        <x:v>12</x:v>
      </x:c>
      <x:c r="H385" s="19" t="n">
        <x:v>600</x:v>
      </x:c>
      <x:c r="I385" s="24" t="n">
        <x:f>G385*3600/H385</x:f>
        <x:v>72</x:v>
      </x:c>
      <x:c r="J385" s="24" t="n">
        <x:v>72</x:v>
      </x:c>
      <x:c r="K385" s="19" t="str">
        <x:v>P0225</x:v>
      </x:c>
    </x:row>
    <x:row r="386" ht="19" customHeight="1">
      <x:c r="A386" s="19" t="str">
        <x:v>C07-M029</x:v>
      </x:c>
      <x:c r="B386" s="19" t="str">
        <x:v>圣所白甲卫</x:v>
      </x:c>
      <x:c r="C386" s="19" t="n">
        <x:v>7</x:v>
      </x:c>
      <x:c r="D386" s="19" t="n">
        <x:v>3</x:v>
      </x:c>
      <x:c r="E386" s="19" t="str">
        <x:v>普通</x:v>
      </x:c>
      <x:c r="F386" s="34" t="n">
        <x:v>7.599223479907278</x:v>
      </x:c>
      <x:c r="G386" s="19" t="n">
        <x:v>12</x:v>
      </x:c>
      <x:c r="H386" s="19" t="n">
        <x:v>600</x:v>
      </x:c>
      <x:c r="I386" s="24" t="n">
        <x:f>G386*3600/H386</x:f>
        <x:v>72</x:v>
      </x:c>
      <x:c r="J386" s="24" t="n">
        <x:v>56.847913624626166</x:v>
      </x:c>
      <x:c r="K386" s="19" t="str">
        <x:v>P0225</x:v>
      </x:c>
    </x:row>
    <x:row r="387" ht="19" customHeight="1">
      <x:c r="A387" s="19" t="str">
        <x:v>C07-M030</x:v>
      </x:c>
      <x:c r="B387" s="19" t="str">
        <x:v>极寒巡界狼</x:v>
      </x:c>
      <x:c r="C387" s="19" t="n">
        <x:v>7</x:v>
      </x:c>
      <x:c r="D387" s="19" t="n">
        <x:v>3</x:v>
      </x:c>
      <x:c r="E387" s="19" t="str">
        <x:v>普通</x:v>
      </x:c>
      <x:c r="F387" s="34" t="n">
        <x:v>2.883162462786651</x:v>
      </x:c>
      <x:c r="G387" s="19" t="n">
        <x:v>12</x:v>
      </x:c>
      <x:c r="H387" s="19" t="n">
        <x:v>600</x:v>
      </x:c>
      <x:c r="I387" s="24" t="n">
        <x:f>G387*3600/H387</x:f>
        <x:v>72</x:v>
      </x:c>
      <x:c r="J387" s="24" t="n">
        <x:v>72</x:v>
      </x:c>
      <x:c r="K387" s="19" t="str">
        <x:v>P0225</x:v>
      </x:c>
    </x:row>
    <x:row r="388" ht="19" customHeight="1">
      <x:c r="A388" s="19" t="str">
        <x:v>C07-M031</x:v>
      </x:c>
      <x:c r="B388" s="19" t="str">
        <x:v>冻雾幻刃客</x:v>
      </x:c>
      <x:c r="C388" s="19" t="n">
        <x:v>7</x:v>
      </x:c>
      <x:c r="D388" s="19" t="n">
        <x:v>3</x:v>
      </x:c>
      <x:c r="E388" s="19" t="str">
        <x:v>稀有</x:v>
      </x:c>
      <x:c r="F388" s="34" t="n">
        <x:v>8.603268016882543</x:v>
      </x:c>
      <x:c r="G388" s="19" t="n">
        <x:v>2</x:v>
      </x:c>
      <x:c r="H388" s="19" t="n">
        <x:v>600</x:v>
      </x:c>
      <x:c r="I388" s="24" t="n">
        <x:f>G388*3600/H388</x:f>
        <x:v>12</x:v>
      </x:c>
      <x:c r="J388" s="24" t="n">
        <x:v>12</x:v>
      </x:c>
      <x:c r="K388" s="19" t="str">
        <x:v>P0225</x:v>
      </x:c>
    </x:row>
    <x:row r="389" ht="19" customHeight="1">
      <x:c r="A389" s="19" t="str">
        <x:v>C07-M032</x:v>
      </x:c>
      <x:c r="B389" s="19" t="str">
        <x:v>寒狱冰骨将</x:v>
      </x:c>
      <x:c r="C389" s="19" t="n">
        <x:v>7</x:v>
      </x:c>
      <x:c r="D389" s="19" t="n">
        <x:v>3</x:v>
      </x:c>
      <x:c r="E389" s="19" t="str">
        <x:v>稀有</x:v>
      </x:c>
      <x:c r="F389" s="34" t="n">
        <x:v>10.037146019696301</x:v>
      </x:c>
      <x:c r="G389" s="19" t="n">
        <x:v>2</x:v>
      </x:c>
      <x:c r="H389" s="19" t="n">
        <x:v>600</x:v>
      </x:c>
      <x:c r="I389" s="24" t="n">
        <x:f>G389*3600/H389</x:f>
        <x:v>12</x:v>
      </x:c>
      <x:c r="J389" s="24" t="n">
        <x:v>12</x:v>
      </x:c>
      <x:c r="K389" s="19" t="str">
        <x:v>P0225</x:v>
      </x:c>
    </x:row>
    <x:row r="390" ht="19" customHeight="1">
      <x:c r="A390" s="19" t="str">
        <x:v>C07-M033</x:v>
      </x:c>
      <x:c r="B390" s="19" t="str">
        <x:v>祭坛霜钟僧</x:v>
      </x:c>
      <x:c r="C390" s="19" t="n">
        <x:v>7</x:v>
      </x:c>
      <x:c r="D390" s="19" t="n">
        <x:v>3</x:v>
      </x:c>
      <x:c r="E390" s="19" t="str">
        <x:v>稀有</x:v>
      </x:c>
      <x:c r="F390" s="34" t="n">
        <x:v>8.193588587507184</x:v>
      </x:c>
      <x:c r="G390" s="19" t="n">
        <x:v>2</x:v>
      </x:c>
      <x:c r="H390" s="19" t="n">
        <x:v>600</x:v>
      </x:c>
      <x:c r="I390" s="24" t="n">
        <x:f>G390*3600/H390</x:f>
        <x:v>12</x:v>
      </x:c>
      <x:c r="J390" s="24" t="n">
        <x:v>12</x:v>
      </x:c>
      <x:c r="K390" s="19" t="str">
        <x:v>P0225</x:v>
      </x:c>
    </x:row>
    <x:row r="391" ht="19" customHeight="1">
      <x:c r="A391" s="19" t="str">
        <x:v>C07-M034</x:v>
      </x:c>
      <x:c r="B391" s="19" t="str">
        <x:v>圣所银角兽</x:v>
      </x:c>
      <x:c r="C391" s="19" t="n">
        <x:v>7</x:v>
      </x:c>
      <x:c r="D391" s="19" t="n">
        <x:v>3</x:v>
      </x:c>
      <x:c r="E391" s="19" t="str">
        <x:v>稀有</x:v>
      </x:c>
      <x:c r="F391" s="34" t="n">
        <x:v>21.596046557398736</x:v>
      </x:c>
      <x:c r="G391" s="19" t="n">
        <x:v>2</x:v>
      </x:c>
      <x:c r="H391" s="19" t="n">
        <x:v>600</x:v>
      </x:c>
      <x:c r="I391" s="24" t="n">
        <x:f>G391*3600/H391</x:f>
        <x:v>12</x:v>
      </x:c>
      <x:c r="J391" s="24" t="n">
        <x:v>7.501372974420604</x:v>
      </x:c>
      <x:c r="K391" s="19" t="str">
        <x:v>P0225</x:v>
      </x:c>
    </x:row>
    <x:row r="392" ht="19" customHeight="1">
      <x:c r="A392" s="19" t="str">
        <x:v>C07-M035</x:v>
      </x:c>
      <x:c r="B392" s="19" t="str">
        <x:v>冰祭审判者·诺薇</x:v>
      </x:c>
      <x:c r="C392" s="19" t="n">
        <x:v>7</x:v>
      </x:c>
      <x:c r="D392" s="19" t="n">
        <x:v>3</x:v>
      </x:c>
      <x:c r="E392" s="19" t="str">
        <x:v>地图BOSS</x:v>
      </x:c>
      <x:c r="F392" s="34" t="n">
        <x:v>81.70541380969449</x:v>
      </x:c>
      <x:c r="G392" s="19" t="n">
        <x:v>1</x:v>
      </x:c>
      <x:c r="H392" s="19" t="n">
        <x:v>1800</x:v>
      </x:c>
      <x:c r="I392" s="24" t="n">
        <x:f>G392*3600/H392</x:f>
        <x:v>2</x:v>
      </x:c>
      <x:c r="J392" s="24" t="n">
        <x:v>2</x:v>
      </x:c>
      <x:c r="K392" s="19" t="str">
        <x:v>P0225</x:v>
      </x:c>
    </x:row>
    <x:row r="393" ht="19" customHeight="1">
      <x:c r="A393" s="19" t="str">
        <x:v>C07-M036</x:v>
      </x:c>
      <x:c r="B393" s="19" t="str">
        <x:v>极寒圣女·希尔达</x:v>
      </x:c>
      <x:c r="C393" s="19" t="n">
        <x:v>7</x:v>
      </x:c>
      <x:c r="D393" s="19" t="n">
        <x:v>3</x:v>
      </x:c>
      <x:c r="E393" s="19" t="str">
        <x:v>地图BOSS</x:v>
      </x:c>
      <x:c r="F393" s="34" t="n">
        <x:v>74.71430771200532</x:v>
      </x:c>
      <x:c r="G393" s="19" t="n">
        <x:v>1</x:v>
      </x:c>
      <x:c r="H393" s="19" t="n">
        <x:v>1800</x:v>
      </x:c>
      <x:c r="I393" s="24" t="n">
        <x:f>G393*3600/H393</x:f>
        <x:v>2</x:v>
      </x:c>
      <x:c r="J393" s="24" t="n">
        <x:v>2</x:v>
      </x:c>
      <x:c r="K393" s="19" t="str">
        <x:v>P0225</x:v>
      </x:c>
    </x:row>
    <x:row r="394" ht="19" customHeight="1">
      <x:c r="A394" s="19" t="str">
        <x:v>C07-M037</x:v>
      </x:c>
      <x:c r="B394" s="19" t="str">
        <x:v>化圣霜王·埃琉斯</x:v>
      </x:c>
      <x:c r="C394" s="19" t="n">
        <x:v>7</x:v>
      </x:c>
      <x:c r="D394" s="19" t="n">
        <x:v>3</x:v>
      </x:c>
      <x:c r="E394" s="19" t="str">
        <x:v>守关BOSS</x:v>
      </x:c>
      <x:c r="F394" s="34" t="n">
        <x:v>299.287372883396</x:v>
      </x:c>
      <x:c r="G394" s="19" t="n">
        <x:v>1</x:v>
      </x:c>
      <x:c r="H394" s="19" t="n">
        <x:v>7200</x:v>
      </x:c>
      <x:c r="I394" s="24" t="n">
        <x:f>G394*3600/H394</x:f>
        <x:v>0.5</x:v>
      </x:c>
      <x:c r="J394" s="24" t="n">
        <x:v>0</x:v>
      </x:c>
      <x:c r="K394" s="19" t="str">
        <x:v>P0225</x:v>
      </x:c>
    </x:row>
    <x:row r="395" ht="19" customHeight="1">
      <x:c r="A395" s="19" t="str">
        <x:v>C08-M001</x:v>
      </x:c>
      <x:c r="B395" s="19" t="str">
        <x:v>霜蹄岩羊</x:v>
      </x:c>
      <x:c r="C395" s="19" t="n">
        <x:v>8</x:v>
      </x:c>
      <x:c r="D395" s="19" t="n">
        <x:v>1</x:v>
      </x:c>
      <x:c r="E395" s="19" t="str">
        <x:v>普通</x:v>
      </x:c>
      <x:c r="F395" s="34" t="n">
        <x:v>2.3328553556065517</x:v>
      </x:c>
      <x:c r="G395" s="19" t="n">
        <x:v>12</x:v>
      </x:c>
      <x:c r="H395" s="19" t="n">
        <x:v>600</x:v>
      </x:c>
      <x:c r="I395" s="24" t="n">
        <x:f>G395*3600/H395</x:f>
        <x:v>72</x:v>
      </x:c>
      <x:c r="J395" s="24" t="n">
        <x:v>72</x:v>
      </x:c>
      <x:c r="K395" s="19" t="str">
        <x:v>P0237</x:v>
      </x:c>
    </x:row>
    <x:row r="396" ht="19" customHeight="1">
      <x:c r="A396" s="19" t="str">
        <x:v>C08-M002</x:v>
      </x:c>
      <x:c r="B396" s="19" t="str">
        <x:v>背冰拾荒者</x:v>
      </x:c>
      <x:c r="C396" s="19" t="n">
        <x:v>8</x:v>
      </x:c>
      <x:c r="D396" s="19" t="n">
        <x:v>1</x:v>
      </x:c>
      <x:c r="E396" s="19" t="str">
        <x:v>普通</x:v>
      </x:c>
      <x:c r="F396" s="34" t="n">
        <x:v>2.4494981233868796</x:v>
      </x:c>
      <x:c r="G396" s="19" t="n">
        <x:v>12</x:v>
      </x:c>
      <x:c r="H396" s="19" t="n">
        <x:v>600</x:v>
      </x:c>
      <x:c r="I396" s="24" t="n">
        <x:f>G396*3600/H396</x:f>
        <x:v>72</x:v>
      </x:c>
      <x:c r="J396" s="24" t="n">
        <x:v>72</x:v>
      </x:c>
      <x:c r="K396" s="19" t="str">
        <x:v>P0237</x:v>
      </x:c>
    </x:row>
    <x:row r="397" ht="19" customHeight="1">
      <x:c r="A397" s="19" t="str">
        <x:v>C08-M003</x:v>
      </x:c>
      <x:c r="B397" s="19" t="str">
        <x:v>冰脊雪猿</x:v>
      </x:c>
      <x:c r="C397" s="19" t="n">
        <x:v>8</x:v>
      </x:c>
      <x:c r="D397" s="19" t="n">
        <x:v>1</x:v>
      </x:c>
      <x:c r="E397" s="19" t="str">
        <x:v>普通</x:v>
      </x:c>
      <x:c r="F397" s="34" t="n">
        <x:v>2.9743905783983537</x:v>
      </x:c>
      <x:c r="G397" s="19" t="n">
        <x:v>12</x:v>
      </x:c>
      <x:c r="H397" s="19" t="n">
        <x:v>600</x:v>
      </x:c>
      <x:c r="I397" s="24" t="n">
        <x:f>G397*3600/H397</x:f>
        <x:v>72</x:v>
      </x:c>
      <x:c r="J397" s="24" t="n">
        <x:v>72</x:v>
      </x:c>
      <x:c r="K397" s="19" t="str">
        <x:v>P0237</x:v>
      </x:c>
    </x:row>
    <x:row r="398" ht="19" customHeight="1">
      <x:c r="A398" s="19" t="str">
        <x:v>C08-M004</x:v>
      </x:c>
      <x:c r="B398" s="19" t="str">
        <x:v>古道冻骸</x:v>
      </x:c>
      <x:c r="C398" s="19" t="n">
        <x:v>8</x:v>
      </x:c>
      <x:c r="D398" s="19" t="n">
        <x:v>1</x:v>
      </x:c>
      <x:c r="E398" s="19" t="str">
        <x:v>普通</x:v>
      </x:c>
      <x:c r="F398" s="34" t="n">
        <x:v>2.9743905783983537</x:v>
      </x:c>
      <x:c r="G398" s="19" t="n">
        <x:v>12</x:v>
      </x:c>
      <x:c r="H398" s="19" t="n">
        <x:v>600</x:v>
      </x:c>
      <x:c r="I398" s="24" t="n">
        <x:f>G398*3600/H398</x:f>
        <x:v>72</x:v>
      </x:c>
      <x:c r="J398" s="24" t="n">
        <x:v>72</x:v>
      </x:c>
      <x:c r="K398" s="19" t="str">
        <x:v>P0237</x:v>
      </x:c>
    </x:row>
    <x:row r="399" ht="19" customHeight="1">
      <x:c r="A399" s="19" t="str">
        <x:v>C08-M005</x:v>
      </x:c>
      <x:c r="B399" s="19" t="str">
        <x:v>暴雪青隼</x:v>
      </x:c>
      <x:c r="C399" s="19" t="n">
        <x:v>8</x:v>
      </x:c>
      <x:c r="D399" s="19" t="n">
        <x:v>1</x:v>
      </x:c>
      <x:c r="E399" s="19" t="str">
        <x:v>普通</x:v>
      </x:c>
      <x:c r="F399" s="34" t="n">
        <x:v>2.4494981233868796</x:v>
      </x:c>
      <x:c r="G399" s="19" t="n">
        <x:v>12</x:v>
      </x:c>
      <x:c r="H399" s="19" t="n">
        <x:v>600</x:v>
      </x:c>
      <x:c r="I399" s="24" t="n">
        <x:f>G399*3600/H399</x:f>
        <x:v>72</x:v>
      </x:c>
      <x:c r="J399" s="24" t="n">
        <x:v>72</x:v>
      </x:c>
      <x:c r="K399" s="19" t="str">
        <x:v>P0237</x:v>
      </x:c>
    </x:row>
    <x:row r="400" ht="19" customHeight="1">
      <x:c r="A400" s="19" t="str">
        <x:v>C08-M006</x:v>
      </x:c>
      <x:c r="B400" s="19" t="str">
        <x:v>祭台霜烛灵</x:v>
      </x:c>
      <x:c r="C400" s="19" t="n">
        <x:v>8</x:v>
      </x:c>
      <x:c r="D400" s="19" t="n">
        <x:v>1</x:v>
      </x:c>
      <x:c r="E400" s="19" t="str">
        <x:v>普通</x:v>
      </x:c>
      <x:c r="F400" s="34" t="n">
        <x:v>2.9743905783983537</x:v>
      </x:c>
      <x:c r="G400" s="19" t="n">
        <x:v>12</x:v>
      </x:c>
      <x:c r="H400" s="19" t="n">
        <x:v>600</x:v>
      </x:c>
      <x:c r="I400" s="24" t="n">
        <x:f>G400*3600/H400</x:f>
        <x:v>72</x:v>
      </x:c>
      <x:c r="J400" s="24" t="n">
        <x:v>72</x:v>
      </x:c>
      <x:c r="K400" s="19" t="str">
        <x:v>P0237</x:v>
      </x:c>
    </x:row>
    <x:row r="401" ht="19" customHeight="1">
      <x:c r="A401" s="19" t="str">
        <x:v>C08-M007</x:v>
      </x:c>
      <x:c r="B401" s="19" t="str">
        <x:v>雾凇引路人</x:v>
      </x:c>
      <x:c r="C401" s="19" t="n">
        <x:v>8</x:v>
      </x:c>
      <x:c r="D401" s="19" t="n">
        <x:v>1</x:v>
      </x:c>
      <x:c r="E401" s="19" t="str">
        <x:v>稀有</x:v>
      </x:c>
      <x:c r="F401" s="34" t="n">
        <x:v>8.083486508339163</x:v>
      </x:c>
      <x:c r="G401" s="19" t="n">
        <x:v>2</x:v>
      </x:c>
      <x:c r="H401" s="19" t="n">
        <x:v>600</x:v>
      </x:c>
      <x:c r="I401" s="24" t="n">
        <x:f>G401*3600/H401</x:f>
        <x:v>12</x:v>
      </x:c>
      <x:c r="J401" s="24" t="n">
        <x:v>12</x:v>
      </x:c>
      <x:c r="K401" s="19" t="str">
        <x:v>P0237</x:v>
      </x:c>
    </x:row>
    <x:row r="402" ht="19" customHeight="1">
      <x:c r="A402" s="19" t="str">
        <x:v>C08-M008</x:v>
      </x:c>
      <x:c r="B402" s="19" t="str">
        <x:v>冰脊驮碑兽</x:v>
      </x:c>
      <x:c r="C402" s="19" t="n">
        <x:v>8</x:v>
      </x:c>
      <x:c r="D402" s="19" t="n">
        <x:v>1</x:v>
      </x:c>
      <x:c r="E402" s="19" t="str">
        <x:v>稀有</x:v>
      </x:c>
      <x:c r="F402" s="34" t="n">
        <x:v>7.461679853851536</x:v>
      </x:c>
      <x:c r="G402" s="19" t="n">
        <x:v>2</x:v>
      </x:c>
      <x:c r="H402" s="19" t="n">
        <x:v>600</x:v>
      </x:c>
      <x:c r="I402" s="24" t="n">
        <x:f>G402*3600/H402</x:f>
        <x:v>12</x:v>
      </x:c>
      <x:c r="J402" s="24" t="n">
        <x:v>12</x:v>
      </x:c>
      <x:c r="K402" s="19" t="str">
        <x:v>P0237</x:v>
      </x:c>
    </x:row>
    <x:row r="403" ht="19" customHeight="1">
      <x:c r="A403" s="19" t="str">
        <x:v>C08-M009</x:v>
      </x:c>
      <x:c r="B403" s="19" t="str">
        <x:v>啸峰白魈</x:v>
      </x:c>
      <x:c r="C403" s="19" t="n">
        <x:v>8</x:v>
      </x:c>
      <x:c r="D403" s="19" t="n">
        <x:v>1</x:v>
      </x:c>
      <x:c r="E403" s="19" t="str">
        <x:v>稀有</x:v>
      </x:c>
      <x:c r="F403" s="34" t="n">
        <x:v>8.083486508339163</x:v>
      </x:c>
      <x:c r="G403" s="19" t="n">
        <x:v>2</x:v>
      </x:c>
      <x:c r="H403" s="19" t="n">
        <x:v>600</x:v>
      </x:c>
      <x:c r="I403" s="24" t="n">
        <x:f>G403*3600/H403</x:f>
        <x:v>12</x:v>
      </x:c>
      <x:c r="J403" s="24" t="n">
        <x:v>12</x:v>
      </x:c>
      <x:c r="K403" s="19" t="str">
        <x:v>P0237</x:v>
      </x:c>
    </x:row>
    <x:row r="404" ht="19" customHeight="1">
      <x:c r="A404" s="19" t="str">
        <x:v>C08-M010</x:v>
      </x:c>
      <x:c r="B404" s="19" t="str">
        <x:v>祭台封誓者</x:v>
      </x:c>
      <x:c r="C404" s="19" t="n">
        <x:v>8</x:v>
      </x:c>
      <x:c r="D404" s="19" t="n">
        <x:v>1</x:v>
      </x:c>
      <x:c r="E404" s="19" t="str">
        <x:v>稀有</x:v>
      </x:c>
      <x:c r="F404" s="34" t="n">
        <x:v>8.083486508339163</x:v>
      </x:c>
      <x:c r="G404" s="19" t="n">
        <x:v>2</x:v>
      </x:c>
      <x:c r="H404" s="19" t="n">
        <x:v>600</x:v>
      </x:c>
      <x:c r="I404" s="24" t="n">
        <x:f>G404*3600/H404</x:f>
        <x:v>12</x:v>
      </x:c>
      <x:c r="J404" s="24" t="n">
        <x:v>12</x:v>
      </x:c>
      <x:c r="K404" s="19" t="str">
        <x:v>P0237</x:v>
      </x:c>
    </x:row>
    <x:row r="405" ht="19" customHeight="1">
      <x:c r="A405" s="19" t="str">
        <x:v>C08-M011</x:v>
      </x:c>
      <x:c r="B405" s="19" t="str">
        <x:v>雪崩号角·赫罗姆</x:v>
      </x:c>
      <x:c r="C405" s="19" t="n">
        <x:v>8</x:v>
      </x:c>
      <x:c r="D405" s="19" t="n">
        <x:v>1</x:v>
      </x:c>
      <x:c r="E405" s="19" t="str">
        <x:v>地图BOSS</x:v>
      </x:c>
      <x:c r="F405" s="34" t="n">
        <x:v>72.30959901138687</x:v>
      </x:c>
      <x:c r="G405" s="19" t="n">
        <x:v>1</x:v>
      </x:c>
      <x:c r="H405" s="19" t="n">
        <x:v>1800</x:v>
      </x:c>
      <x:c r="I405" s="24" t="n">
        <x:f>G405*3600/H405</x:f>
        <x:v>2</x:v>
      </x:c>
      <x:c r="J405" s="24" t="n">
        <x:v>2</x:v>
      </x:c>
      <x:c r="K405" s="19" t="str">
        <x:v>P0237</x:v>
      </x:c>
    </x:row>
    <x:row r="406" ht="19" customHeight="1">
      <x:c r="A406" s="19" t="str">
        <x:v>C08-M012</x:v>
      </x:c>
      <x:c r="B406" s="19" t="str">
        <x:v>山巅霜祀·伊芙迦</x:v>
      </x:c>
      <x:c r="C406" s="19" t="n">
        <x:v>8</x:v>
      </x:c>
      <x:c r="D406" s="19" t="n">
        <x:v>1</x:v>
      </x:c>
      <x:c r="E406" s="19" t="str">
        <x:v>地图BOSS</x:v>
      </x:c>
      <x:c r="F406" s="34" t="n">
        <x:v>85.45679883163902</x:v>
      </x:c>
      <x:c r="G406" s="19" t="n">
        <x:v>1</x:v>
      </x:c>
      <x:c r="H406" s="19" t="n">
        <x:v>1800</x:v>
      </x:c>
      <x:c r="I406" s="24" t="n">
        <x:f>G406*3600/H406</x:f>
        <x:v>2</x:v>
      </x:c>
      <x:c r="J406" s="24" t="n">
        <x:v>2</x:v>
      </x:c>
      <x:c r="K406" s="19" t="str">
        <x:v>P0237</x:v>
      </x:c>
    </x:row>
    <x:row r="407" ht="19" customHeight="1">
      <x:c r="A407" s="19" t="str">
        <x:v>C08-M013</x:v>
      </x:c>
      <x:c r="B407" s="19" t="str">
        <x:v>断峰岩獾</x:v>
      </x:c>
      <x:c r="C407" s="19" t="n">
        <x:v>8</x:v>
      </x:c>
      <x:c r="D407" s="19" t="n">
        <x:v>2</x:v>
      </x:c>
      <x:c r="E407" s="19" t="str">
        <x:v>普通</x:v>
      </x:c>
      <x:c r="F407" s="34" t="n">
        <x:v>2.6140368283765474</x:v>
      </x:c>
      <x:c r="G407" s="19" t="n">
        <x:v>12</x:v>
      </x:c>
      <x:c r="H407" s="19" t="n">
        <x:v>600</x:v>
      </x:c>
      <x:c r="I407" s="24" t="n">
        <x:f>G407*3600/H407</x:f>
        <x:v>72</x:v>
      </x:c>
      <x:c r="J407" s="24" t="n">
        <x:v>72</x:v>
      </x:c>
      <x:c r="K407" s="19" t="str">
        <x:v>P0243</x:v>
      </x:c>
    </x:row>
    <x:row r="408" ht="19" customHeight="1">
      <x:c r="A408" s="19" t="str">
        <x:v>C08-M014</x:v>
      </x:c>
      <x:c r="B408" s="19" t="str">
        <x:v>负霜矿奴</x:v>
      </x:c>
      <x:c r="C408" s="19" t="n">
        <x:v>8</x:v>
      </x:c>
      <x:c r="D408" s="19" t="n">
        <x:v>2</x:v>
      </x:c>
      <x:c r="E408" s="19" t="str">
        <x:v>普通</x:v>
      </x:c>
      <x:c r="F408" s="34" t="n">
        <x:v>2.846395657565574</x:v>
      </x:c>
      <x:c r="G408" s="19" t="n">
        <x:v>12</x:v>
      </x:c>
      <x:c r="H408" s="19" t="n">
        <x:v>600</x:v>
      </x:c>
      <x:c r="I408" s="24" t="n">
        <x:f>G408*3600/H408</x:f>
        <x:v>72</x:v>
      </x:c>
      <x:c r="J408" s="24" t="n">
        <x:v>72</x:v>
      </x:c>
      <x:c r="K408" s="19" t="str">
        <x:v>P0243</x:v>
      </x:c>
    </x:row>
    <x:row r="409" ht="19" customHeight="1">
      <x:c r="A409" s="19" t="str">
        <x:v>C08-M015</x:v>
      </x:c>
      <x:c r="B409" s="19" t="str">
        <x:v>碎冰桥弩卒</x:v>
      </x:c>
      <x:c r="C409" s="19" t="n">
        <x:v>8</x:v>
      </x:c>
      <x:c r="D409" s="19" t="n">
        <x:v>2</x:v>
      </x:c>
      <x:c r="E409" s="19" t="str">
        <x:v>普通</x:v>
      </x:c>
      <x:c r="F409" s="34" t="n">
        <x:v>2.3235882918902644</x:v>
      </x:c>
      <x:c r="G409" s="19" t="n">
        <x:v>12</x:v>
      </x:c>
      <x:c r="H409" s="19" t="n">
        <x:v>600</x:v>
      </x:c>
      <x:c r="I409" s="24" t="n">
        <x:f>G409*3600/H409</x:f>
        <x:v>72</x:v>
      </x:c>
      <x:c r="J409" s="24" t="n">
        <x:v>72</x:v>
      </x:c>
      <x:c r="K409" s="19" t="str">
        <x:v>P0243</x:v>
      </x:c>
    </x:row>
    <x:row r="410" ht="19" customHeight="1">
      <x:c r="A410" s="19" t="str">
        <x:v>C08-M016</x:v>
      </x:c>
      <x:c r="B410" s="19" t="str">
        <x:v>天桥冰甲虫</x:v>
      </x:c>
      <x:c r="C410" s="19" t="n">
        <x:v>8</x:v>
      </x:c>
      <x:c r="D410" s="19" t="n">
        <x:v>2</x:v>
      </x:c>
      <x:c r="E410" s="19" t="str">
        <x:v>普通</x:v>
      </x:c>
      <x:c r="F410" s="34" t="n">
        <x:v>2.3235882918902644</x:v>
      </x:c>
      <x:c r="G410" s="19" t="n">
        <x:v>12</x:v>
      </x:c>
      <x:c r="H410" s="19" t="n">
        <x:v>600</x:v>
      </x:c>
      <x:c r="I410" s="24" t="n">
        <x:f>G410*3600/H410</x:f>
        <x:v>72</x:v>
      </x:c>
      <x:c r="J410" s="24" t="n">
        <x:v>72</x:v>
      </x:c>
      <x:c r="K410" s="19" t="str">
        <x:v>P0243</x:v>
      </x:c>
    </x:row>
    <x:row r="411" ht="19" customHeight="1">
      <x:c r="A411" s="19" t="str">
        <x:v>C08-M017</x:v>
      </x:c>
      <x:c r="B411" s="19" t="str">
        <x:v>裂谷寒翼蝠</x:v>
      </x:c>
      <x:c r="C411" s="19" t="n">
        <x:v>8</x:v>
      </x:c>
      <x:c r="D411" s="19" t="n">
        <x:v>2</x:v>
      </x:c>
      <x:c r="E411" s="19" t="str">
        <x:v>普通</x:v>
      </x:c>
      <x:c r="F411" s="34" t="n">
        <x:v>2.6140368283765474</x:v>
      </x:c>
      <x:c r="G411" s="19" t="n">
        <x:v>12</x:v>
      </x:c>
      <x:c r="H411" s="19" t="n">
        <x:v>600</x:v>
      </x:c>
      <x:c r="I411" s="24" t="n">
        <x:f>G411*3600/H411</x:f>
        <x:v>72</x:v>
      </x:c>
      <x:c r="J411" s="24" t="n">
        <x:v>72</x:v>
      </x:c>
      <x:c r="K411" s="19" t="str">
        <x:v>P0243</x:v>
      </x:c>
    </x:row>
    <x:row r="412" ht="19" customHeight="1">
      <x:c r="A412" s="19" t="str">
        <x:v>C08-M018</x:v>
      </x:c>
      <x:c r="B412" s="19" t="str">
        <x:v>祭场残斧魂</x:v>
      </x:c>
      <x:c r="C412" s="19" t="n">
        <x:v>8</x:v>
      </x:c>
      <x:c r="D412" s="19" t="n">
        <x:v>2</x:v>
      </x:c>
      <x:c r="E412" s="19" t="str">
        <x:v>普通</x:v>
      </x:c>
      <x:c r="F412" s="34" t="n">
        <x:v>3.0206647794573436</x:v>
      </x:c>
      <x:c r="G412" s="19" t="n">
        <x:v>12</x:v>
      </x:c>
      <x:c r="H412" s="19" t="n">
        <x:v>600</x:v>
      </x:c>
      <x:c r="I412" s="24" t="n">
        <x:f>G412*3600/H412</x:f>
        <x:v>72</x:v>
      </x:c>
      <x:c r="J412" s="24" t="n">
        <x:v>72</x:v>
      </x:c>
      <x:c r="K412" s="19" t="str">
        <x:v>P0243</x:v>
      </x:c>
    </x:row>
    <x:row r="413" ht="19" customHeight="1">
      <x:c r="A413" s="19" t="str">
        <x:v>C08-M019</x:v>
      </x:c>
      <x:c r="B413" s="19" t="str">
        <x:v>断冰猎旗手</x:v>
      </x:c>
      <x:c r="C413" s="19" t="n">
        <x:v>8</x:v>
      </x:c>
      <x:c r="D413" s="19" t="n">
        <x:v>2</x:v>
      </x:c>
      <x:c r="E413" s="19" t="str">
        <x:v>稀有</x:v>
      </x:c>
      <x:c r="F413" s="34" t="n">
        <x:v>7.424262027385087</x:v>
      </x:c>
      <x:c r="G413" s="19" t="n">
        <x:v>2</x:v>
      </x:c>
      <x:c r="H413" s="19" t="n">
        <x:v>600</x:v>
      </x:c>
      <x:c r="I413" s="24" t="n">
        <x:f>G413*3600/H413</x:f>
        <x:v>12</x:v>
      </x:c>
      <x:c r="J413" s="24" t="n">
        <x:v>12</x:v>
      </x:c>
      <x:c r="K413" s="19" t="str">
        <x:v>P0243</x:v>
      </x:c>
    </x:row>
    <x:row r="414" ht="19" customHeight="1">
      <x:c r="A414" s="19" t="str">
        <x:v>C08-M020</x:v>
      </x:c>
      <x:c r="B414" s="19" t="str">
        <x:v>天桥踏索客</x:v>
      </x:c>
      <x:c r="C414" s="19" t="n">
        <x:v>8</x:v>
      </x:c>
      <x:c r="D414" s="19" t="n">
        <x:v>2</x:v>
      </x:c>
      <x:c r="E414" s="19" t="str">
        <x:v>稀有</x:v>
      </x:c>
      <x:c r="F414" s="34" t="n">
        <x:v>8.661639031949267</x:v>
      </x:c>
      <x:c r="G414" s="19" t="n">
        <x:v>2</x:v>
      </x:c>
      <x:c r="H414" s="19" t="n">
        <x:v>600</x:v>
      </x:c>
      <x:c r="I414" s="24" t="n">
        <x:f>G414*3600/H414</x:f>
        <x:v>12</x:v>
      </x:c>
      <x:c r="J414" s="24" t="n">
        <x:v>12</x:v>
      </x:c>
      <x:c r="K414" s="19" t="str">
        <x:v>P0243</x:v>
      </x:c>
    </x:row>
    <x:row r="415" ht="19" customHeight="1">
      <x:c r="A415" s="19" t="str">
        <x:v>C08-M021</x:v>
      </x:c>
      <x:c r="B415" s="19" t="str">
        <x:v>裂谷雪嚎兽</x:v>
      </x:c>
      <x:c r="C415" s="19" t="n">
        <x:v>8</x:v>
      </x:c>
      <x:c r="D415" s="19" t="n">
        <x:v>2</x:v>
      </x:c>
      <x:c r="E415" s="19" t="str">
        <x:v>稀有</x:v>
      </x:c>
      <x:c r="F415" s="34" t="n">
        <x:v>8.661639031949267</x:v>
      </x:c>
      <x:c r="G415" s="19" t="n">
        <x:v>2</x:v>
      </x:c>
      <x:c r="H415" s="19" t="n">
        <x:v>600</x:v>
      </x:c>
      <x:c r="I415" s="24" t="n">
        <x:f>G415*3600/H415</x:f>
        <x:v>12</x:v>
      </x:c>
      <x:c r="J415" s="24" t="n">
        <x:v>12</x:v>
      </x:c>
      <x:c r="K415" s="19" t="str">
        <x:v>P0243</x:v>
      </x:c>
    </x:row>
    <x:row r="416" ht="19" customHeight="1">
      <x:c r="A416" s="19" t="str">
        <x:v>C08-M022</x:v>
      </x:c>
      <x:c r="B416" s="19" t="str">
        <x:v>祭场缄誓巫</x:v>
      </x:c>
      <x:c r="C416" s="19" t="n">
        <x:v>8</x:v>
      </x:c>
      <x:c r="D416" s="19" t="n">
        <x:v>2</x:v>
      </x:c>
      <x:c r="E416" s="19" t="str">
        <x:v>稀有</x:v>
      </x:c>
      <x:c r="F416" s="34" t="n">
        <x:v>7.424262027385087</x:v>
      </x:c>
      <x:c r="G416" s="19" t="n">
        <x:v>2</x:v>
      </x:c>
      <x:c r="H416" s="19" t="n">
        <x:v>600</x:v>
      </x:c>
      <x:c r="I416" s="24" t="n">
        <x:f>G416*3600/H416</x:f>
        <x:v>12</x:v>
      </x:c>
      <x:c r="J416" s="24" t="n">
        <x:v>12</x:v>
      </x:c>
      <x:c r="K416" s="19" t="str">
        <x:v>P0243</x:v>
      </x:c>
    </x:row>
    <x:row r="417" ht="19" customHeight="1">
      <x:c r="A417" s="19" t="str">
        <x:v>C08-M023</x:v>
      </x:c>
      <x:c r="B417" s="19" t="str">
        <x:v>裂谷锻峰侯·德鲁伽</x:v>
      </x:c>
      <x:c r="C417" s="19" t="n">
        <x:v>8</x:v>
      </x:c>
      <x:c r="D417" s="19" t="n">
        <x:v>2</x:v>
      </x:c>
      <x:c r="E417" s="19" t="str">
        <x:v>地图BOSS</x:v>
      </x:c>
      <x:c r="F417" s="34" t="n">
        <x:v>69.17335071293995</x:v>
      </x:c>
      <x:c r="G417" s="19" t="n">
        <x:v>1</x:v>
      </x:c>
      <x:c r="H417" s="19" t="n">
        <x:v>1800</x:v>
      </x:c>
      <x:c r="I417" s="24" t="n">
        <x:f>G417*3600/H417</x:f>
        <x:v>2</x:v>
      </x:c>
      <x:c r="J417" s="24" t="n">
        <x:v>2</x:v>
      </x:c>
      <x:c r="K417" s="19" t="str">
        <x:v>P0243</x:v>
      </x:c>
    </x:row>
    <x:row r="418" ht="19" customHeight="1">
      <x:c r="A418" s="19" t="str">
        <x:v>C08-M024</x:v>
      </x:c>
      <x:c r="B418" s="19" t="str">
        <x:v>断峰献祭者·维瑟娅</x:v>
      </x:c>
      <x:c r="C418" s="19" t="n">
        <x:v>8</x:v>
      </x:c>
      <x:c r="D418" s="19" t="n">
        <x:v>2</x:v>
      </x:c>
      <x:c r="E418" s="19" t="str">
        <x:v>地图BOSS</x:v>
      </x:c>
      <x:c r="F418" s="34" t="n">
        <x:v>74.49437769085841</x:v>
      </x:c>
      <x:c r="G418" s="19" t="n">
        <x:v>1</x:v>
      </x:c>
      <x:c r="H418" s="19" t="n">
        <x:v>1800</x:v>
      </x:c>
      <x:c r="I418" s="24" t="n">
        <x:f>G418*3600/H418</x:f>
        <x:v>2</x:v>
      </x:c>
      <x:c r="J418" s="24" t="n">
        <x:v>2</x:v>
      </x:c>
      <x:c r="K418" s="19" t="str">
        <x:v>P0243</x:v>
      </x:c>
    </x:row>
    <x:row r="419" ht="19" customHeight="1">
      <x:c r="A419" s="19" t="str">
        <x:v>C08-M025</x:v>
      </x:c>
      <x:c r="B419" s="19" t="str">
        <x:v>冰宫雪鸦</x:v>
      </x:c>
      <x:c r="C419" s="19" t="n">
        <x:v>8</x:v>
      </x:c>
      <x:c r="D419" s="19" t="n">
        <x:v>3</x:v>
      </x:c>
      <x:c r="E419" s="19" t="str">
        <x:v>普通</x:v>
      </x:c>
      <x:c r="F419" s="34" t="n">
        <x:v>2.470644721581249</x:v>
      </x:c>
      <x:c r="G419" s="19" t="n">
        <x:v>12</x:v>
      </x:c>
      <x:c r="H419" s="19" t="n">
        <x:v>600</x:v>
      </x:c>
      <x:c r="I419" s="24" t="n">
        <x:f>G419*3600/H419</x:f>
        <x:v>72</x:v>
      </x:c>
      <x:c r="J419" s="24" t="n">
        <x:v>72</x:v>
      </x:c>
      <x:c r="K419" s="19" t="str">
        <x:v>P0249</x:v>
      </x:c>
    </x:row>
    <x:row r="420" ht="19" customHeight="1">
      <x:c r="A420" s="19" t="str">
        <x:v>C08-M026</x:v>
      </x:c>
      <x:c r="B420" s="19" t="str">
        <x:v>御阶铲雪仆</x:v>
      </x:c>
      <x:c r="C420" s="19" t="n">
        <x:v>8</x:v>
      </x:c>
      <x:c r="D420" s="19" t="n">
        <x:v>3</x:v>
      </x:c>
      <x:c r="E420" s="19" t="str">
        <x:v>普通</x:v>
      </x:c>
      <x:c r="F420" s="34" t="n">
        <x:v>2.8507439095168254</x:v>
      </x:c>
      <x:c r="G420" s="19" t="n">
        <x:v>12</x:v>
      </x:c>
      <x:c r="H420" s="19" t="n">
        <x:v>600</x:v>
      </x:c>
      <x:c r="I420" s="24" t="n">
        <x:f>G420*3600/H420</x:f>
        <x:v>72</x:v>
      </x:c>
      <x:c r="J420" s="24" t="n">
        <x:v>72</x:v>
      </x:c>
      <x:c r="K420" s="19" t="str">
        <x:v>P0249</x:v>
      </x:c>
    </x:row>
    <x:row r="421" ht="19" customHeight="1">
      <x:c r="A421" s="19" t="str">
        <x:v>C08-M027</x:v>
      </x:c>
      <x:c r="B421" s="19" t="str">
        <x:v>外廊冰枪卫</x:v>
      </x:c>
      <x:c r="C421" s="19" t="n">
        <x:v>8</x:v>
      </x:c>
      <x:c r="D421" s="19" t="n">
        <x:v>3</x:v>
      </x:c>
      <x:c r="E421" s="19" t="str">
        <x:v>普通</x:v>
      </x:c>
      <x:c r="F421" s="34" t="n">
        <x:v>2.6131819170570902</x:v>
      </x:c>
      <x:c r="G421" s="19" t="n">
        <x:v>12</x:v>
      </x:c>
      <x:c r="H421" s="19" t="n">
        <x:v>600</x:v>
      </x:c>
      <x:c r="I421" s="24" t="n">
        <x:f>G421*3600/H421</x:f>
        <x:v>72</x:v>
      </x:c>
      <x:c r="J421" s="24" t="n">
        <x:v>72</x:v>
      </x:c>
      <x:c r="K421" s="19" t="str">
        <x:v>P0249</x:v>
      </x:c>
    </x:row>
    <x:row r="422" ht="19" customHeight="1">
      <x:c r="A422" s="19" t="str">
        <x:v>C08-M028</x:v>
      </x:c>
      <x:c r="B422" s="19" t="str">
        <x:v>内廷霜纱侍女</x:v>
      </x:c>
      <x:c r="C422" s="19" t="n">
        <x:v>8</x:v>
      </x:c>
      <x:c r="D422" s="19" t="n">
        <x:v>3</x:v>
      </x:c>
      <x:c r="E422" s="19" t="str">
        <x:v>普通</x:v>
      </x:c>
      <x:c r="F422" s="34" t="n">
        <x:v>2.3281075261054074</x:v>
      </x:c>
      <x:c r="G422" s="19" t="n">
        <x:v>12</x:v>
      </x:c>
      <x:c r="H422" s="19" t="n">
        <x:v>600</x:v>
      </x:c>
      <x:c r="I422" s="24" t="n">
        <x:f>G422*3600/H422</x:f>
        <x:v>72</x:v>
      </x:c>
      <x:c r="J422" s="24" t="n">
        <x:v>72</x:v>
      </x:c>
      <x:c r="K422" s="19" t="str">
        <x:v>P0249</x:v>
      </x:c>
    </x:row>
    <x:row r="423" ht="19" customHeight="1">
      <x:c r="A423" s="19" t="str">
        <x:v>C08-M029</x:v>
      </x:c>
      <x:c r="B423" s="19" t="str">
        <x:v>议殿石髯书记</x:v>
      </x:c>
      <x:c r="C423" s="19" t="n">
        <x:v>8</x:v>
      </x:c>
      <x:c r="D423" s="19" t="n">
        <x:v>3</x:v>
      </x:c>
      <x:c r="E423" s="19" t="str">
        <x:v>普通</x:v>
      </x:c>
      <x:c r="F423" s="34" t="n">
        <x:v>2.8507439095168254</x:v>
      </x:c>
      <x:c r="G423" s="19" t="n">
        <x:v>12</x:v>
      </x:c>
      <x:c r="H423" s="19" t="n">
        <x:v>600</x:v>
      </x:c>
      <x:c r="I423" s="24" t="n">
        <x:f>G423*3600/H423</x:f>
        <x:v>72</x:v>
      </x:c>
      <x:c r="J423" s="24" t="n">
        <x:v>72</x:v>
      </x:c>
      <x:c r="K423" s="19" t="str">
        <x:v>P0249</x:v>
      </x:c>
    </x:row>
    <x:row r="424" ht="19" customHeight="1">
      <x:c r="A424" s="19" t="str">
        <x:v>C08-M030</x:v>
      </x:c>
      <x:c r="B424" s="19" t="str">
        <x:v>王座寒灯侍</x:v>
      </x:c>
      <x:c r="C424" s="19" t="n">
        <x:v>8</x:v>
      </x:c>
      <x:c r="D424" s="19" t="n">
        <x:v>3</x:v>
      </x:c>
      <x:c r="E424" s="19" t="str">
        <x:v>普通</x:v>
      </x:c>
      <x:c r="F424" s="34" t="n">
        <x:v>2.470644721581249</x:v>
      </x:c>
      <x:c r="G424" s="19" t="n">
        <x:v>12</x:v>
      </x:c>
      <x:c r="H424" s="19" t="n">
        <x:v>600</x:v>
      </x:c>
      <x:c r="I424" s="24" t="n">
        <x:f>G424*3600/H424</x:f>
        <x:v>72</x:v>
      </x:c>
      <x:c r="J424" s="24" t="n">
        <x:v>72</x:v>
      </x:c>
      <x:c r="K424" s="19" t="str">
        <x:v>P0249</x:v>
      </x:c>
    </x:row>
    <x:row r="425" ht="19" customHeight="1">
      <x:c r="A425" s="19" t="str">
        <x:v>C08-M031</x:v>
      </x:c>
      <x:c r="B425" s="19" t="str">
        <x:v>外廊镜甲将</x:v>
      </x:c>
      <x:c r="C425" s="19" t="n">
        <x:v>8</x:v>
      </x:c>
      <x:c r="D425" s="19" t="n">
        <x:v>3</x:v>
      </x:c>
      <x:c r="E425" s="19" t="str">
        <x:v>稀有</x:v>
      </x:c>
      <x:c r="F425" s="34" t="n">
        <x:v>9.146589662696881</x:v>
      </x:c>
      <x:c r="G425" s="19" t="n">
        <x:v>2</x:v>
      </x:c>
      <x:c r="H425" s="19" t="n">
        <x:v>600</x:v>
      </x:c>
      <x:c r="I425" s="24" t="n">
        <x:f>G425*3600/H425</x:f>
        <x:v>12</x:v>
      </x:c>
      <x:c r="J425" s="24" t="n">
        <x:v>12</x:v>
      </x:c>
      <x:c r="K425" s="19" t="str">
        <x:v>P0249</x:v>
      </x:c>
    </x:row>
    <x:row r="426" ht="19" customHeight="1">
      <x:c r="A426" s="19" t="str">
        <x:v>C08-M032</x:v>
      </x:c>
      <x:c r="B426" s="19" t="str">
        <x:v>内廷缄声女官</x:v>
      </x:c>
      <x:c r="C426" s="19" t="n">
        <x:v>8</x:v>
      </x:c>
      <x:c r="D426" s="19" t="n">
        <x:v>3</x:v>
      </x:c>
      <x:c r="E426" s="19" t="str">
        <x:v>稀有</x:v>
      </x:c>
      <x:c r="F426" s="34" t="n">
        <x:v>7.622158052247401</x:v>
      </x:c>
      <x:c r="G426" s="19" t="n">
        <x:v>2</x:v>
      </x:c>
      <x:c r="H426" s="19" t="n">
        <x:v>600</x:v>
      </x:c>
      <x:c r="I426" s="24" t="n">
        <x:f>G426*3600/H426</x:f>
        <x:v>12</x:v>
      </x:c>
      <x:c r="J426" s="24" t="n">
        <x:v>12</x:v>
      </x:c>
      <x:c r="K426" s="19" t="str">
        <x:v>P0249</x:v>
      </x:c>
    </x:row>
    <x:row r="427" ht="19" customHeight="1">
      <x:c r="A427" s="19" t="str">
        <x:v>C08-M033</x:v>
      </x:c>
      <x:c r="B427" s="19" t="str">
        <x:v>议殿古律巨人</x:v>
      </x:c>
      <x:c r="C427" s="19" t="n">
        <x:v>8</x:v>
      </x:c>
      <x:c r="D427" s="19" t="n">
        <x:v>3</x:v>
      </x:c>
      <x:c r="E427" s="19" t="str">
        <x:v>稀有</x:v>
      </x:c>
      <x:c r="F427" s="34" t="n">
        <x:v>7.114014182097574</x:v>
      </x:c>
      <x:c r="G427" s="19" t="n">
        <x:v>2</x:v>
      </x:c>
      <x:c r="H427" s="19" t="n">
        <x:v>600</x:v>
      </x:c>
      <x:c r="I427" s="24" t="n">
        <x:f>G427*3600/H427</x:f>
        <x:v>12</x:v>
      </x:c>
      <x:c r="J427" s="24" t="n">
        <x:v>12</x:v>
      </x:c>
      <x:c r="K427" s="19" t="str">
        <x:v>P0249</x:v>
      </x:c>
    </x:row>
    <x:row r="428" ht="19" customHeight="1">
      <x:c r="A428" s="19" t="str">
        <x:v>C08-M034</x:v>
      </x:c>
      <x:c r="B428" s="19" t="str">
        <x:v>王座霜冠司礼</x:v>
      </x:c>
      <x:c r="C428" s="19" t="n">
        <x:v>8</x:v>
      </x:c>
      <x:c r="D428" s="19" t="n">
        <x:v>3</x:v>
      </x:c>
      <x:c r="E428" s="19" t="str">
        <x:v>稀有</x:v>
      </x:c>
      <x:c r="F428" s="34" t="n">
        <x:v>7.622158052247401</x:v>
      </x:c>
      <x:c r="G428" s="19" t="n">
        <x:v>2</x:v>
      </x:c>
      <x:c r="H428" s="19" t="n">
        <x:v>600</x:v>
      </x:c>
      <x:c r="I428" s="24" t="n">
        <x:f>G428*3600/H428</x:f>
        <x:v>12</x:v>
      </x:c>
      <x:c r="J428" s="24" t="n">
        <x:v>12</x:v>
      </x:c>
      <x:c r="K428" s="19" t="str">
        <x:v>P0249</x:v>
      </x:c>
    </x:row>
    <x:row r="429" ht="19" customHeight="1">
      <x:c r="A429" s="19" t="str">
        <x:v>C08-M035</x:v>
      </x:c>
      <x:c r="B429" s="19" t="str">
        <x:v>议殿白髯公·沃尔格</x:v>
      </x:c>
      <x:c r="C429" s="19" t="n">
        <x:v>8</x:v>
      </x:c>
      <x:c r="D429" s="19" t="n">
        <x:v>3</x:v>
      </x:c>
      <x:c r="E429" s="19" t="str">
        <x:v>地图BOSS</x:v>
      </x:c>
      <x:c r="F429" s="34" t="n">
        <x:v>74.27751705383099</x:v>
      </x:c>
      <x:c r="G429" s="19" t="n">
        <x:v>1</x:v>
      </x:c>
      <x:c r="H429" s="19" t="n">
        <x:v>1800</x:v>
      </x:c>
      <x:c r="I429" s="24" t="n">
        <x:f>G429*3600/H429</x:f>
        <x:v>2</x:v>
      </x:c>
      <x:c r="J429" s="24" t="n">
        <x:v>2</x:v>
      </x:c>
      <x:c r="K429" s="19" t="str">
        <x:v>P0249</x:v>
      </x:c>
    </x:row>
    <x:row r="430" ht="19" customHeight="1">
      <x:c r="A430" s="19" t="str">
        <x:v>C08-M036</x:v>
      </x:c>
      <x:c r="B430" s="19" t="str">
        <x:v>冰宫摄政后·伊瑟芮</x:v>
      </x:c>
      <x:c r="C430" s="19" t="n">
        <x:v>8</x:v>
      </x:c>
      <x:c r="D430" s="19" t="n">
        <x:v>3</x:v>
      </x:c>
      <x:c r="E430" s="19" t="str">
        <x:v>地图BOSS</x:v>
      </x:c>
      <x:c r="F430" s="34" t="n">
        <x:v>66.45883104816457</x:v>
      </x:c>
      <x:c r="G430" s="19" t="n">
        <x:v>1</x:v>
      </x:c>
      <x:c r="H430" s="19" t="n">
        <x:v>1800</x:v>
      </x:c>
      <x:c r="I430" s="24" t="n">
        <x:f>G430*3600/H430</x:f>
        <x:v>2</x:v>
      </x:c>
      <x:c r="J430" s="24" t="n">
        <x:v>2</x:v>
      </x:c>
      <x:c r="K430" s="19" t="str">
        <x:v>P0249</x:v>
      </x:c>
    </x:row>
    <x:row r="431" ht="19" customHeight="1">
      <x:c r="A431" s="19" t="str">
        <x:v>C08-M037</x:v>
      </x:c>
      <x:c r="B431" s="19" t="str">
        <x:v>王庭铸霜卫</x:v>
      </x:c>
      <x:c r="C431" s="19" t="n">
        <x:v>8</x:v>
      </x:c>
      <x:c r="D431" s="19" t="n">
        <x:v>4</x:v>
      </x:c>
      <x:c r="E431" s="19" t="str">
        <x:v>普通</x:v>
      </x:c>
      <x:c r="F431" s="34" t="n">
        <x:v>2.3439064499399023</x:v>
      </x:c>
      <x:c r="G431" s="19" t="n">
        <x:v>12</x:v>
      </x:c>
      <x:c r="H431" s="19" t="n">
        <x:v>600</x:v>
      </x:c>
      <x:c r="I431" s="24" t="n">
        <x:f>G431*3600/H431</x:f>
        <x:v>72</x:v>
      </x:c>
      <x:c r="J431" s="24" t="n">
        <x:v>72</x:v>
      </x:c>
      <x:c r="K431" s="19" t="str">
        <x:v>P0255</x:v>
      </x:c>
    </x:row>
    <x:row r="432" ht="19" customHeight="1">
      <x:c r="A432" s="19" t="str">
        <x:v>C08-M038</x:v>
      </x:c>
      <x:c r="B432" s="19" t="str">
        <x:v>庭阶雪鬃獒</x:v>
      </x:c>
      <x:c r="C432" s="19" t="n">
        <x:v>8</x:v>
      </x:c>
      <x:c r="D432" s="19" t="n">
        <x:v>4</x:v>
      </x:c>
      <x:c r="E432" s="19" t="str">
        <x:v>普通</x:v>
      </x:c>
      <x:c r="F432" s="34" t="n">
        <x:v>2.614357194163737</x:v>
      </x:c>
      <x:c r="G432" s="19" t="n">
        <x:v>12</x:v>
      </x:c>
      <x:c r="H432" s="19" t="n">
        <x:v>600</x:v>
      </x:c>
      <x:c r="I432" s="24" t="n">
        <x:f>G432*3600/H432</x:f>
        <x:v>72</x:v>
      </x:c>
      <x:c r="J432" s="24" t="n">
        <x:v>72</x:v>
      </x:c>
      <x:c r="K432" s="19" t="str">
        <x:v>P0255</x:v>
      </x:c>
    </x:row>
    <x:row r="433" ht="19" customHeight="1">
      <x:c r="A433" s="19" t="str">
        <x:v>C08-M039</x:v>
      </x:c>
      <x:c r="B433" s="19" t="str">
        <x:v>内宫白毡侍</x:v>
      </x:c>
      <x:c r="C433" s="19" t="n">
        <x:v>8</x:v>
      </x:c>
      <x:c r="D433" s="19" t="n">
        <x:v>4</x:v>
      </x:c>
      <x:c r="E433" s="19" t="str">
        <x:v>普通</x:v>
      </x:c>
      <x:c r="F433" s="34" t="n">
        <x:v>2.8848079383875724</x:v>
      </x:c>
      <x:c r="G433" s="19" t="n">
        <x:v>12</x:v>
      </x:c>
      <x:c r="H433" s="19" t="n">
        <x:v>600</x:v>
      </x:c>
      <x:c r="I433" s="24" t="n">
        <x:f>G433*3600/H433</x:f>
        <x:v>72</x:v>
      </x:c>
      <x:c r="J433" s="24" t="n">
        <x:v>72</x:v>
      </x:c>
      <x:c r="K433" s="19" t="str">
        <x:v>P0255</x:v>
      </x:c>
    </x:row>
    <x:row r="434" ht="19" customHeight="1">
      <x:c r="A434" s="19" t="str">
        <x:v>C08-M040</x:v>
      </x:c>
      <x:c r="B434" s="19" t="str">
        <x:v>雪域巡烛官</x:v>
      </x:c>
      <x:c r="C434" s="19" t="n">
        <x:v>8</x:v>
      </x:c>
      <x:c r="D434" s="19" t="n">
        <x:v>4</x:v>
      </x:c>
      <x:c r="E434" s="19" t="str">
        <x:v>普通</x:v>
      </x:c>
      <x:c r="F434" s="34" t="n">
        <x:v>2.614357194163737</x:v>
      </x:c>
      <x:c r="G434" s="19" t="n">
        <x:v>12</x:v>
      </x:c>
      <x:c r="H434" s="19" t="n">
        <x:v>600</x:v>
      </x:c>
      <x:c r="I434" s="24" t="n">
        <x:f>G434*3600/H434</x:f>
        <x:v>72</x:v>
      </x:c>
      <x:c r="J434" s="24" t="n">
        <x:v>72</x:v>
      </x:c>
      <x:c r="K434" s="19" t="str">
        <x:v>P0255</x:v>
      </x:c>
    </x:row>
    <x:row r="435" ht="19" customHeight="1">
      <x:c r="A435" s="19" t="str">
        <x:v>C08-M041</x:v>
      </x:c>
      <x:c r="B435" s="19" t="str">
        <x:v>王座负碑巨人</x:v>
      </x:c>
      <x:c r="C435" s="19" t="n">
        <x:v>8</x:v>
      </x:c>
      <x:c r="D435" s="19" t="n">
        <x:v>4</x:v>
      </x:c>
      <x:c r="E435" s="19" t="str">
        <x:v>普通</x:v>
      </x:c>
      <x:c r="F435" s="34" t="n">
        <x:v>2.5968380834921216</x:v>
      </x:c>
      <x:c r="G435" s="19" t="n">
        <x:v>12</x:v>
      </x:c>
      <x:c r="H435" s="19" t="n">
        <x:v>600</x:v>
      </x:c>
      <x:c r="I435" s="24" t="n">
        <x:f>G435*3600/H435</x:f>
        <x:v>72</x:v>
      </x:c>
      <x:c r="J435" s="24" t="n">
        <x:v>72</x:v>
      </x:c>
      <x:c r="K435" s="19" t="str">
        <x:v>P0255</x:v>
      </x:c>
    </x:row>
    <x:row r="436" ht="19" customHeight="1">
      <x:c r="A436" s="19" t="str">
        <x:v>C08-M042</x:v>
      </x:c>
      <x:c r="B436" s="19" t="str">
        <x:v>王座冰铃童</x:v>
      </x:c>
      <x:c r="C436" s="19" t="n">
        <x:v>8</x:v>
      </x:c>
      <x:c r="D436" s="19" t="n">
        <x:v>4</x:v>
      </x:c>
      <x:c r="E436" s="19" t="str">
        <x:v>普通</x:v>
      </x:c>
      <x:c r="F436" s="34" t="n">
        <x:v>2.5968380834921216</x:v>
      </x:c>
      <x:c r="G436" s="19" t="n">
        <x:v>12</x:v>
      </x:c>
      <x:c r="H436" s="19" t="n">
        <x:v>600</x:v>
      </x:c>
      <x:c r="I436" s="24" t="n">
        <x:f>G436*3600/H436</x:f>
        <x:v>72</x:v>
      </x:c>
      <x:c r="J436" s="24" t="n">
        <x:v>72</x:v>
      </x:c>
      <x:c r="K436" s="19" t="str">
        <x:v>P0255</x:v>
      </x:c>
    </x:row>
    <x:row r="437" ht="19" customHeight="1">
      <x:c r="A437" s="19" t="str">
        <x:v>C08-M043</x:v>
      </x:c>
      <x:c r="B437" s="19" t="str">
        <x:v>觐庭裂盔侯</x:v>
      </x:c>
      <x:c r="C437" s="19" t="n">
        <x:v>8</x:v>
      </x:c>
      <x:c r="D437" s="19" t="n">
        <x:v>4</x:v>
      </x:c>
      <x:c r="E437" s="19" t="str">
        <x:v>稀有</x:v>
      </x:c>
      <x:c r="F437" s="34" t="n">
        <x:v>7.20055284992483</x:v>
      </x:c>
      <x:c r="G437" s="19" t="n">
        <x:v>2</x:v>
      </x:c>
      <x:c r="H437" s="19" t="n">
        <x:v>600</x:v>
      </x:c>
      <x:c r="I437" s="24" t="n">
        <x:f>G437*3600/H437</x:f>
        <x:v>12</x:v>
      </x:c>
      <x:c r="J437" s="24" t="n">
        <x:v>12</x:v>
      </x:c>
      <x:c r="K437" s="19" t="str">
        <x:v>P0255</x:v>
      </x:c>
    </x:row>
    <x:row r="438" ht="19" customHeight="1">
      <x:c r="A438" s="19" t="str">
        <x:v>C08-M044</x:v>
      </x:c>
      <x:c r="B438" s="19" t="str">
        <x:v>内宫织雪妪</x:v>
      </x:c>
      <x:c r="C438" s="19" t="n">
        <x:v>8</x:v>
      </x:c>
      <x:c r="D438" s="19" t="n">
        <x:v>4</x:v>
      </x:c>
      <x:c r="E438" s="19" t="str">
        <x:v>稀有</x:v>
      </x:c>
      <x:c r="F438" s="34" t="n">
        <x:v>7.20055284992483</x:v>
      </x:c>
      <x:c r="G438" s="19" t="n">
        <x:v>2</x:v>
      </x:c>
      <x:c r="H438" s="19" t="n">
        <x:v>600</x:v>
      </x:c>
      <x:c r="I438" s="24" t="n">
        <x:f>G438*3600/H438</x:f>
        <x:v>12</x:v>
      </x:c>
      <x:c r="J438" s="24" t="n">
        <x:v>12</x:v>
      </x:c>
      <x:c r="K438" s="19" t="str">
        <x:v>P0255</x:v>
      </x:c>
    </x:row>
    <x:row r="439" ht="19" customHeight="1">
      <x:c r="A439" s="19" t="str">
        <x:v>C08-M045</x:v>
      </x:c>
      <x:c r="B439" s="19" t="str">
        <x:v>雪域封门将</x:v>
      </x:c>
      <x:c r="C439" s="19" t="n">
        <x:v>8</x:v>
      </x:c>
      <x:c r="D439" s="19" t="n">
        <x:v>4</x:v>
      </x:c>
      <x:c r="E439" s="19" t="str">
        <x:v>稀有</x:v>
      </x:c>
      <x:c r="F439" s="34" t="n">
        <x:v>7.680589706586486</x:v>
      </x:c>
      <x:c r="G439" s="19" t="n">
        <x:v>2</x:v>
      </x:c>
      <x:c r="H439" s="19" t="n">
        <x:v>600</x:v>
      </x:c>
      <x:c r="I439" s="24" t="n">
        <x:f>G439*3600/H439</x:f>
        <x:v>12</x:v>
      </x:c>
      <x:c r="J439" s="24" t="n">
        <x:v>12</x:v>
      </x:c>
      <x:c r="K439" s="19" t="str">
        <x:v>P0255</x:v>
      </x:c>
    </x:row>
    <x:row r="440" ht="19" customHeight="1">
      <x:c r="A440" s="19" t="str">
        <x:v>C08-M046</x:v>
      </x:c>
      <x:c r="B440" s="19" t="str">
        <x:v>王座守梦巫</x:v>
      </x:c>
      <x:c r="C440" s="19" t="n">
        <x:v>8</x:v>
      </x:c>
      <x:c r="D440" s="19" t="n">
        <x:v>4</x:v>
      </x:c>
      <x:c r="E440" s="19" t="str">
        <x:v>稀有</x:v>
      </x:c>
      <x:c r="F440" s="34" t="n">
        <x:v>9.57307994780865</x:v>
      </x:c>
      <x:c r="G440" s="19" t="n">
        <x:v>2</x:v>
      </x:c>
      <x:c r="H440" s="19" t="n">
        <x:v>600</x:v>
      </x:c>
      <x:c r="I440" s="24" t="n">
        <x:f>G440*3600/H440</x:f>
        <x:v>12</x:v>
      </x:c>
      <x:c r="J440" s="24" t="n">
        <x:v>12</x:v>
      </x:c>
      <x:c r="K440" s="19" t="str">
        <x:v>P0255</x:v>
      </x:c>
    </x:row>
    <x:row r="441" ht="19" customHeight="1">
      <x:c r="A441" s="19" t="str">
        <x:v>C08-M047</x:v>
      </x:c>
      <x:c r="B441" s="19" t="str">
        <x:v>内宫冬眠王·格罗尔</x:v>
      </x:c>
      <x:c r="C441" s="19" t="n">
        <x:v>8</x:v>
      </x:c>
      <x:c r="D441" s="19" t="n">
        <x:v>4</x:v>
      </x:c>
      <x:c r="E441" s="19" t="str">
        <x:v>地图BOSS</x:v>
      </x:c>
      <x:c r="F441" s="34" t="n">
        <x:v>86.41139611288143</x:v>
      </x:c>
      <x:c r="G441" s="19" t="n">
        <x:v>1</x:v>
      </x:c>
      <x:c r="H441" s="19" t="n">
        <x:v>1800</x:v>
      </x:c>
      <x:c r="I441" s="24" t="n">
        <x:f>G441*3600/H441</x:f>
        <x:v>2</x:v>
      </x:c>
      <x:c r="J441" s="24" t="n">
        <x:v>2</x:v>
      </x:c>
      <x:c r="K441" s="19" t="str">
        <x:v>P0255</x:v>
      </x:c>
    </x:row>
    <x:row r="442" ht="19" customHeight="1">
      <x:c r="A442" s="19" t="str">
        <x:v>C08-M048</x:v>
      </x:c>
      <x:c r="B442" s="19" t="str">
        <x:v>巨人女王·赫芮迦</x:v>
      </x:c>
      <x:c r="C442" s="19" t="n">
        <x:v>8</x:v>
      </x:c>
      <x:c r="D442" s="19" t="n">
        <x:v>4</x:v>
      </x:c>
      <x:c r="E442" s="19" t="str">
        <x:v>地图BOSS</x:v>
      </x:c>
      <x:c r="F442" s="34" t="n">
        <x:v>81.92129008995384</x:v>
      </x:c>
      <x:c r="G442" s="19" t="n">
        <x:v>1</x:v>
      </x:c>
      <x:c r="H442" s="19" t="n">
        <x:v>1800</x:v>
      </x:c>
      <x:c r="I442" s="24" t="n">
        <x:f>G442*3600/H442</x:f>
        <x:v>2</x:v>
      </x:c>
      <x:c r="J442" s="24" t="n">
        <x:v>2</x:v>
      </x:c>
      <x:c r="K442" s="19" t="str">
        <x:v>P0255</x:v>
      </x:c>
    </x:row>
    <x:row r="443" ht="19" customHeight="1">
      <x:c r="A443" s="19" t="str">
        <x:v>C08-M049</x:v>
      </x:c>
      <x:c r="B443" s="19" t="str">
        <x:v>吞日霜王·乌尔迈</x:v>
      </x:c>
      <x:c r="C443" s="19" t="n">
        <x:v>8</x:v>
      </x:c>
      <x:c r="D443" s="19" t="n">
        <x:v>4</x:v>
      </x:c>
      <x:c r="E443" s="19" t="str">
        <x:v>守关BOSS</x:v>
      </x:c>
      <x:c r="F443" s="34" t="n">
        <x:v>340.46291813999557</x:v>
      </x:c>
      <x:c r="G443" s="19" t="n">
        <x:v>1</x:v>
      </x:c>
      <x:c r="H443" s="19" t="n">
        <x:v>7200</x:v>
      </x:c>
      <x:c r="I443" s="24" t="n">
        <x:f>G443*3600/H443</x:f>
        <x:v>0.5</x:v>
      </x:c>
      <x:c r="J443" s="24" t="n">
        <x:v>0</x:v>
      </x:c>
      <x:c r="K443" s="19" t="str">
        <x:v>P0255</x:v>
      </x:c>
    </x:row>
    <x:row r="444" ht="19" customHeight="1">
      <x:c r="A444" s="19" t="str">
        <x:v>C09-M001</x:v>
      </x:c>
      <x:c r="B444" s="19" t="str">
        <x:v>金叶角鹿</x:v>
      </x:c>
      <x:c r="C444" s="19" t="n">
        <x:v>9</x:v>
      </x:c>
      <x:c r="D444" s="19" t="n">
        <x:v>1</x:v>
      </x:c>
      <x:c r="E444" s="19" t="str">
        <x:v>普通</x:v>
      </x:c>
      <x:c r="F444" s="34" t="n">
        <x:v>2.9671536618334016</x:v>
      </x:c>
      <x:c r="G444" s="19" t="n">
        <x:v>12</x:v>
      </x:c>
      <x:c r="H444" s="19" t="n">
        <x:v>600</x:v>
      </x:c>
      <x:c r="I444" s="24" t="n">
        <x:f>G444*3600/H444</x:f>
        <x:v>72</x:v>
      </x:c>
      <x:c r="J444" s="24" t="n">
        <x:v>72</x:v>
      </x:c>
      <x:c r="K444" s="19" t="str">
        <x:v>P0267</x:v>
      </x:c>
    </x:row>
    <x:row r="445" ht="19" customHeight="1">
      <x:c r="A445" s="19" t="str">
        <x:v>C09-M002</x:v>
      </x:c>
      <x:c r="B445" s="19" t="str">
        <x:v>拾穗旅盗</x:v>
      </x:c>
      <x:c r="C445" s="19" t="n">
        <x:v>9</x:v>
      </x:c>
      <x:c r="D445" s="19" t="n">
        <x:v>1</x:v>
      </x:c>
      <x:c r="E445" s="19" t="str">
        <x:v>普通</x:v>
      </x:c>
      <x:c r="F445" s="34" t="n">
        <x:v>2.9671536618334016</x:v>
      </x:c>
      <x:c r="G445" s="19" t="n">
        <x:v>12</x:v>
      </x:c>
      <x:c r="H445" s="19" t="n">
        <x:v>600</x:v>
      </x:c>
      <x:c r="I445" s="24" t="n">
        <x:f>G445*3600/H445</x:f>
        <x:v>72</x:v>
      </x:c>
      <x:c r="J445" s="24" t="n">
        <x:v>72</x:v>
      </x:c>
      <x:c r="K445" s="19" t="str">
        <x:v>P0267</x:v>
      </x:c>
    </x:row>
    <x:row r="446" ht="19" customHeight="1">
      <x:c r="A446" s="19" t="str">
        <x:v>C09-M003</x:v>
      </x:c>
      <x:c r="B446" s="19" t="str">
        <x:v>秋风驿卒</x:v>
      </x:c>
      <x:c r="C446" s="19" t="n">
        <x:v>9</x:v>
      </x:c>
      <x:c r="D446" s="19" t="n">
        <x:v>1</x:v>
      </x:c>
      <x:c r="E446" s="19" t="str">
        <x:v>普通</x:v>
      </x:c>
      <x:c r="F446" s="34" t="n">
        <x:v>2.7389110724616015</x:v>
      </x:c>
      <x:c r="G446" s="19" t="n">
        <x:v>12</x:v>
      </x:c>
      <x:c r="H446" s="19" t="n">
        <x:v>600</x:v>
      </x:c>
      <x:c r="I446" s="24" t="n">
        <x:f>G446*3600/H446</x:f>
        <x:v>72</x:v>
      </x:c>
      <x:c r="J446" s="24" t="n">
        <x:v>72</x:v>
      </x:c>
      <x:c r="K446" s="19" t="str">
        <x:v>P0267</x:v>
      </x:c>
    </x:row>
    <x:row r="447" ht="19" customHeight="1">
      <x:c r="A447" s="19" t="str">
        <x:v>C09-M004</x:v>
      </x:c>
      <x:c r="B447" s="19" t="str">
        <x:v>驿路驮甲虫</x:v>
      </x:c>
      <x:c r="C447" s="19" t="n">
        <x:v>9</x:v>
      </x:c>
      <x:c r="D447" s="19" t="n">
        <x:v>1</x:v>
      </x:c>
      <x:c r="E447" s="19" t="str">
        <x:v>普通</x:v>
      </x:c>
      <x:c r="F447" s="34" t="n">
        <x:v>2.5106684830898014</x:v>
      </x:c>
      <x:c r="G447" s="19" t="n">
        <x:v>12</x:v>
      </x:c>
      <x:c r="H447" s="19" t="n">
        <x:v>600</x:v>
      </x:c>
      <x:c r="I447" s="24" t="n">
        <x:f>G447*3600/H447</x:f>
        <x:v>72</x:v>
      </x:c>
      <x:c r="J447" s="24" t="n">
        <x:v>72</x:v>
      </x:c>
      <x:c r="K447" s="19" t="str">
        <x:v>P0267</x:v>
      </x:c>
    </x:row>
    <x:row r="448" ht="19" customHeight="1">
      <x:c r="A448" s="19" t="str">
        <x:v>C09-M005</x:v>
      </x:c>
      <x:c r="B448" s="19" t="str">
        <x:v>陵园鎏苔像</x:v>
      </x:c>
      <x:c r="C448" s="19" t="n">
        <x:v>9</x:v>
      </x:c>
      <x:c r="D448" s="19" t="n">
        <x:v>1</x:v>
      </x:c>
      <x:c r="E448" s="19" t="str">
        <x:v>普通</x:v>
      </x:c>
      <x:c r="F448" s="34" t="n">
        <x:v>2.9671536618334016</x:v>
      </x:c>
      <x:c r="G448" s="19" t="n">
        <x:v>12</x:v>
      </x:c>
      <x:c r="H448" s="19" t="n">
        <x:v>600</x:v>
      </x:c>
      <x:c r="I448" s="24" t="n">
        <x:f>G448*3600/H448</x:f>
        <x:v>72</x:v>
      </x:c>
      <x:c r="J448" s="24" t="n">
        <x:v>72</x:v>
      </x:c>
      <x:c r="K448" s="19" t="str">
        <x:v>P0267</x:v>
      </x:c>
    </x:row>
    <x:row r="449" ht="19" customHeight="1">
      <x:c r="A449" s="19" t="str">
        <x:v>C09-M006</x:v>
      </x:c>
      <x:c r="B449" s="19" t="str">
        <x:v>祭坛衔烛鸦</x:v>
      </x:c>
      <x:c r="C449" s="19" t="n">
        <x:v>9</x:v>
      </x:c>
      <x:c r="D449" s="19" t="n">
        <x:v>1</x:v>
      </x:c>
      <x:c r="E449" s="19" t="str">
        <x:v>普通</x:v>
      </x:c>
      <x:c r="F449" s="34" t="n">
        <x:v>2.5106684830898014</x:v>
      </x:c>
      <x:c r="G449" s="19" t="n">
        <x:v>12</x:v>
      </x:c>
      <x:c r="H449" s="19" t="n">
        <x:v>600</x:v>
      </x:c>
      <x:c r="I449" s="24" t="n">
        <x:f>G449*3600/H449</x:f>
        <x:v>72</x:v>
      </x:c>
      <x:c r="J449" s="24" t="n">
        <x:v>72</x:v>
      </x:c>
      <x:c r="K449" s="19" t="str">
        <x:v>P0267</x:v>
      </x:c>
    </x:row>
    <x:row r="450" ht="19" customHeight="1">
      <x:c r="A450" s="19" t="str">
        <x:v>C09-M007</x:v>
      </x:c>
      <x:c r="B450" s="19" t="str">
        <x:v>落叶占路僧</x:v>
      </x:c>
      <x:c r="C450" s="19" t="n">
        <x:v>9</x:v>
      </x:c>
      <x:c r="D450" s="19" t="n">
        <x:v>1</x:v>
      </x:c>
      <x:c r="E450" s="19" t="str">
        <x:v>稀有</x:v>
      </x:c>
      <x:c r="F450" s="34" t="n">
        <x:v>9.275644375664386</x:v>
      </x:c>
      <x:c r="G450" s="19" t="n">
        <x:v>2</x:v>
      </x:c>
      <x:c r="H450" s="19" t="n">
        <x:v>600</x:v>
      </x:c>
      <x:c r="I450" s="24" t="n">
        <x:f>G450*3600/H450</x:f>
        <x:v>12</x:v>
      </x:c>
      <x:c r="J450" s="24" t="n">
        <x:v>12</x:v>
      </x:c>
      <x:c r="K450" s="19" t="str">
        <x:v>P0267</x:v>
      </x:c>
    </x:row>
    <x:row r="451" ht="19" customHeight="1">
      <x:c r="A451" s="19" t="str">
        <x:v>C09-M008</x:v>
      </x:c>
      <x:c r="B451" s="19" t="str">
        <x:v>逆风驿骑</x:v>
      </x:c>
      <x:c r="C451" s="19" t="n">
        <x:v>9</x:v>
      </x:c>
      <x:c r="D451" s="19" t="n">
        <x:v>1</x:v>
      </x:c>
      <x:c r="E451" s="19" t="str">
        <x:v>稀有</x:v>
      </x:c>
      <x:c r="F451" s="34" t="n">
        <x:v>7.566973043305157</x:v>
      </x:c>
      <x:c r="G451" s="19" t="n">
        <x:v>2</x:v>
      </x:c>
      <x:c r="H451" s="19" t="n">
        <x:v>600</x:v>
      </x:c>
      <x:c r="I451" s="24" t="n">
        <x:f>G451*3600/H451</x:f>
        <x:v>12</x:v>
      </x:c>
      <x:c r="J451" s="24" t="n">
        <x:v>12</x:v>
      </x:c>
      <x:c r="K451" s="19" t="str">
        <x:v>P0267</x:v>
      </x:c>
    </x:row>
    <x:row r="452" ht="19" customHeight="1">
      <x:c r="A452" s="19" t="str">
        <x:v>C09-M009</x:v>
      </x:c>
      <x:c r="B452" s="19" t="str">
        <x:v>守陵金颚兽</x:v>
      </x:c>
      <x:c r="C452" s="19" t="n">
        <x:v>9</x:v>
      </x:c>
      <x:c r="D452" s="19" t="n">
        <x:v>1</x:v>
      </x:c>
      <x:c r="E452" s="19" t="str">
        <x:v>稀有</x:v>
      </x:c>
      <x:c r="F452" s="34" t="n">
        <x:v>8.055164852550652</x:v>
      </x:c>
      <x:c r="G452" s="19" t="n">
        <x:v>2</x:v>
      </x:c>
      <x:c r="H452" s="19" t="n">
        <x:v>600</x:v>
      </x:c>
      <x:c r="I452" s="24" t="n">
        <x:f>G452*3600/H452</x:f>
        <x:v>12</x:v>
      </x:c>
      <x:c r="J452" s="24" t="n">
        <x:v>12</x:v>
      </x:c>
      <x:c r="K452" s="19" t="str">
        <x:v>P0267</x:v>
      </x:c>
    </x:row>
    <x:row r="453" ht="19" customHeight="1">
      <x:c r="A453" s="19" t="str">
        <x:v>C09-M010</x:v>
      </x:c>
      <x:c r="B453" s="19" t="str">
        <x:v>古王献梦者</x:v>
      </x:c>
      <x:c r="C453" s="19" t="n">
        <x:v>9</x:v>
      </x:c>
      <x:c r="D453" s="19" t="n">
        <x:v>1</x:v>
      </x:c>
      <x:c r="E453" s="19" t="str">
        <x:v>稀有</x:v>
      </x:c>
      <x:c r="F453" s="34" t="n">
        <x:v>8.787452566418892</x:v>
      </x:c>
      <x:c r="G453" s="19" t="n">
        <x:v>2</x:v>
      </x:c>
      <x:c r="H453" s="19" t="n">
        <x:v>600</x:v>
      </x:c>
      <x:c r="I453" s="24" t="n">
        <x:f>G453*3600/H453</x:f>
        <x:v>12</x:v>
      </x:c>
      <x:c r="J453" s="24" t="n">
        <x:v>12</x:v>
      </x:c>
      <x:c r="K453" s="19" t="str">
        <x:v>P0267</x:v>
      </x:c>
    </x:row>
    <x:row r="454" ht="19" customHeight="1">
      <x:c r="A454" s="19" t="str">
        <x:v>C09-M011</x:v>
      </x:c>
      <x:c r="B454" s="19" t="str">
        <x:v>陵园摘冠侯·阿维恩</x:v>
      </x:c>
      <x:c r="C454" s="19" t="n">
        <x:v>9</x:v>
      </x:c>
      <x:c r="D454" s="19" t="n">
        <x:v>1</x:v>
      </x:c>
      <x:c r="E454" s="19" t="str">
        <x:v>地图BOSS</x:v>
      </x:c>
      <x:c r="F454" s="34" t="n">
        <x:v>87.0131355563833</x:v>
      </x:c>
      <x:c r="G454" s="19" t="n">
        <x:v>1</x:v>
      </x:c>
      <x:c r="H454" s="19" t="n">
        <x:v>1800</x:v>
      </x:c>
      <x:c r="I454" s="24" t="n">
        <x:f>G454*3600/H454</x:f>
        <x:v>2</x:v>
      </x:c>
      <x:c r="J454" s="24" t="n">
        <x:v>2</x:v>
      </x:c>
      <x:c r="K454" s="19" t="str">
        <x:v>P0267</x:v>
      </x:c>
    </x:row>
    <x:row r="455" ht="19" customHeight="1">
      <x:c r="A455" s="19" t="str">
        <x:v>C09-M012</x:v>
      </x:c>
      <x:c r="B455" s="19" t="str">
        <x:v>金叶祭王·萨鲁恩</x:v>
      </x:c>
      <x:c r="C455" s="19" t="n">
        <x:v>9</x:v>
      </x:c>
      <x:c r="D455" s="19" t="n">
        <x:v>1</x:v>
      </x:c>
      <x:c r="E455" s="19" t="str">
        <x:v>地图BOSS</x:v>
      </x:c>
      <x:c r="F455" s="34" t="n">
        <x:v>81.89471581777252</x:v>
      </x:c>
      <x:c r="G455" s="19" t="n">
        <x:v>1</x:v>
      </x:c>
      <x:c r="H455" s="19" t="n">
        <x:v>1800</x:v>
      </x:c>
      <x:c r="I455" s="24" t="n">
        <x:f>G455*3600/H455</x:f>
        <x:v>2</x:v>
      </x:c>
      <x:c r="J455" s="24" t="n">
        <x:v>2</x:v>
      </x:c>
      <x:c r="K455" s="19" t="str">
        <x:v>P0267</x:v>
      </x:c>
    </x:row>
    <x:row r="456" ht="19" customHeight="1">
      <x:c r="A456" s="19" t="str">
        <x:v>C09-M013</x:v>
      </x:c>
      <x:c r="B456" s="19" t="str">
        <x:v>矿脉啮岩鼠</x:v>
      </x:c>
      <x:c r="C456" s="19" t="n">
        <x:v>9</x:v>
      </x:c>
      <x:c r="D456" s="19" t="n">
        <x:v>2</x:v>
      </x:c>
      <x:c r="E456" s="19" t="str">
        <x:v>普通</x:v>
      </x:c>
      <x:c r="F456" s="34" t="n">
        <x:v>3.1519531861318915</x:v>
      </x:c>
      <x:c r="G456" s="19" t="n">
        <x:v>12</x:v>
      </x:c>
      <x:c r="H456" s="19" t="n">
        <x:v>600</x:v>
      </x:c>
      <x:c r="I456" s="24" t="n">
        <x:f>G456*3600/H456</x:f>
        <x:v>72</x:v>
      </x:c>
      <x:c r="J456" s="24" t="n">
        <x:v>72</x:v>
      </x:c>
      <x:c r="K456" s="19" t="str">
        <x:v>P0273</x:v>
      </x:c>
    </x:row>
    <x:row r="457" ht="19" customHeight="1">
      <x:c r="A457" s="19" t="str">
        <x:v>C09-M014</x:v>
      </x:c>
      <x:c r="B457" s="19" t="str">
        <x:v>高原探脉客</x:v>
      </x:c>
      <x:c r="C457" s="19" t="n">
        <x:v>9</x:v>
      </x:c>
      <x:c r="D457" s="19" t="n">
        <x:v>2</x:v>
      </x:c>
      <x:c r="E457" s="19" t="str">
        <x:v>普通</x:v>
      </x:c>
      <x:c r="F457" s="34" t="n">
        <x:v>3.1519531861318915</x:v>
      </x:c>
      <x:c r="G457" s="19" t="n">
        <x:v>12</x:v>
      </x:c>
      <x:c r="H457" s="19" t="n">
        <x:v>600</x:v>
      </x:c>
      <x:c r="I457" s="24" t="n">
        <x:f>G457*3600/H457</x:f>
        <x:v>72</x:v>
      </x:c>
      <x:c r="J457" s="24" t="n">
        <x:v>72</x:v>
      </x:c>
      <x:c r="K457" s="19" t="str">
        <x:v>P0273</x:v>
      </x:c>
    </x:row>
    <x:row r="458" ht="19" customHeight="1">
      <x:c r="A458" s="19" t="str">
        <x:v>C09-M015</x:v>
      </x:c>
      <x:c r="B458" s="19" t="str">
        <x:v>黄金矿道凿工</x:v>
      </x:c>
      <x:c r="C458" s="19" t="n">
        <x:v>9</x:v>
      </x:c>
      <x:c r="D458" s="19" t="n">
        <x:v>2</x:v>
      </x:c>
      <x:c r="E458" s="19" t="str">
        <x:v>普通</x:v>
      </x:c>
      <x:c r="F458" s="34" t="n">
        <x:v>2.476534646246486</x:v>
      </x:c>
      <x:c r="G458" s="19" t="n">
        <x:v>12</x:v>
      </x:c>
      <x:c r="H458" s="19" t="n">
        <x:v>600</x:v>
      </x:c>
      <x:c r="I458" s="24" t="n">
        <x:f>G458*3600/H458</x:f>
        <x:v>72</x:v>
      </x:c>
      <x:c r="J458" s="24" t="n">
        <x:v>72</x:v>
      </x:c>
      <x:c r="K458" s="19" t="str">
        <x:v>P0273</x:v>
      </x:c>
    </x:row>
    <x:row r="459" ht="19" customHeight="1">
      <x:c r="A459" s="19" t="str">
        <x:v>C09-M016</x:v>
      </x:c>
      <x:c r="B459" s="19" t="str">
        <x:v>旧营提灯尸</x:v>
      </x:c>
      <x:c r="C459" s="19" t="n">
        <x:v>9</x:v>
      </x:c>
      <x:c r="D459" s="19" t="n">
        <x:v>2</x:v>
      </x:c>
      <x:c r="E459" s="19" t="str">
        <x:v>普通</x:v>
      </x:c>
      <x:c r="F459" s="34" t="n">
        <x:v>2.9268136728367566</x:v>
      </x:c>
      <x:c r="G459" s="19" t="n">
        <x:v>12</x:v>
      </x:c>
      <x:c r="H459" s="19" t="n">
        <x:v>600</x:v>
      </x:c>
      <x:c r="I459" s="24" t="n">
        <x:f>G459*3600/H459</x:f>
        <x:v>72</x:v>
      </x:c>
      <x:c r="J459" s="24" t="n">
        <x:v>72</x:v>
      </x:c>
      <x:c r="K459" s="19" t="str">
        <x:v>P0273</x:v>
      </x:c>
    </x:row>
    <x:row r="460" ht="19" customHeight="1">
      <x:c r="A460" s="19" t="str">
        <x:v>C09-M017</x:v>
      </x:c>
      <x:c r="B460" s="19" t="str">
        <x:v>深井负筐奴</x:v>
      </x:c>
      <x:c r="C460" s="19" t="n">
        <x:v>9</x:v>
      </x:c>
      <x:c r="D460" s="19" t="n">
        <x:v>2</x:v>
      </x:c>
      <x:c r="E460" s="19" t="str">
        <x:v>普通</x:v>
      </x:c>
      <x:c r="F460" s="34" t="n">
        <x:v>3.1519531861318915</x:v>
      </x:c>
      <x:c r="G460" s="19" t="n">
        <x:v>12</x:v>
      </x:c>
      <x:c r="H460" s="19" t="n">
        <x:v>600</x:v>
      </x:c>
      <x:c r="I460" s="24" t="n">
        <x:f>G460*3600/H460</x:f>
        <x:v>72</x:v>
      </x:c>
      <x:c r="J460" s="24" t="n">
        <x:v>72</x:v>
      </x:c>
      <x:c r="K460" s="19" t="str">
        <x:v>P0273</x:v>
      </x:c>
    </x:row>
    <x:row r="461" ht="19" customHeight="1">
      <x:c r="A461" s="19" t="str">
        <x:v>C09-M018</x:v>
      </x:c>
      <x:c r="B461" s="19" t="str">
        <x:v>核心晶背虫</x:v>
      </x:c>
      <x:c r="C461" s="19" t="n">
        <x:v>9</x:v>
      </x:c>
      <x:c r="D461" s="19" t="n">
        <x:v>2</x:v>
      </x:c>
      <x:c r="E461" s="19" t="str">
        <x:v>普通</x:v>
      </x:c>
      <x:c r="F461" s="34" t="n">
        <x:v>2.476534646246486</x:v>
      </x:c>
      <x:c r="G461" s="19" t="n">
        <x:v>12</x:v>
      </x:c>
      <x:c r="H461" s="19" t="n">
        <x:v>600</x:v>
      </x:c>
      <x:c r="I461" s="24" t="n">
        <x:f>G461*3600/H461</x:f>
        <x:v>72</x:v>
      </x:c>
      <x:c r="J461" s="24" t="n">
        <x:v>72</x:v>
      </x:c>
      <x:c r="K461" s="19" t="str">
        <x:v>P0273</x:v>
      </x:c>
    </x:row>
    <x:row r="462" ht="19" customHeight="1">
      <x:c r="A462" s="19" t="str">
        <x:v>C09-M019</x:v>
      </x:c>
      <x:c r="B462" s="19" t="str">
        <x:v>矿道哑钟监工</x:v>
      </x:c>
      <x:c r="C462" s="19" t="n">
        <x:v>9</x:v>
      </x:c>
      <x:c r="D462" s="19" t="n">
        <x:v>2</x:v>
      </x:c>
      <x:c r="E462" s="19" t="str">
        <x:v>稀有</x:v>
      </x:c>
      <x:c r="F462" s="34" t="n">
        <x:v>7.191626058675163</x:v>
      </x:c>
      <x:c r="G462" s="19" t="n">
        <x:v>2</x:v>
      </x:c>
      <x:c r="H462" s="19" t="n">
        <x:v>600</x:v>
      </x:c>
      <x:c r="I462" s="24" t="n">
        <x:f>G462*3600/H462</x:f>
        <x:v>12</x:v>
      </x:c>
      <x:c r="J462" s="24" t="n">
        <x:v>12</x:v>
      </x:c>
      <x:c r="K462" s="19" t="str">
        <x:v>P0273</x:v>
      </x:c>
    </x:row>
    <x:row r="463" ht="19" customHeight="1">
      <x:c r="A463" s="19" t="str">
        <x:v>C09-M020</x:v>
      </x:c>
      <x:c r="B463" s="19" t="str">
        <x:v>营地熔勺婆</x:v>
      </x:c>
      <x:c r="C463" s="19" t="n">
        <x:v>9</x:v>
      </x:c>
      <x:c r="D463" s="19" t="n">
        <x:v>2</x:v>
      </x:c>
      <x:c r="E463" s="19" t="str">
        <x:v>稀有</x:v>
      </x:c>
      <x:c r="F463" s="34" t="n">
        <x:v>8.869672139032701</x:v>
      </x:c>
      <x:c r="G463" s="19" t="n">
        <x:v>2</x:v>
      </x:c>
      <x:c r="H463" s="19" t="n">
        <x:v>600</x:v>
      </x:c>
      <x:c r="I463" s="24" t="n">
        <x:f>G463*3600/H463</x:f>
        <x:v>12</x:v>
      </x:c>
      <x:c r="J463" s="24" t="n">
        <x:v>12</x:v>
      </x:c>
      <x:c r="K463" s="19" t="str">
        <x:v>P0273</x:v>
      </x:c>
    </x:row>
    <x:row r="464" ht="19" customHeight="1">
      <x:c r="A464" s="19" t="str">
        <x:v>C09-M021</x:v>
      </x:c>
      <x:c r="B464" s="19" t="str">
        <x:v>深层听岩师</x:v>
      </x:c>
      <x:c r="C464" s="19" t="n">
        <x:v>9</x:v>
      </x:c>
      <x:c r="D464" s="19" t="n">
        <x:v>2</x:v>
      </x:c>
      <x:c r="E464" s="19" t="str">
        <x:v>稀有</x:v>
      </x:c>
      <x:c r="F464" s="34" t="n">
        <x:v>8.150509533165184</x:v>
      </x:c>
      <x:c r="G464" s="19" t="n">
        <x:v>2</x:v>
      </x:c>
      <x:c r="H464" s="19" t="n">
        <x:v>600</x:v>
      </x:c>
      <x:c r="I464" s="24" t="n">
        <x:f>G464*3600/H464</x:f>
        <x:v>12</x:v>
      </x:c>
      <x:c r="J464" s="24" t="n">
        <x:v>12</x:v>
      </x:c>
      <x:c r="K464" s="19" t="str">
        <x:v>P0273</x:v>
      </x:c>
    </x:row>
    <x:row r="465" ht="19" customHeight="1">
      <x:c r="A465" s="19" t="str">
        <x:v>C09-M022</x:v>
      </x:c>
      <x:c r="B465" s="19" t="str">
        <x:v>核心吞金蜥</x:v>
      </x:c>
      <x:c r="C465" s="19" t="n">
        <x:v>9</x:v>
      </x:c>
      <x:c r="D465" s="19" t="n">
        <x:v>2</x:v>
      </x:c>
      <x:c r="E465" s="19" t="str">
        <x:v>稀有</x:v>
      </x:c>
      <x:c r="F465" s="34" t="n">
        <x:v>8.150509533165184</x:v>
      </x:c>
      <x:c r="G465" s="19" t="n">
        <x:v>2</x:v>
      </x:c>
      <x:c r="H465" s="19" t="n">
        <x:v>600</x:v>
      </x:c>
      <x:c r="I465" s="24" t="n">
        <x:f>G465*3600/H465</x:f>
        <x:v>12</x:v>
      </x:c>
      <x:c r="J465" s="24" t="n">
        <x:v>12</x:v>
      </x:c>
      <x:c r="K465" s="19" t="str">
        <x:v>P0273</x:v>
      </x:c>
    </x:row>
    <x:row r="466" ht="19" customHeight="1">
      <x:c r="A466" s="19" t="str">
        <x:v>C09-M023</x:v>
      </x:c>
      <x:c r="B466" s="19" t="str">
        <x:v>深井断索王·布洛克</x:v>
      </x:c>
      <x:c r="C466" s="19" t="n">
        <x:v>9</x:v>
      </x:c>
      <x:c r="D466" s="19" t="n">
        <x:v>2</x:v>
      </x:c>
      <x:c r="E466" s="19" t="str">
        <x:v>地图BOSS</x:v>
      </x:c>
      <x:c r="F466" s="34" t="n">
        <x:v>80.98749592021234</x:v>
      </x:c>
      <x:c r="G466" s="19" t="n">
        <x:v>1</x:v>
      </x:c>
      <x:c r="H466" s="19" t="n">
        <x:v>1800</x:v>
      </x:c>
      <x:c r="I466" s="24" t="n">
        <x:f>G466*3600/H466</x:f>
        <x:v>2</x:v>
      </x:c>
      <x:c r="J466" s="24" t="n">
        <x:v>2</x:v>
      </x:c>
      <x:c r="K466" s="19" t="str">
        <x:v>P0273</x:v>
      </x:c>
    </x:row>
    <x:row r="467" ht="19" customHeight="1">
      <x:c r="A467" s="19" t="str">
        <x:v>C09-M024</x:v>
      </x:c>
      <x:c r="B467" s="19" t="str">
        <x:v>矿心鎏金母·奥莉莎</x:v>
      </x:c>
      <x:c r="C467" s="19" t="n">
        <x:v>9</x:v>
      </x:c>
      <x:c r="D467" s="19" t="n">
        <x:v>2</x:v>
      </x:c>
      <x:c r="E467" s="19" t="str">
        <x:v>地图BOSS</x:v>
      </x:c>
      <x:c r="F467" s="34" t="n">
        <x:v>80.98749592021234</x:v>
      </x:c>
      <x:c r="G467" s="19" t="n">
        <x:v>1</x:v>
      </x:c>
      <x:c r="H467" s="19" t="n">
        <x:v>1800</x:v>
      </x:c>
      <x:c r="I467" s="24" t="n">
        <x:f>G467*3600/H467</x:f>
        <x:v>2</x:v>
      </x:c>
      <x:c r="J467" s="24" t="n">
        <x:v>2</x:v>
      </x:c>
      <x:c r="K467" s="19" t="str">
        <x:v>P0273</x:v>
      </x:c>
    </x:row>
    <x:row r="468" ht="19" customHeight="1">
      <x:c r="A468" s="19" t="str">
        <x:v>C09-M025</x:v>
      </x:c>
      <x:c r="B468" s="19" t="str">
        <x:v>陵园剪枝傀</x:v>
      </x:c>
      <x:c r="C468" s="19" t="n">
        <x:v>9</x:v>
      </x:c>
      <x:c r="D468" s="19" t="n">
        <x:v>3</x:v>
      </x:c>
      <x:c r="E468" s="19" t="str">
        <x:v>普通</x:v>
      </x:c>
      <x:c r="F468" s="34" t="n">
        <x:v>2.869129067913178</x:v>
      </x:c>
      <x:c r="G468" s="19" t="n">
        <x:v>12</x:v>
      </x:c>
      <x:c r="H468" s="19" t="n">
        <x:v>600</x:v>
      </x:c>
      <x:c r="I468" s="24" t="n">
        <x:f>G468*3600/H468</x:f>
        <x:v>72</x:v>
      </x:c>
      <x:c r="J468" s="24" t="n">
        <x:v>72</x:v>
      </x:c>
      <x:c r="K468" s="19" t="str">
        <x:v>P0279</x:v>
      </x:c>
    </x:row>
    <x:row r="469" ht="19" customHeight="1">
      <x:c r="A469" s="19" t="str">
        <x:v>C09-M026</x:v>
      </x:c>
      <x:c r="B469" s="19" t="str">
        <x:v>王碑金翅蛾</x:v>
      </x:c>
      <x:c r="C469" s="19" t="n">
        <x:v>9</x:v>
      </x:c>
      <x:c r="D469" s="19" t="n">
        <x:v>3</x:v>
      </x:c>
      <x:c r="E469" s="19" t="str">
        <x:v>普通</x:v>
      </x:c>
      <x:c r="F469" s="34" t="n">
        <x:v>3.06040433910739</x:v>
      </x:c>
      <x:c r="G469" s="19" t="n">
        <x:v>12</x:v>
      </x:c>
      <x:c r="H469" s="19" t="n">
        <x:v>600</x:v>
      </x:c>
      <x:c r="I469" s="24" t="n">
        <x:f>G469*3600/H469</x:f>
        <x:v>72</x:v>
      </x:c>
      <x:c r="J469" s="24" t="n">
        <x:v>72</x:v>
      </x:c>
      <x:c r="K469" s="19" t="str">
        <x:v>P0279</x:v>
      </x:c>
    </x:row>
    <x:row r="470" ht="19" customHeight="1">
      <x:c r="A470" s="19" t="str">
        <x:v>C09-M027</x:v>
      </x:c>
      <x:c r="B470" s="19" t="str">
        <x:v>甬道扶棺卒</x:v>
      </x:c>
      <x:c r="C470" s="19" t="n">
        <x:v>9</x:v>
      </x:c>
      <x:c r="D470" s="19" t="n">
        <x:v>3</x:v>
      </x:c>
      <x:c r="E470" s="19" t="str">
        <x:v>普通</x:v>
      </x:c>
      <x:c r="F470" s="34" t="n">
        <x:v>3.06040433910739</x:v>
      </x:c>
      <x:c r="G470" s="19" t="n">
        <x:v>12</x:v>
      </x:c>
      <x:c r="H470" s="19" t="n">
        <x:v>600</x:v>
      </x:c>
      <x:c r="I470" s="24" t="n">
        <x:f>G470*3600/H470</x:f>
        <x:v>72</x:v>
      </x:c>
      <x:c r="J470" s="24" t="n">
        <x:v>72</x:v>
      </x:c>
      <x:c r="K470" s="19" t="str">
        <x:v>P0279</x:v>
      </x:c>
    </x:row>
    <x:row r="471" ht="19" customHeight="1">
      <x:c r="A471" s="19" t="str">
        <x:v>C09-M028</x:v>
      </x:c>
      <x:c r="B471" s="19" t="str">
        <x:v>壁龛守烛童</x:v>
      </x:c>
      <x:c r="C471" s="19" t="n">
        <x:v>9</x:v>
      </x:c>
      <x:c r="D471" s="19" t="n">
        <x:v>3</x:v>
      </x:c>
      <x:c r="E471" s="19" t="str">
        <x:v>普通</x:v>
      </x:c>
      <x:c r="F471" s="34" t="n">
        <x:v>3.2516796103016015</x:v>
      </x:c>
      <x:c r="G471" s="19" t="n">
        <x:v>12</x:v>
      </x:c>
      <x:c r="H471" s="19" t="n">
        <x:v>600</x:v>
      </x:c>
      <x:c r="I471" s="24" t="n">
        <x:f>G471*3600/H471</x:f>
        <x:v>72</x:v>
      </x:c>
      <x:c r="J471" s="24" t="n">
        <x:v>72</x:v>
      </x:c>
      <x:c r="K471" s="19" t="str">
        <x:v>P0279</x:v>
      </x:c>
    </x:row>
    <x:row r="472" ht="19" customHeight="1">
      <x:c r="A472" s="19" t="str">
        <x:v>C09-M029</x:v>
      </x:c>
      <x:c r="B472" s="19" t="str">
        <x:v>墓室敛袍侍</x:v>
      </x:c>
      <x:c r="C472" s="19" t="n">
        <x:v>9</x:v>
      </x:c>
      <x:c r="D472" s="19" t="n">
        <x:v>3</x:v>
      </x:c>
      <x:c r="E472" s="19" t="str">
        <x:v>普通</x:v>
      </x:c>
      <x:c r="F472" s="34" t="n">
        <x:v>3.2516796103016015</x:v>
      </x:c>
      <x:c r="G472" s="19" t="n">
        <x:v>12</x:v>
      </x:c>
      <x:c r="H472" s="19" t="n">
        <x:v>600</x:v>
      </x:c>
      <x:c r="I472" s="24" t="n">
        <x:f>G472*3600/H472</x:f>
        <x:v>72</x:v>
      </x:c>
      <x:c r="J472" s="24" t="n">
        <x:v>72</x:v>
      </x:c>
      <x:c r="K472" s="19" t="str">
        <x:v>P0279</x:v>
      </x:c>
    </x:row>
    <x:row r="473" ht="19" customHeight="1">
      <x:c r="A473" s="19" t="str">
        <x:v>C09-M030</x:v>
      </x:c>
      <x:c r="B473" s="19" t="str">
        <x:v>古王陪葬犬</x:v>
      </x:c>
      <x:c r="C473" s="19" t="n">
        <x:v>9</x:v>
      </x:c>
      <x:c r="D473" s="19" t="n">
        <x:v>3</x:v>
      </x:c>
      <x:c r="E473" s="19" t="str">
        <x:v>普通</x:v>
      </x:c>
      <x:c r="F473" s="34" t="n">
        <x:v>2.486578525524754</x:v>
      </x:c>
      <x:c r="G473" s="19" t="n">
        <x:v>12</x:v>
      </x:c>
      <x:c r="H473" s="19" t="n">
        <x:v>600</x:v>
      </x:c>
      <x:c r="I473" s="24" t="n">
        <x:f>G473*3600/H473</x:f>
        <x:v>72</x:v>
      </x:c>
      <x:c r="J473" s="24" t="n">
        <x:v>72</x:v>
      </x:c>
      <x:c r="K473" s="19" t="str">
        <x:v>P0279</x:v>
      </x:c>
    </x:row>
    <x:row r="474" ht="19" customHeight="1">
      <x:c r="A474" s="19" t="str">
        <x:v>C09-M031</x:v>
      </x:c>
      <x:c r="B474" s="19" t="str">
        <x:v>王陵问名官</x:v>
      </x:c>
      <x:c r="C474" s="19" t="n">
        <x:v>9</x:v>
      </x:c>
      <x:c r="D474" s="19" t="n">
        <x:v>3</x:v>
      </x:c>
      <x:c r="E474" s="19" t="str">
        <x:v>稀有</x:v>
      </x:c>
      <x:c r="F474" s="34" t="n">
        <x:v>9.389516476047051</x:v>
      </x:c>
      <x:c r="G474" s="19" t="n">
        <x:v>2</x:v>
      </x:c>
      <x:c r="H474" s="19" t="n">
        <x:v>600</x:v>
      </x:c>
      <x:c r="I474" s="24" t="n">
        <x:f>G474*3600/H474</x:f>
        <x:v>12</x:v>
      </x:c>
      <x:c r="J474" s="24" t="n">
        <x:v>12</x:v>
      </x:c>
      <x:c r="K474" s="19" t="str">
        <x:v>P0279</x:v>
      </x:c>
    </x:row>
    <x:row r="475" ht="19" customHeight="1">
      <x:c r="A475" s="19" t="str">
        <x:v>C09-M032</x:v>
      </x:c>
      <x:c r="B475" s="19" t="str">
        <x:v>甬道无面近卫</x:v>
      </x:c>
      <x:c r="C475" s="19" t="n">
        <x:v>9</x:v>
      </x:c>
      <x:c r="D475" s="19" t="n">
        <x:v>3</x:v>
      </x:c>
      <x:c r="E475" s="19" t="str">
        <x:v>稀有</x:v>
      </x:c>
      <x:c r="F475" s="34" t="n">
        <x:v>8.573036782477743</x:v>
      </x:c>
      <x:c r="G475" s="19" t="n">
        <x:v>2</x:v>
      </x:c>
      <x:c r="H475" s="19" t="n">
        <x:v>600</x:v>
      </x:c>
      <x:c r="I475" s="24" t="n">
        <x:f>G475*3600/H475</x:f>
        <x:v>12</x:v>
      </x:c>
      <x:c r="J475" s="24" t="n">
        <x:v>12</x:v>
      </x:c>
      <x:c r="K475" s="19" t="str">
        <x:v>P0279</x:v>
      </x:c>
    </x:row>
    <x:row r="476" ht="19" customHeight="1">
      <x:c r="A476" s="19" t="str">
        <x:v>C09-M033</x:v>
      </x:c>
      <x:c r="B476" s="19" t="str">
        <x:v>墓室守印妃</x:v>
      </x:c>
      <x:c r="C476" s="19" t="n">
        <x:v>9</x:v>
      </x:c>
      <x:c r="D476" s="19" t="n">
        <x:v>3</x:v>
      </x:c>
      <x:c r="E476" s="19" t="str">
        <x:v>稀有</x:v>
      </x:c>
      <x:c r="F476" s="34" t="n">
        <x:v>9.389516476047051</x:v>
      </x:c>
      <x:c r="G476" s="19" t="n">
        <x:v>2</x:v>
      </x:c>
      <x:c r="H476" s="19" t="n">
        <x:v>600</x:v>
      </x:c>
      <x:c r="I476" s="24" t="n">
        <x:f>G476*3600/H476</x:f>
        <x:v>12</x:v>
      </x:c>
      <x:c r="J476" s="24" t="n">
        <x:v>12</x:v>
      </x:c>
      <x:c r="K476" s="19" t="str">
        <x:v>P0279</x:v>
      </x:c>
    </x:row>
    <x:row r="477" ht="19" customHeight="1">
      <x:c r="A477" s="19" t="str">
        <x:v>C09-M034</x:v>
      </x:c>
      <x:c r="B477" s="19" t="str">
        <x:v>墓室食梦金蝉</x:v>
      </x:c>
      <x:c r="C477" s="19" t="n">
        <x:v>9</x:v>
      </x:c>
      <x:c r="D477" s="19" t="n">
        <x:v>3</x:v>
      </x:c>
      <x:c r="E477" s="19" t="str">
        <x:v>稀有</x:v>
      </x:c>
      <x:c r="F477" s="34" t="n">
        <x:v>8.573036782477743</x:v>
      </x:c>
      <x:c r="G477" s="19" t="n">
        <x:v>2</x:v>
      </x:c>
      <x:c r="H477" s="19" t="n">
        <x:v>600</x:v>
      </x:c>
      <x:c r="I477" s="24" t="n">
        <x:f>G477*3600/H477</x:f>
        <x:v>12</x:v>
      </x:c>
      <x:c r="J477" s="24" t="n">
        <x:v>12</x:v>
      </x:c>
      <x:c r="K477" s="19" t="str">
        <x:v>P0279</x:v>
      </x:c>
    </x:row>
    <x:row r="478" ht="19" customHeight="1">
      <x:c r="A478" s="19" t="str">
        <x:v>C09-M035</x:v>
      </x:c>
      <x:c r="B478" s="19" t="str">
        <x:v>封棺执政·梅尔顿</x:v>
      </x:c>
      <x:c r="C478" s="19" t="n">
        <x:v>9</x:v>
      </x:c>
      <x:c r="D478" s="19" t="n">
        <x:v>3</x:v>
      </x:c>
      <x:c r="E478" s="19" t="str">
        <x:v>地图BOSS</x:v>
      </x:c>
      <x:c r="F478" s="34" t="n">
        <x:v>85.479115031251</x:v>
      </x:c>
      <x:c r="G478" s="19" t="n">
        <x:v>1</x:v>
      </x:c>
      <x:c r="H478" s="19" t="n">
        <x:v>1800</x:v>
      </x:c>
      <x:c r="I478" s="24" t="n">
        <x:f>G478*3600/H478</x:f>
        <x:v>2</x:v>
      </x:c>
      <x:c r="J478" s="24" t="n">
        <x:v>2</x:v>
      </x:c>
      <x:c r="K478" s="19" t="str">
        <x:v>P0279</x:v>
      </x:c>
    </x:row>
    <x:row r="479" ht="19" customHeight="1">
      <x:c r="A479" s="19" t="str">
        <x:v>C09-M036</x:v>
      </x:c>
      <x:c r="B479" s="19" t="str">
        <x:v>不醒古王·奥瑞昂</x:v>
      </x:c>
      <x:c r="C479" s="19" t="n">
        <x:v>9</x:v>
      </x:c>
      <x:c r="D479" s="19" t="n">
        <x:v>3</x:v>
      </x:c>
      <x:c r="E479" s="19" t="str">
        <x:v>地图BOSS</x:v>
      </x:c>
      <x:c r="F479" s="34" t="n">
        <x:v>70.6846528143037</x:v>
      </x:c>
      <x:c r="G479" s="19" t="n">
        <x:v>1</x:v>
      </x:c>
      <x:c r="H479" s="19" t="n">
        <x:v>1800</x:v>
      </x:c>
      <x:c r="I479" s="24" t="n">
        <x:f>G479*3600/H479</x:f>
        <x:v>2</x:v>
      </x:c>
      <x:c r="J479" s="24" t="n">
        <x:v>2</x:v>
      </x:c>
      <x:c r="K479" s="19" t="str">
        <x:v>P0279</x:v>
      </x:c>
    </x:row>
    <x:row r="480" ht="19" customHeight="1">
      <x:c r="A480" s="19" t="str">
        <x:v>C09-M037</x:v>
      </x:c>
      <x:c r="B480" s="19" t="str">
        <x:v>圣堂扫金仆</x:v>
      </x:c>
      <x:c r="C480" s="19" t="n">
        <x:v>9</x:v>
      </x:c>
      <x:c r="D480" s="19" t="n">
        <x:v>4</x:v>
      </x:c>
      <x:c r="E480" s="19" t="str">
        <x:v>普通</x:v>
      </x:c>
      <x:c r="F480" s="34" t="n">
        <x:v>3.3445557365728247</x:v>
      </x:c>
      <x:c r="G480" s="19" t="n">
        <x:v>12</x:v>
      </x:c>
      <x:c r="H480" s="19" t="n">
        <x:v>600</x:v>
      </x:c>
      <x:c r="I480" s="24" t="n">
        <x:f>G480*3600/H480</x:f>
        <x:v>72</x:v>
      </x:c>
      <x:c r="J480" s="24" t="n">
        <x:v>72</x:v>
      </x:c>
      <x:c r="K480" s="19" t="str">
        <x:v>P0285</x:v>
      </x:c>
    </x:row>
    <x:row r="481" ht="19" customHeight="1">
      <x:c r="A481" s="19" t="str">
        <x:v>C09-M038</x:v>
      </x:c>
      <x:c r="B481" s="19" t="str">
        <x:v>鎏檐守门士</x:v>
      </x:c>
      <x:c r="C481" s="19" t="n">
        <x:v>9</x:v>
      </x:c>
      <x:c r="D481" s="19" t="n">
        <x:v>4</x:v>
      </x:c>
      <x:c r="E481" s="19" t="str">
        <x:v>普通</x:v>
      </x:c>
      <x:c r="F481" s="34" t="n">
        <x:v>3.3445557365728247</x:v>
      </x:c>
      <x:c r="G481" s="19" t="n">
        <x:v>12</x:v>
      </x:c>
      <x:c r="H481" s="19" t="n">
        <x:v>600</x:v>
      </x:c>
      <x:c r="I481" s="24" t="n">
        <x:f>G481*3600/H481</x:f>
        <x:v>72</x:v>
      </x:c>
      <x:c r="J481" s="24" t="n">
        <x:v>72</x:v>
      </x:c>
      <x:c r="K481" s="19" t="str">
        <x:v>P0285</x:v>
      </x:c>
    </x:row>
    <x:row r="482" ht="19" customHeight="1">
      <x:c r="A482" s="19" t="str">
        <x:v>C09-M039</x:v>
      </x:c>
      <x:c r="B482" s="19" t="str">
        <x:v>前廊白袍唱者</x:v>
      </x:c>
      <x:c r="C482" s="19" t="n">
        <x:v>9</x:v>
      </x:c>
      <x:c r="D482" s="19" t="n">
        <x:v>4</x:v>
      </x:c>
      <x:c r="E482" s="19" t="str">
        <x:v>普通</x:v>
      </x:c>
      <x:c r="F482" s="34" t="n">
        <x:v>3.3445557365728247</x:v>
      </x:c>
      <x:c r="G482" s="19" t="n">
        <x:v>12</x:v>
      </x:c>
      <x:c r="H482" s="19" t="n">
        <x:v>600</x:v>
      </x:c>
      <x:c r="I482" s="24" t="n">
        <x:f>G482*3600/H482</x:f>
        <x:v>72</x:v>
      </x:c>
      <x:c r="J482" s="24" t="n">
        <x:v>72</x:v>
      </x:c>
      <x:c r="K482" s="19" t="str">
        <x:v>P0285</x:v>
      </x:c>
    </x:row>
    <x:row r="483" ht="19" customHeight="1">
      <x:c r="A483" s="19" t="str">
        <x:v>C09-M040</x:v>
      </x:c>
      <x:c r="B483" s="19" t="str">
        <x:v>祭厅焚香奴</x:v>
      </x:c>
      <x:c r="C483" s="19" t="n">
        <x:v>9</x:v>
      </x:c>
      <x:c r="D483" s="19" t="n">
        <x:v>4</x:v>
      </x:c>
      <x:c r="E483" s="19" t="str">
        <x:v>普通</x:v>
      </x:c>
      <x:c r="F483" s="34" t="n">
        <x:v>2.60132112844553</x:v>
      </x:c>
      <x:c r="G483" s="19" t="n">
        <x:v>12</x:v>
      </x:c>
      <x:c r="H483" s="19" t="n">
        <x:v>600</x:v>
      </x:c>
      <x:c r="I483" s="24" t="n">
        <x:f>G483*3600/H483</x:f>
        <x:v>72</x:v>
      </x:c>
      <x:c r="J483" s="24" t="n">
        <x:v>72</x:v>
      </x:c>
      <x:c r="K483" s="19" t="str">
        <x:v>P0285</x:v>
      </x:c>
    </x:row>
    <x:row r="484" ht="19" customHeight="1">
      <x:c r="A484" s="19" t="str">
        <x:v>C09-M041</x:v>
      </x:c>
      <x:c r="B484" s="19" t="str">
        <x:v>内殿金面僧</x:v>
      </x:c>
      <x:c r="C484" s="19" t="n">
        <x:v>9</x:v>
      </x:c>
      <x:c r="D484" s="19" t="n">
        <x:v>4</x:v>
      </x:c>
      <x:c r="E484" s="19" t="str">
        <x:v>普通</x:v>
      </x:c>
      <x:c r="F484" s="34" t="n">
        <x:v>2.60132112844553</x:v>
      </x:c>
      <x:c r="G484" s="19" t="n">
        <x:v>12</x:v>
      </x:c>
      <x:c r="H484" s="19" t="n">
        <x:v>600</x:v>
      </x:c>
      <x:c r="I484" s="24" t="n">
        <x:f>G484*3600/H484</x:f>
        <x:v>72</x:v>
      </x:c>
      <x:c r="J484" s="24" t="n">
        <x:v>72</x:v>
      </x:c>
      <x:c r="K484" s="19" t="str">
        <x:v>P0285</x:v>
      </x:c>
    </x:row>
    <x:row r="485" ht="19" customHeight="1">
      <x:c r="A485" s="19" t="str">
        <x:v>C09-M042</x:v>
      </x:c>
      <x:c r="B485" s="19" t="str">
        <x:v>圣坛祷弓手</x:v>
      </x:c>
      <x:c r="C485" s="19" t="n">
        <x:v>9</x:v>
      </x:c>
      <x:c r="D485" s="19" t="n">
        <x:v>4</x:v>
      </x:c>
      <x:c r="E485" s="19" t="str">
        <x:v>普通</x:v>
      </x:c>
      <x:c r="F485" s="34" t="n">
        <x:v>2.60132112844553</x:v>
      </x:c>
      <x:c r="G485" s="19" t="n">
        <x:v>12</x:v>
      </x:c>
      <x:c r="H485" s="19" t="n">
        <x:v>600</x:v>
      </x:c>
      <x:c r="I485" s="24" t="n">
        <x:f>G485*3600/H485</x:f>
        <x:v>72</x:v>
      </x:c>
      <x:c r="J485" s="24" t="n">
        <x:v>72</x:v>
      </x:c>
      <x:c r="K485" s="19" t="str">
        <x:v>P0285</x:v>
      </x:c>
    </x:row>
    <x:row r="486" ht="19" customHeight="1">
      <x:c r="A486" s="19" t="str">
        <x:v>C09-M043</x:v>
      </x:c>
      <x:c r="B486" s="19" t="str">
        <x:v>前廊裁罪使</x:v>
      </x:c>
      <x:c r="C486" s="19" t="n">
        <x:v>9</x:v>
      </x:c>
      <x:c r="D486" s="19" t="n">
        <x:v>4</x:v>
      </x:c>
      <x:c r="E486" s="19" t="str">
        <x:v>稀有</x:v>
      </x:c>
      <x:c r="F486" s="34" t="n">
        <x:v>7.547743736169894</x:v>
      </x:c>
      <x:c r="G486" s="19" t="n">
        <x:v>2</x:v>
      </x:c>
      <x:c r="H486" s="19" t="n">
        <x:v>600</x:v>
      </x:c>
      <x:c r="I486" s="24" t="n">
        <x:f>G486*3600/H486</x:f>
        <x:v>12</x:v>
      </x:c>
      <x:c r="J486" s="24" t="n">
        <x:v>12</x:v>
      </x:c>
      <x:c r="K486" s="19" t="str">
        <x:v>P0285</x:v>
      </x:c>
    </x:row>
    <x:row r="487" ht="19" customHeight="1">
      <x:c r="A487" s="19" t="str">
        <x:v>C09-M044</x:v>
      </x:c>
      <x:c r="B487" s="19" t="str">
        <x:v>古神食香兽</x:v>
      </x:c>
      <x:c r="C487" s="19" t="n">
        <x:v>9</x:v>
      </x:c>
      <x:c r="D487" s="19" t="n">
        <x:v>4</x:v>
      </x:c>
      <x:c r="E487" s="19" t="str">
        <x:v>稀有</x:v>
      </x:c>
      <x:c r="F487" s="34" t="n">
        <x:v>9.335367252631183</x:v>
      </x:c>
      <x:c r="G487" s="19" t="n">
        <x:v>2</x:v>
      </x:c>
      <x:c r="H487" s="19" t="n">
        <x:v>600</x:v>
      </x:c>
      <x:c r="I487" s="24" t="n">
        <x:f>G487*3600/H487</x:f>
        <x:v>12</x:v>
      </x:c>
      <x:c r="J487" s="24" t="n">
        <x:v>12</x:v>
      </x:c>
      <x:c r="K487" s="19" t="str">
        <x:v>P0285</x:v>
      </x:c>
    </x:row>
    <x:row r="488" ht="19" customHeight="1">
      <x:c r="A488" s="19" t="str">
        <x:v>C09-M045</x:v>
      </x:c>
      <x:c r="B488" s="19" t="str">
        <x:v>内殿无声司铎</x:v>
      </x:c>
      <x:c r="C488" s="19" t="n">
        <x:v>9</x:v>
      </x:c>
      <x:c r="D488" s="19" t="n">
        <x:v>4</x:v>
      </x:c>
      <x:c r="E488" s="19" t="str">
        <x:v>稀有</x:v>
      </x:c>
      <x:c r="F488" s="34" t="n">
        <x:v>9.335367252631183</x:v>
      </x:c>
      <x:c r="G488" s="19" t="n">
        <x:v>2</x:v>
      </x:c>
      <x:c r="H488" s="19" t="n">
        <x:v>600</x:v>
      </x:c>
      <x:c r="I488" s="24" t="n">
        <x:f>G488*3600/H488</x:f>
        <x:v>12</x:v>
      </x:c>
      <x:c r="J488" s="24" t="n">
        <x:v>12</x:v>
      </x:c>
      <x:c r="K488" s="19" t="str">
        <x:v>P0285</x:v>
      </x:c>
    </x:row>
    <x:row r="489" ht="19" customHeight="1">
      <x:c r="A489" s="19" t="str">
        <x:v>C09-M046</x:v>
      </x:c>
      <x:c r="B489" s="19" t="str">
        <x:v>圣坛逐光姬</x:v>
      </x:c>
      <x:c r="C489" s="19" t="n">
        <x:v>9</x:v>
      </x:c>
      <x:c r="D489" s="19" t="n">
        <x:v>4</x:v>
      </x:c>
      <x:c r="E489" s="19" t="str">
        <x:v>稀有</x:v>
      </x:c>
      <x:c r="F489" s="34" t="n">
        <x:v>8.14361824165699</x:v>
      </x:c>
      <x:c r="G489" s="19" t="n">
        <x:v>2</x:v>
      </x:c>
      <x:c r="H489" s="19" t="n">
        <x:v>600</x:v>
      </x:c>
      <x:c r="I489" s="24" t="n">
        <x:f>G489*3600/H489</x:f>
        <x:v>12</x:v>
      </x:c>
      <x:c r="J489" s="24" t="n">
        <x:v>12</x:v>
      </x:c>
      <x:c r="K489" s="19" t="str">
        <x:v>P0285</x:v>
      </x:c>
    </x:row>
    <x:row r="490" ht="19" customHeight="1">
      <x:c r="A490" s="19" t="str">
        <x:v>C09-M047</x:v>
      </x:c>
      <x:c r="B490" s="19" t="str">
        <x:v>黄金枢机·赛维兰</x:v>
      </x:c>
      <x:c r="C490" s="19" t="n">
        <x:v>9</x:v>
      </x:c>
      <x:c r="D490" s="19" t="n">
        <x:v>4</x:v>
      </x:c>
      <x:c r="E490" s="19" t="str">
        <x:v>地图BOSS</x:v>
      </x:c>
      <x:c r="F490" s="34" t="n">
        <x:v>86.25281533317124</x:v>
      </x:c>
      <x:c r="G490" s="19" t="n">
        <x:v>1</x:v>
      </x:c>
      <x:c r="H490" s="19" t="n">
        <x:v>1800</x:v>
      </x:c>
      <x:c r="I490" s="24" t="n">
        <x:f>G490*3600/H490</x:f>
        <x:v>2</x:v>
      </x:c>
      <x:c r="J490" s="24" t="n">
        <x:v>2</x:v>
      </x:c>
      <x:c r="K490" s="19" t="str">
        <x:v>P0285</x:v>
      </x:c>
    </x:row>
    <x:row r="491" ht="19" customHeight="1">
      <x:c r="A491" s="19" t="str">
        <x:v>C09-M048</x:v>
      </x:c>
      <x:c r="B491" s="19" t="str">
        <x:v>高原圣母·艾德莉雅</x:v>
      </x:c>
      <x:c r="C491" s="19" t="n">
        <x:v>9</x:v>
      </x:c>
      <x:c r="D491" s="19" t="n">
        <x:v>4</x:v>
      </x:c>
      <x:c r="E491" s="19" t="str">
        <x:v>地图BOSS</x:v>
      </x:c>
      <x:c r="F491" s="34" t="n">
        <x:v>86.25281533317124</x:v>
      </x:c>
      <x:c r="G491" s="19" t="n">
        <x:v>1</x:v>
      </x:c>
      <x:c r="H491" s="19" t="n">
        <x:v>1800</x:v>
      </x:c>
      <x:c r="I491" s="24" t="n">
        <x:f>G491*3600/H491</x:f>
        <x:v>2</x:v>
      </x:c>
      <x:c r="J491" s="24" t="n">
        <x:v>2</x:v>
      </x:c>
      <x:c r="K491" s="19" t="str">
        <x:v>P0285</x:v>
      </x:c>
    </x:row>
    <x:row r="492" ht="19" customHeight="1">
      <x:c r="A492" s="19" t="str">
        <x:v>C09-M049</x:v>
      </x:c>
      <x:c r="B492" s="19" t="str">
        <x:v>外垒铆甲兵</x:v>
      </x:c>
      <x:c r="C492" s="19" t="n">
        <x:v>9</x:v>
      </x:c>
      <x:c r="D492" s="19" t="n">
        <x:v>5</x:v>
      </x:c>
      <x:c r="E492" s="19" t="str">
        <x:v>普通</x:v>
      </x:c>
      <x:c r="F492" s="34" t="n">
        <x:v>2.6694679424667656</x:v>
      </x:c>
      <x:c r="G492" s="19" t="n">
        <x:v>12</x:v>
      </x:c>
      <x:c r="H492" s="19" t="n">
        <x:v>600</x:v>
      </x:c>
      <x:c r="I492" s="24" t="n">
        <x:f>G492*3600/H492</x:f>
        <x:v>72</x:v>
      </x:c>
      <x:c r="J492" s="24" t="n">
        <x:v>72</x:v>
      </x:c>
      <x:c r="K492" s="19" t="str">
        <x:v>P0291</x:v>
      </x:c>
    </x:row>
    <x:row r="493" ht="19" customHeight="1">
      <x:c r="A493" s="19" t="str">
        <x:v>C09-M050</x:v>
      </x:c>
      <x:c r="B493" s="19" t="str">
        <x:v>城前拾箭童</x:v>
      </x:c>
      <x:c r="C493" s="19" t="n">
        <x:v>9</x:v>
      </x:c>
      <x:c r="D493" s="19" t="n">
        <x:v>5</x:v>
      </x:c>
      <x:c r="E493" s="19" t="str">
        <x:v>普通</x:v>
      </x:c>
      <x:c r="F493" s="34" t="n">
        <x:v>3.0909628807509915</x:v>
      </x:c>
      <x:c r="G493" s="19" t="n">
        <x:v>12</x:v>
      </x:c>
      <x:c r="H493" s="19" t="n">
        <x:v>600</x:v>
      </x:c>
      <x:c r="I493" s="24" t="n">
        <x:f>G493*3600/H493</x:f>
        <x:v>72</x:v>
      </x:c>
      <x:c r="J493" s="24" t="n">
        <x:v>72</x:v>
      </x:c>
      <x:c r="K493" s="19" t="str">
        <x:v>P0291</x:v>
      </x:c>
    </x:row>
    <x:row r="494" ht="19" customHeight="1">
      <x:c r="A494" s="19" t="str">
        <x:v>C09-M051</x:v>
      </x:c>
      <x:c r="B494" s="19" t="str">
        <x:v>甬道持炬枪卒</x:v>
      </x:c>
      <x:c r="C494" s="19" t="n">
        <x:v>9</x:v>
      </x:c>
      <x:c r="D494" s="19" t="n">
        <x:v>5</x:v>
      </x:c>
      <x:c r="E494" s="19" t="str">
        <x:v>普通</x:v>
      </x:c>
      <x:c r="F494" s="34" t="n">
        <x:v>2.6694679424667656</x:v>
      </x:c>
      <x:c r="G494" s="19" t="n">
        <x:v>12</x:v>
      </x:c>
      <x:c r="H494" s="19" t="n">
        <x:v>600</x:v>
      </x:c>
      <x:c r="I494" s="24" t="n">
        <x:f>G494*3600/H494</x:f>
        <x:v>72</x:v>
      </x:c>
      <x:c r="J494" s="24" t="n">
        <x:v>72</x:v>
      </x:c>
      <x:c r="K494" s="19" t="str">
        <x:v>P0291</x:v>
      </x:c>
    </x:row>
    <x:row r="495" ht="19" customHeight="1">
      <x:c r="A495" s="19" t="str">
        <x:v>C09-M052</x:v>
      </x:c>
      <x:c r="B495" s="19" t="str">
        <x:v>驻军庭院炊兵</x:v>
      </x:c>
      <x:c r="C495" s="19" t="n">
        <x:v>9</x:v>
      </x:c>
      <x:c r="D495" s="19" t="n">
        <x:v>5</x:v>
      </x:c>
      <x:c r="E495" s="19" t="str">
        <x:v>普通</x:v>
      </x:c>
      <x:c r="F495" s="34" t="n">
        <x:v>2.5289696297053568</x:v>
      </x:c>
      <x:c r="G495" s="19" t="n">
        <x:v>12</x:v>
      </x:c>
      <x:c r="H495" s="19" t="n">
        <x:v>600</x:v>
      </x:c>
      <x:c r="I495" s="24" t="n">
        <x:f>G495*3600/H495</x:f>
        <x:v>72</x:v>
      </x:c>
      <x:c r="J495" s="24" t="n">
        <x:v>72</x:v>
      </x:c>
      <x:c r="K495" s="19" t="str">
        <x:v>P0291</x:v>
      </x:c>
    </x:row>
    <x:row r="496" ht="19" customHeight="1">
      <x:c r="A496" s="19" t="str">
        <x:v>C09-M053</x:v>
      </x:c>
      <x:c r="B496" s="19" t="str">
        <x:v>黄金壁垒号手</x:v>
      </x:c>
      <x:c r="C496" s="19" t="n">
        <x:v>9</x:v>
      </x:c>
      <x:c r="D496" s="19" t="n">
        <x:v>5</x:v>
      </x:c>
      <x:c r="E496" s="19" t="str">
        <x:v>普通</x:v>
      </x:c>
      <x:c r="F496" s="34" t="n">
        <x:v>3.0909628807509915</x:v>
      </x:c>
      <x:c r="G496" s="19" t="n">
        <x:v>12</x:v>
      </x:c>
      <x:c r="H496" s="19" t="n">
        <x:v>600</x:v>
      </x:c>
      <x:c r="I496" s="24" t="n">
        <x:f>G496*3600/H496</x:f>
        <x:v>72</x:v>
      </x:c>
      <x:c r="J496" s="24" t="n">
        <x:v>72</x:v>
      </x:c>
      <x:c r="K496" s="19" t="str">
        <x:v>P0291</x:v>
      </x:c>
    </x:row>
    <x:row r="497" ht="19" customHeight="1">
      <x:c r="A497" s="19" t="str">
        <x:v>C09-M054</x:v>
      </x:c>
      <x:c r="B497" s="19" t="str">
        <x:v>关门锁链卫</x:v>
      </x:c>
      <x:c r="C497" s="19" t="n">
        <x:v>9</x:v>
      </x:c>
      <x:c r="D497" s="19" t="n">
        <x:v>5</x:v>
      </x:c>
      <x:c r="E497" s="19" t="str">
        <x:v>普通</x:v>
      </x:c>
      <x:c r="F497" s="34" t="n">
        <x:v>7.950151778725906</x:v>
      </x:c>
      <x:c r="G497" s="19" t="n">
        <x:v>12</x:v>
      </x:c>
      <x:c r="H497" s="19" t="n">
        <x:v>600</x:v>
      </x:c>
      <x:c r="I497" s="24" t="n">
        <x:f>G497*3600/H497</x:f>
        <x:v>72</x:v>
      </x:c>
      <x:c r="J497" s="24" t="n">
        <x:v>54.33858522751782</x:v>
      </x:c>
      <x:c r="K497" s="19" t="str">
        <x:v>P0291</x:v>
      </x:c>
    </x:row>
    <x:row r="498" ht="19" customHeight="1">
      <x:c r="A498" s="19" t="str">
        <x:v>C09-M055</x:v>
      </x:c>
      <x:c r="B498" s="19" t="str">
        <x:v>甬道潜旗客</x:v>
      </x:c>
      <x:c r="C498" s="19" t="n">
        <x:v>9</x:v>
      </x:c>
      <x:c r="D498" s="19" t="n">
        <x:v>5</x:v>
      </x:c>
      <x:c r="E498" s="19" t="str">
        <x:v>稀有</x:v>
      </x:c>
      <x:c r="F498" s="34" t="n">
        <x:v>8.421722059975869</x:v>
      </x:c>
      <x:c r="G498" s="19" t="n">
        <x:v>2</x:v>
      </x:c>
      <x:c r="H498" s="19" t="n">
        <x:v>600</x:v>
      </x:c>
      <x:c r="I498" s="24" t="n">
        <x:f>G498*3600/H498</x:f>
        <x:v>12</x:v>
      </x:c>
      <x:c r="J498" s="24" t="n">
        <x:v>12</x:v>
      </x:c>
      <x:c r="K498" s="19" t="str">
        <x:v>P0291</x:v>
      </x:c>
    </x:row>
    <x:row r="499" ht="19" customHeight="1">
      <x:c r="A499" s="19" t="str">
        <x:v>C09-M056</x:v>
      </x:c>
      <x:c r="B499" s="19" t="str">
        <x:v>庭院百战旗官</x:v>
      </x:c>
      <x:c r="C499" s="19" t="n">
        <x:v>9</x:v>
      </x:c>
      <x:c r="D499" s="19" t="n">
        <x:v>5</x:v>
      </x:c>
      <x:c r="E499" s="19" t="str">
        <x:v>稀有</x:v>
      </x:c>
      <x:c r="F499" s="34" t="n">
        <x:v>9.775213105329133</x:v>
      </x:c>
      <x:c r="G499" s="19" t="n">
        <x:v>2</x:v>
      </x:c>
      <x:c r="H499" s="19" t="n">
        <x:v>600</x:v>
      </x:c>
      <x:c r="I499" s="24" t="n">
        <x:f>G499*3600/H499</x:f>
        <x:v>12</x:v>
      </x:c>
      <x:c r="J499" s="24" t="n">
        <x:v>12</x:v>
      </x:c>
      <x:c r="K499" s="19" t="str">
        <x:v>P0291</x:v>
      </x:c>
    </x:row>
    <x:row r="500" ht="19" customHeight="1">
      <x:c r="A500" s="19" t="str">
        <x:v>C09-M057</x:v>
      </x:c>
      <x:c r="B500" s="19" t="str">
        <x:v>壁垒鎏甲骑士</x:v>
      </x:c>
      <x:c r="C500" s="19" t="n">
        <x:v>9</x:v>
      </x:c>
      <x:c r="D500" s="19" t="n">
        <x:v>5</x:v>
      </x:c>
      <x:c r="E500" s="19" t="str">
        <x:v>稀有</x:v>
      </x:c>
      <x:c r="F500" s="34" t="n">
        <x:v>8.421722059975869</x:v>
      </x:c>
      <x:c r="G500" s="19" t="n">
        <x:v>2</x:v>
      </x:c>
      <x:c r="H500" s="19" t="n">
        <x:v>600</x:v>
      </x:c>
      <x:c r="I500" s="24" t="n">
        <x:f>G500*3600/H500</x:f>
        <x:v>12</x:v>
      </x:c>
      <x:c r="J500" s="24" t="n">
        <x:v>12</x:v>
      </x:c>
      <x:c r="K500" s="19" t="str">
        <x:v>P0291</x:v>
      </x:c>
    </x:row>
    <x:row r="501" ht="19" customHeight="1">
      <x:c r="A501" s="19" t="str">
        <x:v>C09-M058</x:v>
      </x:c>
      <x:c r="B501" s="19" t="str">
        <x:v>罗德尔守门卜者</x:v>
      </x:c>
      <x:c r="C501" s="19" t="n">
        <x:v>9</x:v>
      </x:c>
      <x:c r="D501" s="19" t="n">
        <x:v>5</x:v>
      </x:c>
      <x:c r="E501" s="19" t="str">
        <x:v>稀有</x:v>
      </x:c>
      <x:c r="F501" s="34" t="n">
        <x:v>23.82732123223151</x:v>
      </x:c>
      <x:c r="G501" s="19" t="n">
        <x:v>2</x:v>
      </x:c>
      <x:c r="H501" s="19" t="n">
        <x:v>600</x:v>
      </x:c>
      <x:c r="I501" s="24" t="n">
        <x:f>G501*3600/H501</x:f>
        <x:v>12</x:v>
      </x:c>
      <x:c r="J501" s="24" t="n">
        <x:v>6.798917864961698</x:v>
      </x:c>
      <x:c r="K501" s="19" t="str">
        <x:v>P0291</x:v>
      </x:c>
    </x:row>
    <x:row r="502" ht="19" customHeight="1">
      <x:c r="A502" s="19" t="str">
        <x:v>C09-M059</x:v>
      </x:c>
      <x:c r="B502" s="19" t="str">
        <x:v>黄金壁垒统帅·罗梵迪</x:v>
      </x:c>
      <x:c r="C502" s="19" t="n">
        <x:v>9</x:v>
      </x:c>
      <x:c r="D502" s="19" t="n">
        <x:v>5</x:v>
      </x:c>
      <x:c r="E502" s="19" t="str">
        <x:v>地图BOSS</x:v>
      </x:c>
      <x:c r="F502" s="34" t="n">
        <x:v>67.33244253048052</x:v>
      </x:c>
      <x:c r="G502" s="19" t="n">
        <x:v>1</x:v>
      </x:c>
      <x:c r="H502" s="19" t="n">
        <x:v>1800</x:v>
      </x:c>
      <x:c r="I502" s="24" t="n">
        <x:f>G502*3600/H502</x:f>
        <x:v>2</x:v>
      </x:c>
      <x:c r="J502" s="24" t="n">
        <x:v>2</x:v>
      </x:c>
      <x:c r="K502" s="19" t="str">
        <x:v>P0291</x:v>
      </x:c>
    </x:row>
    <x:row r="503" ht="19" customHeight="1">
      <x:c r="A503" s="19" t="str">
        <x:v>C09-M060</x:v>
      </x:c>
      <x:c r="B503" s="19" t="str">
        <x:v>王门执宪者·赫桑达</x:v>
      </x:c>
      <x:c r="C503" s="19" t="n">
        <x:v>9</x:v>
      </x:c>
      <x:c r="D503" s="19" t="n">
        <x:v>5</x:v>
      </x:c>
      <x:c r="E503" s="19" t="str">
        <x:v>地图BOSS</x:v>
      </x:c>
      <x:c r="F503" s="34" t="n">
        <x:v>75.6197948270146</x:v>
      </x:c>
      <x:c r="G503" s="19" t="n">
        <x:v>1</x:v>
      </x:c>
      <x:c r="H503" s="19" t="n">
        <x:v>1800</x:v>
      </x:c>
      <x:c r="I503" s="24" t="n">
        <x:f>G503*3600/H503</x:f>
        <x:v>2</x:v>
      </x:c>
      <x:c r="J503" s="24" t="n">
        <x:v>2</x:v>
      </x:c>
      <x:c r="K503" s="19" t="str">
        <x:v>P0291</x:v>
      </x:c>
    </x:row>
    <x:row r="504" ht="19" customHeight="1">
      <x:c r="A504" s="19" t="str">
        <x:v>C09-M061</x:v>
      </x:c>
      <x:c r="B504" s="19" t="str">
        <x:v>鎏日王城之影·阿尔维萨</x:v>
      </x:c>
      <x:c r="C504" s="19" t="n">
        <x:v>9</x:v>
      </x:c>
      <x:c r="D504" s="19" t="n">
        <x:v>5</x:v>
      </x:c>
      <x:c r="E504" s="19" t="str">
        <x:v>守关BOSS</x:v>
      </x:c>
      <x:c r="F504" s="34" t="n">
        <x:v>359.8356250296339</x:v>
      </x:c>
      <x:c r="G504" s="19" t="n">
        <x:v>1</x:v>
      </x:c>
      <x:c r="H504" s="19" t="n">
        <x:v>7200</x:v>
      </x:c>
      <x:c r="I504" s="24" t="n">
        <x:f>G504*3600/H504</x:f>
        <x:v>0.5</x:v>
      </x:c>
      <x:c r="J504" s="24" t="n">
        <x:v>0</x:v>
      </x:c>
      <x:c r="K504" s="19" t="str">
        <x:v>P0291</x:v>
      </x:c>
    </x:row>
    <x:row r="505" ht="19" customHeight="1">
      <x:c r="A505" s="19" t="str">
        <x:v>C10-M001</x:v>
      </x:c>
      <x:c r="B505" s="19" t="str">
        <x:v>檐沟拾烬徒</x:v>
      </x:c>
      <x:c r="C505" s="19" t="n">
        <x:v>10</x:v>
      </x:c>
      <x:c r="D505" s="19" t="n">
        <x:v>1</x:v>
      </x:c>
      <x:c r="E505" s="19" t="str">
        <x:v>普通</x:v>
      </x:c>
      <x:c r="F505" s="34" t="n">
        <x:v>2.958878074766949</x:v>
      </x:c>
      <x:c r="G505" s="19" t="n">
        <x:v>12</x:v>
      </x:c>
      <x:c r="H505" s="19" t="n">
        <x:v>600</x:v>
      </x:c>
      <x:c r="I505" s="24" t="n">
        <x:f>G505*3600/H505</x:f>
        <x:v>72</x:v>
      </x:c>
      <x:c r="J505" s="24" t="n">
        <x:v>72</x:v>
      </x:c>
      <x:c r="K505" s="19" t="str">
        <x:v>P0303</x:v>
      </x:c>
    </x:row>
    <x:row r="506" ht="19" customHeight="1">
      <x:c r="A506" s="19" t="str">
        <x:v>C10-M002</x:v>
      </x:c>
      <x:c r="B506" s="19" t="str">
        <x:v>斑墙巡灯卒</x:v>
      </x:c>
      <x:c r="C506" s="19" t="n">
        <x:v>10</x:v>
      </x:c>
      <x:c r="D506" s="19" t="n">
        <x:v>1</x:v>
      </x:c>
      <x:c r="E506" s="19" t="str">
        <x:v>普通</x:v>
      </x:c>
      <x:c r="F506" s="34" t="n">
        <x:v>3.0821646612155718</x:v>
      </x:c>
      <x:c r="G506" s="19" t="n">
        <x:v>12</x:v>
      </x:c>
      <x:c r="H506" s="19" t="n">
        <x:v>600</x:v>
      </x:c>
      <x:c r="I506" s="24" t="n">
        <x:f>G506*3600/H506</x:f>
        <x:v>72</x:v>
      </x:c>
      <x:c r="J506" s="24" t="n">
        <x:v>72</x:v>
      </x:c>
      <x:c r="K506" s="19" t="str">
        <x:v>P0303</x:v>
      </x:c>
    </x:row>
    <x:row r="507" ht="19" customHeight="1">
      <x:c r="A507" s="19" t="str">
        <x:v>C10-M003</x:v>
      </x:c>
      <x:c r="B507" s="19" t="str">
        <x:v>暗巷伏砖客</x:v>
      </x:c>
      <x:c r="C507" s="19" t="n">
        <x:v>10</x:v>
      </x:c>
      <x:c r="D507" s="19" t="n">
        <x:v>1</x:v>
      </x:c>
      <x:c r="E507" s="19" t="str">
        <x:v>普通</x:v>
      </x:c>
      <x:c r="F507" s="34" t="n">
        <x:v>3.0821646612155718</x:v>
      </x:c>
      <x:c r="G507" s="19" t="n">
        <x:v>12</x:v>
      </x:c>
      <x:c r="H507" s="19" t="n">
        <x:v>600</x:v>
      </x:c>
      <x:c r="I507" s="24" t="n">
        <x:f>G507*3600/H507</x:f>
        <x:v>72</x:v>
      </x:c>
      <x:c r="J507" s="24" t="n">
        <x:v>72</x:v>
      </x:c>
      <x:c r="K507" s="19" t="str">
        <x:v>P0303</x:v>
      </x:c>
    </x:row>
    <x:row r="508" ht="19" customHeight="1">
      <x:c r="A508" s="19" t="str">
        <x:v>C10-M004</x:v>
      </x:c>
      <x:c r="B508" s="19" t="str">
        <x:v>旧街缚铃犬</x:v>
      </x:c>
      <x:c r="C508" s="19" t="n">
        <x:v>10</x:v>
      </x:c>
      <x:c r="D508" s="19" t="n">
        <x:v>1</x:v>
      </x:c>
      <x:c r="E508" s="19" t="str">
        <x:v>普通</x:v>
      </x:c>
      <x:c r="F508" s="34" t="n">
        <x:v>2.434910082360302</x:v>
      </x:c>
      <x:c r="G508" s="19" t="n">
        <x:v>12</x:v>
      </x:c>
      <x:c r="H508" s="19" t="n">
        <x:v>600</x:v>
      </x:c>
      <x:c r="I508" s="24" t="n">
        <x:f>G508*3600/H508</x:f>
        <x:v>72</x:v>
      </x:c>
      <x:c r="J508" s="24" t="n">
        <x:v>72</x:v>
      </x:c>
      <x:c r="K508" s="19" t="str">
        <x:v>P0303</x:v>
      </x:c>
    </x:row>
    <x:row r="509" ht="19" customHeight="1">
      <x:c r="A509" s="19" t="str">
        <x:v>C10-M005</x:v>
      </x:c>
      <x:c r="B509" s="19" t="str">
        <x:v>闸底淤甲工</x:v>
      </x:c>
      <x:c r="C509" s="19" t="n">
        <x:v>10</x:v>
      </x:c>
      <x:c r="D509" s="19" t="n">
        <x:v>1</x:v>
      </x:c>
      <x:c r="E509" s="19" t="str">
        <x:v>普通</x:v>
      </x:c>
      <x:c r="F509" s="34" t="n">
        <x:v>2.434910082360302</x:v>
      </x:c>
      <x:c r="G509" s="19" t="n">
        <x:v>12</x:v>
      </x:c>
      <x:c r="H509" s="19" t="n">
        <x:v>600</x:v>
      </x:c>
      <x:c r="I509" s="24" t="n">
        <x:f>G509*3600/H509</x:f>
        <x:v>72</x:v>
      </x:c>
      <x:c r="J509" s="24" t="n">
        <x:v>72</x:v>
      </x:c>
      <x:c r="K509" s="19" t="str">
        <x:v>P0303</x:v>
      </x:c>
    </x:row>
    <x:row r="510" ht="19" customHeight="1">
      <x:c r="A510" s="19" t="str">
        <x:v>C10-M006</x:v>
      </x:c>
      <x:c r="B510" s="19" t="str">
        <x:v>链轮守栓奴</x:v>
      </x:c>
      <x:c r="C510" s="19" t="n">
        <x:v>10</x:v>
      </x:c>
      <x:c r="D510" s="19" t="n">
        <x:v>1</x:v>
      </x:c>
      <x:c r="E510" s="19" t="str">
        <x:v>普通</x:v>
      </x:c>
      <x:c r="F510" s="34" t="n">
        <x:v>2.434910082360302</x:v>
      </x:c>
      <x:c r="G510" s="19" t="n">
        <x:v>12</x:v>
      </x:c>
      <x:c r="H510" s="19" t="n">
        <x:v>600</x:v>
      </x:c>
      <x:c r="I510" s="24" t="n">
        <x:f>G510*3600/H510</x:f>
        <x:v>72</x:v>
      </x:c>
      <x:c r="J510" s="24" t="n">
        <x:v>72</x:v>
      </x:c>
      <x:c r="K510" s="19" t="str">
        <x:v>P0303</x:v>
      </x:c>
    </x:row>
    <x:row r="511" ht="19" customHeight="1">
      <x:c r="A511" s="19" t="str">
        <x:v>C10-M007</x:v>
      </x:c>
      <x:c r="B511" s="19" t="str">
        <x:v>碎檐金羽鸦</x:v>
      </x:c>
      <x:c r="C511" s="19" t="n">
        <x:v>10</x:v>
      </x:c>
      <x:c r="D511" s="19" t="n">
        <x:v>1</x:v>
      </x:c>
      <x:c r="E511" s="19" t="str">
        <x:v>稀有</x:v>
      </x:c>
      <x:c r="F511" s="34" t="n">
        <x:v>7.576662286899264</x:v>
      </x:c>
      <x:c r="G511" s="19" t="n">
        <x:v>2</x:v>
      </x:c>
      <x:c r="H511" s="19" t="n">
        <x:v>600</x:v>
      </x:c>
      <x:c r="I511" s="24" t="n">
        <x:f>G511*3600/H511</x:f>
        <x:v>12</x:v>
      </x:c>
      <x:c r="J511" s="24" t="n">
        <x:v>12</x:v>
      </x:c>
      <x:c r="K511" s="19" t="str">
        <x:v>P0303</x:v>
      </x:c>
    </x:row>
    <x:row r="512" ht="19" customHeight="1">
      <x:c r="A512" s="19" t="str">
        <x:v>C10-M008</x:v>
      </x:c>
      <x:c r="B512" s="19" t="str">
        <x:v>缄口税契吏</x:v>
      </x:c>
      <x:c r="C512" s="19" t="n">
        <x:v>10</x:v>
      </x:c>
      <x:c r="D512" s="19" t="n">
        <x:v>1</x:v>
      </x:c>
      <x:c r="E512" s="19" t="str">
        <x:v>稀有</x:v>
      </x:c>
      <x:c r="F512" s="34" t="n">
        <x:v>8.894342684620876</x:v>
      </x:c>
      <x:c r="G512" s="19" t="n">
        <x:v>2</x:v>
      </x:c>
      <x:c r="H512" s="19" t="n">
        <x:v>600</x:v>
      </x:c>
      <x:c r="I512" s="24" t="n">
        <x:f>G512*3600/H512</x:f>
        <x:v>12</x:v>
      </x:c>
      <x:c r="J512" s="24" t="n">
        <x:v>12</x:v>
      </x:c>
      <x:c r="K512" s="19" t="str">
        <x:v>P0303</x:v>
      </x:c>
    </x:row>
    <x:row r="513" ht="19" customHeight="1">
      <x:c r="A513" s="19" t="str">
        <x:v>C10-M009</x:v>
      </x:c>
      <x:c r="B513" s="19" t="str">
        <x:v>巷钟剜影者</x:v>
      </x:c>
      <x:c r="C513" s="19" t="n">
        <x:v>10</x:v>
      </x:c>
      <x:c r="D513" s="19" t="n">
        <x:v>1</x:v>
      </x:c>
      <x:c r="E513" s="19" t="str">
        <x:v>稀有</x:v>
      </x:c>
      <x:c r="F513" s="34" t="n">
        <x:v>7.247242187468862</x:v>
      </x:c>
      <x:c r="G513" s="19" t="n">
        <x:v>2</x:v>
      </x:c>
      <x:c r="H513" s="19" t="n">
        <x:v>600</x:v>
      </x:c>
      <x:c r="I513" s="24" t="n">
        <x:f>G513*3600/H513</x:f>
        <x:v>12</x:v>
      </x:c>
      <x:c r="J513" s="24" t="n">
        <x:v>12</x:v>
      </x:c>
      <x:c r="K513" s="19" t="str">
        <x:v>P0303</x:v>
      </x:c>
    </x:row>
    <x:row r="514" ht="19" customHeight="1">
      <x:c r="A514" s="19" t="str">
        <x:v>C10-M010</x:v>
      </x:c>
      <x:c r="B514" s="19" t="str">
        <x:v>沉闸铜面监工</x:v>
      </x:c>
      <x:c r="C514" s="19" t="n">
        <x:v>10</x:v>
      </x:c>
      <x:c r="D514" s="19" t="n">
        <x:v>1</x:v>
      </x:c>
      <x:c r="E514" s="19" t="str">
        <x:v>稀有</x:v>
      </x:c>
      <x:c r="F514" s="34" t="n">
        <x:v>7.247242187468862</x:v>
      </x:c>
      <x:c r="G514" s="19" t="n">
        <x:v>2</x:v>
      </x:c>
      <x:c r="H514" s="19" t="n">
        <x:v>600</x:v>
      </x:c>
      <x:c r="I514" s="24" t="n">
        <x:f>G514*3600/H514</x:f>
        <x:v>12</x:v>
      </x:c>
      <x:c r="J514" s="24" t="n">
        <x:v>12</x:v>
      </x:c>
      <x:c r="K514" s="19" t="str">
        <x:v>P0303</x:v>
      </x:c>
    </x:row>
    <x:row r="515" ht="19" customHeight="1">
      <x:c r="A515" s="19" t="str">
        <x:v>C10-M011</x:v>
      </x:c>
      <x:c r="B515" s="19" t="str">
        <x:v>灰巷的无灯侯</x:v>
      </x:c>
      <x:c r="C515" s="19" t="n">
        <x:v>10</x:v>
      </x:c>
      <x:c r="D515" s="19" t="n">
        <x:v>1</x:v>
      </x:c>
      <x:c r="E515" s="19" t="str">
        <x:v>地图BOSS</x:v>
      </x:c>
      <x:c r="F515" s="34" t="n">
        <x:v>83.5134935473156</x:v>
      </x:c>
      <x:c r="G515" s="19" t="n">
        <x:v>1</x:v>
      </x:c>
      <x:c r="H515" s="19" t="n">
        <x:v>1800</x:v>
      </x:c>
      <x:c r="I515" s="24" t="n">
        <x:f>G515*3600/H515</x:f>
        <x:v>2</x:v>
      </x:c>
      <x:c r="J515" s="24" t="n">
        <x:v>2</x:v>
      </x:c>
      <x:c r="K515" s="19" t="str">
        <x:v>P0303</x:v>
      </x:c>
    </x:row>
    <x:row r="516" ht="19" customHeight="1">
      <x:c r="A516" s="19" t="str">
        <x:v>C10-M012</x:v>
      </x:c>
      <x:c r="B516" s="19" t="str">
        <x:v>千锁闸门统领</x:v>
      </x:c>
      <x:c r="C516" s="19" t="n">
        <x:v>10</x:v>
      </x:c>
      <x:c r="D516" s="19" t="n">
        <x:v>1</x:v>
      </x:c>
      <x:c r="E516" s="19" t="str">
        <x:v>地图BOSS</x:v>
      </x:c>
      <x:c r="F516" s="34" t="n">
        <x:v>66.11484905829153</x:v>
      </x:c>
      <x:c r="G516" s="19" t="n">
        <x:v>1</x:v>
      </x:c>
      <x:c r="H516" s="19" t="n">
        <x:v>1800</x:v>
      </x:c>
      <x:c r="I516" s="24" t="n">
        <x:f>G516*3600/H516</x:f>
        <x:v>2</x:v>
      </x:c>
      <x:c r="J516" s="24" t="n">
        <x:v>2</x:v>
      </x:c>
      <x:c r="K516" s="19" t="str">
        <x:v>P0303</x:v>
      </x:c>
    </x:row>
    <x:row r="517" ht="19" customHeight="1">
      <x:c r="A517" s="19" t="str">
        <x:v>C10-M013</x:v>
      </x:c>
      <x:c r="B517" s="19" t="str">
        <x:v>金垢潜渠鼠</x:v>
      </x:c>
      <x:c r="C517" s="19" t="n">
        <x:v>10</x:v>
      </x:c>
      <x:c r="D517" s="19" t="n">
        <x:v>2</x:v>
      </x:c>
      <x:c r="E517" s="19" t="str">
        <x:v>普通</x:v>
      </x:c>
      <x:c r="F517" s="34" t="n">
        <x:v>2.706574226918216</x:v>
      </x:c>
      <x:c r="G517" s="19" t="n">
        <x:v>12</x:v>
      </x:c>
      <x:c r="H517" s="19" t="n">
        <x:v>600</x:v>
      </x:c>
      <x:c r="I517" s="24" t="n">
        <x:f>G517*3600/H517</x:f>
        <x:v>72</x:v>
      </x:c>
      <x:c r="J517" s="24" t="n">
        <x:v>72</x:v>
      </x:c>
      <x:c r="K517" s="19" t="str">
        <x:v>P0309</x:v>
      </x:c>
    </x:row>
    <x:row r="518" ht="19" customHeight="1">
      <x:c r="A518" s="19" t="str">
        <x:v>C10-M014</x:v>
      </x:c>
      <x:c r="B518" s="19" t="str">
        <x:v>污潮捞骨役</x:v>
      </x:c>
      <x:c r="C518" s="19" t="n">
        <x:v>10</x:v>
      </x:c>
      <x:c r="D518" s="19" t="n">
        <x:v>2</x:v>
      </x:c>
      <x:c r="E518" s="19" t="str">
        <x:v>普通</x:v>
      </x:c>
      <x:c r="F518" s="34" t="n">
        <x:v>2.554519495068878</x:v>
      </x:c>
      <x:c r="G518" s="19" t="n">
        <x:v>12</x:v>
      </x:c>
      <x:c r="H518" s="19" t="n">
        <x:v>600</x:v>
      </x:c>
      <x:c r="I518" s="24" t="n">
        <x:f>G518*3600/H518</x:f>
        <x:v>72</x:v>
      </x:c>
      <x:c r="J518" s="24" t="n">
        <x:v>72</x:v>
      </x:c>
      <x:c r="K518" s="19" t="str">
        <x:v>P0309</x:v>
      </x:c>
    </x:row>
    <x:row r="519" ht="19" customHeight="1">
      <x:c r="A519" s="19" t="str">
        <x:v>C10-M015</x:v>
      </x:c>
      <x:c r="B519" s="19" t="str">
        <x:v>回廊鸣管蜥</x:v>
      </x:c>
      <x:c r="C519" s="19" t="n">
        <x:v>10</x:v>
      </x:c>
      <x:c r="D519" s="19" t="n">
        <x:v>2</x:v>
      </x:c>
      <x:c r="E519" s="19" t="str">
        <x:v>普通</x:v>
      </x:c>
      <x:c r="F519" s="34" t="n">
        <x:v>2.4328757095894074</x:v>
      </x:c>
      <x:c r="G519" s="19" t="n">
        <x:v>12</x:v>
      </x:c>
      <x:c r="H519" s="19" t="n">
        <x:v>600</x:v>
      </x:c>
      <x:c r="I519" s="24" t="n">
        <x:f>G519*3600/H519</x:f>
        <x:v>72</x:v>
      </x:c>
      <x:c r="J519" s="24" t="n">
        <x:v>72</x:v>
      </x:c>
      <x:c r="K519" s="19" t="str">
        <x:v>P0309</x:v>
      </x:c>
    </x:row>
    <x:row r="520" ht="19" customHeight="1">
      <x:c r="A520" s="19" t="str">
        <x:v>C10-M016</x:v>
      </x:c>
      <x:c r="B520" s="19" t="str">
        <x:v>锈槽巡污卒</x:v>
      </x:c>
      <x:c r="C520" s="19" t="n">
        <x:v>10</x:v>
      </x:c>
      <x:c r="D520" s="19" t="n">
        <x:v>2</x:v>
      </x:c>
      <x:c r="E520" s="19" t="str">
        <x:v>普通</x:v>
      </x:c>
      <x:c r="F520" s="34" t="n">
        <x:v>2.706574226918216</x:v>
      </x:c>
      <x:c r="G520" s="19" t="n">
        <x:v>12</x:v>
      </x:c>
      <x:c r="H520" s="19" t="n">
        <x:v>600</x:v>
      </x:c>
      <x:c r="I520" s="24" t="n">
        <x:f>G520*3600/H520</x:f>
        <x:v>72</x:v>
      </x:c>
      <x:c r="J520" s="24" t="n">
        <x:v>72</x:v>
      </x:c>
      <x:c r="K520" s="19" t="str">
        <x:v>P0309</x:v>
      </x:c>
    </x:row>
    <x:row r="521" ht="19" customHeight="1">
      <x:c r="A521" s="19" t="str">
        <x:v>C10-M017</x:v>
      </x:c>
      <x:c r="B521" s="19" t="str">
        <x:v>中枢盘阀傀</x:v>
      </x:c>
      <x:c r="C521" s="19" t="n">
        <x:v>10</x:v>
      </x:c>
      <x:c r="D521" s="19" t="n">
        <x:v>2</x:v>
      </x:c>
      <x:c r="E521" s="19" t="str">
        <x:v>普通</x:v>
      </x:c>
      <x:c r="F521" s="34" t="n">
        <x:v>2.9498617978771566</x:v>
      </x:c>
      <x:c r="G521" s="19" t="n">
        <x:v>12</x:v>
      </x:c>
      <x:c r="H521" s="19" t="n">
        <x:v>600</x:v>
      </x:c>
      <x:c r="I521" s="24" t="n">
        <x:f>G521*3600/H521</x:f>
        <x:v>72</x:v>
      </x:c>
      <x:c r="J521" s="24" t="n">
        <x:v>72</x:v>
      </x:c>
      <x:c r="K521" s="19" t="str">
        <x:v>P0309</x:v>
      </x:c>
    </x:row>
    <x:row r="522" ht="19" customHeight="1">
      <x:c r="A522" s="19" t="str">
        <x:v>C10-M018</x:v>
      </x:c>
      <x:c r="B522" s="19" t="str">
        <x:v>泄洪窥灯虫</x:v>
      </x:c>
      <x:c r="C522" s="19" t="n">
        <x:v>10</x:v>
      </x:c>
      <x:c r="D522" s="19" t="n">
        <x:v>2</x:v>
      </x:c>
      <x:c r="E522" s="19" t="str">
        <x:v>普通</x:v>
      </x:c>
      <x:c r="F522" s="34" t="n">
        <x:v>2.9498617978771566</x:v>
      </x:c>
      <x:c r="G522" s="19" t="n">
        <x:v>12</x:v>
      </x:c>
      <x:c r="H522" s="19" t="n">
        <x:v>600</x:v>
      </x:c>
      <x:c r="I522" s="24" t="n">
        <x:f>G522*3600/H522</x:f>
        <x:v>72</x:v>
      </x:c>
      <x:c r="J522" s="24" t="n">
        <x:v>72</x:v>
      </x:c>
      <x:c r="K522" s="19" t="str">
        <x:v>P0309</x:v>
      </x:c>
    </x:row>
    <x:row r="523" ht="19" customHeight="1">
      <x:c r="A523" s="19" t="str">
        <x:v>C10-M019</x:v>
      </x:c>
      <x:c r="B523" s="19" t="str">
        <x:v>镀金脓潮母</x:v>
      </x:c>
      <x:c r="C523" s="19" t="n">
        <x:v>10</x:v>
      </x:c>
      <x:c r="D523" s="19" t="n">
        <x:v>2</x:v>
      </x:c>
      <x:c r="E523" s="19" t="str">
        <x:v>稀有</x:v>
      </x:c>
      <x:c r="F523" s="34" t="n">
        <x:v>8.771790305542664</x:v>
      </x:c>
      <x:c r="G523" s="19" t="n">
        <x:v>2</x:v>
      </x:c>
      <x:c r="H523" s="19" t="n">
        <x:v>600</x:v>
      </x:c>
      <x:c r="I523" s="24" t="n">
        <x:f>G523*3600/H523</x:f>
        <x:v>12</x:v>
      </x:c>
      <x:c r="J523" s="24" t="n">
        <x:v>12</x:v>
      </x:c>
      <x:c r="K523" s="19" t="str">
        <x:v>P0309</x:v>
      </x:c>
    </x:row>
    <x:row r="524" ht="19" customHeight="1">
      <x:c r="A524" s="19" t="str">
        <x:v>C10-M020</x:v>
      </x:c>
      <x:c r="B524" s="19" t="str">
        <x:v>逆流剥甲人</x:v>
      </x:c>
      <x:c r="C524" s="19" t="n">
        <x:v>10</x:v>
      </x:c>
      <x:c r="D524" s="19" t="n">
        <x:v>2</x:v>
      </x:c>
      <x:c r="E524" s="19" t="str">
        <x:v>稀有</x:v>
      </x:c>
      <x:c r="F524" s="34" t="n">
        <x:v>7.797146938260147</x:v>
      </x:c>
      <x:c r="G524" s="19" t="n">
        <x:v>2</x:v>
      </x:c>
      <x:c r="H524" s="19" t="n">
        <x:v>600</x:v>
      </x:c>
      <x:c r="I524" s="24" t="n">
        <x:f>G524*3600/H524</x:f>
        <x:v>12</x:v>
      </x:c>
      <x:c r="J524" s="24" t="n">
        <x:v>12</x:v>
      </x:c>
      <x:c r="K524" s="19" t="str">
        <x:v>P0309</x:v>
      </x:c>
    </x:row>
    <x:row r="525" ht="19" customHeight="1">
      <x:c r="A525" s="19" t="str">
        <x:v>C10-M021</x:v>
      </x:c>
      <x:c r="B525" s="19" t="str">
        <x:v>七孔哀笛客</x:v>
      </x:c>
      <x:c r="C525" s="19" t="n">
        <x:v>10</x:v>
      </x:c>
      <x:c r="D525" s="19" t="n">
        <x:v>2</x:v>
      </x:c>
      <x:c r="E525" s="19" t="str">
        <x:v>稀有</x:v>
      </x:c>
      <x:c r="F525" s="34" t="n">
        <x:v>9.421552550397678</x:v>
      </x:c>
      <x:c r="G525" s="19" t="n">
        <x:v>2</x:v>
      </x:c>
      <x:c r="H525" s="19" t="n">
        <x:v>600</x:v>
      </x:c>
      <x:c r="I525" s="24" t="n">
        <x:f>G525*3600/H525</x:f>
        <x:v>12</x:v>
      </x:c>
      <x:c r="J525" s="24" t="n">
        <x:v>12</x:v>
      </x:c>
      <x:c r="K525" s="19" t="str">
        <x:v>P0309</x:v>
      </x:c>
    </x:row>
    <x:row r="526" ht="19" customHeight="1">
      <x:c r="A526" s="19" t="str">
        <x:v>C10-M022</x:v>
      </x:c>
      <x:c r="B526" s="19" t="str">
        <x:v>沸淤校阀官</x:v>
      </x:c>
      <x:c r="C526" s="19" t="n">
        <x:v>10</x:v>
      </x:c>
      <x:c r="D526" s="19" t="n">
        <x:v>2</x:v>
      </x:c>
      <x:c r="E526" s="19" t="str">
        <x:v>稀有</x:v>
      </x:c>
      <x:c r="F526" s="34" t="n">
        <x:v>7.147384693405134</x:v>
      </x:c>
      <x:c r="G526" s="19" t="n">
        <x:v>2</x:v>
      </x:c>
      <x:c r="H526" s="19" t="n">
        <x:v>600</x:v>
      </x:c>
      <x:c r="I526" s="24" t="n">
        <x:f>G526*3600/H526</x:f>
        <x:v>12</x:v>
      </x:c>
      <x:c r="J526" s="24" t="n">
        <x:v>12</x:v>
      </x:c>
      <x:c r="K526" s="19" t="str">
        <x:v>P0309</x:v>
      </x:c>
    </x:row>
    <x:row r="527" ht="19" customHeight="1">
      <x:c r="A527" s="19" t="str">
        <x:v>C10-M023</x:v>
      </x:c>
      <x:c r="B527" s="19" t="str">
        <x:v>百喉回廊吞声兽</x:v>
      </x:c>
      <x:c r="C527" s="19" t="n">
        <x:v>10</x:v>
      </x:c>
      <x:c r="D527" s="19" t="n">
        <x:v>2</x:v>
      </x:c>
      <x:c r="E527" s="19" t="str">
        <x:v>地图BOSS</x:v>
      </x:c>
      <x:c r="F527" s="34" t="n">
        <x:v>75.35160160440563</x:v>
      </x:c>
      <x:c r="G527" s="19" t="n">
        <x:v>1</x:v>
      </x:c>
      <x:c r="H527" s="19" t="n">
        <x:v>1800</x:v>
      </x:c>
      <x:c r="I527" s="24" t="n">
        <x:f>G527*3600/H527</x:f>
        <x:v>2</x:v>
      </x:c>
      <x:c r="J527" s="24" t="n">
        <x:v>2</x:v>
      </x:c>
      <x:c r="K527" s="19" t="str">
        <x:v>P0309</x:v>
      </x:c>
    </x:row>
    <x:row r="528" ht="19" customHeight="1">
      <x:c r="A528" s="19" t="str">
        <x:v>C10-M024</x:v>
      </x:c>
      <x:c r="B528" s="19" t="str">
        <x:v>鎏污大司闸</x:v>
      </x:c>
      <x:c r="C528" s="19" t="n">
        <x:v>10</x:v>
      </x:c>
      <x:c r="D528" s="19" t="n">
        <x:v>2</x:v>
      </x:c>
      <x:c r="E528" s="19" t="str">
        <x:v>地图BOSS</x:v>
      </x:c>
      <x:c r="F528" s="34" t="n">
        <x:v>82.64369208225133</x:v>
      </x:c>
      <x:c r="G528" s="19" t="n">
        <x:v>1</x:v>
      </x:c>
      <x:c r="H528" s="19" t="n">
        <x:v>1800</x:v>
      </x:c>
      <x:c r="I528" s="24" t="n">
        <x:f>G528*3600/H528</x:f>
        <x:v>2</x:v>
      </x:c>
      <x:c r="J528" s="24" t="n">
        <x:v>2</x:v>
      </x:c>
      <x:c r="K528" s="19" t="str">
        <x:v>P0309</x:v>
      </x:c>
    </x:row>
    <x:row r="529" ht="19" customHeight="1">
      <x:c r="A529" s="19" t="str">
        <x:v>C10-M025</x:v>
      </x:c>
      <x:c r="B529" s="19" t="str">
        <x:v>金脉铲痕奴</x:v>
      </x:c>
      <x:c r="C529" s="19" t="n">
        <x:v>10</x:v>
      </x:c>
      <x:c r="D529" s="19" t="n">
        <x:v>3</x:v>
      </x:c>
      <x:c r="E529" s="19" t="str">
        <x:v>普通</x:v>
      </x:c>
      <x:c r="F529" s="34" t="n">
        <x:v>3.0016250114698613</x:v>
      </x:c>
      <x:c r="G529" s="19" t="n">
        <x:v>12</x:v>
      </x:c>
      <x:c r="H529" s="19" t="n">
        <x:v>600</x:v>
      </x:c>
      <x:c r="I529" s="24" t="n">
        <x:f>G529*3600/H529</x:f>
        <x:v>72</x:v>
      </x:c>
      <x:c r="J529" s="24" t="n">
        <x:v>72</x:v>
      </x:c>
      <x:c r="K529" s="19" t="str">
        <x:v>P0315</x:v>
      </x:c>
    </x:row>
    <x:row r="530" ht="19" customHeight="1">
      <x:c r="A530" s="19" t="str">
        <x:v>C10-M026</x:v>
      </x:c>
      <x:c r="B530" s="19" t="str">
        <x:v>王矿负灯鼹</x:v>
      </x:c>
      <x:c r="C530" s="19" t="n">
        <x:v>10</x:v>
      </x:c>
      <x:c r="D530" s="19" t="n">
        <x:v>3</x:v>
      </x:c>
      <x:c r="E530" s="19" t="str">
        <x:v>普通</x:v>
      </x:c>
      <x:c r="F530" s="34" t="n">
        <x:v>3.0016250114698613</x:v>
      </x:c>
      <x:c r="G530" s="19" t="n">
        <x:v>12</x:v>
      </x:c>
      <x:c r="H530" s="19" t="n">
        <x:v>600</x:v>
      </x:c>
      <x:c r="I530" s="24" t="n">
        <x:f>G530*3600/H530</x:f>
        <x:v>72</x:v>
      </x:c>
      <x:c r="J530" s="24" t="n">
        <x:v>72</x:v>
      </x:c>
      <x:c r="K530" s="19" t="str">
        <x:v>P0315</x:v>
      </x:c>
    </x:row>
    <x:row r="531" ht="19" customHeight="1">
      <x:c r="A531" s="19" t="str">
        <x:v>C10-M027</x:v>
      </x:c>
      <x:c r="B531" s="19" t="str">
        <x:v>崩轨拖链卒</x:v>
      </x:c>
      <x:c r="C531" s="19" t="n">
        <x:v>10</x:v>
      </x:c>
      <x:c r="D531" s="19" t="n">
        <x:v>3</x:v>
      </x:c>
      <x:c r="E531" s="19" t="str">
        <x:v>普通</x:v>
      </x:c>
      <x:c r="F531" s="34" t="n">
        <x:v>2.358419651869177</x:v>
      </x:c>
      <x:c r="G531" s="19" t="n">
        <x:v>12</x:v>
      </x:c>
      <x:c r="H531" s="19" t="n">
        <x:v>600</x:v>
      </x:c>
      <x:c r="I531" s="24" t="n">
        <x:f>G531*3600/H531</x:f>
        <x:v>72</x:v>
      </x:c>
      <x:c r="J531" s="24" t="n">
        <x:v>72</x:v>
      </x:c>
      <x:c r="K531" s="19" t="str">
        <x:v>P0315</x:v>
      </x:c>
    </x:row>
    <x:row r="532" ht="19" customHeight="1">
      <x:c r="A532" s="19" t="str">
        <x:v>C10-M028</x:v>
      </x:c>
      <x:c r="B532" s="19" t="str">
        <x:v>冷砧铆甲匠</x:v>
      </x:c>
      <x:c r="C532" s="19" t="n">
        <x:v>10</x:v>
      </x:c>
      <x:c r="D532" s="19" t="n">
        <x:v>3</x:v>
      </x:c>
      <x:c r="E532" s="19" t="str">
        <x:v>普通</x:v>
      </x:c>
      <x:c r="F532" s="34" t="n">
        <x:v>2.358419651869177</x:v>
      </x:c>
      <x:c r="G532" s="19" t="n">
        <x:v>12</x:v>
      </x:c>
      <x:c r="H532" s="19" t="n">
        <x:v>600</x:v>
      </x:c>
      <x:c r="I532" s="24" t="n">
        <x:f>G532*3600/H532</x:f>
        <x:v>72</x:v>
      </x:c>
      <x:c r="J532" s="24" t="n">
        <x:v>72</x:v>
      </x:c>
      <x:c r="K532" s="19" t="str">
        <x:v>P0315</x:v>
      </x:c>
    </x:row>
    <x:row r="533" ht="19" customHeight="1">
      <x:c r="A533" s="19" t="str">
        <x:v>C10-M029</x:v>
      </x:c>
      <x:c r="B533" s="19" t="str">
        <x:v>裂晶钻颚兽</x:v>
      </x:c>
      <x:c r="C533" s="19" t="n">
        <x:v>10</x:v>
      </x:c>
      <x:c r="D533" s="19" t="n">
        <x:v>3</x:v>
      </x:c>
      <x:c r="E533" s="19" t="str">
        <x:v>普通</x:v>
      </x:c>
      <x:c r="F533" s="34" t="n">
        <x:v>2.358419651869177</x:v>
      </x:c>
      <x:c r="G533" s="19" t="n">
        <x:v>12</x:v>
      </x:c>
      <x:c r="H533" s="19" t="n">
        <x:v>600</x:v>
      </x:c>
      <x:c r="I533" s="24" t="n">
        <x:f>G533*3600/H533</x:f>
        <x:v>72</x:v>
      </x:c>
      <x:c r="J533" s="24" t="n">
        <x:v>72</x:v>
      </x:c>
      <x:c r="K533" s="19" t="str">
        <x:v>P0315</x:v>
      </x:c>
    </x:row>
    <x:row r="534" ht="19" customHeight="1">
      <x:c r="A534" s="19" t="str">
        <x:v>C10-M030</x:v>
      </x:c>
      <x:c r="B534" s="19" t="str">
        <x:v>矿脉听金虫</x:v>
      </x:c>
      <x:c r="C534" s="19" t="n">
        <x:v>10</x:v>
      </x:c>
      <x:c r="D534" s="19" t="n">
        <x:v>3</x:v>
      </x:c>
      <x:c r="E534" s="19" t="str">
        <x:v>普通</x:v>
      </x:c>
      <x:c r="F534" s="34" t="n">
        <x:v>3.0016250114698613</x:v>
      </x:c>
      <x:c r="G534" s="19" t="n">
        <x:v>12</x:v>
      </x:c>
      <x:c r="H534" s="19" t="n">
        <x:v>600</x:v>
      </x:c>
      <x:c r="I534" s="24" t="n">
        <x:f>G534*3600/H534</x:f>
        <x:v>72</x:v>
      </x:c>
      <x:c r="J534" s="24" t="n">
        <x:v>72</x:v>
      </x:c>
      <x:c r="K534" s="19" t="str">
        <x:v>P0315</x:v>
      </x:c>
    </x:row>
    <x:row r="535" ht="19" customHeight="1">
      <x:c r="A535" s="19" t="str">
        <x:v>C10-M031</x:v>
      </x:c>
      <x:c r="B535" s="19" t="str">
        <x:v>监坑鎏面骑</x:v>
      </x:c>
      <x:c r="C535" s="19" t="n">
        <x:v>10</x:v>
      </x:c>
      <x:c r="D535" s="19" t="n">
        <x:v>3</x:v>
      </x:c>
      <x:c r="E535" s="19" t="str">
        <x:v>稀有</x:v>
      </x:c>
      <x:c r="F535" s="34" t="n">
        <x:v>8.714490247464894</x:v>
      </x:c>
      <x:c r="G535" s="19" t="n">
        <x:v>2</x:v>
      </x:c>
      <x:c r="H535" s="19" t="n">
        <x:v>600</x:v>
      </x:c>
      <x:c r="I535" s="24" t="n">
        <x:f>G535*3600/H535</x:f>
        <x:v>12</x:v>
      </x:c>
      <x:c r="J535" s="24" t="n">
        <x:v>12</x:v>
      </x:c>
      <x:c r="K535" s="19" t="str">
        <x:v>P0315</x:v>
      </x:c>
    </x:row>
    <x:row r="536" ht="19" customHeight="1">
      <x:c r="A536" s="19" t="str">
        <x:v>C10-M032</x:v>
      </x:c>
      <x:c r="B536" s="19" t="str">
        <x:v>空炉吐渣鬼</x:v>
      </x:c>
      <x:c r="C536" s="19" t="n">
        <x:v>10</x:v>
      </x:c>
      <x:c r="D536" s="19" t="n">
        <x:v>3</x:v>
      </x:c>
      <x:c r="E536" s="19" t="str">
        <x:v>稀有</x:v>
      </x:c>
      <x:c r="F536" s="34" t="n">
        <x:v>7.567846793851093</x:v>
      </x:c>
      <x:c r="G536" s="19" t="n">
        <x:v>2</x:v>
      </x:c>
      <x:c r="H536" s="19" t="n">
        <x:v>600</x:v>
      </x:c>
      <x:c r="I536" s="24" t="n">
        <x:f>G536*3600/H536</x:f>
        <x:v>12</x:v>
      </x:c>
      <x:c r="J536" s="24" t="n">
        <x:v>12</x:v>
      </x:c>
      <x:c r="K536" s="19" t="str">
        <x:v>P0315</x:v>
      </x:c>
    </x:row>
    <x:row r="537" ht="19" customHeight="1">
      <x:c r="A537" s="19" t="str">
        <x:v>C10-M033</x:v>
      </x:c>
      <x:c r="B537" s="19" t="str">
        <x:v>黑晶凿梦师</x:v>
      </x:c>
      <x:c r="C537" s="19" t="n">
        <x:v>10</x:v>
      </x:c>
      <x:c r="D537" s="19" t="n">
        <x:v>3</x:v>
      </x:c>
      <x:c r="E537" s="19" t="str">
        <x:v>稀有</x:v>
      </x:c>
      <x:c r="F537" s="34" t="n">
        <x:v>7.109189412405572</x:v>
      </x:c>
      <x:c r="G537" s="19" t="n">
        <x:v>2</x:v>
      </x:c>
      <x:c r="H537" s="19" t="n">
        <x:v>600</x:v>
      </x:c>
      <x:c r="I537" s="24" t="n">
        <x:f>G537*3600/H537</x:f>
        <x:v>12</x:v>
      </x:c>
      <x:c r="J537" s="24" t="n">
        <x:v>12</x:v>
      </x:c>
      <x:c r="K537" s="19" t="str">
        <x:v>P0315</x:v>
      </x:c>
    </x:row>
    <x:row r="538" ht="19" customHeight="1">
      <x:c r="A538" s="19" t="str">
        <x:v>C10-M034</x:v>
      </x:c>
      <x:c r="B538" s="19" t="str">
        <x:v>王脉封勘使</x:v>
      </x:c>
      <x:c r="C538" s="19" t="n">
        <x:v>10</x:v>
      </x:c>
      <x:c r="D538" s="19" t="n">
        <x:v>3</x:v>
      </x:c>
      <x:c r="E538" s="19" t="str">
        <x:v>稀有</x:v>
      </x:c>
      <x:c r="F538" s="34" t="n">
        <x:v>8.714490247464894</x:v>
      </x:c>
      <x:c r="G538" s="19" t="n">
        <x:v>2</x:v>
      </x:c>
      <x:c r="H538" s="19" t="n">
        <x:v>600</x:v>
      </x:c>
      <x:c r="I538" s="24" t="n">
        <x:f>G538*3600/H538</x:f>
        <x:v>12</x:v>
      </x:c>
      <x:c r="J538" s="24" t="n">
        <x:v>12</x:v>
      </x:c>
      <x:c r="K538" s="19" t="str">
        <x:v>P0315</x:v>
      </x:c>
    </x:row>
    <x:row r="539" ht="19" customHeight="1">
      <x:c r="A539" s="19" t="str">
        <x:v>C10-M035</x:v>
      </x:c>
      <x:c r="B539" s="19" t="str">
        <x:v>深井百臂掘王</x:v>
      </x:c>
      <x:c r="C539" s="19" t="n">
        <x:v>10</x:v>
      </x:c>
      <x:c r="D539" s="19" t="n">
        <x:v>3</x:v>
      </x:c>
      <x:c r="E539" s="19" t="str">
        <x:v>地图BOSS</x:v>
      </x:c>
      <x:c r="F539" s="34" t="n">
        <x:v>82.15825730822856</x:v>
      </x:c>
      <x:c r="G539" s="19" t="n">
        <x:v>1</x:v>
      </x:c>
      <x:c r="H539" s="19" t="n">
        <x:v>1800</x:v>
      </x:c>
      <x:c r="I539" s="24" t="n">
        <x:f>G539*3600/H539</x:f>
        <x:v>2</x:v>
      </x:c>
      <x:c r="J539" s="24" t="n">
        <x:v>2</x:v>
      </x:c>
      <x:c r="K539" s="19" t="str">
        <x:v>P0315</x:v>
      </x:c>
    </x:row>
    <x:row r="540" ht="19" customHeight="1">
      <x:c r="A540" s="19" t="str">
        <x:v>C10-M036</x:v>
      </x:c>
      <x:c r="B540" s="19" t="str">
        <x:v>地脉熔冠巨像</x:v>
      </x:c>
      <x:c r="C540" s="19" t="n">
        <x:v>10</x:v>
      </x:c>
      <x:c r="D540" s="19" t="n">
        <x:v>3</x:v>
      </x:c>
      <x:c r="E540" s="19" t="str">
        <x:v>地图BOSS</x:v>
      </x:c>
      <x:c r="F540" s="34" t="n">
        <x:v>86.07055527528705</x:v>
      </x:c>
      <x:c r="G540" s="19" t="n">
        <x:v>1</x:v>
      </x:c>
      <x:c r="H540" s="19" t="n">
        <x:v>1800</x:v>
      </x:c>
      <x:c r="I540" s="24" t="n">
        <x:f>G540*3600/H540</x:f>
        <x:v>2</x:v>
      </x:c>
      <x:c r="J540" s="24" t="n">
        <x:v>2</x:v>
      </x:c>
      <x:c r="K540" s="19" t="str">
        <x:v>P0315</x:v>
      </x:c>
    </x:row>
    <x:row r="541" ht="19" customHeight="1">
      <x:c r="A541" s="19" t="str">
        <x:v>C10-M037</x:v>
      </x:c>
      <x:c r="B541" s="19" t="str">
        <x:v>石棺刮蜡侍</x:v>
      </x:c>
      <x:c r="C541" s="19" t="n">
        <x:v>10</x:v>
      </x:c>
      <x:c r="D541" s="19" t="n">
        <x:v>4</x:v>
      </x:c>
      <x:c r="E541" s="19" t="str">
        <x:v>普通</x:v>
      </x:c>
      <x:c r="F541" s="34" t="n">
        <x:v>2.9881200270840638</x:v>
      </x:c>
      <x:c r="G541" s="19" t="n">
        <x:v>12</x:v>
      </x:c>
      <x:c r="H541" s="19" t="n">
        <x:v>600</x:v>
      </x:c>
      <x:c r="I541" s="24" t="n">
        <x:f>G541*3600/H541</x:f>
        <x:v>72</x:v>
      </x:c>
      <x:c r="J541" s="24" t="n">
        <x:v>72</x:v>
      </x:c>
      <x:c r="K541" s="19" t="str">
        <x:v>P0321</x:v>
      </x:c>
    </x:row>
    <x:row r="542" ht="19" customHeight="1">
      <x:c r="A542" s="19" t="str">
        <x:v>C10-M038</x:v>
      </x:c>
      <x:c r="B542" s="19" t="str">
        <x:v>眠碑缝尸媪</x:v>
      </x:c>
      <x:c r="C542" s="19" t="n">
        <x:v>10</x:v>
      </x:c>
      <x:c r="D542" s="19" t="n">
        <x:v>4</x:v>
      </x:c>
      <x:c r="E542" s="19" t="str">
        <x:v>普通</x:v>
      </x:c>
      <x:c r="F542" s="34" t="n">
        <x:v>2.561245737500626</x:v>
      </x:c>
      <x:c r="G542" s="19" t="n">
        <x:v>12</x:v>
      </x:c>
      <x:c r="H542" s="19" t="n">
        <x:v>600</x:v>
      </x:c>
      <x:c r="I542" s="24" t="n">
        <x:f>G542*3600/H542</x:f>
        <x:v>72</x:v>
      </x:c>
      <x:c r="J542" s="24" t="n">
        <x:v>72</x:v>
      </x:c>
      <x:c r="K542" s="19" t="str">
        <x:v>P0321</x:v>
      </x:c>
    </x:row>
    <x:row r="543" ht="19" customHeight="1">
      <x:c r="A543" s="19" t="str">
        <x:v>C10-M039</x:v>
      </x:c>
      <x:c r="B543" s="19" t="str">
        <x:v>墓王执幡骨卫</x:v>
      </x:c>
      <x:c r="C543" s="19" t="n">
        <x:v>10</x:v>
      </x:c>
      <x:c r="D543" s="19" t="n">
        <x:v>4</x:v>
      </x:c>
      <x:c r="E543" s="19" t="str">
        <x:v>普通</x:v>
      </x:c>
      <x:c r="F543" s="34" t="n">
        <x:v>2.561245737500626</x:v>
      </x:c>
      <x:c r="G543" s="19" t="n">
        <x:v>12</x:v>
      </x:c>
      <x:c r="H543" s="19" t="n">
        <x:v>600</x:v>
      </x:c>
      <x:c r="I543" s="24" t="n">
        <x:f>G543*3600/H543</x:f>
        <x:v>72</x:v>
      </x:c>
      <x:c r="J543" s="24" t="n">
        <x:v>72</x:v>
      </x:c>
      <x:c r="K543" s="19" t="str">
        <x:v>P0321</x:v>
      </x:c>
    </x:row>
    <x:row r="544" ht="19" customHeight="1">
      <x:c r="A544" s="19" t="str">
        <x:v>C10-M040</x:v>
      </x:c>
      <x:c r="B544" s="19" t="str">
        <x:v>甬道噤歌蛾</x:v>
      </x:c>
      <x:c r="C544" s="19" t="n">
        <x:v>10</x:v>
      </x:c>
      <x:c r="D544" s="19" t="n">
        <x:v>4</x:v>
      </x:c>
      <x:c r="E544" s="19" t="str">
        <x:v>普通</x:v>
      </x:c>
      <x:c r="F544" s="34" t="n">
        <x:v>2.561245737500626</x:v>
      </x:c>
      <x:c r="G544" s="19" t="n">
        <x:v>12</x:v>
      </x:c>
      <x:c r="H544" s="19" t="n">
        <x:v>600</x:v>
      </x:c>
      <x:c r="I544" s="24" t="n">
        <x:f>G544*3600/H544</x:f>
        <x:v>72</x:v>
      </x:c>
      <x:c r="J544" s="24" t="n">
        <x:v>72</x:v>
      </x:c>
      <x:c r="K544" s="19" t="str">
        <x:v>P0321</x:v>
      </x:c>
    </x:row>
    <x:row r="545" ht="19" customHeight="1">
      <x:c r="A545" s="19" t="str">
        <x:v>C10-M041</x:v>
      </x:c>
      <x:c r="B545" s="19" t="str">
        <x:v>寝室抱瓮童</x:v>
      </x:c>
      <x:c r="C545" s="19" t="n">
        <x:v>10</x:v>
      </x:c>
      <x:c r="D545" s="19" t="n">
        <x:v>4</x:v>
      </x:c>
      <x:c r="E545" s="19" t="str">
        <x:v>普通</x:v>
      </x:c>
      <x:c r="F545" s="34" t="n">
        <x:v>2.561245737500626</x:v>
      </x:c>
      <x:c r="G545" s="19" t="n">
        <x:v>12</x:v>
      </x:c>
      <x:c r="H545" s="19" t="n">
        <x:v>600</x:v>
      </x:c>
      <x:c r="I545" s="24" t="n">
        <x:f>G545*3600/H545</x:f>
        <x:v>72</x:v>
      </x:c>
      <x:c r="J545" s="24" t="n">
        <x:v>72</x:v>
      </x:c>
      <x:c r="K545" s="19" t="str">
        <x:v>P0321</x:v>
      </x:c>
    </x:row>
    <x:row r="546" ht="19" customHeight="1">
      <x:c r="A546" s="19" t="str">
        <x:v>C10-M042</x:v>
      </x:c>
      <x:c r="B546" s="19" t="str">
        <x:v>枕陵掘指尸</x:v>
      </x:c>
      <x:c r="C546" s="19" t="n">
        <x:v>10</x:v>
      </x:c>
      <x:c r="D546" s="19" t="n">
        <x:v>4</x:v>
      </x:c>
      <x:c r="E546" s="19" t="str">
        <x:v>普通</x:v>
      </x:c>
      <x:c r="F546" s="34" t="n">
        <x:v>2.9881200270840638</x:v>
      </x:c>
      <x:c r="G546" s="19" t="n">
        <x:v>12</x:v>
      </x:c>
      <x:c r="H546" s="19" t="n">
        <x:v>600</x:v>
      </x:c>
      <x:c r="I546" s="24" t="n">
        <x:f>G546*3600/H546</x:f>
        <x:v>72</x:v>
      </x:c>
      <x:c r="J546" s="24" t="n">
        <x:v>72</x:v>
      </x:c>
      <x:c r="K546" s="19" t="str">
        <x:v>P0321</x:v>
      </x:c>
    </x:row>
    <x:row r="547" ht="19" customHeight="1">
      <x:c r="A547" s="19" t="str">
        <x:v>C10-M043</x:v>
      </x:c>
      <x:c r="B547" s="19" t="str">
        <x:v>无烛守丧女</x:v>
      </x:c>
      <x:c r="C547" s="19" t="n">
        <x:v>10</x:v>
      </x:c>
      <x:c r="D547" s="19" t="n">
        <x:v>4</x:v>
      </x:c>
      <x:c r="E547" s="19" t="str">
        <x:v>稀有</x:v>
      </x:c>
      <x:c r="F547" s="34" t="n">
        <x:v>7.516558367476972</x:v>
      </x:c>
      <x:c r="G547" s="19" t="n">
        <x:v>2</x:v>
      </x:c>
      <x:c r="H547" s="19" t="n">
        <x:v>600</x:v>
      </x:c>
      <x:c r="I547" s="24" t="n">
        <x:f>G547*3600/H547</x:f>
        <x:v>12</x:v>
      </x:c>
      <x:c r="J547" s="24" t="n">
        <x:v>12</x:v>
      </x:c>
      <x:c r="K547" s="19" t="str">
        <x:v>P0321</x:v>
      </x:c>
    </x:row>
    <x:row r="548" ht="19" customHeight="1">
      <x:c r="A548" s="19" t="str">
        <x:v>C10-M044</x:v>
      </x:c>
      <x:c r="B548" s="19" t="str">
        <x:v>断碑驮棺兽</x:v>
      </x:c>
      <x:c r="C548" s="19" t="n">
        <x:v>10</x:v>
      </x:c>
      <x:c r="D548" s="19" t="n">
        <x:v>4</x:v>
      </x:c>
      <x:c r="E548" s="19" t="str">
        <x:v>稀有</x:v>
      </x:c>
      <x:c r="F548" s="34" t="n">
        <x:v>7.061009375508671</x:v>
      </x:c>
      <x:c r="G548" s="19" t="n">
        <x:v>2</x:v>
      </x:c>
      <x:c r="H548" s="19" t="n">
        <x:v>600</x:v>
      </x:c>
      <x:c r="I548" s="24" t="n">
        <x:f>G548*3600/H548</x:f>
        <x:v>12</x:v>
      </x:c>
      <x:c r="J548" s="24" t="n">
        <x:v>12</x:v>
      </x:c>
      <x:c r="K548" s="19" t="str">
        <x:v>P0321</x:v>
      </x:c>
    </x:row>
    <x:row r="549" ht="19" customHeight="1">
      <x:c r="A549" s="19" t="str">
        <x:v>C10-M045</x:v>
      </x:c>
      <x:c r="B549" s="19" t="str">
        <x:v>王甬秤罪官</x:v>
      </x:c>
      <x:c r="C549" s="19" t="n">
        <x:v>10</x:v>
      </x:c>
      <x:c r="D549" s="19" t="n">
        <x:v>4</x:v>
      </x:c>
      <x:c r="E549" s="19" t="str">
        <x:v>稀有</x:v>
      </x:c>
      <x:c r="F549" s="34" t="n">
        <x:v>7.516558367476972</x:v>
      </x:c>
      <x:c r="G549" s="19" t="n">
        <x:v>2</x:v>
      </x:c>
      <x:c r="H549" s="19" t="n">
        <x:v>600</x:v>
      </x:c>
      <x:c r="I549" s="24" t="n">
        <x:f>G549*3600/H549</x:f>
        <x:v>12</x:v>
      </x:c>
      <x:c r="J549" s="24" t="n">
        <x:v>12</x:v>
      </x:c>
      <x:c r="K549" s="19" t="str">
        <x:v>P0321</x:v>
      </x:c>
    </x:row>
    <x:row r="550" ht="19" customHeight="1">
      <x:c r="A550" s="19" t="str">
        <x:v>C10-M046</x:v>
      </x:c>
      <x:c r="B550" s="19" t="str">
        <x:v>寝门返魂甲</x:v>
      </x:c>
      <x:c r="C550" s="19" t="n">
        <x:v>10</x:v>
      </x:c>
      <x:c r="D550" s="19" t="n">
        <x:v>4</x:v>
      </x:c>
      <x:c r="E550" s="19" t="str">
        <x:v>稀有</x:v>
      </x:c>
      <x:c r="F550" s="34" t="n">
        <x:v>7.061009375508671</x:v>
      </x:c>
      <x:c r="G550" s="19" t="n">
        <x:v>2</x:v>
      </x:c>
      <x:c r="H550" s="19" t="n">
        <x:v>600</x:v>
      </x:c>
      <x:c r="I550" s="24" t="n">
        <x:f>G550*3600/H550</x:f>
        <x:v>12</x:v>
      </x:c>
      <x:c r="J550" s="24" t="n">
        <x:v>12</x:v>
      </x:c>
      <x:c r="K550" s="19" t="str">
        <x:v>P0321</x:v>
      </x:c>
    </x:row>
    <x:row r="551" ht="19" customHeight="1">
      <x:c r="A551" s="19" t="str">
        <x:v>C10-M047</x:v>
      </x:c>
      <x:c r="B551" s="19" t="str">
        <x:v>不葬的甬道王妃</x:v>
      </x:c>
      <x:c r="C551" s="19" t="n">
        <x:v>10</x:v>
      </x:c>
      <x:c r="D551" s="19" t="n">
        <x:v>4</x:v>
      </x:c>
      <x:c r="E551" s="19" t="str">
        <x:v>地图BOSS</x:v>
      </x:c>
      <x:c r="F551" s="34" t="n">
        <x:v>71.56860922290089</x:v>
      </x:c>
      <x:c r="G551" s="19" t="n">
        <x:v>1</x:v>
      </x:c>
      <x:c r="H551" s="19" t="n">
        <x:v>1800</x:v>
      </x:c>
      <x:c r="I551" s="24" t="n">
        <x:f>G551*3600/H551</x:f>
        <x:v>2</x:v>
      </x:c>
      <x:c r="J551" s="24" t="n">
        <x:v>2</x:v>
      </x:c>
      <x:c r="K551" s="19" t="str">
        <x:v>P0321</x:v>
      </x:c>
    </x:row>
    <x:row r="552" ht="19" customHeight="1">
      <x:c r="A552" s="19" t="str">
        <x:v>C10-M048</x:v>
      </x:c>
      <x:c r="B552" s="19" t="str">
        <x:v>枯寝吞碑王</x:v>
      </x:c>
      <x:c r="C552" s="19" t="n">
        <x:v>10</x:v>
      </x:c>
      <x:c r="D552" s="19" t="n">
        <x:v>4</x:v>
      </x:c>
      <x:c r="E552" s="19" t="str">
        <x:v>地图BOSS</x:v>
      </x:c>
      <x:c r="F552" s="34" t="n">
        <x:v>75.08837688960092</x:v>
      </x:c>
      <x:c r="G552" s="19" t="n">
        <x:v>1</x:v>
      </x:c>
      <x:c r="H552" s="19" t="n">
        <x:v>1800</x:v>
      </x:c>
      <x:c r="I552" s="24" t="n">
        <x:f>G552*3600/H552</x:f>
        <x:v>2</x:v>
      </x:c>
      <x:c r="J552" s="24" t="n">
        <x:v>2</x:v>
      </x:c>
      <x:c r="K552" s="19" t="str">
        <x:v>P0321</x:v>
      </x:c>
    </x:row>
    <x:row r="553" ht="19" customHeight="1">
      <x:c r="A553" s="19" t="str">
        <x:v>C10-M049</x:v>
      </x:c>
      <x:c r="B553" s="19" t="str">
        <x:v>日轮扫阶侍</x:v>
      </x:c>
      <x:c r="C553" s="19" t="n">
        <x:v>10</x:v>
      </x:c>
      <x:c r="D553" s="19" t="n">
        <x:v>5</x:v>
      </x:c>
      <x:c r="E553" s="19" t="str">
        <x:v>普通</x:v>
      </x:c>
      <x:c r="F553" s="34" t="n">
        <x:v>2.6331635078623945</x:v>
      </x:c>
      <x:c r="G553" s="19" t="n">
        <x:v>12</x:v>
      </x:c>
      <x:c r="H553" s="19" t="n">
        <x:v>600</x:v>
      </x:c>
      <x:c r="I553" s="24" t="n">
        <x:f>G553*3600/H553</x:f>
        <x:v>72</x:v>
      </x:c>
      <x:c r="J553" s="24" t="n">
        <x:v>72</x:v>
      </x:c>
      <x:c r="K553" s="19" t="str">
        <x:v>P0327</x:v>
      </x:c>
    </x:row>
    <x:row r="554" ht="19" customHeight="1">
      <x:c r="A554" s="19" t="str">
        <x:v>C10-M050</x:v>
      </x:c>
      <x:c r="B554" s="19" t="str">
        <x:v>金桂驯狮吏</x:v>
      </x:c>
      <x:c r="C554" s="19" t="n">
        <x:v>10</x:v>
      </x:c>
      <x:c r="D554" s="19" t="n">
        <x:v>5</x:v>
      </x:c>
      <x:c r="E554" s="19" t="str">
        <x:v>普通</x:v>
      </x:c>
      <x:c r="F554" s="34" t="n">
        <x:v>2.404192768048273</x:v>
      </x:c>
      <x:c r="G554" s="19" t="n">
        <x:v>12</x:v>
      </x:c>
      <x:c r="H554" s="19" t="n">
        <x:v>600</x:v>
      </x:c>
      <x:c r="I554" s="24" t="n">
        <x:f>G554*3600/H554</x:f>
        <x:v>72</x:v>
      </x:c>
      <x:c r="J554" s="24" t="n">
        <x:v>72</x:v>
      </x:c>
      <x:c r="K554" s="19" t="str">
        <x:v>P0327</x:v>
      </x:c>
    </x:row>
    <x:row r="555" ht="19" customHeight="1">
      <x:c r="A555" s="19" t="str">
        <x:v>C10-M051</x:v>
      </x:c>
      <x:c r="B555" s="19" t="str">
        <x:v>垂纱持香女</x:v>
      </x:c>
      <x:c r="C555" s="19" t="n">
        <x:v>10</x:v>
      </x:c>
      <x:c r="D555" s="19" t="n">
        <x:v>5</x:v>
      </x:c>
      <x:c r="E555" s="19" t="str">
        <x:v>普通</x:v>
      </x:c>
      <x:c r="F555" s="34" t="n">
        <x:v>2.289707398141213</x:v>
      </x:c>
      <x:c r="G555" s="19" t="n">
        <x:v>12</x:v>
      </x:c>
      <x:c r="H555" s="19" t="n">
        <x:v>600</x:v>
      </x:c>
      <x:c r="I555" s="24" t="n">
        <x:f>G555*3600/H555</x:f>
        <x:v>72</x:v>
      </x:c>
      <x:c r="J555" s="24" t="n">
        <x:v>72</x:v>
      </x:c>
      <x:c r="K555" s="19" t="str">
        <x:v>P0327</x:v>
      </x:c>
    </x:row>
    <x:row r="556" ht="19" customHeight="1">
      <x:c r="A556" s="19" t="str">
        <x:v>C10-M052</x:v>
      </x:c>
      <x:c r="B556" s="19" t="str">
        <x:v>律烛诵壁僧</x:v>
      </x:c>
      <x:c r="C556" s="19" t="n">
        <x:v>10</x:v>
      </x:c>
      <x:c r="D556" s="19" t="n">
        <x:v>5</x:v>
      </x:c>
      <x:c r="E556" s="19" t="str">
        <x:v>普通</x:v>
      </x:c>
      <x:c r="F556" s="34" t="n">
        <x:v>2.289707398141213</x:v>
      </x:c>
      <x:c r="G556" s="19" t="n">
        <x:v>12</x:v>
      </x:c>
      <x:c r="H556" s="19" t="n">
        <x:v>600</x:v>
      </x:c>
      <x:c r="I556" s="24" t="n">
        <x:f>G556*3600/H556</x:f>
        <x:v>72</x:v>
      </x:c>
      <x:c r="J556" s="24" t="n">
        <x:v>72</x:v>
      </x:c>
      <x:c r="K556" s="19" t="str">
        <x:v>P0327</x:v>
      </x:c>
    </x:row>
    <x:row r="557" ht="19" customHeight="1">
      <x:c r="A557" s="19" t="str">
        <x:v>C10-M053</x:v>
      </x:c>
      <x:c r="B557" s="19" t="str">
        <x:v>前厅捧剑灵</x:v>
      </x:c>
      <x:c r="C557" s="19" t="n">
        <x:v>10</x:v>
      </x:c>
      <x:c r="D557" s="19" t="n">
        <x:v>5</x:v>
      </x:c>
      <x:c r="E557" s="19" t="str">
        <x:v>普通</x:v>
      </x:c>
      <x:c r="F557" s="34" t="n">
        <x:v>2.404192768048273</x:v>
      </x:c>
      <x:c r="G557" s="19" t="n">
        <x:v>12</x:v>
      </x:c>
      <x:c r="H557" s="19" t="n">
        <x:v>600</x:v>
      </x:c>
      <x:c r="I557" s="24" t="n">
        <x:f>G557*3600/H557</x:f>
        <x:v>72</x:v>
      </x:c>
      <x:c r="J557" s="24" t="n">
        <x:v>72</x:v>
      </x:c>
      <x:c r="K557" s="19" t="str">
        <x:v>P0327</x:v>
      </x:c>
    </x:row>
    <x:row r="558" ht="19" customHeight="1">
      <x:c r="A558" s="19" t="str">
        <x:v>C10-M054</x:v>
      </x:c>
      <x:c r="B558" s="19" t="str">
        <x:v>王座拾辉甲</x:v>
      </x:c>
      <x:c r="C558" s="19" t="n">
        <x:v>10</x:v>
      </x:c>
      <x:c r="D558" s="19" t="n">
        <x:v>5</x:v>
      </x:c>
      <x:c r="E558" s="19" t="str">
        <x:v>普通</x:v>
      </x:c>
      <x:c r="F558" s="34" t="n">
        <x:v>4.208823832727422</x:v>
      </x:c>
      <x:c r="G558" s="19" t="n">
        <x:v>12</x:v>
      </x:c>
      <x:c r="H558" s="19" t="n">
        <x:v>600</x:v>
      </x:c>
      <x:c r="I558" s="24" t="n">
        <x:f>G558*3600/H558</x:f>
        <x:v>72</x:v>
      </x:c>
      <x:c r="J558" s="24" t="n">
        <x:v>72</x:v>
      </x:c>
      <x:c r="K558" s="19" t="str">
        <x:v>P0327</x:v>
      </x:c>
    </x:row>
    <x:row r="559" ht="19" customHeight="1">
      <x:c r="A559" s="19" t="str">
        <x:v>C10-M055</x:v>
      </x:c>
      <x:c r="B559" s="19" t="str">
        <x:v>外庭熔桂狮</x:v>
      </x:c>
      <x:c r="C559" s="19" t="n">
        <x:v>10</x:v>
      </x:c>
      <x:c r="D559" s="19" t="n">
        <x:v>5</x:v>
      </x:c>
      <x:c r="E559" s="19" t="str">
        <x:v>稀有</x:v>
      </x:c>
      <x:c r="F559" s="34" t="n">
        <x:v>7.7846413401125245</x:v>
      </x:c>
      <x:c r="G559" s="19" t="n">
        <x:v>2</x:v>
      </x:c>
      <x:c r="H559" s="19" t="n">
        <x:v>600</x:v>
      </x:c>
      <x:c r="I559" s="24" t="n">
        <x:f>G559*3600/H559</x:f>
        <x:v>12</x:v>
      </x:c>
      <x:c r="J559" s="24" t="n">
        <x:v>12</x:v>
      </x:c>
      <x:c r="K559" s="19" t="str">
        <x:v>P0327</x:v>
      </x:c>
    </x:row>
    <x:row r="560" ht="19" customHeight="1">
      <x:c r="A560" s="19" t="str">
        <x:v>C10-M056</x:v>
      </x:c>
      <x:c r="B560" s="19" t="str">
        <x:v>内庭七帷掌仪</x:v>
      </x:c>
      <x:c r="C560" s="19" t="n">
        <x:v>10</x:v>
      </x:c>
      <x:c r="D560" s="19" t="n">
        <x:v>5</x:v>
      </x:c>
      <x:c r="E560" s="19" t="str">
        <x:v>稀有</x:v>
      </x:c>
      <x:c r="F560" s="34" t="n">
        <x:v>7.7846413401125245</x:v>
      </x:c>
      <x:c r="G560" s="19" t="n">
        <x:v>2</x:v>
      </x:c>
      <x:c r="H560" s="19" t="n">
        <x:v>600</x:v>
      </x:c>
      <x:c r="I560" s="24" t="n">
        <x:f>G560*3600/H560</x:f>
        <x:v>12</x:v>
      </x:c>
      <x:c r="J560" s="24" t="n">
        <x:v>12</x:v>
      </x:c>
      <x:c r="K560" s="19" t="str">
        <x:v>P0327</x:v>
      </x:c>
    </x:row>
    <x:row r="561" ht="19" customHeight="1">
      <x:c r="A561" s="19" t="str">
        <x:v>C10-M057</x:v>
      </x:c>
      <x:c r="B561" s="19" t="str">
        <x:v>深殿缄律书记</x:v>
      </x:c>
      <x:c r="C561" s="19" t="n">
        <x:v>10</x:v>
      </x:c>
      <x:c r="D561" s="19" t="n">
        <x:v>5</x:v>
      </x:c>
      <x:c r="E561" s="19" t="str">
        <x:v>稀有</x:v>
      </x:c>
      <x:c r="F561" s="34" t="n">
        <x:v>6.933196193537717</x:v>
      </x:c>
      <x:c r="G561" s="19" t="n">
        <x:v>2</x:v>
      </x:c>
      <x:c r="H561" s="19" t="n">
        <x:v>600</x:v>
      </x:c>
      <x:c r="I561" s="24" t="n">
        <x:f>G561*3600/H561</x:f>
        <x:v>12</x:v>
      </x:c>
      <x:c r="J561" s="24" t="n">
        <x:v>12</x:v>
      </x:c>
      <x:c r="K561" s="19" t="str">
        <x:v>P0327</x:v>
      </x:c>
    </x:row>
    <x:row r="562" ht="19" customHeight="1">
      <x:c r="A562" s="19" t="str">
        <x:v>C10-M058</x:v>
      </x:c>
      <x:c r="B562" s="19" t="str">
        <x:v>前厅无声执冠官</x:v>
      </x:c>
      <x:c r="C562" s="19" t="n">
        <x:v>10</x:v>
      </x:c>
      <x:c r="D562" s="19" t="n">
        <x:v>5</x:v>
      </x:c>
      <x:c r="E562" s="19" t="str">
        <x:v>稀有</x:v>
      </x:c>
      <x:c r="F562" s="34" t="n">
        <x:v>7.2981012563554915</x:v>
      </x:c>
      <x:c r="G562" s="19" t="n">
        <x:v>2</x:v>
      </x:c>
      <x:c r="H562" s="19" t="n">
        <x:v>600</x:v>
      </x:c>
      <x:c r="I562" s="24" t="n">
        <x:f>G562*3600/H562</x:f>
        <x:v>12</x:v>
      </x:c>
      <x:c r="J562" s="24" t="n">
        <x:v>12</x:v>
      </x:c>
      <x:c r="K562" s="19" t="str">
        <x:v>P0327</x:v>
      </x:c>
    </x:row>
    <x:row r="563" ht="19" customHeight="1">
      <x:c r="A563" s="19" t="str">
        <x:v>C10-M059</x:v>
      </x:c>
      <x:c r="B563" s="19" t="str">
        <x:v>碎日门的黄金禁卫</x:v>
      </x:c>
      <x:c r="C563" s="19" t="n">
        <x:v>10</x:v>
      </x:c>
      <x:c r="D563" s="19" t="n">
        <x:v>5</x:v>
      </x:c>
      <x:c r="E563" s="19" t="str">
        <x:v>地图BOSS</x:v>
      </x:c>
      <x:c r="F563" s="34" t="n">
        <x:v>83.00016357092498</x:v>
      </x:c>
      <x:c r="G563" s="19" t="n">
        <x:v>1</x:v>
      </x:c>
      <x:c r="H563" s="19" t="n">
        <x:v>1800</x:v>
      </x:c>
      <x:c r="I563" s="24" t="n">
        <x:f>G563*3600/H563</x:f>
        <x:v>2</x:v>
      </x:c>
      <x:c r="J563" s="24" t="n">
        <x:v>2</x:v>
      </x:c>
      <x:c r="K563" s="19" t="str">
        <x:v>P0327</x:v>
      </x:c>
    </x:row>
    <x:row r="564" ht="19" customHeight="1">
      <x:c r="A564" s="19" t="str">
        <x:v>C10-M060</x:v>
      </x:c>
      <x:c r="B564" s="19" t="str">
        <x:v>永辉帷后的空王</x:v>
      </x:c>
      <x:c r="C564" s="19" t="n">
        <x:v>10</x:v>
      </x:c>
      <x:c r="D564" s="19" t="n">
        <x:v>5</x:v>
      </x:c>
      <x:c r="E564" s="19" t="str">
        <x:v>地图BOSS</x:v>
      </x:c>
      <x:c r="F564" s="34" t="n">
        <x:v>68.26732940755255</x:v>
      </x:c>
      <x:c r="G564" s="19" t="n">
        <x:v>1</x:v>
      </x:c>
      <x:c r="H564" s="19" t="n">
        <x:v>1800</x:v>
      </x:c>
      <x:c r="I564" s="24" t="n">
        <x:f>G564*3600/H564</x:f>
        <x:v>2</x:v>
      </x:c>
      <x:c r="J564" s="24" t="n">
        <x:v>2</x:v>
      </x:c>
      <x:c r="K564" s="19" t="str">
        <x:v>P0327</x:v>
      </x:c>
    </x:row>
    <x:row r="565" ht="19" customHeight="1">
      <x:c r="A565" s="19" t="str">
        <x:v>C10-M061</x:v>
      </x:c>
      <x:c r="B565" s="19" t="str">
        <x:v>万冠终审者·萨洛恩</x:v>
      </x:c>
      <x:c r="C565" s="19" t="n">
        <x:v>10</x:v>
      </x:c>
      <x:c r="D565" s="19" t="n">
        <x:v>5</x:v>
      </x:c>
      <x:c r="E565" s="19" t="str">
        <x:v>守关BOSS</x:v>
      </x:c>
      <x:c r="F565" s="34" t="n">
        <x:v>424.8840297858376</x:v>
      </x:c>
      <x:c r="G565" s="19" t="n">
        <x:v>1</x:v>
      </x:c>
      <x:c r="H565" s="19" t="n">
        <x:v>7200</x:v>
      </x:c>
      <x:c r="I565" s="24" t="n">
        <x:f>G565*3600/H565</x:f>
        <x:v>0.5</x:v>
      </x:c>
      <x:c r="J565" s="24" t="n">
        <x:v>0</x:v>
      </x:c>
      <x:c r="K565" s="19" t="str">
        <x:v>P0327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7e6076da6ce4cb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1" hidden="0" customWidth="1"/>
    <x:col min="4" max="4" width="24" hidden="0" customWidth="1"/>
    <x:col min="5" max="5" width="20" hidden="0" customWidth="1"/>
    <x:col min="6" max="6" width="50" hidden="0" customWidth="1"/>
  </x:cols>
  <x:sheetData>
    <x:row r="1" ht="30" customHeight="1">
      <x:c r="A1" s="4" t="str">
        <x:v>04 · 本轮改动</x:v>
      </x:c>
      <x:c r="B1" s="4"/>
      <x:c r="C1" s="4"/>
      <x:c r="D1" s="4"/>
      <x:c r="E1" s="4"/>
      <x:c r="F1" s="4"/>
    </x:row>
    <x:row r="2" ht="34" customHeight="1">
      <x:c r="A2" s="9" t="str">
        <x:v>所有改动留痕。补回25种既有称号，不新造属性；材料数量变更针对长期供给。</x:v>
      </x:c>
      <x:c r="B2" s="9"/>
      <x:c r="C2" s="9"/>
      <x:c r="D2" s="9"/>
      <x:c r="E2" s="9"/>
      <x:c r="F2" s="9"/>
    </x:row>
    <x:row r="4" ht="30" customHeight="1">
      <x:c r="A4" s="14" t="str">
        <x:v>改动类型</x:v>
      </x:c>
      <x:c r="B4" s="14" t="str">
        <x:v>怪物ID</x:v>
      </x:c>
      <x:c r="C4" s="14" t="str">
        <x:v>物品</x:v>
      </x:c>
      <x:c r="D4" s="14" t="str">
        <x:v>原值</x:v>
      </x:c>
      <x:c r="E4" s="14" t="str">
        <x:v>本次值</x:v>
      </x:c>
      <x:c r="F4" s="14" t="str">
        <x:v>原因</x:v>
      </x:c>
    </x:row>
    <x:row r="5" ht="19" customHeight="1">
      <x:c r="A5" s="19" t="str">
        <x:v>补回既有候选</x:v>
      </x:c>
      <x:c r="B5" s="19" t="str">
        <x:v>EL-MON-LIM-GRAVE-007</x:v>
      </x:c>
      <x:c r="C5" s="19" t="str">
        <x:v>[称号]墓门守誓</x:v>
      </x:c>
      <x:c r="D5" s="19" t="str">
        <x:v>此前5400关系未包含</x:v>
      </x:c>
      <x:c r="E5" s="19" t="str">
        <x:v>按既有25称号回收/来源注册加入</x:v>
      </x:c>
      <x:c r="F5" s="19" t="str">
        <x:v>未新建称号；原物品名称部署前与本机最新版逐字映射</x:v>
      </x:c>
    </x:row>
    <x:row r="6" ht="19" customHeight="1">
      <x:c r="A6" s="19" t="str">
        <x:v>补回既有候选</x:v>
      </x:c>
      <x:c r="B6" s="19" t="str">
        <x:v>EL-MON-LIM-GRAVE-011</x:v>
      </x:c>
      <x:c r="C6" s="19" t="str">
        <x:v>[称号]腐根不眠</x:v>
      </x:c>
      <x:c r="D6" s="19" t="str">
        <x:v>此前5400关系未包含</x:v>
      </x:c>
      <x:c r="E6" s="19" t="str">
        <x:v>按既有25称号回收/来源注册加入</x:v>
      </x:c>
      <x:c r="F6" s="19" t="str">
        <x:v>未新建称号；原物品名称部署前与本机最新版逐字映射</x:v>
      </x:c>
    </x:row>
    <x:row r="7" ht="19" customHeight="1">
      <x:c r="A7" s="19" t="str">
        <x:v>补回既有候选</x:v>
      </x:c>
      <x:c r="B7" s="19" t="str">
        <x:v>EL-MON-LIM-GRAVE-012</x:v>
      </x:c>
      <x:c r="C7" s="19" t="str">
        <x:v>[称号]百臂遗嗣</x:v>
      </x:c>
      <x:c r="D7" s="19" t="str">
        <x:v>此前5400关系未包含</x:v>
      </x:c>
      <x:c r="E7" s="19" t="str">
        <x:v>按既有25称号回收/来源注册加入</x:v>
      </x:c>
      <x:c r="F7" s="19" t="str">
        <x:v>未新建称号；原物品名称部署前与本机最新版逐字映射</x:v>
      </x:c>
    </x:row>
    <x:row r="8" ht="19" customHeight="1">
      <x:c r="A8" s="19" t="str">
        <x:v>补回既有候选</x:v>
      </x:c>
      <x:c r="B8" s="19" t="str">
        <x:v>EL-MON-LIM-GATE-007</x:v>
      </x:c>
      <x:c r="C8" s="19" t="str">
        <x:v>[称号]金甲破阵</x:v>
      </x:c>
      <x:c r="D8" s="19" t="str">
        <x:v>此前5400关系未包含</x:v>
      </x:c>
      <x:c r="E8" s="19" t="str">
        <x:v>按既有25称号回收/来源注册加入</x:v>
      </x:c>
      <x:c r="F8" s="19" t="str">
        <x:v>未新建称号；原物品名称部署前与本机最新版逐字映射</x:v>
      </x:c>
    </x:row>
    <x:row r="9" ht="19" customHeight="1">
      <x:c r="A9" s="19" t="str">
        <x:v>补回既有候选</x:v>
      </x:c>
      <x:c r="B9" s="19" t="str">
        <x:v>EL-MON-LIM-GATE-011</x:v>
      </x:c>
      <x:c r="C9" s="19" t="str">
        <x:v>[称号]黄金长戟</x:v>
      </x:c>
      <x:c r="D9" s="19" t="str">
        <x:v>此前5400关系未包含</x:v>
      </x:c>
      <x:c r="E9" s="19" t="str">
        <x:v>按既有25称号回收/来源注册加入</x:v>
      </x:c>
      <x:c r="F9" s="19" t="str">
        <x:v>未新建称号；原物品名称部署前与本机最新版逐字映射</x:v>
      </x:c>
    </x:row>
    <x:row r="10" ht="19" customHeight="1">
      <x:c r="A10" s="19" t="str">
        <x:v>补回既有候选</x:v>
      </x:c>
      <x:c r="B10" s="19" t="str">
        <x:v>EL-MON-LIM-GATE-012</x:v>
      </x:c>
      <x:c r="C10" s="19" t="str">
        <x:v>[称号]无月追猎</x:v>
      </x:c>
      <x:c r="D10" s="19" t="str">
        <x:v>此前5400关系未包含</x:v>
      </x:c>
      <x:c r="E10" s="19" t="str">
        <x:v>按既有25称号回收/来源注册加入</x:v>
      </x:c>
      <x:c r="F10" s="19" t="str">
        <x:v>未新建称号；原物品名称部署前与本机最新版逐字映射</x:v>
      </x:c>
    </x:row>
    <x:row r="11" ht="19" customHeight="1">
      <x:c r="A11" s="19" t="str">
        <x:v>补回既有候选</x:v>
      </x:c>
      <x:c r="B11" s="19" t="str">
        <x:v>EL-MON-LIM-MIST-007</x:v>
      </x:c>
      <x:c r="C11" s="19" t="str">
        <x:v>[称号]雾林暴君</x:v>
      </x:c>
      <x:c r="D11" s="19" t="str">
        <x:v>此前5400关系未包含</x:v>
      </x:c>
      <x:c r="E11" s="19" t="str">
        <x:v>按既有25称号回收/来源注册加入</x:v>
      </x:c>
      <x:c r="F11" s="19" t="str">
        <x:v>未新建称号；原物品名称部署前与本机最新版逐字映射</x:v>
      </x:c>
    </x:row>
    <x:row r="12" ht="19" customHeight="1">
      <x:c r="A12" s="19" t="str">
        <x:v>补回既有候选</x:v>
      </x:c>
      <x:c r="B12" s="19" t="str">
        <x:v>EL-MON-LIM-MIST-011</x:v>
      </x:c>
      <x:c r="C12" s="19" t="str">
        <x:v>[称号]死水引魂</x:v>
      </x:c>
      <x:c r="D12" s="19" t="str">
        <x:v>此前5400关系未包含</x:v>
      </x:c>
      <x:c r="E12" s="19" t="str">
        <x:v>按既有25称号回收/来源注册加入</x:v>
      </x:c>
      <x:c r="F12" s="19" t="str">
        <x:v>未新建称号；原物品名称部署前与本机最新版逐字映射</x:v>
      </x:c>
    </x:row>
    <x:row r="13" ht="19" customHeight="1">
      <x:c r="A13" s="19" t="str">
        <x:v>补回既有候选</x:v>
      </x:c>
      <x:c r="B13" s="19" t="str">
        <x:v>EL-MON-LIM-MIST-012</x:v>
      </x:c>
      <x:c r="C13" s="19" t="str">
        <x:v>[称号]初火铸身</x:v>
      </x:c>
      <x:c r="D13" s="19" t="str">
        <x:v>此前5400关系未包含</x:v>
      </x:c>
      <x:c r="E13" s="19" t="str">
        <x:v>按既有25称号回收/来源注册加入</x:v>
      </x:c>
      <x:c r="F13" s="19" t="str">
        <x:v>未新建称号；原物品名称部署前与本机最新版逐字映射</x:v>
      </x:c>
    </x:row>
    <x:row r="14" ht="19" customHeight="1">
      <x:c r="A14" s="19" t="str">
        <x:v>补回既有候选</x:v>
      </x:c>
      <x:c r="B14" s="19" t="str">
        <x:v>EL-MON-LIM-STORM-010</x:v>
      </x:c>
      <x:c r="C14" s="19" t="str">
        <x:v>[称号]黑翼葬日</x:v>
      </x:c>
      <x:c r="D14" s="19" t="str">
        <x:v>此前5400关系未包含</x:v>
      </x:c>
      <x:c r="E14" s="19" t="str">
        <x:v>按既有25称号回收/来源注册加入</x:v>
      </x:c>
      <x:c r="F14" s="19" t="str">
        <x:v>未新建称号；原物品名称部署前与本机最新版逐字映射</x:v>
      </x:c>
    </x:row>
    <x:row r="15" ht="19" customHeight="1">
      <x:c r="A15" s="19" t="str">
        <x:v>补回既有候选</x:v>
      </x:c>
      <x:c r="B15" s="19" t="str">
        <x:v>EL-MON-LIM-STORM-011</x:v>
      </x:c>
      <x:c r="C15" s="19" t="str">
        <x:v>[称号]雷冠之主</x:v>
      </x:c>
      <x:c r="D15" s="19" t="str">
        <x:v>此前5400关系未包含</x:v>
      </x:c>
      <x:c r="E15" s="19" t="str">
        <x:v>按既有25称号回收/来源注册加入</x:v>
      </x:c>
      <x:c r="F15" s="19" t="str">
        <x:v>未新建称号；原物品名称部署前与本机最新版逐字映射</x:v>
      </x:c>
    </x:row>
    <x:row r="16" ht="19" customHeight="1">
      <x:c r="A16" s="19" t="str">
        <x:v>补回既有候选</x:v>
      </x:c>
      <x:c r="B16" s="19" t="str">
        <x:v>EL-MON-LIM-STORM-012</x:v>
      </x:c>
      <x:c r="C16" s="19" t="str">
        <x:v>[称号]恶兆之印</x:v>
      </x:c>
      <x:c r="D16" s="19" t="str">
        <x:v>此前5400关系未包含</x:v>
      </x:c>
      <x:c r="E16" s="19" t="str">
        <x:v>按既有25称号回收/来源注册加入</x:v>
      </x:c>
      <x:c r="F16" s="19" t="str">
        <x:v>未新建称号；原物品名称部署前与本机最新版逐字映射</x:v>
      </x:c>
    </x:row>
    <x:row r="17" ht="19" customHeight="1">
      <x:c r="A17" s="19" t="str">
        <x:v>补回既有候选</x:v>
      </x:c>
      <x:c r="B17" s="19" t="str">
        <x:v>EL-MON-LIM-CASTLE-007</x:v>
      </x:c>
      <x:c r="C17" s="19" t="str">
        <x:v>[称号]失乡统帅</x:v>
      </x:c>
      <x:c r="D17" s="19" t="str">
        <x:v>此前5400关系未包含</x:v>
      </x:c>
      <x:c r="E17" s="19" t="str">
        <x:v>按既有25称号回收/来源注册加入</x:v>
      </x:c>
      <x:c r="F17" s="19" t="str">
        <x:v>未新建称号；原物品名称部署前与本机最新版逐字映射</x:v>
      </x:c>
    </x:row>
    <x:row r="18" ht="19" customHeight="1">
      <x:c r="A18" s="19" t="str">
        <x:v>补回既有候选</x:v>
      </x:c>
      <x:c r="B18" s="19" t="str">
        <x:v>EL-MON-LIM-CASTLE-011</x:v>
      </x:c>
      <x:c r="C18" s="19" t="str">
        <x:v>[称号]百骸兽王</x:v>
      </x:c>
      <x:c r="D18" s="19" t="str">
        <x:v>此前5400关系未包含</x:v>
      </x:c>
      <x:c r="E18" s="19" t="str">
        <x:v>按既有25称号回收/来源注册加入</x:v>
      </x:c>
      <x:c r="F18" s="19" t="str">
        <x:v>未新建称号；原物品名称部署前与本机最新版逐字映射</x:v>
      </x:c>
    </x:row>
    <x:row r="19" ht="19" customHeight="1">
      <x:c r="A19" s="19" t="str">
        <x:v>补回既有候选</x:v>
      </x:c>
      <x:c r="B19" s="19" t="str">
        <x:v>EL-MON-LIM-CASTLE-012</x:v>
      </x:c>
      <x:c r="C19" s="19" t="str">
        <x:v>[称号]王城战魂</x:v>
      </x:c>
      <x:c r="D19" s="19" t="str">
        <x:v>此前5400关系未包含</x:v>
      </x:c>
      <x:c r="E19" s="19" t="str">
        <x:v>按既有25称号回收/来源注册加入</x:v>
      </x:c>
      <x:c r="F19" s="19" t="str">
        <x:v>未新建称号；原物品名称部署前与本机最新版逐字映射</x:v>
      </x:c>
    </x:row>
    <x:row r="20" ht="19" customHeight="1">
      <x:c r="A20" s="19" t="str">
        <x:v>补回既有候选</x:v>
      </x:c>
      <x:c r="B20" s="19" t="str">
        <x:v>EL-MON-LIM-CASTLE-013</x:v>
      </x:c>
      <x:c r="C20" s="19" t="str">
        <x:v>[称号]接肢弑王</x:v>
      </x:c>
      <x:c r="D20" s="19" t="str">
        <x:v>此前5400关系未包含</x:v>
      </x:c>
      <x:c r="E20" s="19" t="str">
        <x:v>按既有25称号回收/来源注册加入</x:v>
      </x:c>
      <x:c r="F20" s="19" t="str">
        <x:v>未新建称号；原物品名称部署前与本机最新版逐字映射</x:v>
      </x:c>
    </x:row>
    <x:row r="21" ht="19" customHeight="1">
      <x:c r="A21" s="19" t="str">
        <x:v>补回既有候选</x:v>
      </x:c>
      <x:c r="B21" s="19" t="str">
        <x:v>EL-MON-COURT-013</x:v>
      </x:c>
      <x:c r="C21" s="19" t="str">
        <x:v>[称号]沉没王权</x:v>
      </x:c>
      <x:c r="D21" s="19" t="str">
        <x:v>此前5400关系未包含</x:v>
      </x:c>
      <x:c r="E21" s="19" t="str">
        <x:v>按既有25称号回收/来源注册加入</x:v>
      </x:c>
      <x:c r="F21" s="19" t="str">
        <x:v>未新建称号；原物品名称部署前与本机最新版逐字映射</x:v>
      </x:c>
    </x:row>
    <x:row r="22" ht="19" customHeight="1">
      <x:c r="A22" s="19" t="str">
        <x:v>补回既有候选</x:v>
      </x:c>
      <x:c r="B22" s="19" t="str">
        <x:v>C03-M073</x:v>
      </x:c>
      <x:c r="C22" s="19" t="str">
        <x:v>[称号]西境征服者</x:v>
      </x:c>
      <x:c r="D22" s="19" t="str">
        <x:v>此前5400关系未包含</x:v>
      </x:c>
      <x:c r="E22" s="19" t="str">
        <x:v>按既有25称号回收/来源注册加入</x:v>
      </x:c>
      <x:c r="F22" s="19" t="str">
        <x:v>未新建称号；原物品名称部署前与本机最新版逐字映射</x:v>
      </x:c>
    </x:row>
    <x:row r="23" ht="19" customHeight="1">
      <x:c r="A23" s="19" t="str">
        <x:v>补回既有候选</x:v>
      </x:c>
      <x:c r="B23" s="19" t="str">
        <x:v>C04-M073</x:v>
      </x:c>
      <x:c r="C23" s="19" t="str">
        <x:v>[称号]闭潮之王</x:v>
      </x:c>
      <x:c r="D23" s="19" t="str">
        <x:v>此前5400关系未包含</x:v>
      </x:c>
      <x:c r="E23" s="19" t="str">
        <x:v>按既有25称号回收/来源注册加入</x:v>
      </x:c>
      <x:c r="F23" s="19" t="str">
        <x:v>未新建称号；原物品名称部署前与本机最新版逐字映射</x:v>
      </x:c>
    </x:row>
    <x:row r="24" ht="19" customHeight="1">
      <x:c r="A24" s="19" t="str">
        <x:v>补回既有候选</x:v>
      </x:c>
      <x:c r="B24" s="19" t="str">
        <x:v>C05-M073</x:v>
      </x:c>
      <x:c r="C24" s="19" t="str">
        <x:v>[称号]寒镜终誓</x:v>
      </x:c>
      <x:c r="D24" s="19" t="str">
        <x:v>此前5400关系未包含</x:v>
      </x:c>
      <x:c r="E24" s="19" t="str">
        <x:v>按既有25称号回收/来源注册加入</x:v>
      </x:c>
      <x:c r="F24" s="19" t="str">
        <x:v>未新建称号；原物品名称部署前与本机最新版逐字映射</x:v>
      </x:c>
    </x:row>
    <x:row r="25" ht="19" customHeight="1">
      <x:c r="A25" s="19" t="str">
        <x:v>补回既有候选</x:v>
      </x:c>
      <x:c r="B25" s="19" t="str">
        <x:v>C06-M037</x:v>
      </x:c>
      <x:c r="C25" s="19" t="str">
        <x:v>[称号]碎星狮王</x:v>
      </x:c>
      <x:c r="D25" s="19" t="str">
        <x:v>此前5400关系未包含</x:v>
      </x:c>
      <x:c r="E25" s="19" t="str">
        <x:v>按既有25称号回收/来源注册加入</x:v>
      </x:c>
      <x:c r="F25" s="19" t="str">
        <x:v>未新建称号；原物品名称部署前与本机最新版逐字映射</x:v>
      </x:c>
    </x:row>
    <x:row r="26" ht="19" customHeight="1">
      <x:c r="A26" s="19" t="str">
        <x:v>补回既有候选</x:v>
      </x:c>
      <x:c r="B26" s="19" t="str">
        <x:v>C07-M037</x:v>
      </x:c>
      <x:c r="C26" s="19" t="str">
        <x:v>[称号]化圣霜王</x:v>
      </x:c>
      <x:c r="D26" s="19" t="str">
        <x:v>此前5400关系未包含</x:v>
      </x:c>
      <x:c r="E26" s="19" t="str">
        <x:v>按既有25称号回收/来源注册加入</x:v>
      </x:c>
      <x:c r="F26" s="19" t="str">
        <x:v>未新建称号；原物品名称部署前与本机最新版逐字映射</x:v>
      </x:c>
    </x:row>
    <x:row r="27" ht="19" customHeight="1">
      <x:c r="A27" s="19" t="str">
        <x:v>补回既有候选</x:v>
      </x:c>
      <x:c r="B27" s="19" t="str">
        <x:v>C08-M049</x:v>
      </x:c>
      <x:c r="C27" s="19" t="str">
        <x:v>[称号]吞日霜王</x:v>
      </x:c>
      <x:c r="D27" s="19" t="str">
        <x:v>此前5400关系未包含</x:v>
      </x:c>
      <x:c r="E27" s="19" t="str">
        <x:v>按既有25称号回收/来源注册加入</x:v>
      </x:c>
      <x:c r="F27" s="19" t="str">
        <x:v>未新建称号；原物品名称部署前与本机最新版逐字映射</x:v>
      </x:c>
    </x:row>
    <x:row r="28" ht="19" customHeight="1">
      <x:c r="A28" s="19" t="str">
        <x:v>补回既有候选</x:v>
      </x:c>
      <x:c r="B28" s="19" t="str">
        <x:v>C09-M061</x:v>
      </x:c>
      <x:c r="C28" s="19" t="str">
        <x:v>[称号]鎏日王城之影</x:v>
      </x:c>
      <x:c r="D28" s="19" t="str">
        <x:v>此前5400关系未包含</x:v>
      </x:c>
      <x:c r="E28" s="19" t="str">
        <x:v>按既有25称号回收/来源注册加入</x:v>
      </x:c>
      <x:c r="F28" s="19" t="str">
        <x:v>未新建称号；原物品名称部署前与本机最新版逐字映射</x:v>
      </x:c>
    </x:row>
    <x:row r="29" ht="19" customHeight="1">
      <x:c r="A29" s="19" t="str">
        <x:v>补回既有候选</x:v>
      </x:c>
      <x:c r="B29" s="19" t="str">
        <x:v>C10-M061</x:v>
      </x:c>
      <x:c r="C29" s="19" t="str">
        <x:v>[称号]万冠终审</x:v>
      </x:c>
      <x:c r="D29" s="19" t="str">
        <x:v>此前5400关系未包含</x:v>
      </x:c>
      <x:c r="E29" s="19" t="str">
        <x:v>按既有25称号回收/来源注册加入</x:v>
      </x:c>
      <x:c r="F29" s="19" t="str">
        <x:v>未新建称号；原物品名称部署前与本机最新版逐字映射</x:v>
      </x:c>
    </x:row>
    <x:row r="30" ht="19" customHeight="1">
      <x:c r="A30" s="19" t="str">
        <x:v>叠加数量</x:v>
      </x:c>
      <x:c r="B30" s="19" t="str">
        <x:v>EL-MON-COURT-011</x:v>
      </x:c>
      <x:c r="C30" s="19" t="str">
        <x:v>亲卫长残魂</x:v>
      </x:c>
      <x:c r="D30" s="19" t="str">
        <x:v>1</x:v>
      </x:c>
      <x:c r="E30" s="19" t="str">
        <x:v>3</x:v>
      </x:c>
      <x:c r="F30" s="19" t="str">
        <x:v>长期消耗供给；提高每次叠加量，避免把所有候选改为高频地面散件</x:v>
      </x:c>
    </x:row>
    <x:row r="31" ht="19" customHeight="1">
      <x:c r="A31" s="19" t="str">
        <x:v>叠加数量</x:v>
      </x:c>
      <x:c r="B31" s="19" t="str">
        <x:v>EL-MON-CLIFF-012</x:v>
      </x:c>
      <x:c r="C31" s="19" t="str">
        <x:v>古龙逆鳞</x:v>
      </x:c>
      <x:c r="D31" s="19" t="str">
        <x:v>1</x:v>
      </x:c>
      <x:c r="E31" s="19" t="str">
        <x:v>2</x:v>
      </x:c>
      <x:c r="F31" s="19" t="str">
        <x:v>长期消耗供给；提高每次叠加量，避免把所有候选改为高频地面散件</x:v>
      </x:c>
    </x:row>
    <x:row r="32" ht="19" customHeight="1">
      <x:c r="A32" s="19" t="str">
        <x:v>叠加数量</x:v>
      </x:c>
      <x:c r="B32" s="19" t="str">
        <x:v>EL-MON-SEA-011</x:v>
      </x:c>
      <x:c r="C32" s="19" t="str">
        <x:v>吞岸王魂</x:v>
      </x:c>
      <x:c r="D32" s="19" t="str">
        <x:v>1</x:v>
      </x:c>
      <x:c r="E32" s="19" t="str">
        <x:v>2</x:v>
      </x:c>
      <x:c r="F32" s="19" t="str">
        <x:v>长期消耗供给；提高每次叠加量，避免把所有候选改为高频地面散件</x:v>
      </x:c>
    </x:row>
    <x:row r="33" ht="19" customHeight="1">
      <x:c r="A33" s="19" t="str">
        <x:v>叠加数量</x:v>
      </x:c>
      <x:c r="B33" s="19" t="str">
        <x:v>EL-MON-COURT-007</x:v>
      </x:c>
      <x:c r="C33" s="19" t="str">
        <x:v>失冠徽记</x:v>
      </x:c>
      <x:c r="D33" s="19" t="str">
        <x:v>1</x:v>
      </x:c>
      <x:c r="E33" s="19" t="str">
        <x:v>3</x:v>
      </x:c>
      <x:c r="F33" s="19" t="str">
        <x:v>长期消耗供给；提高每次叠加量，避免把所有候选改为高频地面散件</x:v>
      </x:c>
    </x:row>
    <x:row r="34" ht="19" customHeight="1">
      <x:c r="A34" s="19" t="str">
        <x:v>叠加数量</x:v>
      </x:c>
      <x:c r="B34" s="19" t="str">
        <x:v>EL-MON-CLIFF-011</x:v>
      </x:c>
      <x:c r="C34" s="19" t="str">
        <x:v>执刑官残魂</x:v>
      </x:c>
      <x:c r="D34" s="19" t="str">
        <x:v>1</x:v>
      </x:c>
      <x:c r="E34" s="19" t="str">
        <x:v>2</x:v>
      </x:c>
      <x:c r="F34" s="19" t="str">
        <x:v>长期消耗供给；提高每次叠加量，避免把所有候选改为高频地面散件</x:v>
      </x:c>
    </x:row>
    <x:row r="35" ht="19" customHeight="1">
      <x:c r="A35" s="19" t="str">
        <x:v>叠加数量</x:v>
      </x:c>
      <x:c r="B35" s="19" t="str">
        <x:v>EL-MON-COURT-010</x:v>
      </x:c>
      <x:c r="C35" s="19" t="str">
        <x:v>沉默祷文</x:v>
      </x:c>
      <x:c r="D35" s="19" t="str">
        <x:v>1</x:v>
      </x:c>
      <x:c r="E35" s="19" t="str">
        <x:v>3</x:v>
      </x:c>
      <x:c r="F35" s="19" t="str">
        <x:v>长期消耗供给；提高每次叠加量，避免把所有候选改为高频地面散件</x:v>
      </x:c>
    </x:row>
    <x:row r="36" ht="19" customHeight="1">
      <x:c r="A36" s="19" t="str">
        <x:v>叠加数量</x:v>
      </x:c>
      <x:c r="B36" s="19" t="str">
        <x:v>EL-MON-COURT-012</x:v>
      </x:c>
      <x:c r="C36" s="19" t="str">
        <x:v>深潮祭冠</x:v>
      </x:c>
      <x:c r="D36" s="19" t="str">
        <x:v>1</x:v>
      </x:c>
      <x:c r="E36" s="19" t="str">
        <x:v>3</x:v>
      </x:c>
      <x:c r="F36" s="19" t="str">
        <x:v>长期消耗供给；提高每次叠加量，避免把所有候选改为高频地面散件</x:v>
      </x:c>
    </x:row>
    <x:row r="37" ht="19" customHeight="1">
      <x:c r="A37" s="19" t="str">
        <x:v>叠加数量</x:v>
      </x:c>
      <x:c r="B37" s="19" t="str">
        <x:v>EL-MON-SEA-010</x:v>
      </x:c>
      <x:c r="C37" s="19" t="str">
        <x:v>漂流大陆印记</x:v>
      </x:c>
      <x:c r="D37" s="19" t="str">
        <x:v>1</x:v>
      </x:c>
      <x:c r="E37" s="19" t="str">
        <x:v>3</x:v>
      </x:c>
      <x:c r="F37" s="19" t="str">
        <x:v>长期消耗供给；提高每次叠加量，避免把所有候选改为高频地面散件</x:v>
      </x:c>
    </x:row>
    <x:row r="38" ht="19" customHeight="1">
      <x:c r="A38" s="19" t="str">
        <x:v>叠加数量</x:v>
      </x:c>
      <x:c r="B38" s="19" t="str">
        <x:v>EL-MON-SEA-011</x:v>
      </x:c>
      <x:c r="C38" s="19" t="str">
        <x:v>漂流大陆印记</x:v>
      </x:c>
      <x:c r="D38" s="19" t="str">
        <x:v>1</x:v>
      </x:c>
      <x:c r="E38" s="19" t="str">
        <x:v>3</x:v>
      </x:c>
      <x:c r="F38" s="19" t="str">
        <x:v>长期消耗供给；提高每次叠加量，避免把所有候选改为高频地面散件</x:v>
      </x:c>
    </x:row>
    <x:row r="39" ht="19" customHeight="1">
      <x:c r="A39" s="19" t="str">
        <x:v>叠加数量</x:v>
      </x:c>
      <x:c r="B39" s="19" t="str">
        <x:v>EL-MON-CLIFF-011</x:v>
      </x:c>
      <x:c r="C39" s="19" t="str">
        <x:v>漂流大陆印记</x:v>
      </x:c>
      <x:c r="D39" s="19" t="str">
        <x:v>1</x:v>
      </x:c>
      <x:c r="E39" s="19" t="str">
        <x:v>3</x:v>
      </x:c>
      <x:c r="F39" s="19" t="str">
        <x:v>长期消耗供给；提高每次叠加量，避免把所有候选改为高频地面散件</x:v>
      </x:c>
    </x:row>
    <x:row r="40" ht="19" customHeight="1">
      <x:c r="A40" s="19" t="str">
        <x:v>叠加数量</x:v>
      </x:c>
      <x:c r="B40" s="19" t="str">
        <x:v>EL-MON-CLIFF-012</x:v>
      </x:c>
      <x:c r="C40" s="19" t="str">
        <x:v>漂流大陆印记</x:v>
      </x:c>
      <x:c r="D40" s="19" t="str">
        <x:v>1</x:v>
      </x:c>
      <x:c r="E40" s="19" t="str">
        <x:v>3</x:v>
      </x:c>
      <x:c r="F40" s="19" t="str">
        <x:v>长期消耗供给；提高每次叠加量，避免把所有候选改为高频地面散件</x:v>
      </x:c>
    </x:row>
    <x:row r="41" ht="19" customHeight="1">
      <x:c r="A41" s="19" t="str">
        <x:v>叠加数量</x:v>
      </x:c>
      <x:c r="B41" s="19" t="str">
        <x:v>EL-MON-COURT-011</x:v>
      </x:c>
      <x:c r="C41" s="19" t="str">
        <x:v>漂流大陆印记</x:v>
      </x:c>
      <x:c r="D41" s="19" t="str">
        <x:v>1</x:v>
      </x:c>
      <x:c r="E41" s="19" t="str">
        <x:v>3</x:v>
      </x:c>
      <x:c r="F41" s="19" t="str">
        <x:v>长期消耗供给；提高每次叠加量，避免把所有候选改为高频地面散件</x:v>
      </x:c>
    </x:row>
    <x:row r="42" ht="19" customHeight="1">
      <x:c r="A42" s="19" t="str">
        <x:v>叠加数量</x:v>
      </x:c>
      <x:c r="B42" s="19" t="str">
        <x:v>EL-MON-COURT-012</x:v>
      </x:c>
      <x:c r="C42" s="19" t="str">
        <x:v>漂流大陆印记</x:v>
      </x:c>
      <x:c r="D42" s="19" t="str">
        <x:v>1</x:v>
      </x:c>
      <x:c r="E42" s="19" t="str">
        <x:v>3</x:v>
      </x:c>
      <x:c r="F42" s="19" t="str">
        <x:v>长期消耗供给；提高每次叠加量，避免把所有候选改为高频地面散件</x:v>
      </x:c>
    </x:row>
    <x:row r="43" ht="19" customHeight="1">
      <x:c r="A43" s="19" t="str">
        <x:v>叠加数量</x:v>
      </x:c>
      <x:c r="B43" s="19" t="str">
        <x:v>EL-MON-SEA-010</x:v>
      </x:c>
      <x:c r="C43" s="19" t="str">
        <x:v>漂流见证·潮</x:v>
      </x:c>
      <x:c r="D43" s="19" t="str">
        <x:v>1</x:v>
      </x:c>
      <x:c r="E43" s="19" t="str">
        <x:v>5</x:v>
      </x:c>
      <x:c r="F43" s="19" t="str">
        <x:v>长期消耗供给；提高每次叠加量，避免把所有候选改为高频地面散件</x:v>
      </x:c>
    </x:row>
    <x:row r="44" ht="19" customHeight="1">
      <x:c r="A44" s="19" t="str">
        <x:v>叠加数量</x:v>
      </x:c>
      <x:c r="B44" s="19" t="str">
        <x:v>EL-MON-SEA-011</x:v>
      </x:c>
      <x:c r="C44" s="19" t="str">
        <x:v>漂流见证·潮</x:v>
      </x:c>
      <x:c r="D44" s="19" t="str">
        <x:v>1</x:v>
      </x:c>
      <x:c r="E44" s="19" t="str">
        <x:v>5</x:v>
      </x:c>
      <x:c r="F44" s="19" t="str">
        <x:v>长期消耗供给；提高每次叠加量，避免把所有候选改为高频地面散件</x:v>
      </x:c>
    </x:row>
    <x:row r="45" ht="19" customHeight="1">
      <x:c r="A45" s="19" t="str">
        <x:v>叠加数量</x:v>
      </x:c>
      <x:c r="B45" s="19" t="str">
        <x:v>EL-MON-CLIFF-011</x:v>
      </x:c>
      <x:c r="C45" s="19" t="str">
        <x:v>漂流见证·雷</x:v>
      </x:c>
      <x:c r="D45" s="19" t="str">
        <x:v>1</x:v>
      </x:c>
      <x:c r="E45" s="19" t="str">
        <x:v>5</x:v>
      </x:c>
      <x:c r="F45" s="19" t="str">
        <x:v>长期消耗供给；提高每次叠加量，避免把所有候选改为高频地面散件</x:v>
      </x:c>
    </x:row>
    <x:row r="46" ht="19" customHeight="1">
      <x:c r="A46" s="19" t="str">
        <x:v>叠加数量</x:v>
      </x:c>
      <x:c r="B46" s="19" t="str">
        <x:v>EL-MON-CLIFF-012</x:v>
      </x:c>
      <x:c r="C46" s="19" t="str">
        <x:v>漂流见证·雷</x:v>
      </x:c>
      <x:c r="D46" s="19" t="str">
        <x:v>1</x:v>
      </x:c>
      <x:c r="E46" s="19" t="str">
        <x:v>5</x:v>
      </x:c>
      <x:c r="F46" s="19" t="str">
        <x:v>长期消耗供给；提高每次叠加量，避免把所有候选改为高频地面散件</x:v>
      </x:c>
    </x:row>
    <x:row r="47" ht="19" customHeight="1">
      <x:c r="A47" s="19" t="str">
        <x:v>叠加数量</x:v>
      </x:c>
      <x:c r="B47" s="19" t="str">
        <x:v>EL-MON-SEA-010</x:v>
      </x:c>
      <x:c r="C47" s="19" t="str">
        <x:v>船长残魂</x:v>
      </x:c>
      <x:c r="D47" s="19" t="str">
        <x:v>1</x:v>
      </x:c>
      <x:c r="E47" s="19" t="str">
        <x:v>2</x:v>
      </x:c>
      <x:c r="F47" s="19" t="str">
        <x:v>长期消耗供给；提高每次叠加量，避免把所有候选改为高频地面散件</x:v>
      </x:c>
    </x:row>
    <x:row r="48" ht="19" customHeight="1">
      <x:c r="A48" s="19" t="str">
        <x:v>叠加数量</x:v>
      </x:c>
      <x:c r="B48" s="19" t="str">
        <x:v>EL-MON-LIM-CASTLE-011</x:v>
      </x:c>
      <x:c r="C48" s="19" t="str">
        <x:v>兽将脊骨</x:v>
      </x:c>
      <x:c r="D48" s="19" t="str">
        <x:v>1</x:v>
      </x:c>
      <x:c r="E48" s="19" t="str">
        <x:v>4</x:v>
      </x:c>
      <x:c r="F48" s="19" t="str">
        <x:v>长期消耗供给；提高每次叠加量，避免把所有候选改为高频地面散件</x:v>
      </x:c>
    </x:row>
    <x:row r="49" ht="19" customHeight="1">
      <x:c r="A49" s="19" t="str">
        <x:v>叠加数量</x:v>
      </x:c>
      <x:c r="B49" s="19" t="str">
        <x:v>EL-MON-LIM-CASTLE-007</x:v>
      </x:c>
      <x:c r="C49" s="19" t="str">
        <x:v>失乡统帅徽</x:v>
      </x:c>
      <x:c r="D49" s="19" t="str">
        <x:v>1</x:v>
      </x:c>
      <x:c r="E49" s="19" t="str">
        <x:v>3</x:v>
      </x:c>
      <x:c r="F49" s="19" t="str">
        <x:v>长期消耗供给；提高每次叠加量，避免把所有候选改为高频地面散件</x:v>
      </x:c>
    </x:row>
    <x:row r="50" ht="19" customHeight="1">
      <x:c r="A50" s="19" t="str">
        <x:v>叠加数量</x:v>
      </x:c>
      <x:c r="B50" s="19" t="str">
        <x:v>EL-MON-LIM-CASTLE-008</x:v>
      </x:c>
      <x:c r="C50" s="19" t="str">
        <x:v>接肢兽心</x:v>
      </x:c>
      <x:c r="D50" s="19" t="str">
        <x:v>1</x:v>
      </x:c>
      <x:c r="E50" s="19" t="str">
        <x:v>3</x:v>
      </x:c>
      <x:c r="F50" s="19" t="str">
        <x:v>长期消耗供给；提高每次叠加量，避免把所有候选改为高频地面散件</x:v>
      </x:c>
    </x:row>
    <x:row r="51" ht="19" customHeight="1">
      <x:c r="A51" s="19" t="str">
        <x:v>叠加数量</x:v>
      </x:c>
      <x:c r="B51" s="19" t="str">
        <x:v>EL-MON-LIM-GRAVE-011</x:v>
      </x:c>
      <x:c r="C51" s="19" t="str">
        <x:v>接肢王印</x:v>
      </x:c>
      <x:c r="D51" s="19" t="str">
        <x:v>1</x:v>
      </x:c>
      <x:c r="E51" s="19" t="str">
        <x:v>2</x:v>
      </x:c>
      <x:c r="F51" s="19" t="str">
        <x:v>长期消耗供给；提高每次叠加量，避免把所有候选改为高频地面散件</x:v>
      </x:c>
    </x:row>
    <x:row r="52" ht="19" customHeight="1">
      <x:c r="A52" s="19" t="str">
        <x:v>叠加数量</x:v>
      </x:c>
      <x:c r="B52" s="19" t="str">
        <x:v>EL-MON-LIM-GRAVE-012</x:v>
      </x:c>
      <x:c r="C52" s="19" t="str">
        <x:v>接肢王印</x:v>
      </x:c>
      <x:c r="D52" s="19" t="str">
        <x:v>1</x:v>
      </x:c>
      <x:c r="E52" s="19" t="str">
        <x:v>2</x:v>
      </x:c>
      <x:c r="F52" s="19" t="str">
        <x:v>长期消耗供给；提高每次叠加量，避免把所有候选改为高频地面散件</x:v>
      </x:c>
    </x:row>
    <x:row r="53" ht="19" customHeight="1">
      <x:c r="A53" s="19" t="str">
        <x:v>叠加数量</x:v>
      </x:c>
      <x:c r="B53" s="19" t="str">
        <x:v>EL-MON-LIM-GATE-011</x:v>
      </x:c>
      <x:c r="C53" s="19" t="str">
        <x:v>接肢王印</x:v>
      </x:c>
      <x:c r="D53" s="19" t="str">
        <x:v>1</x:v>
      </x:c>
      <x:c r="E53" s="19" t="str">
        <x:v>2</x:v>
      </x:c>
      <x:c r="F53" s="19" t="str">
        <x:v>长期消耗供给；提高每次叠加量，避免把所有候选改为高频地面散件</x:v>
      </x:c>
    </x:row>
    <x:row r="54" ht="19" customHeight="1">
      <x:c r="A54" s="19" t="str">
        <x:v>叠加数量</x:v>
      </x:c>
      <x:c r="B54" s="19" t="str">
        <x:v>EL-MON-LIM-GATE-012</x:v>
      </x:c>
      <x:c r="C54" s="19" t="str">
        <x:v>接肢王印</x:v>
      </x:c>
      <x:c r="D54" s="19" t="str">
        <x:v>1</x:v>
      </x:c>
      <x:c r="E54" s="19" t="str">
        <x:v>2</x:v>
      </x:c>
      <x:c r="F54" s="19" t="str">
        <x:v>长期消耗供给；提高每次叠加量，避免把所有候选改为高频地面散件</x:v>
      </x:c>
    </x:row>
    <x:row r="55" ht="19" customHeight="1">
      <x:c r="A55" s="19" t="str">
        <x:v>叠加数量</x:v>
      </x:c>
      <x:c r="B55" s="19" t="str">
        <x:v>EL-MON-LIM-MIST-011</x:v>
      </x:c>
      <x:c r="C55" s="19" t="str">
        <x:v>接肢王印</x:v>
      </x:c>
      <x:c r="D55" s="19" t="str">
        <x:v>1</x:v>
      </x:c>
      <x:c r="E55" s="19" t="str">
        <x:v>2</x:v>
      </x:c>
      <x:c r="F55" s="19" t="str">
        <x:v>长期消耗供给；提高每次叠加量，避免把所有候选改为高频地面散件</x:v>
      </x:c>
    </x:row>
    <x:row r="56" ht="19" customHeight="1">
      <x:c r="A56" s="19" t="str">
        <x:v>叠加数量</x:v>
      </x:c>
      <x:c r="B56" s="19" t="str">
        <x:v>EL-MON-LIM-MIST-012</x:v>
      </x:c>
      <x:c r="C56" s="19" t="str">
        <x:v>接肢王印</x:v>
      </x:c>
      <x:c r="D56" s="19" t="str">
        <x:v>1</x:v>
      </x:c>
      <x:c r="E56" s="19" t="str">
        <x:v>2</x:v>
      </x:c>
      <x:c r="F56" s="19" t="str">
        <x:v>长期消耗供给；提高每次叠加量，避免把所有候选改为高频地面散件</x:v>
      </x:c>
    </x:row>
    <x:row r="57" ht="19" customHeight="1">
      <x:c r="A57" s="19" t="str">
        <x:v>叠加数量</x:v>
      </x:c>
      <x:c r="B57" s="19" t="str">
        <x:v>EL-MON-LIM-STORM-011</x:v>
      </x:c>
      <x:c r="C57" s="19" t="str">
        <x:v>接肢王印</x:v>
      </x:c>
      <x:c r="D57" s="19" t="str">
        <x:v>1</x:v>
      </x:c>
      <x:c r="E57" s="19" t="str">
        <x:v>2</x:v>
      </x:c>
      <x:c r="F57" s="19" t="str">
        <x:v>长期消耗供给；提高每次叠加量，避免把所有候选改为高频地面散件</x:v>
      </x:c>
    </x:row>
    <x:row r="58" ht="19" customHeight="1">
      <x:c r="A58" s="19" t="str">
        <x:v>叠加数量</x:v>
      </x:c>
      <x:c r="B58" s="19" t="str">
        <x:v>EL-MON-LIM-STORM-012</x:v>
      </x:c>
      <x:c r="C58" s="19" t="str">
        <x:v>接肢王印</x:v>
      </x:c>
      <x:c r="D58" s="19" t="str">
        <x:v>1</x:v>
      </x:c>
      <x:c r="E58" s="19" t="str">
        <x:v>2</x:v>
      </x:c>
      <x:c r="F58" s="19" t="str">
        <x:v>长期消耗供给；提高每次叠加量，避免把所有候选改为高频地面散件</x:v>
      </x:c>
    </x:row>
    <x:row r="59" ht="19" customHeight="1">
      <x:c r="A59" s="19" t="str">
        <x:v>叠加数量</x:v>
      </x:c>
      <x:c r="B59" s="19" t="str">
        <x:v>EL-MON-LIM-CASTLE-011</x:v>
      </x:c>
      <x:c r="C59" s="19" t="str">
        <x:v>接肢王印</x:v>
      </x:c>
      <x:c r="D59" s="19" t="str">
        <x:v>1</x:v>
      </x:c>
      <x:c r="E59" s="19" t="str">
        <x:v>2</x:v>
      </x:c>
      <x:c r="F59" s="19" t="str">
        <x:v>长期消耗供给；提高每次叠加量，避免把所有候选改为高频地面散件</x:v>
      </x:c>
    </x:row>
    <x:row r="60" ht="19" customHeight="1">
      <x:c r="A60" s="19" t="str">
        <x:v>叠加数量</x:v>
      </x:c>
      <x:c r="B60" s="19" t="str">
        <x:v>EL-MON-LIM-CASTLE-012</x:v>
      </x:c>
      <x:c r="C60" s="19" t="str">
        <x:v>接肢王印</x:v>
      </x:c>
      <x:c r="D60" s="19" t="str">
        <x:v>1</x:v>
      </x:c>
      <x:c r="E60" s="19" t="str">
        <x:v>2</x:v>
      </x:c>
      <x:c r="F60" s="19" t="str">
        <x:v>长期消耗供给；提高每次叠加量，避免把所有候选改为高频地面散件</x:v>
      </x:c>
    </x:row>
    <x:row r="61" ht="19" customHeight="1">
      <x:c r="A61" s="19" t="str">
        <x:v>叠加数量</x:v>
      </x:c>
      <x:c r="B61" s="19" t="str">
        <x:v>EL-MON-LIM-CASTLE-012</x:v>
      </x:c>
      <x:c r="C61" s="19" t="str">
        <x:v>王城军印</x:v>
      </x:c>
      <x:c r="D61" s="19" t="str">
        <x:v>1</x:v>
      </x:c>
      <x:c r="E61" s="19" t="str">
        <x:v>4</x:v>
      </x:c>
      <x:c r="F61" s="19" t="str">
        <x:v>长期消耗供给；提高每次叠加量，避免把所有候选改为高频地面散件</x:v>
      </x:c>
    </x:row>
    <x:row r="62" ht="19" customHeight="1">
      <x:c r="A62" s="19" t="str">
        <x:v>叠加数量</x:v>
      </x:c>
      <x:c r="B62" s="19" t="str">
        <x:v>EL-MON-LIM-GRAVE-001</x:v>
      </x:c>
      <x:c r="C62" s="19" t="str">
        <x:v>野兽骨片</x:v>
      </x:c>
      <x:c r="D62" s="19" t="str">
        <x:v>1</x:v>
      </x:c>
      <x:c r="E62" s="19" t="str">
        <x:v>2</x:v>
      </x:c>
      <x:c r="F62" s="19" t="str">
        <x:v>长期消耗供给；提高每次叠加量，避免把所有候选改为高频地面散件</x:v>
      </x:c>
    </x:row>
    <x:row r="63" ht="19" customHeight="1">
      <x:c r="A63" s="19" t="str">
        <x:v>叠加数量</x:v>
      </x:c>
      <x:c r="B63" s="19" t="str">
        <x:v>EL-MON-LIM-GRAVE-002</x:v>
      </x:c>
      <x:c r="C63" s="19" t="str">
        <x:v>野兽骨片</x:v>
      </x:c>
      <x:c r="D63" s="19" t="str">
        <x:v>1</x:v>
      </x:c>
      <x:c r="E63" s="19" t="str">
        <x:v>2</x:v>
      </x:c>
      <x:c r="F63" s="19" t="str">
        <x:v>长期消耗供给；提高每次叠加量，避免把所有候选改为高频地面散件</x:v>
      </x:c>
    </x:row>
    <x:row r="64" ht="19" customHeight="1">
      <x:c r="A64" s="19" t="str">
        <x:v>叠加数量</x:v>
      </x:c>
      <x:c r="B64" s="19" t="str">
        <x:v>EL-MON-LIM-GRAVE-003</x:v>
      </x:c>
      <x:c r="C64" s="19" t="str">
        <x:v>野兽骨片</x:v>
      </x:c>
      <x:c r="D64" s="19" t="str">
        <x:v>1</x:v>
      </x:c>
      <x:c r="E64" s="19" t="str">
        <x:v>2</x:v>
      </x:c>
      <x:c r="F64" s="19" t="str">
        <x:v>长期消耗供给；提高每次叠加量，避免把所有候选改为高频地面散件</x:v>
      </x:c>
    </x:row>
    <x:row r="65" ht="19" customHeight="1">
      <x:c r="A65" s="19" t="str">
        <x:v>叠加数量</x:v>
      </x:c>
      <x:c r="B65" s="19" t="str">
        <x:v>EL-MON-LIM-GRAVE-004</x:v>
      </x:c>
      <x:c r="C65" s="19" t="str">
        <x:v>野兽骨片</x:v>
      </x:c>
      <x:c r="D65" s="19" t="str">
        <x:v>1</x:v>
      </x:c>
      <x:c r="E65" s="19" t="str">
        <x:v>2</x:v>
      </x:c>
      <x:c r="F65" s="19" t="str">
        <x:v>长期消耗供给；提高每次叠加量，避免把所有候选改为高频地面散件</x:v>
      </x:c>
    </x:row>
    <x:row r="66" ht="19" customHeight="1">
      <x:c r="A66" s="19" t="str">
        <x:v>叠加数量</x:v>
      </x:c>
      <x:c r="B66" s="19" t="str">
        <x:v>EL-MON-LIM-GRAVE-005</x:v>
      </x:c>
      <x:c r="C66" s="19" t="str">
        <x:v>野兽骨片</x:v>
      </x:c>
      <x:c r="D66" s="19" t="str">
        <x:v>1</x:v>
      </x:c>
      <x:c r="E66" s="19" t="str">
        <x:v>2</x:v>
      </x:c>
      <x:c r="F66" s="19" t="str">
        <x:v>长期消耗供给；提高每次叠加量，避免把所有候选改为高频地面散件</x:v>
      </x:c>
    </x:row>
    <x:row r="67" ht="19" customHeight="1">
      <x:c r="A67" s="19" t="str">
        <x:v>叠加数量</x:v>
      </x:c>
      <x:c r="B67" s="19" t="str">
        <x:v>EL-MON-LIM-GRAVE-006</x:v>
      </x:c>
      <x:c r="C67" s="19" t="str">
        <x:v>野兽骨片</x:v>
      </x:c>
      <x:c r="D67" s="19" t="str">
        <x:v>1</x:v>
      </x:c>
      <x:c r="E67" s="19" t="str">
        <x:v>2</x:v>
      </x:c>
      <x:c r="F67" s="19" t="str">
        <x:v>长期消耗供给；提高每次叠加量，避免把所有候选改为高频地面散件</x:v>
      </x:c>
    </x:row>
    <x:row r="68" ht="19" customHeight="1">
      <x:c r="A68" s="19" t="str">
        <x:v>叠加数量</x:v>
      </x:c>
      <x:c r="B68" s="19" t="str">
        <x:v>EL-MON-LIM-GRAVE-007</x:v>
      </x:c>
      <x:c r="C68" s="19" t="str">
        <x:v>野兽骨片</x:v>
      </x:c>
      <x:c r="D68" s="19" t="str">
        <x:v>1</x:v>
      </x:c>
      <x:c r="E68" s="19" t="str">
        <x:v>2</x:v>
      </x:c>
      <x:c r="F68" s="19" t="str">
        <x:v>长期消耗供给；提高每次叠加量，避免把所有候选改为高频地面散件</x:v>
      </x:c>
    </x:row>
    <x:row r="69" ht="19" customHeight="1">
      <x:c r="A69" s="19" t="str">
        <x:v>叠加数量</x:v>
      </x:c>
      <x:c r="B69" s="19" t="str">
        <x:v>EL-MON-LIM-GRAVE-008</x:v>
      </x:c>
      <x:c r="C69" s="19" t="str">
        <x:v>野兽骨片</x:v>
      </x:c>
      <x:c r="D69" s="19" t="str">
        <x:v>1</x:v>
      </x:c>
      <x:c r="E69" s="19" t="str">
        <x:v>2</x:v>
      </x:c>
      <x:c r="F69" s="19" t="str">
        <x:v>长期消耗供给；提高每次叠加量，避免把所有候选改为高频地面散件</x:v>
      </x:c>
    </x:row>
    <x:row r="70" ht="19" customHeight="1">
      <x:c r="A70" s="19" t="str">
        <x:v>叠加数量</x:v>
      </x:c>
      <x:c r="B70" s="19" t="str">
        <x:v>EL-MON-LIM-GRAVE-009</x:v>
      </x:c>
      <x:c r="C70" s="19" t="str">
        <x:v>野兽骨片</x:v>
      </x:c>
      <x:c r="D70" s="19" t="str">
        <x:v>1</x:v>
      </x:c>
      <x:c r="E70" s="19" t="str">
        <x:v>2</x:v>
      </x:c>
      <x:c r="F70" s="19" t="str">
        <x:v>长期消耗供给；提高每次叠加量，避免把所有候选改为高频地面散件</x:v>
      </x:c>
    </x:row>
    <x:row r="71" ht="19" customHeight="1">
      <x:c r="A71" s="19" t="str">
        <x:v>叠加数量</x:v>
      </x:c>
      <x:c r="B71" s="19" t="str">
        <x:v>EL-MON-LIM-GRAVE-010</x:v>
      </x:c>
      <x:c r="C71" s="19" t="str">
        <x:v>野兽骨片</x:v>
      </x:c>
      <x:c r="D71" s="19" t="str">
        <x:v>1</x:v>
      </x:c>
      <x:c r="E71" s="19" t="str">
        <x:v>2</x:v>
      </x:c>
      <x:c r="F71" s="19" t="str">
        <x:v>长期消耗供给；提高每次叠加量，避免把所有候选改为高频地面散件</x:v>
      </x:c>
    </x:row>
    <x:row r="72" ht="19" customHeight="1">
      <x:c r="A72" s="19" t="str">
        <x:v>叠加数量</x:v>
      </x:c>
      <x:c r="B72" s="19" t="str">
        <x:v>EL-MON-LIM-GRAVE-011</x:v>
      </x:c>
      <x:c r="C72" s="19" t="str">
        <x:v>野兽骨片</x:v>
      </x:c>
      <x:c r="D72" s="19" t="str">
        <x:v>1</x:v>
      </x:c>
      <x:c r="E72" s="19" t="str">
        <x:v>2</x:v>
      </x:c>
      <x:c r="F72" s="19" t="str">
        <x:v>长期消耗供给；提高每次叠加量，避免把所有候选改为高频地面散件</x:v>
      </x:c>
    </x:row>
    <x:row r="73" ht="19" customHeight="1">
      <x:c r="A73" s="19" t="str">
        <x:v>叠加数量</x:v>
      </x:c>
      <x:c r="B73" s="19" t="str">
        <x:v>EL-MON-LIM-GRAVE-012</x:v>
      </x:c>
      <x:c r="C73" s="19" t="str">
        <x:v>野兽骨片</x:v>
      </x:c>
      <x:c r="D73" s="19" t="str">
        <x:v>1</x:v>
      </x:c>
      <x:c r="E73" s="19" t="str">
        <x:v>2</x:v>
      </x:c>
      <x:c r="F73" s="19" t="str">
        <x:v>长期消耗供给；提高每次叠加量，避免把所有候选改为高频地面散件</x:v>
      </x:c>
    </x:row>
    <x:row r="74" ht="19" customHeight="1">
      <x:c r="A74" s="19" t="str">
        <x:v>叠加数量</x:v>
      </x:c>
      <x:c r="B74" s="19" t="str">
        <x:v>EL-MON-LIM-GATE-001</x:v>
      </x:c>
      <x:c r="C74" s="19" t="str">
        <x:v>野兽骨片</x:v>
      </x:c>
      <x:c r="D74" s="19" t="str">
        <x:v>1</x:v>
      </x:c>
      <x:c r="E74" s="19" t="str">
        <x:v>2</x:v>
      </x:c>
      <x:c r="F74" s="19" t="str">
        <x:v>长期消耗供给；提高每次叠加量，避免把所有候选改为高频地面散件</x:v>
      </x:c>
    </x:row>
    <x:row r="75" ht="19" customHeight="1">
      <x:c r="A75" s="19" t="str">
        <x:v>叠加数量</x:v>
      </x:c>
      <x:c r="B75" s="19" t="str">
        <x:v>EL-MON-LIM-GATE-002</x:v>
      </x:c>
      <x:c r="C75" s="19" t="str">
        <x:v>野兽骨片</x:v>
      </x:c>
      <x:c r="D75" s="19" t="str">
        <x:v>1</x:v>
      </x:c>
      <x:c r="E75" s="19" t="str">
        <x:v>2</x:v>
      </x:c>
      <x:c r="F75" s="19" t="str">
        <x:v>长期消耗供给；提高每次叠加量，避免把所有候选改为高频地面散件</x:v>
      </x:c>
    </x:row>
    <x:row r="76" ht="19" customHeight="1">
      <x:c r="A76" s="19" t="str">
        <x:v>叠加数量</x:v>
      </x:c>
      <x:c r="B76" s="19" t="str">
        <x:v>EL-MON-LIM-GATE-003</x:v>
      </x:c>
      <x:c r="C76" s="19" t="str">
        <x:v>野兽骨片</x:v>
      </x:c>
      <x:c r="D76" s="19" t="str">
        <x:v>1</x:v>
      </x:c>
      <x:c r="E76" s="19" t="str">
        <x:v>2</x:v>
      </x:c>
      <x:c r="F76" s="19" t="str">
        <x:v>长期消耗供给；提高每次叠加量，避免把所有候选改为高频地面散件</x:v>
      </x:c>
    </x:row>
    <x:row r="77" ht="19" customHeight="1">
      <x:c r="A77" s="19" t="str">
        <x:v>叠加数量</x:v>
      </x:c>
      <x:c r="B77" s="19" t="str">
        <x:v>EL-MON-LIM-GATE-004</x:v>
      </x:c>
      <x:c r="C77" s="19" t="str">
        <x:v>野兽骨片</x:v>
      </x:c>
      <x:c r="D77" s="19" t="str">
        <x:v>1</x:v>
      </x:c>
      <x:c r="E77" s="19" t="str">
        <x:v>2</x:v>
      </x:c>
      <x:c r="F77" s="19" t="str">
        <x:v>长期消耗供给；提高每次叠加量，避免把所有候选改为高频地面散件</x:v>
      </x:c>
    </x:row>
    <x:row r="78" ht="19" customHeight="1">
      <x:c r="A78" s="19" t="str">
        <x:v>叠加数量</x:v>
      </x:c>
      <x:c r="B78" s="19" t="str">
        <x:v>EL-MON-LIM-GATE-005</x:v>
      </x:c>
      <x:c r="C78" s="19" t="str">
        <x:v>野兽骨片</x:v>
      </x:c>
      <x:c r="D78" s="19" t="str">
        <x:v>1</x:v>
      </x:c>
      <x:c r="E78" s="19" t="str">
        <x:v>2</x:v>
      </x:c>
      <x:c r="F78" s="19" t="str">
        <x:v>长期消耗供给；提高每次叠加量，避免把所有候选改为高频地面散件</x:v>
      </x:c>
    </x:row>
    <x:row r="79" ht="19" customHeight="1">
      <x:c r="A79" s="19" t="str">
        <x:v>叠加数量</x:v>
      </x:c>
      <x:c r="B79" s="19" t="str">
        <x:v>EL-MON-LIM-GATE-006</x:v>
      </x:c>
      <x:c r="C79" s="19" t="str">
        <x:v>野兽骨片</x:v>
      </x:c>
      <x:c r="D79" s="19" t="str">
        <x:v>1</x:v>
      </x:c>
      <x:c r="E79" s="19" t="str">
        <x:v>2</x:v>
      </x:c>
      <x:c r="F79" s="19" t="str">
        <x:v>长期消耗供给；提高每次叠加量，避免把所有候选改为高频地面散件</x:v>
      </x:c>
    </x:row>
    <x:row r="80" ht="19" customHeight="1">
      <x:c r="A80" s="19" t="str">
        <x:v>叠加数量</x:v>
      </x:c>
      <x:c r="B80" s="19" t="str">
        <x:v>EL-MON-LIM-GATE-007</x:v>
      </x:c>
      <x:c r="C80" s="19" t="str">
        <x:v>野兽骨片</x:v>
      </x:c>
      <x:c r="D80" s="19" t="str">
        <x:v>1</x:v>
      </x:c>
      <x:c r="E80" s="19" t="str">
        <x:v>2</x:v>
      </x:c>
      <x:c r="F80" s="19" t="str">
        <x:v>长期消耗供给；提高每次叠加量，避免把所有候选改为高频地面散件</x:v>
      </x:c>
    </x:row>
    <x:row r="81" ht="19" customHeight="1">
      <x:c r="A81" s="19" t="str">
        <x:v>叠加数量</x:v>
      </x:c>
      <x:c r="B81" s="19" t="str">
        <x:v>EL-MON-LIM-GATE-008</x:v>
      </x:c>
      <x:c r="C81" s="19" t="str">
        <x:v>野兽骨片</x:v>
      </x:c>
      <x:c r="D81" s="19" t="str">
        <x:v>1</x:v>
      </x:c>
      <x:c r="E81" s="19" t="str">
        <x:v>2</x:v>
      </x:c>
      <x:c r="F81" s="19" t="str">
        <x:v>长期消耗供给；提高每次叠加量，避免把所有候选改为高频地面散件</x:v>
      </x:c>
    </x:row>
    <x:row r="82" ht="19" customHeight="1">
      <x:c r="A82" s="19" t="str">
        <x:v>叠加数量</x:v>
      </x:c>
      <x:c r="B82" s="19" t="str">
        <x:v>EL-MON-LIM-GATE-009</x:v>
      </x:c>
      <x:c r="C82" s="19" t="str">
        <x:v>野兽骨片</x:v>
      </x:c>
      <x:c r="D82" s="19" t="str">
        <x:v>1</x:v>
      </x:c>
      <x:c r="E82" s="19" t="str">
        <x:v>2</x:v>
      </x:c>
      <x:c r="F82" s="19" t="str">
        <x:v>长期消耗供给；提高每次叠加量，避免把所有候选改为高频地面散件</x:v>
      </x:c>
    </x:row>
    <x:row r="83" ht="19" customHeight="1">
      <x:c r="A83" s="19" t="str">
        <x:v>叠加数量</x:v>
      </x:c>
      <x:c r="B83" s="19" t="str">
        <x:v>EL-MON-LIM-GATE-010</x:v>
      </x:c>
      <x:c r="C83" s="19" t="str">
        <x:v>野兽骨片</x:v>
      </x:c>
      <x:c r="D83" s="19" t="str">
        <x:v>1</x:v>
      </x:c>
      <x:c r="E83" s="19" t="str">
        <x:v>2</x:v>
      </x:c>
      <x:c r="F83" s="19" t="str">
        <x:v>长期消耗供给；提高每次叠加量，避免把所有候选改为高频地面散件</x:v>
      </x:c>
    </x:row>
    <x:row r="84" ht="19" customHeight="1">
      <x:c r="A84" s="19" t="str">
        <x:v>叠加数量</x:v>
      </x:c>
      <x:c r="B84" s="19" t="str">
        <x:v>EL-MON-LIM-GATE-011</x:v>
      </x:c>
      <x:c r="C84" s="19" t="str">
        <x:v>野兽骨片</x:v>
      </x:c>
      <x:c r="D84" s="19" t="str">
        <x:v>1</x:v>
      </x:c>
      <x:c r="E84" s="19" t="str">
        <x:v>2</x:v>
      </x:c>
      <x:c r="F84" s="19" t="str">
        <x:v>长期消耗供给；提高每次叠加量，避免把所有候选改为高频地面散件</x:v>
      </x:c>
    </x:row>
    <x:row r="85" ht="19" customHeight="1">
      <x:c r="A85" s="19" t="str">
        <x:v>叠加数量</x:v>
      </x:c>
      <x:c r="B85" s="19" t="str">
        <x:v>EL-MON-LIM-GATE-012</x:v>
      </x:c>
      <x:c r="C85" s="19" t="str">
        <x:v>野兽骨片</x:v>
      </x:c>
      <x:c r="D85" s="19" t="str">
        <x:v>1</x:v>
      </x:c>
      <x:c r="E85" s="19" t="str">
        <x:v>2</x:v>
      </x:c>
      <x:c r="F85" s="19" t="str">
        <x:v>长期消耗供给；提高每次叠加量，避免把所有候选改为高频地面散件</x:v>
      </x:c>
    </x:row>
    <x:row r="86" ht="19" customHeight="1">
      <x:c r="A86" s="19" t="str">
        <x:v>叠加数量</x:v>
      </x:c>
      <x:c r="B86" s="19" t="str">
        <x:v>EL-MON-LIM-MIST-001</x:v>
      </x:c>
      <x:c r="C86" s="19" t="str">
        <x:v>野兽骨片</x:v>
      </x:c>
      <x:c r="D86" s="19" t="str">
        <x:v>1</x:v>
      </x:c>
      <x:c r="E86" s="19" t="str">
        <x:v>2</x:v>
      </x:c>
      <x:c r="F86" s="19" t="str">
        <x:v>长期消耗供给；提高每次叠加量，避免把所有候选改为高频地面散件</x:v>
      </x:c>
    </x:row>
    <x:row r="87" ht="19" customHeight="1">
      <x:c r="A87" s="19" t="str">
        <x:v>叠加数量</x:v>
      </x:c>
      <x:c r="B87" s="19" t="str">
        <x:v>EL-MON-LIM-MIST-002</x:v>
      </x:c>
      <x:c r="C87" s="19" t="str">
        <x:v>野兽骨片</x:v>
      </x:c>
      <x:c r="D87" s="19" t="str">
        <x:v>1</x:v>
      </x:c>
      <x:c r="E87" s="19" t="str">
        <x:v>2</x:v>
      </x:c>
      <x:c r="F87" s="19" t="str">
        <x:v>长期消耗供给；提高每次叠加量，避免把所有候选改为高频地面散件</x:v>
      </x:c>
    </x:row>
    <x:row r="88" ht="19" customHeight="1">
      <x:c r="A88" s="19" t="str">
        <x:v>叠加数量</x:v>
      </x:c>
      <x:c r="B88" s="19" t="str">
        <x:v>EL-MON-LIM-MIST-003</x:v>
      </x:c>
      <x:c r="C88" s="19" t="str">
        <x:v>野兽骨片</x:v>
      </x:c>
      <x:c r="D88" s="19" t="str">
        <x:v>1</x:v>
      </x:c>
      <x:c r="E88" s="19" t="str">
        <x:v>2</x:v>
      </x:c>
      <x:c r="F88" s="19" t="str">
        <x:v>长期消耗供给；提高每次叠加量，避免把所有候选改为高频地面散件</x:v>
      </x:c>
    </x:row>
    <x:row r="89" ht="19" customHeight="1">
      <x:c r="A89" s="19" t="str">
        <x:v>叠加数量</x:v>
      </x:c>
      <x:c r="B89" s="19" t="str">
        <x:v>EL-MON-LIM-MIST-004</x:v>
      </x:c>
      <x:c r="C89" s="19" t="str">
        <x:v>野兽骨片</x:v>
      </x:c>
      <x:c r="D89" s="19" t="str">
        <x:v>1</x:v>
      </x:c>
      <x:c r="E89" s="19" t="str">
        <x:v>2</x:v>
      </x:c>
      <x:c r="F89" s="19" t="str">
        <x:v>长期消耗供给；提高每次叠加量，避免把所有候选改为高频地面散件</x:v>
      </x:c>
    </x:row>
    <x:row r="90" ht="19" customHeight="1">
      <x:c r="A90" s="19" t="str">
        <x:v>叠加数量</x:v>
      </x:c>
      <x:c r="B90" s="19" t="str">
        <x:v>EL-MON-LIM-MIST-005</x:v>
      </x:c>
      <x:c r="C90" s="19" t="str">
        <x:v>野兽骨片</x:v>
      </x:c>
      <x:c r="D90" s="19" t="str">
        <x:v>1</x:v>
      </x:c>
      <x:c r="E90" s="19" t="str">
        <x:v>2</x:v>
      </x:c>
      <x:c r="F90" s="19" t="str">
        <x:v>长期消耗供给；提高每次叠加量，避免把所有候选改为高频地面散件</x:v>
      </x:c>
    </x:row>
    <x:row r="91" ht="19" customHeight="1">
      <x:c r="A91" s="19" t="str">
        <x:v>叠加数量</x:v>
      </x:c>
      <x:c r="B91" s="19" t="str">
        <x:v>EL-MON-LIM-MIST-006</x:v>
      </x:c>
      <x:c r="C91" s="19" t="str">
        <x:v>野兽骨片</x:v>
      </x:c>
      <x:c r="D91" s="19" t="str">
        <x:v>1</x:v>
      </x:c>
      <x:c r="E91" s="19" t="str">
        <x:v>2</x:v>
      </x:c>
      <x:c r="F91" s="19" t="str">
        <x:v>长期消耗供给；提高每次叠加量，避免把所有候选改为高频地面散件</x:v>
      </x:c>
    </x:row>
    <x:row r="92" ht="19" customHeight="1">
      <x:c r="A92" s="19" t="str">
        <x:v>叠加数量</x:v>
      </x:c>
      <x:c r="B92" s="19" t="str">
        <x:v>EL-MON-LIM-MIST-007</x:v>
      </x:c>
      <x:c r="C92" s="19" t="str">
        <x:v>野兽骨片</x:v>
      </x:c>
      <x:c r="D92" s="19" t="str">
        <x:v>1</x:v>
      </x:c>
      <x:c r="E92" s="19" t="str">
        <x:v>2</x:v>
      </x:c>
      <x:c r="F92" s="19" t="str">
        <x:v>长期消耗供给；提高每次叠加量，避免把所有候选改为高频地面散件</x:v>
      </x:c>
    </x:row>
    <x:row r="93" ht="19" customHeight="1">
      <x:c r="A93" s="19" t="str">
        <x:v>叠加数量</x:v>
      </x:c>
      <x:c r="B93" s="19" t="str">
        <x:v>EL-MON-LIM-MIST-008</x:v>
      </x:c>
      <x:c r="C93" s="19" t="str">
        <x:v>野兽骨片</x:v>
      </x:c>
      <x:c r="D93" s="19" t="str">
        <x:v>1</x:v>
      </x:c>
      <x:c r="E93" s="19" t="str">
        <x:v>2</x:v>
      </x:c>
      <x:c r="F93" s="19" t="str">
        <x:v>长期消耗供给；提高每次叠加量，避免把所有候选改为高频地面散件</x:v>
      </x:c>
    </x:row>
    <x:row r="94" ht="19" customHeight="1">
      <x:c r="A94" s="19" t="str">
        <x:v>叠加数量</x:v>
      </x:c>
      <x:c r="B94" s="19" t="str">
        <x:v>EL-MON-LIM-MIST-009</x:v>
      </x:c>
      <x:c r="C94" s="19" t="str">
        <x:v>野兽骨片</x:v>
      </x:c>
      <x:c r="D94" s="19" t="str">
        <x:v>1</x:v>
      </x:c>
      <x:c r="E94" s="19" t="str">
        <x:v>2</x:v>
      </x:c>
      <x:c r="F94" s="19" t="str">
        <x:v>长期消耗供给；提高每次叠加量，避免把所有候选改为高频地面散件</x:v>
      </x:c>
    </x:row>
    <x:row r="95" ht="19" customHeight="1">
      <x:c r="A95" s="19" t="str">
        <x:v>叠加数量</x:v>
      </x:c>
      <x:c r="B95" s="19" t="str">
        <x:v>EL-MON-LIM-MIST-010</x:v>
      </x:c>
      <x:c r="C95" s="19" t="str">
        <x:v>野兽骨片</x:v>
      </x:c>
      <x:c r="D95" s="19" t="str">
        <x:v>1</x:v>
      </x:c>
      <x:c r="E95" s="19" t="str">
        <x:v>2</x:v>
      </x:c>
      <x:c r="F95" s="19" t="str">
        <x:v>长期消耗供给；提高每次叠加量，避免把所有候选改为高频地面散件</x:v>
      </x:c>
    </x:row>
    <x:row r="96" ht="19" customHeight="1">
      <x:c r="A96" s="19" t="str">
        <x:v>叠加数量</x:v>
      </x:c>
      <x:c r="B96" s="19" t="str">
        <x:v>EL-MON-LIM-MIST-011</x:v>
      </x:c>
      <x:c r="C96" s="19" t="str">
        <x:v>野兽骨片</x:v>
      </x:c>
      <x:c r="D96" s="19" t="str">
        <x:v>1</x:v>
      </x:c>
      <x:c r="E96" s="19" t="str">
        <x:v>2</x:v>
      </x:c>
      <x:c r="F96" s="19" t="str">
        <x:v>长期消耗供给；提高每次叠加量，避免把所有候选改为高频地面散件</x:v>
      </x:c>
    </x:row>
    <x:row r="97" ht="19" customHeight="1">
      <x:c r="A97" s="19" t="str">
        <x:v>叠加数量</x:v>
      </x:c>
      <x:c r="B97" s="19" t="str">
        <x:v>EL-MON-LIM-MIST-012</x:v>
      </x:c>
      <x:c r="C97" s="19" t="str">
        <x:v>野兽骨片</x:v>
      </x:c>
      <x:c r="D97" s="19" t="str">
        <x:v>1</x:v>
      </x:c>
      <x:c r="E97" s="19" t="str">
        <x:v>2</x:v>
      </x:c>
      <x:c r="F97" s="19" t="str">
        <x:v>长期消耗供给；提高每次叠加量，避免把所有候选改为高频地面散件</x:v>
      </x:c>
    </x:row>
    <x:row r="98" ht="19" customHeight="1">
      <x:c r="A98" s="19" t="str">
        <x:v>叠加数量</x:v>
      </x:c>
      <x:c r="B98" s="19" t="str">
        <x:v>EL-MON-LIM-STORM-001</x:v>
      </x:c>
      <x:c r="C98" s="19" t="str">
        <x:v>野兽骨片</x:v>
      </x:c>
      <x:c r="D98" s="19" t="str">
        <x:v>1</x:v>
      </x:c>
      <x:c r="E98" s="19" t="str">
        <x:v>2</x:v>
      </x:c>
      <x:c r="F98" s="19" t="str">
        <x:v>长期消耗供给；提高每次叠加量，避免把所有候选改为高频地面散件</x:v>
      </x:c>
    </x:row>
    <x:row r="99" ht="19" customHeight="1">
      <x:c r="A99" s="19" t="str">
        <x:v>叠加数量</x:v>
      </x:c>
      <x:c r="B99" s="19" t="str">
        <x:v>EL-MON-LIM-STORM-002</x:v>
      </x:c>
      <x:c r="C99" s="19" t="str">
        <x:v>野兽骨片</x:v>
      </x:c>
      <x:c r="D99" s="19" t="str">
        <x:v>1</x:v>
      </x:c>
      <x:c r="E99" s="19" t="str">
        <x:v>2</x:v>
      </x:c>
      <x:c r="F99" s="19" t="str">
        <x:v>长期消耗供给；提高每次叠加量，避免把所有候选改为高频地面散件</x:v>
      </x:c>
    </x:row>
    <x:row r="100" ht="19" customHeight="1">
      <x:c r="A100" s="19" t="str">
        <x:v>叠加数量</x:v>
      </x:c>
      <x:c r="B100" s="19" t="str">
        <x:v>EL-MON-LIM-STORM-003</x:v>
      </x:c>
      <x:c r="C100" s="19" t="str">
        <x:v>野兽骨片</x:v>
      </x:c>
      <x:c r="D100" s="19" t="str">
        <x:v>1</x:v>
      </x:c>
      <x:c r="E100" s="19" t="str">
        <x:v>2</x:v>
      </x:c>
      <x:c r="F100" s="19" t="str">
        <x:v>长期消耗供给；提高每次叠加量，避免把所有候选改为高频地面散件</x:v>
      </x:c>
    </x:row>
    <x:row r="101" ht="19" customHeight="1">
      <x:c r="A101" s="19" t="str">
        <x:v>叠加数量</x:v>
      </x:c>
      <x:c r="B101" s="19" t="str">
        <x:v>EL-MON-LIM-STORM-004</x:v>
      </x:c>
      <x:c r="C101" s="19" t="str">
        <x:v>野兽骨片</x:v>
      </x:c>
      <x:c r="D101" s="19" t="str">
        <x:v>1</x:v>
      </x:c>
      <x:c r="E101" s="19" t="str">
        <x:v>2</x:v>
      </x:c>
      <x:c r="F101" s="19" t="str">
        <x:v>长期消耗供给；提高每次叠加量，避免把所有候选改为高频地面散件</x:v>
      </x:c>
    </x:row>
    <x:row r="102" ht="19" customHeight="1">
      <x:c r="A102" s="19" t="str">
        <x:v>叠加数量</x:v>
      </x:c>
      <x:c r="B102" s="19" t="str">
        <x:v>EL-MON-LIM-STORM-005</x:v>
      </x:c>
      <x:c r="C102" s="19" t="str">
        <x:v>野兽骨片</x:v>
      </x:c>
      <x:c r="D102" s="19" t="str">
        <x:v>1</x:v>
      </x:c>
      <x:c r="E102" s="19" t="str">
        <x:v>2</x:v>
      </x:c>
      <x:c r="F102" s="19" t="str">
        <x:v>长期消耗供给；提高每次叠加量，避免把所有候选改为高频地面散件</x:v>
      </x:c>
    </x:row>
    <x:row r="103" ht="19" customHeight="1">
      <x:c r="A103" s="19" t="str">
        <x:v>叠加数量</x:v>
      </x:c>
      <x:c r="B103" s="19" t="str">
        <x:v>EL-MON-LIM-STORM-006</x:v>
      </x:c>
      <x:c r="C103" s="19" t="str">
        <x:v>野兽骨片</x:v>
      </x:c>
      <x:c r="D103" s="19" t="str">
        <x:v>1</x:v>
      </x:c>
      <x:c r="E103" s="19" t="str">
        <x:v>2</x:v>
      </x:c>
      <x:c r="F103" s="19" t="str">
        <x:v>长期消耗供给；提高每次叠加量，避免把所有候选改为高频地面散件</x:v>
      </x:c>
    </x:row>
    <x:row r="104" ht="19" customHeight="1">
      <x:c r="A104" s="19" t="str">
        <x:v>叠加数量</x:v>
      </x:c>
      <x:c r="B104" s="19" t="str">
        <x:v>EL-MON-LIM-STORM-007</x:v>
      </x:c>
      <x:c r="C104" s="19" t="str">
        <x:v>野兽骨片</x:v>
      </x:c>
      <x:c r="D104" s="19" t="str">
        <x:v>1</x:v>
      </x:c>
      <x:c r="E104" s="19" t="str">
        <x:v>2</x:v>
      </x:c>
      <x:c r="F104" s="19" t="str">
        <x:v>长期消耗供给；提高每次叠加量，避免把所有候选改为高频地面散件</x:v>
      </x:c>
    </x:row>
    <x:row r="105" ht="19" customHeight="1">
      <x:c r="A105" s="19" t="str">
        <x:v>叠加数量</x:v>
      </x:c>
      <x:c r="B105" s="19" t="str">
        <x:v>EL-MON-LIM-STORM-008</x:v>
      </x:c>
      <x:c r="C105" s="19" t="str">
        <x:v>野兽骨片</x:v>
      </x:c>
      <x:c r="D105" s="19" t="str">
        <x:v>1</x:v>
      </x:c>
      <x:c r="E105" s="19" t="str">
        <x:v>2</x:v>
      </x:c>
      <x:c r="F105" s="19" t="str">
        <x:v>长期消耗供给；提高每次叠加量，避免把所有候选改为高频地面散件</x:v>
      </x:c>
    </x:row>
    <x:row r="106" ht="19" customHeight="1">
      <x:c r="A106" s="19" t="str">
        <x:v>叠加数量</x:v>
      </x:c>
      <x:c r="B106" s="19" t="str">
        <x:v>EL-MON-LIM-STORM-009</x:v>
      </x:c>
      <x:c r="C106" s="19" t="str">
        <x:v>野兽骨片</x:v>
      </x:c>
      <x:c r="D106" s="19" t="str">
        <x:v>1</x:v>
      </x:c>
      <x:c r="E106" s="19" t="str">
        <x:v>2</x:v>
      </x:c>
      <x:c r="F106" s="19" t="str">
        <x:v>长期消耗供给；提高每次叠加量，避免把所有候选改为高频地面散件</x:v>
      </x:c>
    </x:row>
    <x:row r="107" ht="19" customHeight="1">
      <x:c r="A107" s="19" t="str">
        <x:v>叠加数量</x:v>
      </x:c>
      <x:c r="B107" s="19" t="str">
        <x:v>EL-MON-LIM-STORM-010</x:v>
      </x:c>
      <x:c r="C107" s="19" t="str">
        <x:v>野兽骨片</x:v>
      </x:c>
      <x:c r="D107" s="19" t="str">
        <x:v>1</x:v>
      </x:c>
      <x:c r="E107" s="19" t="str">
        <x:v>2</x:v>
      </x:c>
      <x:c r="F107" s="19" t="str">
        <x:v>长期消耗供给；提高每次叠加量，避免把所有候选改为高频地面散件</x:v>
      </x:c>
    </x:row>
    <x:row r="108" ht="19" customHeight="1">
      <x:c r="A108" s="19" t="str">
        <x:v>叠加数量</x:v>
      </x:c>
      <x:c r="B108" s="19" t="str">
        <x:v>EL-MON-LIM-STORM-011</x:v>
      </x:c>
      <x:c r="C108" s="19" t="str">
        <x:v>野兽骨片</x:v>
      </x:c>
      <x:c r="D108" s="19" t="str">
        <x:v>1</x:v>
      </x:c>
      <x:c r="E108" s="19" t="str">
        <x:v>2</x:v>
      </x:c>
      <x:c r="F108" s="19" t="str">
        <x:v>长期消耗供给；提高每次叠加量，避免把所有候选改为高频地面散件</x:v>
      </x:c>
    </x:row>
    <x:row r="109" ht="19" customHeight="1">
      <x:c r="A109" s="19" t="str">
        <x:v>叠加数量</x:v>
      </x:c>
      <x:c r="B109" s="19" t="str">
        <x:v>EL-MON-LIM-STORM-012</x:v>
      </x:c>
      <x:c r="C109" s="19" t="str">
        <x:v>野兽骨片</x:v>
      </x:c>
      <x:c r="D109" s="19" t="str">
        <x:v>1</x:v>
      </x:c>
      <x:c r="E109" s="19" t="str">
        <x:v>2</x:v>
      </x:c>
      <x:c r="F109" s="19" t="str">
        <x:v>长期消耗供给；提高每次叠加量，避免把所有候选改为高频地面散件</x:v>
      </x:c>
    </x:row>
    <x:row r="110" ht="19" customHeight="1">
      <x:c r="A110" s="19" t="str">
        <x:v>叠加数量</x:v>
      </x:c>
      <x:c r="B110" s="19" t="str">
        <x:v>EL-MON-LIM-CASTLE-001</x:v>
      </x:c>
      <x:c r="C110" s="19" t="str">
        <x:v>野兽骨片</x:v>
      </x:c>
      <x:c r="D110" s="19" t="str">
        <x:v>1</x:v>
      </x:c>
      <x:c r="E110" s="19" t="str">
        <x:v>2</x:v>
      </x:c>
      <x:c r="F110" s="19" t="str">
        <x:v>长期消耗供给；提高每次叠加量，避免把所有候选改为高频地面散件</x:v>
      </x:c>
    </x:row>
    <x:row r="111" ht="19" customHeight="1">
      <x:c r="A111" s="19" t="str">
        <x:v>叠加数量</x:v>
      </x:c>
      <x:c r="B111" s="19" t="str">
        <x:v>EL-MON-LIM-CASTLE-002</x:v>
      </x:c>
      <x:c r="C111" s="19" t="str">
        <x:v>野兽骨片</x:v>
      </x:c>
      <x:c r="D111" s="19" t="str">
        <x:v>1</x:v>
      </x:c>
      <x:c r="E111" s="19" t="str">
        <x:v>2</x:v>
      </x:c>
      <x:c r="F111" s="19" t="str">
        <x:v>长期消耗供给；提高每次叠加量，避免把所有候选改为高频地面散件</x:v>
      </x:c>
    </x:row>
    <x:row r="112" ht="19" customHeight="1">
      <x:c r="A112" s="19" t="str">
        <x:v>叠加数量</x:v>
      </x:c>
      <x:c r="B112" s="19" t="str">
        <x:v>EL-MON-LIM-CASTLE-003</x:v>
      </x:c>
      <x:c r="C112" s="19" t="str">
        <x:v>野兽骨片</x:v>
      </x:c>
      <x:c r="D112" s="19" t="str">
        <x:v>1</x:v>
      </x:c>
      <x:c r="E112" s="19" t="str">
        <x:v>2</x:v>
      </x:c>
      <x:c r="F112" s="19" t="str">
        <x:v>长期消耗供给；提高每次叠加量，避免把所有候选改为高频地面散件</x:v>
      </x:c>
    </x:row>
    <x:row r="113" ht="19" customHeight="1">
      <x:c r="A113" s="19" t="str">
        <x:v>叠加数量</x:v>
      </x:c>
      <x:c r="B113" s="19" t="str">
        <x:v>EL-MON-LIM-CASTLE-004</x:v>
      </x:c>
      <x:c r="C113" s="19" t="str">
        <x:v>野兽骨片</x:v>
      </x:c>
      <x:c r="D113" s="19" t="str">
        <x:v>1</x:v>
      </x:c>
      <x:c r="E113" s="19" t="str">
        <x:v>2</x:v>
      </x:c>
      <x:c r="F113" s="19" t="str">
        <x:v>长期消耗供给；提高每次叠加量，避免把所有候选改为高频地面散件</x:v>
      </x:c>
    </x:row>
    <x:row r="114" ht="19" customHeight="1">
      <x:c r="A114" s="19" t="str">
        <x:v>叠加数量</x:v>
      </x:c>
      <x:c r="B114" s="19" t="str">
        <x:v>EL-MON-LIM-CASTLE-005</x:v>
      </x:c>
      <x:c r="C114" s="19" t="str">
        <x:v>野兽骨片</x:v>
      </x:c>
      <x:c r="D114" s="19" t="str">
        <x:v>1</x:v>
      </x:c>
      <x:c r="E114" s="19" t="str">
        <x:v>2</x:v>
      </x:c>
      <x:c r="F114" s="19" t="str">
        <x:v>长期消耗供给；提高每次叠加量，避免把所有候选改为高频地面散件</x:v>
      </x:c>
    </x:row>
    <x:row r="115" ht="19" customHeight="1">
      <x:c r="A115" s="19" t="str">
        <x:v>叠加数量</x:v>
      </x:c>
      <x:c r="B115" s="19" t="str">
        <x:v>EL-MON-LIM-CASTLE-006</x:v>
      </x:c>
      <x:c r="C115" s="19" t="str">
        <x:v>野兽骨片</x:v>
      </x:c>
      <x:c r="D115" s="19" t="str">
        <x:v>1</x:v>
      </x:c>
      <x:c r="E115" s="19" t="str">
        <x:v>2</x:v>
      </x:c>
      <x:c r="F115" s="19" t="str">
        <x:v>长期消耗供给；提高每次叠加量，避免把所有候选改为高频地面散件</x:v>
      </x:c>
    </x:row>
    <x:row r="116" ht="19" customHeight="1">
      <x:c r="A116" s="19" t="str">
        <x:v>叠加数量</x:v>
      </x:c>
      <x:c r="B116" s="19" t="str">
        <x:v>EL-MON-LIM-CASTLE-007</x:v>
      </x:c>
      <x:c r="C116" s="19" t="str">
        <x:v>野兽骨片</x:v>
      </x:c>
      <x:c r="D116" s="19" t="str">
        <x:v>1</x:v>
      </x:c>
      <x:c r="E116" s="19" t="str">
        <x:v>2</x:v>
      </x:c>
      <x:c r="F116" s="19" t="str">
        <x:v>长期消耗供给；提高每次叠加量，避免把所有候选改为高频地面散件</x:v>
      </x:c>
    </x:row>
    <x:row r="117" ht="19" customHeight="1">
      <x:c r="A117" s="19" t="str">
        <x:v>叠加数量</x:v>
      </x:c>
      <x:c r="B117" s="19" t="str">
        <x:v>EL-MON-LIM-CASTLE-008</x:v>
      </x:c>
      <x:c r="C117" s="19" t="str">
        <x:v>野兽骨片</x:v>
      </x:c>
      <x:c r="D117" s="19" t="str">
        <x:v>1</x:v>
      </x:c>
      <x:c r="E117" s="19" t="str">
        <x:v>2</x:v>
      </x:c>
      <x:c r="F117" s="19" t="str">
        <x:v>长期消耗供给；提高每次叠加量，避免把所有候选改为高频地面散件</x:v>
      </x:c>
    </x:row>
    <x:row r="118" ht="19" customHeight="1">
      <x:c r="A118" s="19" t="str">
        <x:v>叠加数量</x:v>
      </x:c>
      <x:c r="B118" s="19" t="str">
        <x:v>EL-MON-LIM-CASTLE-009</x:v>
      </x:c>
      <x:c r="C118" s="19" t="str">
        <x:v>野兽骨片</x:v>
      </x:c>
      <x:c r="D118" s="19" t="str">
        <x:v>1</x:v>
      </x:c>
      <x:c r="E118" s="19" t="str">
        <x:v>2</x:v>
      </x:c>
      <x:c r="F118" s="19" t="str">
        <x:v>长期消耗供给；提高每次叠加量，避免把所有候选改为高频地面散件</x:v>
      </x:c>
    </x:row>
    <x:row r="119" ht="19" customHeight="1">
      <x:c r="A119" s="19" t="str">
        <x:v>叠加数量</x:v>
      </x:c>
      <x:c r="B119" s="19" t="str">
        <x:v>EL-MON-LIM-CASTLE-010</x:v>
      </x:c>
      <x:c r="C119" s="19" t="str">
        <x:v>野兽骨片</x:v>
      </x:c>
      <x:c r="D119" s="19" t="str">
        <x:v>1</x:v>
      </x:c>
      <x:c r="E119" s="19" t="str">
        <x:v>2</x:v>
      </x:c>
      <x:c r="F119" s="19" t="str">
        <x:v>长期消耗供给；提高每次叠加量，避免把所有候选改为高频地面散件</x:v>
      </x:c>
    </x:row>
    <x:row r="120" ht="19" customHeight="1">
      <x:c r="A120" s="19" t="str">
        <x:v>叠加数量</x:v>
      </x:c>
      <x:c r="B120" s="19" t="str">
        <x:v>EL-MON-LIM-CASTLE-011</x:v>
      </x:c>
      <x:c r="C120" s="19" t="str">
        <x:v>野兽骨片</x:v>
      </x:c>
      <x:c r="D120" s="19" t="str">
        <x:v>1</x:v>
      </x:c>
      <x:c r="E120" s="19" t="str">
        <x:v>2</x:v>
      </x:c>
      <x:c r="F120" s="19" t="str">
        <x:v>长期消耗供给；提高每次叠加量，避免把所有候选改为高频地面散件</x:v>
      </x:c>
    </x:row>
    <x:row r="121" ht="19" customHeight="1">
      <x:c r="A121" s="19" t="str">
        <x:v>叠加数量</x:v>
      </x:c>
      <x:c r="B121" s="19" t="str">
        <x:v>EL-MON-LIM-CASTLE-012</x:v>
      </x:c>
      <x:c r="C121" s="19" t="str">
        <x:v>野兽骨片</x:v>
      </x:c>
      <x:c r="D121" s="19" t="str">
        <x:v>1</x:v>
      </x:c>
      <x:c r="E121" s="19" t="str">
        <x:v>2</x:v>
      </x:c>
      <x:c r="F121" s="19" t="str">
        <x:v>长期消耗供给；提高每次叠加量，避免把所有候选改为高频地面散件</x:v>
      </x:c>
    </x:row>
    <x:row r="122" ht="19" customHeight="1">
      <x:c r="A122" s="19" t="str">
        <x:v>叠加数量</x:v>
      </x:c>
      <x:c r="B122" s="19" t="str">
        <x:v>EL-MON-LIM-GRAVE-007</x:v>
      </x:c>
      <x:c r="C122" s="19" t="str">
        <x:v>黄金树芽</x:v>
      </x:c>
      <x:c r="D122" s="19" t="str">
        <x:v>1</x:v>
      </x:c>
      <x:c r="E122" s="19" t="str">
        <x:v>2</x:v>
      </x:c>
      <x:c r="F122" s="19" t="str">
        <x:v>长期消耗供给；提高每次叠加量，避免把所有候选改为高频地面散件</x:v>
      </x:c>
    </x:row>
    <x:row r="123" ht="19" customHeight="1">
      <x:c r="A123" s="19" t="str">
        <x:v>叠加数量</x:v>
      </x:c>
      <x:c r="B123" s="19" t="str">
        <x:v>EL-MON-LIM-GRAVE-008</x:v>
      </x:c>
      <x:c r="C123" s="19" t="str">
        <x:v>黄金树芽</x:v>
      </x:c>
      <x:c r="D123" s="19" t="str">
        <x:v>1</x:v>
      </x:c>
      <x:c r="E123" s="19" t="str">
        <x:v>2</x:v>
      </x:c>
      <x:c r="F123" s="19" t="str">
        <x:v>长期消耗供给；提高每次叠加量，避免把所有候选改为高频地面散件</x:v>
      </x:c>
    </x:row>
    <x:row r="124" ht="19" customHeight="1">
      <x:c r="A124" s="19" t="str">
        <x:v>叠加数量</x:v>
      </x:c>
      <x:c r="B124" s="19" t="str">
        <x:v>EL-MON-LIM-GRAVE-009</x:v>
      </x:c>
      <x:c r="C124" s="19" t="str">
        <x:v>黄金树芽</x:v>
      </x:c>
      <x:c r="D124" s="19" t="str">
        <x:v>1</x:v>
      </x:c>
      <x:c r="E124" s="19" t="str">
        <x:v>2</x:v>
      </x:c>
      <x:c r="F124" s="19" t="str">
        <x:v>长期消耗供给；提高每次叠加量，避免把所有候选改为高频地面散件</x:v>
      </x:c>
    </x:row>
    <x:row r="125" ht="19" customHeight="1">
      <x:c r="A125" s="19" t="str">
        <x:v>叠加数量</x:v>
      </x:c>
      <x:c r="B125" s="19" t="str">
        <x:v>EL-MON-LIM-GRAVE-010</x:v>
      </x:c>
      <x:c r="C125" s="19" t="str">
        <x:v>黄金树芽</x:v>
      </x:c>
      <x:c r="D125" s="19" t="str">
        <x:v>1</x:v>
      </x:c>
      <x:c r="E125" s="19" t="str">
        <x:v>2</x:v>
      </x:c>
      <x:c r="F125" s="19" t="str">
        <x:v>长期消耗供给；提高每次叠加量，避免把所有候选改为高频地面散件</x:v>
      </x:c>
    </x:row>
    <x:row r="126" ht="19" customHeight="1">
      <x:c r="A126" s="19" t="str">
        <x:v>叠加数量</x:v>
      </x:c>
      <x:c r="B126" s="19" t="str">
        <x:v>EL-MON-LIM-GRAVE-011</x:v>
      </x:c>
      <x:c r="C126" s="19" t="str">
        <x:v>黄金树芽</x:v>
      </x:c>
      <x:c r="D126" s="19" t="str">
        <x:v>1</x:v>
      </x:c>
      <x:c r="E126" s="19" t="str">
        <x:v>2</x:v>
      </x:c>
      <x:c r="F126" s="19" t="str">
        <x:v>长期消耗供给；提高每次叠加量，避免把所有候选改为高频地面散件</x:v>
      </x:c>
    </x:row>
    <x:row r="127" ht="19" customHeight="1">
      <x:c r="A127" s="19" t="str">
        <x:v>叠加数量</x:v>
      </x:c>
      <x:c r="B127" s="19" t="str">
        <x:v>EL-MON-LIM-GRAVE-012</x:v>
      </x:c>
      <x:c r="C127" s="19" t="str">
        <x:v>黄金树芽</x:v>
      </x:c>
      <x:c r="D127" s="19" t="str">
        <x:v>1</x:v>
      </x:c>
      <x:c r="E127" s="19" t="str">
        <x:v>2</x:v>
      </x:c>
      <x:c r="F127" s="19" t="str">
        <x:v>长期消耗供给；提高每次叠加量，避免把所有候选改为高频地面散件</x:v>
      </x:c>
    </x:row>
    <x:row r="128" ht="19" customHeight="1">
      <x:c r="A128" s="19" t="str">
        <x:v>叠加数量</x:v>
      </x:c>
      <x:c r="B128" s="19" t="str">
        <x:v>EL-MON-LIM-GATE-007</x:v>
      </x:c>
      <x:c r="C128" s="19" t="str">
        <x:v>黄金树芽</x:v>
      </x:c>
      <x:c r="D128" s="19" t="str">
        <x:v>1</x:v>
      </x:c>
      <x:c r="E128" s="19" t="str">
        <x:v>2</x:v>
      </x:c>
      <x:c r="F128" s="19" t="str">
        <x:v>长期消耗供给；提高每次叠加量，避免把所有候选改为高频地面散件</x:v>
      </x:c>
    </x:row>
    <x:row r="129" ht="19" customHeight="1">
      <x:c r="A129" s="19" t="str">
        <x:v>叠加数量</x:v>
      </x:c>
      <x:c r="B129" s="19" t="str">
        <x:v>EL-MON-LIM-GATE-008</x:v>
      </x:c>
      <x:c r="C129" s="19" t="str">
        <x:v>黄金树芽</x:v>
      </x:c>
      <x:c r="D129" s="19" t="str">
        <x:v>1</x:v>
      </x:c>
      <x:c r="E129" s="19" t="str">
        <x:v>2</x:v>
      </x:c>
      <x:c r="F129" s="19" t="str">
        <x:v>长期消耗供给；提高每次叠加量，避免把所有候选改为高频地面散件</x:v>
      </x:c>
    </x:row>
    <x:row r="130" ht="19" customHeight="1">
      <x:c r="A130" s="19" t="str">
        <x:v>叠加数量</x:v>
      </x:c>
      <x:c r="B130" s="19" t="str">
        <x:v>EL-MON-LIM-GATE-009</x:v>
      </x:c>
      <x:c r="C130" s="19" t="str">
        <x:v>黄金树芽</x:v>
      </x:c>
      <x:c r="D130" s="19" t="str">
        <x:v>1</x:v>
      </x:c>
      <x:c r="E130" s="19" t="str">
        <x:v>2</x:v>
      </x:c>
      <x:c r="F130" s="19" t="str">
        <x:v>长期消耗供给；提高每次叠加量，避免把所有候选改为高频地面散件</x:v>
      </x:c>
    </x:row>
    <x:row r="131" ht="19" customHeight="1">
      <x:c r="A131" s="19" t="str">
        <x:v>叠加数量</x:v>
      </x:c>
      <x:c r="B131" s="19" t="str">
        <x:v>EL-MON-LIM-GATE-010</x:v>
      </x:c>
      <x:c r="C131" s="19" t="str">
        <x:v>黄金树芽</x:v>
      </x:c>
      <x:c r="D131" s="19" t="str">
        <x:v>1</x:v>
      </x:c>
      <x:c r="E131" s="19" t="str">
        <x:v>2</x:v>
      </x:c>
      <x:c r="F131" s="19" t="str">
        <x:v>长期消耗供给；提高每次叠加量，避免把所有候选改为高频地面散件</x:v>
      </x:c>
    </x:row>
    <x:row r="132" ht="19" customHeight="1">
      <x:c r="A132" s="19" t="str">
        <x:v>叠加数量</x:v>
      </x:c>
      <x:c r="B132" s="19" t="str">
        <x:v>EL-MON-LIM-GATE-011</x:v>
      </x:c>
      <x:c r="C132" s="19" t="str">
        <x:v>黄金树芽</x:v>
      </x:c>
      <x:c r="D132" s="19" t="str">
        <x:v>1</x:v>
      </x:c>
      <x:c r="E132" s="19" t="str">
        <x:v>2</x:v>
      </x:c>
      <x:c r="F132" s="19" t="str">
        <x:v>长期消耗供给；提高每次叠加量，避免把所有候选改为高频地面散件</x:v>
      </x:c>
    </x:row>
    <x:row r="133" ht="19" customHeight="1">
      <x:c r="A133" s="19" t="str">
        <x:v>叠加数量</x:v>
      </x:c>
      <x:c r="B133" s="19" t="str">
        <x:v>EL-MON-LIM-GATE-012</x:v>
      </x:c>
      <x:c r="C133" s="19" t="str">
        <x:v>黄金树芽</x:v>
      </x:c>
      <x:c r="D133" s="19" t="str">
        <x:v>1</x:v>
      </x:c>
      <x:c r="E133" s="19" t="str">
        <x:v>2</x:v>
      </x:c>
      <x:c r="F133" s="19" t="str">
        <x:v>长期消耗供给；提高每次叠加量，避免把所有候选改为高频地面散件</x:v>
      </x:c>
    </x:row>
    <x:row r="134" ht="19" customHeight="1">
      <x:c r="A134" s="19" t="str">
        <x:v>叠加数量</x:v>
      </x:c>
      <x:c r="B134" s="19" t="str">
        <x:v>EL-MON-LIM-MIST-007</x:v>
      </x:c>
      <x:c r="C134" s="19" t="str">
        <x:v>黄金树芽</x:v>
      </x:c>
      <x:c r="D134" s="19" t="str">
        <x:v>1</x:v>
      </x:c>
      <x:c r="E134" s="19" t="str">
        <x:v>2</x:v>
      </x:c>
      <x:c r="F134" s="19" t="str">
        <x:v>长期消耗供给；提高每次叠加量，避免把所有候选改为高频地面散件</x:v>
      </x:c>
    </x:row>
    <x:row r="135" ht="19" customHeight="1">
      <x:c r="A135" s="19" t="str">
        <x:v>叠加数量</x:v>
      </x:c>
      <x:c r="B135" s="19" t="str">
        <x:v>EL-MON-LIM-MIST-008</x:v>
      </x:c>
      <x:c r="C135" s="19" t="str">
        <x:v>黄金树芽</x:v>
      </x:c>
      <x:c r="D135" s="19" t="str">
        <x:v>1</x:v>
      </x:c>
      <x:c r="E135" s="19" t="str">
        <x:v>2</x:v>
      </x:c>
      <x:c r="F135" s="19" t="str">
        <x:v>长期消耗供给；提高每次叠加量，避免把所有候选改为高频地面散件</x:v>
      </x:c>
    </x:row>
    <x:row r="136" ht="19" customHeight="1">
      <x:c r="A136" s="19" t="str">
        <x:v>叠加数量</x:v>
      </x:c>
      <x:c r="B136" s="19" t="str">
        <x:v>EL-MON-LIM-MIST-009</x:v>
      </x:c>
      <x:c r="C136" s="19" t="str">
        <x:v>黄金树芽</x:v>
      </x:c>
      <x:c r="D136" s="19" t="str">
        <x:v>1</x:v>
      </x:c>
      <x:c r="E136" s="19" t="str">
        <x:v>2</x:v>
      </x:c>
      <x:c r="F136" s="19" t="str">
        <x:v>长期消耗供给；提高每次叠加量，避免把所有候选改为高频地面散件</x:v>
      </x:c>
    </x:row>
    <x:row r="137" ht="19" customHeight="1">
      <x:c r="A137" s="19" t="str">
        <x:v>叠加数量</x:v>
      </x:c>
      <x:c r="B137" s="19" t="str">
        <x:v>EL-MON-LIM-MIST-010</x:v>
      </x:c>
      <x:c r="C137" s="19" t="str">
        <x:v>黄金树芽</x:v>
      </x:c>
      <x:c r="D137" s="19" t="str">
        <x:v>1</x:v>
      </x:c>
      <x:c r="E137" s="19" t="str">
        <x:v>2</x:v>
      </x:c>
      <x:c r="F137" s="19" t="str">
        <x:v>长期消耗供给；提高每次叠加量，避免把所有候选改为高频地面散件</x:v>
      </x:c>
    </x:row>
    <x:row r="138" ht="19" customHeight="1">
      <x:c r="A138" s="19" t="str">
        <x:v>叠加数量</x:v>
      </x:c>
      <x:c r="B138" s="19" t="str">
        <x:v>EL-MON-LIM-MIST-011</x:v>
      </x:c>
      <x:c r="C138" s="19" t="str">
        <x:v>黄金树芽</x:v>
      </x:c>
      <x:c r="D138" s="19" t="str">
        <x:v>1</x:v>
      </x:c>
      <x:c r="E138" s="19" t="str">
        <x:v>2</x:v>
      </x:c>
      <x:c r="F138" s="19" t="str">
        <x:v>长期消耗供给；提高每次叠加量，避免把所有候选改为高频地面散件</x:v>
      </x:c>
    </x:row>
    <x:row r="139" ht="19" customHeight="1">
      <x:c r="A139" s="19" t="str">
        <x:v>叠加数量</x:v>
      </x:c>
      <x:c r="B139" s="19" t="str">
        <x:v>EL-MON-LIM-MIST-012</x:v>
      </x:c>
      <x:c r="C139" s="19" t="str">
        <x:v>黄金树芽</x:v>
      </x:c>
      <x:c r="D139" s="19" t="str">
        <x:v>1</x:v>
      </x:c>
      <x:c r="E139" s="19" t="str">
        <x:v>2</x:v>
      </x:c>
      <x:c r="F139" s="19" t="str">
        <x:v>长期消耗供给；提高每次叠加量，避免把所有候选改为高频地面散件</x:v>
      </x:c>
    </x:row>
    <x:row r="140" ht="19" customHeight="1">
      <x:c r="A140" s="19" t="str">
        <x:v>叠加数量</x:v>
      </x:c>
      <x:c r="B140" s="19" t="str">
        <x:v>EL-MON-LIM-STORM-007</x:v>
      </x:c>
      <x:c r="C140" s="19" t="str">
        <x:v>黄金树芽</x:v>
      </x:c>
      <x:c r="D140" s="19" t="str">
        <x:v>1</x:v>
      </x:c>
      <x:c r="E140" s="19" t="str">
        <x:v>2</x:v>
      </x:c>
      <x:c r="F140" s="19" t="str">
        <x:v>长期消耗供给；提高每次叠加量，避免把所有候选改为高频地面散件</x:v>
      </x:c>
    </x:row>
    <x:row r="141" ht="19" customHeight="1">
      <x:c r="A141" s="19" t="str">
        <x:v>叠加数量</x:v>
      </x:c>
      <x:c r="B141" s="19" t="str">
        <x:v>EL-MON-LIM-STORM-008</x:v>
      </x:c>
      <x:c r="C141" s="19" t="str">
        <x:v>黄金树芽</x:v>
      </x:c>
      <x:c r="D141" s="19" t="str">
        <x:v>1</x:v>
      </x:c>
      <x:c r="E141" s="19" t="str">
        <x:v>2</x:v>
      </x:c>
      <x:c r="F141" s="19" t="str">
        <x:v>长期消耗供给；提高每次叠加量，避免把所有候选改为高频地面散件</x:v>
      </x:c>
    </x:row>
    <x:row r="142" ht="19" customHeight="1">
      <x:c r="A142" s="19" t="str">
        <x:v>叠加数量</x:v>
      </x:c>
      <x:c r="B142" s="19" t="str">
        <x:v>EL-MON-LIM-STORM-009</x:v>
      </x:c>
      <x:c r="C142" s="19" t="str">
        <x:v>黄金树芽</x:v>
      </x:c>
      <x:c r="D142" s="19" t="str">
        <x:v>1</x:v>
      </x:c>
      <x:c r="E142" s="19" t="str">
        <x:v>2</x:v>
      </x:c>
      <x:c r="F142" s="19" t="str">
        <x:v>长期消耗供给；提高每次叠加量，避免把所有候选改为高频地面散件</x:v>
      </x:c>
    </x:row>
    <x:row r="143" ht="19" customHeight="1">
      <x:c r="A143" s="19" t="str">
        <x:v>叠加数量</x:v>
      </x:c>
      <x:c r="B143" s="19" t="str">
        <x:v>EL-MON-LIM-STORM-010</x:v>
      </x:c>
      <x:c r="C143" s="19" t="str">
        <x:v>黄金树芽</x:v>
      </x:c>
      <x:c r="D143" s="19" t="str">
        <x:v>1</x:v>
      </x:c>
      <x:c r="E143" s="19" t="str">
        <x:v>2</x:v>
      </x:c>
      <x:c r="F143" s="19" t="str">
        <x:v>长期消耗供给；提高每次叠加量，避免把所有候选改为高频地面散件</x:v>
      </x:c>
    </x:row>
    <x:row r="144" ht="19" customHeight="1">
      <x:c r="A144" s="19" t="str">
        <x:v>叠加数量</x:v>
      </x:c>
      <x:c r="B144" s="19" t="str">
        <x:v>EL-MON-LIM-STORM-011</x:v>
      </x:c>
      <x:c r="C144" s="19" t="str">
        <x:v>黄金树芽</x:v>
      </x:c>
      <x:c r="D144" s="19" t="str">
        <x:v>1</x:v>
      </x:c>
      <x:c r="E144" s="19" t="str">
        <x:v>2</x:v>
      </x:c>
      <x:c r="F144" s="19" t="str">
        <x:v>长期消耗供给；提高每次叠加量，避免把所有候选改为高频地面散件</x:v>
      </x:c>
    </x:row>
    <x:row r="145" ht="19" customHeight="1">
      <x:c r="A145" s="19" t="str">
        <x:v>叠加数量</x:v>
      </x:c>
      <x:c r="B145" s="19" t="str">
        <x:v>EL-MON-LIM-STORM-012</x:v>
      </x:c>
      <x:c r="C145" s="19" t="str">
        <x:v>黄金树芽</x:v>
      </x:c>
      <x:c r="D145" s="19" t="str">
        <x:v>1</x:v>
      </x:c>
      <x:c r="E145" s="19" t="str">
        <x:v>2</x:v>
      </x:c>
      <x:c r="F145" s="19" t="str">
        <x:v>长期消耗供给；提高每次叠加量，避免把所有候选改为高频地面散件</x:v>
      </x:c>
    </x:row>
    <x:row r="146" ht="19" customHeight="1">
      <x:c r="A146" s="19" t="str">
        <x:v>叠加数量</x:v>
      </x:c>
      <x:c r="B146" s="19" t="str">
        <x:v>EL-MON-LIM-CASTLE-007</x:v>
      </x:c>
      <x:c r="C146" s="19" t="str">
        <x:v>黄金树芽</x:v>
      </x:c>
      <x:c r="D146" s="19" t="str">
        <x:v>1</x:v>
      </x:c>
      <x:c r="E146" s="19" t="str">
        <x:v>2</x:v>
      </x:c>
      <x:c r="F146" s="19" t="str">
        <x:v>长期消耗供给；提高每次叠加量，避免把所有候选改为高频地面散件</x:v>
      </x:c>
    </x:row>
    <x:row r="147" ht="19" customHeight="1">
      <x:c r="A147" s="19" t="str">
        <x:v>叠加数量</x:v>
      </x:c>
      <x:c r="B147" s="19" t="str">
        <x:v>EL-MON-LIM-CASTLE-008</x:v>
      </x:c>
      <x:c r="C147" s="19" t="str">
        <x:v>黄金树芽</x:v>
      </x:c>
      <x:c r="D147" s="19" t="str">
        <x:v>1</x:v>
      </x:c>
      <x:c r="E147" s="19" t="str">
        <x:v>2</x:v>
      </x:c>
      <x:c r="F147" s="19" t="str">
        <x:v>长期消耗供给；提高每次叠加量，避免把所有候选改为高频地面散件</x:v>
      </x:c>
    </x:row>
    <x:row r="148" ht="19" customHeight="1">
      <x:c r="A148" s="19" t="str">
        <x:v>叠加数量</x:v>
      </x:c>
      <x:c r="B148" s="19" t="str">
        <x:v>EL-MON-LIM-CASTLE-009</x:v>
      </x:c>
      <x:c r="C148" s="19" t="str">
        <x:v>黄金树芽</x:v>
      </x:c>
      <x:c r="D148" s="19" t="str">
        <x:v>1</x:v>
      </x:c>
      <x:c r="E148" s="19" t="str">
        <x:v>2</x:v>
      </x:c>
      <x:c r="F148" s="19" t="str">
        <x:v>长期消耗供给；提高每次叠加量，避免把所有候选改为高频地面散件</x:v>
      </x:c>
    </x:row>
    <x:row r="149" ht="19" customHeight="1">
      <x:c r="A149" s="19" t="str">
        <x:v>叠加数量</x:v>
      </x:c>
      <x:c r="B149" s="19" t="str">
        <x:v>EL-MON-LIM-CASTLE-010</x:v>
      </x:c>
      <x:c r="C149" s="19" t="str">
        <x:v>黄金树芽</x:v>
      </x:c>
      <x:c r="D149" s="19" t="str">
        <x:v>1</x:v>
      </x:c>
      <x:c r="E149" s="19" t="str">
        <x:v>2</x:v>
      </x:c>
      <x:c r="F149" s="19" t="str">
        <x:v>长期消耗供给；提高每次叠加量，避免把所有候选改为高频地面散件</x:v>
      </x:c>
    </x:row>
    <x:row r="150" ht="19" customHeight="1">
      <x:c r="A150" s="19" t="str">
        <x:v>叠加数量</x:v>
      </x:c>
      <x:c r="B150" s="19" t="str">
        <x:v>EL-MON-LIM-CASTLE-011</x:v>
      </x:c>
      <x:c r="C150" s="19" t="str">
        <x:v>黄金树芽</x:v>
      </x:c>
      <x:c r="D150" s="19" t="str">
        <x:v>1</x:v>
      </x:c>
      <x:c r="E150" s="19" t="str">
        <x:v>2</x:v>
      </x:c>
      <x:c r="F150" s="19" t="str">
        <x:v>长期消耗供给；提高每次叠加量，避免把所有候选改为高频地面散件</x:v>
      </x:c>
    </x:row>
    <x:row r="151" ht="19" customHeight="1">
      <x:c r="A151" s="19" t="str">
        <x:v>叠加数量</x:v>
      </x:c>
      <x:c r="B151" s="19" t="str">
        <x:v>EL-MON-LIM-CASTLE-012</x:v>
      </x:c>
      <x:c r="C151" s="19" t="str">
        <x:v>黄金树芽</x:v>
      </x:c>
      <x:c r="D151" s="19" t="str">
        <x:v>1</x:v>
      </x:c>
      <x:c r="E151" s="19" t="str">
        <x:v>2</x:v>
      </x:c>
      <x:c r="F151" s="19" t="str">
        <x:v>长期消耗供给；提高每次叠加量，避免把所有候选改为高频地面散件</x:v>
      </x:c>
    </x:row>
    <x:row r="152" ht="19" customHeight="1">
      <x:c r="A152" s="19" t="str">
        <x:v>叠加数量</x:v>
      </x:c>
      <x:c r="B152" s="19" t="str">
        <x:v>C03-M011</x:v>
      </x:c>
      <x:c r="C152" s="19" t="str">
        <x:v>西境战旗印</x:v>
      </x:c>
      <x:c r="D152" s="19" t="str">
        <x:v>1</x:v>
      </x:c>
      <x:c r="E152" s="19" t="str">
        <x:v>2</x:v>
      </x:c>
      <x:c r="F152" s="19" t="str">
        <x:v>长期消耗供给；提高每次叠加量，避免把所有候选改为高频地面散件</x:v>
      </x:c>
    </x:row>
    <x:row r="153" ht="19" customHeight="1">
      <x:c r="A153" s="19" t="str">
        <x:v>叠加数量</x:v>
      </x:c>
      <x:c r="B153" s="19" t="str">
        <x:v>C03-M012</x:v>
      </x:c>
      <x:c r="C153" s="19" t="str">
        <x:v>西境战旗印</x:v>
      </x:c>
      <x:c r="D153" s="19" t="str">
        <x:v>1</x:v>
      </x:c>
      <x:c r="E153" s="19" t="str">
        <x:v>2</x:v>
      </x:c>
      <x:c r="F153" s="19" t="str">
        <x:v>长期消耗供给；提高每次叠加量，避免把所有候选改为高频地面散件</x:v>
      </x:c>
    </x:row>
    <x:row r="154" ht="19" customHeight="1">
      <x:c r="A154" s="19" t="str">
        <x:v>叠加数量</x:v>
      </x:c>
      <x:c r="B154" s="19" t="str">
        <x:v>C03-M023</x:v>
      </x:c>
      <x:c r="C154" s="19" t="str">
        <x:v>西境战旗印</x:v>
      </x:c>
      <x:c r="D154" s="19" t="str">
        <x:v>1</x:v>
      </x:c>
      <x:c r="E154" s="19" t="str">
        <x:v>2</x:v>
      </x:c>
      <x:c r="F154" s="19" t="str">
        <x:v>长期消耗供给；提高每次叠加量，避免把所有候选改为高频地面散件</x:v>
      </x:c>
    </x:row>
    <x:row r="155" ht="19" customHeight="1">
      <x:c r="A155" s="19" t="str">
        <x:v>叠加数量</x:v>
      </x:c>
      <x:c r="B155" s="19" t="str">
        <x:v>C03-M024</x:v>
      </x:c>
      <x:c r="C155" s="19" t="str">
        <x:v>西境战旗印</x:v>
      </x:c>
      <x:c r="D155" s="19" t="str">
        <x:v>1</x:v>
      </x:c>
      <x:c r="E155" s="19" t="str">
        <x:v>2</x:v>
      </x:c>
      <x:c r="F155" s="19" t="str">
        <x:v>长期消耗供给；提高每次叠加量，避免把所有候选改为高频地面散件</x:v>
      </x:c>
    </x:row>
    <x:row r="156" ht="19" customHeight="1">
      <x:c r="A156" s="19" t="str">
        <x:v>叠加数量</x:v>
      </x:c>
      <x:c r="B156" s="19" t="str">
        <x:v>C03-M035</x:v>
      </x:c>
      <x:c r="C156" s="19" t="str">
        <x:v>西境战旗印</x:v>
      </x:c>
      <x:c r="D156" s="19" t="str">
        <x:v>1</x:v>
      </x:c>
      <x:c r="E156" s="19" t="str">
        <x:v>2</x:v>
      </x:c>
      <x:c r="F156" s="19" t="str">
        <x:v>长期消耗供给；提高每次叠加量，避免把所有候选改为高频地面散件</x:v>
      </x:c>
    </x:row>
    <x:row r="157" ht="19" customHeight="1">
      <x:c r="A157" s="19" t="str">
        <x:v>叠加数量</x:v>
      </x:c>
      <x:c r="B157" s="19" t="str">
        <x:v>C03-M036</x:v>
      </x:c>
      <x:c r="C157" s="19" t="str">
        <x:v>西境战旗印</x:v>
      </x:c>
      <x:c r="D157" s="19" t="str">
        <x:v>1</x:v>
      </x:c>
      <x:c r="E157" s="19" t="str">
        <x:v>2</x:v>
      </x:c>
      <x:c r="F157" s="19" t="str">
        <x:v>长期消耗供给；提高每次叠加量，避免把所有候选改为高频地面散件</x:v>
      </x:c>
    </x:row>
    <x:row r="158" ht="19" customHeight="1">
      <x:c r="A158" s="19" t="str">
        <x:v>叠加数量</x:v>
      </x:c>
      <x:c r="B158" s="19" t="str">
        <x:v>C03-M047</x:v>
      </x:c>
      <x:c r="C158" s="19" t="str">
        <x:v>西境战旗印</x:v>
      </x:c>
      <x:c r="D158" s="19" t="str">
        <x:v>1</x:v>
      </x:c>
      <x:c r="E158" s="19" t="str">
        <x:v>2</x:v>
      </x:c>
      <x:c r="F158" s="19" t="str">
        <x:v>长期消耗供给；提高每次叠加量，避免把所有候选改为高频地面散件</x:v>
      </x:c>
    </x:row>
    <x:row r="159" ht="19" customHeight="1">
      <x:c r="A159" s="19" t="str">
        <x:v>叠加数量</x:v>
      </x:c>
      <x:c r="B159" s="19" t="str">
        <x:v>C03-M048</x:v>
      </x:c>
      <x:c r="C159" s="19" t="str">
        <x:v>西境战旗印</x:v>
      </x:c>
      <x:c r="D159" s="19" t="str">
        <x:v>1</x:v>
      </x:c>
      <x:c r="E159" s="19" t="str">
        <x:v>2</x:v>
      </x:c>
      <x:c r="F159" s="19" t="str">
        <x:v>长期消耗供给；提高每次叠加量，避免把所有候选改为高频地面散件</x:v>
      </x:c>
    </x:row>
    <x:row r="160" ht="19" customHeight="1">
      <x:c r="A160" s="19" t="str">
        <x:v>叠加数量</x:v>
      </x:c>
      <x:c r="B160" s="19" t="str">
        <x:v>C03-M059</x:v>
      </x:c>
      <x:c r="C160" s="19" t="str">
        <x:v>西境战旗印</x:v>
      </x:c>
      <x:c r="D160" s="19" t="str">
        <x:v>1</x:v>
      </x:c>
      <x:c r="E160" s="19" t="str">
        <x:v>2</x:v>
      </x:c>
      <x:c r="F160" s="19" t="str">
        <x:v>长期消耗供给；提高每次叠加量，避免把所有候选改为高频地面散件</x:v>
      </x:c>
    </x:row>
    <x:row r="161" ht="19" customHeight="1">
      <x:c r="A161" s="19" t="str">
        <x:v>叠加数量</x:v>
      </x:c>
      <x:c r="B161" s="19" t="str">
        <x:v>C03-M060</x:v>
      </x:c>
      <x:c r="C161" s="19" t="str">
        <x:v>西境战旗印</x:v>
      </x:c>
      <x:c r="D161" s="19" t="str">
        <x:v>1</x:v>
      </x:c>
      <x:c r="E161" s="19" t="str">
        <x:v>2</x:v>
      </x:c>
      <x:c r="F161" s="19" t="str">
        <x:v>长期消耗供给；提高每次叠加量，避免把所有候选改为高频地面散件</x:v>
      </x:c>
    </x:row>
    <x:row r="162" ht="19" customHeight="1">
      <x:c r="A162" s="19" t="str">
        <x:v>叠加数量</x:v>
      </x:c>
      <x:c r="B162" s="19" t="str">
        <x:v>C03-M071</x:v>
      </x:c>
      <x:c r="C162" s="19" t="str">
        <x:v>西境战旗印</x:v>
      </x:c>
      <x:c r="D162" s="19" t="str">
        <x:v>1</x:v>
      </x:c>
      <x:c r="E162" s="19" t="str">
        <x:v>2</x:v>
      </x:c>
      <x:c r="F162" s="19" t="str">
        <x:v>长期消耗供给；提高每次叠加量，避免把所有候选改为高频地面散件</x:v>
      </x:c>
    </x:row>
    <x:row r="163" ht="19" customHeight="1">
      <x:c r="A163" s="19" t="str">
        <x:v>叠加数量</x:v>
      </x:c>
      <x:c r="B163" s="19" t="str">
        <x:v>C03-M072</x:v>
      </x:c>
      <x:c r="C163" s="19" t="str">
        <x:v>西境战旗印</x:v>
      </x:c>
      <x:c r="D163" s="19" t="str">
        <x:v>1</x:v>
      </x:c>
      <x:c r="E163" s="19" t="str">
        <x:v>2</x:v>
      </x:c>
      <x:c r="F163" s="19" t="str">
        <x:v>长期消耗供给；提高每次叠加量，避免把所有候选改为高频地面散件</x:v>
      </x:c>
    </x:row>
    <x:row r="164" ht="19" customHeight="1">
      <x:c r="A164" s="19" t="str">
        <x:v>叠加数量</x:v>
      </x:c>
      <x:c r="B164" s="19" t="str">
        <x:v>C03-M001</x:v>
      </x:c>
      <x:c r="C164" s="19" t="str">
        <x:v>野兽骨片</x:v>
      </x:c>
      <x:c r="D164" s="19" t="str">
        <x:v>1</x:v>
      </x:c>
      <x:c r="E164" s="19" t="str">
        <x:v>2</x:v>
      </x:c>
      <x:c r="F164" s="19" t="str">
        <x:v>长期消耗供给；提高每次叠加量，避免把所有候选改为高频地面散件</x:v>
      </x:c>
    </x:row>
    <x:row r="165" ht="19" customHeight="1">
      <x:c r="A165" s="19" t="str">
        <x:v>叠加数量</x:v>
      </x:c>
      <x:c r="B165" s="19" t="str">
        <x:v>C03-M002</x:v>
      </x:c>
      <x:c r="C165" s="19" t="str">
        <x:v>野兽骨片</x:v>
      </x:c>
      <x:c r="D165" s="19" t="str">
        <x:v>1</x:v>
      </x:c>
      <x:c r="E165" s="19" t="str">
        <x:v>2</x:v>
      </x:c>
      <x:c r="F165" s="19" t="str">
        <x:v>长期消耗供给；提高每次叠加量，避免把所有候选改为高频地面散件</x:v>
      </x:c>
    </x:row>
    <x:row r="166" ht="19" customHeight="1">
      <x:c r="A166" s="19" t="str">
        <x:v>叠加数量</x:v>
      </x:c>
      <x:c r="B166" s="19" t="str">
        <x:v>C03-M003</x:v>
      </x:c>
      <x:c r="C166" s="19" t="str">
        <x:v>野兽骨片</x:v>
      </x:c>
      <x:c r="D166" s="19" t="str">
        <x:v>1</x:v>
      </x:c>
      <x:c r="E166" s="19" t="str">
        <x:v>2</x:v>
      </x:c>
      <x:c r="F166" s="19" t="str">
        <x:v>长期消耗供给；提高每次叠加量，避免把所有候选改为高频地面散件</x:v>
      </x:c>
    </x:row>
    <x:row r="167" ht="19" customHeight="1">
      <x:c r="A167" s="19" t="str">
        <x:v>叠加数量</x:v>
      </x:c>
      <x:c r="B167" s="19" t="str">
        <x:v>C03-M004</x:v>
      </x:c>
      <x:c r="C167" s="19" t="str">
        <x:v>野兽骨片</x:v>
      </x:c>
      <x:c r="D167" s="19" t="str">
        <x:v>1</x:v>
      </x:c>
      <x:c r="E167" s="19" t="str">
        <x:v>2</x:v>
      </x:c>
      <x:c r="F167" s="19" t="str">
        <x:v>长期消耗供给；提高每次叠加量，避免把所有候选改为高频地面散件</x:v>
      </x:c>
    </x:row>
    <x:row r="168" ht="19" customHeight="1">
      <x:c r="A168" s="19" t="str">
        <x:v>叠加数量</x:v>
      </x:c>
      <x:c r="B168" s="19" t="str">
        <x:v>C03-M005</x:v>
      </x:c>
      <x:c r="C168" s="19" t="str">
        <x:v>野兽骨片</x:v>
      </x:c>
      <x:c r="D168" s="19" t="str">
        <x:v>1</x:v>
      </x:c>
      <x:c r="E168" s="19" t="str">
        <x:v>2</x:v>
      </x:c>
      <x:c r="F168" s="19" t="str">
        <x:v>长期消耗供给；提高每次叠加量，避免把所有候选改为高频地面散件</x:v>
      </x:c>
    </x:row>
    <x:row r="169" ht="19" customHeight="1">
      <x:c r="A169" s="19" t="str">
        <x:v>叠加数量</x:v>
      </x:c>
      <x:c r="B169" s="19" t="str">
        <x:v>C03-M006</x:v>
      </x:c>
      <x:c r="C169" s="19" t="str">
        <x:v>野兽骨片</x:v>
      </x:c>
      <x:c r="D169" s="19" t="str">
        <x:v>1</x:v>
      </x:c>
      <x:c r="E169" s="19" t="str">
        <x:v>2</x:v>
      </x:c>
      <x:c r="F169" s="19" t="str">
        <x:v>长期消耗供给；提高每次叠加量，避免把所有候选改为高频地面散件</x:v>
      </x:c>
    </x:row>
    <x:row r="170" ht="19" customHeight="1">
      <x:c r="A170" s="19" t="str">
        <x:v>叠加数量</x:v>
      </x:c>
      <x:c r="B170" s="19" t="str">
        <x:v>C03-M007</x:v>
      </x:c>
      <x:c r="C170" s="19" t="str">
        <x:v>野兽骨片</x:v>
      </x:c>
      <x:c r="D170" s="19" t="str">
        <x:v>1</x:v>
      </x:c>
      <x:c r="E170" s="19" t="str">
        <x:v>2</x:v>
      </x:c>
      <x:c r="F170" s="19" t="str">
        <x:v>长期消耗供给；提高每次叠加量，避免把所有候选改为高频地面散件</x:v>
      </x:c>
    </x:row>
    <x:row r="171" ht="19" customHeight="1">
      <x:c r="A171" s="19" t="str">
        <x:v>叠加数量</x:v>
      </x:c>
      <x:c r="B171" s="19" t="str">
        <x:v>C03-M008</x:v>
      </x:c>
      <x:c r="C171" s="19" t="str">
        <x:v>野兽骨片</x:v>
      </x:c>
      <x:c r="D171" s="19" t="str">
        <x:v>1</x:v>
      </x:c>
      <x:c r="E171" s="19" t="str">
        <x:v>2</x:v>
      </x:c>
      <x:c r="F171" s="19" t="str">
        <x:v>长期消耗供给；提高每次叠加量，避免把所有候选改为高频地面散件</x:v>
      </x:c>
    </x:row>
    <x:row r="172" ht="19" customHeight="1">
      <x:c r="A172" s="19" t="str">
        <x:v>叠加数量</x:v>
      </x:c>
      <x:c r="B172" s="19" t="str">
        <x:v>C03-M009</x:v>
      </x:c>
      <x:c r="C172" s="19" t="str">
        <x:v>野兽骨片</x:v>
      </x:c>
      <x:c r="D172" s="19" t="str">
        <x:v>1</x:v>
      </x:c>
      <x:c r="E172" s="19" t="str">
        <x:v>2</x:v>
      </x:c>
      <x:c r="F172" s="19" t="str">
        <x:v>长期消耗供给；提高每次叠加量，避免把所有候选改为高频地面散件</x:v>
      </x:c>
    </x:row>
    <x:row r="173" ht="19" customHeight="1">
      <x:c r="A173" s="19" t="str">
        <x:v>叠加数量</x:v>
      </x:c>
      <x:c r="B173" s="19" t="str">
        <x:v>C03-M010</x:v>
      </x:c>
      <x:c r="C173" s="19" t="str">
        <x:v>野兽骨片</x:v>
      </x:c>
      <x:c r="D173" s="19" t="str">
        <x:v>1</x:v>
      </x:c>
      <x:c r="E173" s="19" t="str">
        <x:v>2</x:v>
      </x:c>
      <x:c r="F173" s="19" t="str">
        <x:v>长期消耗供给；提高每次叠加量，避免把所有候选改为高频地面散件</x:v>
      </x:c>
    </x:row>
    <x:row r="174" ht="19" customHeight="1">
      <x:c r="A174" s="19" t="str">
        <x:v>叠加数量</x:v>
      </x:c>
      <x:c r="B174" s="19" t="str">
        <x:v>C03-M011</x:v>
      </x:c>
      <x:c r="C174" s="19" t="str">
        <x:v>野兽骨片</x:v>
      </x:c>
      <x:c r="D174" s="19" t="str">
        <x:v>1</x:v>
      </x:c>
      <x:c r="E174" s="19" t="str">
        <x:v>2</x:v>
      </x:c>
      <x:c r="F174" s="19" t="str">
        <x:v>长期消耗供给；提高每次叠加量，避免把所有候选改为高频地面散件</x:v>
      </x:c>
    </x:row>
    <x:row r="175" ht="19" customHeight="1">
      <x:c r="A175" s="19" t="str">
        <x:v>叠加数量</x:v>
      </x:c>
      <x:c r="B175" s="19" t="str">
        <x:v>C03-M012</x:v>
      </x:c>
      <x:c r="C175" s="19" t="str">
        <x:v>野兽骨片</x:v>
      </x:c>
      <x:c r="D175" s="19" t="str">
        <x:v>1</x:v>
      </x:c>
      <x:c r="E175" s="19" t="str">
        <x:v>2</x:v>
      </x:c>
      <x:c r="F175" s="19" t="str">
        <x:v>长期消耗供给；提高每次叠加量，避免把所有候选改为高频地面散件</x:v>
      </x:c>
    </x:row>
    <x:row r="176" ht="19" customHeight="1">
      <x:c r="A176" s="19" t="str">
        <x:v>叠加数量</x:v>
      </x:c>
      <x:c r="B176" s="19" t="str">
        <x:v>C03-M013</x:v>
      </x:c>
      <x:c r="C176" s="19" t="str">
        <x:v>野兽骨片</x:v>
      </x:c>
      <x:c r="D176" s="19" t="str">
        <x:v>1</x:v>
      </x:c>
      <x:c r="E176" s="19" t="str">
        <x:v>2</x:v>
      </x:c>
      <x:c r="F176" s="19" t="str">
        <x:v>长期消耗供给；提高每次叠加量，避免把所有候选改为高频地面散件</x:v>
      </x:c>
    </x:row>
    <x:row r="177" ht="19" customHeight="1">
      <x:c r="A177" s="19" t="str">
        <x:v>叠加数量</x:v>
      </x:c>
      <x:c r="B177" s="19" t="str">
        <x:v>C03-M014</x:v>
      </x:c>
      <x:c r="C177" s="19" t="str">
        <x:v>野兽骨片</x:v>
      </x:c>
      <x:c r="D177" s="19" t="str">
        <x:v>1</x:v>
      </x:c>
      <x:c r="E177" s="19" t="str">
        <x:v>2</x:v>
      </x:c>
      <x:c r="F177" s="19" t="str">
        <x:v>长期消耗供给；提高每次叠加量，避免把所有候选改为高频地面散件</x:v>
      </x:c>
    </x:row>
    <x:row r="178" ht="19" customHeight="1">
      <x:c r="A178" s="19" t="str">
        <x:v>叠加数量</x:v>
      </x:c>
      <x:c r="B178" s="19" t="str">
        <x:v>C03-M015</x:v>
      </x:c>
      <x:c r="C178" s="19" t="str">
        <x:v>野兽骨片</x:v>
      </x:c>
      <x:c r="D178" s="19" t="str">
        <x:v>1</x:v>
      </x:c>
      <x:c r="E178" s="19" t="str">
        <x:v>2</x:v>
      </x:c>
      <x:c r="F178" s="19" t="str">
        <x:v>长期消耗供给；提高每次叠加量，避免把所有候选改为高频地面散件</x:v>
      </x:c>
    </x:row>
    <x:row r="179" ht="19" customHeight="1">
      <x:c r="A179" s="19" t="str">
        <x:v>叠加数量</x:v>
      </x:c>
      <x:c r="B179" s="19" t="str">
        <x:v>C03-M016</x:v>
      </x:c>
      <x:c r="C179" s="19" t="str">
        <x:v>野兽骨片</x:v>
      </x:c>
      <x:c r="D179" s="19" t="str">
        <x:v>1</x:v>
      </x:c>
      <x:c r="E179" s="19" t="str">
        <x:v>2</x:v>
      </x:c>
      <x:c r="F179" s="19" t="str">
        <x:v>长期消耗供给；提高每次叠加量，避免把所有候选改为高频地面散件</x:v>
      </x:c>
    </x:row>
    <x:row r="180" ht="19" customHeight="1">
      <x:c r="A180" s="19" t="str">
        <x:v>叠加数量</x:v>
      </x:c>
      <x:c r="B180" s="19" t="str">
        <x:v>C03-M017</x:v>
      </x:c>
      <x:c r="C180" s="19" t="str">
        <x:v>野兽骨片</x:v>
      </x:c>
      <x:c r="D180" s="19" t="str">
        <x:v>1</x:v>
      </x:c>
      <x:c r="E180" s="19" t="str">
        <x:v>2</x:v>
      </x:c>
      <x:c r="F180" s="19" t="str">
        <x:v>长期消耗供给；提高每次叠加量，避免把所有候选改为高频地面散件</x:v>
      </x:c>
    </x:row>
    <x:row r="181" ht="19" customHeight="1">
      <x:c r="A181" s="19" t="str">
        <x:v>叠加数量</x:v>
      </x:c>
      <x:c r="B181" s="19" t="str">
        <x:v>C03-M018</x:v>
      </x:c>
      <x:c r="C181" s="19" t="str">
        <x:v>野兽骨片</x:v>
      </x:c>
      <x:c r="D181" s="19" t="str">
        <x:v>1</x:v>
      </x:c>
      <x:c r="E181" s="19" t="str">
        <x:v>2</x:v>
      </x:c>
      <x:c r="F181" s="19" t="str">
        <x:v>长期消耗供给；提高每次叠加量，避免把所有候选改为高频地面散件</x:v>
      </x:c>
    </x:row>
    <x:row r="182" ht="19" customHeight="1">
      <x:c r="A182" s="19" t="str">
        <x:v>叠加数量</x:v>
      </x:c>
      <x:c r="B182" s="19" t="str">
        <x:v>C03-M019</x:v>
      </x:c>
      <x:c r="C182" s="19" t="str">
        <x:v>野兽骨片</x:v>
      </x:c>
      <x:c r="D182" s="19" t="str">
        <x:v>1</x:v>
      </x:c>
      <x:c r="E182" s="19" t="str">
        <x:v>2</x:v>
      </x:c>
      <x:c r="F182" s="19" t="str">
        <x:v>长期消耗供给；提高每次叠加量，避免把所有候选改为高频地面散件</x:v>
      </x:c>
    </x:row>
    <x:row r="183" ht="19" customHeight="1">
      <x:c r="A183" s="19" t="str">
        <x:v>叠加数量</x:v>
      </x:c>
      <x:c r="B183" s="19" t="str">
        <x:v>C03-M020</x:v>
      </x:c>
      <x:c r="C183" s="19" t="str">
        <x:v>野兽骨片</x:v>
      </x:c>
      <x:c r="D183" s="19" t="str">
        <x:v>1</x:v>
      </x:c>
      <x:c r="E183" s="19" t="str">
        <x:v>2</x:v>
      </x:c>
      <x:c r="F183" s="19" t="str">
        <x:v>长期消耗供给；提高每次叠加量，避免把所有候选改为高频地面散件</x:v>
      </x:c>
    </x:row>
    <x:row r="184" ht="19" customHeight="1">
      <x:c r="A184" s="19" t="str">
        <x:v>叠加数量</x:v>
      </x:c>
      <x:c r="B184" s="19" t="str">
        <x:v>C03-M021</x:v>
      </x:c>
      <x:c r="C184" s="19" t="str">
        <x:v>野兽骨片</x:v>
      </x:c>
      <x:c r="D184" s="19" t="str">
        <x:v>1</x:v>
      </x:c>
      <x:c r="E184" s="19" t="str">
        <x:v>2</x:v>
      </x:c>
      <x:c r="F184" s="19" t="str">
        <x:v>长期消耗供给；提高每次叠加量，避免把所有候选改为高频地面散件</x:v>
      </x:c>
    </x:row>
    <x:row r="185" ht="19" customHeight="1">
      <x:c r="A185" s="19" t="str">
        <x:v>叠加数量</x:v>
      </x:c>
      <x:c r="B185" s="19" t="str">
        <x:v>C03-M022</x:v>
      </x:c>
      <x:c r="C185" s="19" t="str">
        <x:v>野兽骨片</x:v>
      </x:c>
      <x:c r="D185" s="19" t="str">
        <x:v>1</x:v>
      </x:c>
      <x:c r="E185" s="19" t="str">
        <x:v>2</x:v>
      </x:c>
      <x:c r="F185" s="19" t="str">
        <x:v>长期消耗供给；提高每次叠加量，避免把所有候选改为高频地面散件</x:v>
      </x:c>
    </x:row>
    <x:row r="186" ht="19" customHeight="1">
      <x:c r="A186" s="19" t="str">
        <x:v>叠加数量</x:v>
      </x:c>
      <x:c r="B186" s="19" t="str">
        <x:v>C03-M023</x:v>
      </x:c>
      <x:c r="C186" s="19" t="str">
        <x:v>野兽骨片</x:v>
      </x:c>
      <x:c r="D186" s="19" t="str">
        <x:v>1</x:v>
      </x:c>
      <x:c r="E186" s="19" t="str">
        <x:v>2</x:v>
      </x:c>
      <x:c r="F186" s="19" t="str">
        <x:v>长期消耗供给；提高每次叠加量，避免把所有候选改为高频地面散件</x:v>
      </x:c>
    </x:row>
    <x:row r="187" ht="19" customHeight="1">
      <x:c r="A187" s="19" t="str">
        <x:v>叠加数量</x:v>
      </x:c>
      <x:c r="B187" s="19" t="str">
        <x:v>C03-M024</x:v>
      </x:c>
      <x:c r="C187" s="19" t="str">
        <x:v>野兽骨片</x:v>
      </x:c>
      <x:c r="D187" s="19" t="str">
        <x:v>1</x:v>
      </x:c>
      <x:c r="E187" s="19" t="str">
        <x:v>2</x:v>
      </x:c>
      <x:c r="F187" s="19" t="str">
        <x:v>长期消耗供给；提高每次叠加量，避免把所有候选改为高频地面散件</x:v>
      </x:c>
    </x:row>
    <x:row r="188" ht="19" customHeight="1">
      <x:c r="A188" s="19" t="str">
        <x:v>叠加数量</x:v>
      </x:c>
      <x:c r="B188" s="19" t="str">
        <x:v>C03-M025</x:v>
      </x:c>
      <x:c r="C188" s="19" t="str">
        <x:v>野兽骨片</x:v>
      </x:c>
      <x:c r="D188" s="19" t="str">
        <x:v>1</x:v>
      </x:c>
      <x:c r="E188" s="19" t="str">
        <x:v>2</x:v>
      </x:c>
      <x:c r="F188" s="19" t="str">
        <x:v>长期消耗供给；提高每次叠加量，避免把所有候选改为高频地面散件</x:v>
      </x:c>
    </x:row>
    <x:row r="189" ht="19" customHeight="1">
      <x:c r="A189" s="19" t="str">
        <x:v>叠加数量</x:v>
      </x:c>
      <x:c r="B189" s="19" t="str">
        <x:v>C03-M026</x:v>
      </x:c>
      <x:c r="C189" s="19" t="str">
        <x:v>野兽骨片</x:v>
      </x:c>
      <x:c r="D189" s="19" t="str">
        <x:v>1</x:v>
      </x:c>
      <x:c r="E189" s="19" t="str">
        <x:v>2</x:v>
      </x:c>
      <x:c r="F189" s="19" t="str">
        <x:v>长期消耗供给；提高每次叠加量，避免把所有候选改为高频地面散件</x:v>
      </x:c>
    </x:row>
    <x:row r="190" ht="19" customHeight="1">
      <x:c r="A190" s="19" t="str">
        <x:v>叠加数量</x:v>
      </x:c>
      <x:c r="B190" s="19" t="str">
        <x:v>C03-M027</x:v>
      </x:c>
      <x:c r="C190" s="19" t="str">
        <x:v>野兽骨片</x:v>
      </x:c>
      <x:c r="D190" s="19" t="str">
        <x:v>1</x:v>
      </x:c>
      <x:c r="E190" s="19" t="str">
        <x:v>2</x:v>
      </x:c>
      <x:c r="F190" s="19" t="str">
        <x:v>长期消耗供给；提高每次叠加量，避免把所有候选改为高频地面散件</x:v>
      </x:c>
    </x:row>
    <x:row r="191" ht="19" customHeight="1">
      <x:c r="A191" s="19" t="str">
        <x:v>叠加数量</x:v>
      </x:c>
      <x:c r="B191" s="19" t="str">
        <x:v>C03-M028</x:v>
      </x:c>
      <x:c r="C191" s="19" t="str">
        <x:v>野兽骨片</x:v>
      </x:c>
      <x:c r="D191" s="19" t="str">
        <x:v>1</x:v>
      </x:c>
      <x:c r="E191" s="19" t="str">
        <x:v>2</x:v>
      </x:c>
      <x:c r="F191" s="19" t="str">
        <x:v>长期消耗供给；提高每次叠加量，避免把所有候选改为高频地面散件</x:v>
      </x:c>
    </x:row>
    <x:row r="192" ht="19" customHeight="1">
      <x:c r="A192" s="19" t="str">
        <x:v>叠加数量</x:v>
      </x:c>
      <x:c r="B192" s="19" t="str">
        <x:v>C03-M029</x:v>
      </x:c>
      <x:c r="C192" s="19" t="str">
        <x:v>野兽骨片</x:v>
      </x:c>
      <x:c r="D192" s="19" t="str">
        <x:v>1</x:v>
      </x:c>
      <x:c r="E192" s="19" t="str">
        <x:v>2</x:v>
      </x:c>
      <x:c r="F192" s="19" t="str">
        <x:v>长期消耗供给；提高每次叠加量，避免把所有候选改为高频地面散件</x:v>
      </x:c>
    </x:row>
    <x:row r="193" ht="19" customHeight="1">
      <x:c r="A193" s="19" t="str">
        <x:v>叠加数量</x:v>
      </x:c>
      <x:c r="B193" s="19" t="str">
        <x:v>C03-M030</x:v>
      </x:c>
      <x:c r="C193" s="19" t="str">
        <x:v>野兽骨片</x:v>
      </x:c>
      <x:c r="D193" s="19" t="str">
        <x:v>1</x:v>
      </x:c>
      <x:c r="E193" s="19" t="str">
        <x:v>2</x:v>
      </x:c>
      <x:c r="F193" s="19" t="str">
        <x:v>长期消耗供给；提高每次叠加量，避免把所有候选改为高频地面散件</x:v>
      </x:c>
    </x:row>
    <x:row r="194" ht="19" customHeight="1">
      <x:c r="A194" s="19" t="str">
        <x:v>叠加数量</x:v>
      </x:c>
      <x:c r="B194" s="19" t="str">
        <x:v>C03-M031</x:v>
      </x:c>
      <x:c r="C194" s="19" t="str">
        <x:v>野兽骨片</x:v>
      </x:c>
      <x:c r="D194" s="19" t="str">
        <x:v>1</x:v>
      </x:c>
      <x:c r="E194" s="19" t="str">
        <x:v>2</x:v>
      </x:c>
      <x:c r="F194" s="19" t="str">
        <x:v>长期消耗供给；提高每次叠加量，避免把所有候选改为高频地面散件</x:v>
      </x:c>
    </x:row>
    <x:row r="195" ht="19" customHeight="1">
      <x:c r="A195" s="19" t="str">
        <x:v>叠加数量</x:v>
      </x:c>
      <x:c r="B195" s="19" t="str">
        <x:v>C03-M032</x:v>
      </x:c>
      <x:c r="C195" s="19" t="str">
        <x:v>野兽骨片</x:v>
      </x:c>
      <x:c r="D195" s="19" t="str">
        <x:v>1</x:v>
      </x:c>
      <x:c r="E195" s="19" t="str">
        <x:v>2</x:v>
      </x:c>
      <x:c r="F195" s="19" t="str">
        <x:v>长期消耗供给；提高每次叠加量，避免把所有候选改为高频地面散件</x:v>
      </x:c>
    </x:row>
    <x:row r="196" ht="19" customHeight="1">
      <x:c r="A196" s="19" t="str">
        <x:v>叠加数量</x:v>
      </x:c>
      <x:c r="B196" s="19" t="str">
        <x:v>C03-M033</x:v>
      </x:c>
      <x:c r="C196" s="19" t="str">
        <x:v>野兽骨片</x:v>
      </x:c>
      <x:c r="D196" s="19" t="str">
        <x:v>1</x:v>
      </x:c>
      <x:c r="E196" s="19" t="str">
        <x:v>2</x:v>
      </x:c>
      <x:c r="F196" s="19" t="str">
        <x:v>长期消耗供给；提高每次叠加量，避免把所有候选改为高频地面散件</x:v>
      </x:c>
    </x:row>
    <x:row r="197" ht="19" customHeight="1">
      <x:c r="A197" s="19" t="str">
        <x:v>叠加数量</x:v>
      </x:c>
      <x:c r="B197" s="19" t="str">
        <x:v>C03-M034</x:v>
      </x:c>
      <x:c r="C197" s="19" t="str">
        <x:v>野兽骨片</x:v>
      </x:c>
      <x:c r="D197" s="19" t="str">
        <x:v>1</x:v>
      </x:c>
      <x:c r="E197" s="19" t="str">
        <x:v>2</x:v>
      </x:c>
      <x:c r="F197" s="19" t="str">
        <x:v>长期消耗供给；提高每次叠加量，避免把所有候选改为高频地面散件</x:v>
      </x:c>
    </x:row>
    <x:row r="198" ht="19" customHeight="1">
      <x:c r="A198" s="19" t="str">
        <x:v>叠加数量</x:v>
      </x:c>
      <x:c r="B198" s="19" t="str">
        <x:v>C03-M035</x:v>
      </x:c>
      <x:c r="C198" s="19" t="str">
        <x:v>野兽骨片</x:v>
      </x:c>
      <x:c r="D198" s="19" t="str">
        <x:v>1</x:v>
      </x:c>
      <x:c r="E198" s="19" t="str">
        <x:v>2</x:v>
      </x:c>
      <x:c r="F198" s="19" t="str">
        <x:v>长期消耗供给；提高每次叠加量，避免把所有候选改为高频地面散件</x:v>
      </x:c>
    </x:row>
    <x:row r="199" ht="19" customHeight="1">
      <x:c r="A199" s="19" t="str">
        <x:v>叠加数量</x:v>
      </x:c>
      <x:c r="B199" s="19" t="str">
        <x:v>C03-M036</x:v>
      </x:c>
      <x:c r="C199" s="19" t="str">
        <x:v>野兽骨片</x:v>
      </x:c>
      <x:c r="D199" s="19" t="str">
        <x:v>1</x:v>
      </x:c>
      <x:c r="E199" s="19" t="str">
        <x:v>2</x:v>
      </x:c>
      <x:c r="F199" s="19" t="str">
        <x:v>长期消耗供给；提高每次叠加量，避免把所有候选改为高频地面散件</x:v>
      </x:c>
    </x:row>
    <x:row r="200" ht="19" customHeight="1">
      <x:c r="A200" s="19" t="str">
        <x:v>叠加数量</x:v>
      </x:c>
      <x:c r="B200" s="19" t="str">
        <x:v>C03-M037</x:v>
      </x:c>
      <x:c r="C200" s="19" t="str">
        <x:v>野兽骨片</x:v>
      </x:c>
      <x:c r="D200" s="19" t="str">
        <x:v>1</x:v>
      </x:c>
      <x:c r="E200" s="19" t="str">
        <x:v>2</x:v>
      </x:c>
      <x:c r="F200" s="19" t="str">
        <x:v>长期消耗供给；提高每次叠加量，避免把所有候选改为高频地面散件</x:v>
      </x:c>
    </x:row>
    <x:row r="201" ht="19" customHeight="1">
      <x:c r="A201" s="19" t="str">
        <x:v>叠加数量</x:v>
      </x:c>
      <x:c r="B201" s="19" t="str">
        <x:v>C03-M038</x:v>
      </x:c>
      <x:c r="C201" s="19" t="str">
        <x:v>野兽骨片</x:v>
      </x:c>
      <x:c r="D201" s="19" t="str">
        <x:v>1</x:v>
      </x:c>
      <x:c r="E201" s="19" t="str">
        <x:v>2</x:v>
      </x:c>
      <x:c r="F201" s="19" t="str">
        <x:v>长期消耗供给；提高每次叠加量，避免把所有候选改为高频地面散件</x:v>
      </x:c>
    </x:row>
    <x:row r="202" ht="19" customHeight="1">
      <x:c r="A202" s="19" t="str">
        <x:v>叠加数量</x:v>
      </x:c>
      <x:c r="B202" s="19" t="str">
        <x:v>C03-M039</x:v>
      </x:c>
      <x:c r="C202" s="19" t="str">
        <x:v>野兽骨片</x:v>
      </x:c>
      <x:c r="D202" s="19" t="str">
        <x:v>1</x:v>
      </x:c>
      <x:c r="E202" s="19" t="str">
        <x:v>2</x:v>
      </x:c>
      <x:c r="F202" s="19" t="str">
        <x:v>长期消耗供给；提高每次叠加量，避免把所有候选改为高频地面散件</x:v>
      </x:c>
    </x:row>
    <x:row r="203" ht="19" customHeight="1">
      <x:c r="A203" s="19" t="str">
        <x:v>叠加数量</x:v>
      </x:c>
      <x:c r="B203" s="19" t="str">
        <x:v>C03-M040</x:v>
      </x:c>
      <x:c r="C203" s="19" t="str">
        <x:v>野兽骨片</x:v>
      </x:c>
      <x:c r="D203" s="19" t="str">
        <x:v>1</x:v>
      </x:c>
      <x:c r="E203" s="19" t="str">
        <x:v>2</x:v>
      </x:c>
      <x:c r="F203" s="19" t="str">
        <x:v>长期消耗供给；提高每次叠加量，避免把所有候选改为高频地面散件</x:v>
      </x:c>
    </x:row>
    <x:row r="204" ht="19" customHeight="1">
      <x:c r="A204" s="19" t="str">
        <x:v>叠加数量</x:v>
      </x:c>
      <x:c r="B204" s="19" t="str">
        <x:v>C03-M041</x:v>
      </x:c>
      <x:c r="C204" s="19" t="str">
        <x:v>野兽骨片</x:v>
      </x:c>
      <x:c r="D204" s="19" t="str">
        <x:v>1</x:v>
      </x:c>
      <x:c r="E204" s="19" t="str">
        <x:v>2</x:v>
      </x:c>
      <x:c r="F204" s="19" t="str">
        <x:v>长期消耗供给；提高每次叠加量，避免把所有候选改为高频地面散件</x:v>
      </x:c>
    </x:row>
    <x:row r="205" ht="19" customHeight="1">
      <x:c r="A205" s="19" t="str">
        <x:v>叠加数量</x:v>
      </x:c>
      <x:c r="B205" s="19" t="str">
        <x:v>C03-M042</x:v>
      </x:c>
      <x:c r="C205" s="19" t="str">
        <x:v>野兽骨片</x:v>
      </x:c>
      <x:c r="D205" s="19" t="str">
        <x:v>1</x:v>
      </x:c>
      <x:c r="E205" s="19" t="str">
        <x:v>2</x:v>
      </x:c>
      <x:c r="F205" s="19" t="str">
        <x:v>长期消耗供给；提高每次叠加量，避免把所有候选改为高频地面散件</x:v>
      </x:c>
    </x:row>
    <x:row r="206" ht="19" customHeight="1">
      <x:c r="A206" s="19" t="str">
        <x:v>叠加数量</x:v>
      </x:c>
      <x:c r="B206" s="19" t="str">
        <x:v>C03-M043</x:v>
      </x:c>
      <x:c r="C206" s="19" t="str">
        <x:v>野兽骨片</x:v>
      </x:c>
      <x:c r="D206" s="19" t="str">
        <x:v>1</x:v>
      </x:c>
      <x:c r="E206" s="19" t="str">
        <x:v>2</x:v>
      </x:c>
      <x:c r="F206" s="19" t="str">
        <x:v>长期消耗供给；提高每次叠加量，避免把所有候选改为高频地面散件</x:v>
      </x:c>
    </x:row>
    <x:row r="207" ht="19" customHeight="1">
      <x:c r="A207" s="19" t="str">
        <x:v>叠加数量</x:v>
      </x:c>
      <x:c r="B207" s="19" t="str">
        <x:v>C03-M044</x:v>
      </x:c>
      <x:c r="C207" s="19" t="str">
        <x:v>野兽骨片</x:v>
      </x:c>
      <x:c r="D207" s="19" t="str">
        <x:v>1</x:v>
      </x:c>
      <x:c r="E207" s="19" t="str">
        <x:v>2</x:v>
      </x:c>
      <x:c r="F207" s="19" t="str">
        <x:v>长期消耗供给；提高每次叠加量，避免把所有候选改为高频地面散件</x:v>
      </x:c>
    </x:row>
    <x:row r="208" ht="19" customHeight="1">
      <x:c r="A208" s="19" t="str">
        <x:v>叠加数量</x:v>
      </x:c>
      <x:c r="B208" s="19" t="str">
        <x:v>C03-M045</x:v>
      </x:c>
      <x:c r="C208" s="19" t="str">
        <x:v>野兽骨片</x:v>
      </x:c>
      <x:c r="D208" s="19" t="str">
        <x:v>1</x:v>
      </x:c>
      <x:c r="E208" s="19" t="str">
        <x:v>2</x:v>
      </x:c>
      <x:c r="F208" s="19" t="str">
        <x:v>长期消耗供给；提高每次叠加量，避免把所有候选改为高频地面散件</x:v>
      </x:c>
    </x:row>
    <x:row r="209" ht="19" customHeight="1">
      <x:c r="A209" s="19" t="str">
        <x:v>叠加数量</x:v>
      </x:c>
      <x:c r="B209" s="19" t="str">
        <x:v>C03-M046</x:v>
      </x:c>
      <x:c r="C209" s="19" t="str">
        <x:v>野兽骨片</x:v>
      </x:c>
      <x:c r="D209" s="19" t="str">
        <x:v>1</x:v>
      </x:c>
      <x:c r="E209" s="19" t="str">
        <x:v>2</x:v>
      </x:c>
      <x:c r="F209" s="19" t="str">
        <x:v>长期消耗供给；提高每次叠加量，避免把所有候选改为高频地面散件</x:v>
      </x:c>
    </x:row>
    <x:row r="210" ht="19" customHeight="1">
      <x:c r="A210" s="19" t="str">
        <x:v>叠加数量</x:v>
      </x:c>
      <x:c r="B210" s="19" t="str">
        <x:v>C03-M047</x:v>
      </x:c>
      <x:c r="C210" s="19" t="str">
        <x:v>野兽骨片</x:v>
      </x:c>
      <x:c r="D210" s="19" t="str">
        <x:v>1</x:v>
      </x:c>
      <x:c r="E210" s="19" t="str">
        <x:v>2</x:v>
      </x:c>
      <x:c r="F210" s="19" t="str">
        <x:v>长期消耗供给；提高每次叠加量，避免把所有候选改为高频地面散件</x:v>
      </x:c>
    </x:row>
    <x:row r="211" ht="19" customHeight="1">
      <x:c r="A211" s="19" t="str">
        <x:v>叠加数量</x:v>
      </x:c>
      <x:c r="B211" s="19" t="str">
        <x:v>C03-M048</x:v>
      </x:c>
      <x:c r="C211" s="19" t="str">
        <x:v>野兽骨片</x:v>
      </x:c>
      <x:c r="D211" s="19" t="str">
        <x:v>1</x:v>
      </x:c>
      <x:c r="E211" s="19" t="str">
        <x:v>2</x:v>
      </x:c>
      <x:c r="F211" s="19" t="str">
        <x:v>长期消耗供给；提高每次叠加量，避免把所有候选改为高频地面散件</x:v>
      </x:c>
    </x:row>
    <x:row r="212" ht="19" customHeight="1">
      <x:c r="A212" s="19" t="str">
        <x:v>叠加数量</x:v>
      </x:c>
      <x:c r="B212" s="19" t="str">
        <x:v>C03-M049</x:v>
      </x:c>
      <x:c r="C212" s="19" t="str">
        <x:v>野兽骨片</x:v>
      </x:c>
      <x:c r="D212" s="19" t="str">
        <x:v>1</x:v>
      </x:c>
      <x:c r="E212" s="19" t="str">
        <x:v>2</x:v>
      </x:c>
      <x:c r="F212" s="19" t="str">
        <x:v>长期消耗供给；提高每次叠加量，避免把所有候选改为高频地面散件</x:v>
      </x:c>
    </x:row>
    <x:row r="213" ht="19" customHeight="1">
      <x:c r="A213" s="19" t="str">
        <x:v>叠加数量</x:v>
      </x:c>
      <x:c r="B213" s="19" t="str">
        <x:v>C03-M050</x:v>
      </x:c>
      <x:c r="C213" s="19" t="str">
        <x:v>野兽骨片</x:v>
      </x:c>
      <x:c r="D213" s="19" t="str">
        <x:v>1</x:v>
      </x:c>
      <x:c r="E213" s="19" t="str">
        <x:v>2</x:v>
      </x:c>
      <x:c r="F213" s="19" t="str">
        <x:v>长期消耗供给；提高每次叠加量，避免把所有候选改为高频地面散件</x:v>
      </x:c>
    </x:row>
    <x:row r="214" ht="19" customHeight="1">
      <x:c r="A214" s="19" t="str">
        <x:v>叠加数量</x:v>
      </x:c>
      <x:c r="B214" s="19" t="str">
        <x:v>C03-M051</x:v>
      </x:c>
      <x:c r="C214" s="19" t="str">
        <x:v>野兽骨片</x:v>
      </x:c>
      <x:c r="D214" s="19" t="str">
        <x:v>1</x:v>
      </x:c>
      <x:c r="E214" s="19" t="str">
        <x:v>2</x:v>
      </x:c>
      <x:c r="F214" s="19" t="str">
        <x:v>长期消耗供给；提高每次叠加量，避免把所有候选改为高频地面散件</x:v>
      </x:c>
    </x:row>
    <x:row r="215" ht="19" customHeight="1">
      <x:c r="A215" s="19" t="str">
        <x:v>叠加数量</x:v>
      </x:c>
      <x:c r="B215" s="19" t="str">
        <x:v>C03-M052</x:v>
      </x:c>
      <x:c r="C215" s="19" t="str">
        <x:v>野兽骨片</x:v>
      </x:c>
      <x:c r="D215" s="19" t="str">
        <x:v>1</x:v>
      </x:c>
      <x:c r="E215" s="19" t="str">
        <x:v>2</x:v>
      </x:c>
      <x:c r="F215" s="19" t="str">
        <x:v>长期消耗供给；提高每次叠加量，避免把所有候选改为高频地面散件</x:v>
      </x:c>
    </x:row>
    <x:row r="216" ht="19" customHeight="1">
      <x:c r="A216" s="19" t="str">
        <x:v>叠加数量</x:v>
      </x:c>
      <x:c r="B216" s="19" t="str">
        <x:v>C03-M053</x:v>
      </x:c>
      <x:c r="C216" s="19" t="str">
        <x:v>野兽骨片</x:v>
      </x:c>
      <x:c r="D216" s="19" t="str">
        <x:v>1</x:v>
      </x:c>
      <x:c r="E216" s="19" t="str">
        <x:v>2</x:v>
      </x:c>
      <x:c r="F216" s="19" t="str">
        <x:v>长期消耗供给；提高每次叠加量，避免把所有候选改为高频地面散件</x:v>
      </x:c>
    </x:row>
    <x:row r="217" ht="19" customHeight="1">
      <x:c r="A217" s="19" t="str">
        <x:v>叠加数量</x:v>
      </x:c>
      <x:c r="B217" s="19" t="str">
        <x:v>C03-M054</x:v>
      </x:c>
      <x:c r="C217" s="19" t="str">
        <x:v>野兽骨片</x:v>
      </x:c>
      <x:c r="D217" s="19" t="str">
        <x:v>1</x:v>
      </x:c>
      <x:c r="E217" s="19" t="str">
        <x:v>2</x:v>
      </x:c>
      <x:c r="F217" s="19" t="str">
        <x:v>长期消耗供给；提高每次叠加量，避免把所有候选改为高频地面散件</x:v>
      </x:c>
    </x:row>
    <x:row r="218" ht="19" customHeight="1">
      <x:c r="A218" s="19" t="str">
        <x:v>叠加数量</x:v>
      </x:c>
      <x:c r="B218" s="19" t="str">
        <x:v>C03-M055</x:v>
      </x:c>
      <x:c r="C218" s="19" t="str">
        <x:v>野兽骨片</x:v>
      </x:c>
      <x:c r="D218" s="19" t="str">
        <x:v>1</x:v>
      </x:c>
      <x:c r="E218" s="19" t="str">
        <x:v>2</x:v>
      </x:c>
      <x:c r="F218" s="19" t="str">
        <x:v>长期消耗供给；提高每次叠加量，避免把所有候选改为高频地面散件</x:v>
      </x:c>
    </x:row>
    <x:row r="219" ht="19" customHeight="1">
      <x:c r="A219" s="19" t="str">
        <x:v>叠加数量</x:v>
      </x:c>
      <x:c r="B219" s="19" t="str">
        <x:v>C03-M056</x:v>
      </x:c>
      <x:c r="C219" s="19" t="str">
        <x:v>野兽骨片</x:v>
      </x:c>
      <x:c r="D219" s="19" t="str">
        <x:v>1</x:v>
      </x:c>
      <x:c r="E219" s="19" t="str">
        <x:v>2</x:v>
      </x:c>
      <x:c r="F219" s="19" t="str">
        <x:v>长期消耗供给；提高每次叠加量，避免把所有候选改为高频地面散件</x:v>
      </x:c>
    </x:row>
    <x:row r="220" ht="19" customHeight="1">
      <x:c r="A220" s="19" t="str">
        <x:v>叠加数量</x:v>
      </x:c>
      <x:c r="B220" s="19" t="str">
        <x:v>C03-M057</x:v>
      </x:c>
      <x:c r="C220" s="19" t="str">
        <x:v>野兽骨片</x:v>
      </x:c>
      <x:c r="D220" s="19" t="str">
        <x:v>1</x:v>
      </x:c>
      <x:c r="E220" s="19" t="str">
        <x:v>2</x:v>
      </x:c>
      <x:c r="F220" s="19" t="str">
        <x:v>长期消耗供给；提高每次叠加量，避免把所有候选改为高频地面散件</x:v>
      </x:c>
    </x:row>
    <x:row r="221" ht="19" customHeight="1">
      <x:c r="A221" s="19" t="str">
        <x:v>叠加数量</x:v>
      </x:c>
      <x:c r="B221" s="19" t="str">
        <x:v>C03-M058</x:v>
      </x:c>
      <x:c r="C221" s="19" t="str">
        <x:v>野兽骨片</x:v>
      </x:c>
      <x:c r="D221" s="19" t="str">
        <x:v>1</x:v>
      </x:c>
      <x:c r="E221" s="19" t="str">
        <x:v>2</x:v>
      </x:c>
      <x:c r="F221" s="19" t="str">
        <x:v>长期消耗供给；提高每次叠加量，避免把所有候选改为高频地面散件</x:v>
      </x:c>
    </x:row>
    <x:row r="222" ht="19" customHeight="1">
      <x:c r="A222" s="19" t="str">
        <x:v>叠加数量</x:v>
      </x:c>
      <x:c r="B222" s="19" t="str">
        <x:v>C03-M059</x:v>
      </x:c>
      <x:c r="C222" s="19" t="str">
        <x:v>野兽骨片</x:v>
      </x:c>
      <x:c r="D222" s="19" t="str">
        <x:v>1</x:v>
      </x:c>
      <x:c r="E222" s="19" t="str">
        <x:v>2</x:v>
      </x:c>
      <x:c r="F222" s="19" t="str">
        <x:v>长期消耗供给；提高每次叠加量，避免把所有候选改为高频地面散件</x:v>
      </x:c>
    </x:row>
    <x:row r="223" ht="19" customHeight="1">
      <x:c r="A223" s="19" t="str">
        <x:v>叠加数量</x:v>
      </x:c>
      <x:c r="B223" s="19" t="str">
        <x:v>C03-M060</x:v>
      </x:c>
      <x:c r="C223" s="19" t="str">
        <x:v>野兽骨片</x:v>
      </x:c>
      <x:c r="D223" s="19" t="str">
        <x:v>1</x:v>
      </x:c>
      <x:c r="E223" s="19" t="str">
        <x:v>2</x:v>
      </x:c>
      <x:c r="F223" s="19" t="str">
        <x:v>长期消耗供给；提高每次叠加量，避免把所有候选改为高频地面散件</x:v>
      </x:c>
    </x:row>
    <x:row r="224" ht="19" customHeight="1">
      <x:c r="A224" s="19" t="str">
        <x:v>叠加数量</x:v>
      </x:c>
      <x:c r="B224" s="19" t="str">
        <x:v>C03-M061</x:v>
      </x:c>
      <x:c r="C224" s="19" t="str">
        <x:v>野兽骨片</x:v>
      </x:c>
      <x:c r="D224" s="19" t="str">
        <x:v>1</x:v>
      </x:c>
      <x:c r="E224" s="19" t="str">
        <x:v>2</x:v>
      </x:c>
      <x:c r="F224" s="19" t="str">
        <x:v>长期消耗供给；提高每次叠加量，避免把所有候选改为高频地面散件</x:v>
      </x:c>
    </x:row>
    <x:row r="225" ht="19" customHeight="1">
      <x:c r="A225" s="19" t="str">
        <x:v>叠加数量</x:v>
      </x:c>
      <x:c r="B225" s="19" t="str">
        <x:v>C03-M062</x:v>
      </x:c>
      <x:c r="C225" s="19" t="str">
        <x:v>野兽骨片</x:v>
      </x:c>
      <x:c r="D225" s="19" t="str">
        <x:v>1</x:v>
      </x:c>
      <x:c r="E225" s="19" t="str">
        <x:v>2</x:v>
      </x:c>
      <x:c r="F225" s="19" t="str">
        <x:v>长期消耗供给；提高每次叠加量，避免把所有候选改为高频地面散件</x:v>
      </x:c>
    </x:row>
    <x:row r="226" ht="19" customHeight="1">
      <x:c r="A226" s="19" t="str">
        <x:v>叠加数量</x:v>
      </x:c>
      <x:c r="B226" s="19" t="str">
        <x:v>C03-M063</x:v>
      </x:c>
      <x:c r="C226" s="19" t="str">
        <x:v>野兽骨片</x:v>
      </x:c>
      <x:c r="D226" s="19" t="str">
        <x:v>1</x:v>
      </x:c>
      <x:c r="E226" s="19" t="str">
        <x:v>2</x:v>
      </x:c>
      <x:c r="F226" s="19" t="str">
        <x:v>长期消耗供给；提高每次叠加量，避免把所有候选改为高频地面散件</x:v>
      </x:c>
    </x:row>
    <x:row r="227" ht="19" customHeight="1">
      <x:c r="A227" s="19" t="str">
        <x:v>叠加数量</x:v>
      </x:c>
      <x:c r="B227" s="19" t="str">
        <x:v>C03-M064</x:v>
      </x:c>
      <x:c r="C227" s="19" t="str">
        <x:v>野兽骨片</x:v>
      </x:c>
      <x:c r="D227" s="19" t="str">
        <x:v>1</x:v>
      </x:c>
      <x:c r="E227" s="19" t="str">
        <x:v>2</x:v>
      </x:c>
      <x:c r="F227" s="19" t="str">
        <x:v>长期消耗供给；提高每次叠加量，避免把所有候选改为高频地面散件</x:v>
      </x:c>
    </x:row>
    <x:row r="228" ht="19" customHeight="1">
      <x:c r="A228" s="19" t="str">
        <x:v>叠加数量</x:v>
      </x:c>
      <x:c r="B228" s="19" t="str">
        <x:v>C03-M065</x:v>
      </x:c>
      <x:c r="C228" s="19" t="str">
        <x:v>野兽骨片</x:v>
      </x:c>
      <x:c r="D228" s="19" t="str">
        <x:v>1</x:v>
      </x:c>
      <x:c r="E228" s="19" t="str">
        <x:v>2</x:v>
      </x:c>
      <x:c r="F228" s="19" t="str">
        <x:v>长期消耗供给；提高每次叠加量，避免把所有候选改为高频地面散件</x:v>
      </x:c>
    </x:row>
    <x:row r="229" ht="19" customHeight="1">
      <x:c r="A229" s="19" t="str">
        <x:v>叠加数量</x:v>
      </x:c>
      <x:c r="B229" s="19" t="str">
        <x:v>C03-M066</x:v>
      </x:c>
      <x:c r="C229" s="19" t="str">
        <x:v>野兽骨片</x:v>
      </x:c>
      <x:c r="D229" s="19" t="str">
        <x:v>1</x:v>
      </x:c>
      <x:c r="E229" s="19" t="str">
        <x:v>2</x:v>
      </x:c>
      <x:c r="F229" s="19" t="str">
        <x:v>长期消耗供给；提高每次叠加量，避免把所有候选改为高频地面散件</x:v>
      </x:c>
    </x:row>
    <x:row r="230" ht="19" customHeight="1">
      <x:c r="A230" s="19" t="str">
        <x:v>叠加数量</x:v>
      </x:c>
      <x:c r="B230" s="19" t="str">
        <x:v>C03-M067</x:v>
      </x:c>
      <x:c r="C230" s="19" t="str">
        <x:v>野兽骨片</x:v>
      </x:c>
      <x:c r="D230" s="19" t="str">
        <x:v>1</x:v>
      </x:c>
      <x:c r="E230" s="19" t="str">
        <x:v>2</x:v>
      </x:c>
      <x:c r="F230" s="19" t="str">
        <x:v>长期消耗供给；提高每次叠加量，避免把所有候选改为高频地面散件</x:v>
      </x:c>
    </x:row>
    <x:row r="231" ht="19" customHeight="1">
      <x:c r="A231" s="19" t="str">
        <x:v>叠加数量</x:v>
      </x:c>
      <x:c r="B231" s="19" t="str">
        <x:v>C03-M068</x:v>
      </x:c>
      <x:c r="C231" s="19" t="str">
        <x:v>野兽骨片</x:v>
      </x:c>
      <x:c r="D231" s="19" t="str">
        <x:v>1</x:v>
      </x:c>
      <x:c r="E231" s="19" t="str">
        <x:v>2</x:v>
      </x:c>
      <x:c r="F231" s="19" t="str">
        <x:v>长期消耗供给；提高每次叠加量，避免把所有候选改为高频地面散件</x:v>
      </x:c>
    </x:row>
    <x:row r="232" ht="19" customHeight="1">
      <x:c r="A232" s="19" t="str">
        <x:v>叠加数量</x:v>
      </x:c>
      <x:c r="B232" s="19" t="str">
        <x:v>C03-M069</x:v>
      </x:c>
      <x:c r="C232" s="19" t="str">
        <x:v>野兽骨片</x:v>
      </x:c>
      <x:c r="D232" s="19" t="str">
        <x:v>1</x:v>
      </x:c>
      <x:c r="E232" s="19" t="str">
        <x:v>2</x:v>
      </x:c>
      <x:c r="F232" s="19" t="str">
        <x:v>长期消耗供给；提高每次叠加量，避免把所有候选改为高频地面散件</x:v>
      </x:c>
    </x:row>
    <x:row r="233" ht="19" customHeight="1">
      <x:c r="A233" s="19" t="str">
        <x:v>叠加数量</x:v>
      </x:c>
      <x:c r="B233" s="19" t="str">
        <x:v>C03-M070</x:v>
      </x:c>
      <x:c r="C233" s="19" t="str">
        <x:v>野兽骨片</x:v>
      </x:c>
      <x:c r="D233" s="19" t="str">
        <x:v>1</x:v>
      </x:c>
      <x:c r="E233" s="19" t="str">
        <x:v>2</x:v>
      </x:c>
      <x:c r="F233" s="19" t="str">
        <x:v>长期消耗供给；提高每次叠加量，避免把所有候选改为高频地面散件</x:v>
      </x:c>
    </x:row>
    <x:row r="234" ht="19" customHeight="1">
      <x:c r="A234" s="19" t="str">
        <x:v>叠加数量</x:v>
      </x:c>
      <x:c r="B234" s="19" t="str">
        <x:v>C03-M071</x:v>
      </x:c>
      <x:c r="C234" s="19" t="str">
        <x:v>野兽骨片</x:v>
      </x:c>
      <x:c r="D234" s="19" t="str">
        <x:v>1</x:v>
      </x:c>
      <x:c r="E234" s="19" t="str">
        <x:v>2</x:v>
      </x:c>
      <x:c r="F234" s="19" t="str">
        <x:v>长期消耗供给；提高每次叠加量，避免把所有候选改为高频地面散件</x:v>
      </x:c>
    </x:row>
    <x:row r="235" ht="19" customHeight="1">
      <x:c r="A235" s="19" t="str">
        <x:v>叠加数量</x:v>
      </x:c>
      <x:c r="B235" s="19" t="str">
        <x:v>C03-M072</x:v>
      </x:c>
      <x:c r="C235" s="19" t="str">
        <x:v>野兽骨片</x:v>
      </x:c>
      <x:c r="D235" s="19" t="str">
        <x:v>1</x:v>
      </x:c>
      <x:c r="E235" s="19" t="str">
        <x:v>2</x:v>
      </x:c>
      <x:c r="F235" s="19" t="str">
        <x:v>长期消耗供给；提高每次叠加量，避免把所有候选改为高频地面散件</x:v>
      </x:c>
    </x:row>
    <x:row r="236" ht="19" customHeight="1">
      <x:c r="A236" s="19" t="str">
        <x:v>叠加数量</x:v>
      </x:c>
      <x:c r="B236" s="19" t="str">
        <x:v>C04-M011</x:v>
      </x:c>
      <x:c r="C236" s="19" t="str">
        <x:v>沉湖王印</x:v>
      </x:c>
      <x:c r="D236" s="19" t="str">
        <x:v>1</x:v>
      </x:c>
      <x:c r="E236" s="19" t="str">
        <x:v>2</x:v>
      </x:c>
      <x:c r="F236" s="19" t="str">
        <x:v>长期消耗供给；提高每次叠加量，避免把所有候选改为高频地面散件</x:v>
      </x:c>
    </x:row>
    <x:row r="237" ht="19" customHeight="1">
      <x:c r="A237" s="19" t="str">
        <x:v>叠加数量</x:v>
      </x:c>
      <x:c r="B237" s="19" t="str">
        <x:v>C04-M012</x:v>
      </x:c>
      <x:c r="C237" s="19" t="str">
        <x:v>沉湖王印</x:v>
      </x:c>
      <x:c r="D237" s="19" t="str">
        <x:v>1</x:v>
      </x:c>
      <x:c r="E237" s="19" t="str">
        <x:v>2</x:v>
      </x:c>
      <x:c r="F237" s="19" t="str">
        <x:v>长期消耗供给；提高每次叠加量，避免把所有候选改为高频地面散件</x:v>
      </x:c>
    </x:row>
    <x:row r="238" ht="19" customHeight="1">
      <x:c r="A238" s="19" t="str">
        <x:v>叠加数量</x:v>
      </x:c>
      <x:c r="B238" s="19" t="str">
        <x:v>C04-M023</x:v>
      </x:c>
      <x:c r="C238" s="19" t="str">
        <x:v>沉湖王印</x:v>
      </x:c>
      <x:c r="D238" s="19" t="str">
        <x:v>1</x:v>
      </x:c>
      <x:c r="E238" s="19" t="str">
        <x:v>2</x:v>
      </x:c>
      <x:c r="F238" s="19" t="str">
        <x:v>长期消耗供给；提高每次叠加量，避免把所有候选改为高频地面散件</x:v>
      </x:c>
    </x:row>
    <x:row r="239" ht="19" customHeight="1">
      <x:c r="A239" s="19" t="str">
        <x:v>叠加数量</x:v>
      </x:c>
      <x:c r="B239" s="19" t="str">
        <x:v>C04-M024</x:v>
      </x:c>
      <x:c r="C239" s="19" t="str">
        <x:v>沉湖王印</x:v>
      </x:c>
      <x:c r="D239" s="19" t="str">
        <x:v>1</x:v>
      </x:c>
      <x:c r="E239" s="19" t="str">
        <x:v>2</x:v>
      </x:c>
      <x:c r="F239" s="19" t="str">
        <x:v>长期消耗供给；提高每次叠加量，避免把所有候选改为高频地面散件</x:v>
      </x:c>
    </x:row>
    <x:row r="240" ht="19" customHeight="1">
      <x:c r="A240" s="19" t="str">
        <x:v>叠加数量</x:v>
      </x:c>
      <x:c r="B240" s="19" t="str">
        <x:v>C04-M035</x:v>
      </x:c>
      <x:c r="C240" s="19" t="str">
        <x:v>沉湖王印</x:v>
      </x:c>
      <x:c r="D240" s="19" t="str">
        <x:v>1</x:v>
      </x:c>
      <x:c r="E240" s="19" t="str">
        <x:v>2</x:v>
      </x:c>
      <x:c r="F240" s="19" t="str">
        <x:v>长期消耗供给；提高每次叠加量，避免把所有候选改为高频地面散件</x:v>
      </x:c>
    </x:row>
    <x:row r="241" ht="19" customHeight="1">
      <x:c r="A241" s="19" t="str">
        <x:v>叠加数量</x:v>
      </x:c>
      <x:c r="B241" s="19" t="str">
        <x:v>C04-M036</x:v>
      </x:c>
      <x:c r="C241" s="19" t="str">
        <x:v>沉湖王印</x:v>
      </x:c>
      <x:c r="D241" s="19" t="str">
        <x:v>1</x:v>
      </x:c>
      <x:c r="E241" s="19" t="str">
        <x:v>2</x:v>
      </x:c>
      <x:c r="F241" s="19" t="str">
        <x:v>长期消耗供给；提高每次叠加量，避免把所有候选改为高频地面散件</x:v>
      </x:c>
    </x:row>
    <x:row r="242" ht="19" customHeight="1">
      <x:c r="A242" s="19" t="str">
        <x:v>叠加数量</x:v>
      </x:c>
      <x:c r="B242" s="19" t="str">
        <x:v>C04-M047</x:v>
      </x:c>
      <x:c r="C242" s="19" t="str">
        <x:v>沉湖王印</x:v>
      </x:c>
      <x:c r="D242" s="19" t="str">
        <x:v>1</x:v>
      </x:c>
      <x:c r="E242" s="19" t="str">
        <x:v>2</x:v>
      </x:c>
      <x:c r="F242" s="19" t="str">
        <x:v>长期消耗供给；提高每次叠加量，避免把所有候选改为高频地面散件</x:v>
      </x:c>
    </x:row>
    <x:row r="243" ht="19" customHeight="1">
      <x:c r="A243" s="19" t="str">
        <x:v>叠加数量</x:v>
      </x:c>
      <x:c r="B243" s="19" t="str">
        <x:v>C04-M048</x:v>
      </x:c>
      <x:c r="C243" s="19" t="str">
        <x:v>沉湖王印</x:v>
      </x:c>
      <x:c r="D243" s="19" t="str">
        <x:v>1</x:v>
      </x:c>
      <x:c r="E243" s="19" t="str">
        <x:v>2</x:v>
      </x:c>
      <x:c r="F243" s="19" t="str">
        <x:v>长期消耗供给；提高每次叠加量，避免把所有候选改为高频地面散件</x:v>
      </x:c>
    </x:row>
    <x:row r="244" ht="19" customHeight="1">
      <x:c r="A244" s="19" t="str">
        <x:v>叠加数量</x:v>
      </x:c>
      <x:c r="B244" s="19" t="str">
        <x:v>C04-M059</x:v>
      </x:c>
      <x:c r="C244" s="19" t="str">
        <x:v>沉湖王印</x:v>
      </x:c>
      <x:c r="D244" s="19" t="str">
        <x:v>1</x:v>
      </x:c>
      <x:c r="E244" s="19" t="str">
        <x:v>2</x:v>
      </x:c>
      <x:c r="F244" s="19" t="str">
        <x:v>长期消耗供给；提高每次叠加量，避免把所有候选改为高频地面散件</x:v>
      </x:c>
    </x:row>
    <x:row r="245" ht="19" customHeight="1">
      <x:c r="A245" s="19" t="str">
        <x:v>叠加数量</x:v>
      </x:c>
      <x:c r="B245" s="19" t="str">
        <x:v>C04-M060</x:v>
      </x:c>
      <x:c r="C245" s="19" t="str">
        <x:v>沉湖王印</x:v>
      </x:c>
      <x:c r="D245" s="19" t="str">
        <x:v>1</x:v>
      </x:c>
      <x:c r="E245" s="19" t="str">
        <x:v>2</x:v>
      </x:c>
      <x:c r="F245" s="19" t="str">
        <x:v>长期消耗供给；提高每次叠加量，避免把所有候选改为高频地面散件</x:v>
      </x:c>
    </x:row>
    <x:row r="246" ht="19" customHeight="1">
      <x:c r="A246" s="19" t="str">
        <x:v>叠加数量</x:v>
      </x:c>
      <x:c r="B246" s="19" t="str">
        <x:v>C04-M071</x:v>
      </x:c>
      <x:c r="C246" s="19" t="str">
        <x:v>沉湖王印</x:v>
      </x:c>
      <x:c r="D246" s="19" t="str">
        <x:v>1</x:v>
      </x:c>
      <x:c r="E246" s="19" t="str">
        <x:v>2</x:v>
      </x:c>
      <x:c r="F246" s="19" t="str">
        <x:v>长期消耗供给；提高每次叠加量，避免把所有候选改为高频地面散件</x:v>
      </x:c>
    </x:row>
    <x:row r="247" ht="19" customHeight="1">
      <x:c r="A247" s="19" t="str">
        <x:v>叠加数量</x:v>
      </x:c>
      <x:c r="B247" s="19" t="str">
        <x:v>C04-M072</x:v>
      </x:c>
      <x:c r="C247" s="19" t="str">
        <x:v>沉湖王印</x:v>
      </x:c>
      <x:c r="D247" s="19" t="str">
        <x:v>1</x:v>
      </x:c>
      <x:c r="E247" s="19" t="str">
        <x:v>2</x:v>
      </x:c>
      <x:c r="F247" s="19" t="str">
        <x:v>长期消耗供给；提高每次叠加量，避免把所有候选改为高频地面散件</x:v>
      </x:c>
    </x:row>
    <x:row r="248" ht="19" customHeight="1">
      <x:c r="A248" s="19" t="str">
        <x:v>叠加数量</x:v>
      </x:c>
      <x:c r="B248" s="19" t="str">
        <x:v>C04-M011</x:v>
      </x:c>
      <x:c r="C248" s="19" t="str">
        <x:v>深湖压舱印</x:v>
      </x:c>
      <x:c r="D248" s="19" t="str">
        <x:v>1</x:v>
      </x:c>
      <x:c r="E248" s="19" t="str">
        <x:v>2</x:v>
      </x:c>
      <x:c r="F248" s="19" t="str">
        <x:v>长期消耗供给；提高每次叠加量，避免把所有候选改为高频地面散件</x:v>
      </x:c>
    </x:row>
    <x:row r="249" ht="19" customHeight="1">
      <x:c r="A249" s="19" t="str">
        <x:v>叠加数量</x:v>
      </x:c>
      <x:c r="B249" s="19" t="str">
        <x:v>C04-M012</x:v>
      </x:c>
      <x:c r="C249" s="19" t="str">
        <x:v>深湖压舱印</x:v>
      </x:c>
      <x:c r="D249" s="19" t="str">
        <x:v>1</x:v>
      </x:c>
      <x:c r="E249" s="19" t="str">
        <x:v>2</x:v>
      </x:c>
      <x:c r="F249" s="19" t="str">
        <x:v>长期消耗供给；提高每次叠加量，避免把所有候选改为高频地面散件</x:v>
      </x:c>
    </x:row>
    <x:row r="250" ht="19" customHeight="1">
      <x:c r="A250" s="19" t="str">
        <x:v>叠加数量</x:v>
      </x:c>
      <x:c r="B250" s="19" t="str">
        <x:v>C04-M023</x:v>
      </x:c>
      <x:c r="C250" s="19" t="str">
        <x:v>深湖压舱印</x:v>
      </x:c>
      <x:c r="D250" s="19" t="str">
        <x:v>1</x:v>
      </x:c>
      <x:c r="E250" s="19" t="str">
        <x:v>2</x:v>
      </x:c>
      <x:c r="F250" s="19" t="str">
        <x:v>长期消耗供给；提高每次叠加量，避免把所有候选改为高频地面散件</x:v>
      </x:c>
    </x:row>
    <x:row r="251" ht="19" customHeight="1">
      <x:c r="A251" s="19" t="str">
        <x:v>叠加数量</x:v>
      </x:c>
      <x:c r="B251" s="19" t="str">
        <x:v>C04-M024</x:v>
      </x:c>
      <x:c r="C251" s="19" t="str">
        <x:v>深湖压舱印</x:v>
      </x:c>
      <x:c r="D251" s="19" t="str">
        <x:v>1</x:v>
      </x:c>
      <x:c r="E251" s="19" t="str">
        <x:v>2</x:v>
      </x:c>
      <x:c r="F251" s="19" t="str">
        <x:v>长期消耗供给；提高每次叠加量，避免把所有候选改为高频地面散件</x:v>
      </x:c>
    </x:row>
    <x:row r="252" ht="19" customHeight="1">
      <x:c r="A252" s="19" t="str">
        <x:v>叠加数量</x:v>
      </x:c>
      <x:c r="B252" s="19" t="str">
        <x:v>C04-M035</x:v>
      </x:c>
      <x:c r="C252" s="19" t="str">
        <x:v>深湖压舱印</x:v>
      </x:c>
      <x:c r="D252" s="19" t="str">
        <x:v>1</x:v>
      </x:c>
      <x:c r="E252" s="19" t="str">
        <x:v>2</x:v>
      </x:c>
      <x:c r="F252" s="19" t="str">
        <x:v>长期消耗供给；提高每次叠加量，避免把所有候选改为高频地面散件</x:v>
      </x:c>
    </x:row>
    <x:row r="253" ht="19" customHeight="1">
      <x:c r="A253" s="19" t="str">
        <x:v>叠加数量</x:v>
      </x:c>
      <x:c r="B253" s="19" t="str">
        <x:v>C04-M036</x:v>
      </x:c>
      <x:c r="C253" s="19" t="str">
        <x:v>深湖压舱印</x:v>
      </x:c>
      <x:c r="D253" s="19" t="str">
        <x:v>1</x:v>
      </x:c>
      <x:c r="E253" s="19" t="str">
        <x:v>2</x:v>
      </x:c>
      <x:c r="F253" s="19" t="str">
        <x:v>长期消耗供给；提高每次叠加量，避免把所有候选改为高频地面散件</x:v>
      </x:c>
    </x:row>
    <x:row r="254" ht="19" customHeight="1">
      <x:c r="A254" s="19" t="str">
        <x:v>叠加数量</x:v>
      </x:c>
      <x:c r="B254" s="19" t="str">
        <x:v>C04-M047</x:v>
      </x:c>
      <x:c r="C254" s="19" t="str">
        <x:v>深湖压舱印</x:v>
      </x:c>
      <x:c r="D254" s="19" t="str">
        <x:v>1</x:v>
      </x:c>
      <x:c r="E254" s="19" t="str">
        <x:v>2</x:v>
      </x:c>
      <x:c r="F254" s="19" t="str">
        <x:v>长期消耗供给；提高每次叠加量，避免把所有候选改为高频地面散件</x:v>
      </x:c>
    </x:row>
    <x:row r="255" ht="19" customHeight="1">
      <x:c r="A255" s="19" t="str">
        <x:v>叠加数量</x:v>
      </x:c>
      <x:c r="B255" s="19" t="str">
        <x:v>C04-M048</x:v>
      </x:c>
      <x:c r="C255" s="19" t="str">
        <x:v>深湖压舱印</x:v>
      </x:c>
      <x:c r="D255" s="19" t="str">
        <x:v>1</x:v>
      </x:c>
      <x:c r="E255" s="19" t="str">
        <x:v>2</x:v>
      </x:c>
      <x:c r="F255" s="19" t="str">
        <x:v>长期消耗供给；提高每次叠加量，避免把所有候选改为高频地面散件</x:v>
      </x:c>
    </x:row>
    <x:row r="256" ht="19" customHeight="1">
      <x:c r="A256" s="19" t="str">
        <x:v>叠加数量</x:v>
      </x:c>
      <x:c r="B256" s="19" t="str">
        <x:v>C04-M059</x:v>
      </x:c>
      <x:c r="C256" s="19" t="str">
        <x:v>深湖压舱印</x:v>
      </x:c>
      <x:c r="D256" s="19" t="str">
        <x:v>1</x:v>
      </x:c>
      <x:c r="E256" s="19" t="str">
        <x:v>2</x:v>
      </x:c>
      <x:c r="F256" s="19" t="str">
        <x:v>长期消耗供给；提高每次叠加量，避免把所有候选改为高频地面散件</x:v>
      </x:c>
    </x:row>
    <x:row r="257" ht="19" customHeight="1">
      <x:c r="A257" s="19" t="str">
        <x:v>叠加数量</x:v>
      </x:c>
      <x:c r="B257" s="19" t="str">
        <x:v>C04-M060</x:v>
      </x:c>
      <x:c r="C257" s="19" t="str">
        <x:v>深湖压舱印</x:v>
      </x:c>
      <x:c r="D257" s="19" t="str">
        <x:v>1</x:v>
      </x:c>
      <x:c r="E257" s="19" t="str">
        <x:v>2</x:v>
      </x:c>
      <x:c r="F257" s="19" t="str">
        <x:v>长期消耗供给；提高每次叠加量，避免把所有候选改为高频地面散件</x:v>
      </x:c>
    </x:row>
    <x:row r="258" ht="19" customHeight="1">
      <x:c r="A258" s="19" t="str">
        <x:v>叠加数量</x:v>
      </x:c>
      <x:c r="B258" s="19" t="str">
        <x:v>C04-M071</x:v>
      </x:c>
      <x:c r="C258" s="19" t="str">
        <x:v>深湖压舱印</x:v>
      </x:c>
      <x:c r="D258" s="19" t="str">
        <x:v>1</x:v>
      </x:c>
      <x:c r="E258" s="19" t="str">
        <x:v>2</x:v>
      </x:c>
      <x:c r="F258" s="19" t="str">
        <x:v>长期消耗供给；提高每次叠加量，避免把所有候选改为高频地面散件</x:v>
      </x:c>
    </x:row>
    <x:row r="259" ht="19" customHeight="1">
      <x:c r="A259" s="19" t="str">
        <x:v>叠加数量</x:v>
      </x:c>
      <x:c r="B259" s="19" t="str">
        <x:v>C04-M072</x:v>
      </x:c>
      <x:c r="C259" s="19" t="str">
        <x:v>深湖压舱印</x:v>
      </x:c>
      <x:c r="D259" s="19" t="str">
        <x:v>1</x:v>
      </x:c>
      <x:c r="E259" s="19" t="str">
        <x:v>2</x:v>
      </x:c>
      <x:c r="F259" s="19" t="str">
        <x:v>长期消耗供给；提高每次叠加量，避免把所有候选改为高频地面散件</x:v>
      </x:c>
    </x:row>
    <x:row r="260" ht="19" customHeight="1">
      <x:c r="A260" s="19" t="str">
        <x:v>叠加数量</x:v>
      </x:c>
      <x:c r="B260" s="19" t="str">
        <x:v>C04-M001</x:v>
      </x:c>
      <x:c r="C260" s="19" t="str">
        <x:v>野兽骨片</x:v>
      </x:c>
      <x:c r="D260" s="19" t="str">
        <x:v>1</x:v>
      </x:c>
      <x:c r="E260" s="19" t="str">
        <x:v>2</x:v>
      </x:c>
      <x:c r="F260" s="19" t="str">
        <x:v>长期消耗供给；提高每次叠加量，避免把所有候选改为高频地面散件</x:v>
      </x:c>
    </x:row>
    <x:row r="261" ht="19" customHeight="1">
      <x:c r="A261" s="19" t="str">
        <x:v>叠加数量</x:v>
      </x:c>
      <x:c r="B261" s="19" t="str">
        <x:v>C04-M002</x:v>
      </x:c>
      <x:c r="C261" s="19" t="str">
        <x:v>野兽骨片</x:v>
      </x:c>
      <x:c r="D261" s="19" t="str">
        <x:v>1</x:v>
      </x:c>
      <x:c r="E261" s="19" t="str">
        <x:v>2</x:v>
      </x:c>
      <x:c r="F261" s="19" t="str">
        <x:v>长期消耗供给；提高每次叠加量，避免把所有候选改为高频地面散件</x:v>
      </x:c>
    </x:row>
    <x:row r="262" ht="19" customHeight="1">
      <x:c r="A262" s="19" t="str">
        <x:v>叠加数量</x:v>
      </x:c>
      <x:c r="B262" s="19" t="str">
        <x:v>C04-M003</x:v>
      </x:c>
      <x:c r="C262" s="19" t="str">
        <x:v>野兽骨片</x:v>
      </x:c>
      <x:c r="D262" s="19" t="str">
        <x:v>1</x:v>
      </x:c>
      <x:c r="E262" s="19" t="str">
        <x:v>2</x:v>
      </x:c>
      <x:c r="F262" s="19" t="str">
        <x:v>长期消耗供给；提高每次叠加量，避免把所有候选改为高频地面散件</x:v>
      </x:c>
    </x:row>
    <x:row r="263" ht="19" customHeight="1">
      <x:c r="A263" s="19" t="str">
        <x:v>叠加数量</x:v>
      </x:c>
      <x:c r="B263" s="19" t="str">
        <x:v>C04-M004</x:v>
      </x:c>
      <x:c r="C263" s="19" t="str">
        <x:v>野兽骨片</x:v>
      </x:c>
      <x:c r="D263" s="19" t="str">
        <x:v>1</x:v>
      </x:c>
      <x:c r="E263" s="19" t="str">
        <x:v>2</x:v>
      </x:c>
      <x:c r="F263" s="19" t="str">
        <x:v>长期消耗供给；提高每次叠加量，避免把所有候选改为高频地面散件</x:v>
      </x:c>
    </x:row>
    <x:row r="264" ht="19" customHeight="1">
      <x:c r="A264" s="19" t="str">
        <x:v>叠加数量</x:v>
      </x:c>
      <x:c r="B264" s="19" t="str">
        <x:v>C04-M005</x:v>
      </x:c>
      <x:c r="C264" s="19" t="str">
        <x:v>野兽骨片</x:v>
      </x:c>
      <x:c r="D264" s="19" t="str">
        <x:v>1</x:v>
      </x:c>
      <x:c r="E264" s="19" t="str">
        <x:v>2</x:v>
      </x:c>
      <x:c r="F264" s="19" t="str">
        <x:v>长期消耗供给；提高每次叠加量，避免把所有候选改为高频地面散件</x:v>
      </x:c>
    </x:row>
    <x:row r="265" ht="19" customHeight="1">
      <x:c r="A265" s="19" t="str">
        <x:v>叠加数量</x:v>
      </x:c>
      <x:c r="B265" s="19" t="str">
        <x:v>C04-M006</x:v>
      </x:c>
      <x:c r="C265" s="19" t="str">
        <x:v>野兽骨片</x:v>
      </x:c>
      <x:c r="D265" s="19" t="str">
        <x:v>1</x:v>
      </x:c>
      <x:c r="E265" s="19" t="str">
        <x:v>2</x:v>
      </x:c>
      <x:c r="F265" s="19" t="str">
        <x:v>长期消耗供给；提高每次叠加量，避免把所有候选改为高频地面散件</x:v>
      </x:c>
    </x:row>
    <x:row r="266" ht="19" customHeight="1">
      <x:c r="A266" s="19" t="str">
        <x:v>叠加数量</x:v>
      </x:c>
      <x:c r="B266" s="19" t="str">
        <x:v>C04-M007</x:v>
      </x:c>
      <x:c r="C266" s="19" t="str">
        <x:v>野兽骨片</x:v>
      </x:c>
      <x:c r="D266" s="19" t="str">
        <x:v>1</x:v>
      </x:c>
      <x:c r="E266" s="19" t="str">
        <x:v>2</x:v>
      </x:c>
      <x:c r="F266" s="19" t="str">
        <x:v>长期消耗供给；提高每次叠加量，避免把所有候选改为高频地面散件</x:v>
      </x:c>
    </x:row>
    <x:row r="267" ht="19" customHeight="1">
      <x:c r="A267" s="19" t="str">
        <x:v>叠加数量</x:v>
      </x:c>
      <x:c r="B267" s="19" t="str">
        <x:v>C04-M008</x:v>
      </x:c>
      <x:c r="C267" s="19" t="str">
        <x:v>野兽骨片</x:v>
      </x:c>
      <x:c r="D267" s="19" t="str">
        <x:v>1</x:v>
      </x:c>
      <x:c r="E267" s="19" t="str">
        <x:v>2</x:v>
      </x:c>
      <x:c r="F267" s="19" t="str">
        <x:v>长期消耗供给；提高每次叠加量，避免把所有候选改为高频地面散件</x:v>
      </x:c>
    </x:row>
    <x:row r="268" ht="19" customHeight="1">
      <x:c r="A268" s="19" t="str">
        <x:v>叠加数量</x:v>
      </x:c>
      <x:c r="B268" s="19" t="str">
        <x:v>C04-M009</x:v>
      </x:c>
      <x:c r="C268" s="19" t="str">
        <x:v>野兽骨片</x:v>
      </x:c>
      <x:c r="D268" s="19" t="str">
        <x:v>1</x:v>
      </x:c>
      <x:c r="E268" s="19" t="str">
        <x:v>2</x:v>
      </x:c>
      <x:c r="F268" s="19" t="str">
        <x:v>长期消耗供给；提高每次叠加量，避免把所有候选改为高频地面散件</x:v>
      </x:c>
    </x:row>
    <x:row r="269" ht="19" customHeight="1">
      <x:c r="A269" s="19" t="str">
        <x:v>叠加数量</x:v>
      </x:c>
      <x:c r="B269" s="19" t="str">
        <x:v>C04-M010</x:v>
      </x:c>
      <x:c r="C269" s="19" t="str">
        <x:v>野兽骨片</x:v>
      </x:c>
      <x:c r="D269" s="19" t="str">
        <x:v>1</x:v>
      </x:c>
      <x:c r="E269" s="19" t="str">
        <x:v>2</x:v>
      </x:c>
      <x:c r="F269" s="19" t="str">
        <x:v>长期消耗供给；提高每次叠加量，避免把所有候选改为高频地面散件</x:v>
      </x:c>
    </x:row>
    <x:row r="270" ht="19" customHeight="1">
      <x:c r="A270" s="19" t="str">
        <x:v>叠加数量</x:v>
      </x:c>
      <x:c r="B270" s="19" t="str">
        <x:v>C04-M011</x:v>
      </x:c>
      <x:c r="C270" s="19" t="str">
        <x:v>野兽骨片</x:v>
      </x:c>
      <x:c r="D270" s="19" t="str">
        <x:v>1</x:v>
      </x:c>
      <x:c r="E270" s="19" t="str">
        <x:v>2</x:v>
      </x:c>
      <x:c r="F270" s="19" t="str">
        <x:v>长期消耗供给；提高每次叠加量，避免把所有候选改为高频地面散件</x:v>
      </x:c>
    </x:row>
    <x:row r="271" ht="19" customHeight="1">
      <x:c r="A271" s="19" t="str">
        <x:v>叠加数量</x:v>
      </x:c>
      <x:c r="B271" s="19" t="str">
        <x:v>C04-M012</x:v>
      </x:c>
      <x:c r="C271" s="19" t="str">
        <x:v>野兽骨片</x:v>
      </x:c>
      <x:c r="D271" s="19" t="str">
        <x:v>1</x:v>
      </x:c>
      <x:c r="E271" s="19" t="str">
        <x:v>2</x:v>
      </x:c>
      <x:c r="F271" s="19" t="str">
        <x:v>长期消耗供给；提高每次叠加量，避免把所有候选改为高频地面散件</x:v>
      </x:c>
    </x:row>
    <x:row r="272" ht="19" customHeight="1">
      <x:c r="A272" s="19" t="str">
        <x:v>叠加数量</x:v>
      </x:c>
      <x:c r="B272" s="19" t="str">
        <x:v>C04-M013</x:v>
      </x:c>
      <x:c r="C272" s="19" t="str">
        <x:v>野兽骨片</x:v>
      </x:c>
      <x:c r="D272" s="19" t="str">
        <x:v>1</x:v>
      </x:c>
      <x:c r="E272" s="19" t="str">
        <x:v>2</x:v>
      </x:c>
      <x:c r="F272" s="19" t="str">
        <x:v>长期消耗供给；提高每次叠加量，避免把所有候选改为高频地面散件</x:v>
      </x:c>
    </x:row>
    <x:row r="273" ht="19" customHeight="1">
      <x:c r="A273" s="19" t="str">
        <x:v>叠加数量</x:v>
      </x:c>
      <x:c r="B273" s="19" t="str">
        <x:v>C04-M014</x:v>
      </x:c>
      <x:c r="C273" s="19" t="str">
        <x:v>野兽骨片</x:v>
      </x:c>
      <x:c r="D273" s="19" t="str">
        <x:v>1</x:v>
      </x:c>
      <x:c r="E273" s="19" t="str">
        <x:v>2</x:v>
      </x:c>
      <x:c r="F273" s="19" t="str">
        <x:v>长期消耗供给；提高每次叠加量，避免把所有候选改为高频地面散件</x:v>
      </x:c>
    </x:row>
    <x:row r="274" ht="19" customHeight="1">
      <x:c r="A274" s="19" t="str">
        <x:v>叠加数量</x:v>
      </x:c>
      <x:c r="B274" s="19" t="str">
        <x:v>C04-M015</x:v>
      </x:c>
      <x:c r="C274" s="19" t="str">
        <x:v>野兽骨片</x:v>
      </x:c>
      <x:c r="D274" s="19" t="str">
        <x:v>1</x:v>
      </x:c>
      <x:c r="E274" s="19" t="str">
        <x:v>2</x:v>
      </x:c>
      <x:c r="F274" s="19" t="str">
        <x:v>长期消耗供给；提高每次叠加量，避免把所有候选改为高频地面散件</x:v>
      </x:c>
    </x:row>
    <x:row r="275" ht="19" customHeight="1">
      <x:c r="A275" s="19" t="str">
        <x:v>叠加数量</x:v>
      </x:c>
      <x:c r="B275" s="19" t="str">
        <x:v>C04-M016</x:v>
      </x:c>
      <x:c r="C275" s="19" t="str">
        <x:v>野兽骨片</x:v>
      </x:c>
      <x:c r="D275" s="19" t="str">
        <x:v>1</x:v>
      </x:c>
      <x:c r="E275" s="19" t="str">
        <x:v>2</x:v>
      </x:c>
      <x:c r="F275" s="19" t="str">
        <x:v>长期消耗供给；提高每次叠加量，避免把所有候选改为高频地面散件</x:v>
      </x:c>
    </x:row>
    <x:row r="276" ht="19" customHeight="1">
      <x:c r="A276" s="19" t="str">
        <x:v>叠加数量</x:v>
      </x:c>
      <x:c r="B276" s="19" t="str">
        <x:v>C04-M017</x:v>
      </x:c>
      <x:c r="C276" s="19" t="str">
        <x:v>野兽骨片</x:v>
      </x:c>
      <x:c r="D276" s="19" t="str">
        <x:v>1</x:v>
      </x:c>
      <x:c r="E276" s="19" t="str">
        <x:v>2</x:v>
      </x:c>
      <x:c r="F276" s="19" t="str">
        <x:v>长期消耗供给；提高每次叠加量，避免把所有候选改为高频地面散件</x:v>
      </x:c>
    </x:row>
    <x:row r="277" ht="19" customHeight="1">
      <x:c r="A277" s="19" t="str">
        <x:v>叠加数量</x:v>
      </x:c>
      <x:c r="B277" s="19" t="str">
        <x:v>C04-M018</x:v>
      </x:c>
      <x:c r="C277" s="19" t="str">
        <x:v>野兽骨片</x:v>
      </x:c>
      <x:c r="D277" s="19" t="str">
        <x:v>1</x:v>
      </x:c>
      <x:c r="E277" s="19" t="str">
        <x:v>2</x:v>
      </x:c>
      <x:c r="F277" s="19" t="str">
        <x:v>长期消耗供给；提高每次叠加量，避免把所有候选改为高频地面散件</x:v>
      </x:c>
    </x:row>
    <x:row r="278" ht="19" customHeight="1">
      <x:c r="A278" s="19" t="str">
        <x:v>叠加数量</x:v>
      </x:c>
      <x:c r="B278" s="19" t="str">
        <x:v>C04-M019</x:v>
      </x:c>
      <x:c r="C278" s="19" t="str">
        <x:v>野兽骨片</x:v>
      </x:c>
      <x:c r="D278" s="19" t="str">
        <x:v>1</x:v>
      </x:c>
      <x:c r="E278" s="19" t="str">
        <x:v>2</x:v>
      </x:c>
      <x:c r="F278" s="19" t="str">
        <x:v>长期消耗供给；提高每次叠加量，避免把所有候选改为高频地面散件</x:v>
      </x:c>
    </x:row>
    <x:row r="279" ht="19" customHeight="1">
      <x:c r="A279" s="19" t="str">
        <x:v>叠加数量</x:v>
      </x:c>
      <x:c r="B279" s="19" t="str">
        <x:v>C04-M020</x:v>
      </x:c>
      <x:c r="C279" s="19" t="str">
        <x:v>野兽骨片</x:v>
      </x:c>
      <x:c r="D279" s="19" t="str">
        <x:v>1</x:v>
      </x:c>
      <x:c r="E279" s="19" t="str">
        <x:v>2</x:v>
      </x:c>
      <x:c r="F279" s="19" t="str">
        <x:v>长期消耗供给；提高每次叠加量，避免把所有候选改为高频地面散件</x:v>
      </x:c>
    </x:row>
    <x:row r="280" ht="19" customHeight="1">
      <x:c r="A280" s="19" t="str">
        <x:v>叠加数量</x:v>
      </x:c>
      <x:c r="B280" s="19" t="str">
        <x:v>C04-M021</x:v>
      </x:c>
      <x:c r="C280" s="19" t="str">
        <x:v>野兽骨片</x:v>
      </x:c>
      <x:c r="D280" s="19" t="str">
        <x:v>1</x:v>
      </x:c>
      <x:c r="E280" s="19" t="str">
        <x:v>2</x:v>
      </x:c>
      <x:c r="F280" s="19" t="str">
        <x:v>长期消耗供给；提高每次叠加量，避免把所有候选改为高频地面散件</x:v>
      </x:c>
    </x:row>
    <x:row r="281" ht="19" customHeight="1">
      <x:c r="A281" s="19" t="str">
        <x:v>叠加数量</x:v>
      </x:c>
      <x:c r="B281" s="19" t="str">
        <x:v>C04-M022</x:v>
      </x:c>
      <x:c r="C281" s="19" t="str">
        <x:v>野兽骨片</x:v>
      </x:c>
      <x:c r="D281" s="19" t="str">
        <x:v>1</x:v>
      </x:c>
      <x:c r="E281" s="19" t="str">
        <x:v>2</x:v>
      </x:c>
      <x:c r="F281" s="19" t="str">
        <x:v>长期消耗供给；提高每次叠加量，避免把所有候选改为高频地面散件</x:v>
      </x:c>
    </x:row>
    <x:row r="282" ht="19" customHeight="1">
      <x:c r="A282" s="19" t="str">
        <x:v>叠加数量</x:v>
      </x:c>
      <x:c r="B282" s="19" t="str">
        <x:v>C04-M023</x:v>
      </x:c>
      <x:c r="C282" s="19" t="str">
        <x:v>野兽骨片</x:v>
      </x:c>
      <x:c r="D282" s="19" t="str">
        <x:v>1</x:v>
      </x:c>
      <x:c r="E282" s="19" t="str">
        <x:v>2</x:v>
      </x:c>
      <x:c r="F282" s="19" t="str">
        <x:v>长期消耗供给；提高每次叠加量，避免把所有候选改为高频地面散件</x:v>
      </x:c>
    </x:row>
    <x:row r="283" ht="19" customHeight="1">
      <x:c r="A283" s="19" t="str">
        <x:v>叠加数量</x:v>
      </x:c>
      <x:c r="B283" s="19" t="str">
        <x:v>C04-M024</x:v>
      </x:c>
      <x:c r="C283" s="19" t="str">
        <x:v>野兽骨片</x:v>
      </x:c>
      <x:c r="D283" s="19" t="str">
        <x:v>1</x:v>
      </x:c>
      <x:c r="E283" s="19" t="str">
        <x:v>2</x:v>
      </x:c>
      <x:c r="F283" s="19" t="str">
        <x:v>长期消耗供给；提高每次叠加量，避免把所有候选改为高频地面散件</x:v>
      </x:c>
    </x:row>
    <x:row r="284" ht="19" customHeight="1">
      <x:c r="A284" s="19" t="str">
        <x:v>叠加数量</x:v>
      </x:c>
      <x:c r="B284" s="19" t="str">
        <x:v>C04-M025</x:v>
      </x:c>
      <x:c r="C284" s="19" t="str">
        <x:v>野兽骨片</x:v>
      </x:c>
      <x:c r="D284" s="19" t="str">
        <x:v>1</x:v>
      </x:c>
      <x:c r="E284" s="19" t="str">
        <x:v>2</x:v>
      </x:c>
      <x:c r="F284" s="19" t="str">
        <x:v>长期消耗供给；提高每次叠加量，避免把所有候选改为高频地面散件</x:v>
      </x:c>
    </x:row>
    <x:row r="285" ht="19" customHeight="1">
      <x:c r="A285" s="19" t="str">
        <x:v>叠加数量</x:v>
      </x:c>
      <x:c r="B285" s="19" t="str">
        <x:v>C04-M026</x:v>
      </x:c>
      <x:c r="C285" s="19" t="str">
        <x:v>野兽骨片</x:v>
      </x:c>
      <x:c r="D285" s="19" t="str">
        <x:v>1</x:v>
      </x:c>
      <x:c r="E285" s="19" t="str">
        <x:v>2</x:v>
      </x:c>
      <x:c r="F285" s="19" t="str">
        <x:v>长期消耗供给；提高每次叠加量，避免把所有候选改为高频地面散件</x:v>
      </x:c>
    </x:row>
    <x:row r="286" ht="19" customHeight="1">
      <x:c r="A286" s="19" t="str">
        <x:v>叠加数量</x:v>
      </x:c>
      <x:c r="B286" s="19" t="str">
        <x:v>C04-M027</x:v>
      </x:c>
      <x:c r="C286" s="19" t="str">
        <x:v>野兽骨片</x:v>
      </x:c>
      <x:c r="D286" s="19" t="str">
        <x:v>1</x:v>
      </x:c>
      <x:c r="E286" s="19" t="str">
        <x:v>2</x:v>
      </x:c>
      <x:c r="F286" s="19" t="str">
        <x:v>长期消耗供给；提高每次叠加量，避免把所有候选改为高频地面散件</x:v>
      </x:c>
    </x:row>
    <x:row r="287" ht="19" customHeight="1">
      <x:c r="A287" s="19" t="str">
        <x:v>叠加数量</x:v>
      </x:c>
      <x:c r="B287" s="19" t="str">
        <x:v>C04-M028</x:v>
      </x:c>
      <x:c r="C287" s="19" t="str">
        <x:v>野兽骨片</x:v>
      </x:c>
      <x:c r="D287" s="19" t="str">
        <x:v>1</x:v>
      </x:c>
      <x:c r="E287" s="19" t="str">
        <x:v>2</x:v>
      </x:c>
      <x:c r="F287" s="19" t="str">
        <x:v>长期消耗供给；提高每次叠加量，避免把所有候选改为高频地面散件</x:v>
      </x:c>
    </x:row>
    <x:row r="288" ht="19" customHeight="1">
      <x:c r="A288" s="19" t="str">
        <x:v>叠加数量</x:v>
      </x:c>
      <x:c r="B288" s="19" t="str">
        <x:v>C04-M029</x:v>
      </x:c>
      <x:c r="C288" s="19" t="str">
        <x:v>野兽骨片</x:v>
      </x:c>
      <x:c r="D288" s="19" t="str">
        <x:v>1</x:v>
      </x:c>
      <x:c r="E288" s="19" t="str">
        <x:v>2</x:v>
      </x:c>
      <x:c r="F288" s="19" t="str">
        <x:v>长期消耗供给；提高每次叠加量，避免把所有候选改为高频地面散件</x:v>
      </x:c>
    </x:row>
    <x:row r="289" ht="19" customHeight="1">
      <x:c r="A289" s="19" t="str">
        <x:v>叠加数量</x:v>
      </x:c>
      <x:c r="B289" s="19" t="str">
        <x:v>C04-M030</x:v>
      </x:c>
      <x:c r="C289" s="19" t="str">
        <x:v>野兽骨片</x:v>
      </x:c>
      <x:c r="D289" s="19" t="str">
        <x:v>1</x:v>
      </x:c>
      <x:c r="E289" s="19" t="str">
        <x:v>2</x:v>
      </x:c>
      <x:c r="F289" s="19" t="str">
        <x:v>长期消耗供给；提高每次叠加量，避免把所有候选改为高频地面散件</x:v>
      </x:c>
    </x:row>
    <x:row r="290" ht="19" customHeight="1">
      <x:c r="A290" s="19" t="str">
        <x:v>叠加数量</x:v>
      </x:c>
      <x:c r="B290" s="19" t="str">
        <x:v>C04-M031</x:v>
      </x:c>
      <x:c r="C290" s="19" t="str">
        <x:v>野兽骨片</x:v>
      </x:c>
      <x:c r="D290" s="19" t="str">
        <x:v>1</x:v>
      </x:c>
      <x:c r="E290" s="19" t="str">
        <x:v>2</x:v>
      </x:c>
      <x:c r="F290" s="19" t="str">
        <x:v>长期消耗供给；提高每次叠加量，避免把所有候选改为高频地面散件</x:v>
      </x:c>
    </x:row>
    <x:row r="291" ht="19" customHeight="1">
      <x:c r="A291" s="19" t="str">
        <x:v>叠加数量</x:v>
      </x:c>
      <x:c r="B291" s="19" t="str">
        <x:v>C04-M032</x:v>
      </x:c>
      <x:c r="C291" s="19" t="str">
        <x:v>野兽骨片</x:v>
      </x:c>
      <x:c r="D291" s="19" t="str">
        <x:v>1</x:v>
      </x:c>
      <x:c r="E291" s="19" t="str">
        <x:v>2</x:v>
      </x:c>
      <x:c r="F291" s="19" t="str">
        <x:v>长期消耗供给；提高每次叠加量，避免把所有候选改为高频地面散件</x:v>
      </x:c>
    </x:row>
    <x:row r="292" ht="19" customHeight="1">
      <x:c r="A292" s="19" t="str">
        <x:v>叠加数量</x:v>
      </x:c>
      <x:c r="B292" s="19" t="str">
        <x:v>C04-M033</x:v>
      </x:c>
      <x:c r="C292" s="19" t="str">
        <x:v>野兽骨片</x:v>
      </x:c>
      <x:c r="D292" s="19" t="str">
        <x:v>1</x:v>
      </x:c>
      <x:c r="E292" s="19" t="str">
        <x:v>2</x:v>
      </x:c>
      <x:c r="F292" s="19" t="str">
        <x:v>长期消耗供给；提高每次叠加量，避免把所有候选改为高频地面散件</x:v>
      </x:c>
    </x:row>
    <x:row r="293" ht="19" customHeight="1">
      <x:c r="A293" s="19" t="str">
        <x:v>叠加数量</x:v>
      </x:c>
      <x:c r="B293" s="19" t="str">
        <x:v>C04-M034</x:v>
      </x:c>
      <x:c r="C293" s="19" t="str">
        <x:v>野兽骨片</x:v>
      </x:c>
      <x:c r="D293" s="19" t="str">
        <x:v>1</x:v>
      </x:c>
      <x:c r="E293" s="19" t="str">
        <x:v>2</x:v>
      </x:c>
      <x:c r="F293" s="19" t="str">
        <x:v>长期消耗供给；提高每次叠加量，避免把所有候选改为高频地面散件</x:v>
      </x:c>
    </x:row>
    <x:row r="294" ht="19" customHeight="1">
      <x:c r="A294" s="19" t="str">
        <x:v>叠加数量</x:v>
      </x:c>
      <x:c r="B294" s="19" t="str">
        <x:v>C04-M035</x:v>
      </x:c>
      <x:c r="C294" s="19" t="str">
        <x:v>野兽骨片</x:v>
      </x:c>
      <x:c r="D294" s="19" t="str">
        <x:v>1</x:v>
      </x:c>
      <x:c r="E294" s="19" t="str">
        <x:v>2</x:v>
      </x:c>
      <x:c r="F294" s="19" t="str">
        <x:v>长期消耗供给；提高每次叠加量，避免把所有候选改为高频地面散件</x:v>
      </x:c>
    </x:row>
    <x:row r="295" ht="19" customHeight="1">
      <x:c r="A295" s="19" t="str">
        <x:v>叠加数量</x:v>
      </x:c>
      <x:c r="B295" s="19" t="str">
        <x:v>C04-M036</x:v>
      </x:c>
      <x:c r="C295" s="19" t="str">
        <x:v>野兽骨片</x:v>
      </x:c>
      <x:c r="D295" s="19" t="str">
        <x:v>1</x:v>
      </x:c>
      <x:c r="E295" s="19" t="str">
        <x:v>2</x:v>
      </x:c>
      <x:c r="F295" s="19" t="str">
        <x:v>长期消耗供给；提高每次叠加量，避免把所有候选改为高频地面散件</x:v>
      </x:c>
    </x:row>
    <x:row r="296" ht="19" customHeight="1">
      <x:c r="A296" s="19" t="str">
        <x:v>叠加数量</x:v>
      </x:c>
      <x:c r="B296" s="19" t="str">
        <x:v>C04-M037</x:v>
      </x:c>
      <x:c r="C296" s="19" t="str">
        <x:v>野兽骨片</x:v>
      </x:c>
      <x:c r="D296" s="19" t="str">
        <x:v>1</x:v>
      </x:c>
      <x:c r="E296" s="19" t="str">
        <x:v>2</x:v>
      </x:c>
      <x:c r="F296" s="19" t="str">
        <x:v>长期消耗供给；提高每次叠加量，避免把所有候选改为高频地面散件</x:v>
      </x:c>
    </x:row>
    <x:row r="297" ht="19" customHeight="1">
      <x:c r="A297" s="19" t="str">
        <x:v>叠加数量</x:v>
      </x:c>
      <x:c r="B297" s="19" t="str">
        <x:v>C04-M038</x:v>
      </x:c>
      <x:c r="C297" s="19" t="str">
        <x:v>野兽骨片</x:v>
      </x:c>
      <x:c r="D297" s="19" t="str">
        <x:v>1</x:v>
      </x:c>
      <x:c r="E297" s="19" t="str">
        <x:v>2</x:v>
      </x:c>
      <x:c r="F297" s="19" t="str">
        <x:v>长期消耗供给；提高每次叠加量，避免把所有候选改为高频地面散件</x:v>
      </x:c>
    </x:row>
    <x:row r="298" ht="19" customHeight="1">
      <x:c r="A298" s="19" t="str">
        <x:v>叠加数量</x:v>
      </x:c>
      <x:c r="B298" s="19" t="str">
        <x:v>C04-M039</x:v>
      </x:c>
      <x:c r="C298" s="19" t="str">
        <x:v>野兽骨片</x:v>
      </x:c>
      <x:c r="D298" s="19" t="str">
        <x:v>1</x:v>
      </x:c>
      <x:c r="E298" s="19" t="str">
        <x:v>2</x:v>
      </x:c>
      <x:c r="F298" s="19" t="str">
        <x:v>长期消耗供给；提高每次叠加量，避免把所有候选改为高频地面散件</x:v>
      </x:c>
    </x:row>
    <x:row r="299" ht="19" customHeight="1">
      <x:c r="A299" s="19" t="str">
        <x:v>叠加数量</x:v>
      </x:c>
      <x:c r="B299" s="19" t="str">
        <x:v>C04-M040</x:v>
      </x:c>
      <x:c r="C299" s="19" t="str">
        <x:v>野兽骨片</x:v>
      </x:c>
      <x:c r="D299" s="19" t="str">
        <x:v>1</x:v>
      </x:c>
      <x:c r="E299" s="19" t="str">
        <x:v>2</x:v>
      </x:c>
      <x:c r="F299" s="19" t="str">
        <x:v>长期消耗供给；提高每次叠加量，避免把所有候选改为高频地面散件</x:v>
      </x:c>
    </x:row>
    <x:row r="300" ht="19" customHeight="1">
      <x:c r="A300" s="19" t="str">
        <x:v>叠加数量</x:v>
      </x:c>
      <x:c r="B300" s="19" t="str">
        <x:v>C04-M041</x:v>
      </x:c>
      <x:c r="C300" s="19" t="str">
        <x:v>野兽骨片</x:v>
      </x:c>
      <x:c r="D300" s="19" t="str">
        <x:v>1</x:v>
      </x:c>
      <x:c r="E300" s="19" t="str">
        <x:v>2</x:v>
      </x:c>
      <x:c r="F300" s="19" t="str">
        <x:v>长期消耗供给；提高每次叠加量，避免把所有候选改为高频地面散件</x:v>
      </x:c>
    </x:row>
    <x:row r="301" ht="19" customHeight="1">
      <x:c r="A301" s="19" t="str">
        <x:v>叠加数量</x:v>
      </x:c>
      <x:c r="B301" s="19" t="str">
        <x:v>C04-M042</x:v>
      </x:c>
      <x:c r="C301" s="19" t="str">
        <x:v>野兽骨片</x:v>
      </x:c>
      <x:c r="D301" s="19" t="str">
        <x:v>1</x:v>
      </x:c>
      <x:c r="E301" s="19" t="str">
        <x:v>2</x:v>
      </x:c>
      <x:c r="F301" s="19" t="str">
        <x:v>长期消耗供给；提高每次叠加量，避免把所有候选改为高频地面散件</x:v>
      </x:c>
    </x:row>
    <x:row r="302" ht="19" customHeight="1">
      <x:c r="A302" s="19" t="str">
        <x:v>叠加数量</x:v>
      </x:c>
      <x:c r="B302" s="19" t="str">
        <x:v>C04-M043</x:v>
      </x:c>
      <x:c r="C302" s="19" t="str">
        <x:v>野兽骨片</x:v>
      </x:c>
      <x:c r="D302" s="19" t="str">
        <x:v>1</x:v>
      </x:c>
      <x:c r="E302" s="19" t="str">
        <x:v>2</x:v>
      </x:c>
      <x:c r="F302" s="19" t="str">
        <x:v>长期消耗供给；提高每次叠加量，避免把所有候选改为高频地面散件</x:v>
      </x:c>
    </x:row>
    <x:row r="303" ht="19" customHeight="1">
      <x:c r="A303" s="19" t="str">
        <x:v>叠加数量</x:v>
      </x:c>
      <x:c r="B303" s="19" t="str">
        <x:v>C04-M044</x:v>
      </x:c>
      <x:c r="C303" s="19" t="str">
        <x:v>野兽骨片</x:v>
      </x:c>
      <x:c r="D303" s="19" t="str">
        <x:v>1</x:v>
      </x:c>
      <x:c r="E303" s="19" t="str">
        <x:v>2</x:v>
      </x:c>
      <x:c r="F303" s="19" t="str">
        <x:v>长期消耗供给；提高每次叠加量，避免把所有候选改为高频地面散件</x:v>
      </x:c>
    </x:row>
    <x:row r="304" ht="19" customHeight="1">
      <x:c r="A304" s="19" t="str">
        <x:v>叠加数量</x:v>
      </x:c>
      <x:c r="B304" s="19" t="str">
        <x:v>C04-M045</x:v>
      </x:c>
      <x:c r="C304" s="19" t="str">
        <x:v>野兽骨片</x:v>
      </x:c>
      <x:c r="D304" s="19" t="str">
        <x:v>1</x:v>
      </x:c>
      <x:c r="E304" s="19" t="str">
        <x:v>2</x:v>
      </x:c>
      <x:c r="F304" s="19" t="str">
        <x:v>长期消耗供给；提高每次叠加量，避免把所有候选改为高频地面散件</x:v>
      </x:c>
    </x:row>
    <x:row r="305" ht="19" customHeight="1">
      <x:c r="A305" s="19" t="str">
        <x:v>叠加数量</x:v>
      </x:c>
      <x:c r="B305" s="19" t="str">
        <x:v>C04-M046</x:v>
      </x:c>
      <x:c r="C305" s="19" t="str">
        <x:v>野兽骨片</x:v>
      </x:c>
      <x:c r="D305" s="19" t="str">
        <x:v>1</x:v>
      </x:c>
      <x:c r="E305" s="19" t="str">
        <x:v>2</x:v>
      </x:c>
      <x:c r="F305" s="19" t="str">
        <x:v>长期消耗供给；提高每次叠加量，避免把所有候选改为高频地面散件</x:v>
      </x:c>
    </x:row>
    <x:row r="306" ht="19" customHeight="1">
      <x:c r="A306" s="19" t="str">
        <x:v>叠加数量</x:v>
      </x:c>
      <x:c r="B306" s="19" t="str">
        <x:v>C04-M047</x:v>
      </x:c>
      <x:c r="C306" s="19" t="str">
        <x:v>野兽骨片</x:v>
      </x:c>
      <x:c r="D306" s="19" t="str">
        <x:v>1</x:v>
      </x:c>
      <x:c r="E306" s="19" t="str">
        <x:v>2</x:v>
      </x:c>
      <x:c r="F306" s="19" t="str">
        <x:v>长期消耗供给；提高每次叠加量，避免把所有候选改为高频地面散件</x:v>
      </x:c>
    </x:row>
    <x:row r="307" ht="19" customHeight="1">
      <x:c r="A307" s="19" t="str">
        <x:v>叠加数量</x:v>
      </x:c>
      <x:c r="B307" s="19" t="str">
        <x:v>C04-M048</x:v>
      </x:c>
      <x:c r="C307" s="19" t="str">
        <x:v>野兽骨片</x:v>
      </x:c>
      <x:c r="D307" s="19" t="str">
        <x:v>1</x:v>
      </x:c>
      <x:c r="E307" s="19" t="str">
        <x:v>2</x:v>
      </x:c>
      <x:c r="F307" s="19" t="str">
        <x:v>长期消耗供给；提高每次叠加量，避免把所有候选改为高频地面散件</x:v>
      </x:c>
    </x:row>
    <x:row r="308" ht="19" customHeight="1">
      <x:c r="A308" s="19" t="str">
        <x:v>叠加数量</x:v>
      </x:c>
      <x:c r="B308" s="19" t="str">
        <x:v>C04-M049</x:v>
      </x:c>
      <x:c r="C308" s="19" t="str">
        <x:v>野兽骨片</x:v>
      </x:c>
      <x:c r="D308" s="19" t="str">
        <x:v>1</x:v>
      </x:c>
      <x:c r="E308" s="19" t="str">
        <x:v>2</x:v>
      </x:c>
      <x:c r="F308" s="19" t="str">
        <x:v>长期消耗供给；提高每次叠加量，避免把所有候选改为高频地面散件</x:v>
      </x:c>
    </x:row>
    <x:row r="309" ht="19" customHeight="1">
      <x:c r="A309" s="19" t="str">
        <x:v>叠加数量</x:v>
      </x:c>
      <x:c r="B309" s="19" t="str">
        <x:v>C04-M050</x:v>
      </x:c>
      <x:c r="C309" s="19" t="str">
        <x:v>野兽骨片</x:v>
      </x:c>
      <x:c r="D309" s="19" t="str">
        <x:v>1</x:v>
      </x:c>
      <x:c r="E309" s="19" t="str">
        <x:v>2</x:v>
      </x:c>
      <x:c r="F309" s="19" t="str">
        <x:v>长期消耗供给；提高每次叠加量，避免把所有候选改为高频地面散件</x:v>
      </x:c>
    </x:row>
    <x:row r="310" ht="19" customHeight="1">
      <x:c r="A310" s="19" t="str">
        <x:v>叠加数量</x:v>
      </x:c>
      <x:c r="B310" s="19" t="str">
        <x:v>C04-M051</x:v>
      </x:c>
      <x:c r="C310" s="19" t="str">
        <x:v>野兽骨片</x:v>
      </x:c>
      <x:c r="D310" s="19" t="str">
        <x:v>1</x:v>
      </x:c>
      <x:c r="E310" s="19" t="str">
        <x:v>2</x:v>
      </x:c>
      <x:c r="F310" s="19" t="str">
        <x:v>长期消耗供给；提高每次叠加量，避免把所有候选改为高频地面散件</x:v>
      </x:c>
    </x:row>
    <x:row r="311" ht="19" customHeight="1">
      <x:c r="A311" s="19" t="str">
        <x:v>叠加数量</x:v>
      </x:c>
      <x:c r="B311" s="19" t="str">
        <x:v>C04-M052</x:v>
      </x:c>
      <x:c r="C311" s="19" t="str">
        <x:v>野兽骨片</x:v>
      </x:c>
      <x:c r="D311" s="19" t="str">
        <x:v>1</x:v>
      </x:c>
      <x:c r="E311" s="19" t="str">
        <x:v>2</x:v>
      </x:c>
      <x:c r="F311" s="19" t="str">
        <x:v>长期消耗供给；提高每次叠加量，避免把所有候选改为高频地面散件</x:v>
      </x:c>
    </x:row>
    <x:row r="312" ht="19" customHeight="1">
      <x:c r="A312" s="19" t="str">
        <x:v>叠加数量</x:v>
      </x:c>
      <x:c r="B312" s="19" t="str">
        <x:v>C04-M053</x:v>
      </x:c>
      <x:c r="C312" s="19" t="str">
        <x:v>野兽骨片</x:v>
      </x:c>
      <x:c r="D312" s="19" t="str">
        <x:v>1</x:v>
      </x:c>
      <x:c r="E312" s="19" t="str">
        <x:v>2</x:v>
      </x:c>
      <x:c r="F312" s="19" t="str">
        <x:v>长期消耗供给；提高每次叠加量，避免把所有候选改为高频地面散件</x:v>
      </x:c>
    </x:row>
    <x:row r="313" ht="19" customHeight="1">
      <x:c r="A313" s="19" t="str">
        <x:v>叠加数量</x:v>
      </x:c>
      <x:c r="B313" s="19" t="str">
        <x:v>C04-M054</x:v>
      </x:c>
      <x:c r="C313" s="19" t="str">
        <x:v>野兽骨片</x:v>
      </x:c>
      <x:c r="D313" s="19" t="str">
        <x:v>1</x:v>
      </x:c>
      <x:c r="E313" s="19" t="str">
        <x:v>2</x:v>
      </x:c>
      <x:c r="F313" s="19" t="str">
        <x:v>长期消耗供给；提高每次叠加量，避免把所有候选改为高频地面散件</x:v>
      </x:c>
    </x:row>
    <x:row r="314" ht="19" customHeight="1">
      <x:c r="A314" s="19" t="str">
        <x:v>叠加数量</x:v>
      </x:c>
      <x:c r="B314" s="19" t="str">
        <x:v>C04-M055</x:v>
      </x:c>
      <x:c r="C314" s="19" t="str">
        <x:v>野兽骨片</x:v>
      </x:c>
      <x:c r="D314" s="19" t="str">
        <x:v>1</x:v>
      </x:c>
      <x:c r="E314" s="19" t="str">
        <x:v>2</x:v>
      </x:c>
      <x:c r="F314" s="19" t="str">
        <x:v>长期消耗供给；提高每次叠加量，避免把所有候选改为高频地面散件</x:v>
      </x:c>
    </x:row>
    <x:row r="315" ht="19" customHeight="1">
      <x:c r="A315" s="19" t="str">
        <x:v>叠加数量</x:v>
      </x:c>
      <x:c r="B315" s="19" t="str">
        <x:v>C04-M056</x:v>
      </x:c>
      <x:c r="C315" s="19" t="str">
        <x:v>野兽骨片</x:v>
      </x:c>
      <x:c r="D315" s="19" t="str">
        <x:v>1</x:v>
      </x:c>
      <x:c r="E315" s="19" t="str">
        <x:v>2</x:v>
      </x:c>
      <x:c r="F315" s="19" t="str">
        <x:v>长期消耗供给；提高每次叠加量，避免把所有候选改为高频地面散件</x:v>
      </x:c>
    </x:row>
    <x:row r="316" ht="19" customHeight="1">
      <x:c r="A316" s="19" t="str">
        <x:v>叠加数量</x:v>
      </x:c>
      <x:c r="B316" s="19" t="str">
        <x:v>C04-M057</x:v>
      </x:c>
      <x:c r="C316" s="19" t="str">
        <x:v>野兽骨片</x:v>
      </x:c>
      <x:c r="D316" s="19" t="str">
        <x:v>1</x:v>
      </x:c>
      <x:c r="E316" s="19" t="str">
        <x:v>2</x:v>
      </x:c>
      <x:c r="F316" s="19" t="str">
        <x:v>长期消耗供给；提高每次叠加量，避免把所有候选改为高频地面散件</x:v>
      </x:c>
    </x:row>
    <x:row r="317" ht="19" customHeight="1">
      <x:c r="A317" s="19" t="str">
        <x:v>叠加数量</x:v>
      </x:c>
      <x:c r="B317" s="19" t="str">
        <x:v>C04-M058</x:v>
      </x:c>
      <x:c r="C317" s="19" t="str">
        <x:v>野兽骨片</x:v>
      </x:c>
      <x:c r="D317" s="19" t="str">
        <x:v>1</x:v>
      </x:c>
      <x:c r="E317" s="19" t="str">
        <x:v>2</x:v>
      </x:c>
      <x:c r="F317" s="19" t="str">
        <x:v>长期消耗供给；提高每次叠加量，避免把所有候选改为高频地面散件</x:v>
      </x:c>
    </x:row>
    <x:row r="318" ht="19" customHeight="1">
      <x:c r="A318" s="19" t="str">
        <x:v>叠加数量</x:v>
      </x:c>
      <x:c r="B318" s="19" t="str">
        <x:v>C04-M059</x:v>
      </x:c>
      <x:c r="C318" s="19" t="str">
        <x:v>野兽骨片</x:v>
      </x:c>
      <x:c r="D318" s="19" t="str">
        <x:v>1</x:v>
      </x:c>
      <x:c r="E318" s="19" t="str">
        <x:v>2</x:v>
      </x:c>
      <x:c r="F318" s="19" t="str">
        <x:v>长期消耗供给；提高每次叠加量，避免把所有候选改为高频地面散件</x:v>
      </x:c>
    </x:row>
    <x:row r="319" ht="19" customHeight="1">
      <x:c r="A319" s="19" t="str">
        <x:v>叠加数量</x:v>
      </x:c>
      <x:c r="B319" s="19" t="str">
        <x:v>C04-M060</x:v>
      </x:c>
      <x:c r="C319" s="19" t="str">
        <x:v>野兽骨片</x:v>
      </x:c>
      <x:c r="D319" s="19" t="str">
        <x:v>1</x:v>
      </x:c>
      <x:c r="E319" s="19" t="str">
        <x:v>2</x:v>
      </x:c>
      <x:c r="F319" s="19" t="str">
        <x:v>长期消耗供给；提高每次叠加量，避免把所有候选改为高频地面散件</x:v>
      </x:c>
    </x:row>
    <x:row r="320" ht="19" customHeight="1">
      <x:c r="A320" s="19" t="str">
        <x:v>叠加数量</x:v>
      </x:c>
      <x:c r="B320" s="19" t="str">
        <x:v>C04-M061</x:v>
      </x:c>
      <x:c r="C320" s="19" t="str">
        <x:v>野兽骨片</x:v>
      </x:c>
      <x:c r="D320" s="19" t="str">
        <x:v>1</x:v>
      </x:c>
      <x:c r="E320" s="19" t="str">
        <x:v>2</x:v>
      </x:c>
      <x:c r="F320" s="19" t="str">
        <x:v>长期消耗供给；提高每次叠加量，避免把所有候选改为高频地面散件</x:v>
      </x:c>
    </x:row>
    <x:row r="321" ht="19" customHeight="1">
      <x:c r="A321" s="19" t="str">
        <x:v>叠加数量</x:v>
      </x:c>
      <x:c r="B321" s="19" t="str">
        <x:v>C04-M062</x:v>
      </x:c>
      <x:c r="C321" s="19" t="str">
        <x:v>野兽骨片</x:v>
      </x:c>
      <x:c r="D321" s="19" t="str">
        <x:v>1</x:v>
      </x:c>
      <x:c r="E321" s="19" t="str">
        <x:v>2</x:v>
      </x:c>
      <x:c r="F321" s="19" t="str">
        <x:v>长期消耗供给；提高每次叠加量，避免把所有候选改为高频地面散件</x:v>
      </x:c>
    </x:row>
    <x:row r="322" ht="19" customHeight="1">
      <x:c r="A322" s="19" t="str">
        <x:v>叠加数量</x:v>
      </x:c>
      <x:c r="B322" s="19" t="str">
        <x:v>C04-M063</x:v>
      </x:c>
      <x:c r="C322" s="19" t="str">
        <x:v>野兽骨片</x:v>
      </x:c>
      <x:c r="D322" s="19" t="str">
        <x:v>1</x:v>
      </x:c>
      <x:c r="E322" s="19" t="str">
        <x:v>2</x:v>
      </x:c>
      <x:c r="F322" s="19" t="str">
        <x:v>长期消耗供给；提高每次叠加量，避免把所有候选改为高频地面散件</x:v>
      </x:c>
    </x:row>
    <x:row r="323" ht="19" customHeight="1">
      <x:c r="A323" s="19" t="str">
        <x:v>叠加数量</x:v>
      </x:c>
      <x:c r="B323" s="19" t="str">
        <x:v>C04-M064</x:v>
      </x:c>
      <x:c r="C323" s="19" t="str">
        <x:v>野兽骨片</x:v>
      </x:c>
      <x:c r="D323" s="19" t="str">
        <x:v>1</x:v>
      </x:c>
      <x:c r="E323" s="19" t="str">
        <x:v>2</x:v>
      </x:c>
      <x:c r="F323" s="19" t="str">
        <x:v>长期消耗供给；提高每次叠加量，避免把所有候选改为高频地面散件</x:v>
      </x:c>
    </x:row>
    <x:row r="324" ht="19" customHeight="1">
      <x:c r="A324" s="19" t="str">
        <x:v>叠加数量</x:v>
      </x:c>
      <x:c r="B324" s="19" t="str">
        <x:v>C04-M065</x:v>
      </x:c>
      <x:c r="C324" s="19" t="str">
        <x:v>野兽骨片</x:v>
      </x:c>
      <x:c r="D324" s="19" t="str">
        <x:v>1</x:v>
      </x:c>
      <x:c r="E324" s="19" t="str">
        <x:v>2</x:v>
      </x:c>
      <x:c r="F324" s="19" t="str">
        <x:v>长期消耗供给；提高每次叠加量，避免把所有候选改为高频地面散件</x:v>
      </x:c>
    </x:row>
    <x:row r="325" ht="19" customHeight="1">
      <x:c r="A325" s="19" t="str">
        <x:v>叠加数量</x:v>
      </x:c>
      <x:c r="B325" s="19" t="str">
        <x:v>C04-M066</x:v>
      </x:c>
      <x:c r="C325" s="19" t="str">
        <x:v>野兽骨片</x:v>
      </x:c>
      <x:c r="D325" s="19" t="str">
        <x:v>1</x:v>
      </x:c>
      <x:c r="E325" s="19" t="str">
        <x:v>2</x:v>
      </x:c>
      <x:c r="F325" s="19" t="str">
        <x:v>长期消耗供给；提高每次叠加量，避免把所有候选改为高频地面散件</x:v>
      </x:c>
    </x:row>
    <x:row r="326" ht="19" customHeight="1">
      <x:c r="A326" s="19" t="str">
        <x:v>叠加数量</x:v>
      </x:c>
      <x:c r="B326" s="19" t="str">
        <x:v>C04-M067</x:v>
      </x:c>
      <x:c r="C326" s="19" t="str">
        <x:v>野兽骨片</x:v>
      </x:c>
      <x:c r="D326" s="19" t="str">
        <x:v>1</x:v>
      </x:c>
      <x:c r="E326" s="19" t="str">
        <x:v>2</x:v>
      </x:c>
      <x:c r="F326" s="19" t="str">
        <x:v>长期消耗供给；提高每次叠加量，避免把所有候选改为高频地面散件</x:v>
      </x:c>
    </x:row>
    <x:row r="327" ht="19" customHeight="1">
      <x:c r="A327" s="19" t="str">
        <x:v>叠加数量</x:v>
      </x:c>
      <x:c r="B327" s="19" t="str">
        <x:v>C04-M068</x:v>
      </x:c>
      <x:c r="C327" s="19" t="str">
        <x:v>野兽骨片</x:v>
      </x:c>
      <x:c r="D327" s="19" t="str">
        <x:v>1</x:v>
      </x:c>
      <x:c r="E327" s="19" t="str">
        <x:v>2</x:v>
      </x:c>
      <x:c r="F327" s="19" t="str">
        <x:v>长期消耗供给；提高每次叠加量，避免把所有候选改为高频地面散件</x:v>
      </x:c>
    </x:row>
    <x:row r="328" ht="19" customHeight="1">
      <x:c r="A328" s="19" t="str">
        <x:v>叠加数量</x:v>
      </x:c>
      <x:c r="B328" s="19" t="str">
        <x:v>C04-M069</x:v>
      </x:c>
      <x:c r="C328" s="19" t="str">
        <x:v>野兽骨片</x:v>
      </x:c>
      <x:c r="D328" s="19" t="str">
        <x:v>1</x:v>
      </x:c>
      <x:c r="E328" s="19" t="str">
        <x:v>2</x:v>
      </x:c>
      <x:c r="F328" s="19" t="str">
        <x:v>长期消耗供给；提高每次叠加量，避免把所有候选改为高频地面散件</x:v>
      </x:c>
    </x:row>
    <x:row r="329" ht="19" customHeight="1">
      <x:c r="A329" s="19" t="str">
        <x:v>叠加数量</x:v>
      </x:c>
      <x:c r="B329" s="19" t="str">
        <x:v>C04-M070</x:v>
      </x:c>
      <x:c r="C329" s="19" t="str">
        <x:v>野兽骨片</x:v>
      </x:c>
      <x:c r="D329" s="19" t="str">
        <x:v>1</x:v>
      </x:c>
      <x:c r="E329" s="19" t="str">
        <x:v>2</x:v>
      </x:c>
      <x:c r="F329" s="19" t="str">
        <x:v>长期消耗供给；提高每次叠加量，避免把所有候选改为高频地面散件</x:v>
      </x:c>
    </x:row>
    <x:row r="330" ht="19" customHeight="1">
      <x:c r="A330" s="19" t="str">
        <x:v>叠加数量</x:v>
      </x:c>
      <x:c r="B330" s="19" t="str">
        <x:v>C04-M071</x:v>
      </x:c>
      <x:c r="C330" s="19" t="str">
        <x:v>野兽骨片</x:v>
      </x:c>
      <x:c r="D330" s="19" t="str">
        <x:v>1</x:v>
      </x:c>
      <x:c r="E330" s="19" t="str">
        <x:v>2</x:v>
      </x:c>
      <x:c r="F330" s="19" t="str">
        <x:v>长期消耗供给；提高每次叠加量，避免把所有候选改为高频地面散件</x:v>
      </x:c>
    </x:row>
    <x:row r="331" ht="19" customHeight="1">
      <x:c r="A331" s="19" t="str">
        <x:v>叠加数量</x:v>
      </x:c>
      <x:c r="B331" s="19" t="str">
        <x:v>C04-M072</x:v>
      </x:c>
      <x:c r="C331" s="19" t="str">
        <x:v>野兽骨片</x:v>
      </x:c>
      <x:c r="D331" s="19" t="str">
        <x:v>1</x:v>
      </x:c>
      <x:c r="E331" s="19" t="str">
        <x:v>2</x:v>
      </x:c>
      <x:c r="F331" s="19" t="str">
        <x:v>长期消耗供给；提高每次叠加量，避免把所有候选改为高频地面散件</x:v>
      </x:c>
    </x:row>
    <x:row r="332" ht="19" customHeight="1">
      <x:c r="A332" s="19" t="str">
        <x:v>叠加数量</x:v>
      </x:c>
      <x:c r="B332" s="19" t="str">
        <x:v>C05-M011</x:v>
      </x:c>
      <x:c r="C332" s="19" t="str">
        <x:v>月蚀镜片</x:v>
      </x:c>
      <x:c r="D332" s="19" t="str">
        <x:v>1</x:v>
      </x:c>
      <x:c r="E332" s="19" t="str">
        <x:v>2</x:v>
      </x:c>
      <x:c r="F332" s="19" t="str">
        <x:v>长期消耗供给；提高每次叠加量，避免把所有候选改为高频地面散件</x:v>
      </x:c>
    </x:row>
    <x:row r="333" ht="19" customHeight="1">
      <x:c r="A333" s="19" t="str">
        <x:v>叠加数量</x:v>
      </x:c>
      <x:c r="B333" s="19" t="str">
        <x:v>C05-M012</x:v>
      </x:c>
      <x:c r="C333" s="19" t="str">
        <x:v>月蚀镜片</x:v>
      </x:c>
      <x:c r="D333" s="19" t="str">
        <x:v>1</x:v>
      </x:c>
      <x:c r="E333" s="19" t="str">
        <x:v>2</x:v>
      </x:c>
      <x:c r="F333" s="19" t="str">
        <x:v>长期消耗供给；提高每次叠加量，避免把所有候选改为高频地面散件</x:v>
      </x:c>
    </x:row>
    <x:row r="334" ht="19" customHeight="1">
      <x:c r="A334" s="19" t="str">
        <x:v>叠加数量</x:v>
      </x:c>
      <x:c r="B334" s="19" t="str">
        <x:v>C05-M023</x:v>
      </x:c>
      <x:c r="C334" s="19" t="str">
        <x:v>月蚀镜片</x:v>
      </x:c>
      <x:c r="D334" s="19" t="str">
        <x:v>1</x:v>
      </x:c>
      <x:c r="E334" s="19" t="str">
        <x:v>2</x:v>
      </x:c>
      <x:c r="F334" s="19" t="str">
        <x:v>长期消耗供给；提高每次叠加量，避免把所有候选改为高频地面散件</x:v>
      </x:c>
    </x:row>
    <x:row r="335" ht="19" customHeight="1">
      <x:c r="A335" s="19" t="str">
        <x:v>叠加数量</x:v>
      </x:c>
      <x:c r="B335" s="19" t="str">
        <x:v>C05-M024</x:v>
      </x:c>
      <x:c r="C335" s="19" t="str">
        <x:v>月蚀镜片</x:v>
      </x:c>
      <x:c r="D335" s="19" t="str">
        <x:v>1</x:v>
      </x:c>
      <x:c r="E335" s="19" t="str">
        <x:v>2</x:v>
      </x:c>
      <x:c r="F335" s="19" t="str">
        <x:v>长期消耗供给；提高每次叠加量，避免把所有候选改为高频地面散件</x:v>
      </x:c>
    </x:row>
    <x:row r="336" ht="19" customHeight="1">
      <x:c r="A336" s="19" t="str">
        <x:v>叠加数量</x:v>
      </x:c>
      <x:c r="B336" s="19" t="str">
        <x:v>C05-M035</x:v>
      </x:c>
      <x:c r="C336" s="19" t="str">
        <x:v>月蚀镜片</x:v>
      </x:c>
      <x:c r="D336" s="19" t="str">
        <x:v>1</x:v>
      </x:c>
      <x:c r="E336" s="19" t="str">
        <x:v>2</x:v>
      </x:c>
      <x:c r="F336" s="19" t="str">
        <x:v>长期消耗供给；提高每次叠加量，避免把所有候选改为高频地面散件</x:v>
      </x:c>
    </x:row>
    <x:row r="337" ht="19" customHeight="1">
      <x:c r="A337" s="19" t="str">
        <x:v>叠加数量</x:v>
      </x:c>
      <x:c r="B337" s="19" t="str">
        <x:v>C05-M036</x:v>
      </x:c>
      <x:c r="C337" s="19" t="str">
        <x:v>月蚀镜片</x:v>
      </x:c>
      <x:c r="D337" s="19" t="str">
        <x:v>1</x:v>
      </x:c>
      <x:c r="E337" s="19" t="str">
        <x:v>2</x:v>
      </x:c>
      <x:c r="F337" s="19" t="str">
        <x:v>长期消耗供给；提高每次叠加量，避免把所有候选改为高频地面散件</x:v>
      </x:c>
    </x:row>
    <x:row r="338" ht="19" customHeight="1">
      <x:c r="A338" s="19" t="str">
        <x:v>叠加数量</x:v>
      </x:c>
      <x:c r="B338" s="19" t="str">
        <x:v>C05-M047</x:v>
      </x:c>
      <x:c r="C338" s="19" t="str">
        <x:v>月蚀镜片</x:v>
      </x:c>
      <x:c r="D338" s="19" t="str">
        <x:v>1</x:v>
      </x:c>
      <x:c r="E338" s="19" t="str">
        <x:v>2</x:v>
      </x:c>
      <x:c r="F338" s="19" t="str">
        <x:v>长期消耗供给；提高每次叠加量，避免把所有候选改为高频地面散件</x:v>
      </x:c>
    </x:row>
    <x:row r="339" ht="19" customHeight="1">
      <x:c r="A339" s="19" t="str">
        <x:v>叠加数量</x:v>
      </x:c>
      <x:c r="B339" s="19" t="str">
        <x:v>C05-M048</x:v>
      </x:c>
      <x:c r="C339" s="19" t="str">
        <x:v>月蚀镜片</x:v>
      </x:c>
      <x:c r="D339" s="19" t="str">
        <x:v>1</x:v>
      </x:c>
      <x:c r="E339" s="19" t="str">
        <x:v>2</x:v>
      </x:c>
      <x:c r="F339" s="19" t="str">
        <x:v>长期消耗供给；提高每次叠加量，避免把所有候选改为高频地面散件</x:v>
      </x:c>
    </x:row>
    <x:row r="340" ht="19" customHeight="1">
      <x:c r="A340" s="19" t="str">
        <x:v>叠加数量</x:v>
      </x:c>
      <x:c r="B340" s="19" t="str">
        <x:v>C05-M059</x:v>
      </x:c>
      <x:c r="C340" s="19" t="str">
        <x:v>月蚀镜片</x:v>
      </x:c>
      <x:c r="D340" s="19" t="str">
        <x:v>1</x:v>
      </x:c>
      <x:c r="E340" s="19" t="str">
        <x:v>2</x:v>
      </x:c>
      <x:c r="F340" s="19" t="str">
        <x:v>长期消耗供给；提高每次叠加量，避免把所有候选改为高频地面散件</x:v>
      </x:c>
    </x:row>
    <x:row r="341" ht="19" customHeight="1">
      <x:c r="A341" s="19" t="str">
        <x:v>叠加数量</x:v>
      </x:c>
      <x:c r="B341" s="19" t="str">
        <x:v>C05-M060</x:v>
      </x:c>
      <x:c r="C341" s="19" t="str">
        <x:v>月蚀镜片</x:v>
      </x:c>
      <x:c r="D341" s="19" t="str">
        <x:v>1</x:v>
      </x:c>
      <x:c r="E341" s="19" t="str">
        <x:v>2</x:v>
      </x:c>
      <x:c r="F341" s="19" t="str">
        <x:v>长期消耗供给；提高每次叠加量，避免把所有候选改为高频地面散件</x:v>
      </x:c>
    </x:row>
    <x:row r="342" ht="19" customHeight="1">
      <x:c r="A342" s="19" t="str">
        <x:v>叠加数量</x:v>
      </x:c>
      <x:c r="B342" s="19" t="str">
        <x:v>C05-M071</x:v>
      </x:c>
      <x:c r="C342" s="19" t="str">
        <x:v>月蚀镜片</x:v>
      </x:c>
      <x:c r="D342" s="19" t="str">
        <x:v>1</x:v>
      </x:c>
      <x:c r="E342" s="19" t="str">
        <x:v>2</x:v>
      </x:c>
      <x:c r="F342" s="19" t="str">
        <x:v>长期消耗供给；提高每次叠加量，避免把所有候选改为高频地面散件</x:v>
      </x:c>
    </x:row>
    <x:row r="343" ht="19" customHeight="1">
      <x:c r="A343" s="19" t="str">
        <x:v>叠加数量</x:v>
      </x:c>
      <x:c r="B343" s="19" t="str">
        <x:v>C05-M072</x:v>
      </x:c>
      <x:c r="C343" s="19" t="str">
        <x:v>月蚀镜片</x:v>
      </x:c>
      <x:c r="D343" s="19" t="str">
        <x:v>1</x:v>
      </x:c>
      <x:c r="E343" s="19" t="str">
        <x:v>2</x:v>
      </x:c>
      <x:c r="F343" s="19" t="str">
        <x:v>长期消耗供给；提高每次叠加量，避免把所有候选改为高频地面散件</x:v>
      </x:c>
    </x:row>
    <x:row r="344" ht="19" customHeight="1">
      <x:c r="A344" s="19" t="str">
        <x:v>叠加数量</x:v>
      </x:c>
      <x:c r="B344" s="19" t="str">
        <x:v>C05-M011</x:v>
      </x:c>
      <x:c r="C344" s="19" t="str">
        <x:v>满月王室印</x:v>
      </x:c>
      <x:c r="D344" s="19" t="str">
        <x:v>1</x:v>
      </x:c>
      <x:c r="E344" s="19" t="str">
        <x:v>3</x:v>
      </x:c>
      <x:c r="F344" s="19" t="str">
        <x:v>长期消耗供给；提高每次叠加量，避免把所有候选改为高频地面散件</x:v>
      </x:c>
    </x:row>
    <x:row r="345" ht="19" customHeight="1">
      <x:c r="A345" s="19" t="str">
        <x:v>叠加数量</x:v>
      </x:c>
      <x:c r="B345" s="19" t="str">
        <x:v>C05-M012</x:v>
      </x:c>
      <x:c r="C345" s="19" t="str">
        <x:v>满月王室印</x:v>
      </x:c>
      <x:c r="D345" s="19" t="str">
        <x:v>1</x:v>
      </x:c>
      <x:c r="E345" s="19" t="str">
        <x:v>3</x:v>
      </x:c>
      <x:c r="F345" s="19" t="str">
        <x:v>长期消耗供给；提高每次叠加量，避免把所有候选改为高频地面散件</x:v>
      </x:c>
    </x:row>
    <x:row r="346" ht="19" customHeight="1">
      <x:c r="A346" s="19" t="str">
        <x:v>叠加数量</x:v>
      </x:c>
      <x:c r="B346" s="19" t="str">
        <x:v>C05-M023</x:v>
      </x:c>
      <x:c r="C346" s="19" t="str">
        <x:v>满月王室印</x:v>
      </x:c>
      <x:c r="D346" s="19" t="str">
        <x:v>1</x:v>
      </x:c>
      <x:c r="E346" s="19" t="str">
        <x:v>3</x:v>
      </x:c>
      <x:c r="F346" s="19" t="str">
        <x:v>长期消耗供给；提高每次叠加量，避免把所有候选改为高频地面散件</x:v>
      </x:c>
    </x:row>
    <x:row r="347" ht="19" customHeight="1">
      <x:c r="A347" s="19" t="str">
        <x:v>叠加数量</x:v>
      </x:c>
      <x:c r="B347" s="19" t="str">
        <x:v>C05-M024</x:v>
      </x:c>
      <x:c r="C347" s="19" t="str">
        <x:v>满月王室印</x:v>
      </x:c>
      <x:c r="D347" s="19" t="str">
        <x:v>1</x:v>
      </x:c>
      <x:c r="E347" s="19" t="str">
        <x:v>3</x:v>
      </x:c>
      <x:c r="F347" s="19" t="str">
        <x:v>长期消耗供给；提高每次叠加量，避免把所有候选改为高频地面散件</x:v>
      </x:c>
    </x:row>
    <x:row r="348" ht="19" customHeight="1">
      <x:c r="A348" s="19" t="str">
        <x:v>叠加数量</x:v>
      </x:c>
      <x:c r="B348" s="19" t="str">
        <x:v>C05-M035</x:v>
      </x:c>
      <x:c r="C348" s="19" t="str">
        <x:v>满月王室印</x:v>
      </x:c>
      <x:c r="D348" s="19" t="str">
        <x:v>1</x:v>
      </x:c>
      <x:c r="E348" s="19" t="str">
        <x:v>3</x:v>
      </x:c>
      <x:c r="F348" s="19" t="str">
        <x:v>长期消耗供给；提高每次叠加量，避免把所有候选改为高频地面散件</x:v>
      </x:c>
    </x:row>
    <x:row r="349" ht="19" customHeight="1">
      <x:c r="A349" s="19" t="str">
        <x:v>叠加数量</x:v>
      </x:c>
      <x:c r="B349" s="19" t="str">
        <x:v>C05-M036</x:v>
      </x:c>
      <x:c r="C349" s="19" t="str">
        <x:v>满月王室印</x:v>
      </x:c>
      <x:c r="D349" s="19" t="str">
        <x:v>1</x:v>
      </x:c>
      <x:c r="E349" s="19" t="str">
        <x:v>3</x:v>
      </x:c>
      <x:c r="F349" s="19" t="str">
        <x:v>长期消耗供给；提高每次叠加量，避免把所有候选改为高频地面散件</x:v>
      </x:c>
    </x:row>
    <x:row r="350" ht="19" customHeight="1">
      <x:c r="A350" s="19" t="str">
        <x:v>叠加数量</x:v>
      </x:c>
      <x:c r="B350" s="19" t="str">
        <x:v>C05-M047</x:v>
      </x:c>
      <x:c r="C350" s="19" t="str">
        <x:v>满月王室印</x:v>
      </x:c>
      <x:c r="D350" s="19" t="str">
        <x:v>1</x:v>
      </x:c>
      <x:c r="E350" s="19" t="str">
        <x:v>3</x:v>
      </x:c>
      <x:c r="F350" s="19" t="str">
        <x:v>长期消耗供给；提高每次叠加量，避免把所有候选改为高频地面散件</x:v>
      </x:c>
    </x:row>
    <x:row r="351" ht="19" customHeight="1">
      <x:c r="A351" s="19" t="str">
        <x:v>叠加数量</x:v>
      </x:c>
      <x:c r="B351" s="19" t="str">
        <x:v>C05-M048</x:v>
      </x:c>
      <x:c r="C351" s="19" t="str">
        <x:v>满月王室印</x:v>
      </x:c>
      <x:c r="D351" s="19" t="str">
        <x:v>1</x:v>
      </x:c>
      <x:c r="E351" s="19" t="str">
        <x:v>3</x:v>
      </x:c>
      <x:c r="F351" s="19" t="str">
        <x:v>长期消耗供给；提高每次叠加量，避免把所有候选改为高频地面散件</x:v>
      </x:c>
    </x:row>
    <x:row r="352" ht="19" customHeight="1">
      <x:c r="A352" s="19" t="str">
        <x:v>叠加数量</x:v>
      </x:c>
      <x:c r="B352" s="19" t="str">
        <x:v>C05-M059</x:v>
      </x:c>
      <x:c r="C352" s="19" t="str">
        <x:v>满月王室印</x:v>
      </x:c>
      <x:c r="D352" s="19" t="str">
        <x:v>1</x:v>
      </x:c>
      <x:c r="E352" s="19" t="str">
        <x:v>3</x:v>
      </x:c>
      <x:c r="F352" s="19" t="str">
        <x:v>长期消耗供给；提高每次叠加量，避免把所有候选改为高频地面散件</x:v>
      </x:c>
    </x:row>
    <x:row r="353" ht="19" customHeight="1">
      <x:c r="A353" s="19" t="str">
        <x:v>叠加数量</x:v>
      </x:c>
      <x:c r="B353" s="19" t="str">
        <x:v>C05-M060</x:v>
      </x:c>
      <x:c r="C353" s="19" t="str">
        <x:v>满月王室印</x:v>
      </x:c>
      <x:c r="D353" s="19" t="str">
        <x:v>1</x:v>
      </x:c>
      <x:c r="E353" s="19" t="str">
        <x:v>3</x:v>
      </x:c>
      <x:c r="F353" s="19" t="str">
        <x:v>长期消耗供给；提高每次叠加量，避免把所有候选改为高频地面散件</x:v>
      </x:c>
    </x:row>
    <x:row r="354" ht="19" customHeight="1">
      <x:c r="A354" s="19" t="str">
        <x:v>叠加数量</x:v>
      </x:c>
      <x:c r="B354" s="19" t="str">
        <x:v>C05-M071</x:v>
      </x:c>
      <x:c r="C354" s="19" t="str">
        <x:v>满月王室印</x:v>
      </x:c>
      <x:c r="D354" s="19" t="str">
        <x:v>1</x:v>
      </x:c>
      <x:c r="E354" s="19" t="str">
        <x:v>3</x:v>
      </x:c>
      <x:c r="F354" s="19" t="str">
        <x:v>长期消耗供给；提高每次叠加量，避免把所有候选改为高频地面散件</x:v>
      </x:c>
    </x:row>
    <x:row r="355" ht="19" customHeight="1">
      <x:c r="A355" s="19" t="str">
        <x:v>叠加数量</x:v>
      </x:c>
      <x:c r="B355" s="19" t="str">
        <x:v>C05-M072</x:v>
      </x:c>
      <x:c r="C355" s="19" t="str">
        <x:v>满月王室印</x:v>
      </x:c>
      <x:c r="D355" s="19" t="str">
        <x:v>1</x:v>
      </x:c>
      <x:c r="E355" s="19" t="str">
        <x:v>3</x:v>
      </x:c>
      <x:c r="F355" s="19" t="str">
        <x:v>长期消耗供给；提高每次叠加量，避免把所有候选改为高频地面散件</x:v>
      </x:c>
    </x:row>
    <x:row r="356" ht="19" customHeight="1">
      <x:c r="A356" s="19" t="str">
        <x:v>叠加数量</x:v>
      </x:c>
      <x:c r="B356" s="19" t="str">
        <x:v>C05-M001</x:v>
      </x:c>
      <x:c r="C356" s="19" t="str">
        <x:v>野兽骨片</x:v>
      </x:c>
      <x:c r="D356" s="19" t="str">
        <x:v>1</x:v>
      </x:c>
      <x:c r="E356" s="19" t="str">
        <x:v>3</x:v>
      </x:c>
      <x:c r="F356" s="19" t="str">
        <x:v>长期消耗供给；提高每次叠加量，避免把所有候选改为高频地面散件</x:v>
      </x:c>
    </x:row>
    <x:row r="357" ht="19" customHeight="1">
      <x:c r="A357" s="19" t="str">
        <x:v>叠加数量</x:v>
      </x:c>
      <x:c r="B357" s="19" t="str">
        <x:v>C05-M002</x:v>
      </x:c>
      <x:c r="C357" s="19" t="str">
        <x:v>野兽骨片</x:v>
      </x:c>
      <x:c r="D357" s="19" t="str">
        <x:v>1</x:v>
      </x:c>
      <x:c r="E357" s="19" t="str">
        <x:v>3</x:v>
      </x:c>
      <x:c r="F357" s="19" t="str">
        <x:v>长期消耗供给；提高每次叠加量，避免把所有候选改为高频地面散件</x:v>
      </x:c>
    </x:row>
    <x:row r="358" ht="19" customHeight="1">
      <x:c r="A358" s="19" t="str">
        <x:v>叠加数量</x:v>
      </x:c>
      <x:c r="B358" s="19" t="str">
        <x:v>C05-M003</x:v>
      </x:c>
      <x:c r="C358" s="19" t="str">
        <x:v>野兽骨片</x:v>
      </x:c>
      <x:c r="D358" s="19" t="str">
        <x:v>1</x:v>
      </x:c>
      <x:c r="E358" s="19" t="str">
        <x:v>3</x:v>
      </x:c>
      <x:c r="F358" s="19" t="str">
        <x:v>长期消耗供给；提高每次叠加量，避免把所有候选改为高频地面散件</x:v>
      </x:c>
    </x:row>
    <x:row r="359" ht="19" customHeight="1">
      <x:c r="A359" s="19" t="str">
        <x:v>叠加数量</x:v>
      </x:c>
      <x:c r="B359" s="19" t="str">
        <x:v>C05-M004</x:v>
      </x:c>
      <x:c r="C359" s="19" t="str">
        <x:v>野兽骨片</x:v>
      </x:c>
      <x:c r="D359" s="19" t="str">
        <x:v>1</x:v>
      </x:c>
      <x:c r="E359" s="19" t="str">
        <x:v>3</x:v>
      </x:c>
      <x:c r="F359" s="19" t="str">
        <x:v>长期消耗供给；提高每次叠加量，避免把所有候选改为高频地面散件</x:v>
      </x:c>
    </x:row>
    <x:row r="360" ht="19" customHeight="1">
      <x:c r="A360" s="19" t="str">
        <x:v>叠加数量</x:v>
      </x:c>
      <x:c r="B360" s="19" t="str">
        <x:v>C05-M005</x:v>
      </x:c>
      <x:c r="C360" s="19" t="str">
        <x:v>野兽骨片</x:v>
      </x:c>
      <x:c r="D360" s="19" t="str">
        <x:v>1</x:v>
      </x:c>
      <x:c r="E360" s="19" t="str">
        <x:v>3</x:v>
      </x:c>
      <x:c r="F360" s="19" t="str">
        <x:v>长期消耗供给；提高每次叠加量，避免把所有候选改为高频地面散件</x:v>
      </x:c>
    </x:row>
    <x:row r="361" ht="19" customHeight="1">
      <x:c r="A361" s="19" t="str">
        <x:v>叠加数量</x:v>
      </x:c>
      <x:c r="B361" s="19" t="str">
        <x:v>C05-M006</x:v>
      </x:c>
      <x:c r="C361" s="19" t="str">
        <x:v>野兽骨片</x:v>
      </x:c>
      <x:c r="D361" s="19" t="str">
        <x:v>1</x:v>
      </x:c>
      <x:c r="E361" s="19" t="str">
        <x:v>3</x:v>
      </x:c>
      <x:c r="F361" s="19" t="str">
        <x:v>长期消耗供给；提高每次叠加量，避免把所有候选改为高频地面散件</x:v>
      </x:c>
    </x:row>
    <x:row r="362" ht="19" customHeight="1">
      <x:c r="A362" s="19" t="str">
        <x:v>叠加数量</x:v>
      </x:c>
      <x:c r="B362" s="19" t="str">
        <x:v>C05-M007</x:v>
      </x:c>
      <x:c r="C362" s="19" t="str">
        <x:v>野兽骨片</x:v>
      </x:c>
      <x:c r="D362" s="19" t="str">
        <x:v>1</x:v>
      </x:c>
      <x:c r="E362" s="19" t="str">
        <x:v>3</x:v>
      </x:c>
      <x:c r="F362" s="19" t="str">
        <x:v>长期消耗供给；提高每次叠加量，避免把所有候选改为高频地面散件</x:v>
      </x:c>
    </x:row>
    <x:row r="363" ht="19" customHeight="1">
      <x:c r="A363" s="19" t="str">
        <x:v>叠加数量</x:v>
      </x:c>
      <x:c r="B363" s="19" t="str">
        <x:v>C05-M008</x:v>
      </x:c>
      <x:c r="C363" s="19" t="str">
        <x:v>野兽骨片</x:v>
      </x:c>
      <x:c r="D363" s="19" t="str">
        <x:v>1</x:v>
      </x:c>
      <x:c r="E363" s="19" t="str">
        <x:v>3</x:v>
      </x:c>
      <x:c r="F363" s="19" t="str">
        <x:v>长期消耗供给；提高每次叠加量，避免把所有候选改为高频地面散件</x:v>
      </x:c>
    </x:row>
    <x:row r="364" ht="19" customHeight="1">
      <x:c r="A364" s="19" t="str">
        <x:v>叠加数量</x:v>
      </x:c>
      <x:c r="B364" s="19" t="str">
        <x:v>C05-M009</x:v>
      </x:c>
      <x:c r="C364" s="19" t="str">
        <x:v>野兽骨片</x:v>
      </x:c>
      <x:c r="D364" s="19" t="str">
        <x:v>1</x:v>
      </x:c>
      <x:c r="E364" s="19" t="str">
        <x:v>3</x:v>
      </x:c>
      <x:c r="F364" s="19" t="str">
        <x:v>长期消耗供给；提高每次叠加量，避免把所有候选改为高频地面散件</x:v>
      </x:c>
    </x:row>
    <x:row r="365" ht="19" customHeight="1">
      <x:c r="A365" s="19" t="str">
        <x:v>叠加数量</x:v>
      </x:c>
      <x:c r="B365" s="19" t="str">
        <x:v>C05-M010</x:v>
      </x:c>
      <x:c r="C365" s="19" t="str">
        <x:v>野兽骨片</x:v>
      </x:c>
      <x:c r="D365" s="19" t="str">
        <x:v>1</x:v>
      </x:c>
      <x:c r="E365" s="19" t="str">
        <x:v>3</x:v>
      </x:c>
      <x:c r="F365" s="19" t="str">
        <x:v>长期消耗供给；提高每次叠加量，避免把所有候选改为高频地面散件</x:v>
      </x:c>
    </x:row>
    <x:row r="366" ht="19" customHeight="1">
      <x:c r="A366" s="19" t="str">
        <x:v>叠加数量</x:v>
      </x:c>
      <x:c r="B366" s="19" t="str">
        <x:v>C05-M011</x:v>
      </x:c>
      <x:c r="C366" s="19" t="str">
        <x:v>野兽骨片</x:v>
      </x:c>
      <x:c r="D366" s="19" t="str">
        <x:v>1</x:v>
      </x:c>
      <x:c r="E366" s="19" t="str">
        <x:v>3</x:v>
      </x:c>
      <x:c r="F366" s="19" t="str">
        <x:v>长期消耗供给；提高每次叠加量，避免把所有候选改为高频地面散件</x:v>
      </x:c>
    </x:row>
    <x:row r="367" ht="19" customHeight="1">
      <x:c r="A367" s="19" t="str">
        <x:v>叠加数量</x:v>
      </x:c>
      <x:c r="B367" s="19" t="str">
        <x:v>C05-M012</x:v>
      </x:c>
      <x:c r="C367" s="19" t="str">
        <x:v>野兽骨片</x:v>
      </x:c>
      <x:c r="D367" s="19" t="str">
        <x:v>1</x:v>
      </x:c>
      <x:c r="E367" s="19" t="str">
        <x:v>3</x:v>
      </x:c>
      <x:c r="F367" s="19" t="str">
        <x:v>长期消耗供给；提高每次叠加量，避免把所有候选改为高频地面散件</x:v>
      </x:c>
    </x:row>
    <x:row r="368" ht="19" customHeight="1">
      <x:c r="A368" s="19" t="str">
        <x:v>叠加数量</x:v>
      </x:c>
      <x:c r="B368" s="19" t="str">
        <x:v>C05-M013</x:v>
      </x:c>
      <x:c r="C368" s="19" t="str">
        <x:v>野兽骨片</x:v>
      </x:c>
      <x:c r="D368" s="19" t="str">
        <x:v>1</x:v>
      </x:c>
      <x:c r="E368" s="19" t="str">
        <x:v>3</x:v>
      </x:c>
      <x:c r="F368" s="19" t="str">
        <x:v>长期消耗供给；提高每次叠加量，避免把所有候选改为高频地面散件</x:v>
      </x:c>
    </x:row>
    <x:row r="369" ht="19" customHeight="1">
      <x:c r="A369" s="19" t="str">
        <x:v>叠加数量</x:v>
      </x:c>
      <x:c r="B369" s="19" t="str">
        <x:v>C05-M014</x:v>
      </x:c>
      <x:c r="C369" s="19" t="str">
        <x:v>野兽骨片</x:v>
      </x:c>
      <x:c r="D369" s="19" t="str">
        <x:v>1</x:v>
      </x:c>
      <x:c r="E369" s="19" t="str">
        <x:v>3</x:v>
      </x:c>
      <x:c r="F369" s="19" t="str">
        <x:v>长期消耗供给；提高每次叠加量，避免把所有候选改为高频地面散件</x:v>
      </x:c>
    </x:row>
    <x:row r="370" ht="19" customHeight="1">
      <x:c r="A370" s="19" t="str">
        <x:v>叠加数量</x:v>
      </x:c>
      <x:c r="B370" s="19" t="str">
        <x:v>C05-M015</x:v>
      </x:c>
      <x:c r="C370" s="19" t="str">
        <x:v>野兽骨片</x:v>
      </x:c>
      <x:c r="D370" s="19" t="str">
        <x:v>1</x:v>
      </x:c>
      <x:c r="E370" s="19" t="str">
        <x:v>3</x:v>
      </x:c>
      <x:c r="F370" s="19" t="str">
        <x:v>长期消耗供给；提高每次叠加量，避免把所有候选改为高频地面散件</x:v>
      </x:c>
    </x:row>
    <x:row r="371" ht="19" customHeight="1">
      <x:c r="A371" s="19" t="str">
        <x:v>叠加数量</x:v>
      </x:c>
      <x:c r="B371" s="19" t="str">
        <x:v>C05-M016</x:v>
      </x:c>
      <x:c r="C371" s="19" t="str">
        <x:v>野兽骨片</x:v>
      </x:c>
      <x:c r="D371" s="19" t="str">
        <x:v>1</x:v>
      </x:c>
      <x:c r="E371" s="19" t="str">
        <x:v>3</x:v>
      </x:c>
      <x:c r="F371" s="19" t="str">
        <x:v>长期消耗供给；提高每次叠加量，避免把所有候选改为高频地面散件</x:v>
      </x:c>
    </x:row>
    <x:row r="372" ht="19" customHeight="1">
      <x:c r="A372" s="19" t="str">
        <x:v>叠加数量</x:v>
      </x:c>
      <x:c r="B372" s="19" t="str">
        <x:v>C05-M017</x:v>
      </x:c>
      <x:c r="C372" s="19" t="str">
        <x:v>野兽骨片</x:v>
      </x:c>
      <x:c r="D372" s="19" t="str">
        <x:v>1</x:v>
      </x:c>
      <x:c r="E372" s="19" t="str">
        <x:v>3</x:v>
      </x:c>
      <x:c r="F372" s="19" t="str">
        <x:v>长期消耗供给；提高每次叠加量，避免把所有候选改为高频地面散件</x:v>
      </x:c>
    </x:row>
    <x:row r="373" ht="19" customHeight="1">
      <x:c r="A373" s="19" t="str">
        <x:v>叠加数量</x:v>
      </x:c>
      <x:c r="B373" s="19" t="str">
        <x:v>C05-M018</x:v>
      </x:c>
      <x:c r="C373" s="19" t="str">
        <x:v>野兽骨片</x:v>
      </x:c>
      <x:c r="D373" s="19" t="str">
        <x:v>1</x:v>
      </x:c>
      <x:c r="E373" s="19" t="str">
        <x:v>3</x:v>
      </x:c>
      <x:c r="F373" s="19" t="str">
        <x:v>长期消耗供给；提高每次叠加量，避免把所有候选改为高频地面散件</x:v>
      </x:c>
    </x:row>
    <x:row r="374" ht="19" customHeight="1">
      <x:c r="A374" s="19" t="str">
        <x:v>叠加数量</x:v>
      </x:c>
      <x:c r="B374" s="19" t="str">
        <x:v>C05-M019</x:v>
      </x:c>
      <x:c r="C374" s="19" t="str">
        <x:v>野兽骨片</x:v>
      </x:c>
      <x:c r="D374" s="19" t="str">
        <x:v>1</x:v>
      </x:c>
      <x:c r="E374" s="19" t="str">
        <x:v>3</x:v>
      </x:c>
      <x:c r="F374" s="19" t="str">
        <x:v>长期消耗供给；提高每次叠加量，避免把所有候选改为高频地面散件</x:v>
      </x:c>
    </x:row>
    <x:row r="375" ht="19" customHeight="1">
      <x:c r="A375" s="19" t="str">
        <x:v>叠加数量</x:v>
      </x:c>
      <x:c r="B375" s="19" t="str">
        <x:v>C05-M020</x:v>
      </x:c>
      <x:c r="C375" s="19" t="str">
        <x:v>野兽骨片</x:v>
      </x:c>
      <x:c r="D375" s="19" t="str">
        <x:v>1</x:v>
      </x:c>
      <x:c r="E375" s="19" t="str">
        <x:v>3</x:v>
      </x:c>
      <x:c r="F375" s="19" t="str">
        <x:v>长期消耗供给；提高每次叠加量，避免把所有候选改为高频地面散件</x:v>
      </x:c>
    </x:row>
    <x:row r="376" ht="19" customHeight="1">
      <x:c r="A376" s="19" t="str">
        <x:v>叠加数量</x:v>
      </x:c>
      <x:c r="B376" s="19" t="str">
        <x:v>C05-M021</x:v>
      </x:c>
      <x:c r="C376" s="19" t="str">
        <x:v>野兽骨片</x:v>
      </x:c>
      <x:c r="D376" s="19" t="str">
        <x:v>1</x:v>
      </x:c>
      <x:c r="E376" s="19" t="str">
        <x:v>3</x:v>
      </x:c>
      <x:c r="F376" s="19" t="str">
        <x:v>长期消耗供给；提高每次叠加量，避免把所有候选改为高频地面散件</x:v>
      </x:c>
    </x:row>
    <x:row r="377" ht="19" customHeight="1">
      <x:c r="A377" s="19" t="str">
        <x:v>叠加数量</x:v>
      </x:c>
      <x:c r="B377" s="19" t="str">
        <x:v>C05-M022</x:v>
      </x:c>
      <x:c r="C377" s="19" t="str">
        <x:v>野兽骨片</x:v>
      </x:c>
      <x:c r="D377" s="19" t="str">
        <x:v>1</x:v>
      </x:c>
      <x:c r="E377" s="19" t="str">
        <x:v>3</x:v>
      </x:c>
      <x:c r="F377" s="19" t="str">
        <x:v>长期消耗供给；提高每次叠加量，避免把所有候选改为高频地面散件</x:v>
      </x:c>
    </x:row>
    <x:row r="378" ht="19" customHeight="1">
      <x:c r="A378" s="19" t="str">
        <x:v>叠加数量</x:v>
      </x:c>
      <x:c r="B378" s="19" t="str">
        <x:v>C05-M023</x:v>
      </x:c>
      <x:c r="C378" s="19" t="str">
        <x:v>野兽骨片</x:v>
      </x:c>
      <x:c r="D378" s="19" t="str">
        <x:v>1</x:v>
      </x:c>
      <x:c r="E378" s="19" t="str">
        <x:v>3</x:v>
      </x:c>
      <x:c r="F378" s="19" t="str">
        <x:v>长期消耗供给；提高每次叠加量，避免把所有候选改为高频地面散件</x:v>
      </x:c>
    </x:row>
    <x:row r="379" ht="19" customHeight="1">
      <x:c r="A379" s="19" t="str">
        <x:v>叠加数量</x:v>
      </x:c>
      <x:c r="B379" s="19" t="str">
        <x:v>C05-M024</x:v>
      </x:c>
      <x:c r="C379" s="19" t="str">
        <x:v>野兽骨片</x:v>
      </x:c>
      <x:c r="D379" s="19" t="str">
        <x:v>1</x:v>
      </x:c>
      <x:c r="E379" s="19" t="str">
        <x:v>3</x:v>
      </x:c>
      <x:c r="F379" s="19" t="str">
        <x:v>长期消耗供给；提高每次叠加量，避免把所有候选改为高频地面散件</x:v>
      </x:c>
    </x:row>
    <x:row r="380" ht="19" customHeight="1">
      <x:c r="A380" s="19" t="str">
        <x:v>叠加数量</x:v>
      </x:c>
      <x:c r="B380" s="19" t="str">
        <x:v>C05-M025</x:v>
      </x:c>
      <x:c r="C380" s="19" t="str">
        <x:v>野兽骨片</x:v>
      </x:c>
      <x:c r="D380" s="19" t="str">
        <x:v>1</x:v>
      </x:c>
      <x:c r="E380" s="19" t="str">
        <x:v>3</x:v>
      </x:c>
      <x:c r="F380" s="19" t="str">
        <x:v>长期消耗供给；提高每次叠加量，避免把所有候选改为高频地面散件</x:v>
      </x:c>
    </x:row>
    <x:row r="381" ht="19" customHeight="1">
      <x:c r="A381" s="19" t="str">
        <x:v>叠加数量</x:v>
      </x:c>
      <x:c r="B381" s="19" t="str">
        <x:v>C05-M026</x:v>
      </x:c>
      <x:c r="C381" s="19" t="str">
        <x:v>野兽骨片</x:v>
      </x:c>
      <x:c r="D381" s="19" t="str">
        <x:v>1</x:v>
      </x:c>
      <x:c r="E381" s="19" t="str">
        <x:v>3</x:v>
      </x:c>
      <x:c r="F381" s="19" t="str">
        <x:v>长期消耗供给；提高每次叠加量，避免把所有候选改为高频地面散件</x:v>
      </x:c>
    </x:row>
    <x:row r="382" ht="19" customHeight="1">
      <x:c r="A382" s="19" t="str">
        <x:v>叠加数量</x:v>
      </x:c>
      <x:c r="B382" s="19" t="str">
        <x:v>C05-M027</x:v>
      </x:c>
      <x:c r="C382" s="19" t="str">
        <x:v>野兽骨片</x:v>
      </x:c>
      <x:c r="D382" s="19" t="str">
        <x:v>1</x:v>
      </x:c>
      <x:c r="E382" s="19" t="str">
        <x:v>3</x:v>
      </x:c>
      <x:c r="F382" s="19" t="str">
        <x:v>长期消耗供给；提高每次叠加量，避免把所有候选改为高频地面散件</x:v>
      </x:c>
    </x:row>
    <x:row r="383" ht="19" customHeight="1">
      <x:c r="A383" s="19" t="str">
        <x:v>叠加数量</x:v>
      </x:c>
      <x:c r="B383" s="19" t="str">
        <x:v>C05-M028</x:v>
      </x:c>
      <x:c r="C383" s="19" t="str">
        <x:v>野兽骨片</x:v>
      </x:c>
      <x:c r="D383" s="19" t="str">
        <x:v>1</x:v>
      </x:c>
      <x:c r="E383" s="19" t="str">
        <x:v>3</x:v>
      </x:c>
      <x:c r="F383" s="19" t="str">
        <x:v>长期消耗供给；提高每次叠加量，避免把所有候选改为高频地面散件</x:v>
      </x:c>
    </x:row>
    <x:row r="384" ht="19" customHeight="1">
      <x:c r="A384" s="19" t="str">
        <x:v>叠加数量</x:v>
      </x:c>
      <x:c r="B384" s="19" t="str">
        <x:v>C05-M029</x:v>
      </x:c>
      <x:c r="C384" s="19" t="str">
        <x:v>野兽骨片</x:v>
      </x:c>
      <x:c r="D384" s="19" t="str">
        <x:v>1</x:v>
      </x:c>
      <x:c r="E384" s="19" t="str">
        <x:v>3</x:v>
      </x:c>
      <x:c r="F384" s="19" t="str">
        <x:v>长期消耗供给；提高每次叠加量，避免把所有候选改为高频地面散件</x:v>
      </x:c>
    </x:row>
    <x:row r="385" ht="19" customHeight="1">
      <x:c r="A385" s="19" t="str">
        <x:v>叠加数量</x:v>
      </x:c>
      <x:c r="B385" s="19" t="str">
        <x:v>C05-M030</x:v>
      </x:c>
      <x:c r="C385" s="19" t="str">
        <x:v>野兽骨片</x:v>
      </x:c>
      <x:c r="D385" s="19" t="str">
        <x:v>1</x:v>
      </x:c>
      <x:c r="E385" s="19" t="str">
        <x:v>3</x:v>
      </x:c>
      <x:c r="F385" s="19" t="str">
        <x:v>长期消耗供给；提高每次叠加量，避免把所有候选改为高频地面散件</x:v>
      </x:c>
    </x:row>
    <x:row r="386" ht="19" customHeight="1">
      <x:c r="A386" s="19" t="str">
        <x:v>叠加数量</x:v>
      </x:c>
      <x:c r="B386" s="19" t="str">
        <x:v>C05-M031</x:v>
      </x:c>
      <x:c r="C386" s="19" t="str">
        <x:v>野兽骨片</x:v>
      </x:c>
      <x:c r="D386" s="19" t="str">
        <x:v>1</x:v>
      </x:c>
      <x:c r="E386" s="19" t="str">
        <x:v>3</x:v>
      </x:c>
      <x:c r="F386" s="19" t="str">
        <x:v>长期消耗供给；提高每次叠加量，避免把所有候选改为高频地面散件</x:v>
      </x:c>
    </x:row>
    <x:row r="387" ht="19" customHeight="1">
      <x:c r="A387" s="19" t="str">
        <x:v>叠加数量</x:v>
      </x:c>
      <x:c r="B387" s="19" t="str">
        <x:v>C05-M032</x:v>
      </x:c>
      <x:c r="C387" s="19" t="str">
        <x:v>野兽骨片</x:v>
      </x:c>
      <x:c r="D387" s="19" t="str">
        <x:v>1</x:v>
      </x:c>
      <x:c r="E387" s="19" t="str">
        <x:v>3</x:v>
      </x:c>
      <x:c r="F387" s="19" t="str">
        <x:v>长期消耗供给；提高每次叠加量，避免把所有候选改为高频地面散件</x:v>
      </x:c>
    </x:row>
    <x:row r="388" ht="19" customHeight="1">
      <x:c r="A388" s="19" t="str">
        <x:v>叠加数量</x:v>
      </x:c>
      <x:c r="B388" s="19" t="str">
        <x:v>C05-M033</x:v>
      </x:c>
      <x:c r="C388" s="19" t="str">
        <x:v>野兽骨片</x:v>
      </x:c>
      <x:c r="D388" s="19" t="str">
        <x:v>1</x:v>
      </x:c>
      <x:c r="E388" s="19" t="str">
        <x:v>3</x:v>
      </x:c>
      <x:c r="F388" s="19" t="str">
        <x:v>长期消耗供给；提高每次叠加量，避免把所有候选改为高频地面散件</x:v>
      </x:c>
    </x:row>
    <x:row r="389" ht="19" customHeight="1">
      <x:c r="A389" s="19" t="str">
        <x:v>叠加数量</x:v>
      </x:c>
      <x:c r="B389" s="19" t="str">
        <x:v>C05-M034</x:v>
      </x:c>
      <x:c r="C389" s="19" t="str">
        <x:v>野兽骨片</x:v>
      </x:c>
      <x:c r="D389" s="19" t="str">
        <x:v>1</x:v>
      </x:c>
      <x:c r="E389" s="19" t="str">
        <x:v>3</x:v>
      </x:c>
      <x:c r="F389" s="19" t="str">
        <x:v>长期消耗供给；提高每次叠加量，避免把所有候选改为高频地面散件</x:v>
      </x:c>
    </x:row>
    <x:row r="390" ht="19" customHeight="1">
      <x:c r="A390" s="19" t="str">
        <x:v>叠加数量</x:v>
      </x:c>
      <x:c r="B390" s="19" t="str">
        <x:v>C05-M035</x:v>
      </x:c>
      <x:c r="C390" s="19" t="str">
        <x:v>野兽骨片</x:v>
      </x:c>
      <x:c r="D390" s="19" t="str">
        <x:v>1</x:v>
      </x:c>
      <x:c r="E390" s="19" t="str">
        <x:v>3</x:v>
      </x:c>
      <x:c r="F390" s="19" t="str">
        <x:v>长期消耗供给；提高每次叠加量，避免把所有候选改为高频地面散件</x:v>
      </x:c>
    </x:row>
    <x:row r="391" ht="19" customHeight="1">
      <x:c r="A391" s="19" t="str">
        <x:v>叠加数量</x:v>
      </x:c>
      <x:c r="B391" s="19" t="str">
        <x:v>C05-M036</x:v>
      </x:c>
      <x:c r="C391" s="19" t="str">
        <x:v>野兽骨片</x:v>
      </x:c>
      <x:c r="D391" s="19" t="str">
        <x:v>1</x:v>
      </x:c>
      <x:c r="E391" s="19" t="str">
        <x:v>3</x:v>
      </x:c>
      <x:c r="F391" s="19" t="str">
        <x:v>长期消耗供给；提高每次叠加量，避免把所有候选改为高频地面散件</x:v>
      </x:c>
    </x:row>
    <x:row r="392" ht="19" customHeight="1">
      <x:c r="A392" s="19" t="str">
        <x:v>叠加数量</x:v>
      </x:c>
      <x:c r="B392" s="19" t="str">
        <x:v>C05-M037</x:v>
      </x:c>
      <x:c r="C392" s="19" t="str">
        <x:v>野兽骨片</x:v>
      </x:c>
      <x:c r="D392" s="19" t="str">
        <x:v>1</x:v>
      </x:c>
      <x:c r="E392" s="19" t="str">
        <x:v>3</x:v>
      </x:c>
      <x:c r="F392" s="19" t="str">
        <x:v>长期消耗供给；提高每次叠加量，避免把所有候选改为高频地面散件</x:v>
      </x:c>
    </x:row>
    <x:row r="393" ht="19" customHeight="1">
      <x:c r="A393" s="19" t="str">
        <x:v>叠加数量</x:v>
      </x:c>
      <x:c r="B393" s="19" t="str">
        <x:v>C05-M038</x:v>
      </x:c>
      <x:c r="C393" s="19" t="str">
        <x:v>野兽骨片</x:v>
      </x:c>
      <x:c r="D393" s="19" t="str">
        <x:v>1</x:v>
      </x:c>
      <x:c r="E393" s="19" t="str">
        <x:v>3</x:v>
      </x:c>
      <x:c r="F393" s="19" t="str">
        <x:v>长期消耗供给；提高每次叠加量，避免把所有候选改为高频地面散件</x:v>
      </x:c>
    </x:row>
    <x:row r="394" ht="19" customHeight="1">
      <x:c r="A394" s="19" t="str">
        <x:v>叠加数量</x:v>
      </x:c>
      <x:c r="B394" s="19" t="str">
        <x:v>C05-M039</x:v>
      </x:c>
      <x:c r="C394" s="19" t="str">
        <x:v>野兽骨片</x:v>
      </x:c>
      <x:c r="D394" s="19" t="str">
        <x:v>1</x:v>
      </x:c>
      <x:c r="E394" s="19" t="str">
        <x:v>3</x:v>
      </x:c>
      <x:c r="F394" s="19" t="str">
        <x:v>长期消耗供给；提高每次叠加量，避免把所有候选改为高频地面散件</x:v>
      </x:c>
    </x:row>
    <x:row r="395" ht="19" customHeight="1">
      <x:c r="A395" s="19" t="str">
        <x:v>叠加数量</x:v>
      </x:c>
      <x:c r="B395" s="19" t="str">
        <x:v>C05-M040</x:v>
      </x:c>
      <x:c r="C395" s="19" t="str">
        <x:v>野兽骨片</x:v>
      </x:c>
      <x:c r="D395" s="19" t="str">
        <x:v>1</x:v>
      </x:c>
      <x:c r="E395" s="19" t="str">
        <x:v>3</x:v>
      </x:c>
      <x:c r="F395" s="19" t="str">
        <x:v>长期消耗供给；提高每次叠加量，避免把所有候选改为高频地面散件</x:v>
      </x:c>
    </x:row>
    <x:row r="396" ht="19" customHeight="1">
      <x:c r="A396" s="19" t="str">
        <x:v>叠加数量</x:v>
      </x:c>
      <x:c r="B396" s="19" t="str">
        <x:v>C05-M041</x:v>
      </x:c>
      <x:c r="C396" s="19" t="str">
        <x:v>野兽骨片</x:v>
      </x:c>
      <x:c r="D396" s="19" t="str">
        <x:v>1</x:v>
      </x:c>
      <x:c r="E396" s="19" t="str">
        <x:v>3</x:v>
      </x:c>
      <x:c r="F396" s="19" t="str">
        <x:v>长期消耗供给；提高每次叠加量，避免把所有候选改为高频地面散件</x:v>
      </x:c>
    </x:row>
    <x:row r="397" ht="19" customHeight="1">
      <x:c r="A397" s="19" t="str">
        <x:v>叠加数量</x:v>
      </x:c>
      <x:c r="B397" s="19" t="str">
        <x:v>C05-M042</x:v>
      </x:c>
      <x:c r="C397" s="19" t="str">
        <x:v>野兽骨片</x:v>
      </x:c>
      <x:c r="D397" s="19" t="str">
        <x:v>1</x:v>
      </x:c>
      <x:c r="E397" s="19" t="str">
        <x:v>3</x:v>
      </x:c>
      <x:c r="F397" s="19" t="str">
        <x:v>长期消耗供给；提高每次叠加量，避免把所有候选改为高频地面散件</x:v>
      </x:c>
    </x:row>
    <x:row r="398" ht="19" customHeight="1">
      <x:c r="A398" s="19" t="str">
        <x:v>叠加数量</x:v>
      </x:c>
      <x:c r="B398" s="19" t="str">
        <x:v>C05-M043</x:v>
      </x:c>
      <x:c r="C398" s="19" t="str">
        <x:v>野兽骨片</x:v>
      </x:c>
      <x:c r="D398" s="19" t="str">
        <x:v>1</x:v>
      </x:c>
      <x:c r="E398" s="19" t="str">
        <x:v>3</x:v>
      </x:c>
      <x:c r="F398" s="19" t="str">
        <x:v>长期消耗供给；提高每次叠加量，避免把所有候选改为高频地面散件</x:v>
      </x:c>
    </x:row>
    <x:row r="399" ht="19" customHeight="1">
      <x:c r="A399" s="19" t="str">
        <x:v>叠加数量</x:v>
      </x:c>
      <x:c r="B399" s="19" t="str">
        <x:v>C05-M044</x:v>
      </x:c>
      <x:c r="C399" s="19" t="str">
        <x:v>野兽骨片</x:v>
      </x:c>
      <x:c r="D399" s="19" t="str">
        <x:v>1</x:v>
      </x:c>
      <x:c r="E399" s="19" t="str">
        <x:v>3</x:v>
      </x:c>
      <x:c r="F399" s="19" t="str">
        <x:v>长期消耗供给；提高每次叠加量，避免把所有候选改为高频地面散件</x:v>
      </x:c>
    </x:row>
    <x:row r="400" ht="19" customHeight="1">
      <x:c r="A400" s="19" t="str">
        <x:v>叠加数量</x:v>
      </x:c>
      <x:c r="B400" s="19" t="str">
        <x:v>C05-M045</x:v>
      </x:c>
      <x:c r="C400" s="19" t="str">
        <x:v>野兽骨片</x:v>
      </x:c>
      <x:c r="D400" s="19" t="str">
        <x:v>1</x:v>
      </x:c>
      <x:c r="E400" s="19" t="str">
        <x:v>3</x:v>
      </x:c>
      <x:c r="F400" s="19" t="str">
        <x:v>长期消耗供给；提高每次叠加量，避免把所有候选改为高频地面散件</x:v>
      </x:c>
    </x:row>
    <x:row r="401" ht="19" customHeight="1">
      <x:c r="A401" s="19" t="str">
        <x:v>叠加数量</x:v>
      </x:c>
      <x:c r="B401" s="19" t="str">
        <x:v>C05-M046</x:v>
      </x:c>
      <x:c r="C401" s="19" t="str">
        <x:v>野兽骨片</x:v>
      </x:c>
      <x:c r="D401" s="19" t="str">
        <x:v>1</x:v>
      </x:c>
      <x:c r="E401" s="19" t="str">
        <x:v>3</x:v>
      </x:c>
      <x:c r="F401" s="19" t="str">
        <x:v>长期消耗供给；提高每次叠加量，避免把所有候选改为高频地面散件</x:v>
      </x:c>
    </x:row>
    <x:row r="402" ht="19" customHeight="1">
      <x:c r="A402" s="19" t="str">
        <x:v>叠加数量</x:v>
      </x:c>
      <x:c r="B402" s="19" t="str">
        <x:v>C05-M047</x:v>
      </x:c>
      <x:c r="C402" s="19" t="str">
        <x:v>野兽骨片</x:v>
      </x:c>
      <x:c r="D402" s="19" t="str">
        <x:v>1</x:v>
      </x:c>
      <x:c r="E402" s="19" t="str">
        <x:v>3</x:v>
      </x:c>
      <x:c r="F402" s="19" t="str">
        <x:v>长期消耗供给；提高每次叠加量，避免把所有候选改为高频地面散件</x:v>
      </x:c>
    </x:row>
    <x:row r="403" ht="19" customHeight="1">
      <x:c r="A403" s="19" t="str">
        <x:v>叠加数量</x:v>
      </x:c>
      <x:c r="B403" s="19" t="str">
        <x:v>C05-M048</x:v>
      </x:c>
      <x:c r="C403" s="19" t="str">
        <x:v>野兽骨片</x:v>
      </x:c>
      <x:c r="D403" s="19" t="str">
        <x:v>1</x:v>
      </x:c>
      <x:c r="E403" s="19" t="str">
        <x:v>3</x:v>
      </x:c>
      <x:c r="F403" s="19" t="str">
        <x:v>长期消耗供给；提高每次叠加量，避免把所有候选改为高频地面散件</x:v>
      </x:c>
    </x:row>
    <x:row r="404" ht="19" customHeight="1">
      <x:c r="A404" s="19" t="str">
        <x:v>叠加数量</x:v>
      </x:c>
      <x:c r="B404" s="19" t="str">
        <x:v>C05-M049</x:v>
      </x:c>
      <x:c r="C404" s="19" t="str">
        <x:v>野兽骨片</x:v>
      </x:c>
      <x:c r="D404" s="19" t="str">
        <x:v>1</x:v>
      </x:c>
      <x:c r="E404" s="19" t="str">
        <x:v>3</x:v>
      </x:c>
      <x:c r="F404" s="19" t="str">
        <x:v>长期消耗供给；提高每次叠加量，避免把所有候选改为高频地面散件</x:v>
      </x:c>
    </x:row>
    <x:row r="405" ht="19" customHeight="1">
      <x:c r="A405" s="19" t="str">
        <x:v>叠加数量</x:v>
      </x:c>
      <x:c r="B405" s="19" t="str">
        <x:v>C05-M050</x:v>
      </x:c>
      <x:c r="C405" s="19" t="str">
        <x:v>野兽骨片</x:v>
      </x:c>
      <x:c r="D405" s="19" t="str">
        <x:v>1</x:v>
      </x:c>
      <x:c r="E405" s="19" t="str">
        <x:v>3</x:v>
      </x:c>
      <x:c r="F405" s="19" t="str">
        <x:v>长期消耗供给；提高每次叠加量，避免把所有候选改为高频地面散件</x:v>
      </x:c>
    </x:row>
    <x:row r="406" ht="19" customHeight="1">
      <x:c r="A406" s="19" t="str">
        <x:v>叠加数量</x:v>
      </x:c>
      <x:c r="B406" s="19" t="str">
        <x:v>C05-M051</x:v>
      </x:c>
      <x:c r="C406" s="19" t="str">
        <x:v>野兽骨片</x:v>
      </x:c>
      <x:c r="D406" s="19" t="str">
        <x:v>1</x:v>
      </x:c>
      <x:c r="E406" s="19" t="str">
        <x:v>3</x:v>
      </x:c>
      <x:c r="F406" s="19" t="str">
        <x:v>长期消耗供给；提高每次叠加量，避免把所有候选改为高频地面散件</x:v>
      </x:c>
    </x:row>
    <x:row r="407" ht="19" customHeight="1">
      <x:c r="A407" s="19" t="str">
        <x:v>叠加数量</x:v>
      </x:c>
      <x:c r="B407" s="19" t="str">
        <x:v>C05-M052</x:v>
      </x:c>
      <x:c r="C407" s="19" t="str">
        <x:v>野兽骨片</x:v>
      </x:c>
      <x:c r="D407" s="19" t="str">
        <x:v>1</x:v>
      </x:c>
      <x:c r="E407" s="19" t="str">
        <x:v>3</x:v>
      </x:c>
      <x:c r="F407" s="19" t="str">
        <x:v>长期消耗供给；提高每次叠加量，避免把所有候选改为高频地面散件</x:v>
      </x:c>
    </x:row>
    <x:row r="408" ht="19" customHeight="1">
      <x:c r="A408" s="19" t="str">
        <x:v>叠加数量</x:v>
      </x:c>
      <x:c r="B408" s="19" t="str">
        <x:v>C05-M053</x:v>
      </x:c>
      <x:c r="C408" s="19" t="str">
        <x:v>野兽骨片</x:v>
      </x:c>
      <x:c r="D408" s="19" t="str">
        <x:v>1</x:v>
      </x:c>
      <x:c r="E408" s="19" t="str">
        <x:v>3</x:v>
      </x:c>
      <x:c r="F408" s="19" t="str">
        <x:v>长期消耗供给；提高每次叠加量，避免把所有候选改为高频地面散件</x:v>
      </x:c>
    </x:row>
    <x:row r="409" ht="19" customHeight="1">
      <x:c r="A409" s="19" t="str">
        <x:v>叠加数量</x:v>
      </x:c>
      <x:c r="B409" s="19" t="str">
        <x:v>C05-M054</x:v>
      </x:c>
      <x:c r="C409" s="19" t="str">
        <x:v>野兽骨片</x:v>
      </x:c>
      <x:c r="D409" s="19" t="str">
        <x:v>1</x:v>
      </x:c>
      <x:c r="E409" s="19" t="str">
        <x:v>3</x:v>
      </x:c>
      <x:c r="F409" s="19" t="str">
        <x:v>长期消耗供给；提高每次叠加量，避免把所有候选改为高频地面散件</x:v>
      </x:c>
    </x:row>
    <x:row r="410" ht="19" customHeight="1">
      <x:c r="A410" s="19" t="str">
        <x:v>叠加数量</x:v>
      </x:c>
      <x:c r="B410" s="19" t="str">
        <x:v>C05-M055</x:v>
      </x:c>
      <x:c r="C410" s="19" t="str">
        <x:v>野兽骨片</x:v>
      </x:c>
      <x:c r="D410" s="19" t="str">
        <x:v>1</x:v>
      </x:c>
      <x:c r="E410" s="19" t="str">
        <x:v>3</x:v>
      </x:c>
      <x:c r="F410" s="19" t="str">
        <x:v>长期消耗供给；提高每次叠加量，避免把所有候选改为高频地面散件</x:v>
      </x:c>
    </x:row>
    <x:row r="411" ht="19" customHeight="1">
      <x:c r="A411" s="19" t="str">
        <x:v>叠加数量</x:v>
      </x:c>
      <x:c r="B411" s="19" t="str">
        <x:v>C05-M056</x:v>
      </x:c>
      <x:c r="C411" s="19" t="str">
        <x:v>野兽骨片</x:v>
      </x:c>
      <x:c r="D411" s="19" t="str">
        <x:v>1</x:v>
      </x:c>
      <x:c r="E411" s="19" t="str">
        <x:v>3</x:v>
      </x:c>
      <x:c r="F411" s="19" t="str">
        <x:v>长期消耗供给；提高每次叠加量，避免把所有候选改为高频地面散件</x:v>
      </x:c>
    </x:row>
    <x:row r="412" ht="19" customHeight="1">
      <x:c r="A412" s="19" t="str">
        <x:v>叠加数量</x:v>
      </x:c>
      <x:c r="B412" s="19" t="str">
        <x:v>C05-M057</x:v>
      </x:c>
      <x:c r="C412" s="19" t="str">
        <x:v>野兽骨片</x:v>
      </x:c>
      <x:c r="D412" s="19" t="str">
        <x:v>1</x:v>
      </x:c>
      <x:c r="E412" s="19" t="str">
        <x:v>3</x:v>
      </x:c>
      <x:c r="F412" s="19" t="str">
        <x:v>长期消耗供给；提高每次叠加量，避免把所有候选改为高频地面散件</x:v>
      </x:c>
    </x:row>
    <x:row r="413" ht="19" customHeight="1">
      <x:c r="A413" s="19" t="str">
        <x:v>叠加数量</x:v>
      </x:c>
      <x:c r="B413" s="19" t="str">
        <x:v>C05-M058</x:v>
      </x:c>
      <x:c r="C413" s="19" t="str">
        <x:v>野兽骨片</x:v>
      </x:c>
      <x:c r="D413" s="19" t="str">
        <x:v>1</x:v>
      </x:c>
      <x:c r="E413" s="19" t="str">
        <x:v>3</x:v>
      </x:c>
      <x:c r="F413" s="19" t="str">
        <x:v>长期消耗供给；提高每次叠加量，避免把所有候选改为高频地面散件</x:v>
      </x:c>
    </x:row>
    <x:row r="414" ht="19" customHeight="1">
      <x:c r="A414" s="19" t="str">
        <x:v>叠加数量</x:v>
      </x:c>
      <x:c r="B414" s="19" t="str">
        <x:v>C05-M059</x:v>
      </x:c>
      <x:c r="C414" s="19" t="str">
        <x:v>野兽骨片</x:v>
      </x:c>
      <x:c r="D414" s="19" t="str">
        <x:v>1</x:v>
      </x:c>
      <x:c r="E414" s="19" t="str">
        <x:v>3</x:v>
      </x:c>
      <x:c r="F414" s="19" t="str">
        <x:v>长期消耗供给；提高每次叠加量，避免把所有候选改为高频地面散件</x:v>
      </x:c>
    </x:row>
    <x:row r="415" ht="19" customHeight="1">
      <x:c r="A415" s="19" t="str">
        <x:v>叠加数量</x:v>
      </x:c>
      <x:c r="B415" s="19" t="str">
        <x:v>C05-M060</x:v>
      </x:c>
      <x:c r="C415" s="19" t="str">
        <x:v>野兽骨片</x:v>
      </x:c>
      <x:c r="D415" s="19" t="str">
        <x:v>1</x:v>
      </x:c>
      <x:c r="E415" s="19" t="str">
        <x:v>3</x:v>
      </x:c>
      <x:c r="F415" s="19" t="str">
        <x:v>长期消耗供给；提高每次叠加量，避免把所有候选改为高频地面散件</x:v>
      </x:c>
    </x:row>
    <x:row r="416" ht="19" customHeight="1">
      <x:c r="A416" s="19" t="str">
        <x:v>叠加数量</x:v>
      </x:c>
      <x:c r="B416" s="19" t="str">
        <x:v>C05-M061</x:v>
      </x:c>
      <x:c r="C416" s="19" t="str">
        <x:v>野兽骨片</x:v>
      </x:c>
      <x:c r="D416" s="19" t="str">
        <x:v>1</x:v>
      </x:c>
      <x:c r="E416" s="19" t="str">
        <x:v>3</x:v>
      </x:c>
      <x:c r="F416" s="19" t="str">
        <x:v>长期消耗供给；提高每次叠加量，避免把所有候选改为高频地面散件</x:v>
      </x:c>
    </x:row>
    <x:row r="417" ht="19" customHeight="1">
      <x:c r="A417" s="19" t="str">
        <x:v>叠加数量</x:v>
      </x:c>
      <x:c r="B417" s="19" t="str">
        <x:v>C05-M062</x:v>
      </x:c>
      <x:c r="C417" s="19" t="str">
        <x:v>野兽骨片</x:v>
      </x:c>
      <x:c r="D417" s="19" t="str">
        <x:v>1</x:v>
      </x:c>
      <x:c r="E417" s="19" t="str">
        <x:v>3</x:v>
      </x:c>
      <x:c r="F417" s="19" t="str">
        <x:v>长期消耗供给；提高每次叠加量，避免把所有候选改为高频地面散件</x:v>
      </x:c>
    </x:row>
    <x:row r="418" ht="19" customHeight="1">
      <x:c r="A418" s="19" t="str">
        <x:v>叠加数量</x:v>
      </x:c>
      <x:c r="B418" s="19" t="str">
        <x:v>C05-M063</x:v>
      </x:c>
      <x:c r="C418" s="19" t="str">
        <x:v>野兽骨片</x:v>
      </x:c>
      <x:c r="D418" s="19" t="str">
        <x:v>1</x:v>
      </x:c>
      <x:c r="E418" s="19" t="str">
        <x:v>3</x:v>
      </x:c>
      <x:c r="F418" s="19" t="str">
        <x:v>长期消耗供给；提高每次叠加量，避免把所有候选改为高频地面散件</x:v>
      </x:c>
    </x:row>
    <x:row r="419" ht="19" customHeight="1">
      <x:c r="A419" s="19" t="str">
        <x:v>叠加数量</x:v>
      </x:c>
      <x:c r="B419" s="19" t="str">
        <x:v>C05-M064</x:v>
      </x:c>
      <x:c r="C419" s="19" t="str">
        <x:v>野兽骨片</x:v>
      </x:c>
      <x:c r="D419" s="19" t="str">
        <x:v>1</x:v>
      </x:c>
      <x:c r="E419" s="19" t="str">
        <x:v>3</x:v>
      </x:c>
      <x:c r="F419" s="19" t="str">
        <x:v>长期消耗供给；提高每次叠加量，避免把所有候选改为高频地面散件</x:v>
      </x:c>
    </x:row>
    <x:row r="420" ht="19" customHeight="1">
      <x:c r="A420" s="19" t="str">
        <x:v>叠加数量</x:v>
      </x:c>
      <x:c r="B420" s="19" t="str">
        <x:v>C05-M065</x:v>
      </x:c>
      <x:c r="C420" s="19" t="str">
        <x:v>野兽骨片</x:v>
      </x:c>
      <x:c r="D420" s="19" t="str">
        <x:v>1</x:v>
      </x:c>
      <x:c r="E420" s="19" t="str">
        <x:v>3</x:v>
      </x:c>
      <x:c r="F420" s="19" t="str">
        <x:v>长期消耗供给；提高每次叠加量，避免把所有候选改为高频地面散件</x:v>
      </x:c>
    </x:row>
    <x:row r="421" ht="19" customHeight="1">
      <x:c r="A421" s="19" t="str">
        <x:v>叠加数量</x:v>
      </x:c>
      <x:c r="B421" s="19" t="str">
        <x:v>C05-M066</x:v>
      </x:c>
      <x:c r="C421" s="19" t="str">
        <x:v>野兽骨片</x:v>
      </x:c>
      <x:c r="D421" s="19" t="str">
        <x:v>1</x:v>
      </x:c>
      <x:c r="E421" s="19" t="str">
        <x:v>3</x:v>
      </x:c>
      <x:c r="F421" s="19" t="str">
        <x:v>长期消耗供给；提高每次叠加量，避免把所有候选改为高频地面散件</x:v>
      </x:c>
    </x:row>
    <x:row r="422" ht="19" customHeight="1">
      <x:c r="A422" s="19" t="str">
        <x:v>叠加数量</x:v>
      </x:c>
      <x:c r="B422" s="19" t="str">
        <x:v>C05-M067</x:v>
      </x:c>
      <x:c r="C422" s="19" t="str">
        <x:v>野兽骨片</x:v>
      </x:c>
      <x:c r="D422" s="19" t="str">
        <x:v>1</x:v>
      </x:c>
      <x:c r="E422" s="19" t="str">
        <x:v>3</x:v>
      </x:c>
      <x:c r="F422" s="19" t="str">
        <x:v>长期消耗供给；提高每次叠加量，避免把所有候选改为高频地面散件</x:v>
      </x:c>
    </x:row>
    <x:row r="423" ht="19" customHeight="1">
      <x:c r="A423" s="19" t="str">
        <x:v>叠加数量</x:v>
      </x:c>
      <x:c r="B423" s="19" t="str">
        <x:v>C05-M068</x:v>
      </x:c>
      <x:c r="C423" s="19" t="str">
        <x:v>野兽骨片</x:v>
      </x:c>
      <x:c r="D423" s="19" t="str">
        <x:v>1</x:v>
      </x:c>
      <x:c r="E423" s="19" t="str">
        <x:v>3</x:v>
      </x:c>
      <x:c r="F423" s="19" t="str">
        <x:v>长期消耗供给；提高每次叠加量，避免把所有候选改为高频地面散件</x:v>
      </x:c>
    </x:row>
    <x:row r="424" ht="19" customHeight="1">
      <x:c r="A424" s="19" t="str">
        <x:v>叠加数量</x:v>
      </x:c>
      <x:c r="B424" s="19" t="str">
        <x:v>C05-M069</x:v>
      </x:c>
      <x:c r="C424" s="19" t="str">
        <x:v>野兽骨片</x:v>
      </x:c>
      <x:c r="D424" s="19" t="str">
        <x:v>1</x:v>
      </x:c>
      <x:c r="E424" s="19" t="str">
        <x:v>3</x:v>
      </x:c>
      <x:c r="F424" s="19" t="str">
        <x:v>长期消耗供给；提高每次叠加量，避免把所有候选改为高频地面散件</x:v>
      </x:c>
    </x:row>
    <x:row r="425" ht="19" customHeight="1">
      <x:c r="A425" s="19" t="str">
        <x:v>叠加数量</x:v>
      </x:c>
      <x:c r="B425" s="19" t="str">
        <x:v>C05-M070</x:v>
      </x:c>
      <x:c r="C425" s="19" t="str">
        <x:v>野兽骨片</x:v>
      </x:c>
      <x:c r="D425" s="19" t="str">
        <x:v>1</x:v>
      </x:c>
      <x:c r="E425" s="19" t="str">
        <x:v>3</x:v>
      </x:c>
      <x:c r="F425" s="19" t="str">
        <x:v>长期消耗供给；提高每次叠加量，避免把所有候选改为高频地面散件</x:v>
      </x:c>
    </x:row>
    <x:row r="426" ht="19" customHeight="1">
      <x:c r="A426" s="19" t="str">
        <x:v>叠加数量</x:v>
      </x:c>
      <x:c r="B426" s="19" t="str">
        <x:v>C05-M071</x:v>
      </x:c>
      <x:c r="C426" s="19" t="str">
        <x:v>野兽骨片</x:v>
      </x:c>
      <x:c r="D426" s="19" t="str">
        <x:v>1</x:v>
      </x:c>
      <x:c r="E426" s="19" t="str">
        <x:v>3</x:v>
      </x:c>
      <x:c r="F426" s="19" t="str">
        <x:v>长期消耗供给；提高每次叠加量，避免把所有候选改为高频地面散件</x:v>
      </x:c>
    </x:row>
    <x:row r="427" ht="19" customHeight="1">
      <x:c r="A427" s="19" t="str">
        <x:v>叠加数量</x:v>
      </x:c>
      <x:c r="B427" s="19" t="str">
        <x:v>C05-M072</x:v>
      </x:c>
      <x:c r="C427" s="19" t="str">
        <x:v>野兽骨片</x:v>
      </x:c>
      <x:c r="D427" s="19" t="str">
        <x:v>1</x:v>
      </x:c>
      <x:c r="E427" s="19" t="str">
        <x:v>3</x:v>
      </x:c>
      <x:c r="F427" s="19" t="str">
        <x:v>长期消耗供给；提高每次叠加量，避免把所有候选改为高频地面散件</x:v>
      </x:c>
    </x:row>
    <x:row r="428" ht="19" customHeight="1">
      <x:c r="A428" s="19" t="str">
        <x:v>叠加数量</x:v>
      </x:c>
      <x:c r="B428" s="19" t="str">
        <x:v>C06-M011</x:v>
      </x:c>
      <x:c r="C428" s="19" t="str">
        <x:v>大卢恩</x:v>
      </x:c>
      <x:c r="D428" s="19" t="str">
        <x:v>1</x:v>
      </x:c>
      <x:c r="E428" s="19" t="str">
        <x:v>20</x:v>
      </x:c>
      <x:c r="F428" s="19" t="str">
        <x:v>长期消耗供给；提高每次叠加量，避免把所有候选改为高频地面散件</x:v>
      </x:c>
    </x:row>
    <x:row r="429" ht="19" customHeight="1">
      <x:c r="A429" s="19" t="str">
        <x:v>叠加数量</x:v>
      </x:c>
      <x:c r="B429" s="19" t="str">
        <x:v>C06-M012</x:v>
      </x:c>
      <x:c r="C429" s="19" t="str">
        <x:v>大卢恩</x:v>
      </x:c>
      <x:c r="D429" s="19" t="str">
        <x:v>1</x:v>
      </x:c>
      <x:c r="E429" s="19" t="str">
        <x:v>20</x:v>
      </x:c>
      <x:c r="F429" s="19" t="str">
        <x:v>长期消耗供给；提高每次叠加量，避免把所有候选改为高频地面散件</x:v>
      </x:c>
    </x:row>
    <x:row r="430" ht="19" customHeight="1">
      <x:c r="A430" s="19" t="str">
        <x:v>叠加数量</x:v>
      </x:c>
      <x:c r="B430" s="19" t="str">
        <x:v>C06-M023</x:v>
      </x:c>
      <x:c r="C430" s="19" t="str">
        <x:v>大卢恩</x:v>
      </x:c>
      <x:c r="D430" s="19" t="str">
        <x:v>1</x:v>
      </x:c>
      <x:c r="E430" s="19" t="str">
        <x:v>20</x:v>
      </x:c>
      <x:c r="F430" s="19" t="str">
        <x:v>长期消耗供给；提高每次叠加量，避免把所有候选改为高频地面散件</x:v>
      </x:c>
    </x:row>
    <x:row r="431" ht="19" customHeight="1">
      <x:c r="A431" s="19" t="str">
        <x:v>叠加数量</x:v>
      </x:c>
      <x:c r="B431" s="19" t="str">
        <x:v>C06-M024</x:v>
      </x:c>
      <x:c r="C431" s="19" t="str">
        <x:v>大卢恩</x:v>
      </x:c>
      <x:c r="D431" s="19" t="str">
        <x:v>1</x:v>
      </x:c>
      <x:c r="E431" s="19" t="str">
        <x:v>20</x:v>
      </x:c>
      <x:c r="F431" s="19" t="str">
        <x:v>长期消耗供给；提高每次叠加量，避免把所有候选改为高频地面散件</x:v>
      </x:c>
    </x:row>
    <x:row r="432" ht="19" customHeight="1">
      <x:c r="A432" s="19" t="str">
        <x:v>叠加数量</x:v>
      </x:c>
      <x:c r="B432" s="19" t="str">
        <x:v>C06-M035</x:v>
      </x:c>
      <x:c r="C432" s="19" t="str">
        <x:v>大卢恩</x:v>
      </x:c>
      <x:c r="D432" s="19" t="str">
        <x:v>1</x:v>
      </x:c>
      <x:c r="E432" s="19" t="str">
        <x:v>20</x:v>
      </x:c>
      <x:c r="F432" s="19" t="str">
        <x:v>长期消耗供给；提高每次叠加量，避免把所有候选改为高频地面散件</x:v>
      </x:c>
    </x:row>
    <x:row r="433" ht="19" customHeight="1">
      <x:c r="A433" s="19" t="str">
        <x:v>叠加数量</x:v>
      </x:c>
      <x:c r="B433" s="19" t="str">
        <x:v>C06-M036</x:v>
      </x:c>
      <x:c r="C433" s="19" t="str">
        <x:v>大卢恩</x:v>
      </x:c>
      <x:c r="D433" s="19" t="str">
        <x:v>1</x:v>
      </x:c>
      <x:c r="E433" s="19" t="str">
        <x:v>20</x:v>
      </x:c>
      <x:c r="F433" s="19" t="str">
        <x:v>长期消耗供给；提高每次叠加量，避免把所有候选改为高频地面散件</x:v>
      </x:c>
    </x:row>
    <x:row r="434" ht="19" customHeight="1">
      <x:c r="A434" s="19" t="str">
        <x:v>叠加数量</x:v>
      </x:c>
      <x:c r="B434" s="19" t="str">
        <x:v>C06-M011</x:v>
      </x:c>
      <x:c r="C434" s="19" t="str">
        <x:v>红狮战印</x:v>
      </x:c>
      <x:c r="D434" s="19" t="str">
        <x:v>1</x:v>
      </x:c>
      <x:c r="E434" s="19" t="str">
        <x:v>5</x:v>
      </x:c>
      <x:c r="F434" s="19" t="str">
        <x:v>长期消耗供给；提高每次叠加量，避免把所有候选改为高频地面散件</x:v>
      </x:c>
    </x:row>
    <x:row r="435" ht="19" customHeight="1">
      <x:c r="A435" s="19" t="str">
        <x:v>叠加数量</x:v>
      </x:c>
      <x:c r="B435" s="19" t="str">
        <x:v>C06-M012</x:v>
      </x:c>
      <x:c r="C435" s="19" t="str">
        <x:v>红狮战印</x:v>
      </x:c>
      <x:c r="D435" s="19" t="str">
        <x:v>1</x:v>
      </x:c>
      <x:c r="E435" s="19" t="str">
        <x:v>5</x:v>
      </x:c>
      <x:c r="F435" s="19" t="str">
        <x:v>长期消耗供给；提高每次叠加量，避免把所有候选改为高频地面散件</x:v>
      </x:c>
    </x:row>
    <x:row r="436" ht="19" customHeight="1">
      <x:c r="A436" s="19" t="str">
        <x:v>叠加数量</x:v>
      </x:c>
      <x:c r="B436" s="19" t="str">
        <x:v>C06-M023</x:v>
      </x:c>
      <x:c r="C436" s="19" t="str">
        <x:v>红狮战印</x:v>
      </x:c>
      <x:c r="D436" s="19" t="str">
        <x:v>1</x:v>
      </x:c>
      <x:c r="E436" s="19" t="str">
        <x:v>5</x:v>
      </x:c>
      <x:c r="F436" s="19" t="str">
        <x:v>长期消耗供给；提高每次叠加量，避免把所有候选改为高频地面散件</x:v>
      </x:c>
    </x:row>
    <x:row r="437" ht="19" customHeight="1">
      <x:c r="A437" s="19" t="str">
        <x:v>叠加数量</x:v>
      </x:c>
      <x:c r="B437" s="19" t="str">
        <x:v>C06-M024</x:v>
      </x:c>
      <x:c r="C437" s="19" t="str">
        <x:v>红狮战印</x:v>
      </x:c>
      <x:c r="D437" s="19" t="str">
        <x:v>1</x:v>
      </x:c>
      <x:c r="E437" s="19" t="str">
        <x:v>5</x:v>
      </x:c>
      <x:c r="F437" s="19" t="str">
        <x:v>长期消耗供给；提高每次叠加量，避免把所有候选改为高频地面散件</x:v>
      </x:c>
    </x:row>
    <x:row r="438" ht="19" customHeight="1">
      <x:c r="A438" s="19" t="str">
        <x:v>叠加数量</x:v>
      </x:c>
      <x:c r="B438" s="19" t="str">
        <x:v>C06-M035</x:v>
      </x:c>
      <x:c r="C438" s="19" t="str">
        <x:v>红狮战印</x:v>
      </x:c>
      <x:c r="D438" s="19" t="str">
        <x:v>1</x:v>
      </x:c>
      <x:c r="E438" s="19" t="str">
        <x:v>5</x:v>
      </x:c>
      <x:c r="F438" s="19" t="str">
        <x:v>长期消耗供给；提高每次叠加量，避免把所有候选改为高频地面散件</x:v>
      </x:c>
    </x:row>
    <x:row r="439" ht="19" customHeight="1">
      <x:c r="A439" s="19" t="str">
        <x:v>叠加数量</x:v>
      </x:c>
      <x:c r="B439" s="19" t="str">
        <x:v>C06-M036</x:v>
      </x:c>
      <x:c r="C439" s="19" t="str">
        <x:v>红狮战印</x:v>
      </x:c>
      <x:c r="D439" s="19" t="str">
        <x:v>1</x:v>
      </x:c>
      <x:c r="E439" s="19" t="str">
        <x:v>5</x:v>
      </x:c>
      <x:c r="F439" s="19" t="str">
        <x:v>长期消耗供给；提高每次叠加量，避免把所有候选改为高频地面散件</x:v>
      </x:c>
    </x:row>
    <x:row r="440" ht="19" customHeight="1">
      <x:c r="A440" s="19" t="str">
        <x:v>叠加数量</x:v>
      </x:c>
      <x:c r="B440" s="19" t="str">
        <x:v>C06-M001</x:v>
      </x:c>
      <x:c r="C440" s="19" t="str">
        <x:v>野兽骨片</x:v>
      </x:c>
      <x:c r="D440" s="19" t="str">
        <x:v>1</x:v>
      </x:c>
      <x:c r="E440" s="19" t="str">
        <x:v>5</x:v>
      </x:c>
      <x:c r="F440" s="19" t="str">
        <x:v>长期消耗供给；提高每次叠加量，避免把所有候选改为高频地面散件</x:v>
      </x:c>
    </x:row>
    <x:row r="441" ht="19" customHeight="1">
      <x:c r="A441" s="19" t="str">
        <x:v>叠加数量</x:v>
      </x:c>
      <x:c r="B441" s="19" t="str">
        <x:v>C06-M002</x:v>
      </x:c>
      <x:c r="C441" s="19" t="str">
        <x:v>野兽骨片</x:v>
      </x:c>
      <x:c r="D441" s="19" t="str">
        <x:v>1</x:v>
      </x:c>
      <x:c r="E441" s="19" t="str">
        <x:v>5</x:v>
      </x:c>
      <x:c r="F441" s="19" t="str">
        <x:v>长期消耗供给；提高每次叠加量，避免把所有候选改为高频地面散件</x:v>
      </x:c>
    </x:row>
    <x:row r="442" ht="19" customHeight="1">
      <x:c r="A442" s="19" t="str">
        <x:v>叠加数量</x:v>
      </x:c>
      <x:c r="B442" s="19" t="str">
        <x:v>C06-M003</x:v>
      </x:c>
      <x:c r="C442" s="19" t="str">
        <x:v>野兽骨片</x:v>
      </x:c>
      <x:c r="D442" s="19" t="str">
        <x:v>1</x:v>
      </x:c>
      <x:c r="E442" s="19" t="str">
        <x:v>5</x:v>
      </x:c>
      <x:c r="F442" s="19" t="str">
        <x:v>长期消耗供给；提高每次叠加量，避免把所有候选改为高频地面散件</x:v>
      </x:c>
    </x:row>
    <x:row r="443" ht="19" customHeight="1">
      <x:c r="A443" s="19" t="str">
        <x:v>叠加数量</x:v>
      </x:c>
      <x:c r="B443" s="19" t="str">
        <x:v>C06-M004</x:v>
      </x:c>
      <x:c r="C443" s="19" t="str">
        <x:v>野兽骨片</x:v>
      </x:c>
      <x:c r="D443" s="19" t="str">
        <x:v>1</x:v>
      </x:c>
      <x:c r="E443" s="19" t="str">
        <x:v>5</x:v>
      </x:c>
      <x:c r="F443" s="19" t="str">
        <x:v>长期消耗供给；提高每次叠加量，避免把所有候选改为高频地面散件</x:v>
      </x:c>
    </x:row>
    <x:row r="444" ht="19" customHeight="1">
      <x:c r="A444" s="19" t="str">
        <x:v>叠加数量</x:v>
      </x:c>
      <x:c r="B444" s="19" t="str">
        <x:v>C06-M005</x:v>
      </x:c>
      <x:c r="C444" s="19" t="str">
        <x:v>野兽骨片</x:v>
      </x:c>
      <x:c r="D444" s="19" t="str">
        <x:v>1</x:v>
      </x:c>
      <x:c r="E444" s="19" t="str">
        <x:v>5</x:v>
      </x:c>
      <x:c r="F444" s="19" t="str">
        <x:v>长期消耗供给；提高每次叠加量，避免把所有候选改为高频地面散件</x:v>
      </x:c>
    </x:row>
    <x:row r="445" ht="19" customHeight="1">
      <x:c r="A445" s="19" t="str">
        <x:v>叠加数量</x:v>
      </x:c>
      <x:c r="B445" s="19" t="str">
        <x:v>C06-M006</x:v>
      </x:c>
      <x:c r="C445" s="19" t="str">
        <x:v>野兽骨片</x:v>
      </x:c>
      <x:c r="D445" s="19" t="str">
        <x:v>1</x:v>
      </x:c>
      <x:c r="E445" s="19" t="str">
        <x:v>5</x:v>
      </x:c>
      <x:c r="F445" s="19" t="str">
        <x:v>长期消耗供给；提高每次叠加量，避免把所有候选改为高频地面散件</x:v>
      </x:c>
    </x:row>
    <x:row r="446" ht="19" customHeight="1">
      <x:c r="A446" s="19" t="str">
        <x:v>叠加数量</x:v>
      </x:c>
      <x:c r="B446" s="19" t="str">
        <x:v>C06-M007</x:v>
      </x:c>
      <x:c r="C446" s="19" t="str">
        <x:v>野兽骨片</x:v>
      </x:c>
      <x:c r="D446" s="19" t="str">
        <x:v>1</x:v>
      </x:c>
      <x:c r="E446" s="19" t="str">
        <x:v>5</x:v>
      </x:c>
      <x:c r="F446" s="19" t="str">
        <x:v>长期消耗供给；提高每次叠加量，避免把所有候选改为高频地面散件</x:v>
      </x:c>
    </x:row>
    <x:row r="447" ht="19" customHeight="1">
      <x:c r="A447" s="19" t="str">
        <x:v>叠加数量</x:v>
      </x:c>
      <x:c r="B447" s="19" t="str">
        <x:v>C06-M008</x:v>
      </x:c>
      <x:c r="C447" s="19" t="str">
        <x:v>野兽骨片</x:v>
      </x:c>
      <x:c r="D447" s="19" t="str">
        <x:v>1</x:v>
      </x:c>
      <x:c r="E447" s="19" t="str">
        <x:v>5</x:v>
      </x:c>
      <x:c r="F447" s="19" t="str">
        <x:v>长期消耗供给；提高每次叠加量，避免把所有候选改为高频地面散件</x:v>
      </x:c>
    </x:row>
    <x:row r="448" ht="19" customHeight="1">
      <x:c r="A448" s="19" t="str">
        <x:v>叠加数量</x:v>
      </x:c>
      <x:c r="B448" s="19" t="str">
        <x:v>C06-M009</x:v>
      </x:c>
      <x:c r="C448" s="19" t="str">
        <x:v>野兽骨片</x:v>
      </x:c>
      <x:c r="D448" s="19" t="str">
        <x:v>1</x:v>
      </x:c>
      <x:c r="E448" s="19" t="str">
        <x:v>5</x:v>
      </x:c>
      <x:c r="F448" s="19" t="str">
        <x:v>长期消耗供给；提高每次叠加量，避免把所有候选改为高频地面散件</x:v>
      </x:c>
    </x:row>
    <x:row r="449" ht="19" customHeight="1">
      <x:c r="A449" s="19" t="str">
        <x:v>叠加数量</x:v>
      </x:c>
      <x:c r="B449" s="19" t="str">
        <x:v>C06-M010</x:v>
      </x:c>
      <x:c r="C449" s="19" t="str">
        <x:v>野兽骨片</x:v>
      </x:c>
      <x:c r="D449" s="19" t="str">
        <x:v>1</x:v>
      </x:c>
      <x:c r="E449" s="19" t="str">
        <x:v>5</x:v>
      </x:c>
      <x:c r="F449" s="19" t="str">
        <x:v>长期消耗供给；提高每次叠加量，避免把所有候选改为高频地面散件</x:v>
      </x:c>
    </x:row>
    <x:row r="450" ht="19" customHeight="1">
      <x:c r="A450" s="19" t="str">
        <x:v>叠加数量</x:v>
      </x:c>
      <x:c r="B450" s="19" t="str">
        <x:v>C06-M011</x:v>
      </x:c>
      <x:c r="C450" s="19" t="str">
        <x:v>野兽骨片</x:v>
      </x:c>
      <x:c r="D450" s="19" t="str">
        <x:v>1</x:v>
      </x:c>
      <x:c r="E450" s="19" t="str">
        <x:v>5</x:v>
      </x:c>
      <x:c r="F450" s="19" t="str">
        <x:v>长期消耗供给；提高每次叠加量，避免把所有候选改为高频地面散件</x:v>
      </x:c>
    </x:row>
    <x:row r="451" ht="19" customHeight="1">
      <x:c r="A451" s="19" t="str">
        <x:v>叠加数量</x:v>
      </x:c>
      <x:c r="B451" s="19" t="str">
        <x:v>C06-M012</x:v>
      </x:c>
      <x:c r="C451" s="19" t="str">
        <x:v>野兽骨片</x:v>
      </x:c>
      <x:c r="D451" s="19" t="str">
        <x:v>1</x:v>
      </x:c>
      <x:c r="E451" s="19" t="str">
        <x:v>5</x:v>
      </x:c>
      <x:c r="F451" s="19" t="str">
        <x:v>长期消耗供给；提高每次叠加量，避免把所有候选改为高频地面散件</x:v>
      </x:c>
    </x:row>
    <x:row r="452" ht="19" customHeight="1">
      <x:c r="A452" s="19" t="str">
        <x:v>叠加数量</x:v>
      </x:c>
      <x:c r="B452" s="19" t="str">
        <x:v>C06-M013</x:v>
      </x:c>
      <x:c r="C452" s="19" t="str">
        <x:v>野兽骨片</x:v>
      </x:c>
      <x:c r="D452" s="19" t="str">
        <x:v>1</x:v>
      </x:c>
      <x:c r="E452" s="19" t="str">
        <x:v>5</x:v>
      </x:c>
      <x:c r="F452" s="19" t="str">
        <x:v>长期消耗供给；提高每次叠加量，避免把所有候选改为高频地面散件</x:v>
      </x:c>
    </x:row>
    <x:row r="453" ht="19" customHeight="1">
      <x:c r="A453" s="19" t="str">
        <x:v>叠加数量</x:v>
      </x:c>
      <x:c r="B453" s="19" t="str">
        <x:v>C06-M014</x:v>
      </x:c>
      <x:c r="C453" s="19" t="str">
        <x:v>野兽骨片</x:v>
      </x:c>
      <x:c r="D453" s="19" t="str">
        <x:v>1</x:v>
      </x:c>
      <x:c r="E453" s="19" t="str">
        <x:v>5</x:v>
      </x:c>
      <x:c r="F453" s="19" t="str">
        <x:v>长期消耗供给；提高每次叠加量，避免把所有候选改为高频地面散件</x:v>
      </x:c>
    </x:row>
    <x:row r="454" ht="19" customHeight="1">
      <x:c r="A454" s="19" t="str">
        <x:v>叠加数量</x:v>
      </x:c>
      <x:c r="B454" s="19" t="str">
        <x:v>C06-M015</x:v>
      </x:c>
      <x:c r="C454" s="19" t="str">
        <x:v>野兽骨片</x:v>
      </x:c>
      <x:c r="D454" s="19" t="str">
        <x:v>1</x:v>
      </x:c>
      <x:c r="E454" s="19" t="str">
        <x:v>5</x:v>
      </x:c>
      <x:c r="F454" s="19" t="str">
        <x:v>长期消耗供给；提高每次叠加量，避免把所有候选改为高频地面散件</x:v>
      </x:c>
    </x:row>
    <x:row r="455" ht="19" customHeight="1">
      <x:c r="A455" s="19" t="str">
        <x:v>叠加数量</x:v>
      </x:c>
      <x:c r="B455" s="19" t="str">
        <x:v>C06-M016</x:v>
      </x:c>
      <x:c r="C455" s="19" t="str">
        <x:v>野兽骨片</x:v>
      </x:c>
      <x:c r="D455" s="19" t="str">
        <x:v>1</x:v>
      </x:c>
      <x:c r="E455" s="19" t="str">
        <x:v>5</x:v>
      </x:c>
      <x:c r="F455" s="19" t="str">
        <x:v>长期消耗供给；提高每次叠加量，避免把所有候选改为高频地面散件</x:v>
      </x:c>
    </x:row>
    <x:row r="456" ht="19" customHeight="1">
      <x:c r="A456" s="19" t="str">
        <x:v>叠加数量</x:v>
      </x:c>
      <x:c r="B456" s="19" t="str">
        <x:v>C06-M017</x:v>
      </x:c>
      <x:c r="C456" s="19" t="str">
        <x:v>野兽骨片</x:v>
      </x:c>
      <x:c r="D456" s="19" t="str">
        <x:v>1</x:v>
      </x:c>
      <x:c r="E456" s="19" t="str">
        <x:v>5</x:v>
      </x:c>
      <x:c r="F456" s="19" t="str">
        <x:v>长期消耗供给；提高每次叠加量，避免把所有候选改为高频地面散件</x:v>
      </x:c>
    </x:row>
    <x:row r="457" ht="19" customHeight="1">
      <x:c r="A457" s="19" t="str">
        <x:v>叠加数量</x:v>
      </x:c>
      <x:c r="B457" s="19" t="str">
        <x:v>C06-M018</x:v>
      </x:c>
      <x:c r="C457" s="19" t="str">
        <x:v>野兽骨片</x:v>
      </x:c>
      <x:c r="D457" s="19" t="str">
        <x:v>1</x:v>
      </x:c>
      <x:c r="E457" s="19" t="str">
        <x:v>5</x:v>
      </x:c>
      <x:c r="F457" s="19" t="str">
        <x:v>长期消耗供给；提高每次叠加量，避免把所有候选改为高频地面散件</x:v>
      </x:c>
    </x:row>
    <x:row r="458" ht="19" customHeight="1">
      <x:c r="A458" s="19" t="str">
        <x:v>叠加数量</x:v>
      </x:c>
      <x:c r="B458" s="19" t="str">
        <x:v>C06-M019</x:v>
      </x:c>
      <x:c r="C458" s="19" t="str">
        <x:v>野兽骨片</x:v>
      </x:c>
      <x:c r="D458" s="19" t="str">
        <x:v>1</x:v>
      </x:c>
      <x:c r="E458" s="19" t="str">
        <x:v>5</x:v>
      </x:c>
      <x:c r="F458" s="19" t="str">
        <x:v>长期消耗供给；提高每次叠加量，避免把所有候选改为高频地面散件</x:v>
      </x:c>
    </x:row>
    <x:row r="459" ht="19" customHeight="1">
      <x:c r="A459" s="19" t="str">
        <x:v>叠加数量</x:v>
      </x:c>
      <x:c r="B459" s="19" t="str">
        <x:v>C06-M020</x:v>
      </x:c>
      <x:c r="C459" s="19" t="str">
        <x:v>野兽骨片</x:v>
      </x:c>
      <x:c r="D459" s="19" t="str">
        <x:v>1</x:v>
      </x:c>
      <x:c r="E459" s="19" t="str">
        <x:v>5</x:v>
      </x:c>
      <x:c r="F459" s="19" t="str">
        <x:v>长期消耗供给；提高每次叠加量，避免把所有候选改为高频地面散件</x:v>
      </x:c>
    </x:row>
    <x:row r="460" ht="19" customHeight="1">
      <x:c r="A460" s="19" t="str">
        <x:v>叠加数量</x:v>
      </x:c>
      <x:c r="B460" s="19" t="str">
        <x:v>C06-M021</x:v>
      </x:c>
      <x:c r="C460" s="19" t="str">
        <x:v>野兽骨片</x:v>
      </x:c>
      <x:c r="D460" s="19" t="str">
        <x:v>1</x:v>
      </x:c>
      <x:c r="E460" s="19" t="str">
        <x:v>5</x:v>
      </x:c>
      <x:c r="F460" s="19" t="str">
        <x:v>长期消耗供给；提高每次叠加量，避免把所有候选改为高频地面散件</x:v>
      </x:c>
    </x:row>
    <x:row r="461" ht="19" customHeight="1">
      <x:c r="A461" s="19" t="str">
        <x:v>叠加数量</x:v>
      </x:c>
      <x:c r="B461" s="19" t="str">
        <x:v>C06-M022</x:v>
      </x:c>
      <x:c r="C461" s="19" t="str">
        <x:v>野兽骨片</x:v>
      </x:c>
      <x:c r="D461" s="19" t="str">
        <x:v>1</x:v>
      </x:c>
      <x:c r="E461" s="19" t="str">
        <x:v>5</x:v>
      </x:c>
      <x:c r="F461" s="19" t="str">
        <x:v>长期消耗供给；提高每次叠加量，避免把所有候选改为高频地面散件</x:v>
      </x:c>
    </x:row>
    <x:row r="462" ht="19" customHeight="1">
      <x:c r="A462" s="19" t="str">
        <x:v>叠加数量</x:v>
      </x:c>
      <x:c r="B462" s="19" t="str">
        <x:v>C06-M023</x:v>
      </x:c>
      <x:c r="C462" s="19" t="str">
        <x:v>野兽骨片</x:v>
      </x:c>
      <x:c r="D462" s="19" t="str">
        <x:v>1</x:v>
      </x:c>
      <x:c r="E462" s="19" t="str">
        <x:v>5</x:v>
      </x:c>
      <x:c r="F462" s="19" t="str">
        <x:v>长期消耗供给；提高每次叠加量，避免把所有候选改为高频地面散件</x:v>
      </x:c>
    </x:row>
    <x:row r="463" ht="19" customHeight="1">
      <x:c r="A463" s="19" t="str">
        <x:v>叠加数量</x:v>
      </x:c>
      <x:c r="B463" s="19" t="str">
        <x:v>C06-M024</x:v>
      </x:c>
      <x:c r="C463" s="19" t="str">
        <x:v>野兽骨片</x:v>
      </x:c>
      <x:c r="D463" s="19" t="str">
        <x:v>1</x:v>
      </x:c>
      <x:c r="E463" s="19" t="str">
        <x:v>5</x:v>
      </x:c>
      <x:c r="F463" s="19" t="str">
        <x:v>长期消耗供给；提高每次叠加量，避免把所有候选改为高频地面散件</x:v>
      </x:c>
    </x:row>
    <x:row r="464" ht="19" customHeight="1">
      <x:c r="A464" s="19" t="str">
        <x:v>叠加数量</x:v>
      </x:c>
      <x:c r="B464" s="19" t="str">
        <x:v>C06-M025</x:v>
      </x:c>
      <x:c r="C464" s="19" t="str">
        <x:v>野兽骨片</x:v>
      </x:c>
      <x:c r="D464" s="19" t="str">
        <x:v>1</x:v>
      </x:c>
      <x:c r="E464" s="19" t="str">
        <x:v>5</x:v>
      </x:c>
      <x:c r="F464" s="19" t="str">
        <x:v>长期消耗供给；提高每次叠加量，避免把所有候选改为高频地面散件</x:v>
      </x:c>
    </x:row>
    <x:row r="465" ht="19" customHeight="1">
      <x:c r="A465" s="19" t="str">
        <x:v>叠加数量</x:v>
      </x:c>
      <x:c r="B465" s="19" t="str">
        <x:v>C06-M026</x:v>
      </x:c>
      <x:c r="C465" s="19" t="str">
        <x:v>野兽骨片</x:v>
      </x:c>
      <x:c r="D465" s="19" t="str">
        <x:v>1</x:v>
      </x:c>
      <x:c r="E465" s="19" t="str">
        <x:v>5</x:v>
      </x:c>
      <x:c r="F465" s="19" t="str">
        <x:v>长期消耗供给；提高每次叠加量，避免把所有候选改为高频地面散件</x:v>
      </x:c>
    </x:row>
    <x:row r="466" ht="19" customHeight="1">
      <x:c r="A466" s="19" t="str">
        <x:v>叠加数量</x:v>
      </x:c>
      <x:c r="B466" s="19" t="str">
        <x:v>C06-M027</x:v>
      </x:c>
      <x:c r="C466" s="19" t="str">
        <x:v>野兽骨片</x:v>
      </x:c>
      <x:c r="D466" s="19" t="str">
        <x:v>1</x:v>
      </x:c>
      <x:c r="E466" s="19" t="str">
        <x:v>5</x:v>
      </x:c>
      <x:c r="F466" s="19" t="str">
        <x:v>长期消耗供给；提高每次叠加量，避免把所有候选改为高频地面散件</x:v>
      </x:c>
    </x:row>
    <x:row r="467" ht="19" customHeight="1">
      <x:c r="A467" s="19" t="str">
        <x:v>叠加数量</x:v>
      </x:c>
      <x:c r="B467" s="19" t="str">
        <x:v>C06-M028</x:v>
      </x:c>
      <x:c r="C467" s="19" t="str">
        <x:v>野兽骨片</x:v>
      </x:c>
      <x:c r="D467" s="19" t="str">
        <x:v>1</x:v>
      </x:c>
      <x:c r="E467" s="19" t="str">
        <x:v>5</x:v>
      </x:c>
      <x:c r="F467" s="19" t="str">
        <x:v>长期消耗供给；提高每次叠加量，避免把所有候选改为高频地面散件</x:v>
      </x:c>
    </x:row>
    <x:row r="468" ht="19" customHeight="1">
      <x:c r="A468" s="19" t="str">
        <x:v>叠加数量</x:v>
      </x:c>
      <x:c r="B468" s="19" t="str">
        <x:v>C06-M029</x:v>
      </x:c>
      <x:c r="C468" s="19" t="str">
        <x:v>野兽骨片</x:v>
      </x:c>
      <x:c r="D468" s="19" t="str">
        <x:v>1</x:v>
      </x:c>
      <x:c r="E468" s="19" t="str">
        <x:v>5</x:v>
      </x:c>
      <x:c r="F468" s="19" t="str">
        <x:v>长期消耗供给；提高每次叠加量，避免把所有候选改为高频地面散件</x:v>
      </x:c>
    </x:row>
    <x:row r="469" ht="19" customHeight="1">
      <x:c r="A469" s="19" t="str">
        <x:v>叠加数量</x:v>
      </x:c>
      <x:c r="B469" s="19" t="str">
        <x:v>C06-M030</x:v>
      </x:c>
      <x:c r="C469" s="19" t="str">
        <x:v>野兽骨片</x:v>
      </x:c>
      <x:c r="D469" s="19" t="str">
        <x:v>1</x:v>
      </x:c>
      <x:c r="E469" s="19" t="str">
        <x:v>5</x:v>
      </x:c>
      <x:c r="F469" s="19" t="str">
        <x:v>长期消耗供给；提高每次叠加量，避免把所有候选改为高频地面散件</x:v>
      </x:c>
    </x:row>
    <x:row r="470" ht="19" customHeight="1">
      <x:c r="A470" s="19" t="str">
        <x:v>叠加数量</x:v>
      </x:c>
      <x:c r="B470" s="19" t="str">
        <x:v>C06-M031</x:v>
      </x:c>
      <x:c r="C470" s="19" t="str">
        <x:v>野兽骨片</x:v>
      </x:c>
      <x:c r="D470" s="19" t="str">
        <x:v>1</x:v>
      </x:c>
      <x:c r="E470" s="19" t="str">
        <x:v>5</x:v>
      </x:c>
      <x:c r="F470" s="19" t="str">
        <x:v>长期消耗供给；提高每次叠加量，避免把所有候选改为高频地面散件</x:v>
      </x:c>
    </x:row>
    <x:row r="471" ht="19" customHeight="1">
      <x:c r="A471" s="19" t="str">
        <x:v>叠加数量</x:v>
      </x:c>
      <x:c r="B471" s="19" t="str">
        <x:v>C06-M032</x:v>
      </x:c>
      <x:c r="C471" s="19" t="str">
        <x:v>野兽骨片</x:v>
      </x:c>
      <x:c r="D471" s="19" t="str">
        <x:v>1</x:v>
      </x:c>
      <x:c r="E471" s="19" t="str">
        <x:v>5</x:v>
      </x:c>
      <x:c r="F471" s="19" t="str">
        <x:v>长期消耗供给；提高每次叠加量，避免把所有候选改为高频地面散件</x:v>
      </x:c>
    </x:row>
    <x:row r="472" ht="19" customHeight="1">
      <x:c r="A472" s="19" t="str">
        <x:v>叠加数量</x:v>
      </x:c>
      <x:c r="B472" s="19" t="str">
        <x:v>C06-M033</x:v>
      </x:c>
      <x:c r="C472" s="19" t="str">
        <x:v>野兽骨片</x:v>
      </x:c>
      <x:c r="D472" s="19" t="str">
        <x:v>1</x:v>
      </x:c>
      <x:c r="E472" s="19" t="str">
        <x:v>5</x:v>
      </x:c>
      <x:c r="F472" s="19" t="str">
        <x:v>长期消耗供给；提高每次叠加量，避免把所有候选改为高频地面散件</x:v>
      </x:c>
    </x:row>
    <x:row r="473" ht="19" customHeight="1">
      <x:c r="A473" s="19" t="str">
        <x:v>叠加数量</x:v>
      </x:c>
      <x:c r="B473" s="19" t="str">
        <x:v>C06-M034</x:v>
      </x:c>
      <x:c r="C473" s="19" t="str">
        <x:v>野兽骨片</x:v>
      </x:c>
      <x:c r="D473" s="19" t="str">
        <x:v>1</x:v>
      </x:c>
      <x:c r="E473" s="19" t="str">
        <x:v>5</x:v>
      </x:c>
      <x:c r="F473" s="19" t="str">
        <x:v>长期消耗供给；提高每次叠加量，避免把所有候选改为高频地面散件</x:v>
      </x:c>
    </x:row>
    <x:row r="474" ht="19" customHeight="1">
      <x:c r="A474" s="19" t="str">
        <x:v>叠加数量</x:v>
      </x:c>
      <x:c r="B474" s="19" t="str">
        <x:v>C06-M035</x:v>
      </x:c>
      <x:c r="C474" s="19" t="str">
        <x:v>野兽骨片</x:v>
      </x:c>
      <x:c r="D474" s="19" t="str">
        <x:v>1</x:v>
      </x:c>
      <x:c r="E474" s="19" t="str">
        <x:v>5</x:v>
      </x:c>
      <x:c r="F474" s="19" t="str">
        <x:v>长期消耗供给；提高每次叠加量，避免把所有候选改为高频地面散件</x:v>
      </x:c>
    </x:row>
    <x:row r="475" ht="19" customHeight="1">
      <x:c r="A475" s="19" t="str">
        <x:v>叠加数量</x:v>
      </x:c>
      <x:c r="B475" s="19" t="str">
        <x:v>C06-M036</x:v>
      </x:c>
      <x:c r="C475" s="19" t="str">
        <x:v>野兽骨片</x:v>
      </x:c>
      <x:c r="D475" s="19" t="str">
        <x:v>1</x:v>
      </x:c>
      <x:c r="E475" s="19" t="str">
        <x:v>5</x:v>
      </x:c>
      <x:c r="F475" s="19" t="str">
        <x:v>长期消耗供给；提高每次叠加量，避免把所有候选改为高频地面散件</x:v>
      </x:c>
    </x:row>
    <x:row r="476" ht="19" customHeight="1">
      <x:c r="A476" s="19" t="str">
        <x:v>叠加数量</x:v>
      </x:c>
      <x:c r="B476" s="19" t="str">
        <x:v>C06-M011</x:v>
      </x:c>
      <x:c r="C476" s="19" t="str">
        <x:v>龙窟熔牙</x:v>
      </x:c>
      <x:c r="D476" s="19" t="str">
        <x:v>1</x:v>
      </x:c>
      <x:c r="E476" s="19" t="str">
        <x:v>3</x:v>
      </x:c>
      <x:c r="F476" s="19" t="str">
        <x:v>长期消耗供给；提高每次叠加量，避免把所有候选改为高频地面散件</x:v>
      </x:c>
    </x:row>
    <x:row r="477" ht="19" customHeight="1">
      <x:c r="A477" s="19" t="str">
        <x:v>叠加数量</x:v>
      </x:c>
      <x:c r="B477" s="19" t="str">
        <x:v>C06-M012</x:v>
      </x:c>
      <x:c r="C477" s="19" t="str">
        <x:v>龙窟熔牙</x:v>
      </x:c>
      <x:c r="D477" s="19" t="str">
        <x:v>1</x:v>
      </x:c>
      <x:c r="E477" s="19" t="str">
        <x:v>3</x:v>
      </x:c>
      <x:c r="F477" s="19" t="str">
        <x:v>长期消耗供给；提高每次叠加量，避免把所有候选改为高频地面散件</x:v>
      </x:c>
    </x:row>
    <x:row r="478" ht="19" customHeight="1">
      <x:c r="A478" s="19" t="str">
        <x:v>叠加数量</x:v>
      </x:c>
      <x:c r="B478" s="19" t="str">
        <x:v>C06-M023</x:v>
      </x:c>
      <x:c r="C478" s="19" t="str">
        <x:v>龙窟熔牙</x:v>
      </x:c>
      <x:c r="D478" s="19" t="str">
        <x:v>1</x:v>
      </x:c>
      <x:c r="E478" s="19" t="str">
        <x:v>3</x:v>
      </x:c>
      <x:c r="F478" s="19" t="str">
        <x:v>长期消耗供给；提高每次叠加量，避免把所有候选改为高频地面散件</x:v>
      </x:c>
    </x:row>
    <x:row r="479" ht="19" customHeight="1">
      <x:c r="A479" s="19" t="str">
        <x:v>叠加数量</x:v>
      </x:c>
      <x:c r="B479" s="19" t="str">
        <x:v>C06-M024</x:v>
      </x:c>
      <x:c r="C479" s="19" t="str">
        <x:v>龙窟熔牙</x:v>
      </x:c>
      <x:c r="D479" s="19" t="str">
        <x:v>1</x:v>
      </x:c>
      <x:c r="E479" s="19" t="str">
        <x:v>3</x:v>
      </x:c>
      <x:c r="F479" s="19" t="str">
        <x:v>长期消耗供给；提高每次叠加量，避免把所有候选改为高频地面散件</x:v>
      </x:c>
    </x:row>
    <x:row r="480" ht="19" customHeight="1">
      <x:c r="A480" s="19" t="str">
        <x:v>叠加数量</x:v>
      </x:c>
      <x:c r="B480" s="19" t="str">
        <x:v>C06-M035</x:v>
      </x:c>
      <x:c r="C480" s="19" t="str">
        <x:v>龙窟熔牙</x:v>
      </x:c>
      <x:c r="D480" s="19" t="str">
        <x:v>1</x:v>
      </x:c>
      <x:c r="E480" s="19" t="str">
        <x:v>3</x:v>
      </x:c>
      <x:c r="F480" s="19" t="str">
        <x:v>长期消耗供给；提高每次叠加量，避免把所有候选改为高频地面散件</x:v>
      </x:c>
    </x:row>
    <x:row r="481" ht="19" customHeight="1">
      <x:c r="A481" s="19" t="str">
        <x:v>叠加数量</x:v>
      </x:c>
      <x:c r="B481" s="19" t="str">
        <x:v>C06-M036</x:v>
      </x:c>
      <x:c r="C481" s="19" t="str">
        <x:v>龙窟熔牙</x:v>
      </x:c>
      <x:c r="D481" s="19" t="str">
        <x:v>1</x:v>
      </x:c>
      <x:c r="E481" s="19" t="str">
        <x:v>3</x:v>
      </x:c>
      <x:c r="F481" s="19" t="str">
        <x:v>长期消耗供给；提高每次叠加量，避免把所有候选改为高频地面散件</x:v>
      </x:c>
    </x:row>
    <x:row r="482" ht="19" customHeight="1">
      <x:c r="A482" s="19" t="str">
        <x:v>叠加数量</x:v>
      </x:c>
      <x:c r="B482" s="19" t="str">
        <x:v>C07-M011</x:v>
      </x:c>
      <x:c r="C482" s="19" t="str">
        <x:v>圣雪誓印</x:v>
      </x:c>
      <x:c r="D482" s="19" t="str">
        <x:v>1</x:v>
      </x:c>
      <x:c r="E482" s="19" t="str">
        <x:v>4</x:v>
      </x:c>
      <x:c r="F482" s="19" t="str">
        <x:v>长期消耗供给；提高每次叠加量，避免把所有候选改为高频地面散件</x:v>
      </x:c>
    </x:row>
    <x:row r="483" ht="19" customHeight="1">
      <x:c r="A483" s="19" t="str">
        <x:v>叠加数量</x:v>
      </x:c>
      <x:c r="B483" s="19" t="str">
        <x:v>C07-M012</x:v>
      </x:c>
      <x:c r="C483" s="19" t="str">
        <x:v>圣雪誓印</x:v>
      </x:c>
      <x:c r="D483" s="19" t="str">
        <x:v>1</x:v>
      </x:c>
      <x:c r="E483" s="19" t="str">
        <x:v>4</x:v>
      </x:c>
      <x:c r="F483" s="19" t="str">
        <x:v>长期消耗供给；提高每次叠加量，避免把所有候选改为高频地面散件</x:v>
      </x:c>
    </x:row>
    <x:row r="484" ht="19" customHeight="1">
      <x:c r="A484" s="19" t="str">
        <x:v>叠加数量</x:v>
      </x:c>
      <x:c r="B484" s="19" t="str">
        <x:v>C07-M023</x:v>
      </x:c>
      <x:c r="C484" s="19" t="str">
        <x:v>圣雪誓印</x:v>
      </x:c>
      <x:c r="D484" s="19" t="str">
        <x:v>1</x:v>
      </x:c>
      <x:c r="E484" s="19" t="str">
        <x:v>4</x:v>
      </x:c>
      <x:c r="F484" s="19" t="str">
        <x:v>长期消耗供给；提高每次叠加量，避免把所有候选改为高频地面散件</x:v>
      </x:c>
    </x:row>
    <x:row r="485" ht="19" customHeight="1">
      <x:c r="A485" s="19" t="str">
        <x:v>叠加数量</x:v>
      </x:c>
      <x:c r="B485" s="19" t="str">
        <x:v>C07-M024</x:v>
      </x:c>
      <x:c r="C485" s="19" t="str">
        <x:v>圣雪誓印</x:v>
      </x:c>
      <x:c r="D485" s="19" t="str">
        <x:v>1</x:v>
      </x:c>
      <x:c r="E485" s="19" t="str">
        <x:v>4</x:v>
      </x:c>
      <x:c r="F485" s="19" t="str">
        <x:v>长期消耗供给；提高每次叠加量，避免把所有候选改为高频地面散件</x:v>
      </x:c>
    </x:row>
    <x:row r="486" ht="19" customHeight="1">
      <x:c r="A486" s="19" t="str">
        <x:v>叠加数量</x:v>
      </x:c>
      <x:c r="B486" s="19" t="str">
        <x:v>C07-M035</x:v>
      </x:c>
      <x:c r="C486" s="19" t="str">
        <x:v>圣雪誓印</x:v>
      </x:c>
      <x:c r="D486" s="19" t="str">
        <x:v>1</x:v>
      </x:c>
      <x:c r="E486" s="19" t="str">
        <x:v>4</x:v>
      </x:c>
      <x:c r="F486" s="19" t="str">
        <x:v>长期消耗供给；提高每次叠加量，避免把所有候选改为高频地面散件</x:v>
      </x:c>
    </x:row>
    <x:row r="487" ht="19" customHeight="1">
      <x:c r="A487" s="19" t="str">
        <x:v>叠加数量</x:v>
      </x:c>
      <x:c r="B487" s="19" t="str">
        <x:v>C07-M036</x:v>
      </x:c>
      <x:c r="C487" s="19" t="str">
        <x:v>圣雪誓印</x:v>
      </x:c>
      <x:c r="D487" s="19" t="str">
        <x:v>1</x:v>
      </x:c>
      <x:c r="E487" s="19" t="str">
        <x:v>4</x:v>
      </x:c>
      <x:c r="F487" s="19" t="str">
        <x:v>长期消耗供给；提高每次叠加量，避免把所有候选改为高频地面散件</x:v>
      </x:c>
    </x:row>
    <x:row r="488" ht="19" customHeight="1">
      <x:c r="A488" s="19" t="str">
        <x:v>叠加数量</x:v>
      </x:c>
      <x:c r="B488" s="19" t="str">
        <x:v>C07-M011</x:v>
      </x:c>
      <x:c r="C488" s="19" t="str">
        <x:v>秘树霜芽</x:v>
      </x:c>
      <x:c r="D488" s="19" t="str">
        <x:v>1</x:v>
      </x:c>
      <x:c r="E488" s="19" t="str">
        <x:v>3</x:v>
      </x:c>
      <x:c r="F488" s="19" t="str">
        <x:v>长期消耗供给；提高每次叠加量，避免把所有候选改为高频地面散件</x:v>
      </x:c>
    </x:row>
    <x:row r="489" ht="19" customHeight="1">
      <x:c r="A489" s="19" t="str">
        <x:v>叠加数量</x:v>
      </x:c>
      <x:c r="B489" s="19" t="str">
        <x:v>C07-M012</x:v>
      </x:c>
      <x:c r="C489" s="19" t="str">
        <x:v>秘树霜芽</x:v>
      </x:c>
      <x:c r="D489" s="19" t="str">
        <x:v>1</x:v>
      </x:c>
      <x:c r="E489" s="19" t="str">
        <x:v>3</x:v>
      </x:c>
      <x:c r="F489" s="19" t="str">
        <x:v>长期消耗供给；提高每次叠加量，避免把所有候选改为高频地面散件</x:v>
      </x:c>
    </x:row>
    <x:row r="490" ht="19" customHeight="1">
      <x:c r="A490" s="19" t="str">
        <x:v>叠加数量</x:v>
      </x:c>
      <x:c r="B490" s="19" t="str">
        <x:v>C07-M023</x:v>
      </x:c>
      <x:c r="C490" s="19" t="str">
        <x:v>秘树霜芽</x:v>
      </x:c>
      <x:c r="D490" s="19" t="str">
        <x:v>1</x:v>
      </x:c>
      <x:c r="E490" s="19" t="str">
        <x:v>3</x:v>
      </x:c>
      <x:c r="F490" s="19" t="str">
        <x:v>长期消耗供给；提高每次叠加量，避免把所有候选改为高频地面散件</x:v>
      </x:c>
    </x:row>
    <x:row r="491" ht="19" customHeight="1">
      <x:c r="A491" s="19" t="str">
        <x:v>叠加数量</x:v>
      </x:c>
      <x:c r="B491" s="19" t="str">
        <x:v>C07-M024</x:v>
      </x:c>
      <x:c r="C491" s="19" t="str">
        <x:v>秘树霜芽</x:v>
      </x:c>
      <x:c r="D491" s="19" t="str">
        <x:v>1</x:v>
      </x:c>
      <x:c r="E491" s="19" t="str">
        <x:v>3</x:v>
      </x:c>
      <x:c r="F491" s="19" t="str">
        <x:v>长期消耗供给；提高每次叠加量，避免把所有候选改为高频地面散件</x:v>
      </x:c>
    </x:row>
    <x:row r="492" ht="19" customHeight="1">
      <x:c r="A492" s="19" t="str">
        <x:v>叠加数量</x:v>
      </x:c>
      <x:c r="B492" s="19" t="str">
        <x:v>C07-M035</x:v>
      </x:c>
      <x:c r="C492" s="19" t="str">
        <x:v>秘树霜芽</x:v>
      </x:c>
      <x:c r="D492" s="19" t="str">
        <x:v>1</x:v>
      </x:c>
      <x:c r="E492" s="19" t="str">
        <x:v>3</x:v>
      </x:c>
      <x:c r="F492" s="19" t="str">
        <x:v>长期消耗供给；提高每次叠加量，避免把所有候选改为高频地面散件</x:v>
      </x:c>
    </x:row>
    <x:row r="493" ht="19" customHeight="1">
      <x:c r="A493" s="19" t="str">
        <x:v>叠加数量</x:v>
      </x:c>
      <x:c r="B493" s="19" t="str">
        <x:v>C07-M036</x:v>
      </x:c>
      <x:c r="C493" s="19" t="str">
        <x:v>秘树霜芽</x:v>
      </x:c>
      <x:c r="D493" s="19" t="str">
        <x:v>1</x:v>
      </x:c>
      <x:c r="E493" s="19" t="str">
        <x:v>3</x:v>
      </x:c>
      <x:c r="F493" s="19" t="str">
        <x:v>长期消耗供给；提高每次叠加量，避免把所有候选改为高频地面散件</x:v>
      </x:c>
    </x:row>
    <x:row r="494" ht="19" customHeight="1">
      <x:c r="A494" s="19" t="str">
        <x:v>叠加数量</x:v>
      </x:c>
      <x:c r="B494" s="19" t="str">
        <x:v>C07-M001</x:v>
      </x:c>
      <x:c r="C494" s="19" t="str">
        <x:v>野兽骨片</x:v>
      </x:c>
      <x:c r="D494" s="19" t="str">
        <x:v>1</x:v>
      </x:c>
      <x:c r="E494" s="19" t="str">
        <x:v>5</x:v>
      </x:c>
      <x:c r="F494" s="19" t="str">
        <x:v>长期消耗供给；提高每次叠加量，避免把所有候选改为高频地面散件</x:v>
      </x:c>
    </x:row>
    <x:row r="495" ht="19" customHeight="1">
      <x:c r="A495" s="19" t="str">
        <x:v>叠加数量</x:v>
      </x:c>
      <x:c r="B495" s="19" t="str">
        <x:v>C07-M002</x:v>
      </x:c>
      <x:c r="C495" s="19" t="str">
        <x:v>野兽骨片</x:v>
      </x:c>
      <x:c r="D495" s="19" t="str">
        <x:v>1</x:v>
      </x:c>
      <x:c r="E495" s="19" t="str">
        <x:v>5</x:v>
      </x:c>
      <x:c r="F495" s="19" t="str">
        <x:v>长期消耗供给；提高每次叠加量，避免把所有候选改为高频地面散件</x:v>
      </x:c>
    </x:row>
    <x:row r="496" ht="19" customHeight="1">
      <x:c r="A496" s="19" t="str">
        <x:v>叠加数量</x:v>
      </x:c>
      <x:c r="B496" s="19" t="str">
        <x:v>C07-M003</x:v>
      </x:c>
      <x:c r="C496" s="19" t="str">
        <x:v>野兽骨片</x:v>
      </x:c>
      <x:c r="D496" s="19" t="str">
        <x:v>1</x:v>
      </x:c>
      <x:c r="E496" s="19" t="str">
        <x:v>5</x:v>
      </x:c>
      <x:c r="F496" s="19" t="str">
        <x:v>长期消耗供给；提高每次叠加量，避免把所有候选改为高频地面散件</x:v>
      </x:c>
    </x:row>
    <x:row r="497" ht="19" customHeight="1">
      <x:c r="A497" s="19" t="str">
        <x:v>叠加数量</x:v>
      </x:c>
      <x:c r="B497" s="19" t="str">
        <x:v>C07-M004</x:v>
      </x:c>
      <x:c r="C497" s="19" t="str">
        <x:v>野兽骨片</x:v>
      </x:c>
      <x:c r="D497" s="19" t="str">
        <x:v>1</x:v>
      </x:c>
      <x:c r="E497" s="19" t="str">
        <x:v>5</x:v>
      </x:c>
      <x:c r="F497" s="19" t="str">
        <x:v>长期消耗供给；提高每次叠加量，避免把所有候选改为高频地面散件</x:v>
      </x:c>
    </x:row>
    <x:row r="498" ht="19" customHeight="1">
      <x:c r="A498" s="19" t="str">
        <x:v>叠加数量</x:v>
      </x:c>
      <x:c r="B498" s="19" t="str">
        <x:v>C07-M005</x:v>
      </x:c>
      <x:c r="C498" s="19" t="str">
        <x:v>野兽骨片</x:v>
      </x:c>
      <x:c r="D498" s="19" t="str">
        <x:v>1</x:v>
      </x:c>
      <x:c r="E498" s="19" t="str">
        <x:v>5</x:v>
      </x:c>
      <x:c r="F498" s="19" t="str">
        <x:v>长期消耗供给；提高每次叠加量，避免把所有候选改为高频地面散件</x:v>
      </x:c>
    </x:row>
    <x:row r="499" ht="19" customHeight="1">
      <x:c r="A499" s="19" t="str">
        <x:v>叠加数量</x:v>
      </x:c>
      <x:c r="B499" s="19" t="str">
        <x:v>C07-M006</x:v>
      </x:c>
      <x:c r="C499" s="19" t="str">
        <x:v>野兽骨片</x:v>
      </x:c>
      <x:c r="D499" s="19" t="str">
        <x:v>1</x:v>
      </x:c>
      <x:c r="E499" s="19" t="str">
        <x:v>5</x:v>
      </x:c>
      <x:c r="F499" s="19" t="str">
        <x:v>长期消耗供给；提高每次叠加量，避免把所有候选改为高频地面散件</x:v>
      </x:c>
    </x:row>
    <x:row r="500" ht="19" customHeight="1">
      <x:c r="A500" s="19" t="str">
        <x:v>叠加数量</x:v>
      </x:c>
      <x:c r="B500" s="19" t="str">
        <x:v>C07-M007</x:v>
      </x:c>
      <x:c r="C500" s="19" t="str">
        <x:v>野兽骨片</x:v>
      </x:c>
      <x:c r="D500" s="19" t="str">
        <x:v>1</x:v>
      </x:c>
      <x:c r="E500" s="19" t="str">
        <x:v>5</x:v>
      </x:c>
      <x:c r="F500" s="19" t="str">
        <x:v>长期消耗供给；提高每次叠加量，避免把所有候选改为高频地面散件</x:v>
      </x:c>
    </x:row>
    <x:row r="501" ht="19" customHeight="1">
      <x:c r="A501" s="19" t="str">
        <x:v>叠加数量</x:v>
      </x:c>
      <x:c r="B501" s="19" t="str">
        <x:v>C07-M008</x:v>
      </x:c>
      <x:c r="C501" s="19" t="str">
        <x:v>野兽骨片</x:v>
      </x:c>
      <x:c r="D501" s="19" t="str">
        <x:v>1</x:v>
      </x:c>
      <x:c r="E501" s="19" t="str">
        <x:v>5</x:v>
      </x:c>
      <x:c r="F501" s="19" t="str">
        <x:v>长期消耗供给；提高每次叠加量，避免把所有候选改为高频地面散件</x:v>
      </x:c>
    </x:row>
    <x:row r="502" ht="19" customHeight="1">
      <x:c r="A502" s="19" t="str">
        <x:v>叠加数量</x:v>
      </x:c>
      <x:c r="B502" s="19" t="str">
        <x:v>C07-M009</x:v>
      </x:c>
      <x:c r="C502" s="19" t="str">
        <x:v>野兽骨片</x:v>
      </x:c>
      <x:c r="D502" s="19" t="str">
        <x:v>1</x:v>
      </x:c>
      <x:c r="E502" s="19" t="str">
        <x:v>5</x:v>
      </x:c>
      <x:c r="F502" s="19" t="str">
        <x:v>长期消耗供给；提高每次叠加量，避免把所有候选改为高频地面散件</x:v>
      </x:c>
    </x:row>
    <x:row r="503" ht="19" customHeight="1">
      <x:c r="A503" s="19" t="str">
        <x:v>叠加数量</x:v>
      </x:c>
      <x:c r="B503" s="19" t="str">
        <x:v>C07-M010</x:v>
      </x:c>
      <x:c r="C503" s="19" t="str">
        <x:v>野兽骨片</x:v>
      </x:c>
      <x:c r="D503" s="19" t="str">
        <x:v>1</x:v>
      </x:c>
      <x:c r="E503" s="19" t="str">
        <x:v>5</x:v>
      </x:c>
      <x:c r="F503" s="19" t="str">
        <x:v>长期消耗供给；提高每次叠加量，避免把所有候选改为高频地面散件</x:v>
      </x:c>
    </x:row>
    <x:row r="504" ht="19" customHeight="1">
      <x:c r="A504" s="19" t="str">
        <x:v>叠加数量</x:v>
      </x:c>
      <x:c r="B504" s="19" t="str">
        <x:v>C07-M011</x:v>
      </x:c>
      <x:c r="C504" s="19" t="str">
        <x:v>野兽骨片</x:v>
      </x:c>
      <x:c r="D504" s="19" t="str">
        <x:v>1</x:v>
      </x:c>
      <x:c r="E504" s="19" t="str">
        <x:v>5</x:v>
      </x:c>
      <x:c r="F504" s="19" t="str">
        <x:v>长期消耗供给；提高每次叠加量，避免把所有候选改为高频地面散件</x:v>
      </x:c>
    </x:row>
    <x:row r="505" ht="19" customHeight="1">
      <x:c r="A505" s="19" t="str">
        <x:v>叠加数量</x:v>
      </x:c>
      <x:c r="B505" s="19" t="str">
        <x:v>C07-M012</x:v>
      </x:c>
      <x:c r="C505" s="19" t="str">
        <x:v>野兽骨片</x:v>
      </x:c>
      <x:c r="D505" s="19" t="str">
        <x:v>1</x:v>
      </x:c>
      <x:c r="E505" s="19" t="str">
        <x:v>5</x:v>
      </x:c>
      <x:c r="F505" s="19" t="str">
        <x:v>长期消耗供给；提高每次叠加量，避免把所有候选改为高频地面散件</x:v>
      </x:c>
    </x:row>
    <x:row r="506" ht="19" customHeight="1">
      <x:c r="A506" s="19" t="str">
        <x:v>叠加数量</x:v>
      </x:c>
      <x:c r="B506" s="19" t="str">
        <x:v>C07-M013</x:v>
      </x:c>
      <x:c r="C506" s="19" t="str">
        <x:v>野兽骨片</x:v>
      </x:c>
      <x:c r="D506" s="19" t="str">
        <x:v>1</x:v>
      </x:c>
      <x:c r="E506" s="19" t="str">
        <x:v>5</x:v>
      </x:c>
      <x:c r="F506" s="19" t="str">
        <x:v>长期消耗供给；提高每次叠加量，避免把所有候选改为高频地面散件</x:v>
      </x:c>
    </x:row>
    <x:row r="507" ht="19" customHeight="1">
      <x:c r="A507" s="19" t="str">
        <x:v>叠加数量</x:v>
      </x:c>
      <x:c r="B507" s="19" t="str">
        <x:v>C07-M014</x:v>
      </x:c>
      <x:c r="C507" s="19" t="str">
        <x:v>野兽骨片</x:v>
      </x:c>
      <x:c r="D507" s="19" t="str">
        <x:v>1</x:v>
      </x:c>
      <x:c r="E507" s="19" t="str">
        <x:v>5</x:v>
      </x:c>
      <x:c r="F507" s="19" t="str">
        <x:v>长期消耗供给；提高每次叠加量，避免把所有候选改为高频地面散件</x:v>
      </x:c>
    </x:row>
    <x:row r="508" ht="19" customHeight="1">
      <x:c r="A508" s="19" t="str">
        <x:v>叠加数量</x:v>
      </x:c>
      <x:c r="B508" s="19" t="str">
        <x:v>C07-M015</x:v>
      </x:c>
      <x:c r="C508" s="19" t="str">
        <x:v>野兽骨片</x:v>
      </x:c>
      <x:c r="D508" s="19" t="str">
        <x:v>1</x:v>
      </x:c>
      <x:c r="E508" s="19" t="str">
        <x:v>5</x:v>
      </x:c>
      <x:c r="F508" s="19" t="str">
        <x:v>长期消耗供给；提高每次叠加量，避免把所有候选改为高频地面散件</x:v>
      </x:c>
    </x:row>
    <x:row r="509" ht="19" customHeight="1">
      <x:c r="A509" s="19" t="str">
        <x:v>叠加数量</x:v>
      </x:c>
      <x:c r="B509" s="19" t="str">
        <x:v>C07-M016</x:v>
      </x:c>
      <x:c r="C509" s="19" t="str">
        <x:v>野兽骨片</x:v>
      </x:c>
      <x:c r="D509" s="19" t="str">
        <x:v>1</x:v>
      </x:c>
      <x:c r="E509" s="19" t="str">
        <x:v>5</x:v>
      </x:c>
      <x:c r="F509" s="19" t="str">
        <x:v>长期消耗供给；提高每次叠加量，避免把所有候选改为高频地面散件</x:v>
      </x:c>
    </x:row>
    <x:row r="510" ht="19" customHeight="1">
      <x:c r="A510" s="19" t="str">
        <x:v>叠加数量</x:v>
      </x:c>
      <x:c r="B510" s="19" t="str">
        <x:v>C07-M017</x:v>
      </x:c>
      <x:c r="C510" s="19" t="str">
        <x:v>野兽骨片</x:v>
      </x:c>
      <x:c r="D510" s="19" t="str">
        <x:v>1</x:v>
      </x:c>
      <x:c r="E510" s="19" t="str">
        <x:v>5</x:v>
      </x:c>
      <x:c r="F510" s="19" t="str">
        <x:v>长期消耗供给；提高每次叠加量，避免把所有候选改为高频地面散件</x:v>
      </x:c>
    </x:row>
    <x:row r="511" ht="19" customHeight="1">
      <x:c r="A511" s="19" t="str">
        <x:v>叠加数量</x:v>
      </x:c>
      <x:c r="B511" s="19" t="str">
        <x:v>C07-M018</x:v>
      </x:c>
      <x:c r="C511" s="19" t="str">
        <x:v>野兽骨片</x:v>
      </x:c>
      <x:c r="D511" s="19" t="str">
        <x:v>1</x:v>
      </x:c>
      <x:c r="E511" s="19" t="str">
        <x:v>5</x:v>
      </x:c>
      <x:c r="F511" s="19" t="str">
        <x:v>长期消耗供给；提高每次叠加量，避免把所有候选改为高频地面散件</x:v>
      </x:c>
    </x:row>
    <x:row r="512" ht="19" customHeight="1">
      <x:c r="A512" s="19" t="str">
        <x:v>叠加数量</x:v>
      </x:c>
      <x:c r="B512" s="19" t="str">
        <x:v>C07-M019</x:v>
      </x:c>
      <x:c r="C512" s="19" t="str">
        <x:v>野兽骨片</x:v>
      </x:c>
      <x:c r="D512" s="19" t="str">
        <x:v>1</x:v>
      </x:c>
      <x:c r="E512" s="19" t="str">
        <x:v>5</x:v>
      </x:c>
      <x:c r="F512" s="19" t="str">
        <x:v>长期消耗供给；提高每次叠加量，避免把所有候选改为高频地面散件</x:v>
      </x:c>
    </x:row>
    <x:row r="513" ht="19" customHeight="1">
      <x:c r="A513" s="19" t="str">
        <x:v>叠加数量</x:v>
      </x:c>
      <x:c r="B513" s="19" t="str">
        <x:v>C07-M020</x:v>
      </x:c>
      <x:c r="C513" s="19" t="str">
        <x:v>野兽骨片</x:v>
      </x:c>
      <x:c r="D513" s="19" t="str">
        <x:v>1</x:v>
      </x:c>
      <x:c r="E513" s="19" t="str">
        <x:v>5</x:v>
      </x:c>
      <x:c r="F513" s="19" t="str">
        <x:v>长期消耗供给；提高每次叠加量，避免把所有候选改为高频地面散件</x:v>
      </x:c>
    </x:row>
    <x:row r="514" ht="19" customHeight="1">
      <x:c r="A514" s="19" t="str">
        <x:v>叠加数量</x:v>
      </x:c>
      <x:c r="B514" s="19" t="str">
        <x:v>C07-M021</x:v>
      </x:c>
      <x:c r="C514" s="19" t="str">
        <x:v>野兽骨片</x:v>
      </x:c>
      <x:c r="D514" s="19" t="str">
        <x:v>1</x:v>
      </x:c>
      <x:c r="E514" s="19" t="str">
        <x:v>5</x:v>
      </x:c>
      <x:c r="F514" s="19" t="str">
        <x:v>长期消耗供给；提高每次叠加量，避免把所有候选改为高频地面散件</x:v>
      </x:c>
    </x:row>
    <x:row r="515" ht="19" customHeight="1">
      <x:c r="A515" s="19" t="str">
        <x:v>叠加数量</x:v>
      </x:c>
      <x:c r="B515" s="19" t="str">
        <x:v>C07-M022</x:v>
      </x:c>
      <x:c r="C515" s="19" t="str">
        <x:v>野兽骨片</x:v>
      </x:c>
      <x:c r="D515" s="19" t="str">
        <x:v>1</x:v>
      </x:c>
      <x:c r="E515" s="19" t="str">
        <x:v>5</x:v>
      </x:c>
      <x:c r="F515" s="19" t="str">
        <x:v>长期消耗供给；提高每次叠加量，避免把所有候选改为高频地面散件</x:v>
      </x:c>
    </x:row>
    <x:row r="516" ht="19" customHeight="1">
      <x:c r="A516" s="19" t="str">
        <x:v>叠加数量</x:v>
      </x:c>
      <x:c r="B516" s="19" t="str">
        <x:v>C07-M023</x:v>
      </x:c>
      <x:c r="C516" s="19" t="str">
        <x:v>野兽骨片</x:v>
      </x:c>
      <x:c r="D516" s="19" t="str">
        <x:v>1</x:v>
      </x:c>
      <x:c r="E516" s="19" t="str">
        <x:v>5</x:v>
      </x:c>
      <x:c r="F516" s="19" t="str">
        <x:v>长期消耗供给；提高每次叠加量，避免把所有候选改为高频地面散件</x:v>
      </x:c>
    </x:row>
    <x:row r="517" ht="19" customHeight="1">
      <x:c r="A517" s="19" t="str">
        <x:v>叠加数量</x:v>
      </x:c>
      <x:c r="B517" s="19" t="str">
        <x:v>C07-M024</x:v>
      </x:c>
      <x:c r="C517" s="19" t="str">
        <x:v>野兽骨片</x:v>
      </x:c>
      <x:c r="D517" s="19" t="str">
        <x:v>1</x:v>
      </x:c>
      <x:c r="E517" s="19" t="str">
        <x:v>5</x:v>
      </x:c>
      <x:c r="F517" s="19" t="str">
        <x:v>长期消耗供给；提高每次叠加量，避免把所有候选改为高频地面散件</x:v>
      </x:c>
    </x:row>
    <x:row r="518" ht="19" customHeight="1">
      <x:c r="A518" s="19" t="str">
        <x:v>叠加数量</x:v>
      </x:c>
      <x:c r="B518" s="19" t="str">
        <x:v>C07-M025</x:v>
      </x:c>
      <x:c r="C518" s="19" t="str">
        <x:v>野兽骨片</x:v>
      </x:c>
      <x:c r="D518" s="19" t="str">
        <x:v>1</x:v>
      </x:c>
      <x:c r="E518" s="19" t="str">
        <x:v>5</x:v>
      </x:c>
      <x:c r="F518" s="19" t="str">
        <x:v>长期消耗供给；提高每次叠加量，避免把所有候选改为高频地面散件</x:v>
      </x:c>
    </x:row>
    <x:row r="519" ht="19" customHeight="1">
      <x:c r="A519" s="19" t="str">
        <x:v>叠加数量</x:v>
      </x:c>
      <x:c r="B519" s="19" t="str">
        <x:v>C07-M026</x:v>
      </x:c>
      <x:c r="C519" s="19" t="str">
        <x:v>野兽骨片</x:v>
      </x:c>
      <x:c r="D519" s="19" t="str">
        <x:v>1</x:v>
      </x:c>
      <x:c r="E519" s="19" t="str">
        <x:v>5</x:v>
      </x:c>
      <x:c r="F519" s="19" t="str">
        <x:v>长期消耗供给；提高每次叠加量，避免把所有候选改为高频地面散件</x:v>
      </x:c>
    </x:row>
    <x:row r="520" ht="19" customHeight="1">
      <x:c r="A520" s="19" t="str">
        <x:v>叠加数量</x:v>
      </x:c>
      <x:c r="B520" s="19" t="str">
        <x:v>C07-M027</x:v>
      </x:c>
      <x:c r="C520" s="19" t="str">
        <x:v>野兽骨片</x:v>
      </x:c>
      <x:c r="D520" s="19" t="str">
        <x:v>1</x:v>
      </x:c>
      <x:c r="E520" s="19" t="str">
        <x:v>5</x:v>
      </x:c>
      <x:c r="F520" s="19" t="str">
        <x:v>长期消耗供给；提高每次叠加量，避免把所有候选改为高频地面散件</x:v>
      </x:c>
    </x:row>
    <x:row r="521" ht="19" customHeight="1">
      <x:c r="A521" s="19" t="str">
        <x:v>叠加数量</x:v>
      </x:c>
      <x:c r="B521" s="19" t="str">
        <x:v>C07-M028</x:v>
      </x:c>
      <x:c r="C521" s="19" t="str">
        <x:v>野兽骨片</x:v>
      </x:c>
      <x:c r="D521" s="19" t="str">
        <x:v>1</x:v>
      </x:c>
      <x:c r="E521" s="19" t="str">
        <x:v>5</x:v>
      </x:c>
      <x:c r="F521" s="19" t="str">
        <x:v>长期消耗供给；提高每次叠加量，避免把所有候选改为高频地面散件</x:v>
      </x:c>
    </x:row>
    <x:row r="522" ht="19" customHeight="1">
      <x:c r="A522" s="19" t="str">
        <x:v>叠加数量</x:v>
      </x:c>
      <x:c r="B522" s="19" t="str">
        <x:v>C07-M029</x:v>
      </x:c>
      <x:c r="C522" s="19" t="str">
        <x:v>野兽骨片</x:v>
      </x:c>
      <x:c r="D522" s="19" t="str">
        <x:v>1</x:v>
      </x:c>
      <x:c r="E522" s="19" t="str">
        <x:v>5</x:v>
      </x:c>
      <x:c r="F522" s="19" t="str">
        <x:v>长期消耗供给；提高每次叠加量，避免把所有候选改为高频地面散件</x:v>
      </x:c>
    </x:row>
    <x:row r="523" ht="19" customHeight="1">
      <x:c r="A523" s="19" t="str">
        <x:v>叠加数量</x:v>
      </x:c>
      <x:c r="B523" s="19" t="str">
        <x:v>C07-M030</x:v>
      </x:c>
      <x:c r="C523" s="19" t="str">
        <x:v>野兽骨片</x:v>
      </x:c>
      <x:c r="D523" s="19" t="str">
        <x:v>1</x:v>
      </x:c>
      <x:c r="E523" s="19" t="str">
        <x:v>5</x:v>
      </x:c>
      <x:c r="F523" s="19" t="str">
        <x:v>长期消耗供给；提高每次叠加量，避免把所有候选改为高频地面散件</x:v>
      </x:c>
    </x:row>
    <x:row r="524" ht="19" customHeight="1">
      <x:c r="A524" s="19" t="str">
        <x:v>叠加数量</x:v>
      </x:c>
      <x:c r="B524" s="19" t="str">
        <x:v>C07-M031</x:v>
      </x:c>
      <x:c r="C524" s="19" t="str">
        <x:v>野兽骨片</x:v>
      </x:c>
      <x:c r="D524" s="19" t="str">
        <x:v>1</x:v>
      </x:c>
      <x:c r="E524" s="19" t="str">
        <x:v>5</x:v>
      </x:c>
      <x:c r="F524" s="19" t="str">
        <x:v>长期消耗供给；提高每次叠加量，避免把所有候选改为高频地面散件</x:v>
      </x:c>
    </x:row>
    <x:row r="525" ht="19" customHeight="1">
      <x:c r="A525" s="19" t="str">
        <x:v>叠加数量</x:v>
      </x:c>
      <x:c r="B525" s="19" t="str">
        <x:v>C07-M032</x:v>
      </x:c>
      <x:c r="C525" s="19" t="str">
        <x:v>野兽骨片</x:v>
      </x:c>
      <x:c r="D525" s="19" t="str">
        <x:v>1</x:v>
      </x:c>
      <x:c r="E525" s="19" t="str">
        <x:v>5</x:v>
      </x:c>
      <x:c r="F525" s="19" t="str">
        <x:v>长期消耗供给；提高每次叠加量，避免把所有候选改为高频地面散件</x:v>
      </x:c>
    </x:row>
    <x:row r="526" ht="19" customHeight="1">
      <x:c r="A526" s="19" t="str">
        <x:v>叠加数量</x:v>
      </x:c>
      <x:c r="B526" s="19" t="str">
        <x:v>C07-M033</x:v>
      </x:c>
      <x:c r="C526" s="19" t="str">
        <x:v>野兽骨片</x:v>
      </x:c>
      <x:c r="D526" s="19" t="str">
        <x:v>1</x:v>
      </x:c>
      <x:c r="E526" s="19" t="str">
        <x:v>5</x:v>
      </x:c>
      <x:c r="F526" s="19" t="str">
        <x:v>长期消耗供给；提高每次叠加量，避免把所有候选改为高频地面散件</x:v>
      </x:c>
    </x:row>
    <x:row r="527" ht="19" customHeight="1">
      <x:c r="A527" s="19" t="str">
        <x:v>叠加数量</x:v>
      </x:c>
      <x:c r="B527" s="19" t="str">
        <x:v>C07-M034</x:v>
      </x:c>
      <x:c r="C527" s="19" t="str">
        <x:v>野兽骨片</x:v>
      </x:c>
      <x:c r="D527" s="19" t="str">
        <x:v>1</x:v>
      </x:c>
      <x:c r="E527" s="19" t="str">
        <x:v>5</x:v>
      </x:c>
      <x:c r="F527" s="19" t="str">
        <x:v>长期消耗供给；提高每次叠加量，避免把所有候选改为高频地面散件</x:v>
      </x:c>
    </x:row>
    <x:row r="528" ht="19" customHeight="1">
      <x:c r="A528" s="19" t="str">
        <x:v>叠加数量</x:v>
      </x:c>
      <x:c r="B528" s="19" t="str">
        <x:v>C07-M035</x:v>
      </x:c>
      <x:c r="C528" s="19" t="str">
        <x:v>野兽骨片</x:v>
      </x:c>
      <x:c r="D528" s="19" t="str">
        <x:v>1</x:v>
      </x:c>
      <x:c r="E528" s="19" t="str">
        <x:v>5</x:v>
      </x:c>
      <x:c r="F528" s="19" t="str">
        <x:v>长期消耗供给；提高每次叠加量，避免把所有候选改为高频地面散件</x:v>
      </x:c>
    </x:row>
    <x:row r="529" ht="19" customHeight="1">
      <x:c r="A529" s="19" t="str">
        <x:v>叠加数量</x:v>
      </x:c>
      <x:c r="B529" s="19" t="str">
        <x:v>C07-M036</x:v>
      </x:c>
      <x:c r="C529" s="19" t="str">
        <x:v>野兽骨片</x:v>
      </x:c>
      <x:c r="D529" s="19" t="str">
        <x:v>1</x:v>
      </x:c>
      <x:c r="E529" s="19" t="str">
        <x:v>5</x:v>
      </x:c>
      <x:c r="F529" s="19" t="str">
        <x:v>长期消耗供给；提高每次叠加量，避免把所有候选改为高频地面散件</x:v>
      </x:c>
    </x:row>
    <x:row r="530" ht="19" customHeight="1">
      <x:c r="A530" s="19" t="str">
        <x:v>叠加数量</x:v>
      </x:c>
      <x:c r="B530" s="19" t="str">
        <x:v>C08-M011</x:v>
      </x:c>
      <x:c r="C530" s="19" t="str">
        <x:v>冰宫守门铃</x:v>
      </x:c>
      <x:c r="D530" s="19" t="str">
        <x:v>1</x:v>
      </x:c>
      <x:c r="E530" s="19" t="str">
        <x:v>2</x:v>
      </x:c>
      <x:c r="F530" s="19" t="str">
        <x:v>长期消耗供给；提高每次叠加量，避免把所有候选改为高频地面散件</x:v>
      </x:c>
    </x:row>
    <x:row r="531" ht="19" customHeight="1">
      <x:c r="A531" s="19" t="str">
        <x:v>叠加数量</x:v>
      </x:c>
      <x:c r="B531" s="19" t="str">
        <x:v>C08-M012</x:v>
      </x:c>
      <x:c r="C531" s="19" t="str">
        <x:v>冰宫守门铃</x:v>
      </x:c>
      <x:c r="D531" s="19" t="str">
        <x:v>1</x:v>
      </x:c>
      <x:c r="E531" s="19" t="str">
        <x:v>2</x:v>
      </x:c>
      <x:c r="F531" s="19" t="str">
        <x:v>长期消耗供给；提高每次叠加量，避免把所有候选改为高频地面散件</x:v>
      </x:c>
    </x:row>
    <x:row r="532" ht="19" customHeight="1">
      <x:c r="A532" s="19" t="str">
        <x:v>叠加数量</x:v>
      </x:c>
      <x:c r="B532" s="19" t="str">
        <x:v>C08-M023</x:v>
      </x:c>
      <x:c r="C532" s="19" t="str">
        <x:v>冰宫守门铃</x:v>
      </x:c>
      <x:c r="D532" s="19" t="str">
        <x:v>1</x:v>
      </x:c>
      <x:c r="E532" s="19" t="str">
        <x:v>2</x:v>
      </x:c>
      <x:c r="F532" s="19" t="str">
        <x:v>长期消耗供给；提高每次叠加量，避免把所有候选改为高频地面散件</x:v>
      </x:c>
    </x:row>
    <x:row r="533" ht="19" customHeight="1">
      <x:c r="A533" s="19" t="str">
        <x:v>叠加数量</x:v>
      </x:c>
      <x:c r="B533" s="19" t="str">
        <x:v>C08-M024</x:v>
      </x:c>
      <x:c r="C533" s="19" t="str">
        <x:v>冰宫守门铃</x:v>
      </x:c>
      <x:c r="D533" s="19" t="str">
        <x:v>1</x:v>
      </x:c>
      <x:c r="E533" s="19" t="str">
        <x:v>2</x:v>
      </x:c>
      <x:c r="F533" s="19" t="str">
        <x:v>长期消耗供给；提高每次叠加量，避免把所有候选改为高频地面散件</x:v>
      </x:c>
    </x:row>
    <x:row r="534" ht="19" customHeight="1">
      <x:c r="A534" s="19" t="str">
        <x:v>叠加数量</x:v>
      </x:c>
      <x:c r="B534" s="19" t="str">
        <x:v>C08-M035</x:v>
      </x:c>
      <x:c r="C534" s="19" t="str">
        <x:v>冰宫守门铃</x:v>
      </x:c>
      <x:c r="D534" s="19" t="str">
        <x:v>1</x:v>
      </x:c>
      <x:c r="E534" s="19" t="str">
        <x:v>2</x:v>
      </x:c>
      <x:c r="F534" s="19" t="str">
        <x:v>长期消耗供给；提高每次叠加量，避免把所有候选改为高频地面散件</x:v>
      </x:c>
    </x:row>
    <x:row r="535" ht="19" customHeight="1">
      <x:c r="A535" s="19" t="str">
        <x:v>叠加数量</x:v>
      </x:c>
      <x:c r="B535" s="19" t="str">
        <x:v>C08-M036</x:v>
      </x:c>
      <x:c r="C535" s="19" t="str">
        <x:v>冰宫守门铃</x:v>
      </x:c>
      <x:c r="D535" s="19" t="str">
        <x:v>1</x:v>
      </x:c>
      <x:c r="E535" s="19" t="str">
        <x:v>2</x:v>
      </x:c>
      <x:c r="F535" s="19" t="str">
        <x:v>长期消耗供给；提高每次叠加量，避免把所有候选改为高频地面散件</x:v>
      </x:c>
    </x:row>
    <x:row r="536" ht="19" customHeight="1">
      <x:c r="A536" s="19" t="str">
        <x:v>叠加数量</x:v>
      </x:c>
      <x:c r="B536" s="19" t="str">
        <x:v>C08-M047</x:v>
      </x:c>
      <x:c r="C536" s="19" t="str">
        <x:v>冰宫守门铃</x:v>
      </x:c>
      <x:c r="D536" s="19" t="str">
        <x:v>1</x:v>
      </x:c>
      <x:c r="E536" s="19" t="str">
        <x:v>2</x:v>
      </x:c>
      <x:c r="F536" s="19" t="str">
        <x:v>长期消耗供给；提高每次叠加量，避免把所有候选改为高频地面散件</x:v>
      </x:c>
    </x:row>
    <x:row r="537" ht="19" customHeight="1">
      <x:c r="A537" s="19" t="str">
        <x:v>叠加数量</x:v>
      </x:c>
      <x:c r="B537" s="19" t="str">
        <x:v>C08-M048</x:v>
      </x:c>
      <x:c r="C537" s="19" t="str">
        <x:v>冰宫守门铃</x:v>
      </x:c>
      <x:c r="D537" s="19" t="str">
        <x:v>1</x:v>
      </x:c>
      <x:c r="E537" s="19" t="str">
        <x:v>2</x:v>
      </x:c>
      <x:c r="F537" s="19" t="str">
        <x:v>长期消耗供给；提高每次叠加量，避免把所有候选改为高频地面散件</x:v>
      </x:c>
    </x:row>
    <x:row r="538" ht="19" customHeight="1">
      <x:c r="A538" s="19" t="str">
        <x:v>叠加数量</x:v>
      </x:c>
      <x:c r="B538" s="19" t="str">
        <x:v>C08-M011</x:v>
      </x:c>
      <x:c r="C538" s="19" t="str">
        <x:v>巨人火印</x:v>
      </x:c>
      <x:c r="D538" s="19" t="str">
        <x:v>1</x:v>
      </x:c>
      <x:c r="E538" s="19" t="str">
        <x:v>4</x:v>
      </x:c>
      <x:c r="F538" s="19" t="str">
        <x:v>长期消耗供给；提高每次叠加量，避免把所有候选改为高频地面散件</x:v>
      </x:c>
    </x:row>
    <x:row r="539" ht="19" customHeight="1">
      <x:c r="A539" s="19" t="str">
        <x:v>叠加数量</x:v>
      </x:c>
      <x:c r="B539" s="19" t="str">
        <x:v>C08-M012</x:v>
      </x:c>
      <x:c r="C539" s="19" t="str">
        <x:v>巨人火印</x:v>
      </x:c>
      <x:c r="D539" s="19" t="str">
        <x:v>1</x:v>
      </x:c>
      <x:c r="E539" s="19" t="str">
        <x:v>4</x:v>
      </x:c>
      <x:c r="F539" s="19" t="str">
        <x:v>长期消耗供给；提高每次叠加量，避免把所有候选改为高频地面散件</x:v>
      </x:c>
    </x:row>
    <x:row r="540" ht="19" customHeight="1">
      <x:c r="A540" s="19" t="str">
        <x:v>叠加数量</x:v>
      </x:c>
      <x:c r="B540" s="19" t="str">
        <x:v>C08-M023</x:v>
      </x:c>
      <x:c r="C540" s="19" t="str">
        <x:v>巨人火印</x:v>
      </x:c>
      <x:c r="D540" s="19" t="str">
        <x:v>1</x:v>
      </x:c>
      <x:c r="E540" s="19" t="str">
        <x:v>4</x:v>
      </x:c>
      <x:c r="F540" s="19" t="str">
        <x:v>长期消耗供给；提高每次叠加量，避免把所有候选改为高频地面散件</x:v>
      </x:c>
    </x:row>
    <x:row r="541" ht="19" customHeight="1">
      <x:c r="A541" s="19" t="str">
        <x:v>叠加数量</x:v>
      </x:c>
      <x:c r="B541" s="19" t="str">
        <x:v>C08-M024</x:v>
      </x:c>
      <x:c r="C541" s="19" t="str">
        <x:v>巨人火印</x:v>
      </x:c>
      <x:c r="D541" s="19" t="str">
        <x:v>1</x:v>
      </x:c>
      <x:c r="E541" s="19" t="str">
        <x:v>4</x:v>
      </x:c>
      <x:c r="F541" s="19" t="str">
        <x:v>长期消耗供给；提高每次叠加量，避免把所有候选改为高频地面散件</x:v>
      </x:c>
    </x:row>
    <x:row r="542" ht="19" customHeight="1">
      <x:c r="A542" s="19" t="str">
        <x:v>叠加数量</x:v>
      </x:c>
      <x:c r="B542" s="19" t="str">
        <x:v>C08-M035</x:v>
      </x:c>
      <x:c r="C542" s="19" t="str">
        <x:v>巨人火印</x:v>
      </x:c>
      <x:c r="D542" s="19" t="str">
        <x:v>1</x:v>
      </x:c>
      <x:c r="E542" s="19" t="str">
        <x:v>4</x:v>
      </x:c>
      <x:c r="F542" s="19" t="str">
        <x:v>长期消耗供给；提高每次叠加量，避免把所有候选改为高频地面散件</x:v>
      </x:c>
    </x:row>
    <x:row r="543" ht="19" customHeight="1">
      <x:c r="A543" s="19" t="str">
        <x:v>叠加数量</x:v>
      </x:c>
      <x:c r="B543" s="19" t="str">
        <x:v>C08-M036</x:v>
      </x:c>
      <x:c r="C543" s="19" t="str">
        <x:v>巨人火印</x:v>
      </x:c>
      <x:c r="D543" s="19" t="str">
        <x:v>1</x:v>
      </x:c>
      <x:c r="E543" s="19" t="str">
        <x:v>4</x:v>
      </x:c>
      <x:c r="F543" s="19" t="str">
        <x:v>长期消耗供给；提高每次叠加量，避免把所有候选改为高频地面散件</x:v>
      </x:c>
    </x:row>
    <x:row r="544" ht="19" customHeight="1">
      <x:c r="A544" s="19" t="str">
        <x:v>叠加数量</x:v>
      </x:c>
      <x:c r="B544" s="19" t="str">
        <x:v>C08-M047</x:v>
      </x:c>
      <x:c r="C544" s="19" t="str">
        <x:v>巨人火印</x:v>
      </x:c>
      <x:c r="D544" s="19" t="str">
        <x:v>1</x:v>
      </x:c>
      <x:c r="E544" s="19" t="str">
        <x:v>4</x:v>
      </x:c>
      <x:c r="F544" s="19" t="str">
        <x:v>长期消耗供给；提高每次叠加量，避免把所有候选改为高频地面散件</x:v>
      </x:c>
    </x:row>
    <x:row r="545" ht="19" customHeight="1">
      <x:c r="A545" s="19" t="str">
        <x:v>叠加数量</x:v>
      </x:c>
      <x:c r="B545" s="19" t="str">
        <x:v>C08-M048</x:v>
      </x:c>
      <x:c r="C545" s="19" t="str">
        <x:v>巨人火印</x:v>
      </x:c>
      <x:c r="D545" s="19" t="str">
        <x:v>1</x:v>
      </x:c>
      <x:c r="E545" s="19" t="str">
        <x:v>4</x:v>
      </x:c>
      <x:c r="F545" s="19" t="str">
        <x:v>长期消耗供给；提高每次叠加量，避免把所有候选改为高频地面散件</x:v>
      </x:c>
    </x:row>
    <x:row r="546" ht="19" customHeight="1">
      <x:c r="A546" s="19" t="str">
        <x:v>叠加数量</x:v>
      </x:c>
      <x:c r="B546" s="19" t="str">
        <x:v>C08-M011</x:v>
      </x:c>
      <x:c r="C546" s="19" t="str">
        <x:v>巨人熔火卢恩</x:v>
      </x:c>
      <x:c r="D546" s="19" t="str">
        <x:v>1</x:v>
      </x:c>
      <x:c r="E546" s="19" t="str">
        <x:v>20</x:v>
      </x:c>
      <x:c r="F546" s="19" t="str">
        <x:v>长期消耗供给；提高每次叠加量，避免把所有候选改为高频地面散件</x:v>
      </x:c>
    </x:row>
    <x:row r="547" ht="19" customHeight="1">
      <x:c r="A547" s="19" t="str">
        <x:v>叠加数量</x:v>
      </x:c>
      <x:c r="B547" s="19" t="str">
        <x:v>C08-M012</x:v>
      </x:c>
      <x:c r="C547" s="19" t="str">
        <x:v>巨人熔火卢恩</x:v>
      </x:c>
      <x:c r="D547" s="19" t="str">
        <x:v>1</x:v>
      </x:c>
      <x:c r="E547" s="19" t="str">
        <x:v>20</x:v>
      </x:c>
      <x:c r="F547" s="19" t="str">
        <x:v>长期消耗供给；提高每次叠加量，避免把所有候选改为高频地面散件</x:v>
      </x:c>
    </x:row>
    <x:row r="548" ht="19" customHeight="1">
      <x:c r="A548" s="19" t="str">
        <x:v>叠加数量</x:v>
      </x:c>
      <x:c r="B548" s="19" t="str">
        <x:v>C08-M023</x:v>
      </x:c>
      <x:c r="C548" s="19" t="str">
        <x:v>巨人熔火卢恩</x:v>
      </x:c>
      <x:c r="D548" s="19" t="str">
        <x:v>1</x:v>
      </x:c>
      <x:c r="E548" s="19" t="str">
        <x:v>20</x:v>
      </x:c>
      <x:c r="F548" s="19" t="str">
        <x:v>长期消耗供给；提高每次叠加量，避免把所有候选改为高频地面散件</x:v>
      </x:c>
    </x:row>
    <x:row r="549" ht="19" customHeight="1">
      <x:c r="A549" s="19" t="str">
        <x:v>叠加数量</x:v>
      </x:c>
      <x:c r="B549" s="19" t="str">
        <x:v>C08-M024</x:v>
      </x:c>
      <x:c r="C549" s="19" t="str">
        <x:v>巨人熔火卢恩</x:v>
      </x:c>
      <x:c r="D549" s="19" t="str">
        <x:v>1</x:v>
      </x:c>
      <x:c r="E549" s="19" t="str">
        <x:v>20</x:v>
      </x:c>
      <x:c r="F549" s="19" t="str">
        <x:v>长期消耗供给；提高每次叠加量，避免把所有候选改为高频地面散件</x:v>
      </x:c>
    </x:row>
    <x:row r="550" ht="19" customHeight="1">
      <x:c r="A550" s="19" t="str">
        <x:v>叠加数量</x:v>
      </x:c>
      <x:c r="B550" s="19" t="str">
        <x:v>C08-M035</x:v>
      </x:c>
      <x:c r="C550" s="19" t="str">
        <x:v>巨人熔火卢恩</x:v>
      </x:c>
      <x:c r="D550" s="19" t="str">
        <x:v>1</x:v>
      </x:c>
      <x:c r="E550" s="19" t="str">
        <x:v>20</x:v>
      </x:c>
      <x:c r="F550" s="19" t="str">
        <x:v>长期消耗供给；提高每次叠加量，避免把所有候选改为高频地面散件</x:v>
      </x:c>
    </x:row>
    <x:row r="551" ht="19" customHeight="1">
      <x:c r="A551" s="19" t="str">
        <x:v>叠加数量</x:v>
      </x:c>
      <x:c r="B551" s="19" t="str">
        <x:v>C08-M036</x:v>
      </x:c>
      <x:c r="C551" s="19" t="str">
        <x:v>巨人熔火卢恩</x:v>
      </x:c>
      <x:c r="D551" s="19" t="str">
        <x:v>1</x:v>
      </x:c>
      <x:c r="E551" s="19" t="str">
        <x:v>20</x:v>
      </x:c>
      <x:c r="F551" s="19" t="str">
        <x:v>长期消耗供给；提高每次叠加量，避免把所有候选改为高频地面散件</x:v>
      </x:c>
    </x:row>
    <x:row r="552" ht="19" customHeight="1">
      <x:c r="A552" s="19" t="str">
        <x:v>叠加数量</x:v>
      </x:c>
      <x:c r="B552" s="19" t="str">
        <x:v>C08-M047</x:v>
      </x:c>
      <x:c r="C552" s="19" t="str">
        <x:v>巨人熔火卢恩</x:v>
      </x:c>
      <x:c r="D552" s="19" t="str">
        <x:v>1</x:v>
      </x:c>
      <x:c r="E552" s="19" t="str">
        <x:v>20</x:v>
      </x:c>
      <x:c r="F552" s="19" t="str">
        <x:v>长期消耗供给；提高每次叠加量，避免把所有候选改为高频地面散件</x:v>
      </x:c>
    </x:row>
    <x:row r="553" ht="19" customHeight="1">
      <x:c r="A553" s="19" t="str">
        <x:v>叠加数量</x:v>
      </x:c>
      <x:c r="B553" s="19" t="str">
        <x:v>C08-M048</x:v>
      </x:c>
      <x:c r="C553" s="19" t="str">
        <x:v>巨人熔火卢恩</x:v>
      </x:c>
      <x:c r="D553" s="19" t="str">
        <x:v>1</x:v>
      </x:c>
      <x:c r="E553" s="19" t="str">
        <x:v>20</x:v>
      </x:c>
      <x:c r="F553" s="19" t="str">
        <x:v>长期消耗供给；提高每次叠加量，避免把所有候选改为高频地面散件</x:v>
      </x:c>
    </x:row>
    <x:row r="554" ht="19" customHeight="1">
      <x:c r="A554" s="19" t="str">
        <x:v>叠加数量</x:v>
      </x:c>
      <x:c r="B554" s="19" t="str">
        <x:v>C08-M001</x:v>
      </x:c>
      <x:c r="C554" s="19" t="str">
        <x:v>野兽骨片</x:v>
      </x:c>
      <x:c r="D554" s="19" t="str">
        <x:v>1</x:v>
      </x:c>
      <x:c r="E554" s="19" t="str">
        <x:v>5</x:v>
      </x:c>
      <x:c r="F554" s="19" t="str">
        <x:v>长期消耗供给；提高每次叠加量，避免把所有候选改为高频地面散件</x:v>
      </x:c>
    </x:row>
    <x:row r="555" ht="19" customHeight="1">
      <x:c r="A555" s="19" t="str">
        <x:v>叠加数量</x:v>
      </x:c>
      <x:c r="B555" s="19" t="str">
        <x:v>C08-M002</x:v>
      </x:c>
      <x:c r="C555" s="19" t="str">
        <x:v>野兽骨片</x:v>
      </x:c>
      <x:c r="D555" s="19" t="str">
        <x:v>1</x:v>
      </x:c>
      <x:c r="E555" s="19" t="str">
        <x:v>5</x:v>
      </x:c>
      <x:c r="F555" s="19" t="str">
        <x:v>长期消耗供给；提高每次叠加量，避免把所有候选改为高频地面散件</x:v>
      </x:c>
    </x:row>
    <x:row r="556" ht="19" customHeight="1">
      <x:c r="A556" s="19" t="str">
        <x:v>叠加数量</x:v>
      </x:c>
      <x:c r="B556" s="19" t="str">
        <x:v>C08-M003</x:v>
      </x:c>
      <x:c r="C556" s="19" t="str">
        <x:v>野兽骨片</x:v>
      </x:c>
      <x:c r="D556" s="19" t="str">
        <x:v>1</x:v>
      </x:c>
      <x:c r="E556" s="19" t="str">
        <x:v>5</x:v>
      </x:c>
      <x:c r="F556" s="19" t="str">
        <x:v>长期消耗供给；提高每次叠加量，避免把所有候选改为高频地面散件</x:v>
      </x:c>
    </x:row>
    <x:row r="557" ht="19" customHeight="1">
      <x:c r="A557" s="19" t="str">
        <x:v>叠加数量</x:v>
      </x:c>
      <x:c r="B557" s="19" t="str">
        <x:v>C08-M004</x:v>
      </x:c>
      <x:c r="C557" s="19" t="str">
        <x:v>野兽骨片</x:v>
      </x:c>
      <x:c r="D557" s="19" t="str">
        <x:v>1</x:v>
      </x:c>
      <x:c r="E557" s="19" t="str">
        <x:v>5</x:v>
      </x:c>
      <x:c r="F557" s="19" t="str">
        <x:v>长期消耗供给；提高每次叠加量，避免把所有候选改为高频地面散件</x:v>
      </x:c>
    </x:row>
    <x:row r="558" ht="19" customHeight="1">
      <x:c r="A558" s="19" t="str">
        <x:v>叠加数量</x:v>
      </x:c>
      <x:c r="B558" s="19" t="str">
        <x:v>C08-M005</x:v>
      </x:c>
      <x:c r="C558" s="19" t="str">
        <x:v>野兽骨片</x:v>
      </x:c>
      <x:c r="D558" s="19" t="str">
        <x:v>1</x:v>
      </x:c>
      <x:c r="E558" s="19" t="str">
        <x:v>5</x:v>
      </x:c>
      <x:c r="F558" s="19" t="str">
        <x:v>长期消耗供给；提高每次叠加量，避免把所有候选改为高频地面散件</x:v>
      </x:c>
    </x:row>
    <x:row r="559" ht="19" customHeight="1">
      <x:c r="A559" s="19" t="str">
        <x:v>叠加数量</x:v>
      </x:c>
      <x:c r="B559" s="19" t="str">
        <x:v>C08-M006</x:v>
      </x:c>
      <x:c r="C559" s="19" t="str">
        <x:v>野兽骨片</x:v>
      </x:c>
      <x:c r="D559" s="19" t="str">
        <x:v>1</x:v>
      </x:c>
      <x:c r="E559" s="19" t="str">
        <x:v>5</x:v>
      </x:c>
      <x:c r="F559" s="19" t="str">
        <x:v>长期消耗供给；提高每次叠加量，避免把所有候选改为高频地面散件</x:v>
      </x:c>
    </x:row>
    <x:row r="560" ht="19" customHeight="1">
      <x:c r="A560" s="19" t="str">
        <x:v>叠加数量</x:v>
      </x:c>
      <x:c r="B560" s="19" t="str">
        <x:v>C08-M007</x:v>
      </x:c>
      <x:c r="C560" s="19" t="str">
        <x:v>野兽骨片</x:v>
      </x:c>
      <x:c r="D560" s="19" t="str">
        <x:v>1</x:v>
      </x:c>
      <x:c r="E560" s="19" t="str">
        <x:v>5</x:v>
      </x:c>
      <x:c r="F560" s="19" t="str">
        <x:v>长期消耗供给；提高每次叠加量，避免把所有候选改为高频地面散件</x:v>
      </x:c>
    </x:row>
    <x:row r="561" ht="19" customHeight="1">
      <x:c r="A561" s="19" t="str">
        <x:v>叠加数量</x:v>
      </x:c>
      <x:c r="B561" s="19" t="str">
        <x:v>C08-M008</x:v>
      </x:c>
      <x:c r="C561" s="19" t="str">
        <x:v>野兽骨片</x:v>
      </x:c>
      <x:c r="D561" s="19" t="str">
        <x:v>1</x:v>
      </x:c>
      <x:c r="E561" s="19" t="str">
        <x:v>5</x:v>
      </x:c>
      <x:c r="F561" s="19" t="str">
        <x:v>长期消耗供给；提高每次叠加量，避免把所有候选改为高频地面散件</x:v>
      </x:c>
    </x:row>
    <x:row r="562" ht="19" customHeight="1">
      <x:c r="A562" s="19" t="str">
        <x:v>叠加数量</x:v>
      </x:c>
      <x:c r="B562" s="19" t="str">
        <x:v>C08-M009</x:v>
      </x:c>
      <x:c r="C562" s="19" t="str">
        <x:v>野兽骨片</x:v>
      </x:c>
      <x:c r="D562" s="19" t="str">
        <x:v>1</x:v>
      </x:c>
      <x:c r="E562" s="19" t="str">
        <x:v>5</x:v>
      </x:c>
      <x:c r="F562" s="19" t="str">
        <x:v>长期消耗供给；提高每次叠加量，避免把所有候选改为高频地面散件</x:v>
      </x:c>
    </x:row>
    <x:row r="563" ht="19" customHeight="1">
      <x:c r="A563" s="19" t="str">
        <x:v>叠加数量</x:v>
      </x:c>
      <x:c r="B563" s="19" t="str">
        <x:v>C08-M010</x:v>
      </x:c>
      <x:c r="C563" s="19" t="str">
        <x:v>野兽骨片</x:v>
      </x:c>
      <x:c r="D563" s="19" t="str">
        <x:v>1</x:v>
      </x:c>
      <x:c r="E563" s="19" t="str">
        <x:v>5</x:v>
      </x:c>
      <x:c r="F563" s="19" t="str">
        <x:v>长期消耗供给；提高每次叠加量，避免把所有候选改为高频地面散件</x:v>
      </x:c>
    </x:row>
    <x:row r="564" ht="19" customHeight="1">
      <x:c r="A564" s="19" t="str">
        <x:v>叠加数量</x:v>
      </x:c>
      <x:c r="B564" s="19" t="str">
        <x:v>C08-M011</x:v>
      </x:c>
      <x:c r="C564" s="19" t="str">
        <x:v>野兽骨片</x:v>
      </x:c>
      <x:c r="D564" s="19" t="str">
        <x:v>1</x:v>
      </x:c>
      <x:c r="E564" s="19" t="str">
        <x:v>5</x:v>
      </x:c>
      <x:c r="F564" s="19" t="str">
        <x:v>长期消耗供给；提高每次叠加量，避免把所有候选改为高频地面散件</x:v>
      </x:c>
    </x:row>
    <x:row r="565" ht="19" customHeight="1">
      <x:c r="A565" s="19" t="str">
        <x:v>叠加数量</x:v>
      </x:c>
      <x:c r="B565" s="19" t="str">
        <x:v>C08-M012</x:v>
      </x:c>
      <x:c r="C565" s="19" t="str">
        <x:v>野兽骨片</x:v>
      </x:c>
      <x:c r="D565" s="19" t="str">
        <x:v>1</x:v>
      </x:c>
      <x:c r="E565" s="19" t="str">
        <x:v>5</x:v>
      </x:c>
      <x:c r="F565" s="19" t="str">
        <x:v>长期消耗供给；提高每次叠加量，避免把所有候选改为高频地面散件</x:v>
      </x:c>
    </x:row>
    <x:row r="566" ht="19" customHeight="1">
      <x:c r="A566" s="19" t="str">
        <x:v>叠加数量</x:v>
      </x:c>
      <x:c r="B566" s="19" t="str">
        <x:v>C08-M013</x:v>
      </x:c>
      <x:c r="C566" s="19" t="str">
        <x:v>野兽骨片</x:v>
      </x:c>
      <x:c r="D566" s="19" t="str">
        <x:v>1</x:v>
      </x:c>
      <x:c r="E566" s="19" t="str">
        <x:v>5</x:v>
      </x:c>
      <x:c r="F566" s="19" t="str">
        <x:v>长期消耗供给；提高每次叠加量，避免把所有候选改为高频地面散件</x:v>
      </x:c>
    </x:row>
    <x:row r="567" ht="19" customHeight="1">
      <x:c r="A567" s="19" t="str">
        <x:v>叠加数量</x:v>
      </x:c>
      <x:c r="B567" s="19" t="str">
        <x:v>C08-M014</x:v>
      </x:c>
      <x:c r="C567" s="19" t="str">
        <x:v>野兽骨片</x:v>
      </x:c>
      <x:c r="D567" s="19" t="str">
        <x:v>1</x:v>
      </x:c>
      <x:c r="E567" s="19" t="str">
        <x:v>5</x:v>
      </x:c>
      <x:c r="F567" s="19" t="str">
        <x:v>长期消耗供给；提高每次叠加量，避免把所有候选改为高频地面散件</x:v>
      </x:c>
    </x:row>
    <x:row r="568" ht="19" customHeight="1">
      <x:c r="A568" s="19" t="str">
        <x:v>叠加数量</x:v>
      </x:c>
      <x:c r="B568" s="19" t="str">
        <x:v>C08-M015</x:v>
      </x:c>
      <x:c r="C568" s="19" t="str">
        <x:v>野兽骨片</x:v>
      </x:c>
      <x:c r="D568" s="19" t="str">
        <x:v>1</x:v>
      </x:c>
      <x:c r="E568" s="19" t="str">
        <x:v>5</x:v>
      </x:c>
      <x:c r="F568" s="19" t="str">
        <x:v>长期消耗供给；提高每次叠加量，避免把所有候选改为高频地面散件</x:v>
      </x:c>
    </x:row>
    <x:row r="569" ht="19" customHeight="1">
      <x:c r="A569" s="19" t="str">
        <x:v>叠加数量</x:v>
      </x:c>
      <x:c r="B569" s="19" t="str">
        <x:v>C08-M016</x:v>
      </x:c>
      <x:c r="C569" s="19" t="str">
        <x:v>野兽骨片</x:v>
      </x:c>
      <x:c r="D569" s="19" t="str">
        <x:v>1</x:v>
      </x:c>
      <x:c r="E569" s="19" t="str">
        <x:v>5</x:v>
      </x:c>
      <x:c r="F569" s="19" t="str">
        <x:v>长期消耗供给；提高每次叠加量，避免把所有候选改为高频地面散件</x:v>
      </x:c>
    </x:row>
    <x:row r="570" ht="19" customHeight="1">
      <x:c r="A570" s="19" t="str">
        <x:v>叠加数量</x:v>
      </x:c>
      <x:c r="B570" s="19" t="str">
        <x:v>C08-M017</x:v>
      </x:c>
      <x:c r="C570" s="19" t="str">
        <x:v>野兽骨片</x:v>
      </x:c>
      <x:c r="D570" s="19" t="str">
        <x:v>1</x:v>
      </x:c>
      <x:c r="E570" s="19" t="str">
        <x:v>5</x:v>
      </x:c>
      <x:c r="F570" s="19" t="str">
        <x:v>长期消耗供给；提高每次叠加量，避免把所有候选改为高频地面散件</x:v>
      </x:c>
    </x:row>
    <x:row r="571" ht="19" customHeight="1">
      <x:c r="A571" s="19" t="str">
        <x:v>叠加数量</x:v>
      </x:c>
      <x:c r="B571" s="19" t="str">
        <x:v>C08-M018</x:v>
      </x:c>
      <x:c r="C571" s="19" t="str">
        <x:v>野兽骨片</x:v>
      </x:c>
      <x:c r="D571" s="19" t="str">
        <x:v>1</x:v>
      </x:c>
      <x:c r="E571" s="19" t="str">
        <x:v>5</x:v>
      </x:c>
      <x:c r="F571" s="19" t="str">
        <x:v>长期消耗供给；提高每次叠加量，避免把所有候选改为高频地面散件</x:v>
      </x:c>
    </x:row>
    <x:row r="572" ht="19" customHeight="1">
      <x:c r="A572" s="19" t="str">
        <x:v>叠加数量</x:v>
      </x:c>
      <x:c r="B572" s="19" t="str">
        <x:v>C08-M019</x:v>
      </x:c>
      <x:c r="C572" s="19" t="str">
        <x:v>野兽骨片</x:v>
      </x:c>
      <x:c r="D572" s="19" t="str">
        <x:v>1</x:v>
      </x:c>
      <x:c r="E572" s="19" t="str">
        <x:v>5</x:v>
      </x:c>
      <x:c r="F572" s="19" t="str">
        <x:v>长期消耗供给；提高每次叠加量，避免把所有候选改为高频地面散件</x:v>
      </x:c>
    </x:row>
    <x:row r="573" ht="19" customHeight="1">
      <x:c r="A573" s="19" t="str">
        <x:v>叠加数量</x:v>
      </x:c>
      <x:c r="B573" s="19" t="str">
        <x:v>C08-M020</x:v>
      </x:c>
      <x:c r="C573" s="19" t="str">
        <x:v>野兽骨片</x:v>
      </x:c>
      <x:c r="D573" s="19" t="str">
        <x:v>1</x:v>
      </x:c>
      <x:c r="E573" s="19" t="str">
        <x:v>5</x:v>
      </x:c>
      <x:c r="F573" s="19" t="str">
        <x:v>长期消耗供给；提高每次叠加量，避免把所有候选改为高频地面散件</x:v>
      </x:c>
    </x:row>
    <x:row r="574" ht="19" customHeight="1">
      <x:c r="A574" s="19" t="str">
        <x:v>叠加数量</x:v>
      </x:c>
      <x:c r="B574" s="19" t="str">
        <x:v>C08-M021</x:v>
      </x:c>
      <x:c r="C574" s="19" t="str">
        <x:v>野兽骨片</x:v>
      </x:c>
      <x:c r="D574" s="19" t="str">
        <x:v>1</x:v>
      </x:c>
      <x:c r="E574" s="19" t="str">
        <x:v>5</x:v>
      </x:c>
      <x:c r="F574" s="19" t="str">
        <x:v>长期消耗供给；提高每次叠加量，避免把所有候选改为高频地面散件</x:v>
      </x:c>
    </x:row>
    <x:row r="575" ht="19" customHeight="1">
      <x:c r="A575" s="19" t="str">
        <x:v>叠加数量</x:v>
      </x:c>
      <x:c r="B575" s="19" t="str">
        <x:v>C08-M022</x:v>
      </x:c>
      <x:c r="C575" s="19" t="str">
        <x:v>野兽骨片</x:v>
      </x:c>
      <x:c r="D575" s="19" t="str">
        <x:v>1</x:v>
      </x:c>
      <x:c r="E575" s="19" t="str">
        <x:v>5</x:v>
      </x:c>
      <x:c r="F575" s="19" t="str">
        <x:v>长期消耗供给；提高每次叠加量，避免把所有候选改为高频地面散件</x:v>
      </x:c>
    </x:row>
    <x:row r="576" ht="19" customHeight="1">
      <x:c r="A576" s="19" t="str">
        <x:v>叠加数量</x:v>
      </x:c>
      <x:c r="B576" s="19" t="str">
        <x:v>C08-M023</x:v>
      </x:c>
      <x:c r="C576" s="19" t="str">
        <x:v>野兽骨片</x:v>
      </x:c>
      <x:c r="D576" s="19" t="str">
        <x:v>1</x:v>
      </x:c>
      <x:c r="E576" s="19" t="str">
        <x:v>5</x:v>
      </x:c>
      <x:c r="F576" s="19" t="str">
        <x:v>长期消耗供给；提高每次叠加量，避免把所有候选改为高频地面散件</x:v>
      </x:c>
    </x:row>
    <x:row r="577" ht="19" customHeight="1">
      <x:c r="A577" s="19" t="str">
        <x:v>叠加数量</x:v>
      </x:c>
      <x:c r="B577" s="19" t="str">
        <x:v>C08-M024</x:v>
      </x:c>
      <x:c r="C577" s="19" t="str">
        <x:v>野兽骨片</x:v>
      </x:c>
      <x:c r="D577" s="19" t="str">
        <x:v>1</x:v>
      </x:c>
      <x:c r="E577" s="19" t="str">
        <x:v>5</x:v>
      </x:c>
      <x:c r="F577" s="19" t="str">
        <x:v>长期消耗供给；提高每次叠加量，避免把所有候选改为高频地面散件</x:v>
      </x:c>
    </x:row>
    <x:row r="578" ht="19" customHeight="1">
      <x:c r="A578" s="19" t="str">
        <x:v>叠加数量</x:v>
      </x:c>
      <x:c r="B578" s="19" t="str">
        <x:v>C08-M025</x:v>
      </x:c>
      <x:c r="C578" s="19" t="str">
        <x:v>野兽骨片</x:v>
      </x:c>
      <x:c r="D578" s="19" t="str">
        <x:v>1</x:v>
      </x:c>
      <x:c r="E578" s="19" t="str">
        <x:v>5</x:v>
      </x:c>
      <x:c r="F578" s="19" t="str">
        <x:v>长期消耗供给；提高每次叠加量，避免把所有候选改为高频地面散件</x:v>
      </x:c>
    </x:row>
    <x:row r="579" ht="19" customHeight="1">
      <x:c r="A579" s="19" t="str">
        <x:v>叠加数量</x:v>
      </x:c>
      <x:c r="B579" s="19" t="str">
        <x:v>C08-M026</x:v>
      </x:c>
      <x:c r="C579" s="19" t="str">
        <x:v>野兽骨片</x:v>
      </x:c>
      <x:c r="D579" s="19" t="str">
        <x:v>1</x:v>
      </x:c>
      <x:c r="E579" s="19" t="str">
        <x:v>5</x:v>
      </x:c>
      <x:c r="F579" s="19" t="str">
        <x:v>长期消耗供给；提高每次叠加量，避免把所有候选改为高频地面散件</x:v>
      </x:c>
    </x:row>
    <x:row r="580" ht="19" customHeight="1">
      <x:c r="A580" s="19" t="str">
        <x:v>叠加数量</x:v>
      </x:c>
      <x:c r="B580" s="19" t="str">
        <x:v>C08-M027</x:v>
      </x:c>
      <x:c r="C580" s="19" t="str">
        <x:v>野兽骨片</x:v>
      </x:c>
      <x:c r="D580" s="19" t="str">
        <x:v>1</x:v>
      </x:c>
      <x:c r="E580" s="19" t="str">
        <x:v>5</x:v>
      </x:c>
      <x:c r="F580" s="19" t="str">
        <x:v>长期消耗供给；提高每次叠加量，避免把所有候选改为高频地面散件</x:v>
      </x:c>
    </x:row>
    <x:row r="581" ht="19" customHeight="1">
      <x:c r="A581" s="19" t="str">
        <x:v>叠加数量</x:v>
      </x:c>
      <x:c r="B581" s="19" t="str">
        <x:v>C08-M028</x:v>
      </x:c>
      <x:c r="C581" s="19" t="str">
        <x:v>野兽骨片</x:v>
      </x:c>
      <x:c r="D581" s="19" t="str">
        <x:v>1</x:v>
      </x:c>
      <x:c r="E581" s="19" t="str">
        <x:v>5</x:v>
      </x:c>
      <x:c r="F581" s="19" t="str">
        <x:v>长期消耗供给；提高每次叠加量，避免把所有候选改为高频地面散件</x:v>
      </x:c>
    </x:row>
    <x:row r="582" ht="19" customHeight="1">
      <x:c r="A582" s="19" t="str">
        <x:v>叠加数量</x:v>
      </x:c>
      <x:c r="B582" s="19" t="str">
        <x:v>C08-M029</x:v>
      </x:c>
      <x:c r="C582" s="19" t="str">
        <x:v>野兽骨片</x:v>
      </x:c>
      <x:c r="D582" s="19" t="str">
        <x:v>1</x:v>
      </x:c>
      <x:c r="E582" s="19" t="str">
        <x:v>5</x:v>
      </x:c>
      <x:c r="F582" s="19" t="str">
        <x:v>长期消耗供给；提高每次叠加量，避免把所有候选改为高频地面散件</x:v>
      </x:c>
    </x:row>
    <x:row r="583" ht="19" customHeight="1">
      <x:c r="A583" s="19" t="str">
        <x:v>叠加数量</x:v>
      </x:c>
      <x:c r="B583" s="19" t="str">
        <x:v>C08-M030</x:v>
      </x:c>
      <x:c r="C583" s="19" t="str">
        <x:v>野兽骨片</x:v>
      </x:c>
      <x:c r="D583" s="19" t="str">
        <x:v>1</x:v>
      </x:c>
      <x:c r="E583" s="19" t="str">
        <x:v>5</x:v>
      </x:c>
      <x:c r="F583" s="19" t="str">
        <x:v>长期消耗供给；提高每次叠加量，避免把所有候选改为高频地面散件</x:v>
      </x:c>
    </x:row>
    <x:row r="584" ht="19" customHeight="1">
      <x:c r="A584" s="19" t="str">
        <x:v>叠加数量</x:v>
      </x:c>
      <x:c r="B584" s="19" t="str">
        <x:v>C08-M031</x:v>
      </x:c>
      <x:c r="C584" s="19" t="str">
        <x:v>野兽骨片</x:v>
      </x:c>
      <x:c r="D584" s="19" t="str">
        <x:v>1</x:v>
      </x:c>
      <x:c r="E584" s="19" t="str">
        <x:v>5</x:v>
      </x:c>
      <x:c r="F584" s="19" t="str">
        <x:v>长期消耗供给；提高每次叠加量，避免把所有候选改为高频地面散件</x:v>
      </x:c>
    </x:row>
    <x:row r="585" ht="19" customHeight="1">
      <x:c r="A585" s="19" t="str">
        <x:v>叠加数量</x:v>
      </x:c>
      <x:c r="B585" s="19" t="str">
        <x:v>C08-M032</x:v>
      </x:c>
      <x:c r="C585" s="19" t="str">
        <x:v>野兽骨片</x:v>
      </x:c>
      <x:c r="D585" s="19" t="str">
        <x:v>1</x:v>
      </x:c>
      <x:c r="E585" s="19" t="str">
        <x:v>5</x:v>
      </x:c>
      <x:c r="F585" s="19" t="str">
        <x:v>长期消耗供给；提高每次叠加量，避免把所有候选改为高频地面散件</x:v>
      </x:c>
    </x:row>
    <x:row r="586" ht="19" customHeight="1">
      <x:c r="A586" s="19" t="str">
        <x:v>叠加数量</x:v>
      </x:c>
      <x:c r="B586" s="19" t="str">
        <x:v>C08-M033</x:v>
      </x:c>
      <x:c r="C586" s="19" t="str">
        <x:v>野兽骨片</x:v>
      </x:c>
      <x:c r="D586" s="19" t="str">
        <x:v>1</x:v>
      </x:c>
      <x:c r="E586" s="19" t="str">
        <x:v>5</x:v>
      </x:c>
      <x:c r="F586" s="19" t="str">
        <x:v>长期消耗供给；提高每次叠加量，避免把所有候选改为高频地面散件</x:v>
      </x:c>
    </x:row>
    <x:row r="587" ht="19" customHeight="1">
      <x:c r="A587" s="19" t="str">
        <x:v>叠加数量</x:v>
      </x:c>
      <x:c r="B587" s="19" t="str">
        <x:v>C08-M034</x:v>
      </x:c>
      <x:c r="C587" s="19" t="str">
        <x:v>野兽骨片</x:v>
      </x:c>
      <x:c r="D587" s="19" t="str">
        <x:v>1</x:v>
      </x:c>
      <x:c r="E587" s="19" t="str">
        <x:v>5</x:v>
      </x:c>
      <x:c r="F587" s="19" t="str">
        <x:v>长期消耗供给；提高每次叠加量，避免把所有候选改为高频地面散件</x:v>
      </x:c>
    </x:row>
    <x:row r="588" ht="19" customHeight="1">
      <x:c r="A588" s="19" t="str">
        <x:v>叠加数量</x:v>
      </x:c>
      <x:c r="B588" s="19" t="str">
        <x:v>C08-M035</x:v>
      </x:c>
      <x:c r="C588" s="19" t="str">
        <x:v>野兽骨片</x:v>
      </x:c>
      <x:c r="D588" s="19" t="str">
        <x:v>1</x:v>
      </x:c>
      <x:c r="E588" s="19" t="str">
        <x:v>5</x:v>
      </x:c>
      <x:c r="F588" s="19" t="str">
        <x:v>长期消耗供给；提高每次叠加量，避免把所有候选改为高频地面散件</x:v>
      </x:c>
    </x:row>
    <x:row r="589" ht="19" customHeight="1">
      <x:c r="A589" s="19" t="str">
        <x:v>叠加数量</x:v>
      </x:c>
      <x:c r="B589" s="19" t="str">
        <x:v>C08-M036</x:v>
      </x:c>
      <x:c r="C589" s="19" t="str">
        <x:v>野兽骨片</x:v>
      </x:c>
      <x:c r="D589" s="19" t="str">
        <x:v>1</x:v>
      </x:c>
      <x:c r="E589" s="19" t="str">
        <x:v>5</x:v>
      </x:c>
      <x:c r="F589" s="19" t="str">
        <x:v>长期消耗供给；提高每次叠加量，避免把所有候选改为高频地面散件</x:v>
      </x:c>
    </x:row>
    <x:row r="590" ht="19" customHeight="1">
      <x:c r="A590" s="19" t="str">
        <x:v>叠加数量</x:v>
      </x:c>
      <x:c r="B590" s="19" t="str">
        <x:v>C08-M037</x:v>
      </x:c>
      <x:c r="C590" s="19" t="str">
        <x:v>野兽骨片</x:v>
      </x:c>
      <x:c r="D590" s="19" t="str">
        <x:v>1</x:v>
      </x:c>
      <x:c r="E590" s="19" t="str">
        <x:v>5</x:v>
      </x:c>
      <x:c r="F590" s="19" t="str">
        <x:v>长期消耗供给；提高每次叠加量，避免把所有候选改为高频地面散件</x:v>
      </x:c>
    </x:row>
    <x:row r="591" ht="19" customHeight="1">
      <x:c r="A591" s="19" t="str">
        <x:v>叠加数量</x:v>
      </x:c>
      <x:c r="B591" s="19" t="str">
        <x:v>C08-M038</x:v>
      </x:c>
      <x:c r="C591" s="19" t="str">
        <x:v>野兽骨片</x:v>
      </x:c>
      <x:c r="D591" s="19" t="str">
        <x:v>1</x:v>
      </x:c>
      <x:c r="E591" s="19" t="str">
        <x:v>5</x:v>
      </x:c>
      <x:c r="F591" s="19" t="str">
        <x:v>长期消耗供给；提高每次叠加量，避免把所有候选改为高频地面散件</x:v>
      </x:c>
    </x:row>
    <x:row r="592" ht="19" customHeight="1">
      <x:c r="A592" s="19" t="str">
        <x:v>叠加数量</x:v>
      </x:c>
      <x:c r="B592" s="19" t="str">
        <x:v>C08-M039</x:v>
      </x:c>
      <x:c r="C592" s="19" t="str">
        <x:v>野兽骨片</x:v>
      </x:c>
      <x:c r="D592" s="19" t="str">
        <x:v>1</x:v>
      </x:c>
      <x:c r="E592" s="19" t="str">
        <x:v>5</x:v>
      </x:c>
      <x:c r="F592" s="19" t="str">
        <x:v>长期消耗供给；提高每次叠加量，避免把所有候选改为高频地面散件</x:v>
      </x:c>
    </x:row>
    <x:row r="593" ht="19" customHeight="1">
      <x:c r="A593" s="19" t="str">
        <x:v>叠加数量</x:v>
      </x:c>
      <x:c r="B593" s="19" t="str">
        <x:v>C08-M040</x:v>
      </x:c>
      <x:c r="C593" s="19" t="str">
        <x:v>野兽骨片</x:v>
      </x:c>
      <x:c r="D593" s="19" t="str">
        <x:v>1</x:v>
      </x:c>
      <x:c r="E593" s="19" t="str">
        <x:v>5</x:v>
      </x:c>
      <x:c r="F593" s="19" t="str">
        <x:v>长期消耗供给；提高每次叠加量，避免把所有候选改为高频地面散件</x:v>
      </x:c>
    </x:row>
    <x:row r="594" ht="19" customHeight="1">
      <x:c r="A594" s="19" t="str">
        <x:v>叠加数量</x:v>
      </x:c>
      <x:c r="B594" s="19" t="str">
        <x:v>C08-M041</x:v>
      </x:c>
      <x:c r="C594" s="19" t="str">
        <x:v>野兽骨片</x:v>
      </x:c>
      <x:c r="D594" s="19" t="str">
        <x:v>1</x:v>
      </x:c>
      <x:c r="E594" s="19" t="str">
        <x:v>5</x:v>
      </x:c>
      <x:c r="F594" s="19" t="str">
        <x:v>长期消耗供给；提高每次叠加量，避免把所有候选改为高频地面散件</x:v>
      </x:c>
    </x:row>
    <x:row r="595" ht="19" customHeight="1">
      <x:c r="A595" s="19" t="str">
        <x:v>叠加数量</x:v>
      </x:c>
      <x:c r="B595" s="19" t="str">
        <x:v>C08-M042</x:v>
      </x:c>
      <x:c r="C595" s="19" t="str">
        <x:v>野兽骨片</x:v>
      </x:c>
      <x:c r="D595" s="19" t="str">
        <x:v>1</x:v>
      </x:c>
      <x:c r="E595" s="19" t="str">
        <x:v>5</x:v>
      </x:c>
      <x:c r="F595" s="19" t="str">
        <x:v>长期消耗供给；提高每次叠加量，避免把所有候选改为高频地面散件</x:v>
      </x:c>
    </x:row>
    <x:row r="596" ht="19" customHeight="1">
      <x:c r="A596" s="19" t="str">
        <x:v>叠加数量</x:v>
      </x:c>
      <x:c r="B596" s="19" t="str">
        <x:v>C08-M043</x:v>
      </x:c>
      <x:c r="C596" s="19" t="str">
        <x:v>野兽骨片</x:v>
      </x:c>
      <x:c r="D596" s="19" t="str">
        <x:v>1</x:v>
      </x:c>
      <x:c r="E596" s="19" t="str">
        <x:v>5</x:v>
      </x:c>
      <x:c r="F596" s="19" t="str">
        <x:v>长期消耗供给；提高每次叠加量，避免把所有候选改为高频地面散件</x:v>
      </x:c>
    </x:row>
    <x:row r="597" ht="19" customHeight="1">
      <x:c r="A597" s="19" t="str">
        <x:v>叠加数量</x:v>
      </x:c>
      <x:c r="B597" s="19" t="str">
        <x:v>C08-M044</x:v>
      </x:c>
      <x:c r="C597" s="19" t="str">
        <x:v>野兽骨片</x:v>
      </x:c>
      <x:c r="D597" s="19" t="str">
        <x:v>1</x:v>
      </x:c>
      <x:c r="E597" s="19" t="str">
        <x:v>5</x:v>
      </x:c>
      <x:c r="F597" s="19" t="str">
        <x:v>长期消耗供给；提高每次叠加量，避免把所有候选改为高频地面散件</x:v>
      </x:c>
    </x:row>
    <x:row r="598" ht="19" customHeight="1">
      <x:c r="A598" s="19" t="str">
        <x:v>叠加数量</x:v>
      </x:c>
      <x:c r="B598" s="19" t="str">
        <x:v>C08-M045</x:v>
      </x:c>
      <x:c r="C598" s="19" t="str">
        <x:v>野兽骨片</x:v>
      </x:c>
      <x:c r="D598" s="19" t="str">
        <x:v>1</x:v>
      </x:c>
      <x:c r="E598" s="19" t="str">
        <x:v>5</x:v>
      </x:c>
      <x:c r="F598" s="19" t="str">
        <x:v>长期消耗供给；提高每次叠加量，避免把所有候选改为高频地面散件</x:v>
      </x:c>
    </x:row>
    <x:row r="599" ht="19" customHeight="1">
      <x:c r="A599" s="19" t="str">
        <x:v>叠加数量</x:v>
      </x:c>
      <x:c r="B599" s="19" t="str">
        <x:v>C08-M046</x:v>
      </x:c>
      <x:c r="C599" s="19" t="str">
        <x:v>野兽骨片</x:v>
      </x:c>
      <x:c r="D599" s="19" t="str">
        <x:v>1</x:v>
      </x:c>
      <x:c r="E599" s="19" t="str">
        <x:v>5</x:v>
      </x:c>
      <x:c r="F599" s="19" t="str">
        <x:v>长期消耗供给；提高每次叠加量，避免把所有候选改为高频地面散件</x:v>
      </x:c>
    </x:row>
    <x:row r="600" ht="19" customHeight="1">
      <x:c r="A600" s="19" t="str">
        <x:v>叠加数量</x:v>
      </x:c>
      <x:c r="B600" s="19" t="str">
        <x:v>C08-M047</x:v>
      </x:c>
      <x:c r="C600" s="19" t="str">
        <x:v>野兽骨片</x:v>
      </x:c>
      <x:c r="D600" s="19" t="str">
        <x:v>1</x:v>
      </x:c>
      <x:c r="E600" s="19" t="str">
        <x:v>5</x:v>
      </x:c>
      <x:c r="F600" s="19" t="str">
        <x:v>长期消耗供给；提高每次叠加量，避免把所有候选改为高频地面散件</x:v>
      </x:c>
    </x:row>
    <x:row r="601" ht="19" customHeight="1">
      <x:c r="A601" s="19" t="str">
        <x:v>叠加数量</x:v>
      </x:c>
      <x:c r="B601" s="19" t="str">
        <x:v>C08-M048</x:v>
      </x:c>
      <x:c r="C601" s="19" t="str">
        <x:v>野兽骨片</x:v>
      </x:c>
      <x:c r="D601" s="19" t="str">
        <x:v>1</x:v>
      </x:c>
      <x:c r="E601" s="19" t="str">
        <x:v>5</x:v>
      </x:c>
      <x:c r="F601" s="19" t="str">
        <x:v>长期消耗供给；提高每次叠加量，避免把所有候选改为高频地面散件</x:v>
      </x:c>
    </x:row>
    <x:row r="602" ht="19" customHeight="1">
      <x:c r="A602" s="19" t="str">
        <x:v>叠加数量</x:v>
      </x:c>
      <x:c r="B602" s="19" t="str">
        <x:v>C09-M011</x:v>
      </x:c>
      <x:c r="C602" s="19" t="str">
        <x:v>裁文蜡封</x:v>
      </x:c>
      <x:c r="D602" s="19" t="str">
        <x:v>1</x:v>
      </x:c>
      <x:c r="E602" s="19" t="str">
        <x:v>3</x:v>
      </x:c>
      <x:c r="F602" s="19" t="str">
        <x:v>长期消耗供给；提高每次叠加量，避免把所有候选改为高频地面散件</x:v>
      </x:c>
    </x:row>
    <x:row r="603" ht="19" customHeight="1">
      <x:c r="A603" s="19" t="str">
        <x:v>叠加数量</x:v>
      </x:c>
      <x:c r="B603" s="19" t="str">
        <x:v>C09-M012</x:v>
      </x:c>
      <x:c r="C603" s="19" t="str">
        <x:v>裁文蜡封</x:v>
      </x:c>
      <x:c r="D603" s="19" t="str">
        <x:v>1</x:v>
      </x:c>
      <x:c r="E603" s="19" t="str">
        <x:v>3</x:v>
      </x:c>
      <x:c r="F603" s="19" t="str">
        <x:v>长期消耗供给；提高每次叠加量，避免把所有候选改为高频地面散件</x:v>
      </x:c>
    </x:row>
    <x:row r="604" ht="19" customHeight="1">
      <x:c r="A604" s="19" t="str">
        <x:v>叠加数量</x:v>
      </x:c>
      <x:c r="B604" s="19" t="str">
        <x:v>C09-M023</x:v>
      </x:c>
      <x:c r="C604" s="19" t="str">
        <x:v>裁文蜡封</x:v>
      </x:c>
      <x:c r="D604" s="19" t="str">
        <x:v>1</x:v>
      </x:c>
      <x:c r="E604" s="19" t="str">
        <x:v>3</x:v>
      </x:c>
      <x:c r="F604" s="19" t="str">
        <x:v>长期消耗供给；提高每次叠加量，避免把所有候选改为高频地面散件</x:v>
      </x:c>
    </x:row>
    <x:row r="605" ht="19" customHeight="1">
      <x:c r="A605" s="19" t="str">
        <x:v>叠加数量</x:v>
      </x:c>
      <x:c r="B605" s="19" t="str">
        <x:v>C09-M024</x:v>
      </x:c>
      <x:c r="C605" s="19" t="str">
        <x:v>裁文蜡封</x:v>
      </x:c>
      <x:c r="D605" s="19" t="str">
        <x:v>1</x:v>
      </x:c>
      <x:c r="E605" s="19" t="str">
        <x:v>3</x:v>
      </x:c>
      <x:c r="F605" s="19" t="str">
        <x:v>长期消耗供给；提高每次叠加量，避免把所有候选改为高频地面散件</x:v>
      </x:c>
    </x:row>
    <x:row r="606" ht="19" customHeight="1">
      <x:c r="A606" s="19" t="str">
        <x:v>叠加数量</x:v>
      </x:c>
      <x:c r="B606" s="19" t="str">
        <x:v>C09-M035</x:v>
      </x:c>
      <x:c r="C606" s="19" t="str">
        <x:v>裁文蜡封</x:v>
      </x:c>
      <x:c r="D606" s="19" t="str">
        <x:v>1</x:v>
      </x:c>
      <x:c r="E606" s="19" t="str">
        <x:v>3</x:v>
      </x:c>
      <x:c r="F606" s="19" t="str">
        <x:v>长期消耗供给；提高每次叠加量，避免把所有候选改为高频地面散件</x:v>
      </x:c>
    </x:row>
    <x:row r="607" ht="19" customHeight="1">
      <x:c r="A607" s="19" t="str">
        <x:v>叠加数量</x:v>
      </x:c>
      <x:c r="B607" s="19" t="str">
        <x:v>C09-M036</x:v>
      </x:c>
      <x:c r="C607" s="19" t="str">
        <x:v>裁文蜡封</x:v>
      </x:c>
      <x:c r="D607" s="19" t="str">
        <x:v>1</x:v>
      </x:c>
      <x:c r="E607" s="19" t="str">
        <x:v>3</x:v>
      </x:c>
      <x:c r="F607" s="19" t="str">
        <x:v>长期消耗供给；提高每次叠加量，避免把所有候选改为高频地面散件</x:v>
      </x:c>
    </x:row>
    <x:row r="608" ht="19" customHeight="1">
      <x:c r="A608" s="19" t="str">
        <x:v>叠加数量</x:v>
      </x:c>
      <x:c r="B608" s="19" t="str">
        <x:v>C09-M047</x:v>
      </x:c>
      <x:c r="C608" s="19" t="str">
        <x:v>裁文蜡封</x:v>
      </x:c>
      <x:c r="D608" s="19" t="str">
        <x:v>1</x:v>
      </x:c>
      <x:c r="E608" s="19" t="str">
        <x:v>3</x:v>
      </x:c>
      <x:c r="F608" s="19" t="str">
        <x:v>长期消耗供给；提高每次叠加量，避免把所有候选改为高频地面散件</x:v>
      </x:c>
    </x:row>
    <x:row r="609" ht="19" customHeight="1">
      <x:c r="A609" s="19" t="str">
        <x:v>叠加数量</x:v>
      </x:c>
      <x:c r="B609" s="19" t="str">
        <x:v>C09-M048</x:v>
      </x:c>
      <x:c r="C609" s="19" t="str">
        <x:v>裁文蜡封</x:v>
      </x:c>
      <x:c r="D609" s="19" t="str">
        <x:v>1</x:v>
      </x:c>
      <x:c r="E609" s="19" t="str">
        <x:v>3</x:v>
      </x:c>
      <x:c r="F609" s="19" t="str">
        <x:v>长期消耗供给；提高每次叠加量，避免把所有候选改为高频地面散件</x:v>
      </x:c>
    </x:row>
    <x:row r="610" ht="19" customHeight="1">
      <x:c r="A610" s="19" t="str">
        <x:v>叠加数量</x:v>
      </x:c>
      <x:c r="B610" s="19" t="str">
        <x:v>C09-M059</x:v>
      </x:c>
      <x:c r="C610" s="19" t="str">
        <x:v>裁文蜡封</x:v>
      </x:c>
      <x:c r="D610" s="19" t="str">
        <x:v>1</x:v>
      </x:c>
      <x:c r="E610" s="19" t="str">
        <x:v>3</x:v>
      </x:c>
      <x:c r="F610" s="19" t="str">
        <x:v>长期消耗供给；提高每次叠加量，避免把所有候选改为高频地面散件</x:v>
      </x:c>
    </x:row>
    <x:row r="611" ht="19" customHeight="1">
      <x:c r="A611" s="19" t="str">
        <x:v>叠加数量</x:v>
      </x:c>
      <x:c r="B611" s="19" t="str">
        <x:v>C09-M060</x:v>
      </x:c>
      <x:c r="C611" s="19" t="str">
        <x:v>裁文蜡封</x:v>
      </x:c>
      <x:c r="D611" s="19" t="str">
        <x:v>1</x:v>
      </x:c>
      <x:c r="E611" s="19" t="str">
        <x:v>3</x:v>
      </x:c>
      <x:c r="F611" s="19" t="str">
        <x:v>长期消耗供给；提高每次叠加量，避免把所有候选改为高频地面散件</x:v>
      </x:c>
    </x:row>
    <x:row r="612" ht="19" customHeight="1">
      <x:c r="A612" s="19" t="str">
        <x:v>叠加数量</x:v>
      </x:c>
      <x:c r="B612" s="19" t="str">
        <x:v>C09-M001</x:v>
      </x:c>
      <x:c r="C612" s="19" t="str">
        <x:v>野兽骨片</x:v>
      </x:c>
      <x:c r="D612" s="19" t="str">
        <x:v>1</x:v>
      </x:c>
      <x:c r="E612" s="19" t="str">
        <x:v>5</x:v>
      </x:c>
      <x:c r="F612" s="19" t="str">
        <x:v>长期消耗供给；提高每次叠加量，避免把所有候选改为高频地面散件</x:v>
      </x:c>
    </x:row>
    <x:row r="613" ht="19" customHeight="1">
      <x:c r="A613" s="19" t="str">
        <x:v>叠加数量</x:v>
      </x:c>
      <x:c r="B613" s="19" t="str">
        <x:v>C09-M002</x:v>
      </x:c>
      <x:c r="C613" s="19" t="str">
        <x:v>野兽骨片</x:v>
      </x:c>
      <x:c r="D613" s="19" t="str">
        <x:v>1</x:v>
      </x:c>
      <x:c r="E613" s="19" t="str">
        <x:v>5</x:v>
      </x:c>
      <x:c r="F613" s="19" t="str">
        <x:v>长期消耗供给；提高每次叠加量，避免把所有候选改为高频地面散件</x:v>
      </x:c>
    </x:row>
    <x:row r="614" ht="19" customHeight="1">
      <x:c r="A614" s="19" t="str">
        <x:v>叠加数量</x:v>
      </x:c>
      <x:c r="B614" s="19" t="str">
        <x:v>C09-M003</x:v>
      </x:c>
      <x:c r="C614" s="19" t="str">
        <x:v>野兽骨片</x:v>
      </x:c>
      <x:c r="D614" s="19" t="str">
        <x:v>1</x:v>
      </x:c>
      <x:c r="E614" s="19" t="str">
        <x:v>5</x:v>
      </x:c>
      <x:c r="F614" s="19" t="str">
        <x:v>长期消耗供给；提高每次叠加量，避免把所有候选改为高频地面散件</x:v>
      </x:c>
    </x:row>
    <x:row r="615" ht="19" customHeight="1">
      <x:c r="A615" s="19" t="str">
        <x:v>叠加数量</x:v>
      </x:c>
      <x:c r="B615" s="19" t="str">
        <x:v>C09-M004</x:v>
      </x:c>
      <x:c r="C615" s="19" t="str">
        <x:v>野兽骨片</x:v>
      </x:c>
      <x:c r="D615" s="19" t="str">
        <x:v>1</x:v>
      </x:c>
      <x:c r="E615" s="19" t="str">
        <x:v>5</x:v>
      </x:c>
      <x:c r="F615" s="19" t="str">
        <x:v>长期消耗供给；提高每次叠加量，避免把所有候选改为高频地面散件</x:v>
      </x:c>
    </x:row>
    <x:row r="616" ht="19" customHeight="1">
      <x:c r="A616" s="19" t="str">
        <x:v>叠加数量</x:v>
      </x:c>
      <x:c r="B616" s="19" t="str">
        <x:v>C09-M005</x:v>
      </x:c>
      <x:c r="C616" s="19" t="str">
        <x:v>野兽骨片</x:v>
      </x:c>
      <x:c r="D616" s="19" t="str">
        <x:v>1</x:v>
      </x:c>
      <x:c r="E616" s="19" t="str">
        <x:v>5</x:v>
      </x:c>
      <x:c r="F616" s="19" t="str">
        <x:v>长期消耗供给；提高每次叠加量，避免把所有候选改为高频地面散件</x:v>
      </x:c>
    </x:row>
    <x:row r="617" ht="19" customHeight="1">
      <x:c r="A617" s="19" t="str">
        <x:v>叠加数量</x:v>
      </x:c>
      <x:c r="B617" s="19" t="str">
        <x:v>C09-M006</x:v>
      </x:c>
      <x:c r="C617" s="19" t="str">
        <x:v>野兽骨片</x:v>
      </x:c>
      <x:c r="D617" s="19" t="str">
        <x:v>1</x:v>
      </x:c>
      <x:c r="E617" s="19" t="str">
        <x:v>5</x:v>
      </x:c>
      <x:c r="F617" s="19" t="str">
        <x:v>长期消耗供给；提高每次叠加量，避免把所有候选改为高频地面散件</x:v>
      </x:c>
    </x:row>
    <x:row r="618" ht="19" customHeight="1">
      <x:c r="A618" s="19" t="str">
        <x:v>叠加数量</x:v>
      </x:c>
      <x:c r="B618" s="19" t="str">
        <x:v>C09-M007</x:v>
      </x:c>
      <x:c r="C618" s="19" t="str">
        <x:v>野兽骨片</x:v>
      </x:c>
      <x:c r="D618" s="19" t="str">
        <x:v>1</x:v>
      </x:c>
      <x:c r="E618" s="19" t="str">
        <x:v>5</x:v>
      </x:c>
      <x:c r="F618" s="19" t="str">
        <x:v>长期消耗供给；提高每次叠加量，避免把所有候选改为高频地面散件</x:v>
      </x:c>
    </x:row>
    <x:row r="619" ht="19" customHeight="1">
      <x:c r="A619" s="19" t="str">
        <x:v>叠加数量</x:v>
      </x:c>
      <x:c r="B619" s="19" t="str">
        <x:v>C09-M008</x:v>
      </x:c>
      <x:c r="C619" s="19" t="str">
        <x:v>野兽骨片</x:v>
      </x:c>
      <x:c r="D619" s="19" t="str">
        <x:v>1</x:v>
      </x:c>
      <x:c r="E619" s="19" t="str">
        <x:v>5</x:v>
      </x:c>
      <x:c r="F619" s="19" t="str">
        <x:v>长期消耗供给；提高每次叠加量，避免把所有候选改为高频地面散件</x:v>
      </x:c>
    </x:row>
    <x:row r="620" ht="19" customHeight="1">
      <x:c r="A620" s="19" t="str">
        <x:v>叠加数量</x:v>
      </x:c>
      <x:c r="B620" s="19" t="str">
        <x:v>C09-M009</x:v>
      </x:c>
      <x:c r="C620" s="19" t="str">
        <x:v>野兽骨片</x:v>
      </x:c>
      <x:c r="D620" s="19" t="str">
        <x:v>1</x:v>
      </x:c>
      <x:c r="E620" s="19" t="str">
        <x:v>5</x:v>
      </x:c>
      <x:c r="F620" s="19" t="str">
        <x:v>长期消耗供给；提高每次叠加量，避免把所有候选改为高频地面散件</x:v>
      </x:c>
    </x:row>
    <x:row r="621" ht="19" customHeight="1">
      <x:c r="A621" s="19" t="str">
        <x:v>叠加数量</x:v>
      </x:c>
      <x:c r="B621" s="19" t="str">
        <x:v>C09-M010</x:v>
      </x:c>
      <x:c r="C621" s="19" t="str">
        <x:v>野兽骨片</x:v>
      </x:c>
      <x:c r="D621" s="19" t="str">
        <x:v>1</x:v>
      </x:c>
      <x:c r="E621" s="19" t="str">
        <x:v>5</x:v>
      </x:c>
      <x:c r="F621" s="19" t="str">
        <x:v>长期消耗供给；提高每次叠加量，避免把所有候选改为高频地面散件</x:v>
      </x:c>
    </x:row>
    <x:row r="622" ht="19" customHeight="1">
      <x:c r="A622" s="19" t="str">
        <x:v>叠加数量</x:v>
      </x:c>
      <x:c r="B622" s="19" t="str">
        <x:v>C09-M011</x:v>
      </x:c>
      <x:c r="C622" s="19" t="str">
        <x:v>野兽骨片</x:v>
      </x:c>
      <x:c r="D622" s="19" t="str">
        <x:v>1</x:v>
      </x:c>
      <x:c r="E622" s="19" t="str">
        <x:v>5</x:v>
      </x:c>
      <x:c r="F622" s="19" t="str">
        <x:v>长期消耗供给；提高每次叠加量，避免把所有候选改为高频地面散件</x:v>
      </x:c>
    </x:row>
    <x:row r="623" ht="19" customHeight="1">
      <x:c r="A623" s="19" t="str">
        <x:v>叠加数量</x:v>
      </x:c>
      <x:c r="B623" s="19" t="str">
        <x:v>C09-M012</x:v>
      </x:c>
      <x:c r="C623" s="19" t="str">
        <x:v>野兽骨片</x:v>
      </x:c>
      <x:c r="D623" s="19" t="str">
        <x:v>1</x:v>
      </x:c>
      <x:c r="E623" s="19" t="str">
        <x:v>5</x:v>
      </x:c>
      <x:c r="F623" s="19" t="str">
        <x:v>长期消耗供给；提高每次叠加量，避免把所有候选改为高频地面散件</x:v>
      </x:c>
    </x:row>
    <x:row r="624" ht="19" customHeight="1">
      <x:c r="A624" s="19" t="str">
        <x:v>叠加数量</x:v>
      </x:c>
      <x:c r="B624" s="19" t="str">
        <x:v>C09-M013</x:v>
      </x:c>
      <x:c r="C624" s="19" t="str">
        <x:v>野兽骨片</x:v>
      </x:c>
      <x:c r="D624" s="19" t="str">
        <x:v>1</x:v>
      </x:c>
      <x:c r="E624" s="19" t="str">
        <x:v>5</x:v>
      </x:c>
      <x:c r="F624" s="19" t="str">
        <x:v>长期消耗供给；提高每次叠加量，避免把所有候选改为高频地面散件</x:v>
      </x:c>
    </x:row>
    <x:row r="625" ht="19" customHeight="1">
      <x:c r="A625" s="19" t="str">
        <x:v>叠加数量</x:v>
      </x:c>
      <x:c r="B625" s="19" t="str">
        <x:v>C09-M014</x:v>
      </x:c>
      <x:c r="C625" s="19" t="str">
        <x:v>野兽骨片</x:v>
      </x:c>
      <x:c r="D625" s="19" t="str">
        <x:v>1</x:v>
      </x:c>
      <x:c r="E625" s="19" t="str">
        <x:v>5</x:v>
      </x:c>
      <x:c r="F625" s="19" t="str">
        <x:v>长期消耗供给；提高每次叠加量，避免把所有候选改为高频地面散件</x:v>
      </x:c>
    </x:row>
    <x:row r="626" ht="19" customHeight="1">
      <x:c r="A626" s="19" t="str">
        <x:v>叠加数量</x:v>
      </x:c>
      <x:c r="B626" s="19" t="str">
        <x:v>C09-M015</x:v>
      </x:c>
      <x:c r="C626" s="19" t="str">
        <x:v>野兽骨片</x:v>
      </x:c>
      <x:c r="D626" s="19" t="str">
        <x:v>1</x:v>
      </x:c>
      <x:c r="E626" s="19" t="str">
        <x:v>5</x:v>
      </x:c>
      <x:c r="F626" s="19" t="str">
        <x:v>长期消耗供给；提高每次叠加量，避免把所有候选改为高频地面散件</x:v>
      </x:c>
    </x:row>
    <x:row r="627" ht="19" customHeight="1">
      <x:c r="A627" s="19" t="str">
        <x:v>叠加数量</x:v>
      </x:c>
      <x:c r="B627" s="19" t="str">
        <x:v>C09-M016</x:v>
      </x:c>
      <x:c r="C627" s="19" t="str">
        <x:v>野兽骨片</x:v>
      </x:c>
      <x:c r="D627" s="19" t="str">
        <x:v>1</x:v>
      </x:c>
      <x:c r="E627" s="19" t="str">
        <x:v>5</x:v>
      </x:c>
      <x:c r="F627" s="19" t="str">
        <x:v>长期消耗供给；提高每次叠加量，避免把所有候选改为高频地面散件</x:v>
      </x:c>
    </x:row>
    <x:row r="628" ht="19" customHeight="1">
      <x:c r="A628" s="19" t="str">
        <x:v>叠加数量</x:v>
      </x:c>
      <x:c r="B628" s="19" t="str">
        <x:v>C09-M017</x:v>
      </x:c>
      <x:c r="C628" s="19" t="str">
        <x:v>野兽骨片</x:v>
      </x:c>
      <x:c r="D628" s="19" t="str">
        <x:v>1</x:v>
      </x:c>
      <x:c r="E628" s="19" t="str">
        <x:v>5</x:v>
      </x:c>
      <x:c r="F628" s="19" t="str">
        <x:v>长期消耗供给；提高每次叠加量，避免把所有候选改为高频地面散件</x:v>
      </x:c>
    </x:row>
    <x:row r="629" ht="19" customHeight="1">
      <x:c r="A629" s="19" t="str">
        <x:v>叠加数量</x:v>
      </x:c>
      <x:c r="B629" s="19" t="str">
        <x:v>C09-M018</x:v>
      </x:c>
      <x:c r="C629" s="19" t="str">
        <x:v>野兽骨片</x:v>
      </x:c>
      <x:c r="D629" s="19" t="str">
        <x:v>1</x:v>
      </x:c>
      <x:c r="E629" s="19" t="str">
        <x:v>5</x:v>
      </x:c>
      <x:c r="F629" s="19" t="str">
        <x:v>长期消耗供给；提高每次叠加量，避免把所有候选改为高频地面散件</x:v>
      </x:c>
    </x:row>
    <x:row r="630" ht="19" customHeight="1">
      <x:c r="A630" s="19" t="str">
        <x:v>叠加数量</x:v>
      </x:c>
      <x:c r="B630" s="19" t="str">
        <x:v>C09-M019</x:v>
      </x:c>
      <x:c r="C630" s="19" t="str">
        <x:v>野兽骨片</x:v>
      </x:c>
      <x:c r="D630" s="19" t="str">
        <x:v>1</x:v>
      </x:c>
      <x:c r="E630" s="19" t="str">
        <x:v>5</x:v>
      </x:c>
      <x:c r="F630" s="19" t="str">
        <x:v>长期消耗供给；提高每次叠加量，避免把所有候选改为高频地面散件</x:v>
      </x:c>
    </x:row>
    <x:row r="631" ht="19" customHeight="1">
      <x:c r="A631" s="19" t="str">
        <x:v>叠加数量</x:v>
      </x:c>
      <x:c r="B631" s="19" t="str">
        <x:v>C09-M020</x:v>
      </x:c>
      <x:c r="C631" s="19" t="str">
        <x:v>野兽骨片</x:v>
      </x:c>
      <x:c r="D631" s="19" t="str">
        <x:v>1</x:v>
      </x:c>
      <x:c r="E631" s="19" t="str">
        <x:v>5</x:v>
      </x:c>
      <x:c r="F631" s="19" t="str">
        <x:v>长期消耗供给；提高每次叠加量，避免把所有候选改为高频地面散件</x:v>
      </x:c>
    </x:row>
    <x:row r="632" ht="19" customHeight="1">
      <x:c r="A632" s="19" t="str">
        <x:v>叠加数量</x:v>
      </x:c>
      <x:c r="B632" s="19" t="str">
        <x:v>C09-M021</x:v>
      </x:c>
      <x:c r="C632" s="19" t="str">
        <x:v>野兽骨片</x:v>
      </x:c>
      <x:c r="D632" s="19" t="str">
        <x:v>1</x:v>
      </x:c>
      <x:c r="E632" s="19" t="str">
        <x:v>5</x:v>
      </x:c>
      <x:c r="F632" s="19" t="str">
        <x:v>长期消耗供给；提高每次叠加量，避免把所有候选改为高频地面散件</x:v>
      </x:c>
    </x:row>
    <x:row r="633" ht="19" customHeight="1">
      <x:c r="A633" s="19" t="str">
        <x:v>叠加数量</x:v>
      </x:c>
      <x:c r="B633" s="19" t="str">
        <x:v>C09-M022</x:v>
      </x:c>
      <x:c r="C633" s="19" t="str">
        <x:v>野兽骨片</x:v>
      </x:c>
      <x:c r="D633" s="19" t="str">
        <x:v>1</x:v>
      </x:c>
      <x:c r="E633" s="19" t="str">
        <x:v>5</x:v>
      </x:c>
      <x:c r="F633" s="19" t="str">
        <x:v>长期消耗供给；提高每次叠加量，避免把所有候选改为高频地面散件</x:v>
      </x:c>
    </x:row>
    <x:row r="634" ht="19" customHeight="1">
      <x:c r="A634" s="19" t="str">
        <x:v>叠加数量</x:v>
      </x:c>
      <x:c r="B634" s="19" t="str">
        <x:v>C09-M023</x:v>
      </x:c>
      <x:c r="C634" s="19" t="str">
        <x:v>野兽骨片</x:v>
      </x:c>
      <x:c r="D634" s="19" t="str">
        <x:v>1</x:v>
      </x:c>
      <x:c r="E634" s="19" t="str">
        <x:v>5</x:v>
      </x:c>
      <x:c r="F634" s="19" t="str">
        <x:v>长期消耗供给；提高每次叠加量，避免把所有候选改为高频地面散件</x:v>
      </x:c>
    </x:row>
    <x:row r="635" ht="19" customHeight="1">
      <x:c r="A635" s="19" t="str">
        <x:v>叠加数量</x:v>
      </x:c>
      <x:c r="B635" s="19" t="str">
        <x:v>C09-M024</x:v>
      </x:c>
      <x:c r="C635" s="19" t="str">
        <x:v>野兽骨片</x:v>
      </x:c>
      <x:c r="D635" s="19" t="str">
        <x:v>1</x:v>
      </x:c>
      <x:c r="E635" s="19" t="str">
        <x:v>5</x:v>
      </x:c>
      <x:c r="F635" s="19" t="str">
        <x:v>长期消耗供给；提高每次叠加量，避免把所有候选改为高频地面散件</x:v>
      </x:c>
    </x:row>
    <x:row r="636" ht="19" customHeight="1">
      <x:c r="A636" s="19" t="str">
        <x:v>叠加数量</x:v>
      </x:c>
      <x:c r="B636" s="19" t="str">
        <x:v>C09-M025</x:v>
      </x:c>
      <x:c r="C636" s="19" t="str">
        <x:v>野兽骨片</x:v>
      </x:c>
      <x:c r="D636" s="19" t="str">
        <x:v>1</x:v>
      </x:c>
      <x:c r="E636" s="19" t="str">
        <x:v>5</x:v>
      </x:c>
      <x:c r="F636" s="19" t="str">
        <x:v>长期消耗供给；提高每次叠加量，避免把所有候选改为高频地面散件</x:v>
      </x:c>
    </x:row>
    <x:row r="637" ht="19" customHeight="1">
      <x:c r="A637" s="19" t="str">
        <x:v>叠加数量</x:v>
      </x:c>
      <x:c r="B637" s="19" t="str">
        <x:v>C09-M026</x:v>
      </x:c>
      <x:c r="C637" s="19" t="str">
        <x:v>野兽骨片</x:v>
      </x:c>
      <x:c r="D637" s="19" t="str">
        <x:v>1</x:v>
      </x:c>
      <x:c r="E637" s="19" t="str">
        <x:v>5</x:v>
      </x:c>
      <x:c r="F637" s="19" t="str">
        <x:v>长期消耗供给；提高每次叠加量，避免把所有候选改为高频地面散件</x:v>
      </x:c>
    </x:row>
    <x:row r="638" ht="19" customHeight="1">
      <x:c r="A638" s="19" t="str">
        <x:v>叠加数量</x:v>
      </x:c>
      <x:c r="B638" s="19" t="str">
        <x:v>C09-M027</x:v>
      </x:c>
      <x:c r="C638" s="19" t="str">
        <x:v>野兽骨片</x:v>
      </x:c>
      <x:c r="D638" s="19" t="str">
        <x:v>1</x:v>
      </x:c>
      <x:c r="E638" s="19" t="str">
        <x:v>5</x:v>
      </x:c>
      <x:c r="F638" s="19" t="str">
        <x:v>长期消耗供给；提高每次叠加量，避免把所有候选改为高频地面散件</x:v>
      </x:c>
    </x:row>
    <x:row r="639" ht="19" customHeight="1">
      <x:c r="A639" s="19" t="str">
        <x:v>叠加数量</x:v>
      </x:c>
      <x:c r="B639" s="19" t="str">
        <x:v>C09-M028</x:v>
      </x:c>
      <x:c r="C639" s="19" t="str">
        <x:v>野兽骨片</x:v>
      </x:c>
      <x:c r="D639" s="19" t="str">
        <x:v>1</x:v>
      </x:c>
      <x:c r="E639" s="19" t="str">
        <x:v>5</x:v>
      </x:c>
      <x:c r="F639" s="19" t="str">
        <x:v>长期消耗供给；提高每次叠加量，避免把所有候选改为高频地面散件</x:v>
      </x:c>
    </x:row>
    <x:row r="640" ht="19" customHeight="1">
      <x:c r="A640" s="19" t="str">
        <x:v>叠加数量</x:v>
      </x:c>
      <x:c r="B640" s="19" t="str">
        <x:v>C09-M029</x:v>
      </x:c>
      <x:c r="C640" s="19" t="str">
        <x:v>野兽骨片</x:v>
      </x:c>
      <x:c r="D640" s="19" t="str">
        <x:v>1</x:v>
      </x:c>
      <x:c r="E640" s="19" t="str">
        <x:v>5</x:v>
      </x:c>
      <x:c r="F640" s="19" t="str">
        <x:v>长期消耗供给；提高每次叠加量，避免把所有候选改为高频地面散件</x:v>
      </x:c>
    </x:row>
    <x:row r="641" ht="19" customHeight="1">
      <x:c r="A641" s="19" t="str">
        <x:v>叠加数量</x:v>
      </x:c>
      <x:c r="B641" s="19" t="str">
        <x:v>C09-M030</x:v>
      </x:c>
      <x:c r="C641" s="19" t="str">
        <x:v>野兽骨片</x:v>
      </x:c>
      <x:c r="D641" s="19" t="str">
        <x:v>1</x:v>
      </x:c>
      <x:c r="E641" s="19" t="str">
        <x:v>5</x:v>
      </x:c>
      <x:c r="F641" s="19" t="str">
        <x:v>长期消耗供给；提高每次叠加量，避免把所有候选改为高频地面散件</x:v>
      </x:c>
    </x:row>
    <x:row r="642" ht="19" customHeight="1">
      <x:c r="A642" s="19" t="str">
        <x:v>叠加数量</x:v>
      </x:c>
      <x:c r="B642" s="19" t="str">
        <x:v>C09-M031</x:v>
      </x:c>
      <x:c r="C642" s="19" t="str">
        <x:v>野兽骨片</x:v>
      </x:c>
      <x:c r="D642" s="19" t="str">
        <x:v>1</x:v>
      </x:c>
      <x:c r="E642" s="19" t="str">
        <x:v>5</x:v>
      </x:c>
      <x:c r="F642" s="19" t="str">
        <x:v>长期消耗供给；提高每次叠加量，避免把所有候选改为高频地面散件</x:v>
      </x:c>
    </x:row>
    <x:row r="643" ht="19" customHeight="1">
      <x:c r="A643" s="19" t="str">
        <x:v>叠加数量</x:v>
      </x:c>
      <x:c r="B643" s="19" t="str">
        <x:v>C09-M032</x:v>
      </x:c>
      <x:c r="C643" s="19" t="str">
        <x:v>野兽骨片</x:v>
      </x:c>
      <x:c r="D643" s="19" t="str">
        <x:v>1</x:v>
      </x:c>
      <x:c r="E643" s="19" t="str">
        <x:v>5</x:v>
      </x:c>
      <x:c r="F643" s="19" t="str">
        <x:v>长期消耗供给；提高每次叠加量，避免把所有候选改为高频地面散件</x:v>
      </x:c>
    </x:row>
    <x:row r="644" ht="19" customHeight="1">
      <x:c r="A644" s="19" t="str">
        <x:v>叠加数量</x:v>
      </x:c>
      <x:c r="B644" s="19" t="str">
        <x:v>C09-M033</x:v>
      </x:c>
      <x:c r="C644" s="19" t="str">
        <x:v>野兽骨片</x:v>
      </x:c>
      <x:c r="D644" s="19" t="str">
        <x:v>1</x:v>
      </x:c>
      <x:c r="E644" s="19" t="str">
        <x:v>5</x:v>
      </x:c>
      <x:c r="F644" s="19" t="str">
        <x:v>长期消耗供给；提高每次叠加量，避免把所有候选改为高频地面散件</x:v>
      </x:c>
    </x:row>
    <x:row r="645" ht="19" customHeight="1">
      <x:c r="A645" s="19" t="str">
        <x:v>叠加数量</x:v>
      </x:c>
      <x:c r="B645" s="19" t="str">
        <x:v>C09-M034</x:v>
      </x:c>
      <x:c r="C645" s="19" t="str">
        <x:v>野兽骨片</x:v>
      </x:c>
      <x:c r="D645" s="19" t="str">
        <x:v>1</x:v>
      </x:c>
      <x:c r="E645" s="19" t="str">
        <x:v>5</x:v>
      </x:c>
      <x:c r="F645" s="19" t="str">
        <x:v>长期消耗供给；提高每次叠加量，避免把所有候选改为高频地面散件</x:v>
      </x:c>
    </x:row>
    <x:row r="646" ht="19" customHeight="1">
      <x:c r="A646" s="19" t="str">
        <x:v>叠加数量</x:v>
      </x:c>
      <x:c r="B646" s="19" t="str">
        <x:v>C09-M035</x:v>
      </x:c>
      <x:c r="C646" s="19" t="str">
        <x:v>野兽骨片</x:v>
      </x:c>
      <x:c r="D646" s="19" t="str">
        <x:v>1</x:v>
      </x:c>
      <x:c r="E646" s="19" t="str">
        <x:v>5</x:v>
      </x:c>
      <x:c r="F646" s="19" t="str">
        <x:v>长期消耗供给；提高每次叠加量，避免把所有候选改为高频地面散件</x:v>
      </x:c>
    </x:row>
    <x:row r="647" ht="19" customHeight="1">
      <x:c r="A647" s="19" t="str">
        <x:v>叠加数量</x:v>
      </x:c>
      <x:c r="B647" s="19" t="str">
        <x:v>C09-M036</x:v>
      </x:c>
      <x:c r="C647" s="19" t="str">
        <x:v>野兽骨片</x:v>
      </x:c>
      <x:c r="D647" s="19" t="str">
        <x:v>1</x:v>
      </x:c>
      <x:c r="E647" s="19" t="str">
        <x:v>5</x:v>
      </x:c>
      <x:c r="F647" s="19" t="str">
        <x:v>长期消耗供给；提高每次叠加量，避免把所有候选改为高频地面散件</x:v>
      </x:c>
    </x:row>
    <x:row r="648" ht="19" customHeight="1">
      <x:c r="A648" s="19" t="str">
        <x:v>叠加数量</x:v>
      </x:c>
      <x:c r="B648" s="19" t="str">
        <x:v>C09-M037</x:v>
      </x:c>
      <x:c r="C648" s="19" t="str">
        <x:v>野兽骨片</x:v>
      </x:c>
      <x:c r="D648" s="19" t="str">
        <x:v>1</x:v>
      </x:c>
      <x:c r="E648" s="19" t="str">
        <x:v>5</x:v>
      </x:c>
      <x:c r="F648" s="19" t="str">
        <x:v>长期消耗供给；提高每次叠加量，避免把所有候选改为高频地面散件</x:v>
      </x:c>
    </x:row>
    <x:row r="649" ht="19" customHeight="1">
      <x:c r="A649" s="19" t="str">
        <x:v>叠加数量</x:v>
      </x:c>
      <x:c r="B649" s="19" t="str">
        <x:v>C09-M038</x:v>
      </x:c>
      <x:c r="C649" s="19" t="str">
        <x:v>野兽骨片</x:v>
      </x:c>
      <x:c r="D649" s="19" t="str">
        <x:v>1</x:v>
      </x:c>
      <x:c r="E649" s="19" t="str">
        <x:v>5</x:v>
      </x:c>
      <x:c r="F649" s="19" t="str">
        <x:v>长期消耗供给；提高每次叠加量，避免把所有候选改为高频地面散件</x:v>
      </x:c>
    </x:row>
    <x:row r="650" ht="19" customHeight="1">
      <x:c r="A650" s="19" t="str">
        <x:v>叠加数量</x:v>
      </x:c>
      <x:c r="B650" s="19" t="str">
        <x:v>C09-M039</x:v>
      </x:c>
      <x:c r="C650" s="19" t="str">
        <x:v>野兽骨片</x:v>
      </x:c>
      <x:c r="D650" s="19" t="str">
        <x:v>1</x:v>
      </x:c>
      <x:c r="E650" s="19" t="str">
        <x:v>5</x:v>
      </x:c>
      <x:c r="F650" s="19" t="str">
        <x:v>长期消耗供给；提高每次叠加量，避免把所有候选改为高频地面散件</x:v>
      </x:c>
    </x:row>
    <x:row r="651" ht="19" customHeight="1">
      <x:c r="A651" s="19" t="str">
        <x:v>叠加数量</x:v>
      </x:c>
      <x:c r="B651" s="19" t="str">
        <x:v>C09-M040</x:v>
      </x:c>
      <x:c r="C651" s="19" t="str">
        <x:v>野兽骨片</x:v>
      </x:c>
      <x:c r="D651" s="19" t="str">
        <x:v>1</x:v>
      </x:c>
      <x:c r="E651" s="19" t="str">
        <x:v>5</x:v>
      </x:c>
      <x:c r="F651" s="19" t="str">
        <x:v>长期消耗供给；提高每次叠加量，避免把所有候选改为高频地面散件</x:v>
      </x:c>
    </x:row>
    <x:row r="652" ht="19" customHeight="1">
      <x:c r="A652" s="19" t="str">
        <x:v>叠加数量</x:v>
      </x:c>
      <x:c r="B652" s="19" t="str">
        <x:v>C09-M041</x:v>
      </x:c>
      <x:c r="C652" s="19" t="str">
        <x:v>野兽骨片</x:v>
      </x:c>
      <x:c r="D652" s="19" t="str">
        <x:v>1</x:v>
      </x:c>
      <x:c r="E652" s="19" t="str">
        <x:v>5</x:v>
      </x:c>
      <x:c r="F652" s="19" t="str">
        <x:v>长期消耗供给；提高每次叠加量，避免把所有候选改为高频地面散件</x:v>
      </x:c>
    </x:row>
    <x:row r="653" ht="19" customHeight="1">
      <x:c r="A653" s="19" t="str">
        <x:v>叠加数量</x:v>
      </x:c>
      <x:c r="B653" s="19" t="str">
        <x:v>C09-M042</x:v>
      </x:c>
      <x:c r="C653" s="19" t="str">
        <x:v>野兽骨片</x:v>
      </x:c>
      <x:c r="D653" s="19" t="str">
        <x:v>1</x:v>
      </x:c>
      <x:c r="E653" s="19" t="str">
        <x:v>5</x:v>
      </x:c>
      <x:c r="F653" s="19" t="str">
        <x:v>长期消耗供给；提高每次叠加量，避免把所有候选改为高频地面散件</x:v>
      </x:c>
    </x:row>
    <x:row r="654" ht="19" customHeight="1">
      <x:c r="A654" s="19" t="str">
        <x:v>叠加数量</x:v>
      </x:c>
      <x:c r="B654" s="19" t="str">
        <x:v>C09-M043</x:v>
      </x:c>
      <x:c r="C654" s="19" t="str">
        <x:v>野兽骨片</x:v>
      </x:c>
      <x:c r="D654" s="19" t="str">
        <x:v>1</x:v>
      </x:c>
      <x:c r="E654" s="19" t="str">
        <x:v>5</x:v>
      </x:c>
      <x:c r="F654" s="19" t="str">
        <x:v>长期消耗供给；提高每次叠加量，避免把所有候选改为高频地面散件</x:v>
      </x:c>
    </x:row>
    <x:row r="655" ht="19" customHeight="1">
      <x:c r="A655" s="19" t="str">
        <x:v>叠加数量</x:v>
      </x:c>
      <x:c r="B655" s="19" t="str">
        <x:v>C09-M044</x:v>
      </x:c>
      <x:c r="C655" s="19" t="str">
        <x:v>野兽骨片</x:v>
      </x:c>
      <x:c r="D655" s="19" t="str">
        <x:v>1</x:v>
      </x:c>
      <x:c r="E655" s="19" t="str">
        <x:v>5</x:v>
      </x:c>
      <x:c r="F655" s="19" t="str">
        <x:v>长期消耗供给；提高每次叠加量，避免把所有候选改为高频地面散件</x:v>
      </x:c>
    </x:row>
    <x:row r="656" ht="19" customHeight="1">
      <x:c r="A656" s="19" t="str">
        <x:v>叠加数量</x:v>
      </x:c>
      <x:c r="B656" s="19" t="str">
        <x:v>C09-M045</x:v>
      </x:c>
      <x:c r="C656" s="19" t="str">
        <x:v>野兽骨片</x:v>
      </x:c>
      <x:c r="D656" s="19" t="str">
        <x:v>1</x:v>
      </x:c>
      <x:c r="E656" s="19" t="str">
        <x:v>5</x:v>
      </x:c>
      <x:c r="F656" s="19" t="str">
        <x:v>长期消耗供给；提高每次叠加量，避免把所有候选改为高频地面散件</x:v>
      </x:c>
    </x:row>
    <x:row r="657" ht="19" customHeight="1">
      <x:c r="A657" s="19" t="str">
        <x:v>叠加数量</x:v>
      </x:c>
      <x:c r="B657" s="19" t="str">
        <x:v>C09-M046</x:v>
      </x:c>
      <x:c r="C657" s="19" t="str">
        <x:v>野兽骨片</x:v>
      </x:c>
      <x:c r="D657" s="19" t="str">
        <x:v>1</x:v>
      </x:c>
      <x:c r="E657" s="19" t="str">
        <x:v>5</x:v>
      </x:c>
      <x:c r="F657" s="19" t="str">
        <x:v>长期消耗供给；提高每次叠加量，避免把所有候选改为高频地面散件</x:v>
      </x:c>
    </x:row>
    <x:row r="658" ht="19" customHeight="1">
      <x:c r="A658" s="19" t="str">
        <x:v>叠加数量</x:v>
      </x:c>
      <x:c r="B658" s="19" t="str">
        <x:v>C09-M047</x:v>
      </x:c>
      <x:c r="C658" s="19" t="str">
        <x:v>野兽骨片</x:v>
      </x:c>
      <x:c r="D658" s="19" t="str">
        <x:v>1</x:v>
      </x:c>
      <x:c r="E658" s="19" t="str">
        <x:v>5</x:v>
      </x:c>
      <x:c r="F658" s="19" t="str">
        <x:v>长期消耗供给；提高每次叠加量，避免把所有候选改为高频地面散件</x:v>
      </x:c>
    </x:row>
    <x:row r="659" ht="19" customHeight="1">
      <x:c r="A659" s="19" t="str">
        <x:v>叠加数量</x:v>
      </x:c>
      <x:c r="B659" s="19" t="str">
        <x:v>C09-M048</x:v>
      </x:c>
      <x:c r="C659" s="19" t="str">
        <x:v>野兽骨片</x:v>
      </x:c>
      <x:c r="D659" s="19" t="str">
        <x:v>1</x:v>
      </x:c>
      <x:c r="E659" s="19" t="str">
        <x:v>5</x:v>
      </x:c>
      <x:c r="F659" s="19" t="str">
        <x:v>长期消耗供给；提高每次叠加量，避免把所有候选改为高频地面散件</x:v>
      </x:c>
    </x:row>
    <x:row r="660" ht="19" customHeight="1">
      <x:c r="A660" s="19" t="str">
        <x:v>叠加数量</x:v>
      </x:c>
      <x:c r="B660" s="19" t="str">
        <x:v>C09-M049</x:v>
      </x:c>
      <x:c r="C660" s="19" t="str">
        <x:v>野兽骨片</x:v>
      </x:c>
      <x:c r="D660" s="19" t="str">
        <x:v>1</x:v>
      </x:c>
      <x:c r="E660" s="19" t="str">
        <x:v>5</x:v>
      </x:c>
      <x:c r="F660" s="19" t="str">
        <x:v>长期消耗供给；提高每次叠加量，避免把所有候选改为高频地面散件</x:v>
      </x:c>
    </x:row>
    <x:row r="661" ht="19" customHeight="1">
      <x:c r="A661" s="19" t="str">
        <x:v>叠加数量</x:v>
      </x:c>
      <x:c r="B661" s="19" t="str">
        <x:v>C09-M050</x:v>
      </x:c>
      <x:c r="C661" s="19" t="str">
        <x:v>野兽骨片</x:v>
      </x:c>
      <x:c r="D661" s="19" t="str">
        <x:v>1</x:v>
      </x:c>
      <x:c r="E661" s="19" t="str">
        <x:v>5</x:v>
      </x:c>
      <x:c r="F661" s="19" t="str">
        <x:v>长期消耗供给；提高每次叠加量，避免把所有候选改为高频地面散件</x:v>
      </x:c>
    </x:row>
    <x:row r="662" ht="19" customHeight="1">
      <x:c r="A662" s="19" t="str">
        <x:v>叠加数量</x:v>
      </x:c>
      <x:c r="B662" s="19" t="str">
        <x:v>C09-M051</x:v>
      </x:c>
      <x:c r="C662" s="19" t="str">
        <x:v>野兽骨片</x:v>
      </x:c>
      <x:c r="D662" s="19" t="str">
        <x:v>1</x:v>
      </x:c>
      <x:c r="E662" s="19" t="str">
        <x:v>5</x:v>
      </x:c>
      <x:c r="F662" s="19" t="str">
        <x:v>长期消耗供给；提高每次叠加量，避免把所有候选改为高频地面散件</x:v>
      </x:c>
    </x:row>
    <x:row r="663" ht="19" customHeight="1">
      <x:c r="A663" s="19" t="str">
        <x:v>叠加数量</x:v>
      </x:c>
      <x:c r="B663" s="19" t="str">
        <x:v>C09-M052</x:v>
      </x:c>
      <x:c r="C663" s="19" t="str">
        <x:v>野兽骨片</x:v>
      </x:c>
      <x:c r="D663" s="19" t="str">
        <x:v>1</x:v>
      </x:c>
      <x:c r="E663" s="19" t="str">
        <x:v>5</x:v>
      </x:c>
      <x:c r="F663" s="19" t="str">
        <x:v>长期消耗供给；提高每次叠加量，避免把所有候选改为高频地面散件</x:v>
      </x:c>
    </x:row>
    <x:row r="664" ht="19" customHeight="1">
      <x:c r="A664" s="19" t="str">
        <x:v>叠加数量</x:v>
      </x:c>
      <x:c r="B664" s="19" t="str">
        <x:v>C09-M053</x:v>
      </x:c>
      <x:c r="C664" s="19" t="str">
        <x:v>野兽骨片</x:v>
      </x:c>
      <x:c r="D664" s="19" t="str">
        <x:v>1</x:v>
      </x:c>
      <x:c r="E664" s="19" t="str">
        <x:v>5</x:v>
      </x:c>
      <x:c r="F664" s="19" t="str">
        <x:v>长期消耗供给；提高每次叠加量，避免把所有候选改为高频地面散件</x:v>
      </x:c>
    </x:row>
    <x:row r="665" ht="19" customHeight="1">
      <x:c r="A665" s="19" t="str">
        <x:v>叠加数量</x:v>
      </x:c>
      <x:c r="B665" s="19" t="str">
        <x:v>C09-M054</x:v>
      </x:c>
      <x:c r="C665" s="19" t="str">
        <x:v>野兽骨片</x:v>
      </x:c>
      <x:c r="D665" s="19" t="str">
        <x:v>1</x:v>
      </x:c>
      <x:c r="E665" s="19" t="str">
        <x:v>5</x:v>
      </x:c>
      <x:c r="F665" s="19" t="str">
        <x:v>长期消耗供给；提高每次叠加量，避免把所有候选改为高频地面散件</x:v>
      </x:c>
    </x:row>
    <x:row r="666" ht="19" customHeight="1">
      <x:c r="A666" s="19" t="str">
        <x:v>叠加数量</x:v>
      </x:c>
      <x:c r="B666" s="19" t="str">
        <x:v>C09-M055</x:v>
      </x:c>
      <x:c r="C666" s="19" t="str">
        <x:v>野兽骨片</x:v>
      </x:c>
      <x:c r="D666" s="19" t="str">
        <x:v>1</x:v>
      </x:c>
      <x:c r="E666" s="19" t="str">
        <x:v>5</x:v>
      </x:c>
      <x:c r="F666" s="19" t="str">
        <x:v>长期消耗供给；提高每次叠加量，避免把所有候选改为高频地面散件</x:v>
      </x:c>
    </x:row>
    <x:row r="667" ht="19" customHeight="1">
      <x:c r="A667" s="19" t="str">
        <x:v>叠加数量</x:v>
      </x:c>
      <x:c r="B667" s="19" t="str">
        <x:v>C09-M056</x:v>
      </x:c>
      <x:c r="C667" s="19" t="str">
        <x:v>野兽骨片</x:v>
      </x:c>
      <x:c r="D667" s="19" t="str">
        <x:v>1</x:v>
      </x:c>
      <x:c r="E667" s="19" t="str">
        <x:v>5</x:v>
      </x:c>
      <x:c r="F667" s="19" t="str">
        <x:v>长期消耗供给；提高每次叠加量，避免把所有候选改为高频地面散件</x:v>
      </x:c>
    </x:row>
    <x:row r="668" ht="19" customHeight="1">
      <x:c r="A668" s="19" t="str">
        <x:v>叠加数量</x:v>
      </x:c>
      <x:c r="B668" s="19" t="str">
        <x:v>C09-M057</x:v>
      </x:c>
      <x:c r="C668" s="19" t="str">
        <x:v>野兽骨片</x:v>
      </x:c>
      <x:c r="D668" s="19" t="str">
        <x:v>1</x:v>
      </x:c>
      <x:c r="E668" s="19" t="str">
        <x:v>5</x:v>
      </x:c>
      <x:c r="F668" s="19" t="str">
        <x:v>长期消耗供给；提高每次叠加量，避免把所有候选改为高频地面散件</x:v>
      </x:c>
    </x:row>
    <x:row r="669" ht="19" customHeight="1">
      <x:c r="A669" s="19" t="str">
        <x:v>叠加数量</x:v>
      </x:c>
      <x:c r="B669" s="19" t="str">
        <x:v>C09-M058</x:v>
      </x:c>
      <x:c r="C669" s="19" t="str">
        <x:v>野兽骨片</x:v>
      </x:c>
      <x:c r="D669" s="19" t="str">
        <x:v>1</x:v>
      </x:c>
      <x:c r="E669" s="19" t="str">
        <x:v>5</x:v>
      </x:c>
      <x:c r="F669" s="19" t="str">
        <x:v>长期消耗供给；提高每次叠加量，避免把所有候选改为高频地面散件</x:v>
      </x:c>
    </x:row>
    <x:row r="670" ht="19" customHeight="1">
      <x:c r="A670" s="19" t="str">
        <x:v>叠加数量</x:v>
      </x:c>
      <x:c r="B670" s="19" t="str">
        <x:v>C09-M059</x:v>
      </x:c>
      <x:c r="C670" s="19" t="str">
        <x:v>野兽骨片</x:v>
      </x:c>
      <x:c r="D670" s="19" t="str">
        <x:v>1</x:v>
      </x:c>
      <x:c r="E670" s="19" t="str">
        <x:v>5</x:v>
      </x:c>
      <x:c r="F670" s="19" t="str">
        <x:v>长期消耗供给；提高每次叠加量，避免把所有候选改为高频地面散件</x:v>
      </x:c>
    </x:row>
    <x:row r="671" ht="19" customHeight="1">
      <x:c r="A671" s="19" t="str">
        <x:v>叠加数量</x:v>
      </x:c>
      <x:c r="B671" s="19" t="str">
        <x:v>C09-M060</x:v>
      </x:c>
      <x:c r="C671" s="19" t="str">
        <x:v>野兽骨片</x:v>
      </x:c>
      <x:c r="D671" s="19" t="str">
        <x:v>1</x:v>
      </x:c>
      <x:c r="E671" s="19" t="str">
        <x:v>5</x:v>
      </x:c>
      <x:c r="F671" s="19" t="str">
        <x:v>长期消耗供给；提高每次叠加量，避免把所有候选改为高频地面散件</x:v>
      </x:c>
    </x:row>
    <x:row r="672" ht="19" customHeight="1">
      <x:c r="A672" s="19" t="str">
        <x:v>叠加数量</x:v>
      </x:c>
      <x:c r="B672" s="19" t="str">
        <x:v>C09-M011</x:v>
      </x:c>
      <x:c r="C672" s="19" t="str">
        <x:v>黄金律印</x:v>
      </x:c>
      <x:c r="D672" s="19" t="str">
        <x:v>1</x:v>
      </x:c>
      <x:c r="E672" s="19" t="str">
        <x:v>7</x:v>
      </x:c>
      <x:c r="F672" s="19" t="str">
        <x:v>长期消耗供给；提高每次叠加量，避免把所有候选改为高频地面散件</x:v>
      </x:c>
    </x:row>
    <x:row r="673" ht="19" customHeight="1">
      <x:c r="A673" s="19" t="str">
        <x:v>叠加数量</x:v>
      </x:c>
      <x:c r="B673" s="19" t="str">
        <x:v>C09-M012</x:v>
      </x:c>
      <x:c r="C673" s="19" t="str">
        <x:v>黄金律印</x:v>
      </x:c>
      <x:c r="D673" s="19" t="str">
        <x:v>1</x:v>
      </x:c>
      <x:c r="E673" s="19" t="str">
        <x:v>7</x:v>
      </x:c>
      <x:c r="F673" s="19" t="str">
        <x:v>长期消耗供给；提高每次叠加量，避免把所有候选改为高频地面散件</x:v>
      </x:c>
    </x:row>
    <x:row r="674" ht="19" customHeight="1">
      <x:c r="A674" s="19" t="str">
        <x:v>叠加数量</x:v>
      </x:c>
      <x:c r="B674" s="19" t="str">
        <x:v>C09-M023</x:v>
      </x:c>
      <x:c r="C674" s="19" t="str">
        <x:v>黄金律印</x:v>
      </x:c>
      <x:c r="D674" s="19" t="str">
        <x:v>1</x:v>
      </x:c>
      <x:c r="E674" s="19" t="str">
        <x:v>7</x:v>
      </x:c>
      <x:c r="F674" s="19" t="str">
        <x:v>长期消耗供给；提高每次叠加量，避免把所有候选改为高频地面散件</x:v>
      </x:c>
    </x:row>
    <x:row r="675" ht="19" customHeight="1">
      <x:c r="A675" s="19" t="str">
        <x:v>叠加数量</x:v>
      </x:c>
      <x:c r="B675" s="19" t="str">
        <x:v>C09-M024</x:v>
      </x:c>
      <x:c r="C675" s="19" t="str">
        <x:v>黄金律印</x:v>
      </x:c>
      <x:c r="D675" s="19" t="str">
        <x:v>1</x:v>
      </x:c>
      <x:c r="E675" s="19" t="str">
        <x:v>7</x:v>
      </x:c>
      <x:c r="F675" s="19" t="str">
        <x:v>长期消耗供给；提高每次叠加量，避免把所有候选改为高频地面散件</x:v>
      </x:c>
    </x:row>
    <x:row r="676" ht="19" customHeight="1">
      <x:c r="A676" s="19" t="str">
        <x:v>叠加数量</x:v>
      </x:c>
      <x:c r="B676" s="19" t="str">
        <x:v>C09-M035</x:v>
      </x:c>
      <x:c r="C676" s="19" t="str">
        <x:v>黄金律印</x:v>
      </x:c>
      <x:c r="D676" s="19" t="str">
        <x:v>1</x:v>
      </x:c>
      <x:c r="E676" s="19" t="str">
        <x:v>7</x:v>
      </x:c>
      <x:c r="F676" s="19" t="str">
        <x:v>长期消耗供给；提高每次叠加量，避免把所有候选改为高频地面散件</x:v>
      </x:c>
    </x:row>
    <x:row r="677" ht="19" customHeight="1">
      <x:c r="A677" s="19" t="str">
        <x:v>叠加数量</x:v>
      </x:c>
      <x:c r="B677" s="19" t="str">
        <x:v>C09-M036</x:v>
      </x:c>
      <x:c r="C677" s="19" t="str">
        <x:v>黄金律印</x:v>
      </x:c>
      <x:c r="D677" s="19" t="str">
        <x:v>1</x:v>
      </x:c>
      <x:c r="E677" s="19" t="str">
        <x:v>7</x:v>
      </x:c>
      <x:c r="F677" s="19" t="str">
        <x:v>长期消耗供给；提高每次叠加量，避免把所有候选改为高频地面散件</x:v>
      </x:c>
    </x:row>
    <x:row r="678" ht="19" customHeight="1">
      <x:c r="A678" s="19" t="str">
        <x:v>叠加数量</x:v>
      </x:c>
      <x:c r="B678" s="19" t="str">
        <x:v>C09-M047</x:v>
      </x:c>
      <x:c r="C678" s="19" t="str">
        <x:v>黄金律印</x:v>
      </x:c>
      <x:c r="D678" s="19" t="str">
        <x:v>1</x:v>
      </x:c>
      <x:c r="E678" s="19" t="str">
        <x:v>7</x:v>
      </x:c>
      <x:c r="F678" s="19" t="str">
        <x:v>长期消耗供给；提高每次叠加量，避免把所有候选改为高频地面散件</x:v>
      </x:c>
    </x:row>
    <x:row r="679" ht="19" customHeight="1">
      <x:c r="A679" s="19" t="str">
        <x:v>叠加数量</x:v>
      </x:c>
      <x:c r="B679" s="19" t="str">
        <x:v>C09-M048</x:v>
      </x:c>
      <x:c r="C679" s="19" t="str">
        <x:v>黄金律印</x:v>
      </x:c>
      <x:c r="D679" s="19" t="str">
        <x:v>1</x:v>
      </x:c>
      <x:c r="E679" s="19" t="str">
        <x:v>7</x:v>
      </x:c>
      <x:c r="F679" s="19" t="str">
        <x:v>长期消耗供给；提高每次叠加量，避免把所有候选改为高频地面散件</x:v>
      </x:c>
    </x:row>
    <x:row r="680" ht="19" customHeight="1">
      <x:c r="A680" s="19" t="str">
        <x:v>叠加数量</x:v>
      </x:c>
      <x:c r="B680" s="19" t="str">
        <x:v>C09-M059</x:v>
      </x:c>
      <x:c r="C680" s="19" t="str">
        <x:v>黄金律印</x:v>
      </x:c>
      <x:c r="D680" s="19" t="str">
        <x:v>1</x:v>
      </x:c>
      <x:c r="E680" s="19" t="str">
        <x:v>7</x:v>
      </x:c>
      <x:c r="F680" s="19" t="str">
        <x:v>长期消耗供给；提高每次叠加量，避免把所有候选改为高频地面散件</x:v>
      </x:c>
    </x:row>
    <x:row r="681" ht="19" customHeight="1">
      <x:c r="A681" s="19" t="str">
        <x:v>叠加数量</x:v>
      </x:c>
      <x:c r="B681" s="19" t="str">
        <x:v>C09-M060</x:v>
      </x:c>
      <x:c r="C681" s="19" t="str">
        <x:v>黄金律印</x:v>
      </x:c>
      <x:c r="D681" s="19" t="str">
        <x:v>1</x:v>
      </x:c>
      <x:c r="E681" s="19" t="str">
        <x:v>7</x:v>
      </x:c>
      <x:c r="F681" s="19" t="str">
        <x:v>长期消耗供给；提高每次叠加量，避免把所有候选改为高频地面散件</x:v>
      </x:c>
    </x:row>
    <x:row r="682" ht="19" customHeight="1">
      <x:c r="A682" s="19" t="str">
        <x:v>叠加数量</x:v>
      </x:c>
      <x:c r="B682" s="19" t="str">
        <x:v>C10-M011</x:v>
      </x:c>
      <x:c r="C682" s="19" t="str">
        <x:v>失温熔炉楔</x:v>
      </x:c>
      <x:c r="D682" s="19" t="str">
        <x:v>1</x:v>
      </x:c>
      <x:c r="E682" s="19" t="str">
        <x:v>4</x:v>
      </x:c>
      <x:c r="F682" s="19" t="str">
        <x:v>长期消耗供给；提高每次叠加量，避免把所有候选改为高频地面散件</x:v>
      </x:c>
    </x:row>
    <x:row r="683" ht="19" customHeight="1">
      <x:c r="A683" s="19" t="str">
        <x:v>叠加数量</x:v>
      </x:c>
      <x:c r="B683" s="19" t="str">
        <x:v>C10-M012</x:v>
      </x:c>
      <x:c r="C683" s="19" t="str">
        <x:v>失温熔炉楔</x:v>
      </x:c>
      <x:c r="D683" s="19" t="str">
        <x:v>1</x:v>
      </x:c>
      <x:c r="E683" s="19" t="str">
        <x:v>4</x:v>
      </x:c>
      <x:c r="F683" s="19" t="str">
        <x:v>长期消耗供给；提高每次叠加量，避免把所有候选改为高频地面散件</x:v>
      </x:c>
    </x:row>
    <x:row r="684" ht="19" customHeight="1">
      <x:c r="A684" s="19" t="str">
        <x:v>叠加数量</x:v>
      </x:c>
      <x:c r="B684" s="19" t="str">
        <x:v>C10-M023</x:v>
      </x:c>
      <x:c r="C684" s="19" t="str">
        <x:v>失温熔炉楔</x:v>
      </x:c>
      <x:c r="D684" s="19" t="str">
        <x:v>1</x:v>
      </x:c>
      <x:c r="E684" s="19" t="str">
        <x:v>4</x:v>
      </x:c>
      <x:c r="F684" s="19" t="str">
        <x:v>长期消耗供给；提高每次叠加量，避免把所有候选改为高频地面散件</x:v>
      </x:c>
    </x:row>
    <x:row r="685" ht="19" customHeight="1">
      <x:c r="A685" s="19" t="str">
        <x:v>叠加数量</x:v>
      </x:c>
      <x:c r="B685" s="19" t="str">
        <x:v>C10-M024</x:v>
      </x:c>
      <x:c r="C685" s="19" t="str">
        <x:v>失温熔炉楔</x:v>
      </x:c>
      <x:c r="D685" s="19" t="str">
        <x:v>1</x:v>
      </x:c>
      <x:c r="E685" s="19" t="str">
        <x:v>4</x:v>
      </x:c>
      <x:c r="F685" s="19" t="str">
        <x:v>长期消耗供给；提高每次叠加量，避免把所有候选改为高频地面散件</x:v>
      </x:c>
    </x:row>
    <x:row r="686" ht="19" customHeight="1">
      <x:c r="A686" s="19" t="str">
        <x:v>叠加数量</x:v>
      </x:c>
      <x:c r="B686" s="19" t="str">
        <x:v>C10-M035</x:v>
      </x:c>
      <x:c r="C686" s="19" t="str">
        <x:v>失温熔炉楔</x:v>
      </x:c>
      <x:c r="D686" s="19" t="str">
        <x:v>1</x:v>
      </x:c>
      <x:c r="E686" s="19" t="str">
        <x:v>4</x:v>
      </x:c>
      <x:c r="F686" s="19" t="str">
        <x:v>长期消耗供给；提高每次叠加量，避免把所有候选改为高频地面散件</x:v>
      </x:c>
    </x:row>
    <x:row r="687" ht="19" customHeight="1">
      <x:c r="A687" s="19" t="str">
        <x:v>叠加数量</x:v>
      </x:c>
      <x:c r="B687" s="19" t="str">
        <x:v>C10-M036</x:v>
      </x:c>
      <x:c r="C687" s="19" t="str">
        <x:v>失温熔炉楔</x:v>
      </x:c>
      <x:c r="D687" s="19" t="str">
        <x:v>1</x:v>
      </x:c>
      <x:c r="E687" s="19" t="str">
        <x:v>4</x:v>
      </x:c>
      <x:c r="F687" s="19" t="str">
        <x:v>长期消耗供给；提高每次叠加量，避免把所有候选改为高频地面散件</x:v>
      </x:c>
    </x:row>
    <x:row r="688" ht="19" customHeight="1">
      <x:c r="A688" s="19" t="str">
        <x:v>叠加数量</x:v>
      </x:c>
      <x:c r="B688" s="19" t="str">
        <x:v>C10-M047</x:v>
      </x:c>
      <x:c r="C688" s="19" t="str">
        <x:v>失温熔炉楔</x:v>
      </x:c>
      <x:c r="D688" s="19" t="str">
        <x:v>1</x:v>
      </x:c>
      <x:c r="E688" s="19" t="str">
        <x:v>4</x:v>
      </x:c>
      <x:c r="F688" s="19" t="str">
        <x:v>长期消耗供给；提高每次叠加量，避免把所有候选改为高频地面散件</x:v>
      </x:c>
    </x:row>
    <x:row r="689" ht="19" customHeight="1">
      <x:c r="A689" s="19" t="str">
        <x:v>叠加数量</x:v>
      </x:c>
      <x:c r="B689" s="19" t="str">
        <x:v>C10-M048</x:v>
      </x:c>
      <x:c r="C689" s="19" t="str">
        <x:v>失温熔炉楔</x:v>
      </x:c>
      <x:c r="D689" s="19" t="str">
        <x:v>1</x:v>
      </x:c>
      <x:c r="E689" s="19" t="str">
        <x:v>4</x:v>
      </x:c>
      <x:c r="F689" s="19" t="str">
        <x:v>长期消耗供给；提高每次叠加量，避免把所有候选改为高频地面散件</x:v>
      </x:c>
    </x:row>
    <x:row r="690" ht="19" customHeight="1">
      <x:c r="A690" s="19" t="str">
        <x:v>叠加数量</x:v>
      </x:c>
      <x:c r="B690" s="19" t="str">
        <x:v>C10-M059</x:v>
      </x:c>
      <x:c r="C690" s="19" t="str">
        <x:v>失温熔炉楔</x:v>
      </x:c>
      <x:c r="D690" s="19" t="str">
        <x:v>1</x:v>
      </x:c>
      <x:c r="E690" s="19" t="str">
        <x:v>4</x:v>
      </x:c>
      <x:c r="F690" s="19" t="str">
        <x:v>长期消耗供给；提高每次叠加量，避免把所有候选改为高频地面散件</x:v>
      </x:c>
    </x:row>
    <x:row r="691" ht="19" customHeight="1">
      <x:c r="A691" s="19" t="str">
        <x:v>叠加数量</x:v>
      </x:c>
      <x:c r="B691" s="19" t="str">
        <x:v>C10-M060</x:v>
      </x:c>
      <x:c r="C691" s="19" t="str">
        <x:v>失温熔炉楔</x:v>
      </x:c>
      <x:c r="D691" s="19" t="str">
        <x:v>1</x:v>
      </x:c>
      <x:c r="E691" s="19" t="str">
        <x:v>4</x:v>
      </x:c>
      <x:c r="F691" s="19" t="str">
        <x:v>长期消耗供给；提高每次叠加量，避免把所有候选改为高频地面散件</x:v>
      </x:c>
    </x:row>
    <x:row r="692" ht="19" customHeight="1">
      <x:c r="A692" s="19" t="str">
        <x:v>叠加数量</x:v>
      </x:c>
      <x:c r="B692" s="19" t="str">
        <x:v>C10-M011</x:v>
      </x:c>
      <x:c r="C692" s="19" t="str">
        <x:v>艾尔登王印</x:v>
      </x:c>
      <x:c r="D692" s="19" t="str">
        <x:v>1</x:v>
      </x:c>
      <x:c r="E692" s="19" t="str">
        <x:v>10</x:v>
      </x:c>
      <x:c r="F692" s="19" t="str">
        <x:v>长期消耗供给；提高每次叠加量，避免把所有候选改为高频地面散件</x:v>
      </x:c>
    </x:row>
    <x:row r="693" ht="19" customHeight="1">
      <x:c r="A693" s="19" t="str">
        <x:v>叠加数量</x:v>
      </x:c>
      <x:c r="B693" s="19" t="str">
        <x:v>C10-M012</x:v>
      </x:c>
      <x:c r="C693" s="19" t="str">
        <x:v>艾尔登王印</x:v>
      </x:c>
      <x:c r="D693" s="19" t="str">
        <x:v>1</x:v>
      </x:c>
      <x:c r="E693" s="19" t="str">
        <x:v>10</x:v>
      </x:c>
      <x:c r="F693" s="19" t="str">
        <x:v>长期消耗供给；提高每次叠加量，避免把所有候选改为高频地面散件</x:v>
      </x:c>
    </x:row>
    <x:row r="694" ht="19" customHeight="1">
      <x:c r="A694" s="19" t="str">
        <x:v>叠加数量</x:v>
      </x:c>
      <x:c r="B694" s="19" t="str">
        <x:v>C10-M023</x:v>
      </x:c>
      <x:c r="C694" s="19" t="str">
        <x:v>艾尔登王印</x:v>
      </x:c>
      <x:c r="D694" s="19" t="str">
        <x:v>1</x:v>
      </x:c>
      <x:c r="E694" s="19" t="str">
        <x:v>10</x:v>
      </x:c>
      <x:c r="F694" s="19" t="str">
        <x:v>长期消耗供给；提高每次叠加量，避免把所有候选改为高频地面散件</x:v>
      </x:c>
    </x:row>
    <x:row r="695" ht="19" customHeight="1">
      <x:c r="A695" s="19" t="str">
        <x:v>叠加数量</x:v>
      </x:c>
      <x:c r="B695" s="19" t="str">
        <x:v>C10-M024</x:v>
      </x:c>
      <x:c r="C695" s="19" t="str">
        <x:v>艾尔登王印</x:v>
      </x:c>
      <x:c r="D695" s="19" t="str">
        <x:v>1</x:v>
      </x:c>
      <x:c r="E695" s="19" t="str">
        <x:v>10</x:v>
      </x:c>
      <x:c r="F695" s="19" t="str">
        <x:v>长期消耗供给；提高每次叠加量，避免把所有候选改为高频地面散件</x:v>
      </x:c>
    </x:row>
    <x:row r="696" ht="19" customHeight="1">
      <x:c r="A696" s="19" t="str">
        <x:v>叠加数量</x:v>
      </x:c>
      <x:c r="B696" s="19" t="str">
        <x:v>C10-M035</x:v>
      </x:c>
      <x:c r="C696" s="19" t="str">
        <x:v>艾尔登王印</x:v>
      </x:c>
      <x:c r="D696" s="19" t="str">
        <x:v>1</x:v>
      </x:c>
      <x:c r="E696" s="19" t="str">
        <x:v>10</x:v>
      </x:c>
      <x:c r="F696" s="19" t="str">
        <x:v>长期消耗供给；提高每次叠加量，避免把所有候选改为高频地面散件</x:v>
      </x:c>
    </x:row>
    <x:row r="697" ht="19" customHeight="1">
      <x:c r="A697" s="19" t="str">
        <x:v>叠加数量</x:v>
      </x:c>
      <x:c r="B697" s="19" t="str">
        <x:v>C10-M036</x:v>
      </x:c>
      <x:c r="C697" s="19" t="str">
        <x:v>艾尔登王印</x:v>
      </x:c>
      <x:c r="D697" s="19" t="str">
        <x:v>1</x:v>
      </x:c>
      <x:c r="E697" s="19" t="str">
        <x:v>10</x:v>
      </x:c>
      <x:c r="F697" s="19" t="str">
        <x:v>长期消耗供给；提高每次叠加量，避免把所有候选改为高频地面散件</x:v>
      </x:c>
    </x:row>
    <x:row r="698" ht="19" customHeight="1">
      <x:c r="A698" s="19" t="str">
        <x:v>叠加数量</x:v>
      </x:c>
      <x:c r="B698" s="19" t="str">
        <x:v>C10-M047</x:v>
      </x:c>
      <x:c r="C698" s="19" t="str">
        <x:v>艾尔登王印</x:v>
      </x:c>
      <x:c r="D698" s="19" t="str">
        <x:v>1</x:v>
      </x:c>
      <x:c r="E698" s="19" t="str">
        <x:v>10</x:v>
      </x:c>
      <x:c r="F698" s="19" t="str">
        <x:v>长期消耗供给；提高每次叠加量，避免把所有候选改为高频地面散件</x:v>
      </x:c>
    </x:row>
    <x:row r="699" ht="19" customHeight="1">
      <x:c r="A699" s="19" t="str">
        <x:v>叠加数量</x:v>
      </x:c>
      <x:c r="B699" s="19" t="str">
        <x:v>C10-M048</x:v>
      </x:c>
      <x:c r="C699" s="19" t="str">
        <x:v>艾尔登王印</x:v>
      </x:c>
      <x:c r="D699" s="19" t="str">
        <x:v>1</x:v>
      </x:c>
      <x:c r="E699" s="19" t="str">
        <x:v>10</x:v>
      </x:c>
      <x:c r="F699" s="19" t="str">
        <x:v>长期消耗供给；提高每次叠加量，避免把所有候选改为高频地面散件</x:v>
      </x:c>
    </x:row>
    <x:row r="700" ht="19" customHeight="1">
      <x:c r="A700" s="19" t="str">
        <x:v>叠加数量</x:v>
      </x:c>
      <x:c r="B700" s="19" t="str">
        <x:v>C10-M059</x:v>
      </x:c>
      <x:c r="C700" s="19" t="str">
        <x:v>艾尔登王印</x:v>
      </x:c>
      <x:c r="D700" s="19" t="str">
        <x:v>1</x:v>
      </x:c>
      <x:c r="E700" s="19" t="str">
        <x:v>10</x:v>
      </x:c>
      <x:c r="F700" s="19" t="str">
        <x:v>长期消耗供给；提高每次叠加量，避免把所有候选改为高频地面散件</x:v>
      </x:c>
    </x:row>
    <x:row r="701" ht="19" customHeight="1">
      <x:c r="A701" s="19" t="str">
        <x:v>叠加数量</x:v>
      </x:c>
      <x:c r="B701" s="19" t="str">
        <x:v>C10-M060</x:v>
      </x:c>
      <x:c r="C701" s="19" t="str">
        <x:v>艾尔登王印</x:v>
      </x:c>
      <x:c r="D701" s="19" t="str">
        <x:v>1</x:v>
      </x:c>
      <x:c r="E701" s="19" t="str">
        <x:v>10</x:v>
      </x:c>
      <x:c r="F701" s="19" t="str">
        <x:v>长期消耗供给；提高每次叠加量，避免把所有候选改为高频地面散件</x:v>
      </x:c>
    </x:row>
    <x:row r="702" ht="19" customHeight="1">
      <x:c r="A702" s="19" t="str">
        <x:v>叠加数量</x:v>
      </x:c>
      <x:c r="B702" s="19" t="str">
        <x:v>C10-M001</x:v>
      </x:c>
      <x:c r="C702" s="19" t="str">
        <x:v>野兽骨片</x:v>
      </x:c>
      <x:c r="D702" s="19" t="str">
        <x:v>1</x:v>
      </x:c>
      <x:c r="E702" s="19" t="str">
        <x:v>4</x:v>
      </x:c>
      <x:c r="F702" s="19" t="str">
        <x:v>长期消耗供给；提高每次叠加量，避免把所有候选改为高频地面散件</x:v>
      </x:c>
    </x:row>
    <x:row r="703" ht="19" customHeight="1">
      <x:c r="A703" s="19" t="str">
        <x:v>叠加数量</x:v>
      </x:c>
      <x:c r="B703" s="19" t="str">
        <x:v>C10-M002</x:v>
      </x:c>
      <x:c r="C703" s="19" t="str">
        <x:v>野兽骨片</x:v>
      </x:c>
      <x:c r="D703" s="19" t="str">
        <x:v>1</x:v>
      </x:c>
      <x:c r="E703" s="19" t="str">
        <x:v>4</x:v>
      </x:c>
      <x:c r="F703" s="19" t="str">
        <x:v>长期消耗供给；提高每次叠加量，避免把所有候选改为高频地面散件</x:v>
      </x:c>
    </x:row>
    <x:row r="704" ht="19" customHeight="1">
      <x:c r="A704" s="19" t="str">
        <x:v>叠加数量</x:v>
      </x:c>
      <x:c r="B704" s="19" t="str">
        <x:v>C10-M003</x:v>
      </x:c>
      <x:c r="C704" s="19" t="str">
        <x:v>野兽骨片</x:v>
      </x:c>
      <x:c r="D704" s="19" t="str">
        <x:v>1</x:v>
      </x:c>
      <x:c r="E704" s="19" t="str">
        <x:v>4</x:v>
      </x:c>
      <x:c r="F704" s="19" t="str">
        <x:v>长期消耗供给；提高每次叠加量，避免把所有候选改为高频地面散件</x:v>
      </x:c>
    </x:row>
    <x:row r="705" ht="19" customHeight="1">
      <x:c r="A705" s="19" t="str">
        <x:v>叠加数量</x:v>
      </x:c>
      <x:c r="B705" s="19" t="str">
        <x:v>C10-M004</x:v>
      </x:c>
      <x:c r="C705" s="19" t="str">
        <x:v>野兽骨片</x:v>
      </x:c>
      <x:c r="D705" s="19" t="str">
        <x:v>1</x:v>
      </x:c>
      <x:c r="E705" s="19" t="str">
        <x:v>4</x:v>
      </x:c>
      <x:c r="F705" s="19" t="str">
        <x:v>长期消耗供给；提高每次叠加量，避免把所有候选改为高频地面散件</x:v>
      </x:c>
    </x:row>
    <x:row r="706" ht="19" customHeight="1">
      <x:c r="A706" s="19" t="str">
        <x:v>叠加数量</x:v>
      </x:c>
      <x:c r="B706" s="19" t="str">
        <x:v>C10-M005</x:v>
      </x:c>
      <x:c r="C706" s="19" t="str">
        <x:v>野兽骨片</x:v>
      </x:c>
      <x:c r="D706" s="19" t="str">
        <x:v>1</x:v>
      </x:c>
      <x:c r="E706" s="19" t="str">
        <x:v>4</x:v>
      </x:c>
      <x:c r="F706" s="19" t="str">
        <x:v>长期消耗供给；提高每次叠加量，避免把所有候选改为高频地面散件</x:v>
      </x:c>
    </x:row>
    <x:row r="707" ht="19" customHeight="1">
      <x:c r="A707" s="19" t="str">
        <x:v>叠加数量</x:v>
      </x:c>
      <x:c r="B707" s="19" t="str">
        <x:v>C10-M006</x:v>
      </x:c>
      <x:c r="C707" s="19" t="str">
        <x:v>野兽骨片</x:v>
      </x:c>
      <x:c r="D707" s="19" t="str">
        <x:v>1</x:v>
      </x:c>
      <x:c r="E707" s="19" t="str">
        <x:v>4</x:v>
      </x:c>
      <x:c r="F707" s="19" t="str">
        <x:v>长期消耗供给；提高每次叠加量，避免把所有候选改为高频地面散件</x:v>
      </x:c>
    </x:row>
    <x:row r="708" ht="19" customHeight="1">
      <x:c r="A708" s="19" t="str">
        <x:v>叠加数量</x:v>
      </x:c>
      <x:c r="B708" s="19" t="str">
        <x:v>C10-M007</x:v>
      </x:c>
      <x:c r="C708" s="19" t="str">
        <x:v>野兽骨片</x:v>
      </x:c>
      <x:c r="D708" s="19" t="str">
        <x:v>1</x:v>
      </x:c>
      <x:c r="E708" s="19" t="str">
        <x:v>4</x:v>
      </x:c>
      <x:c r="F708" s="19" t="str">
        <x:v>长期消耗供给；提高每次叠加量，避免把所有候选改为高频地面散件</x:v>
      </x:c>
    </x:row>
    <x:row r="709" ht="19" customHeight="1">
      <x:c r="A709" s="19" t="str">
        <x:v>叠加数量</x:v>
      </x:c>
      <x:c r="B709" s="19" t="str">
        <x:v>C10-M008</x:v>
      </x:c>
      <x:c r="C709" s="19" t="str">
        <x:v>野兽骨片</x:v>
      </x:c>
      <x:c r="D709" s="19" t="str">
        <x:v>1</x:v>
      </x:c>
      <x:c r="E709" s="19" t="str">
        <x:v>4</x:v>
      </x:c>
      <x:c r="F709" s="19" t="str">
        <x:v>长期消耗供给；提高每次叠加量，避免把所有候选改为高频地面散件</x:v>
      </x:c>
    </x:row>
    <x:row r="710" ht="19" customHeight="1">
      <x:c r="A710" s="19" t="str">
        <x:v>叠加数量</x:v>
      </x:c>
      <x:c r="B710" s="19" t="str">
        <x:v>C10-M009</x:v>
      </x:c>
      <x:c r="C710" s="19" t="str">
        <x:v>野兽骨片</x:v>
      </x:c>
      <x:c r="D710" s="19" t="str">
        <x:v>1</x:v>
      </x:c>
      <x:c r="E710" s="19" t="str">
        <x:v>4</x:v>
      </x:c>
      <x:c r="F710" s="19" t="str">
        <x:v>长期消耗供给；提高每次叠加量，避免把所有候选改为高频地面散件</x:v>
      </x:c>
    </x:row>
    <x:row r="711" ht="19" customHeight="1">
      <x:c r="A711" s="19" t="str">
        <x:v>叠加数量</x:v>
      </x:c>
      <x:c r="B711" s="19" t="str">
        <x:v>C10-M010</x:v>
      </x:c>
      <x:c r="C711" s="19" t="str">
        <x:v>野兽骨片</x:v>
      </x:c>
      <x:c r="D711" s="19" t="str">
        <x:v>1</x:v>
      </x:c>
      <x:c r="E711" s="19" t="str">
        <x:v>4</x:v>
      </x:c>
      <x:c r="F711" s="19" t="str">
        <x:v>长期消耗供给；提高每次叠加量，避免把所有候选改为高频地面散件</x:v>
      </x:c>
    </x:row>
    <x:row r="712" ht="19" customHeight="1">
      <x:c r="A712" s="19" t="str">
        <x:v>叠加数量</x:v>
      </x:c>
      <x:c r="B712" s="19" t="str">
        <x:v>C10-M011</x:v>
      </x:c>
      <x:c r="C712" s="19" t="str">
        <x:v>野兽骨片</x:v>
      </x:c>
      <x:c r="D712" s="19" t="str">
        <x:v>1</x:v>
      </x:c>
      <x:c r="E712" s="19" t="str">
        <x:v>4</x:v>
      </x:c>
      <x:c r="F712" s="19" t="str">
        <x:v>长期消耗供给；提高每次叠加量，避免把所有候选改为高频地面散件</x:v>
      </x:c>
    </x:row>
    <x:row r="713" ht="19" customHeight="1">
      <x:c r="A713" s="19" t="str">
        <x:v>叠加数量</x:v>
      </x:c>
      <x:c r="B713" s="19" t="str">
        <x:v>C10-M012</x:v>
      </x:c>
      <x:c r="C713" s="19" t="str">
        <x:v>野兽骨片</x:v>
      </x:c>
      <x:c r="D713" s="19" t="str">
        <x:v>1</x:v>
      </x:c>
      <x:c r="E713" s="19" t="str">
        <x:v>4</x:v>
      </x:c>
      <x:c r="F713" s="19" t="str">
        <x:v>长期消耗供给；提高每次叠加量，避免把所有候选改为高频地面散件</x:v>
      </x:c>
    </x:row>
    <x:row r="714" ht="19" customHeight="1">
      <x:c r="A714" s="19" t="str">
        <x:v>叠加数量</x:v>
      </x:c>
      <x:c r="B714" s="19" t="str">
        <x:v>C10-M013</x:v>
      </x:c>
      <x:c r="C714" s="19" t="str">
        <x:v>野兽骨片</x:v>
      </x:c>
      <x:c r="D714" s="19" t="str">
        <x:v>1</x:v>
      </x:c>
      <x:c r="E714" s="19" t="str">
        <x:v>4</x:v>
      </x:c>
      <x:c r="F714" s="19" t="str">
        <x:v>长期消耗供给；提高每次叠加量，避免把所有候选改为高频地面散件</x:v>
      </x:c>
    </x:row>
    <x:row r="715" ht="19" customHeight="1">
      <x:c r="A715" s="19" t="str">
        <x:v>叠加数量</x:v>
      </x:c>
      <x:c r="B715" s="19" t="str">
        <x:v>C10-M014</x:v>
      </x:c>
      <x:c r="C715" s="19" t="str">
        <x:v>野兽骨片</x:v>
      </x:c>
      <x:c r="D715" s="19" t="str">
        <x:v>1</x:v>
      </x:c>
      <x:c r="E715" s="19" t="str">
        <x:v>4</x:v>
      </x:c>
      <x:c r="F715" s="19" t="str">
        <x:v>长期消耗供给；提高每次叠加量，避免把所有候选改为高频地面散件</x:v>
      </x:c>
    </x:row>
    <x:row r="716" ht="19" customHeight="1">
      <x:c r="A716" s="19" t="str">
        <x:v>叠加数量</x:v>
      </x:c>
      <x:c r="B716" s="19" t="str">
        <x:v>C10-M015</x:v>
      </x:c>
      <x:c r="C716" s="19" t="str">
        <x:v>野兽骨片</x:v>
      </x:c>
      <x:c r="D716" s="19" t="str">
        <x:v>1</x:v>
      </x:c>
      <x:c r="E716" s="19" t="str">
        <x:v>4</x:v>
      </x:c>
      <x:c r="F716" s="19" t="str">
        <x:v>长期消耗供给；提高每次叠加量，避免把所有候选改为高频地面散件</x:v>
      </x:c>
    </x:row>
    <x:row r="717" ht="19" customHeight="1">
      <x:c r="A717" s="19" t="str">
        <x:v>叠加数量</x:v>
      </x:c>
      <x:c r="B717" s="19" t="str">
        <x:v>C10-M016</x:v>
      </x:c>
      <x:c r="C717" s="19" t="str">
        <x:v>野兽骨片</x:v>
      </x:c>
      <x:c r="D717" s="19" t="str">
        <x:v>1</x:v>
      </x:c>
      <x:c r="E717" s="19" t="str">
        <x:v>4</x:v>
      </x:c>
      <x:c r="F717" s="19" t="str">
        <x:v>长期消耗供给；提高每次叠加量，避免把所有候选改为高频地面散件</x:v>
      </x:c>
    </x:row>
    <x:row r="718" ht="19" customHeight="1">
      <x:c r="A718" s="19" t="str">
        <x:v>叠加数量</x:v>
      </x:c>
      <x:c r="B718" s="19" t="str">
        <x:v>C10-M017</x:v>
      </x:c>
      <x:c r="C718" s="19" t="str">
        <x:v>野兽骨片</x:v>
      </x:c>
      <x:c r="D718" s="19" t="str">
        <x:v>1</x:v>
      </x:c>
      <x:c r="E718" s="19" t="str">
        <x:v>4</x:v>
      </x:c>
      <x:c r="F718" s="19" t="str">
        <x:v>长期消耗供给；提高每次叠加量，避免把所有候选改为高频地面散件</x:v>
      </x:c>
    </x:row>
    <x:row r="719" ht="19" customHeight="1">
      <x:c r="A719" s="19" t="str">
        <x:v>叠加数量</x:v>
      </x:c>
      <x:c r="B719" s="19" t="str">
        <x:v>C10-M018</x:v>
      </x:c>
      <x:c r="C719" s="19" t="str">
        <x:v>野兽骨片</x:v>
      </x:c>
      <x:c r="D719" s="19" t="str">
        <x:v>1</x:v>
      </x:c>
      <x:c r="E719" s="19" t="str">
        <x:v>4</x:v>
      </x:c>
      <x:c r="F719" s="19" t="str">
        <x:v>长期消耗供给；提高每次叠加量，避免把所有候选改为高频地面散件</x:v>
      </x:c>
    </x:row>
    <x:row r="720" ht="19" customHeight="1">
      <x:c r="A720" s="19" t="str">
        <x:v>叠加数量</x:v>
      </x:c>
      <x:c r="B720" s="19" t="str">
        <x:v>C10-M019</x:v>
      </x:c>
      <x:c r="C720" s="19" t="str">
        <x:v>野兽骨片</x:v>
      </x:c>
      <x:c r="D720" s="19" t="str">
        <x:v>1</x:v>
      </x:c>
      <x:c r="E720" s="19" t="str">
        <x:v>4</x:v>
      </x:c>
      <x:c r="F720" s="19" t="str">
        <x:v>长期消耗供给；提高每次叠加量，避免把所有候选改为高频地面散件</x:v>
      </x:c>
    </x:row>
    <x:row r="721" ht="19" customHeight="1">
      <x:c r="A721" s="19" t="str">
        <x:v>叠加数量</x:v>
      </x:c>
      <x:c r="B721" s="19" t="str">
        <x:v>C10-M020</x:v>
      </x:c>
      <x:c r="C721" s="19" t="str">
        <x:v>野兽骨片</x:v>
      </x:c>
      <x:c r="D721" s="19" t="str">
        <x:v>1</x:v>
      </x:c>
      <x:c r="E721" s="19" t="str">
        <x:v>4</x:v>
      </x:c>
      <x:c r="F721" s="19" t="str">
        <x:v>长期消耗供给；提高每次叠加量，避免把所有候选改为高频地面散件</x:v>
      </x:c>
    </x:row>
    <x:row r="722" ht="19" customHeight="1">
      <x:c r="A722" s="19" t="str">
        <x:v>叠加数量</x:v>
      </x:c>
      <x:c r="B722" s="19" t="str">
        <x:v>C10-M021</x:v>
      </x:c>
      <x:c r="C722" s="19" t="str">
        <x:v>野兽骨片</x:v>
      </x:c>
      <x:c r="D722" s="19" t="str">
        <x:v>1</x:v>
      </x:c>
      <x:c r="E722" s="19" t="str">
        <x:v>4</x:v>
      </x:c>
      <x:c r="F722" s="19" t="str">
        <x:v>长期消耗供给；提高每次叠加量，避免把所有候选改为高频地面散件</x:v>
      </x:c>
    </x:row>
    <x:row r="723" ht="19" customHeight="1">
      <x:c r="A723" s="19" t="str">
        <x:v>叠加数量</x:v>
      </x:c>
      <x:c r="B723" s="19" t="str">
        <x:v>C10-M022</x:v>
      </x:c>
      <x:c r="C723" s="19" t="str">
        <x:v>野兽骨片</x:v>
      </x:c>
      <x:c r="D723" s="19" t="str">
        <x:v>1</x:v>
      </x:c>
      <x:c r="E723" s="19" t="str">
        <x:v>4</x:v>
      </x:c>
      <x:c r="F723" s="19" t="str">
        <x:v>长期消耗供给；提高每次叠加量，避免把所有候选改为高频地面散件</x:v>
      </x:c>
    </x:row>
    <x:row r="724" ht="19" customHeight="1">
      <x:c r="A724" s="19" t="str">
        <x:v>叠加数量</x:v>
      </x:c>
      <x:c r="B724" s="19" t="str">
        <x:v>C10-M023</x:v>
      </x:c>
      <x:c r="C724" s="19" t="str">
        <x:v>野兽骨片</x:v>
      </x:c>
      <x:c r="D724" s="19" t="str">
        <x:v>1</x:v>
      </x:c>
      <x:c r="E724" s="19" t="str">
        <x:v>4</x:v>
      </x:c>
      <x:c r="F724" s="19" t="str">
        <x:v>长期消耗供给；提高每次叠加量，避免把所有候选改为高频地面散件</x:v>
      </x:c>
    </x:row>
    <x:row r="725" ht="19" customHeight="1">
      <x:c r="A725" s="19" t="str">
        <x:v>叠加数量</x:v>
      </x:c>
      <x:c r="B725" s="19" t="str">
        <x:v>C10-M024</x:v>
      </x:c>
      <x:c r="C725" s="19" t="str">
        <x:v>野兽骨片</x:v>
      </x:c>
      <x:c r="D725" s="19" t="str">
        <x:v>1</x:v>
      </x:c>
      <x:c r="E725" s="19" t="str">
        <x:v>4</x:v>
      </x:c>
      <x:c r="F725" s="19" t="str">
        <x:v>长期消耗供给；提高每次叠加量，避免把所有候选改为高频地面散件</x:v>
      </x:c>
    </x:row>
    <x:row r="726" ht="19" customHeight="1">
      <x:c r="A726" s="19" t="str">
        <x:v>叠加数量</x:v>
      </x:c>
      <x:c r="B726" s="19" t="str">
        <x:v>C10-M025</x:v>
      </x:c>
      <x:c r="C726" s="19" t="str">
        <x:v>野兽骨片</x:v>
      </x:c>
      <x:c r="D726" s="19" t="str">
        <x:v>1</x:v>
      </x:c>
      <x:c r="E726" s="19" t="str">
        <x:v>4</x:v>
      </x:c>
      <x:c r="F726" s="19" t="str">
        <x:v>长期消耗供给；提高每次叠加量，避免把所有候选改为高频地面散件</x:v>
      </x:c>
    </x:row>
    <x:row r="727" ht="19" customHeight="1">
      <x:c r="A727" s="19" t="str">
        <x:v>叠加数量</x:v>
      </x:c>
      <x:c r="B727" s="19" t="str">
        <x:v>C10-M026</x:v>
      </x:c>
      <x:c r="C727" s="19" t="str">
        <x:v>野兽骨片</x:v>
      </x:c>
      <x:c r="D727" s="19" t="str">
        <x:v>1</x:v>
      </x:c>
      <x:c r="E727" s="19" t="str">
        <x:v>4</x:v>
      </x:c>
      <x:c r="F727" s="19" t="str">
        <x:v>长期消耗供给；提高每次叠加量，避免把所有候选改为高频地面散件</x:v>
      </x:c>
    </x:row>
    <x:row r="728" ht="19" customHeight="1">
      <x:c r="A728" s="19" t="str">
        <x:v>叠加数量</x:v>
      </x:c>
      <x:c r="B728" s="19" t="str">
        <x:v>C10-M027</x:v>
      </x:c>
      <x:c r="C728" s="19" t="str">
        <x:v>野兽骨片</x:v>
      </x:c>
      <x:c r="D728" s="19" t="str">
        <x:v>1</x:v>
      </x:c>
      <x:c r="E728" s="19" t="str">
        <x:v>4</x:v>
      </x:c>
      <x:c r="F728" s="19" t="str">
        <x:v>长期消耗供给；提高每次叠加量，避免把所有候选改为高频地面散件</x:v>
      </x:c>
    </x:row>
    <x:row r="729" ht="19" customHeight="1">
      <x:c r="A729" s="19" t="str">
        <x:v>叠加数量</x:v>
      </x:c>
      <x:c r="B729" s="19" t="str">
        <x:v>C10-M028</x:v>
      </x:c>
      <x:c r="C729" s="19" t="str">
        <x:v>野兽骨片</x:v>
      </x:c>
      <x:c r="D729" s="19" t="str">
        <x:v>1</x:v>
      </x:c>
      <x:c r="E729" s="19" t="str">
        <x:v>4</x:v>
      </x:c>
      <x:c r="F729" s="19" t="str">
        <x:v>长期消耗供给；提高每次叠加量，避免把所有候选改为高频地面散件</x:v>
      </x:c>
    </x:row>
    <x:row r="730" ht="19" customHeight="1">
      <x:c r="A730" s="19" t="str">
        <x:v>叠加数量</x:v>
      </x:c>
      <x:c r="B730" s="19" t="str">
        <x:v>C10-M029</x:v>
      </x:c>
      <x:c r="C730" s="19" t="str">
        <x:v>野兽骨片</x:v>
      </x:c>
      <x:c r="D730" s="19" t="str">
        <x:v>1</x:v>
      </x:c>
      <x:c r="E730" s="19" t="str">
        <x:v>4</x:v>
      </x:c>
      <x:c r="F730" s="19" t="str">
        <x:v>长期消耗供给；提高每次叠加量，避免把所有候选改为高频地面散件</x:v>
      </x:c>
    </x:row>
    <x:row r="731" ht="19" customHeight="1">
      <x:c r="A731" s="19" t="str">
        <x:v>叠加数量</x:v>
      </x:c>
      <x:c r="B731" s="19" t="str">
        <x:v>C10-M030</x:v>
      </x:c>
      <x:c r="C731" s="19" t="str">
        <x:v>野兽骨片</x:v>
      </x:c>
      <x:c r="D731" s="19" t="str">
        <x:v>1</x:v>
      </x:c>
      <x:c r="E731" s="19" t="str">
        <x:v>4</x:v>
      </x:c>
      <x:c r="F731" s="19" t="str">
        <x:v>长期消耗供给；提高每次叠加量，避免把所有候选改为高频地面散件</x:v>
      </x:c>
    </x:row>
    <x:row r="732" ht="19" customHeight="1">
      <x:c r="A732" s="19" t="str">
        <x:v>叠加数量</x:v>
      </x:c>
      <x:c r="B732" s="19" t="str">
        <x:v>C10-M031</x:v>
      </x:c>
      <x:c r="C732" s="19" t="str">
        <x:v>野兽骨片</x:v>
      </x:c>
      <x:c r="D732" s="19" t="str">
        <x:v>1</x:v>
      </x:c>
      <x:c r="E732" s="19" t="str">
        <x:v>4</x:v>
      </x:c>
      <x:c r="F732" s="19" t="str">
        <x:v>长期消耗供给；提高每次叠加量，避免把所有候选改为高频地面散件</x:v>
      </x:c>
    </x:row>
    <x:row r="733" ht="19" customHeight="1">
      <x:c r="A733" s="19" t="str">
        <x:v>叠加数量</x:v>
      </x:c>
      <x:c r="B733" s="19" t="str">
        <x:v>C10-M032</x:v>
      </x:c>
      <x:c r="C733" s="19" t="str">
        <x:v>野兽骨片</x:v>
      </x:c>
      <x:c r="D733" s="19" t="str">
        <x:v>1</x:v>
      </x:c>
      <x:c r="E733" s="19" t="str">
        <x:v>4</x:v>
      </x:c>
      <x:c r="F733" s="19" t="str">
        <x:v>长期消耗供给；提高每次叠加量，避免把所有候选改为高频地面散件</x:v>
      </x:c>
    </x:row>
    <x:row r="734" ht="19" customHeight="1">
      <x:c r="A734" s="19" t="str">
        <x:v>叠加数量</x:v>
      </x:c>
      <x:c r="B734" s="19" t="str">
        <x:v>C10-M033</x:v>
      </x:c>
      <x:c r="C734" s="19" t="str">
        <x:v>野兽骨片</x:v>
      </x:c>
      <x:c r="D734" s="19" t="str">
        <x:v>1</x:v>
      </x:c>
      <x:c r="E734" s="19" t="str">
        <x:v>4</x:v>
      </x:c>
      <x:c r="F734" s="19" t="str">
        <x:v>长期消耗供给；提高每次叠加量，避免把所有候选改为高频地面散件</x:v>
      </x:c>
    </x:row>
    <x:row r="735" ht="19" customHeight="1">
      <x:c r="A735" s="19" t="str">
        <x:v>叠加数量</x:v>
      </x:c>
      <x:c r="B735" s="19" t="str">
        <x:v>C10-M034</x:v>
      </x:c>
      <x:c r="C735" s="19" t="str">
        <x:v>野兽骨片</x:v>
      </x:c>
      <x:c r="D735" s="19" t="str">
        <x:v>1</x:v>
      </x:c>
      <x:c r="E735" s="19" t="str">
        <x:v>4</x:v>
      </x:c>
      <x:c r="F735" s="19" t="str">
        <x:v>长期消耗供给；提高每次叠加量，避免把所有候选改为高频地面散件</x:v>
      </x:c>
    </x:row>
    <x:row r="736" ht="19" customHeight="1">
      <x:c r="A736" s="19" t="str">
        <x:v>叠加数量</x:v>
      </x:c>
      <x:c r="B736" s="19" t="str">
        <x:v>C10-M035</x:v>
      </x:c>
      <x:c r="C736" s="19" t="str">
        <x:v>野兽骨片</x:v>
      </x:c>
      <x:c r="D736" s="19" t="str">
        <x:v>1</x:v>
      </x:c>
      <x:c r="E736" s="19" t="str">
        <x:v>4</x:v>
      </x:c>
      <x:c r="F736" s="19" t="str">
        <x:v>长期消耗供给；提高每次叠加量，避免把所有候选改为高频地面散件</x:v>
      </x:c>
    </x:row>
    <x:row r="737" ht="19" customHeight="1">
      <x:c r="A737" s="19" t="str">
        <x:v>叠加数量</x:v>
      </x:c>
      <x:c r="B737" s="19" t="str">
        <x:v>C10-M036</x:v>
      </x:c>
      <x:c r="C737" s="19" t="str">
        <x:v>野兽骨片</x:v>
      </x:c>
      <x:c r="D737" s="19" t="str">
        <x:v>1</x:v>
      </x:c>
      <x:c r="E737" s="19" t="str">
        <x:v>4</x:v>
      </x:c>
      <x:c r="F737" s="19" t="str">
        <x:v>长期消耗供给；提高每次叠加量，避免把所有候选改为高频地面散件</x:v>
      </x:c>
    </x:row>
    <x:row r="738" ht="19" customHeight="1">
      <x:c r="A738" s="19" t="str">
        <x:v>叠加数量</x:v>
      </x:c>
      <x:c r="B738" s="19" t="str">
        <x:v>C10-M037</x:v>
      </x:c>
      <x:c r="C738" s="19" t="str">
        <x:v>野兽骨片</x:v>
      </x:c>
      <x:c r="D738" s="19" t="str">
        <x:v>1</x:v>
      </x:c>
      <x:c r="E738" s="19" t="str">
        <x:v>4</x:v>
      </x:c>
      <x:c r="F738" s="19" t="str">
        <x:v>长期消耗供给；提高每次叠加量，避免把所有候选改为高频地面散件</x:v>
      </x:c>
    </x:row>
    <x:row r="739" ht="19" customHeight="1">
      <x:c r="A739" s="19" t="str">
        <x:v>叠加数量</x:v>
      </x:c>
      <x:c r="B739" s="19" t="str">
        <x:v>C10-M038</x:v>
      </x:c>
      <x:c r="C739" s="19" t="str">
        <x:v>野兽骨片</x:v>
      </x:c>
      <x:c r="D739" s="19" t="str">
        <x:v>1</x:v>
      </x:c>
      <x:c r="E739" s="19" t="str">
        <x:v>4</x:v>
      </x:c>
      <x:c r="F739" s="19" t="str">
        <x:v>长期消耗供给；提高每次叠加量，避免把所有候选改为高频地面散件</x:v>
      </x:c>
    </x:row>
    <x:row r="740" ht="19" customHeight="1">
      <x:c r="A740" s="19" t="str">
        <x:v>叠加数量</x:v>
      </x:c>
      <x:c r="B740" s="19" t="str">
        <x:v>C10-M039</x:v>
      </x:c>
      <x:c r="C740" s="19" t="str">
        <x:v>野兽骨片</x:v>
      </x:c>
      <x:c r="D740" s="19" t="str">
        <x:v>1</x:v>
      </x:c>
      <x:c r="E740" s="19" t="str">
        <x:v>4</x:v>
      </x:c>
      <x:c r="F740" s="19" t="str">
        <x:v>长期消耗供给；提高每次叠加量，避免把所有候选改为高频地面散件</x:v>
      </x:c>
    </x:row>
    <x:row r="741" ht="19" customHeight="1">
      <x:c r="A741" s="19" t="str">
        <x:v>叠加数量</x:v>
      </x:c>
      <x:c r="B741" s="19" t="str">
        <x:v>C10-M040</x:v>
      </x:c>
      <x:c r="C741" s="19" t="str">
        <x:v>野兽骨片</x:v>
      </x:c>
      <x:c r="D741" s="19" t="str">
        <x:v>1</x:v>
      </x:c>
      <x:c r="E741" s="19" t="str">
        <x:v>4</x:v>
      </x:c>
      <x:c r="F741" s="19" t="str">
        <x:v>长期消耗供给；提高每次叠加量，避免把所有候选改为高频地面散件</x:v>
      </x:c>
    </x:row>
    <x:row r="742" ht="19" customHeight="1">
      <x:c r="A742" s="19" t="str">
        <x:v>叠加数量</x:v>
      </x:c>
      <x:c r="B742" s="19" t="str">
        <x:v>C10-M041</x:v>
      </x:c>
      <x:c r="C742" s="19" t="str">
        <x:v>野兽骨片</x:v>
      </x:c>
      <x:c r="D742" s="19" t="str">
        <x:v>1</x:v>
      </x:c>
      <x:c r="E742" s="19" t="str">
        <x:v>4</x:v>
      </x:c>
      <x:c r="F742" s="19" t="str">
        <x:v>长期消耗供给；提高每次叠加量，避免把所有候选改为高频地面散件</x:v>
      </x:c>
    </x:row>
    <x:row r="743" ht="19" customHeight="1">
      <x:c r="A743" s="19" t="str">
        <x:v>叠加数量</x:v>
      </x:c>
      <x:c r="B743" s="19" t="str">
        <x:v>C10-M042</x:v>
      </x:c>
      <x:c r="C743" s="19" t="str">
        <x:v>野兽骨片</x:v>
      </x:c>
      <x:c r="D743" s="19" t="str">
        <x:v>1</x:v>
      </x:c>
      <x:c r="E743" s="19" t="str">
        <x:v>4</x:v>
      </x:c>
      <x:c r="F743" s="19" t="str">
        <x:v>长期消耗供给；提高每次叠加量，避免把所有候选改为高频地面散件</x:v>
      </x:c>
    </x:row>
    <x:row r="744" ht="19" customHeight="1">
      <x:c r="A744" s="19" t="str">
        <x:v>叠加数量</x:v>
      </x:c>
      <x:c r="B744" s="19" t="str">
        <x:v>C10-M043</x:v>
      </x:c>
      <x:c r="C744" s="19" t="str">
        <x:v>野兽骨片</x:v>
      </x:c>
      <x:c r="D744" s="19" t="str">
        <x:v>1</x:v>
      </x:c>
      <x:c r="E744" s="19" t="str">
        <x:v>4</x:v>
      </x:c>
      <x:c r="F744" s="19" t="str">
        <x:v>长期消耗供给；提高每次叠加量，避免把所有候选改为高频地面散件</x:v>
      </x:c>
    </x:row>
    <x:row r="745" ht="19" customHeight="1">
      <x:c r="A745" s="19" t="str">
        <x:v>叠加数量</x:v>
      </x:c>
      <x:c r="B745" s="19" t="str">
        <x:v>C10-M044</x:v>
      </x:c>
      <x:c r="C745" s="19" t="str">
        <x:v>野兽骨片</x:v>
      </x:c>
      <x:c r="D745" s="19" t="str">
        <x:v>1</x:v>
      </x:c>
      <x:c r="E745" s="19" t="str">
        <x:v>4</x:v>
      </x:c>
      <x:c r="F745" s="19" t="str">
        <x:v>长期消耗供给；提高每次叠加量，避免把所有候选改为高频地面散件</x:v>
      </x:c>
    </x:row>
    <x:row r="746" ht="19" customHeight="1">
      <x:c r="A746" s="19" t="str">
        <x:v>叠加数量</x:v>
      </x:c>
      <x:c r="B746" s="19" t="str">
        <x:v>C10-M045</x:v>
      </x:c>
      <x:c r="C746" s="19" t="str">
        <x:v>野兽骨片</x:v>
      </x:c>
      <x:c r="D746" s="19" t="str">
        <x:v>1</x:v>
      </x:c>
      <x:c r="E746" s="19" t="str">
        <x:v>4</x:v>
      </x:c>
      <x:c r="F746" s="19" t="str">
        <x:v>长期消耗供给；提高每次叠加量，避免把所有候选改为高频地面散件</x:v>
      </x:c>
    </x:row>
    <x:row r="747" ht="19" customHeight="1">
      <x:c r="A747" s="19" t="str">
        <x:v>叠加数量</x:v>
      </x:c>
      <x:c r="B747" s="19" t="str">
        <x:v>C10-M046</x:v>
      </x:c>
      <x:c r="C747" s="19" t="str">
        <x:v>野兽骨片</x:v>
      </x:c>
      <x:c r="D747" s="19" t="str">
        <x:v>1</x:v>
      </x:c>
      <x:c r="E747" s="19" t="str">
        <x:v>4</x:v>
      </x:c>
      <x:c r="F747" s="19" t="str">
        <x:v>长期消耗供给；提高每次叠加量，避免把所有候选改为高频地面散件</x:v>
      </x:c>
    </x:row>
    <x:row r="748" ht="19" customHeight="1">
      <x:c r="A748" s="19" t="str">
        <x:v>叠加数量</x:v>
      </x:c>
      <x:c r="B748" s="19" t="str">
        <x:v>C10-M047</x:v>
      </x:c>
      <x:c r="C748" s="19" t="str">
        <x:v>野兽骨片</x:v>
      </x:c>
      <x:c r="D748" s="19" t="str">
        <x:v>1</x:v>
      </x:c>
      <x:c r="E748" s="19" t="str">
        <x:v>4</x:v>
      </x:c>
      <x:c r="F748" s="19" t="str">
        <x:v>长期消耗供给；提高每次叠加量，避免把所有候选改为高频地面散件</x:v>
      </x:c>
    </x:row>
    <x:row r="749" ht="19" customHeight="1">
      <x:c r="A749" s="19" t="str">
        <x:v>叠加数量</x:v>
      </x:c>
      <x:c r="B749" s="19" t="str">
        <x:v>C10-M048</x:v>
      </x:c>
      <x:c r="C749" s="19" t="str">
        <x:v>野兽骨片</x:v>
      </x:c>
      <x:c r="D749" s="19" t="str">
        <x:v>1</x:v>
      </x:c>
      <x:c r="E749" s="19" t="str">
        <x:v>4</x:v>
      </x:c>
      <x:c r="F749" s="19" t="str">
        <x:v>长期消耗供给；提高每次叠加量，避免把所有候选改为高频地面散件</x:v>
      </x:c>
    </x:row>
    <x:row r="750" ht="19" customHeight="1">
      <x:c r="A750" s="19" t="str">
        <x:v>叠加数量</x:v>
      </x:c>
      <x:c r="B750" s="19" t="str">
        <x:v>C10-M049</x:v>
      </x:c>
      <x:c r="C750" s="19" t="str">
        <x:v>野兽骨片</x:v>
      </x:c>
      <x:c r="D750" s="19" t="str">
        <x:v>1</x:v>
      </x:c>
      <x:c r="E750" s="19" t="str">
        <x:v>4</x:v>
      </x:c>
      <x:c r="F750" s="19" t="str">
        <x:v>长期消耗供给；提高每次叠加量，避免把所有候选改为高频地面散件</x:v>
      </x:c>
    </x:row>
    <x:row r="751" ht="19" customHeight="1">
      <x:c r="A751" s="19" t="str">
        <x:v>叠加数量</x:v>
      </x:c>
      <x:c r="B751" s="19" t="str">
        <x:v>C10-M050</x:v>
      </x:c>
      <x:c r="C751" s="19" t="str">
        <x:v>野兽骨片</x:v>
      </x:c>
      <x:c r="D751" s="19" t="str">
        <x:v>1</x:v>
      </x:c>
      <x:c r="E751" s="19" t="str">
        <x:v>4</x:v>
      </x:c>
      <x:c r="F751" s="19" t="str">
        <x:v>长期消耗供给；提高每次叠加量，避免把所有候选改为高频地面散件</x:v>
      </x:c>
    </x:row>
    <x:row r="752" ht="19" customHeight="1">
      <x:c r="A752" s="19" t="str">
        <x:v>叠加数量</x:v>
      </x:c>
      <x:c r="B752" s="19" t="str">
        <x:v>C10-M051</x:v>
      </x:c>
      <x:c r="C752" s="19" t="str">
        <x:v>野兽骨片</x:v>
      </x:c>
      <x:c r="D752" s="19" t="str">
        <x:v>1</x:v>
      </x:c>
      <x:c r="E752" s="19" t="str">
        <x:v>4</x:v>
      </x:c>
      <x:c r="F752" s="19" t="str">
        <x:v>长期消耗供给；提高每次叠加量，避免把所有候选改为高频地面散件</x:v>
      </x:c>
    </x:row>
    <x:row r="753" ht="19" customHeight="1">
      <x:c r="A753" s="19" t="str">
        <x:v>叠加数量</x:v>
      </x:c>
      <x:c r="B753" s="19" t="str">
        <x:v>C10-M052</x:v>
      </x:c>
      <x:c r="C753" s="19" t="str">
        <x:v>野兽骨片</x:v>
      </x:c>
      <x:c r="D753" s="19" t="str">
        <x:v>1</x:v>
      </x:c>
      <x:c r="E753" s="19" t="str">
        <x:v>4</x:v>
      </x:c>
      <x:c r="F753" s="19" t="str">
        <x:v>长期消耗供给；提高每次叠加量，避免把所有候选改为高频地面散件</x:v>
      </x:c>
    </x:row>
    <x:row r="754" ht="19" customHeight="1">
      <x:c r="A754" s="19" t="str">
        <x:v>叠加数量</x:v>
      </x:c>
      <x:c r="B754" s="19" t="str">
        <x:v>C10-M053</x:v>
      </x:c>
      <x:c r="C754" s="19" t="str">
        <x:v>野兽骨片</x:v>
      </x:c>
      <x:c r="D754" s="19" t="str">
        <x:v>1</x:v>
      </x:c>
      <x:c r="E754" s="19" t="str">
        <x:v>4</x:v>
      </x:c>
      <x:c r="F754" s="19" t="str">
        <x:v>长期消耗供给；提高每次叠加量，避免把所有候选改为高频地面散件</x:v>
      </x:c>
    </x:row>
    <x:row r="755" ht="19" customHeight="1">
      <x:c r="A755" s="19" t="str">
        <x:v>叠加数量</x:v>
      </x:c>
      <x:c r="B755" s="19" t="str">
        <x:v>C10-M054</x:v>
      </x:c>
      <x:c r="C755" s="19" t="str">
        <x:v>野兽骨片</x:v>
      </x:c>
      <x:c r="D755" s="19" t="str">
        <x:v>1</x:v>
      </x:c>
      <x:c r="E755" s="19" t="str">
        <x:v>4</x:v>
      </x:c>
      <x:c r="F755" s="19" t="str">
        <x:v>长期消耗供给；提高每次叠加量，避免把所有候选改为高频地面散件</x:v>
      </x:c>
    </x:row>
    <x:row r="756" ht="19" customHeight="1">
      <x:c r="A756" s="19" t="str">
        <x:v>叠加数量</x:v>
      </x:c>
      <x:c r="B756" s="19" t="str">
        <x:v>C10-M055</x:v>
      </x:c>
      <x:c r="C756" s="19" t="str">
        <x:v>野兽骨片</x:v>
      </x:c>
      <x:c r="D756" s="19" t="str">
        <x:v>1</x:v>
      </x:c>
      <x:c r="E756" s="19" t="str">
        <x:v>4</x:v>
      </x:c>
      <x:c r="F756" s="19" t="str">
        <x:v>长期消耗供给；提高每次叠加量，避免把所有候选改为高频地面散件</x:v>
      </x:c>
    </x:row>
    <x:row r="757" ht="19" customHeight="1">
      <x:c r="A757" s="19" t="str">
        <x:v>叠加数量</x:v>
      </x:c>
      <x:c r="B757" s="19" t="str">
        <x:v>C10-M056</x:v>
      </x:c>
      <x:c r="C757" s="19" t="str">
        <x:v>野兽骨片</x:v>
      </x:c>
      <x:c r="D757" s="19" t="str">
        <x:v>1</x:v>
      </x:c>
      <x:c r="E757" s="19" t="str">
        <x:v>4</x:v>
      </x:c>
      <x:c r="F757" s="19" t="str">
        <x:v>长期消耗供给；提高每次叠加量，避免把所有候选改为高频地面散件</x:v>
      </x:c>
    </x:row>
    <x:row r="758" ht="19" customHeight="1">
      <x:c r="A758" s="19" t="str">
        <x:v>叠加数量</x:v>
      </x:c>
      <x:c r="B758" s="19" t="str">
        <x:v>C10-M057</x:v>
      </x:c>
      <x:c r="C758" s="19" t="str">
        <x:v>野兽骨片</x:v>
      </x:c>
      <x:c r="D758" s="19" t="str">
        <x:v>1</x:v>
      </x:c>
      <x:c r="E758" s="19" t="str">
        <x:v>4</x:v>
      </x:c>
      <x:c r="F758" s="19" t="str">
        <x:v>长期消耗供给；提高每次叠加量，避免把所有候选改为高频地面散件</x:v>
      </x:c>
    </x:row>
    <x:row r="759" ht="19" customHeight="1">
      <x:c r="A759" s="19" t="str">
        <x:v>叠加数量</x:v>
      </x:c>
      <x:c r="B759" s="19" t="str">
        <x:v>C10-M058</x:v>
      </x:c>
      <x:c r="C759" s="19" t="str">
        <x:v>野兽骨片</x:v>
      </x:c>
      <x:c r="D759" s="19" t="str">
        <x:v>1</x:v>
      </x:c>
      <x:c r="E759" s="19" t="str">
        <x:v>4</x:v>
      </x:c>
      <x:c r="F759" s="19" t="str">
        <x:v>长期消耗供给；提高每次叠加量，避免把所有候选改为高频地面散件</x:v>
      </x:c>
    </x:row>
    <x:row r="760" ht="19" customHeight="1">
      <x:c r="A760" s="19" t="str">
        <x:v>叠加数量</x:v>
      </x:c>
      <x:c r="B760" s="19" t="str">
        <x:v>C10-M059</x:v>
      </x:c>
      <x:c r="C760" s="19" t="str">
        <x:v>野兽骨片</x:v>
      </x:c>
      <x:c r="D760" s="19" t="str">
        <x:v>1</x:v>
      </x:c>
      <x:c r="E760" s="19" t="str">
        <x:v>4</x:v>
      </x:c>
      <x:c r="F760" s="19" t="str">
        <x:v>长期消耗供给；提高每次叠加量，避免把所有候选改为高频地面散件</x:v>
      </x:c>
    </x:row>
    <x:row r="761" ht="19" customHeight="1">
      <x:c r="A761" s="19" t="str">
        <x:v>叠加数量</x:v>
      </x:c>
      <x:c r="B761" s="19" t="str">
        <x:v>C10-M060</x:v>
      </x:c>
      <x:c r="C761" s="19" t="str">
        <x:v>野兽骨片</x:v>
      </x:c>
      <x:c r="D761" s="19" t="str">
        <x:v>1</x:v>
      </x:c>
      <x:c r="E761" s="19" t="str">
        <x:v>4</x:v>
      </x:c>
      <x:c r="F761" s="19" t="str">
        <x:v>长期消耗供给；提高每次叠加量，避免把所有候选改为高频地面散件</x:v>
      </x:c>
    </x:row>
    <x:row r="762" ht="19" customHeight="1">
      <x:c r="A762" s="19" t="str">
        <x:v>叠加数量</x:v>
      </x:c>
      <x:c r="B762" s="19" t="str">
        <x:v>C10-M011</x:v>
      </x:c>
      <x:c r="C762" s="19" t="str">
        <x:v>黄金律法卢恩</x:v>
      </x:c>
      <x:c r="D762" s="19" t="str">
        <x:v>1</x:v>
      </x:c>
      <x:c r="E762" s="19" t="str">
        <x:v>15</x:v>
      </x:c>
      <x:c r="F762" s="19" t="str">
        <x:v>长期消耗供给；提高每次叠加量，避免把所有候选改为高频地面散件</x:v>
      </x:c>
    </x:row>
    <x:row r="763" ht="19" customHeight="1">
      <x:c r="A763" s="19" t="str">
        <x:v>叠加数量</x:v>
      </x:c>
      <x:c r="B763" s="19" t="str">
        <x:v>C10-M012</x:v>
      </x:c>
      <x:c r="C763" s="19" t="str">
        <x:v>黄金律法卢恩</x:v>
      </x:c>
      <x:c r="D763" s="19" t="str">
        <x:v>1</x:v>
      </x:c>
      <x:c r="E763" s="19" t="str">
        <x:v>15</x:v>
      </x:c>
      <x:c r="F763" s="19" t="str">
        <x:v>长期消耗供给；提高每次叠加量，避免把所有候选改为高频地面散件</x:v>
      </x:c>
    </x:row>
    <x:row r="764" ht="19" customHeight="1">
      <x:c r="A764" s="19" t="str">
        <x:v>叠加数量</x:v>
      </x:c>
      <x:c r="B764" s="19" t="str">
        <x:v>C10-M023</x:v>
      </x:c>
      <x:c r="C764" s="19" t="str">
        <x:v>黄金律法卢恩</x:v>
      </x:c>
      <x:c r="D764" s="19" t="str">
        <x:v>1</x:v>
      </x:c>
      <x:c r="E764" s="19" t="str">
        <x:v>15</x:v>
      </x:c>
      <x:c r="F764" s="19" t="str">
        <x:v>长期消耗供给；提高每次叠加量，避免把所有候选改为高频地面散件</x:v>
      </x:c>
    </x:row>
    <x:row r="765" ht="19" customHeight="1">
      <x:c r="A765" s="19" t="str">
        <x:v>叠加数量</x:v>
      </x:c>
      <x:c r="B765" s="19" t="str">
        <x:v>C10-M024</x:v>
      </x:c>
      <x:c r="C765" s="19" t="str">
        <x:v>黄金律法卢恩</x:v>
      </x:c>
      <x:c r="D765" s="19" t="str">
        <x:v>1</x:v>
      </x:c>
      <x:c r="E765" s="19" t="str">
        <x:v>15</x:v>
      </x:c>
      <x:c r="F765" s="19" t="str">
        <x:v>长期消耗供给；提高每次叠加量，避免把所有候选改为高频地面散件</x:v>
      </x:c>
    </x:row>
    <x:row r="766" ht="19" customHeight="1">
      <x:c r="A766" s="19" t="str">
        <x:v>叠加数量</x:v>
      </x:c>
      <x:c r="B766" s="19" t="str">
        <x:v>C10-M035</x:v>
      </x:c>
      <x:c r="C766" s="19" t="str">
        <x:v>黄金律法卢恩</x:v>
      </x:c>
      <x:c r="D766" s="19" t="str">
        <x:v>1</x:v>
      </x:c>
      <x:c r="E766" s="19" t="str">
        <x:v>15</x:v>
      </x:c>
      <x:c r="F766" s="19" t="str">
        <x:v>长期消耗供给；提高每次叠加量，避免把所有候选改为高频地面散件</x:v>
      </x:c>
    </x:row>
    <x:row r="767" ht="19" customHeight="1">
      <x:c r="A767" s="19" t="str">
        <x:v>叠加数量</x:v>
      </x:c>
      <x:c r="B767" s="19" t="str">
        <x:v>C10-M036</x:v>
      </x:c>
      <x:c r="C767" s="19" t="str">
        <x:v>黄金律法卢恩</x:v>
      </x:c>
      <x:c r="D767" s="19" t="str">
        <x:v>1</x:v>
      </x:c>
      <x:c r="E767" s="19" t="str">
        <x:v>15</x:v>
      </x:c>
      <x:c r="F767" s="19" t="str">
        <x:v>长期消耗供给；提高每次叠加量，避免把所有候选改为高频地面散件</x:v>
      </x:c>
    </x:row>
    <x:row r="768" ht="19" customHeight="1">
      <x:c r="A768" s="19" t="str">
        <x:v>叠加数量</x:v>
      </x:c>
      <x:c r="B768" s="19" t="str">
        <x:v>C10-M047</x:v>
      </x:c>
      <x:c r="C768" s="19" t="str">
        <x:v>黄金律法卢恩</x:v>
      </x:c>
      <x:c r="D768" s="19" t="str">
        <x:v>1</x:v>
      </x:c>
      <x:c r="E768" s="19" t="str">
        <x:v>15</x:v>
      </x:c>
      <x:c r="F768" s="19" t="str">
        <x:v>长期消耗供给；提高每次叠加量，避免把所有候选改为高频地面散件</x:v>
      </x:c>
    </x:row>
    <x:row r="769" ht="19" customHeight="1">
      <x:c r="A769" s="19" t="str">
        <x:v>叠加数量</x:v>
      </x:c>
      <x:c r="B769" s="19" t="str">
        <x:v>C10-M048</x:v>
      </x:c>
      <x:c r="C769" s="19" t="str">
        <x:v>黄金律法卢恩</x:v>
      </x:c>
      <x:c r="D769" s="19" t="str">
        <x:v>1</x:v>
      </x:c>
      <x:c r="E769" s="19" t="str">
        <x:v>15</x:v>
      </x:c>
      <x:c r="F769" s="19" t="str">
        <x:v>长期消耗供给；提高每次叠加量，避免把所有候选改为高频地面散件</x:v>
      </x:c>
    </x:row>
    <x:row r="770" ht="19" customHeight="1">
      <x:c r="A770" s="19" t="str">
        <x:v>叠加数量</x:v>
      </x:c>
      <x:c r="B770" s="19" t="str">
        <x:v>C10-M059</x:v>
      </x:c>
      <x:c r="C770" s="19" t="str">
        <x:v>黄金律法卢恩</x:v>
      </x:c>
      <x:c r="D770" s="19" t="str">
        <x:v>1</x:v>
      </x:c>
      <x:c r="E770" s="19" t="str">
        <x:v>15</x:v>
      </x:c>
      <x:c r="F770" s="19" t="str">
        <x:v>长期消耗供给；提高每次叠加量，避免把所有候选改为高频地面散件</x:v>
      </x:c>
    </x:row>
    <x:row r="771" ht="19" customHeight="1">
      <x:c r="A771" s="19" t="str">
        <x:v>叠加数量</x:v>
      </x:c>
      <x:c r="B771" s="19" t="str">
        <x:v>C10-M060</x:v>
      </x:c>
      <x:c r="C771" s="19" t="str">
        <x:v>黄金律法卢恩</x:v>
      </x:c>
      <x:c r="D771" s="19" t="str">
        <x:v>1</x:v>
      </x:c>
      <x:c r="E771" s="19" t="str">
        <x:v>15</x:v>
      </x:c>
      <x:c r="F771" s="19" t="str">
        <x:v>长期消耗供给；提高每次叠加量，避免把所有候选改为高频地面散件</x:v>
      </x:c>
    </x:row>
    <x:row r="772" ht="19" customHeight="1">
      <x:c r="A772" s="19" t="str">
        <x:v>制式池频率控制</x:v>
      </x:c>
      <x:c r="B772" s="19" t="str">
        <x:v>EL-MON-CLIFF-001</x:v>
      </x:c>
      <x:c r="C772" s="19" t="str">
        <x:v>引用制式第4-7套池</x:v>
      </x:c>
      <x:c r="D772" s="19" t="str">
        <x:v>1000</x:v>
      </x:c>
      <x:c r="E772" s="19" t="str">
        <x:v>1800</x:v>
      </x:c>
      <x:c r="F772" s="19" t="str">
        <x:v>制式装备辅助货币供给；防止旧高回收价使C2产币反超C3</x:v>
      </x:c>
    </x:row>
    <x:row r="773" ht="19" customHeight="1">
      <x:c r="A773" s="19" t="str">
        <x:v>制式池频率控制</x:v>
      </x:c>
      <x:c r="B773" s="19" t="str">
        <x:v>EL-MON-CLIFF-002</x:v>
      </x:c>
      <x:c r="C773" s="19" t="str">
        <x:v>引用制式第4-7套池</x:v>
      </x:c>
      <x:c r="D773" s="19" t="str">
        <x:v>1000</x:v>
      </x:c>
      <x:c r="E773" s="19" t="str">
        <x:v>1800</x:v>
      </x:c>
      <x:c r="F773" s="19" t="str">
        <x:v>制式装备辅助货币供给；防止旧高回收价使C2产币反超C3</x:v>
      </x:c>
    </x:row>
    <x:row r="774" ht="19" customHeight="1">
      <x:c r="A774" s="19" t="str">
        <x:v>制式池频率控制</x:v>
      </x:c>
      <x:c r="B774" s="19" t="str">
        <x:v>EL-MON-CLIFF-003</x:v>
      </x:c>
      <x:c r="C774" s="19" t="str">
        <x:v>引用制式第4-7套池</x:v>
      </x:c>
      <x:c r="D774" s="19" t="str">
        <x:v>1000</x:v>
      </x:c>
      <x:c r="E774" s="19" t="str">
        <x:v>1800</x:v>
      </x:c>
      <x:c r="F774" s="19" t="str">
        <x:v>制式装备辅助货币供给；防止旧高回收价使C2产币反超C3</x:v>
      </x:c>
    </x:row>
    <x:row r="775" ht="19" customHeight="1">
      <x:c r="A775" s="19" t="str">
        <x:v>制式池频率控制</x:v>
      </x:c>
      <x:c r="B775" s="19" t="str">
        <x:v>EL-MON-CLIFF-004</x:v>
      </x:c>
      <x:c r="C775" s="19" t="str">
        <x:v>引用制式第4-7套池</x:v>
      </x:c>
      <x:c r="D775" s="19" t="str">
        <x:v>1000</x:v>
      </x:c>
      <x:c r="E775" s="19" t="str">
        <x:v>1800</x:v>
      </x:c>
      <x:c r="F775" s="19" t="str">
        <x:v>制式装备辅助货币供给；防止旧高回收价使C2产币反超C3</x:v>
      </x:c>
    </x:row>
    <x:row r="776" ht="19" customHeight="1">
      <x:c r="A776" s="19" t="str">
        <x:v>制式池频率控制</x:v>
      </x:c>
      <x:c r="B776" s="19" t="str">
        <x:v>EL-MON-CLIFF-005</x:v>
      </x:c>
      <x:c r="C776" s="19" t="str">
        <x:v>引用制式第4-7套池</x:v>
      </x:c>
      <x:c r="D776" s="19" t="str">
        <x:v>1000</x:v>
      </x:c>
      <x:c r="E776" s="19" t="str">
        <x:v>1800</x:v>
      </x:c>
      <x:c r="F776" s="19" t="str">
        <x:v>制式装备辅助货币供给；防止旧高回收价使C2产币反超C3</x:v>
      </x:c>
    </x:row>
    <x:row r="777" ht="19" customHeight="1">
      <x:c r="A777" s="19" t="str">
        <x:v>制式池频率控制</x:v>
      </x:c>
      <x:c r="B777" s="19" t="str">
        <x:v>EL-MON-CLIFF-006</x:v>
      </x:c>
      <x:c r="C777" s="19" t="str">
        <x:v>引用制式第4-7套池</x:v>
      </x:c>
      <x:c r="D777" s="19" t="str">
        <x:v>1000</x:v>
      </x:c>
      <x:c r="E777" s="19" t="str">
        <x:v>1800</x:v>
      </x:c>
      <x:c r="F777" s="19" t="str">
        <x:v>制式装备辅助货币供给；防止旧高回收价使C2产币反超C3</x:v>
      </x:c>
    </x:row>
    <x:row r="778" ht="19" customHeight="1">
      <x:c r="A778" s="19" t="str">
        <x:v>制式池频率控制</x:v>
      </x:c>
      <x:c r="B778" s="19" t="str">
        <x:v>EL-MON-CLIFF-007</x:v>
      </x:c>
      <x:c r="C778" s="19" t="str">
        <x:v>引用制式第4-7套池</x:v>
      </x:c>
      <x:c r="D778" s="19" t="str">
        <x:v>500</x:v>
      </x:c>
      <x:c r="E778" s="19" t="str">
        <x:v>1000</x:v>
      </x:c>
      <x:c r="F778" s="19" t="str">
        <x:v>制式装备辅助货币供给；防止旧高回收价使C2产币反超C3</x:v>
      </x:c>
    </x:row>
    <x:row r="779" ht="19" customHeight="1">
      <x:c r="A779" s="19" t="str">
        <x:v>制式池频率控制</x:v>
      </x:c>
      <x:c r="B779" s="19" t="str">
        <x:v>EL-MON-CLIFF-008</x:v>
      </x:c>
      <x:c r="C779" s="19" t="str">
        <x:v>引用制式第4-7套池</x:v>
      </x:c>
      <x:c r="D779" s="19" t="str">
        <x:v>500</x:v>
      </x:c>
      <x:c r="E779" s="19" t="str">
        <x:v>1000</x:v>
      </x:c>
      <x:c r="F779" s="19" t="str">
        <x:v>制式装备辅助货币供给；防止旧高回收价使C2产币反超C3</x:v>
      </x:c>
    </x:row>
    <x:row r="780" ht="19" customHeight="1">
      <x:c r="A780" s="19" t="str">
        <x:v>制式池频率控制</x:v>
      </x:c>
      <x:c r="B780" s="19" t="str">
        <x:v>EL-MON-CLIFF-009</x:v>
      </x:c>
      <x:c r="C780" s="19" t="str">
        <x:v>引用制式第4-7套池</x:v>
      </x:c>
      <x:c r="D780" s="19" t="str">
        <x:v>500</x:v>
      </x:c>
      <x:c r="E780" s="19" t="str">
        <x:v>1000</x:v>
      </x:c>
      <x:c r="F780" s="19" t="str">
        <x:v>制式装备辅助货币供给；防止旧高回收价使C2产币反超C3</x:v>
      </x:c>
    </x:row>
    <x:row r="781" ht="19" customHeight="1">
      <x:c r="A781" s="19" t="str">
        <x:v>制式池频率控制</x:v>
      </x:c>
      <x:c r="B781" s="19" t="str">
        <x:v>EL-MON-CLIFF-010</x:v>
      </x:c>
      <x:c r="C781" s="19" t="str">
        <x:v>引用制式第4-7套池</x:v>
      </x:c>
      <x:c r="D781" s="19" t="str">
        <x:v>500</x:v>
      </x:c>
      <x:c r="E781" s="19" t="str">
        <x:v>1000</x:v>
      </x:c>
      <x:c r="F781" s="19" t="str">
        <x:v>制式装备辅助货币供给；防止旧高回收价使C2产币反超C3</x:v>
      </x:c>
    </x:row>
    <x:row r="782" ht="19" customHeight="1">
      <x:c r="A782" s="19" t="str">
        <x:v>制式池频率控制</x:v>
      </x:c>
      <x:c r="B782" s="19" t="str">
        <x:v>EL-MON-CLIFF-011</x:v>
      </x:c>
      <x:c r="C782" s="19" t="str">
        <x:v>引用制式第4-7套池</x:v>
      </x:c>
      <x:c r="D782" s="19" t="str">
        <x:v>150</x:v>
      </x:c>
      <x:c r="E782" s="19" t="str">
        <x:v>250</x:v>
      </x:c>
      <x:c r="F782" s="19" t="str">
        <x:v>制式装备辅助货币供给；防止旧高回收价使C2产币反超C3</x:v>
      </x:c>
    </x:row>
    <x:row r="783" ht="19" customHeight="1">
      <x:c r="A783" s="19" t="str">
        <x:v>制式池频率控制</x:v>
      </x:c>
      <x:c r="B783" s="19" t="str">
        <x:v>EL-MON-CLIFF-012</x:v>
      </x:c>
      <x:c r="C783" s="19" t="str">
        <x:v>引用制式第4-7套池</x:v>
      </x:c>
      <x:c r="D783" s="19" t="str">
        <x:v>150</x:v>
      </x:c>
      <x:c r="E783" s="19" t="str">
        <x:v>250</x:v>
      </x:c>
      <x:c r="F783" s="19" t="str">
        <x:v>制式装备辅助货币供给；防止旧高回收价使C2产币反超C3</x:v>
      </x:c>
    </x:row>
    <x:row r="784" ht="19" customHeight="1">
      <x:c r="A784" s="19" t="str">
        <x:v>制式池频率控制</x:v>
      </x:c>
      <x:c r="B784" s="19" t="str">
        <x:v>EL-MON-COURT-001</x:v>
      </x:c>
      <x:c r="C784" s="19" t="str">
        <x:v>引用制式第7-10套池</x:v>
      </x:c>
      <x:c r="D784" s="19" t="str">
        <x:v>1000</x:v>
      </x:c>
      <x:c r="E784" s="19" t="str">
        <x:v>5000</x:v>
      </x:c>
      <x:c r="F784" s="19" t="str">
        <x:v>制式装备辅助货币供给；防止旧高回收价使C2产币反超C3</x:v>
      </x:c>
    </x:row>
    <x:row r="785" ht="19" customHeight="1">
      <x:c r="A785" s="19" t="str">
        <x:v>制式池频率控制</x:v>
      </x:c>
      <x:c r="B785" s="19" t="str">
        <x:v>EL-MON-COURT-002</x:v>
      </x:c>
      <x:c r="C785" s="19" t="str">
        <x:v>引用制式第7-10套池</x:v>
      </x:c>
      <x:c r="D785" s="19" t="str">
        <x:v>1000</x:v>
      </x:c>
      <x:c r="E785" s="19" t="str">
        <x:v>5000</x:v>
      </x:c>
      <x:c r="F785" s="19" t="str">
        <x:v>制式装备辅助货币供给；防止旧高回收价使C2产币反超C3</x:v>
      </x:c>
    </x:row>
    <x:row r="786" ht="19" customHeight="1">
      <x:c r="A786" s="19" t="str">
        <x:v>制式池频率控制</x:v>
      </x:c>
      <x:c r="B786" s="19" t="str">
        <x:v>EL-MON-COURT-003</x:v>
      </x:c>
      <x:c r="C786" s="19" t="str">
        <x:v>引用制式第7-10套池</x:v>
      </x:c>
      <x:c r="D786" s="19" t="str">
        <x:v>1000</x:v>
      </x:c>
      <x:c r="E786" s="19" t="str">
        <x:v>5000</x:v>
      </x:c>
      <x:c r="F786" s="19" t="str">
        <x:v>制式装备辅助货币供给；防止旧高回收价使C2产币反超C3</x:v>
      </x:c>
    </x:row>
    <x:row r="787" ht="19" customHeight="1">
      <x:c r="A787" s="19" t="str">
        <x:v>制式池频率控制</x:v>
      </x:c>
      <x:c r="B787" s="19" t="str">
        <x:v>EL-MON-COURT-004</x:v>
      </x:c>
      <x:c r="C787" s="19" t="str">
        <x:v>引用制式第7-10套池</x:v>
      </x:c>
      <x:c r="D787" s="19" t="str">
        <x:v>1000</x:v>
      </x:c>
      <x:c r="E787" s="19" t="str">
        <x:v>5000</x:v>
      </x:c>
      <x:c r="F787" s="19" t="str">
        <x:v>制式装备辅助货币供给；防止旧高回收价使C2产币反超C3</x:v>
      </x:c>
    </x:row>
    <x:row r="788" ht="19" customHeight="1">
      <x:c r="A788" s="19" t="str">
        <x:v>制式池频率控制</x:v>
      </x:c>
      <x:c r="B788" s="19" t="str">
        <x:v>EL-MON-COURT-005</x:v>
      </x:c>
      <x:c r="C788" s="19" t="str">
        <x:v>引用制式第7-10套池</x:v>
      </x:c>
      <x:c r="D788" s="19" t="str">
        <x:v>1000</x:v>
      </x:c>
      <x:c r="E788" s="19" t="str">
        <x:v>5000</x:v>
      </x:c>
      <x:c r="F788" s="19" t="str">
        <x:v>制式装备辅助货币供给；防止旧高回收价使C2产币反超C3</x:v>
      </x:c>
    </x:row>
    <x:row r="789" ht="19" customHeight="1">
      <x:c r="A789" s="19" t="str">
        <x:v>制式池频率控制</x:v>
      </x:c>
      <x:c r="B789" s="19" t="str">
        <x:v>EL-MON-COURT-006</x:v>
      </x:c>
      <x:c r="C789" s="19" t="str">
        <x:v>引用制式第7-10套池</x:v>
      </x:c>
      <x:c r="D789" s="19" t="str">
        <x:v>1000</x:v>
      </x:c>
      <x:c r="E789" s="19" t="str">
        <x:v>5000</x:v>
      </x:c>
      <x:c r="F789" s="19" t="str">
        <x:v>制式装备辅助货币供给；防止旧高回收价使C2产币反超C3</x:v>
      </x:c>
    </x:row>
    <x:row r="790" ht="19" customHeight="1">
      <x:c r="A790" s="19" t="str">
        <x:v>制式池频率控制</x:v>
      </x:c>
      <x:c r="B790" s="19" t="str">
        <x:v>EL-MON-COURT-007</x:v>
      </x:c>
      <x:c r="C790" s="19" t="str">
        <x:v>引用制式第7-10套池</x:v>
      </x:c>
      <x:c r="D790" s="19" t="str">
        <x:v>500</x:v>
      </x:c>
      <x:c r="E790" s="19" t="str">
        <x:v>2500</x:v>
      </x:c>
      <x:c r="F790" s="19" t="str">
        <x:v>制式装备辅助货币供给；防止旧高回收价使C2产币反超C3</x:v>
      </x:c>
    </x:row>
    <x:row r="791" ht="19" customHeight="1">
      <x:c r="A791" s="19" t="str">
        <x:v>制式池频率控制</x:v>
      </x:c>
      <x:c r="B791" s="19" t="str">
        <x:v>EL-MON-COURT-008</x:v>
      </x:c>
      <x:c r="C791" s="19" t="str">
        <x:v>引用制式第7-10套池</x:v>
      </x:c>
      <x:c r="D791" s="19" t="str">
        <x:v>500</x:v>
      </x:c>
      <x:c r="E791" s="19" t="str">
        <x:v>2500</x:v>
      </x:c>
      <x:c r="F791" s="19" t="str">
        <x:v>制式装备辅助货币供给；防止旧高回收价使C2产币反超C3</x:v>
      </x:c>
    </x:row>
    <x:row r="792" ht="19" customHeight="1">
      <x:c r="A792" s="19" t="str">
        <x:v>制式池频率控制</x:v>
      </x:c>
      <x:c r="B792" s="19" t="str">
        <x:v>EL-MON-COURT-009</x:v>
      </x:c>
      <x:c r="C792" s="19" t="str">
        <x:v>引用制式第7-10套池</x:v>
      </x:c>
      <x:c r="D792" s="19" t="str">
        <x:v>500</x:v>
      </x:c>
      <x:c r="E792" s="19" t="str">
        <x:v>2500</x:v>
      </x:c>
      <x:c r="F792" s="19" t="str">
        <x:v>制式装备辅助货币供给；防止旧高回收价使C2产币反超C3</x:v>
      </x:c>
    </x:row>
    <x:row r="793" ht="19" customHeight="1">
      <x:c r="A793" s="19" t="str">
        <x:v>制式池频率控制</x:v>
      </x:c>
      <x:c r="B793" s="19" t="str">
        <x:v>EL-MON-COURT-010</x:v>
      </x:c>
      <x:c r="C793" s="19" t="str">
        <x:v>引用制式第7-10套池</x:v>
      </x:c>
      <x:c r="D793" s="19" t="str">
        <x:v>500</x:v>
      </x:c>
      <x:c r="E793" s="19" t="str">
        <x:v>2500</x:v>
      </x:c>
      <x:c r="F793" s="19" t="str">
        <x:v>制式装备辅助货币供给；防止旧高回收价使C2产币反超C3</x:v>
      </x:c>
    </x:row>
    <x:row r="794" ht="19" customHeight="1">
      <x:c r="A794" s="19" t="str">
        <x:v>制式池频率控制</x:v>
      </x:c>
      <x:c r="B794" s="19" t="str">
        <x:v>EL-MON-COURT-011</x:v>
      </x:c>
      <x:c r="C794" s="19" t="str">
        <x:v>引用制式第7-10套池</x:v>
      </x:c>
      <x:c r="D794" s="19" t="str">
        <x:v>150</x:v>
      </x:c>
      <x:c r="E794" s="19" t="str">
        <x:v>800</x:v>
      </x:c>
      <x:c r="F794" s="19" t="str">
        <x:v>制式装备辅助货币供给；防止旧高回收价使C2产币反超C3</x:v>
      </x:c>
    </x:row>
    <x:row r="795" ht="19" customHeight="1">
      <x:c r="A795" s="19" t="str">
        <x:v>制式池频率控制</x:v>
      </x:c>
      <x:c r="B795" s="19" t="str">
        <x:v>EL-MON-COURT-012</x:v>
      </x:c>
      <x:c r="C795" s="19" t="str">
        <x:v>引用制式第7-10套池</x:v>
      </x:c>
      <x:c r="D795" s="19" t="str">
        <x:v>150</x:v>
      </x:c>
      <x:c r="E795" s="19" t="str">
        <x:v>800</x:v>
      </x:c>
      <x:c r="F795" s="19" t="str">
        <x:v>制式装备辅助货币供给；防止旧高回收价使C2产币反超C3</x:v>
      </x:c>
    </x:row>
    <x:row r="796" ht="19" customHeight="1">
      <x:c r="A796" s="19" t="str">
        <x:v>制式池频率控制</x:v>
      </x:c>
      <x:c r="B796" s="19" t="str">
        <x:v>EL-MON-LIM-GRAVE-001</x:v>
      </x:c>
      <x:c r="C796" s="19" t="str">
        <x:v>引用制式第11-12套池</x:v>
      </x:c>
      <x:c r="D796" s="19" t="str">
        <x:v>1200</x:v>
      </x:c>
      <x:c r="E796" s="19" t="str">
        <x:v>8000</x:v>
      </x:c>
      <x:c r="F796" s="19" t="str">
        <x:v>制式装备辅助货币供给；防止旧高回收价使C2产币反超C3</x:v>
      </x:c>
    </x:row>
    <x:row r="797" ht="19" customHeight="1">
      <x:c r="A797" s="19" t="str">
        <x:v>制式池频率控制</x:v>
      </x:c>
      <x:c r="B797" s="19" t="str">
        <x:v>EL-MON-LIM-GRAVE-002</x:v>
      </x:c>
      <x:c r="C797" s="19" t="str">
        <x:v>引用制式第11-12套池</x:v>
      </x:c>
      <x:c r="D797" s="19" t="str">
        <x:v>1200</x:v>
      </x:c>
      <x:c r="E797" s="19" t="str">
        <x:v>8000</x:v>
      </x:c>
      <x:c r="F797" s="19" t="str">
        <x:v>制式装备辅助货币供给；防止旧高回收价使C2产币反超C3</x:v>
      </x:c>
    </x:row>
    <x:row r="798" ht="19" customHeight="1">
      <x:c r="A798" s="19" t="str">
        <x:v>制式池频率控制</x:v>
      </x:c>
      <x:c r="B798" s="19" t="str">
        <x:v>EL-MON-LIM-GRAVE-003</x:v>
      </x:c>
      <x:c r="C798" s="19" t="str">
        <x:v>引用制式第11-12套池</x:v>
      </x:c>
      <x:c r="D798" s="19" t="str">
        <x:v>1200</x:v>
      </x:c>
      <x:c r="E798" s="19" t="str">
        <x:v>8000</x:v>
      </x:c>
      <x:c r="F798" s="19" t="str">
        <x:v>制式装备辅助货币供给；防止旧高回收价使C2产币反超C3</x:v>
      </x:c>
    </x:row>
    <x:row r="799" ht="19" customHeight="1">
      <x:c r="A799" s="19" t="str">
        <x:v>制式池频率控制</x:v>
      </x:c>
      <x:c r="B799" s="19" t="str">
        <x:v>EL-MON-LIM-GRAVE-004</x:v>
      </x:c>
      <x:c r="C799" s="19" t="str">
        <x:v>引用制式第11-12套池</x:v>
      </x:c>
      <x:c r="D799" s="19" t="str">
        <x:v>1200</x:v>
      </x:c>
      <x:c r="E799" s="19" t="str">
        <x:v>8000</x:v>
      </x:c>
      <x:c r="F799" s="19" t="str">
        <x:v>制式装备辅助货币供给；防止旧高回收价使C2产币反超C3</x:v>
      </x:c>
    </x:row>
    <x:row r="800" ht="19" customHeight="1">
      <x:c r="A800" s="19" t="str">
        <x:v>制式池频率控制</x:v>
      </x:c>
      <x:c r="B800" s="19" t="str">
        <x:v>EL-MON-LIM-GRAVE-005</x:v>
      </x:c>
      <x:c r="C800" s="19" t="str">
        <x:v>引用制式第11-12套池</x:v>
      </x:c>
      <x:c r="D800" s="19" t="str">
        <x:v>1200</x:v>
      </x:c>
      <x:c r="E800" s="19" t="str">
        <x:v>8000</x:v>
      </x:c>
      <x:c r="F800" s="19" t="str">
        <x:v>制式装备辅助货币供给；防止旧高回收价使C2产币反超C3</x:v>
      </x:c>
    </x:row>
    <x:row r="801" ht="19" customHeight="1">
      <x:c r="A801" s="19" t="str">
        <x:v>制式池频率控制</x:v>
      </x:c>
      <x:c r="B801" s="19" t="str">
        <x:v>EL-MON-LIM-GRAVE-006</x:v>
      </x:c>
      <x:c r="C801" s="19" t="str">
        <x:v>引用制式第11-12套池</x:v>
      </x:c>
      <x:c r="D801" s="19" t="str">
        <x:v>1200</x:v>
      </x:c>
      <x:c r="E801" s="19" t="str">
        <x:v>8000</x:v>
      </x:c>
      <x:c r="F801" s="19" t="str">
        <x:v>制式装备辅助货币供给；防止旧高回收价使C2产币反超C3</x:v>
      </x:c>
    </x:row>
    <x:row r="802" ht="19" customHeight="1">
      <x:c r="A802" s="19" t="str">
        <x:v>制式池频率控制</x:v>
      </x:c>
      <x:c r="B802" s="19" t="str">
        <x:v>EL-MON-LIM-GRAVE-007</x:v>
      </x:c>
      <x:c r="C802" s="19" t="str">
        <x:v>引用制式第11-12套池</x:v>
      </x:c>
      <x:c r="D802" s="19" t="str">
        <x:v>600</x:v>
      </x:c>
      <x:c r="E802" s="19" t="str">
        <x:v>4000</x:v>
      </x:c>
      <x:c r="F802" s="19" t="str">
        <x:v>制式装备辅助货币供给；防止旧高回收价使C2产币反超C3</x:v>
      </x:c>
    </x:row>
    <x:row r="803" ht="19" customHeight="1">
      <x:c r="A803" s="19" t="str">
        <x:v>制式池频率控制</x:v>
      </x:c>
      <x:c r="B803" s="19" t="str">
        <x:v>EL-MON-LIM-GRAVE-008</x:v>
      </x:c>
      <x:c r="C803" s="19" t="str">
        <x:v>引用制式第11-12套池</x:v>
      </x:c>
      <x:c r="D803" s="19" t="str">
        <x:v>600</x:v>
      </x:c>
      <x:c r="E803" s="19" t="str">
        <x:v>4000</x:v>
      </x:c>
      <x:c r="F803" s="19" t="str">
        <x:v>制式装备辅助货币供给；防止旧高回收价使C2产币反超C3</x:v>
      </x:c>
    </x:row>
    <x:row r="804" ht="19" customHeight="1">
      <x:c r="A804" s="19" t="str">
        <x:v>制式池频率控制</x:v>
      </x:c>
      <x:c r="B804" s="19" t="str">
        <x:v>EL-MON-LIM-GRAVE-009</x:v>
      </x:c>
      <x:c r="C804" s="19" t="str">
        <x:v>引用制式第11-12套池</x:v>
      </x:c>
      <x:c r="D804" s="19" t="str">
        <x:v>600</x:v>
      </x:c>
      <x:c r="E804" s="19" t="str">
        <x:v>4000</x:v>
      </x:c>
      <x:c r="F804" s="19" t="str">
        <x:v>制式装备辅助货币供给；防止旧高回收价使C2产币反超C3</x:v>
      </x:c>
    </x:row>
    <x:row r="805" ht="19" customHeight="1">
      <x:c r="A805" s="19" t="str">
        <x:v>制式池频率控制</x:v>
      </x:c>
      <x:c r="B805" s="19" t="str">
        <x:v>EL-MON-LIM-GRAVE-010</x:v>
      </x:c>
      <x:c r="C805" s="19" t="str">
        <x:v>引用制式第11-12套池</x:v>
      </x:c>
      <x:c r="D805" s="19" t="str">
        <x:v>600</x:v>
      </x:c>
      <x:c r="E805" s="19" t="str">
        <x:v>4000</x:v>
      </x:c>
      <x:c r="F805" s="19" t="str">
        <x:v>制式装备辅助货币供给；防止旧高回收价使C2产币反超C3</x:v>
      </x:c>
    </x:row>
    <x:row r="806" ht="19" customHeight="1">
      <x:c r="A806" s="19" t="str">
        <x:v>制式池频率控制</x:v>
      </x:c>
      <x:c r="B806" s="19" t="str">
        <x:v>EL-MON-LIM-GRAVE-011</x:v>
      </x:c>
      <x:c r="C806" s="19" t="str">
        <x:v>引用制式第11-12套池</x:v>
      </x:c>
      <x:c r="D806" s="19" t="str">
        <x:v>180</x:v>
      </x:c>
      <x:c r="E806" s="19" t="str">
        <x:v>1000</x:v>
      </x:c>
      <x:c r="F806" s="19" t="str">
        <x:v>制式装备辅助货币供给；防止旧高回收价使C2产币反超C3</x:v>
      </x:c>
    </x:row>
    <x:row r="807" ht="19" customHeight="1">
      <x:c r="A807" s="19" t="str">
        <x:v>制式池频率控制</x:v>
      </x:c>
      <x:c r="B807" s="19" t="str">
        <x:v>EL-MON-LIM-GRAVE-012</x:v>
      </x:c>
      <x:c r="C807" s="19" t="str">
        <x:v>引用制式第11-12套池</x:v>
      </x:c>
      <x:c r="D807" s="19" t="str">
        <x:v>180</x:v>
      </x:c>
      <x:c r="E807" s="19" t="str">
        <x:v>1000</x:v>
      </x:c>
      <x:c r="F807" s="19" t="str">
        <x:v>制式装备辅助货币供给；防止旧高回收价使C2产币反超C3</x:v>
      </x:c>
    </x:row>
    <x:row r="808" ht="19" customHeight="1">
      <x:c r="A808" s="19" t="str">
        <x:v>制式池频率控制</x:v>
      </x:c>
      <x:c r="B808" s="19" t="str">
        <x:v>EL-MON-LIM-GATE-001</x:v>
      </x:c>
      <x:c r="C808" s="19" t="str">
        <x:v>引用制式第13-14套池</x:v>
      </x:c>
      <x:c r="D808" s="19" t="str">
        <x:v>1200</x:v>
      </x:c>
      <x:c r="E808" s="19" t="str">
        <x:v>12000</x:v>
      </x:c>
      <x:c r="F808" s="19" t="str">
        <x:v>制式装备辅助货币供给；防止旧高回收价使C2产币反超C3</x:v>
      </x:c>
    </x:row>
    <x:row r="809" ht="19" customHeight="1">
      <x:c r="A809" s="19" t="str">
        <x:v>制式池频率控制</x:v>
      </x:c>
      <x:c r="B809" s="19" t="str">
        <x:v>EL-MON-LIM-GATE-002</x:v>
      </x:c>
      <x:c r="C809" s="19" t="str">
        <x:v>引用制式第13-14套池</x:v>
      </x:c>
      <x:c r="D809" s="19" t="str">
        <x:v>1200</x:v>
      </x:c>
      <x:c r="E809" s="19" t="str">
        <x:v>12000</x:v>
      </x:c>
      <x:c r="F809" s="19" t="str">
        <x:v>制式装备辅助货币供给；防止旧高回收价使C2产币反超C3</x:v>
      </x:c>
    </x:row>
    <x:row r="810" ht="19" customHeight="1">
      <x:c r="A810" s="19" t="str">
        <x:v>制式池频率控制</x:v>
      </x:c>
      <x:c r="B810" s="19" t="str">
        <x:v>EL-MON-LIM-GATE-003</x:v>
      </x:c>
      <x:c r="C810" s="19" t="str">
        <x:v>引用制式第13-14套池</x:v>
      </x:c>
      <x:c r="D810" s="19" t="str">
        <x:v>1200</x:v>
      </x:c>
      <x:c r="E810" s="19" t="str">
        <x:v>12000</x:v>
      </x:c>
      <x:c r="F810" s="19" t="str">
        <x:v>制式装备辅助货币供给；防止旧高回收价使C2产币反超C3</x:v>
      </x:c>
    </x:row>
    <x:row r="811" ht="19" customHeight="1">
      <x:c r="A811" s="19" t="str">
        <x:v>制式池频率控制</x:v>
      </x:c>
      <x:c r="B811" s="19" t="str">
        <x:v>EL-MON-LIM-GATE-004</x:v>
      </x:c>
      <x:c r="C811" s="19" t="str">
        <x:v>引用制式第13-14套池</x:v>
      </x:c>
      <x:c r="D811" s="19" t="str">
        <x:v>1200</x:v>
      </x:c>
      <x:c r="E811" s="19" t="str">
        <x:v>12000</x:v>
      </x:c>
      <x:c r="F811" s="19" t="str">
        <x:v>制式装备辅助货币供给；防止旧高回收价使C2产币反超C3</x:v>
      </x:c>
    </x:row>
    <x:row r="812" ht="19" customHeight="1">
      <x:c r="A812" s="19" t="str">
        <x:v>制式池频率控制</x:v>
      </x:c>
      <x:c r="B812" s="19" t="str">
        <x:v>EL-MON-LIM-GATE-005</x:v>
      </x:c>
      <x:c r="C812" s="19" t="str">
        <x:v>引用制式第13-14套池</x:v>
      </x:c>
      <x:c r="D812" s="19" t="str">
        <x:v>1200</x:v>
      </x:c>
      <x:c r="E812" s="19" t="str">
        <x:v>12000</x:v>
      </x:c>
      <x:c r="F812" s="19" t="str">
        <x:v>制式装备辅助货币供给；防止旧高回收价使C2产币反超C3</x:v>
      </x:c>
    </x:row>
    <x:row r="813" ht="19" customHeight="1">
      <x:c r="A813" s="19" t="str">
        <x:v>制式池频率控制</x:v>
      </x:c>
      <x:c r="B813" s="19" t="str">
        <x:v>EL-MON-LIM-GATE-006</x:v>
      </x:c>
      <x:c r="C813" s="19" t="str">
        <x:v>引用制式第13-14套池</x:v>
      </x:c>
      <x:c r="D813" s="19" t="str">
        <x:v>1200</x:v>
      </x:c>
      <x:c r="E813" s="19" t="str">
        <x:v>12000</x:v>
      </x:c>
      <x:c r="F813" s="19" t="str">
        <x:v>制式装备辅助货币供给；防止旧高回收价使C2产币反超C3</x:v>
      </x:c>
    </x:row>
    <x:row r="814" ht="19" customHeight="1">
      <x:c r="A814" s="19" t="str">
        <x:v>制式池频率控制</x:v>
      </x:c>
      <x:c r="B814" s="19" t="str">
        <x:v>EL-MON-LIM-GATE-007</x:v>
      </x:c>
      <x:c r="C814" s="19" t="str">
        <x:v>引用制式第13-14套池</x:v>
      </x:c>
      <x:c r="D814" s="19" t="str">
        <x:v>600</x:v>
      </x:c>
      <x:c r="E814" s="19" t="str">
        <x:v>6000</x:v>
      </x:c>
      <x:c r="F814" s="19" t="str">
        <x:v>制式装备辅助货币供给；防止旧高回收价使C2产币反超C3</x:v>
      </x:c>
    </x:row>
    <x:row r="815" ht="19" customHeight="1">
      <x:c r="A815" s="19" t="str">
        <x:v>制式池频率控制</x:v>
      </x:c>
      <x:c r="B815" s="19" t="str">
        <x:v>EL-MON-LIM-GATE-008</x:v>
      </x:c>
      <x:c r="C815" s="19" t="str">
        <x:v>引用制式第13-14套池</x:v>
      </x:c>
      <x:c r="D815" s="19" t="str">
        <x:v>600</x:v>
      </x:c>
      <x:c r="E815" s="19" t="str">
        <x:v>6000</x:v>
      </x:c>
      <x:c r="F815" s="19" t="str">
        <x:v>制式装备辅助货币供给；防止旧高回收价使C2产币反超C3</x:v>
      </x:c>
    </x:row>
    <x:row r="816" ht="19" customHeight="1">
      <x:c r="A816" s="19" t="str">
        <x:v>制式池频率控制</x:v>
      </x:c>
      <x:c r="B816" s="19" t="str">
        <x:v>EL-MON-LIM-GATE-009</x:v>
      </x:c>
      <x:c r="C816" s="19" t="str">
        <x:v>引用制式第13-14套池</x:v>
      </x:c>
      <x:c r="D816" s="19" t="str">
        <x:v>600</x:v>
      </x:c>
      <x:c r="E816" s="19" t="str">
        <x:v>6000</x:v>
      </x:c>
      <x:c r="F816" s="19" t="str">
        <x:v>制式装备辅助货币供给；防止旧高回收价使C2产币反超C3</x:v>
      </x:c>
    </x:row>
    <x:row r="817" ht="19" customHeight="1">
      <x:c r="A817" s="19" t="str">
        <x:v>制式池频率控制</x:v>
      </x:c>
      <x:c r="B817" s="19" t="str">
        <x:v>EL-MON-LIM-GATE-010</x:v>
      </x:c>
      <x:c r="C817" s="19" t="str">
        <x:v>引用制式第13-14套池</x:v>
      </x:c>
      <x:c r="D817" s="19" t="str">
        <x:v>600</x:v>
      </x:c>
      <x:c r="E817" s="19" t="str">
        <x:v>6000</x:v>
      </x:c>
      <x:c r="F817" s="19" t="str">
        <x:v>制式装备辅助货币供给；防止旧高回收价使C2产币反超C3</x:v>
      </x:c>
    </x:row>
    <x:row r="818" ht="19" customHeight="1">
      <x:c r="A818" s="19" t="str">
        <x:v>制式池频率控制</x:v>
      </x:c>
      <x:c r="B818" s="19" t="str">
        <x:v>EL-MON-LIM-GATE-011</x:v>
      </x:c>
      <x:c r="C818" s="19" t="str">
        <x:v>引用制式第13-14套池</x:v>
      </x:c>
      <x:c r="D818" s="19" t="str">
        <x:v>180</x:v>
      </x:c>
      <x:c r="E818" s="19" t="str">
        <x:v>1800</x:v>
      </x:c>
      <x:c r="F818" s="19" t="str">
        <x:v>制式装备辅助货币供给；防止旧高回收价使C2产币反超C3</x:v>
      </x:c>
    </x:row>
    <x:row r="819" ht="19" customHeight="1">
      <x:c r="A819" s="19" t="str">
        <x:v>制式池频率控制</x:v>
      </x:c>
      <x:c r="B819" s="19" t="str">
        <x:v>EL-MON-LIM-GATE-012</x:v>
      </x:c>
      <x:c r="C819" s="19" t="str">
        <x:v>引用制式第13-14套池</x:v>
      </x:c>
      <x:c r="D819" s="19" t="str">
        <x:v>180</x:v>
      </x:c>
      <x:c r="E819" s="19" t="str">
        <x:v>1800</x:v>
      </x:c>
      <x:c r="F819" s="19" t="str">
        <x:v>制式装备辅助货币供给；防止旧高回收价使C2产币反超C3</x:v>
      </x:c>
    </x:row>
    <x:row r="820" ht="19" customHeight="1">
      <x:c r="A820" s="19" t="str">
        <x:v>制式池频率控制</x:v>
      </x:c>
      <x:c r="B820" s="19" t="str">
        <x:v>EL-MON-LIM-MIST-001</x:v>
      </x:c>
      <x:c r="C820" s="19" t="str">
        <x:v>引用制式第15-16套池</x:v>
      </x:c>
      <x:c r="D820" s="19" t="str">
        <x:v>1200</x:v>
      </x:c>
      <x:c r="E820" s="19" t="str">
        <x:v>18000</x:v>
      </x:c>
      <x:c r="F820" s="19" t="str">
        <x:v>制式装备辅助货币供给；防止旧高回收价使C2产币反超C3</x:v>
      </x:c>
    </x:row>
    <x:row r="821" ht="19" customHeight="1">
      <x:c r="A821" s="19" t="str">
        <x:v>制式池频率控制</x:v>
      </x:c>
      <x:c r="B821" s="19" t="str">
        <x:v>EL-MON-LIM-MIST-002</x:v>
      </x:c>
      <x:c r="C821" s="19" t="str">
        <x:v>引用制式第15-16套池</x:v>
      </x:c>
      <x:c r="D821" s="19" t="str">
        <x:v>1200</x:v>
      </x:c>
      <x:c r="E821" s="19" t="str">
        <x:v>18000</x:v>
      </x:c>
      <x:c r="F821" s="19" t="str">
        <x:v>制式装备辅助货币供给；防止旧高回收价使C2产币反超C3</x:v>
      </x:c>
    </x:row>
    <x:row r="822" ht="19" customHeight="1">
      <x:c r="A822" s="19" t="str">
        <x:v>制式池频率控制</x:v>
      </x:c>
      <x:c r="B822" s="19" t="str">
        <x:v>EL-MON-LIM-MIST-003</x:v>
      </x:c>
      <x:c r="C822" s="19" t="str">
        <x:v>引用制式第15-16套池</x:v>
      </x:c>
      <x:c r="D822" s="19" t="str">
        <x:v>1200</x:v>
      </x:c>
      <x:c r="E822" s="19" t="str">
        <x:v>18000</x:v>
      </x:c>
      <x:c r="F822" s="19" t="str">
        <x:v>制式装备辅助货币供给；防止旧高回收价使C2产币反超C3</x:v>
      </x:c>
    </x:row>
    <x:row r="823" ht="19" customHeight="1">
      <x:c r="A823" s="19" t="str">
        <x:v>制式池频率控制</x:v>
      </x:c>
      <x:c r="B823" s="19" t="str">
        <x:v>EL-MON-LIM-MIST-004</x:v>
      </x:c>
      <x:c r="C823" s="19" t="str">
        <x:v>引用制式第15-16套池</x:v>
      </x:c>
      <x:c r="D823" s="19" t="str">
        <x:v>1200</x:v>
      </x:c>
      <x:c r="E823" s="19" t="str">
        <x:v>18000</x:v>
      </x:c>
      <x:c r="F823" s="19" t="str">
        <x:v>制式装备辅助货币供给；防止旧高回收价使C2产币反超C3</x:v>
      </x:c>
    </x:row>
    <x:row r="824" ht="19" customHeight="1">
      <x:c r="A824" s="19" t="str">
        <x:v>制式池频率控制</x:v>
      </x:c>
      <x:c r="B824" s="19" t="str">
        <x:v>EL-MON-LIM-MIST-005</x:v>
      </x:c>
      <x:c r="C824" s="19" t="str">
        <x:v>引用制式第15-16套池</x:v>
      </x:c>
      <x:c r="D824" s="19" t="str">
        <x:v>1200</x:v>
      </x:c>
      <x:c r="E824" s="19" t="str">
        <x:v>18000</x:v>
      </x:c>
      <x:c r="F824" s="19" t="str">
        <x:v>制式装备辅助货币供给；防止旧高回收价使C2产币反超C3</x:v>
      </x:c>
    </x:row>
    <x:row r="825" ht="19" customHeight="1">
      <x:c r="A825" s="19" t="str">
        <x:v>制式池频率控制</x:v>
      </x:c>
      <x:c r="B825" s="19" t="str">
        <x:v>EL-MON-LIM-MIST-006</x:v>
      </x:c>
      <x:c r="C825" s="19" t="str">
        <x:v>引用制式第15-16套池</x:v>
      </x:c>
      <x:c r="D825" s="19" t="str">
        <x:v>1200</x:v>
      </x:c>
      <x:c r="E825" s="19" t="str">
        <x:v>18000</x:v>
      </x:c>
      <x:c r="F825" s="19" t="str">
        <x:v>制式装备辅助货币供给；防止旧高回收价使C2产币反超C3</x:v>
      </x:c>
    </x:row>
    <x:row r="826" ht="19" customHeight="1">
      <x:c r="A826" s="19" t="str">
        <x:v>制式池频率控制</x:v>
      </x:c>
      <x:c r="B826" s="19" t="str">
        <x:v>EL-MON-LIM-MIST-007</x:v>
      </x:c>
      <x:c r="C826" s="19" t="str">
        <x:v>引用制式第15-16套池</x:v>
      </x:c>
      <x:c r="D826" s="19" t="str">
        <x:v>600</x:v>
      </x:c>
      <x:c r="E826" s="19" t="str">
        <x:v>10000</x:v>
      </x:c>
      <x:c r="F826" s="19" t="str">
        <x:v>制式装备辅助货币供给；防止旧高回收价使C2产币反超C3</x:v>
      </x:c>
    </x:row>
    <x:row r="827" ht="19" customHeight="1">
      <x:c r="A827" s="19" t="str">
        <x:v>制式池频率控制</x:v>
      </x:c>
      <x:c r="B827" s="19" t="str">
        <x:v>EL-MON-LIM-MIST-008</x:v>
      </x:c>
      <x:c r="C827" s="19" t="str">
        <x:v>引用制式第15-16套池</x:v>
      </x:c>
      <x:c r="D827" s="19" t="str">
        <x:v>600</x:v>
      </x:c>
      <x:c r="E827" s="19" t="str">
        <x:v>10000</x:v>
      </x:c>
      <x:c r="F827" s="19" t="str">
        <x:v>制式装备辅助货币供给；防止旧高回收价使C2产币反超C3</x:v>
      </x:c>
    </x:row>
    <x:row r="828" ht="19" customHeight="1">
      <x:c r="A828" s="19" t="str">
        <x:v>制式池频率控制</x:v>
      </x:c>
      <x:c r="B828" s="19" t="str">
        <x:v>EL-MON-LIM-MIST-009</x:v>
      </x:c>
      <x:c r="C828" s="19" t="str">
        <x:v>引用制式第15-16套池</x:v>
      </x:c>
      <x:c r="D828" s="19" t="str">
        <x:v>600</x:v>
      </x:c>
      <x:c r="E828" s="19" t="str">
        <x:v>10000</x:v>
      </x:c>
      <x:c r="F828" s="19" t="str">
        <x:v>制式装备辅助货币供给；防止旧高回收价使C2产币反超C3</x:v>
      </x:c>
    </x:row>
    <x:row r="829" ht="19" customHeight="1">
      <x:c r="A829" s="19" t="str">
        <x:v>制式池频率控制</x:v>
      </x:c>
      <x:c r="B829" s="19" t="str">
        <x:v>EL-MON-LIM-MIST-010</x:v>
      </x:c>
      <x:c r="C829" s="19" t="str">
        <x:v>引用制式第15-16套池</x:v>
      </x:c>
      <x:c r="D829" s="19" t="str">
        <x:v>600</x:v>
      </x:c>
      <x:c r="E829" s="19" t="str">
        <x:v>10000</x:v>
      </x:c>
      <x:c r="F829" s="19" t="str">
        <x:v>制式装备辅助货币供给；防止旧高回收价使C2产币反超C3</x:v>
      </x:c>
    </x:row>
    <x:row r="830" ht="19" customHeight="1">
      <x:c r="A830" s="19" t="str">
        <x:v>制式池频率控制</x:v>
      </x:c>
      <x:c r="B830" s="19" t="str">
        <x:v>EL-MON-LIM-MIST-011</x:v>
      </x:c>
      <x:c r="C830" s="19" t="str">
        <x:v>引用制式第15-16套池</x:v>
      </x:c>
      <x:c r="D830" s="19" t="str">
        <x:v>180</x:v>
      </x:c>
      <x:c r="E830" s="19" t="str">
        <x:v>3000</x:v>
      </x:c>
      <x:c r="F830" s="19" t="str">
        <x:v>制式装备辅助货币供给；防止旧高回收价使C2产币反超C3</x:v>
      </x:c>
    </x:row>
    <x:row r="831" ht="19" customHeight="1">
      <x:c r="A831" s="19" t="str">
        <x:v>制式池频率控制</x:v>
      </x:c>
      <x:c r="B831" s="19" t="str">
        <x:v>EL-MON-LIM-MIST-012</x:v>
      </x:c>
      <x:c r="C831" s="19" t="str">
        <x:v>引用制式第15-16套池</x:v>
      </x:c>
      <x:c r="D831" s="19" t="str">
        <x:v>180</x:v>
      </x:c>
      <x:c r="E831" s="19" t="str">
        <x:v>3000</x:v>
      </x:c>
      <x:c r="F831" s="19" t="str">
        <x:v>制式装备辅助货币供给；防止旧高回收价使C2产币反超C3</x:v>
      </x:c>
    </x:row>
    <x:row r="832" ht="19" customHeight="1">
      <x:c r="A832" s="19" t="str">
        <x:v>制式池频率控制</x:v>
      </x:c>
      <x:c r="B832" s="19" t="str">
        <x:v>EL-MON-LIM-STORM-001</x:v>
      </x:c>
      <x:c r="C832" s="19" t="str">
        <x:v>引用制式第17-18套池</x:v>
      </x:c>
      <x:c r="D832" s="19" t="str">
        <x:v>1200</x:v>
      </x:c>
      <x:c r="E832" s="19" t="str">
        <x:v>30000</x:v>
      </x:c>
      <x:c r="F832" s="19" t="str">
        <x:v>制式装备辅助货币供给；防止旧高回收价使C2产币反超C3</x:v>
      </x:c>
    </x:row>
    <x:row r="833" ht="19" customHeight="1">
      <x:c r="A833" s="19" t="str">
        <x:v>制式池频率控制</x:v>
      </x:c>
      <x:c r="B833" s="19" t="str">
        <x:v>EL-MON-LIM-STORM-002</x:v>
      </x:c>
      <x:c r="C833" s="19" t="str">
        <x:v>引用制式第17-18套池</x:v>
      </x:c>
      <x:c r="D833" s="19" t="str">
        <x:v>1200</x:v>
      </x:c>
      <x:c r="E833" s="19" t="str">
        <x:v>30000</x:v>
      </x:c>
      <x:c r="F833" s="19" t="str">
        <x:v>制式装备辅助货币供给；防止旧高回收价使C2产币反超C3</x:v>
      </x:c>
    </x:row>
    <x:row r="834" ht="19" customHeight="1">
      <x:c r="A834" s="19" t="str">
        <x:v>制式池频率控制</x:v>
      </x:c>
      <x:c r="B834" s="19" t="str">
        <x:v>EL-MON-LIM-STORM-003</x:v>
      </x:c>
      <x:c r="C834" s="19" t="str">
        <x:v>引用制式第17-18套池</x:v>
      </x:c>
      <x:c r="D834" s="19" t="str">
        <x:v>1200</x:v>
      </x:c>
      <x:c r="E834" s="19" t="str">
        <x:v>30000</x:v>
      </x:c>
      <x:c r="F834" s="19" t="str">
        <x:v>制式装备辅助货币供给；防止旧高回收价使C2产币反超C3</x:v>
      </x:c>
    </x:row>
    <x:row r="835" ht="19" customHeight="1">
      <x:c r="A835" s="19" t="str">
        <x:v>制式池频率控制</x:v>
      </x:c>
      <x:c r="B835" s="19" t="str">
        <x:v>EL-MON-LIM-STORM-004</x:v>
      </x:c>
      <x:c r="C835" s="19" t="str">
        <x:v>引用制式第17-18套池</x:v>
      </x:c>
      <x:c r="D835" s="19" t="str">
        <x:v>1200</x:v>
      </x:c>
      <x:c r="E835" s="19" t="str">
        <x:v>30000</x:v>
      </x:c>
      <x:c r="F835" s="19" t="str">
        <x:v>制式装备辅助货币供给；防止旧高回收价使C2产币反超C3</x:v>
      </x:c>
    </x:row>
    <x:row r="836" ht="19" customHeight="1">
      <x:c r="A836" s="19" t="str">
        <x:v>制式池频率控制</x:v>
      </x:c>
      <x:c r="B836" s="19" t="str">
        <x:v>EL-MON-LIM-STORM-005</x:v>
      </x:c>
      <x:c r="C836" s="19" t="str">
        <x:v>引用制式第17-18套池</x:v>
      </x:c>
      <x:c r="D836" s="19" t="str">
        <x:v>1200</x:v>
      </x:c>
      <x:c r="E836" s="19" t="str">
        <x:v>30000</x:v>
      </x:c>
      <x:c r="F836" s="19" t="str">
        <x:v>制式装备辅助货币供给；防止旧高回收价使C2产币反超C3</x:v>
      </x:c>
    </x:row>
    <x:row r="837" ht="19" customHeight="1">
      <x:c r="A837" s="19" t="str">
        <x:v>制式池频率控制</x:v>
      </x:c>
      <x:c r="B837" s="19" t="str">
        <x:v>EL-MON-LIM-STORM-006</x:v>
      </x:c>
      <x:c r="C837" s="19" t="str">
        <x:v>引用制式第17-18套池</x:v>
      </x:c>
      <x:c r="D837" s="19" t="str">
        <x:v>1200</x:v>
      </x:c>
      <x:c r="E837" s="19" t="str">
        <x:v>30000</x:v>
      </x:c>
      <x:c r="F837" s="19" t="str">
        <x:v>制式装备辅助货币供给；防止旧高回收价使C2产币反超C3</x:v>
      </x:c>
    </x:row>
    <x:row r="838" ht="19" customHeight="1">
      <x:c r="A838" s="19" t="str">
        <x:v>制式池频率控制</x:v>
      </x:c>
      <x:c r="B838" s="19" t="str">
        <x:v>EL-MON-LIM-STORM-007</x:v>
      </x:c>
      <x:c r="C838" s="19" t="str">
        <x:v>引用制式第17-18套池</x:v>
      </x:c>
      <x:c r="D838" s="19" t="str">
        <x:v>600</x:v>
      </x:c>
      <x:c r="E838" s="19" t="str">
        <x:v>15000</x:v>
      </x:c>
      <x:c r="F838" s="19" t="str">
        <x:v>制式装备辅助货币供给；防止旧高回收价使C2产币反超C3</x:v>
      </x:c>
    </x:row>
    <x:row r="839" ht="19" customHeight="1">
      <x:c r="A839" s="19" t="str">
        <x:v>制式池频率控制</x:v>
      </x:c>
      <x:c r="B839" s="19" t="str">
        <x:v>EL-MON-LIM-STORM-008</x:v>
      </x:c>
      <x:c r="C839" s="19" t="str">
        <x:v>引用制式第17-18套池</x:v>
      </x:c>
      <x:c r="D839" s="19" t="str">
        <x:v>600</x:v>
      </x:c>
      <x:c r="E839" s="19" t="str">
        <x:v>15000</x:v>
      </x:c>
      <x:c r="F839" s="19" t="str">
        <x:v>制式装备辅助货币供给；防止旧高回收价使C2产币反超C3</x:v>
      </x:c>
    </x:row>
    <x:row r="840" ht="19" customHeight="1">
      <x:c r="A840" s="19" t="str">
        <x:v>制式池频率控制</x:v>
      </x:c>
      <x:c r="B840" s="19" t="str">
        <x:v>EL-MON-LIM-STORM-009</x:v>
      </x:c>
      <x:c r="C840" s="19" t="str">
        <x:v>引用制式第17-18套池</x:v>
      </x:c>
      <x:c r="D840" s="19" t="str">
        <x:v>600</x:v>
      </x:c>
      <x:c r="E840" s="19" t="str">
        <x:v>15000</x:v>
      </x:c>
      <x:c r="F840" s="19" t="str">
        <x:v>制式装备辅助货币供给；防止旧高回收价使C2产币反超C3</x:v>
      </x:c>
    </x:row>
    <x:row r="841" ht="19" customHeight="1">
      <x:c r="A841" s="19" t="str">
        <x:v>制式池频率控制</x:v>
      </x:c>
      <x:c r="B841" s="19" t="str">
        <x:v>EL-MON-LIM-STORM-010</x:v>
      </x:c>
      <x:c r="C841" s="19" t="str">
        <x:v>引用制式第17-18套池</x:v>
      </x:c>
      <x:c r="D841" s="19" t="str">
        <x:v>600</x:v>
      </x:c>
      <x:c r="E841" s="19" t="str">
        <x:v>15000</x:v>
      </x:c>
      <x:c r="F841" s="19" t="str">
        <x:v>制式装备辅助货币供给；防止旧高回收价使C2产币反超C3</x:v>
      </x:c>
    </x:row>
    <x:row r="842" ht="19" customHeight="1">
      <x:c r="A842" s="19" t="str">
        <x:v>制式池频率控制</x:v>
      </x:c>
      <x:c r="B842" s="19" t="str">
        <x:v>EL-MON-LIM-STORM-011</x:v>
      </x:c>
      <x:c r="C842" s="19" t="str">
        <x:v>引用制式第17-18套池</x:v>
      </x:c>
      <x:c r="D842" s="19" t="str">
        <x:v>180</x:v>
      </x:c>
      <x:c r="E842" s="19" t="str">
        <x:v>4000</x:v>
      </x:c>
      <x:c r="F842" s="19" t="str">
        <x:v>制式装备辅助货币供给；防止旧高回收价使C2产币反超C3</x:v>
      </x:c>
    </x:row>
    <x:row r="843" ht="19" customHeight="1">
      <x:c r="A843" s="19" t="str">
        <x:v>制式池频率控制</x:v>
      </x:c>
      <x:c r="B843" s="19" t="str">
        <x:v>EL-MON-LIM-STORM-012</x:v>
      </x:c>
      <x:c r="C843" s="19" t="str">
        <x:v>引用制式第17-18套池</x:v>
      </x:c>
      <x:c r="D843" s="19" t="str">
        <x:v>180</x:v>
      </x:c>
      <x:c r="E843" s="19" t="str">
        <x:v>4000</x:v>
      </x:c>
      <x:c r="F843" s="19" t="str">
        <x:v>制式装备辅助货币供给；防止旧高回收价使C2产币反超C3</x:v>
      </x:c>
    </x:row>
    <x:row r="844" ht="19" customHeight="1">
      <x:c r="A844" s="19" t="str">
        <x:v>制式池频率控制</x:v>
      </x:c>
      <x:c r="B844" s="19" t="str">
        <x:v>EL-MON-LIM-CASTLE-001</x:v>
      </x:c>
      <x:c r="C844" s="19" t="str">
        <x:v>引用制式第19-20套池</x:v>
      </x:c>
      <x:c r="D844" s="19" t="str">
        <x:v>1200</x:v>
      </x:c>
      <x:c r="E844" s="19" t="str">
        <x:v>40000</x:v>
      </x:c>
      <x:c r="F844" s="19" t="str">
        <x:v>制式装备辅助货币供给；防止旧高回收价使C2产币反超C3</x:v>
      </x:c>
    </x:row>
    <x:row r="845" ht="19" customHeight="1">
      <x:c r="A845" s="19" t="str">
        <x:v>制式池频率控制</x:v>
      </x:c>
      <x:c r="B845" s="19" t="str">
        <x:v>EL-MON-LIM-CASTLE-002</x:v>
      </x:c>
      <x:c r="C845" s="19" t="str">
        <x:v>引用制式第19-20套池</x:v>
      </x:c>
      <x:c r="D845" s="19" t="str">
        <x:v>1200</x:v>
      </x:c>
      <x:c r="E845" s="19" t="str">
        <x:v>40000</x:v>
      </x:c>
      <x:c r="F845" s="19" t="str">
        <x:v>制式装备辅助货币供给；防止旧高回收价使C2产币反超C3</x:v>
      </x:c>
    </x:row>
    <x:row r="846" ht="19" customHeight="1">
      <x:c r="A846" s="19" t="str">
        <x:v>制式池频率控制</x:v>
      </x:c>
      <x:c r="B846" s="19" t="str">
        <x:v>EL-MON-LIM-CASTLE-003</x:v>
      </x:c>
      <x:c r="C846" s="19" t="str">
        <x:v>引用制式第19-20套池</x:v>
      </x:c>
      <x:c r="D846" s="19" t="str">
        <x:v>1200</x:v>
      </x:c>
      <x:c r="E846" s="19" t="str">
        <x:v>40000</x:v>
      </x:c>
      <x:c r="F846" s="19" t="str">
        <x:v>制式装备辅助货币供给；防止旧高回收价使C2产币反超C3</x:v>
      </x:c>
    </x:row>
    <x:row r="847" ht="19" customHeight="1">
      <x:c r="A847" s="19" t="str">
        <x:v>制式池频率控制</x:v>
      </x:c>
      <x:c r="B847" s="19" t="str">
        <x:v>EL-MON-LIM-CASTLE-004</x:v>
      </x:c>
      <x:c r="C847" s="19" t="str">
        <x:v>引用制式第19-20套池</x:v>
      </x:c>
      <x:c r="D847" s="19" t="str">
        <x:v>1200</x:v>
      </x:c>
      <x:c r="E847" s="19" t="str">
        <x:v>40000</x:v>
      </x:c>
      <x:c r="F847" s="19" t="str">
        <x:v>制式装备辅助货币供给；防止旧高回收价使C2产币反超C3</x:v>
      </x:c>
    </x:row>
    <x:row r="848" ht="19" customHeight="1">
      <x:c r="A848" s="19" t="str">
        <x:v>制式池频率控制</x:v>
      </x:c>
      <x:c r="B848" s="19" t="str">
        <x:v>EL-MON-LIM-CASTLE-005</x:v>
      </x:c>
      <x:c r="C848" s="19" t="str">
        <x:v>引用制式第19-20套池</x:v>
      </x:c>
      <x:c r="D848" s="19" t="str">
        <x:v>1200</x:v>
      </x:c>
      <x:c r="E848" s="19" t="str">
        <x:v>40000</x:v>
      </x:c>
      <x:c r="F848" s="19" t="str">
        <x:v>制式装备辅助货币供给；防止旧高回收价使C2产币反超C3</x:v>
      </x:c>
    </x:row>
    <x:row r="849" ht="19" customHeight="1">
      <x:c r="A849" s="19" t="str">
        <x:v>制式池频率控制</x:v>
      </x:c>
      <x:c r="B849" s="19" t="str">
        <x:v>EL-MON-LIM-CASTLE-006</x:v>
      </x:c>
      <x:c r="C849" s="19" t="str">
        <x:v>引用制式第19-20套池</x:v>
      </x:c>
      <x:c r="D849" s="19" t="str">
        <x:v>1200</x:v>
      </x:c>
      <x:c r="E849" s="19" t="str">
        <x:v>40000</x:v>
      </x:c>
      <x:c r="F849" s="19" t="str">
        <x:v>制式装备辅助货币供给；防止旧高回收价使C2产币反超C3</x:v>
      </x:c>
    </x:row>
    <x:row r="850" ht="19" customHeight="1">
      <x:c r="A850" s="19" t="str">
        <x:v>制式池频率控制</x:v>
      </x:c>
      <x:c r="B850" s="19" t="str">
        <x:v>EL-MON-LIM-CASTLE-007</x:v>
      </x:c>
      <x:c r="C850" s="19" t="str">
        <x:v>引用制式第19-20套池</x:v>
      </x:c>
      <x:c r="D850" s="19" t="str">
        <x:v>600</x:v>
      </x:c>
      <x:c r="E850" s="19" t="str">
        <x:v>20000</x:v>
      </x:c>
      <x:c r="F850" s="19" t="str">
        <x:v>制式装备辅助货币供给；防止旧高回收价使C2产币反超C3</x:v>
      </x:c>
    </x:row>
    <x:row r="851" ht="19" customHeight="1">
      <x:c r="A851" s="19" t="str">
        <x:v>制式池频率控制</x:v>
      </x:c>
      <x:c r="B851" s="19" t="str">
        <x:v>EL-MON-LIM-CASTLE-008</x:v>
      </x:c>
      <x:c r="C851" s="19" t="str">
        <x:v>引用制式第19-20套池</x:v>
      </x:c>
      <x:c r="D851" s="19" t="str">
        <x:v>600</x:v>
      </x:c>
      <x:c r="E851" s="19" t="str">
        <x:v>20000</x:v>
      </x:c>
      <x:c r="F851" s="19" t="str">
        <x:v>制式装备辅助货币供给；防止旧高回收价使C2产币反超C3</x:v>
      </x:c>
    </x:row>
    <x:row r="852" ht="19" customHeight="1">
      <x:c r="A852" s="19" t="str">
        <x:v>制式池频率控制</x:v>
      </x:c>
      <x:c r="B852" s="19" t="str">
        <x:v>EL-MON-LIM-CASTLE-009</x:v>
      </x:c>
      <x:c r="C852" s="19" t="str">
        <x:v>引用制式第19-20套池</x:v>
      </x:c>
      <x:c r="D852" s="19" t="str">
        <x:v>600</x:v>
      </x:c>
      <x:c r="E852" s="19" t="str">
        <x:v>20000</x:v>
      </x:c>
      <x:c r="F852" s="19" t="str">
        <x:v>制式装备辅助货币供给；防止旧高回收价使C2产币反超C3</x:v>
      </x:c>
    </x:row>
    <x:row r="853" ht="19" customHeight="1">
      <x:c r="A853" s="19" t="str">
        <x:v>制式池频率控制</x:v>
      </x:c>
      <x:c r="B853" s="19" t="str">
        <x:v>EL-MON-LIM-CASTLE-010</x:v>
      </x:c>
      <x:c r="C853" s="19" t="str">
        <x:v>引用制式第19-20套池</x:v>
      </x:c>
      <x:c r="D853" s="19" t="str">
        <x:v>600</x:v>
      </x:c>
      <x:c r="E853" s="19" t="str">
        <x:v>20000</x:v>
      </x:c>
      <x:c r="F853" s="19" t="str">
        <x:v>制式装备辅助货币供给；防止旧高回收价使C2产币反超C3</x:v>
      </x:c>
    </x:row>
    <x:row r="854" ht="19" customHeight="1">
      <x:c r="A854" s="19" t="str">
        <x:v>制式池频率控制</x:v>
      </x:c>
      <x:c r="B854" s="19" t="str">
        <x:v>EL-MON-LIM-CASTLE-011</x:v>
      </x:c>
      <x:c r="C854" s="19" t="str">
        <x:v>引用制式第19-20套池</x:v>
      </x:c>
      <x:c r="D854" s="19" t="str">
        <x:v>180</x:v>
      </x:c>
      <x:c r="E854" s="19" t="str">
        <x:v>6000</x:v>
      </x:c>
      <x:c r="F854" s="19" t="str">
        <x:v>制式装备辅助货币供给；防止旧高回收价使C2产币反超C3</x:v>
      </x:c>
    </x:row>
    <x:row r="855" ht="19" customHeight="1">
      <x:c r="A855" s="19" t="str">
        <x:v>制式池频率控制</x:v>
      </x:c>
      <x:c r="B855" s="19" t="str">
        <x:v>EL-MON-LIM-CASTLE-012</x:v>
      </x:c>
      <x:c r="C855" s="19" t="str">
        <x:v>引用制式第19-20套池</x:v>
      </x:c>
      <x:c r="D855" s="19" t="str">
        <x:v>180</x:v>
      </x:c>
      <x:c r="E855" s="19" t="str">
        <x:v>6000</x:v>
      </x:c>
      <x:c r="F855" s="19" t="str">
        <x:v>制式装备辅助货币供给；防止旧高回收价使C2产币反超C3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0bb244c457b4b46"/>
  </x:tableParts>
</x:worksheet>
</file>